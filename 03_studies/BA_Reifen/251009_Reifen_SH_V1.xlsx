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studies\BA_Reifen\"/>
    </mc:Choice>
  </mc:AlternateContent>
  <xr:revisionPtr revIDLastSave="0" documentId="8_{7310E341-1FA0-41BB-9E2E-87BE058A573F}" xr6:coauthVersionLast="47" xr6:coauthVersionMax="47" xr10:uidLastSave="{00000000-0000-0000-0000-000000000000}"/>
  <bookViews>
    <workbookView xWindow="-120" yWindow="-120" windowWidth="38640" windowHeight="21120" tabRatio="840" firstSheet="1" activeTab="6"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static_TCs" sheetId="39" r:id="rId8"/>
    <sheet name="2_4_dynamic_TCs" sheetId="33" r:id="rId9"/>
    <sheet name="2_5_Initial_Stock" sheetId="21"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4 - Template (2)" sheetId="50" r:id="rId21"/>
    <sheet name="P4 - Template" sheetId="49" r:id="rId22"/>
    <sheet name="PX - Template" sheetId="27" r:id="rId23"/>
    <sheet name="4. Calculation_factors&gt;&gt;&gt;&gt;" sheetId="13" r:id="rId24"/>
    <sheet name="Sheet2" sheetId="43" r:id="rId25"/>
    <sheet name="4. Codelists&gt;&gt;&gt;&gt;" sheetId="3" r:id="rId26"/>
    <sheet name="4_1 Codelists" sheetId="17" r:id="rId27"/>
  </sheets>
  <definedNames>
    <definedName name="Inhaltsverzeichnis">"MTRANS(ERSETZEN(Inhalt;1;FINDEN(""]"";Inhalt);""))"</definedName>
    <definedName name="List_DSM_Parameters" localSheetId="21">CL_DSM_Category_ID348[DSM Parameters]</definedName>
    <definedName name="List_DSM_Parameters" localSheetId="20">CL_DSM_Category_ID348[DSM Parameters]</definedName>
    <definedName name="List_DSM_Parameters" localSheetId="19">CL_DSM_Category_ID348[DSM Parameters]</definedName>
    <definedName name="List_DSM_Parameters">CL_DSM_Category_ID348[DSM Parameters]</definedName>
    <definedName name="List_Flow_Parameters" localSheetId="21">CL_Flow_Parameters[Flow_Parameters]</definedName>
    <definedName name="List_Flow_Parameters" localSheetId="20">CL_Flow_Parameters[Flow_Parameters]</definedName>
    <definedName name="List_Flow_Parameters" localSheetId="19">CL_Flow_Parameters[Flow_Parameters]</definedName>
    <definedName name="List_Flow_Parameters">CL_Flow_Parameters[Flow_Parameters]</definedName>
    <definedName name="List_FOMP_Parameters" localSheetId="21">CL_FOMP_Parameters[FOMP Parameters]</definedName>
    <definedName name="List_FOMP_Parameters" localSheetId="20">CL_FOMP_Parameters[FOMP Parameters]</definedName>
    <definedName name="List_FOMP_Parameters" localSheetId="19">CL_FOMP_Parameters[FOMP Parameters]</definedName>
    <definedName name="List_FOMP_Parameters">CL_FOMP_Parameters[FOMP Parameters]</definedName>
    <definedName name="List_Initial_Stock_Parameters" localSheetId="21">CL_Initial_Stock_Parameters[Initial Stock Parameters]</definedName>
    <definedName name="List_Initial_Stock_Parameters" localSheetId="20">CL_Initial_Stock_Parameters[Initial Stock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21">CL_Transfer_Coefficients[Transfer Coefficients (TCs)]</definedName>
    <definedName name="List_Transfer_Coefficients" localSheetId="20">CL_Transfer_Coefficients[Transfer Coefficients (TCs)]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21">CL_Uncertainty_Parameters[Uncertainty_Parameters]</definedName>
    <definedName name="List_Uncertainty_Parameters" localSheetId="20">CL_Uncertainty_Parameters[Uncertainty_Parameters]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8">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 i="33" l="1"/>
  <c r="Q19" i="33" s="1"/>
  <c r="I20" i="33"/>
  <c r="Q20" i="33" s="1"/>
  <c r="B19" i="33"/>
  <c r="C19" i="33"/>
  <c r="F19" i="33"/>
  <c r="S19" i="33"/>
  <c r="U19" i="33" s="1"/>
  <c r="W19" i="33"/>
  <c r="B20" i="33"/>
  <c r="C20" i="33"/>
  <c r="S20" i="33"/>
  <c r="U20" i="33" s="1"/>
  <c r="W20" i="33"/>
  <c r="A6" i="42"/>
  <c r="A7" i="42"/>
  <c r="A8" i="42"/>
  <c r="A9" i="42"/>
  <c r="A10" i="42"/>
  <c r="A11" i="42"/>
  <c r="A12" i="42"/>
  <c r="A13" i="42"/>
  <c r="A14" i="42"/>
  <c r="A15" i="42"/>
  <c r="B5" i="39"/>
  <c r="C5" i="39"/>
  <c r="E5" i="39"/>
  <c r="F5" i="39"/>
  <c r="G5" i="39"/>
  <c r="H5" i="39"/>
  <c r="I5" i="39"/>
  <c r="J5" i="39"/>
  <c r="K5" i="39"/>
  <c r="L5" i="39"/>
  <c r="M5" i="39"/>
  <c r="B6" i="39"/>
  <c r="C6" i="39"/>
  <c r="E6" i="39"/>
  <c r="F6" i="39"/>
  <c r="G6" i="39"/>
  <c r="H6" i="39"/>
  <c r="I6" i="39"/>
  <c r="J6" i="39"/>
  <c r="K6" i="39"/>
  <c r="L6" i="39"/>
  <c r="M6" i="39"/>
  <c r="B7" i="39"/>
  <c r="C7" i="39"/>
  <c r="E7" i="39"/>
  <c r="F7" i="39"/>
  <c r="G7" i="39"/>
  <c r="H7" i="39"/>
  <c r="I7" i="39"/>
  <c r="J7" i="39"/>
  <c r="K7" i="39"/>
  <c r="L7" i="39"/>
  <c r="M7" i="39"/>
  <c r="B10" i="39"/>
  <c r="C10" i="39"/>
  <c r="E10" i="39"/>
  <c r="F10" i="39"/>
  <c r="H20" i="33" s="1"/>
  <c r="G10" i="39"/>
  <c r="F20" i="33" s="1"/>
  <c r="H10" i="39"/>
  <c r="G20" i="33" s="1"/>
  <c r="I10" i="39"/>
  <c r="J10" i="39"/>
  <c r="K10" i="39"/>
  <c r="L10" i="39"/>
  <c r="M10" i="39"/>
  <c r="B11" i="39"/>
  <c r="C11" i="39"/>
  <c r="E11" i="39"/>
  <c r="F11" i="39"/>
  <c r="G11" i="39"/>
  <c r="H11" i="39"/>
  <c r="I11" i="39"/>
  <c r="J11" i="39"/>
  <c r="K11" i="39"/>
  <c r="L11" i="39"/>
  <c r="M11" i="39"/>
  <c r="B2" i="39"/>
  <c r="C2" i="39"/>
  <c r="E2" i="39"/>
  <c r="F2" i="39"/>
  <c r="G2" i="39"/>
  <c r="H2" i="39"/>
  <c r="I2" i="39"/>
  <c r="J2" i="39"/>
  <c r="K2" i="39"/>
  <c r="L2" i="39"/>
  <c r="M2" i="39"/>
  <c r="B3" i="39"/>
  <c r="C3" i="39"/>
  <c r="E3" i="39"/>
  <c r="F3" i="39"/>
  <c r="G3" i="39"/>
  <c r="H3" i="39"/>
  <c r="I3" i="39"/>
  <c r="J3" i="39"/>
  <c r="K3" i="39"/>
  <c r="L3" i="39"/>
  <c r="M3" i="39"/>
  <c r="B4" i="39"/>
  <c r="C4" i="39"/>
  <c r="E4" i="39"/>
  <c r="F4" i="39"/>
  <c r="G4" i="39"/>
  <c r="H4" i="39"/>
  <c r="I4" i="39"/>
  <c r="J4" i="39"/>
  <c r="K4" i="39"/>
  <c r="L4" i="39"/>
  <c r="M4" i="39"/>
  <c r="A4" i="42"/>
  <c r="A5" i="42"/>
  <c r="A16" i="42"/>
  <c r="A17" i="42"/>
  <c r="U5" i="15"/>
  <c r="U6" i="15"/>
  <c r="M19" i="33" l="1"/>
  <c r="H19" i="33"/>
  <c r="G19" i="33"/>
  <c r="T20" i="33"/>
  <c r="M20" i="33"/>
  <c r="K20" i="33"/>
  <c r="K19" i="33"/>
  <c r="O20" i="33"/>
  <c r="O19" i="33"/>
  <c r="T19" i="33"/>
  <c r="AE3" i="2" l="1"/>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2" i="2"/>
  <c r="R70" i="15"/>
  <c r="O70" i="15"/>
  <c r="L70" i="15"/>
  <c r="U12" i="2"/>
  <c r="B6" i="15"/>
  <c r="C70" i="15"/>
  <c r="B304" i="2" s="1"/>
  <c r="B5" i="15"/>
  <c r="T304" i="2" l="1"/>
  <c r="AB304" i="2"/>
  <c r="AF304" i="2"/>
  <c r="X304" i="2"/>
  <c r="C44" i="50" l="1"/>
  <c r="C45" i="50"/>
  <c r="Q50" i="50"/>
  <c r="R52" i="50"/>
  <c r="I37" i="50"/>
  <c r="G46" i="50" s="1"/>
  <c r="G49" i="50"/>
  <c r="F49" i="50"/>
  <c r="C49" i="50"/>
  <c r="A49" i="50"/>
  <c r="A63" i="50" s="1"/>
  <c r="G48" i="50"/>
  <c r="F48" i="50"/>
  <c r="C48" i="50"/>
  <c r="A48" i="50"/>
  <c r="A62" i="50" s="1"/>
  <c r="G47" i="50"/>
  <c r="F47" i="50"/>
  <c r="C47" i="50"/>
  <c r="A47" i="50"/>
  <c r="A61" i="50" s="1"/>
  <c r="A46" i="50"/>
  <c r="A60" i="50" s="1"/>
  <c r="F44" i="50"/>
  <c r="B41" i="50"/>
  <c r="C36" i="50" s="1"/>
  <c r="J40" i="50"/>
  <c r="F40" i="50"/>
  <c r="C40" i="50"/>
  <c r="A40" i="50"/>
  <c r="J39" i="50"/>
  <c r="F39" i="50"/>
  <c r="A39" i="50"/>
  <c r="J38" i="50"/>
  <c r="F38" i="50"/>
  <c r="A38" i="50"/>
  <c r="J37" i="50"/>
  <c r="C46" i="50" s="1"/>
  <c r="F37" i="50"/>
  <c r="C37" i="50"/>
  <c r="A37" i="50"/>
  <c r="I36" i="50"/>
  <c r="F36" i="50"/>
  <c r="A36" i="50"/>
  <c r="A45" i="50" s="1"/>
  <c r="A59" i="50" s="1"/>
  <c r="J35" i="50"/>
  <c r="I35" i="50"/>
  <c r="F35" i="50"/>
  <c r="A35" i="50"/>
  <c r="A44" i="50" s="1"/>
  <c r="A58" i="50" s="1"/>
  <c r="G30" i="50"/>
  <c r="H30" i="50" s="1"/>
  <c r="F30" i="50"/>
  <c r="A30" i="50"/>
  <c r="G29" i="50"/>
  <c r="F29" i="50"/>
  <c r="A29" i="50"/>
  <c r="G28" i="50"/>
  <c r="F28" i="50"/>
  <c r="C28" i="50"/>
  <c r="A28" i="50"/>
  <c r="G27" i="50"/>
  <c r="F27" i="50"/>
  <c r="C27" i="50"/>
  <c r="A27" i="50"/>
  <c r="G26" i="50"/>
  <c r="F26" i="50"/>
  <c r="C26" i="50"/>
  <c r="A26" i="50"/>
  <c r="G25" i="50"/>
  <c r="G31" i="50" s="1"/>
  <c r="F25" i="50"/>
  <c r="A25" i="50"/>
  <c r="V24" i="50"/>
  <c r="B22" i="50"/>
  <c r="J21" i="50"/>
  <c r="F21" i="50"/>
  <c r="G21" i="50" s="1"/>
  <c r="A21" i="50"/>
  <c r="J20" i="50"/>
  <c r="C29" i="50" s="1"/>
  <c r="F20" i="50"/>
  <c r="A20" i="50"/>
  <c r="J19" i="50"/>
  <c r="F19" i="50"/>
  <c r="G19" i="50" s="1"/>
  <c r="A19" i="50"/>
  <c r="J18" i="50"/>
  <c r="F18" i="50"/>
  <c r="G18" i="50" s="1"/>
  <c r="A18" i="50"/>
  <c r="J17" i="50"/>
  <c r="F17" i="50"/>
  <c r="G17" i="50" s="1"/>
  <c r="A17" i="50"/>
  <c r="I16" i="50"/>
  <c r="J16" i="50" s="1"/>
  <c r="F16" i="50"/>
  <c r="F22" i="50" s="1"/>
  <c r="C16" i="50"/>
  <c r="A16" i="50"/>
  <c r="V15" i="50"/>
  <c r="V14" i="50"/>
  <c r="J36" i="49"/>
  <c r="J35" i="49"/>
  <c r="C45" i="49"/>
  <c r="C46" i="49"/>
  <c r="C47" i="49"/>
  <c r="C48" i="49"/>
  <c r="C49" i="49"/>
  <c r="C44" i="49"/>
  <c r="H44" i="49"/>
  <c r="G45" i="49"/>
  <c r="G46" i="49"/>
  <c r="G47" i="49"/>
  <c r="G48" i="49"/>
  <c r="G49" i="49"/>
  <c r="G44" i="49"/>
  <c r="F45" i="49"/>
  <c r="F46" i="49"/>
  <c r="F47" i="49"/>
  <c r="F48" i="49"/>
  <c r="F49" i="49"/>
  <c r="F44" i="49"/>
  <c r="E58" i="49"/>
  <c r="I35" i="49"/>
  <c r="I36" i="49"/>
  <c r="C26" i="49"/>
  <c r="C27" i="49"/>
  <c r="C28" i="49"/>
  <c r="C29" i="49"/>
  <c r="C30" i="49"/>
  <c r="C25" i="49"/>
  <c r="F26" i="49"/>
  <c r="F27" i="49"/>
  <c r="F28" i="49"/>
  <c r="F29" i="49"/>
  <c r="F30" i="49"/>
  <c r="G25" i="49"/>
  <c r="F25" i="49"/>
  <c r="A38" i="49"/>
  <c r="A47" i="49" s="1"/>
  <c r="A61" i="49" s="1"/>
  <c r="J40" i="49"/>
  <c r="F40" i="49"/>
  <c r="A40" i="49"/>
  <c r="A49" i="49" s="1"/>
  <c r="A63" i="49" s="1"/>
  <c r="J39" i="49"/>
  <c r="F39" i="49"/>
  <c r="J38" i="49"/>
  <c r="F38" i="49"/>
  <c r="J37" i="49"/>
  <c r="F37" i="49"/>
  <c r="G30" i="49"/>
  <c r="G31" i="49" s="1"/>
  <c r="F31" i="49" s="1"/>
  <c r="A30" i="49"/>
  <c r="G29" i="49"/>
  <c r="G28" i="49"/>
  <c r="G27" i="49"/>
  <c r="G26" i="49"/>
  <c r="A26" i="49"/>
  <c r="A25" i="49"/>
  <c r="V24" i="49"/>
  <c r="B22" i="49"/>
  <c r="B53" i="49" s="1"/>
  <c r="J21" i="49"/>
  <c r="F21" i="49"/>
  <c r="A21" i="49"/>
  <c r="J20" i="49"/>
  <c r="F20" i="49"/>
  <c r="J19" i="49"/>
  <c r="F19" i="49"/>
  <c r="J18" i="49"/>
  <c r="F18" i="49"/>
  <c r="J17" i="49"/>
  <c r="F17" i="49"/>
  <c r="A17" i="49"/>
  <c r="I16" i="49"/>
  <c r="J16" i="49" s="1"/>
  <c r="F16" i="49"/>
  <c r="A16" i="49"/>
  <c r="V15" i="49"/>
  <c r="V14" i="49"/>
  <c r="A39" i="49"/>
  <c r="A48" i="49" s="1"/>
  <c r="A62" i="49" s="1"/>
  <c r="A29" i="49"/>
  <c r="A19" i="49"/>
  <c r="A37" i="49"/>
  <c r="A46" i="49" s="1"/>
  <c r="A60" i="49" s="1"/>
  <c r="A27" i="49"/>
  <c r="A36" i="49"/>
  <c r="A45" i="49" s="1"/>
  <c r="A59" i="49" s="1"/>
  <c r="A35" i="49"/>
  <c r="A44" i="49" s="1"/>
  <c r="A58" i="49" s="1"/>
  <c r="B15" i="39"/>
  <c r="C15" i="39"/>
  <c r="E15" i="39"/>
  <c r="F15" i="39"/>
  <c r="G15" i="39"/>
  <c r="H15" i="39"/>
  <c r="I15" i="39"/>
  <c r="J15" i="39"/>
  <c r="K15" i="39"/>
  <c r="L15" i="39"/>
  <c r="M15" i="39"/>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F3" i="2"/>
  <c r="F4" i="2"/>
  <c r="F5" i="2"/>
  <c r="F6" i="2"/>
  <c r="F7" i="2"/>
  <c r="F8" i="2"/>
  <c r="F9" i="2"/>
  <c r="F10" i="2"/>
  <c r="F11" i="2"/>
  <c r="F12" i="2"/>
  <c r="AG12" i="2" s="1"/>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E3" i="2"/>
  <c r="E4" i="2"/>
  <c r="E5" i="2"/>
  <c r="E6" i="2"/>
  <c r="E7" i="2"/>
  <c r="E8" i="2"/>
  <c r="E9" i="2"/>
  <c r="E10" i="2"/>
  <c r="E11" i="2"/>
  <c r="E12" i="2"/>
  <c r="AC12" i="2" s="1"/>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F2" i="2"/>
  <c r="E2" i="2"/>
  <c r="D3" i="2"/>
  <c r="D4" i="2"/>
  <c r="D5" i="2"/>
  <c r="D6" i="2"/>
  <c r="D7" i="2"/>
  <c r="D8" i="2"/>
  <c r="D9" i="2"/>
  <c r="D10" i="2"/>
  <c r="D11" i="2"/>
  <c r="D12" i="2"/>
  <c r="Y12" i="2" s="1"/>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2" i="2"/>
  <c r="F46" i="50" l="1"/>
  <c r="C35" i="50"/>
  <c r="C38" i="50"/>
  <c r="C39" i="50"/>
  <c r="B54" i="50"/>
  <c r="F41" i="50"/>
  <c r="G35" i="50" s="1"/>
  <c r="J41" i="50"/>
  <c r="K37" i="50" s="1"/>
  <c r="H27" i="50"/>
  <c r="F31" i="50"/>
  <c r="E60" i="50" s="1"/>
  <c r="H28" i="50"/>
  <c r="K39" i="50"/>
  <c r="C53" i="50"/>
  <c r="E22" i="50"/>
  <c r="C62" i="50" s="1"/>
  <c r="G20" i="50"/>
  <c r="H29" i="50"/>
  <c r="C25" i="50"/>
  <c r="J22" i="50"/>
  <c r="K19" i="50" s="1"/>
  <c r="H26" i="50"/>
  <c r="G16" i="50"/>
  <c r="G22" i="50" s="1"/>
  <c r="H25" i="50"/>
  <c r="H31" i="50" s="1"/>
  <c r="C60" i="50"/>
  <c r="I25" i="50"/>
  <c r="J36" i="50"/>
  <c r="F45" i="50"/>
  <c r="C30" i="50"/>
  <c r="G44" i="50"/>
  <c r="G45" i="50"/>
  <c r="C63" i="50"/>
  <c r="C58" i="50"/>
  <c r="C18" i="50"/>
  <c r="I27" i="50" s="1"/>
  <c r="C20" i="50"/>
  <c r="I29" i="50" s="1"/>
  <c r="G36" i="50"/>
  <c r="C59" i="50"/>
  <c r="B53" i="50"/>
  <c r="C17" i="50"/>
  <c r="I26" i="50" s="1"/>
  <c r="C19" i="50"/>
  <c r="I28" i="50" s="1"/>
  <c r="C21" i="50"/>
  <c r="I30" i="50" s="1"/>
  <c r="E63" i="50"/>
  <c r="C16" i="49"/>
  <c r="I25" i="49" s="1"/>
  <c r="F22" i="49"/>
  <c r="E22" i="49" s="1"/>
  <c r="C62" i="49" s="1"/>
  <c r="H26" i="49"/>
  <c r="H27" i="49"/>
  <c r="H28" i="49"/>
  <c r="A28" i="49"/>
  <c r="A20" i="49"/>
  <c r="A18" i="49"/>
  <c r="C53" i="49"/>
  <c r="G21" i="49"/>
  <c r="G19" i="49"/>
  <c r="G17" i="49"/>
  <c r="J22" i="49"/>
  <c r="K16" i="49" s="1"/>
  <c r="M25" i="49"/>
  <c r="K25" i="49"/>
  <c r="J25" i="49"/>
  <c r="H30" i="49"/>
  <c r="H29" i="49"/>
  <c r="H25" i="49"/>
  <c r="G16" i="49"/>
  <c r="C18" i="49"/>
  <c r="I27" i="49" s="1"/>
  <c r="C20" i="49"/>
  <c r="I29" i="49" s="1"/>
  <c r="C19" i="49"/>
  <c r="I28" i="49" s="1"/>
  <c r="C21" i="49"/>
  <c r="I30" i="49" s="1"/>
  <c r="C17" i="49"/>
  <c r="I26" i="49" s="1"/>
  <c r="D304" i="2"/>
  <c r="Y304" i="2" s="1"/>
  <c r="E304" i="2"/>
  <c r="AC304" i="2" s="1"/>
  <c r="F304" i="2"/>
  <c r="AG304" i="2" s="1"/>
  <c r="D305" i="2"/>
  <c r="Y305" i="2" s="1"/>
  <c r="E305" i="2"/>
  <c r="AC305" i="2" s="1"/>
  <c r="F305" i="2"/>
  <c r="AG305" i="2" s="1"/>
  <c r="D306" i="2"/>
  <c r="Y306" i="2" s="1"/>
  <c r="E306" i="2"/>
  <c r="AC306" i="2" s="1"/>
  <c r="F306" i="2"/>
  <c r="AG306" i="2" s="1"/>
  <c r="D307" i="2"/>
  <c r="Y307" i="2" s="1"/>
  <c r="E307" i="2"/>
  <c r="AC307" i="2" s="1"/>
  <c r="F307" i="2"/>
  <c r="AG307" i="2" s="1"/>
  <c r="D308" i="2"/>
  <c r="Y308" i="2" s="1"/>
  <c r="E308" i="2"/>
  <c r="AC308" i="2" s="1"/>
  <c r="F308" i="2"/>
  <c r="AG308" i="2" s="1"/>
  <c r="D309" i="2"/>
  <c r="Y309" i="2" s="1"/>
  <c r="E309" i="2"/>
  <c r="AC309" i="2" s="1"/>
  <c r="F309" i="2"/>
  <c r="AG309" i="2" s="1"/>
  <c r="D310" i="2"/>
  <c r="Y310" i="2" s="1"/>
  <c r="E310" i="2"/>
  <c r="AC310" i="2" s="1"/>
  <c r="F310" i="2"/>
  <c r="AG310" i="2" s="1"/>
  <c r="D311" i="2"/>
  <c r="Y311" i="2" s="1"/>
  <c r="E311" i="2"/>
  <c r="AC311" i="2" s="1"/>
  <c r="F311" i="2"/>
  <c r="AG311" i="2" s="1"/>
  <c r="D312" i="2"/>
  <c r="Y312" i="2" s="1"/>
  <c r="E312" i="2"/>
  <c r="AC312" i="2" s="1"/>
  <c r="F312" i="2"/>
  <c r="AG312" i="2" s="1"/>
  <c r="D313" i="2"/>
  <c r="Y313" i="2" s="1"/>
  <c r="E313" i="2"/>
  <c r="AC313" i="2" s="1"/>
  <c r="F313" i="2"/>
  <c r="AG313" i="2" s="1"/>
  <c r="D314" i="2"/>
  <c r="Y314" i="2" s="1"/>
  <c r="E314" i="2"/>
  <c r="AC314" i="2" s="1"/>
  <c r="F314" i="2"/>
  <c r="AG314" i="2" s="1"/>
  <c r="D315" i="2"/>
  <c r="Y315" i="2" s="1"/>
  <c r="E315" i="2"/>
  <c r="AC315" i="2" s="1"/>
  <c r="F315" i="2"/>
  <c r="AG315" i="2" s="1"/>
  <c r="D316" i="2"/>
  <c r="Y316" i="2" s="1"/>
  <c r="E316" i="2"/>
  <c r="AC316" i="2" s="1"/>
  <c r="F316" i="2"/>
  <c r="AG316" i="2" s="1"/>
  <c r="D317" i="2"/>
  <c r="Y317" i="2" s="1"/>
  <c r="E317" i="2"/>
  <c r="AC317" i="2" s="1"/>
  <c r="F317" i="2"/>
  <c r="AG317" i="2" s="1"/>
  <c r="D318" i="2"/>
  <c r="Y318" i="2" s="1"/>
  <c r="E318" i="2"/>
  <c r="AC318" i="2" s="1"/>
  <c r="F318" i="2"/>
  <c r="AG318" i="2" s="1"/>
  <c r="D319" i="2"/>
  <c r="Y319" i="2" s="1"/>
  <c r="E319" i="2"/>
  <c r="AC319" i="2" s="1"/>
  <c r="F319" i="2"/>
  <c r="AG319" i="2" s="1"/>
  <c r="D320" i="2"/>
  <c r="Y320" i="2" s="1"/>
  <c r="E320" i="2"/>
  <c r="AC320" i="2" s="1"/>
  <c r="F320" i="2"/>
  <c r="AG320" i="2" s="1"/>
  <c r="D321" i="2"/>
  <c r="Y321" i="2" s="1"/>
  <c r="E321" i="2"/>
  <c r="AC321" i="2" s="1"/>
  <c r="F321" i="2"/>
  <c r="AG321" i="2" s="1"/>
  <c r="D322" i="2"/>
  <c r="Y322" i="2" s="1"/>
  <c r="E322" i="2"/>
  <c r="AC322" i="2" s="1"/>
  <c r="F322" i="2"/>
  <c r="AG322" i="2" s="1"/>
  <c r="D323" i="2"/>
  <c r="Y323" i="2" s="1"/>
  <c r="E323" i="2"/>
  <c r="AC323" i="2" s="1"/>
  <c r="F323" i="2"/>
  <c r="AG323" i="2" s="1"/>
  <c r="D324" i="2"/>
  <c r="Y324" i="2" s="1"/>
  <c r="E324" i="2"/>
  <c r="AC324" i="2" s="1"/>
  <c r="F324" i="2"/>
  <c r="AG324" i="2" s="1"/>
  <c r="D325" i="2"/>
  <c r="Y325" i="2" s="1"/>
  <c r="E325" i="2"/>
  <c r="AC325" i="2" s="1"/>
  <c r="F325" i="2"/>
  <c r="AG325" i="2" s="1"/>
  <c r="D326" i="2"/>
  <c r="Y326" i="2" s="1"/>
  <c r="E326" i="2"/>
  <c r="AC326" i="2" s="1"/>
  <c r="F326" i="2"/>
  <c r="AG326" i="2" s="1"/>
  <c r="D327" i="2"/>
  <c r="Y327" i="2" s="1"/>
  <c r="E327" i="2"/>
  <c r="AC327" i="2" s="1"/>
  <c r="F327" i="2"/>
  <c r="AG327" i="2" s="1"/>
  <c r="D328" i="2"/>
  <c r="Y328" i="2" s="1"/>
  <c r="E328" i="2"/>
  <c r="AC328" i="2" s="1"/>
  <c r="F328" i="2"/>
  <c r="AG328" i="2" s="1"/>
  <c r="D329" i="2"/>
  <c r="Y329" i="2" s="1"/>
  <c r="E329" i="2"/>
  <c r="AC329" i="2" s="1"/>
  <c r="F329" i="2"/>
  <c r="AG329" i="2" s="1"/>
  <c r="D330" i="2"/>
  <c r="Y330" i="2" s="1"/>
  <c r="E330" i="2"/>
  <c r="AC330" i="2" s="1"/>
  <c r="F330" i="2"/>
  <c r="AG330" i="2" s="1"/>
  <c r="D331" i="2"/>
  <c r="Y331" i="2" s="1"/>
  <c r="E331" i="2"/>
  <c r="AC331" i="2" s="1"/>
  <c r="F331" i="2"/>
  <c r="AG331" i="2" s="1"/>
  <c r="D332" i="2"/>
  <c r="Y332" i="2" s="1"/>
  <c r="E332" i="2"/>
  <c r="AC332" i="2" s="1"/>
  <c r="F332" i="2"/>
  <c r="AG332" i="2" s="1"/>
  <c r="D333" i="2"/>
  <c r="Y333" i="2" s="1"/>
  <c r="E333" i="2"/>
  <c r="AC333" i="2" s="1"/>
  <c r="F333" i="2"/>
  <c r="AG333" i="2" s="1"/>
  <c r="D334" i="2"/>
  <c r="Y334" i="2" s="1"/>
  <c r="E334" i="2"/>
  <c r="AC334" i="2" s="1"/>
  <c r="F334" i="2"/>
  <c r="AG334" i="2" s="1"/>
  <c r="D335" i="2"/>
  <c r="Y335" i="2" s="1"/>
  <c r="E335" i="2"/>
  <c r="AC335" i="2" s="1"/>
  <c r="F335" i="2"/>
  <c r="AG335" i="2" s="1"/>
  <c r="D336" i="2"/>
  <c r="Y336" i="2" s="1"/>
  <c r="E336" i="2"/>
  <c r="AC336" i="2" s="1"/>
  <c r="F336" i="2"/>
  <c r="AG336" i="2" s="1"/>
  <c r="D337" i="2"/>
  <c r="Y337" i="2" s="1"/>
  <c r="E337" i="2"/>
  <c r="AC337" i="2" s="1"/>
  <c r="F337" i="2"/>
  <c r="AG337" i="2" s="1"/>
  <c r="D338" i="2"/>
  <c r="Y338" i="2" s="1"/>
  <c r="E338" i="2"/>
  <c r="AC338" i="2" s="1"/>
  <c r="F338" i="2"/>
  <c r="AG338" i="2" s="1"/>
  <c r="D339" i="2"/>
  <c r="Y339" i="2" s="1"/>
  <c r="E339" i="2"/>
  <c r="AC339" i="2" s="1"/>
  <c r="F339" i="2"/>
  <c r="AG339" i="2" s="1"/>
  <c r="D340" i="2"/>
  <c r="Y340" i="2" s="1"/>
  <c r="E340" i="2"/>
  <c r="AC340" i="2" s="1"/>
  <c r="F340" i="2"/>
  <c r="AG340" i="2" s="1"/>
  <c r="D341" i="2"/>
  <c r="Y341" i="2" s="1"/>
  <c r="E341" i="2"/>
  <c r="AC341" i="2" s="1"/>
  <c r="F341" i="2"/>
  <c r="AG341" i="2" s="1"/>
  <c r="D342" i="2"/>
  <c r="Y342" i="2" s="1"/>
  <c r="E342" i="2"/>
  <c r="AC342" i="2" s="1"/>
  <c r="F342" i="2"/>
  <c r="AG342" i="2" s="1"/>
  <c r="D343" i="2"/>
  <c r="Y343" i="2" s="1"/>
  <c r="E343" i="2"/>
  <c r="AC343" i="2" s="1"/>
  <c r="F343" i="2"/>
  <c r="AG343" i="2" s="1"/>
  <c r="D344" i="2"/>
  <c r="Y344" i="2" s="1"/>
  <c r="E344" i="2"/>
  <c r="AC344" i="2" s="1"/>
  <c r="F344" i="2"/>
  <c r="AG344" i="2" s="1"/>
  <c r="D345" i="2"/>
  <c r="Y345" i="2" s="1"/>
  <c r="E345" i="2"/>
  <c r="AC345" i="2" s="1"/>
  <c r="F345" i="2"/>
  <c r="AG345" i="2" s="1"/>
  <c r="D346" i="2"/>
  <c r="Y346" i="2" s="1"/>
  <c r="E346" i="2"/>
  <c r="AC346" i="2" s="1"/>
  <c r="F346" i="2"/>
  <c r="AG346" i="2" s="1"/>
  <c r="D347" i="2"/>
  <c r="Y347" i="2" s="1"/>
  <c r="E347" i="2"/>
  <c r="AC347" i="2" s="1"/>
  <c r="F347" i="2"/>
  <c r="AG347" i="2" s="1"/>
  <c r="D348" i="2"/>
  <c r="Y348" i="2" s="1"/>
  <c r="E348" i="2"/>
  <c r="AC348" i="2" s="1"/>
  <c r="F348" i="2"/>
  <c r="AG348" i="2" s="1"/>
  <c r="D349" i="2"/>
  <c r="Y349" i="2" s="1"/>
  <c r="E349" i="2"/>
  <c r="AC349" i="2" s="1"/>
  <c r="F349" i="2"/>
  <c r="AG349" i="2" s="1"/>
  <c r="D350" i="2"/>
  <c r="Y350" i="2" s="1"/>
  <c r="E350" i="2"/>
  <c r="AC350" i="2" s="1"/>
  <c r="F350" i="2"/>
  <c r="AG350" i="2" s="1"/>
  <c r="Z2" i="2"/>
  <c r="AD2" i="2"/>
  <c r="AH2" i="2"/>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C41" i="50" l="1"/>
  <c r="G39" i="50"/>
  <c r="G40" i="50"/>
  <c r="G37" i="50"/>
  <c r="C54" i="50"/>
  <c r="R35" i="50" s="1"/>
  <c r="E41" i="50"/>
  <c r="G38" i="50"/>
  <c r="G50" i="50"/>
  <c r="H45" i="50" s="1"/>
  <c r="K17" i="50"/>
  <c r="E58" i="50"/>
  <c r="E62" i="50"/>
  <c r="J28" i="50"/>
  <c r="M28" i="50"/>
  <c r="K28" i="50"/>
  <c r="B56" i="50"/>
  <c r="B55" i="50"/>
  <c r="K35" i="50"/>
  <c r="K29" i="50"/>
  <c r="J29" i="50"/>
  <c r="L29" i="50" s="1"/>
  <c r="M29" i="50"/>
  <c r="E61" i="50"/>
  <c r="K27" i="50"/>
  <c r="M27" i="50"/>
  <c r="J27" i="50"/>
  <c r="L27" i="50" s="1"/>
  <c r="D53" i="50"/>
  <c r="I22" i="50"/>
  <c r="J30" i="50"/>
  <c r="K30" i="50"/>
  <c r="M30" i="50"/>
  <c r="C22" i="50"/>
  <c r="B59" i="50" s="1"/>
  <c r="I45" i="50" s="1"/>
  <c r="K36" i="50"/>
  <c r="K18" i="50"/>
  <c r="C31" i="50"/>
  <c r="D25" i="50" s="1"/>
  <c r="M26" i="50"/>
  <c r="J26" i="50"/>
  <c r="L26" i="50" s="1"/>
  <c r="K26" i="50"/>
  <c r="I41" i="50"/>
  <c r="D54" i="50"/>
  <c r="K40" i="50"/>
  <c r="K20" i="50"/>
  <c r="K38" i="50"/>
  <c r="E59" i="50"/>
  <c r="K21" i="50"/>
  <c r="M25" i="50"/>
  <c r="I31" i="50"/>
  <c r="J25" i="50"/>
  <c r="K25" i="50"/>
  <c r="K16" i="50"/>
  <c r="B58" i="50"/>
  <c r="B63" i="50"/>
  <c r="I49" i="50" s="1"/>
  <c r="B60" i="50"/>
  <c r="I46" i="50" s="1"/>
  <c r="E60" i="49"/>
  <c r="E61" i="49"/>
  <c r="E62" i="49"/>
  <c r="E63" i="49"/>
  <c r="H31" i="49"/>
  <c r="G18" i="49"/>
  <c r="G20" i="49"/>
  <c r="G22" i="49"/>
  <c r="C63" i="49"/>
  <c r="M28" i="49"/>
  <c r="J28" i="49"/>
  <c r="K28" i="49"/>
  <c r="K40" i="49"/>
  <c r="C31" i="49"/>
  <c r="K20" i="49"/>
  <c r="I22" i="49"/>
  <c r="D59" i="49" s="1"/>
  <c r="K18" i="49"/>
  <c r="D53" i="49"/>
  <c r="C60" i="49"/>
  <c r="L25" i="49"/>
  <c r="K17" i="49"/>
  <c r="K30" i="49"/>
  <c r="J30" i="49"/>
  <c r="L30" i="49" s="1"/>
  <c r="M30" i="49"/>
  <c r="M26" i="49"/>
  <c r="K26" i="49"/>
  <c r="J26" i="49"/>
  <c r="B41" i="49"/>
  <c r="C35" i="49" s="1"/>
  <c r="F35" i="49"/>
  <c r="C58" i="49"/>
  <c r="C22" i="49"/>
  <c r="M27" i="49"/>
  <c r="K27" i="49"/>
  <c r="J27" i="49"/>
  <c r="L27" i="49" s="1"/>
  <c r="I31" i="49"/>
  <c r="J29" i="49"/>
  <c r="M29" i="49"/>
  <c r="K29" i="49"/>
  <c r="K21" i="49"/>
  <c r="K19" i="49"/>
  <c r="H11" i="33"/>
  <c r="H12" i="33"/>
  <c r="H13" i="33"/>
  <c r="H14" i="33"/>
  <c r="H15" i="33"/>
  <c r="H16" i="33"/>
  <c r="H17" i="33"/>
  <c r="H18"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8" i="39"/>
  <c r="F9" i="39"/>
  <c r="H21" i="33"/>
  <c r="F12" i="39"/>
  <c r="F13" i="39"/>
  <c r="F14"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51" i="39"/>
  <c r="F52" i="39"/>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H4" i="33" l="1"/>
  <c r="H22" i="33"/>
  <c r="H7" i="33"/>
  <c r="H6" i="33"/>
  <c r="H10" i="33"/>
  <c r="H9" i="33"/>
  <c r="H2" i="33"/>
  <c r="H8" i="33"/>
  <c r="G41" i="50"/>
  <c r="C61" i="50" s="1"/>
  <c r="C64" i="50" s="1"/>
  <c r="K41" i="50"/>
  <c r="C55" i="50"/>
  <c r="C56" i="50"/>
  <c r="M45" i="50"/>
  <c r="K45" i="50"/>
  <c r="J45" i="50"/>
  <c r="L45" i="50" s="1"/>
  <c r="J31" i="50"/>
  <c r="L25" i="50"/>
  <c r="D63" i="50"/>
  <c r="D58" i="50"/>
  <c r="D61" i="50"/>
  <c r="D60" i="50"/>
  <c r="D59" i="50"/>
  <c r="D62" i="50"/>
  <c r="D55" i="50"/>
  <c r="D56" i="50"/>
  <c r="M46" i="50"/>
  <c r="K46" i="50"/>
  <c r="J46" i="50"/>
  <c r="L46" i="50" s="1"/>
  <c r="L28" i="50"/>
  <c r="E64" i="50"/>
  <c r="B62" i="50"/>
  <c r="I48" i="50" s="1"/>
  <c r="E53" i="50"/>
  <c r="B31" i="50"/>
  <c r="D27" i="50"/>
  <c r="D29" i="50"/>
  <c r="D26" i="50"/>
  <c r="D31" i="50" s="1"/>
  <c r="D28" i="50"/>
  <c r="D30" i="50"/>
  <c r="K22" i="50"/>
  <c r="H48" i="50"/>
  <c r="H46" i="50"/>
  <c r="F50" i="50"/>
  <c r="H49" i="50"/>
  <c r="H47" i="50"/>
  <c r="M31" i="50"/>
  <c r="J49" i="50"/>
  <c r="M49" i="50"/>
  <c r="K49" i="50"/>
  <c r="C50" i="50"/>
  <c r="D45" i="50" s="1"/>
  <c r="I44" i="50"/>
  <c r="B61" i="50"/>
  <c r="I47" i="50" s="1"/>
  <c r="K31" i="50"/>
  <c r="L30" i="50"/>
  <c r="H44" i="50"/>
  <c r="L26" i="49"/>
  <c r="M31" i="49"/>
  <c r="K31" i="49"/>
  <c r="K22" i="49"/>
  <c r="B31" i="49"/>
  <c r="E53" i="49"/>
  <c r="T44" i="49" s="1"/>
  <c r="T45" i="49" s="1"/>
  <c r="T47" i="49" s="1"/>
  <c r="R47" i="49" s="1"/>
  <c r="D27" i="49"/>
  <c r="D30" i="49"/>
  <c r="D28" i="49"/>
  <c r="D26" i="49"/>
  <c r="D29" i="49"/>
  <c r="D25" i="49"/>
  <c r="D62" i="49"/>
  <c r="D58" i="49"/>
  <c r="D60" i="49"/>
  <c r="D63" i="49"/>
  <c r="D61" i="49"/>
  <c r="L29" i="49"/>
  <c r="L28" i="49"/>
  <c r="J31" i="49"/>
  <c r="C39" i="49"/>
  <c r="C36" i="49"/>
  <c r="C37" i="49"/>
  <c r="C40" i="49"/>
  <c r="C38" i="49"/>
  <c r="B54" i="49"/>
  <c r="H5" i="33"/>
  <c r="H3" i="33"/>
  <c r="L49" i="50" l="1"/>
  <c r="H50" i="50"/>
  <c r="D64" i="50"/>
  <c r="T44" i="50"/>
  <c r="T45" i="50" s="1"/>
  <c r="T47" i="50" s="1"/>
  <c r="R47" i="50" s="1"/>
  <c r="J47" i="50"/>
  <c r="M47" i="50"/>
  <c r="K47" i="50"/>
  <c r="M44" i="50"/>
  <c r="K44" i="50"/>
  <c r="K50" i="50" s="1"/>
  <c r="J44" i="50"/>
  <c r="I50" i="50"/>
  <c r="B50" i="50"/>
  <c r="E54" i="50"/>
  <c r="D48" i="50"/>
  <c r="D46" i="50"/>
  <c r="D44" i="50"/>
  <c r="D49" i="50"/>
  <c r="D47" i="50"/>
  <c r="M48" i="50"/>
  <c r="K48" i="50"/>
  <c r="J48" i="50"/>
  <c r="L48" i="50" s="1"/>
  <c r="B64" i="50"/>
  <c r="L31" i="50"/>
  <c r="C41" i="49"/>
  <c r="L31" i="49"/>
  <c r="D31" i="49"/>
  <c r="B62" i="49"/>
  <c r="I48" i="49" s="1"/>
  <c r="B59" i="49"/>
  <c r="I45" i="49" s="1"/>
  <c r="B60" i="49"/>
  <c r="I46" i="49" s="1"/>
  <c r="B61" i="49"/>
  <c r="I47" i="49" s="1"/>
  <c r="B63" i="49"/>
  <c r="I49" i="49" s="1"/>
  <c r="B58" i="49"/>
  <c r="B55" i="49"/>
  <c r="B56" i="49"/>
  <c r="C47" i="48"/>
  <c r="C48" i="48"/>
  <c r="C49" i="48"/>
  <c r="C45" i="48"/>
  <c r="C25" i="48"/>
  <c r="A16" i="48"/>
  <c r="G49" i="48"/>
  <c r="F49" i="48"/>
  <c r="G48" i="48"/>
  <c r="F48" i="48"/>
  <c r="G47" i="48"/>
  <c r="F47" i="48"/>
  <c r="G46" i="48"/>
  <c r="F46" i="48"/>
  <c r="G45" i="48"/>
  <c r="F45" i="48"/>
  <c r="J40" i="48"/>
  <c r="F40" i="48"/>
  <c r="A40" i="48"/>
  <c r="A49" i="48" s="1"/>
  <c r="A63" i="48" s="1"/>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11" i="44"/>
  <c r="G2" i="44"/>
  <c r="G6" i="44"/>
  <c r="G7" i="44"/>
  <c r="G5" i="44"/>
  <c r="G8" i="44"/>
  <c r="G10" i="44"/>
  <c r="G3" i="44"/>
  <c r="G9" i="44"/>
  <c r="G4"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C25" i="46"/>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B41" i="46" s="1"/>
  <c r="C42" i="46"/>
  <c r="B42" i="46" s="1"/>
  <c r="C43" i="46"/>
  <c r="B43" i="46" s="1"/>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2" i="44"/>
  <c r="C2" i="44" s="1"/>
  <c r="D6" i="44"/>
  <c r="C6" i="44" s="1"/>
  <c r="D7" i="44"/>
  <c r="C7" i="44" s="1"/>
  <c r="D5" i="44"/>
  <c r="C5" i="44" s="1"/>
  <c r="D8" i="44"/>
  <c r="C8" i="44" s="1"/>
  <c r="D10" i="44"/>
  <c r="C10" i="44" s="1"/>
  <c r="D3" i="44"/>
  <c r="C3" i="44" s="1"/>
  <c r="D9" i="44"/>
  <c r="C9" i="44" s="1"/>
  <c r="D4" i="44"/>
  <c r="C4" i="44" s="1"/>
  <c r="C12" i="44"/>
  <c r="D11" i="44"/>
  <c r="C11"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4" i="44"/>
  <c r="B9" i="44"/>
  <c r="B3" i="44"/>
  <c r="B10" i="44"/>
  <c r="B8" i="44"/>
  <c r="B5" i="44"/>
  <c r="B7" i="44"/>
  <c r="B6" i="44"/>
  <c r="B2" i="44"/>
  <c r="B11" i="44"/>
  <c r="M50" i="50" l="1"/>
  <c r="E56" i="50"/>
  <c r="E55" i="50"/>
  <c r="L47" i="50"/>
  <c r="D50" i="50"/>
  <c r="L44" i="50"/>
  <c r="L50" i="50" s="1"/>
  <c r="J50" i="50"/>
  <c r="K49" i="49"/>
  <c r="M49" i="49"/>
  <c r="J49" i="49"/>
  <c r="K47" i="49"/>
  <c r="J47" i="49"/>
  <c r="L47" i="49" s="1"/>
  <c r="M47" i="49"/>
  <c r="I44" i="49"/>
  <c r="B64" i="49"/>
  <c r="K46" i="49"/>
  <c r="M46" i="49"/>
  <c r="J46" i="49"/>
  <c r="M48" i="49"/>
  <c r="J48" i="49"/>
  <c r="K48" i="49"/>
  <c r="F22" i="48"/>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L49" i="49" l="1"/>
  <c r="L46" i="49"/>
  <c r="K44" i="49"/>
  <c r="J44" i="49"/>
  <c r="I50" i="49"/>
  <c r="M44" i="49"/>
  <c r="L48" i="49"/>
  <c r="K19" i="48"/>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8" i="42"/>
  <c r="A3" i="42"/>
  <c r="A2" i="42"/>
  <c r="L44" i="49" l="1"/>
  <c r="L27" i="48"/>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M8" i="39"/>
  <c r="M9" i="39"/>
  <c r="M12" i="39"/>
  <c r="M13" i="39"/>
  <c r="M14"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51" i="39"/>
  <c r="M52" i="39"/>
  <c r="L8" i="39"/>
  <c r="L9" i="39"/>
  <c r="L12" i="39"/>
  <c r="L13" i="39"/>
  <c r="L14"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J8" i="39"/>
  <c r="J9" i="39"/>
  <c r="J12" i="39"/>
  <c r="J13" i="39"/>
  <c r="J14"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K8" i="39"/>
  <c r="K9" i="39"/>
  <c r="K12" i="39"/>
  <c r="K13" i="39"/>
  <c r="K14"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I52" i="39"/>
  <c r="H52" i="39"/>
  <c r="G52" i="39"/>
  <c r="E52" i="39"/>
  <c r="C52" i="39"/>
  <c r="B52" i="39"/>
  <c r="I51" i="39"/>
  <c r="H51" i="39"/>
  <c r="G51" i="39"/>
  <c r="E51" i="39"/>
  <c r="C51" i="39"/>
  <c r="B51"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4" i="39"/>
  <c r="H14" i="39"/>
  <c r="G14" i="39"/>
  <c r="E14" i="39"/>
  <c r="C14" i="39"/>
  <c r="B14" i="39"/>
  <c r="I13" i="39"/>
  <c r="H13" i="39"/>
  <c r="G13" i="39"/>
  <c r="E13" i="39"/>
  <c r="C13" i="39"/>
  <c r="B13" i="39"/>
  <c r="I12" i="39"/>
  <c r="H12" i="39"/>
  <c r="G12" i="39"/>
  <c r="E12" i="39"/>
  <c r="C12" i="39"/>
  <c r="B12" i="39"/>
  <c r="I9" i="39"/>
  <c r="H9" i="39"/>
  <c r="G9" i="39"/>
  <c r="E9" i="39"/>
  <c r="C9" i="39"/>
  <c r="B9" i="39"/>
  <c r="I8" i="39"/>
  <c r="H8" i="39"/>
  <c r="G8" i="39"/>
  <c r="E8" i="39"/>
  <c r="C8" i="39"/>
  <c r="B8" i="39"/>
  <c r="K41" i="37"/>
  <c r="J41" i="37"/>
  <c r="I41" i="37"/>
  <c r="H41" i="37"/>
  <c r="G41" i="37"/>
  <c r="F41" i="37"/>
  <c r="E41" i="37"/>
  <c r="C41" i="37"/>
  <c r="O41" i="37" s="1"/>
  <c r="B41" i="37"/>
  <c r="K40" i="37"/>
  <c r="J40" i="37"/>
  <c r="I40" i="37"/>
  <c r="H40" i="37"/>
  <c r="G40" i="37"/>
  <c r="F40" i="37"/>
  <c r="E40" i="37"/>
  <c r="C40" i="37"/>
  <c r="O40" i="37" s="1"/>
  <c r="B40" i="37"/>
  <c r="K39" i="37"/>
  <c r="J39" i="37"/>
  <c r="I39" i="37"/>
  <c r="H39" i="37"/>
  <c r="G39" i="37"/>
  <c r="F39" i="37"/>
  <c r="E39" i="37"/>
  <c r="C39" i="37"/>
  <c r="O39" i="37" s="1"/>
  <c r="B39" i="37"/>
  <c r="K38" i="37"/>
  <c r="J38" i="37"/>
  <c r="I38" i="37"/>
  <c r="H38" i="37"/>
  <c r="G38" i="37"/>
  <c r="F38" i="37"/>
  <c r="E38" i="37"/>
  <c r="C38" i="37"/>
  <c r="O38" i="37" s="1"/>
  <c r="B38" i="37"/>
  <c r="K37" i="37"/>
  <c r="J37" i="37"/>
  <c r="I37" i="37"/>
  <c r="H37" i="37"/>
  <c r="G37" i="37"/>
  <c r="F37" i="37"/>
  <c r="E37" i="37"/>
  <c r="C37" i="37"/>
  <c r="O37" i="37" s="1"/>
  <c r="B37" i="37"/>
  <c r="K36" i="37"/>
  <c r="J36" i="37"/>
  <c r="I36" i="37"/>
  <c r="H36" i="37"/>
  <c r="G36" i="37"/>
  <c r="F36" i="37"/>
  <c r="E36" i="37"/>
  <c r="C36" i="37"/>
  <c r="O36" i="37" s="1"/>
  <c r="B36" i="37"/>
  <c r="K35" i="37"/>
  <c r="J35" i="37"/>
  <c r="I35" i="37"/>
  <c r="H35" i="37"/>
  <c r="G35" i="37"/>
  <c r="F35" i="37"/>
  <c r="E35" i="37"/>
  <c r="C35" i="37"/>
  <c r="O35" i="37" s="1"/>
  <c r="B35" i="37"/>
  <c r="K34" i="37"/>
  <c r="J34" i="37"/>
  <c r="I34" i="37"/>
  <c r="H34" i="37"/>
  <c r="G34" i="37"/>
  <c r="F34" i="37"/>
  <c r="E34" i="37"/>
  <c r="C34" i="37"/>
  <c r="O34" i="37" s="1"/>
  <c r="B34" i="37"/>
  <c r="K33" i="37"/>
  <c r="J33" i="37"/>
  <c r="I33" i="37"/>
  <c r="H33" i="37"/>
  <c r="G33" i="37"/>
  <c r="F33" i="37"/>
  <c r="E33" i="37"/>
  <c r="C33" i="37"/>
  <c r="O33" i="37" s="1"/>
  <c r="B33" i="37"/>
  <c r="K32" i="37"/>
  <c r="J32" i="37"/>
  <c r="I32" i="37"/>
  <c r="H32" i="37"/>
  <c r="G32" i="37"/>
  <c r="F32" i="37"/>
  <c r="E32" i="37"/>
  <c r="C32" i="37"/>
  <c r="O32" i="37" s="1"/>
  <c r="B32" i="37"/>
  <c r="K31" i="37"/>
  <c r="J31" i="37"/>
  <c r="I31" i="37"/>
  <c r="H31" i="37"/>
  <c r="G31" i="37"/>
  <c r="F31" i="37"/>
  <c r="E31" i="37"/>
  <c r="C31" i="37"/>
  <c r="O31" i="37" s="1"/>
  <c r="B31" i="37"/>
  <c r="K30" i="37"/>
  <c r="J30" i="37"/>
  <c r="I30" i="37"/>
  <c r="H30" i="37"/>
  <c r="G30" i="37"/>
  <c r="F30" i="37"/>
  <c r="E30" i="37"/>
  <c r="C30" i="37"/>
  <c r="O30" i="37" s="1"/>
  <c r="B30" i="37"/>
  <c r="K29" i="37"/>
  <c r="J29" i="37"/>
  <c r="I29" i="37"/>
  <c r="H29" i="37"/>
  <c r="G29" i="37"/>
  <c r="F29" i="37"/>
  <c r="E29" i="37"/>
  <c r="C29" i="37"/>
  <c r="O29" i="37" s="1"/>
  <c r="B29" i="37"/>
  <c r="K28" i="37"/>
  <c r="J28" i="37"/>
  <c r="I28" i="37"/>
  <c r="H28" i="37"/>
  <c r="G28" i="37"/>
  <c r="F28" i="37"/>
  <c r="E28" i="37"/>
  <c r="C28" i="37"/>
  <c r="O28" i="37" s="1"/>
  <c r="B28" i="37"/>
  <c r="K27" i="37"/>
  <c r="J27" i="37"/>
  <c r="I27" i="37"/>
  <c r="H27" i="37"/>
  <c r="G27" i="37"/>
  <c r="F27" i="37"/>
  <c r="E27" i="37"/>
  <c r="C27" i="37"/>
  <c r="O27" i="37" s="1"/>
  <c r="B27" i="37"/>
  <c r="K26" i="37"/>
  <c r="J26" i="37"/>
  <c r="I26" i="37"/>
  <c r="H26" i="37"/>
  <c r="G26" i="37"/>
  <c r="F26" i="37"/>
  <c r="E26" i="37"/>
  <c r="C26" i="37"/>
  <c r="O26" i="37" s="1"/>
  <c r="B26" i="37"/>
  <c r="K25" i="37"/>
  <c r="J25" i="37"/>
  <c r="I25" i="37"/>
  <c r="H25" i="37"/>
  <c r="G25" i="37"/>
  <c r="F25" i="37"/>
  <c r="E25" i="37"/>
  <c r="C25" i="37"/>
  <c r="O25" i="37" s="1"/>
  <c r="B25" i="37"/>
  <c r="K24" i="37"/>
  <c r="J24" i="37"/>
  <c r="I24" i="37"/>
  <c r="H24" i="37"/>
  <c r="G24" i="37"/>
  <c r="F24" i="37"/>
  <c r="E24" i="37"/>
  <c r="C24" i="37"/>
  <c r="O24" i="37" s="1"/>
  <c r="B24" i="37"/>
  <c r="K23" i="37"/>
  <c r="J23" i="37"/>
  <c r="I23" i="37"/>
  <c r="H23" i="37"/>
  <c r="G23" i="37"/>
  <c r="F23" i="37"/>
  <c r="E23" i="37"/>
  <c r="C23" i="37"/>
  <c r="O23" i="37" s="1"/>
  <c r="B23" i="37"/>
  <c r="K22" i="37"/>
  <c r="J22" i="37"/>
  <c r="I22" i="37"/>
  <c r="H22" i="37"/>
  <c r="G22" i="37"/>
  <c r="F22" i="37"/>
  <c r="E22" i="37"/>
  <c r="C22" i="37"/>
  <c r="O22" i="37" s="1"/>
  <c r="B22" i="37"/>
  <c r="K21" i="37"/>
  <c r="J21" i="37"/>
  <c r="I21" i="37"/>
  <c r="H21" i="37"/>
  <c r="G21" i="37"/>
  <c r="F21" i="37"/>
  <c r="E21" i="37"/>
  <c r="C21" i="37"/>
  <c r="O21" i="37" s="1"/>
  <c r="B21" i="37"/>
  <c r="K20" i="37"/>
  <c r="J20" i="37"/>
  <c r="I20" i="37"/>
  <c r="H20" i="37"/>
  <c r="G20" i="37"/>
  <c r="F20" i="37"/>
  <c r="E20" i="37"/>
  <c r="C20" i="37"/>
  <c r="O20" i="37" s="1"/>
  <c r="B20" i="37"/>
  <c r="K19" i="37"/>
  <c r="J19" i="37"/>
  <c r="I19" i="37"/>
  <c r="H19" i="37"/>
  <c r="G19" i="37"/>
  <c r="F19" i="37"/>
  <c r="E19" i="37"/>
  <c r="B19" i="37"/>
  <c r="K18" i="37"/>
  <c r="J18" i="37"/>
  <c r="I18" i="37"/>
  <c r="H18" i="37"/>
  <c r="G18" i="37"/>
  <c r="F18" i="37"/>
  <c r="E18" i="37"/>
  <c r="B18" i="37"/>
  <c r="K17" i="37"/>
  <c r="J17" i="37"/>
  <c r="I17" i="37"/>
  <c r="H17" i="37"/>
  <c r="G17" i="37"/>
  <c r="F17" i="37"/>
  <c r="E17" i="37"/>
  <c r="B17" i="37"/>
  <c r="K16" i="37"/>
  <c r="J16" i="37"/>
  <c r="I16" i="37"/>
  <c r="H16" i="37"/>
  <c r="G16" i="37"/>
  <c r="F16" i="37"/>
  <c r="E16" i="37"/>
  <c r="B16" i="37"/>
  <c r="K15" i="37"/>
  <c r="J15" i="37"/>
  <c r="I15" i="37"/>
  <c r="H15" i="37"/>
  <c r="G15" i="37"/>
  <c r="F15" i="37"/>
  <c r="E15" i="37"/>
  <c r="B15" i="37"/>
  <c r="K14" i="37"/>
  <c r="J14" i="37"/>
  <c r="I14" i="37"/>
  <c r="H14" i="37"/>
  <c r="G14" i="37"/>
  <c r="F14" i="37"/>
  <c r="E14" i="37"/>
  <c r="B14" i="37"/>
  <c r="K13" i="37"/>
  <c r="J13" i="37"/>
  <c r="I13" i="37"/>
  <c r="H13" i="37"/>
  <c r="G13" i="37"/>
  <c r="F13" i="37"/>
  <c r="E13" i="37"/>
  <c r="B13" i="37"/>
  <c r="K12" i="37"/>
  <c r="J12" i="37"/>
  <c r="I12" i="37"/>
  <c r="H12" i="37"/>
  <c r="G12" i="37"/>
  <c r="F12" i="37"/>
  <c r="E12" i="37"/>
  <c r="B12" i="37"/>
  <c r="K11" i="37"/>
  <c r="J11" i="37"/>
  <c r="I11" i="37"/>
  <c r="H11" i="37"/>
  <c r="G11" i="37"/>
  <c r="F11" i="37"/>
  <c r="E11" i="37"/>
  <c r="B11" i="37"/>
  <c r="K10" i="37"/>
  <c r="J10" i="37"/>
  <c r="I10" i="37"/>
  <c r="H10" i="37"/>
  <c r="G10" i="37"/>
  <c r="F10" i="37"/>
  <c r="E10" i="37"/>
  <c r="B10" i="37"/>
  <c r="K9" i="37"/>
  <c r="J9" i="37"/>
  <c r="I9" i="37"/>
  <c r="H9" i="37"/>
  <c r="G9" i="37"/>
  <c r="F9" i="37"/>
  <c r="E9" i="37"/>
  <c r="B9" i="37"/>
  <c r="K8" i="37"/>
  <c r="J8" i="37"/>
  <c r="I8" i="37"/>
  <c r="H8" i="37"/>
  <c r="G8" i="37"/>
  <c r="F8" i="37"/>
  <c r="E8" i="37"/>
  <c r="B8" i="37"/>
  <c r="K7" i="37"/>
  <c r="J7" i="37"/>
  <c r="I7" i="37"/>
  <c r="H7" i="37"/>
  <c r="G7" i="37"/>
  <c r="F7" i="37"/>
  <c r="E7" i="37"/>
  <c r="B7" i="37"/>
  <c r="K6" i="37"/>
  <c r="J6" i="37"/>
  <c r="I6" i="37"/>
  <c r="H6" i="37"/>
  <c r="G6" i="37"/>
  <c r="F6" i="37"/>
  <c r="E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F3" i="15" s="1"/>
  <c r="C4" i="16"/>
  <c r="C5" i="16"/>
  <c r="C6" i="16"/>
  <c r="C6" i="35"/>
  <c r="C7" i="37"/>
  <c r="O7" i="37" s="1"/>
  <c r="C7" i="16"/>
  <c r="C3" i="35" s="1"/>
  <c r="C8" i="16"/>
  <c r="C9" i="16"/>
  <c r="C10" i="16"/>
  <c r="C6" i="37" s="1"/>
  <c r="O6"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4" i="15"/>
  <c r="U2" i="15"/>
  <c r="U3" i="15"/>
  <c r="U7" i="15"/>
  <c r="B2" i="15"/>
  <c r="F9" i="33" l="1"/>
  <c r="F8" i="33"/>
  <c r="F6" i="33"/>
  <c r="F7" i="33"/>
  <c r="G7" i="33"/>
  <c r="G6" i="33"/>
  <c r="G8" i="33"/>
  <c r="G9" i="33"/>
  <c r="F14" i="15"/>
  <c r="C11" i="37"/>
  <c r="O11" i="37" s="1"/>
  <c r="H5" i="15"/>
  <c r="F4" i="15"/>
  <c r="F6" i="15"/>
  <c r="F5" i="15"/>
  <c r="C19" i="37"/>
  <c r="O19" i="37" s="1"/>
  <c r="H6" i="15"/>
  <c r="B1" i="50"/>
  <c r="B1" i="49"/>
  <c r="C10" i="37"/>
  <c r="O10" i="37" s="1"/>
  <c r="C14" i="37"/>
  <c r="O14" i="37" s="1"/>
  <c r="C18" i="37"/>
  <c r="O18" i="37" s="1"/>
  <c r="C9" i="37"/>
  <c r="O9" i="37" s="1"/>
  <c r="C13" i="37"/>
  <c r="O13" i="37" s="1"/>
  <c r="C17" i="37"/>
  <c r="O17" i="37" s="1"/>
  <c r="H13" i="15"/>
  <c r="C8" i="37"/>
  <c r="O8" i="37" s="1"/>
  <c r="C12" i="37"/>
  <c r="O12" i="37" s="1"/>
  <c r="C16" i="37"/>
  <c r="O16" i="37" s="1"/>
  <c r="C15" i="37"/>
  <c r="O15" i="37" s="1"/>
  <c r="F8" i="15"/>
  <c r="F9" i="15"/>
  <c r="H15" i="15"/>
  <c r="F7" i="15"/>
  <c r="F10" i="15"/>
  <c r="F18" i="15"/>
  <c r="F28" i="15"/>
  <c r="F40" i="15"/>
  <c r="F52" i="15"/>
  <c r="F64" i="15"/>
  <c r="H26" i="15"/>
  <c r="H38" i="15"/>
  <c r="H50" i="15"/>
  <c r="H62" i="15"/>
  <c r="F29" i="15"/>
  <c r="F41" i="15"/>
  <c r="F53" i="15"/>
  <c r="F65" i="15"/>
  <c r="H17" i="15"/>
  <c r="H27" i="15"/>
  <c r="H39" i="15"/>
  <c r="H51" i="15"/>
  <c r="H63" i="15"/>
  <c r="F42" i="15"/>
  <c r="F54" i="15"/>
  <c r="F66" i="15"/>
  <c r="H18" i="15"/>
  <c r="H28" i="15"/>
  <c r="H40" i="15"/>
  <c r="H64" i="15"/>
  <c r="F55" i="15"/>
  <c r="F67" i="15"/>
  <c r="H29" i="15"/>
  <c r="H53" i="15"/>
  <c r="H24" i="15"/>
  <c r="F17" i="15"/>
  <c r="F63" i="15"/>
  <c r="H37" i="15"/>
  <c r="F30" i="15"/>
  <c r="H52" i="15"/>
  <c r="H41" i="15"/>
  <c r="H36" i="15"/>
  <c r="F39" i="15"/>
  <c r="F19" i="15"/>
  <c r="F31" i="15"/>
  <c r="F43" i="15"/>
  <c r="H65" i="15"/>
  <c r="F27" i="15"/>
  <c r="H49" i="15"/>
  <c r="F20" i="15"/>
  <c r="F32" i="15"/>
  <c r="F44" i="15"/>
  <c r="F56" i="15"/>
  <c r="F68" i="15"/>
  <c r="H30" i="15"/>
  <c r="H42" i="15"/>
  <c r="H54" i="15"/>
  <c r="H66" i="15"/>
  <c r="F33" i="15"/>
  <c r="F45" i="15"/>
  <c r="F69" i="15"/>
  <c r="H31" i="15"/>
  <c r="H55" i="15"/>
  <c r="F22" i="15"/>
  <c r="F46" i="15"/>
  <c r="F58" i="15"/>
  <c r="H20" i="15"/>
  <c r="H32" i="15"/>
  <c r="H56" i="15"/>
  <c r="H23" i="15"/>
  <c r="F26" i="15"/>
  <c r="C26" i="15" s="1"/>
  <c r="F50" i="15"/>
  <c r="H60" i="15"/>
  <c r="F51" i="15"/>
  <c r="H61" i="15"/>
  <c r="F21" i="15"/>
  <c r="F57" i="15"/>
  <c r="H19" i="15"/>
  <c r="H43" i="15"/>
  <c r="H67" i="15"/>
  <c r="F34" i="15"/>
  <c r="H44" i="15"/>
  <c r="H68" i="15"/>
  <c r="H47" i="15"/>
  <c r="F38" i="15"/>
  <c r="H25" i="15"/>
  <c r="F23" i="15"/>
  <c r="F35" i="15"/>
  <c r="F47" i="15"/>
  <c r="F59" i="15"/>
  <c r="H21" i="15"/>
  <c r="H33" i="15"/>
  <c r="H45" i="15"/>
  <c r="H57" i="15"/>
  <c r="H69" i="15"/>
  <c r="F24" i="15"/>
  <c r="F36" i="15"/>
  <c r="F48" i="15"/>
  <c r="F60" i="15"/>
  <c r="H22" i="15"/>
  <c r="H34" i="15"/>
  <c r="H46" i="15"/>
  <c r="H58" i="15"/>
  <c r="F25" i="15"/>
  <c r="F37" i="15"/>
  <c r="F49" i="15"/>
  <c r="F61" i="15"/>
  <c r="H35" i="15"/>
  <c r="H59" i="15"/>
  <c r="F62" i="15"/>
  <c r="C62" i="15" s="1"/>
  <c r="H48" i="15"/>
  <c r="H14" i="15"/>
  <c r="F16" i="15"/>
  <c r="H12" i="15"/>
  <c r="F15" i="15"/>
  <c r="H16" i="15"/>
  <c r="F12" i="15"/>
  <c r="F13" i="15"/>
  <c r="H11" i="15"/>
  <c r="F11" i="15"/>
  <c r="H10"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O5" i="37" s="1"/>
  <c r="C4" i="37"/>
  <c r="O4" i="37"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21" i="33"/>
  <c r="G22" i="33"/>
  <c r="C11" i="33"/>
  <c r="C12" i="33"/>
  <c r="C18" i="33"/>
  <c r="C21" i="33"/>
  <c r="C22" i="33"/>
  <c r="F11" i="33"/>
  <c r="F22" i="33"/>
  <c r="F18" i="33"/>
  <c r="F12" i="33"/>
  <c r="F21" i="33"/>
  <c r="C8" i="35"/>
  <c r="C7" i="35"/>
  <c r="C3" i="37"/>
  <c r="O3" i="37" s="1"/>
  <c r="C2" i="37"/>
  <c r="O2" i="37" s="1"/>
  <c r="C4" i="35"/>
  <c r="C2" i="35"/>
  <c r="C5" i="35"/>
  <c r="B138" i="33"/>
  <c r="W138" i="33"/>
  <c r="B139" i="33"/>
  <c r="W139" i="33"/>
  <c r="B140" i="33"/>
  <c r="W140" i="33"/>
  <c r="B141" i="33"/>
  <c r="W141" i="33"/>
  <c r="B142" i="33"/>
  <c r="W142" i="33"/>
  <c r="B143" i="33"/>
  <c r="W143" i="33"/>
  <c r="B144" i="33"/>
  <c r="W144" i="33"/>
  <c r="B145" i="33"/>
  <c r="W145" i="33"/>
  <c r="B146" i="33"/>
  <c r="W146" i="33"/>
  <c r="B6" i="33"/>
  <c r="W6" i="33"/>
  <c r="B3" i="33"/>
  <c r="W3" i="33"/>
  <c r="B4" i="33"/>
  <c r="W4" i="33"/>
  <c r="B147" i="33"/>
  <c r="W147" i="33"/>
  <c r="B148" i="33"/>
  <c r="W148" i="33"/>
  <c r="B149" i="33"/>
  <c r="W149" i="33"/>
  <c r="B2" i="33"/>
  <c r="W2" i="33"/>
  <c r="B5" i="33"/>
  <c r="W5" i="33"/>
  <c r="B9" i="33"/>
  <c r="W9" i="33"/>
  <c r="B10" i="33"/>
  <c r="W10" i="33"/>
  <c r="B11" i="33"/>
  <c r="W11" i="33"/>
  <c r="B12" i="33"/>
  <c r="W12" i="33"/>
  <c r="B13" i="33"/>
  <c r="W13" i="33"/>
  <c r="B14" i="33"/>
  <c r="W14" i="33"/>
  <c r="B15" i="33"/>
  <c r="W15" i="33"/>
  <c r="B16" i="33"/>
  <c r="W16" i="33"/>
  <c r="B17" i="33"/>
  <c r="W17" i="33"/>
  <c r="B18" i="33"/>
  <c r="W18" i="33"/>
  <c r="B21" i="33"/>
  <c r="W21" i="33"/>
  <c r="B22" i="33"/>
  <c r="W22" i="33"/>
  <c r="B23" i="33"/>
  <c r="I23" i="33"/>
  <c r="W23" i="33"/>
  <c r="B24" i="33"/>
  <c r="I24" i="33"/>
  <c r="W24" i="33"/>
  <c r="B25" i="33"/>
  <c r="I25" i="33"/>
  <c r="W25" i="33"/>
  <c r="B26" i="33"/>
  <c r="I26" i="33"/>
  <c r="W26" i="33"/>
  <c r="B27" i="33"/>
  <c r="I27" i="33"/>
  <c r="W27" i="33"/>
  <c r="B28" i="33"/>
  <c r="I28" i="33"/>
  <c r="W28" i="33"/>
  <c r="B29" i="33"/>
  <c r="I29" i="33"/>
  <c r="W29" i="33"/>
  <c r="B30" i="33"/>
  <c r="I30" i="33"/>
  <c r="W30" i="33"/>
  <c r="B31" i="33"/>
  <c r="I31" i="33"/>
  <c r="W31" i="33"/>
  <c r="B32" i="33"/>
  <c r="I32" i="33"/>
  <c r="W32" i="33"/>
  <c r="B33" i="33"/>
  <c r="I33" i="33"/>
  <c r="W33" i="33"/>
  <c r="B34" i="33"/>
  <c r="I34" i="33"/>
  <c r="W34" i="33"/>
  <c r="B35" i="33"/>
  <c r="I35" i="33"/>
  <c r="W35" i="33"/>
  <c r="B36" i="33"/>
  <c r="I36" i="33"/>
  <c r="W36" i="33"/>
  <c r="B37" i="33"/>
  <c r="I37" i="33"/>
  <c r="W37" i="33"/>
  <c r="B38" i="33"/>
  <c r="I38" i="33"/>
  <c r="W38" i="33"/>
  <c r="B39" i="33"/>
  <c r="I39" i="33"/>
  <c r="W39" i="33"/>
  <c r="B40" i="33"/>
  <c r="I40" i="33"/>
  <c r="W40" i="33"/>
  <c r="B41" i="33"/>
  <c r="I41" i="33"/>
  <c r="W41" i="33"/>
  <c r="B42" i="33"/>
  <c r="I42" i="33"/>
  <c r="W42" i="33"/>
  <c r="B43" i="33"/>
  <c r="I43" i="33"/>
  <c r="W43" i="33"/>
  <c r="B44" i="33"/>
  <c r="I44" i="33"/>
  <c r="W44" i="33"/>
  <c r="B45" i="33"/>
  <c r="I45" i="33"/>
  <c r="W45" i="33"/>
  <c r="B46" i="33"/>
  <c r="I46" i="33"/>
  <c r="W46" i="33"/>
  <c r="B47" i="33"/>
  <c r="I47" i="33"/>
  <c r="W47" i="33"/>
  <c r="B48" i="33"/>
  <c r="I48" i="33"/>
  <c r="W48" i="33"/>
  <c r="B49" i="33"/>
  <c r="I49" i="33"/>
  <c r="W49" i="33"/>
  <c r="B50" i="33"/>
  <c r="I50" i="33"/>
  <c r="W50" i="33"/>
  <c r="B51" i="33"/>
  <c r="I51" i="33"/>
  <c r="W51" i="33"/>
  <c r="B52" i="33"/>
  <c r="I52" i="33"/>
  <c r="W52" i="33"/>
  <c r="B53" i="33"/>
  <c r="I53" i="33"/>
  <c r="W53" i="33"/>
  <c r="B54" i="33"/>
  <c r="I54" i="33"/>
  <c r="W54" i="33"/>
  <c r="B55" i="33"/>
  <c r="I55" i="33"/>
  <c r="W55" i="33"/>
  <c r="B56" i="33"/>
  <c r="I56" i="33"/>
  <c r="W56" i="33"/>
  <c r="B57" i="33"/>
  <c r="I57" i="33"/>
  <c r="W57" i="33"/>
  <c r="B58" i="33"/>
  <c r="I58" i="33"/>
  <c r="W58" i="33"/>
  <c r="B59" i="33"/>
  <c r="I59" i="33"/>
  <c r="W59" i="33"/>
  <c r="B60" i="33"/>
  <c r="I60" i="33"/>
  <c r="W60" i="33"/>
  <c r="B61" i="33"/>
  <c r="I61" i="33"/>
  <c r="B62" i="33"/>
  <c r="I62" i="33"/>
  <c r="B63" i="33"/>
  <c r="I63" i="33"/>
  <c r="B64" i="33"/>
  <c r="I64" i="33"/>
  <c r="B65" i="33"/>
  <c r="I65" i="33"/>
  <c r="B66" i="33"/>
  <c r="I66" i="33"/>
  <c r="B67" i="33"/>
  <c r="I67" i="33"/>
  <c r="B68" i="33"/>
  <c r="I68" i="33"/>
  <c r="B69" i="33"/>
  <c r="I69" i="33"/>
  <c r="B70" i="33"/>
  <c r="I70" i="33"/>
  <c r="B71" i="33"/>
  <c r="I71" i="33"/>
  <c r="B72" i="33"/>
  <c r="I72" i="33"/>
  <c r="B73" i="33"/>
  <c r="I73" i="33"/>
  <c r="B74" i="33"/>
  <c r="I74" i="33"/>
  <c r="B75" i="33"/>
  <c r="I75" i="33"/>
  <c r="B76" i="33"/>
  <c r="I76" i="33"/>
  <c r="B77" i="33"/>
  <c r="I77" i="33"/>
  <c r="B78" i="33"/>
  <c r="I78" i="33"/>
  <c r="B79" i="33"/>
  <c r="I79" i="33"/>
  <c r="B80" i="33"/>
  <c r="I80" i="33"/>
  <c r="B81" i="33"/>
  <c r="I81" i="33"/>
  <c r="B82" i="33"/>
  <c r="I82" i="33"/>
  <c r="B83" i="33"/>
  <c r="I83" i="33"/>
  <c r="B84" i="33"/>
  <c r="I84" i="33"/>
  <c r="B85" i="33"/>
  <c r="I85" i="33"/>
  <c r="B86" i="33"/>
  <c r="I86" i="33"/>
  <c r="W86" i="33"/>
  <c r="B87" i="33"/>
  <c r="I87" i="33"/>
  <c r="W87" i="33"/>
  <c r="B88" i="33"/>
  <c r="I88" i="33"/>
  <c r="W88" i="33"/>
  <c r="B89" i="33"/>
  <c r="I89" i="33"/>
  <c r="W89" i="33"/>
  <c r="B90" i="33"/>
  <c r="I90" i="33"/>
  <c r="W90" i="33"/>
  <c r="B91" i="33"/>
  <c r="I91" i="33"/>
  <c r="W91" i="33"/>
  <c r="B92" i="33"/>
  <c r="I92" i="33"/>
  <c r="W92" i="33"/>
  <c r="B93" i="33"/>
  <c r="I93" i="33"/>
  <c r="W93" i="33"/>
  <c r="B94" i="33"/>
  <c r="I94" i="33"/>
  <c r="W94" i="33"/>
  <c r="B95" i="33"/>
  <c r="I95" i="33"/>
  <c r="W95" i="33"/>
  <c r="B96" i="33"/>
  <c r="I96" i="33"/>
  <c r="W96" i="33"/>
  <c r="B97" i="33"/>
  <c r="I97" i="33"/>
  <c r="W97" i="33"/>
  <c r="B98" i="33"/>
  <c r="I98" i="33"/>
  <c r="W98" i="33"/>
  <c r="B99" i="33"/>
  <c r="I99" i="33"/>
  <c r="W99" i="33"/>
  <c r="B100" i="33"/>
  <c r="I100" i="33"/>
  <c r="W100" i="33"/>
  <c r="B101" i="33"/>
  <c r="I101" i="33"/>
  <c r="W101" i="33"/>
  <c r="B102" i="33"/>
  <c r="I102" i="33"/>
  <c r="W102" i="33"/>
  <c r="B103" i="33"/>
  <c r="I103" i="33"/>
  <c r="W103" i="33"/>
  <c r="B104" i="33"/>
  <c r="I104" i="33"/>
  <c r="W104" i="33"/>
  <c r="B105" i="33"/>
  <c r="I105" i="33"/>
  <c r="W105" i="33"/>
  <c r="B106" i="33"/>
  <c r="I106" i="33"/>
  <c r="W106" i="33"/>
  <c r="B107" i="33"/>
  <c r="I107" i="33"/>
  <c r="W107" i="33"/>
  <c r="B108" i="33"/>
  <c r="I108" i="33"/>
  <c r="W108" i="33"/>
  <c r="B109" i="33"/>
  <c r="I109" i="33"/>
  <c r="W109" i="33"/>
  <c r="B110" i="33"/>
  <c r="I110" i="33"/>
  <c r="W110" i="33"/>
  <c r="B111" i="33"/>
  <c r="I111" i="33"/>
  <c r="W111" i="33"/>
  <c r="B112" i="33"/>
  <c r="I112" i="33"/>
  <c r="W112" i="33"/>
  <c r="B113" i="33"/>
  <c r="I113" i="33"/>
  <c r="W113" i="33"/>
  <c r="B114" i="33"/>
  <c r="I114" i="33"/>
  <c r="W114" i="33"/>
  <c r="B115" i="33"/>
  <c r="I115" i="33"/>
  <c r="W115" i="33"/>
  <c r="B116" i="33"/>
  <c r="I116" i="33"/>
  <c r="W116" i="33"/>
  <c r="B117" i="33"/>
  <c r="I117" i="33"/>
  <c r="W117" i="33"/>
  <c r="B118" i="33"/>
  <c r="I118" i="33"/>
  <c r="W118" i="33"/>
  <c r="B119" i="33"/>
  <c r="I119" i="33"/>
  <c r="W119" i="33"/>
  <c r="B120" i="33"/>
  <c r="I120" i="33"/>
  <c r="W120" i="33"/>
  <c r="B121" i="33"/>
  <c r="I121" i="33"/>
  <c r="W121" i="33"/>
  <c r="B122" i="33"/>
  <c r="I122" i="33"/>
  <c r="W122" i="33"/>
  <c r="B123" i="33"/>
  <c r="I123" i="33"/>
  <c r="W123" i="33"/>
  <c r="B124" i="33"/>
  <c r="I124" i="33"/>
  <c r="W124" i="33"/>
  <c r="B125" i="33"/>
  <c r="I125" i="33"/>
  <c r="W125" i="33"/>
  <c r="B126" i="33"/>
  <c r="I126" i="33"/>
  <c r="W126" i="33"/>
  <c r="B127" i="33"/>
  <c r="I127" i="33"/>
  <c r="W127" i="33"/>
  <c r="B128" i="33"/>
  <c r="I128" i="33"/>
  <c r="W128" i="33"/>
  <c r="B129" i="33"/>
  <c r="I129" i="33"/>
  <c r="W129" i="33"/>
  <c r="B130" i="33"/>
  <c r="I130" i="33"/>
  <c r="W130" i="33"/>
  <c r="B131" i="33"/>
  <c r="I131" i="33"/>
  <c r="W131" i="33"/>
  <c r="B132" i="33"/>
  <c r="I132" i="33"/>
  <c r="W132" i="33"/>
  <c r="B133" i="33"/>
  <c r="I133" i="33"/>
  <c r="W133" i="33"/>
  <c r="B134" i="33"/>
  <c r="I134" i="33"/>
  <c r="W134" i="33"/>
  <c r="B135" i="33"/>
  <c r="I135" i="33"/>
  <c r="W135" i="33"/>
  <c r="B136" i="33"/>
  <c r="I136" i="33"/>
  <c r="W136" i="33"/>
  <c r="B137" i="33"/>
  <c r="I137" i="33"/>
  <c r="W137" i="33"/>
  <c r="B8" i="33"/>
  <c r="W8" i="33"/>
  <c r="W7" i="33"/>
  <c r="B7" i="33"/>
  <c r="C14" i="15" l="1"/>
  <c r="Q49" i="33"/>
  <c r="O49" i="33"/>
  <c r="Q129" i="33"/>
  <c r="O129" i="33"/>
  <c r="Q93" i="33"/>
  <c r="O93" i="33"/>
  <c r="Q73" i="33"/>
  <c r="O73" i="33"/>
  <c r="Q25" i="33"/>
  <c r="O25" i="33"/>
  <c r="Q125" i="33"/>
  <c r="O125" i="33"/>
  <c r="Q89" i="33"/>
  <c r="O89" i="33"/>
  <c r="Q84" i="33"/>
  <c r="O84" i="33"/>
  <c r="Q78" i="33"/>
  <c r="O78" i="33"/>
  <c r="Q72" i="33"/>
  <c r="O72" i="33"/>
  <c r="Q66" i="33"/>
  <c r="O66" i="33"/>
  <c r="Q79" i="33"/>
  <c r="O79" i="33"/>
  <c r="Q37" i="33"/>
  <c r="O37" i="33"/>
  <c r="Q121" i="33"/>
  <c r="O121" i="33"/>
  <c r="Q60" i="33"/>
  <c r="O60" i="33"/>
  <c r="Q56" i="33"/>
  <c r="O56" i="33"/>
  <c r="O52" i="33"/>
  <c r="Q52" i="33"/>
  <c r="Q48" i="33"/>
  <c r="O48" i="33"/>
  <c r="Q44" i="33"/>
  <c r="O44" i="33"/>
  <c r="O40" i="33"/>
  <c r="Q40" i="33"/>
  <c r="Q36" i="33"/>
  <c r="O36" i="33"/>
  <c r="Q32" i="33"/>
  <c r="O32" i="33"/>
  <c r="O28" i="33"/>
  <c r="Q28" i="33"/>
  <c r="Q24" i="33"/>
  <c r="O24" i="33"/>
  <c r="Q45" i="33"/>
  <c r="O45" i="33"/>
  <c r="Q109" i="33"/>
  <c r="O109" i="33"/>
  <c r="O136" i="33"/>
  <c r="Q136" i="33"/>
  <c r="Q128" i="33"/>
  <c r="O128" i="33"/>
  <c r="Q120" i="33"/>
  <c r="O120" i="33"/>
  <c r="O112" i="33"/>
  <c r="Q112" i="33"/>
  <c r="Q104" i="33"/>
  <c r="O104" i="33"/>
  <c r="Q96" i="33"/>
  <c r="O96" i="33"/>
  <c r="O88" i="33"/>
  <c r="Q88" i="33"/>
  <c r="Q77" i="33"/>
  <c r="O77" i="33"/>
  <c r="Q65" i="33"/>
  <c r="O65" i="33"/>
  <c r="Q67" i="33"/>
  <c r="O67" i="33"/>
  <c r="Q33" i="33"/>
  <c r="O33" i="33"/>
  <c r="Q113" i="33"/>
  <c r="O113" i="33"/>
  <c r="Q132" i="33"/>
  <c r="O132" i="33"/>
  <c r="O124" i="33"/>
  <c r="Q124" i="33"/>
  <c r="Q116" i="33"/>
  <c r="O116" i="33"/>
  <c r="Q108" i="33"/>
  <c r="O108" i="33"/>
  <c r="O100" i="33"/>
  <c r="Q100" i="33"/>
  <c r="Q92" i="33"/>
  <c r="O92" i="33"/>
  <c r="Q83" i="33"/>
  <c r="O83" i="33"/>
  <c r="Q71" i="33"/>
  <c r="O71" i="33"/>
  <c r="Q137" i="33"/>
  <c r="O137" i="33"/>
  <c r="Q117" i="33"/>
  <c r="O117" i="33"/>
  <c r="O76" i="33"/>
  <c r="Q76" i="33"/>
  <c r="Q59" i="33"/>
  <c r="O59" i="33"/>
  <c r="Q55" i="33"/>
  <c r="O55" i="33"/>
  <c r="Q51" i="33"/>
  <c r="O51" i="33"/>
  <c r="Q47" i="33"/>
  <c r="O47" i="33"/>
  <c r="Q43" i="33"/>
  <c r="O43" i="33"/>
  <c r="Q39" i="33"/>
  <c r="O39" i="33"/>
  <c r="Q35" i="33"/>
  <c r="O35" i="33"/>
  <c r="Q31" i="33"/>
  <c r="O31" i="33"/>
  <c r="Q27" i="33"/>
  <c r="O27" i="33"/>
  <c r="Q23" i="33"/>
  <c r="O23" i="33"/>
  <c r="Q61" i="33"/>
  <c r="O61" i="33"/>
  <c r="Q29" i="33"/>
  <c r="O29" i="33"/>
  <c r="Q133" i="33"/>
  <c r="O133" i="33"/>
  <c r="Q97" i="33"/>
  <c r="O97" i="33"/>
  <c r="Q82" i="33"/>
  <c r="O82" i="33"/>
  <c r="O64" i="33"/>
  <c r="Q64" i="33"/>
  <c r="Q131" i="33"/>
  <c r="O131" i="33"/>
  <c r="Q123" i="33"/>
  <c r="O123" i="33"/>
  <c r="Q115" i="33"/>
  <c r="O115" i="33"/>
  <c r="Q107" i="33"/>
  <c r="O107" i="33"/>
  <c r="Q103" i="33"/>
  <c r="O103" i="33"/>
  <c r="Q99" i="33"/>
  <c r="O99" i="33"/>
  <c r="Q95" i="33"/>
  <c r="O95" i="33"/>
  <c r="Q91" i="33"/>
  <c r="O91" i="33"/>
  <c r="Q87" i="33"/>
  <c r="O87" i="33"/>
  <c r="Q85" i="33"/>
  <c r="O85" i="33"/>
  <c r="Q41" i="33"/>
  <c r="O41" i="33"/>
  <c r="Q105" i="33"/>
  <c r="O105" i="33"/>
  <c r="Q70" i="33"/>
  <c r="O70" i="33"/>
  <c r="Q135" i="33"/>
  <c r="O135" i="33"/>
  <c r="Q127" i="33"/>
  <c r="O127" i="33"/>
  <c r="Q119" i="33"/>
  <c r="O119" i="33"/>
  <c r="Q111" i="33"/>
  <c r="O111" i="33"/>
  <c r="Q81" i="33"/>
  <c r="O81" i="33"/>
  <c r="Q75" i="33"/>
  <c r="O75" i="33"/>
  <c r="Q69" i="33"/>
  <c r="O69" i="33"/>
  <c r="Q63" i="33"/>
  <c r="O63" i="33"/>
  <c r="Q53" i="33"/>
  <c r="O53" i="33"/>
  <c r="Q101" i="33"/>
  <c r="O101" i="33"/>
  <c r="Q58" i="33"/>
  <c r="O58" i="33"/>
  <c r="Q54" i="33"/>
  <c r="O54" i="33"/>
  <c r="Q50" i="33"/>
  <c r="O50" i="33"/>
  <c r="Q46" i="33"/>
  <c r="O46" i="33"/>
  <c r="Q42" i="33"/>
  <c r="O42" i="33"/>
  <c r="Q38" i="33"/>
  <c r="O38" i="33"/>
  <c r="Q34" i="33"/>
  <c r="O34" i="33"/>
  <c r="Q30" i="33"/>
  <c r="O30" i="33"/>
  <c r="Q26" i="33"/>
  <c r="O26" i="33"/>
  <c r="Q57" i="33"/>
  <c r="O57" i="33"/>
  <c r="Q134" i="33"/>
  <c r="O134" i="33"/>
  <c r="Q130" i="33"/>
  <c r="O130" i="33"/>
  <c r="Q126" i="33"/>
  <c r="O126" i="33"/>
  <c r="Q122" i="33"/>
  <c r="O122" i="33"/>
  <c r="Q118" i="33"/>
  <c r="O118" i="33"/>
  <c r="Q114" i="33"/>
  <c r="O114" i="33"/>
  <c r="Q110" i="33"/>
  <c r="O110" i="33"/>
  <c r="Q106" i="33"/>
  <c r="O106" i="33"/>
  <c r="Q102" i="33"/>
  <c r="O102" i="33"/>
  <c r="Q98" i="33"/>
  <c r="O98" i="33"/>
  <c r="Q94" i="33"/>
  <c r="O94" i="33"/>
  <c r="Q90" i="33"/>
  <c r="O90" i="33"/>
  <c r="Q86" i="33"/>
  <c r="O86" i="33"/>
  <c r="Q80" i="33"/>
  <c r="O80" i="33"/>
  <c r="Q74" i="33"/>
  <c r="O74" i="33"/>
  <c r="Q68" i="33"/>
  <c r="O68" i="33"/>
  <c r="Q62" i="33"/>
  <c r="O62" i="33"/>
  <c r="K118" i="33"/>
  <c r="M118" i="33"/>
  <c r="K74" i="33"/>
  <c r="M74" i="33"/>
  <c r="K134" i="33"/>
  <c r="M134" i="33"/>
  <c r="K106" i="33"/>
  <c r="M106" i="33"/>
  <c r="K86" i="33"/>
  <c r="M86" i="33"/>
  <c r="K85" i="33"/>
  <c r="M85" i="33"/>
  <c r="M67" i="33"/>
  <c r="K67" i="33"/>
  <c r="K57" i="33"/>
  <c r="M57" i="33"/>
  <c r="M53" i="33"/>
  <c r="K53" i="33"/>
  <c r="K49" i="33"/>
  <c r="M49" i="33"/>
  <c r="K45" i="33"/>
  <c r="M45" i="33"/>
  <c r="M41" i="33"/>
  <c r="K41" i="33"/>
  <c r="K37" i="33"/>
  <c r="M37" i="33"/>
  <c r="K33" i="33"/>
  <c r="M33" i="33"/>
  <c r="M29" i="33"/>
  <c r="K29" i="33"/>
  <c r="K25" i="33"/>
  <c r="M25" i="33"/>
  <c r="K130" i="33"/>
  <c r="M130" i="33"/>
  <c r="K102" i="33"/>
  <c r="M102" i="33"/>
  <c r="M80" i="33"/>
  <c r="K80" i="33"/>
  <c r="M79" i="33"/>
  <c r="K79" i="33"/>
  <c r="K61" i="33"/>
  <c r="M61" i="33"/>
  <c r="K129" i="33"/>
  <c r="M129" i="33"/>
  <c r="K121" i="33"/>
  <c r="M121" i="33"/>
  <c r="K117" i="33"/>
  <c r="M117" i="33"/>
  <c r="M113" i="33"/>
  <c r="K113" i="33"/>
  <c r="K109" i="33"/>
  <c r="M109" i="33"/>
  <c r="K105" i="33"/>
  <c r="M105" i="33"/>
  <c r="K101" i="33"/>
  <c r="M101" i="33"/>
  <c r="K97" i="33"/>
  <c r="M97" i="33"/>
  <c r="K93" i="33"/>
  <c r="M93" i="33"/>
  <c r="M89" i="33"/>
  <c r="K89" i="33"/>
  <c r="K110" i="33"/>
  <c r="M110" i="33"/>
  <c r="K90" i="33"/>
  <c r="M90" i="33"/>
  <c r="K73" i="33"/>
  <c r="M73" i="33"/>
  <c r="M137" i="33"/>
  <c r="K137" i="33"/>
  <c r="K133" i="33"/>
  <c r="M133" i="33"/>
  <c r="M125" i="33"/>
  <c r="K125" i="33"/>
  <c r="K84" i="33"/>
  <c r="M84" i="33"/>
  <c r="K78" i="33"/>
  <c r="M78" i="33"/>
  <c r="K72" i="33"/>
  <c r="M72" i="33"/>
  <c r="K66" i="33"/>
  <c r="M66" i="33"/>
  <c r="K60" i="33"/>
  <c r="M60" i="33"/>
  <c r="M56" i="33"/>
  <c r="K56" i="33"/>
  <c r="K52" i="33"/>
  <c r="M52" i="33"/>
  <c r="K48" i="33"/>
  <c r="M48" i="33"/>
  <c r="M44" i="33"/>
  <c r="K44" i="33"/>
  <c r="M40" i="33"/>
  <c r="K40" i="33"/>
  <c r="K36" i="33"/>
  <c r="M36" i="33"/>
  <c r="M32" i="33"/>
  <c r="K32" i="33"/>
  <c r="M28" i="33"/>
  <c r="K28" i="33"/>
  <c r="K24" i="33"/>
  <c r="M24" i="33"/>
  <c r="M124" i="33"/>
  <c r="K124" i="33"/>
  <c r="M116" i="33"/>
  <c r="K116" i="33"/>
  <c r="K108" i="33"/>
  <c r="M108" i="33"/>
  <c r="M100" i="33"/>
  <c r="K100" i="33"/>
  <c r="M92" i="33"/>
  <c r="K92" i="33"/>
  <c r="K83" i="33"/>
  <c r="M83" i="33"/>
  <c r="M77" i="33"/>
  <c r="K77" i="33"/>
  <c r="K76" i="33"/>
  <c r="M76" i="33"/>
  <c r="K59" i="33"/>
  <c r="M59" i="33"/>
  <c r="M55" i="33"/>
  <c r="K55" i="33"/>
  <c r="K51" i="33"/>
  <c r="M51" i="33"/>
  <c r="K47" i="33"/>
  <c r="M47" i="33"/>
  <c r="M43" i="33"/>
  <c r="K43" i="33"/>
  <c r="K39" i="33"/>
  <c r="M39" i="33"/>
  <c r="K35" i="33"/>
  <c r="M35" i="33"/>
  <c r="M31" i="33"/>
  <c r="K31" i="33"/>
  <c r="K27" i="33"/>
  <c r="M27" i="33"/>
  <c r="K23" i="33"/>
  <c r="M23" i="33"/>
  <c r="K122" i="33"/>
  <c r="M122" i="33"/>
  <c r="K94" i="33"/>
  <c r="M94" i="33"/>
  <c r="M68" i="33"/>
  <c r="K68" i="33"/>
  <c r="K132" i="33"/>
  <c r="M132" i="33"/>
  <c r="K71" i="33"/>
  <c r="M71" i="33"/>
  <c r="M64" i="33"/>
  <c r="K64" i="33"/>
  <c r="M127" i="33"/>
  <c r="K127" i="33"/>
  <c r="K119" i="33"/>
  <c r="M119" i="33"/>
  <c r="K111" i="33"/>
  <c r="M111" i="33"/>
  <c r="M103" i="33"/>
  <c r="K103" i="33"/>
  <c r="K99" i="33"/>
  <c r="M99" i="33"/>
  <c r="K95" i="33"/>
  <c r="M95" i="33"/>
  <c r="M91" i="33"/>
  <c r="K91" i="33"/>
  <c r="K87" i="33"/>
  <c r="M87" i="33"/>
  <c r="K126" i="33"/>
  <c r="M126" i="33"/>
  <c r="K98" i="33"/>
  <c r="M98" i="33"/>
  <c r="K62" i="33"/>
  <c r="M62" i="33"/>
  <c r="M136" i="33"/>
  <c r="K136" i="33"/>
  <c r="M128" i="33"/>
  <c r="K128" i="33"/>
  <c r="K120" i="33"/>
  <c r="M120" i="33"/>
  <c r="M112" i="33"/>
  <c r="K112" i="33"/>
  <c r="M104" i="33"/>
  <c r="K104" i="33"/>
  <c r="K96" i="33"/>
  <c r="M96" i="33"/>
  <c r="M88" i="33"/>
  <c r="K88" i="33"/>
  <c r="M65" i="33"/>
  <c r="K65" i="33"/>
  <c r="K70" i="33"/>
  <c r="M70" i="33"/>
  <c r="K131" i="33"/>
  <c r="M131" i="33"/>
  <c r="K123" i="33"/>
  <c r="M123" i="33"/>
  <c r="M115" i="33"/>
  <c r="K115" i="33"/>
  <c r="K107" i="33"/>
  <c r="M107" i="33"/>
  <c r="K81" i="33"/>
  <c r="M81" i="33"/>
  <c r="K75" i="33"/>
  <c r="M75" i="33"/>
  <c r="K69" i="33"/>
  <c r="M69" i="33"/>
  <c r="K63" i="33"/>
  <c r="M63" i="33"/>
  <c r="K82" i="33"/>
  <c r="M82" i="33"/>
  <c r="K135" i="33"/>
  <c r="M135" i="33"/>
  <c r="K58" i="33"/>
  <c r="M58" i="33"/>
  <c r="K54" i="33"/>
  <c r="M54" i="33"/>
  <c r="K50" i="33"/>
  <c r="M50" i="33"/>
  <c r="K46" i="33"/>
  <c r="M46" i="33"/>
  <c r="K42" i="33"/>
  <c r="M42" i="33"/>
  <c r="K38" i="33"/>
  <c r="M38" i="33"/>
  <c r="K34" i="33"/>
  <c r="M34" i="33"/>
  <c r="K30" i="33"/>
  <c r="M30" i="33"/>
  <c r="K26" i="33"/>
  <c r="M26" i="33"/>
  <c r="K114" i="33"/>
  <c r="M114" i="33"/>
  <c r="C34" i="15"/>
  <c r="L34" i="15" s="1"/>
  <c r="C5" i="15"/>
  <c r="C61" i="15"/>
  <c r="L61" i="15" s="1"/>
  <c r="C25" i="15"/>
  <c r="O25" i="15" s="1"/>
  <c r="C6" i="15"/>
  <c r="C37" i="15"/>
  <c r="R37" i="15" s="1"/>
  <c r="R26" i="15"/>
  <c r="L26" i="15"/>
  <c r="O26" i="15"/>
  <c r="C39" i="15"/>
  <c r="R14" i="15"/>
  <c r="L14" i="15"/>
  <c r="O14" i="15"/>
  <c r="R62" i="15"/>
  <c r="L62" i="15"/>
  <c r="O62" i="15"/>
  <c r="C36" i="15"/>
  <c r="C17" i="15"/>
  <c r="C18" i="15"/>
  <c r="C11" i="15"/>
  <c r="C31" i="15"/>
  <c r="C49" i="15"/>
  <c r="C64" i="15"/>
  <c r="C55" i="15"/>
  <c r="C50" i="15"/>
  <c r="C59" i="15"/>
  <c r="C58" i="15"/>
  <c r="C35" i="15"/>
  <c r="C21" i="15"/>
  <c r="C60" i="15"/>
  <c r="C15" i="15"/>
  <c r="C13" i="15"/>
  <c r="C12" i="15"/>
  <c r="C43" i="15"/>
  <c r="C19" i="15"/>
  <c r="C67" i="15"/>
  <c r="C52" i="15"/>
  <c r="C40" i="15"/>
  <c r="C16" i="15"/>
  <c r="C47" i="15"/>
  <c r="C57" i="15"/>
  <c r="C46" i="15"/>
  <c r="C68" i="15"/>
  <c r="C28" i="15"/>
  <c r="C65" i="15"/>
  <c r="C22" i="15"/>
  <c r="C23" i="15"/>
  <c r="C44" i="15"/>
  <c r="C53" i="15"/>
  <c r="C10" i="15"/>
  <c r="C48" i="15"/>
  <c r="C51" i="15"/>
  <c r="C32" i="15"/>
  <c r="C30" i="15"/>
  <c r="C41" i="15"/>
  <c r="C56" i="15"/>
  <c r="C38" i="15"/>
  <c r="C69" i="15"/>
  <c r="C20" i="15"/>
  <c r="C66" i="15"/>
  <c r="C29" i="15"/>
  <c r="C24" i="15"/>
  <c r="C45" i="15"/>
  <c r="C63" i="15"/>
  <c r="C54" i="15"/>
  <c r="C33" i="15"/>
  <c r="C27" i="15"/>
  <c r="C42" i="15"/>
  <c r="T60" i="33"/>
  <c r="T30" i="33"/>
  <c r="T97" i="33"/>
  <c r="T75" i="33"/>
  <c r="T32" i="33"/>
  <c r="T98" i="33"/>
  <c r="T132" i="33"/>
  <c r="T86" i="33"/>
  <c r="T115" i="33"/>
  <c r="T106" i="33"/>
  <c r="T73" i="33"/>
  <c r="T52" i="33"/>
  <c r="T37" i="33"/>
  <c r="A20" i="48"/>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T82" i="33"/>
  <c r="T102" i="33"/>
  <c r="T57" i="33"/>
  <c r="T39" i="33"/>
  <c r="T25" i="33"/>
  <c r="T114" i="33"/>
  <c r="T91" i="33"/>
  <c r="T131" i="33"/>
  <c r="T81" i="33"/>
  <c r="T101" i="33"/>
  <c r="T42" i="33"/>
  <c r="T56" i="33"/>
  <c r="T35" i="33"/>
  <c r="T112" i="33"/>
  <c r="T90" i="33"/>
  <c r="T71" i="33"/>
  <c r="T48" i="33"/>
  <c r="T24" i="33"/>
  <c r="T36" i="33"/>
  <c r="T104" i="33"/>
  <c r="T69" i="33"/>
  <c r="T111" i="33"/>
  <c r="T70" i="33"/>
  <c r="T103" i="33"/>
  <c r="T137" i="33"/>
  <c r="T85" i="33"/>
  <c r="T80" i="33"/>
  <c r="T105" i="33"/>
  <c r="T88" i="33"/>
  <c r="T29" i="33"/>
  <c r="T47" i="33"/>
  <c r="T84" i="33"/>
  <c r="T127" i="33"/>
  <c r="T93" i="33"/>
  <c r="T50" i="33"/>
  <c r="T107" i="33"/>
  <c r="T99" i="33"/>
  <c r="T95" i="33"/>
  <c r="T66" i="33"/>
  <c r="T43" i="33"/>
  <c r="T31" i="33"/>
  <c r="T108" i="33"/>
  <c r="T65" i="33"/>
  <c r="W61" i="33"/>
  <c r="T59" i="33"/>
  <c r="T45" i="33"/>
  <c r="T126" i="33"/>
  <c r="T94" i="33"/>
  <c r="T51" i="33"/>
  <c r="T109" i="33"/>
  <c r="T78" i="33"/>
  <c r="T113" i="33"/>
  <c r="T110" i="33"/>
  <c r="T87" i="33"/>
  <c r="T62" i="33"/>
  <c r="T61" i="33"/>
  <c r="T34" i="33"/>
  <c r="T44" i="33"/>
  <c r="T124" i="33"/>
  <c r="T77" i="33"/>
  <c r="T46" i="33"/>
  <c r="T26" i="33"/>
  <c r="T23" i="33"/>
  <c r="T125" i="33"/>
  <c r="T120" i="33"/>
  <c r="T128" i="33"/>
  <c r="T38" i="33"/>
  <c r="T129" i="33"/>
  <c r="T33" i="33"/>
  <c r="T130" i="33"/>
  <c r="T89" i="33"/>
  <c r="T74" i="33"/>
  <c r="T54" i="33"/>
  <c r="T53" i="33"/>
  <c r="T133" i="33"/>
  <c r="T117" i="33"/>
  <c r="T116" i="33"/>
  <c r="T55" i="33"/>
  <c r="T123" i="33"/>
  <c r="T119" i="33"/>
  <c r="T100" i="33"/>
  <c r="T96" i="33"/>
  <c r="T122" i="33"/>
  <c r="T121" i="33"/>
  <c r="T118" i="33"/>
  <c r="T92" i="33"/>
  <c r="T79" i="33"/>
  <c r="T41" i="33"/>
  <c r="T28" i="33"/>
  <c r="T40" i="33"/>
  <c r="T27" i="33"/>
  <c r="T49" i="33"/>
  <c r="T135" i="33"/>
  <c r="T67" i="33"/>
  <c r="T83" i="33"/>
  <c r="T136" i="33"/>
  <c r="T72" i="33"/>
  <c r="T134" i="33"/>
  <c r="T58" i="33"/>
  <c r="T76" i="33"/>
  <c r="T64" i="33"/>
  <c r="T68" i="33"/>
  <c r="T63" i="33"/>
  <c r="O34" i="15" l="1"/>
  <c r="R34" i="15"/>
  <c r="O61" i="15"/>
  <c r="R25" i="15"/>
  <c r="R61" i="15"/>
  <c r="L25" i="15"/>
  <c r="O37" i="15"/>
  <c r="I8" i="33"/>
  <c r="I9" i="33"/>
  <c r="I7" i="33"/>
  <c r="I6" i="33"/>
  <c r="L37" i="15"/>
  <c r="O5" i="15"/>
  <c r="R5" i="15"/>
  <c r="L5" i="15"/>
  <c r="O6" i="15"/>
  <c r="L6" i="15"/>
  <c r="R6" i="15"/>
  <c r="O36" i="15"/>
  <c r="L36" i="15"/>
  <c r="R36" i="15"/>
  <c r="O63" i="15"/>
  <c r="R63" i="15"/>
  <c r="L63" i="15"/>
  <c r="O51" i="15"/>
  <c r="R51" i="15"/>
  <c r="L51" i="15"/>
  <c r="R47" i="15"/>
  <c r="L47" i="15"/>
  <c r="O47" i="15"/>
  <c r="R35" i="15"/>
  <c r="L35" i="15"/>
  <c r="O35" i="15"/>
  <c r="L17" i="15"/>
  <c r="R17" i="15"/>
  <c r="O17" i="15"/>
  <c r="L45" i="15"/>
  <c r="O45" i="15"/>
  <c r="R45" i="15"/>
  <c r="L48" i="15"/>
  <c r="R48" i="15"/>
  <c r="O48" i="15"/>
  <c r="L16" i="15"/>
  <c r="O16" i="15"/>
  <c r="R16" i="15"/>
  <c r="L58" i="15"/>
  <c r="R58" i="15"/>
  <c r="O58" i="15"/>
  <c r="O60" i="15"/>
  <c r="L60" i="15"/>
  <c r="R60" i="15"/>
  <c r="L24" i="15"/>
  <c r="O24" i="15"/>
  <c r="R24" i="15"/>
  <c r="L10" i="15"/>
  <c r="O10" i="15"/>
  <c r="R10" i="15"/>
  <c r="L40" i="15"/>
  <c r="R40" i="15"/>
  <c r="O40" i="15"/>
  <c r="R59" i="15"/>
  <c r="L59" i="15"/>
  <c r="O59" i="15"/>
  <c r="O54" i="15"/>
  <c r="L54" i="15"/>
  <c r="R54" i="15"/>
  <c r="R29" i="15"/>
  <c r="O29" i="15"/>
  <c r="L29" i="15"/>
  <c r="R53" i="15"/>
  <c r="O53" i="15"/>
  <c r="L53" i="15"/>
  <c r="L52" i="15"/>
  <c r="O52" i="15"/>
  <c r="R52" i="15"/>
  <c r="R50" i="15"/>
  <c r="O50" i="15"/>
  <c r="L50" i="15"/>
  <c r="O30" i="15"/>
  <c r="R30" i="15"/>
  <c r="L30" i="15"/>
  <c r="O66" i="15"/>
  <c r="R66" i="15"/>
  <c r="L66" i="15"/>
  <c r="R44" i="15"/>
  <c r="O44" i="15"/>
  <c r="L44" i="15"/>
  <c r="L67" i="15"/>
  <c r="O67" i="15"/>
  <c r="R67" i="15"/>
  <c r="L55" i="15"/>
  <c r="O55" i="15"/>
  <c r="R55" i="15"/>
  <c r="R32" i="15"/>
  <c r="L32" i="15"/>
  <c r="O32" i="15"/>
  <c r="O20" i="15"/>
  <c r="R20" i="15"/>
  <c r="L20" i="15"/>
  <c r="R23" i="15"/>
  <c r="L23" i="15"/>
  <c r="O23" i="15"/>
  <c r="L19" i="15"/>
  <c r="O19" i="15"/>
  <c r="R19" i="15"/>
  <c r="R64" i="15"/>
  <c r="L64" i="15"/>
  <c r="O64" i="15"/>
  <c r="L46" i="15"/>
  <c r="O46" i="15"/>
  <c r="R46" i="15"/>
  <c r="L69" i="15"/>
  <c r="O69" i="15"/>
  <c r="R69" i="15"/>
  <c r="L22" i="15"/>
  <c r="R22" i="15"/>
  <c r="O22" i="15"/>
  <c r="L43" i="15"/>
  <c r="O43" i="15"/>
  <c r="R43" i="15"/>
  <c r="L49" i="15"/>
  <c r="O49" i="15"/>
  <c r="R49" i="15"/>
  <c r="O39" i="15"/>
  <c r="R39" i="15"/>
  <c r="L39" i="15"/>
  <c r="L33" i="15"/>
  <c r="O33" i="15"/>
  <c r="R33" i="15"/>
  <c r="R38" i="15"/>
  <c r="O38" i="15"/>
  <c r="L38" i="15"/>
  <c r="R65" i="15"/>
  <c r="L65" i="15"/>
  <c r="O65" i="15"/>
  <c r="R12" i="15"/>
  <c r="L12" i="15"/>
  <c r="O12" i="15"/>
  <c r="L31" i="15"/>
  <c r="O31" i="15"/>
  <c r="R31" i="15"/>
  <c r="O21" i="15"/>
  <c r="L21" i="15"/>
  <c r="R21" i="15"/>
  <c r="O42" i="15"/>
  <c r="L42" i="15"/>
  <c r="R42" i="15"/>
  <c r="L56" i="15"/>
  <c r="O56" i="15"/>
  <c r="R56" i="15"/>
  <c r="O28" i="15"/>
  <c r="R28" i="15"/>
  <c r="L28" i="15"/>
  <c r="L13" i="15"/>
  <c r="R13" i="15"/>
  <c r="O13" i="15"/>
  <c r="R11" i="15"/>
  <c r="L11" i="15"/>
  <c r="O11" i="15"/>
  <c r="O57" i="15"/>
  <c r="R57" i="15"/>
  <c r="L57" i="15"/>
  <c r="O27" i="15"/>
  <c r="R27" i="15"/>
  <c r="L27" i="15"/>
  <c r="R41" i="15"/>
  <c r="L41" i="15"/>
  <c r="O41" i="15"/>
  <c r="R68" i="15"/>
  <c r="O68" i="15"/>
  <c r="L68" i="15"/>
  <c r="O15" i="15"/>
  <c r="R15" i="15"/>
  <c r="L15" i="15"/>
  <c r="O18" i="15"/>
  <c r="L18" i="15"/>
  <c r="R18" i="15"/>
  <c r="L49" i="48"/>
  <c r="K50" i="48"/>
  <c r="M50" i="48"/>
  <c r="J50" i="48"/>
  <c r="L44" i="48"/>
  <c r="W62" i="33"/>
  <c r="Q9" i="33" l="1"/>
  <c r="K9" i="33"/>
  <c r="M9" i="33"/>
  <c r="O9" i="33"/>
  <c r="K8" i="33"/>
  <c r="M8" i="33"/>
  <c r="O8" i="33"/>
  <c r="Q8" i="33"/>
  <c r="K6" i="33"/>
  <c r="M6" i="33"/>
  <c r="O6" i="33"/>
  <c r="Q6" i="33"/>
  <c r="K7" i="33"/>
  <c r="M7" i="33"/>
  <c r="O7" i="33"/>
  <c r="Q7" i="33"/>
  <c r="L50" i="48"/>
  <c r="W63" i="33"/>
  <c r="W64" i="33" l="1"/>
  <c r="AH6" i="2"/>
  <c r="W65" i="33" l="1"/>
  <c r="T6" i="1" a="1"/>
  <c r="T6" i="1" s="1"/>
  <c r="W66" i="33" l="1"/>
  <c r="B1" i="27"/>
  <c r="W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W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W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W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W71" i="33"/>
  <c r="J48" i="27"/>
  <c r="K48" i="27"/>
  <c r="M48" i="27"/>
  <c r="K49" i="27"/>
  <c r="J49" i="27"/>
  <c r="M49" i="27"/>
  <c r="B64" i="27"/>
  <c r="I44" i="27"/>
  <c r="M45" i="27"/>
  <c r="K45" i="27"/>
  <c r="J45" i="27"/>
  <c r="D64" i="27"/>
  <c r="M47" i="27"/>
  <c r="J47" i="27"/>
  <c r="K47" i="27"/>
  <c r="J46" i="27"/>
  <c r="K46" i="27"/>
  <c r="M46" i="27"/>
  <c r="E55" i="27"/>
  <c r="E56" i="27"/>
  <c r="D31" i="27"/>
  <c r="L49" i="27" l="1"/>
  <c r="L45" i="27"/>
  <c r="W72" i="33"/>
  <c r="M44" i="27"/>
  <c r="M50" i="27" s="1"/>
  <c r="I50" i="27"/>
  <c r="J44" i="27"/>
  <c r="K44" i="27"/>
  <c r="K50" i="27" s="1"/>
  <c r="L46" i="27"/>
  <c r="L47" i="27"/>
  <c r="L48" i="27"/>
  <c r="W73" i="33" l="1"/>
  <c r="L44" i="27"/>
  <c r="L50" i="27" s="1"/>
  <c r="J50" i="27"/>
  <c r="W74" i="33" l="1"/>
  <c r="U346" i="2"/>
  <c r="U347" i="2"/>
  <c r="U348" i="2"/>
  <c r="U349" i="2"/>
  <c r="U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8" i="15"/>
  <c r="U9" i="15"/>
  <c r="W75" i="33" l="1"/>
  <c r="W76" i="33" l="1"/>
  <c r="U60" i="2"/>
  <c r="Y60" i="2" l="1"/>
  <c r="AC60" i="2"/>
  <c r="AG60" i="2"/>
  <c r="W77" i="33"/>
  <c r="U280" i="2"/>
  <c r="U274" i="2"/>
  <c r="U273" i="2"/>
  <c r="U269" i="2"/>
  <c r="U268" i="2"/>
  <c r="U259" i="2"/>
  <c r="U255" i="2"/>
  <c r="U254" i="2"/>
  <c r="U253" i="2"/>
  <c r="U251" i="2"/>
  <c r="U247" i="2"/>
  <c r="U243" i="2"/>
  <c r="U242" i="2"/>
  <c r="U241" i="2"/>
  <c r="U239" i="2"/>
  <c r="U235" i="2"/>
  <c r="U31" i="2"/>
  <c r="U89" i="2"/>
  <c r="U205" i="2"/>
  <c r="U234" i="2"/>
  <c r="U236" i="2"/>
  <c r="U237" i="2"/>
  <c r="U238" i="2"/>
  <c r="U240" i="2"/>
  <c r="U244" i="2"/>
  <c r="U245" i="2"/>
  <c r="U246" i="2"/>
  <c r="U248" i="2"/>
  <c r="U249" i="2"/>
  <c r="U250" i="2"/>
  <c r="U252" i="2"/>
  <c r="U256" i="2"/>
  <c r="U257" i="2"/>
  <c r="U258" i="2"/>
  <c r="U260" i="2"/>
  <c r="U261" i="2"/>
  <c r="U262" i="2"/>
  <c r="U264" i="2"/>
  <c r="U265" i="2"/>
  <c r="U266" i="2"/>
  <c r="U267" i="2"/>
  <c r="U270" i="2"/>
  <c r="U271" i="2"/>
  <c r="U272" i="2"/>
  <c r="U275" i="2"/>
  <c r="U276" i="2"/>
  <c r="U277" i="2"/>
  <c r="U278" i="2"/>
  <c r="U279" i="2"/>
  <c r="K204" i="2"/>
  <c r="L204" i="2"/>
  <c r="Z204" i="2"/>
  <c r="AD204" i="2"/>
  <c r="AH204"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Z183" i="2"/>
  <c r="Z184" i="2"/>
  <c r="Z185" i="2"/>
  <c r="Z186" i="2"/>
  <c r="Z187" i="2"/>
  <c r="Z188" i="2"/>
  <c r="Z189" i="2"/>
  <c r="Z190" i="2"/>
  <c r="Z191" i="2"/>
  <c r="Z192" i="2"/>
  <c r="Z193" i="2"/>
  <c r="Z194" i="2"/>
  <c r="Z195" i="2"/>
  <c r="Z196" i="2"/>
  <c r="Z197" i="2"/>
  <c r="Z198" i="2"/>
  <c r="Z199" i="2"/>
  <c r="Z200" i="2"/>
  <c r="Z201" i="2"/>
  <c r="Z202" i="2"/>
  <c r="Z203" i="2"/>
  <c r="AD183" i="2"/>
  <c r="AD184" i="2"/>
  <c r="AD185" i="2"/>
  <c r="AD186" i="2"/>
  <c r="AD187" i="2"/>
  <c r="AD188" i="2"/>
  <c r="AD189" i="2"/>
  <c r="AD190" i="2"/>
  <c r="AD191" i="2"/>
  <c r="AD192" i="2"/>
  <c r="AD193" i="2"/>
  <c r="AD194" i="2"/>
  <c r="AD195" i="2"/>
  <c r="AD196" i="2"/>
  <c r="AD197" i="2"/>
  <c r="AD198" i="2"/>
  <c r="AD199" i="2"/>
  <c r="AD200" i="2"/>
  <c r="AD201" i="2"/>
  <c r="AD202" i="2"/>
  <c r="AD203" i="2"/>
  <c r="AH183" i="2"/>
  <c r="AH184" i="2"/>
  <c r="AH185" i="2"/>
  <c r="AH186" i="2"/>
  <c r="AH187" i="2"/>
  <c r="AH188" i="2"/>
  <c r="AH189" i="2"/>
  <c r="AH190" i="2"/>
  <c r="AH191" i="2"/>
  <c r="AH192" i="2"/>
  <c r="AH193" i="2"/>
  <c r="AH194" i="2"/>
  <c r="AH195" i="2"/>
  <c r="AH196" i="2"/>
  <c r="AH197" i="2"/>
  <c r="AH198" i="2"/>
  <c r="AH199" i="2"/>
  <c r="AH200" i="2"/>
  <c r="AH201" i="2"/>
  <c r="AH202" i="2"/>
  <c r="AH203" i="2"/>
  <c r="K172" i="2"/>
  <c r="K173" i="2"/>
  <c r="K174" i="2"/>
  <c r="K175" i="2"/>
  <c r="L172" i="2"/>
  <c r="L173" i="2"/>
  <c r="L174" i="2"/>
  <c r="L175" i="2"/>
  <c r="Z172" i="2"/>
  <c r="Z173" i="2"/>
  <c r="Z174" i="2"/>
  <c r="Z175" i="2"/>
  <c r="AD172" i="2"/>
  <c r="AD173" i="2"/>
  <c r="AD174" i="2"/>
  <c r="AD175" i="2"/>
  <c r="AH172" i="2"/>
  <c r="AH173" i="2"/>
  <c r="AH174" i="2"/>
  <c r="AH175"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Z154" i="2"/>
  <c r="Z155" i="2"/>
  <c r="Z156" i="2"/>
  <c r="Z157" i="2"/>
  <c r="Z158" i="2"/>
  <c r="Z159" i="2"/>
  <c r="Z160" i="2"/>
  <c r="Z161" i="2"/>
  <c r="Z162" i="2"/>
  <c r="Z163" i="2"/>
  <c r="Z164" i="2"/>
  <c r="Z165" i="2"/>
  <c r="Z166" i="2"/>
  <c r="Z167" i="2"/>
  <c r="Z168" i="2"/>
  <c r="Z169" i="2"/>
  <c r="Z170" i="2"/>
  <c r="Z171" i="2"/>
  <c r="AD154" i="2"/>
  <c r="AD155" i="2"/>
  <c r="AD156" i="2"/>
  <c r="AD157" i="2"/>
  <c r="AD158" i="2"/>
  <c r="AD159" i="2"/>
  <c r="AD160" i="2"/>
  <c r="AD161" i="2"/>
  <c r="AD162" i="2"/>
  <c r="AD163" i="2"/>
  <c r="AD164" i="2"/>
  <c r="AD165" i="2"/>
  <c r="AD166" i="2"/>
  <c r="AD167" i="2"/>
  <c r="AD168" i="2"/>
  <c r="AD169" i="2"/>
  <c r="AD170" i="2"/>
  <c r="AD171" i="2"/>
  <c r="AH154" i="2"/>
  <c r="AH155" i="2"/>
  <c r="AH156" i="2"/>
  <c r="AH157" i="2"/>
  <c r="AH158" i="2"/>
  <c r="AH159" i="2"/>
  <c r="AH160" i="2"/>
  <c r="AH161" i="2"/>
  <c r="AH162" i="2"/>
  <c r="AH163" i="2"/>
  <c r="AH164" i="2"/>
  <c r="AH165" i="2"/>
  <c r="AH166" i="2"/>
  <c r="AH167" i="2"/>
  <c r="AH168" i="2"/>
  <c r="AH169" i="2"/>
  <c r="AH170" i="2"/>
  <c r="AH171" i="2"/>
  <c r="K137" i="2"/>
  <c r="K138" i="2"/>
  <c r="K139" i="2"/>
  <c r="K140" i="2"/>
  <c r="K141" i="2"/>
  <c r="K142" i="2"/>
  <c r="K143" i="2"/>
  <c r="K144" i="2"/>
  <c r="K145" i="2"/>
  <c r="K146" i="2"/>
  <c r="L137" i="2"/>
  <c r="L138" i="2"/>
  <c r="L139" i="2"/>
  <c r="L140" i="2"/>
  <c r="L141" i="2"/>
  <c r="L142" i="2"/>
  <c r="L143" i="2"/>
  <c r="L144" i="2"/>
  <c r="L145" i="2"/>
  <c r="L146" i="2"/>
  <c r="Z137" i="2"/>
  <c r="Z138" i="2"/>
  <c r="Z139" i="2"/>
  <c r="Z140" i="2"/>
  <c r="Z141" i="2"/>
  <c r="Z142" i="2"/>
  <c r="Z143" i="2"/>
  <c r="Z144" i="2"/>
  <c r="Z145" i="2"/>
  <c r="Z146" i="2"/>
  <c r="AD137" i="2"/>
  <c r="AD138" i="2"/>
  <c r="AD139" i="2"/>
  <c r="AD140" i="2"/>
  <c r="AD141" i="2"/>
  <c r="AD142" i="2"/>
  <c r="AD143" i="2"/>
  <c r="AD144" i="2"/>
  <c r="AD145" i="2"/>
  <c r="AD146" i="2"/>
  <c r="AH137" i="2"/>
  <c r="AH138" i="2"/>
  <c r="AH139" i="2"/>
  <c r="AH140" i="2"/>
  <c r="AH141" i="2"/>
  <c r="AH142" i="2"/>
  <c r="AH143" i="2"/>
  <c r="AH144" i="2"/>
  <c r="AH145" i="2"/>
  <c r="AH146" i="2"/>
  <c r="K125" i="2"/>
  <c r="K126" i="2"/>
  <c r="K127" i="2"/>
  <c r="K128" i="2"/>
  <c r="K129" i="2"/>
  <c r="K130" i="2"/>
  <c r="K131" i="2"/>
  <c r="K132" i="2"/>
  <c r="K133" i="2"/>
  <c r="K134" i="2"/>
  <c r="K135" i="2"/>
  <c r="K136" i="2"/>
  <c r="L125" i="2"/>
  <c r="L126" i="2"/>
  <c r="L127" i="2"/>
  <c r="L128" i="2"/>
  <c r="L129" i="2"/>
  <c r="L130" i="2"/>
  <c r="L131" i="2"/>
  <c r="L132" i="2"/>
  <c r="L133" i="2"/>
  <c r="L134" i="2"/>
  <c r="L135" i="2"/>
  <c r="L136" i="2"/>
  <c r="Z125" i="2"/>
  <c r="Z126" i="2"/>
  <c r="Z127" i="2"/>
  <c r="Z128" i="2"/>
  <c r="Z129" i="2"/>
  <c r="Z130" i="2"/>
  <c r="Z131" i="2"/>
  <c r="Z132" i="2"/>
  <c r="Z133" i="2"/>
  <c r="Z134" i="2"/>
  <c r="Z135" i="2"/>
  <c r="Z136" i="2"/>
  <c r="AD125" i="2"/>
  <c r="AD126" i="2"/>
  <c r="AD127" i="2"/>
  <c r="AD128" i="2"/>
  <c r="AD129" i="2"/>
  <c r="AD130" i="2"/>
  <c r="AD131" i="2"/>
  <c r="AD132" i="2"/>
  <c r="AD133" i="2"/>
  <c r="AD134" i="2"/>
  <c r="AD135" i="2"/>
  <c r="AD136" i="2"/>
  <c r="AH125" i="2"/>
  <c r="AH126" i="2"/>
  <c r="AH127" i="2"/>
  <c r="AH128" i="2"/>
  <c r="AH129" i="2"/>
  <c r="AH130" i="2"/>
  <c r="AH131" i="2"/>
  <c r="AH132" i="2"/>
  <c r="AH133" i="2"/>
  <c r="AH134" i="2"/>
  <c r="AH135" i="2"/>
  <c r="AH136" i="2"/>
  <c r="K111" i="2"/>
  <c r="K112" i="2"/>
  <c r="K113" i="2"/>
  <c r="K114" i="2"/>
  <c r="K115" i="2"/>
  <c r="K116" i="2"/>
  <c r="K117" i="2"/>
  <c r="L111" i="2"/>
  <c r="L112" i="2"/>
  <c r="L113" i="2"/>
  <c r="L114" i="2"/>
  <c r="L115" i="2"/>
  <c r="L116" i="2"/>
  <c r="L117" i="2"/>
  <c r="Z111" i="2"/>
  <c r="Z112" i="2"/>
  <c r="Z113" i="2"/>
  <c r="Z114" i="2"/>
  <c r="Z115" i="2"/>
  <c r="Z116" i="2"/>
  <c r="Z117" i="2"/>
  <c r="AD111" i="2"/>
  <c r="AD112" i="2"/>
  <c r="AD113" i="2"/>
  <c r="AD114" i="2"/>
  <c r="AD115" i="2"/>
  <c r="AD116" i="2"/>
  <c r="AD117" i="2"/>
  <c r="AH111" i="2"/>
  <c r="AH112" i="2"/>
  <c r="AH113" i="2"/>
  <c r="AH114" i="2"/>
  <c r="AH115" i="2"/>
  <c r="AH116" i="2"/>
  <c r="AH117"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Z96" i="2"/>
  <c r="Z97" i="2"/>
  <c r="Z98" i="2"/>
  <c r="Z99" i="2"/>
  <c r="Z100" i="2"/>
  <c r="Z101" i="2"/>
  <c r="Z102" i="2"/>
  <c r="Z103" i="2"/>
  <c r="Z104" i="2"/>
  <c r="Z105" i="2"/>
  <c r="Z106" i="2"/>
  <c r="Z107" i="2"/>
  <c r="Z108" i="2"/>
  <c r="Z109" i="2"/>
  <c r="Z110" i="2"/>
  <c r="AD96" i="2"/>
  <c r="AD97" i="2"/>
  <c r="AD98" i="2"/>
  <c r="AD99" i="2"/>
  <c r="AD100" i="2"/>
  <c r="AD101" i="2"/>
  <c r="AD102" i="2"/>
  <c r="AD103" i="2"/>
  <c r="AD104" i="2"/>
  <c r="AD105" i="2"/>
  <c r="AD106" i="2"/>
  <c r="AD107" i="2"/>
  <c r="AD108" i="2"/>
  <c r="AD109" i="2"/>
  <c r="AD110" i="2"/>
  <c r="AH96" i="2"/>
  <c r="AH97" i="2"/>
  <c r="AH98" i="2"/>
  <c r="AH99" i="2"/>
  <c r="AH100" i="2"/>
  <c r="AH101" i="2"/>
  <c r="AH102" i="2"/>
  <c r="AH103" i="2"/>
  <c r="AH104" i="2"/>
  <c r="AH105" i="2"/>
  <c r="AH106" i="2"/>
  <c r="AH107" i="2"/>
  <c r="AH108" i="2"/>
  <c r="AH109" i="2"/>
  <c r="AH110"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Z67" i="2"/>
  <c r="Z68" i="2"/>
  <c r="Z69" i="2"/>
  <c r="Z70" i="2"/>
  <c r="Z71" i="2"/>
  <c r="Z72" i="2"/>
  <c r="Z73" i="2"/>
  <c r="Z74" i="2"/>
  <c r="Z75" i="2"/>
  <c r="Z76" i="2"/>
  <c r="Z77" i="2"/>
  <c r="Z78" i="2"/>
  <c r="Z79" i="2"/>
  <c r="Z80" i="2"/>
  <c r="Z81" i="2"/>
  <c r="Z82" i="2"/>
  <c r="Z83" i="2"/>
  <c r="Z84" i="2"/>
  <c r="Z85" i="2"/>
  <c r="Z86" i="2"/>
  <c r="Z87" i="2"/>
  <c r="Z88" i="2"/>
  <c r="AD67" i="2"/>
  <c r="AD68" i="2"/>
  <c r="AD69" i="2"/>
  <c r="AD70" i="2"/>
  <c r="AD71" i="2"/>
  <c r="AD72" i="2"/>
  <c r="AD73" i="2"/>
  <c r="AD74" i="2"/>
  <c r="AD75" i="2"/>
  <c r="AD76" i="2"/>
  <c r="AD77" i="2"/>
  <c r="AD78" i="2"/>
  <c r="AD79" i="2"/>
  <c r="AD80" i="2"/>
  <c r="AD81" i="2"/>
  <c r="AD82" i="2"/>
  <c r="AD83" i="2"/>
  <c r="AD84" i="2"/>
  <c r="AD85" i="2"/>
  <c r="AD86" i="2"/>
  <c r="AD87" i="2"/>
  <c r="AD88" i="2"/>
  <c r="AH67" i="2"/>
  <c r="AH68" i="2"/>
  <c r="AH69" i="2"/>
  <c r="AH70" i="2"/>
  <c r="AH71" i="2"/>
  <c r="AH72" i="2"/>
  <c r="AH73" i="2"/>
  <c r="AH74" i="2"/>
  <c r="AH75" i="2"/>
  <c r="AH76" i="2"/>
  <c r="AH77" i="2"/>
  <c r="AH78" i="2"/>
  <c r="AH79" i="2"/>
  <c r="AH80" i="2"/>
  <c r="AH81" i="2"/>
  <c r="AH82" i="2"/>
  <c r="AH83" i="2"/>
  <c r="AH84" i="2"/>
  <c r="AH85" i="2"/>
  <c r="AH86" i="2"/>
  <c r="AH87" i="2"/>
  <c r="AH88"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Z38" i="2"/>
  <c r="Z39" i="2"/>
  <c r="Z40" i="2"/>
  <c r="Z41" i="2"/>
  <c r="Z42" i="2"/>
  <c r="Z43" i="2"/>
  <c r="Z44" i="2"/>
  <c r="Z45" i="2"/>
  <c r="Z46" i="2"/>
  <c r="Z47" i="2"/>
  <c r="Z48" i="2"/>
  <c r="Z49" i="2"/>
  <c r="Z50" i="2"/>
  <c r="Z51" i="2"/>
  <c r="Z52" i="2"/>
  <c r="Z53" i="2"/>
  <c r="Z54" i="2"/>
  <c r="Z55" i="2"/>
  <c r="Z56" i="2"/>
  <c r="Z57" i="2"/>
  <c r="Z58" i="2"/>
  <c r="Z59" i="2"/>
  <c r="AD38" i="2"/>
  <c r="AD39" i="2"/>
  <c r="AD40" i="2"/>
  <c r="AD41" i="2"/>
  <c r="AD42" i="2"/>
  <c r="AD43" i="2"/>
  <c r="AD44" i="2"/>
  <c r="AD45" i="2"/>
  <c r="AD46" i="2"/>
  <c r="AD47" i="2"/>
  <c r="AD48" i="2"/>
  <c r="AD49" i="2"/>
  <c r="AD50" i="2"/>
  <c r="AD51" i="2"/>
  <c r="AD52" i="2"/>
  <c r="AD53" i="2"/>
  <c r="AD54" i="2"/>
  <c r="AD55" i="2"/>
  <c r="AD56" i="2"/>
  <c r="AD57" i="2"/>
  <c r="AD58" i="2"/>
  <c r="AD59" i="2"/>
  <c r="AH38" i="2"/>
  <c r="AH39" i="2"/>
  <c r="AH40" i="2"/>
  <c r="AH41" i="2"/>
  <c r="AH42" i="2"/>
  <c r="AH43" i="2"/>
  <c r="AH44" i="2"/>
  <c r="AH45" i="2"/>
  <c r="AH46" i="2"/>
  <c r="AH47" i="2"/>
  <c r="AH48" i="2"/>
  <c r="AH49" i="2"/>
  <c r="AH50" i="2"/>
  <c r="AH51" i="2"/>
  <c r="AH52" i="2"/>
  <c r="AH53" i="2"/>
  <c r="AH54" i="2"/>
  <c r="AH55" i="2"/>
  <c r="AH56" i="2"/>
  <c r="AH57" i="2"/>
  <c r="AH58" i="2"/>
  <c r="AH59" i="2"/>
  <c r="K24" i="2"/>
  <c r="K25" i="2"/>
  <c r="K26" i="2"/>
  <c r="K27" i="2"/>
  <c r="K28" i="2"/>
  <c r="K29" i="2"/>
  <c r="K30" i="2"/>
  <c r="L24" i="2"/>
  <c r="L25" i="2"/>
  <c r="L26" i="2"/>
  <c r="L27" i="2"/>
  <c r="L28" i="2"/>
  <c r="L29" i="2"/>
  <c r="L30" i="2"/>
  <c r="Z24" i="2"/>
  <c r="Z25" i="2"/>
  <c r="Z26" i="2"/>
  <c r="Z27" i="2"/>
  <c r="Z28" i="2"/>
  <c r="Z29" i="2"/>
  <c r="Z30" i="2"/>
  <c r="AD24" i="2"/>
  <c r="AD25" i="2"/>
  <c r="AD26" i="2"/>
  <c r="AD27" i="2"/>
  <c r="AD28" i="2"/>
  <c r="AD29" i="2"/>
  <c r="AD30" i="2"/>
  <c r="AH24" i="2"/>
  <c r="AH25" i="2"/>
  <c r="AH26" i="2"/>
  <c r="AH27" i="2"/>
  <c r="AH28" i="2"/>
  <c r="AH29" i="2"/>
  <c r="AH30"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Z9" i="2"/>
  <c r="Z10" i="2"/>
  <c r="Z11" i="2"/>
  <c r="Z12" i="2"/>
  <c r="Z13" i="2"/>
  <c r="Z14" i="2"/>
  <c r="Z15" i="2"/>
  <c r="Z16" i="2"/>
  <c r="Z17" i="2"/>
  <c r="Z18" i="2"/>
  <c r="Z19" i="2"/>
  <c r="Z20" i="2"/>
  <c r="Z21" i="2"/>
  <c r="Z22" i="2"/>
  <c r="Z23" i="2"/>
  <c r="AD9" i="2"/>
  <c r="AD10" i="2"/>
  <c r="AD11" i="2"/>
  <c r="AD12" i="2"/>
  <c r="AD13" i="2"/>
  <c r="AD14" i="2"/>
  <c r="AD15" i="2"/>
  <c r="AD16" i="2"/>
  <c r="AD17" i="2"/>
  <c r="AD18" i="2"/>
  <c r="AD19" i="2"/>
  <c r="AD20" i="2"/>
  <c r="AD21" i="2"/>
  <c r="AD22" i="2"/>
  <c r="AD23" i="2"/>
  <c r="AH9" i="2"/>
  <c r="AH10" i="2"/>
  <c r="AH11" i="2"/>
  <c r="AH12" i="2"/>
  <c r="AH13" i="2"/>
  <c r="AH14" i="2"/>
  <c r="AH15" i="2"/>
  <c r="AH16" i="2"/>
  <c r="AH17" i="2"/>
  <c r="AH18" i="2"/>
  <c r="AH19" i="2"/>
  <c r="AH20" i="2"/>
  <c r="AH21" i="2"/>
  <c r="AH22" i="2"/>
  <c r="AH23" i="2"/>
  <c r="U33" i="2"/>
  <c r="A2" i="2"/>
  <c r="U2" i="2"/>
  <c r="Y2" i="2" s="1"/>
  <c r="Z3" i="2"/>
  <c r="AD3" i="2"/>
  <c r="AH3" i="2"/>
  <c r="Z4" i="2"/>
  <c r="AD4" i="2"/>
  <c r="AH4" i="2"/>
  <c r="Z5" i="2"/>
  <c r="AD5" i="2"/>
  <c r="AH5" i="2"/>
  <c r="Z6" i="2"/>
  <c r="AD6" i="2"/>
  <c r="Z7" i="2"/>
  <c r="AD7" i="2"/>
  <c r="AH7" i="2"/>
  <c r="Z8" i="2"/>
  <c r="AD8" i="2"/>
  <c r="AH8" i="2"/>
  <c r="Z31" i="2"/>
  <c r="AD31" i="2"/>
  <c r="AH31" i="2"/>
  <c r="Z32" i="2"/>
  <c r="AD32" i="2"/>
  <c r="AH32" i="2"/>
  <c r="Z33" i="2"/>
  <c r="AD33" i="2"/>
  <c r="AH33" i="2"/>
  <c r="Z34" i="2"/>
  <c r="AD34" i="2"/>
  <c r="AH34" i="2"/>
  <c r="Z35" i="2"/>
  <c r="AD35" i="2"/>
  <c r="AH35" i="2"/>
  <c r="Z36" i="2"/>
  <c r="AD36" i="2"/>
  <c r="AH36" i="2"/>
  <c r="Z37" i="2"/>
  <c r="AD37" i="2"/>
  <c r="AH37" i="2"/>
  <c r="Z60" i="2"/>
  <c r="AD60" i="2"/>
  <c r="AH60" i="2"/>
  <c r="U61" i="2"/>
  <c r="Z61" i="2"/>
  <c r="AD61" i="2"/>
  <c r="AH61" i="2"/>
  <c r="Z62" i="2"/>
  <c r="AD62" i="2"/>
  <c r="AH62" i="2"/>
  <c r="Z63" i="2"/>
  <c r="AD63" i="2"/>
  <c r="AH63" i="2"/>
  <c r="Z64" i="2"/>
  <c r="AD64" i="2"/>
  <c r="AH64" i="2"/>
  <c r="Z65" i="2"/>
  <c r="AD65" i="2"/>
  <c r="AH65" i="2"/>
  <c r="Z66" i="2"/>
  <c r="AD66" i="2"/>
  <c r="AH66" i="2"/>
  <c r="Z89" i="2"/>
  <c r="AD89" i="2"/>
  <c r="AH89" i="2"/>
  <c r="U90" i="2"/>
  <c r="Z90" i="2"/>
  <c r="AD90" i="2"/>
  <c r="AH90" i="2"/>
  <c r="Z91" i="2"/>
  <c r="AD91" i="2"/>
  <c r="AH91" i="2"/>
  <c r="Z92" i="2"/>
  <c r="AD92" i="2"/>
  <c r="AH92" i="2"/>
  <c r="Z93" i="2"/>
  <c r="AD93" i="2"/>
  <c r="AH93" i="2"/>
  <c r="Z94" i="2"/>
  <c r="AD94" i="2"/>
  <c r="AH94" i="2"/>
  <c r="Z95" i="2"/>
  <c r="AD95" i="2"/>
  <c r="AH95" i="2"/>
  <c r="Y271" i="2" l="1"/>
  <c r="AC271" i="2"/>
  <c r="AG271" i="2"/>
  <c r="Y252" i="2"/>
  <c r="AC252" i="2"/>
  <c r="AG252" i="2"/>
  <c r="Y205" i="2"/>
  <c r="AG205" i="2"/>
  <c r="AC205" i="2"/>
  <c r="Y255" i="2"/>
  <c r="AG255" i="2"/>
  <c r="AC255" i="2"/>
  <c r="Y270" i="2"/>
  <c r="AG270" i="2"/>
  <c r="AC270" i="2"/>
  <c r="Y250" i="2"/>
  <c r="AC250" i="2"/>
  <c r="AG250" i="2"/>
  <c r="Y89" i="2"/>
  <c r="AC89" i="2"/>
  <c r="AG89" i="2"/>
  <c r="Y259" i="2"/>
  <c r="AG259" i="2"/>
  <c r="AC259" i="2"/>
  <c r="Y267" i="2"/>
  <c r="AG267" i="2"/>
  <c r="AC267" i="2"/>
  <c r="Y249" i="2"/>
  <c r="AG249" i="2"/>
  <c r="AC249" i="2"/>
  <c r="Y31" i="2"/>
  <c r="AG31" i="2"/>
  <c r="AC31" i="2"/>
  <c r="Y268" i="2"/>
  <c r="AC268" i="2"/>
  <c r="AG268" i="2"/>
  <c r="Y266" i="2"/>
  <c r="AC266" i="2"/>
  <c r="AG266" i="2"/>
  <c r="Y248" i="2"/>
  <c r="AC248" i="2"/>
  <c r="AG248" i="2"/>
  <c r="Y235" i="2"/>
  <c r="AC235" i="2"/>
  <c r="AG235" i="2"/>
  <c r="Y269" i="2"/>
  <c r="AC269" i="2"/>
  <c r="AG269" i="2"/>
  <c r="Y265" i="2"/>
  <c r="AG265" i="2"/>
  <c r="AC265" i="2"/>
  <c r="Y246" i="2"/>
  <c r="AG246" i="2"/>
  <c r="AC246" i="2"/>
  <c r="Y239" i="2"/>
  <c r="AC239" i="2"/>
  <c r="AG239" i="2"/>
  <c r="Y273" i="2"/>
  <c r="AG273" i="2"/>
  <c r="AC273" i="2"/>
  <c r="Y272" i="2"/>
  <c r="AG272" i="2"/>
  <c r="AC272" i="2"/>
  <c r="Y264" i="2"/>
  <c r="AG264" i="2"/>
  <c r="AC264" i="2"/>
  <c r="Y245" i="2"/>
  <c r="AC245" i="2"/>
  <c r="AG245" i="2"/>
  <c r="Y241" i="2"/>
  <c r="AG241" i="2"/>
  <c r="AC241" i="2"/>
  <c r="Y274" i="2"/>
  <c r="AG274" i="2"/>
  <c r="AC274" i="2"/>
  <c r="Y33" i="2"/>
  <c r="AG33" i="2"/>
  <c r="AC33" i="2"/>
  <c r="Y279" i="2"/>
  <c r="AG279" i="2"/>
  <c r="AC279" i="2"/>
  <c r="Y262" i="2"/>
  <c r="AG262" i="2"/>
  <c r="AC262" i="2"/>
  <c r="Y244" i="2"/>
  <c r="AC244" i="2"/>
  <c r="AG244" i="2"/>
  <c r="Y242" i="2"/>
  <c r="AG242" i="2"/>
  <c r="AC242" i="2"/>
  <c r="Y280" i="2"/>
  <c r="AC280" i="2"/>
  <c r="AG280" i="2"/>
  <c r="Y256" i="2"/>
  <c r="AC256" i="2"/>
  <c r="AG256" i="2"/>
  <c r="Y61" i="2"/>
  <c r="AG61" i="2"/>
  <c r="AC61" i="2"/>
  <c r="Y278" i="2"/>
  <c r="AC278" i="2"/>
  <c r="AG278" i="2"/>
  <c r="Y261" i="2"/>
  <c r="AC261" i="2"/>
  <c r="AG261" i="2"/>
  <c r="Y240" i="2"/>
  <c r="AC240" i="2"/>
  <c r="AG240" i="2"/>
  <c r="Y243" i="2"/>
  <c r="AC243" i="2"/>
  <c r="AG243" i="2"/>
  <c r="Y254" i="2"/>
  <c r="AC254" i="2"/>
  <c r="AG254" i="2"/>
  <c r="Y277" i="2"/>
  <c r="AC277" i="2"/>
  <c r="AG277" i="2"/>
  <c r="Y260" i="2"/>
  <c r="AG260" i="2"/>
  <c r="AC260" i="2"/>
  <c r="Y238" i="2"/>
  <c r="AC238" i="2"/>
  <c r="AG238" i="2"/>
  <c r="Y247" i="2"/>
  <c r="AC247" i="2"/>
  <c r="AG247" i="2"/>
  <c r="Y234" i="2"/>
  <c r="AG234" i="2"/>
  <c r="AC234" i="2"/>
  <c r="Y90" i="2"/>
  <c r="AG90" i="2"/>
  <c r="AC90" i="2"/>
  <c r="Y276" i="2"/>
  <c r="AG276" i="2"/>
  <c r="AC276" i="2"/>
  <c r="Y258" i="2"/>
  <c r="AG258" i="2"/>
  <c r="AC258" i="2"/>
  <c r="Y237" i="2"/>
  <c r="AC237" i="2"/>
  <c r="AG237" i="2"/>
  <c r="Y251" i="2"/>
  <c r="AC251" i="2"/>
  <c r="AG251" i="2"/>
  <c r="Y275" i="2"/>
  <c r="AC275" i="2"/>
  <c r="AG275" i="2"/>
  <c r="Y257" i="2"/>
  <c r="AC257" i="2"/>
  <c r="AG257" i="2"/>
  <c r="Y236" i="2"/>
  <c r="AC236" i="2"/>
  <c r="AG236" i="2"/>
  <c r="Y253" i="2"/>
  <c r="AG253" i="2"/>
  <c r="AC253" i="2"/>
  <c r="AC2" i="2"/>
  <c r="AG2" i="2"/>
  <c r="W78" i="33"/>
  <c r="U32" i="2"/>
  <c r="U3" i="2"/>
  <c r="U62" i="2"/>
  <c r="U34" i="2"/>
  <c r="U4" i="2"/>
  <c r="U91" i="2"/>
  <c r="Y4" i="2" l="1"/>
  <c r="AC4" i="2"/>
  <c r="AG4" i="2"/>
  <c r="Y34" i="2"/>
  <c r="AC34" i="2"/>
  <c r="AG34" i="2"/>
  <c r="Y62" i="2"/>
  <c r="AG62" i="2"/>
  <c r="AC62" i="2"/>
  <c r="Y32" i="2"/>
  <c r="AG32" i="2"/>
  <c r="AC32" i="2"/>
  <c r="Y3" i="2"/>
  <c r="AG3" i="2"/>
  <c r="AC3" i="2"/>
  <c r="Y91" i="2"/>
  <c r="AG91" i="2"/>
  <c r="AC91" i="2"/>
  <c r="W79" i="33"/>
  <c r="U63" i="2"/>
  <c r="U92" i="2"/>
  <c r="U35" i="2"/>
  <c r="U5" i="2"/>
  <c r="Y35" i="2" l="1"/>
  <c r="AG35" i="2"/>
  <c r="AC35" i="2"/>
  <c r="Y5" i="2"/>
  <c r="AC5" i="2"/>
  <c r="AG5" i="2"/>
  <c r="Y63" i="2"/>
  <c r="AC63" i="2"/>
  <c r="AG63" i="2"/>
  <c r="Y92" i="2"/>
  <c r="AC92" i="2"/>
  <c r="AG92" i="2"/>
  <c r="W80" i="33"/>
  <c r="U64" i="2"/>
  <c r="U93" i="2"/>
  <c r="U6" i="2"/>
  <c r="U36" i="2"/>
  <c r="Y36" i="2" l="1"/>
  <c r="AG36" i="2"/>
  <c r="AC36" i="2"/>
  <c r="Y6" i="2"/>
  <c r="AC6" i="2"/>
  <c r="AG6" i="2"/>
  <c r="Y93" i="2"/>
  <c r="AG93" i="2"/>
  <c r="AC93" i="2"/>
  <c r="Y64" i="2"/>
  <c r="AC64" i="2"/>
  <c r="AG64" i="2"/>
  <c r="W81" i="33"/>
  <c r="U65" i="2"/>
  <c r="U7" i="2"/>
  <c r="U94" i="2"/>
  <c r="Y94" i="2" l="1"/>
  <c r="AC94" i="2"/>
  <c r="AG94" i="2"/>
  <c r="Y7" i="2"/>
  <c r="AC7" i="2"/>
  <c r="AG7" i="2"/>
  <c r="Y65" i="2"/>
  <c r="AC65" i="2"/>
  <c r="AG65" i="2"/>
  <c r="W82" i="33"/>
  <c r="U8" i="2"/>
  <c r="U37" i="2"/>
  <c r="Y8" i="2" l="1"/>
  <c r="AG8" i="2"/>
  <c r="AC8" i="2"/>
  <c r="Y37" i="2"/>
  <c r="AC37" i="2"/>
  <c r="AG37" i="2"/>
  <c r="W83" i="33"/>
  <c r="U9" i="2"/>
  <c r="U38" i="2"/>
  <c r="U66" i="2"/>
  <c r="U95" i="2"/>
  <c r="Y95" i="2" l="1"/>
  <c r="AG95" i="2"/>
  <c r="AC95" i="2"/>
  <c r="Y66" i="2"/>
  <c r="AG66" i="2"/>
  <c r="AC66" i="2"/>
  <c r="Y38" i="2"/>
  <c r="AG38" i="2"/>
  <c r="AC38" i="2"/>
  <c r="Y9" i="2"/>
  <c r="AG9" i="2"/>
  <c r="AC9" i="2"/>
  <c r="W84" i="33"/>
  <c r="W85" i="33"/>
  <c r="U10" i="2"/>
  <c r="U39" i="2"/>
  <c r="U67" i="2"/>
  <c r="U96" i="2"/>
  <c r="Z206" i="2"/>
  <c r="AD206" i="2"/>
  <c r="AH206" i="2"/>
  <c r="Z207" i="2"/>
  <c r="AD207" i="2"/>
  <c r="AH207" i="2"/>
  <c r="Z208" i="2"/>
  <c r="AD208" i="2"/>
  <c r="AH208" i="2"/>
  <c r="Z209" i="2"/>
  <c r="AD209" i="2"/>
  <c r="AH209" i="2"/>
  <c r="Z210" i="2"/>
  <c r="AD210" i="2"/>
  <c r="AH210" i="2"/>
  <c r="Z211" i="2"/>
  <c r="AD211" i="2"/>
  <c r="AH211" i="2"/>
  <c r="Z177" i="2"/>
  <c r="AD177" i="2"/>
  <c r="AH177" i="2"/>
  <c r="Z178" i="2"/>
  <c r="AD178" i="2"/>
  <c r="AH178" i="2"/>
  <c r="Z179" i="2"/>
  <c r="AD179" i="2"/>
  <c r="AH179" i="2"/>
  <c r="Z180" i="2"/>
  <c r="AD180" i="2"/>
  <c r="AH180" i="2"/>
  <c r="Z181" i="2"/>
  <c r="AD181" i="2"/>
  <c r="AH181" i="2"/>
  <c r="Z182" i="2"/>
  <c r="AD182" i="2"/>
  <c r="AH182" i="2"/>
  <c r="Z148" i="2"/>
  <c r="AD148" i="2"/>
  <c r="AH148" i="2"/>
  <c r="Z149" i="2"/>
  <c r="AD149" i="2"/>
  <c r="AH149" i="2"/>
  <c r="Z150" i="2"/>
  <c r="AD150" i="2"/>
  <c r="AH150" i="2"/>
  <c r="Z151" i="2"/>
  <c r="AD151" i="2"/>
  <c r="AH151" i="2"/>
  <c r="Z152" i="2"/>
  <c r="AD152" i="2"/>
  <c r="AH152" i="2"/>
  <c r="Z153" i="2"/>
  <c r="AD153" i="2"/>
  <c r="AH153" i="2"/>
  <c r="Z119" i="2"/>
  <c r="AD119" i="2"/>
  <c r="AH119" i="2"/>
  <c r="Z120" i="2"/>
  <c r="AD120" i="2"/>
  <c r="AH120" i="2"/>
  <c r="Z121" i="2"/>
  <c r="AD121" i="2"/>
  <c r="AH121" i="2"/>
  <c r="Z122" i="2"/>
  <c r="AD122" i="2"/>
  <c r="AH122" i="2"/>
  <c r="Z123" i="2"/>
  <c r="AD123" i="2"/>
  <c r="AH123" i="2"/>
  <c r="Z124" i="2"/>
  <c r="AD124" i="2"/>
  <c r="AH124" i="2"/>
  <c r="Y96" i="2" l="1"/>
  <c r="AC96" i="2"/>
  <c r="AG96" i="2"/>
  <c r="Y67" i="2"/>
  <c r="AC67" i="2"/>
  <c r="AG67" i="2"/>
  <c r="Y39" i="2"/>
  <c r="AC39" i="2"/>
  <c r="AG39" i="2"/>
  <c r="Y10" i="2"/>
  <c r="AC10" i="2"/>
  <c r="AG10" i="2"/>
  <c r="U207" i="2"/>
  <c r="U206" i="2"/>
  <c r="U11" i="2"/>
  <c r="U40" i="2"/>
  <c r="U68" i="2"/>
  <c r="U97" i="2"/>
  <c r="Y40" i="2" l="1"/>
  <c r="AC40" i="2"/>
  <c r="AG40" i="2"/>
  <c r="Y11" i="2"/>
  <c r="AC11" i="2"/>
  <c r="AG11" i="2"/>
  <c r="Y206" i="2"/>
  <c r="AG206" i="2"/>
  <c r="AC206" i="2"/>
  <c r="Y97" i="2"/>
  <c r="AG97" i="2"/>
  <c r="AC97" i="2"/>
  <c r="Y68" i="2"/>
  <c r="AG68" i="2"/>
  <c r="AC68" i="2"/>
  <c r="Y207" i="2"/>
  <c r="AC207" i="2"/>
  <c r="AG207" i="2"/>
  <c r="U41" i="2"/>
  <c r="U69" i="2"/>
  <c r="U98" i="2"/>
  <c r="U208" i="2"/>
  <c r="H4" i="15"/>
  <c r="F2" i="15"/>
  <c r="AD118" i="2"/>
  <c r="AD147" i="2"/>
  <c r="AD176" i="2"/>
  <c r="AD205"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Z118" i="2"/>
  <c r="Z147" i="2"/>
  <c r="Z176" i="2"/>
  <c r="Z205"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Y98" i="2" l="1"/>
  <c r="AC98" i="2"/>
  <c r="AG98" i="2"/>
  <c r="Y69" i="2"/>
  <c r="AG69" i="2"/>
  <c r="AC69" i="2"/>
  <c r="Y41" i="2"/>
  <c r="AC41" i="2"/>
  <c r="AG41" i="2"/>
  <c r="Y208" i="2"/>
  <c r="AC208" i="2"/>
  <c r="AG208" i="2"/>
  <c r="C4" i="15"/>
  <c r="H7" i="15"/>
  <c r="C7" i="15" s="1"/>
  <c r="H2" i="15"/>
  <c r="C2" i="15" s="1"/>
  <c r="H3" i="15"/>
  <c r="C3" i="15" s="1"/>
  <c r="U13" i="2"/>
  <c r="U42" i="2"/>
  <c r="U70" i="2"/>
  <c r="U99" i="2"/>
  <c r="U209" i="2"/>
  <c r="O2" i="39" l="1"/>
  <c r="V2" i="39" s="1"/>
  <c r="O11" i="39"/>
  <c r="O7" i="39"/>
  <c r="O3" i="39"/>
  <c r="O10" i="39"/>
  <c r="O6" i="39"/>
  <c r="Y209" i="2"/>
  <c r="AC209" i="2"/>
  <c r="AG209" i="2"/>
  <c r="Y42" i="2"/>
  <c r="AG42" i="2"/>
  <c r="AC42" i="2"/>
  <c r="Y99" i="2"/>
  <c r="AC99" i="2"/>
  <c r="AG99" i="2"/>
  <c r="Y70" i="2"/>
  <c r="AG70" i="2"/>
  <c r="AC70" i="2"/>
  <c r="Y13" i="2"/>
  <c r="AG13" i="2"/>
  <c r="AC13" i="2"/>
  <c r="B2" i="46"/>
  <c r="L2" i="15"/>
  <c r="O2" i="15"/>
  <c r="R2" i="15"/>
  <c r="L7" i="15"/>
  <c r="O7" i="15"/>
  <c r="R7" i="15"/>
  <c r="R4" i="15"/>
  <c r="L4" i="15"/>
  <c r="O4" i="15"/>
  <c r="B3" i="46"/>
  <c r="O3" i="15"/>
  <c r="R3" i="15"/>
  <c r="L3" i="15"/>
  <c r="B4" i="46"/>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U14" i="2"/>
  <c r="U43" i="2"/>
  <c r="U71" i="2"/>
  <c r="U100" i="2"/>
  <c r="U21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A347" i="2"/>
  <c r="A348" i="2"/>
  <c r="A349" i="2"/>
  <c r="A350" i="2"/>
  <c r="R2" i="39" l="1"/>
  <c r="P2" i="39"/>
  <c r="T2" i="39"/>
  <c r="T6" i="39"/>
  <c r="R6" i="39"/>
  <c r="P6" i="39"/>
  <c r="V6" i="39"/>
  <c r="R3" i="39"/>
  <c r="V3" i="39"/>
  <c r="P3" i="39"/>
  <c r="T3" i="39"/>
  <c r="P10" i="39"/>
  <c r="T10" i="39"/>
  <c r="R10" i="39"/>
  <c r="V10" i="39"/>
  <c r="P7" i="39"/>
  <c r="V7" i="39"/>
  <c r="T7" i="39"/>
  <c r="R7" i="39"/>
  <c r="V11" i="39"/>
  <c r="T11" i="39"/>
  <c r="R11" i="39"/>
  <c r="P11" i="39"/>
  <c r="Q17" i="33"/>
  <c r="O17" i="33"/>
  <c r="Y298" i="2"/>
  <c r="AC298" i="2"/>
  <c r="AG298" i="2"/>
  <c r="Y286" i="2"/>
  <c r="AG286" i="2"/>
  <c r="AC286" i="2"/>
  <c r="Y284" i="2"/>
  <c r="AC284" i="2"/>
  <c r="AG284" i="2"/>
  <c r="Y295" i="2"/>
  <c r="AG295" i="2"/>
  <c r="AC295" i="2"/>
  <c r="Y282" i="2"/>
  <c r="AG282" i="2"/>
  <c r="AC282" i="2"/>
  <c r="Y281" i="2"/>
  <c r="AC281" i="2"/>
  <c r="AG281" i="2"/>
  <c r="Y292" i="2"/>
  <c r="AC292" i="2"/>
  <c r="AG292" i="2"/>
  <c r="Y210" i="2"/>
  <c r="AG210" i="2"/>
  <c r="AC210" i="2"/>
  <c r="Y297" i="2"/>
  <c r="AG297" i="2"/>
  <c r="AC297" i="2"/>
  <c r="Y285" i="2"/>
  <c r="AG285" i="2"/>
  <c r="AC285" i="2"/>
  <c r="Y100" i="2"/>
  <c r="AC100" i="2"/>
  <c r="AG100" i="2"/>
  <c r="Y302" i="2"/>
  <c r="AG302" i="2"/>
  <c r="AC302" i="2"/>
  <c r="Y290" i="2"/>
  <c r="AG290" i="2"/>
  <c r="AC290" i="2"/>
  <c r="Y71" i="2"/>
  <c r="AG71" i="2"/>
  <c r="AC71" i="2"/>
  <c r="Y294" i="2"/>
  <c r="AC294" i="2"/>
  <c r="AG294" i="2"/>
  <c r="Y291" i="2"/>
  <c r="AG291" i="2"/>
  <c r="AC291" i="2"/>
  <c r="Y301" i="2"/>
  <c r="AC301" i="2"/>
  <c r="AG301" i="2"/>
  <c r="Y289" i="2"/>
  <c r="AC289" i="2"/>
  <c r="AG289" i="2"/>
  <c r="Y43" i="2"/>
  <c r="AG43" i="2"/>
  <c r="AC43" i="2"/>
  <c r="Y296" i="2"/>
  <c r="AG296" i="2"/>
  <c r="AC296" i="2"/>
  <c r="Y303" i="2"/>
  <c r="AC303" i="2"/>
  <c r="AG303" i="2"/>
  <c r="Y300" i="2"/>
  <c r="AG300" i="2"/>
  <c r="AC300" i="2"/>
  <c r="Y288" i="2"/>
  <c r="AC288" i="2"/>
  <c r="AG288" i="2"/>
  <c r="Y14" i="2"/>
  <c r="AG14" i="2"/>
  <c r="AC14" i="2"/>
  <c r="Y283" i="2"/>
  <c r="AC283" i="2"/>
  <c r="AG283" i="2"/>
  <c r="Y293" i="2"/>
  <c r="AC293" i="2"/>
  <c r="AG293" i="2"/>
  <c r="Y299" i="2"/>
  <c r="AG299" i="2"/>
  <c r="AC299" i="2"/>
  <c r="Y287" i="2"/>
  <c r="AC287" i="2"/>
  <c r="AG287" i="2"/>
  <c r="K17" i="33"/>
  <c r="M17" i="33"/>
  <c r="B5" i="46"/>
  <c r="I11" i="33"/>
  <c r="T9" i="33"/>
  <c r="I10" i="33"/>
  <c r="I12" i="33"/>
  <c r="I21" i="33"/>
  <c r="I22" i="33"/>
  <c r="I18" i="33"/>
  <c r="T17" i="33"/>
  <c r="I16" i="33"/>
  <c r="A26" i="27"/>
  <c r="A27" i="27"/>
  <c r="A25" i="27"/>
  <c r="A29" i="27"/>
  <c r="A28" i="27"/>
  <c r="U15" i="2"/>
  <c r="U44" i="2"/>
  <c r="U72" i="2"/>
  <c r="U101" i="2"/>
  <c r="U211"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Q21" i="33" l="1"/>
  <c r="O21" i="33"/>
  <c r="Q22" i="33"/>
  <c r="O22" i="33"/>
  <c r="O12" i="33"/>
  <c r="Q12" i="33"/>
  <c r="Q11" i="33"/>
  <c r="O11" i="33"/>
  <c r="O16" i="33"/>
  <c r="Q16" i="33"/>
  <c r="O18" i="33"/>
  <c r="Q18" i="33"/>
  <c r="Y15" i="2"/>
  <c r="AC15" i="2"/>
  <c r="AG15" i="2"/>
  <c r="Y44" i="2"/>
  <c r="AC44" i="2"/>
  <c r="AG44" i="2"/>
  <c r="Y211" i="2"/>
  <c r="AG211" i="2"/>
  <c r="AC211" i="2"/>
  <c r="Y72" i="2"/>
  <c r="AG72" i="2"/>
  <c r="AC72" i="2"/>
  <c r="Y101" i="2"/>
  <c r="AC101" i="2"/>
  <c r="AG101" i="2"/>
  <c r="M11" i="33"/>
  <c r="K11" i="33"/>
  <c r="Q10" i="33"/>
  <c r="O10" i="33"/>
  <c r="K10" i="33"/>
  <c r="M10" i="33"/>
  <c r="M12" i="33"/>
  <c r="K12" i="33"/>
  <c r="M21" i="33"/>
  <c r="K21" i="33"/>
  <c r="M22" i="33"/>
  <c r="K22" i="33"/>
  <c r="K16" i="33"/>
  <c r="M16" i="33"/>
  <c r="M18" i="33"/>
  <c r="K18" i="33"/>
  <c r="T11" i="33"/>
  <c r="T10" i="33"/>
  <c r="T12" i="33"/>
  <c r="T18" i="33"/>
  <c r="T22" i="33"/>
  <c r="T21" i="33"/>
  <c r="T16" i="33"/>
  <c r="S24" i="33"/>
  <c r="U24" i="33" s="1"/>
  <c r="S33" i="33"/>
  <c r="U33" i="33" s="1"/>
  <c r="S142" i="33"/>
  <c r="U142" i="33" s="1"/>
  <c r="S5" i="33"/>
  <c r="U5" i="33" s="1"/>
  <c r="S35" i="33"/>
  <c r="U35" i="33" s="1"/>
  <c r="S51" i="33"/>
  <c r="U51" i="33" s="1"/>
  <c r="S63" i="33"/>
  <c r="U63" i="33" s="1"/>
  <c r="S144" i="33"/>
  <c r="U144" i="33" s="1"/>
  <c r="S3" i="33"/>
  <c r="U3" i="33" s="1"/>
  <c r="S32" i="33"/>
  <c r="U32" i="33" s="1"/>
  <c r="S39" i="33"/>
  <c r="U39" i="33" s="1"/>
  <c r="S141" i="33"/>
  <c r="U141" i="33" s="1"/>
  <c r="S23" i="33"/>
  <c r="U23" i="33" s="1"/>
  <c r="S34" i="33"/>
  <c r="U34" i="33" s="1"/>
  <c r="S138" i="33"/>
  <c r="U138" i="33" s="1"/>
  <c r="S146" i="33"/>
  <c r="U146" i="33" s="1"/>
  <c r="S2" i="33"/>
  <c r="U2" i="33" s="1"/>
  <c r="S9" i="33"/>
  <c r="U9" i="33" s="1"/>
  <c r="S18" i="33"/>
  <c r="U18" i="33" s="1"/>
  <c r="S25" i="33"/>
  <c r="U25" i="33" s="1"/>
  <c r="S143" i="33"/>
  <c r="U143" i="33" s="1"/>
  <c r="S147" i="33"/>
  <c r="U147" i="33" s="1"/>
  <c r="S27" i="33"/>
  <c r="U27" i="33" s="1"/>
  <c r="S36" i="33"/>
  <c r="U36" i="33" s="1"/>
  <c r="S41" i="33"/>
  <c r="U41" i="33" s="1"/>
  <c r="S30" i="33"/>
  <c r="U30" i="33" s="1"/>
  <c r="S37" i="33"/>
  <c r="U37" i="33" s="1"/>
  <c r="S42" i="33"/>
  <c r="U42" i="33" s="1"/>
  <c r="S53" i="33"/>
  <c r="U53" i="33" s="1"/>
  <c r="S68" i="33"/>
  <c r="U68" i="33" s="1"/>
  <c r="S77" i="33"/>
  <c r="U77" i="33" s="1"/>
  <c r="S86" i="33"/>
  <c r="U86" i="33" s="1"/>
  <c r="S29" i="33"/>
  <c r="U29" i="33" s="1"/>
  <c r="S49" i="33"/>
  <c r="U49" i="33" s="1"/>
  <c r="S75" i="33"/>
  <c r="U75" i="33" s="1"/>
  <c r="S88" i="33"/>
  <c r="U88" i="33" s="1"/>
  <c r="S90" i="33"/>
  <c r="U90" i="33" s="1"/>
  <c r="S28" i="33"/>
  <c r="U28" i="33" s="1"/>
  <c r="S47" i="33"/>
  <c r="U47" i="33" s="1"/>
  <c r="S66" i="33"/>
  <c r="U66" i="33" s="1"/>
  <c r="S82" i="33"/>
  <c r="U82" i="33" s="1"/>
  <c r="S84" i="33"/>
  <c r="U84" i="33" s="1"/>
  <c r="S149" i="33"/>
  <c r="U149" i="33" s="1"/>
  <c r="S26" i="33"/>
  <c r="U26" i="33" s="1"/>
  <c r="S38" i="33"/>
  <c r="U38" i="33" s="1"/>
  <c r="S60" i="33"/>
  <c r="U60" i="33" s="1"/>
  <c r="S64" i="33"/>
  <c r="U64" i="33" s="1"/>
  <c r="S73" i="33"/>
  <c r="U73" i="33" s="1"/>
  <c r="S80" i="33"/>
  <c r="U80" i="33" s="1"/>
  <c r="S139" i="33"/>
  <c r="U139" i="33" s="1"/>
  <c r="S148" i="33"/>
  <c r="U148" i="33" s="1"/>
  <c r="S43" i="33"/>
  <c r="U43" i="33" s="1"/>
  <c r="S45" i="33"/>
  <c r="U45" i="33" s="1"/>
  <c r="S52" i="33"/>
  <c r="U52" i="33" s="1"/>
  <c r="S56" i="33"/>
  <c r="U56" i="33" s="1"/>
  <c r="S58" i="33"/>
  <c r="U58" i="33" s="1"/>
  <c r="S71" i="33"/>
  <c r="U71" i="33" s="1"/>
  <c r="S140" i="33"/>
  <c r="U140" i="33" s="1"/>
  <c r="S16" i="33"/>
  <c r="U16" i="33" s="1"/>
  <c r="S54" i="33"/>
  <c r="U54" i="33" s="1"/>
  <c r="S69" i="33"/>
  <c r="U69" i="33" s="1"/>
  <c r="S78" i="33"/>
  <c r="U78" i="33" s="1"/>
  <c r="S15" i="33"/>
  <c r="U15" i="33" s="1"/>
  <c r="S50" i="33"/>
  <c r="U50" i="33" s="1"/>
  <c r="S62" i="33"/>
  <c r="U62" i="33" s="1"/>
  <c r="S76" i="33"/>
  <c r="U76" i="33" s="1"/>
  <c r="S4" i="33"/>
  <c r="U4" i="33" s="1"/>
  <c r="S14" i="33"/>
  <c r="U14" i="33" s="1"/>
  <c r="S17" i="33"/>
  <c r="U17" i="33" s="1"/>
  <c r="S21" i="33"/>
  <c r="U21" i="33" s="1"/>
  <c r="S22" i="33"/>
  <c r="U22" i="33" s="1"/>
  <c r="S67" i="33"/>
  <c r="U67" i="33" s="1"/>
  <c r="S13" i="33"/>
  <c r="U13" i="33" s="1"/>
  <c r="S40" i="33"/>
  <c r="U40" i="33" s="1"/>
  <c r="S48" i="33"/>
  <c r="U48" i="33" s="1"/>
  <c r="S65" i="33"/>
  <c r="U65" i="33" s="1"/>
  <c r="S74" i="33"/>
  <c r="U74" i="33" s="1"/>
  <c r="S81" i="33"/>
  <c r="U81" i="33" s="1"/>
  <c r="S83" i="33"/>
  <c r="U83" i="33" s="1"/>
  <c r="S12" i="33"/>
  <c r="U12" i="33" s="1"/>
  <c r="S46" i="33"/>
  <c r="U46" i="33" s="1"/>
  <c r="S59" i="33"/>
  <c r="U59" i="33" s="1"/>
  <c r="S6" i="33"/>
  <c r="U6" i="33" s="1"/>
  <c r="S10" i="33"/>
  <c r="U10" i="33" s="1"/>
  <c r="S11" i="33"/>
  <c r="U11" i="33" s="1"/>
  <c r="S55" i="33"/>
  <c r="U55" i="33" s="1"/>
  <c r="S57" i="33"/>
  <c r="U57" i="33" s="1"/>
  <c r="S70" i="33"/>
  <c r="U70" i="33" s="1"/>
  <c r="S72" i="33"/>
  <c r="U72" i="33" s="1"/>
  <c r="S79" i="33"/>
  <c r="U79" i="33" s="1"/>
  <c r="S97" i="33"/>
  <c r="U97" i="33" s="1"/>
  <c r="S121" i="33"/>
  <c r="U121" i="33" s="1"/>
  <c r="S123" i="33"/>
  <c r="U123" i="33" s="1"/>
  <c r="S132" i="33"/>
  <c r="U132" i="33" s="1"/>
  <c r="S134" i="33"/>
  <c r="U134" i="33" s="1"/>
  <c r="S136" i="33"/>
  <c r="U136" i="33" s="1"/>
  <c r="S125" i="33"/>
  <c r="U125" i="33" s="1"/>
  <c r="S44" i="33"/>
  <c r="U44" i="33" s="1"/>
  <c r="S94" i="33"/>
  <c r="U94" i="33" s="1"/>
  <c r="S31" i="33"/>
  <c r="U31" i="33" s="1"/>
  <c r="S92" i="33"/>
  <c r="U92" i="33" s="1"/>
  <c r="S101" i="33"/>
  <c r="U101" i="33" s="1"/>
  <c r="S93" i="33"/>
  <c r="U93" i="33" s="1"/>
  <c r="S114" i="33"/>
  <c r="U114" i="33" s="1"/>
  <c r="S127" i="33"/>
  <c r="U127" i="33" s="1"/>
  <c r="S129" i="33"/>
  <c r="U129" i="33" s="1"/>
  <c r="S98" i="33"/>
  <c r="U98" i="33" s="1"/>
  <c r="S103" i="33"/>
  <c r="U103" i="33" s="1"/>
  <c r="S105" i="33"/>
  <c r="U105" i="33" s="1"/>
  <c r="S107" i="33"/>
  <c r="U107" i="33" s="1"/>
  <c r="S109" i="33"/>
  <c r="U109" i="33" s="1"/>
  <c r="S120" i="33"/>
  <c r="U120" i="33" s="1"/>
  <c r="S95" i="33"/>
  <c r="U95" i="33" s="1"/>
  <c r="S99" i="33"/>
  <c r="U99" i="33" s="1"/>
  <c r="S122" i="33"/>
  <c r="U122" i="33" s="1"/>
  <c r="S124" i="33"/>
  <c r="U124" i="33" s="1"/>
  <c r="S133" i="33"/>
  <c r="U133" i="33" s="1"/>
  <c r="S145" i="33"/>
  <c r="U145" i="33" s="1"/>
  <c r="S113" i="33"/>
  <c r="U113" i="33" s="1"/>
  <c r="S126" i="33"/>
  <c r="U126" i="33" s="1"/>
  <c r="S87" i="33"/>
  <c r="U87" i="33" s="1"/>
  <c r="S102" i="33"/>
  <c r="U102" i="33" s="1"/>
  <c r="S61" i="33"/>
  <c r="U61" i="33" s="1"/>
  <c r="S85" i="33"/>
  <c r="U85" i="33" s="1"/>
  <c r="S89" i="33"/>
  <c r="U89" i="33" s="1"/>
  <c r="S100" i="33"/>
  <c r="U100" i="33" s="1"/>
  <c r="S104" i="33"/>
  <c r="U104" i="33" s="1"/>
  <c r="S106" i="33"/>
  <c r="U106" i="33" s="1"/>
  <c r="S108" i="33"/>
  <c r="U108" i="33" s="1"/>
  <c r="S115" i="33"/>
  <c r="U115" i="33" s="1"/>
  <c r="S96" i="33"/>
  <c r="U96" i="33" s="1"/>
  <c r="S110" i="33"/>
  <c r="U110" i="33" s="1"/>
  <c r="S117" i="33"/>
  <c r="U117" i="33" s="1"/>
  <c r="S130" i="33"/>
  <c r="U130" i="33" s="1"/>
  <c r="S118" i="33"/>
  <c r="U118" i="33" s="1"/>
  <c r="S111" i="33"/>
  <c r="U111" i="33" s="1"/>
  <c r="S91" i="33"/>
  <c r="U91" i="33" s="1"/>
  <c r="S135" i="33"/>
  <c r="U135" i="33" s="1"/>
  <c r="S8" i="33"/>
  <c r="U8" i="33" s="1"/>
  <c r="S131" i="33"/>
  <c r="U131" i="33" s="1"/>
  <c r="S137" i="33"/>
  <c r="U137" i="33" s="1"/>
  <c r="S128" i="33"/>
  <c r="U128" i="33" s="1"/>
  <c r="S116" i="33"/>
  <c r="U116" i="33" s="1"/>
  <c r="S119" i="33"/>
  <c r="U119" i="33" s="1"/>
  <c r="S112" i="33"/>
  <c r="U112" i="33" s="1"/>
  <c r="U16" i="2"/>
  <c r="U45" i="2"/>
  <c r="U73" i="2"/>
  <c r="U102" i="2"/>
  <c r="U212" i="2"/>
  <c r="H8" i="15"/>
  <c r="C8" i="15" s="1"/>
  <c r="O4" i="39" s="1"/>
  <c r="P4" i="39" l="1"/>
  <c r="R4" i="39"/>
  <c r="V4" i="39"/>
  <c r="T4" i="39"/>
  <c r="Y73" i="2"/>
  <c r="AG73" i="2"/>
  <c r="AC73" i="2"/>
  <c r="Y45" i="2"/>
  <c r="AC45" i="2"/>
  <c r="AG45" i="2"/>
  <c r="Y212" i="2"/>
  <c r="AC212" i="2"/>
  <c r="AG212" i="2"/>
  <c r="Y102" i="2"/>
  <c r="AC102" i="2"/>
  <c r="AG102" i="2"/>
  <c r="Y16" i="2"/>
  <c r="AC16" i="2"/>
  <c r="AG16" i="2"/>
  <c r="R8" i="15"/>
  <c r="L8" i="15"/>
  <c r="O8" i="15"/>
  <c r="U17" i="2"/>
  <c r="U46" i="2"/>
  <c r="U74" i="2"/>
  <c r="U103" i="2"/>
  <c r="U213" i="2"/>
  <c r="Y46" i="2" l="1"/>
  <c r="AG46" i="2"/>
  <c r="AC46" i="2"/>
  <c r="Y213" i="2"/>
  <c r="AC213" i="2"/>
  <c r="AG213" i="2"/>
  <c r="Y103" i="2"/>
  <c r="AC103" i="2"/>
  <c r="AG103" i="2"/>
  <c r="Y74" i="2"/>
  <c r="AC74" i="2"/>
  <c r="AG74" i="2"/>
  <c r="Y17" i="2"/>
  <c r="AC17" i="2"/>
  <c r="AG17" i="2"/>
  <c r="B6" i="46"/>
  <c r="U18" i="2"/>
  <c r="U47" i="2"/>
  <c r="U75" i="2"/>
  <c r="U104" i="2"/>
  <c r="U214" i="2"/>
  <c r="Y75" i="2" l="1"/>
  <c r="AC75" i="2"/>
  <c r="AG75" i="2"/>
  <c r="Y214" i="2"/>
  <c r="AG214" i="2"/>
  <c r="AC214" i="2"/>
  <c r="Y18" i="2"/>
  <c r="AC18" i="2"/>
  <c r="AG18" i="2"/>
  <c r="Y47" i="2"/>
  <c r="AG47" i="2"/>
  <c r="AC47" i="2"/>
  <c r="Y104" i="2"/>
  <c r="AG104" i="2"/>
  <c r="AC104" i="2"/>
  <c r="U19" i="2"/>
  <c r="U48" i="2"/>
  <c r="U76" i="2"/>
  <c r="U105" i="2"/>
  <c r="U215" i="2"/>
  <c r="Y105" i="2" l="1"/>
  <c r="AC105" i="2"/>
  <c r="AG105" i="2"/>
  <c r="Y215" i="2"/>
  <c r="AC215" i="2"/>
  <c r="AG215" i="2"/>
  <c r="Y76" i="2"/>
  <c r="AC76" i="2"/>
  <c r="AG76" i="2"/>
  <c r="Y19" i="2"/>
  <c r="AG19" i="2"/>
  <c r="AC19" i="2"/>
  <c r="Y48" i="2"/>
  <c r="AC48" i="2"/>
  <c r="AG48" i="2"/>
  <c r="U20" i="2"/>
  <c r="U49" i="2"/>
  <c r="U77" i="2"/>
  <c r="U106" i="2"/>
  <c r="U216"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Y216" i="2" l="1"/>
  <c r="AG216" i="2"/>
  <c r="AC216" i="2"/>
  <c r="Y106" i="2"/>
  <c r="AC106" i="2"/>
  <c r="AG106" i="2"/>
  <c r="Y77" i="2"/>
  <c r="AG77" i="2"/>
  <c r="AC77" i="2"/>
  <c r="Y49" i="2"/>
  <c r="AC49" i="2"/>
  <c r="AG49" i="2"/>
  <c r="Y20" i="2"/>
  <c r="AG20" i="2"/>
  <c r="AC20" i="2"/>
  <c r="I140" i="33"/>
  <c r="I143" i="33"/>
  <c r="I146" i="33"/>
  <c r="U21" i="2"/>
  <c r="U50" i="2"/>
  <c r="U78" i="2"/>
  <c r="U107" i="2"/>
  <c r="U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2" i="21"/>
  <c r="D4" i="21"/>
  <c r="C4" i="21" s="1"/>
  <c r="D5" i="21"/>
  <c r="C5" i="21" s="1"/>
  <c r="D3" i="21"/>
  <c r="C3" i="21" s="1"/>
  <c r="Q143" i="33" l="1"/>
  <c r="O143" i="33"/>
  <c r="Q140" i="33"/>
  <c r="O140" i="33"/>
  <c r="Q146" i="33"/>
  <c r="O146" i="33"/>
  <c r="Y50" i="2"/>
  <c r="AG50" i="2"/>
  <c r="AC50" i="2"/>
  <c r="Y21" i="2"/>
  <c r="AG21" i="2"/>
  <c r="AC21" i="2"/>
  <c r="Y217" i="2"/>
  <c r="AG217" i="2"/>
  <c r="AC217" i="2"/>
  <c r="Y107" i="2"/>
  <c r="AG107" i="2"/>
  <c r="AC107" i="2"/>
  <c r="Y78" i="2"/>
  <c r="AG78" i="2"/>
  <c r="AC78" i="2"/>
  <c r="K146" i="33"/>
  <c r="M146" i="33"/>
  <c r="K143" i="33"/>
  <c r="M143" i="33"/>
  <c r="M140" i="33"/>
  <c r="K140" i="33"/>
  <c r="T146" i="33"/>
  <c r="T143" i="33"/>
  <c r="T140" i="33"/>
  <c r="U22" i="2"/>
  <c r="U51" i="2"/>
  <c r="U79" i="2"/>
  <c r="U108" i="2"/>
  <c r="U218" i="2"/>
  <c r="B15" i="46"/>
  <c r="B18" i="46"/>
  <c r="H9" i="15"/>
  <c r="C9" i="15" s="1"/>
  <c r="O5" i="39" s="1"/>
  <c r="V5" i="39" l="1"/>
  <c r="P5" i="39"/>
  <c r="T5" i="39"/>
  <c r="R5" i="39"/>
  <c r="Y218" i="2"/>
  <c r="AC218" i="2"/>
  <c r="AG218" i="2"/>
  <c r="Y22" i="2"/>
  <c r="AC22" i="2"/>
  <c r="AG22" i="2"/>
  <c r="Y108" i="2"/>
  <c r="AC108" i="2"/>
  <c r="AG108" i="2"/>
  <c r="Y79" i="2"/>
  <c r="AC79" i="2"/>
  <c r="AG79" i="2"/>
  <c r="Y51" i="2"/>
  <c r="AC51" i="2"/>
  <c r="AG51" i="2"/>
  <c r="L9" i="15"/>
  <c r="O9" i="15"/>
  <c r="R9" i="15"/>
  <c r="B25" i="46"/>
  <c r="B24" i="46"/>
  <c r="S2" i="21"/>
  <c r="B23" i="46"/>
  <c r="B20" i="46"/>
  <c r="B22" i="46"/>
  <c r="B13" i="46"/>
  <c r="B21" i="46"/>
  <c r="B12" i="46"/>
  <c r="B19" i="46"/>
  <c r="U23" i="2"/>
  <c r="U52" i="2"/>
  <c r="U80" i="2"/>
  <c r="U109" i="2"/>
  <c r="U219" i="2"/>
  <c r="B16" i="46"/>
  <c r="B7" i="46"/>
  <c r="I2" i="33"/>
  <c r="Y109" i="2" l="1"/>
  <c r="AG109" i="2"/>
  <c r="AC109" i="2"/>
  <c r="Y219" i="2"/>
  <c r="AC219" i="2"/>
  <c r="AG219" i="2"/>
  <c r="Y80" i="2"/>
  <c r="AG80" i="2"/>
  <c r="AC80" i="2"/>
  <c r="Y52" i="2"/>
  <c r="AC52" i="2"/>
  <c r="AG52" i="2"/>
  <c r="Y23" i="2"/>
  <c r="AC23" i="2"/>
  <c r="AG23" i="2"/>
  <c r="O2" i="33"/>
  <c r="Q2" i="33"/>
  <c r="K2" i="33"/>
  <c r="M2" i="33"/>
  <c r="O15" i="39"/>
  <c r="O34" i="39"/>
  <c r="B8" i="46"/>
  <c r="B10" i="46"/>
  <c r="O18" i="39"/>
  <c r="O26" i="39"/>
  <c r="O14" i="39"/>
  <c r="O36" i="39"/>
  <c r="B14" i="46"/>
  <c r="B9" i="46"/>
  <c r="O8" i="39"/>
  <c r="B11" i="46"/>
  <c r="T6" i="33"/>
  <c r="O41" i="39"/>
  <c r="B17" i="46"/>
  <c r="O19" i="39"/>
  <c r="O43" i="39"/>
  <c r="O35" i="39"/>
  <c r="O22" i="39"/>
  <c r="O46" i="39"/>
  <c r="O48" i="39"/>
  <c r="O51" i="39"/>
  <c r="O25" i="39"/>
  <c r="O28" i="39"/>
  <c r="O42" i="39"/>
  <c r="O45" i="39"/>
  <c r="O32" i="39"/>
  <c r="O31" i="39"/>
  <c r="O29" i="39"/>
  <c r="O49" i="39"/>
  <c r="O23" i="39"/>
  <c r="O44" i="39"/>
  <c r="O24" i="39"/>
  <c r="O39" i="39"/>
  <c r="O13" i="39"/>
  <c r="O27" i="39"/>
  <c r="O17" i="39"/>
  <c r="O52" i="39"/>
  <c r="O30" i="39"/>
  <c r="O33" i="39"/>
  <c r="O9" i="39"/>
  <c r="O37" i="39"/>
  <c r="O20" i="39"/>
  <c r="O12" i="39"/>
  <c r="O16" i="39"/>
  <c r="O47" i="39"/>
  <c r="O21" i="39"/>
  <c r="O50" i="39"/>
  <c r="O38" i="39"/>
  <c r="O40" i="39"/>
  <c r="I5" i="33"/>
  <c r="I15" i="33"/>
  <c r="I13" i="33"/>
  <c r="I14" i="33"/>
  <c r="I149" i="33"/>
  <c r="I148" i="33"/>
  <c r="I147" i="33"/>
  <c r="I3" i="33"/>
  <c r="I4" i="33"/>
  <c r="I139" i="33"/>
  <c r="I142" i="33"/>
  <c r="I145" i="33"/>
  <c r="I138" i="33"/>
  <c r="I141" i="33"/>
  <c r="I144" i="33"/>
  <c r="B118" i="2"/>
  <c r="B18" i="2"/>
  <c r="B8" i="2"/>
  <c r="B15" i="2"/>
  <c r="B9" i="2"/>
  <c r="B4" i="2"/>
  <c r="B6" i="2"/>
  <c r="B16" i="2"/>
  <c r="B20" i="2"/>
  <c r="B10" i="2"/>
  <c r="B5" i="2"/>
  <c r="B11" i="2"/>
  <c r="B13" i="2"/>
  <c r="B21" i="2"/>
  <c r="B2" i="2"/>
  <c r="B19" i="2"/>
  <c r="B22" i="2"/>
  <c r="B7" i="2"/>
  <c r="B17" i="2"/>
  <c r="B12" i="2"/>
  <c r="B3" i="2"/>
  <c r="B14" i="2"/>
  <c r="B238" i="2"/>
  <c r="B311" i="2"/>
  <c r="B308" i="2"/>
  <c r="B342" i="2"/>
  <c r="B263" i="2"/>
  <c r="B267" i="2"/>
  <c r="B254" i="2"/>
  <c r="B256" i="2"/>
  <c r="B235" i="2"/>
  <c r="B317" i="2"/>
  <c r="B339" i="2"/>
  <c r="B281" i="2"/>
  <c r="B332" i="2"/>
  <c r="B309" i="2"/>
  <c r="B237" i="2"/>
  <c r="B341" i="2"/>
  <c r="B244" i="2"/>
  <c r="B322" i="2"/>
  <c r="B296" i="2"/>
  <c r="B260" i="2"/>
  <c r="B292" i="2"/>
  <c r="B340" i="2"/>
  <c r="B333" i="2"/>
  <c r="B172" i="2"/>
  <c r="B165" i="2"/>
  <c r="B103" i="2"/>
  <c r="B116" i="2"/>
  <c r="B97" i="2"/>
  <c r="B135" i="2"/>
  <c r="B128" i="2"/>
  <c r="B79" i="2"/>
  <c r="B62" i="2"/>
  <c r="B77" i="2"/>
  <c r="B259" i="2"/>
  <c r="B282" i="2"/>
  <c r="B257" i="2"/>
  <c r="B280" i="2"/>
  <c r="B326" i="2"/>
  <c r="B335" i="2"/>
  <c r="B271" i="2"/>
  <c r="B285" i="2"/>
  <c r="B313" i="2"/>
  <c r="B241" i="2"/>
  <c r="B171" i="2"/>
  <c r="B175" i="2"/>
  <c r="B102" i="2"/>
  <c r="B93" i="2"/>
  <c r="B95" i="2"/>
  <c r="B133" i="2"/>
  <c r="B146" i="2"/>
  <c r="B68" i="2"/>
  <c r="B78" i="2"/>
  <c r="B87" i="2"/>
  <c r="B252" i="2"/>
  <c r="B320" i="2"/>
  <c r="B315" i="2"/>
  <c r="B345" i="2"/>
  <c r="B307" i="2"/>
  <c r="B277" i="2"/>
  <c r="B236" i="2"/>
  <c r="B274" i="2"/>
  <c r="B306" i="2"/>
  <c r="B325" i="2"/>
  <c r="B314" i="2"/>
  <c r="B159" i="2"/>
  <c r="B158" i="2"/>
  <c r="B111" i="2"/>
  <c r="B108" i="2"/>
  <c r="B105" i="2"/>
  <c r="B139" i="2"/>
  <c r="B85" i="2"/>
  <c r="B61" i="2"/>
  <c r="B80" i="2"/>
  <c r="B327" i="2"/>
  <c r="B262" i="2"/>
  <c r="B289" i="2"/>
  <c r="B278" i="2"/>
  <c r="B319" i="2"/>
  <c r="B270" i="2"/>
  <c r="B273" i="2"/>
  <c r="B247" i="2"/>
  <c r="B310" i="2"/>
  <c r="B312" i="2"/>
  <c r="B299" i="2"/>
  <c r="B147" i="2"/>
  <c r="B169" i="2"/>
  <c r="B164" i="2"/>
  <c r="B90" i="2"/>
  <c r="B96" i="2"/>
  <c r="B112" i="2"/>
  <c r="B134" i="2"/>
  <c r="B67" i="2"/>
  <c r="B72" i="2"/>
  <c r="B71" i="2"/>
  <c r="B338" i="2"/>
  <c r="B297" i="2"/>
  <c r="B279" i="2"/>
  <c r="B323" i="2"/>
  <c r="B295" i="2"/>
  <c r="B298" i="2"/>
  <c r="B266" i="2"/>
  <c r="B303" i="2"/>
  <c r="B334" i="2"/>
  <c r="B291" i="2"/>
  <c r="B272" i="2"/>
  <c r="B330" i="2"/>
  <c r="B246" i="2"/>
  <c r="B284" i="2"/>
  <c r="B157" i="2"/>
  <c r="B174" i="2"/>
  <c r="B104" i="2"/>
  <c r="B115" i="2"/>
  <c r="B144" i="2"/>
  <c r="B140" i="2"/>
  <c r="B88" i="2"/>
  <c r="B81" i="2"/>
  <c r="B23" i="2"/>
  <c r="B347" i="2"/>
  <c r="B276" i="2"/>
  <c r="B316" i="2"/>
  <c r="B293" i="2"/>
  <c r="B318"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B350" i="2"/>
  <c r="B248" i="2"/>
  <c r="B344" i="2"/>
  <c r="B324" i="2"/>
  <c r="B343" i="2"/>
  <c r="B294" i="2"/>
  <c r="B287" i="2"/>
  <c r="B283" i="2"/>
  <c r="B301" i="2"/>
  <c r="B150" i="2"/>
  <c r="B122" i="2"/>
  <c r="B166" i="2"/>
  <c r="B94" i="2"/>
  <c r="B106" i="2"/>
  <c r="B125" i="2"/>
  <c r="B130" i="2"/>
  <c r="B66" i="2"/>
  <c r="B60" i="2"/>
  <c r="B28" i="2"/>
  <c r="B348" i="2"/>
  <c r="B258" i="2"/>
  <c r="B349" i="2"/>
  <c r="B245" i="2"/>
  <c r="B336" i="2"/>
  <c r="B302" i="2"/>
  <c r="B269" i="2"/>
  <c r="B239" i="2"/>
  <c r="B149" i="2"/>
  <c r="B121" i="2"/>
  <c r="B162" i="2"/>
  <c r="B154" i="2"/>
  <c r="B89" i="2"/>
  <c r="B113" i="2"/>
  <c r="B136" i="2"/>
  <c r="B132" i="2"/>
  <c r="B73" i="2"/>
  <c r="B65" i="2"/>
  <c r="B30" i="2"/>
  <c r="B253" i="2"/>
  <c r="B234" i="2"/>
  <c r="B251" i="2"/>
  <c r="B261" i="2"/>
  <c r="B346" i="2"/>
  <c r="B249" i="2"/>
  <c r="B290" i="2"/>
  <c r="B265" i="2"/>
  <c r="B268" i="2"/>
  <c r="B120" i="2"/>
  <c r="B161" i="2"/>
  <c r="B160" i="2"/>
  <c r="B92" i="2"/>
  <c r="B109" i="2"/>
  <c r="B101" i="2"/>
  <c r="B142" i="2"/>
  <c r="B129" i="2"/>
  <c r="B86" i="2"/>
  <c r="B63" i="2"/>
  <c r="B82" i="2"/>
  <c r="B26" i="2"/>
  <c r="U24" i="2"/>
  <c r="U53" i="2"/>
  <c r="U81" i="2"/>
  <c r="U110" i="2"/>
  <c r="U220" i="2"/>
  <c r="B205" i="2"/>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B206" i="2"/>
  <c r="B210" i="2"/>
  <c r="B207" i="2"/>
  <c r="B211" i="2"/>
  <c r="B208" i="2"/>
  <c r="B209" i="2"/>
  <c r="B179" i="2"/>
  <c r="B180" i="2"/>
  <c r="B181" i="2"/>
  <c r="B177" i="2"/>
  <c r="B182" i="2"/>
  <c r="B178" i="2"/>
  <c r="Q141" i="33" l="1"/>
  <c r="O141" i="33"/>
  <c r="Q138" i="33"/>
  <c r="O138" i="33"/>
  <c r="Q145" i="33"/>
  <c r="O145" i="33"/>
  <c r="Q144" i="33"/>
  <c r="O144" i="33"/>
  <c r="Q142" i="33"/>
  <c r="O142" i="33"/>
  <c r="Q139" i="33"/>
  <c r="O139" i="33"/>
  <c r="Q147" i="33"/>
  <c r="O147" i="33"/>
  <c r="O148" i="33"/>
  <c r="Q148" i="33"/>
  <c r="Q149" i="33"/>
  <c r="O149" i="33"/>
  <c r="O13" i="33"/>
  <c r="Q13" i="33"/>
  <c r="O15" i="33"/>
  <c r="Q15" i="33"/>
  <c r="O14" i="33"/>
  <c r="Q14" i="33"/>
  <c r="Y53" i="2"/>
  <c r="AC53" i="2"/>
  <c r="AG53" i="2"/>
  <c r="Y24" i="2"/>
  <c r="AC24" i="2"/>
  <c r="AG24" i="2"/>
  <c r="Y220" i="2"/>
  <c r="AC220" i="2"/>
  <c r="AG220" i="2"/>
  <c r="Y110" i="2"/>
  <c r="AC110" i="2"/>
  <c r="AG110" i="2"/>
  <c r="Y81" i="2"/>
  <c r="AG81" i="2"/>
  <c r="AC81" i="2"/>
  <c r="K138" i="33"/>
  <c r="M138" i="33"/>
  <c r="K145" i="33"/>
  <c r="M145" i="33"/>
  <c r="K5" i="33"/>
  <c r="M5" i="33"/>
  <c r="O5" i="33"/>
  <c r="Q5" i="33"/>
  <c r="K144" i="33"/>
  <c r="M144" i="33"/>
  <c r="K142" i="33"/>
  <c r="M142" i="33"/>
  <c r="M139" i="33"/>
  <c r="K139" i="33"/>
  <c r="K141" i="33"/>
  <c r="M141" i="33"/>
  <c r="K4" i="33"/>
  <c r="M4" i="33"/>
  <c r="O4" i="33"/>
  <c r="Q4" i="33"/>
  <c r="K3" i="33"/>
  <c r="M3" i="33"/>
  <c r="O3" i="33"/>
  <c r="Q3" i="33"/>
  <c r="K147" i="33"/>
  <c r="M147" i="33"/>
  <c r="K13" i="33"/>
  <c r="M13" i="33"/>
  <c r="K148" i="33"/>
  <c r="M148" i="33"/>
  <c r="M149" i="33"/>
  <c r="K149" i="33"/>
  <c r="M15" i="33"/>
  <c r="K15" i="33"/>
  <c r="M14" i="33"/>
  <c r="K14" i="33"/>
  <c r="R37" i="39"/>
  <c r="T37" i="39"/>
  <c r="V37" i="39"/>
  <c r="R40" i="39"/>
  <c r="T40" i="39"/>
  <c r="V40" i="39"/>
  <c r="R52" i="39"/>
  <c r="T52" i="39"/>
  <c r="V52" i="39"/>
  <c r="V32" i="39"/>
  <c r="R32" i="39"/>
  <c r="T32" i="39"/>
  <c r="V19" i="39"/>
  <c r="R19" i="39"/>
  <c r="T19" i="39"/>
  <c r="R14" i="39"/>
  <c r="T14" i="39"/>
  <c r="V14" i="39"/>
  <c r="T33" i="39"/>
  <c r="V33" i="39"/>
  <c r="R33" i="39"/>
  <c r="R18" i="39"/>
  <c r="T18" i="39"/>
  <c r="V18" i="39"/>
  <c r="R38" i="39"/>
  <c r="T38" i="39"/>
  <c r="V38" i="39"/>
  <c r="R17" i="39"/>
  <c r="T17" i="39"/>
  <c r="V17" i="39"/>
  <c r="T45" i="39"/>
  <c r="V45" i="39"/>
  <c r="R45" i="39"/>
  <c r="R36" i="39"/>
  <c r="T36" i="39"/>
  <c r="V36" i="39"/>
  <c r="R30" i="39"/>
  <c r="T30" i="39"/>
  <c r="V30" i="39"/>
  <c r="R50" i="39"/>
  <c r="T50" i="39"/>
  <c r="V50" i="39"/>
  <c r="R27" i="39"/>
  <c r="T27" i="39"/>
  <c r="V27" i="39"/>
  <c r="R42" i="39"/>
  <c r="T42" i="39"/>
  <c r="V42" i="39"/>
  <c r="R41" i="39"/>
  <c r="T41" i="39"/>
  <c r="V41" i="39"/>
  <c r="T34" i="39"/>
  <c r="V34" i="39"/>
  <c r="R34" i="39"/>
  <c r="T22" i="39"/>
  <c r="V22" i="39"/>
  <c r="R22" i="39"/>
  <c r="V31" i="39"/>
  <c r="R31" i="39"/>
  <c r="T31" i="39"/>
  <c r="T21" i="39"/>
  <c r="V21" i="39"/>
  <c r="R21" i="39"/>
  <c r="R28" i="39"/>
  <c r="T28" i="39"/>
  <c r="V28" i="39"/>
  <c r="R15" i="39"/>
  <c r="T15" i="39"/>
  <c r="V15" i="39"/>
  <c r="T9" i="39"/>
  <c r="V9" i="39"/>
  <c r="R9" i="39"/>
  <c r="R29" i="39"/>
  <c r="T29" i="39"/>
  <c r="V29" i="39"/>
  <c r="R47" i="39"/>
  <c r="T47" i="39"/>
  <c r="V47" i="39"/>
  <c r="R13" i="39"/>
  <c r="T13" i="39"/>
  <c r="V13" i="39"/>
  <c r="R25" i="39"/>
  <c r="T25" i="39"/>
  <c r="V25" i="39"/>
  <c r="R23" i="39"/>
  <c r="T23" i="39"/>
  <c r="V23" i="39"/>
  <c r="R35" i="39"/>
  <c r="T35" i="39"/>
  <c r="V35" i="39"/>
  <c r="R16" i="39"/>
  <c r="T16" i="39"/>
  <c r="V16" i="39"/>
  <c r="R39" i="39"/>
  <c r="T39" i="39"/>
  <c r="V39" i="39"/>
  <c r="R51" i="39"/>
  <c r="T51" i="39"/>
  <c r="V51" i="39"/>
  <c r="V8" i="39"/>
  <c r="R8" i="39"/>
  <c r="T8" i="39"/>
  <c r="R49" i="39"/>
  <c r="T49" i="39"/>
  <c r="V49" i="39"/>
  <c r="V43" i="39"/>
  <c r="R43" i="39"/>
  <c r="T43" i="39"/>
  <c r="R12" i="39"/>
  <c r="T12" i="39"/>
  <c r="V12" i="39"/>
  <c r="R24" i="39"/>
  <c r="T24" i="39"/>
  <c r="V24" i="39"/>
  <c r="R48" i="39"/>
  <c r="T48" i="39"/>
  <c r="V48" i="39"/>
  <c r="R26" i="39"/>
  <c r="T26" i="39"/>
  <c r="V26" i="39"/>
  <c r="V20" i="39"/>
  <c r="R20" i="39"/>
  <c r="T20" i="39"/>
  <c r="V44" i="39"/>
  <c r="R44" i="39"/>
  <c r="T44" i="39"/>
  <c r="T46" i="39"/>
  <c r="V46" i="39"/>
  <c r="R46" i="39"/>
  <c r="T248" i="2"/>
  <c r="X248" i="2"/>
  <c r="AB248" i="2"/>
  <c r="AF248" i="2"/>
  <c r="T25" i="2"/>
  <c r="AF25" i="2"/>
  <c r="AB25" i="2"/>
  <c r="X25" i="2"/>
  <c r="T305" i="2"/>
  <c r="AF305" i="2"/>
  <c r="AB305" i="2"/>
  <c r="X305" i="2"/>
  <c r="T84" i="2"/>
  <c r="X84" i="2"/>
  <c r="AF84" i="2"/>
  <c r="AB84" i="2"/>
  <c r="T75" i="2"/>
  <c r="AF75" i="2"/>
  <c r="AB75" i="2"/>
  <c r="X75" i="2"/>
  <c r="T286" i="2"/>
  <c r="AF286" i="2"/>
  <c r="AB286" i="2"/>
  <c r="X286" i="2"/>
  <c r="T104" i="2"/>
  <c r="AF104" i="2"/>
  <c r="AB104" i="2"/>
  <c r="X104" i="2"/>
  <c r="T295" i="2"/>
  <c r="X295" i="2"/>
  <c r="AF295" i="2"/>
  <c r="AB295" i="2"/>
  <c r="T164" i="2"/>
  <c r="X164" i="2"/>
  <c r="AB164" i="2"/>
  <c r="AF164" i="2"/>
  <c r="T262" i="2"/>
  <c r="AB262" i="2"/>
  <c r="AF262" i="2"/>
  <c r="X262" i="2"/>
  <c r="T325" i="2"/>
  <c r="AF325" i="2"/>
  <c r="AB325" i="2"/>
  <c r="X325" i="2"/>
  <c r="T68" i="2"/>
  <c r="AB68" i="2"/>
  <c r="AF68" i="2"/>
  <c r="X68" i="2"/>
  <c r="T335" i="2"/>
  <c r="AF335" i="2"/>
  <c r="X335" i="2"/>
  <c r="AB335" i="2"/>
  <c r="T116" i="2"/>
  <c r="AB116" i="2"/>
  <c r="X116" i="2"/>
  <c r="AF116" i="2"/>
  <c r="T237" i="2"/>
  <c r="AB237" i="2"/>
  <c r="X237" i="2"/>
  <c r="AF237" i="2"/>
  <c r="T308" i="2"/>
  <c r="X308" i="2"/>
  <c r="AF308" i="2"/>
  <c r="AB308" i="2"/>
  <c r="T13" i="2"/>
  <c r="AF13" i="2"/>
  <c r="AB13" i="2"/>
  <c r="X13" i="2"/>
  <c r="T118" i="2"/>
  <c r="AB118" i="2"/>
  <c r="AF118" i="2"/>
  <c r="X118" i="2"/>
  <c r="T183" i="2"/>
  <c r="AB183" i="2"/>
  <c r="AF183" i="2"/>
  <c r="X183" i="2"/>
  <c r="T328" i="2"/>
  <c r="AB328" i="2"/>
  <c r="AF328" i="2"/>
  <c r="X328" i="2"/>
  <c r="T137" i="2"/>
  <c r="AF137" i="2"/>
  <c r="AB137" i="2"/>
  <c r="X137" i="2"/>
  <c r="T131" i="2"/>
  <c r="AB131" i="2"/>
  <c r="AF131" i="2"/>
  <c r="X131" i="2"/>
  <c r="T318" i="2"/>
  <c r="AB318" i="2"/>
  <c r="X318" i="2"/>
  <c r="AF318" i="2"/>
  <c r="T174" i="2"/>
  <c r="AF174" i="2"/>
  <c r="AB174" i="2"/>
  <c r="X174" i="2"/>
  <c r="T323" i="2"/>
  <c r="AF323" i="2"/>
  <c r="AB323" i="2"/>
  <c r="X323" i="2"/>
  <c r="T169" i="2"/>
  <c r="AF169" i="2"/>
  <c r="AB169" i="2"/>
  <c r="X169" i="2"/>
  <c r="T327" i="2"/>
  <c r="AB327" i="2"/>
  <c r="AF327" i="2"/>
  <c r="X327" i="2"/>
  <c r="T306" i="2"/>
  <c r="AF306" i="2"/>
  <c r="AB306" i="2"/>
  <c r="X306" i="2"/>
  <c r="T146" i="2"/>
  <c r="AB146" i="2"/>
  <c r="X146" i="2"/>
  <c r="AF146" i="2"/>
  <c r="T326" i="2"/>
  <c r="AB326" i="2"/>
  <c r="AF326" i="2"/>
  <c r="X326" i="2"/>
  <c r="T103" i="2"/>
  <c r="AF103" i="2"/>
  <c r="AB103" i="2"/>
  <c r="X103" i="2"/>
  <c r="T309" i="2"/>
  <c r="AF309" i="2"/>
  <c r="X309" i="2"/>
  <c r="AB309" i="2"/>
  <c r="T311" i="2"/>
  <c r="AF311" i="2"/>
  <c r="AB311" i="2"/>
  <c r="X311" i="2"/>
  <c r="T11" i="2"/>
  <c r="AB11" i="2"/>
  <c r="AF11" i="2"/>
  <c r="X11" i="2"/>
  <c r="T215" i="2"/>
  <c r="X215" i="2"/>
  <c r="AF215" i="2"/>
  <c r="AB215" i="2"/>
  <c r="T209" i="2"/>
  <c r="AF209" i="2"/>
  <c r="AB209" i="2"/>
  <c r="X209" i="2"/>
  <c r="T194" i="2"/>
  <c r="AB194" i="2"/>
  <c r="AF194" i="2"/>
  <c r="X194" i="2"/>
  <c r="T216" i="2"/>
  <c r="X216" i="2"/>
  <c r="AF216" i="2"/>
  <c r="AB216" i="2"/>
  <c r="T120" i="2"/>
  <c r="AB120" i="2"/>
  <c r="X120" i="2"/>
  <c r="AF120" i="2"/>
  <c r="T73" i="2"/>
  <c r="AF73" i="2"/>
  <c r="X73" i="2"/>
  <c r="AB73" i="2"/>
  <c r="T336" i="2"/>
  <c r="AF336" i="2"/>
  <c r="AB336" i="2"/>
  <c r="X336" i="2"/>
  <c r="T166" i="2"/>
  <c r="X166" i="2"/>
  <c r="AF166" i="2"/>
  <c r="AB166" i="2"/>
  <c r="T27" i="2"/>
  <c r="AB27" i="2"/>
  <c r="AF27" i="2"/>
  <c r="X27" i="2"/>
  <c r="T76" i="2"/>
  <c r="AF76" i="2"/>
  <c r="AB76" i="2"/>
  <c r="X76" i="2"/>
  <c r="T275" i="2"/>
  <c r="AB275" i="2"/>
  <c r="AF275" i="2"/>
  <c r="X275" i="2"/>
  <c r="T145" i="2"/>
  <c r="AB145" i="2"/>
  <c r="AF145" i="2"/>
  <c r="X145" i="2"/>
  <c r="T143" i="2"/>
  <c r="AF143" i="2"/>
  <c r="AB143" i="2"/>
  <c r="X143" i="2"/>
  <c r="T293" i="2"/>
  <c r="AF293" i="2"/>
  <c r="AB293" i="2"/>
  <c r="X293" i="2"/>
  <c r="T157" i="2"/>
  <c r="AB157" i="2"/>
  <c r="AF157" i="2"/>
  <c r="X157" i="2"/>
  <c r="T279" i="2"/>
  <c r="AF279" i="2"/>
  <c r="X279" i="2"/>
  <c r="AB279" i="2"/>
  <c r="T147" i="2"/>
  <c r="AB147" i="2"/>
  <c r="X147" i="2"/>
  <c r="AF147" i="2"/>
  <c r="T80" i="2"/>
  <c r="AB80" i="2"/>
  <c r="X80" i="2"/>
  <c r="AF80" i="2"/>
  <c r="T274" i="2"/>
  <c r="AB274" i="2"/>
  <c r="AF274" i="2"/>
  <c r="X274" i="2"/>
  <c r="T133" i="2"/>
  <c r="AB133" i="2"/>
  <c r="AF133" i="2"/>
  <c r="X133" i="2"/>
  <c r="T280" i="2"/>
  <c r="AF280" i="2"/>
  <c r="X280" i="2"/>
  <c r="AB280" i="2"/>
  <c r="T165" i="2"/>
  <c r="X165" i="2"/>
  <c r="AB165" i="2"/>
  <c r="AF165" i="2"/>
  <c r="T332" i="2"/>
  <c r="AF332" i="2"/>
  <c r="X332" i="2"/>
  <c r="AB332" i="2"/>
  <c r="T238" i="2"/>
  <c r="AB238" i="2"/>
  <c r="X238" i="2"/>
  <c r="AF238" i="2"/>
  <c r="T5" i="2"/>
  <c r="AF5" i="2"/>
  <c r="AB5" i="2"/>
  <c r="X5" i="2"/>
  <c r="T228" i="2"/>
  <c r="AF228" i="2"/>
  <c r="X228" i="2"/>
  <c r="AB228" i="2"/>
  <c r="T221" i="2"/>
  <c r="AF221" i="2"/>
  <c r="AB221" i="2"/>
  <c r="X221" i="2"/>
  <c r="T201" i="2"/>
  <c r="AF201" i="2"/>
  <c r="AB201" i="2"/>
  <c r="X201" i="2"/>
  <c r="T223" i="2"/>
  <c r="AF223" i="2"/>
  <c r="AB223" i="2"/>
  <c r="X223" i="2"/>
  <c r="T208" i="2"/>
  <c r="X208" i="2"/>
  <c r="AF208" i="2"/>
  <c r="AB208" i="2"/>
  <c r="T57" i="2"/>
  <c r="AF57" i="2"/>
  <c r="X57" i="2"/>
  <c r="AB57" i="2"/>
  <c r="T41" i="2"/>
  <c r="AF41" i="2"/>
  <c r="AB41" i="2"/>
  <c r="X41" i="2"/>
  <c r="T200" i="2"/>
  <c r="AF200" i="2"/>
  <c r="AB200" i="2"/>
  <c r="X200" i="2"/>
  <c r="T193" i="2"/>
  <c r="AB193" i="2"/>
  <c r="AF193" i="2"/>
  <c r="X193" i="2"/>
  <c r="T222" i="2"/>
  <c r="AF222" i="2"/>
  <c r="AB222" i="2"/>
  <c r="X222" i="2"/>
  <c r="T226" i="2"/>
  <c r="AB226" i="2"/>
  <c r="AF226" i="2"/>
  <c r="X226" i="2"/>
  <c r="T26" i="2"/>
  <c r="AB26" i="2"/>
  <c r="AF26" i="2"/>
  <c r="X26" i="2"/>
  <c r="T268" i="2"/>
  <c r="X268" i="2"/>
  <c r="AF268" i="2"/>
  <c r="AB268" i="2"/>
  <c r="T132" i="2"/>
  <c r="AB132" i="2"/>
  <c r="AF132" i="2"/>
  <c r="X132" i="2"/>
  <c r="T245" i="2"/>
  <c r="AF245" i="2"/>
  <c r="AB245" i="2"/>
  <c r="X245" i="2"/>
  <c r="T122" i="2"/>
  <c r="AF122" i="2"/>
  <c r="AB122" i="2"/>
  <c r="X122" i="2"/>
  <c r="T83" i="2"/>
  <c r="AF83" i="2"/>
  <c r="X83" i="2"/>
  <c r="AB83" i="2"/>
  <c r="T141" i="2"/>
  <c r="AF141" i="2"/>
  <c r="AB141" i="2"/>
  <c r="X141" i="2"/>
  <c r="T300" i="2"/>
  <c r="X300" i="2"/>
  <c r="AB300" i="2"/>
  <c r="AF300" i="2"/>
  <c r="T107" i="2"/>
  <c r="AF107" i="2"/>
  <c r="AB107" i="2"/>
  <c r="X107" i="2"/>
  <c r="T99" i="2"/>
  <c r="X99" i="2"/>
  <c r="AF99" i="2"/>
  <c r="AB99" i="2"/>
  <c r="T316" i="2"/>
  <c r="AB316" i="2"/>
  <c r="X316" i="2"/>
  <c r="AF316" i="2"/>
  <c r="T284" i="2"/>
  <c r="AF284" i="2"/>
  <c r="X284" i="2"/>
  <c r="AB284" i="2"/>
  <c r="T297" i="2"/>
  <c r="AF297" i="2"/>
  <c r="X297" i="2"/>
  <c r="AB297" i="2"/>
  <c r="T299" i="2"/>
  <c r="AF299" i="2"/>
  <c r="AB299" i="2"/>
  <c r="X299" i="2"/>
  <c r="T61" i="2"/>
  <c r="AF61" i="2"/>
  <c r="X61" i="2"/>
  <c r="AB61" i="2"/>
  <c r="T236" i="2"/>
  <c r="AB236" i="2"/>
  <c r="AF236" i="2"/>
  <c r="X236" i="2"/>
  <c r="T95" i="2"/>
  <c r="AB95" i="2"/>
  <c r="X95" i="2"/>
  <c r="AF95" i="2"/>
  <c r="T257" i="2"/>
  <c r="AF257" i="2"/>
  <c r="AB257" i="2"/>
  <c r="X257" i="2"/>
  <c r="T172" i="2"/>
  <c r="AF172" i="2"/>
  <c r="AB172" i="2"/>
  <c r="X172" i="2"/>
  <c r="T281" i="2"/>
  <c r="AF281" i="2"/>
  <c r="AB281" i="2"/>
  <c r="X281" i="2"/>
  <c r="T14" i="2"/>
  <c r="AF14" i="2"/>
  <c r="AB14" i="2"/>
  <c r="X14" i="2"/>
  <c r="T10" i="2"/>
  <c r="AF10" i="2"/>
  <c r="AB10" i="2"/>
  <c r="X10" i="2"/>
  <c r="T180" i="2"/>
  <c r="AB180" i="2"/>
  <c r="AF180" i="2"/>
  <c r="X180" i="2"/>
  <c r="T179" i="2"/>
  <c r="X179" i="2"/>
  <c r="AF179" i="2"/>
  <c r="AB179" i="2"/>
  <c r="T94" i="2"/>
  <c r="AB94" i="2"/>
  <c r="AF94" i="2"/>
  <c r="X94" i="2"/>
  <c r="T233" i="2"/>
  <c r="AF233" i="2"/>
  <c r="AB233" i="2"/>
  <c r="X233" i="2"/>
  <c r="T74" i="2"/>
  <c r="AF74" i="2"/>
  <c r="X74" i="2"/>
  <c r="AB74" i="2"/>
  <c r="T127" i="2"/>
  <c r="AF127" i="2"/>
  <c r="X127" i="2"/>
  <c r="AB127" i="2"/>
  <c r="T337" i="2"/>
  <c r="AF337" i="2"/>
  <c r="AB337" i="2"/>
  <c r="X337" i="2"/>
  <c r="T110" i="2"/>
  <c r="X110" i="2"/>
  <c r="AB110" i="2"/>
  <c r="AF110" i="2"/>
  <c r="T91" i="2"/>
  <c r="AF91" i="2"/>
  <c r="AB91" i="2"/>
  <c r="X91" i="2"/>
  <c r="T276" i="2"/>
  <c r="AB276" i="2"/>
  <c r="AF276" i="2"/>
  <c r="X276" i="2"/>
  <c r="T246" i="2"/>
  <c r="AF246" i="2"/>
  <c r="AB246" i="2"/>
  <c r="X246" i="2"/>
  <c r="T338" i="2"/>
  <c r="AF338" i="2"/>
  <c r="AB338" i="2"/>
  <c r="X338" i="2"/>
  <c r="T312" i="2"/>
  <c r="AF312" i="2"/>
  <c r="AB312" i="2"/>
  <c r="X312" i="2"/>
  <c r="T85" i="2"/>
  <c r="X85" i="2"/>
  <c r="AF85" i="2"/>
  <c r="AB85" i="2"/>
  <c r="T277" i="2"/>
  <c r="AB277" i="2"/>
  <c r="X277" i="2"/>
  <c r="AF277" i="2"/>
  <c r="T93" i="2"/>
  <c r="AB93" i="2"/>
  <c r="AF93" i="2"/>
  <c r="X93" i="2"/>
  <c r="T282" i="2"/>
  <c r="X282" i="2"/>
  <c r="AF282" i="2"/>
  <c r="AB282" i="2"/>
  <c r="T333" i="2"/>
  <c r="X333" i="2"/>
  <c r="AF333" i="2"/>
  <c r="AB333" i="2"/>
  <c r="T339" i="2"/>
  <c r="X339" i="2"/>
  <c r="AF339" i="2"/>
  <c r="AB339" i="2"/>
  <c r="T3" i="2"/>
  <c r="AF3" i="2"/>
  <c r="AB3" i="2"/>
  <c r="X3" i="2"/>
  <c r="T20" i="2"/>
  <c r="X20" i="2"/>
  <c r="AF20" i="2"/>
  <c r="AB20" i="2"/>
  <c r="T214" i="2"/>
  <c r="AF214" i="2"/>
  <c r="X214" i="2"/>
  <c r="AB214" i="2"/>
  <c r="T34" i="2"/>
  <c r="X34" i="2"/>
  <c r="AB34" i="2"/>
  <c r="AF34" i="2"/>
  <c r="T211" i="2"/>
  <c r="AF211" i="2"/>
  <c r="AB211" i="2"/>
  <c r="X211" i="2"/>
  <c r="T138" i="2"/>
  <c r="AF138" i="2"/>
  <c r="X138" i="2"/>
  <c r="AB138" i="2"/>
  <c r="T170" i="2"/>
  <c r="AB170" i="2"/>
  <c r="AF170" i="2"/>
  <c r="X170" i="2"/>
  <c r="T347" i="2"/>
  <c r="AF347" i="2"/>
  <c r="X347" i="2"/>
  <c r="AB347" i="2"/>
  <c r="T330" i="2"/>
  <c r="AB330" i="2"/>
  <c r="X330" i="2"/>
  <c r="AF330" i="2"/>
  <c r="T71" i="2"/>
  <c r="X71" i="2"/>
  <c r="AF71" i="2"/>
  <c r="AB71" i="2"/>
  <c r="T310" i="2"/>
  <c r="AF310" i="2"/>
  <c r="AB310" i="2"/>
  <c r="X310" i="2"/>
  <c r="T139" i="2"/>
  <c r="AF139" i="2"/>
  <c r="X139" i="2"/>
  <c r="AB139" i="2"/>
  <c r="T307" i="2"/>
  <c r="AF307" i="2"/>
  <c r="AB307" i="2"/>
  <c r="X307" i="2"/>
  <c r="T102" i="2"/>
  <c r="AF102" i="2"/>
  <c r="AB102" i="2"/>
  <c r="X102" i="2"/>
  <c r="T259" i="2"/>
  <c r="AF259" i="2"/>
  <c r="AB259" i="2"/>
  <c r="X259" i="2"/>
  <c r="T340" i="2"/>
  <c r="AB340" i="2"/>
  <c r="AF340" i="2"/>
  <c r="X340" i="2"/>
  <c r="T317" i="2"/>
  <c r="AF317" i="2"/>
  <c r="AB317" i="2"/>
  <c r="X317" i="2"/>
  <c r="T12" i="2"/>
  <c r="AF12" i="2"/>
  <c r="AB12" i="2"/>
  <c r="X12" i="2"/>
  <c r="T16" i="2"/>
  <c r="AF16" i="2"/>
  <c r="AB16" i="2"/>
  <c r="X16" i="2"/>
  <c r="T30" i="2"/>
  <c r="AF30" i="2"/>
  <c r="AB30" i="2"/>
  <c r="X30" i="2"/>
  <c r="T302" i="2"/>
  <c r="AB302" i="2"/>
  <c r="X302" i="2"/>
  <c r="AF302" i="2"/>
  <c r="T56" i="2"/>
  <c r="AB56" i="2"/>
  <c r="AF56" i="2"/>
  <c r="X56" i="2"/>
  <c r="T82" i="2"/>
  <c r="AB82" i="2"/>
  <c r="X82" i="2"/>
  <c r="AF82" i="2"/>
  <c r="T188" i="2"/>
  <c r="AF188" i="2"/>
  <c r="X188" i="2"/>
  <c r="AB188" i="2"/>
  <c r="T63" i="2"/>
  <c r="AF63" i="2"/>
  <c r="AB63" i="2"/>
  <c r="X63" i="2"/>
  <c r="T114" i="2"/>
  <c r="X114" i="2"/>
  <c r="AB114" i="2"/>
  <c r="AF114" i="2"/>
  <c r="T42" i="2"/>
  <c r="AF42" i="2"/>
  <c r="AB42" i="2"/>
  <c r="X42" i="2"/>
  <c r="T227" i="2"/>
  <c r="AF227" i="2"/>
  <c r="X227" i="2"/>
  <c r="AB227" i="2"/>
  <c r="T86" i="2"/>
  <c r="X86" i="2"/>
  <c r="AF86" i="2"/>
  <c r="AB86" i="2"/>
  <c r="T89" i="2"/>
  <c r="AF89" i="2"/>
  <c r="AB89" i="2"/>
  <c r="X89" i="2"/>
  <c r="T321" i="2"/>
  <c r="X321" i="2"/>
  <c r="AF321" i="2"/>
  <c r="AB321" i="2"/>
  <c r="T156" i="2"/>
  <c r="AF156" i="2"/>
  <c r="X156" i="2"/>
  <c r="AB156" i="2"/>
  <c r="T168" i="2"/>
  <c r="AB168" i="2"/>
  <c r="AF168" i="2"/>
  <c r="X168" i="2"/>
  <c r="T23" i="2"/>
  <c r="AB23" i="2"/>
  <c r="AF23" i="2"/>
  <c r="X23" i="2"/>
  <c r="T272" i="2"/>
  <c r="AF272" i="2"/>
  <c r="AB272" i="2"/>
  <c r="X272" i="2"/>
  <c r="T72" i="2"/>
  <c r="X72" i="2"/>
  <c r="AF72" i="2"/>
  <c r="AB72" i="2"/>
  <c r="T247" i="2"/>
  <c r="AF247" i="2"/>
  <c r="AB247" i="2"/>
  <c r="X247" i="2"/>
  <c r="T105" i="2"/>
  <c r="AB105" i="2"/>
  <c r="AF105" i="2"/>
  <c r="X105" i="2"/>
  <c r="T345" i="2"/>
  <c r="X345" i="2"/>
  <c r="AF345" i="2"/>
  <c r="AB345" i="2"/>
  <c r="T175" i="2"/>
  <c r="AF175" i="2"/>
  <c r="AB175" i="2"/>
  <c r="X175" i="2"/>
  <c r="T77" i="2"/>
  <c r="AF77" i="2"/>
  <c r="AB77" i="2"/>
  <c r="X77" i="2"/>
  <c r="T292" i="2"/>
  <c r="AF292" i="2"/>
  <c r="X292" i="2"/>
  <c r="AB292" i="2"/>
  <c r="T235" i="2"/>
  <c r="AF235" i="2"/>
  <c r="X235" i="2"/>
  <c r="AB235" i="2"/>
  <c r="T17" i="2"/>
  <c r="AF17" i="2"/>
  <c r="AB17" i="2"/>
  <c r="X17" i="2"/>
  <c r="T6" i="2"/>
  <c r="AF6" i="2"/>
  <c r="X6" i="2"/>
  <c r="AB6" i="2"/>
  <c r="T59" i="2"/>
  <c r="AF59" i="2"/>
  <c r="X59" i="2"/>
  <c r="AB59" i="2"/>
  <c r="T160" i="2"/>
  <c r="AF160" i="2"/>
  <c r="AB160" i="2"/>
  <c r="X160" i="2"/>
  <c r="T50" i="2"/>
  <c r="AF50" i="2"/>
  <c r="AB50" i="2"/>
  <c r="X50" i="2"/>
  <c r="T65" i="2"/>
  <c r="AF65" i="2"/>
  <c r="AB65" i="2"/>
  <c r="X65" i="2"/>
  <c r="T58" i="2"/>
  <c r="AF58" i="2"/>
  <c r="X58" i="2"/>
  <c r="AB58" i="2"/>
  <c r="T49" i="2"/>
  <c r="AB49" i="2"/>
  <c r="AF49" i="2"/>
  <c r="X49" i="2"/>
  <c r="T265" i="2"/>
  <c r="AB265" i="2"/>
  <c r="AF265" i="2"/>
  <c r="X265" i="2"/>
  <c r="T207" i="2"/>
  <c r="AB207" i="2"/>
  <c r="X207" i="2"/>
  <c r="AF207" i="2"/>
  <c r="T55" i="2"/>
  <c r="AF55" i="2"/>
  <c r="AB55" i="2"/>
  <c r="X55" i="2"/>
  <c r="T217" i="2"/>
  <c r="X217" i="2"/>
  <c r="AF217" i="2"/>
  <c r="AB217" i="2"/>
  <c r="T290" i="2"/>
  <c r="AB290" i="2"/>
  <c r="X290" i="2"/>
  <c r="AF290" i="2"/>
  <c r="T258" i="2"/>
  <c r="AF258" i="2"/>
  <c r="AB258" i="2"/>
  <c r="X258" i="2"/>
  <c r="T163" i="2"/>
  <c r="AF163" i="2"/>
  <c r="X163" i="2"/>
  <c r="AB163" i="2"/>
  <c r="T54" i="2"/>
  <c r="AB54" i="2"/>
  <c r="AF54" i="2"/>
  <c r="X54" i="2"/>
  <c r="T203" i="2"/>
  <c r="X203" i="2"/>
  <c r="AF203" i="2"/>
  <c r="AB203" i="2"/>
  <c r="T348" i="2"/>
  <c r="AF348" i="2"/>
  <c r="X348" i="2"/>
  <c r="AB348" i="2"/>
  <c r="T98" i="2"/>
  <c r="X98" i="2"/>
  <c r="AF98" i="2"/>
  <c r="AB98" i="2"/>
  <c r="T206" i="2"/>
  <c r="AB206" i="2"/>
  <c r="X206" i="2"/>
  <c r="AF206" i="2"/>
  <c r="T53" i="2"/>
  <c r="AF53" i="2"/>
  <c r="AB53" i="2"/>
  <c r="X53" i="2"/>
  <c r="T35" i="2"/>
  <c r="X35" i="2"/>
  <c r="AF35" i="2"/>
  <c r="AB35" i="2"/>
  <c r="T186" i="2"/>
  <c r="AF186" i="2"/>
  <c r="AB186" i="2"/>
  <c r="X186" i="2"/>
  <c r="T191" i="2"/>
  <c r="X191" i="2"/>
  <c r="AF191" i="2"/>
  <c r="AB191" i="2"/>
  <c r="T212" i="2"/>
  <c r="AB212" i="2"/>
  <c r="X212" i="2"/>
  <c r="AF212" i="2"/>
  <c r="T220" i="2"/>
  <c r="AB220" i="2"/>
  <c r="X220" i="2"/>
  <c r="AF220" i="2"/>
  <c r="T129" i="2"/>
  <c r="AF129" i="2"/>
  <c r="AB129" i="2"/>
  <c r="X129" i="2"/>
  <c r="T346" i="2"/>
  <c r="X346" i="2"/>
  <c r="AF346" i="2"/>
  <c r="AB346" i="2"/>
  <c r="T154" i="2"/>
  <c r="AF154" i="2"/>
  <c r="AB154" i="2"/>
  <c r="X154" i="2"/>
  <c r="T28" i="2"/>
  <c r="AF28" i="2"/>
  <c r="AB28" i="2"/>
  <c r="X28" i="2"/>
  <c r="T287" i="2"/>
  <c r="AF287" i="2"/>
  <c r="X287" i="2"/>
  <c r="AB287" i="2"/>
  <c r="T100" i="2"/>
  <c r="AF100" i="2"/>
  <c r="X100" i="2"/>
  <c r="AB100" i="2"/>
  <c r="T173" i="2"/>
  <c r="AF173" i="2"/>
  <c r="AB173" i="2"/>
  <c r="X173" i="2"/>
  <c r="T264" i="2"/>
  <c r="AB264" i="2"/>
  <c r="X264" i="2"/>
  <c r="AF264" i="2"/>
  <c r="T119" i="2"/>
  <c r="AB119" i="2"/>
  <c r="AF119" i="2"/>
  <c r="X119" i="2"/>
  <c r="T225" i="2"/>
  <c r="AB225" i="2"/>
  <c r="AF225" i="2"/>
  <c r="X225" i="2"/>
  <c r="T81" i="2"/>
  <c r="AB81" i="2"/>
  <c r="AF81" i="2"/>
  <c r="X81" i="2"/>
  <c r="T291" i="2"/>
  <c r="AB291" i="2"/>
  <c r="AF291" i="2"/>
  <c r="X291" i="2"/>
  <c r="T67" i="2"/>
  <c r="AF67" i="2"/>
  <c r="AB67" i="2"/>
  <c r="X67" i="2"/>
  <c r="T273" i="2"/>
  <c r="AF273" i="2"/>
  <c r="AB273" i="2"/>
  <c r="X273" i="2"/>
  <c r="T108" i="2"/>
  <c r="AF108" i="2"/>
  <c r="AB108" i="2"/>
  <c r="X108" i="2"/>
  <c r="T315" i="2"/>
  <c r="AB315" i="2"/>
  <c r="X315" i="2"/>
  <c r="AF315" i="2"/>
  <c r="T171" i="2"/>
  <c r="AB171" i="2"/>
  <c r="AF171" i="2"/>
  <c r="X171" i="2"/>
  <c r="T62" i="2"/>
  <c r="AB62" i="2"/>
  <c r="X62" i="2"/>
  <c r="AF62" i="2"/>
  <c r="T260" i="2"/>
  <c r="AF260" i="2"/>
  <c r="AB260" i="2"/>
  <c r="X260" i="2"/>
  <c r="T256" i="2"/>
  <c r="AF256" i="2"/>
  <c r="X256" i="2"/>
  <c r="AB256" i="2"/>
  <c r="T7" i="2"/>
  <c r="AF7" i="2"/>
  <c r="X7" i="2"/>
  <c r="AB7" i="2"/>
  <c r="AF4" i="2"/>
  <c r="X4" i="2"/>
  <c r="AB4" i="2"/>
  <c r="T4" i="2"/>
  <c r="T45" i="2"/>
  <c r="X45" i="2"/>
  <c r="AF45" i="2"/>
  <c r="AB45" i="2"/>
  <c r="T187" i="2"/>
  <c r="AF187" i="2"/>
  <c r="AB187" i="2"/>
  <c r="X187" i="2"/>
  <c r="T161" i="2"/>
  <c r="AF161" i="2"/>
  <c r="AB161" i="2"/>
  <c r="X161" i="2"/>
  <c r="T38" i="2"/>
  <c r="AF38" i="2"/>
  <c r="AB38" i="2"/>
  <c r="X38" i="2"/>
  <c r="T197" i="2"/>
  <c r="AF197" i="2"/>
  <c r="AB197" i="2"/>
  <c r="X197" i="2"/>
  <c r="T136" i="2"/>
  <c r="AF136" i="2"/>
  <c r="X136" i="2"/>
  <c r="AB136" i="2"/>
  <c r="T46" i="2"/>
  <c r="X46" i="2"/>
  <c r="AF46" i="2"/>
  <c r="AB46" i="2"/>
  <c r="T192" i="2"/>
  <c r="X192" i="2"/>
  <c r="AF192" i="2"/>
  <c r="AB192" i="2"/>
  <c r="T219" i="2"/>
  <c r="AF219" i="2"/>
  <c r="AB219" i="2"/>
  <c r="X219" i="2"/>
  <c r="T113" i="2"/>
  <c r="AF113" i="2"/>
  <c r="AB113" i="2"/>
  <c r="X113" i="2"/>
  <c r="T301" i="2"/>
  <c r="AB301" i="2"/>
  <c r="AF301" i="2"/>
  <c r="X301" i="2"/>
  <c r="T242" i="2"/>
  <c r="AF242" i="2"/>
  <c r="X242" i="2"/>
  <c r="AB242" i="2"/>
  <c r="T210" i="2"/>
  <c r="AB210" i="2"/>
  <c r="AF210" i="2"/>
  <c r="X210" i="2"/>
  <c r="T198" i="2"/>
  <c r="AB198" i="2"/>
  <c r="AF198" i="2"/>
  <c r="X198" i="2"/>
  <c r="T224" i="2"/>
  <c r="AB224" i="2"/>
  <c r="AF224" i="2"/>
  <c r="X224" i="2"/>
  <c r="T249" i="2"/>
  <c r="AB249" i="2"/>
  <c r="AF249" i="2"/>
  <c r="X249" i="2"/>
  <c r="T283" i="2"/>
  <c r="AF283" i="2"/>
  <c r="X283" i="2"/>
  <c r="AB283" i="2"/>
  <c r="T126" i="2"/>
  <c r="X126" i="2"/>
  <c r="AF126" i="2"/>
  <c r="AB126" i="2"/>
  <c r="T178" i="2"/>
  <c r="X178" i="2"/>
  <c r="AB178" i="2"/>
  <c r="AF178" i="2"/>
  <c r="T176" i="2"/>
  <c r="X176" i="2"/>
  <c r="AB176" i="2"/>
  <c r="AF176" i="2"/>
  <c r="T36" i="2"/>
  <c r="AB36" i="2"/>
  <c r="AF36" i="2"/>
  <c r="X36" i="2"/>
  <c r="T32" i="2"/>
  <c r="X32" i="2"/>
  <c r="AB32" i="2"/>
  <c r="AF32" i="2"/>
  <c r="T185" i="2"/>
  <c r="AF185" i="2"/>
  <c r="AB185" i="2"/>
  <c r="X185" i="2"/>
  <c r="T199" i="2"/>
  <c r="AF199" i="2"/>
  <c r="AB199" i="2"/>
  <c r="X199" i="2"/>
  <c r="T218" i="2"/>
  <c r="AB218" i="2"/>
  <c r="X218" i="2"/>
  <c r="AF218" i="2"/>
  <c r="T231" i="2"/>
  <c r="AF231" i="2"/>
  <c r="X231" i="2"/>
  <c r="AB231" i="2"/>
  <c r="T142" i="2"/>
  <c r="AF142" i="2"/>
  <c r="AB142" i="2"/>
  <c r="X142" i="2"/>
  <c r="T261" i="2"/>
  <c r="X261" i="2"/>
  <c r="AF261" i="2"/>
  <c r="AB261" i="2"/>
  <c r="T162" i="2"/>
  <c r="X162" i="2"/>
  <c r="AF162" i="2"/>
  <c r="AB162" i="2"/>
  <c r="T60" i="2"/>
  <c r="AF60" i="2"/>
  <c r="X60" i="2"/>
  <c r="AB60" i="2"/>
  <c r="T294" i="2"/>
  <c r="AF294" i="2"/>
  <c r="AB294" i="2"/>
  <c r="X294" i="2"/>
  <c r="T117" i="2"/>
  <c r="AB117" i="2"/>
  <c r="X117" i="2"/>
  <c r="AF117" i="2"/>
  <c r="T167" i="2"/>
  <c r="AB167" i="2"/>
  <c r="AF167" i="2"/>
  <c r="X167" i="2"/>
  <c r="T250" i="2"/>
  <c r="AB250" i="2"/>
  <c r="X250" i="2"/>
  <c r="AF250" i="2"/>
  <c r="T153" i="2"/>
  <c r="X153" i="2"/>
  <c r="AF153" i="2"/>
  <c r="AB153" i="2"/>
  <c r="T148" i="2"/>
  <c r="AF148" i="2"/>
  <c r="AB148" i="2"/>
  <c r="X148" i="2"/>
  <c r="T88" i="2"/>
  <c r="AF88" i="2"/>
  <c r="AB88" i="2"/>
  <c r="X88" i="2"/>
  <c r="T334" i="2"/>
  <c r="X334" i="2"/>
  <c r="AF334" i="2"/>
  <c r="AB334" i="2"/>
  <c r="T134" i="2"/>
  <c r="AB134" i="2"/>
  <c r="AF134" i="2"/>
  <c r="X134" i="2"/>
  <c r="T270" i="2"/>
  <c r="AF270" i="2"/>
  <c r="X270" i="2"/>
  <c r="AB270" i="2"/>
  <c r="T111" i="2"/>
  <c r="X111" i="2"/>
  <c r="AF111" i="2"/>
  <c r="AB111" i="2"/>
  <c r="T320" i="2"/>
  <c r="AF320" i="2"/>
  <c r="AB320" i="2"/>
  <c r="X320" i="2"/>
  <c r="T241" i="2"/>
  <c r="X241" i="2"/>
  <c r="AF241" i="2"/>
  <c r="AB241" i="2"/>
  <c r="T79" i="2"/>
  <c r="AF79" i="2"/>
  <c r="AB79" i="2"/>
  <c r="X79" i="2"/>
  <c r="T296" i="2"/>
  <c r="AF296" i="2"/>
  <c r="X296" i="2"/>
  <c r="AB296" i="2"/>
  <c r="T254" i="2"/>
  <c r="AF254" i="2"/>
  <c r="AB254" i="2"/>
  <c r="X254" i="2"/>
  <c r="T22" i="2"/>
  <c r="X22" i="2"/>
  <c r="AF22" i="2"/>
  <c r="AB22" i="2"/>
  <c r="T9" i="2"/>
  <c r="AF9" i="2"/>
  <c r="X9" i="2"/>
  <c r="AB9" i="2"/>
  <c r="T350" i="2"/>
  <c r="AF350" i="2"/>
  <c r="AB350" i="2"/>
  <c r="X350" i="2"/>
  <c r="T189" i="2"/>
  <c r="X189" i="2"/>
  <c r="AF189" i="2"/>
  <c r="AB189" i="2"/>
  <c r="T150" i="2"/>
  <c r="X150" i="2"/>
  <c r="AF150" i="2"/>
  <c r="AB150" i="2"/>
  <c r="T31" i="2"/>
  <c r="AF31" i="2"/>
  <c r="X31" i="2"/>
  <c r="AB31" i="2"/>
  <c r="T202" i="2"/>
  <c r="X202" i="2"/>
  <c r="AF202" i="2"/>
  <c r="AB202" i="2"/>
  <c r="T251" i="2"/>
  <c r="AB251" i="2"/>
  <c r="X251" i="2"/>
  <c r="AF251" i="2"/>
  <c r="T66" i="2"/>
  <c r="AB66" i="2"/>
  <c r="AF66" i="2"/>
  <c r="X66" i="2"/>
  <c r="T343" i="2"/>
  <c r="AB343" i="2"/>
  <c r="AF343" i="2"/>
  <c r="X343" i="2"/>
  <c r="T155" i="2"/>
  <c r="AF155" i="2"/>
  <c r="AB155" i="2"/>
  <c r="X155" i="2"/>
  <c r="T124" i="2"/>
  <c r="AF124" i="2"/>
  <c r="X124" i="2"/>
  <c r="AB124" i="2"/>
  <c r="T255" i="2"/>
  <c r="X255" i="2"/>
  <c r="AF255" i="2"/>
  <c r="AB255" i="2"/>
  <c r="T329" i="2"/>
  <c r="AF329" i="2"/>
  <c r="AB329" i="2"/>
  <c r="X329" i="2"/>
  <c r="T243" i="2"/>
  <c r="AF243" i="2"/>
  <c r="X243" i="2"/>
  <c r="AB243" i="2"/>
  <c r="T140" i="2"/>
  <c r="AF140" i="2"/>
  <c r="X140" i="2"/>
  <c r="AB140" i="2"/>
  <c r="T303" i="2"/>
  <c r="AB303" i="2"/>
  <c r="X303" i="2"/>
  <c r="AF303" i="2"/>
  <c r="T112" i="2"/>
  <c r="AF112" i="2"/>
  <c r="X112" i="2"/>
  <c r="AB112" i="2"/>
  <c r="T319" i="2"/>
  <c r="AF319" i="2"/>
  <c r="X319" i="2"/>
  <c r="AB319" i="2"/>
  <c r="T158" i="2"/>
  <c r="AB158" i="2"/>
  <c r="X158" i="2"/>
  <c r="AF158" i="2"/>
  <c r="T252" i="2"/>
  <c r="AB252" i="2"/>
  <c r="X252" i="2"/>
  <c r="AF252" i="2"/>
  <c r="T313" i="2"/>
  <c r="X313" i="2"/>
  <c r="AF313" i="2"/>
  <c r="AB313" i="2"/>
  <c r="T128" i="2"/>
  <c r="AB128" i="2"/>
  <c r="AF128" i="2"/>
  <c r="X128" i="2"/>
  <c r="T322" i="2"/>
  <c r="AF322" i="2"/>
  <c r="X322" i="2"/>
  <c r="AB322" i="2"/>
  <c r="T267" i="2"/>
  <c r="AF267" i="2"/>
  <c r="AB267" i="2"/>
  <c r="X267" i="2"/>
  <c r="T19" i="2"/>
  <c r="AF19" i="2"/>
  <c r="X19" i="2"/>
  <c r="AB19" i="2"/>
  <c r="T15" i="2"/>
  <c r="AB15" i="2"/>
  <c r="AF15" i="2"/>
  <c r="X15" i="2"/>
  <c r="T269" i="2"/>
  <c r="AF269" i="2"/>
  <c r="AB269" i="2"/>
  <c r="X269" i="2"/>
  <c r="T70" i="2"/>
  <c r="AF70" i="2"/>
  <c r="AB70" i="2"/>
  <c r="X70" i="2"/>
  <c r="T230" i="2"/>
  <c r="AF230" i="2"/>
  <c r="X230" i="2"/>
  <c r="AB230" i="2"/>
  <c r="T182" i="2"/>
  <c r="AF182" i="2"/>
  <c r="X182" i="2"/>
  <c r="AB182" i="2"/>
  <c r="T48" i="2"/>
  <c r="X48" i="2"/>
  <c r="AF48" i="2"/>
  <c r="AB48" i="2"/>
  <c r="T205" i="2"/>
  <c r="AF205" i="2"/>
  <c r="X205" i="2"/>
  <c r="AB205" i="2"/>
  <c r="T121" i="2"/>
  <c r="AF121" i="2"/>
  <c r="AB121" i="2"/>
  <c r="X121" i="2"/>
  <c r="T37" i="2"/>
  <c r="AF37" i="2"/>
  <c r="AB37" i="2"/>
  <c r="X37" i="2"/>
  <c r="T52" i="2"/>
  <c r="AF52" i="2"/>
  <c r="AB52" i="2"/>
  <c r="X52" i="2"/>
  <c r="T43" i="2"/>
  <c r="AF43" i="2"/>
  <c r="AB43" i="2"/>
  <c r="X43" i="2"/>
  <c r="T184" i="2"/>
  <c r="AF184" i="2"/>
  <c r="AB184" i="2"/>
  <c r="X184" i="2"/>
  <c r="T190" i="2"/>
  <c r="X190" i="2"/>
  <c r="AB190" i="2"/>
  <c r="AF190" i="2"/>
  <c r="T229" i="2"/>
  <c r="AF229" i="2"/>
  <c r="X229" i="2"/>
  <c r="AB229" i="2"/>
  <c r="T109" i="2"/>
  <c r="AF109" i="2"/>
  <c r="AB109" i="2"/>
  <c r="X109" i="2"/>
  <c r="T234" i="2"/>
  <c r="AF234" i="2"/>
  <c r="AB234" i="2"/>
  <c r="X234" i="2"/>
  <c r="T149" i="2"/>
  <c r="AF149" i="2"/>
  <c r="AB149" i="2"/>
  <c r="X149" i="2"/>
  <c r="T130" i="2"/>
  <c r="AB130" i="2"/>
  <c r="X130" i="2"/>
  <c r="AF130" i="2"/>
  <c r="T324" i="2"/>
  <c r="AF324" i="2"/>
  <c r="AB324" i="2"/>
  <c r="X324" i="2"/>
  <c r="T123" i="2"/>
  <c r="X123" i="2"/>
  <c r="AF123" i="2"/>
  <c r="AB123" i="2"/>
  <c r="T152" i="2"/>
  <c r="X152" i="2"/>
  <c r="AF152" i="2"/>
  <c r="AB152" i="2"/>
  <c r="T29" i="2"/>
  <c r="AF29" i="2"/>
  <c r="AB29" i="2"/>
  <c r="X29" i="2"/>
  <c r="T24" i="2"/>
  <c r="AB24" i="2"/>
  <c r="AF24" i="2"/>
  <c r="X24" i="2"/>
  <c r="T288" i="2"/>
  <c r="AB288" i="2"/>
  <c r="AF288" i="2"/>
  <c r="X288" i="2"/>
  <c r="T144" i="2"/>
  <c r="AB144" i="2"/>
  <c r="AF144" i="2"/>
  <c r="X144" i="2"/>
  <c r="T266" i="2"/>
  <c r="AF266" i="2"/>
  <c r="X266" i="2"/>
  <c r="AB266" i="2"/>
  <c r="T96" i="2"/>
  <c r="AF96" i="2"/>
  <c r="AB96" i="2"/>
  <c r="X96" i="2"/>
  <c r="T278" i="2"/>
  <c r="AB278" i="2"/>
  <c r="X278" i="2"/>
  <c r="AF278" i="2"/>
  <c r="T159" i="2"/>
  <c r="AB159" i="2"/>
  <c r="AF159" i="2"/>
  <c r="X159" i="2"/>
  <c r="T87" i="2"/>
  <c r="X87" i="2"/>
  <c r="AF87" i="2"/>
  <c r="AB87" i="2"/>
  <c r="T285" i="2"/>
  <c r="AF285" i="2"/>
  <c r="AB285" i="2"/>
  <c r="X285" i="2"/>
  <c r="T135" i="2"/>
  <c r="AF135" i="2"/>
  <c r="X135" i="2"/>
  <c r="AB135" i="2"/>
  <c r="T244" i="2"/>
  <c r="AF244" i="2"/>
  <c r="X244" i="2"/>
  <c r="AB244" i="2"/>
  <c r="T263" i="2"/>
  <c r="AB263" i="2"/>
  <c r="X263" i="2"/>
  <c r="AF263" i="2"/>
  <c r="T2" i="2"/>
  <c r="X2" i="2"/>
  <c r="AF2" i="2"/>
  <c r="AB2" i="2"/>
  <c r="T8" i="2"/>
  <c r="AF8" i="2"/>
  <c r="X8" i="2"/>
  <c r="AB8" i="2"/>
  <c r="T51" i="2"/>
  <c r="AB51" i="2"/>
  <c r="X51" i="2"/>
  <c r="AF51" i="2"/>
  <c r="T106" i="2"/>
  <c r="AF106" i="2"/>
  <c r="AB106" i="2"/>
  <c r="X106" i="2"/>
  <c r="T47" i="2"/>
  <c r="X47" i="2"/>
  <c r="AB47" i="2"/>
  <c r="AF47" i="2"/>
  <c r="T349" i="2"/>
  <c r="AF349" i="2"/>
  <c r="X349" i="2"/>
  <c r="AB349" i="2"/>
  <c r="T33" i="2"/>
  <c r="X33" i="2"/>
  <c r="AF33" i="2"/>
  <c r="AB33" i="2"/>
  <c r="T196" i="2"/>
  <c r="AB196" i="2"/>
  <c r="AF196" i="2"/>
  <c r="X196" i="2"/>
  <c r="T213" i="2"/>
  <c r="AB213" i="2"/>
  <c r="AF213" i="2"/>
  <c r="X213" i="2"/>
  <c r="T101" i="2"/>
  <c r="AF101" i="2"/>
  <c r="AB101" i="2"/>
  <c r="X101" i="2"/>
  <c r="T177" i="2"/>
  <c r="X177" i="2"/>
  <c r="AF177" i="2"/>
  <c r="AB177" i="2"/>
  <c r="T181" i="2"/>
  <c r="AF181" i="2"/>
  <c r="AB181" i="2"/>
  <c r="X181" i="2"/>
  <c r="T44" i="2"/>
  <c r="AF44" i="2"/>
  <c r="AB44" i="2"/>
  <c r="X44" i="2"/>
  <c r="T40" i="2"/>
  <c r="AF40" i="2"/>
  <c r="AB40" i="2"/>
  <c r="X40" i="2"/>
  <c r="T39" i="2"/>
  <c r="AB39" i="2"/>
  <c r="AF39" i="2"/>
  <c r="X39" i="2"/>
  <c r="T195" i="2"/>
  <c r="AF195" i="2"/>
  <c r="AB195" i="2"/>
  <c r="X195" i="2"/>
  <c r="T204" i="2"/>
  <c r="X204" i="2"/>
  <c r="AF204" i="2"/>
  <c r="AB204" i="2"/>
  <c r="T232" i="2"/>
  <c r="AB232" i="2"/>
  <c r="AF232" i="2"/>
  <c r="X232" i="2"/>
  <c r="T92" i="2"/>
  <c r="AB92" i="2"/>
  <c r="AF92" i="2"/>
  <c r="X92" i="2"/>
  <c r="T253" i="2"/>
  <c r="AF253" i="2"/>
  <c r="AB253" i="2"/>
  <c r="X253" i="2"/>
  <c r="T239" i="2"/>
  <c r="AB239" i="2"/>
  <c r="AF239" i="2"/>
  <c r="X239" i="2"/>
  <c r="T125" i="2"/>
  <c r="AF125" i="2"/>
  <c r="AB125" i="2"/>
  <c r="X125" i="2"/>
  <c r="T344" i="2"/>
  <c r="AB344" i="2"/>
  <c r="AF344" i="2"/>
  <c r="X344" i="2"/>
  <c r="T151" i="2"/>
  <c r="AF151" i="2"/>
  <c r="X151" i="2"/>
  <c r="AB151" i="2"/>
  <c r="T240" i="2"/>
  <c r="AF240" i="2"/>
  <c r="AB240" i="2"/>
  <c r="X240" i="2"/>
  <c r="T69" i="2"/>
  <c r="AB69" i="2"/>
  <c r="X69" i="2"/>
  <c r="AF69" i="2"/>
  <c r="T64" i="2"/>
  <c r="AF64" i="2"/>
  <c r="AB64" i="2"/>
  <c r="X64" i="2"/>
  <c r="T331" i="2"/>
  <c r="AB331" i="2"/>
  <c r="X331" i="2"/>
  <c r="AF331" i="2"/>
  <c r="T115" i="2"/>
  <c r="AF115" i="2"/>
  <c r="AB115" i="2"/>
  <c r="X115" i="2"/>
  <c r="T298" i="2"/>
  <c r="AF298" i="2"/>
  <c r="AB298" i="2"/>
  <c r="X298" i="2"/>
  <c r="T90" i="2"/>
  <c r="AF90" i="2"/>
  <c r="AB90" i="2"/>
  <c r="X90" i="2"/>
  <c r="T289" i="2"/>
  <c r="AB289" i="2"/>
  <c r="X289" i="2"/>
  <c r="AF289" i="2"/>
  <c r="T314" i="2"/>
  <c r="AB314" i="2"/>
  <c r="AF314" i="2"/>
  <c r="X314" i="2"/>
  <c r="T78" i="2"/>
  <c r="AF78" i="2"/>
  <c r="AB78" i="2"/>
  <c r="X78" i="2"/>
  <c r="T271" i="2"/>
  <c r="AF271" i="2"/>
  <c r="AB271" i="2"/>
  <c r="X271" i="2"/>
  <c r="T97" i="2"/>
  <c r="X97" i="2"/>
  <c r="AF97" i="2"/>
  <c r="AB97" i="2"/>
  <c r="T341" i="2"/>
  <c r="AF341" i="2"/>
  <c r="AB341" i="2"/>
  <c r="X341" i="2"/>
  <c r="T342" i="2"/>
  <c r="AB342" i="2"/>
  <c r="X342" i="2"/>
  <c r="AF342" i="2"/>
  <c r="T21" i="2"/>
  <c r="X21" i="2"/>
  <c r="AF21" i="2"/>
  <c r="AB21" i="2"/>
  <c r="T18" i="2"/>
  <c r="AF18" i="2"/>
  <c r="AB18" i="2"/>
  <c r="X18" i="2"/>
  <c r="P15" i="39"/>
  <c r="P28" i="39"/>
  <c r="P9" i="39"/>
  <c r="P23" i="39"/>
  <c r="P22" i="39"/>
  <c r="P33" i="39"/>
  <c r="P49" i="39"/>
  <c r="P35" i="39"/>
  <c r="P36" i="39"/>
  <c r="P30" i="39"/>
  <c r="P29" i="39"/>
  <c r="P14" i="39"/>
  <c r="P41" i="39"/>
  <c r="P40" i="39"/>
  <c r="P31" i="39"/>
  <c r="P43" i="39"/>
  <c r="P26" i="39"/>
  <c r="P38" i="39"/>
  <c r="P52" i="39"/>
  <c r="P32" i="39"/>
  <c r="P18" i="39"/>
  <c r="P50" i="39"/>
  <c r="P17" i="39"/>
  <c r="P45" i="39"/>
  <c r="P19" i="39"/>
  <c r="P21" i="39"/>
  <c r="P27" i="39"/>
  <c r="P42" i="39"/>
  <c r="P13" i="39"/>
  <c r="P12" i="39"/>
  <c r="P39" i="39"/>
  <c r="P51" i="39"/>
  <c r="P34" i="39"/>
  <c r="P25" i="39"/>
  <c r="P20" i="39"/>
  <c r="P24" i="39"/>
  <c r="P48" i="39"/>
  <c r="P8" i="39"/>
  <c r="P47" i="39"/>
  <c r="P16" i="39"/>
  <c r="P37" i="39"/>
  <c r="P44" i="39"/>
  <c r="P46" i="39"/>
  <c r="T15" i="33"/>
  <c r="T2" i="33"/>
  <c r="T5" i="33"/>
  <c r="T13" i="33"/>
  <c r="T14" i="33"/>
  <c r="T149" i="33"/>
  <c r="T147" i="33"/>
  <c r="T148" i="33"/>
  <c r="T141" i="33"/>
  <c r="T8" i="33"/>
  <c r="T138" i="33"/>
  <c r="T145" i="33"/>
  <c r="T142" i="33"/>
  <c r="T139" i="33"/>
  <c r="T4" i="33"/>
  <c r="T3" i="33"/>
  <c r="T144" i="33"/>
  <c r="S7" i="33"/>
  <c r="U7" i="33" s="1"/>
  <c r="U25" i="2"/>
  <c r="U54" i="2"/>
  <c r="U82" i="2"/>
  <c r="U111" i="2"/>
  <c r="U221" i="2"/>
  <c r="Y221" i="2" l="1"/>
  <c r="AC221" i="2"/>
  <c r="AG221" i="2"/>
  <c r="Y111" i="2"/>
  <c r="AG111" i="2"/>
  <c r="AC111" i="2"/>
  <c r="Y82" i="2"/>
  <c r="AG82" i="2"/>
  <c r="AC82" i="2"/>
  <c r="Y54" i="2"/>
  <c r="AG54" i="2"/>
  <c r="AC54" i="2"/>
  <c r="Y25" i="2"/>
  <c r="AC25" i="2"/>
  <c r="AG25" i="2"/>
  <c r="U26" i="2"/>
  <c r="U55" i="2"/>
  <c r="U83" i="2"/>
  <c r="U112" i="2"/>
  <c r="U222" i="2"/>
  <c r="Y83" i="2" l="1"/>
  <c r="AC83" i="2"/>
  <c r="AG83" i="2"/>
  <c r="Y222" i="2"/>
  <c r="AG222" i="2"/>
  <c r="AC222" i="2"/>
  <c r="Y55" i="2"/>
  <c r="AC55" i="2"/>
  <c r="AG55" i="2"/>
  <c r="Y112" i="2"/>
  <c r="AC112" i="2"/>
  <c r="AG112" i="2"/>
  <c r="Y26" i="2"/>
  <c r="AG26" i="2"/>
  <c r="AC26" i="2"/>
  <c r="U27" i="2"/>
  <c r="U56" i="2"/>
  <c r="U84" i="2"/>
  <c r="U113" i="2"/>
  <c r="U223" i="2"/>
  <c r="Y223" i="2" l="1"/>
  <c r="AC223" i="2"/>
  <c r="AG223" i="2"/>
  <c r="Y56" i="2"/>
  <c r="AC56" i="2"/>
  <c r="AG56" i="2"/>
  <c r="Y113" i="2"/>
  <c r="AC113" i="2"/>
  <c r="AG113" i="2"/>
  <c r="Y27" i="2"/>
  <c r="AC27" i="2"/>
  <c r="AG27" i="2"/>
  <c r="Y84" i="2"/>
  <c r="AC84" i="2"/>
  <c r="AG84" i="2"/>
  <c r="U28" i="2"/>
  <c r="U57" i="2"/>
  <c r="U85" i="2"/>
  <c r="U114" i="2"/>
  <c r="U224" i="2"/>
  <c r="Y114" i="2" l="1"/>
  <c r="AG114" i="2"/>
  <c r="AC114" i="2"/>
  <c r="Y57" i="2"/>
  <c r="AG57" i="2"/>
  <c r="AC57" i="2"/>
  <c r="Y224" i="2"/>
  <c r="AC224" i="2"/>
  <c r="AG224" i="2"/>
  <c r="Y85" i="2"/>
  <c r="AC85" i="2"/>
  <c r="AG85" i="2"/>
  <c r="Y28" i="2"/>
  <c r="AC28" i="2"/>
  <c r="AG28" i="2"/>
  <c r="U30" i="2"/>
  <c r="U29" i="2"/>
  <c r="U59" i="2"/>
  <c r="U58" i="2"/>
  <c r="U86" i="2"/>
  <c r="U115" i="2"/>
  <c r="U225" i="2"/>
  <c r="Y86" i="2" l="1"/>
  <c r="AC86" i="2"/>
  <c r="AG86" i="2"/>
  <c r="Y225" i="2"/>
  <c r="AC225" i="2"/>
  <c r="AG225" i="2"/>
  <c r="Y29" i="2"/>
  <c r="AC29" i="2"/>
  <c r="AG29" i="2"/>
  <c r="Y30" i="2"/>
  <c r="AC30" i="2"/>
  <c r="AG30" i="2"/>
  <c r="Y115" i="2"/>
  <c r="AG115" i="2"/>
  <c r="AC115" i="2"/>
  <c r="Y58" i="2"/>
  <c r="AC58" i="2"/>
  <c r="AG58" i="2"/>
  <c r="Y59" i="2"/>
  <c r="AC59" i="2"/>
  <c r="AG59" i="2"/>
  <c r="U88" i="2"/>
  <c r="U87" i="2"/>
  <c r="U117" i="2"/>
  <c r="U116" i="2"/>
  <c r="U226" i="2"/>
  <c r="Y88" i="2" l="1"/>
  <c r="AC88" i="2"/>
  <c r="AG88" i="2"/>
  <c r="Y87" i="2"/>
  <c r="AC87" i="2"/>
  <c r="AG87" i="2"/>
  <c r="Y226" i="2"/>
  <c r="AG226" i="2"/>
  <c r="AC226" i="2"/>
  <c r="Y117" i="2"/>
  <c r="AC117" i="2"/>
  <c r="AG117" i="2"/>
  <c r="Y116" i="2"/>
  <c r="AC116" i="2"/>
  <c r="AG116" i="2"/>
  <c r="U227" i="2"/>
  <c r="Y227" i="2" l="1"/>
  <c r="AC227" i="2"/>
  <c r="AG227" i="2"/>
  <c r="U228" i="2"/>
  <c r="Y228" i="2" l="1"/>
  <c r="AC228" i="2"/>
  <c r="AG228" i="2"/>
  <c r="U229" i="2"/>
  <c r="Y229" i="2" l="1"/>
  <c r="AC229" i="2"/>
  <c r="AG229" i="2"/>
  <c r="U230" i="2"/>
  <c r="Y230" i="2" l="1"/>
  <c r="AC230" i="2"/>
  <c r="AG230" i="2"/>
  <c r="U231" i="2"/>
  <c r="Y231" i="2" l="1"/>
  <c r="AC231" i="2"/>
  <c r="AG231" i="2"/>
  <c r="U233" i="2"/>
  <c r="U232" i="2"/>
  <c r="Y233" i="2" l="1"/>
  <c r="AG233" i="2"/>
  <c r="AC233" i="2"/>
  <c r="Y232" i="2"/>
  <c r="AC232" i="2"/>
  <c r="AG232" i="2"/>
  <c r="U118" i="2"/>
  <c r="U119" i="2"/>
  <c r="Y119" i="2" l="1"/>
  <c r="AG119" i="2"/>
  <c r="AC119" i="2"/>
  <c r="Y118" i="2"/>
  <c r="AG118" i="2"/>
  <c r="AC118" i="2"/>
  <c r="U121" i="2"/>
  <c r="U120" i="2"/>
  <c r="Y121" i="2" l="1"/>
  <c r="AG121" i="2"/>
  <c r="AC121" i="2"/>
  <c r="Y120" i="2"/>
  <c r="AG120" i="2"/>
  <c r="AC120" i="2"/>
  <c r="U122" i="2"/>
  <c r="Y122" i="2" l="1"/>
  <c r="AC122" i="2"/>
  <c r="AG122" i="2"/>
  <c r="U123" i="2"/>
  <c r="Y123" i="2" l="1"/>
  <c r="AG123" i="2"/>
  <c r="AC123" i="2"/>
  <c r="U124" i="2"/>
  <c r="Y124" i="2" l="1"/>
  <c r="AC124" i="2"/>
  <c r="AG124" i="2"/>
  <c r="U125" i="2"/>
  <c r="Y125" i="2" l="1"/>
  <c r="AC125" i="2"/>
  <c r="AG125" i="2"/>
  <c r="U126" i="2"/>
  <c r="Y126" i="2" l="1"/>
  <c r="AG126" i="2"/>
  <c r="AC126" i="2"/>
  <c r="U127" i="2"/>
  <c r="Y127" i="2" l="1"/>
  <c r="AG127" i="2"/>
  <c r="AC127" i="2"/>
  <c r="U128" i="2"/>
  <c r="Y128" i="2" l="1"/>
  <c r="AC128" i="2"/>
  <c r="AG128" i="2"/>
  <c r="U129" i="2"/>
  <c r="Y129" i="2" l="1"/>
  <c r="AC129" i="2"/>
  <c r="AG129" i="2"/>
  <c r="U130" i="2"/>
  <c r="Y130" i="2" l="1"/>
  <c r="AG130" i="2"/>
  <c r="AC130" i="2"/>
  <c r="U131" i="2"/>
  <c r="Y131" i="2" l="1"/>
  <c r="AG131" i="2"/>
  <c r="AC131" i="2"/>
  <c r="U132" i="2"/>
  <c r="Y132" i="2" l="1"/>
  <c r="AG132" i="2"/>
  <c r="AC132" i="2"/>
  <c r="U133" i="2"/>
  <c r="Y133" i="2" l="1"/>
  <c r="AC133" i="2"/>
  <c r="AG133" i="2"/>
  <c r="U134" i="2"/>
  <c r="Y134" i="2" l="1"/>
  <c r="AC134" i="2"/>
  <c r="AG134" i="2"/>
  <c r="U135" i="2"/>
  <c r="Y135" i="2" l="1"/>
  <c r="AG135" i="2"/>
  <c r="AC135" i="2"/>
  <c r="U136" i="2"/>
  <c r="Y136" i="2" l="1"/>
  <c r="AC136" i="2"/>
  <c r="AG136" i="2"/>
  <c r="U137" i="2"/>
  <c r="Y137" i="2" l="1"/>
  <c r="AC137" i="2"/>
  <c r="AG137" i="2"/>
  <c r="U138" i="2"/>
  <c r="Y138" i="2" l="1"/>
  <c r="AG138" i="2"/>
  <c r="AC138" i="2"/>
  <c r="U139" i="2"/>
  <c r="Y139" i="2" l="1"/>
  <c r="AC139" i="2"/>
  <c r="AG139" i="2"/>
  <c r="U140" i="2"/>
  <c r="Y140" i="2" l="1"/>
  <c r="AC140" i="2"/>
  <c r="AG140" i="2"/>
  <c r="U141" i="2"/>
  <c r="Y141" i="2" l="1"/>
  <c r="AG141" i="2"/>
  <c r="AC141" i="2"/>
  <c r="U142" i="2"/>
  <c r="Y142" i="2" l="1"/>
  <c r="AG142" i="2"/>
  <c r="AC142" i="2"/>
  <c r="U143" i="2"/>
  <c r="Y143" i="2" l="1"/>
  <c r="AC143" i="2"/>
  <c r="AG143" i="2"/>
  <c r="U144" i="2"/>
  <c r="Y144" i="2" l="1"/>
  <c r="AG144" i="2"/>
  <c r="AC144" i="2"/>
  <c r="U145" i="2"/>
  <c r="U146" i="2"/>
  <c r="Y146" i="2" l="1"/>
  <c r="AG146" i="2"/>
  <c r="AC146" i="2"/>
  <c r="Y145" i="2"/>
  <c r="AC145" i="2"/>
  <c r="AG145" i="2"/>
  <c r="U147" i="2"/>
  <c r="U149" i="2"/>
  <c r="Y147" i="2" l="1"/>
  <c r="AG147" i="2"/>
  <c r="AC147" i="2"/>
  <c r="Y149" i="2"/>
  <c r="AC149" i="2"/>
  <c r="AG149" i="2"/>
  <c r="U148" i="2"/>
  <c r="Y148" i="2" l="1"/>
  <c r="AC148" i="2"/>
  <c r="AG148" i="2"/>
  <c r="U150" i="2"/>
  <c r="Y150" i="2" l="1"/>
  <c r="AC150" i="2"/>
  <c r="AG150" i="2"/>
  <c r="U151" i="2"/>
  <c r="Y151" i="2" l="1"/>
  <c r="AG151" i="2"/>
  <c r="AC151" i="2"/>
  <c r="U152" i="2"/>
  <c r="Y152" i="2" l="1"/>
  <c r="AC152" i="2"/>
  <c r="AG152" i="2"/>
  <c r="U153" i="2"/>
  <c r="Y153" i="2" l="1"/>
  <c r="AG153" i="2"/>
  <c r="AC153" i="2"/>
  <c r="U154" i="2"/>
  <c r="Y154" i="2" l="1"/>
  <c r="AC154" i="2"/>
  <c r="AG154" i="2"/>
  <c r="U155" i="2"/>
  <c r="Y155" i="2" l="1"/>
  <c r="AC155" i="2"/>
  <c r="AG155" i="2"/>
  <c r="U156" i="2"/>
  <c r="Y156" i="2" l="1"/>
  <c r="AG156" i="2"/>
  <c r="AC156" i="2"/>
  <c r="U157" i="2"/>
  <c r="Y157" i="2" l="1"/>
  <c r="AC157" i="2"/>
  <c r="AG157" i="2"/>
  <c r="U158" i="2"/>
  <c r="Y158" i="2" l="1"/>
  <c r="AG158" i="2"/>
  <c r="AC158" i="2"/>
  <c r="U159" i="2"/>
  <c r="Y159" i="2" l="1"/>
  <c r="AC159" i="2"/>
  <c r="AG159" i="2"/>
  <c r="U160" i="2"/>
  <c r="Y160" i="2" l="1"/>
  <c r="AC160" i="2"/>
  <c r="AG160" i="2"/>
  <c r="U161" i="2"/>
  <c r="Y161" i="2" l="1"/>
  <c r="AC161" i="2"/>
  <c r="AG161" i="2"/>
  <c r="U162" i="2"/>
  <c r="Y162" i="2" l="1"/>
  <c r="AC162" i="2"/>
  <c r="AG162" i="2"/>
  <c r="U163" i="2"/>
  <c r="Y163" i="2" l="1"/>
  <c r="AG163" i="2"/>
  <c r="AC163" i="2"/>
  <c r="U164" i="2"/>
  <c r="Y164" i="2" l="1"/>
  <c r="AC164" i="2"/>
  <c r="AG164" i="2"/>
  <c r="U165" i="2"/>
  <c r="Y165" i="2" l="1"/>
  <c r="AC165" i="2"/>
  <c r="AG165" i="2"/>
  <c r="U166" i="2"/>
  <c r="Y166" i="2" l="1"/>
  <c r="AC166" i="2"/>
  <c r="AG166" i="2"/>
  <c r="U167" i="2"/>
  <c r="Y167" i="2" l="1"/>
  <c r="AC167" i="2"/>
  <c r="AG167" i="2"/>
  <c r="U168" i="2"/>
  <c r="Y168" i="2" l="1"/>
  <c r="AG168" i="2"/>
  <c r="AC168" i="2"/>
  <c r="U169" i="2"/>
  <c r="Y169" i="2" l="1"/>
  <c r="AC169" i="2"/>
  <c r="AG169" i="2"/>
  <c r="U170" i="2"/>
  <c r="Y170" i="2" l="1"/>
  <c r="AC170" i="2"/>
  <c r="AG170" i="2"/>
  <c r="U171" i="2"/>
  <c r="Y171" i="2" l="1"/>
  <c r="AC171" i="2"/>
  <c r="AG171" i="2"/>
  <c r="U172" i="2"/>
  <c r="Y172" i="2" l="1"/>
  <c r="AC172" i="2"/>
  <c r="AG172" i="2"/>
  <c r="U173" i="2"/>
  <c r="Y173" i="2" l="1"/>
  <c r="AC173" i="2"/>
  <c r="AG173" i="2"/>
  <c r="U174" i="2"/>
  <c r="U175" i="2"/>
  <c r="Y174" i="2" l="1"/>
  <c r="AC174" i="2"/>
  <c r="AG174" i="2"/>
  <c r="Y175" i="2"/>
  <c r="AC175" i="2"/>
  <c r="AG175" i="2"/>
  <c r="U263" i="2"/>
  <c r="Y263" i="2" l="1"/>
  <c r="AC263" i="2"/>
  <c r="AG263" i="2"/>
  <c r="U176" i="2"/>
  <c r="U177" i="2"/>
  <c r="Y177" i="2" l="1"/>
  <c r="AC177" i="2"/>
  <c r="AG177" i="2"/>
  <c r="Y176" i="2"/>
  <c r="AC176" i="2"/>
  <c r="AG176" i="2"/>
  <c r="U179" i="2"/>
  <c r="U178" i="2"/>
  <c r="Y178" i="2" l="1"/>
  <c r="AG178" i="2"/>
  <c r="AC178" i="2"/>
  <c r="Y179" i="2"/>
  <c r="AG179" i="2"/>
  <c r="AC179" i="2"/>
  <c r="U180" i="2"/>
  <c r="Y180" i="2" l="1"/>
  <c r="AG180" i="2"/>
  <c r="AC180" i="2"/>
  <c r="U181" i="2"/>
  <c r="Y181" i="2" l="1"/>
  <c r="AC181" i="2"/>
  <c r="AG181" i="2"/>
  <c r="U182" i="2"/>
  <c r="Y182" i="2" l="1"/>
  <c r="AG182" i="2"/>
  <c r="AC182" i="2"/>
  <c r="U183" i="2"/>
  <c r="Y183" i="2" l="1"/>
  <c r="AC183" i="2"/>
  <c r="AG183" i="2"/>
  <c r="U184" i="2"/>
  <c r="Y184" i="2" l="1"/>
  <c r="AC184" i="2"/>
  <c r="AG184" i="2"/>
  <c r="U185" i="2"/>
  <c r="Y185" i="2" l="1"/>
  <c r="AC185" i="2"/>
  <c r="AG185" i="2"/>
  <c r="U186" i="2"/>
  <c r="Y186" i="2" l="1"/>
  <c r="AG186" i="2"/>
  <c r="AC186" i="2"/>
  <c r="U187" i="2"/>
  <c r="Y187" i="2" l="1"/>
  <c r="AG187" i="2"/>
  <c r="AC187" i="2"/>
  <c r="U188" i="2"/>
  <c r="Y188" i="2" l="1"/>
  <c r="AC188" i="2"/>
  <c r="AG188" i="2"/>
  <c r="U189" i="2"/>
  <c r="Y189" i="2" l="1"/>
  <c r="AG189" i="2"/>
  <c r="AC189" i="2"/>
  <c r="U190" i="2"/>
  <c r="Y190" i="2" l="1"/>
  <c r="AC190" i="2"/>
  <c r="AG190" i="2"/>
  <c r="U191" i="2"/>
  <c r="Y191" i="2" l="1"/>
  <c r="AG191" i="2"/>
  <c r="AC191" i="2"/>
  <c r="U192" i="2"/>
  <c r="Y192" i="2" l="1"/>
  <c r="AG192" i="2"/>
  <c r="AC192" i="2"/>
  <c r="U193" i="2"/>
  <c r="Y193" i="2" l="1"/>
  <c r="AC193" i="2"/>
  <c r="AG193" i="2"/>
  <c r="U194" i="2"/>
  <c r="Y194" i="2" l="1"/>
  <c r="AG194" i="2"/>
  <c r="AC194" i="2"/>
  <c r="U195" i="2"/>
  <c r="Y195" i="2" l="1"/>
  <c r="AG195" i="2"/>
  <c r="AC195" i="2"/>
  <c r="U196" i="2"/>
  <c r="Y196" i="2" l="1"/>
  <c r="AC196" i="2"/>
  <c r="AG196" i="2"/>
  <c r="U197" i="2"/>
  <c r="Y197" i="2" l="1"/>
  <c r="AC197" i="2"/>
  <c r="AG197" i="2"/>
  <c r="U198" i="2"/>
  <c r="Y198" i="2" l="1"/>
  <c r="AG198" i="2"/>
  <c r="AC198" i="2"/>
  <c r="U199" i="2"/>
  <c r="Y199" i="2" l="1"/>
  <c r="AC199" i="2"/>
  <c r="AG199" i="2"/>
  <c r="U200" i="2"/>
  <c r="Y200" i="2" l="1"/>
  <c r="AG200" i="2"/>
  <c r="AC200" i="2"/>
  <c r="U201" i="2"/>
  <c r="Y201" i="2" l="1"/>
  <c r="AC201" i="2"/>
  <c r="AG201" i="2"/>
  <c r="U202" i="2"/>
  <c r="Y202" i="2" l="1"/>
  <c r="AC202" i="2"/>
  <c r="AG202" i="2"/>
  <c r="U204" i="2"/>
  <c r="U203" i="2"/>
  <c r="Y203" i="2" l="1"/>
  <c r="AC203" i="2"/>
  <c r="AG203" i="2"/>
  <c r="Y204" i="2"/>
  <c r="AC204" i="2"/>
  <c r="AG204" i="2"/>
  <c r="T7" i="33"/>
  <c r="J45" i="49" l="1"/>
  <c r="J50" i="49" s="1"/>
  <c r="C59" i="49"/>
  <c r="D64" i="49"/>
  <c r="G50" i="49"/>
  <c r="H49" i="49" s="1"/>
  <c r="F36" i="49"/>
  <c r="F41" i="49" s="1"/>
  <c r="K45" i="49"/>
  <c r="K50" i="49" s="1"/>
  <c r="E59" i="49" l="1"/>
  <c r="E64" i="49" s="1"/>
  <c r="J41" i="49"/>
  <c r="K38" i="49" s="1"/>
  <c r="M45" i="49"/>
  <c r="M50" i="49" s="1"/>
  <c r="H47" i="49"/>
  <c r="H45" i="49"/>
  <c r="G37" i="49"/>
  <c r="G39" i="49"/>
  <c r="G35" i="49"/>
  <c r="E41" i="49"/>
  <c r="G38" i="49"/>
  <c r="C54" i="49"/>
  <c r="G40" i="49"/>
  <c r="L45" i="49"/>
  <c r="L50" i="49" s="1"/>
  <c r="C50" i="49"/>
  <c r="H48" i="49"/>
  <c r="F50" i="49"/>
  <c r="K37" i="49"/>
  <c r="G36" i="49"/>
  <c r="H46" i="49"/>
  <c r="K39" i="49"/>
  <c r="D45" i="49" l="1"/>
  <c r="E54" i="49"/>
  <c r="E56" i="49" s="1"/>
  <c r="K36" i="49"/>
  <c r="H50" i="49"/>
  <c r="D54" i="49"/>
  <c r="K35" i="49"/>
  <c r="K41" i="49" s="1"/>
  <c r="I41" i="49"/>
  <c r="C55" i="49"/>
  <c r="C56" i="49"/>
  <c r="R35" i="49"/>
  <c r="D44" i="49"/>
  <c r="D46" i="49"/>
  <c r="B50" i="49"/>
  <c r="D47" i="49"/>
  <c r="D48" i="49"/>
  <c r="D49" i="49"/>
  <c r="G41" i="49"/>
  <c r="C61" i="49" s="1"/>
  <c r="C64" i="49" s="1"/>
  <c r="D56" i="49" l="1"/>
  <c r="D55" i="49"/>
  <c r="E55" i="49"/>
  <c r="D50" i="4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<sst xmlns="http://schemas.openxmlformats.org/spreadsheetml/2006/main" count="3300" uniqueCount="753">
  <si>
    <t>C</t>
  </si>
  <si>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</si>
  <si>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</si>
  <si>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</si>
  <si>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</si>
  <si>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</si>
  <si>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</si>
  <si>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</si>
  <si>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</si>
  <si>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</si>
  <si>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</si>
  <si>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</si>
  <si>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</si>
  <si>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</si>
  <si>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</si>
  <si>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</si>
  <si>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</si>
  <si>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</si>
  <si>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</si>
  <si>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</si>
  <si>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</si>
  <si>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</si>
  <si>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</si>
  <si>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</si>
  <si>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</si>
  <si>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</si>
  <si>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</si>
  <si>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</si>
  <si>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</si>
  <si>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</si>
  <si>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</si>
  <si>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</si>
  <si>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</si>
  <si>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</si>
  <si>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</si>
  <si>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</si>
  <si>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</si>
  <si>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</si>
  <si>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Comment</t>
  </si>
  <si>
    <t>Name_Source</t>
  </si>
  <si>
    <t>Titel_Source</t>
  </si>
  <si>
    <t>Year_Source</t>
  </si>
  <si>
    <t>Author_Source</t>
  </si>
  <si>
    <t>Type_Source</t>
  </si>
  <si>
    <t>CF_required?</t>
  </si>
  <si>
    <t>CF</t>
  </si>
  <si>
    <t>Name_CF</t>
  </si>
  <si>
    <t>UoM_Source</t>
  </si>
  <si>
    <t>UoM_Flow_Py</t>
  </si>
  <si>
    <t>Process_ID</t>
  </si>
  <si>
    <t>Carbon_Stock</t>
  </si>
  <si>
    <t>Life_Phase</t>
  </si>
  <si>
    <t>TC?</t>
  </si>
  <si>
    <t>Flow_ID_O_6</t>
  </si>
  <si>
    <t>Complete?</t>
  </si>
  <si>
    <t>Stock_ID</t>
  </si>
  <si>
    <t>Name(EN)</t>
  </si>
  <si>
    <t>Stock?</t>
  </si>
  <si>
    <t>Sum_TC_O</t>
  </si>
  <si>
    <t>Athmosphere</t>
  </si>
  <si>
    <t>Lithosphere</t>
  </si>
  <si>
    <t>Anthroposphere</t>
  </si>
  <si>
    <t>Hydrosphere</t>
  </si>
  <si>
    <t>Recycling/disposal</t>
  </si>
  <si>
    <t>WC?</t>
  </si>
  <si>
    <t>CC?</t>
  </si>
  <si>
    <t>DM?</t>
  </si>
  <si>
    <t>WC_[%]</t>
  </si>
  <si>
    <t>WC_source</t>
  </si>
  <si>
    <t>DM_[%]</t>
  </si>
  <si>
    <t>DM_source</t>
  </si>
  <si>
    <t>CC_[%]</t>
  </si>
  <si>
    <t>WC_Flow_Py</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</si>
  <si>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</si>
  <si>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</si>
  <si>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</si>
  <si>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</si>
  <si>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</si>
  <si>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</si>
  <si>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</si>
  <si>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</si>
  <si>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</si>
  <si>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</si>
  <si>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</si>
  <si>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</si>
  <si>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</si>
  <si>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</si>
  <si>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</si>
  <si>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</si>
  <si>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</si>
  <si>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</si>
  <si>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</si>
  <si>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</si>
  <si>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</si>
  <si>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</si>
  <si>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</si>
  <si>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</si>
  <si>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</si>
  <si>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</si>
  <si>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</si>
  <si>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</si>
  <si>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</si>
  <si>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</si>
  <si>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</si>
  <si>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</si>
  <si>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</si>
  <si>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</si>
  <si>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</si>
  <si>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</si>
  <si>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</si>
  <si>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</si>
  <si>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</si>
  <si>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</si>
  <si>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</si>
  <si>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</si>
  <si>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</si>
  <si>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</si>
  <si>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</si>
  <si>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</si>
  <si>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</si>
  <si>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</si>
  <si>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</si>
  <si>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</si>
  <si>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</si>
  <si>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</si>
  <si>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</si>
  <si>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</si>
  <si>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</si>
  <si>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</si>
  <si>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</si>
  <si>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</si>
  <si>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</si>
  <si>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</si>
  <si>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</si>
  <si>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</si>
  <si>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</si>
  <si>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</si>
  <si>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</si>
  <si>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</si>
  <si>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</si>
  <si>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</si>
  <si>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</si>
  <si>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</si>
  <si>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</si>
  <si>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</si>
  <si>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</si>
  <si>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</si>
  <si>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</si>
  <si>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</si>
  <si>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</si>
  <si>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</si>
  <si>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</si>
  <si>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</si>
  <si>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</si>
  <si>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</si>
  <si>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</si>
  <si>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</si>
  <si>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</si>
  <si>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</si>
  <si>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</si>
  <si>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</si>
  <si>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</si>
  <si>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</si>
  <si>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</si>
  <si>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</si>
  <si>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</si>
  <si>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</si>
  <si>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</si>
  <si>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</si>
  <si>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</si>
  <si>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</si>
  <si>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</si>
  <si>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</si>
  <si>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</si>
  <si>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</si>
  <si>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</si>
  <si>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</si>
  <si>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</si>
  <si>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</si>
  <si>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</si>
  <si>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</si>
  <si>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</si>
  <si>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</si>
  <si>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</si>
  <si>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</si>
  <si>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</si>
  <si>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</si>
  <si>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</si>
  <si>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</si>
  <si>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</si>
  <si>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</si>
  <si>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</si>
  <si>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</si>
  <si>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</si>
  <si>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</si>
  <si>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</si>
  <si>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</si>
  <si>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</si>
  <si>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</si>
  <si>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</si>
  <si>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</si>
  <si>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</si>
  <si>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</si>
  <si>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</si>
  <si>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</si>
  <si>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</si>
  <si>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</si>
  <si>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</si>
  <si>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</si>
  <si>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</si>
  <si>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</si>
  <si>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</si>
  <si>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 xml:space="preserve">Autoren: </t>
  </si>
  <si>
    <t>Johannes Roland Scholz</t>
  </si>
  <si>
    <t>Lukas Hoppe</t>
  </si>
  <si>
    <t>Grain</t>
  </si>
  <si>
    <t>Food_Emissions_C</t>
  </si>
  <si>
    <t>Food_Emissions_E</t>
  </si>
  <si>
    <t>Mg</t>
  </si>
  <si>
    <t>TC_ID_O_6</t>
  </si>
  <si>
    <t>TC_ID_O_6_Year</t>
  </si>
  <si>
    <t>TC O_6_[%]</t>
  </si>
  <si>
    <t>Output_Flow</t>
  </si>
  <si>
    <t>Value</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</si>
  <si>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</si>
  <si>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</si>
  <si>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</si>
  <si>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</si>
  <si>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</si>
  <si>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</si>
  <si>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</si>
  <si>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</si>
  <si>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</si>
  <si>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</si>
  <si>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</si>
  <si>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</si>
  <si>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</si>
  <si>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</si>
  <si>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</si>
  <si>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</si>
  <si>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</si>
  <si>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</si>
  <si>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</si>
  <si>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</si>
  <si>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</si>
  <si>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</si>
  <si>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</si>
  <si>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</si>
  <si>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</si>
  <si>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</si>
  <si>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</si>
  <si>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</si>
  <si>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</si>
  <si>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</si>
  <si>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</si>
  <si>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</si>
  <si>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</si>
  <si>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</si>
  <si>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</si>
  <si>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</si>
  <si>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</si>
  <si>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</si>
  <si>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</si>
  <si>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</si>
  <si>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</si>
  <si>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</si>
  <si>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</si>
  <si>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</si>
  <si>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</si>
  <si>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</si>
  <si>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</si>
  <si>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</si>
  <si>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</si>
  <si>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</si>
  <si>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</si>
  <si>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</si>
  <si>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</si>
  <si>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</si>
  <si>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</si>
  <si>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</si>
  <si>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</si>
  <si>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</si>
  <si>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</si>
  <si>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</si>
  <si>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</si>
  <si>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</si>
  <si>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</si>
  <si>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</si>
  <si>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</si>
  <si>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</si>
  <si>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</si>
  <si>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</si>
  <si>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</si>
  <si>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</si>
  <si>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</si>
  <si>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</si>
  <si>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</si>
  <si>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</si>
  <si>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</si>
  <si>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</si>
  <si>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</si>
  <si>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</si>
  <si>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</si>
  <si>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</si>
  <si>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</si>
  <si>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</si>
  <si>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</si>
  <si>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</si>
  <si>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</si>
  <si>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</si>
  <si>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</si>
  <si>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</si>
  <si>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</si>
  <si>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</si>
  <si>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</si>
  <si>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</si>
  <si>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</si>
  <si>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</si>
  <si>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</si>
  <si>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</si>
  <si>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</si>
  <si>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</si>
  <si>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</si>
  <si>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</si>
  <si>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</si>
  <si>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</si>
  <si>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</si>
  <si>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</si>
  <si>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</si>
  <si>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</si>
  <si>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</si>
  <si>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</si>
  <si>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</si>
  <si>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</si>
  <si>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</si>
  <si>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</si>
  <si>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</si>
  <si>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</si>
  <si>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</si>
  <si>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</si>
  <si>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</si>
  <si>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</si>
  <si>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</si>
  <si>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</si>
  <si>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</si>
  <si>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</si>
  <si>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</si>
  <si>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</si>
  <si>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</si>
  <si>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</si>
  <si>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</si>
  <si>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</si>
  <si>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</si>
  <si>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</si>
  <si>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</si>
  <si>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</si>
  <si>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</si>
  <si>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</si>
  <si>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Nr._Decay_Pools</t>
  </si>
  <si>
    <t>Pool_Name</t>
  </si>
  <si>
    <t>decay rate constant</t>
  </si>
  <si>
    <t>Pool_ID</t>
  </si>
  <si>
    <t>output_carbon_id</t>
  </si>
  <si>
    <t>output_elemental_id</t>
  </si>
  <si>
    <t>Outflow_1</t>
  </si>
  <si>
    <t>Outflow_2</t>
  </si>
  <si>
    <t>CL_X_FOMP_Category_ID</t>
  </si>
  <si>
    <t>Pool</t>
  </si>
  <si>
    <t>output_environmental_id</t>
  </si>
  <si>
    <t>Inflow_fraction_f (Labile pool)</t>
  </si>
  <si>
    <t>decay_k1 (Labile pool)</t>
  </si>
  <si>
    <t>Inflow_fraction_f (Recalcitrant pool)</t>
  </si>
  <si>
    <t>decay_k2 (Recalcitrant pool)</t>
  </si>
  <si>
    <t>Compost_Emissions_C</t>
  </si>
  <si>
    <t>Compost_Emissions_E</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</si>
  <si>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</si>
  <si>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</si>
  <si>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</si>
  <si>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</si>
  <si>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</si>
  <si>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</si>
  <si>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</si>
  <si>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</si>
  <si>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Scenario_Name</t>
  </si>
  <si>
    <t>Run_Scenario_Analysis</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</si>
  <si>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</si>
  <si>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</si>
  <si>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</si>
  <si>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</si>
  <si>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</si>
  <si>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</si>
  <si>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</si>
  <si>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</si>
  <si>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</si>
  <si>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</si>
  <si>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</si>
  <si>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</si>
  <si>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</si>
  <si>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</si>
  <si>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</si>
  <si>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</si>
  <si>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</si>
  <si>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</si>
  <si>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</si>
  <si>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</si>
  <si>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</si>
  <si>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</si>
  <si>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</si>
  <si>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</si>
  <si>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</si>
  <si>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</si>
  <si>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</si>
  <si>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</si>
  <si>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</si>
  <si>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</si>
  <si>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</si>
  <si>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</si>
  <si>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</si>
  <si>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</si>
  <si>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</si>
  <si>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</si>
  <si>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</si>
  <si>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</si>
  <si>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</si>
  <si>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</si>
  <si>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</si>
  <si>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</si>
  <si>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</si>
  <si>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</si>
  <si>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</si>
  <si>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</si>
  <si>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</si>
  <si>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</si>
  <si>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</si>
  <si>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</si>
  <si>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</si>
  <si>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</si>
  <si>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</si>
  <si>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</si>
  <si>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</si>
  <si>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</si>
  <si>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</si>
  <si>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</si>
  <si>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</si>
  <si>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</si>
  <si>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</si>
  <si>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</si>
  <si>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</si>
  <si>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</si>
  <si>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</si>
  <si>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</si>
  <si>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</si>
  <si>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</si>
  <si>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</si>
  <si>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</si>
  <si>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</si>
  <si>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</si>
  <si>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</si>
  <si>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</si>
  <si>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</si>
  <si>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</si>
  <si>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</si>
  <si>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</si>
  <si>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</si>
  <si>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</si>
  <si>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</si>
  <si>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</si>
  <si>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</si>
  <si>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</si>
  <si>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</si>
  <si>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</si>
  <si>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</si>
  <si>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</si>
  <si>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</si>
  <si>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</si>
  <si>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</si>
  <si>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</si>
  <si>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</si>
  <si>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</si>
  <si>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</si>
  <si>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</si>
  <si>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</si>
  <si>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</si>
  <si>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</si>
  <si>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</si>
  <si>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</si>
  <si>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</si>
  <si>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</si>
  <si>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</si>
  <si>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</si>
  <si>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</si>
  <si>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</si>
  <si>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</si>
  <si>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</si>
  <si>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</si>
  <si>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</si>
  <si>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</si>
  <si>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</si>
  <si>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</si>
  <si>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</si>
  <si>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</si>
  <si>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</si>
  <si>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</si>
  <si>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</si>
  <si>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</si>
  <si>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</si>
  <si>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</si>
  <si>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</si>
  <si>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</si>
  <si>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</si>
  <si>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</si>
  <si>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</si>
  <si>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</si>
  <si>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</si>
  <si>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</si>
  <si>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</si>
  <si>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</si>
  <si>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</si>
  <si>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</si>
  <si>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</si>
  <si>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</si>
  <si>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</si>
  <si>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</si>
  <si>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</si>
  <si>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</si>
  <si>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</si>
  <si>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</si>
  <si>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</si>
  <si>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</si>
  <si>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</si>
  <si>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</si>
  <si>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</si>
  <si>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</si>
  <si>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</si>
  <si>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</si>
  <si>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</si>
  <si>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</si>
  <si>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</si>
  <si>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</si>
  <si>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</si>
  <si>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</si>
  <si>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</si>
  <si>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</si>
  <si>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</si>
  <si>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</si>
  <si>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</si>
  <si>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</si>
  <si>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</si>
  <si>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</si>
  <si>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</si>
  <si>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</si>
  <si>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</si>
  <si>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</si>
  <si>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</si>
  <si>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</si>
  <si>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</si>
  <si>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</si>
  <si>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</si>
  <si>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</si>
  <si>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</si>
  <si>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</si>
  <si>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</si>
  <si>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</si>
  <si>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</si>
  <si>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</si>
  <si>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</si>
  <si>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</si>
  <si>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</si>
  <si>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</si>
  <si>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</si>
  <si>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</si>
  <si>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</si>
  <si>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</si>
  <si>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</si>
  <si>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</si>
  <si>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</si>
  <si>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</si>
  <si>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</si>
  <si>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</si>
  <si>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</si>
  <si>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</si>
  <si>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</si>
  <si>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</si>
  <si>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</si>
  <si>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</si>
  <si>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</si>
  <si>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</si>
  <si>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</si>
  <si>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</si>
  <si>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</si>
  <si>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</si>
  <si>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</si>
  <si>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</si>
  <si>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</si>
  <si>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</si>
  <si>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</si>
  <si>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</si>
  <si>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</si>
  <si>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</si>
  <si>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</si>
  <si>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</si>
  <si>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</si>
  <si>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</si>
  <si>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</si>
  <si>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</si>
  <si>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</si>
  <si>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</si>
  <si>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</si>
  <si>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</si>
  <si>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</si>
  <si>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</si>
  <si>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</si>
  <si>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</si>
  <si>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</si>
  <si>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</si>
  <si>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</si>
  <si>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</si>
  <si>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</si>
  <si>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</si>
  <si>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</si>
  <si>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</si>
  <si>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</si>
  <si>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</si>
  <si>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</si>
  <si>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</si>
  <si>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</si>
  <si>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</si>
  <si>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</si>
  <si>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</si>
  <si>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</si>
  <si>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</si>
  <si>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</si>
  <si>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</si>
  <si>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</si>
  <si>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</si>
  <si>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</si>
  <si>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</si>
  <si>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</si>
  <si>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</si>
  <si>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</si>
  <si>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</si>
  <si>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</si>
  <si>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Active</t>
  </si>
  <si>
    <t>Window_Height</t>
  </si>
  <si>
    <t>Sankey diagram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</si>
  <si>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</si>
  <si>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</si>
  <si>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</si>
  <si>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</si>
  <si>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</si>
  <si>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</si>
  <si>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</si>
  <si>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</si>
  <si>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</si>
  <si>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</si>
  <si>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</si>
  <si>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</si>
  <si>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</si>
  <si>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</si>
  <si>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</si>
  <si>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</si>
  <si>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</si>
  <si>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</si>
  <si>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</si>
  <si>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</si>
  <si>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</si>
  <si>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</si>
  <si>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</si>
  <si>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</si>
  <si>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</si>
  <si>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</si>
  <si>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</si>
  <si>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</si>
  <si>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</si>
  <si>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</si>
  <si>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</si>
  <si>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</si>
  <si>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</si>
  <si>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</si>
  <si>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 xml:space="preserve"> Selected Scenario Name 1</t>
  </si>
  <si>
    <t xml:space="preserve"> Selected Scenario Name 3</t>
  </si>
  <si>
    <t xml:space="preserve"> Selected Scenario Name 2</t>
  </si>
  <si>
    <t>My baseline scenario</t>
  </si>
  <si>
    <t>TC_material_ID</t>
  </si>
  <si>
    <t>TC_WC_ID</t>
  </si>
  <si>
    <t>TC_DM_ID</t>
  </si>
  <si>
    <t>TC_CC_ID</t>
  </si>
  <si>
    <t>Straw_Pyrolisis</t>
  </si>
  <si>
    <t>Pyrolisis_Emissions_C</t>
  </si>
  <si>
    <t>Pyrolisis_Emissions_E</t>
  </si>
  <si>
    <t>Pyrochar</t>
  </si>
  <si>
    <t>DM[%] (mass balance check)</t>
  </si>
  <si>
    <t>DM [mass]</t>
  </si>
  <si>
    <t>Reduced_Wood_Yield</t>
  </si>
  <si>
    <t>Flow_Data_Year</t>
  </si>
  <si>
    <t>Flow</t>
  </si>
  <si>
    <t>Flow_Material</t>
  </si>
  <si>
    <t>Flow_material_year_ID</t>
  </si>
  <si>
    <t>Flow_WC_year_ID</t>
  </si>
  <si>
    <t>Flow_DM_year_ID</t>
  </si>
  <si>
    <t>Flow_CC_year_ID</t>
  </si>
  <si>
    <t xml:space="preserve">Flow_WC_ID </t>
  </si>
  <si>
    <t>Flow_DM_ID</t>
  </si>
  <si>
    <t>Flow_CC_ID</t>
  </si>
  <si>
    <t>DM_Flow_Py</t>
  </si>
  <si>
    <t>Flow_Name</t>
  </si>
  <si>
    <t>Flow_WC</t>
  </si>
  <si>
    <t>Flow_DM</t>
  </si>
  <si>
    <t>Flow_CC_DM[%]</t>
  </si>
  <si>
    <t>Input_Process_ID</t>
  </si>
  <si>
    <t>Flow_Output_Process</t>
  </si>
  <si>
    <t>Flow_Output_Process_ID</t>
  </si>
  <si>
    <t>Flow_Input_Process</t>
  </si>
  <si>
    <t>Process_Name</t>
  </si>
  <si>
    <t>start_year</t>
  </si>
  <si>
    <t>end_year</t>
  </si>
  <si>
    <t xml:space="preserve"> Selected Scenario Name 4</t>
  </si>
  <si>
    <t>Strong_reduced_wood_Yield</t>
  </si>
  <si>
    <t>Increased_cascading_utilization</t>
  </si>
  <si>
    <t>TC_Type</t>
  </si>
  <si>
    <t>Dynamic</t>
  </si>
  <si>
    <t>Static</t>
  </si>
  <si>
    <t>CL_TC_Type</t>
  </si>
  <si>
    <t>CL_logic</t>
  </si>
  <si>
    <t>No TC</t>
  </si>
  <si>
    <t>Reifenherstellung</t>
  </si>
  <si>
    <t>Reifennutzung</t>
  </si>
  <si>
    <t>Abrieb &amp; Akkumulation in der Umwelt</t>
  </si>
  <si>
    <t>Altreifensammlung</t>
  </si>
  <si>
    <t>Runderneuerung</t>
  </si>
  <si>
    <t>Werkstoffliche Verwertung</t>
  </si>
  <si>
    <t>Thermische Vwerwertung</t>
  </si>
  <si>
    <t>Zementmischung</t>
  </si>
  <si>
    <t>C-Emissionen</t>
  </si>
  <si>
    <t>Stahlrecycling</t>
  </si>
  <si>
    <t>sonstige Verwendung als Füllstoff</t>
  </si>
  <si>
    <t>Natur-&amp; Synthesekautchouck</t>
  </si>
  <si>
    <t>Stahldraht + Textilfaser</t>
  </si>
  <si>
    <t>Füllstoffe (Ruß &amp; Kieselgel)</t>
  </si>
  <si>
    <t>Natur &amp; Synthese Kautchouk</t>
  </si>
  <si>
    <t>Stahldraht &amp; Textilfaser</t>
  </si>
  <si>
    <t>Reifen</t>
  </si>
  <si>
    <t>Abrieb</t>
  </si>
  <si>
    <t>Altreifen</t>
  </si>
  <si>
    <t>Altreifen_Erneuerung</t>
  </si>
  <si>
    <t>Altreifen_Werkstofflich</t>
  </si>
  <si>
    <t>Altreifen_Thermisch</t>
  </si>
  <si>
    <t>Altreifen_export</t>
  </si>
  <si>
    <t>Reifen_runderneuert</t>
  </si>
  <si>
    <t>Kunststoffgranulat</t>
  </si>
  <si>
    <t>Kohlenstoff</t>
  </si>
  <si>
    <t>Stahldraht &amp; Textilfaser_Zement</t>
  </si>
  <si>
    <t>Stahldraht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</si>
</sst>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6"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
      <u/>
      <sz val="11"/>
      <color theme="10"/>
      <name val="Calibri"/>
      <family val="2"/>
      <scheme val="minor"/>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9">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
      <left style="thin">
        <color indexed="64"/>
      </left>
      <right/>
      <top style="dotted">
        <color auto="1"/>
      </top>
      <bottom style="dotted">
        <color auto="1"/>
      </bottom>
      <diagonal/>
    </border>
    <border>
      <left style="thin">
        <color indexed="64"/>
      </left>
      <right/>
      <top style="thin">
        <color indexed="64"/>
      </top>
      <bottom style="dotted">
        <color auto="1"/>
      </bottom>
      <diagonal/>
    </border>
    <border>
      <left/>
      <right/>
      <top style="thin">
        <color indexed="64"/>
      </top>
      <bottom style="dotted">
        <color auto="1"/>
      </bottom>
      <diagonal/>
    </border>
    <border>
      <left/>
      <right style="medium">
        <color indexed="64"/>
      </right>
      <top style="thin">
        <color indexed="64"/>
      </top>
      <bottom style="dotted">
        <color auto="1"/>
      </bottom>
      <diagonal/>
    </border>
    <border>
      <left style="thin">
        <color indexed="64"/>
      </left>
      <right/>
      <top style="dotted">
        <color auto="1"/>
      </top>
      <bottom style="medium">
        <color indexed="64"/>
      </bottom>
      <diagonal/>
    </border>
  </borders>
  <cellStyleXfs count="12">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xf numFmtId="0" fontId="15" fillId="0" borderId="0" applyNumberFormat="0" applyFill="0" applyBorder="0" applyAlignment="0" applyProtection="0"/>
  </cellStyleXfs>
  <cellXfs count="265">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5" borderId="12" xfId="4">
      <protection locked="0"/>
    </xf>
    <xf numFmtId="0" fontId="5" fillId="35" borderId="13" xfId="3" applyBorder="1"/>
    <xf numFmtId="0" fontId="5" fillId="35" borderId="14" xfId="3" applyBorder="1"/>
    <xf numFmtId="0" fontId="5" fillId="35" borderId="15" xfId="3" applyBorder="1"/>
    <xf numFmtId="0" fontId="5" fillId="35" borderId="16" xfId="3" applyBorder="1"/>
    <xf numFmtId="0" fontId="3" fillId="0" borderId="2" xfId="0" applyFont="1" applyBorder="1"/>
    <xf numFmtId="0" fontId="5" fillId="5" borderId="12" xfId="4" applyAlignment="1">
      <alignment wrapText="1"/>
      <protection locked="0"/>
    </xf>
    <xf numFmtId="0" fontId="3" fillId="6" borderId="19"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5" fillId="5" borderId="12" xfId="1" applyNumberFormat="1" applyFont="1" applyFill="1" applyBorder="1"/>
    <xf numFmtId="0" fontId="5" fillId="35" borderId="22" xfId="3" applyBorder="1"/>
    <xf numFmtId="49" fontId="5" fillId="35" borderId="12" xfId="3" applyNumberFormat="1" applyAlignment="1">
      <alignment horizontal="right"/>
    </xf>
    <xf numFmtId="9" fontId="5" fillId="4" borderId="22"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19" xfId="0" applyNumberFormat="1" applyFont="1" applyFill="1" applyBorder="1"/>
    <xf numFmtId="164" fontId="3" fillId="6" borderId="20"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3" xfId="1" applyFont="1" applyFill="1" applyBorder="1" applyAlignment="1">
      <alignment vertical="center" wrapText="1"/>
    </xf>
    <xf numFmtId="9" fontId="9" fillId="12" borderId="24" xfId="1" applyFont="1" applyFill="1" applyBorder="1" applyAlignment="1">
      <alignment vertical="center" wrapText="1"/>
    </xf>
    <xf numFmtId="9" fontId="9" fillId="13" borderId="24" xfId="1" applyFont="1" applyFill="1" applyBorder="1" applyAlignment="1">
      <alignment vertical="center" wrapText="1"/>
    </xf>
    <xf numFmtId="9" fontId="9" fillId="14" borderId="24" xfId="1" applyFont="1" applyFill="1" applyBorder="1" applyAlignment="1">
      <alignment vertical="center" wrapText="1"/>
    </xf>
    <xf numFmtId="0" fontId="0" fillId="0" borderId="25"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4" xfId="0" applyNumberFormat="1" applyFont="1" applyFill="1" applyBorder="1" applyAlignment="1">
      <alignment vertical="center" wrapText="1"/>
    </xf>
    <xf numFmtId="0" fontId="9" fillId="18" borderId="24" xfId="0" applyFont="1" applyFill="1" applyBorder="1" applyAlignment="1">
      <alignment vertical="center" wrapText="1"/>
    </xf>
    <xf numFmtId="0" fontId="9" fillId="19" borderId="25" xfId="0" applyFont="1" applyFill="1" applyBorder="1" applyAlignment="1">
      <alignment vertical="center" wrapText="1"/>
    </xf>
    <xf numFmtId="165" fontId="0" fillId="20" borderId="23" xfId="0" applyNumberFormat="1" applyFill="1" applyBorder="1" applyAlignment="1">
      <alignment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9" fontId="9" fillId="21" borderId="23" xfId="1" applyFont="1" applyFill="1" applyBorder="1" applyAlignment="1">
      <alignment vertical="center" wrapText="1"/>
    </xf>
    <xf numFmtId="165" fontId="9" fillId="22" borderId="24" xfId="0" applyNumberFormat="1" applyFont="1" applyFill="1" applyBorder="1" applyAlignment="1">
      <alignment vertical="center" wrapText="1"/>
    </xf>
    <xf numFmtId="164" fontId="0" fillId="11" borderId="25" xfId="1" applyNumberFormat="1" applyFont="1" applyFill="1" applyBorder="1" applyAlignment="1">
      <alignment wrapText="1"/>
    </xf>
    <xf numFmtId="0" fontId="9" fillId="11" borderId="24" xfId="0" applyFont="1" applyFill="1" applyBorder="1" applyAlignment="1">
      <alignment vertical="center" wrapText="1"/>
    </xf>
    <xf numFmtId="9" fontId="9" fillId="21" borderId="24" xfId="1" applyFont="1" applyFill="1" applyBorder="1" applyAlignment="1">
      <alignment vertical="center" wrapText="1"/>
    </xf>
    <xf numFmtId="9" fontId="9" fillId="11" borderId="25" xfId="1" applyFont="1" applyFill="1" applyBorder="1" applyAlignment="1">
      <alignment vertical="center" wrapText="1"/>
    </xf>
    <xf numFmtId="0" fontId="9" fillId="23" borderId="25"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3" xfId="0" applyFont="1" applyFill="1" applyBorder="1" applyAlignment="1">
      <alignment vertical="center" wrapText="1"/>
    </xf>
    <xf numFmtId="9" fontId="9" fillId="12" borderId="24" xfId="0" applyNumberFormat="1" applyFont="1" applyFill="1" applyBorder="1" applyAlignment="1">
      <alignment vertical="center" wrapText="1"/>
    </xf>
    <xf numFmtId="9" fontId="9" fillId="27" borderId="24" xfId="0" applyNumberFormat="1" applyFont="1" applyFill="1" applyBorder="1" applyAlignment="1">
      <alignment vertical="center" wrapText="1"/>
    </xf>
    <xf numFmtId="0" fontId="9" fillId="12" borderId="24" xfId="0" applyFont="1" applyFill="1" applyBorder="1" applyAlignment="1">
      <alignment vertical="center" wrapText="1"/>
    </xf>
    <xf numFmtId="9" fontId="9" fillId="12" borderId="25" xfId="1" applyFont="1" applyFill="1" applyBorder="1" applyAlignment="1">
      <alignment vertical="center" wrapText="1"/>
    </xf>
    <xf numFmtId="0" fontId="9" fillId="13" borderId="23" xfId="0" applyFont="1" applyFill="1" applyBorder="1" applyAlignment="1">
      <alignment vertical="center" wrapText="1"/>
    </xf>
    <xf numFmtId="9" fontId="9" fillId="28" borderId="24" xfId="1" applyFont="1" applyFill="1" applyBorder="1" applyAlignment="1">
      <alignment vertical="center" wrapText="1"/>
    </xf>
    <xf numFmtId="0" fontId="9" fillId="13" borderId="24" xfId="0" applyFont="1" applyFill="1" applyBorder="1" applyAlignment="1">
      <alignment vertical="center" wrapText="1"/>
    </xf>
    <xf numFmtId="9" fontId="9" fillId="13" borderId="25" xfId="1" applyFont="1" applyFill="1" applyBorder="1" applyAlignment="1">
      <alignment vertical="center" wrapText="1"/>
    </xf>
    <xf numFmtId="0" fontId="9" fillId="14" borderId="23" xfId="0" applyFont="1" applyFill="1" applyBorder="1" applyAlignment="1">
      <alignment vertical="center" wrapText="1"/>
    </xf>
    <xf numFmtId="9" fontId="9" fillId="29" borderId="24" xfId="0" applyNumberFormat="1" applyFont="1" applyFill="1" applyBorder="1" applyAlignment="1">
      <alignment vertical="center" wrapText="1"/>
    </xf>
    <xf numFmtId="0" fontId="9" fillId="14" borderId="25"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3" xfId="0" applyNumberFormat="1"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3" xfId="0" applyFont="1" applyFill="1" applyBorder="1" applyAlignment="1">
      <alignment vertical="center" wrapText="1"/>
    </xf>
    <xf numFmtId="0" fontId="9" fillId="18" borderId="25" xfId="0" applyFont="1" applyFill="1" applyBorder="1" applyAlignment="1">
      <alignment vertical="center" wrapText="1"/>
    </xf>
    <xf numFmtId="0" fontId="9" fillId="19" borderId="23" xfId="0" applyFont="1" applyFill="1" applyBorder="1" applyAlignment="1">
      <alignment vertical="center" wrapText="1"/>
    </xf>
    <xf numFmtId="0" fontId="9" fillId="19" borderId="24" xfId="0" applyFont="1" applyFill="1" applyBorder="1" applyAlignment="1">
      <alignment vertical="center" wrapText="1"/>
    </xf>
    <xf numFmtId="9" fontId="0" fillId="11" borderId="25" xfId="1" applyFont="1" applyFill="1" applyBorder="1" applyAlignment="1">
      <alignment wrapText="1"/>
    </xf>
    <xf numFmtId="0" fontId="9" fillId="21" borderId="24"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4" xfId="0" applyNumberFormat="1" applyFont="1" applyFill="1" applyBorder="1" applyAlignment="1">
      <alignment vertical="center" wrapText="1"/>
    </xf>
    <xf numFmtId="0" fontId="9" fillId="28" borderId="24" xfId="0" applyFont="1" applyFill="1" applyBorder="1" applyAlignment="1">
      <alignment vertical="center" wrapText="1"/>
    </xf>
    <xf numFmtId="0" fontId="9" fillId="14" borderId="24"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0" borderId="26" xfId="0" applyFont="1" applyBorder="1" applyAlignment="1">
      <alignment horizontal="left"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0" fillId="0" borderId="27" xfId="0" applyBorder="1" applyAlignment="1">
      <alignment horizontal="left" wrapText="1"/>
    </xf>
    <xf numFmtId="0" fontId="9" fillId="10" borderId="7" xfId="0" applyFont="1" applyFill="1" applyBorder="1" applyAlignment="1">
      <alignment vertical="center" wrapText="1"/>
    </xf>
    <xf numFmtId="0" fontId="8" fillId="10" borderId="32" xfId="0" applyFont="1" applyFill="1" applyBorder="1" applyAlignment="1">
      <alignment vertical="center" wrapText="1"/>
    </xf>
    <xf numFmtId="0" fontId="9" fillId="0" borderId="33" xfId="0" applyFont="1" applyBorder="1" applyAlignment="1">
      <alignment vertical="center" wrapText="1"/>
    </xf>
    <xf numFmtId="0" fontId="11" fillId="0" borderId="28" xfId="0" applyFont="1" applyBorder="1" applyAlignment="1">
      <alignment horizontal="left"/>
    </xf>
    <xf numFmtId="0" fontId="0" fillId="0" borderId="34" xfId="0" applyBorder="1" applyAlignment="1">
      <alignment horizontal="left" wrapText="1"/>
    </xf>
    <xf numFmtId="0" fontId="9" fillId="0" borderId="34" xfId="0" applyFont="1" applyBorder="1" applyAlignment="1">
      <alignment horizontal="left" vertical="center" wrapText="1"/>
    </xf>
    <xf numFmtId="0" fontId="8" fillId="10" borderId="5" xfId="0" applyFont="1" applyFill="1" applyBorder="1" applyAlignment="1">
      <alignment vertical="center" wrapText="1"/>
    </xf>
    <xf numFmtId="0" fontId="9" fillId="0" borderId="35"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5" xfId="0" applyFont="1" applyFill="1" applyBorder="1" applyAlignment="1">
      <alignment vertical="center" wrapText="1"/>
    </xf>
    <xf numFmtId="0" fontId="3" fillId="8" borderId="19" xfId="0" applyFont="1" applyFill="1" applyBorder="1"/>
    <xf numFmtId="0" fontId="3" fillId="8" borderId="36" xfId="4" applyFont="1" applyFill="1" applyBorder="1">
      <protection locked="0"/>
    </xf>
    <xf numFmtId="0" fontId="5" fillId="35" borderId="21" xfId="3" applyBorder="1"/>
    <xf numFmtId="9" fontId="5" fillId="5" borderId="0" xfId="1" applyFont="1" applyFill="1" applyBorder="1"/>
    <xf numFmtId="10" fontId="5" fillId="5" borderId="12" xfId="4" applyNumberFormat="1">
      <protection locked="0"/>
    </xf>
    <xf numFmtId="0" fontId="5" fillId="35" borderId="37" xfId="3" applyBorder="1"/>
    <xf numFmtId="0" fontId="5" fillId="5" borderId="37"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16" fontId="0" fillId="0" borderId="0" xfId="0" applyNumberFormat="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39" xfId="3" applyBorder="1"/>
    <xf numFmtId="0" fontId="5" fillId="35" borderId="40" xfId="3" applyBorder="1"/>
    <xf numFmtId="0" fontId="5" fillId="5" borderId="40"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1" xfId="3" applyBorder="1"/>
    <xf numFmtId="0" fontId="6" fillId="7" borderId="37" xfId="5" applyBorder="1">
      <protection locked="0"/>
    </xf>
    <xf numFmtId="0" fontId="6" fillId="7" borderId="40" xfId="5" applyBorder="1">
      <protection locked="0"/>
    </xf>
    <xf numFmtId="0" fontId="6" fillId="7" borderId="42"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8" xfId="5" applyBorder="1">
      <protection locked="0"/>
    </xf>
    <xf numFmtId="0" fontId="5" fillId="23" borderId="38"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7" xfId="0" applyFont="1" applyBorder="1" applyAlignment="1">
      <alignment horizontal="center" vertical="top"/>
    </xf>
    <xf numFmtId="0" fontId="14" fillId="0" borderId="43" xfId="0" applyFont="1" applyBorder="1" applyAlignment="1">
      <alignment horizontal="center" vertical="top"/>
    </xf>
    <xf numFmtId="0" fontId="0" fillId="0" borderId="2" xfId="0" applyBorder="1" applyAlignment="1">
      <alignment horizontal="center"/>
    </xf>
    <xf numFmtId="2" fontId="0" fillId="0" borderId="0" xfId="0" applyNumberFormat="1"/>
    <xf numFmtId="0" fontId="0" fillId="2" borderId="0" xfId="0" applyFill="1" applyAlignment="1">
      <alignment wrapText="1"/>
    </xf>
    <xf numFmtId="2" fontId="9" fillId="11" borderId="0" xfId="1" applyNumberFormat="1" applyFont="1" applyFill="1" applyAlignment="1">
      <alignment vertical="center" wrapText="1"/>
    </xf>
    <xf numFmtId="165" fontId="0" fillId="0" borderId="0" xfId="0" applyNumberFormat="1"/>
    <xf numFmtId="0" fontId="15" fillId="7" borderId="12" xfId="11" applyFill="1" applyBorder="1" applyProtection="1">
      <protection locked="0"/>
    </xf>
    <xf numFmtId="164" fontId="5" fillId="35" borderId="12" xfId="3" applyNumberFormat="1"/>
    <xf numFmtId="164" fontId="5" fillId="35" borderId="22" xfId="3" applyNumberFormat="1" applyBorder="1"/>
    <xf numFmtId="0" fontId="0" fillId="0" borderId="0" xfId="0" applyAlignment="1">
      <alignment horizontal="left" wrapText="1"/>
    </xf>
    <xf numFmtId="0" fontId="0" fillId="0" borderId="0" xfId="0" applyAlignment="1">
      <alignment horizontal="center" wrapText="1"/>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9" fillId="34" borderId="23" xfId="0" applyFont="1" applyFill="1" applyBorder="1" applyAlignment="1">
      <alignment horizontal="left"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29"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left" vertical="center" wrapText="1"/>
    </xf>
    <xf numFmtId="0" fontId="5" fillId="35" borderId="14" xfId="3" applyBorder="1" applyAlignment="1">
      <alignment horizontal="left" vertical="center"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6" borderId="23"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9" fillId="25" borderId="23" xfId="0" applyFont="1" applyFill="1" applyBorder="1" applyAlignment="1">
      <alignment horizontal="center" vertical="top"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8" fillId="10" borderId="23"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0" fillId="15" borderId="25" xfId="0" applyFill="1" applyBorder="1" applyAlignment="1">
      <alignment horizontal="center"/>
    </xf>
    <xf numFmtId="0" fontId="0" fillId="15" borderId="24" xfId="0" applyFill="1" applyBorder="1" applyAlignment="1">
      <alignment horizontal="center"/>
    </xf>
    <xf numFmtId="0" fontId="0" fillId="15" borderId="23"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5" fillId="35" borderId="44" xfId="3" applyBorder="1" applyAlignment="1">
      <alignment horizontal="left" vertical="center" wrapText="1"/>
    </xf>
    <xf numFmtId="0" fontId="5" fillId="35" borderId="48" xfId="3" applyBorder="1" applyAlignment="1">
      <alignment horizontal="left" vertical="center" wrapText="1"/>
    </xf>
    <xf numFmtId="0" fontId="5" fillId="35" borderId="45" xfId="3" applyBorder="1" applyAlignment="1">
      <alignment horizontal="left"/>
    </xf>
    <xf numFmtId="0" fontId="5" fillId="35" borderId="46" xfId="3" applyBorder="1" applyAlignment="1">
      <alignment horizontal="left"/>
    </xf>
    <xf numFmtId="0" fontId="5" fillId="35" borderId="47" xfId="3" applyBorder="1" applyAlignment="1">
      <alignment horizontal="left"/>
    </xf>
    <xf numFmtId="0" fontId="0" fillId="0" borderId="0" xfId="0" applyAlignment="1">
      <alignment horizontal="center"/>
    </xf>
    <xf numFmtId="0" fontId="0" fillId="0" borderId="2" xfId="0" applyBorder="1" applyAlignment="1">
      <alignment horizontal="center"/>
    </xf>
  </cellXfs>
  <cellStyles count="12">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Hyperlink" xfId="11" builtinId="8"/>
    <cellStyle name="Neutral" xfId="2" builtinId="28" customBuiltin="1"/>
    <cellStyle name="Normal" xfId="0" builtinId="0"/>
    <cellStyle name="Percent" xfId="1" builtinId="5"/>
    <cellStyle name="Result" xfId="6" xr:uid="{27C05C50-1692-41BD-902E-FB699DD63B0D}"/>
  </cellStyles>
  <dxfs count="105">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numFmt numFmtId="2" formatCode="0.00"/>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border diagonalUp="0" diagonalDown="0">
        <left/>
        <right/>
        <top/>
        <bottom style="dotted">
          <color auto="1"/>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style="medium">
          <color indexed="64"/>
        </left>
        <right/>
        <vertical/>
      </border>
    </dxf>
    <dxf>
      <numFmt numFmtId="14" formatCode="0.00%"/>
    </dxf>
    <dxf>
      <numFmt numFmtId="14" formatCode="0.00%"/>
    </dxf>
    <dxf>
      <border diagonalUp="0" diagonalDown="0">
        <left/>
        <right/>
        <top style="dotted">
          <color auto="1"/>
        </top>
        <bottom style="dotted">
          <color auto="1"/>
        </bottom>
        <vertical/>
        <horizontal/>
      </border>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4" totalsRowShown="0">
  <autoFilter ref="A1:F44"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104" dataCellStyle="04_Comments"/>
    <tableColumn id="1" xr3:uid="{23E8F131-81B2-4705-927A-A42C393BEDCE}" name="ID" dataDxfId="103">
      <calculatedColumnFormula>ROW()-1</calculatedColumnFormula>
    </tableColumn>
    <tableColumn id="2" xr3:uid="{D694ED25-71D4-4BD1-B627-FBE0FAE9FC8B}" name="Flow_ID" dataDxfId="102">
      <calculatedColumnFormula>"F_"&amp;LEFT(F2,2)&amp;"_"&amp;LEFT(H2,2)</calculatedColumnFormula>
    </tableColumn>
    <tableColumn id="3" xr3:uid="{CA1C6FA9-65CA-47E1-94EA-BBB750256C84}" name="Flow_Name" dataDxfId="101"/>
    <tableColumn id="5" xr3:uid="{E4010E64-B53A-47D0-A7D2-47D03F95861B}" name="Flow_Output_Process" dataCellStyle="02_Data_Input (DD)"/>
    <tableColumn id="6" xr3:uid="{6B50AC7E-8239-487E-AA74-DF3B748A4DBC}" name="Flow_Output_Process_ID">
      <calculatedColumnFormula>_xlfn.XLOOKUP(E2,Tab_Def_Processes[Process_Name],Tab_Def_Processes[Process_ID],,0,)</calculatedColumnFormula>
    </tableColumn>
    <tableColumn id="7" xr3:uid="{BB5929AC-D161-4245-A509-7FD167BBC61D}" name="Flow_Input_Process" dataCellStyle="02_Data_Input (DD)"/>
    <tableColumn id="8" xr3:uid="{B9EB18D6-7F00-4BB7-ADFD-200FC95B2CA7}" name="Input_Process_ID" dataDxfId="100">
      <calculatedColumnFormula>_xlfn.XLOOKUP(G2,Tab_Def_Processes[Process_Name],Tab_Def_Processes[Process_ID],,0,)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4" xr3:uid="{7EC28FE6-0C9F-4BB6-8A7C-75CB078DE8B1}" name="Flow_WC_ID " dataCellStyle="03_Auto_Calcaulation">
      <calculatedColumnFormula>Tab_Def_Flows[[#This Row],[Flow_ID]]&amp;"_WC"</calculatedColumnFormula>
    </tableColumn>
    <tableColumn id="18" xr3:uid="{AFBC221B-4B6A-49DF-8BB0-8E40EB019E1C}" name="Flow_WC" dataDxfId="99"/>
    <tableColumn id="22" xr3:uid="{ABA27704-56CF-4C30-88CB-BB6E944F7F08}" name="WC_source" dataCellStyle="04_Comments"/>
    <tableColumn id="10" xr3:uid="{D0034047-8042-40C2-8630-B9AC9A67EFA6}" name="Flow_DM_ID" dataDxfId="98" dataCellStyle="03_Auto_Calcaulation">
      <calculatedColumnFormula>Tab_Def_Flows[[#This Row],[Flow_ID]]&amp;"_DM"</calculatedColumnFormula>
    </tableColumn>
    <tableColumn id="23" xr3:uid="{5CA0D08F-32C9-451C-A223-78F9E163EE87}" name="Flow_DM" dataDxfId="97"/>
    <tableColumn id="19" xr3:uid="{B3649430-F3A4-4F10-84D0-61D5F3B7C06D}" name="DM_source" dataCellStyle="04_Comments"/>
    <tableColumn id="11" xr3:uid="{91581563-959B-455B-A64C-F0988CFED587}" name="Flow_CC_ID" dataCellStyle="03_Auto_Calcaulation">
      <calculatedColumnFormula>Tab_Def_Flows[[#This Row],[Flow_ID]]&amp;"_CC"</calculatedColumnFormula>
    </tableColumn>
    <tableColumn id="20" xr3:uid="{826B197D-7E74-49DB-8367-DD0E48B963C3}" name="Flow_CC_DM[%]" dataDxfId="96"/>
    <tableColumn id="21" xr3:uid="{D903DE25-FD16-43E6-ADC2-67C346513E4D}" name="CC_DM_source" dataCellStyle="04_Comments"/>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H350" totalsRowShown="0" headerRowCellStyle="05_Header">
  <autoFilter ref="A1:AH350" xr:uid="{323CB71B-2A7B-4CEF-9473-A7F5A1E6FAAA}"/>
  <tableColumns count="34">
    <tableColumn id="1" xr3:uid="{4E4AA63C-992A-498F-9D6C-B8B8E27D6E01}" name="ID" dataDxfId="95"/>
    <tableColumn id="21" xr3:uid="{4A94E88D-049E-45D2-A348-41DF1C22CB88}" name="Flow_ID">
      <calculatedColumnFormula>_xlfn.XLOOKUP(C2,Tab_Def_Flows[Flow_Name],Tab_Def_Flows[Flow_ID],,0,)</calculatedColumnFormula>
    </tableColumn>
    <tableColumn id="2" xr3:uid="{29C2000C-F671-4AE0-B65A-84E622203CC5}" name="Flow_Name"/>
    <tableColumn id="30" xr3:uid="{F13B49C3-7111-4C57-A913-01AB03549B56}" name="WC?" dataDxfId="94">
      <calculatedColumnFormula>_xlfn.XLOOKUP(C2,Tab_Def_Flows[Flow_Name],Tab_Def_Flows[WC?],,0,)</calculatedColumnFormula>
    </tableColumn>
    <tableColumn id="31" xr3:uid="{24B36152-385D-4D3C-A274-72EA56B6819A}" name="DM?" dataDxfId="93">
      <calculatedColumnFormula>_xlfn.XLOOKUP(C2,Tab_Def_Flows[Flow_Name],Tab_Def_Flows[DM?],,0,)</calculatedColumnFormula>
    </tableColumn>
    <tableColumn id="32" xr3:uid="{A086924B-597B-4B7A-B9B2-8397025FD97B}" name="CC?" dataDxfId="92">
      <calculatedColumnFormula>_xlfn.XLOOKUP(C2,Tab_Def_Flows[Flow_Name],Tab_Def_Flows[CC?],,0,)</calculatedColumnFormula>
    </tableColumn>
    <tableColumn id="8" xr3:uid="{99596DFE-48B5-4290-B0F6-A898E061D3F8}" name="Flow_Data_Year"/>
    <tableColumn id="9" xr3:uid="{1ACF4DEC-161A-4C25-85DA-AEB0305665A1}" name="Flow" dataDxfId="91"/>
    <tableColumn id="10" xr3:uid="{830F5101-5C33-4F82-BC56-E2BC7AF81364}" name="UoM_Source"/>
    <tableColumn id="11" xr3:uid="{4CDA8F79-829B-47EF-ADFC-3E43B62F90A4}" name="Name_Source"/>
    <tableColumn id="26" xr3:uid="{5682EF5B-30C4-46B4-B5FF-A174139B9E8A}" name="AVV" dataDxfId="90">
      <calculatedColumnFormula>INDEX(#REF!,MATCH(Tab_Data_Flows[[#This Row],[Flow_Name]],#REF!,0),12)</calculatedColumnFormula>
    </tableColumn>
    <tableColumn id="27" xr3:uid="{0FD99FBB-FEDB-4B73-A541-FB8A676D64E7}" name="Titel_Source" dataDxfId="89">
      <calculatedColumnFormula>MATCH(Tab_Data_Flows[[#This Row],[Flow_Name]],#REF!,0)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8"/>
    <tableColumn id="25" xr3:uid="{94996270-9A62-4B8C-B04B-D56A7F9FDE30}" name="Name_CF" dataDxfId="87">
      <calculatedColumnFormula>#REF!</calculatedColumnFormula>
    </tableColumn>
    <tableColumn id="3" xr3:uid="{5239D9D2-975D-4F7C-9B2C-2F802606937F}" name="Flow_material_year_ID" dataCellStyle="03_Auto_Calcaulation">
      <calculatedColumnFormula>Tab_Data_Flows[[#This Row],[Flow_ID]]&amp;"_"&amp;"material_"&amp;Tab_Data_Flows[[#This Row],[Flow_Data_Year]]</calculatedColumnFormula>
    </tableColumn>
    <tableColumn id="17" xr3:uid="{E761CF85-B508-4386-AFDF-6ABE121824EE}" name="Flow_Material" dataDxfId="86"/>
    <tableColumn id="18" xr3:uid="{9637D90E-56CA-40AA-A989-2B3406B7446B}" name="UoM_Flow_Py"/>
    <tableColumn id="35" xr3:uid="{D533411F-8317-4C7A-82C5-6CC35DCA0045}" name="WC_[%]" dataCellStyle="Percent">
      <calculatedColumnFormula>INDEX(Tab_Def_Flows[[Flow_ID]:[CC_DM_source]],MATCH(Tab_Data_Flows[[#This Row],[Flow_Name]],Tab_Def_Flows[Flow_Name],0),11)</calculatedColumnFormula>
    </tableColumn>
    <tableColumn id="4" xr3:uid="{32F50B3C-6D68-4FC0-ABC2-6896AF22BAAB}" name="Flow_WC_year_ID" dataDxfId="85" dataCellStyle="Percent">
      <calculatedColumnFormula>Tab_Data_Flows[[#This Row],[Flow_ID]]&amp;"_"&amp;"WC_"&amp;Tab_Data_Flows[[#This Row],[Flow_Data_Year]]</calculatedColumnFormula>
    </tableColumn>
    <tableColumn id="19" xr3:uid="{B38F996B-A4B1-4EAB-934E-3A03DA2EACD8}" name="WC_Flow_Py" dataCellStyle="03_Auto_Calcaulation">
      <calculatedColumnFormula>IF(D2="Yes",U2*Tab_Data_Flows[[#This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Row],[Flow_Name]],Tab_Def_Flows[Flow_Name],0),14)</calculatedColumnFormula>
    </tableColumn>
    <tableColumn id="5" xr3:uid="{BF1D8406-E28C-4E12-A0FA-64BC09028C7A}" name="Flow_DM_year_ID" dataDxfId="84" dataCellStyle="Percent">
      <calculatedColumnFormula>Tab_Data_Flows[[#This Row],[Flow_ID]]&amp;"_"&amp;"DM_"&amp;Tab_Data_Flows[[#This Row],[Flow_Data_Year]]</calculatedColumnFormula>
    </tableColumn>
    <tableColumn id="16" xr3:uid="{5870FF88-1089-4405-BE76-38B3B4593EF0}" name="DM_Flow_Py" dataCellStyle="03_Auto_Calcaulation">
      <calculatedColumnFormula>IF(E2="Yes",AA2*Tab_Data_Flows[[#This Row],[Flow_Material]],"N.A.")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Row],[Flow_Name]],Tab_Def_Flows[Flow_Name],0),17)</calculatedColumnFormula>
    </tableColumn>
    <tableColumn id="6" xr3:uid="{BAD6DCCC-3040-47BA-8BCF-16CBCE520515}" name="Flow_CC_year_ID" dataDxfId="83" dataCellStyle="Percent">
      <calculatedColumnFormula>Tab_Data_Flows[[#This Row],[Flow_ID]]&amp;"_"&amp;"CC_"&amp;Tab_Data_Flows[[#This Row],[Flow_Data_Year]]</calculatedColumnFormula>
    </tableColumn>
    <tableColumn id="33" xr3:uid="{03419921-2398-41C8-A2B6-2F0431969219}" name="CC_Flow_Py" dataCellStyle="03_Auto_Calcaulation">
      <calculatedColumnFormula>IF(F2="Yes",AE2*Tab_Data_Flows[[#This Row],[Flow_Material]]*Tab_Data_Flows[[#This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Q47" totalsRowShown="0" headerRowCellStyle="05_Header">
  <autoFilter ref="A1:Q47" xr:uid="{CEDB6F7C-CFD3-4534-80A6-FB20E3898B22}"/>
  <tableColumns count="17">
    <tableColumn id="39" xr3:uid="{488AB972-9613-4DA9-9600-5BFBE3896251}" name="Complete?" dataDxfId="82" dataCellStyle="04_Comments"/>
    <tableColumn id="1" xr3:uid="{A63F92FA-2376-4B5A-A2DF-588878E604E1}" name="ID" dataDxfId="81">
      <calculatedColumnFormula>ROW()-1</calculatedColumnFormula>
    </tableColumn>
    <tableColumn id="2" xr3:uid="{6D346BEA-29CA-401C-8ABB-6C62791A731A}" name="Process_ID" dataDxfId="80">
      <calculatedColumnFormula>LEFT(B2,2)</calculatedColumnFormula>
    </tableColumn>
    <tableColumn id="3" xr3:uid="{23E701E0-D1E5-4551-AEF1-EE173D6FB3F0}" name="Process_Name"/>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12" xr3:uid="{164DC887-CD3D-467E-863D-5B1701C13C87}" name="Process_Logic" dataCellStyle="02_Data_Input (DD)"/>
    <tableColumn id="36" xr3:uid="{0AFFEA74-933D-4970-BF8A-28076123C1C8}" name="TC?" dataCellStyle="02_Data_Input (DD)"/>
    <tableColumn id="4" xr3:uid="{205F98D5-C655-4D0C-945F-288EE31DD8D8}" name="TC_Type"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79"/>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AB52" totalsRowShown="0" tableBorderDxfId="78" headerRowCellStyle="05_Header">
  <autoFilter ref="A1:AB52" xr:uid="{7602A998-85E6-499A-B1A3-C584F22BB41F}"/>
  <tableColumns count="28">
    <tableColumn id="33" xr3:uid="{2E104FB0-3B3F-413B-B1B0-969D126AA7B1}" name="Complete?" dataDxfId="77" dataCellStyle="04_Comments"/>
    <tableColumn id="1" xr3:uid="{B9E05773-FB7F-407B-8FB3-BE93F6BB50D9}" name="ID" dataDxfId="76">
      <calculatedColumnFormula>ROW()-1</calculatedColumnFormula>
    </tableColumn>
    <tableColumn id="2" xr3:uid="{4324CFF4-5791-4829-80A7-8BA4CF2CD799}" name="Process_ID" dataDxfId="75">
      <calculatedColumnFormula>_xlfn.XLOOKUP($D2,Tab_Def_Processes[Process_Name],Tab_Def_Processes[ID],,0,)</calculatedColumnFormula>
    </tableColumn>
    <tableColumn id="4" xr3:uid="{946187C9-D3F8-4F19-9994-C8796BDBE53F}" name="Process_Name" dataCellStyle="02_Data_Input (DD)"/>
    <tableColumn id="8" xr3:uid="{CF624EB2-C53B-4C97-BCCB-5F901CEEEE0B}" name="Process_Type">
      <calculatedColumnFormula>_xlfn.XLOOKUP($D2,Tab_Def_Processes[Process_Name],Tab_Def_Processes[Process_Type],,0,)</calculatedColumnFormula>
    </tableColumn>
    <tableColumn id="3" xr3:uid="{479CFCA8-A274-4EFD-AB33-6D0AABD0F4B9}" name="Process_Logic" dataCellStyle="03_Auto_Calcaulation">
      <calculatedColumnFormula>_xlfn.XLOOKUP($D2,Tab_Def_Processes[Process_Name],Tab_Def_Processes[Process_Logic],,0,)</calculatedColumnFormula>
    </tableColumn>
    <tableColumn id="9" xr3:uid="{C1F36E7C-CB1F-4AB2-89D0-4A0AA9DFC352}" name="TC?">
      <calculatedColumnFormula>_xlfn.XLOOKUP($D2,Tab_Def_Processes[Process_Name],Tab_Def_Processes[TC?],,0,)</calculatedColumnFormula>
    </tableColumn>
    <tableColumn id="55" xr3:uid="{F3C18F15-6CF2-498C-8C52-DFE2AC10ECAC}" name="TC_Type">
      <calculatedColumnFormula>_xlfn.XLOOKUP($D2,Tab_Def_Processes[Process_Name],Tab_Def_Processes[TC_Type],,0,)</calculatedColumnFormula>
    </tableColumn>
    <tableColumn id="10" xr3:uid="{CC04B0A5-9C4F-4FFA-B2E2-F1D75167F23C}" name="Stock?">
      <calculatedColumnFormula>_xlfn.XLOOKUP($D2,Tab_Def_Processes[Process_Name],Tab_Def_Processes[Stock?],,0,)</calculatedColumnFormula>
    </tableColumn>
    <tableColumn id="11" xr3:uid="{4E13A538-9503-475F-89A6-159E072EA716}" name="Initial_Stock?" dataDxfId="74">
      <calculatedColumnFormula>_xlfn.XLOOKUP($D2,Tab_Def_Processes[Process_Name],Tab_Def_Processes[Initial_Stock?],,0,)</calculatedColumnFormula>
    </tableColumn>
    <tableColumn id="12" xr3:uid="{1AEDC949-1281-46C8-9543-F9AB0A724F08}" name="DSM?" dataDxfId="73">
      <calculatedColumnFormula>_xlfn.XLOOKUP($D2,Tab_Def_Processes[Process_Name],Tab_Def_Processes[DSM?],,0,)</calculatedColumnFormula>
    </tableColumn>
    <tableColumn id="35" xr3:uid="{EB108F7B-4F7A-4DA2-85C9-369937385FF2}" name="FOMP?">
      <calculatedColumnFormula>_xlfn.XLOOKUP($D2,Tab_Def_Processes[Process_Name],Tab_Def_Processes[FOMP?],,0,)</calculatedColumnFormula>
    </tableColumn>
    <tableColumn id="63" xr3:uid="{1A77F15A-FA31-4CCE-BD64-2CB112A3FC0E}" name="Nr. Outflows?">
      <calculatedColumnFormula>_xlfn.XLOOKUP($D2,Tab_Def_Processes[Process_Name],Tab_Def_Processes[Nr.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material_ID">
      <calculatedColumnFormula>"TC_material"&amp;"_"&amp;RIGHT(O2,5)</calculatedColumnFormula>
    </tableColumn>
    <tableColumn id="6" xr3:uid="{FFED5F6C-3218-4158-B83E-E36CBDBE66D3}" name="TC_Value_material" dataCellStyle="01_Data_Input [%]"/>
    <tableColumn id="5" xr3:uid="{26CB53AE-C2DA-498F-83BC-637846312E64}" name="TC_WC_ID" dataCellStyle="01_Data_Input [%]">
      <calculatedColumnFormula>"TC_WC"&amp;"_"&amp;RIGHT(O2,5)</calculatedColumnFormula>
    </tableColumn>
    <tableColumn id="14" xr3:uid="{C58A0316-8CD5-40B7-8DAC-47E491863B51}" name="TC_Value_WC" dataCellStyle="01_Data_Input [%]"/>
    <tableColumn id="7" xr3:uid="{D1AB31D7-FE03-4FA3-A841-2C6BF096BA38}" name="TC_DM_ID" dataCellStyle="01_Data_Input [%]">
      <calculatedColumnFormula>"TC_DM"&amp;"_"&amp;RIGHT(O2,5)</calculatedColumnFormula>
    </tableColumn>
    <tableColumn id="17" xr3:uid="{60C7719A-F2C4-4AA3-A9B0-A771C56BADEA}" name="TC_Value_DM" dataCellStyle="01_Data_Input [%]"/>
    <tableColumn id="13" xr3:uid="{FA3232AA-9699-474E-89ED-66751D08AE6B}" name="TC_CC_ID" dataCellStyle="01_Data_Input [%]">
      <calculatedColumnFormula>"TC_CC"&amp;"_"&amp;RIGHT(O2,5)</calculatedColumnFormula>
    </tableColumn>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AB149" totalsRowShown="0" headerRowDxfId="72" headerRowBorderDxfId="71" tableBorderDxfId="70">
  <autoFilter ref="A1:AB149" xr:uid="{7602A998-85E6-499A-B1A3-C584F22BB41F}"/>
  <sortState xmlns:xlrd2="http://schemas.microsoft.com/office/spreadsheetml/2017/richdata2" ref="A2:AB149">
    <sortCondition ref="D1:D149"/>
  </sortState>
  <tableColumns count="28">
    <tableColumn id="33" xr3:uid="{8D32234C-9537-417C-B55D-065038402726}" name="Complete?" dataDxfId="69" dataCellStyle="04_Comments"/>
    <tableColumn id="1" xr3:uid="{CE7CE076-C32F-4791-85A9-C6321A66E672}" name="ID" dataDxfId="68">
      <calculatedColumnFormula>ROW()-1</calculatedColumnFormula>
    </tableColumn>
    <tableColumn id="2" xr3:uid="{F7259AFD-9D16-4ACC-BDB2-8D0DCC203B92}" name="Process_ID" dataDxfId="67" dataCellStyle="03_Auto_Calcaulation">
      <calculatedColumnFormula>_xlfn.XLOOKUP($D2,Tab_Process_TCs[Process_Name],Tab_Process_TCs[Process_ID],,0,)</calculatedColumnFormula>
    </tableColumn>
    <tableColumn id="4" xr3:uid="{D62568B9-C7FB-4148-A9E6-4408BD54F6DD}" name="Process_Name" dataCellStyle="02_Data_Input (DD)"/>
    <tableColumn id="53" xr3:uid="{B30EC7AB-C9CF-48B9-9C18-4DC70FA64675}" name="Output_Flow" dataCellStyle="02_Data_Input (DD)">
      <calculatedColumnFormula>"TC"&amp;LEFT(B2,2)&amp;"_"&amp;LEFT(C2,3)&amp;"_"&amp;LEFT(D2,3)&amp;"_"&amp;LEFT(K2,3)&amp;"_"&amp;LEFT(#REF!,3)</calculatedColumnFormula>
    </tableColumn>
    <tableColumn id="70" xr3:uid="{CF9C5752-D3E5-488D-9743-5AD65E5C60A8}" name="TC?" dataCellStyle="03_Auto_Calcaulation">
      <calculatedColumnFormula>_xlfn.XLOOKUP($D2,Tab_Process_TCs[Process_Name],Tab_Process_TCs[TC?],,0,)</calculatedColumnFormula>
    </tableColumn>
    <tableColumn id="71" xr3:uid="{1A915599-95E7-42ED-96FF-6B72A882182B}" name="TC_Type" dataCellStyle="03_Auto_Calcaulation">
      <calculatedColumnFormula>_xlfn.XLOOKUP($D2,Tab_Process_TCs[Process_Name],Tab_Process_TCs[TC_Type],,0,)</calculatedColumnFormula>
    </tableColumn>
    <tableColumn id="6" xr3:uid="{ECCBCC07-0DFD-444C-84A1-6C630191FBD6}" name="Process_Logic" dataDxfId="66" dataCellStyle="03_Auto_Calcaulation">
      <calculatedColumnFormula>_xlfn.XLOOKUP($D2,Tab_Process_TCs[Process_Name],Tab_Process_TCs[Process_Logic],,0,)</calculatedColumnFormula>
    </tableColumn>
    <tableColumn id="58" xr3:uid="{30CA6363-44CF-47BB-852F-FC99B7871DBF}" name="Flow_ID"/>
    <tableColumn id="5" xr3:uid="{14178014-57A1-4060-85AD-87A3EE5DEB58}" name="Year" dataCellStyle="01_Data_Input"/>
    <tableColumn id="47" xr3:uid="{216BDA3B-897B-4778-B689-9FC4086F4AC2}" name="TC_material_ID">
      <calculatedColumnFormula>"TC_material"&amp;"_"&amp;RIGHT(I2,5)</calculatedColumnFormula>
    </tableColumn>
    <tableColumn id="7" xr3:uid="{B6501728-CFCD-4CAF-8AE6-9FFFB31BB3EE}" name="TC_Value_material" dataCellStyle="01_Data_Input [%]"/>
    <tableColumn id="130" xr3:uid="{597A00C3-62A3-4A2E-9873-EF4CCC3D399C}" name="TC_WC_ID" dataDxfId="65" dataCellStyle="03_Auto_Calcaulation">
      <calculatedColumnFormula>"TC_WC"&amp;"_"&amp;RIGHT(I2,5)</calculatedColumnFormula>
    </tableColumn>
    <tableColumn id="3" xr3:uid="{F2AB626C-8252-40EA-BF3F-741936847253}" name="TC_Value_WC" dataCellStyle="01_Data_Input [%]"/>
    <tableColumn id="9" xr3:uid="{237AC8FD-4E0C-4FE4-8F17-1BF1C65D5D48}" name="TC_DM_ID" dataCellStyle="01_Data_Input">
      <calculatedColumnFormula>"TC_DM"&amp;"_"&amp;RIGHT(I2,5)</calculatedColumnFormula>
    </tableColumn>
    <tableColumn id="62" xr3:uid="{8B4BDA15-ED38-4949-803C-738CA8CD4711}" name="TC_Value_DM" dataCellStyle="01_Data_Input [%]"/>
    <tableColumn id="72" xr3:uid="{B8B4579E-4BDB-4E09-B029-B8A230690748}" name="TC_CC_ID" dataCellStyle="01_Data_Input">
      <calculatedColumnFormula>"TC_CC"&amp;"_"&amp;RIGHT(I2,5)</calculatedColumnFormula>
    </tableColumn>
    <tableColumn id="74" xr3:uid="{ACD058AB-4ED3-4363-A497-3E2D653AE01B}" name="TC_Value_CC" dataCellStyle="01_Data_Input"/>
    <tableColumn id="48" xr3:uid="{EF811571-9CC9-41DC-BFA4-320CD8D9C0C6}" name="Flow_ID_O_6" dataDxfId="64">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63">
      <calculatedColumnFormula>"TC"&amp;"_"&amp;RIGHT(S2,5)</calculatedColumnFormula>
    </tableColumn>
    <tableColumn id="50" xr3:uid="{5AF5E9BC-3B3E-4244-A22E-AC3284E0E97C}" name="TC O_6_[%]" dataDxfId="62" dataCellStyle="Percent"/>
    <tableColumn id="51" xr3:uid="{B76A3DEE-BBAC-4CE1-BE1D-2941B928DB78}" name="Sum_TC_O" dataDxfId="61"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60" headerRowCellStyle="05_Header">
  <autoFilter ref="A1:U63" xr:uid="{7602A998-85E6-499A-B1A3-C584F22BB41F}"/>
  <tableColumns count="21">
    <tableColumn id="24" xr3:uid="{799CF049-9A74-47E4-BCE6-68EB92DFEDD4}" name="Complete?" dataDxfId="59" dataCellStyle="04_Comments"/>
    <tableColumn id="1" xr3:uid="{75AB9428-C675-46D8-B904-74A952E29611}" name="ID" dataDxfId="58">
      <calculatedColumnFormula>ROW()-1</calculatedColumnFormula>
    </tableColumn>
    <tableColumn id="22" xr3:uid="{055CB3E4-C1DF-486D-9F8E-E65039E95278}" name="Stock_ID" dataDxfId="57">
      <calculatedColumnFormula>"S"&amp;"_"&amp;LEFT(D2,2)</calculatedColumnFormula>
    </tableColumn>
    <tableColumn id="2" xr3:uid="{5ADBC512-CD1A-40CE-BE30-05251A2B7DE2}" name="Process_ID">
      <calculatedColumnFormula>_xlfn.XLOOKUP($E2,Tab_Def_Processes[Process_Name],Tab_Def_Processes[Process_ID],,0,)</calculatedColumnFormula>
    </tableColumn>
    <tableColumn id="4" xr3:uid="{84AAD184-ADAF-48DD-90FF-054A16E8C72E}" name="Process_Name"/>
    <tableColumn id="8" xr3:uid="{1C605A6E-1096-4C94-ABBC-E2EC4B185BA0}" name="Process_Type">
      <calculatedColumnFormula>_xlfn.XLOOKUP($E2,Tab_Def_Processes[Process_Name],Tab_Def_Processes[Process_Type],,0,)</calculatedColumnFormula>
    </tableColumn>
    <tableColumn id="9" xr3:uid="{CB710984-0964-45BE-84F9-88E12B67D690}" name="TC?">
      <calculatedColumnFormula>_xlfn.XLOOKUP($E2,Tab_Def_Processes[Process_Name],Tab_Def_Processes[TC?],,0,)</calculatedColumnFormula>
    </tableColumn>
    <tableColumn id="10" xr3:uid="{9A812DE8-1541-429A-A794-65E2E525E20C}" name="TC_Type">
      <calculatedColumnFormula>_xlfn.XLOOKUP($E2,Tab_Def_Processes[Process_Name],Tab_Def_Processes[TC_Type],,0,)</calculatedColumnFormula>
    </tableColumn>
    <tableColumn id="11" xr3:uid="{E1D6EE2E-98F5-47C3-99E3-92AF9C3806CE}" name="Stock?">
      <calculatedColumnFormula>_xlfn.XLOOKUP($E2,Tab_Def_Processes[Process_Name],Tab_Def_Processes[Stock?],,0,)</calculatedColumnFormula>
    </tableColumn>
    <tableColumn id="23" xr3:uid="{2CB2680D-3559-4D9B-9114-511E4F25B187}" name="Initial_Stock?">
      <calculatedColumnFormula>_xlfn.XLOOKUP($E2,Tab_Def_Processes[Process_Name],Tab_Def_Processes[Initial_Stock?],,0,)</calculatedColumnFormula>
    </tableColumn>
    <tableColumn id="12" xr3:uid="{7DDD5886-F4FA-4775-8C52-92E80DC384DD}" name="Initial_Stock_material" dataDxfId="56"/>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5" dataDxfId="54" tableBorderDxfId="53">
  <autoFilter ref="A1:R51" xr:uid="{258723AD-03F6-4700-9C12-0435A55E108D}"/>
  <tableColumns count="18">
    <tableColumn id="1" xr3:uid="{33B8EF63-7663-4BA6-9B91-D446C0C9C276}" name="Complete?" dataCellStyle="04_Comments"/>
    <tableColumn id="2" xr3:uid="{6589C290-508A-4E8E-8896-B6E09EB1B594}" name="ID" dataDxfId="52">
      <calculatedColumnFormula>ROW()-1</calculatedColumnFormula>
    </tableColumn>
    <tableColumn id="4" xr3:uid="{F4E33EB8-7313-4BD5-8A0A-D0E18A2A18E9}" name="Process_ID" dataDxfId="51">
      <calculatedColumnFormula>_xlfn.XLOOKUP($D2,Tab_Def_Processes[Process_Name],Tab_Def_Processes[Process_ID],,0,)</calculatedColumnFormula>
    </tableColumn>
    <tableColumn id="5" xr3:uid="{E9F30AE4-3733-473D-B124-CDB1D225C217}" name="Process_Name" dataDxfId="50"/>
    <tableColumn id="6" xr3:uid="{8636F935-6448-4819-ADDF-71DFA45559FA}" name="Process_Type" dataDxfId="49">
      <calculatedColumnFormula>_xlfn.XLOOKUP($D2,Tab_Def_Processes[Process_Name],Tab_Def_Processes[Process_Type],,0,)</calculatedColumnFormula>
    </tableColumn>
    <tableColumn id="11" xr3:uid="{60B3771B-3986-46D1-B5BA-CE7814BD4A11}" name="TC?" dataDxfId="48">
      <calculatedColumnFormula>_xlfn.XLOOKUP($D2,Tab_Def_Processes[Process_Name],Tab_Def_Processes[TC?],,0,)</calculatedColumnFormula>
    </tableColumn>
    <tableColumn id="12" xr3:uid="{A2F17CD8-5CAE-47C5-88AC-65F98D1E04A7}" name="TC_Type" dataDxfId="47">
      <calculatedColumnFormula>_xlfn.XLOOKUP($D2,Tab_Def_Processes[Process_Name],Tab_Def_Processes[TC_Type],,0,)</calculatedColumnFormula>
    </tableColumn>
    <tableColumn id="13" xr3:uid="{AAC3F32E-5E29-4B43-870A-6E7FC451D4C7}" name="Stock?" dataDxfId="46">
      <calculatedColumnFormula>_xlfn.XLOOKUP($D2,Tab_Def_Processes[Process_Name],Tab_Def_Processes[Stock?],,0,)</calculatedColumnFormula>
    </tableColumn>
    <tableColumn id="14" xr3:uid="{46AA84AB-D3F4-4DFC-AFA9-73ECA93071B0}" name="Initial_Stock?" dataDxfId="45">
      <calculatedColumnFormula>_xlfn.XLOOKUP($D2,Tab_Def_Processes[Process_Name],Tab_Def_Processes[Initial_Stock?],,0,)</calculatedColumnFormula>
    </tableColumn>
    <tableColumn id="7" xr3:uid="{4D982150-569B-49F8-B2ED-A59759BD8284}" name="DSM?" dataDxfId="44"/>
    <tableColumn id="8" xr3:uid="{722B87D6-F9E5-415C-984B-850168F8B4C0}" name="FOMP?" dataDxfId="43"/>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42" tableBorderDxfId="41" headerRowCellStyle="05_Header">
  <autoFilter ref="A1:Q41" xr:uid="{258723AD-03F6-4700-9C12-0435A55E108D}"/>
  <tableColumns count="17">
    <tableColumn id="1" xr3:uid="{45321D18-7A58-4FFA-814A-4BFE5587094A}" name="Complete?" dataCellStyle="04_Comments"/>
    <tableColumn id="2" xr3:uid="{EC881CBD-180B-4D64-9A86-8AA6EC24B7F6}" name="ID" dataDxfId="40">
      <calculatedColumnFormula>ROW()-1</calculatedColumnFormula>
    </tableColumn>
    <tableColumn id="4" xr3:uid="{844E5006-9125-4DE3-A7C3-7D82AE3725EE}" name="Process_ID" dataDxfId="39">
      <calculatedColumnFormula>_xlfn.XLOOKUP($D2,Tab_Def_Processes[Process_Name],Tab_Def_Processes[Process_ID],,0,)</calculatedColumnFormula>
    </tableColumn>
    <tableColumn id="5" xr3:uid="{0A9A4390-230F-4C39-9AF5-D72E04524EC5}" name="Process_Name" dataDxfId="38"/>
    <tableColumn id="6" xr3:uid="{27F8000C-3015-4447-BAA8-364798FFAAFF}" name="Process_Type" dataDxfId="37">
      <calculatedColumnFormula>_xlfn.XLOOKUP($D2,Tab_Def_Processes[Process_Name],Tab_Def_Processes[Process_Type],,0,)</calculatedColumnFormula>
    </tableColumn>
    <tableColumn id="11" xr3:uid="{CC767FA8-EDF4-482B-B626-0EE382C271A5}" name="TC?" dataDxfId="36">
      <calculatedColumnFormula>_xlfn.XLOOKUP($D2,Tab_Def_Processes[Process_Name],Tab_Def_Processes[TC?],,0,)</calculatedColumnFormula>
    </tableColumn>
    <tableColumn id="12" xr3:uid="{E84B3ABE-4E12-4E6F-A681-7D39D8B20B42}" name="TC_Type" dataDxfId="35">
      <calculatedColumnFormula>_xlfn.XLOOKUP($D2,Tab_Def_Processes[Process_Name],Tab_Def_Processes[TC_Type],,0,)</calculatedColumnFormula>
    </tableColumn>
    <tableColumn id="13" xr3:uid="{981DEE9B-FA47-4F47-8F80-39B1E8690449}" name="Stock?" dataDxfId="34">
      <calculatedColumnFormula>_xlfn.XLOOKUP($D2,Tab_Def_Processes[Process_Name],Tab_Def_Processes[Stock?],,0,)</calculatedColumnFormula>
    </tableColumn>
    <tableColumn id="14" xr3:uid="{69989678-F20B-45BE-B37C-4E9CE9AA75DC}" name="Initial_Stock?" dataDxfId="33">
      <calculatedColumnFormula>_xlfn.XLOOKUP($D2,Tab_Def_Processes[Process_Name],Tab_Def_Processes[Initial_Stock?],,0,)</calculatedColumnFormula>
    </tableColumn>
    <tableColumn id="7" xr3:uid="{3CFB9275-BB11-4A48-A179-F10B662CD314}" name="DSM?" dataDxfId="32">
      <calculatedColumnFormula>_xlfn.XLOOKUP($D2,Tab_Def_Processes[Process_Name],Tab_Def_Processes[DSM?],,0,)</calculatedColumnFormula>
    </tableColumn>
    <tableColumn id="8" xr3:uid="{10C6F948-DB35-488A-BBCF-1C22C3F74E52}" name="FOMP?" dataDxfId="31">
      <calculatedColumnFormula>_xlfn.XLOOKUP($D2,Tab_Def_Processes[Process_Name],Tab_Def_Processes[FOMP?],,0,)</calculatedColumnFormula>
    </tableColumn>
    <tableColumn id="3" xr3:uid="{781F7BA1-6A07-4128-9F11-258500CE741A}" name="Nr. Outflows" dataCellStyle="03_Auto_Calcaulation">
      <calculatedColumnFormula>_xlfn.XLOOKUP(Tab_FOMP[[#This Row],[Process_Name]],Tab_Def_Processes[Process_Name],Tab_Def_Processes[Nr.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"P"&amp;Tab_FOMP[[#This Row],[Process_ID]]&amp;"_"&amp;_xlfn.XLOOKUP($N2,CL_3.1_FOMP_Parameters[Category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J18" totalsRowShown="0" headerRowCellStyle="05_Header">
  <autoFilter ref="A1:J18" xr:uid="{3095CCF5-492B-4C20-9D33-0920A98FD616}"/>
  <tableColumns count="10">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30" dataCellStyle="01_Data_Input"/>
    <tableColumn id="6" xr3:uid="{1B45FB7A-4CA2-4F7D-81DB-270B1D81AE53}" name="start_year" dataDxfId="29" dataCellStyle="01_Data_Input"/>
    <tableColumn id="5" xr3:uid="{A6D89D25-2F1B-4F9D-86FE-506D7CB5C8C3}" name="end_year" dataDxfId="28"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27">
  <autoFilter ref="A1:P47" xr:uid="{FF9E0B7D-0B53-4192-BACF-A733D16BD97E}"/>
  <sortState xmlns:xlrd2="http://schemas.microsoft.com/office/spreadsheetml/2017/richdata2" ref="A2:P47">
    <sortCondition ref="I1:I47"/>
  </sortState>
  <tableColumns count="16">
    <tableColumn id="1" xr3:uid="{AEAC6F38-4A16-4B89-B940-1815E01565C6}" name="Complete?" dataDxfId="26" dataCellStyle="04_Comments"/>
    <tableColumn id="2" xr3:uid="{974E84B3-B7E5-4EAB-BE6D-E4CA3B941720}" name="ID" dataDxfId="25" dataCellStyle="03_Auto_Calcaulation">
      <calculatedColumnFormula>ROW()-1</calculatedColumnFormula>
    </tableColumn>
    <tableColumn id="3" xr3:uid="{C80F74B1-CB58-477D-916E-9E36937DCC7C}" name="Process_ID" dataDxfId="24" dataCellStyle="03_Auto_Calcaulation">
      <calculatedColumnFormula>_xlfn.XLOOKUP($D2,Tab_Def_Processes[Process_Name],Tab_Def_Processes[ID],,0,)</calculatedColumnFormula>
    </tableColumn>
    <tableColumn id="4" xr3:uid="{3B5A389D-DBD4-440A-B4C9-D7D490F921D1}" name="Name(EN)" dataCellStyle="03_Auto_Calcaulation"/>
    <tableColumn id="12" xr3:uid="{41BA6A81-81C1-4463-8311-87562C351952}" name="Color_Category" dataDxfId="23" dataCellStyle="02_Data_Input (DD)"/>
    <tableColumn id="11" xr3:uid="{A6B3115D-C460-49E4-B156-47D34854C0D6}" name="Node_Color" dataDxfId="22"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1">
  <autoFilter ref="A1:F51" xr:uid="{C3FEF386-C709-41D8-A84A-E296EE975D12}"/>
  <tableColumns count="6">
    <tableColumn id="1" xr3:uid="{B6E6225C-23E8-433A-835E-8BB33C78FBC1}" name="ID" dataDxfId="20" dataCellStyle="03_Auto_Calcaulation">
      <calculatedColumnFormula>ROW()-1</calculatedColumnFormula>
    </tableColumn>
    <tableColumn id="2" xr3:uid="{D19AA7EE-8012-4211-95D9-A412AE73FEA7}" name="Flow_ID" dataDxfId="19" dataCellStyle="03_Auto_Calcaulation">
      <calculatedColumnFormula>_xlfn.XLOOKUP(C2,Tab_Def_Flows[Flow_Name],Tab_Def_Flows[Flow_ID],,0,)</calculatedColumnFormula>
    </tableColumn>
    <tableColumn id="3" xr3:uid="{4E9E0952-540C-4328-B73C-2BE6729629B0}" name="Name(EN)" dataCellStyle="03_Auto_Calcaulation">
      <calculatedColumnFormula>Tab_Def_Flows[[#This Row],[Flow_Name]]</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18" headerRowBorderDxfId="17" tableBorderDxfId="16">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dataCellStyle="04_Comments"/>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15" headerRowBorderDxfId="14" tableBorderDxfId="13">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logic" displayName="CL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2" headerRowBorderDxfId="11" tableBorderDxfId="10">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9" headerRowBorderDxfId="8" tableBorderDxfId="7">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7" totalsRowShown="0" headerRowDxfId="6" dataDxfId="4" headerRowBorderDxfId="5" tableBorderDxfId="3">
  <autoFilter ref="I2:K7" xr:uid="{A4BAA253-5F93-43FA-B29F-0B6F3C3B9A9C}"/>
  <tableColumns count="3">
    <tableColumn id="1" xr3:uid="{3A2104AE-491E-45BA-88C6-52AF33E41E9B}" name="ID" dataDxfId="2"/>
    <tableColumn id="2" xr3:uid="{AAD1EC56-358F-4A14-A0AD-C4BC8B6E13DE}" name="Short" dataDxfId="1"/>
    <tableColumn id="3" xr3:uid="{1EB10FD9-8576-45BA-8784-E6052E611FF6}" name="Description" dataDxfId="0"/>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2681112-0214-4BFC-BFEF-2791E79B08BA}" name="CL_TC_Type" displayName="CL_TC_Type" ref="E52:F55" totalsRowShown="0">
  <autoFilter ref="E52:F55" xr:uid="{A2681112-0214-4BFC-BFEF-2791E79B08BA}"/>
  <tableColumns count="2">
    <tableColumn id="1" xr3:uid="{2E4916F8-E8DA-41B9-8438-3C0F190A2264}" name="ID"/>
    <tableColumn id="2" xr3:uid="{96546A5B-1A46-4CAF-9B16-96FD75AEF061}" name="TC_Typ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8.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19" Type="http://schemas.openxmlformats.org/officeDocument/2006/relationships/table" Target="../tables/table34.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210</v>
      </c>
    </row>
    <row r="4" spans="2:20" x14ac:dyDescent="0.25">
      <c r="B4" t="s">
        <v>14</v>
      </c>
    </row>
    <row r="6" spans="2:20" x14ac:dyDescent="0.25">
      <c r="B6" t="s">
        <v>22</v>
      </c>
      <c r="T6" cm="1">
        <f t="array" ref="T6:T31">_xlfn.SEQUENCE(I7-H7+1,1,H7,1)</f>
        <v>2025</v>
      </c>
    </row>
    <row r="7" spans="2:20" x14ac:dyDescent="0.25">
      <c r="C7" t="s">
        <v>23</v>
      </c>
      <c r="F7" t="s">
        <v>24</v>
      </c>
      <c r="H7">
        <v>2025</v>
      </c>
      <c r="I7">
        <v>2050</v>
      </c>
      <c r="O7" t="s">
        <v>258</v>
      </c>
      <c r="T7">
        <v>2026</v>
      </c>
    </row>
    <row r="8" spans="2:20" x14ac:dyDescent="0.25">
      <c r="C8" t="s">
        <v>25</v>
      </c>
      <c r="F8" t="s">
        <v>10</v>
      </c>
      <c r="N8" s="8" t="s">
        <v>259</v>
      </c>
      <c r="O8" s="8"/>
      <c r="T8">
        <v>2027</v>
      </c>
    </row>
    <row r="9" spans="2:20" x14ac:dyDescent="0.25">
      <c r="F9" t="s">
        <v>9</v>
      </c>
      <c r="N9" s="155" t="s">
        <v>260</v>
      </c>
      <c r="O9" s="155"/>
      <c r="T9">
        <v>2028</v>
      </c>
    </row>
    <row r="10" spans="2:20" x14ac:dyDescent="0.25">
      <c r="N10" s="7" t="s">
        <v>261</v>
      </c>
      <c r="O10" s="7"/>
      <c r="T10">
        <v>2029</v>
      </c>
    </row>
    <row r="11" spans="2:20" x14ac:dyDescent="0.25">
      <c r="N11" s="20" t="s">
        <v>262</v>
      </c>
      <c r="O11" s="20"/>
      <c r="T11">
        <v>2030</v>
      </c>
    </row>
    <row r="12" spans="2:20" x14ac:dyDescent="0.25">
      <c r="B12" s="199" t="s">
        <v>26</v>
      </c>
      <c r="C12" s="199"/>
      <c r="D12" s="199"/>
      <c r="E12" s="199"/>
      <c r="F12" s="199"/>
      <c r="G12" s="199"/>
      <c r="H12" s="199"/>
      <c r="I12" s="199"/>
      <c r="J12" s="199"/>
      <c r="K12" s="199"/>
      <c r="L12" s="199"/>
      <c r="M12" s="199"/>
      <c r="T12">
        <v>2031</v>
      </c>
    </row>
    <row r="13" spans="2:20" x14ac:dyDescent="0.25">
      <c r="B13" s="199"/>
      <c r="C13" s="199"/>
      <c r="D13" s="199"/>
      <c r="E13" s="199"/>
      <c r="F13" s="199"/>
      <c r="G13" s="199"/>
      <c r="H13" s="199"/>
      <c r="I13" s="199"/>
      <c r="J13" s="199"/>
      <c r="K13" s="199"/>
      <c r="L13" s="199"/>
      <c r="M13" s="199"/>
      <c r="T13">
        <v>2032</v>
      </c>
    </row>
    <row r="14" spans="2:20" x14ac:dyDescent="0.25">
      <c r="B14" s="199"/>
      <c r="C14" s="199"/>
      <c r="D14" s="199"/>
      <c r="E14" s="199"/>
      <c r="F14" s="199"/>
      <c r="G14" s="199"/>
      <c r="H14" s="199"/>
      <c r="I14" s="199"/>
      <c r="J14" s="199"/>
      <c r="K14" s="199"/>
      <c r="L14" s="199"/>
      <c r="M14" s="199"/>
      <c r="T14">
        <v>2033</v>
      </c>
    </row>
    <row r="15" spans="2:20" x14ac:dyDescent="0.25">
      <c r="B15" s="200" t="s">
        <v>27</v>
      </c>
      <c r="C15" s="200"/>
      <c r="D15" s="200"/>
      <c r="E15" s="200"/>
      <c r="F15" s="200"/>
      <c r="G15" s="200"/>
      <c r="H15" s="200"/>
      <c r="I15" s="200"/>
      <c r="J15" s="200"/>
      <c r="K15" s="200"/>
      <c r="L15" s="200"/>
      <c r="T15">
        <v>2034</v>
      </c>
    </row>
    <row r="16" spans="2:20" x14ac:dyDescent="0.25">
      <c r="B16" s="200"/>
      <c r="C16" s="200"/>
      <c r="D16" s="200"/>
      <c r="E16" s="200"/>
      <c r="F16" s="200"/>
      <c r="G16" s="200"/>
      <c r="H16" s="200"/>
      <c r="I16" s="200"/>
      <c r="J16" s="200"/>
      <c r="K16" s="200"/>
      <c r="L16" s="200"/>
      <c r="T16">
        <v>2035</v>
      </c>
    </row>
    <row r="17" spans="2:20" x14ac:dyDescent="0.25">
      <c r="B17" s="200"/>
      <c r="C17" s="200"/>
      <c r="D17" s="200"/>
      <c r="E17" s="200"/>
      <c r="F17" s="200"/>
      <c r="G17" s="200"/>
      <c r="H17" s="200"/>
      <c r="I17" s="200"/>
      <c r="J17" s="200"/>
      <c r="K17" s="200"/>
      <c r="L17" s="200"/>
      <c r="T17">
        <v>2036</v>
      </c>
    </row>
    <row r="18" spans="2:20" x14ac:dyDescent="0.25">
      <c r="B18" s="200"/>
      <c r="C18" s="200"/>
      <c r="D18" s="200"/>
      <c r="E18" s="200"/>
      <c r="F18" s="200"/>
      <c r="G18" s="200"/>
      <c r="H18" s="200"/>
      <c r="I18" s="200"/>
      <c r="J18" s="200"/>
      <c r="K18" s="200"/>
      <c r="L18" s="200"/>
      <c r="T18">
        <v>2037</v>
      </c>
    </row>
    <row r="19" spans="2:20" x14ac:dyDescent="0.25">
      <c r="T19">
        <v>2038</v>
      </c>
    </row>
    <row r="20" spans="2:20" x14ac:dyDescent="0.25">
      <c r="T20">
        <v>2039</v>
      </c>
    </row>
    <row r="21" spans="2:20" x14ac:dyDescent="0.25">
      <c r="T21">
        <v>2040</v>
      </c>
    </row>
    <row r="22" spans="2:20" x14ac:dyDescent="0.25">
      <c r="B22" t="s">
        <v>15</v>
      </c>
      <c r="T22">
        <v>2041</v>
      </c>
    </row>
    <row r="23" spans="2:20" x14ac:dyDescent="0.25">
      <c r="T23">
        <v>2042</v>
      </c>
    </row>
    <row r="24" spans="2:20" x14ac:dyDescent="0.25">
      <c r="C24" t="s">
        <v>21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16</v>
      </c>
    </row>
    <row r="34" spans="1:3" x14ac:dyDescent="0.25">
      <c r="B34" t="s">
        <v>17</v>
      </c>
    </row>
    <row r="35" spans="1:3" x14ac:dyDescent="0.25">
      <c r="B35" t="s">
        <v>18</v>
      </c>
    </row>
    <row r="36" spans="1:3" x14ac:dyDescent="0.25">
      <c r="B36" t="s">
        <v>19</v>
      </c>
    </row>
    <row r="37" spans="1:3" x14ac:dyDescent="0.25">
      <c r="B37" t="s">
        <v>20</v>
      </c>
    </row>
    <row r="40" spans="1:3" x14ac:dyDescent="0.25">
      <c r="B40" t="s">
        <v>212</v>
      </c>
      <c r="C40" t="s">
        <v>213</v>
      </c>
    </row>
    <row r="41" spans="1:3" x14ac:dyDescent="0.25">
      <c r="C41" t="s">
        <v>214</v>
      </c>
    </row>
    <row r="45" spans="1:3" ht="18.75" x14ac:dyDescent="0.3">
      <c r="A45" s="161" t="s">
        <v>295</v>
      </c>
    </row>
    <row r="47" spans="1:3" ht="15.75" x14ac:dyDescent="0.25">
      <c r="A47" s="162" t="s">
        <v>296</v>
      </c>
    </row>
    <row r="48" spans="1:3" x14ac:dyDescent="0.25">
      <c r="A48" t="s">
        <v>297</v>
      </c>
    </row>
    <row r="49" spans="1:1" x14ac:dyDescent="0.25">
      <c r="A49" t="s">
        <v>298</v>
      </c>
    </row>
    <row r="50" spans="1:1" x14ac:dyDescent="0.25">
      <c r="A50" t="s">
        <v>299</v>
      </c>
    </row>
    <row r="51" spans="1:1" x14ac:dyDescent="0.25">
      <c r="A51" t="s">
        <v>300</v>
      </c>
    </row>
    <row r="52" spans="1:1" x14ac:dyDescent="0.25">
      <c r="A52" t="s">
        <v>301</v>
      </c>
    </row>
    <row r="53" spans="1:1" x14ac:dyDescent="0.25">
      <c r="A53" t="s">
        <v>302</v>
      </c>
    </row>
    <row r="54" spans="1:1" x14ac:dyDescent="0.25">
      <c r="A54" t="s">
        <v>303</v>
      </c>
    </row>
    <row r="55" spans="1:1" x14ac:dyDescent="0.25">
      <c r="A55" t="s">
        <v>304</v>
      </c>
    </row>
    <row r="56" spans="1:1" x14ac:dyDescent="0.25">
      <c r="A56" t="s">
        <v>305</v>
      </c>
    </row>
    <row r="57" spans="1:1" x14ac:dyDescent="0.25">
      <c r="A57" t="s">
        <v>306</v>
      </c>
    </row>
    <row r="59" spans="1:1" ht="15.75" x14ac:dyDescent="0.25">
      <c r="A59" s="162" t="s">
        <v>307</v>
      </c>
    </row>
    <row r="60" spans="1:1" x14ac:dyDescent="0.25">
      <c r="A60" t="s">
        <v>308</v>
      </c>
    </row>
    <row r="61" spans="1:1" x14ac:dyDescent="0.25">
      <c r="A61" t="s">
        <v>309</v>
      </c>
    </row>
    <row r="62" spans="1:1" x14ac:dyDescent="0.25">
      <c r="A62" t="s">
        <v>310</v>
      </c>
    </row>
    <row r="63" spans="1:1" x14ac:dyDescent="0.25">
      <c r="A63" t="s">
        <v>311</v>
      </c>
    </row>
    <row r="64" spans="1:1" x14ac:dyDescent="0.25">
      <c r="A64" t="s">
        <v>312</v>
      </c>
    </row>
    <row r="65" spans="1:1" x14ac:dyDescent="0.25">
      <c r="A65" t="s">
        <v>313</v>
      </c>
    </row>
    <row r="66" spans="1:1" ht="15.75" x14ac:dyDescent="0.25">
      <c r="A66" s="162"/>
    </row>
    <row r="67" spans="1:1" x14ac:dyDescent="0.25">
      <c r="A67" t="s">
        <v>314</v>
      </c>
    </row>
    <row r="68" spans="1:1" x14ac:dyDescent="0.25">
      <c r="A68" t="s">
        <v>315</v>
      </c>
    </row>
    <row r="69" spans="1:1" x14ac:dyDescent="0.25">
      <c r="A69" t="s">
        <v>316</v>
      </c>
    </row>
    <row r="70" spans="1:1" x14ac:dyDescent="0.25">
      <c r="A70" t="s">
        <v>317</v>
      </c>
    </row>
    <row r="71" spans="1:1" ht="15.75" x14ac:dyDescent="0.25">
      <c r="A71" s="162" t="s">
        <v>318</v>
      </c>
    </row>
    <row r="73" spans="1:1" x14ac:dyDescent="0.25">
      <c r="A73" t="s">
        <v>319</v>
      </c>
    </row>
    <row r="74" spans="1:1" x14ac:dyDescent="0.25">
      <c r="A74" t="s">
        <v>320</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L31" sqref="L31:L32"/>
    </sheetView>
  </sheetViews>
  <sheetFormatPr defaultColWidth="10.85546875" defaultRowHeight="15" x14ac:dyDescent="0.25"/>
  <sheetData>
    <row r="1" spans="1:2" x14ac:dyDescent="0.25">
      <c r="A1">
        <v>1</v>
      </c>
      <c r="B1" t="s">
        <v>273</v>
      </c>
    </row>
    <row r="2" spans="1:2" x14ac:dyDescent="0.25">
      <c r="A2" s="157" t="s">
        <v>274</v>
      </c>
      <c r="B2" t="s">
        <v>275</v>
      </c>
    </row>
    <row r="3" spans="1:2" x14ac:dyDescent="0.25">
      <c r="A3" t="s">
        <v>276</v>
      </c>
      <c r="B3" t="s">
        <v>277</v>
      </c>
    </row>
    <row r="4" spans="1:2" x14ac:dyDescent="0.25">
      <c r="A4">
        <v>2</v>
      </c>
      <c r="B4" t="s">
        <v>278</v>
      </c>
    </row>
    <row r="5" spans="1:2" x14ac:dyDescent="0.25">
      <c r="A5" t="s">
        <v>279</v>
      </c>
      <c r="B5" t="s">
        <v>280</v>
      </c>
    </row>
    <row r="6" spans="1:2" x14ac:dyDescent="0.25">
      <c r="A6" t="s">
        <v>281</v>
      </c>
      <c r="B6" t="s">
        <v>285</v>
      </c>
    </row>
    <row r="7" spans="1:2" x14ac:dyDescent="0.25">
      <c r="A7" t="s">
        <v>282</v>
      </c>
    </row>
    <row r="8" spans="1:2" x14ac:dyDescent="0.25">
      <c r="A8" t="s">
        <v>283</v>
      </c>
      <c r="B8" t="s">
        <v>284</v>
      </c>
    </row>
    <row r="9" spans="1:2" x14ac:dyDescent="0.25">
      <c r="A9" t="s">
        <v>286</v>
      </c>
      <c r="B9" t="s">
        <v>287</v>
      </c>
    </row>
    <row r="10" spans="1:2" x14ac:dyDescent="0.25">
      <c r="A10">
        <v>3</v>
      </c>
      <c r="B10" t="s">
        <v>288</v>
      </c>
    </row>
    <row r="11" spans="1:2" x14ac:dyDescent="0.25">
      <c r="A11" t="s">
        <v>289</v>
      </c>
      <c r="B11" t="s">
        <v>290</v>
      </c>
    </row>
    <row r="12" spans="1:2" x14ac:dyDescent="0.25">
      <c r="A12" t="s">
        <v>291</v>
      </c>
      <c r="B12" t="s">
        <v>292</v>
      </c>
    </row>
    <row r="13" spans="1:2" x14ac:dyDescent="0.25">
      <c r="A13">
        <v>4</v>
      </c>
      <c r="B13" t="s">
        <v>293</v>
      </c>
    </row>
    <row r="14" spans="1:2" x14ac:dyDescent="0.25">
      <c r="A14" t="s">
        <v>294</v>
      </c>
      <c r="B14" t="s">
        <v>293</v>
      </c>
    </row>
    <row r="17" spans="1:1" ht="15.75" x14ac:dyDescent="0.25">
      <c r="A17" s="162" t="s">
        <v>296</v>
      </c>
    </row>
    <row r="18" spans="1:1" x14ac:dyDescent="0.25">
      <c r="A18" t="s">
        <v>297</v>
      </c>
    </row>
    <row r="19" spans="1:1" x14ac:dyDescent="0.25">
      <c r="A19" t="s">
        <v>298</v>
      </c>
    </row>
    <row r="20" spans="1:1" x14ac:dyDescent="0.25">
      <c r="A20" t="s">
        <v>299</v>
      </c>
    </row>
    <row r="21" spans="1:1" x14ac:dyDescent="0.25">
      <c r="A21" t="s">
        <v>300</v>
      </c>
    </row>
    <row r="22" spans="1:1" x14ac:dyDescent="0.25">
      <c r="A22" t="s">
        <v>301</v>
      </c>
    </row>
    <row r="23" spans="1:1" x14ac:dyDescent="0.25">
      <c r="A23" t="s">
        <v>302</v>
      </c>
    </row>
    <row r="24" spans="1:1" x14ac:dyDescent="0.25">
      <c r="A24" t="s">
        <v>303</v>
      </c>
    </row>
    <row r="25" spans="1:1" x14ac:dyDescent="0.25">
      <c r="A25" t="s">
        <v>304</v>
      </c>
    </row>
    <row r="26" spans="1:1" x14ac:dyDescent="0.25">
      <c r="A26" t="s">
        <v>305</v>
      </c>
    </row>
    <row r="27" spans="1:1" x14ac:dyDescent="0.25">
      <c r="A27" t="s">
        <v>306</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4"/>
  <sheetViews>
    <sheetView zoomScale="115" zoomScaleNormal="115" workbookViewId="0">
      <selection activeCell="C8" sqref="C8"/>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495</v>
      </c>
      <c r="B1" t="s">
        <v>386</v>
      </c>
      <c r="C1" t="s">
        <v>223</v>
      </c>
      <c r="D1" t="s">
        <v>6</v>
      </c>
      <c r="E1" t="s">
        <v>387</v>
      </c>
      <c r="F1" t="s">
        <v>388</v>
      </c>
    </row>
    <row r="2" spans="1:6" x14ac:dyDescent="0.25">
      <c r="A2" s="172" t="s">
        <v>385</v>
      </c>
      <c r="B2" s="173" t="s">
        <v>389</v>
      </c>
      <c r="C2" s="174">
        <v>2000</v>
      </c>
      <c r="D2" s="179" t="s">
        <v>390</v>
      </c>
      <c r="E2" s="179" t="s">
        <v>391</v>
      </c>
      <c r="F2" s="180" t="s">
        <v>392</v>
      </c>
    </row>
    <row r="3" spans="1:6" ht="15" customHeight="1" x14ac:dyDescent="0.25">
      <c r="A3" s="175"/>
      <c r="B3" s="7" t="s">
        <v>393</v>
      </c>
      <c r="C3" s="8">
        <v>2040</v>
      </c>
      <c r="D3" s="20" t="s">
        <v>394</v>
      </c>
      <c r="E3" s="20" t="s">
        <v>391</v>
      </c>
      <c r="F3" s="181" t="s">
        <v>392</v>
      </c>
    </row>
    <row r="4" spans="1:6" x14ac:dyDescent="0.25">
      <c r="A4" s="175"/>
      <c r="B4" s="7" t="s">
        <v>395</v>
      </c>
      <c r="C4" s="8" t="s">
        <v>322</v>
      </c>
      <c r="D4" s="20" t="s">
        <v>396</v>
      </c>
      <c r="E4" s="20" t="s">
        <v>391</v>
      </c>
      <c r="F4" s="181" t="s">
        <v>392</v>
      </c>
    </row>
    <row r="5" spans="1:6" x14ac:dyDescent="0.25">
      <c r="A5" s="175"/>
      <c r="B5" s="7" t="s">
        <v>397</v>
      </c>
      <c r="C5" s="8" t="s">
        <v>398</v>
      </c>
      <c r="D5" s="20" t="s">
        <v>399</v>
      </c>
      <c r="E5" s="20" t="s">
        <v>391</v>
      </c>
      <c r="F5" s="181" t="s">
        <v>392</v>
      </c>
    </row>
    <row r="6" spans="1:6" ht="15.75" thickBot="1" x14ac:dyDescent="0.3">
      <c r="A6" s="176"/>
      <c r="B6" s="12" t="s">
        <v>400</v>
      </c>
      <c r="C6" s="163" t="s">
        <v>321</v>
      </c>
      <c r="D6" s="182" t="s">
        <v>401</v>
      </c>
      <c r="E6" s="182" t="s">
        <v>391</v>
      </c>
      <c r="F6" s="183" t="s">
        <v>392</v>
      </c>
    </row>
    <row r="7" spans="1:6" x14ac:dyDescent="0.25">
      <c r="A7" s="172" t="s">
        <v>402</v>
      </c>
      <c r="B7" s="173" t="s">
        <v>403</v>
      </c>
      <c r="C7" s="8" t="b">
        <v>0</v>
      </c>
      <c r="D7" s="179" t="s">
        <v>404</v>
      </c>
      <c r="E7" s="179" t="s">
        <v>405</v>
      </c>
      <c r="F7" s="180" t="s">
        <v>392</v>
      </c>
    </row>
    <row r="8" spans="1:6" ht="15" customHeight="1" x14ac:dyDescent="0.25">
      <c r="A8" s="9"/>
      <c r="B8" s="7" t="s">
        <v>406</v>
      </c>
      <c r="C8" s="8" t="b">
        <v>0</v>
      </c>
      <c r="D8" s="20" t="s">
        <v>407</v>
      </c>
      <c r="E8" s="20" t="s">
        <v>405</v>
      </c>
      <c r="F8" s="181" t="s">
        <v>392</v>
      </c>
    </row>
    <row r="9" spans="1:6" x14ac:dyDescent="0.25">
      <c r="A9" s="9"/>
      <c r="B9" s="7" t="s">
        <v>496</v>
      </c>
      <c r="C9" s="8" t="b">
        <v>0</v>
      </c>
      <c r="D9" s="20" t="s">
        <v>408</v>
      </c>
      <c r="E9" s="20" t="s">
        <v>405</v>
      </c>
      <c r="F9" s="181" t="s">
        <v>409</v>
      </c>
    </row>
    <row r="10" spans="1:6" ht="15.75" thickBot="1" x14ac:dyDescent="0.3">
      <c r="A10" s="11"/>
      <c r="B10" s="12" t="s">
        <v>410</v>
      </c>
      <c r="C10" s="163">
        <v>150</v>
      </c>
      <c r="D10" s="182" t="s">
        <v>411</v>
      </c>
      <c r="E10" s="182" t="s">
        <v>405</v>
      </c>
      <c r="F10" s="183" t="s">
        <v>409</v>
      </c>
    </row>
    <row r="11" spans="1:6" ht="15" customHeight="1" x14ac:dyDescent="0.25">
      <c r="A11" s="172" t="s">
        <v>412</v>
      </c>
      <c r="B11" s="173" t="s">
        <v>384</v>
      </c>
      <c r="C11" s="8" t="b">
        <v>0</v>
      </c>
      <c r="D11" s="179" t="s">
        <v>413</v>
      </c>
      <c r="E11" s="179" t="s">
        <v>414</v>
      </c>
      <c r="F11" s="180" t="s">
        <v>409</v>
      </c>
    </row>
    <row r="12" spans="1:6" x14ac:dyDescent="0.25">
      <c r="A12" s="9"/>
      <c r="B12" s="7" t="s">
        <v>679</v>
      </c>
      <c r="C12" s="8" t="s">
        <v>682</v>
      </c>
      <c r="D12" s="20" t="s">
        <v>415</v>
      </c>
      <c r="E12" s="20" t="s">
        <v>414</v>
      </c>
      <c r="F12" s="181" t="s">
        <v>409</v>
      </c>
    </row>
    <row r="13" spans="1:6" x14ac:dyDescent="0.25">
      <c r="A13" s="9"/>
      <c r="B13" s="7" t="s">
        <v>681</v>
      </c>
      <c r="C13" s="8" t="s">
        <v>693</v>
      </c>
      <c r="D13" s="20" t="s">
        <v>416</v>
      </c>
      <c r="E13" s="20" t="s">
        <v>414</v>
      </c>
      <c r="F13" s="181" t="s">
        <v>409</v>
      </c>
    </row>
    <row r="14" spans="1:6" x14ac:dyDescent="0.25">
      <c r="A14" s="7"/>
      <c r="B14" s="7" t="s">
        <v>680</v>
      </c>
      <c r="C14" s="8" t="s">
        <v>717</v>
      </c>
      <c r="D14" s="20"/>
      <c r="E14" s="20"/>
      <c r="F14" s="20"/>
    </row>
    <row r="15" spans="1:6" x14ac:dyDescent="0.25">
      <c r="A15" s="9"/>
      <c r="B15" s="7" t="s">
        <v>716</v>
      </c>
      <c r="C15" s="8" t="s">
        <v>718</v>
      </c>
      <c r="D15" s="20" t="s">
        <v>417</v>
      </c>
      <c r="E15" s="20" t="s">
        <v>414</v>
      </c>
      <c r="F15" s="181" t="s">
        <v>409</v>
      </c>
    </row>
    <row r="16" spans="1:6" ht="15.75" thickBot="1" x14ac:dyDescent="0.3">
      <c r="A16" s="11"/>
      <c r="B16" s="12" t="s">
        <v>418</v>
      </c>
      <c r="C16" s="163" t="s">
        <v>419</v>
      </c>
      <c r="D16" s="182" t="s">
        <v>420</v>
      </c>
      <c r="E16" s="182" t="s">
        <v>414</v>
      </c>
      <c r="F16" s="183" t="s">
        <v>409</v>
      </c>
    </row>
    <row r="17" spans="1:6" x14ac:dyDescent="0.25">
      <c r="A17" s="172" t="s">
        <v>471</v>
      </c>
      <c r="B17" s="173" t="s">
        <v>472</v>
      </c>
      <c r="C17" s="174" t="b">
        <v>1</v>
      </c>
      <c r="D17" s="179" t="s">
        <v>473</v>
      </c>
      <c r="E17" s="179" t="s">
        <v>474</v>
      </c>
      <c r="F17" s="180" t="s">
        <v>392</v>
      </c>
    </row>
    <row r="18" spans="1:6" x14ac:dyDescent="0.25">
      <c r="A18" s="9"/>
      <c r="B18" s="7" t="s">
        <v>475</v>
      </c>
      <c r="C18" s="8" t="b">
        <v>1</v>
      </c>
      <c r="D18" s="20" t="s">
        <v>476</v>
      </c>
      <c r="E18" s="20" t="s">
        <v>474</v>
      </c>
      <c r="F18" s="181" t="s">
        <v>392</v>
      </c>
    </row>
    <row r="19" spans="1:6" x14ac:dyDescent="0.25">
      <c r="A19" s="9"/>
      <c r="B19" s="7" t="s">
        <v>477</v>
      </c>
      <c r="C19" s="8" t="b">
        <v>1</v>
      </c>
      <c r="D19" s="20" t="s">
        <v>478</v>
      </c>
      <c r="E19" s="20" t="s">
        <v>474</v>
      </c>
      <c r="F19" s="181" t="s">
        <v>392</v>
      </c>
    </row>
    <row r="20" spans="1:6" ht="15.75" thickBot="1" x14ac:dyDescent="0.3">
      <c r="A20" s="11"/>
      <c r="B20" s="12" t="s">
        <v>479</v>
      </c>
      <c r="C20" s="163">
        <v>1E-3</v>
      </c>
      <c r="D20" s="182" t="s">
        <v>480</v>
      </c>
      <c r="E20" s="182" t="s">
        <v>474</v>
      </c>
      <c r="F20" s="183" t="s">
        <v>409</v>
      </c>
    </row>
    <row r="21" spans="1:6" x14ac:dyDescent="0.25">
      <c r="A21" s="172" t="s">
        <v>421</v>
      </c>
      <c r="B21" s="173" t="s">
        <v>422</v>
      </c>
      <c r="C21" s="174">
        <v>0.1</v>
      </c>
      <c r="D21" s="179" t="s">
        <v>423</v>
      </c>
      <c r="E21" s="179" t="s">
        <v>424</v>
      </c>
      <c r="F21" s="180" t="s">
        <v>392</v>
      </c>
    </row>
    <row r="22" spans="1:6" x14ac:dyDescent="0.25">
      <c r="A22" s="9"/>
      <c r="B22" s="7" t="s">
        <v>425</v>
      </c>
      <c r="C22" s="8" t="b">
        <v>0</v>
      </c>
      <c r="D22" s="20" t="s">
        <v>426</v>
      </c>
      <c r="E22" s="20" t="s">
        <v>424</v>
      </c>
      <c r="F22" s="181" t="s">
        <v>409</v>
      </c>
    </row>
    <row r="23" spans="1:6" x14ac:dyDescent="0.25">
      <c r="A23" s="9"/>
      <c r="B23" s="7" t="s">
        <v>427</v>
      </c>
      <c r="C23" s="8" t="s">
        <v>428</v>
      </c>
      <c r="D23" s="20" t="s">
        <v>429</v>
      </c>
      <c r="E23" s="20" t="s">
        <v>424</v>
      </c>
      <c r="F23" s="181" t="s">
        <v>409</v>
      </c>
    </row>
    <row r="24" spans="1:6" x14ac:dyDescent="0.25">
      <c r="A24" s="9"/>
      <c r="B24" s="7" t="s">
        <v>430</v>
      </c>
      <c r="C24" s="8" t="s">
        <v>431</v>
      </c>
      <c r="D24" s="20" t="s">
        <v>432</v>
      </c>
      <c r="E24" s="20" t="s">
        <v>424</v>
      </c>
      <c r="F24" s="181" t="s">
        <v>409</v>
      </c>
    </row>
    <row r="25" spans="1:6" x14ac:dyDescent="0.25">
      <c r="A25" s="9"/>
      <c r="B25" s="7" t="s">
        <v>433</v>
      </c>
      <c r="C25" s="8" t="b">
        <v>1</v>
      </c>
      <c r="D25" s="20" t="s">
        <v>434</v>
      </c>
      <c r="E25" s="20" t="s">
        <v>424</v>
      </c>
      <c r="F25" s="181" t="s">
        <v>409</v>
      </c>
    </row>
    <row r="26" spans="1:6" ht="15.75" thickBot="1" x14ac:dyDescent="0.3">
      <c r="A26" s="11"/>
      <c r="B26" s="12" t="s">
        <v>435</v>
      </c>
      <c r="C26" s="163" t="s">
        <v>428</v>
      </c>
      <c r="D26" s="182" t="s">
        <v>436</v>
      </c>
      <c r="E26" s="182" t="s">
        <v>424</v>
      </c>
      <c r="F26" s="183" t="s">
        <v>409</v>
      </c>
    </row>
    <row r="27" spans="1:6" x14ac:dyDescent="0.25">
      <c r="A27" s="172" t="s">
        <v>437</v>
      </c>
      <c r="B27" s="173" t="s">
        <v>438</v>
      </c>
      <c r="C27" s="174" t="s">
        <v>323</v>
      </c>
      <c r="D27" s="179" t="s">
        <v>439</v>
      </c>
      <c r="E27" s="179" t="s">
        <v>440</v>
      </c>
      <c r="F27" s="180" t="s">
        <v>392</v>
      </c>
    </row>
    <row r="28" spans="1:6" x14ac:dyDescent="0.25">
      <c r="A28" s="9"/>
      <c r="B28" s="7" t="s">
        <v>441</v>
      </c>
      <c r="C28" s="8" t="b">
        <v>1</v>
      </c>
      <c r="D28" s="20" t="s">
        <v>442</v>
      </c>
      <c r="E28" s="20" t="s">
        <v>440</v>
      </c>
      <c r="F28" s="181" t="s">
        <v>409</v>
      </c>
    </row>
    <row r="29" spans="1:6" x14ac:dyDescent="0.25">
      <c r="A29" s="9"/>
      <c r="B29" s="7" t="s">
        <v>443</v>
      </c>
      <c r="C29" s="8" t="s">
        <v>444</v>
      </c>
      <c r="D29" s="20" t="s">
        <v>445</v>
      </c>
      <c r="E29" s="20" t="s">
        <v>440</v>
      </c>
      <c r="F29" s="181" t="s">
        <v>409</v>
      </c>
    </row>
    <row r="30" spans="1:6" x14ac:dyDescent="0.25">
      <c r="A30" s="9"/>
      <c r="B30" s="7" t="s">
        <v>446</v>
      </c>
      <c r="C30" s="8" t="b">
        <v>1</v>
      </c>
      <c r="D30" s="20" t="s">
        <v>447</v>
      </c>
      <c r="E30" s="20" t="s">
        <v>440</v>
      </c>
      <c r="F30" s="181" t="s">
        <v>409</v>
      </c>
    </row>
    <row r="31" spans="1:6" ht="15.75" thickBot="1" x14ac:dyDescent="0.3">
      <c r="A31" s="177"/>
      <c r="B31" s="151" t="s">
        <v>448</v>
      </c>
      <c r="C31" s="152" t="s">
        <v>449</v>
      </c>
      <c r="D31" s="178" t="s">
        <v>450</v>
      </c>
      <c r="E31" s="178" t="s">
        <v>440</v>
      </c>
      <c r="F31" s="184" t="s">
        <v>409</v>
      </c>
    </row>
    <row r="32" spans="1:6" x14ac:dyDescent="0.25">
      <c r="A32" s="172" t="s">
        <v>451</v>
      </c>
      <c r="B32" s="173" t="s">
        <v>452</v>
      </c>
      <c r="C32" s="174">
        <v>1E-3</v>
      </c>
      <c r="D32" s="179" t="s">
        <v>453</v>
      </c>
      <c r="E32" s="179" t="s">
        <v>454</v>
      </c>
      <c r="F32" s="180" t="s">
        <v>455</v>
      </c>
    </row>
    <row r="33" spans="1:6" x14ac:dyDescent="0.25">
      <c r="A33" s="9"/>
      <c r="B33" s="7" t="s">
        <v>456</v>
      </c>
      <c r="C33" s="8" t="s">
        <v>324</v>
      </c>
      <c r="D33" s="20" t="s">
        <v>457</v>
      </c>
      <c r="E33" s="20" t="s">
        <v>454</v>
      </c>
      <c r="F33" s="181" t="s">
        <v>455</v>
      </c>
    </row>
    <row r="34" spans="1:6" x14ac:dyDescent="0.25">
      <c r="A34" s="9"/>
      <c r="B34" s="7" t="s">
        <v>458</v>
      </c>
      <c r="C34" s="8" t="s">
        <v>459</v>
      </c>
      <c r="D34" s="20" t="s">
        <v>460</v>
      </c>
      <c r="E34" s="20" t="s">
        <v>454</v>
      </c>
      <c r="F34" s="181" t="s">
        <v>455</v>
      </c>
    </row>
    <row r="35" spans="1:6" x14ac:dyDescent="0.25">
      <c r="A35" s="9"/>
      <c r="B35" s="7" t="s">
        <v>461</v>
      </c>
      <c r="C35" s="8" t="b">
        <v>0</v>
      </c>
      <c r="D35" s="20" t="s">
        <v>462</v>
      </c>
      <c r="E35" s="20" t="s">
        <v>454</v>
      </c>
      <c r="F35" s="181" t="s">
        <v>455</v>
      </c>
    </row>
    <row r="36" spans="1:6" x14ac:dyDescent="0.25">
      <c r="A36" s="9"/>
      <c r="B36" s="7" t="s">
        <v>463</v>
      </c>
      <c r="C36" s="8" t="b">
        <v>0</v>
      </c>
      <c r="D36" s="20" t="s">
        <v>464</v>
      </c>
      <c r="E36" s="20" t="s">
        <v>454</v>
      </c>
      <c r="F36" s="181" t="s">
        <v>455</v>
      </c>
    </row>
    <row r="37" spans="1:6" x14ac:dyDescent="0.25">
      <c r="A37" s="9"/>
      <c r="B37" s="7" t="s">
        <v>465</v>
      </c>
      <c r="C37" s="8" t="b">
        <v>1</v>
      </c>
      <c r="D37" s="20" t="s">
        <v>466</v>
      </c>
      <c r="E37" s="20" t="s">
        <v>454</v>
      </c>
      <c r="F37" s="181" t="s">
        <v>455</v>
      </c>
    </row>
    <row r="38" spans="1:6" x14ac:dyDescent="0.25">
      <c r="A38" s="9"/>
      <c r="B38" s="7" t="s">
        <v>467</v>
      </c>
      <c r="C38" s="8" t="b">
        <v>0</v>
      </c>
      <c r="D38" s="20" t="s">
        <v>468</v>
      </c>
      <c r="E38" s="20" t="s">
        <v>454</v>
      </c>
      <c r="F38" s="181" t="s">
        <v>455</v>
      </c>
    </row>
    <row r="39" spans="1:6" ht="15.75" thickBot="1" x14ac:dyDescent="0.3">
      <c r="A39" s="11"/>
      <c r="B39" s="12" t="s">
        <v>469</v>
      </c>
      <c r="C39" s="163" t="b">
        <v>1</v>
      </c>
      <c r="D39" s="182" t="s">
        <v>470</v>
      </c>
      <c r="E39" s="182" t="s">
        <v>454</v>
      </c>
      <c r="F39" s="183" t="s">
        <v>455</v>
      </c>
    </row>
    <row r="40" spans="1:6" x14ac:dyDescent="0.25">
      <c r="A40" s="172" t="s">
        <v>481</v>
      </c>
      <c r="B40" s="173" t="s">
        <v>482</v>
      </c>
      <c r="C40" s="174">
        <v>15</v>
      </c>
      <c r="D40" s="179" t="s">
        <v>483</v>
      </c>
      <c r="E40" s="179" t="s">
        <v>484</v>
      </c>
      <c r="F40" s="180" t="s">
        <v>392</v>
      </c>
    </row>
    <row r="41" spans="1:6" x14ac:dyDescent="0.25">
      <c r="A41" s="9"/>
      <c r="B41" s="7" t="s">
        <v>485</v>
      </c>
      <c r="C41" s="8">
        <v>1E-4</v>
      </c>
      <c r="D41" s="20" t="s">
        <v>486</v>
      </c>
      <c r="E41" s="20" t="s">
        <v>484</v>
      </c>
      <c r="F41" s="181" t="s">
        <v>392</v>
      </c>
    </row>
    <row r="42" spans="1:6" x14ac:dyDescent="0.25">
      <c r="A42" s="9"/>
      <c r="B42" s="7" t="s">
        <v>487</v>
      </c>
      <c r="C42" s="8" t="s">
        <v>488</v>
      </c>
      <c r="D42" s="20" t="s">
        <v>489</v>
      </c>
      <c r="E42" s="20" t="s">
        <v>484</v>
      </c>
      <c r="F42" s="181" t="s">
        <v>409</v>
      </c>
    </row>
    <row r="43" spans="1:6" x14ac:dyDescent="0.25">
      <c r="A43" s="9"/>
      <c r="B43" s="7" t="s">
        <v>490</v>
      </c>
      <c r="C43" s="8" t="s">
        <v>491</v>
      </c>
      <c r="D43" s="20" t="s">
        <v>492</v>
      </c>
      <c r="E43" s="20" t="s">
        <v>484</v>
      </c>
      <c r="F43" s="181" t="s">
        <v>409</v>
      </c>
    </row>
    <row r="44" spans="1:6" ht="15.75" thickBot="1" x14ac:dyDescent="0.3">
      <c r="A44" s="11"/>
      <c r="B44" s="12" t="s">
        <v>493</v>
      </c>
      <c r="C44" s="163" t="b">
        <v>1</v>
      </c>
      <c r="D44" s="182" t="s">
        <v>494</v>
      </c>
      <c r="E44" s="182" t="s">
        <v>484</v>
      </c>
      <c r="F44" s="183" t="s">
        <v>409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129" zoomScaleNormal="130" workbookViewId="0">
      <pane xSplit="4" ySplit="9" topLeftCell="E10" activePane="bottomRight" state="frozen"/>
      <selection pane="topRight" activeCell="E1" sqref="E1"/>
      <selection pane="bottomLeft" activeCell="A14" sqref="A14"/>
      <selection pane="bottomRight" activeCell="E36" sqref="E36"/>
    </sheetView>
  </sheetViews>
  <sheetFormatPr defaultColWidth="10.85546875" defaultRowHeight="15" x14ac:dyDescent="0.25"/>
  <cols>
    <col min="1" max="1" width="14.42578125" customWidth="1"/>
    <col min="2" max="2" width="10.28515625" style="26" customWidth="1"/>
    <col min="3" max="3" width="10.7109375" customWidth="1"/>
    <col min="4" max="4" width="38.7109375" customWidth="1"/>
    <col min="5" max="5" width="30.42578125" customWidth="1"/>
    <col min="6" max="6" width="25.85546875" customWidth="1"/>
    <col min="7" max="7" width="27.85546875" customWidth="1"/>
    <col min="8" max="8" width="18.85546875" customWidth="1"/>
    <col min="12" max="12" width="14.42578125" customWidth="1"/>
    <col min="13" max="13" width="14.85546875" customWidth="1"/>
    <col min="14" max="14" width="16.42578125" customWidth="1"/>
    <col min="15" max="15" width="14.7109375" customWidth="1"/>
    <col min="16" max="16" width="10.85546875" style="150"/>
    <col min="18" max="18" width="15.42578125" customWidth="1"/>
    <col min="19" max="19" width="15.28515625" customWidth="1"/>
    <col min="20" max="20" width="15.42578125" customWidth="1"/>
    <col min="21" max="21" width="13" customWidth="1"/>
    <col min="22" max="22" width="15.7109375" customWidth="1"/>
  </cols>
  <sheetData>
    <row r="1" spans="1:24" x14ac:dyDescent="0.25">
      <c r="A1" s="159" t="s">
        <v>54</v>
      </c>
      <c r="B1" s="159" t="s">
        <v>28</v>
      </c>
      <c r="C1" s="159" t="s">
        <v>37</v>
      </c>
      <c r="D1" s="159" t="s">
        <v>705</v>
      </c>
      <c r="E1" s="159" t="s">
        <v>710</v>
      </c>
      <c r="F1" s="159" t="s">
        <v>711</v>
      </c>
      <c r="G1" s="159" t="s">
        <v>712</v>
      </c>
      <c r="H1" s="159" t="s">
        <v>709</v>
      </c>
      <c r="I1" s="159" t="s">
        <v>64</v>
      </c>
      <c r="J1" s="159" t="s">
        <v>66</v>
      </c>
      <c r="K1" s="159" t="s">
        <v>65</v>
      </c>
      <c r="L1" s="159" t="s">
        <v>701</v>
      </c>
      <c r="M1" s="159" t="s">
        <v>706</v>
      </c>
      <c r="N1" s="159" t="s">
        <v>68</v>
      </c>
      <c r="O1" s="159" t="s">
        <v>702</v>
      </c>
      <c r="P1" s="159" t="s">
        <v>707</v>
      </c>
      <c r="Q1" s="159" t="s">
        <v>70</v>
      </c>
      <c r="R1" s="159" t="s">
        <v>703</v>
      </c>
      <c r="S1" s="159" t="s">
        <v>708</v>
      </c>
      <c r="T1" s="159" t="s">
        <v>98</v>
      </c>
      <c r="U1" s="159" t="s">
        <v>138</v>
      </c>
      <c r="V1" s="159" t="s">
        <v>97</v>
      </c>
    </row>
    <row r="2" spans="1:24" x14ac:dyDescent="0.25">
      <c r="A2" s="160" t="b">
        <v>0</v>
      </c>
      <c r="B2" s="23">
        <f t="shared" ref="B2:B52" si="0">ROW()-1</f>
        <v>1</v>
      </c>
      <c r="C2" s="7" t="str">
        <f t="shared" ref="C2:C65" si="1">"F_"&amp;LEFT(F2,2)&amp;"_"&amp;LEFT(H2,2)</f>
        <v>F_12_00</v>
      </c>
      <c r="D2" s="8" t="s">
        <v>739</v>
      </c>
      <c r="E2" s="155" t="s">
        <v>736</v>
      </c>
      <c r="F2" s="7" t="str">
        <f>_xlfn.XLOOKUP(E2,Tab_Def_Processes[Process_Name],Tab_Def_Processes[Process_ID],,0,)</f>
        <v>12</v>
      </c>
      <c r="G2" s="155" t="s">
        <v>725</v>
      </c>
      <c r="H2" s="10" t="str">
        <f>_xlfn.XLOOKUP(G2,Tab_Def_Processes[Process_Name],Tab_Def_Processes[Process_ID],,0,)</f>
        <v>00</v>
      </c>
      <c r="I2" s="155" t="s">
        <v>7</v>
      </c>
      <c r="J2" s="155" t="s">
        <v>7</v>
      </c>
      <c r="K2" s="155" t="s">
        <v>7</v>
      </c>
      <c r="L2" s="7" t="str">
        <f>Tab_Def_Flows[[#This Row],[Flow_ID]]&amp;"_WC"</f>
        <v>F_12_00_WC</v>
      </c>
      <c r="M2" s="150">
        <v>0</v>
      </c>
      <c r="N2" s="196"/>
      <c r="O2" s="7" t="str">
        <f>Tab_Def_Flows[[#This Row],[Flow_ID]]&amp;"_DM"</f>
        <v>F_12_00_DM</v>
      </c>
      <c r="P2" s="150">
        <v>1</v>
      </c>
      <c r="Q2" s="196"/>
      <c r="R2" s="7" t="str">
        <f>Tab_Def_Flows[[#This Row],[Flow_ID]]&amp;"_CC"</f>
        <v>F_12_00_CC</v>
      </c>
      <c r="S2" s="150">
        <v>0.8</v>
      </c>
      <c r="T2" s="20"/>
      <c r="U2" s="156">
        <f>Tab_Def_Flows[[#This Row],[Flow_CC_DM'[%']]]*Tab_Def_Flows[[#This Row],[Flow_DM]]</f>
        <v>0.8</v>
      </c>
      <c r="V2" s="8" t="s">
        <v>140</v>
      </c>
    </row>
    <row r="3" spans="1:24" x14ac:dyDescent="0.25">
      <c r="A3" s="160" t="b">
        <v>0</v>
      </c>
      <c r="B3" s="23">
        <f t="shared" si="0"/>
        <v>2</v>
      </c>
      <c r="C3" s="7" t="str">
        <f t="shared" si="1"/>
        <v>F_13_00</v>
      </c>
      <c r="D3" s="8" t="s">
        <v>738</v>
      </c>
      <c r="E3" s="155" t="s">
        <v>738</v>
      </c>
      <c r="F3" s="7" t="str">
        <f>_xlfn.XLOOKUP(E3,Tab_Def_Processes[Process_Name],Tab_Def_Processes[Process_ID],,0,)</f>
        <v>13</v>
      </c>
      <c r="G3" s="155" t="s">
        <v>725</v>
      </c>
      <c r="H3" s="10" t="str">
        <f>_xlfn.XLOOKUP(G3,Tab_Def_Processes[Process_Name],Tab_Def_Processes[Process_ID],,0,)</f>
        <v>00</v>
      </c>
      <c r="I3" s="155" t="s">
        <v>7</v>
      </c>
      <c r="J3" s="155" t="s">
        <v>7</v>
      </c>
      <c r="K3" s="155" t="s">
        <v>7</v>
      </c>
      <c r="L3" s="7" t="str">
        <f>Tab_Def_Flows[[#This Row],[Flow_ID]]&amp;"_WC"</f>
        <v>F_13_00_WC</v>
      </c>
      <c r="M3" s="150">
        <v>0</v>
      </c>
      <c r="N3" s="196"/>
      <c r="O3" s="7" t="str">
        <f>Tab_Def_Flows[[#This Row],[Flow_ID]]&amp;"_DM"</f>
        <v>F_13_00_DM</v>
      </c>
      <c r="P3" s="150">
        <v>1</v>
      </c>
      <c r="Q3" s="196"/>
      <c r="R3" s="7" t="str">
        <f>Tab_Def_Flows[[#This Row],[Flow_ID]]&amp;"_CC"</f>
        <v>F_13_00_CC</v>
      </c>
      <c r="S3" s="150">
        <v>1</v>
      </c>
      <c r="T3" s="20"/>
      <c r="U3" s="156">
        <f>Tab_Def_Flows[[#This Row],[Flow_CC_DM'[%']]]*Tab_Def_Flows[[#This Row],[Flow_DM]]</f>
        <v>1</v>
      </c>
      <c r="V3" s="8" t="s">
        <v>140</v>
      </c>
    </row>
    <row r="4" spans="1:24" x14ac:dyDescent="0.25">
      <c r="A4" s="160" t="b">
        <v>0</v>
      </c>
      <c r="B4" s="23">
        <f t="shared" si="0"/>
        <v>3</v>
      </c>
      <c r="C4" s="7" t="str">
        <f t="shared" si="1"/>
        <v>F_14_00</v>
      </c>
      <c r="D4" s="8" t="s">
        <v>740</v>
      </c>
      <c r="E4" s="155" t="s">
        <v>737</v>
      </c>
      <c r="F4" s="7" t="str">
        <f>_xlfn.XLOOKUP(E4,Tab_Def_Processes[Process_Name],Tab_Def_Processes[Process_ID],,0,)</f>
        <v>14</v>
      </c>
      <c r="G4" s="155" t="s">
        <v>725</v>
      </c>
      <c r="H4" s="10" t="str">
        <f>_xlfn.XLOOKUP(G4,Tab_Def_Processes[Process_Name],Tab_Def_Processes[Process_ID],,0,)</f>
        <v>00</v>
      </c>
      <c r="I4" s="155" t="s">
        <v>7</v>
      </c>
      <c r="J4" s="155" t="s">
        <v>7</v>
      </c>
      <c r="K4" s="155" t="s">
        <v>7</v>
      </c>
      <c r="L4" s="7" t="str">
        <f>Tab_Def_Flows[[#This Row],[Flow_ID]]&amp;"_WC"</f>
        <v>F_14_00_WC</v>
      </c>
      <c r="M4" s="150">
        <v>0</v>
      </c>
      <c r="N4" s="20"/>
      <c r="O4" s="7" t="str">
        <f>Tab_Def_Flows[[#This Row],[Flow_ID]]&amp;"_DM"</f>
        <v>F_14_00_DM</v>
      </c>
      <c r="P4" s="150">
        <v>1</v>
      </c>
      <c r="Q4" s="20"/>
      <c r="R4" s="7" t="str">
        <f>Tab_Def_Flows[[#This Row],[Flow_ID]]&amp;"_CC"</f>
        <v>F_14_00_CC</v>
      </c>
      <c r="S4" s="150">
        <v>0.1</v>
      </c>
      <c r="T4" s="20"/>
      <c r="U4" s="156">
        <f>Tab_Def_Flows[[#This Row],[Flow_CC_DM'[%']]]*Tab_Def_Flows[[#This Row],[Flow_DM]]</f>
        <v>0.1</v>
      </c>
      <c r="V4" s="8"/>
      <c r="X4" s="168"/>
    </row>
    <row r="5" spans="1:24" x14ac:dyDescent="0.25">
      <c r="A5" s="160" t="b">
        <v>0</v>
      </c>
      <c r="B5" s="23">
        <f>ROW()-1</f>
        <v>4</v>
      </c>
      <c r="C5" s="7" t="str">
        <f t="shared" si="1"/>
        <v>F_00_01</v>
      </c>
      <c r="D5" s="8" t="s">
        <v>741</v>
      </c>
      <c r="E5" s="155" t="s">
        <v>725</v>
      </c>
      <c r="F5" s="7" t="str">
        <f>_xlfn.XLOOKUP(E5,Tab_Def_Processes[Process_Name],Tab_Def_Processes[Process_ID],,0,)</f>
        <v>00</v>
      </c>
      <c r="G5" s="155" t="s">
        <v>726</v>
      </c>
      <c r="H5" s="10" t="str">
        <f>_xlfn.XLOOKUP(G5,Tab_Def_Processes[Process_Name],Tab_Def_Processes[Process_ID],,0,)</f>
        <v>01</v>
      </c>
      <c r="I5" s="155" t="s">
        <v>7</v>
      </c>
      <c r="J5" s="155" t="s">
        <v>7</v>
      </c>
      <c r="K5" s="155" t="s">
        <v>7</v>
      </c>
      <c r="L5" s="7" t="str">
        <f>Tab_Def_Flows[[#This Row],[Flow_ID]]&amp;"_WC"</f>
        <v>F_00_01_WC</v>
      </c>
      <c r="M5" s="150"/>
      <c r="N5" s="20"/>
      <c r="O5" s="7" t="str">
        <f>Tab_Def_Flows[[#This Row],[Flow_ID]]&amp;"_DM"</f>
        <v>F_00_01_DM</v>
      </c>
      <c r="Q5" s="20"/>
      <c r="R5" s="7" t="str">
        <f>Tab_Def_Flows[[#This Row],[Flow_ID]]&amp;"_CC"</f>
        <v>F_00_01_CC</v>
      </c>
      <c r="S5" s="150"/>
      <c r="T5" s="20"/>
      <c r="U5" s="156">
        <f>Tab_Def_Flows[[#This Row],[Flow_CC_DM'[%']]]*Tab_Def_Flows[[#This Row],[Flow_DM]]</f>
        <v>0</v>
      </c>
      <c r="V5" s="8"/>
      <c r="X5" s="168"/>
    </row>
    <row r="6" spans="1:24" x14ac:dyDescent="0.25">
      <c r="A6" s="160" t="b">
        <v>0</v>
      </c>
      <c r="B6" s="23">
        <f>ROW()-1</f>
        <v>5</v>
      </c>
      <c r="C6" s="7" t="str">
        <f>"F_"&amp;LEFT(F6,2)&amp;"_"&amp;LEFT(H6,2)</f>
        <v>F_01_02</v>
      </c>
      <c r="D6" s="8" t="s">
        <v>742</v>
      </c>
      <c r="E6" s="155" t="s">
        <v>726</v>
      </c>
      <c r="F6" s="7" t="str">
        <f>_xlfn.XLOOKUP(E6,Tab_Def_Processes[Process_Name],Tab_Def_Processes[Process_ID],,0,)</f>
        <v>01</v>
      </c>
      <c r="G6" s="155" t="s">
        <v>727</v>
      </c>
      <c r="H6" s="10" t="str">
        <f>_xlfn.XLOOKUP(G6,Tab_Def_Processes[Process_Name],Tab_Def_Processes[Process_ID],,0,)</f>
        <v>02</v>
      </c>
      <c r="I6" s="155" t="s">
        <v>7</v>
      </c>
      <c r="J6" s="155" t="s">
        <v>7</v>
      </c>
      <c r="K6" s="155" t="s">
        <v>7</v>
      </c>
      <c r="L6" s="7" t="str">
        <f>Tab_Def_Flows[[#This Row],[Flow_ID]]&amp;"_WC"</f>
        <v>F_01_02_WC</v>
      </c>
      <c r="M6" s="150"/>
      <c r="N6" s="20"/>
      <c r="O6" s="7" t="str">
        <f>Tab_Def_Flows[[#This Row],[Flow_ID]]&amp;"_DM"</f>
        <v>F_01_02_DM</v>
      </c>
      <c r="Q6" s="20"/>
      <c r="R6" s="7" t="str">
        <f>Tab_Def_Flows[[#This Row],[Flow_ID]]&amp;"_CC"</f>
        <v>F_01_02_CC</v>
      </c>
      <c r="S6" s="150"/>
      <c r="T6" s="20"/>
      <c r="U6" s="156">
        <f>Tab_Def_Flows[[#This Row],[Flow_CC_DM'[%']]]*Tab_Def_Flows[[#This Row],[Flow_DM]]</f>
        <v>0</v>
      </c>
      <c r="V6" s="8"/>
      <c r="X6" s="168"/>
    </row>
    <row r="7" spans="1:24" x14ac:dyDescent="0.25">
      <c r="A7" s="160" t="b">
        <v>0</v>
      </c>
      <c r="B7" s="23">
        <f t="shared" si="0"/>
        <v>6</v>
      </c>
      <c r="C7" s="7" t="str">
        <f t="shared" si="1"/>
        <v>F_01_03</v>
      </c>
      <c r="D7" s="8" t="s">
        <v>743</v>
      </c>
      <c r="E7" s="155" t="s">
        <v>726</v>
      </c>
      <c r="F7" s="7" t="str">
        <f>_xlfn.XLOOKUP(E7,Tab_Def_Processes[Process_Name],Tab_Def_Processes[Process_ID],,0,)</f>
        <v>01</v>
      </c>
      <c r="G7" s="155" t="s">
        <v>728</v>
      </c>
      <c r="H7" s="10" t="str">
        <f>_xlfn.XLOOKUP(G7,Tab_Def_Processes[Process_Name],Tab_Def_Processes[Process_ID],,0,)</f>
        <v>03</v>
      </c>
      <c r="I7" s="155" t="s">
        <v>7</v>
      </c>
      <c r="J7" s="155" t="s">
        <v>7</v>
      </c>
      <c r="K7" s="155" t="s">
        <v>7</v>
      </c>
      <c r="L7" s="7" t="str">
        <f>Tab_Def_Flows[[#This Row],[Flow_ID]]&amp;"_WC"</f>
        <v>F_01_03_WC</v>
      </c>
      <c r="M7" s="150"/>
      <c r="N7" s="20"/>
      <c r="O7" s="7" t="str">
        <f>Tab_Def_Flows[[#This Row],[Flow_ID]]&amp;"_DM"</f>
        <v>F_01_03_DM</v>
      </c>
      <c r="Q7" s="20"/>
      <c r="R7" s="7" t="str">
        <f>Tab_Def_Flows[[#This Row],[Flow_ID]]&amp;"_CC"</f>
        <v>F_01_03_CC</v>
      </c>
      <c r="S7" s="150"/>
      <c r="T7" s="20"/>
      <c r="U7" s="156">
        <f>Tab_Def_Flows[[#This Row],[Flow_CC_DM'[%']]]*Tab_Def_Flows[[#This Row],[Flow_DM]]</f>
        <v>0</v>
      </c>
      <c r="V7" s="8"/>
    </row>
    <row r="8" spans="1:24" x14ac:dyDescent="0.25">
      <c r="A8" s="160" t="b">
        <v>0</v>
      </c>
      <c r="B8" s="23">
        <f t="shared" si="0"/>
        <v>7</v>
      </c>
      <c r="C8" s="7" t="str">
        <f t="shared" si="1"/>
        <v>F_03_04</v>
      </c>
      <c r="D8" s="8" t="s">
        <v>744</v>
      </c>
      <c r="E8" s="155" t="s">
        <v>728</v>
      </c>
      <c r="F8" s="7" t="str">
        <f>_xlfn.XLOOKUP(E8,Tab_Def_Processes[Process_Name],Tab_Def_Processes[Process_ID],,0,)</f>
        <v>03</v>
      </c>
      <c r="G8" s="155" t="s">
        <v>729</v>
      </c>
      <c r="H8" s="10" t="str">
        <f>_xlfn.XLOOKUP(G8,Tab_Def_Processes[Process_Name],Tab_Def_Processes[Process_ID],,0,)</f>
        <v>04</v>
      </c>
      <c r="I8" s="155" t="s">
        <v>7</v>
      </c>
      <c r="J8" s="155" t="s">
        <v>7</v>
      </c>
      <c r="K8" s="155" t="s">
        <v>7</v>
      </c>
      <c r="L8" s="7" t="str">
        <f>Tab_Def_Flows[[#This Row],[Flow_ID]]&amp;"_WC"</f>
        <v>F_03_04_WC</v>
      </c>
      <c r="M8" s="150"/>
      <c r="N8" s="20"/>
      <c r="O8" s="7" t="str">
        <f>Tab_Def_Flows[[#This Row],[Flow_ID]]&amp;"_DM"</f>
        <v>F_03_04_DM</v>
      </c>
      <c r="Q8" s="20"/>
      <c r="R8" s="7" t="str">
        <f>Tab_Def_Flows[[#This Row],[Flow_ID]]&amp;"_CC"</f>
        <v>F_03_04_CC</v>
      </c>
      <c r="S8" s="150"/>
      <c r="T8" s="20"/>
      <c r="U8" s="156">
        <f>Tab_Def_Flows[[#This Row],[Flow_CC_DM'[%']]]*Tab_Def_Flows[[#This Row],[Flow_DM]]</f>
        <v>0</v>
      </c>
      <c r="V8" s="8"/>
    </row>
    <row r="9" spans="1:24" x14ac:dyDescent="0.25">
      <c r="A9" s="160" t="b">
        <v>0</v>
      </c>
      <c r="B9" s="23">
        <f t="shared" si="0"/>
        <v>8</v>
      </c>
      <c r="C9" s="7" t="str">
        <f t="shared" si="1"/>
        <v>F_03_05</v>
      </c>
      <c r="D9" s="8" t="s">
        <v>745</v>
      </c>
      <c r="E9" s="155" t="s">
        <v>728</v>
      </c>
      <c r="F9" s="7" t="str">
        <f>_xlfn.XLOOKUP(E9,Tab_Def_Processes[Process_Name],Tab_Def_Processes[Process_ID],,0,)</f>
        <v>03</v>
      </c>
      <c r="G9" s="155" t="s">
        <v>730</v>
      </c>
      <c r="H9" s="10" t="str">
        <f>_xlfn.XLOOKUP(G9,Tab_Def_Processes[Process_Name],Tab_Def_Processes[Process_ID],,0,)</f>
        <v>05</v>
      </c>
      <c r="I9" s="155" t="s">
        <v>7</v>
      </c>
      <c r="J9" s="155" t="s">
        <v>7</v>
      </c>
      <c r="K9" s="155" t="s">
        <v>7</v>
      </c>
      <c r="L9" s="7" t="str">
        <f>Tab_Def_Flows[[#This Row],[Flow_ID]]&amp;"_WC"</f>
        <v>F_03_05_WC</v>
      </c>
      <c r="M9" s="150"/>
      <c r="N9" s="20"/>
      <c r="O9" s="7" t="str">
        <f>Tab_Def_Flows[[#This Row],[Flow_ID]]&amp;"_DM"</f>
        <v>F_03_05_DM</v>
      </c>
      <c r="Q9" s="20"/>
      <c r="R9" s="7" t="str">
        <f>Tab_Def_Flows[[#This Row],[Flow_ID]]&amp;"_CC"</f>
        <v>F_03_05_CC</v>
      </c>
      <c r="S9" s="150"/>
      <c r="T9" s="20"/>
      <c r="U9" s="156">
        <f>Tab_Def_Flows[[#This Row],[Flow_CC_DM'[%']]]*Tab_Def_Flows[[#This Row],[Flow_DM]]</f>
        <v>0</v>
      </c>
      <c r="V9" s="8"/>
    </row>
    <row r="10" spans="1:24" x14ac:dyDescent="0.25">
      <c r="A10" s="160" t="b">
        <v>0</v>
      </c>
      <c r="B10" s="23">
        <f t="shared" si="0"/>
        <v>9</v>
      </c>
      <c r="C10" s="7" t="str">
        <f t="shared" si="1"/>
        <v>F_03_06</v>
      </c>
      <c r="D10" s="8" t="s">
        <v>746</v>
      </c>
      <c r="E10" s="155" t="s">
        <v>728</v>
      </c>
      <c r="F10" s="7" t="str">
        <f>_xlfn.XLOOKUP(E10,Tab_Def_Processes[Process_Name],Tab_Def_Processes[Process_ID],,0,)</f>
        <v>03</v>
      </c>
      <c r="G10" s="155" t="s">
        <v>731</v>
      </c>
      <c r="H10" s="10" t="str">
        <f>_xlfn.XLOOKUP(G10,Tab_Def_Processes[Process_Name],Tab_Def_Processes[Process_ID],,0,)</f>
        <v>06</v>
      </c>
      <c r="I10" s="155" t="s">
        <v>7</v>
      </c>
      <c r="J10" s="155" t="s">
        <v>7</v>
      </c>
      <c r="K10" s="155" t="s">
        <v>7</v>
      </c>
      <c r="L10" s="7" t="str">
        <f>Tab_Def_Flows[[#This Row],[Flow_ID]]&amp;"_WC"</f>
        <v>F_03_06_WC</v>
      </c>
      <c r="M10" s="150"/>
      <c r="N10" s="20"/>
      <c r="O10" s="7" t="str">
        <f>Tab_Def_Flows[[#This Row],[Flow_ID]]&amp;"_DM"</f>
        <v>F_03_06_DM</v>
      </c>
      <c r="Q10" s="20"/>
      <c r="R10" s="7" t="str">
        <f>Tab_Def_Flows[[#This Row],[Flow_ID]]&amp;"_CC"</f>
        <v>F_03_06_CC</v>
      </c>
      <c r="S10" s="150"/>
      <c r="T10" s="20"/>
      <c r="U10" s="156">
        <f>Tab_Def_Flows[[#This Row],[Flow_CC_DM'[%']]]*Tab_Def_Flows[[#This Row],[Flow_DM]]</f>
        <v>0</v>
      </c>
      <c r="V10" s="8"/>
    </row>
    <row r="11" spans="1:24" x14ac:dyDescent="0.25">
      <c r="A11" s="160" t="b">
        <v>0</v>
      </c>
      <c r="B11" s="23">
        <f t="shared" si="0"/>
        <v>10</v>
      </c>
      <c r="C11" s="7" t="str">
        <f t="shared" si="1"/>
        <v>F_03_07</v>
      </c>
      <c r="D11" s="8" t="s">
        <v>747</v>
      </c>
      <c r="E11" s="155" t="s">
        <v>728</v>
      </c>
      <c r="F11" s="7" t="str">
        <f>_xlfn.XLOOKUP(E11,Tab_Def_Processes[Process_Name],Tab_Def_Processes[Process_ID],,0,)</f>
        <v>03</v>
      </c>
      <c r="G11" s="155" t="s">
        <v>440</v>
      </c>
      <c r="H11" s="10" t="str">
        <f>_xlfn.XLOOKUP(G11,Tab_Def_Processes[Process_Name],Tab_Def_Processes[Process_ID],,0,)</f>
        <v>07</v>
      </c>
      <c r="I11" s="155" t="s">
        <v>7</v>
      </c>
      <c r="J11" s="155" t="s">
        <v>7</v>
      </c>
      <c r="K11" s="155" t="s">
        <v>7</v>
      </c>
      <c r="L11" s="7" t="str">
        <f>Tab_Def_Flows[[#This Row],[Flow_ID]]&amp;"_WC"</f>
        <v>F_03_07_WC</v>
      </c>
      <c r="M11" s="150"/>
      <c r="N11" s="20"/>
      <c r="O11" s="7" t="str">
        <f>Tab_Def_Flows[[#This Row],[Flow_ID]]&amp;"_DM"</f>
        <v>F_03_07_DM</v>
      </c>
      <c r="Q11" s="20"/>
      <c r="R11" s="7" t="str">
        <f>Tab_Def_Flows[[#This Row],[Flow_ID]]&amp;"_CC"</f>
        <v>F_03_07_CC</v>
      </c>
      <c r="S11" s="150"/>
      <c r="T11" s="20"/>
      <c r="U11" s="156">
        <f>Tab_Def_Flows[[#This Row],[Flow_CC_DM'[%']]]*Tab_Def_Flows[[#This Row],[Flow_DM]]</f>
        <v>0</v>
      </c>
      <c r="V11" s="8"/>
    </row>
    <row r="12" spans="1:24" x14ac:dyDescent="0.25">
      <c r="A12" s="160" t="b">
        <v>0</v>
      </c>
      <c r="B12" s="23">
        <f t="shared" si="0"/>
        <v>11</v>
      </c>
      <c r="C12" s="7" t="str">
        <f t="shared" si="1"/>
        <v>F_04_01</v>
      </c>
      <c r="D12" s="8" t="s">
        <v>748</v>
      </c>
      <c r="E12" s="155" t="s">
        <v>729</v>
      </c>
      <c r="F12" s="7" t="str">
        <f>_xlfn.XLOOKUP(E12,Tab_Def_Processes[Process_Name],Tab_Def_Processes[Process_ID],,0,)</f>
        <v>04</v>
      </c>
      <c r="G12" s="155" t="s">
        <v>726</v>
      </c>
      <c r="H12" s="10" t="str">
        <f>_xlfn.XLOOKUP(G12,Tab_Def_Processes[Process_Name],Tab_Def_Processes[Process_ID],,0,)</f>
        <v>01</v>
      </c>
      <c r="I12" s="155" t="s">
        <v>7</v>
      </c>
      <c r="J12" s="155" t="s">
        <v>7</v>
      </c>
      <c r="K12" s="155" t="s">
        <v>7</v>
      </c>
      <c r="L12" s="7" t="str">
        <f>Tab_Def_Flows[[#This Row],[Flow_ID]]&amp;"_WC"</f>
        <v>F_04_01_WC</v>
      </c>
      <c r="M12" s="150"/>
      <c r="N12" s="20"/>
      <c r="O12" s="7" t="str">
        <f>Tab_Def_Flows[[#This Row],[Flow_ID]]&amp;"_DM"</f>
        <v>F_04_01_DM</v>
      </c>
      <c r="Q12" s="20"/>
      <c r="R12" s="7" t="str">
        <f>Tab_Def_Flows[[#This Row],[Flow_ID]]&amp;"_CC"</f>
        <v>F_04_01_CC</v>
      </c>
      <c r="S12" s="150"/>
      <c r="T12" s="20"/>
      <c r="U12" s="156">
        <f>Tab_Def_Flows[[#This Row],[Flow_CC_DM'[%']]]*Tab_Def_Flows[[#This Row],[Flow_DM]]</f>
        <v>0</v>
      </c>
      <c r="V12" s="8"/>
    </row>
    <row r="13" spans="1:24" x14ac:dyDescent="0.25">
      <c r="A13" s="160" t="b">
        <v>0</v>
      </c>
      <c r="B13" s="23">
        <f t="shared" si="0"/>
        <v>12</v>
      </c>
      <c r="C13" s="7" t="str">
        <f t="shared" si="1"/>
        <v>F_05_10</v>
      </c>
      <c r="D13" s="8" t="s">
        <v>752</v>
      </c>
      <c r="E13" s="155" t="s">
        <v>730</v>
      </c>
      <c r="F13" s="7" t="str">
        <f>_xlfn.XLOOKUP(E13,Tab_Def_Processes[Process_Name],Tab_Def_Processes[Process_ID],,0,)</f>
        <v>05</v>
      </c>
      <c r="G13" s="155" t="s">
        <v>734</v>
      </c>
      <c r="H13" s="10" t="str">
        <f>_xlfn.XLOOKUP(G13,Tab_Def_Processes[Process_Name],Tab_Def_Processes[Process_ID],,0,)</f>
        <v>10</v>
      </c>
      <c r="I13" s="155" t="s">
        <v>7</v>
      </c>
      <c r="J13" s="155" t="s">
        <v>7</v>
      </c>
      <c r="K13" s="155" t="s">
        <v>7</v>
      </c>
      <c r="L13" s="7" t="str">
        <f>Tab_Def_Flows[[#This Row],[Flow_ID]]&amp;"_WC"</f>
        <v>F_05_10_WC</v>
      </c>
      <c r="M13" s="150"/>
      <c r="N13" s="20"/>
      <c r="O13" s="7" t="str">
        <f>Tab_Def_Flows[[#This Row],[Flow_ID]]&amp;"_DM"</f>
        <v>F_05_10_DM</v>
      </c>
      <c r="Q13" s="20"/>
      <c r="R13" s="7" t="str">
        <f>Tab_Def_Flows[[#This Row],[Flow_ID]]&amp;"_CC"</f>
        <v>F_05_10_CC</v>
      </c>
      <c r="S13" s="150"/>
      <c r="T13" s="20"/>
      <c r="U13" s="156">
        <f>Tab_Def_Flows[[#This Row],[Flow_CC_DM'[%']]]*Tab_Def_Flows[[#This Row],[Flow_DM]]</f>
        <v>0</v>
      </c>
      <c r="V13" s="8"/>
    </row>
    <row r="14" spans="1:24" x14ac:dyDescent="0.25">
      <c r="A14" s="160" t="b">
        <v>0</v>
      </c>
      <c r="B14" s="23">
        <f t="shared" si="0"/>
        <v>13</v>
      </c>
      <c r="C14" s="7" t="str">
        <f t="shared" si="1"/>
        <v>F_05_11</v>
      </c>
      <c r="D14" s="8" t="s">
        <v>749</v>
      </c>
      <c r="E14" s="155" t="s">
        <v>730</v>
      </c>
      <c r="F14" s="7" t="str">
        <f>_xlfn.XLOOKUP(E14,Tab_Def_Processes[Process_Name],Tab_Def_Processes[Process_ID],,0,)</f>
        <v>05</v>
      </c>
      <c r="G14" s="155" t="s">
        <v>735</v>
      </c>
      <c r="H14" s="10" t="str">
        <f>_xlfn.XLOOKUP(G14,Tab_Def_Processes[Process_Name],Tab_Def_Processes[Process_ID],,0,)</f>
        <v>11</v>
      </c>
      <c r="I14" s="155" t="s">
        <v>7</v>
      </c>
      <c r="J14" s="155" t="s">
        <v>7</v>
      </c>
      <c r="K14" s="155" t="s">
        <v>7</v>
      </c>
      <c r="L14" s="7" t="str">
        <f>Tab_Def_Flows[[#This Row],[Flow_ID]]&amp;"_WC"</f>
        <v>F_05_11_WC</v>
      </c>
      <c r="M14" s="150"/>
      <c r="N14" s="20"/>
      <c r="O14" s="7" t="str">
        <f>Tab_Def_Flows[[#This Row],[Flow_ID]]&amp;"_DM"</f>
        <v>F_05_11_DM</v>
      </c>
      <c r="Q14" s="20"/>
      <c r="R14" s="7" t="str">
        <f>Tab_Def_Flows[[#This Row],[Flow_ID]]&amp;"_CC"</f>
        <v>F_05_11_CC</v>
      </c>
      <c r="S14" s="150"/>
      <c r="T14" s="20"/>
      <c r="U14" s="156">
        <f>Tab_Def_Flows[[#This Row],[Flow_CC_DM'[%']]]*Tab_Def_Flows[[#This Row],[Flow_DM]]</f>
        <v>0</v>
      </c>
      <c r="V14" s="8"/>
    </row>
    <row r="15" spans="1:24" x14ac:dyDescent="0.25">
      <c r="A15" s="160" t="b">
        <v>0</v>
      </c>
      <c r="B15" s="23">
        <f t="shared" si="0"/>
        <v>14</v>
      </c>
      <c r="C15" s="7" t="str">
        <f t="shared" si="1"/>
        <v>F_06_09</v>
      </c>
      <c r="D15" s="8" t="s">
        <v>750</v>
      </c>
      <c r="E15" s="155" t="s">
        <v>731</v>
      </c>
      <c r="F15" s="7" t="str">
        <f>_xlfn.XLOOKUP(E15,Tab_Def_Processes[Process_Name],Tab_Def_Processes[Process_ID],,0,)</f>
        <v>06</v>
      </c>
      <c r="G15" s="155" t="s">
        <v>733</v>
      </c>
      <c r="H15" s="10" t="str">
        <f>_xlfn.XLOOKUP(G15,Tab_Def_Processes[Process_Name],Tab_Def_Processes[Process_ID],,0,)</f>
        <v>09</v>
      </c>
      <c r="I15" s="155" t="s">
        <v>7</v>
      </c>
      <c r="J15" s="155" t="s">
        <v>7</v>
      </c>
      <c r="K15" s="155" t="s">
        <v>7</v>
      </c>
      <c r="L15" s="7" t="str">
        <f>Tab_Def_Flows[[#This Row],[Flow_ID]]&amp;"_WC"</f>
        <v>F_06_09_WC</v>
      </c>
      <c r="M15" s="150"/>
      <c r="N15" s="20"/>
      <c r="O15" s="7" t="str">
        <f>Tab_Def_Flows[[#This Row],[Flow_ID]]&amp;"_DM"</f>
        <v>F_06_09_DM</v>
      </c>
      <c r="Q15" s="20"/>
      <c r="R15" s="7" t="str">
        <f>Tab_Def_Flows[[#This Row],[Flow_ID]]&amp;"_CC"</f>
        <v>F_06_09_CC</v>
      </c>
      <c r="S15" s="150"/>
      <c r="T15" s="20"/>
      <c r="U15" s="156">
        <f>Tab_Def_Flows[[#This Row],[Flow_CC_DM'[%']]]*Tab_Def_Flows[[#This Row],[Flow_DM]]</f>
        <v>0</v>
      </c>
      <c r="V15" s="8"/>
    </row>
    <row r="16" spans="1:24" x14ac:dyDescent="0.25">
      <c r="A16" s="160" t="b">
        <v>0</v>
      </c>
      <c r="B16" s="23">
        <f t="shared" si="0"/>
        <v>15</v>
      </c>
      <c r="C16" s="7" t="str">
        <f t="shared" si="1"/>
        <v>F_06_08</v>
      </c>
      <c r="D16" s="8" t="s">
        <v>751</v>
      </c>
      <c r="E16" s="155" t="s">
        <v>731</v>
      </c>
      <c r="F16" s="7" t="str">
        <f>_xlfn.XLOOKUP(E16,Tab_Def_Processes[Process_Name],Tab_Def_Processes[Process_ID],,0,)</f>
        <v>06</v>
      </c>
      <c r="G16" s="155" t="s">
        <v>732</v>
      </c>
      <c r="H16" s="10" t="str">
        <f>_xlfn.XLOOKUP(G16,Tab_Def_Processes[Process_Name],Tab_Def_Processes[Process_ID],,0,)</f>
        <v>08</v>
      </c>
      <c r="I16" s="155" t="s">
        <v>7</v>
      </c>
      <c r="J16" s="155" t="s">
        <v>7</v>
      </c>
      <c r="K16" s="155" t="s">
        <v>7</v>
      </c>
      <c r="L16" s="7" t="str">
        <f>Tab_Def_Flows[[#This Row],[Flow_ID]]&amp;"_WC"</f>
        <v>F_06_08_WC</v>
      </c>
      <c r="M16" s="150"/>
      <c r="N16" s="20"/>
      <c r="O16" s="7" t="str">
        <f>Tab_Def_Flows[[#This Row],[Flow_ID]]&amp;"_DM"</f>
        <v>F_06_08_DM</v>
      </c>
      <c r="Q16" s="20"/>
      <c r="R16" s="7" t="str">
        <f>Tab_Def_Flows[[#This Row],[Flow_ID]]&amp;"_CC"</f>
        <v>F_06_08_CC</v>
      </c>
      <c r="S16" s="150"/>
      <c r="T16" s="20"/>
      <c r="U16" s="156">
        <f>Tab_Def_Flows[[#This Row],[Flow_CC_DM'[%']]]*Tab_Def_Flows[[#This Row],[Flow_DM]]</f>
        <v>0</v>
      </c>
      <c r="V16" s="8"/>
    </row>
    <row r="17" spans="1:22" x14ac:dyDescent="0.25">
      <c r="A17" s="160" t="b">
        <v>0</v>
      </c>
      <c r="B17" s="23">
        <f t="shared" si="0"/>
        <v>16</v>
      </c>
      <c r="C17" s="7" t="str">
        <f t="shared" si="1"/>
        <v>F_15_15</v>
      </c>
      <c r="D17" s="8"/>
      <c r="E17" s="155"/>
      <c r="F17" s="7" t="str">
        <f>_xlfn.XLOOKUP(E17,Tab_Def_Processes[Process_Name],Tab_Def_Processes[Process_ID],,0,)</f>
        <v>15</v>
      </c>
      <c r="G17" s="155"/>
      <c r="H17" s="10" t="str">
        <f>_xlfn.XLOOKUP(G17,Tab_Def_Processes[Process_Name],Tab_Def_Processes[Process_ID],,0,)</f>
        <v>15</v>
      </c>
      <c r="I17" s="155"/>
      <c r="J17" s="155"/>
      <c r="K17" s="155"/>
      <c r="L17" s="7" t="str">
        <f>Tab_Def_Flows[[#This Row],[Flow_ID]]&amp;"_WC"</f>
        <v>F_15_15_WC</v>
      </c>
      <c r="M17" s="150"/>
      <c r="N17" s="20"/>
      <c r="O17" s="7" t="str">
        <f>Tab_Def_Flows[[#This Row],[Flow_ID]]&amp;"_DM"</f>
        <v>F_15_15_DM</v>
      </c>
      <c r="Q17" s="20"/>
      <c r="R17" s="7" t="str">
        <f>Tab_Def_Flows[[#This Row],[Flow_ID]]&amp;"_CC"</f>
        <v>F_15_15_CC</v>
      </c>
      <c r="S17" s="150"/>
      <c r="T17" s="20"/>
      <c r="U17" s="156">
        <f>Tab_Def_Flows[[#This Row],[Flow_CC_DM'[%']]]*Tab_Def_Flows[[#This Row],[Flow_DM]]</f>
        <v>0</v>
      </c>
      <c r="V17" s="8"/>
    </row>
    <row r="18" spans="1:22" x14ac:dyDescent="0.25">
      <c r="A18" s="160" t="b">
        <v>0</v>
      </c>
      <c r="B18" s="23">
        <f t="shared" si="0"/>
        <v>17</v>
      </c>
      <c r="C18" s="7" t="str">
        <f t="shared" si="1"/>
        <v>F_15_15</v>
      </c>
      <c r="D18" s="8"/>
      <c r="E18" s="155"/>
      <c r="F18" s="7" t="str">
        <f>_xlfn.XLOOKUP(E18,Tab_Def_Processes[Process_Name],Tab_Def_Processes[Process_ID],,0,)</f>
        <v>15</v>
      </c>
      <c r="G18" s="155"/>
      <c r="H18" s="10" t="str">
        <f>_xlfn.XLOOKUP(G18,Tab_Def_Processes[Process_Name],Tab_Def_Processes[Process_ID],,0,)</f>
        <v>15</v>
      </c>
      <c r="I18" s="155"/>
      <c r="J18" s="155"/>
      <c r="K18" s="155"/>
      <c r="L18" s="7" t="str">
        <f>Tab_Def_Flows[[#This Row],[Flow_ID]]&amp;"_WC"</f>
        <v>F_15_15_WC</v>
      </c>
      <c r="M18" s="150"/>
      <c r="N18" s="20"/>
      <c r="O18" s="7" t="str">
        <f>Tab_Def_Flows[[#This Row],[Flow_ID]]&amp;"_DM"</f>
        <v>F_15_15_DM</v>
      </c>
      <c r="Q18" s="20"/>
      <c r="R18" s="7" t="str">
        <f>Tab_Def_Flows[[#This Row],[Flow_ID]]&amp;"_CC"</f>
        <v>F_15_15_CC</v>
      </c>
      <c r="S18" s="150"/>
      <c r="T18" s="20"/>
      <c r="U18" s="156">
        <f>Tab_Def_Flows[[#This Row],[Flow_CC_DM'[%']]]*Tab_Def_Flows[[#This Row],[Flow_DM]]</f>
        <v>0</v>
      </c>
      <c r="V18" s="8"/>
    </row>
    <row r="19" spans="1:22" x14ac:dyDescent="0.25">
      <c r="A19" s="160" t="b">
        <v>0</v>
      </c>
      <c r="B19" s="23">
        <f t="shared" si="0"/>
        <v>18</v>
      </c>
      <c r="C19" s="7" t="str">
        <f t="shared" si="1"/>
        <v>F_15_15</v>
      </c>
      <c r="D19" s="8"/>
      <c r="E19" s="155"/>
      <c r="F19" s="7" t="str">
        <f>_xlfn.XLOOKUP(E19,Tab_Def_Processes[Process_Name],Tab_Def_Processes[Process_ID],,0,)</f>
        <v>15</v>
      </c>
      <c r="G19" s="155"/>
      <c r="H19" s="10" t="str">
        <f>_xlfn.XLOOKUP(G19,Tab_Def_Processes[Process_Name],Tab_Def_Processes[Process_ID],,0,)</f>
        <v>15</v>
      </c>
      <c r="I19" s="155"/>
      <c r="J19" s="155"/>
      <c r="K19" s="155"/>
      <c r="L19" s="7" t="str">
        <f>Tab_Def_Flows[[#This Row],[Flow_ID]]&amp;"_WC"</f>
        <v>F_15_15_WC</v>
      </c>
      <c r="M19" s="150"/>
      <c r="N19" s="20"/>
      <c r="O19" s="7" t="str">
        <f>Tab_Def_Flows[[#This Row],[Flow_ID]]&amp;"_DM"</f>
        <v>F_15_15_DM</v>
      </c>
      <c r="Q19" s="20"/>
      <c r="R19" s="7" t="str">
        <f>Tab_Def_Flows[[#This Row],[Flow_ID]]&amp;"_CC"</f>
        <v>F_15_15_CC</v>
      </c>
      <c r="S19" s="150"/>
      <c r="T19" s="20"/>
      <c r="U19" s="156">
        <f>Tab_Def_Flows[[#This Row],[Flow_CC_DM'[%']]]*Tab_Def_Flows[[#This Row],[Flow_DM]]</f>
        <v>0</v>
      </c>
      <c r="V19" s="8"/>
    </row>
    <row r="20" spans="1:22" x14ac:dyDescent="0.25">
      <c r="A20" s="160" t="b">
        <v>0</v>
      </c>
      <c r="B20" s="23">
        <f t="shared" si="0"/>
        <v>19</v>
      </c>
      <c r="C20" s="7" t="str">
        <f t="shared" si="1"/>
        <v>F_15_15</v>
      </c>
      <c r="D20" s="8"/>
      <c r="E20" s="155"/>
      <c r="F20" s="7" t="str">
        <f>_xlfn.XLOOKUP(E20,Tab_Def_Processes[Process_Name],Tab_Def_Processes[Process_ID],,0,)</f>
        <v>15</v>
      </c>
      <c r="G20" s="155"/>
      <c r="H20" s="10" t="str">
        <f>_xlfn.XLOOKUP(G20,Tab_Def_Processes[Process_Name],Tab_Def_Processes[Process_ID],,0,)</f>
        <v>15</v>
      </c>
      <c r="I20" s="155"/>
      <c r="J20" s="155"/>
      <c r="K20" s="155"/>
      <c r="L20" s="7" t="str">
        <f>Tab_Def_Flows[[#This Row],[Flow_ID]]&amp;"_WC"</f>
        <v>F_15_15_WC</v>
      </c>
      <c r="M20" s="150"/>
      <c r="N20" s="20"/>
      <c r="O20" s="7" t="str">
        <f>Tab_Def_Flows[[#This Row],[Flow_ID]]&amp;"_DM"</f>
        <v>F_15_15_DM</v>
      </c>
      <c r="Q20" s="20"/>
      <c r="R20" s="7" t="str">
        <f>Tab_Def_Flows[[#This Row],[Flow_ID]]&amp;"_CC"</f>
        <v>F_15_15_CC</v>
      </c>
      <c r="S20" s="150"/>
      <c r="T20" s="20"/>
      <c r="U20" s="156">
        <f>Tab_Def_Flows[[#This Row],[Flow_CC_DM'[%']]]*Tab_Def_Flows[[#This Row],[Flow_DM]]</f>
        <v>0</v>
      </c>
      <c r="V20" s="8"/>
    </row>
    <row r="21" spans="1:22" x14ac:dyDescent="0.25">
      <c r="A21" s="160" t="b">
        <v>0</v>
      </c>
      <c r="B21" s="23">
        <f t="shared" si="0"/>
        <v>20</v>
      </c>
      <c r="C21" s="7" t="str">
        <f t="shared" si="1"/>
        <v>F_15_15</v>
      </c>
      <c r="D21" s="8"/>
      <c r="E21" s="155"/>
      <c r="F21" s="7" t="str">
        <f>_xlfn.XLOOKUP(E21,Tab_Def_Processes[Process_Name],Tab_Def_Processes[Process_ID],,0,)</f>
        <v>15</v>
      </c>
      <c r="G21" s="155"/>
      <c r="H21" s="10" t="str">
        <f>_xlfn.XLOOKUP(G21,Tab_Def_Processes[Process_Name],Tab_Def_Processes[Process_ID],,0,)</f>
        <v>15</v>
      </c>
      <c r="I21" s="155"/>
      <c r="J21" s="155"/>
      <c r="K21" s="155"/>
      <c r="L21" s="7" t="str">
        <f>Tab_Def_Flows[[#This Row],[Flow_ID]]&amp;"_WC"</f>
        <v>F_15_15_WC</v>
      </c>
      <c r="M21" s="150"/>
      <c r="N21" s="20"/>
      <c r="O21" s="7" t="str">
        <f>Tab_Def_Flows[[#This Row],[Flow_ID]]&amp;"_DM"</f>
        <v>F_15_15_DM</v>
      </c>
      <c r="Q21" s="20"/>
      <c r="R21" s="7" t="str">
        <f>Tab_Def_Flows[[#This Row],[Flow_ID]]&amp;"_CC"</f>
        <v>F_15_15_CC</v>
      </c>
      <c r="S21" s="150"/>
      <c r="T21" s="20"/>
      <c r="U21" s="156">
        <f>Tab_Def_Flows[[#This Row],[Flow_CC_DM'[%']]]*Tab_Def_Flows[[#This Row],[Flow_DM]]</f>
        <v>0</v>
      </c>
      <c r="V21" s="8"/>
    </row>
    <row r="22" spans="1:22" x14ac:dyDescent="0.25">
      <c r="A22" s="160" t="b">
        <v>0</v>
      </c>
      <c r="B22" s="23">
        <f t="shared" si="0"/>
        <v>21</v>
      </c>
      <c r="C22" s="7" t="str">
        <f t="shared" si="1"/>
        <v>F_15_15</v>
      </c>
      <c r="D22" s="8"/>
      <c r="E22" s="155"/>
      <c r="F22" s="7" t="str">
        <f>_xlfn.XLOOKUP(E22,Tab_Def_Processes[Process_Name],Tab_Def_Processes[Process_ID],,0,)</f>
        <v>15</v>
      </c>
      <c r="G22" s="155"/>
      <c r="H22" s="10" t="str">
        <f>_xlfn.XLOOKUP(G22,Tab_Def_Processes[Process_Name],Tab_Def_Processes[Process_ID],,0,)</f>
        <v>15</v>
      </c>
      <c r="I22" s="155"/>
      <c r="J22" s="155"/>
      <c r="K22" s="155"/>
      <c r="L22" s="7" t="str">
        <f>Tab_Def_Flows[[#This Row],[Flow_ID]]&amp;"_WC"</f>
        <v>F_15_15_WC</v>
      </c>
      <c r="M22" s="150"/>
      <c r="N22" s="20"/>
      <c r="O22" s="7" t="str">
        <f>Tab_Def_Flows[[#This Row],[Flow_ID]]&amp;"_DM"</f>
        <v>F_15_15_DM</v>
      </c>
      <c r="Q22" s="20"/>
      <c r="R22" s="7" t="str">
        <f>Tab_Def_Flows[[#This Row],[Flow_ID]]&amp;"_CC"</f>
        <v>F_15_15_CC</v>
      </c>
      <c r="S22" s="150"/>
      <c r="T22" s="20"/>
      <c r="U22" s="156">
        <f>Tab_Def_Flows[[#This Row],[Flow_CC_DM'[%']]]*Tab_Def_Flows[[#This Row],[Flow_DM]]</f>
        <v>0</v>
      </c>
      <c r="V22" s="8"/>
    </row>
    <row r="23" spans="1:22" x14ac:dyDescent="0.25">
      <c r="A23" s="160" t="b">
        <v>0</v>
      </c>
      <c r="B23" s="23">
        <f t="shared" si="0"/>
        <v>22</v>
      </c>
      <c r="C23" s="7" t="str">
        <f t="shared" si="1"/>
        <v>F_15_15</v>
      </c>
      <c r="D23" s="8"/>
      <c r="E23" s="155"/>
      <c r="F23" s="7" t="str">
        <f>_xlfn.XLOOKUP(E23,Tab_Def_Processes[Process_Name],Tab_Def_Processes[Process_ID],,0,)</f>
        <v>15</v>
      </c>
      <c r="G23" s="155"/>
      <c r="H23" s="10" t="str">
        <f>_xlfn.XLOOKUP(G23,Tab_Def_Processes[Process_Name],Tab_Def_Processes[Process_ID],,0,)</f>
        <v>15</v>
      </c>
      <c r="I23" s="155"/>
      <c r="J23" s="155"/>
      <c r="K23" s="155"/>
      <c r="L23" s="7" t="str">
        <f>Tab_Def_Flows[[#This Row],[Flow_ID]]&amp;"_WC"</f>
        <v>F_15_15_WC</v>
      </c>
      <c r="M23" s="150"/>
      <c r="N23" s="20"/>
      <c r="O23" s="7" t="str">
        <f>Tab_Def_Flows[[#This Row],[Flow_ID]]&amp;"_DM"</f>
        <v>F_15_15_DM</v>
      </c>
      <c r="Q23" s="20"/>
      <c r="R23" s="7" t="str">
        <f>Tab_Def_Flows[[#This Row],[Flow_ID]]&amp;"_CC"</f>
        <v>F_15_15_CC</v>
      </c>
      <c r="S23" s="150"/>
      <c r="T23" s="20"/>
      <c r="U23" s="156">
        <f>Tab_Def_Flows[[#This Row],[Flow_CC_DM'[%']]]*Tab_Def_Flows[[#This Row],[Flow_DM]]</f>
        <v>0</v>
      </c>
      <c r="V23" s="8"/>
    </row>
    <row r="24" spans="1:22" x14ac:dyDescent="0.25">
      <c r="A24" s="160" t="b">
        <v>0</v>
      </c>
      <c r="B24" s="23">
        <f t="shared" si="0"/>
        <v>23</v>
      </c>
      <c r="C24" s="7" t="str">
        <f t="shared" si="1"/>
        <v>F_15_15</v>
      </c>
      <c r="D24" s="8"/>
      <c r="E24" s="155"/>
      <c r="F24" s="7" t="str">
        <f>_xlfn.XLOOKUP(E24,Tab_Def_Processes[Process_Name],Tab_Def_Processes[Process_ID],,0,)</f>
        <v>15</v>
      </c>
      <c r="G24" s="155"/>
      <c r="H24" s="10" t="str">
        <f>_xlfn.XLOOKUP(G24,Tab_Def_Processes[Process_Name],Tab_Def_Processes[Process_ID],,0,)</f>
        <v>15</v>
      </c>
      <c r="I24" s="155"/>
      <c r="J24" s="155"/>
      <c r="K24" s="155"/>
      <c r="L24" s="7" t="str">
        <f>Tab_Def_Flows[[#This Row],[Flow_ID]]&amp;"_WC"</f>
        <v>F_15_15_WC</v>
      </c>
      <c r="M24" s="150"/>
      <c r="N24" s="20"/>
      <c r="O24" s="7" t="str">
        <f>Tab_Def_Flows[[#This Row],[Flow_ID]]&amp;"_DM"</f>
        <v>F_15_15_DM</v>
      </c>
      <c r="Q24" s="20"/>
      <c r="R24" s="7" t="str">
        <f>Tab_Def_Flows[[#This Row],[Flow_ID]]&amp;"_CC"</f>
        <v>F_15_15_CC</v>
      </c>
      <c r="S24" s="150"/>
      <c r="T24" s="20"/>
      <c r="U24" s="156">
        <f>Tab_Def_Flows[[#This Row],[Flow_CC_DM'[%']]]*Tab_Def_Flows[[#This Row],[Flow_DM]]</f>
        <v>0</v>
      </c>
      <c r="V24" s="8"/>
    </row>
    <row r="25" spans="1:22" x14ac:dyDescent="0.25">
      <c r="A25" s="160" t="b">
        <v>0</v>
      </c>
      <c r="B25" s="23">
        <f t="shared" si="0"/>
        <v>24</v>
      </c>
      <c r="C25" s="7" t="str">
        <f t="shared" si="1"/>
        <v>F_15_15</v>
      </c>
      <c r="D25" s="8"/>
      <c r="E25" s="155"/>
      <c r="F25" s="7" t="str">
        <f>_xlfn.XLOOKUP(E25,Tab_Def_Processes[Process_Name],Tab_Def_Processes[Process_ID],,0,)</f>
        <v>15</v>
      </c>
      <c r="G25" s="155"/>
      <c r="H25" s="10" t="str">
        <f>_xlfn.XLOOKUP(G25,Tab_Def_Processes[Process_Name],Tab_Def_Processes[Process_ID],,0,)</f>
        <v>15</v>
      </c>
      <c r="I25" s="155"/>
      <c r="J25" s="155"/>
      <c r="K25" s="155"/>
      <c r="L25" s="7" t="str">
        <f>Tab_Def_Flows[[#This Row],[Flow_ID]]&amp;"_WC"</f>
        <v>F_15_15_WC</v>
      </c>
      <c r="M25" s="150"/>
      <c r="N25" s="20"/>
      <c r="O25" s="7" t="str">
        <f>Tab_Def_Flows[[#This Row],[Flow_ID]]&amp;"_DM"</f>
        <v>F_15_15_DM</v>
      </c>
      <c r="Q25" s="20"/>
      <c r="R25" s="7" t="str">
        <f>Tab_Def_Flows[[#This Row],[Flow_ID]]&amp;"_CC"</f>
        <v>F_15_15_CC</v>
      </c>
      <c r="S25" s="150"/>
      <c r="T25" s="20"/>
      <c r="U25" s="156">
        <f>Tab_Def_Flows[[#This Row],[Flow_CC_DM'[%']]]*Tab_Def_Flows[[#This Row],[Flow_DM]]</f>
        <v>0</v>
      </c>
      <c r="V25" s="8"/>
    </row>
    <row r="26" spans="1:22" x14ac:dyDescent="0.25">
      <c r="A26" s="160" t="b">
        <v>0</v>
      </c>
      <c r="B26" s="23">
        <f t="shared" si="0"/>
        <v>25</v>
      </c>
      <c r="C26" s="7" t="str">
        <f t="shared" si="1"/>
        <v>F_15_15</v>
      </c>
      <c r="D26" s="8"/>
      <c r="E26" s="155"/>
      <c r="F26" s="7" t="str">
        <f>_xlfn.XLOOKUP(E26,Tab_Def_Processes[Process_Name],Tab_Def_Processes[Process_ID],,0,)</f>
        <v>15</v>
      </c>
      <c r="G26" s="155"/>
      <c r="H26" s="10" t="str">
        <f>_xlfn.XLOOKUP(G26,Tab_Def_Processes[Process_Name],Tab_Def_Processes[Process_ID],,0,)</f>
        <v>15</v>
      </c>
      <c r="I26" s="155"/>
      <c r="J26" s="155"/>
      <c r="K26" s="155"/>
      <c r="L26" s="7" t="str">
        <f>Tab_Def_Flows[[#This Row],[Flow_ID]]&amp;"_WC"</f>
        <v>F_15_15_WC</v>
      </c>
      <c r="M26" s="150"/>
      <c r="N26" s="20"/>
      <c r="O26" s="7" t="str">
        <f>Tab_Def_Flows[[#This Row],[Flow_ID]]&amp;"_DM"</f>
        <v>F_15_15_DM</v>
      </c>
      <c r="Q26" s="20"/>
      <c r="R26" s="7" t="str">
        <f>Tab_Def_Flows[[#This Row],[Flow_ID]]&amp;"_CC"</f>
        <v>F_15_15_CC</v>
      </c>
      <c r="S26" s="150"/>
      <c r="T26" s="20"/>
      <c r="U26" s="156">
        <f>Tab_Def_Flows[[#This Row],[Flow_CC_DM'[%']]]*Tab_Def_Flows[[#This Row],[Flow_DM]]</f>
        <v>0</v>
      </c>
      <c r="V26" s="8"/>
    </row>
    <row r="27" spans="1:22" x14ac:dyDescent="0.25">
      <c r="A27" s="160" t="b">
        <v>0</v>
      </c>
      <c r="B27" s="23">
        <f t="shared" si="0"/>
        <v>26</v>
      </c>
      <c r="C27" s="7" t="str">
        <f t="shared" si="1"/>
        <v>F_15_15</v>
      </c>
      <c r="D27" s="8"/>
      <c r="E27" s="155"/>
      <c r="F27" s="7" t="str">
        <f>_xlfn.XLOOKUP(E27,Tab_Def_Processes[Process_Name],Tab_Def_Processes[Process_ID],,0,)</f>
        <v>15</v>
      </c>
      <c r="G27" s="155"/>
      <c r="H27" s="10" t="str">
        <f>_xlfn.XLOOKUP(G27,Tab_Def_Processes[Process_Name],Tab_Def_Processes[Process_ID],,0,)</f>
        <v>15</v>
      </c>
      <c r="I27" s="155"/>
      <c r="J27" s="155"/>
      <c r="K27" s="155"/>
      <c r="L27" s="7" t="str">
        <f>Tab_Def_Flows[[#This Row],[Flow_ID]]&amp;"_WC"</f>
        <v>F_15_15_WC</v>
      </c>
      <c r="M27" s="150"/>
      <c r="N27" s="20"/>
      <c r="O27" s="7" t="str">
        <f>Tab_Def_Flows[[#This Row],[Flow_ID]]&amp;"_DM"</f>
        <v>F_15_15_DM</v>
      </c>
      <c r="Q27" s="20"/>
      <c r="R27" s="7" t="str">
        <f>Tab_Def_Flows[[#This Row],[Flow_ID]]&amp;"_CC"</f>
        <v>F_15_15_CC</v>
      </c>
      <c r="S27" s="150"/>
      <c r="T27" s="20"/>
      <c r="U27" s="156">
        <f>Tab_Def_Flows[[#This Row],[Flow_CC_DM'[%']]]*Tab_Def_Flows[[#This Row],[Flow_DM]]</f>
        <v>0</v>
      </c>
      <c r="V27" s="8"/>
    </row>
    <row r="28" spans="1:22" x14ac:dyDescent="0.25">
      <c r="A28" s="160" t="b">
        <v>0</v>
      </c>
      <c r="B28" s="23">
        <f t="shared" si="0"/>
        <v>27</v>
      </c>
      <c r="C28" s="7" t="str">
        <f t="shared" si="1"/>
        <v>F_15_15</v>
      </c>
      <c r="D28" s="8"/>
      <c r="E28" s="155"/>
      <c r="F28" s="7" t="str">
        <f>_xlfn.XLOOKUP(E28,Tab_Def_Processes[Process_Name],Tab_Def_Processes[Process_ID],,0,)</f>
        <v>15</v>
      </c>
      <c r="G28" s="155"/>
      <c r="H28" s="10" t="str">
        <f>_xlfn.XLOOKUP(G28,Tab_Def_Processes[Process_Name],Tab_Def_Processes[Process_ID],,0,)</f>
        <v>15</v>
      </c>
      <c r="I28" s="155"/>
      <c r="J28" s="155"/>
      <c r="K28" s="155"/>
      <c r="L28" s="7" t="str">
        <f>Tab_Def_Flows[[#This Row],[Flow_ID]]&amp;"_WC"</f>
        <v>F_15_15_WC</v>
      </c>
      <c r="M28" s="150"/>
      <c r="N28" s="20"/>
      <c r="O28" s="7" t="str">
        <f>Tab_Def_Flows[[#This Row],[Flow_ID]]&amp;"_DM"</f>
        <v>F_15_15_DM</v>
      </c>
      <c r="Q28" s="20"/>
      <c r="R28" s="7" t="str">
        <f>Tab_Def_Flows[[#This Row],[Flow_ID]]&amp;"_CC"</f>
        <v>F_15_15_CC</v>
      </c>
      <c r="S28" s="150"/>
      <c r="T28" s="20"/>
      <c r="U28" s="156">
        <f>Tab_Def_Flows[[#This Row],[Flow_CC_DM'[%']]]*Tab_Def_Flows[[#This Row],[Flow_DM]]</f>
        <v>0</v>
      </c>
      <c r="V28" s="8"/>
    </row>
    <row r="29" spans="1:22" x14ac:dyDescent="0.25">
      <c r="A29" s="160" t="b">
        <v>0</v>
      </c>
      <c r="B29" s="23">
        <f t="shared" si="0"/>
        <v>28</v>
      </c>
      <c r="C29" s="7" t="str">
        <f t="shared" si="1"/>
        <v>F_15_15</v>
      </c>
      <c r="D29" s="8"/>
      <c r="E29" s="155"/>
      <c r="F29" s="7" t="str">
        <f>_xlfn.XLOOKUP(E29,Tab_Def_Processes[Process_Name],Tab_Def_Processes[Process_ID],,0,)</f>
        <v>15</v>
      </c>
      <c r="G29" s="155"/>
      <c r="H29" s="10" t="str">
        <f>_xlfn.XLOOKUP(G29,Tab_Def_Processes[Process_Name],Tab_Def_Processes[Process_ID],,0,)</f>
        <v>15</v>
      </c>
      <c r="I29" s="155"/>
      <c r="J29" s="155"/>
      <c r="K29" s="155"/>
      <c r="L29" s="7" t="str">
        <f>Tab_Def_Flows[[#This Row],[Flow_ID]]&amp;"_WC"</f>
        <v>F_15_15_WC</v>
      </c>
      <c r="M29" s="150"/>
      <c r="N29" s="20"/>
      <c r="O29" s="7" t="str">
        <f>Tab_Def_Flows[[#This Row],[Flow_ID]]&amp;"_DM"</f>
        <v>F_15_15_DM</v>
      </c>
      <c r="Q29" s="20"/>
      <c r="R29" s="7" t="str">
        <f>Tab_Def_Flows[[#This Row],[Flow_ID]]&amp;"_CC"</f>
        <v>F_15_15_CC</v>
      </c>
      <c r="S29" s="150"/>
      <c r="T29" s="20"/>
      <c r="U29" s="156">
        <f>Tab_Def_Flows[[#This Row],[Flow_CC_DM'[%']]]*Tab_Def_Flows[[#This Row],[Flow_DM]]</f>
        <v>0</v>
      </c>
      <c r="V29" s="8"/>
    </row>
    <row r="30" spans="1:22" x14ac:dyDescent="0.25">
      <c r="A30" s="160" t="b">
        <v>0</v>
      </c>
      <c r="B30" s="23">
        <f t="shared" si="0"/>
        <v>29</v>
      </c>
      <c r="C30" s="7" t="str">
        <f t="shared" si="1"/>
        <v>F_15_15</v>
      </c>
      <c r="D30" s="8"/>
      <c r="E30" s="155"/>
      <c r="F30" s="7" t="str">
        <f>_xlfn.XLOOKUP(E30,Tab_Def_Processes[Process_Name],Tab_Def_Processes[Process_ID],,0,)</f>
        <v>15</v>
      </c>
      <c r="G30" s="155"/>
      <c r="H30" s="10" t="str">
        <f>_xlfn.XLOOKUP(G30,Tab_Def_Processes[Process_Name],Tab_Def_Processes[Process_ID],,0,)</f>
        <v>15</v>
      </c>
      <c r="I30" s="155"/>
      <c r="J30" s="155"/>
      <c r="K30" s="155"/>
      <c r="L30" s="7" t="str">
        <f>Tab_Def_Flows[[#This Row],[Flow_ID]]&amp;"_WC"</f>
        <v>F_15_15_WC</v>
      </c>
      <c r="M30" s="150"/>
      <c r="N30" s="20"/>
      <c r="O30" s="7" t="str">
        <f>Tab_Def_Flows[[#This Row],[Flow_ID]]&amp;"_DM"</f>
        <v>F_15_15_DM</v>
      </c>
      <c r="Q30" s="20"/>
      <c r="R30" s="7" t="str">
        <f>Tab_Def_Flows[[#This Row],[Flow_ID]]&amp;"_CC"</f>
        <v>F_15_15_CC</v>
      </c>
      <c r="S30" s="150"/>
      <c r="T30" s="20"/>
      <c r="U30" s="156">
        <f>Tab_Def_Flows[[#This Row],[Flow_CC_DM'[%']]]*Tab_Def_Flows[[#This Row],[Flow_DM]]</f>
        <v>0</v>
      </c>
      <c r="V30" s="8"/>
    </row>
    <row r="31" spans="1:22" x14ac:dyDescent="0.25">
      <c r="A31" s="160" t="b">
        <v>0</v>
      </c>
      <c r="B31" s="23">
        <f t="shared" si="0"/>
        <v>30</v>
      </c>
      <c r="C31" s="7" t="str">
        <f t="shared" si="1"/>
        <v>F_15_15</v>
      </c>
      <c r="D31" s="8"/>
      <c r="E31" s="155"/>
      <c r="F31" s="7" t="str">
        <f>_xlfn.XLOOKUP(E31,Tab_Def_Processes[Process_Name],Tab_Def_Processes[Process_ID],,0,)</f>
        <v>15</v>
      </c>
      <c r="G31" s="155"/>
      <c r="H31" s="10" t="str">
        <f>_xlfn.XLOOKUP(G31,Tab_Def_Processes[Process_Name],Tab_Def_Processes[Process_ID],,0,)</f>
        <v>15</v>
      </c>
      <c r="I31" s="155"/>
      <c r="J31" s="155"/>
      <c r="K31" s="155"/>
      <c r="L31" s="7" t="str">
        <f>Tab_Def_Flows[[#This Row],[Flow_ID]]&amp;"_WC"</f>
        <v>F_15_15_WC</v>
      </c>
      <c r="M31" s="150"/>
      <c r="N31" s="20"/>
      <c r="O31" s="7" t="str">
        <f>Tab_Def_Flows[[#This Row],[Flow_ID]]&amp;"_DM"</f>
        <v>F_15_15_DM</v>
      </c>
      <c r="Q31" s="20"/>
      <c r="R31" s="7" t="str">
        <f>Tab_Def_Flows[[#This Row],[Flow_ID]]&amp;"_CC"</f>
        <v>F_15_15_CC</v>
      </c>
      <c r="S31" s="150"/>
      <c r="T31" s="20"/>
      <c r="U31" s="156">
        <f>Tab_Def_Flows[[#This Row],[Flow_CC_DM'[%']]]*Tab_Def_Flows[[#This Row],[Flow_DM]]</f>
        <v>0</v>
      </c>
      <c r="V31" s="8"/>
    </row>
    <row r="32" spans="1:22" x14ac:dyDescent="0.25">
      <c r="A32" s="160" t="b">
        <v>0</v>
      </c>
      <c r="B32" s="23">
        <f t="shared" si="0"/>
        <v>31</v>
      </c>
      <c r="C32" s="7" t="str">
        <f t="shared" si="1"/>
        <v>F_15_15</v>
      </c>
      <c r="D32" s="8"/>
      <c r="E32" s="155"/>
      <c r="F32" s="7" t="str">
        <f>_xlfn.XLOOKUP(E32,Tab_Def_Processes[Process_Name],Tab_Def_Processes[Process_ID],,0,)</f>
        <v>15</v>
      </c>
      <c r="G32" s="155"/>
      <c r="H32" s="10" t="str">
        <f>_xlfn.XLOOKUP(G32,Tab_Def_Processes[Process_Name],Tab_Def_Processes[Process_ID],,0,)</f>
        <v>15</v>
      </c>
      <c r="I32" s="155"/>
      <c r="J32" s="155"/>
      <c r="K32" s="155"/>
      <c r="L32" s="7" t="str">
        <f>Tab_Def_Flows[[#This Row],[Flow_ID]]&amp;"_WC"</f>
        <v>F_15_15_WC</v>
      </c>
      <c r="M32" s="150"/>
      <c r="N32" s="20"/>
      <c r="O32" s="7" t="str">
        <f>Tab_Def_Flows[[#This Row],[Flow_ID]]&amp;"_DM"</f>
        <v>F_15_15_DM</v>
      </c>
      <c r="Q32" s="20"/>
      <c r="R32" s="7" t="str">
        <f>Tab_Def_Flows[[#This Row],[Flow_ID]]&amp;"_CC"</f>
        <v>F_15_15_CC</v>
      </c>
      <c r="S32" s="150"/>
      <c r="T32" s="20"/>
      <c r="U32" s="156">
        <f>Tab_Def_Flows[[#This Row],[Flow_CC_DM'[%']]]*Tab_Def_Flows[[#This Row],[Flow_DM]]</f>
        <v>0</v>
      </c>
      <c r="V32" s="8"/>
    </row>
    <row r="33" spans="1:22" x14ac:dyDescent="0.25">
      <c r="A33" s="160" t="b">
        <v>0</v>
      </c>
      <c r="B33" s="23">
        <f t="shared" si="0"/>
        <v>32</v>
      </c>
      <c r="C33" s="7" t="str">
        <f t="shared" si="1"/>
        <v>F_15_15</v>
      </c>
      <c r="D33" s="8"/>
      <c r="E33" s="155"/>
      <c r="F33" s="7" t="str">
        <f>_xlfn.XLOOKUP(E33,Tab_Def_Processes[Process_Name],Tab_Def_Processes[Process_ID],,0,)</f>
        <v>15</v>
      </c>
      <c r="G33" s="155"/>
      <c r="H33" s="10" t="str">
        <f>_xlfn.XLOOKUP(G33,Tab_Def_Processes[Process_Name],Tab_Def_Processes[Process_ID],,0,)</f>
        <v>15</v>
      </c>
      <c r="I33" s="155"/>
      <c r="J33" s="155"/>
      <c r="K33" s="155"/>
      <c r="L33" s="7" t="str">
        <f>Tab_Def_Flows[[#This Row],[Flow_ID]]&amp;"_WC"</f>
        <v>F_15_15_WC</v>
      </c>
      <c r="M33" s="150"/>
      <c r="N33" s="20"/>
      <c r="O33" s="7" t="str">
        <f>Tab_Def_Flows[[#This Row],[Flow_ID]]&amp;"_DM"</f>
        <v>F_15_15_DM</v>
      </c>
      <c r="Q33" s="20"/>
      <c r="R33" s="7" t="str">
        <f>Tab_Def_Flows[[#This Row],[Flow_ID]]&amp;"_CC"</f>
        <v>F_15_15_CC</v>
      </c>
      <c r="S33" s="150"/>
      <c r="T33" s="20"/>
      <c r="U33" s="156">
        <f>Tab_Def_Flows[[#This Row],[Flow_CC_DM'[%']]]*Tab_Def_Flows[[#This Row],[Flow_DM]]</f>
        <v>0</v>
      </c>
      <c r="V33" s="8"/>
    </row>
    <row r="34" spans="1:22" x14ac:dyDescent="0.25">
      <c r="A34" s="160" t="b">
        <v>0</v>
      </c>
      <c r="B34" s="23">
        <f t="shared" si="0"/>
        <v>33</v>
      </c>
      <c r="C34" s="7" t="str">
        <f t="shared" si="1"/>
        <v>F_15_15</v>
      </c>
      <c r="D34" s="8"/>
      <c r="E34" s="155"/>
      <c r="F34" s="7" t="str">
        <f>_xlfn.XLOOKUP(E34,Tab_Def_Processes[Process_Name],Tab_Def_Processes[Process_ID],,0,)</f>
        <v>15</v>
      </c>
      <c r="G34" s="155"/>
      <c r="H34" s="10" t="str">
        <f>_xlfn.XLOOKUP(G34,Tab_Def_Processes[Process_Name],Tab_Def_Processes[Process_ID],,0,)</f>
        <v>15</v>
      </c>
      <c r="I34" s="155"/>
      <c r="J34" s="155"/>
      <c r="K34" s="155"/>
      <c r="L34" s="7" t="str">
        <f>Tab_Def_Flows[[#This Row],[Flow_ID]]&amp;"_WC"</f>
        <v>F_15_15_WC</v>
      </c>
      <c r="M34" s="150"/>
      <c r="N34" s="20"/>
      <c r="O34" s="7" t="str">
        <f>Tab_Def_Flows[[#This Row],[Flow_ID]]&amp;"_DM"</f>
        <v>F_15_15_DM</v>
      </c>
      <c r="Q34" s="20"/>
      <c r="R34" s="7" t="str">
        <f>Tab_Def_Flows[[#This Row],[Flow_ID]]&amp;"_CC"</f>
        <v>F_15_15_CC</v>
      </c>
      <c r="S34" s="150"/>
      <c r="T34" s="20"/>
      <c r="U34" s="156">
        <f>Tab_Def_Flows[[#This Row],[Flow_CC_DM'[%']]]*Tab_Def_Flows[[#This Row],[Flow_DM]]</f>
        <v>0</v>
      </c>
      <c r="V34" s="8"/>
    </row>
    <row r="35" spans="1:22" x14ac:dyDescent="0.25">
      <c r="A35" s="160" t="b">
        <v>0</v>
      </c>
      <c r="B35" s="23">
        <f t="shared" si="0"/>
        <v>34</v>
      </c>
      <c r="C35" s="7" t="str">
        <f t="shared" si="1"/>
        <v>F_15_15</v>
      </c>
      <c r="D35" s="8"/>
      <c r="E35" s="155"/>
      <c r="F35" s="7" t="str">
        <f>_xlfn.XLOOKUP(E35,Tab_Def_Processes[Process_Name],Tab_Def_Processes[Process_ID],,0,)</f>
        <v>15</v>
      </c>
      <c r="G35" s="155"/>
      <c r="H35" s="10" t="str">
        <f>_xlfn.XLOOKUP(G35,Tab_Def_Processes[Process_Name],Tab_Def_Processes[Process_ID],,0,)</f>
        <v>15</v>
      </c>
      <c r="I35" s="155"/>
      <c r="J35" s="155"/>
      <c r="K35" s="155"/>
      <c r="L35" s="7" t="str">
        <f>Tab_Def_Flows[[#This Row],[Flow_ID]]&amp;"_WC"</f>
        <v>F_15_15_WC</v>
      </c>
      <c r="M35" s="150"/>
      <c r="N35" s="20"/>
      <c r="O35" s="7" t="str">
        <f>Tab_Def_Flows[[#This Row],[Flow_ID]]&amp;"_DM"</f>
        <v>F_15_15_DM</v>
      </c>
      <c r="Q35" s="20"/>
      <c r="R35" s="7" t="str">
        <f>Tab_Def_Flows[[#This Row],[Flow_ID]]&amp;"_CC"</f>
        <v>F_15_15_CC</v>
      </c>
      <c r="S35" s="150"/>
      <c r="T35" s="20"/>
      <c r="U35" s="156">
        <f>Tab_Def_Flows[[#This Row],[Flow_CC_DM'[%']]]*Tab_Def_Flows[[#This Row],[Flow_DM]]</f>
        <v>0</v>
      </c>
      <c r="V35" s="8"/>
    </row>
    <row r="36" spans="1:22" ht="15.75" customHeight="1" x14ac:dyDescent="0.25">
      <c r="A36" s="160" t="b">
        <v>0</v>
      </c>
      <c r="B36" s="23">
        <f t="shared" si="0"/>
        <v>35</v>
      </c>
      <c r="C36" s="7" t="str">
        <f t="shared" si="1"/>
        <v>F_15_15</v>
      </c>
      <c r="D36" s="8"/>
      <c r="E36" s="155"/>
      <c r="F36" s="7" t="str">
        <f>_xlfn.XLOOKUP(E36,Tab_Def_Processes[Process_Name],Tab_Def_Processes[Process_ID],,0,)</f>
        <v>15</v>
      </c>
      <c r="G36" s="155"/>
      <c r="H36" s="10" t="str">
        <f>_xlfn.XLOOKUP(G36,Tab_Def_Processes[Process_Name],Tab_Def_Processes[Process_ID],,0,)</f>
        <v>15</v>
      </c>
      <c r="I36" s="155"/>
      <c r="J36" s="155"/>
      <c r="K36" s="155"/>
      <c r="L36" s="7" t="str">
        <f>Tab_Def_Flows[[#This Row],[Flow_ID]]&amp;"_WC"</f>
        <v>F_15_15_WC</v>
      </c>
      <c r="M36" s="150"/>
      <c r="N36" s="20"/>
      <c r="O36" s="7" t="str">
        <f>Tab_Def_Flows[[#This Row],[Flow_ID]]&amp;"_DM"</f>
        <v>F_15_15_DM</v>
      </c>
      <c r="Q36" s="20"/>
      <c r="R36" s="7" t="str">
        <f>Tab_Def_Flows[[#This Row],[Flow_ID]]&amp;"_CC"</f>
        <v>F_15_15_CC</v>
      </c>
      <c r="S36" s="150"/>
      <c r="T36" s="20"/>
      <c r="U36" s="156">
        <f>Tab_Def_Flows[[#This Row],[Flow_CC_DM'[%']]]*Tab_Def_Flows[[#This Row],[Flow_DM]]</f>
        <v>0</v>
      </c>
      <c r="V36" s="8"/>
    </row>
    <row r="37" spans="1:22" x14ac:dyDescent="0.25">
      <c r="A37" s="160" t="b">
        <v>0</v>
      </c>
      <c r="B37" s="23">
        <f t="shared" si="0"/>
        <v>36</v>
      </c>
      <c r="C37" s="7" t="str">
        <f t="shared" si="1"/>
        <v>F_15_15</v>
      </c>
      <c r="D37" s="8"/>
      <c r="E37" s="155"/>
      <c r="F37" s="7" t="str">
        <f>_xlfn.XLOOKUP(E37,Tab_Def_Processes[Process_Name],Tab_Def_Processes[Process_ID],,0,)</f>
        <v>15</v>
      </c>
      <c r="G37" s="155"/>
      <c r="H37" s="10" t="str">
        <f>_xlfn.XLOOKUP(G37,Tab_Def_Processes[Process_Name],Tab_Def_Processes[Process_ID],,0,)</f>
        <v>15</v>
      </c>
      <c r="I37" s="155"/>
      <c r="J37" s="155"/>
      <c r="K37" s="155"/>
      <c r="L37" s="7" t="str">
        <f>Tab_Def_Flows[[#This Row],[Flow_ID]]&amp;"_WC"</f>
        <v>F_15_15_WC</v>
      </c>
      <c r="M37" s="150"/>
      <c r="N37" s="20"/>
      <c r="O37" s="7" t="str">
        <f>Tab_Def_Flows[[#This Row],[Flow_ID]]&amp;"_DM"</f>
        <v>F_15_15_DM</v>
      </c>
      <c r="Q37" s="20"/>
      <c r="R37" s="7" t="str">
        <f>Tab_Def_Flows[[#This Row],[Flow_ID]]&amp;"_CC"</f>
        <v>F_15_15_CC</v>
      </c>
      <c r="S37" s="150"/>
      <c r="T37" s="20"/>
      <c r="U37" s="156">
        <f>Tab_Def_Flows[[#This Row],[Flow_CC_DM'[%']]]*Tab_Def_Flows[[#This Row],[Flow_DM]]</f>
        <v>0</v>
      </c>
      <c r="V37" s="8"/>
    </row>
    <row r="38" spans="1:22" x14ac:dyDescent="0.25">
      <c r="A38" s="160" t="b">
        <v>0</v>
      </c>
      <c r="B38" s="23">
        <f t="shared" si="0"/>
        <v>37</v>
      </c>
      <c r="C38" s="7" t="str">
        <f t="shared" si="1"/>
        <v>F_15_15</v>
      </c>
      <c r="D38" s="8"/>
      <c r="E38" s="155"/>
      <c r="F38" s="7" t="str">
        <f>_xlfn.XLOOKUP(E38,Tab_Def_Processes[Process_Name],Tab_Def_Processes[Process_ID],,0,)</f>
        <v>15</v>
      </c>
      <c r="G38" s="155"/>
      <c r="H38" s="10" t="str">
        <f>_xlfn.XLOOKUP(G38,Tab_Def_Processes[Process_Name],Tab_Def_Processes[Process_ID],,0,)</f>
        <v>15</v>
      </c>
      <c r="I38" s="155"/>
      <c r="J38" s="155"/>
      <c r="K38" s="155"/>
      <c r="L38" s="7" t="str">
        <f>Tab_Def_Flows[[#This Row],[Flow_ID]]&amp;"_WC"</f>
        <v>F_15_15_WC</v>
      </c>
      <c r="M38" s="150"/>
      <c r="N38" s="20"/>
      <c r="O38" s="7" t="str">
        <f>Tab_Def_Flows[[#This Row],[Flow_ID]]&amp;"_DM"</f>
        <v>F_15_15_DM</v>
      </c>
      <c r="Q38" s="20"/>
      <c r="R38" s="7" t="str">
        <f>Tab_Def_Flows[[#This Row],[Flow_ID]]&amp;"_CC"</f>
        <v>F_15_15_CC</v>
      </c>
      <c r="S38" s="150"/>
      <c r="T38" s="20"/>
      <c r="U38" s="156">
        <f>Tab_Def_Flows[[#This Row],[Flow_CC_DM'[%']]]*Tab_Def_Flows[[#This Row],[Flow_DM]]</f>
        <v>0</v>
      </c>
      <c r="V38" s="8"/>
    </row>
    <row r="39" spans="1:22" x14ac:dyDescent="0.25">
      <c r="A39" s="160" t="b">
        <v>0</v>
      </c>
      <c r="B39" s="23">
        <f t="shared" si="0"/>
        <v>38</v>
      </c>
      <c r="C39" s="7" t="str">
        <f t="shared" si="1"/>
        <v>F_15_15</v>
      </c>
      <c r="D39" s="8"/>
      <c r="E39" s="155"/>
      <c r="F39" s="7" t="str">
        <f>_xlfn.XLOOKUP(E39,Tab_Def_Processes[Process_Name],Tab_Def_Processes[Process_ID],,0,)</f>
        <v>15</v>
      </c>
      <c r="G39" s="155"/>
      <c r="H39" s="10" t="str">
        <f>_xlfn.XLOOKUP(G39,Tab_Def_Processes[Process_Name],Tab_Def_Processes[Process_ID],,0,)</f>
        <v>15</v>
      </c>
      <c r="I39" s="155"/>
      <c r="J39" s="155"/>
      <c r="K39" s="155"/>
      <c r="L39" s="7" t="str">
        <f>Tab_Def_Flows[[#This Row],[Flow_ID]]&amp;"_WC"</f>
        <v>F_15_15_WC</v>
      </c>
      <c r="M39" s="150"/>
      <c r="N39" s="20"/>
      <c r="O39" s="7" t="str">
        <f>Tab_Def_Flows[[#This Row],[Flow_ID]]&amp;"_DM"</f>
        <v>F_15_15_DM</v>
      </c>
      <c r="Q39" s="20"/>
      <c r="R39" s="7" t="str">
        <f>Tab_Def_Flows[[#This Row],[Flow_ID]]&amp;"_CC"</f>
        <v>F_15_15_CC</v>
      </c>
      <c r="S39" s="150"/>
      <c r="T39" s="20"/>
      <c r="U39" s="156">
        <f>Tab_Def_Flows[[#This Row],[Flow_CC_DM'[%']]]*Tab_Def_Flows[[#This Row],[Flow_DM]]</f>
        <v>0</v>
      </c>
      <c r="V39" s="8"/>
    </row>
    <row r="40" spans="1:22" x14ac:dyDescent="0.25">
      <c r="A40" s="160" t="b">
        <v>0</v>
      </c>
      <c r="B40" s="23">
        <f t="shared" si="0"/>
        <v>39</v>
      </c>
      <c r="C40" s="7" t="str">
        <f t="shared" si="1"/>
        <v>F_15_15</v>
      </c>
      <c r="D40" s="8"/>
      <c r="E40" s="155"/>
      <c r="F40" s="7" t="str">
        <f>_xlfn.XLOOKUP(E40,Tab_Def_Processes[Process_Name],Tab_Def_Processes[Process_ID],,0,)</f>
        <v>15</v>
      </c>
      <c r="G40" s="155"/>
      <c r="H40" s="10" t="str">
        <f>_xlfn.XLOOKUP(G40,Tab_Def_Processes[Process_Name],Tab_Def_Processes[Process_ID],,0,)</f>
        <v>15</v>
      </c>
      <c r="I40" s="155"/>
      <c r="J40" s="155"/>
      <c r="K40" s="155"/>
      <c r="L40" s="7" t="str">
        <f>Tab_Def_Flows[[#This Row],[Flow_ID]]&amp;"_WC"</f>
        <v>F_15_15_WC</v>
      </c>
      <c r="M40" s="150"/>
      <c r="N40" s="20"/>
      <c r="O40" s="7" t="str">
        <f>Tab_Def_Flows[[#This Row],[Flow_ID]]&amp;"_DM"</f>
        <v>F_15_15_DM</v>
      </c>
      <c r="Q40" s="20"/>
      <c r="R40" s="7" t="str">
        <f>Tab_Def_Flows[[#This Row],[Flow_ID]]&amp;"_CC"</f>
        <v>F_15_15_CC</v>
      </c>
      <c r="S40" s="150"/>
      <c r="T40" s="20"/>
      <c r="U40" s="156">
        <f>Tab_Def_Flows[[#This Row],[Flow_CC_DM'[%']]]*Tab_Def_Flows[[#This Row],[Flow_DM]]</f>
        <v>0</v>
      </c>
      <c r="V40" s="8"/>
    </row>
    <row r="41" spans="1:22" x14ac:dyDescent="0.25">
      <c r="A41" s="160" t="b">
        <v>0</v>
      </c>
      <c r="B41" s="23">
        <f t="shared" si="0"/>
        <v>40</v>
      </c>
      <c r="C41" s="7" t="str">
        <f t="shared" si="1"/>
        <v>F_15_15</v>
      </c>
      <c r="D41" s="8"/>
      <c r="E41" s="155"/>
      <c r="F41" s="7" t="str">
        <f>_xlfn.XLOOKUP(E41,Tab_Def_Processes[Process_Name],Tab_Def_Processes[Process_ID],,0,)</f>
        <v>15</v>
      </c>
      <c r="G41" s="155"/>
      <c r="H41" s="10" t="str">
        <f>_xlfn.XLOOKUP(G41,Tab_Def_Processes[Process_Name],Tab_Def_Processes[Process_ID],,0,)</f>
        <v>15</v>
      </c>
      <c r="I41" s="155"/>
      <c r="J41" s="155"/>
      <c r="K41" s="155"/>
      <c r="L41" s="7" t="str">
        <f>Tab_Def_Flows[[#This Row],[Flow_ID]]&amp;"_WC"</f>
        <v>F_15_15_WC</v>
      </c>
      <c r="M41" s="150"/>
      <c r="N41" s="20"/>
      <c r="O41" s="7" t="str">
        <f>Tab_Def_Flows[[#This Row],[Flow_ID]]&amp;"_DM"</f>
        <v>F_15_15_DM</v>
      </c>
      <c r="Q41" s="20"/>
      <c r="R41" s="7" t="str">
        <f>Tab_Def_Flows[[#This Row],[Flow_ID]]&amp;"_CC"</f>
        <v>F_15_15_CC</v>
      </c>
      <c r="S41" s="150"/>
      <c r="T41" s="20"/>
      <c r="U41" s="156">
        <f>Tab_Def_Flows[[#This Row],[Flow_CC_DM'[%']]]*Tab_Def_Flows[[#This Row],[Flow_DM]]</f>
        <v>0</v>
      </c>
      <c r="V41" s="8"/>
    </row>
    <row r="42" spans="1:22" x14ac:dyDescent="0.25">
      <c r="A42" s="160" t="b">
        <v>0</v>
      </c>
      <c r="B42" s="23">
        <f t="shared" si="0"/>
        <v>41</v>
      </c>
      <c r="C42" s="7" t="str">
        <f t="shared" si="1"/>
        <v>F_15_15</v>
      </c>
      <c r="D42" s="8"/>
      <c r="E42" s="155"/>
      <c r="F42" s="7" t="str">
        <f>_xlfn.XLOOKUP(E42,Tab_Def_Processes[Process_Name],Tab_Def_Processes[Process_ID],,0,)</f>
        <v>15</v>
      </c>
      <c r="G42" s="155"/>
      <c r="H42" s="10" t="str">
        <f>_xlfn.XLOOKUP(G42,Tab_Def_Processes[Process_Name],Tab_Def_Processes[Process_ID],,0,)</f>
        <v>15</v>
      </c>
      <c r="I42" s="155"/>
      <c r="J42" s="155"/>
      <c r="K42" s="155"/>
      <c r="L42" s="7" t="str">
        <f>Tab_Def_Flows[[#This Row],[Flow_ID]]&amp;"_WC"</f>
        <v>F_15_15_WC</v>
      </c>
      <c r="M42" s="150"/>
      <c r="N42" s="20"/>
      <c r="O42" s="7" t="str">
        <f>Tab_Def_Flows[[#This Row],[Flow_ID]]&amp;"_DM"</f>
        <v>F_15_15_DM</v>
      </c>
      <c r="Q42" s="20"/>
      <c r="R42" s="7" t="str">
        <f>Tab_Def_Flows[[#This Row],[Flow_ID]]&amp;"_CC"</f>
        <v>F_15_15_CC</v>
      </c>
      <c r="S42" s="150"/>
      <c r="T42" s="20"/>
      <c r="U42" s="156">
        <f>Tab_Def_Flows[[#This Row],[Flow_CC_DM'[%']]]*Tab_Def_Flows[[#This Row],[Flow_DM]]</f>
        <v>0</v>
      </c>
      <c r="V42" s="8"/>
    </row>
    <row r="43" spans="1:22" x14ac:dyDescent="0.25">
      <c r="A43" s="160" t="b">
        <v>0</v>
      </c>
      <c r="B43" s="23">
        <f t="shared" si="0"/>
        <v>42</v>
      </c>
      <c r="C43" s="7" t="str">
        <f t="shared" si="1"/>
        <v>F_15_15</v>
      </c>
      <c r="D43" s="8"/>
      <c r="E43" s="155"/>
      <c r="F43" s="7" t="str">
        <f>_xlfn.XLOOKUP(E43,Tab_Def_Processes[Process_Name],Tab_Def_Processes[Process_ID],,0,)</f>
        <v>15</v>
      </c>
      <c r="G43" s="155"/>
      <c r="H43" s="10" t="str">
        <f>_xlfn.XLOOKUP(G43,Tab_Def_Processes[Process_Name],Tab_Def_Processes[Process_ID],,0,)</f>
        <v>15</v>
      </c>
      <c r="I43" s="155"/>
      <c r="J43" s="155"/>
      <c r="K43" s="155"/>
      <c r="L43" s="7" t="str">
        <f>Tab_Def_Flows[[#This Row],[Flow_ID]]&amp;"_WC"</f>
        <v>F_15_15_WC</v>
      </c>
      <c r="M43" s="150"/>
      <c r="N43" s="20"/>
      <c r="O43" s="7" t="str">
        <f>Tab_Def_Flows[[#This Row],[Flow_ID]]&amp;"_DM"</f>
        <v>F_15_15_DM</v>
      </c>
      <c r="Q43" s="20"/>
      <c r="R43" s="7" t="str">
        <f>Tab_Def_Flows[[#This Row],[Flow_ID]]&amp;"_CC"</f>
        <v>F_15_15_CC</v>
      </c>
      <c r="S43" s="150"/>
      <c r="T43" s="20"/>
      <c r="U43" s="156">
        <f>Tab_Def_Flows[[#This Row],[Flow_CC_DM'[%']]]*Tab_Def_Flows[[#This Row],[Flow_DM]]</f>
        <v>0</v>
      </c>
      <c r="V43" s="8"/>
    </row>
    <row r="44" spans="1:22" x14ac:dyDescent="0.25">
      <c r="A44" s="160" t="b">
        <v>0</v>
      </c>
      <c r="B44" s="23">
        <f t="shared" si="0"/>
        <v>43</v>
      </c>
      <c r="C44" s="7" t="str">
        <f t="shared" si="1"/>
        <v>F_15_15</v>
      </c>
      <c r="D44" s="8"/>
      <c r="E44" s="155"/>
      <c r="F44" s="7" t="str">
        <f>_xlfn.XLOOKUP(E44,Tab_Def_Processes[Process_Name],Tab_Def_Processes[Process_ID],,0,)</f>
        <v>15</v>
      </c>
      <c r="G44" s="155"/>
      <c r="H44" s="10" t="str">
        <f>_xlfn.XLOOKUP(G44,Tab_Def_Processes[Process_Name],Tab_Def_Processes[Process_ID],,0,)</f>
        <v>15</v>
      </c>
      <c r="I44" s="155"/>
      <c r="J44" s="155"/>
      <c r="K44" s="155"/>
      <c r="L44" s="7" t="str">
        <f>Tab_Def_Flows[[#This Row],[Flow_ID]]&amp;"_WC"</f>
        <v>F_15_15_WC</v>
      </c>
      <c r="M44" s="150"/>
      <c r="N44" s="20"/>
      <c r="O44" s="7" t="str">
        <f>Tab_Def_Flows[[#This Row],[Flow_ID]]&amp;"_DM"</f>
        <v>F_15_15_DM</v>
      </c>
      <c r="Q44" s="20"/>
      <c r="R44" s="7" t="str">
        <f>Tab_Def_Flows[[#This Row],[Flow_ID]]&amp;"_CC"</f>
        <v>F_15_15_CC</v>
      </c>
      <c r="S44" s="150"/>
      <c r="T44" s="20"/>
      <c r="U44" s="156">
        <f>Tab_Def_Flows[[#This Row],[Flow_CC_DM'[%']]]*Tab_Def_Flows[[#This Row],[Flow_DM]]</f>
        <v>0</v>
      </c>
      <c r="V44" s="8"/>
    </row>
    <row r="45" spans="1:22" ht="15" customHeight="1" x14ac:dyDescent="0.25">
      <c r="A45" s="160" t="b">
        <v>0</v>
      </c>
      <c r="B45" s="23">
        <f t="shared" si="0"/>
        <v>44</v>
      </c>
      <c r="C45" s="7" t="str">
        <f t="shared" si="1"/>
        <v>F_15_15</v>
      </c>
      <c r="D45" s="8"/>
      <c r="E45" s="155"/>
      <c r="F45" s="7" t="str">
        <f>_xlfn.XLOOKUP(E45,Tab_Def_Processes[Process_Name],Tab_Def_Processes[Process_ID],,0,)</f>
        <v>15</v>
      </c>
      <c r="G45" s="155"/>
      <c r="H45" s="10" t="str">
        <f>_xlfn.XLOOKUP(G45,Tab_Def_Processes[Process_Name],Tab_Def_Processes[Process_ID],,0,)</f>
        <v>15</v>
      </c>
      <c r="I45" s="155"/>
      <c r="J45" s="155"/>
      <c r="K45" s="155"/>
      <c r="L45" s="7" t="str">
        <f>Tab_Def_Flows[[#This Row],[Flow_ID]]&amp;"_WC"</f>
        <v>F_15_15_WC</v>
      </c>
      <c r="M45" s="150"/>
      <c r="N45" s="20"/>
      <c r="O45" s="7" t="str">
        <f>Tab_Def_Flows[[#This Row],[Flow_ID]]&amp;"_DM"</f>
        <v>F_15_15_DM</v>
      </c>
      <c r="Q45" s="20"/>
      <c r="R45" s="7" t="str">
        <f>Tab_Def_Flows[[#This Row],[Flow_ID]]&amp;"_CC"</f>
        <v>F_15_15_CC</v>
      </c>
      <c r="S45" s="150"/>
      <c r="T45" s="20"/>
      <c r="U45" s="156">
        <f>Tab_Def_Flows[[#This Row],[Flow_CC_DM'[%']]]*Tab_Def_Flows[[#This Row],[Flow_DM]]</f>
        <v>0</v>
      </c>
      <c r="V45" s="8"/>
    </row>
    <row r="46" spans="1:22" ht="15" customHeight="1" x14ac:dyDescent="0.25">
      <c r="A46" s="160" t="b">
        <v>0</v>
      </c>
      <c r="B46" s="23">
        <f t="shared" si="0"/>
        <v>45</v>
      </c>
      <c r="C46" s="7" t="str">
        <f t="shared" si="1"/>
        <v>F_15_15</v>
      </c>
      <c r="D46" s="8"/>
      <c r="E46" s="155"/>
      <c r="F46" s="7" t="str">
        <f>_xlfn.XLOOKUP(E46,Tab_Def_Processes[Process_Name],Tab_Def_Processes[Process_ID],,0,)</f>
        <v>15</v>
      </c>
      <c r="G46" s="155"/>
      <c r="H46" s="10" t="str">
        <f>_xlfn.XLOOKUP(G46,Tab_Def_Processes[Process_Name],Tab_Def_Processes[Process_ID],,0,)</f>
        <v>15</v>
      </c>
      <c r="I46" s="155"/>
      <c r="J46" s="155"/>
      <c r="K46" s="155"/>
      <c r="L46" s="7" t="str">
        <f>Tab_Def_Flows[[#This Row],[Flow_ID]]&amp;"_WC"</f>
        <v>F_15_15_WC</v>
      </c>
      <c r="M46" s="150"/>
      <c r="N46" s="20"/>
      <c r="O46" s="7" t="str">
        <f>Tab_Def_Flows[[#This Row],[Flow_ID]]&amp;"_DM"</f>
        <v>F_15_15_DM</v>
      </c>
      <c r="Q46" s="20"/>
      <c r="R46" s="7" t="str">
        <f>Tab_Def_Flows[[#This Row],[Flow_ID]]&amp;"_CC"</f>
        <v>F_15_15_CC</v>
      </c>
      <c r="S46" s="150"/>
      <c r="T46" s="20"/>
      <c r="U46" s="156">
        <f>Tab_Def_Flows[[#This Row],[Flow_CC_DM'[%']]]*Tab_Def_Flows[[#This Row],[Flow_DM]]</f>
        <v>0</v>
      </c>
      <c r="V46" s="8"/>
    </row>
    <row r="47" spans="1:22" ht="15" customHeight="1" x14ac:dyDescent="0.25">
      <c r="A47" s="160" t="b">
        <v>0</v>
      </c>
      <c r="B47" s="23">
        <f t="shared" si="0"/>
        <v>46</v>
      </c>
      <c r="C47" s="7" t="str">
        <f t="shared" si="1"/>
        <v>F_15_15</v>
      </c>
      <c r="D47" s="8"/>
      <c r="E47" s="155"/>
      <c r="F47" s="7" t="str">
        <f>_xlfn.XLOOKUP(E47,Tab_Def_Processes[Process_Name],Tab_Def_Processes[Process_ID],,0,)</f>
        <v>15</v>
      </c>
      <c r="G47" s="155"/>
      <c r="H47" s="10" t="str">
        <f>_xlfn.XLOOKUP(G47,Tab_Def_Processes[Process_Name],Tab_Def_Processes[Process_ID],,0,)</f>
        <v>15</v>
      </c>
      <c r="I47" s="155"/>
      <c r="J47" s="155"/>
      <c r="K47" s="155"/>
      <c r="L47" s="7" t="str">
        <f>Tab_Def_Flows[[#This Row],[Flow_ID]]&amp;"_WC"</f>
        <v>F_15_15_WC</v>
      </c>
      <c r="M47" s="150"/>
      <c r="N47" s="20"/>
      <c r="O47" s="7" t="str">
        <f>Tab_Def_Flows[[#This Row],[Flow_ID]]&amp;"_DM"</f>
        <v>F_15_15_DM</v>
      </c>
      <c r="Q47" s="20"/>
      <c r="R47" s="7" t="str">
        <f>Tab_Def_Flows[[#This Row],[Flow_ID]]&amp;"_CC"</f>
        <v>F_15_15_CC</v>
      </c>
      <c r="S47" s="150"/>
      <c r="T47" s="20"/>
      <c r="U47" s="156">
        <f>Tab_Def_Flows[[#This Row],[Flow_CC_DM'[%']]]*Tab_Def_Flows[[#This Row],[Flow_DM]]</f>
        <v>0</v>
      </c>
      <c r="V47" s="8"/>
    </row>
    <row r="48" spans="1:22" ht="15" customHeight="1" x14ac:dyDescent="0.25">
      <c r="A48" s="160" t="b">
        <v>0</v>
      </c>
      <c r="B48" s="23">
        <f t="shared" si="0"/>
        <v>47</v>
      </c>
      <c r="C48" s="7" t="str">
        <f t="shared" si="1"/>
        <v>F_15_15</v>
      </c>
      <c r="D48" s="8"/>
      <c r="E48" s="155"/>
      <c r="F48" s="7" t="str">
        <f>_xlfn.XLOOKUP(E48,Tab_Def_Processes[Process_Name],Tab_Def_Processes[Process_ID],,0,)</f>
        <v>15</v>
      </c>
      <c r="G48" s="155"/>
      <c r="H48" s="10" t="str">
        <f>_xlfn.XLOOKUP(G48,Tab_Def_Processes[Process_Name],Tab_Def_Processes[Process_ID],,0,)</f>
        <v>15</v>
      </c>
      <c r="I48" s="155"/>
      <c r="J48" s="155"/>
      <c r="K48" s="155"/>
      <c r="L48" s="7" t="str">
        <f>Tab_Def_Flows[[#This Row],[Flow_ID]]&amp;"_WC"</f>
        <v>F_15_15_WC</v>
      </c>
      <c r="M48" s="150"/>
      <c r="N48" s="20"/>
      <c r="O48" s="7" t="str">
        <f>Tab_Def_Flows[[#This Row],[Flow_ID]]&amp;"_DM"</f>
        <v>F_15_15_DM</v>
      </c>
      <c r="Q48" s="20"/>
      <c r="R48" s="7" t="str">
        <f>Tab_Def_Flows[[#This Row],[Flow_ID]]&amp;"_CC"</f>
        <v>F_15_15_CC</v>
      </c>
      <c r="S48" s="150"/>
      <c r="T48" s="20"/>
      <c r="U48" s="156">
        <f>Tab_Def_Flows[[#This Row],[Flow_CC_DM'[%']]]*Tab_Def_Flows[[#This Row],[Flow_DM]]</f>
        <v>0</v>
      </c>
      <c r="V48" s="8"/>
    </row>
    <row r="49" spans="1:22" ht="15" customHeight="1" x14ac:dyDescent="0.25">
      <c r="A49" s="160" t="b">
        <v>0</v>
      </c>
      <c r="B49" s="23">
        <f t="shared" si="0"/>
        <v>48</v>
      </c>
      <c r="C49" s="7" t="str">
        <f t="shared" si="1"/>
        <v>F_15_15</v>
      </c>
      <c r="D49" s="8"/>
      <c r="E49" s="155"/>
      <c r="F49" s="7" t="str">
        <f>_xlfn.XLOOKUP(E49,Tab_Def_Processes[Process_Name],Tab_Def_Processes[Process_ID],,0,)</f>
        <v>15</v>
      </c>
      <c r="G49" s="155"/>
      <c r="H49" s="10" t="str">
        <f>_xlfn.XLOOKUP(G49,Tab_Def_Processes[Process_Name],Tab_Def_Processes[Process_ID],,0,)</f>
        <v>15</v>
      </c>
      <c r="I49" s="155"/>
      <c r="J49" s="155"/>
      <c r="K49" s="155"/>
      <c r="L49" s="7" t="str">
        <f>Tab_Def_Flows[[#This Row],[Flow_ID]]&amp;"_WC"</f>
        <v>F_15_15_WC</v>
      </c>
      <c r="M49" s="150"/>
      <c r="N49" s="20"/>
      <c r="O49" s="7" t="str">
        <f>Tab_Def_Flows[[#This Row],[Flow_ID]]&amp;"_DM"</f>
        <v>F_15_15_DM</v>
      </c>
      <c r="Q49" s="20"/>
      <c r="R49" s="7" t="str">
        <f>Tab_Def_Flows[[#This Row],[Flow_ID]]&amp;"_CC"</f>
        <v>F_15_15_CC</v>
      </c>
      <c r="S49" s="150"/>
      <c r="T49" s="20"/>
      <c r="U49" s="156">
        <f>Tab_Def_Flows[[#This Row],[Flow_CC_DM'[%']]]*Tab_Def_Flows[[#This Row],[Flow_DM]]</f>
        <v>0</v>
      </c>
      <c r="V49" s="8"/>
    </row>
    <row r="50" spans="1:22" ht="15" customHeight="1" x14ac:dyDescent="0.25">
      <c r="A50" s="160" t="b">
        <v>0</v>
      </c>
      <c r="B50" s="23">
        <f t="shared" si="0"/>
        <v>49</v>
      </c>
      <c r="C50" s="7" t="str">
        <f t="shared" si="1"/>
        <v>F_15_15</v>
      </c>
      <c r="D50" s="8"/>
      <c r="E50" s="155"/>
      <c r="F50" s="7" t="str">
        <f>_xlfn.XLOOKUP(E50,Tab_Def_Processes[Process_Name],Tab_Def_Processes[Process_ID],,0,)</f>
        <v>15</v>
      </c>
      <c r="G50" s="155"/>
      <c r="H50" s="10" t="str">
        <f>_xlfn.XLOOKUP(G50,Tab_Def_Processes[Process_Name],Tab_Def_Processes[Process_ID],,0,)</f>
        <v>15</v>
      </c>
      <c r="I50" s="155"/>
      <c r="J50" s="155"/>
      <c r="K50" s="155"/>
      <c r="L50" s="7" t="str">
        <f>Tab_Def_Flows[[#This Row],[Flow_ID]]&amp;"_WC"</f>
        <v>F_15_15_WC</v>
      </c>
      <c r="M50" s="150"/>
      <c r="N50" s="20"/>
      <c r="O50" s="7" t="str">
        <f>Tab_Def_Flows[[#This Row],[Flow_ID]]&amp;"_DM"</f>
        <v>F_15_15_DM</v>
      </c>
      <c r="Q50" s="20"/>
      <c r="R50" s="7" t="str">
        <f>Tab_Def_Flows[[#This Row],[Flow_ID]]&amp;"_CC"</f>
        <v>F_15_15_CC</v>
      </c>
      <c r="S50" s="150"/>
      <c r="T50" s="20"/>
      <c r="U50" s="156">
        <f>Tab_Def_Flows[[#This Row],[Flow_CC_DM'[%']]]*Tab_Def_Flows[[#This Row],[Flow_DM]]</f>
        <v>0</v>
      </c>
      <c r="V50" s="8"/>
    </row>
    <row r="51" spans="1:22" ht="15" customHeight="1" x14ac:dyDescent="0.25">
      <c r="A51" s="160" t="b">
        <v>0</v>
      </c>
      <c r="B51" s="23">
        <f t="shared" si="0"/>
        <v>50</v>
      </c>
      <c r="C51" s="7" t="str">
        <f t="shared" si="1"/>
        <v>F_15_15</v>
      </c>
      <c r="D51" s="8"/>
      <c r="E51" s="155"/>
      <c r="F51" s="7" t="str">
        <f>_xlfn.XLOOKUP(E51,Tab_Def_Processes[Process_Name],Tab_Def_Processes[Process_ID],,0,)</f>
        <v>15</v>
      </c>
      <c r="G51" s="155"/>
      <c r="H51" s="10" t="str">
        <f>_xlfn.XLOOKUP(G51,Tab_Def_Processes[Process_Name],Tab_Def_Processes[Process_ID],,0,)</f>
        <v>15</v>
      </c>
      <c r="I51" s="155"/>
      <c r="J51" s="155"/>
      <c r="K51" s="155"/>
      <c r="L51" s="7" t="str">
        <f>Tab_Def_Flows[[#This Row],[Flow_ID]]&amp;"_WC"</f>
        <v>F_15_15_WC</v>
      </c>
      <c r="M51" s="150"/>
      <c r="N51" s="20"/>
      <c r="O51" s="7" t="str">
        <f>Tab_Def_Flows[[#This Row],[Flow_ID]]&amp;"_DM"</f>
        <v>F_15_15_DM</v>
      </c>
      <c r="Q51" s="20"/>
      <c r="R51" s="7" t="str">
        <f>Tab_Def_Flows[[#This Row],[Flow_ID]]&amp;"_CC"</f>
        <v>F_15_15_CC</v>
      </c>
      <c r="S51" s="150"/>
      <c r="T51" s="20"/>
      <c r="U51" s="156">
        <f>Tab_Def_Flows[[#This Row],[Flow_CC_DM'[%']]]*Tab_Def_Flows[[#This Row],[Flow_DM]]</f>
        <v>0</v>
      </c>
      <c r="V51" s="8"/>
    </row>
    <row r="52" spans="1:22" ht="15" customHeight="1" x14ac:dyDescent="0.25">
      <c r="A52" s="160" t="b">
        <v>0</v>
      </c>
      <c r="B52" s="23">
        <f t="shared" si="0"/>
        <v>51</v>
      </c>
      <c r="C52" s="7" t="str">
        <f t="shared" si="1"/>
        <v>F_15_15</v>
      </c>
      <c r="D52" s="8"/>
      <c r="E52" s="155"/>
      <c r="F52" s="7" t="str">
        <f>_xlfn.XLOOKUP(E52,Tab_Def_Processes[Process_Name],Tab_Def_Processes[Process_ID],,0,)</f>
        <v>15</v>
      </c>
      <c r="G52" s="155"/>
      <c r="H52" s="10" t="str">
        <f>_xlfn.XLOOKUP(G52,Tab_Def_Processes[Process_Name],Tab_Def_Processes[Process_ID],,0,)</f>
        <v>15</v>
      </c>
      <c r="I52" s="155"/>
      <c r="J52" s="155"/>
      <c r="K52" s="155"/>
      <c r="L52" s="7" t="str">
        <f>Tab_Def_Flows[[#This Row],[Flow_ID]]&amp;"_WC"</f>
        <v>F_15_15_WC</v>
      </c>
      <c r="M52" s="150"/>
      <c r="N52" s="20"/>
      <c r="O52" s="7" t="str">
        <f>Tab_Def_Flows[[#This Row],[Flow_ID]]&amp;"_DM"</f>
        <v>F_15_15_DM</v>
      </c>
      <c r="Q52" s="20"/>
      <c r="R52" s="7" t="str">
        <f>Tab_Def_Flows[[#This Row],[Flow_ID]]&amp;"_CC"</f>
        <v>F_15_15_CC</v>
      </c>
      <c r="S52" s="150"/>
      <c r="T52" s="20"/>
      <c r="U52" s="156">
        <f>Tab_Def_Flows[[#This Row],[Flow_CC_DM'[%']]]*Tab_Def_Flows[[#This Row],[Flow_DM]]</f>
        <v>0</v>
      </c>
      <c r="V52" s="8"/>
    </row>
    <row r="53" spans="1:22" x14ac:dyDescent="0.25">
      <c r="A53" s="160" t="b">
        <v>0</v>
      </c>
      <c r="B53" s="23">
        <f t="shared" ref="B53:B70" si="2">ROW()-1</f>
        <v>52</v>
      </c>
      <c r="C53" s="7" t="str">
        <f t="shared" si="1"/>
        <v>F_15_15</v>
      </c>
      <c r="D53" s="8"/>
      <c r="E53" s="155"/>
      <c r="F53" s="7" t="str">
        <f>_xlfn.XLOOKUP(E53,Tab_Def_Processes[Process_Name],Tab_Def_Processes[Process_ID],,0,)</f>
        <v>15</v>
      </c>
      <c r="G53" s="155"/>
      <c r="H53" s="10" t="str">
        <f>_xlfn.XLOOKUP(G53,Tab_Def_Processes[Process_Name],Tab_Def_Processes[Process_ID],,0,)</f>
        <v>15</v>
      </c>
      <c r="I53" s="155"/>
      <c r="J53" s="155"/>
      <c r="K53" s="155"/>
      <c r="L53" s="7" t="str">
        <f>Tab_Def_Flows[[#This Row],[Flow_ID]]&amp;"_WC"</f>
        <v>F_15_15_WC</v>
      </c>
      <c r="M53" s="150"/>
      <c r="N53" s="20"/>
      <c r="O53" s="7" t="str">
        <f>Tab_Def_Flows[[#This Row],[Flow_ID]]&amp;"_DM"</f>
        <v>F_15_15_DM</v>
      </c>
      <c r="Q53" s="20"/>
      <c r="R53" s="7" t="str">
        <f>Tab_Def_Flows[[#This Row],[Flow_ID]]&amp;"_CC"</f>
        <v>F_15_15_CC</v>
      </c>
      <c r="S53" s="150"/>
      <c r="T53" s="20"/>
      <c r="U53" s="156">
        <f>Tab_Def_Flows[[#This Row],[Flow_CC_DM'[%']]]*Tab_Def_Flows[[#This Row],[Flow_DM]]</f>
        <v>0</v>
      </c>
      <c r="V53" s="8"/>
    </row>
    <row r="54" spans="1:22" x14ac:dyDescent="0.25">
      <c r="A54" s="160" t="b">
        <v>0</v>
      </c>
      <c r="B54" s="23">
        <f t="shared" si="2"/>
        <v>53</v>
      </c>
      <c r="C54" s="7" t="str">
        <f t="shared" si="1"/>
        <v>F_15_15</v>
      </c>
      <c r="D54" s="8"/>
      <c r="E54" s="155"/>
      <c r="F54" s="7" t="str">
        <f>_xlfn.XLOOKUP(E54,Tab_Def_Processes[Process_Name],Tab_Def_Processes[Process_ID],,0,)</f>
        <v>15</v>
      </c>
      <c r="G54" s="155"/>
      <c r="H54" s="10" t="str">
        <f>_xlfn.XLOOKUP(G54,Tab_Def_Processes[Process_Name],Tab_Def_Processes[Process_ID],,0,)</f>
        <v>15</v>
      </c>
      <c r="I54" s="155"/>
      <c r="J54" s="155"/>
      <c r="K54" s="155"/>
      <c r="L54" s="7" t="str">
        <f>Tab_Def_Flows[[#This Row],[Flow_ID]]&amp;"_WC"</f>
        <v>F_15_15_WC</v>
      </c>
      <c r="M54" s="150"/>
      <c r="N54" s="20"/>
      <c r="O54" s="7" t="str">
        <f>Tab_Def_Flows[[#This Row],[Flow_ID]]&amp;"_DM"</f>
        <v>F_15_15_DM</v>
      </c>
      <c r="Q54" s="20"/>
      <c r="R54" s="7" t="str">
        <f>Tab_Def_Flows[[#This Row],[Flow_ID]]&amp;"_CC"</f>
        <v>F_15_15_CC</v>
      </c>
      <c r="S54" s="150"/>
      <c r="T54" s="20"/>
      <c r="U54" s="156">
        <f>Tab_Def_Flows[[#This Row],[Flow_CC_DM'[%']]]*Tab_Def_Flows[[#This Row],[Flow_DM]]</f>
        <v>0</v>
      </c>
      <c r="V54" s="8"/>
    </row>
    <row r="55" spans="1:22" x14ac:dyDescent="0.25">
      <c r="A55" s="160" t="b">
        <v>0</v>
      </c>
      <c r="B55" s="23">
        <f t="shared" si="2"/>
        <v>54</v>
      </c>
      <c r="C55" s="7" t="str">
        <f t="shared" si="1"/>
        <v>F_15_15</v>
      </c>
      <c r="D55" s="8"/>
      <c r="E55" s="155"/>
      <c r="F55" s="7" t="str">
        <f>_xlfn.XLOOKUP(E55,Tab_Def_Processes[Process_Name],Tab_Def_Processes[Process_ID],,0,)</f>
        <v>15</v>
      </c>
      <c r="G55" s="155"/>
      <c r="H55" s="10" t="str">
        <f>_xlfn.XLOOKUP(G55,Tab_Def_Processes[Process_Name],Tab_Def_Processes[Process_ID],,0,)</f>
        <v>15</v>
      </c>
      <c r="I55" s="155"/>
      <c r="J55" s="155"/>
      <c r="K55" s="155"/>
      <c r="L55" s="7" t="str">
        <f>Tab_Def_Flows[[#This Row],[Flow_ID]]&amp;"_WC"</f>
        <v>F_15_15_WC</v>
      </c>
      <c r="M55" s="150"/>
      <c r="N55" s="20"/>
      <c r="O55" s="7" t="str">
        <f>Tab_Def_Flows[[#This Row],[Flow_ID]]&amp;"_DM"</f>
        <v>F_15_15_DM</v>
      </c>
      <c r="Q55" s="20"/>
      <c r="R55" s="7" t="str">
        <f>Tab_Def_Flows[[#This Row],[Flow_ID]]&amp;"_CC"</f>
        <v>F_15_15_CC</v>
      </c>
      <c r="S55" s="150"/>
      <c r="T55" s="20"/>
      <c r="U55" s="156">
        <f>Tab_Def_Flows[[#This Row],[Flow_CC_DM'[%']]]*Tab_Def_Flows[[#This Row],[Flow_DM]]</f>
        <v>0</v>
      </c>
      <c r="V55" s="8"/>
    </row>
    <row r="56" spans="1:22" x14ac:dyDescent="0.25">
      <c r="A56" s="160" t="b">
        <v>0</v>
      </c>
      <c r="B56" s="23">
        <f t="shared" si="2"/>
        <v>55</v>
      </c>
      <c r="C56" s="7" t="str">
        <f t="shared" si="1"/>
        <v>F_15_15</v>
      </c>
      <c r="D56" s="8"/>
      <c r="E56" s="155"/>
      <c r="F56" s="7" t="str">
        <f>_xlfn.XLOOKUP(E56,Tab_Def_Processes[Process_Name],Tab_Def_Processes[Process_ID],,0,)</f>
        <v>15</v>
      </c>
      <c r="G56" s="155"/>
      <c r="H56" s="10" t="str">
        <f>_xlfn.XLOOKUP(G56,Tab_Def_Processes[Process_Name],Tab_Def_Processes[Process_ID],,0,)</f>
        <v>15</v>
      </c>
      <c r="I56" s="155"/>
      <c r="J56" s="155"/>
      <c r="K56" s="155"/>
      <c r="L56" s="7" t="str">
        <f>Tab_Def_Flows[[#This Row],[Flow_ID]]&amp;"_WC"</f>
        <v>F_15_15_WC</v>
      </c>
      <c r="M56" s="150"/>
      <c r="N56" s="20"/>
      <c r="O56" s="7" t="str">
        <f>Tab_Def_Flows[[#This Row],[Flow_ID]]&amp;"_DM"</f>
        <v>F_15_15_DM</v>
      </c>
      <c r="Q56" s="20"/>
      <c r="R56" s="7" t="str">
        <f>Tab_Def_Flows[[#This Row],[Flow_ID]]&amp;"_CC"</f>
        <v>F_15_15_CC</v>
      </c>
      <c r="S56" s="150"/>
      <c r="T56" s="20"/>
      <c r="U56" s="156">
        <f>Tab_Def_Flows[[#This Row],[Flow_CC_DM'[%']]]*Tab_Def_Flows[[#This Row],[Flow_DM]]</f>
        <v>0</v>
      </c>
      <c r="V56" s="8"/>
    </row>
    <row r="57" spans="1:22" x14ac:dyDescent="0.25">
      <c r="A57" s="160" t="b">
        <v>0</v>
      </c>
      <c r="B57" s="23">
        <f t="shared" si="2"/>
        <v>56</v>
      </c>
      <c r="C57" s="7" t="str">
        <f t="shared" si="1"/>
        <v>F_15_15</v>
      </c>
      <c r="D57" s="8"/>
      <c r="E57" s="155"/>
      <c r="F57" s="7" t="str">
        <f>_xlfn.XLOOKUP(E57,Tab_Def_Processes[Process_Name],Tab_Def_Processes[Process_ID],,0,)</f>
        <v>15</v>
      </c>
      <c r="G57" s="155"/>
      <c r="H57" s="10" t="str">
        <f>_xlfn.XLOOKUP(G57,Tab_Def_Processes[Process_Name],Tab_Def_Processes[Process_ID],,0,)</f>
        <v>15</v>
      </c>
      <c r="I57" s="155"/>
      <c r="J57" s="155"/>
      <c r="K57" s="155"/>
      <c r="L57" s="7" t="str">
        <f>Tab_Def_Flows[[#This Row],[Flow_ID]]&amp;"_WC"</f>
        <v>F_15_15_WC</v>
      </c>
      <c r="M57" s="150"/>
      <c r="N57" s="20"/>
      <c r="O57" s="7" t="str">
        <f>Tab_Def_Flows[[#This Row],[Flow_ID]]&amp;"_DM"</f>
        <v>F_15_15_DM</v>
      </c>
      <c r="Q57" s="20"/>
      <c r="R57" s="7" t="str">
        <f>Tab_Def_Flows[[#This Row],[Flow_ID]]&amp;"_CC"</f>
        <v>F_15_15_CC</v>
      </c>
      <c r="S57" s="150"/>
      <c r="T57" s="20"/>
      <c r="U57" s="156">
        <f>Tab_Def_Flows[[#This Row],[Flow_CC_DM'[%']]]*Tab_Def_Flows[[#This Row],[Flow_DM]]</f>
        <v>0</v>
      </c>
      <c r="V57" s="8"/>
    </row>
    <row r="58" spans="1:22" x14ac:dyDescent="0.25">
      <c r="A58" s="160" t="b">
        <v>0</v>
      </c>
      <c r="B58" s="23">
        <f t="shared" si="2"/>
        <v>57</v>
      </c>
      <c r="C58" s="7" t="str">
        <f t="shared" si="1"/>
        <v>F_15_15</v>
      </c>
      <c r="D58" s="8"/>
      <c r="E58" s="155"/>
      <c r="F58" s="7" t="str">
        <f>_xlfn.XLOOKUP(E58,Tab_Def_Processes[Process_Name],Tab_Def_Processes[Process_ID],,0,)</f>
        <v>15</v>
      </c>
      <c r="G58" s="155"/>
      <c r="H58" s="10" t="str">
        <f>_xlfn.XLOOKUP(G58,Tab_Def_Processes[Process_Name],Tab_Def_Processes[Process_ID],,0,)</f>
        <v>15</v>
      </c>
      <c r="I58" s="155"/>
      <c r="J58" s="155"/>
      <c r="K58" s="155"/>
      <c r="L58" s="7" t="str">
        <f>Tab_Def_Flows[[#This Row],[Flow_ID]]&amp;"_WC"</f>
        <v>F_15_15_WC</v>
      </c>
      <c r="M58" s="150"/>
      <c r="N58" s="20"/>
      <c r="O58" s="7" t="str">
        <f>Tab_Def_Flows[[#This Row],[Flow_ID]]&amp;"_DM"</f>
        <v>F_15_15_DM</v>
      </c>
      <c r="Q58" s="20"/>
      <c r="R58" s="7" t="str">
        <f>Tab_Def_Flows[[#This Row],[Flow_ID]]&amp;"_CC"</f>
        <v>F_15_15_CC</v>
      </c>
      <c r="S58" s="150"/>
      <c r="T58" s="20"/>
      <c r="U58" s="156">
        <f>Tab_Def_Flows[[#This Row],[Flow_CC_DM'[%']]]*Tab_Def_Flows[[#This Row],[Flow_DM]]</f>
        <v>0</v>
      </c>
      <c r="V58" s="8"/>
    </row>
    <row r="59" spans="1:22" x14ac:dyDescent="0.25">
      <c r="A59" s="160" t="b">
        <v>0</v>
      </c>
      <c r="B59" s="23">
        <f t="shared" si="2"/>
        <v>58</v>
      </c>
      <c r="C59" s="7" t="str">
        <f t="shared" si="1"/>
        <v>F_15_15</v>
      </c>
      <c r="D59" s="8"/>
      <c r="E59" s="155"/>
      <c r="F59" s="7" t="str">
        <f>_xlfn.XLOOKUP(E59,Tab_Def_Processes[Process_Name],Tab_Def_Processes[Process_ID],,0,)</f>
        <v>15</v>
      </c>
      <c r="G59" s="155"/>
      <c r="H59" s="10" t="str">
        <f>_xlfn.XLOOKUP(G59,Tab_Def_Processes[Process_Name],Tab_Def_Processes[Process_ID],,0,)</f>
        <v>15</v>
      </c>
      <c r="I59" s="155"/>
      <c r="J59" s="155"/>
      <c r="K59" s="155"/>
      <c r="L59" s="7" t="str">
        <f>Tab_Def_Flows[[#This Row],[Flow_ID]]&amp;"_WC"</f>
        <v>F_15_15_WC</v>
      </c>
      <c r="M59" s="150"/>
      <c r="N59" s="20"/>
      <c r="O59" s="7" t="str">
        <f>Tab_Def_Flows[[#This Row],[Flow_ID]]&amp;"_DM"</f>
        <v>F_15_15_DM</v>
      </c>
      <c r="Q59" s="20"/>
      <c r="R59" s="7" t="str">
        <f>Tab_Def_Flows[[#This Row],[Flow_ID]]&amp;"_CC"</f>
        <v>F_15_15_CC</v>
      </c>
      <c r="S59" s="150"/>
      <c r="T59" s="20"/>
      <c r="U59" s="156">
        <f>Tab_Def_Flows[[#This Row],[Flow_CC_DM'[%']]]*Tab_Def_Flows[[#This Row],[Flow_DM]]</f>
        <v>0</v>
      </c>
      <c r="V59" s="8"/>
    </row>
    <row r="60" spans="1:22" x14ac:dyDescent="0.25">
      <c r="A60" s="160" t="b">
        <v>0</v>
      </c>
      <c r="B60" s="23">
        <f t="shared" si="2"/>
        <v>59</v>
      </c>
      <c r="C60" s="7" t="str">
        <f t="shared" si="1"/>
        <v>F_15_15</v>
      </c>
      <c r="D60" s="8"/>
      <c r="E60" s="155"/>
      <c r="F60" s="7" t="str">
        <f>_xlfn.XLOOKUP(E60,Tab_Def_Processes[Process_Name],Tab_Def_Processes[Process_ID],,0,)</f>
        <v>15</v>
      </c>
      <c r="G60" s="155"/>
      <c r="H60" s="10" t="str">
        <f>_xlfn.XLOOKUP(G60,Tab_Def_Processes[Process_Name],Tab_Def_Processes[Process_ID],,0,)</f>
        <v>15</v>
      </c>
      <c r="I60" s="155"/>
      <c r="J60" s="155"/>
      <c r="K60" s="155"/>
      <c r="L60" s="7" t="str">
        <f>Tab_Def_Flows[[#This Row],[Flow_ID]]&amp;"_WC"</f>
        <v>F_15_15_WC</v>
      </c>
      <c r="M60" s="150"/>
      <c r="N60" s="20"/>
      <c r="O60" s="7" t="str">
        <f>Tab_Def_Flows[[#This Row],[Flow_ID]]&amp;"_DM"</f>
        <v>F_15_15_DM</v>
      </c>
      <c r="Q60" s="20"/>
      <c r="R60" s="7" t="str">
        <f>Tab_Def_Flows[[#This Row],[Flow_ID]]&amp;"_CC"</f>
        <v>F_15_15_CC</v>
      </c>
      <c r="S60" s="150"/>
      <c r="T60" s="20"/>
      <c r="U60" s="156">
        <f>Tab_Def_Flows[[#This Row],[Flow_CC_DM'[%']]]*Tab_Def_Flows[[#This Row],[Flow_DM]]</f>
        <v>0</v>
      </c>
      <c r="V60" s="8"/>
    </row>
    <row r="61" spans="1:22" x14ac:dyDescent="0.25">
      <c r="A61" s="160" t="b">
        <v>0</v>
      </c>
      <c r="B61" s="23">
        <f t="shared" si="2"/>
        <v>60</v>
      </c>
      <c r="C61" s="7" t="str">
        <f t="shared" si="1"/>
        <v>F_15_15</v>
      </c>
      <c r="D61" s="8"/>
      <c r="E61" s="155"/>
      <c r="F61" s="7" t="str">
        <f>_xlfn.XLOOKUP(E61,Tab_Def_Processes[Process_Name],Tab_Def_Processes[Process_ID],,0,)</f>
        <v>15</v>
      </c>
      <c r="G61" s="155"/>
      <c r="H61" s="10" t="str">
        <f>_xlfn.XLOOKUP(G61,Tab_Def_Processes[Process_Name],Tab_Def_Processes[Process_ID],,0,)</f>
        <v>15</v>
      </c>
      <c r="I61" s="155"/>
      <c r="J61" s="155"/>
      <c r="K61" s="155"/>
      <c r="L61" s="7" t="str">
        <f>Tab_Def_Flows[[#This Row],[Flow_ID]]&amp;"_WC"</f>
        <v>F_15_15_WC</v>
      </c>
      <c r="M61" s="150"/>
      <c r="N61" s="20"/>
      <c r="O61" s="7" t="str">
        <f>Tab_Def_Flows[[#This Row],[Flow_ID]]&amp;"_DM"</f>
        <v>F_15_15_DM</v>
      </c>
      <c r="Q61" s="20"/>
      <c r="R61" s="7" t="str">
        <f>Tab_Def_Flows[[#This Row],[Flow_ID]]&amp;"_CC"</f>
        <v>F_15_15_CC</v>
      </c>
      <c r="S61" s="150"/>
      <c r="T61" s="20"/>
      <c r="U61" s="156">
        <f>Tab_Def_Flows[[#This Row],[Flow_CC_DM'[%']]]*Tab_Def_Flows[[#This Row],[Flow_DM]]</f>
        <v>0</v>
      </c>
      <c r="V61" s="8"/>
    </row>
    <row r="62" spans="1:22" x14ac:dyDescent="0.25">
      <c r="A62" s="160" t="b">
        <v>0</v>
      </c>
      <c r="B62" s="23">
        <f t="shared" si="2"/>
        <v>61</v>
      </c>
      <c r="C62" s="7" t="str">
        <f t="shared" si="1"/>
        <v>F_15_15</v>
      </c>
      <c r="D62" s="8"/>
      <c r="E62" s="155"/>
      <c r="F62" s="7" t="str">
        <f>_xlfn.XLOOKUP(E62,Tab_Def_Processes[Process_Name],Tab_Def_Processes[Process_ID],,0,)</f>
        <v>15</v>
      </c>
      <c r="G62" s="155"/>
      <c r="H62" s="10" t="str">
        <f>_xlfn.XLOOKUP(G62,Tab_Def_Processes[Process_Name],Tab_Def_Processes[Process_ID],,0,)</f>
        <v>15</v>
      </c>
      <c r="I62" s="155"/>
      <c r="J62" s="155"/>
      <c r="K62" s="155"/>
      <c r="L62" s="7" t="str">
        <f>Tab_Def_Flows[[#This Row],[Flow_ID]]&amp;"_WC"</f>
        <v>F_15_15_WC</v>
      </c>
      <c r="M62" s="150"/>
      <c r="N62" s="20"/>
      <c r="O62" s="7" t="str">
        <f>Tab_Def_Flows[[#This Row],[Flow_ID]]&amp;"_DM"</f>
        <v>F_15_15_DM</v>
      </c>
      <c r="Q62" s="20"/>
      <c r="R62" s="7" t="str">
        <f>Tab_Def_Flows[[#This Row],[Flow_ID]]&amp;"_CC"</f>
        <v>F_15_15_CC</v>
      </c>
      <c r="S62" s="150"/>
      <c r="T62" s="20"/>
      <c r="U62" s="156">
        <f>Tab_Def_Flows[[#This Row],[Flow_CC_DM'[%']]]*Tab_Def_Flows[[#This Row],[Flow_DM]]</f>
        <v>0</v>
      </c>
      <c r="V62" s="8"/>
    </row>
    <row r="63" spans="1:22" x14ac:dyDescent="0.25">
      <c r="A63" s="160" t="b">
        <v>0</v>
      </c>
      <c r="B63" s="23">
        <f t="shared" si="2"/>
        <v>62</v>
      </c>
      <c r="C63" s="7" t="str">
        <f t="shared" si="1"/>
        <v>F_15_15</v>
      </c>
      <c r="D63" s="8"/>
      <c r="E63" s="155"/>
      <c r="F63" s="7" t="str">
        <f>_xlfn.XLOOKUP(E63,Tab_Def_Processes[Process_Name],Tab_Def_Processes[Process_ID],,0,)</f>
        <v>15</v>
      </c>
      <c r="G63" s="155"/>
      <c r="H63" s="10" t="str">
        <f>_xlfn.XLOOKUP(G63,Tab_Def_Processes[Process_Name],Tab_Def_Processes[Process_ID],,0,)</f>
        <v>15</v>
      </c>
      <c r="I63" s="155"/>
      <c r="J63" s="155"/>
      <c r="K63" s="155"/>
      <c r="L63" s="7" t="str">
        <f>Tab_Def_Flows[[#This Row],[Flow_ID]]&amp;"_WC"</f>
        <v>F_15_15_WC</v>
      </c>
      <c r="M63" s="150"/>
      <c r="N63" s="20"/>
      <c r="O63" s="7" t="str">
        <f>Tab_Def_Flows[[#This Row],[Flow_ID]]&amp;"_DM"</f>
        <v>F_15_15_DM</v>
      </c>
      <c r="Q63" s="20"/>
      <c r="R63" s="7" t="str">
        <f>Tab_Def_Flows[[#This Row],[Flow_ID]]&amp;"_CC"</f>
        <v>F_15_15_CC</v>
      </c>
      <c r="S63" s="150"/>
      <c r="T63" s="20"/>
      <c r="U63" s="156">
        <f>Tab_Def_Flows[[#This Row],[Flow_CC_DM'[%']]]*Tab_Def_Flows[[#This Row],[Flow_DM]]</f>
        <v>0</v>
      </c>
      <c r="V63" s="8"/>
    </row>
    <row r="64" spans="1:22" x14ac:dyDescent="0.25">
      <c r="A64" s="160" t="b">
        <v>0</v>
      </c>
      <c r="B64" s="23">
        <f t="shared" si="2"/>
        <v>63</v>
      </c>
      <c r="C64" s="7" t="str">
        <f t="shared" si="1"/>
        <v>F_15_15</v>
      </c>
      <c r="D64" s="8"/>
      <c r="E64" s="155"/>
      <c r="F64" s="7" t="str">
        <f>_xlfn.XLOOKUP(E64,Tab_Def_Processes[Process_Name],Tab_Def_Processes[Process_ID],,0,)</f>
        <v>15</v>
      </c>
      <c r="G64" s="155"/>
      <c r="H64" s="10" t="str">
        <f>_xlfn.XLOOKUP(G64,Tab_Def_Processes[Process_Name],Tab_Def_Processes[Process_ID],,0,)</f>
        <v>15</v>
      </c>
      <c r="I64" s="155"/>
      <c r="J64" s="155"/>
      <c r="K64" s="155"/>
      <c r="L64" s="7" t="str">
        <f>Tab_Def_Flows[[#This Row],[Flow_ID]]&amp;"_WC"</f>
        <v>F_15_15_WC</v>
      </c>
      <c r="M64" s="150"/>
      <c r="N64" s="20"/>
      <c r="O64" s="7" t="str">
        <f>Tab_Def_Flows[[#This Row],[Flow_ID]]&amp;"_DM"</f>
        <v>F_15_15_DM</v>
      </c>
      <c r="Q64" s="20"/>
      <c r="R64" s="7" t="str">
        <f>Tab_Def_Flows[[#This Row],[Flow_ID]]&amp;"_CC"</f>
        <v>F_15_15_CC</v>
      </c>
      <c r="S64" s="150"/>
      <c r="T64" s="20"/>
      <c r="U64" s="156">
        <f>Tab_Def_Flows[[#This Row],[Flow_CC_DM'[%']]]*Tab_Def_Flows[[#This Row],[Flow_DM]]</f>
        <v>0</v>
      </c>
      <c r="V64" s="8"/>
    </row>
    <row r="65" spans="1:22" x14ac:dyDescent="0.25">
      <c r="A65" s="160" t="b">
        <v>0</v>
      </c>
      <c r="B65" s="23">
        <f t="shared" si="2"/>
        <v>64</v>
      </c>
      <c r="C65" s="7" t="str">
        <f t="shared" si="1"/>
        <v>F_15_15</v>
      </c>
      <c r="D65" s="8"/>
      <c r="E65" s="155"/>
      <c r="F65" s="7" t="str">
        <f>_xlfn.XLOOKUP(E65,Tab_Def_Processes[Process_Name],Tab_Def_Processes[Process_ID],,0,)</f>
        <v>15</v>
      </c>
      <c r="G65" s="155"/>
      <c r="H65" s="10" t="str">
        <f>_xlfn.XLOOKUP(G65,Tab_Def_Processes[Process_Name],Tab_Def_Processes[Process_ID],,0,)</f>
        <v>15</v>
      </c>
      <c r="I65" s="155"/>
      <c r="J65" s="155"/>
      <c r="K65" s="155"/>
      <c r="L65" s="7" t="str">
        <f>Tab_Def_Flows[[#This Row],[Flow_ID]]&amp;"_WC"</f>
        <v>F_15_15_WC</v>
      </c>
      <c r="M65" s="150"/>
      <c r="N65" s="20"/>
      <c r="O65" s="7" t="str">
        <f>Tab_Def_Flows[[#This Row],[Flow_ID]]&amp;"_DM"</f>
        <v>F_15_15_DM</v>
      </c>
      <c r="Q65" s="20"/>
      <c r="R65" s="7" t="str">
        <f>Tab_Def_Flows[[#This Row],[Flow_ID]]&amp;"_CC"</f>
        <v>F_15_15_CC</v>
      </c>
      <c r="S65" s="150"/>
      <c r="T65" s="20"/>
      <c r="U65" s="156">
        <f>Tab_Def_Flows[[#This Row],[Flow_CC_DM'[%']]]*Tab_Def_Flows[[#This Row],[Flow_DM]]</f>
        <v>0</v>
      </c>
      <c r="V65" s="8"/>
    </row>
    <row r="66" spans="1:22" x14ac:dyDescent="0.25">
      <c r="A66" s="160" t="b">
        <v>0</v>
      </c>
      <c r="B66" s="23">
        <f t="shared" si="2"/>
        <v>65</v>
      </c>
      <c r="C66" s="7" t="str">
        <f t="shared" ref="C66:C70" si="3">"F_"&amp;LEFT(F66,2)&amp;"_"&amp;LEFT(H66,2)</f>
        <v>F_15_15</v>
      </c>
      <c r="D66" s="8"/>
      <c r="E66" s="155"/>
      <c r="F66" s="7" t="str">
        <f>_xlfn.XLOOKUP(E66,Tab_Def_Processes[Process_Name],Tab_Def_Processes[Process_ID],,0,)</f>
        <v>15</v>
      </c>
      <c r="G66" s="155"/>
      <c r="H66" s="10" t="str">
        <f>_xlfn.XLOOKUP(G66,Tab_Def_Processes[Process_Name],Tab_Def_Processes[Process_ID],,0,)</f>
        <v>15</v>
      </c>
      <c r="I66" s="155"/>
      <c r="J66" s="155"/>
      <c r="K66" s="155"/>
      <c r="L66" s="7" t="str">
        <f>Tab_Def_Flows[[#This Row],[Flow_ID]]&amp;"_WC"</f>
        <v>F_15_15_WC</v>
      </c>
      <c r="M66" s="150"/>
      <c r="N66" s="20"/>
      <c r="O66" s="7" t="str">
        <f>Tab_Def_Flows[[#This Row],[Flow_ID]]&amp;"_DM"</f>
        <v>F_15_15_DM</v>
      </c>
      <c r="Q66" s="20"/>
      <c r="R66" s="7" t="str">
        <f>Tab_Def_Flows[[#This Row],[Flow_ID]]&amp;"_CC"</f>
        <v>F_15_15_CC</v>
      </c>
      <c r="S66" s="150"/>
      <c r="T66" s="20"/>
      <c r="U66" s="156">
        <f>Tab_Def_Flows[[#This Row],[Flow_CC_DM'[%']]]*Tab_Def_Flows[[#This Row],[Flow_DM]]</f>
        <v>0</v>
      </c>
      <c r="V66" s="8"/>
    </row>
    <row r="67" spans="1:22" x14ac:dyDescent="0.25">
      <c r="A67" s="160" t="b">
        <v>0</v>
      </c>
      <c r="B67" s="23">
        <f t="shared" si="2"/>
        <v>66</v>
      </c>
      <c r="C67" s="7" t="str">
        <f t="shared" si="3"/>
        <v>F_15_15</v>
      </c>
      <c r="D67" s="8"/>
      <c r="E67" s="155"/>
      <c r="F67" s="7" t="str">
        <f>_xlfn.XLOOKUP(E67,Tab_Def_Processes[Process_Name],Tab_Def_Processes[Process_ID],,0,)</f>
        <v>15</v>
      </c>
      <c r="G67" s="155"/>
      <c r="H67" s="10" t="str">
        <f>_xlfn.XLOOKUP(G67,Tab_Def_Processes[Process_Name],Tab_Def_Processes[Process_ID],,0,)</f>
        <v>15</v>
      </c>
      <c r="I67" s="155"/>
      <c r="J67" s="155"/>
      <c r="K67" s="155"/>
      <c r="L67" s="7" t="str">
        <f>Tab_Def_Flows[[#This Row],[Flow_ID]]&amp;"_WC"</f>
        <v>F_15_15_WC</v>
      </c>
      <c r="M67" s="150"/>
      <c r="N67" s="20"/>
      <c r="O67" s="7" t="str">
        <f>Tab_Def_Flows[[#This Row],[Flow_ID]]&amp;"_DM"</f>
        <v>F_15_15_DM</v>
      </c>
      <c r="Q67" s="20"/>
      <c r="R67" s="7" t="str">
        <f>Tab_Def_Flows[[#This Row],[Flow_ID]]&amp;"_CC"</f>
        <v>F_15_15_CC</v>
      </c>
      <c r="S67" s="150"/>
      <c r="T67" s="20"/>
      <c r="U67" s="156">
        <f>Tab_Def_Flows[[#This Row],[Flow_CC_DM'[%']]]*Tab_Def_Flows[[#This Row],[Flow_DM]]</f>
        <v>0</v>
      </c>
      <c r="V67" s="8"/>
    </row>
    <row r="68" spans="1:22" x14ac:dyDescent="0.25">
      <c r="A68" s="160" t="b">
        <v>0</v>
      </c>
      <c r="B68" s="23">
        <f t="shared" si="2"/>
        <v>67</v>
      </c>
      <c r="C68" s="7" t="str">
        <f t="shared" si="3"/>
        <v>F_15_15</v>
      </c>
      <c r="D68" s="8"/>
      <c r="E68" s="155"/>
      <c r="F68" s="7" t="str">
        <f>_xlfn.XLOOKUP(E68,Tab_Def_Processes[Process_Name],Tab_Def_Processes[Process_ID],,0,)</f>
        <v>15</v>
      </c>
      <c r="G68" s="155"/>
      <c r="H68" s="10" t="str">
        <f>_xlfn.XLOOKUP(G68,Tab_Def_Processes[Process_Name],Tab_Def_Processes[Process_ID],,0,)</f>
        <v>15</v>
      </c>
      <c r="I68" s="155"/>
      <c r="J68" s="155"/>
      <c r="K68" s="155"/>
      <c r="L68" s="7" t="str">
        <f>Tab_Def_Flows[[#This Row],[Flow_ID]]&amp;"_WC"</f>
        <v>F_15_15_WC</v>
      </c>
      <c r="M68" s="150"/>
      <c r="N68" s="20"/>
      <c r="O68" s="7" t="str">
        <f>Tab_Def_Flows[[#This Row],[Flow_ID]]&amp;"_DM"</f>
        <v>F_15_15_DM</v>
      </c>
      <c r="Q68" s="20"/>
      <c r="R68" s="7" t="str">
        <f>Tab_Def_Flows[[#This Row],[Flow_ID]]&amp;"_CC"</f>
        <v>F_15_15_CC</v>
      </c>
      <c r="S68" s="150"/>
      <c r="T68" s="20"/>
      <c r="U68" s="156">
        <f>Tab_Def_Flows[[#This Row],[Flow_CC_DM'[%']]]*Tab_Def_Flows[[#This Row],[Flow_DM]]</f>
        <v>0</v>
      </c>
      <c r="V68" s="8"/>
    </row>
    <row r="69" spans="1:22" x14ac:dyDescent="0.25">
      <c r="A69" s="160" t="b">
        <v>0</v>
      </c>
      <c r="B69" s="23">
        <f t="shared" si="2"/>
        <v>68</v>
      </c>
      <c r="C69" s="7" t="str">
        <f t="shared" si="3"/>
        <v>F_15_15</v>
      </c>
      <c r="D69" s="8"/>
      <c r="E69" s="155"/>
      <c r="F69" s="7" t="str">
        <f>_xlfn.XLOOKUP(E69,Tab_Def_Processes[Process_Name],Tab_Def_Processes[Process_ID],,0,)</f>
        <v>15</v>
      </c>
      <c r="G69" s="155"/>
      <c r="H69" s="10" t="str">
        <f>_xlfn.XLOOKUP(G69,Tab_Def_Processes[Process_Name],Tab_Def_Processes[Process_ID],,0,)</f>
        <v>15</v>
      </c>
      <c r="I69" s="155"/>
      <c r="J69" s="155"/>
      <c r="K69" s="155"/>
      <c r="L69" s="7" t="str">
        <f>Tab_Def_Flows[[#This Row],[Flow_ID]]&amp;"_WC"</f>
        <v>F_15_15_WC</v>
      </c>
      <c r="M69" s="150"/>
      <c r="N69" s="20"/>
      <c r="O69" s="7" t="str">
        <f>Tab_Def_Flows[[#This Row],[Flow_ID]]&amp;"_DM"</f>
        <v>F_15_15_DM</v>
      </c>
      <c r="Q69" s="20"/>
      <c r="R69" s="7" t="str">
        <f>Tab_Def_Flows[[#This Row],[Flow_ID]]&amp;"_CC"</f>
        <v>F_15_15_CC</v>
      </c>
      <c r="S69" s="150"/>
      <c r="T69" s="20"/>
      <c r="U69" s="156">
        <f>Tab_Def_Flows[[#This Row],[Flow_CC_DM'[%']]]*Tab_Def_Flows[[#This Row],[Flow_DM]]</f>
        <v>0</v>
      </c>
      <c r="V69" s="8"/>
    </row>
    <row r="70" spans="1:22" x14ac:dyDescent="0.25">
      <c r="A70" s="160" t="b">
        <v>0</v>
      </c>
      <c r="B70" s="23">
        <f t="shared" si="2"/>
        <v>69</v>
      </c>
      <c r="C70" s="7" t="str">
        <f t="shared" si="3"/>
        <v>F__</v>
      </c>
      <c r="D70" s="8" t="s">
        <v>31</v>
      </c>
      <c r="E70" s="155"/>
      <c r="F70" s="7"/>
      <c r="G70" s="155"/>
      <c r="H70" s="10"/>
      <c r="I70" s="155"/>
      <c r="J70" s="155"/>
      <c r="K70" s="155"/>
      <c r="L70" s="7" t="str">
        <f>Tab_Def_Flows[[#This Row],[Flow_ID]]&amp;"_WC"</f>
        <v>F___WC</v>
      </c>
      <c r="M70" s="150"/>
      <c r="N70" s="20"/>
      <c r="O70" s="7" t="str">
        <f>Tab_Def_Flows[[#This Row],[Flow_ID]]&amp;"_DM"</f>
        <v>F___DM</v>
      </c>
      <c r="Q70" s="20"/>
      <c r="R70" s="7" t="str">
        <f>Tab_Def_Flows[[#This Row],[Flow_ID]]&amp;"_CC"</f>
        <v>F___CC</v>
      </c>
      <c r="S70" s="150"/>
      <c r="T70" s="20"/>
      <c r="U70" s="156">
        <f>Tab_Def_Flows[[#This Row],[Flow_CC_DM'[%']]]*Tab_Def_Flows[[#This Row],[Flow_DM]]</f>
        <v>0</v>
      </c>
      <c r="V70" s="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T26:T70 I2:K70</xm:sqref>
        </x14:dataValidation>
        <x14:dataValidation type="list" allowBlank="1" showInputMessage="1" showErrorMessage="1" xr:uid="{4802C009-D5CD-4ED0-AC7A-55F162A86DD7}">
          <x14:formula1>
            <xm:f>'2_1_Definition_Processes'!$D$2:$D$47</xm:f>
          </x14:formula1>
          <xm:sqref>E2:E70 G2:G70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I351"/>
  <sheetViews>
    <sheetView topLeftCell="D1" zoomScale="130" zoomScaleNormal="130" workbookViewId="0">
      <selection activeCell="J36" sqref="J36"/>
    </sheetView>
  </sheetViews>
  <sheetFormatPr defaultColWidth="10.85546875" defaultRowHeight="15" x14ac:dyDescent="0.25"/>
  <cols>
    <col min="2" max="2" width="18.7109375" customWidth="1"/>
    <col min="3" max="3" width="28.5703125" customWidth="1"/>
    <col min="4" max="4" width="14.140625" customWidth="1"/>
    <col min="5" max="5" width="11.7109375" customWidth="1"/>
    <col min="6" max="6" width="6.5703125" customWidth="1"/>
    <col min="7" max="7" width="18.28515625" customWidth="1"/>
    <col min="8" max="8" width="18.7109375" customWidth="1"/>
    <col min="9" max="9" width="16.42578125" customWidth="1"/>
    <col min="10" max="10" width="17.5703125" customWidth="1"/>
    <col min="11" max="11" width="28.140625" hidden="1" customWidth="1"/>
    <col min="12" max="12" width="0" hidden="1" customWidth="1"/>
    <col min="13" max="13" width="50.7109375" hidden="1" customWidth="1"/>
    <col min="14" max="14" width="22.85546875" hidden="1" customWidth="1"/>
    <col min="15" max="15" width="16.7109375" hidden="1" customWidth="1"/>
    <col min="16" max="16" width="15.85546875" hidden="1" customWidth="1"/>
    <col min="17" max="17" width="8.85546875" hidden="1" customWidth="1"/>
    <col min="18" max="18" width="14.140625" customWidth="1"/>
    <col min="19" max="19" width="6.5703125" customWidth="1"/>
    <col min="20" max="20" width="24.7109375" customWidth="1"/>
    <col min="21" max="21" width="17" style="7" customWidth="1"/>
    <col min="22" max="22" width="15.42578125" customWidth="1"/>
    <col min="23" max="23" width="15.140625" customWidth="1"/>
    <col min="24" max="24" width="18.5703125" customWidth="1"/>
    <col min="25" max="25" width="15.140625" customWidth="1"/>
    <col min="26" max="26" width="14.140625" customWidth="1"/>
    <col min="27" max="28" width="19.85546875" customWidth="1"/>
    <col min="29" max="29" width="19.85546875" style="25" customWidth="1"/>
    <col min="30" max="30" width="16.5703125" customWidth="1"/>
    <col min="31" max="33" width="19.7109375" customWidth="1"/>
    <col min="34" max="34" width="19.28515625" customWidth="1"/>
    <col min="35" max="35" width="19" style="7" customWidth="1"/>
  </cols>
  <sheetData>
    <row r="1" spans="1:35" x14ac:dyDescent="0.25">
      <c r="A1" s="159" t="s">
        <v>28</v>
      </c>
      <c r="B1" s="159" t="s">
        <v>37</v>
      </c>
      <c r="C1" s="159" t="s">
        <v>705</v>
      </c>
      <c r="D1" s="159" t="s">
        <v>64</v>
      </c>
      <c r="E1" s="159" t="s">
        <v>66</v>
      </c>
      <c r="F1" s="159" t="s">
        <v>65</v>
      </c>
      <c r="G1" s="159" t="s">
        <v>694</v>
      </c>
      <c r="H1" s="159" t="s">
        <v>695</v>
      </c>
      <c r="I1" s="159" t="s">
        <v>47</v>
      </c>
      <c r="J1" s="159" t="s">
        <v>39</v>
      </c>
      <c r="K1" s="159" t="s">
        <v>34</v>
      </c>
      <c r="L1" s="159" t="s">
        <v>40</v>
      </c>
      <c r="M1" s="159" t="s">
        <v>41</v>
      </c>
      <c r="N1" s="159" t="s">
        <v>42</v>
      </c>
      <c r="O1" s="159" t="s">
        <v>43</v>
      </c>
      <c r="P1" s="159" t="s">
        <v>5</v>
      </c>
      <c r="Q1" s="159" t="s">
        <v>44</v>
      </c>
      <c r="R1" s="159" t="s">
        <v>45</v>
      </c>
      <c r="S1" s="159" t="s">
        <v>46</v>
      </c>
      <c r="T1" s="159" t="s">
        <v>697</v>
      </c>
      <c r="U1" s="159" t="s">
        <v>696</v>
      </c>
      <c r="V1" s="159" t="s">
        <v>48</v>
      </c>
      <c r="W1" s="159" t="s">
        <v>67</v>
      </c>
      <c r="X1" s="159" t="s">
        <v>698</v>
      </c>
      <c r="Y1" s="159" t="s">
        <v>72</v>
      </c>
      <c r="Z1" s="159" t="s">
        <v>75</v>
      </c>
      <c r="AA1" s="159" t="s">
        <v>69</v>
      </c>
      <c r="AB1" s="159" t="s">
        <v>699</v>
      </c>
      <c r="AC1" s="159" t="s">
        <v>704</v>
      </c>
      <c r="AD1" s="159" t="s">
        <v>74</v>
      </c>
      <c r="AE1" s="159" t="s">
        <v>71</v>
      </c>
      <c r="AF1" s="159" t="s">
        <v>700</v>
      </c>
      <c r="AG1" s="159" t="s">
        <v>76</v>
      </c>
      <c r="AH1" s="159" t="s">
        <v>73</v>
      </c>
      <c r="AI1"/>
    </row>
    <row r="2" spans="1:35" x14ac:dyDescent="0.25">
      <c r="A2" s="9">
        <f>ROW()-1</f>
        <v>1</v>
      </c>
      <c r="B2" s="7" t="str">
        <f>_xlfn.XLOOKUP(C2,Tab_Def_Flows[Flow_Name],Tab_Def_Flows[Flow_ID],,0,)</f>
        <v>F_12_00</v>
      </c>
      <c r="C2" s="8" t="s">
        <v>739</v>
      </c>
      <c r="D2" s="10" t="str">
        <f>_xlfn.XLOOKUP(C2,Tab_Def_Flows[Flow_Name],Tab_Def_Flows[WC?],,0,)</f>
        <v>Yes</v>
      </c>
      <c r="E2" s="10" t="str">
        <f>_xlfn.XLOOKUP(C2,Tab_Def_Flows[Flow_Name],Tab_Def_Flows[DM?],,0,)</f>
        <v>Yes</v>
      </c>
      <c r="F2" s="10" t="str">
        <f>_xlfn.XLOOKUP(C2,Tab_Def_Flows[Flow_Name],Tab_Def_Flows[CC?],,0,)</f>
        <v>Yes</v>
      </c>
      <c r="G2" s="8">
        <v>2000</v>
      </c>
      <c r="H2" s="28">
        <v>100</v>
      </c>
      <c r="I2" s="8"/>
      <c r="J2" s="8"/>
      <c r="K2" s="8"/>
      <c r="L2" s="8"/>
      <c r="M2" s="8"/>
      <c r="N2" s="8"/>
      <c r="O2" s="8"/>
      <c r="P2" s="8"/>
      <c r="Q2" s="8" t="s">
        <v>8</v>
      </c>
      <c r="R2" s="21"/>
      <c r="S2" s="8"/>
      <c r="T2" s="7" t="str">
        <f>Tab_Data_Flows[[#This Row],[Flow_ID]]&amp;"_"&amp;"material_"&amp;Tab_Data_Flows[[#This Row],[Flow_Data_Year]]</f>
        <v>F_12_00_material_2000</v>
      </c>
      <c r="U2" s="18">
        <f t="shared" ref="U2:U33" si="0">IF(Q2="no",H2,H2*R2)</f>
        <v>100</v>
      </c>
      <c r="V2" s="8" t="s">
        <v>218</v>
      </c>
      <c r="W2" s="156">
        <f>INDEX(Tab_Def_Flows[[Flow_ID]:[CC_DM_source]],MATCH(Tab_Data_Flows[[#This Row],[Flow_Name]],Tab_Def_Flows[Flow_Name],0),11)</f>
        <v>0</v>
      </c>
      <c r="X2" s="7" t="str">
        <f>Tab_Data_Flows[[#This Row],[Flow_ID]]&amp;"_"&amp;"WC_"&amp;Tab_Data_Flows[[#This Row],[Flow_Data_Year]]</f>
        <v>F_12_00_WC_2000</v>
      </c>
      <c r="Y2" s="7">
        <f>IF(D2="Yes",U2*Tab_Data_Flows[[#This Row],[WC_'[%']]],"N.A.")</f>
        <v>0</v>
      </c>
      <c r="Z2" s="7" t="str">
        <f>Tab_Data_Flows[[#This Row],[UoM_Flow_Py]]</f>
        <v>Mg</v>
      </c>
      <c r="AA2" s="156">
        <f>INDEX(Tab_Def_Flows[[Flow_ID]:[CC_DM_source]],MATCH(Tab_Data_Flows[[#This Row],[Flow_Name]],Tab_Def_Flows[Flow_Name],0),14)</f>
        <v>1</v>
      </c>
      <c r="AB2" s="7" t="str">
        <f>Tab_Data_Flows[[#This Row],[Flow_ID]]&amp;"_"&amp;"DM_"&amp;Tab_Data_Flows[[#This Row],[Flow_Data_Year]]</f>
        <v>F_12_00_DM_2000</v>
      </c>
      <c r="AC2" s="7">
        <f>IF(E2="Yes",AA2*Tab_Data_Flows[[#This Row],[Flow_Material]],"N.A.")</f>
        <v>100</v>
      </c>
      <c r="AD2" s="7" t="str">
        <f>Tab_Data_Flows[[#This Row],[UoM_Flow_Py]]</f>
        <v>Mg</v>
      </c>
      <c r="AE2" s="156">
        <f>INDEX(Tab_Def_Flows[[Flow_ID]:[CC_DM_source]],MATCH(Tab_Data_Flows[[#This Row],[Flow_Name]],Tab_Def_Flows[Flow_Name],0),17)</f>
        <v>0.8</v>
      </c>
      <c r="AF2" s="7" t="str">
        <f>Tab_Data_Flows[[#This Row],[Flow_ID]]&amp;"_"&amp;"CC_"&amp;Tab_Data_Flows[[#This Row],[Flow_Data_Year]]</f>
        <v>F_12_00_CC_2000</v>
      </c>
      <c r="AG2" s="7">
        <f>IF(F2="Yes",AE2*Tab_Data_Flows[[#This Row],[Flow_Material]]*Tab_Data_Flows[[#This Row],[DM_'[%']]],"N.A.")</f>
        <v>80</v>
      </c>
      <c r="AH2" s="7" t="str">
        <f>Tab_Data_Flows[[#This Row],[UoM_Flow_Py]]</f>
        <v>Mg</v>
      </c>
      <c r="AI2"/>
    </row>
    <row r="3" spans="1:35" x14ac:dyDescent="0.25">
      <c r="A3" s="9">
        <f t="shared" ref="A3:A66" si="1">ROW()-1</f>
        <v>2</v>
      </c>
      <c r="B3" s="7" t="str">
        <f>_xlfn.XLOOKUP(C3,Tab_Def_Flows[Flow_Name],Tab_Def_Flows[Flow_ID],,0,)</f>
        <v>F_12_00</v>
      </c>
      <c r="C3" s="8" t="s">
        <v>739</v>
      </c>
      <c r="D3" s="10" t="str">
        <f>_xlfn.XLOOKUP(C3,Tab_Def_Flows[Flow_Name],Tab_Def_Flows[WC?],,0,)</f>
        <v>Yes</v>
      </c>
      <c r="E3" s="10" t="str">
        <f>_xlfn.XLOOKUP(C3,Tab_Def_Flows[Flow_Name],Tab_Def_Flows[DM?],,0,)</f>
        <v>Yes</v>
      </c>
      <c r="F3" s="10" t="str">
        <f>_xlfn.XLOOKUP(C3,Tab_Def_Flows[Flow_Name],Tab_Def_Flows[CC?],,0,)</f>
        <v>Yes</v>
      </c>
      <c r="G3" s="8">
        <v>2001</v>
      </c>
      <c r="H3" s="28">
        <v>100</v>
      </c>
      <c r="I3" s="8"/>
      <c r="J3" s="8"/>
      <c r="K3" s="8"/>
      <c r="L3" s="8"/>
      <c r="M3" s="8"/>
      <c r="N3" s="8"/>
      <c r="O3" s="8"/>
      <c r="P3" s="8"/>
      <c r="Q3" s="8" t="s">
        <v>8</v>
      </c>
      <c r="R3" s="21"/>
      <c r="S3" s="8"/>
      <c r="T3" s="7" t="str">
        <f>Tab_Data_Flows[[#This Row],[Flow_ID]]&amp;"_"&amp;"material_"&amp;Tab_Data_Flows[[#This Row],[Flow_Data_Year]]</f>
        <v>F_12_00_material_2001</v>
      </c>
      <c r="U3" s="18">
        <f t="shared" si="0"/>
        <v>100</v>
      </c>
      <c r="V3" s="8" t="s">
        <v>218</v>
      </c>
      <c r="W3" s="156">
        <f>INDEX(Tab_Def_Flows[[Flow_ID]:[CC_DM_source]],MATCH(Tab_Data_Flows[[#This Row],[Flow_Name]],Tab_Def_Flows[Flow_Name],0),11)</f>
        <v>0</v>
      </c>
      <c r="X3" s="7" t="str">
        <f>Tab_Data_Flows[[#This Row],[Flow_ID]]&amp;"_"&amp;"WC_"&amp;Tab_Data_Flows[[#This Row],[Flow_Data_Year]]</f>
        <v>F_12_00_WC_2001</v>
      </c>
      <c r="Y3" s="7">
        <f>IF(D3="Yes",U3*Tab_Data_Flows[[#This Row],[WC_'[%']]],"N.A.")</f>
        <v>0</v>
      </c>
      <c r="Z3" s="7" t="str">
        <f>Tab_Data_Flows[[#This Row],[UoM_Flow_Py]]</f>
        <v>Mg</v>
      </c>
      <c r="AA3" s="156">
        <f>INDEX(Tab_Def_Flows[[Flow_ID]:[CC_DM_source]],MATCH(Tab_Data_Flows[[#This Row],[Flow_Name]],Tab_Def_Flows[Flow_Name],0),14)</f>
        <v>1</v>
      </c>
      <c r="AB3" s="7" t="str">
        <f>Tab_Data_Flows[[#This Row],[Flow_ID]]&amp;"_"&amp;"DM_"&amp;Tab_Data_Flows[[#This Row],[Flow_Data_Year]]</f>
        <v>F_12_00_DM_2001</v>
      </c>
      <c r="AC3" s="7">
        <f>IF(E3="Yes",AA3*Tab_Data_Flows[[#This Row],[Flow_Material]],"N.A.")</f>
        <v>100</v>
      </c>
      <c r="AD3" s="7" t="str">
        <f>Tab_Data_Flows[[#This Row],[UoM_Flow_Py]]</f>
        <v>Mg</v>
      </c>
      <c r="AE3" s="156">
        <f>INDEX(Tab_Def_Flows[[Flow_ID]:[CC_DM_source]],MATCH(Tab_Data_Flows[[#This Row],[Flow_Name]],Tab_Def_Flows[Flow_Name],0),17)</f>
        <v>0.8</v>
      </c>
      <c r="AF3" s="7" t="str">
        <f>Tab_Data_Flows[[#This Row],[Flow_ID]]&amp;"_"&amp;"CC_"&amp;Tab_Data_Flows[[#This Row],[Flow_Data_Year]]</f>
        <v>F_12_00_CC_2001</v>
      </c>
      <c r="AG3" s="7">
        <f>IF(F3="Yes",AE3*Tab_Data_Flows[[#This Row],[Flow_Material]]*Tab_Data_Flows[[#This Row],[DM_'[%']]],"N.A.")</f>
        <v>80</v>
      </c>
      <c r="AH3" s="7" t="str">
        <f>Tab_Data_Flows[[#This Row],[UoM_Flow_Py]]</f>
        <v>Mg</v>
      </c>
      <c r="AI3"/>
    </row>
    <row r="4" spans="1:35" x14ac:dyDescent="0.25">
      <c r="A4" s="9">
        <f t="shared" si="1"/>
        <v>3</v>
      </c>
      <c r="B4" s="7" t="str">
        <f>_xlfn.XLOOKUP(C4,Tab_Def_Flows[Flow_Name],Tab_Def_Flows[Flow_ID],,0,)</f>
        <v>F_12_00</v>
      </c>
      <c r="C4" s="8" t="s">
        <v>739</v>
      </c>
      <c r="D4" s="10" t="str">
        <f>_xlfn.XLOOKUP(C4,Tab_Def_Flows[Flow_Name],Tab_Def_Flows[WC?],,0,)</f>
        <v>Yes</v>
      </c>
      <c r="E4" s="10" t="str">
        <f>_xlfn.XLOOKUP(C4,Tab_Def_Flows[Flow_Name],Tab_Def_Flows[DM?],,0,)</f>
        <v>Yes</v>
      </c>
      <c r="F4" s="10" t="str">
        <f>_xlfn.XLOOKUP(C4,Tab_Def_Flows[Flow_Name],Tab_Def_Flows[CC?],,0,)</f>
        <v>Yes</v>
      </c>
      <c r="G4" s="8">
        <v>2002</v>
      </c>
      <c r="H4" s="28">
        <v>100</v>
      </c>
      <c r="I4" s="8"/>
      <c r="J4" s="8"/>
      <c r="K4" s="8"/>
      <c r="L4" s="8"/>
      <c r="M4" s="8"/>
      <c r="N4" s="8"/>
      <c r="O4" s="8"/>
      <c r="P4" s="8"/>
      <c r="Q4" s="8" t="s">
        <v>8</v>
      </c>
      <c r="R4" s="21"/>
      <c r="S4" s="8"/>
      <c r="T4" s="7" t="str">
        <f>Tab_Data_Flows[[#This Row],[Flow_ID]]&amp;"_"&amp;"material_"&amp;Tab_Data_Flows[[#This Row],[Flow_Data_Year]]</f>
        <v>F_12_00_material_2002</v>
      </c>
      <c r="U4" s="18">
        <f t="shared" si="0"/>
        <v>100</v>
      </c>
      <c r="V4" s="8" t="s">
        <v>218</v>
      </c>
      <c r="W4" s="156">
        <f>INDEX(Tab_Def_Flows[[Flow_ID]:[CC_DM_source]],MATCH(Tab_Data_Flows[[#This Row],[Flow_Name]],Tab_Def_Flows[Flow_Name],0),11)</f>
        <v>0</v>
      </c>
      <c r="X4" s="7" t="str">
        <f>Tab_Data_Flows[[#This Row],[Flow_ID]]&amp;"_"&amp;"WC_"&amp;Tab_Data_Flows[[#This Row],[Flow_Data_Year]]</f>
        <v>F_12_00_WC_2002</v>
      </c>
      <c r="Y4" s="7">
        <f>IF(D4="Yes",U4*Tab_Data_Flows[[#This Row],[WC_'[%']]],"N.A.")</f>
        <v>0</v>
      </c>
      <c r="Z4" s="7" t="str">
        <f>Tab_Data_Flows[[#This Row],[UoM_Flow_Py]]</f>
        <v>Mg</v>
      </c>
      <c r="AA4" s="156">
        <f>INDEX(Tab_Def_Flows[[Flow_ID]:[CC_DM_source]],MATCH(Tab_Data_Flows[[#This Row],[Flow_Name]],Tab_Def_Flows[Flow_Name],0),14)</f>
        <v>1</v>
      </c>
      <c r="AB4" s="7" t="str">
        <f>Tab_Data_Flows[[#This Row],[Flow_ID]]&amp;"_"&amp;"DM_"&amp;Tab_Data_Flows[[#This Row],[Flow_Data_Year]]</f>
        <v>F_12_00_DM_2002</v>
      </c>
      <c r="AC4" s="7">
        <f>IF(E4="Yes",AA4*Tab_Data_Flows[[#This Row],[Flow_Material]],"N.A.")</f>
        <v>100</v>
      </c>
      <c r="AD4" s="7" t="str">
        <f>Tab_Data_Flows[[#This Row],[UoM_Flow_Py]]</f>
        <v>Mg</v>
      </c>
      <c r="AE4" s="156">
        <f>INDEX(Tab_Def_Flows[[Flow_ID]:[CC_DM_source]],MATCH(Tab_Data_Flows[[#This Row],[Flow_Name]],Tab_Def_Flows[Flow_Name],0),17)</f>
        <v>0.8</v>
      </c>
      <c r="AF4" s="7" t="str">
        <f>Tab_Data_Flows[[#This Row],[Flow_ID]]&amp;"_"&amp;"CC_"&amp;Tab_Data_Flows[[#This Row],[Flow_Data_Year]]</f>
        <v>F_12_00_CC_2002</v>
      </c>
      <c r="AG4" s="7">
        <f>IF(F4="Yes",AE4*Tab_Data_Flows[[#This Row],[Flow_Material]]*Tab_Data_Flows[[#This Row],[DM_'[%']]],"N.A.")</f>
        <v>80</v>
      </c>
      <c r="AH4" s="7" t="str">
        <f>Tab_Data_Flows[[#This Row],[UoM_Flow_Py]]</f>
        <v>Mg</v>
      </c>
      <c r="AI4"/>
    </row>
    <row r="5" spans="1:35" x14ac:dyDescent="0.25">
      <c r="A5" s="9">
        <f t="shared" si="1"/>
        <v>4</v>
      </c>
      <c r="B5" s="7" t="str">
        <f>_xlfn.XLOOKUP(C5,Tab_Def_Flows[Flow_Name],Tab_Def_Flows[Flow_ID],,0,)</f>
        <v>F_12_00</v>
      </c>
      <c r="C5" s="8" t="s">
        <v>739</v>
      </c>
      <c r="D5" s="10" t="str">
        <f>_xlfn.XLOOKUP(C5,Tab_Def_Flows[Flow_Name],Tab_Def_Flows[WC?],,0,)</f>
        <v>Yes</v>
      </c>
      <c r="E5" s="10" t="str">
        <f>_xlfn.XLOOKUP(C5,Tab_Def_Flows[Flow_Name],Tab_Def_Flows[DM?],,0,)</f>
        <v>Yes</v>
      </c>
      <c r="F5" s="10" t="str">
        <f>_xlfn.XLOOKUP(C5,Tab_Def_Flows[Flow_Name],Tab_Def_Flows[CC?],,0,)</f>
        <v>Yes</v>
      </c>
      <c r="G5" s="8">
        <v>2003</v>
      </c>
      <c r="H5" s="28">
        <v>100</v>
      </c>
      <c r="I5" s="8"/>
      <c r="J5" s="8"/>
      <c r="K5" s="8"/>
      <c r="L5" s="8"/>
      <c r="M5" s="8"/>
      <c r="N5" s="8"/>
      <c r="O5" s="8"/>
      <c r="P5" s="8"/>
      <c r="Q5" s="8" t="s">
        <v>8</v>
      </c>
      <c r="R5" s="21"/>
      <c r="S5" s="8"/>
      <c r="T5" s="7" t="str">
        <f>Tab_Data_Flows[[#This Row],[Flow_ID]]&amp;"_"&amp;"material_"&amp;Tab_Data_Flows[[#This Row],[Flow_Data_Year]]</f>
        <v>F_12_00_material_2003</v>
      </c>
      <c r="U5" s="18">
        <f t="shared" si="0"/>
        <v>100</v>
      </c>
      <c r="V5" s="8" t="s">
        <v>218</v>
      </c>
      <c r="W5" s="156">
        <f>INDEX(Tab_Def_Flows[[Flow_ID]:[CC_DM_source]],MATCH(Tab_Data_Flows[[#This Row],[Flow_Name]],Tab_Def_Flows[Flow_Name],0),11)</f>
        <v>0</v>
      </c>
      <c r="X5" s="7" t="str">
        <f>Tab_Data_Flows[[#This Row],[Flow_ID]]&amp;"_"&amp;"WC_"&amp;Tab_Data_Flows[[#This Row],[Flow_Data_Year]]</f>
        <v>F_12_00_WC_2003</v>
      </c>
      <c r="Y5" s="7">
        <f>IF(D5="Yes",U5*Tab_Data_Flows[[#This Row],[WC_'[%']]],"N.A.")</f>
        <v>0</v>
      </c>
      <c r="Z5" s="7" t="str">
        <f>Tab_Data_Flows[[#This Row],[UoM_Flow_Py]]</f>
        <v>Mg</v>
      </c>
      <c r="AA5" s="156">
        <f>INDEX(Tab_Def_Flows[[Flow_ID]:[CC_DM_source]],MATCH(Tab_Data_Flows[[#This Row],[Flow_Name]],Tab_Def_Flows[Flow_Name],0),14)</f>
        <v>1</v>
      </c>
      <c r="AB5" s="7" t="str">
        <f>Tab_Data_Flows[[#This Row],[Flow_ID]]&amp;"_"&amp;"DM_"&amp;Tab_Data_Flows[[#This Row],[Flow_Data_Year]]</f>
        <v>F_12_00_DM_2003</v>
      </c>
      <c r="AC5" s="7">
        <f>IF(E5="Yes",AA5*Tab_Data_Flows[[#This Row],[Flow_Material]],"N.A.")</f>
        <v>100</v>
      </c>
      <c r="AD5" s="7" t="str">
        <f>Tab_Data_Flows[[#This Row],[UoM_Flow_Py]]</f>
        <v>Mg</v>
      </c>
      <c r="AE5" s="156">
        <f>INDEX(Tab_Def_Flows[[Flow_ID]:[CC_DM_source]],MATCH(Tab_Data_Flows[[#This Row],[Flow_Name]],Tab_Def_Flows[Flow_Name],0),17)</f>
        <v>0.8</v>
      </c>
      <c r="AF5" s="7" t="str">
        <f>Tab_Data_Flows[[#This Row],[Flow_ID]]&amp;"_"&amp;"CC_"&amp;Tab_Data_Flows[[#This Row],[Flow_Data_Year]]</f>
        <v>F_12_00_CC_2003</v>
      </c>
      <c r="AG5" s="7">
        <f>IF(F5="Yes",AE5*Tab_Data_Flows[[#This Row],[Flow_Material]]*Tab_Data_Flows[[#This Row],[DM_'[%']]],"N.A.")</f>
        <v>80</v>
      </c>
      <c r="AH5" s="7" t="str">
        <f>Tab_Data_Flows[[#This Row],[UoM_Flow_Py]]</f>
        <v>Mg</v>
      </c>
      <c r="AI5"/>
    </row>
    <row r="6" spans="1:35" x14ac:dyDescent="0.25">
      <c r="A6" s="9">
        <f t="shared" si="1"/>
        <v>5</v>
      </c>
      <c r="B6" s="7" t="str">
        <f>_xlfn.XLOOKUP(C6,Tab_Def_Flows[Flow_Name],Tab_Def_Flows[Flow_ID],,0,)</f>
        <v>F_12_00</v>
      </c>
      <c r="C6" s="8" t="s">
        <v>739</v>
      </c>
      <c r="D6" s="10" t="str">
        <f>_xlfn.XLOOKUP(C6,Tab_Def_Flows[Flow_Name],Tab_Def_Flows[WC?],,0,)</f>
        <v>Yes</v>
      </c>
      <c r="E6" s="10" t="str">
        <f>_xlfn.XLOOKUP(C6,Tab_Def_Flows[Flow_Name],Tab_Def_Flows[DM?],,0,)</f>
        <v>Yes</v>
      </c>
      <c r="F6" s="10" t="str">
        <f>_xlfn.XLOOKUP(C6,Tab_Def_Flows[Flow_Name],Tab_Def_Flows[CC?],,0,)</f>
        <v>Yes</v>
      </c>
      <c r="G6" s="8">
        <v>2004</v>
      </c>
      <c r="H6" s="28">
        <v>100</v>
      </c>
      <c r="I6" s="8"/>
      <c r="J6" s="8"/>
      <c r="K6" s="8"/>
      <c r="L6" s="8"/>
      <c r="M6" s="8"/>
      <c r="N6" s="8"/>
      <c r="O6" s="8"/>
      <c r="P6" s="8"/>
      <c r="Q6" s="8" t="s">
        <v>8</v>
      </c>
      <c r="R6" s="21"/>
      <c r="S6" s="8"/>
      <c r="T6" s="7" t="str">
        <f>Tab_Data_Flows[[#This Row],[Flow_ID]]&amp;"_"&amp;"material_"&amp;Tab_Data_Flows[[#This Row],[Flow_Data_Year]]</f>
        <v>F_12_00_material_2004</v>
      </c>
      <c r="U6" s="18">
        <f t="shared" si="0"/>
        <v>100</v>
      </c>
      <c r="V6" s="8" t="s">
        <v>218</v>
      </c>
      <c r="W6" s="156">
        <f>INDEX(Tab_Def_Flows[[Flow_ID]:[CC_DM_source]],MATCH(Tab_Data_Flows[[#This Row],[Flow_Name]],Tab_Def_Flows[Flow_Name],0),11)</f>
        <v>0</v>
      </c>
      <c r="X6" s="7" t="str">
        <f>Tab_Data_Flows[[#This Row],[Flow_ID]]&amp;"_"&amp;"WC_"&amp;Tab_Data_Flows[[#This Row],[Flow_Data_Year]]</f>
        <v>F_12_00_WC_2004</v>
      </c>
      <c r="Y6" s="7">
        <f>IF(D6="Yes",U6*Tab_Data_Flows[[#This Row],[WC_'[%']]],"N.A.")</f>
        <v>0</v>
      </c>
      <c r="Z6" s="7" t="str">
        <f>Tab_Data_Flows[[#This Row],[UoM_Flow_Py]]</f>
        <v>Mg</v>
      </c>
      <c r="AA6" s="156">
        <f>INDEX(Tab_Def_Flows[[Flow_ID]:[CC_DM_source]],MATCH(Tab_Data_Flows[[#This Row],[Flow_Name]],Tab_Def_Flows[Flow_Name],0),14)</f>
        <v>1</v>
      </c>
      <c r="AB6" s="7" t="str">
        <f>Tab_Data_Flows[[#This Row],[Flow_ID]]&amp;"_"&amp;"DM_"&amp;Tab_Data_Flows[[#This Row],[Flow_Data_Year]]</f>
        <v>F_12_00_DM_2004</v>
      </c>
      <c r="AC6" s="7">
        <f>IF(E6="Yes",AA6*Tab_Data_Flows[[#This Row],[Flow_Material]],"N.A.")</f>
        <v>100</v>
      </c>
      <c r="AD6" s="7" t="str">
        <f>Tab_Data_Flows[[#This Row],[UoM_Flow_Py]]</f>
        <v>Mg</v>
      </c>
      <c r="AE6" s="156">
        <f>INDEX(Tab_Def_Flows[[Flow_ID]:[CC_DM_source]],MATCH(Tab_Data_Flows[[#This Row],[Flow_Name]],Tab_Def_Flows[Flow_Name],0),17)</f>
        <v>0.8</v>
      </c>
      <c r="AF6" s="7" t="str">
        <f>Tab_Data_Flows[[#This Row],[Flow_ID]]&amp;"_"&amp;"CC_"&amp;Tab_Data_Flows[[#This Row],[Flow_Data_Year]]</f>
        <v>F_12_00_CC_2004</v>
      </c>
      <c r="AG6" s="7">
        <f>IF(F6="Yes",AE6*Tab_Data_Flows[[#This Row],[Flow_Material]]*Tab_Data_Flows[[#This Row],[DM_'[%']]],"N.A.")</f>
        <v>80</v>
      </c>
      <c r="AH6" s="7" t="str">
        <f>Tab_Data_Flows[[#This Row],[UoM_Flow_Py]]</f>
        <v>Mg</v>
      </c>
      <c r="AI6"/>
    </row>
    <row r="7" spans="1:35" x14ac:dyDescent="0.25">
      <c r="A7" s="9">
        <f t="shared" si="1"/>
        <v>6</v>
      </c>
      <c r="B7" s="7" t="str">
        <f>_xlfn.XLOOKUP(C7,Tab_Def_Flows[Flow_Name],Tab_Def_Flows[Flow_ID],,0,)</f>
        <v>F_12_00</v>
      </c>
      <c r="C7" s="8" t="s">
        <v>739</v>
      </c>
      <c r="D7" s="10" t="str">
        <f>_xlfn.XLOOKUP(C7,Tab_Def_Flows[Flow_Name],Tab_Def_Flows[WC?],,0,)</f>
        <v>Yes</v>
      </c>
      <c r="E7" s="10" t="str">
        <f>_xlfn.XLOOKUP(C7,Tab_Def_Flows[Flow_Name],Tab_Def_Flows[DM?],,0,)</f>
        <v>Yes</v>
      </c>
      <c r="F7" s="10" t="str">
        <f>_xlfn.XLOOKUP(C7,Tab_Def_Flows[Flow_Name],Tab_Def_Flows[CC?],,0,)</f>
        <v>Yes</v>
      </c>
      <c r="G7" s="8">
        <v>2005</v>
      </c>
      <c r="H7" s="28">
        <v>100</v>
      </c>
      <c r="I7" s="8"/>
      <c r="J7" s="8"/>
      <c r="K7" s="8"/>
      <c r="L7" s="8"/>
      <c r="M7" s="8"/>
      <c r="N7" s="8"/>
      <c r="O7" s="8"/>
      <c r="P7" s="8"/>
      <c r="Q7" s="8" t="s">
        <v>8</v>
      </c>
      <c r="R7" s="21"/>
      <c r="S7" s="8"/>
      <c r="T7" s="7" t="str">
        <f>Tab_Data_Flows[[#This Row],[Flow_ID]]&amp;"_"&amp;"material_"&amp;Tab_Data_Flows[[#This Row],[Flow_Data_Year]]</f>
        <v>F_12_00_material_2005</v>
      </c>
      <c r="U7" s="18">
        <f t="shared" si="0"/>
        <v>100</v>
      </c>
      <c r="V7" s="8" t="s">
        <v>218</v>
      </c>
      <c r="W7" s="156">
        <f>INDEX(Tab_Def_Flows[[Flow_ID]:[CC_DM_source]],MATCH(Tab_Data_Flows[[#This Row],[Flow_Name]],Tab_Def_Flows[Flow_Name],0),11)</f>
        <v>0</v>
      </c>
      <c r="X7" s="7" t="str">
        <f>Tab_Data_Flows[[#This Row],[Flow_ID]]&amp;"_"&amp;"WC_"&amp;Tab_Data_Flows[[#This Row],[Flow_Data_Year]]</f>
        <v>F_12_00_WC_2005</v>
      </c>
      <c r="Y7" s="7">
        <f>IF(D7="Yes",U7*Tab_Data_Flows[[#This Row],[WC_'[%']]],"N.A.")</f>
        <v>0</v>
      </c>
      <c r="Z7" s="7" t="str">
        <f>Tab_Data_Flows[[#This Row],[UoM_Flow_Py]]</f>
        <v>Mg</v>
      </c>
      <c r="AA7" s="156">
        <f>INDEX(Tab_Def_Flows[[Flow_ID]:[CC_DM_source]],MATCH(Tab_Data_Flows[[#This Row],[Flow_Name]],Tab_Def_Flows[Flow_Name],0),14)</f>
        <v>1</v>
      </c>
      <c r="AB7" s="7" t="str">
        <f>Tab_Data_Flows[[#This Row],[Flow_ID]]&amp;"_"&amp;"DM_"&amp;Tab_Data_Flows[[#This Row],[Flow_Data_Year]]</f>
        <v>F_12_00_DM_2005</v>
      </c>
      <c r="AC7" s="7">
        <f>IF(E7="Yes",AA7*Tab_Data_Flows[[#This Row],[Flow_Material]],"N.A.")</f>
        <v>100</v>
      </c>
      <c r="AD7" s="7" t="str">
        <f>Tab_Data_Flows[[#This Row],[UoM_Flow_Py]]</f>
        <v>Mg</v>
      </c>
      <c r="AE7" s="156">
        <f>INDEX(Tab_Def_Flows[[Flow_ID]:[CC_DM_source]],MATCH(Tab_Data_Flows[[#This Row],[Flow_Name]],Tab_Def_Flows[Flow_Name],0),17)</f>
        <v>0.8</v>
      </c>
      <c r="AF7" s="7" t="str">
        <f>Tab_Data_Flows[[#This Row],[Flow_ID]]&amp;"_"&amp;"CC_"&amp;Tab_Data_Flows[[#This Row],[Flow_Data_Year]]</f>
        <v>F_12_00_CC_2005</v>
      </c>
      <c r="AG7" s="7">
        <f>IF(F7="Yes",AE7*Tab_Data_Flows[[#This Row],[Flow_Material]]*Tab_Data_Flows[[#This Row],[DM_'[%']]],"N.A.")</f>
        <v>80</v>
      </c>
      <c r="AH7" s="7" t="str">
        <f>Tab_Data_Flows[[#This Row],[UoM_Flow_Py]]</f>
        <v>Mg</v>
      </c>
      <c r="AI7"/>
    </row>
    <row r="8" spans="1:35" x14ac:dyDescent="0.25">
      <c r="A8" s="9">
        <f t="shared" si="1"/>
        <v>7</v>
      </c>
      <c r="B8" s="7" t="str">
        <f>_xlfn.XLOOKUP(C8,Tab_Def_Flows[Flow_Name],Tab_Def_Flows[Flow_ID],,0,)</f>
        <v>F_12_00</v>
      </c>
      <c r="C8" s="8" t="s">
        <v>739</v>
      </c>
      <c r="D8" s="10" t="str">
        <f>_xlfn.XLOOKUP(C8,Tab_Def_Flows[Flow_Name],Tab_Def_Flows[WC?],,0,)</f>
        <v>Yes</v>
      </c>
      <c r="E8" s="10" t="str">
        <f>_xlfn.XLOOKUP(C8,Tab_Def_Flows[Flow_Name],Tab_Def_Flows[DM?],,0,)</f>
        <v>Yes</v>
      </c>
      <c r="F8" s="10" t="str">
        <f>_xlfn.XLOOKUP(C8,Tab_Def_Flows[Flow_Name],Tab_Def_Flows[CC?],,0,)</f>
        <v>Yes</v>
      </c>
      <c r="G8" s="8">
        <v>2006</v>
      </c>
      <c r="H8" s="28">
        <v>100</v>
      </c>
      <c r="I8" s="8"/>
      <c r="J8" s="8"/>
      <c r="K8" s="8"/>
      <c r="L8" s="8"/>
      <c r="M8" s="8"/>
      <c r="N8" s="8"/>
      <c r="O8" s="8"/>
      <c r="P8" s="8"/>
      <c r="Q8" s="8" t="s">
        <v>8</v>
      </c>
      <c r="R8" s="21"/>
      <c r="S8" s="8"/>
      <c r="T8" s="7" t="str">
        <f>Tab_Data_Flows[[#This Row],[Flow_ID]]&amp;"_"&amp;"material_"&amp;Tab_Data_Flows[[#This Row],[Flow_Data_Year]]</f>
        <v>F_12_00_material_2006</v>
      </c>
      <c r="U8" s="18">
        <f t="shared" si="0"/>
        <v>100</v>
      </c>
      <c r="V8" s="8" t="s">
        <v>218</v>
      </c>
      <c r="W8" s="156">
        <f>INDEX(Tab_Def_Flows[[Flow_ID]:[CC_DM_source]],MATCH(Tab_Data_Flows[[#This Row],[Flow_Name]],Tab_Def_Flows[Flow_Name],0),11)</f>
        <v>0</v>
      </c>
      <c r="X8" s="7" t="str">
        <f>Tab_Data_Flows[[#This Row],[Flow_ID]]&amp;"_"&amp;"WC_"&amp;Tab_Data_Flows[[#This Row],[Flow_Data_Year]]</f>
        <v>F_12_00_WC_2006</v>
      </c>
      <c r="Y8" s="7">
        <f>IF(D8="Yes",U8*Tab_Data_Flows[[#This Row],[WC_'[%']]],"N.A.")</f>
        <v>0</v>
      </c>
      <c r="Z8" s="7" t="str">
        <f>Tab_Data_Flows[[#This Row],[UoM_Flow_Py]]</f>
        <v>Mg</v>
      </c>
      <c r="AA8" s="156">
        <f>INDEX(Tab_Def_Flows[[Flow_ID]:[CC_DM_source]],MATCH(Tab_Data_Flows[[#This Row],[Flow_Name]],Tab_Def_Flows[Flow_Name],0),14)</f>
        <v>1</v>
      </c>
      <c r="AB8" s="7" t="str">
        <f>Tab_Data_Flows[[#This Row],[Flow_ID]]&amp;"_"&amp;"DM_"&amp;Tab_Data_Flows[[#This Row],[Flow_Data_Year]]</f>
        <v>F_12_00_DM_2006</v>
      </c>
      <c r="AC8" s="7">
        <f>IF(E8="Yes",AA8*Tab_Data_Flows[[#This Row],[Flow_Material]],"N.A.")</f>
        <v>100</v>
      </c>
      <c r="AD8" s="7" t="str">
        <f>Tab_Data_Flows[[#This Row],[UoM_Flow_Py]]</f>
        <v>Mg</v>
      </c>
      <c r="AE8" s="156">
        <f>INDEX(Tab_Def_Flows[[Flow_ID]:[CC_DM_source]],MATCH(Tab_Data_Flows[[#This Row],[Flow_Name]],Tab_Def_Flows[Flow_Name],0),17)</f>
        <v>0.8</v>
      </c>
      <c r="AF8" s="7" t="str">
        <f>Tab_Data_Flows[[#This Row],[Flow_ID]]&amp;"_"&amp;"CC_"&amp;Tab_Data_Flows[[#This Row],[Flow_Data_Year]]</f>
        <v>F_12_00_CC_2006</v>
      </c>
      <c r="AG8" s="7">
        <f>IF(F8="Yes",AE8*Tab_Data_Flows[[#This Row],[Flow_Material]]*Tab_Data_Flows[[#This Row],[DM_'[%']]],"N.A.")</f>
        <v>80</v>
      </c>
      <c r="AH8" s="7" t="str">
        <f>Tab_Data_Flows[[#This Row],[UoM_Flow_Py]]</f>
        <v>Mg</v>
      </c>
      <c r="AI8"/>
    </row>
    <row r="9" spans="1:35" x14ac:dyDescent="0.25">
      <c r="A9" s="9">
        <f t="shared" si="1"/>
        <v>8</v>
      </c>
      <c r="B9" s="7" t="str">
        <f>_xlfn.XLOOKUP(C9,Tab_Def_Flows[Flow_Name],Tab_Def_Flows[Flow_ID],,0,)</f>
        <v>F_12_00</v>
      </c>
      <c r="C9" s="8" t="s">
        <v>739</v>
      </c>
      <c r="D9" s="10" t="str">
        <f>_xlfn.XLOOKUP(C9,Tab_Def_Flows[Flow_Name],Tab_Def_Flows[WC?],,0,)</f>
        <v>Yes</v>
      </c>
      <c r="E9" s="10" t="str">
        <f>_xlfn.XLOOKUP(C9,Tab_Def_Flows[Flow_Name],Tab_Def_Flows[DM?],,0,)</f>
        <v>Yes</v>
      </c>
      <c r="F9" s="10" t="str">
        <f>_xlfn.XLOOKUP(C9,Tab_Def_Flows[Flow_Name],Tab_Def_Flows[CC?],,0,)</f>
        <v>Yes</v>
      </c>
      <c r="G9" s="8">
        <v>2007</v>
      </c>
      <c r="H9" s="28">
        <v>100</v>
      </c>
      <c r="I9" s="8"/>
      <c r="J9" s="8"/>
      <c r="K9" s="8" t="e">
        <f>INDEX(#REF!,MATCH(Tab_Data_Flows[[#This Row],[Flow_Name]],#REF!,0),12)</f>
        <v>#REF!</v>
      </c>
      <c r="L9" s="8" t="e">
        <f>MATCH(Tab_Data_Flows[[#This Row],[Flow_Name]],#REF!,0)</f>
        <v>#REF!</v>
      </c>
      <c r="M9" s="8"/>
      <c r="N9" s="8"/>
      <c r="O9" s="8"/>
      <c r="P9" s="8"/>
      <c r="Q9" s="8" t="s">
        <v>8</v>
      </c>
      <c r="R9" s="8"/>
      <c r="S9" s="8"/>
      <c r="T9" s="7" t="str">
        <f>Tab_Data_Flows[[#This Row],[Flow_ID]]&amp;"_"&amp;"material_"&amp;Tab_Data_Flows[[#This Row],[Flow_Data_Year]]</f>
        <v>F_12_00_material_2007</v>
      </c>
      <c r="U9" s="18">
        <f t="shared" si="0"/>
        <v>100</v>
      </c>
      <c r="V9" s="8" t="s">
        <v>218</v>
      </c>
      <c r="W9" s="156">
        <f>INDEX(Tab_Def_Flows[[Flow_ID]:[CC_DM_source]],MATCH(Tab_Data_Flows[[#This Row],[Flow_Name]],Tab_Def_Flows[Flow_Name],0),11)</f>
        <v>0</v>
      </c>
      <c r="X9" s="7" t="str">
        <f>Tab_Data_Flows[[#This Row],[Flow_ID]]&amp;"_"&amp;"WC_"&amp;Tab_Data_Flows[[#This Row],[Flow_Data_Year]]</f>
        <v>F_12_00_WC_2007</v>
      </c>
      <c r="Y9" s="7">
        <f>IF(D9="Yes",U9*Tab_Data_Flows[[#This Row],[WC_'[%']]],"N.A.")</f>
        <v>0</v>
      </c>
      <c r="Z9" s="7" t="str">
        <f>Tab_Data_Flows[[#This Row],[UoM_Flow_Py]]</f>
        <v>Mg</v>
      </c>
      <c r="AA9" s="156">
        <f>INDEX(Tab_Def_Flows[[Flow_ID]:[CC_DM_source]],MATCH(Tab_Data_Flows[[#This Row],[Flow_Name]],Tab_Def_Flows[Flow_Name],0),14)</f>
        <v>1</v>
      </c>
      <c r="AB9" s="7" t="str">
        <f>Tab_Data_Flows[[#This Row],[Flow_ID]]&amp;"_"&amp;"DM_"&amp;Tab_Data_Flows[[#This Row],[Flow_Data_Year]]</f>
        <v>F_12_00_DM_2007</v>
      </c>
      <c r="AC9" s="7">
        <f>IF(E9="Yes",AA9*Tab_Data_Flows[[#This Row],[Flow_Material]],"N.A.")</f>
        <v>100</v>
      </c>
      <c r="AD9" s="7" t="str">
        <f>Tab_Data_Flows[[#This Row],[UoM_Flow_Py]]</f>
        <v>Mg</v>
      </c>
      <c r="AE9" s="156">
        <f>INDEX(Tab_Def_Flows[[Flow_ID]:[CC_DM_source]],MATCH(Tab_Data_Flows[[#This Row],[Flow_Name]],Tab_Def_Flows[Flow_Name],0),17)</f>
        <v>0.8</v>
      </c>
      <c r="AF9" s="7" t="str">
        <f>Tab_Data_Flows[[#This Row],[Flow_ID]]&amp;"_"&amp;"CC_"&amp;Tab_Data_Flows[[#This Row],[Flow_Data_Year]]</f>
        <v>F_12_00_CC_2007</v>
      </c>
      <c r="AG9" s="7">
        <f>IF(F9="Yes",AE9*Tab_Data_Flows[[#This Row],[Flow_Material]]*Tab_Data_Flows[[#This Row],[DM_'[%']]],"N.A.")</f>
        <v>80</v>
      </c>
      <c r="AH9" s="7" t="str">
        <f>Tab_Data_Flows[[#This Row],[UoM_Flow_Py]]</f>
        <v>Mg</v>
      </c>
      <c r="AI9"/>
    </row>
    <row r="10" spans="1:35" x14ac:dyDescent="0.25">
      <c r="A10" s="9">
        <f t="shared" si="1"/>
        <v>9</v>
      </c>
      <c r="B10" s="7" t="str">
        <f>_xlfn.XLOOKUP(C10,Tab_Def_Flows[Flow_Name],Tab_Def_Flows[Flow_ID],,0,)</f>
        <v>F_12_00</v>
      </c>
      <c r="C10" s="8" t="s">
        <v>739</v>
      </c>
      <c r="D10" s="10" t="str">
        <f>_xlfn.XLOOKUP(C10,Tab_Def_Flows[Flow_Name],Tab_Def_Flows[WC?],,0,)</f>
        <v>Yes</v>
      </c>
      <c r="E10" s="10" t="str">
        <f>_xlfn.XLOOKUP(C10,Tab_Def_Flows[Flow_Name],Tab_Def_Flows[DM?],,0,)</f>
        <v>Yes</v>
      </c>
      <c r="F10" s="10" t="str">
        <f>_xlfn.XLOOKUP(C10,Tab_Def_Flows[Flow_Name],Tab_Def_Flows[CC?],,0,)</f>
        <v>Yes</v>
      </c>
      <c r="G10" s="8">
        <v>2008</v>
      </c>
      <c r="H10" s="28">
        <v>100</v>
      </c>
      <c r="I10" s="8"/>
      <c r="J10" s="8"/>
      <c r="K10" s="8" t="e">
        <f>INDEX(#REF!,MATCH(Tab_Data_Flows[[#This Row],[Flow_Name]],#REF!,0),12)</f>
        <v>#REF!</v>
      </c>
      <c r="L10" s="8" t="e">
        <f>MATCH(Tab_Data_Flows[[#This Row],[Flow_Name]],#REF!,0)</f>
        <v>#REF!</v>
      </c>
      <c r="M10" s="8"/>
      <c r="N10" s="8"/>
      <c r="O10" s="8"/>
      <c r="P10" s="8"/>
      <c r="Q10" s="8" t="s">
        <v>8</v>
      </c>
      <c r="R10" s="8"/>
      <c r="S10" s="8"/>
      <c r="T10" s="7" t="str">
        <f>Tab_Data_Flows[[#This Row],[Flow_ID]]&amp;"_"&amp;"material_"&amp;Tab_Data_Flows[[#This Row],[Flow_Data_Year]]</f>
        <v>F_12_00_material_2008</v>
      </c>
      <c r="U10" s="18">
        <f t="shared" si="0"/>
        <v>100</v>
      </c>
      <c r="V10" s="8" t="s">
        <v>218</v>
      </c>
      <c r="W10" s="156">
        <f>INDEX(Tab_Def_Flows[[Flow_ID]:[CC_DM_source]],MATCH(Tab_Data_Flows[[#This Row],[Flow_Name]],Tab_Def_Flows[Flow_Name],0),11)</f>
        <v>0</v>
      </c>
      <c r="X10" s="7" t="str">
        <f>Tab_Data_Flows[[#This Row],[Flow_ID]]&amp;"_"&amp;"WC_"&amp;Tab_Data_Flows[[#This Row],[Flow_Data_Year]]</f>
        <v>F_12_00_WC_2008</v>
      </c>
      <c r="Y10" s="7">
        <f>IF(D10="Yes",U10*Tab_Data_Flows[[#This Row],[WC_'[%']]],"N.A.")</f>
        <v>0</v>
      </c>
      <c r="Z10" s="7" t="str">
        <f>Tab_Data_Flows[[#This Row],[UoM_Flow_Py]]</f>
        <v>Mg</v>
      </c>
      <c r="AA10" s="156">
        <f>INDEX(Tab_Def_Flows[[Flow_ID]:[CC_DM_source]],MATCH(Tab_Data_Flows[[#This Row],[Flow_Name]],Tab_Def_Flows[Flow_Name],0),14)</f>
        <v>1</v>
      </c>
      <c r="AB10" s="7" t="str">
        <f>Tab_Data_Flows[[#This Row],[Flow_ID]]&amp;"_"&amp;"DM_"&amp;Tab_Data_Flows[[#This Row],[Flow_Data_Year]]</f>
        <v>F_12_00_DM_2008</v>
      </c>
      <c r="AC10" s="7">
        <f>IF(E10="Yes",AA10*Tab_Data_Flows[[#This Row],[Flow_Material]],"N.A.")</f>
        <v>100</v>
      </c>
      <c r="AD10" s="7" t="str">
        <f>Tab_Data_Flows[[#This Row],[UoM_Flow_Py]]</f>
        <v>Mg</v>
      </c>
      <c r="AE10" s="156">
        <f>INDEX(Tab_Def_Flows[[Flow_ID]:[CC_DM_source]],MATCH(Tab_Data_Flows[[#This Row],[Flow_Name]],Tab_Def_Flows[Flow_Name],0),17)</f>
        <v>0.8</v>
      </c>
      <c r="AF10" s="7" t="str">
        <f>Tab_Data_Flows[[#This Row],[Flow_ID]]&amp;"_"&amp;"CC_"&amp;Tab_Data_Flows[[#This Row],[Flow_Data_Year]]</f>
        <v>F_12_00_CC_2008</v>
      </c>
      <c r="AG10" s="7">
        <f>IF(F10="Yes",AE10*Tab_Data_Flows[[#This Row],[Flow_Material]]*Tab_Data_Flows[[#This Row],[DM_'[%']]],"N.A.")</f>
        <v>80</v>
      </c>
      <c r="AH10" s="7" t="str">
        <f>Tab_Data_Flows[[#This Row],[UoM_Flow_Py]]</f>
        <v>Mg</v>
      </c>
      <c r="AI10"/>
    </row>
    <row r="11" spans="1:35" x14ac:dyDescent="0.25">
      <c r="A11" s="9">
        <f t="shared" si="1"/>
        <v>10</v>
      </c>
      <c r="B11" s="7" t="str">
        <f>_xlfn.XLOOKUP(C11,Tab_Def_Flows[Flow_Name],Tab_Def_Flows[Flow_ID],,0,)</f>
        <v>F_12_00</v>
      </c>
      <c r="C11" s="8" t="s">
        <v>739</v>
      </c>
      <c r="D11" s="10" t="str">
        <f>_xlfn.XLOOKUP(C11,Tab_Def_Flows[Flow_Name],Tab_Def_Flows[WC?],,0,)</f>
        <v>Yes</v>
      </c>
      <c r="E11" s="10" t="str">
        <f>_xlfn.XLOOKUP(C11,Tab_Def_Flows[Flow_Name],Tab_Def_Flows[DM?],,0,)</f>
        <v>Yes</v>
      </c>
      <c r="F11" s="10" t="str">
        <f>_xlfn.XLOOKUP(C11,Tab_Def_Flows[Flow_Name],Tab_Def_Flows[CC?],,0,)</f>
        <v>Yes</v>
      </c>
      <c r="G11" s="8">
        <v>2009</v>
      </c>
      <c r="H11" s="28">
        <v>100</v>
      </c>
      <c r="I11" s="8"/>
      <c r="J11" s="8"/>
      <c r="K11" s="8" t="e">
        <f>INDEX(#REF!,MATCH(Tab_Data_Flows[[#This Row],[Flow_Name]],#REF!,0),12)</f>
        <v>#REF!</v>
      </c>
      <c r="L11" s="8" t="e">
        <f>MATCH(Tab_Data_Flows[[#This Row],[Flow_Name]],#REF!,0)</f>
        <v>#REF!</v>
      </c>
      <c r="M11" s="8"/>
      <c r="N11" s="8"/>
      <c r="O11" s="8"/>
      <c r="P11" s="8"/>
      <c r="Q11" s="8" t="s">
        <v>8</v>
      </c>
      <c r="R11" s="8"/>
      <c r="S11" s="8"/>
      <c r="T11" s="7" t="str">
        <f>Tab_Data_Flows[[#This Row],[Flow_ID]]&amp;"_"&amp;"material_"&amp;Tab_Data_Flows[[#This Row],[Flow_Data_Year]]</f>
        <v>F_12_00_material_2009</v>
      </c>
      <c r="U11" s="18">
        <f t="shared" si="0"/>
        <v>100</v>
      </c>
      <c r="V11" s="8" t="s">
        <v>218</v>
      </c>
      <c r="W11" s="156">
        <f>INDEX(Tab_Def_Flows[[Flow_ID]:[CC_DM_source]],MATCH(Tab_Data_Flows[[#This Row],[Flow_Name]],Tab_Def_Flows[Flow_Name],0),11)</f>
        <v>0</v>
      </c>
      <c r="X11" s="7" t="str">
        <f>Tab_Data_Flows[[#This Row],[Flow_ID]]&amp;"_"&amp;"WC_"&amp;Tab_Data_Flows[[#This Row],[Flow_Data_Year]]</f>
        <v>F_12_00_WC_2009</v>
      </c>
      <c r="Y11" s="7">
        <f>IF(D11="Yes",U11*Tab_Data_Flows[[#This Row],[WC_'[%']]],"N.A.")</f>
        <v>0</v>
      </c>
      <c r="Z11" s="7" t="str">
        <f>Tab_Data_Flows[[#This Row],[UoM_Flow_Py]]</f>
        <v>Mg</v>
      </c>
      <c r="AA11" s="156">
        <f>INDEX(Tab_Def_Flows[[Flow_ID]:[CC_DM_source]],MATCH(Tab_Data_Flows[[#This Row],[Flow_Name]],Tab_Def_Flows[Flow_Name],0),14)</f>
        <v>1</v>
      </c>
      <c r="AB11" s="7" t="str">
        <f>Tab_Data_Flows[[#This Row],[Flow_ID]]&amp;"_"&amp;"DM_"&amp;Tab_Data_Flows[[#This Row],[Flow_Data_Year]]</f>
        <v>F_12_00_DM_2009</v>
      </c>
      <c r="AC11" s="7">
        <f>IF(E11="Yes",AA11*Tab_Data_Flows[[#This Row],[Flow_Material]],"N.A.")</f>
        <v>100</v>
      </c>
      <c r="AD11" s="7" t="str">
        <f>Tab_Data_Flows[[#This Row],[UoM_Flow_Py]]</f>
        <v>Mg</v>
      </c>
      <c r="AE11" s="156">
        <f>INDEX(Tab_Def_Flows[[Flow_ID]:[CC_DM_source]],MATCH(Tab_Data_Flows[[#This Row],[Flow_Name]],Tab_Def_Flows[Flow_Name],0),17)</f>
        <v>0.8</v>
      </c>
      <c r="AF11" s="7" t="str">
        <f>Tab_Data_Flows[[#This Row],[Flow_ID]]&amp;"_"&amp;"CC_"&amp;Tab_Data_Flows[[#This Row],[Flow_Data_Year]]</f>
        <v>F_12_00_CC_2009</v>
      </c>
      <c r="AG11" s="7">
        <f>IF(F11="Yes",AE11*Tab_Data_Flows[[#This Row],[Flow_Material]]*Tab_Data_Flows[[#This Row],[DM_'[%']]],"N.A.")</f>
        <v>80</v>
      </c>
      <c r="AH11" s="7" t="str">
        <f>Tab_Data_Flows[[#This Row],[UoM_Flow_Py]]</f>
        <v>Mg</v>
      </c>
      <c r="AI11"/>
    </row>
    <row r="12" spans="1:35" x14ac:dyDescent="0.25">
      <c r="A12" s="9">
        <f t="shared" si="1"/>
        <v>11</v>
      </c>
      <c r="B12" s="7" t="str">
        <f>_xlfn.XLOOKUP(C12,Tab_Def_Flows[Flow_Name],Tab_Def_Flows[Flow_ID],,0,)</f>
        <v>F_12_00</v>
      </c>
      <c r="C12" s="8" t="s">
        <v>739</v>
      </c>
      <c r="D12" s="10" t="str">
        <f>_xlfn.XLOOKUP(C12,Tab_Def_Flows[Flow_Name],Tab_Def_Flows[WC?],,0,)</f>
        <v>Yes</v>
      </c>
      <c r="E12" s="10" t="str">
        <f>_xlfn.XLOOKUP(C12,Tab_Def_Flows[Flow_Name],Tab_Def_Flows[DM?],,0,)</f>
        <v>Yes</v>
      </c>
      <c r="F12" s="10" t="str">
        <f>_xlfn.XLOOKUP(C12,Tab_Def_Flows[Flow_Name],Tab_Def_Flows[CC?],,0,)</f>
        <v>Yes</v>
      </c>
      <c r="G12" s="8">
        <v>2010</v>
      </c>
      <c r="H12" s="28">
        <v>100</v>
      </c>
      <c r="I12" s="8"/>
      <c r="J12" s="8"/>
      <c r="K12" s="8" t="e">
        <f>INDEX(#REF!,MATCH(Tab_Data_Flows[[#This Row],[Flow_Name]],#REF!,0),12)</f>
        <v>#REF!</v>
      </c>
      <c r="L12" s="8" t="e">
        <f>MATCH(Tab_Data_Flows[[#This Row],[Flow_Name]],#REF!,0)</f>
        <v>#REF!</v>
      </c>
      <c r="M12" s="8"/>
      <c r="N12" s="8"/>
      <c r="O12" s="8"/>
      <c r="P12" s="8"/>
      <c r="Q12" s="8" t="s">
        <v>8</v>
      </c>
      <c r="R12" s="8"/>
      <c r="S12" s="8"/>
      <c r="T12" s="7" t="str">
        <f>Tab_Data_Flows[[#This Row],[Flow_ID]]&amp;"_"&amp;"material_"&amp;Tab_Data_Flows[[#This Row],[Flow_Data_Year]]</f>
        <v>F_12_00_material_2010</v>
      </c>
      <c r="U12" s="18">
        <f t="shared" si="0"/>
        <v>100</v>
      </c>
      <c r="V12" s="8" t="s">
        <v>218</v>
      </c>
      <c r="W12" s="156">
        <f>INDEX(Tab_Def_Flows[[Flow_ID]:[CC_DM_source]],MATCH(Tab_Data_Flows[[#This Row],[Flow_Name]],Tab_Def_Flows[Flow_Name],0),11)</f>
        <v>0</v>
      </c>
      <c r="X12" s="7" t="str">
        <f>Tab_Data_Flows[[#This Row],[Flow_ID]]&amp;"_"&amp;"WC_"&amp;Tab_Data_Flows[[#This Row],[Flow_Data_Year]]</f>
        <v>F_12_00_WC_2010</v>
      </c>
      <c r="Y12" s="7">
        <f>IF(D12="Yes",U12*Tab_Data_Flows[[#This Row],[WC_'[%']]],"N.A.")</f>
        <v>0</v>
      </c>
      <c r="Z12" s="7" t="str">
        <f>Tab_Data_Flows[[#This Row],[UoM_Flow_Py]]</f>
        <v>Mg</v>
      </c>
      <c r="AA12" s="156">
        <f>INDEX(Tab_Def_Flows[[Flow_ID]:[CC_DM_source]],MATCH(Tab_Data_Flows[[#This Row],[Flow_Name]],Tab_Def_Flows[Flow_Name],0),14)</f>
        <v>1</v>
      </c>
      <c r="AB12" s="7" t="str">
        <f>Tab_Data_Flows[[#This Row],[Flow_ID]]&amp;"_"&amp;"DM_"&amp;Tab_Data_Flows[[#This Row],[Flow_Data_Year]]</f>
        <v>F_12_00_DM_2010</v>
      </c>
      <c r="AC12" s="7">
        <f>IF(E12="Yes",AA12*Tab_Data_Flows[[#This Row],[Flow_Material]],"N.A.")</f>
        <v>100</v>
      </c>
      <c r="AD12" s="7" t="str">
        <f>Tab_Data_Flows[[#This Row],[UoM_Flow_Py]]</f>
        <v>Mg</v>
      </c>
      <c r="AE12" s="156">
        <f>INDEX(Tab_Def_Flows[[Flow_ID]:[CC_DM_source]],MATCH(Tab_Data_Flows[[#This Row],[Flow_Name]],Tab_Def_Flows[Flow_Name],0),17)</f>
        <v>0.8</v>
      </c>
      <c r="AF12" s="7" t="str">
        <f>Tab_Data_Flows[[#This Row],[Flow_ID]]&amp;"_"&amp;"CC_"&amp;Tab_Data_Flows[[#This Row],[Flow_Data_Year]]</f>
        <v>F_12_00_CC_2010</v>
      </c>
      <c r="AG12" s="7">
        <f>IF(F12="Yes",AE12*Tab_Data_Flows[[#This Row],[Flow_Material]]*Tab_Data_Flows[[#This Row],[DM_'[%']]],"N.A.")</f>
        <v>80</v>
      </c>
      <c r="AH12" s="7" t="str">
        <f>Tab_Data_Flows[[#This Row],[UoM_Flow_Py]]</f>
        <v>Mg</v>
      </c>
      <c r="AI12"/>
    </row>
    <row r="13" spans="1:35" x14ac:dyDescent="0.25">
      <c r="A13" s="9">
        <f t="shared" si="1"/>
        <v>12</v>
      </c>
      <c r="B13" s="7" t="str">
        <f>_xlfn.XLOOKUP(C13,Tab_Def_Flows[Flow_Name],Tab_Def_Flows[Flow_ID],,0,)</f>
        <v>F_12_00</v>
      </c>
      <c r="C13" s="8" t="s">
        <v>739</v>
      </c>
      <c r="D13" s="10" t="str">
        <f>_xlfn.XLOOKUP(C13,Tab_Def_Flows[Flow_Name],Tab_Def_Flows[WC?],,0,)</f>
        <v>Yes</v>
      </c>
      <c r="E13" s="10" t="str">
        <f>_xlfn.XLOOKUP(C13,Tab_Def_Flows[Flow_Name],Tab_Def_Flows[DM?],,0,)</f>
        <v>Yes</v>
      </c>
      <c r="F13" s="10" t="str">
        <f>_xlfn.XLOOKUP(C13,Tab_Def_Flows[Flow_Name],Tab_Def_Flows[CC?],,0,)</f>
        <v>Yes</v>
      </c>
      <c r="G13" s="8">
        <v>2011</v>
      </c>
      <c r="H13" s="28">
        <v>100</v>
      </c>
      <c r="I13" s="8"/>
      <c r="J13" s="8"/>
      <c r="K13" s="8" t="e">
        <f>INDEX(#REF!,MATCH(Tab_Data_Flows[[#This Row],[Flow_Name]],#REF!,0),12)</f>
        <v>#REF!</v>
      </c>
      <c r="L13" s="8" t="e">
        <f>MATCH(Tab_Data_Flows[[#This Row],[Flow_Name]],#REF!,0)</f>
        <v>#REF!</v>
      </c>
      <c r="M13" s="8"/>
      <c r="N13" s="8"/>
      <c r="O13" s="8"/>
      <c r="P13" s="8"/>
      <c r="Q13" s="8" t="s">
        <v>8</v>
      </c>
      <c r="R13" s="8"/>
      <c r="S13" s="8"/>
      <c r="T13" s="7" t="str">
        <f>Tab_Data_Flows[[#This Row],[Flow_ID]]&amp;"_"&amp;"material_"&amp;Tab_Data_Flows[[#This Row],[Flow_Data_Year]]</f>
        <v>F_12_00_material_2011</v>
      </c>
      <c r="U13" s="18">
        <f t="shared" si="0"/>
        <v>100</v>
      </c>
      <c r="V13" s="8" t="s">
        <v>218</v>
      </c>
      <c r="W13" s="156">
        <f>INDEX(Tab_Def_Flows[[Flow_ID]:[CC_DM_source]],MATCH(Tab_Data_Flows[[#This Row],[Flow_Name]],Tab_Def_Flows[Flow_Name],0),11)</f>
        <v>0</v>
      </c>
      <c r="X13" s="7" t="str">
        <f>Tab_Data_Flows[[#This Row],[Flow_ID]]&amp;"_"&amp;"WC_"&amp;Tab_Data_Flows[[#This Row],[Flow_Data_Year]]</f>
        <v>F_12_00_WC_2011</v>
      </c>
      <c r="Y13" s="7">
        <f>IF(D13="Yes",U13*Tab_Data_Flows[[#This Row],[WC_'[%']]],"N.A.")</f>
        <v>0</v>
      </c>
      <c r="Z13" s="7" t="str">
        <f>Tab_Data_Flows[[#This Row],[UoM_Flow_Py]]</f>
        <v>Mg</v>
      </c>
      <c r="AA13" s="156">
        <f>INDEX(Tab_Def_Flows[[Flow_ID]:[CC_DM_source]],MATCH(Tab_Data_Flows[[#This Row],[Flow_Name]],Tab_Def_Flows[Flow_Name],0),14)</f>
        <v>1</v>
      </c>
      <c r="AB13" s="7" t="str">
        <f>Tab_Data_Flows[[#This Row],[Flow_ID]]&amp;"_"&amp;"DM_"&amp;Tab_Data_Flows[[#This Row],[Flow_Data_Year]]</f>
        <v>F_12_00_DM_2011</v>
      </c>
      <c r="AC13" s="7">
        <f>IF(E13="Yes",AA13*Tab_Data_Flows[[#This Row],[Flow_Material]],"N.A.")</f>
        <v>100</v>
      </c>
      <c r="AD13" s="7" t="str">
        <f>Tab_Data_Flows[[#This Row],[UoM_Flow_Py]]</f>
        <v>Mg</v>
      </c>
      <c r="AE13" s="156">
        <f>INDEX(Tab_Def_Flows[[Flow_ID]:[CC_DM_source]],MATCH(Tab_Data_Flows[[#This Row],[Flow_Name]],Tab_Def_Flows[Flow_Name],0),17)</f>
        <v>0.8</v>
      </c>
      <c r="AF13" s="7" t="str">
        <f>Tab_Data_Flows[[#This Row],[Flow_ID]]&amp;"_"&amp;"CC_"&amp;Tab_Data_Flows[[#This Row],[Flow_Data_Year]]</f>
        <v>F_12_00_CC_2011</v>
      </c>
      <c r="AG13" s="7">
        <f>IF(F13="Yes",AE13*Tab_Data_Flows[[#This Row],[Flow_Material]]*Tab_Data_Flows[[#This Row],[DM_'[%']]],"N.A.")</f>
        <v>80</v>
      </c>
      <c r="AH13" s="7" t="str">
        <f>Tab_Data_Flows[[#This Row],[UoM_Flow_Py]]</f>
        <v>Mg</v>
      </c>
      <c r="AI13"/>
    </row>
    <row r="14" spans="1:35" x14ac:dyDescent="0.25">
      <c r="A14" s="9">
        <f t="shared" si="1"/>
        <v>13</v>
      </c>
      <c r="B14" s="7" t="str">
        <f>_xlfn.XLOOKUP(C14,Tab_Def_Flows[Flow_Name],Tab_Def_Flows[Flow_ID],,0,)</f>
        <v>F_12_00</v>
      </c>
      <c r="C14" s="8" t="s">
        <v>739</v>
      </c>
      <c r="D14" s="10" t="str">
        <f>_xlfn.XLOOKUP(C14,Tab_Def_Flows[Flow_Name],Tab_Def_Flows[WC?],,0,)</f>
        <v>Yes</v>
      </c>
      <c r="E14" s="10" t="str">
        <f>_xlfn.XLOOKUP(C14,Tab_Def_Flows[Flow_Name],Tab_Def_Flows[DM?],,0,)</f>
        <v>Yes</v>
      </c>
      <c r="F14" s="10" t="str">
        <f>_xlfn.XLOOKUP(C14,Tab_Def_Flows[Flow_Name],Tab_Def_Flows[CC?],,0,)</f>
        <v>Yes</v>
      </c>
      <c r="G14" s="8">
        <v>2012</v>
      </c>
      <c r="H14" s="28">
        <v>100</v>
      </c>
      <c r="I14" s="8"/>
      <c r="J14" s="8"/>
      <c r="K14" s="8" t="e">
        <f>INDEX(#REF!,MATCH(Tab_Data_Flows[[#This Row],[Flow_Name]],#REF!,0),12)</f>
        <v>#REF!</v>
      </c>
      <c r="L14" s="8" t="e">
        <f>MATCH(Tab_Data_Flows[[#This Row],[Flow_Name]],#REF!,0)</f>
        <v>#REF!</v>
      </c>
      <c r="M14" s="8"/>
      <c r="N14" s="8"/>
      <c r="O14" s="8"/>
      <c r="P14" s="8"/>
      <c r="Q14" s="8" t="s">
        <v>8</v>
      </c>
      <c r="R14" s="8"/>
      <c r="S14" s="8"/>
      <c r="T14" s="7" t="str">
        <f>Tab_Data_Flows[[#This Row],[Flow_ID]]&amp;"_"&amp;"material_"&amp;Tab_Data_Flows[[#This Row],[Flow_Data_Year]]</f>
        <v>F_12_00_material_2012</v>
      </c>
      <c r="U14" s="18">
        <f t="shared" si="0"/>
        <v>100</v>
      </c>
      <c r="V14" s="8" t="s">
        <v>218</v>
      </c>
      <c r="W14" s="156">
        <f>INDEX(Tab_Def_Flows[[Flow_ID]:[CC_DM_source]],MATCH(Tab_Data_Flows[[#This Row],[Flow_Name]],Tab_Def_Flows[Flow_Name],0),11)</f>
        <v>0</v>
      </c>
      <c r="X14" s="7" t="str">
        <f>Tab_Data_Flows[[#This Row],[Flow_ID]]&amp;"_"&amp;"WC_"&amp;Tab_Data_Flows[[#This Row],[Flow_Data_Year]]</f>
        <v>F_12_00_WC_2012</v>
      </c>
      <c r="Y14" s="7">
        <f>IF(D14="Yes",U14*Tab_Data_Flows[[#This Row],[WC_'[%']]],"N.A.")</f>
        <v>0</v>
      </c>
      <c r="Z14" s="7" t="str">
        <f>Tab_Data_Flows[[#This Row],[UoM_Flow_Py]]</f>
        <v>Mg</v>
      </c>
      <c r="AA14" s="156">
        <f>INDEX(Tab_Def_Flows[[Flow_ID]:[CC_DM_source]],MATCH(Tab_Data_Flows[[#This Row],[Flow_Name]],Tab_Def_Flows[Flow_Name],0),14)</f>
        <v>1</v>
      </c>
      <c r="AB14" s="7" t="str">
        <f>Tab_Data_Flows[[#This Row],[Flow_ID]]&amp;"_"&amp;"DM_"&amp;Tab_Data_Flows[[#This Row],[Flow_Data_Year]]</f>
        <v>F_12_00_DM_2012</v>
      </c>
      <c r="AC14" s="7">
        <f>IF(E14="Yes",AA14*Tab_Data_Flows[[#This Row],[Flow_Material]],"N.A.")</f>
        <v>100</v>
      </c>
      <c r="AD14" s="7" t="str">
        <f>Tab_Data_Flows[[#This Row],[UoM_Flow_Py]]</f>
        <v>Mg</v>
      </c>
      <c r="AE14" s="156">
        <f>INDEX(Tab_Def_Flows[[Flow_ID]:[CC_DM_source]],MATCH(Tab_Data_Flows[[#This Row],[Flow_Name]],Tab_Def_Flows[Flow_Name],0),17)</f>
        <v>0.8</v>
      </c>
      <c r="AF14" s="7" t="str">
        <f>Tab_Data_Flows[[#This Row],[Flow_ID]]&amp;"_"&amp;"CC_"&amp;Tab_Data_Flows[[#This Row],[Flow_Data_Year]]</f>
        <v>F_12_00_CC_2012</v>
      </c>
      <c r="AG14" s="7">
        <f>IF(F14="Yes",AE14*Tab_Data_Flows[[#This Row],[Flow_Material]]*Tab_Data_Flows[[#This Row],[DM_'[%']]],"N.A.")</f>
        <v>80</v>
      </c>
      <c r="AH14" s="7" t="str">
        <f>Tab_Data_Flows[[#This Row],[UoM_Flow_Py]]</f>
        <v>Mg</v>
      </c>
      <c r="AI14"/>
    </row>
    <row r="15" spans="1:35" x14ac:dyDescent="0.25">
      <c r="A15" s="9">
        <f t="shared" si="1"/>
        <v>14</v>
      </c>
      <c r="B15" s="7" t="str">
        <f>_xlfn.XLOOKUP(C15,Tab_Def_Flows[Flow_Name],Tab_Def_Flows[Flow_ID],,0,)</f>
        <v>F_12_00</v>
      </c>
      <c r="C15" s="8" t="s">
        <v>739</v>
      </c>
      <c r="D15" s="10" t="str">
        <f>_xlfn.XLOOKUP(C15,Tab_Def_Flows[Flow_Name],Tab_Def_Flows[WC?],,0,)</f>
        <v>Yes</v>
      </c>
      <c r="E15" s="10" t="str">
        <f>_xlfn.XLOOKUP(C15,Tab_Def_Flows[Flow_Name],Tab_Def_Flows[DM?],,0,)</f>
        <v>Yes</v>
      </c>
      <c r="F15" s="10" t="str">
        <f>_xlfn.XLOOKUP(C15,Tab_Def_Flows[Flow_Name],Tab_Def_Flows[CC?],,0,)</f>
        <v>Yes</v>
      </c>
      <c r="G15" s="8">
        <v>2013</v>
      </c>
      <c r="H15" s="28">
        <v>100</v>
      </c>
      <c r="I15" s="8"/>
      <c r="J15" s="8"/>
      <c r="K15" s="8" t="e">
        <f>INDEX(#REF!,MATCH(Tab_Data_Flows[[#This Row],[Flow_Name]],#REF!,0),12)</f>
        <v>#REF!</v>
      </c>
      <c r="L15" s="8" t="e">
        <f>MATCH(Tab_Data_Flows[[#This Row],[Flow_Name]],#REF!,0)</f>
        <v>#REF!</v>
      </c>
      <c r="M15" s="8"/>
      <c r="N15" s="8"/>
      <c r="O15" s="8"/>
      <c r="P15" s="8"/>
      <c r="Q15" s="8" t="s">
        <v>8</v>
      </c>
      <c r="R15" s="8"/>
      <c r="S15" s="8"/>
      <c r="T15" s="7" t="str">
        <f>Tab_Data_Flows[[#This Row],[Flow_ID]]&amp;"_"&amp;"material_"&amp;Tab_Data_Flows[[#This Row],[Flow_Data_Year]]</f>
        <v>F_12_00_material_2013</v>
      </c>
      <c r="U15" s="18">
        <f t="shared" si="0"/>
        <v>100</v>
      </c>
      <c r="V15" s="8" t="s">
        <v>218</v>
      </c>
      <c r="W15" s="156">
        <f>INDEX(Tab_Def_Flows[[Flow_ID]:[CC_DM_source]],MATCH(Tab_Data_Flows[[#This Row],[Flow_Name]],Tab_Def_Flows[Flow_Name],0),11)</f>
        <v>0</v>
      </c>
      <c r="X15" s="7" t="str">
        <f>Tab_Data_Flows[[#This Row],[Flow_ID]]&amp;"_"&amp;"WC_"&amp;Tab_Data_Flows[[#This Row],[Flow_Data_Year]]</f>
        <v>F_12_00_WC_2013</v>
      </c>
      <c r="Y15" s="7">
        <f>IF(D15="Yes",U15*Tab_Data_Flows[[#This Row],[WC_'[%']]],"N.A.")</f>
        <v>0</v>
      </c>
      <c r="Z15" s="7" t="str">
        <f>Tab_Data_Flows[[#This Row],[UoM_Flow_Py]]</f>
        <v>Mg</v>
      </c>
      <c r="AA15" s="156">
        <f>INDEX(Tab_Def_Flows[[Flow_ID]:[CC_DM_source]],MATCH(Tab_Data_Flows[[#This Row],[Flow_Name]],Tab_Def_Flows[Flow_Name],0),14)</f>
        <v>1</v>
      </c>
      <c r="AB15" s="7" t="str">
        <f>Tab_Data_Flows[[#This Row],[Flow_ID]]&amp;"_"&amp;"DM_"&amp;Tab_Data_Flows[[#This Row],[Flow_Data_Year]]</f>
        <v>F_12_00_DM_2013</v>
      </c>
      <c r="AC15" s="7">
        <f>IF(E15="Yes",AA15*Tab_Data_Flows[[#This Row],[Flow_Material]],"N.A.")</f>
        <v>100</v>
      </c>
      <c r="AD15" s="7" t="str">
        <f>Tab_Data_Flows[[#This Row],[UoM_Flow_Py]]</f>
        <v>Mg</v>
      </c>
      <c r="AE15" s="156">
        <f>INDEX(Tab_Def_Flows[[Flow_ID]:[CC_DM_source]],MATCH(Tab_Data_Flows[[#This Row],[Flow_Name]],Tab_Def_Flows[Flow_Name],0),17)</f>
        <v>0.8</v>
      </c>
      <c r="AF15" s="7" t="str">
        <f>Tab_Data_Flows[[#This Row],[Flow_ID]]&amp;"_"&amp;"CC_"&amp;Tab_Data_Flows[[#This Row],[Flow_Data_Year]]</f>
        <v>F_12_00_CC_2013</v>
      </c>
      <c r="AG15" s="7">
        <f>IF(F15="Yes",AE15*Tab_Data_Flows[[#This Row],[Flow_Material]]*Tab_Data_Flows[[#This Row],[DM_'[%']]],"N.A.")</f>
        <v>80</v>
      </c>
      <c r="AH15" s="7" t="str">
        <f>Tab_Data_Flows[[#This Row],[UoM_Flow_Py]]</f>
        <v>Mg</v>
      </c>
      <c r="AI15"/>
    </row>
    <row r="16" spans="1:35" x14ac:dyDescent="0.25">
      <c r="A16" s="9">
        <f t="shared" si="1"/>
        <v>15</v>
      </c>
      <c r="B16" s="7" t="str">
        <f>_xlfn.XLOOKUP(C16,Tab_Def_Flows[Flow_Name],Tab_Def_Flows[Flow_ID],,0,)</f>
        <v>F_12_00</v>
      </c>
      <c r="C16" s="8" t="s">
        <v>739</v>
      </c>
      <c r="D16" s="10" t="str">
        <f>_xlfn.XLOOKUP(C16,Tab_Def_Flows[Flow_Name],Tab_Def_Flows[WC?],,0,)</f>
        <v>Yes</v>
      </c>
      <c r="E16" s="10" t="str">
        <f>_xlfn.XLOOKUP(C16,Tab_Def_Flows[Flow_Name],Tab_Def_Flows[DM?],,0,)</f>
        <v>Yes</v>
      </c>
      <c r="F16" s="10" t="str">
        <f>_xlfn.XLOOKUP(C16,Tab_Def_Flows[Flow_Name],Tab_Def_Flows[CC?],,0,)</f>
        <v>Yes</v>
      </c>
      <c r="G16" s="8">
        <v>2014</v>
      </c>
      <c r="H16" s="28">
        <v>100</v>
      </c>
      <c r="I16" s="8"/>
      <c r="J16" s="8"/>
      <c r="K16" s="8" t="e">
        <f>INDEX(#REF!,MATCH(Tab_Data_Flows[[#This Row],[Flow_Name]],#REF!,0),12)</f>
        <v>#REF!</v>
      </c>
      <c r="L16" s="8" t="e">
        <f>MATCH(Tab_Data_Flows[[#This Row],[Flow_Name]],#REF!,0)</f>
        <v>#REF!</v>
      </c>
      <c r="M16" s="8"/>
      <c r="N16" s="8"/>
      <c r="O16" s="8"/>
      <c r="P16" s="8"/>
      <c r="Q16" s="8" t="s">
        <v>8</v>
      </c>
      <c r="R16" s="8"/>
      <c r="S16" s="8"/>
      <c r="T16" s="7" t="str">
        <f>Tab_Data_Flows[[#This Row],[Flow_ID]]&amp;"_"&amp;"material_"&amp;Tab_Data_Flows[[#This Row],[Flow_Data_Year]]</f>
        <v>F_12_00_material_2014</v>
      </c>
      <c r="U16" s="18">
        <f t="shared" si="0"/>
        <v>100</v>
      </c>
      <c r="V16" s="8" t="s">
        <v>218</v>
      </c>
      <c r="W16" s="156">
        <f>INDEX(Tab_Def_Flows[[Flow_ID]:[CC_DM_source]],MATCH(Tab_Data_Flows[[#This Row],[Flow_Name]],Tab_Def_Flows[Flow_Name],0),11)</f>
        <v>0</v>
      </c>
      <c r="X16" s="7" t="str">
        <f>Tab_Data_Flows[[#This Row],[Flow_ID]]&amp;"_"&amp;"WC_"&amp;Tab_Data_Flows[[#This Row],[Flow_Data_Year]]</f>
        <v>F_12_00_WC_2014</v>
      </c>
      <c r="Y16" s="7">
        <f>IF(D16="Yes",U16*Tab_Data_Flows[[#This Row],[WC_'[%']]],"N.A.")</f>
        <v>0</v>
      </c>
      <c r="Z16" s="7" t="str">
        <f>Tab_Data_Flows[[#This Row],[UoM_Flow_Py]]</f>
        <v>Mg</v>
      </c>
      <c r="AA16" s="156">
        <f>INDEX(Tab_Def_Flows[[Flow_ID]:[CC_DM_source]],MATCH(Tab_Data_Flows[[#This Row],[Flow_Name]],Tab_Def_Flows[Flow_Name],0),14)</f>
        <v>1</v>
      </c>
      <c r="AB16" s="7" t="str">
        <f>Tab_Data_Flows[[#This Row],[Flow_ID]]&amp;"_"&amp;"DM_"&amp;Tab_Data_Flows[[#This Row],[Flow_Data_Year]]</f>
        <v>F_12_00_DM_2014</v>
      </c>
      <c r="AC16" s="7">
        <f>IF(E16="Yes",AA16*Tab_Data_Flows[[#This Row],[Flow_Material]],"N.A.")</f>
        <v>100</v>
      </c>
      <c r="AD16" s="7" t="str">
        <f>Tab_Data_Flows[[#This Row],[UoM_Flow_Py]]</f>
        <v>Mg</v>
      </c>
      <c r="AE16" s="156">
        <f>INDEX(Tab_Def_Flows[[Flow_ID]:[CC_DM_source]],MATCH(Tab_Data_Flows[[#This Row],[Flow_Name]],Tab_Def_Flows[Flow_Name],0),17)</f>
        <v>0.8</v>
      </c>
      <c r="AF16" s="7" t="str">
        <f>Tab_Data_Flows[[#This Row],[Flow_ID]]&amp;"_"&amp;"CC_"&amp;Tab_Data_Flows[[#This Row],[Flow_Data_Year]]</f>
        <v>F_12_00_CC_2014</v>
      </c>
      <c r="AG16" s="7">
        <f>IF(F16="Yes",AE16*Tab_Data_Flows[[#This Row],[Flow_Material]]*Tab_Data_Flows[[#This Row],[DM_'[%']]],"N.A.")</f>
        <v>80</v>
      </c>
      <c r="AH16" s="7" t="str">
        <f>Tab_Data_Flows[[#This Row],[UoM_Flow_Py]]</f>
        <v>Mg</v>
      </c>
      <c r="AI16"/>
    </row>
    <row r="17" spans="1:35" x14ac:dyDescent="0.25">
      <c r="A17" s="9">
        <f t="shared" si="1"/>
        <v>16</v>
      </c>
      <c r="B17" s="7" t="str">
        <f>_xlfn.XLOOKUP(C17,Tab_Def_Flows[Flow_Name],Tab_Def_Flows[Flow_ID],,0,)</f>
        <v>F_12_00</v>
      </c>
      <c r="C17" s="8" t="s">
        <v>739</v>
      </c>
      <c r="D17" s="10" t="str">
        <f>_xlfn.XLOOKUP(C17,Tab_Def_Flows[Flow_Name],Tab_Def_Flows[WC?],,0,)</f>
        <v>Yes</v>
      </c>
      <c r="E17" s="10" t="str">
        <f>_xlfn.XLOOKUP(C17,Tab_Def_Flows[Flow_Name],Tab_Def_Flows[DM?],,0,)</f>
        <v>Yes</v>
      </c>
      <c r="F17" s="10" t="str">
        <f>_xlfn.XLOOKUP(C17,Tab_Def_Flows[Flow_Name],Tab_Def_Flows[CC?],,0,)</f>
        <v>Yes</v>
      </c>
      <c r="G17" s="8">
        <v>2015</v>
      </c>
      <c r="H17" s="28">
        <v>100</v>
      </c>
      <c r="I17" s="8"/>
      <c r="J17" s="8"/>
      <c r="K17" s="8" t="e">
        <f>INDEX(#REF!,MATCH(Tab_Data_Flows[[#This Row],[Flow_Name]],#REF!,0),12)</f>
        <v>#REF!</v>
      </c>
      <c r="L17" s="8" t="e">
        <f>MATCH(Tab_Data_Flows[[#This Row],[Flow_Name]],#REF!,0)</f>
        <v>#REF!</v>
      </c>
      <c r="M17" s="8"/>
      <c r="N17" s="8"/>
      <c r="O17" s="8"/>
      <c r="P17" s="8"/>
      <c r="Q17" s="8" t="s">
        <v>8</v>
      </c>
      <c r="R17" s="8"/>
      <c r="S17" s="8"/>
      <c r="T17" s="7" t="str">
        <f>Tab_Data_Flows[[#This Row],[Flow_ID]]&amp;"_"&amp;"material_"&amp;Tab_Data_Flows[[#This Row],[Flow_Data_Year]]</f>
        <v>F_12_00_material_2015</v>
      </c>
      <c r="U17" s="18">
        <f t="shared" si="0"/>
        <v>100</v>
      </c>
      <c r="V17" s="8" t="s">
        <v>218</v>
      </c>
      <c r="W17" s="156">
        <f>INDEX(Tab_Def_Flows[[Flow_ID]:[CC_DM_source]],MATCH(Tab_Data_Flows[[#This Row],[Flow_Name]],Tab_Def_Flows[Flow_Name],0),11)</f>
        <v>0</v>
      </c>
      <c r="X17" s="7" t="str">
        <f>Tab_Data_Flows[[#This Row],[Flow_ID]]&amp;"_"&amp;"WC_"&amp;Tab_Data_Flows[[#This Row],[Flow_Data_Year]]</f>
        <v>F_12_00_WC_2015</v>
      </c>
      <c r="Y17" s="7">
        <f>IF(D17="Yes",U17*Tab_Data_Flows[[#This Row],[WC_'[%']]],"N.A.")</f>
        <v>0</v>
      </c>
      <c r="Z17" s="7" t="str">
        <f>Tab_Data_Flows[[#This Row],[UoM_Flow_Py]]</f>
        <v>Mg</v>
      </c>
      <c r="AA17" s="156">
        <f>INDEX(Tab_Def_Flows[[Flow_ID]:[CC_DM_source]],MATCH(Tab_Data_Flows[[#This Row],[Flow_Name]],Tab_Def_Flows[Flow_Name],0),14)</f>
        <v>1</v>
      </c>
      <c r="AB17" s="7" t="str">
        <f>Tab_Data_Flows[[#This Row],[Flow_ID]]&amp;"_"&amp;"DM_"&amp;Tab_Data_Flows[[#This Row],[Flow_Data_Year]]</f>
        <v>F_12_00_DM_2015</v>
      </c>
      <c r="AC17" s="7">
        <f>IF(E17="Yes",AA17*Tab_Data_Flows[[#This Row],[Flow_Material]],"N.A.")</f>
        <v>100</v>
      </c>
      <c r="AD17" s="7" t="str">
        <f>Tab_Data_Flows[[#This Row],[UoM_Flow_Py]]</f>
        <v>Mg</v>
      </c>
      <c r="AE17" s="156">
        <f>INDEX(Tab_Def_Flows[[Flow_ID]:[CC_DM_source]],MATCH(Tab_Data_Flows[[#This Row],[Flow_Name]],Tab_Def_Flows[Flow_Name],0),17)</f>
        <v>0.8</v>
      </c>
      <c r="AF17" s="7" t="str">
        <f>Tab_Data_Flows[[#This Row],[Flow_ID]]&amp;"_"&amp;"CC_"&amp;Tab_Data_Flows[[#This Row],[Flow_Data_Year]]</f>
        <v>F_12_00_CC_2015</v>
      </c>
      <c r="AG17" s="7">
        <f>IF(F17="Yes",AE17*Tab_Data_Flows[[#This Row],[Flow_Material]]*Tab_Data_Flows[[#This Row],[DM_'[%']]],"N.A.")</f>
        <v>80</v>
      </c>
      <c r="AH17" s="7" t="str">
        <f>Tab_Data_Flows[[#This Row],[UoM_Flow_Py]]</f>
        <v>Mg</v>
      </c>
      <c r="AI17"/>
    </row>
    <row r="18" spans="1:35" x14ac:dyDescent="0.25">
      <c r="A18" s="9">
        <f t="shared" si="1"/>
        <v>17</v>
      </c>
      <c r="B18" s="7" t="str">
        <f>_xlfn.XLOOKUP(C18,Tab_Def_Flows[Flow_Name],Tab_Def_Flows[Flow_ID],,0,)</f>
        <v>F_12_00</v>
      </c>
      <c r="C18" s="8" t="s">
        <v>739</v>
      </c>
      <c r="D18" s="10" t="str">
        <f>_xlfn.XLOOKUP(C18,Tab_Def_Flows[Flow_Name],Tab_Def_Flows[WC?],,0,)</f>
        <v>Yes</v>
      </c>
      <c r="E18" s="10" t="str">
        <f>_xlfn.XLOOKUP(C18,Tab_Def_Flows[Flow_Name],Tab_Def_Flows[DM?],,0,)</f>
        <v>Yes</v>
      </c>
      <c r="F18" s="10" t="str">
        <f>_xlfn.XLOOKUP(C18,Tab_Def_Flows[Flow_Name],Tab_Def_Flows[CC?],,0,)</f>
        <v>Yes</v>
      </c>
      <c r="G18" s="8">
        <v>2016</v>
      </c>
      <c r="H18" s="28">
        <v>100</v>
      </c>
      <c r="I18" s="8"/>
      <c r="J18" s="8"/>
      <c r="K18" s="8" t="e">
        <f>INDEX(#REF!,MATCH(Tab_Data_Flows[[#This Row],[Flow_Name]],#REF!,0),12)</f>
        <v>#REF!</v>
      </c>
      <c r="L18" s="8" t="e">
        <f>MATCH(Tab_Data_Flows[[#This Row],[Flow_Name]],#REF!,0)</f>
        <v>#REF!</v>
      </c>
      <c r="M18" s="8"/>
      <c r="N18" s="8"/>
      <c r="O18" s="8"/>
      <c r="P18" s="8"/>
      <c r="Q18" s="8" t="s">
        <v>8</v>
      </c>
      <c r="R18" s="8"/>
      <c r="S18" s="8"/>
      <c r="T18" s="7" t="str">
        <f>Tab_Data_Flows[[#This Row],[Flow_ID]]&amp;"_"&amp;"material_"&amp;Tab_Data_Flows[[#This Row],[Flow_Data_Year]]</f>
        <v>F_12_00_material_2016</v>
      </c>
      <c r="U18" s="18">
        <f t="shared" si="0"/>
        <v>100</v>
      </c>
      <c r="V18" s="8" t="s">
        <v>218</v>
      </c>
      <c r="W18" s="156">
        <f>INDEX(Tab_Def_Flows[[Flow_ID]:[CC_DM_source]],MATCH(Tab_Data_Flows[[#This Row],[Flow_Name]],Tab_Def_Flows[Flow_Name],0),11)</f>
        <v>0</v>
      </c>
      <c r="X18" s="7" t="str">
        <f>Tab_Data_Flows[[#This Row],[Flow_ID]]&amp;"_"&amp;"WC_"&amp;Tab_Data_Flows[[#This Row],[Flow_Data_Year]]</f>
        <v>F_12_00_WC_2016</v>
      </c>
      <c r="Y18" s="7">
        <f>IF(D18="Yes",U18*Tab_Data_Flows[[#This Row],[WC_'[%']]],"N.A.")</f>
        <v>0</v>
      </c>
      <c r="Z18" s="7" t="str">
        <f>Tab_Data_Flows[[#This Row],[UoM_Flow_Py]]</f>
        <v>Mg</v>
      </c>
      <c r="AA18" s="156">
        <f>INDEX(Tab_Def_Flows[[Flow_ID]:[CC_DM_source]],MATCH(Tab_Data_Flows[[#This Row],[Flow_Name]],Tab_Def_Flows[Flow_Name],0),14)</f>
        <v>1</v>
      </c>
      <c r="AB18" s="7" t="str">
        <f>Tab_Data_Flows[[#This Row],[Flow_ID]]&amp;"_"&amp;"DM_"&amp;Tab_Data_Flows[[#This Row],[Flow_Data_Year]]</f>
        <v>F_12_00_DM_2016</v>
      </c>
      <c r="AC18" s="7">
        <f>IF(E18="Yes",AA18*Tab_Data_Flows[[#This Row],[Flow_Material]],"N.A.")</f>
        <v>100</v>
      </c>
      <c r="AD18" s="7" t="str">
        <f>Tab_Data_Flows[[#This Row],[UoM_Flow_Py]]</f>
        <v>Mg</v>
      </c>
      <c r="AE18" s="156">
        <f>INDEX(Tab_Def_Flows[[Flow_ID]:[CC_DM_source]],MATCH(Tab_Data_Flows[[#This Row],[Flow_Name]],Tab_Def_Flows[Flow_Name],0),17)</f>
        <v>0.8</v>
      </c>
      <c r="AF18" s="7" t="str">
        <f>Tab_Data_Flows[[#This Row],[Flow_ID]]&amp;"_"&amp;"CC_"&amp;Tab_Data_Flows[[#This Row],[Flow_Data_Year]]</f>
        <v>F_12_00_CC_2016</v>
      </c>
      <c r="AG18" s="7">
        <f>IF(F18="Yes",AE18*Tab_Data_Flows[[#This Row],[Flow_Material]]*Tab_Data_Flows[[#This Row],[DM_'[%']]],"N.A.")</f>
        <v>80</v>
      </c>
      <c r="AH18" s="7" t="str">
        <f>Tab_Data_Flows[[#This Row],[UoM_Flow_Py]]</f>
        <v>Mg</v>
      </c>
      <c r="AI18"/>
    </row>
    <row r="19" spans="1:35" x14ac:dyDescent="0.25">
      <c r="A19" s="9">
        <f t="shared" si="1"/>
        <v>18</v>
      </c>
      <c r="B19" s="7" t="str">
        <f>_xlfn.XLOOKUP(C19,Tab_Def_Flows[Flow_Name],Tab_Def_Flows[Flow_ID],,0,)</f>
        <v>F_12_00</v>
      </c>
      <c r="C19" s="8" t="s">
        <v>739</v>
      </c>
      <c r="D19" s="10" t="str">
        <f>_xlfn.XLOOKUP(C19,Tab_Def_Flows[Flow_Name],Tab_Def_Flows[WC?],,0,)</f>
        <v>Yes</v>
      </c>
      <c r="E19" s="10" t="str">
        <f>_xlfn.XLOOKUP(C19,Tab_Def_Flows[Flow_Name],Tab_Def_Flows[DM?],,0,)</f>
        <v>Yes</v>
      </c>
      <c r="F19" s="10" t="str">
        <f>_xlfn.XLOOKUP(C19,Tab_Def_Flows[Flow_Name],Tab_Def_Flows[CC?],,0,)</f>
        <v>Yes</v>
      </c>
      <c r="G19" s="8">
        <v>2017</v>
      </c>
      <c r="H19" s="28">
        <v>100</v>
      </c>
      <c r="I19" s="8"/>
      <c r="J19" s="8"/>
      <c r="K19" s="8" t="e">
        <f>INDEX(#REF!,MATCH(Tab_Data_Flows[[#This Row],[Flow_Name]],#REF!,0),12)</f>
        <v>#REF!</v>
      </c>
      <c r="L19" s="8" t="e">
        <f>MATCH(Tab_Data_Flows[[#This Row],[Flow_Name]],#REF!,0)</f>
        <v>#REF!</v>
      </c>
      <c r="M19" s="8"/>
      <c r="N19" s="8"/>
      <c r="O19" s="8"/>
      <c r="P19" s="8"/>
      <c r="Q19" s="8" t="s">
        <v>8</v>
      </c>
      <c r="R19" s="8"/>
      <c r="S19" s="8"/>
      <c r="T19" s="7" t="str">
        <f>Tab_Data_Flows[[#This Row],[Flow_ID]]&amp;"_"&amp;"material_"&amp;Tab_Data_Flows[[#This Row],[Flow_Data_Year]]</f>
        <v>F_12_00_material_2017</v>
      </c>
      <c r="U19" s="18">
        <f t="shared" si="0"/>
        <v>100</v>
      </c>
      <c r="V19" s="8" t="s">
        <v>218</v>
      </c>
      <c r="W19" s="156">
        <f>INDEX(Tab_Def_Flows[[Flow_ID]:[CC_DM_source]],MATCH(Tab_Data_Flows[[#This Row],[Flow_Name]],Tab_Def_Flows[Flow_Name],0),11)</f>
        <v>0</v>
      </c>
      <c r="X19" s="7" t="str">
        <f>Tab_Data_Flows[[#This Row],[Flow_ID]]&amp;"_"&amp;"WC_"&amp;Tab_Data_Flows[[#This Row],[Flow_Data_Year]]</f>
        <v>F_12_00_WC_2017</v>
      </c>
      <c r="Y19" s="7">
        <f>IF(D19="Yes",U19*Tab_Data_Flows[[#This Row],[WC_'[%']]],"N.A.")</f>
        <v>0</v>
      </c>
      <c r="Z19" s="7" t="str">
        <f>Tab_Data_Flows[[#This Row],[UoM_Flow_Py]]</f>
        <v>Mg</v>
      </c>
      <c r="AA19" s="156">
        <f>INDEX(Tab_Def_Flows[[Flow_ID]:[CC_DM_source]],MATCH(Tab_Data_Flows[[#This Row],[Flow_Name]],Tab_Def_Flows[Flow_Name],0),14)</f>
        <v>1</v>
      </c>
      <c r="AB19" s="7" t="str">
        <f>Tab_Data_Flows[[#This Row],[Flow_ID]]&amp;"_"&amp;"DM_"&amp;Tab_Data_Flows[[#This Row],[Flow_Data_Year]]</f>
        <v>F_12_00_DM_2017</v>
      </c>
      <c r="AC19" s="7">
        <f>IF(E19="Yes",AA19*Tab_Data_Flows[[#This Row],[Flow_Material]],"N.A.")</f>
        <v>100</v>
      </c>
      <c r="AD19" s="7" t="str">
        <f>Tab_Data_Flows[[#This Row],[UoM_Flow_Py]]</f>
        <v>Mg</v>
      </c>
      <c r="AE19" s="156">
        <f>INDEX(Tab_Def_Flows[[Flow_ID]:[CC_DM_source]],MATCH(Tab_Data_Flows[[#This Row],[Flow_Name]],Tab_Def_Flows[Flow_Name],0),17)</f>
        <v>0.8</v>
      </c>
      <c r="AF19" s="7" t="str">
        <f>Tab_Data_Flows[[#This Row],[Flow_ID]]&amp;"_"&amp;"CC_"&amp;Tab_Data_Flows[[#This Row],[Flow_Data_Year]]</f>
        <v>F_12_00_CC_2017</v>
      </c>
      <c r="AG19" s="7">
        <f>IF(F19="Yes",AE19*Tab_Data_Flows[[#This Row],[Flow_Material]]*Tab_Data_Flows[[#This Row],[DM_'[%']]],"N.A.")</f>
        <v>80</v>
      </c>
      <c r="AH19" s="7" t="str">
        <f>Tab_Data_Flows[[#This Row],[UoM_Flow_Py]]</f>
        <v>Mg</v>
      </c>
      <c r="AI19"/>
    </row>
    <row r="20" spans="1:35" x14ac:dyDescent="0.25">
      <c r="A20" s="9">
        <f t="shared" si="1"/>
        <v>19</v>
      </c>
      <c r="B20" s="7" t="str">
        <f>_xlfn.XLOOKUP(C20,Tab_Def_Flows[Flow_Name],Tab_Def_Flows[Flow_ID],,0,)</f>
        <v>F_12_00</v>
      </c>
      <c r="C20" s="8" t="s">
        <v>739</v>
      </c>
      <c r="D20" s="10" t="str">
        <f>_xlfn.XLOOKUP(C20,Tab_Def_Flows[Flow_Name],Tab_Def_Flows[WC?],,0,)</f>
        <v>Yes</v>
      </c>
      <c r="E20" s="10" t="str">
        <f>_xlfn.XLOOKUP(C20,Tab_Def_Flows[Flow_Name],Tab_Def_Flows[DM?],,0,)</f>
        <v>Yes</v>
      </c>
      <c r="F20" s="10" t="str">
        <f>_xlfn.XLOOKUP(C20,Tab_Def_Flows[Flow_Name],Tab_Def_Flows[CC?],,0,)</f>
        <v>Yes</v>
      </c>
      <c r="G20" s="8">
        <v>2018</v>
      </c>
      <c r="H20" s="28">
        <v>100</v>
      </c>
      <c r="I20" s="8"/>
      <c r="J20" s="8"/>
      <c r="K20" s="8" t="e">
        <f>INDEX(#REF!,MATCH(Tab_Data_Flows[[#This Row],[Flow_Name]],#REF!,0),12)</f>
        <v>#REF!</v>
      </c>
      <c r="L20" s="8" t="e">
        <f>MATCH(Tab_Data_Flows[[#This Row],[Flow_Name]],#REF!,0)</f>
        <v>#REF!</v>
      </c>
      <c r="M20" s="8"/>
      <c r="N20" s="8"/>
      <c r="O20" s="8"/>
      <c r="P20" s="8"/>
      <c r="Q20" s="8" t="s">
        <v>8</v>
      </c>
      <c r="R20" s="8"/>
      <c r="S20" s="8"/>
      <c r="T20" s="7" t="str">
        <f>Tab_Data_Flows[[#This Row],[Flow_ID]]&amp;"_"&amp;"material_"&amp;Tab_Data_Flows[[#This Row],[Flow_Data_Year]]</f>
        <v>F_12_00_material_2018</v>
      </c>
      <c r="U20" s="18">
        <f t="shared" si="0"/>
        <v>100</v>
      </c>
      <c r="V20" s="8" t="s">
        <v>218</v>
      </c>
      <c r="W20" s="156">
        <f>INDEX(Tab_Def_Flows[[Flow_ID]:[CC_DM_source]],MATCH(Tab_Data_Flows[[#This Row],[Flow_Name]],Tab_Def_Flows[Flow_Name],0),11)</f>
        <v>0</v>
      </c>
      <c r="X20" s="7" t="str">
        <f>Tab_Data_Flows[[#This Row],[Flow_ID]]&amp;"_"&amp;"WC_"&amp;Tab_Data_Flows[[#This Row],[Flow_Data_Year]]</f>
        <v>F_12_00_WC_2018</v>
      </c>
      <c r="Y20" s="7">
        <f>IF(D20="Yes",U20*Tab_Data_Flows[[#This Row],[WC_'[%']]],"N.A.")</f>
        <v>0</v>
      </c>
      <c r="Z20" s="7" t="str">
        <f>Tab_Data_Flows[[#This Row],[UoM_Flow_Py]]</f>
        <v>Mg</v>
      </c>
      <c r="AA20" s="156">
        <f>INDEX(Tab_Def_Flows[[Flow_ID]:[CC_DM_source]],MATCH(Tab_Data_Flows[[#This Row],[Flow_Name]],Tab_Def_Flows[Flow_Name],0),14)</f>
        <v>1</v>
      </c>
      <c r="AB20" s="7" t="str">
        <f>Tab_Data_Flows[[#This Row],[Flow_ID]]&amp;"_"&amp;"DM_"&amp;Tab_Data_Flows[[#This Row],[Flow_Data_Year]]</f>
        <v>F_12_00_DM_2018</v>
      </c>
      <c r="AC20" s="7">
        <f>IF(E20="Yes",AA20*Tab_Data_Flows[[#This Row],[Flow_Material]],"N.A.")</f>
        <v>100</v>
      </c>
      <c r="AD20" s="7" t="str">
        <f>Tab_Data_Flows[[#This Row],[UoM_Flow_Py]]</f>
        <v>Mg</v>
      </c>
      <c r="AE20" s="156">
        <f>INDEX(Tab_Def_Flows[[Flow_ID]:[CC_DM_source]],MATCH(Tab_Data_Flows[[#This Row],[Flow_Name]],Tab_Def_Flows[Flow_Name],0),17)</f>
        <v>0.8</v>
      </c>
      <c r="AF20" s="7" t="str">
        <f>Tab_Data_Flows[[#This Row],[Flow_ID]]&amp;"_"&amp;"CC_"&amp;Tab_Data_Flows[[#This Row],[Flow_Data_Year]]</f>
        <v>F_12_00_CC_2018</v>
      </c>
      <c r="AG20" s="7">
        <f>IF(F20="Yes",AE20*Tab_Data_Flows[[#This Row],[Flow_Material]]*Tab_Data_Flows[[#This Row],[DM_'[%']]],"N.A.")</f>
        <v>80</v>
      </c>
      <c r="AH20" s="7" t="str">
        <f>Tab_Data_Flows[[#This Row],[UoM_Flow_Py]]</f>
        <v>Mg</v>
      </c>
      <c r="AI20"/>
    </row>
    <row r="21" spans="1:35" x14ac:dyDescent="0.25">
      <c r="A21" s="9">
        <f t="shared" si="1"/>
        <v>20</v>
      </c>
      <c r="B21" s="7" t="str">
        <f>_xlfn.XLOOKUP(C21,Tab_Def_Flows[Flow_Name],Tab_Def_Flows[Flow_ID],,0,)</f>
        <v>F_12_00</v>
      </c>
      <c r="C21" s="8" t="s">
        <v>739</v>
      </c>
      <c r="D21" s="10" t="str">
        <f>_xlfn.XLOOKUP(C21,Tab_Def_Flows[Flow_Name],Tab_Def_Flows[WC?],,0,)</f>
        <v>Yes</v>
      </c>
      <c r="E21" s="10" t="str">
        <f>_xlfn.XLOOKUP(C21,Tab_Def_Flows[Flow_Name],Tab_Def_Flows[DM?],,0,)</f>
        <v>Yes</v>
      </c>
      <c r="F21" s="10" t="str">
        <f>_xlfn.XLOOKUP(C21,Tab_Def_Flows[Flow_Name],Tab_Def_Flows[CC?],,0,)</f>
        <v>Yes</v>
      </c>
      <c r="G21" s="8">
        <v>2019</v>
      </c>
      <c r="H21" s="28">
        <v>100</v>
      </c>
      <c r="I21" s="8"/>
      <c r="J21" s="8"/>
      <c r="K21" s="8" t="e">
        <f>INDEX(#REF!,MATCH(Tab_Data_Flows[[#This Row],[Flow_Name]],#REF!,0),12)</f>
        <v>#REF!</v>
      </c>
      <c r="L21" s="8" t="e">
        <f>MATCH(Tab_Data_Flows[[#This Row],[Flow_Name]],#REF!,0)</f>
        <v>#REF!</v>
      </c>
      <c r="M21" s="8"/>
      <c r="N21" s="8"/>
      <c r="O21" s="8"/>
      <c r="P21" s="8"/>
      <c r="Q21" s="8" t="s">
        <v>8</v>
      </c>
      <c r="R21" s="8"/>
      <c r="S21" s="8"/>
      <c r="T21" s="7" t="str">
        <f>Tab_Data_Flows[[#This Row],[Flow_ID]]&amp;"_"&amp;"material_"&amp;Tab_Data_Flows[[#This Row],[Flow_Data_Year]]</f>
        <v>F_12_00_material_2019</v>
      </c>
      <c r="U21" s="18">
        <f t="shared" si="0"/>
        <v>100</v>
      </c>
      <c r="V21" s="8" t="s">
        <v>218</v>
      </c>
      <c r="W21" s="156">
        <f>INDEX(Tab_Def_Flows[[Flow_ID]:[CC_DM_source]],MATCH(Tab_Data_Flows[[#This Row],[Flow_Name]],Tab_Def_Flows[Flow_Name],0),11)</f>
        <v>0</v>
      </c>
      <c r="X21" s="7" t="str">
        <f>Tab_Data_Flows[[#This Row],[Flow_ID]]&amp;"_"&amp;"WC_"&amp;Tab_Data_Flows[[#This Row],[Flow_Data_Year]]</f>
        <v>F_12_00_WC_2019</v>
      </c>
      <c r="Y21" s="7">
        <f>IF(D21="Yes",U21*Tab_Data_Flows[[#This Row],[WC_'[%']]],"N.A.")</f>
        <v>0</v>
      </c>
      <c r="Z21" s="7" t="str">
        <f>Tab_Data_Flows[[#This Row],[UoM_Flow_Py]]</f>
        <v>Mg</v>
      </c>
      <c r="AA21" s="156">
        <f>INDEX(Tab_Def_Flows[[Flow_ID]:[CC_DM_source]],MATCH(Tab_Data_Flows[[#This Row],[Flow_Name]],Tab_Def_Flows[Flow_Name],0),14)</f>
        <v>1</v>
      </c>
      <c r="AB21" s="7" t="str">
        <f>Tab_Data_Flows[[#This Row],[Flow_ID]]&amp;"_"&amp;"DM_"&amp;Tab_Data_Flows[[#This Row],[Flow_Data_Year]]</f>
        <v>F_12_00_DM_2019</v>
      </c>
      <c r="AC21" s="7">
        <f>IF(E21="Yes",AA21*Tab_Data_Flows[[#This Row],[Flow_Material]],"N.A.")</f>
        <v>100</v>
      </c>
      <c r="AD21" s="7" t="str">
        <f>Tab_Data_Flows[[#This Row],[UoM_Flow_Py]]</f>
        <v>Mg</v>
      </c>
      <c r="AE21" s="156">
        <f>INDEX(Tab_Def_Flows[[Flow_ID]:[CC_DM_source]],MATCH(Tab_Data_Flows[[#This Row],[Flow_Name]],Tab_Def_Flows[Flow_Name],0),17)</f>
        <v>0.8</v>
      </c>
      <c r="AF21" s="7" t="str">
        <f>Tab_Data_Flows[[#This Row],[Flow_ID]]&amp;"_"&amp;"CC_"&amp;Tab_Data_Flows[[#This Row],[Flow_Data_Year]]</f>
        <v>F_12_00_CC_2019</v>
      </c>
      <c r="AG21" s="7">
        <f>IF(F21="Yes",AE21*Tab_Data_Flows[[#This Row],[Flow_Material]]*Tab_Data_Flows[[#This Row],[DM_'[%']]],"N.A.")</f>
        <v>80</v>
      </c>
      <c r="AH21" s="7" t="str">
        <f>Tab_Data_Flows[[#This Row],[UoM_Flow_Py]]</f>
        <v>Mg</v>
      </c>
      <c r="AI21"/>
    </row>
    <row r="22" spans="1:35" x14ac:dyDescent="0.25">
      <c r="A22" s="9">
        <f t="shared" si="1"/>
        <v>21</v>
      </c>
      <c r="B22" s="7" t="str">
        <f>_xlfn.XLOOKUP(C22,Tab_Def_Flows[Flow_Name],Tab_Def_Flows[Flow_ID],,0,)</f>
        <v>F_12_00</v>
      </c>
      <c r="C22" s="8" t="s">
        <v>739</v>
      </c>
      <c r="D22" s="10" t="str">
        <f>_xlfn.XLOOKUP(C22,Tab_Def_Flows[Flow_Name],Tab_Def_Flows[WC?],,0,)</f>
        <v>Yes</v>
      </c>
      <c r="E22" s="10" t="str">
        <f>_xlfn.XLOOKUP(C22,Tab_Def_Flows[Flow_Name],Tab_Def_Flows[DM?],,0,)</f>
        <v>Yes</v>
      </c>
      <c r="F22" s="10" t="str">
        <f>_xlfn.XLOOKUP(C22,Tab_Def_Flows[Flow_Name],Tab_Def_Flows[CC?],,0,)</f>
        <v>Yes</v>
      </c>
      <c r="G22" s="8">
        <v>2020</v>
      </c>
      <c r="H22" s="28">
        <v>100</v>
      </c>
      <c r="I22" s="8"/>
      <c r="J22" s="8"/>
      <c r="K22" s="8" t="e">
        <f>INDEX(#REF!,MATCH(Tab_Data_Flows[[#This Row],[Flow_Name]],#REF!,0),12)</f>
        <v>#REF!</v>
      </c>
      <c r="L22" s="8" t="e">
        <f>MATCH(Tab_Data_Flows[[#This Row],[Flow_Name]],#REF!,0)</f>
        <v>#REF!</v>
      </c>
      <c r="M22" s="8"/>
      <c r="N22" s="8"/>
      <c r="O22" s="8"/>
      <c r="P22" s="8"/>
      <c r="Q22" s="8" t="s">
        <v>8</v>
      </c>
      <c r="R22" s="8"/>
      <c r="S22" s="8"/>
      <c r="T22" s="7" t="str">
        <f>Tab_Data_Flows[[#This Row],[Flow_ID]]&amp;"_"&amp;"material_"&amp;Tab_Data_Flows[[#This Row],[Flow_Data_Year]]</f>
        <v>F_12_00_material_2020</v>
      </c>
      <c r="U22" s="18">
        <f t="shared" si="0"/>
        <v>100</v>
      </c>
      <c r="V22" s="8" t="s">
        <v>218</v>
      </c>
      <c r="W22" s="156">
        <f>INDEX(Tab_Def_Flows[[Flow_ID]:[CC_DM_source]],MATCH(Tab_Data_Flows[[#This Row],[Flow_Name]],Tab_Def_Flows[Flow_Name],0),11)</f>
        <v>0</v>
      </c>
      <c r="X22" s="7" t="str">
        <f>Tab_Data_Flows[[#This Row],[Flow_ID]]&amp;"_"&amp;"WC_"&amp;Tab_Data_Flows[[#This Row],[Flow_Data_Year]]</f>
        <v>F_12_00_WC_2020</v>
      </c>
      <c r="Y22" s="7">
        <f>IF(D22="Yes",U22*Tab_Data_Flows[[#This Row],[WC_'[%']]],"N.A.")</f>
        <v>0</v>
      </c>
      <c r="Z22" s="7" t="str">
        <f>Tab_Data_Flows[[#This Row],[UoM_Flow_Py]]</f>
        <v>Mg</v>
      </c>
      <c r="AA22" s="156">
        <f>INDEX(Tab_Def_Flows[[Flow_ID]:[CC_DM_source]],MATCH(Tab_Data_Flows[[#This Row],[Flow_Name]],Tab_Def_Flows[Flow_Name],0),14)</f>
        <v>1</v>
      </c>
      <c r="AB22" s="7" t="str">
        <f>Tab_Data_Flows[[#This Row],[Flow_ID]]&amp;"_"&amp;"DM_"&amp;Tab_Data_Flows[[#This Row],[Flow_Data_Year]]</f>
        <v>F_12_00_DM_2020</v>
      </c>
      <c r="AC22" s="7">
        <f>IF(E22="Yes",AA22*Tab_Data_Flows[[#This Row],[Flow_Material]],"N.A.")</f>
        <v>100</v>
      </c>
      <c r="AD22" s="7" t="str">
        <f>Tab_Data_Flows[[#This Row],[UoM_Flow_Py]]</f>
        <v>Mg</v>
      </c>
      <c r="AE22" s="156">
        <f>INDEX(Tab_Def_Flows[[Flow_ID]:[CC_DM_source]],MATCH(Tab_Data_Flows[[#This Row],[Flow_Name]],Tab_Def_Flows[Flow_Name],0),17)</f>
        <v>0.8</v>
      </c>
      <c r="AF22" s="7" t="str">
        <f>Tab_Data_Flows[[#This Row],[Flow_ID]]&amp;"_"&amp;"CC_"&amp;Tab_Data_Flows[[#This Row],[Flow_Data_Year]]</f>
        <v>F_12_00_CC_2020</v>
      </c>
      <c r="AG22" s="7">
        <f>IF(F22="Yes",AE22*Tab_Data_Flows[[#This Row],[Flow_Material]]*Tab_Data_Flows[[#This Row],[DM_'[%']]],"N.A.")</f>
        <v>80</v>
      </c>
      <c r="AH22" s="7" t="str">
        <f>Tab_Data_Flows[[#This Row],[UoM_Flow_Py]]</f>
        <v>Mg</v>
      </c>
      <c r="AI22"/>
    </row>
    <row r="23" spans="1:35" x14ac:dyDescent="0.25">
      <c r="A23" s="9">
        <f t="shared" si="1"/>
        <v>22</v>
      </c>
      <c r="B23" s="7" t="str">
        <f>_xlfn.XLOOKUP(C23,Tab_Def_Flows[Flow_Name],Tab_Def_Flows[Flow_ID],,0,)</f>
        <v>F_12_00</v>
      </c>
      <c r="C23" s="8" t="s">
        <v>739</v>
      </c>
      <c r="D23" s="10" t="str">
        <f>_xlfn.XLOOKUP(C23,Tab_Def_Flows[Flow_Name],Tab_Def_Flows[WC?],,0,)</f>
        <v>Yes</v>
      </c>
      <c r="E23" s="10" t="str">
        <f>_xlfn.XLOOKUP(C23,Tab_Def_Flows[Flow_Name],Tab_Def_Flows[DM?],,0,)</f>
        <v>Yes</v>
      </c>
      <c r="F23" s="10" t="str">
        <f>_xlfn.XLOOKUP(C23,Tab_Def_Flows[Flow_Name],Tab_Def_Flows[CC?],,0,)</f>
        <v>Yes</v>
      </c>
      <c r="G23" s="8">
        <v>2021</v>
      </c>
      <c r="H23" s="28">
        <v>100</v>
      </c>
      <c r="I23" s="8"/>
      <c r="J23" s="8"/>
      <c r="K23" s="8" t="e">
        <f>INDEX(#REF!,MATCH(Tab_Data_Flows[[#This Row],[Flow_Name]],#REF!,0),12)</f>
        <v>#REF!</v>
      </c>
      <c r="L23" s="8" t="e">
        <f>MATCH(Tab_Data_Flows[[#This Row],[Flow_Name]],#REF!,0)</f>
        <v>#REF!</v>
      </c>
      <c r="M23" s="8"/>
      <c r="N23" s="8"/>
      <c r="O23" s="8"/>
      <c r="P23" s="8"/>
      <c r="Q23" s="8" t="s">
        <v>8</v>
      </c>
      <c r="R23" s="8"/>
      <c r="S23" s="8"/>
      <c r="T23" s="7" t="str">
        <f>Tab_Data_Flows[[#This Row],[Flow_ID]]&amp;"_"&amp;"material_"&amp;Tab_Data_Flows[[#This Row],[Flow_Data_Year]]</f>
        <v>F_12_00_material_2021</v>
      </c>
      <c r="U23" s="18">
        <f t="shared" si="0"/>
        <v>100</v>
      </c>
      <c r="V23" s="8" t="s">
        <v>218</v>
      </c>
      <c r="W23" s="156">
        <f>INDEX(Tab_Def_Flows[[Flow_ID]:[CC_DM_source]],MATCH(Tab_Data_Flows[[#This Row],[Flow_Name]],Tab_Def_Flows[Flow_Name],0),11)</f>
        <v>0</v>
      </c>
      <c r="X23" s="7" t="str">
        <f>Tab_Data_Flows[[#This Row],[Flow_ID]]&amp;"_"&amp;"WC_"&amp;Tab_Data_Flows[[#This Row],[Flow_Data_Year]]</f>
        <v>F_12_00_WC_2021</v>
      </c>
      <c r="Y23" s="7">
        <f>IF(D23="Yes",U23*Tab_Data_Flows[[#This Row],[WC_'[%']]],"N.A.")</f>
        <v>0</v>
      </c>
      <c r="Z23" s="7" t="str">
        <f>Tab_Data_Flows[[#This Row],[UoM_Flow_Py]]</f>
        <v>Mg</v>
      </c>
      <c r="AA23" s="156">
        <f>INDEX(Tab_Def_Flows[[Flow_ID]:[CC_DM_source]],MATCH(Tab_Data_Flows[[#This Row],[Flow_Name]],Tab_Def_Flows[Flow_Name],0),14)</f>
        <v>1</v>
      </c>
      <c r="AB23" s="7" t="str">
        <f>Tab_Data_Flows[[#This Row],[Flow_ID]]&amp;"_"&amp;"DM_"&amp;Tab_Data_Flows[[#This Row],[Flow_Data_Year]]</f>
        <v>F_12_00_DM_2021</v>
      </c>
      <c r="AC23" s="7">
        <f>IF(E23="Yes",AA23*Tab_Data_Flows[[#This Row],[Flow_Material]],"N.A.")</f>
        <v>100</v>
      </c>
      <c r="AD23" s="7" t="str">
        <f>Tab_Data_Flows[[#This Row],[UoM_Flow_Py]]</f>
        <v>Mg</v>
      </c>
      <c r="AE23" s="156">
        <f>INDEX(Tab_Def_Flows[[Flow_ID]:[CC_DM_source]],MATCH(Tab_Data_Flows[[#This Row],[Flow_Name]],Tab_Def_Flows[Flow_Name],0),17)</f>
        <v>0.8</v>
      </c>
      <c r="AF23" s="7" t="str">
        <f>Tab_Data_Flows[[#This Row],[Flow_ID]]&amp;"_"&amp;"CC_"&amp;Tab_Data_Flows[[#This Row],[Flow_Data_Year]]</f>
        <v>F_12_00_CC_2021</v>
      </c>
      <c r="AG23" s="7">
        <f>IF(F23="Yes",AE23*Tab_Data_Flows[[#This Row],[Flow_Material]]*Tab_Data_Flows[[#This Row],[DM_'[%']]],"N.A.")</f>
        <v>80</v>
      </c>
      <c r="AH23" s="7" t="str">
        <f>Tab_Data_Flows[[#This Row],[UoM_Flow_Py]]</f>
        <v>Mg</v>
      </c>
      <c r="AI23"/>
    </row>
    <row r="24" spans="1:35" x14ac:dyDescent="0.25">
      <c r="A24" s="9">
        <f t="shared" si="1"/>
        <v>23</v>
      </c>
      <c r="B24" s="7" t="str">
        <f>_xlfn.XLOOKUP(C24,Tab_Def_Flows[Flow_Name],Tab_Def_Flows[Flow_ID],,0,)</f>
        <v>F_12_00</v>
      </c>
      <c r="C24" s="8" t="s">
        <v>739</v>
      </c>
      <c r="D24" s="10" t="str">
        <f>_xlfn.XLOOKUP(C24,Tab_Def_Flows[Flow_Name],Tab_Def_Flows[WC?],,0,)</f>
        <v>Yes</v>
      </c>
      <c r="E24" s="10" t="str">
        <f>_xlfn.XLOOKUP(C24,Tab_Def_Flows[Flow_Name],Tab_Def_Flows[DM?],,0,)</f>
        <v>Yes</v>
      </c>
      <c r="F24" s="10" t="str">
        <f>_xlfn.XLOOKUP(C24,Tab_Def_Flows[Flow_Name],Tab_Def_Flows[CC?],,0,)</f>
        <v>Yes</v>
      </c>
      <c r="G24" s="8">
        <v>2022</v>
      </c>
      <c r="H24" s="28">
        <v>100</v>
      </c>
      <c r="I24" s="8"/>
      <c r="J24" s="8"/>
      <c r="K24" s="8" t="e">
        <f>INDEX(#REF!,MATCH(Tab_Data_Flows[[#This Row],[Flow_Name]],#REF!,0),12)</f>
        <v>#REF!</v>
      </c>
      <c r="L24" s="8" t="e">
        <f>MATCH(Tab_Data_Flows[[#This Row],[Flow_Name]],#REF!,0)</f>
        <v>#REF!</v>
      </c>
      <c r="M24" s="8"/>
      <c r="N24" s="8"/>
      <c r="O24" s="8"/>
      <c r="P24" s="8"/>
      <c r="Q24" s="8" t="s">
        <v>8</v>
      </c>
      <c r="R24" s="8"/>
      <c r="S24" s="8"/>
      <c r="T24" s="7" t="str">
        <f>Tab_Data_Flows[[#This Row],[Flow_ID]]&amp;"_"&amp;"material_"&amp;Tab_Data_Flows[[#This Row],[Flow_Data_Year]]</f>
        <v>F_12_00_material_2022</v>
      </c>
      <c r="U24" s="18">
        <f t="shared" si="0"/>
        <v>100</v>
      </c>
      <c r="V24" s="8" t="s">
        <v>218</v>
      </c>
      <c r="W24" s="156">
        <f>INDEX(Tab_Def_Flows[[Flow_ID]:[CC_DM_source]],MATCH(Tab_Data_Flows[[#This Row],[Flow_Name]],Tab_Def_Flows[Flow_Name],0),11)</f>
        <v>0</v>
      </c>
      <c r="X24" s="7" t="str">
        <f>Tab_Data_Flows[[#This Row],[Flow_ID]]&amp;"_"&amp;"WC_"&amp;Tab_Data_Flows[[#This Row],[Flow_Data_Year]]</f>
        <v>F_12_00_WC_2022</v>
      </c>
      <c r="Y24" s="7">
        <f>IF(D24="Yes",U24*Tab_Data_Flows[[#This Row],[WC_'[%']]],"N.A.")</f>
        <v>0</v>
      </c>
      <c r="Z24" s="7" t="str">
        <f>Tab_Data_Flows[[#This Row],[UoM_Flow_Py]]</f>
        <v>Mg</v>
      </c>
      <c r="AA24" s="156">
        <f>INDEX(Tab_Def_Flows[[Flow_ID]:[CC_DM_source]],MATCH(Tab_Data_Flows[[#This Row],[Flow_Name]],Tab_Def_Flows[Flow_Name],0),14)</f>
        <v>1</v>
      </c>
      <c r="AB24" s="7" t="str">
        <f>Tab_Data_Flows[[#This Row],[Flow_ID]]&amp;"_"&amp;"DM_"&amp;Tab_Data_Flows[[#This Row],[Flow_Data_Year]]</f>
        <v>F_12_00_DM_2022</v>
      </c>
      <c r="AC24" s="7">
        <f>IF(E24="Yes",AA24*Tab_Data_Flows[[#This Row],[Flow_Material]],"N.A.")</f>
        <v>100</v>
      </c>
      <c r="AD24" s="7" t="str">
        <f>Tab_Data_Flows[[#This Row],[UoM_Flow_Py]]</f>
        <v>Mg</v>
      </c>
      <c r="AE24" s="156">
        <f>INDEX(Tab_Def_Flows[[Flow_ID]:[CC_DM_source]],MATCH(Tab_Data_Flows[[#This Row],[Flow_Name]],Tab_Def_Flows[Flow_Name],0),17)</f>
        <v>0.8</v>
      </c>
      <c r="AF24" s="7" t="str">
        <f>Tab_Data_Flows[[#This Row],[Flow_ID]]&amp;"_"&amp;"CC_"&amp;Tab_Data_Flows[[#This Row],[Flow_Data_Year]]</f>
        <v>F_12_00_CC_2022</v>
      </c>
      <c r="AG24" s="7">
        <f>IF(F24="Yes",AE24*Tab_Data_Flows[[#This Row],[Flow_Material]]*Tab_Data_Flows[[#This Row],[DM_'[%']]],"N.A.")</f>
        <v>80</v>
      </c>
      <c r="AH24" s="7" t="str">
        <f>Tab_Data_Flows[[#This Row],[UoM_Flow_Py]]</f>
        <v>Mg</v>
      </c>
      <c r="AI24"/>
    </row>
    <row r="25" spans="1:35" x14ac:dyDescent="0.25">
      <c r="A25" s="9">
        <f t="shared" si="1"/>
        <v>24</v>
      </c>
      <c r="B25" s="7" t="str">
        <f>_xlfn.XLOOKUP(C25,Tab_Def_Flows[Flow_Name],Tab_Def_Flows[Flow_ID],,0,)</f>
        <v>F_12_00</v>
      </c>
      <c r="C25" s="8" t="s">
        <v>739</v>
      </c>
      <c r="D25" s="10" t="str">
        <f>_xlfn.XLOOKUP(C25,Tab_Def_Flows[Flow_Name],Tab_Def_Flows[WC?],,0,)</f>
        <v>Yes</v>
      </c>
      <c r="E25" s="10" t="str">
        <f>_xlfn.XLOOKUP(C25,Tab_Def_Flows[Flow_Name],Tab_Def_Flows[DM?],,0,)</f>
        <v>Yes</v>
      </c>
      <c r="F25" s="10" t="str">
        <f>_xlfn.XLOOKUP(C25,Tab_Def_Flows[Flow_Name],Tab_Def_Flows[CC?],,0,)</f>
        <v>Yes</v>
      </c>
      <c r="G25" s="8">
        <v>2023</v>
      </c>
      <c r="H25" s="28">
        <v>100</v>
      </c>
      <c r="I25" s="8"/>
      <c r="J25" s="8"/>
      <c r="K25" s="8" t="e">
        <f>INDEX(#REF!,MATCH(Tab_Data_Flows[[#This Row],[Flow_Name]],#REF!,0),12)</f>
        <v>#REF!</v>
      </c>
      <c r="L25" s="8" t="e">
        <f>MATCH(Tab_Data_Flows[[#This Row],[Flow_Name]],#REF!,0)</f>
        <v>#REF!</v>
      </c>
      <c r="M25" s="8"/>
      <c r="N25" s="8"/>
      <c r="O25" s="8"/>
      <c r="P25" s="8"/>
      <c r="Q25" s="8" t="s">
        <v>8</v>
      </c>
      <c r="R25" s="8"/>
      <c r="S25" s="8"/>
      <c r="T25" s="7" t="str">
        <f>Tab_Data_Flows[[#This Row],[Flow_ID]]&amp;"_"&amp;"material_"&amp;Tab_Data_Flows[[#This Row],[Flow_Data_Year]]</f>
        <v>F_12_00_material_2023</v>
      </c>
      <c r="U25" s="18">
        <f t="shared" si="0"/>
        <v>100</v>
      </c>
      <c r="V25" s="8" t="s">
        <v>218</v>
      </c>
      <c r="W25" s="156">
        <f>INDEX(Tab_Def_Flows[[Flow_ID]:[CC_DM_source]],MATCH(Tab_Data_Flows[[#This Row],[Flow_Name]],Tab_Def_Flows[Flow_Name],0),11)</f>
        <v>0</v>
      </c>
      <c r="X25" s="7" t="str">
        <f>Tab_Data_Flows[[#This Row],[Flow_ID]]&amp;"_"&amp;"WC_"&amp;Tab_Data_Flows[[#This Row],[Flow_Data_Year]]</f>
        <v>F_12_00_WC_2023</v>
      </c>
      <c r="Y25" s="7">
        <f>IF(D25="Yes",U25*Tab_Data_Flows[[#This Row],[WC_'[%']]],"N.A.")</f>
        <v>0</v>
      </c>
      <c r="Z25" s="7" t="str">
        <f>Tab_Data_Flows[[#This Row],[UoM_Flow_Py]]</f>
        <v>Mg</v>
      </c>
      <c r="AA25" s="156">
        <f>INDEX(Tab_Def_Flows[[Flow_ID]:[CC_DM_source]],MATCH(Tab_Data_Flows[[#This Row],[Flow_Name]],Tab_Def_Flows[Flow_Name],0),14)</f>
        <v>1</v>
      </c>
      <c r="AB25" s="7" t="str">
        <f>Tab_Data_Flows[[#This Row],[Flow_ID]]&amp;"_"&amp;"DM_"&amp;Tab_Data_Flows[[#This Row],[Flow_Data_Year]]</f>
        <v>F_12_00_DM_2023</v>
      </c>
      <c r="AC25" s="7">
        <f>IF(E25="Yes",AA25*Tab_Data_Flows[[#This Row],[Flow_Material]],"N.A.")</f>
        <v>100</v>
      </c>
      <c r="AD25" s="7" t="str">
        <f>Tab_Data_Flows[[#This Row],[UoM_Flow_Py]]</f>
        <v>Mg</v>
      </c>
      <c r="AE25" s="156">
        <f>INDEX(Tab_Def_Flows[[Flow_ID]:[CC_DM_source]],MATCH(Tab_Data_Flows[[#This Row],[Flow_Name]],Tab_Def_Flows[Flow_Name],0),17)</f>
        <v>0.8</v>
      </c>
      <c r="AF25" s="7" t="str">
        <f>Tab_Data_Flows[[#This Row],[Flow_ID]]&amp;"_"&amp;"CC_"&amp;Tab_Data_Flows[[#This Row],[Flow_Data_Year]]</f>
        <v>F_12_00_CC_2023</v>
      </c>
      <c r="AG25" s="7">
        <f>IF(F25="Yes",AE25*Tab_Data_Flows[[#This Row],[Flow_Material]]*Tab_Data_Flows[[#This Row],[DM_'[%']]],"N.A.")</f>
        <v>80</v>
      </c>
      <c r="AH25" s="7" t="str">
        <f>Tab_Data_Flows[[#This Row],[UoM_Flow_Py]]</f>
        <v>Mg</v>
      </c>
      <c r="AI25"/>
    </row>
    <row r="26" spans="1:35" x14ac:dyDescent="0.25">
      <c r="A26" s="9">
        <f t="shared" si="1"/>
        <v>25</v>
      </c>
      <c r="B26" s="7" t="str">
        <f>_xlfn.XLOOKUP(C26,Tab_Def_Flows[Flow_Name],Tab_Def_Flows[Flow_ID],,0,)</f>
        <v>F_12_00</v>
      </c>
      <c r="C26" s="8" t="s">
        <v>739</v>
      </c>
      <c r="D26" s="10" t="str">
        <f>_xlfn.XLOOKUP(C26,Tab_Def_Flows[Flow_Name],Tab_Def_Flows[WC?],,0,)</f>
        <v>Yes</v>
      </c>
      <c r="E26" s="10" t="str">
        <f>_xlfn.XLOOKUP(C26,Tab_Def_Flows[Flow_Name],Tab_Def_Flows[DM?],,0,)</f>
        <v>Yes</v>
      </c>
      <c r="F26" s="10" t="str">
        <f>_xlfn.XLOOKUP(C26,Tab_Def_Flows[Flow_Name],Tab_Def_Flows[CC?],,0,)</f>
        <v>Yes</v>
      </c>
      <c r="G26" s="8">
        <v>2024</v>
      </c>
      <c r="H26" s="28">
        <v>100</v>
      </c>
      <c r="I26" s="8"/>
      <c r="J26" s="8"/>
      <c r="K26" s="8" t="e">
        <f>INDEX(#REF!,MATCH(Tab_Data_Flows[[#This Row],[Flow_Name]],#REF!,0),12)</f>
        <v>#REF!</v>
      </c>
      <c r="L26" s="8" t="e">
        <f>MATCH(Tab_Data_Flows[[#This Row],[Flow_Name]],#REF!,0)</f>
        <v>#REF!</v>
      </c>
      <c r="M26" s="8"/>
      <c r="N26" s="8"/>
      <c r="O26" s="8"/>
      <c r="P26" s="8"/>
      <c r="Q26" s="8" t="s">
        <v>8</v>
      </c>
      <c r="R26" s="8"/>
      <c r="S26" s="8"/>
      <c r="T26" s="7" t="str">
        <f>Tab_Data_Flows[[#This Row],[Flow_ID]]&amp;"_"&amp;"material_"&amp;Tab_Data_Flows[[#This Row],[Flow_Data_Year]]</f>
        <v>F_12_00_material_2024</v>
      </c>
      <c r="U26" s="18">
        <f t="shared" si="0"/>
        <v>100</v>
      </c>
      <c r="V26" s="8" t="s">
        <v>218</v>
      </c>
      <c r="W26" s="156">
        <f>INDEX(Tab_Def_Flows[[Flow_ID]:[CC_DM_source]],MATCH(Tab_Data_Flows[[#This Row],[Flow_Name]],Tab_Def_Flows[Flow_Name],0),11)</f>
        <v>0</v>
      </c>
      <c r="X26" s="7" t="str">
        <f>Tab_Data_Flows[[#This Row],[Flow_ID]]&amp;"_"&amp;"WC_"&amp;Tab_Data_Flows[[#This Row],[Flow_Data_Year]]</f>
        <v>F_12_00_WC_2024</v>
      </c>
      <c r="Y26" s="7">
        <f>IF(D26="Yes",U26*Tab_Data_Flows[[#This Row],[WC_'[%']]],"N.A.")</f>
        <v>0</v>
      </c>
      <c r="Z26" s="7" t="str">
        <f>Tab_Data_Flows[[#This Row],[UoM_Flow_Py]]</f>
        <v>Mg</v>
      </c>
      <c r="AA26" s="156">
        <f>INDEX(Tab_Def_Flows[[Flow_ID]:[CC_DM_source]],MATCH(Tab_Data_Flows[[#This Row],[Flow_Name]],Tab_Def_Flows[Flow_Name],0),14)</f>
        <v>1</v>
      </c>
      <c r="AB26" s="7" t="str">
        <f>Tab_Data_Flows[[#This Row],[Flow_ID]]&amp;"_"&amp;"DM_"&amp;Tab_Data_Flows[[#This Row],[Flow_Data_Year]]</f>
        <v>F_12_00_DM_2024</v>
      </c>
      <c r="AC26" s="7">
        <f>IF(E26="Yes",AA26*Tab_Data_Flows[[#This Row],[Flow_Material]],"N.A.")</f>
        <v>100</v>
      </c>
      <c r="AD26" s="7" t="str">
        <f>Tab_Data_Flows[[#This Row],[UoM_Flow_Py]]</f>
        <v>Mg</v>
      </c>
      <c r="AE26" s="156">
        <f>INDEX(Tab_Def_Flows[[Flow_ID]:[CC_DM_source]],MATCH(Tab_Data_Flows[[#This Row],[Flow_Name]],Tab_Def_Flows[Flow_Name],0),17)</f>
        <v>0.8</v>
      </c>
      <c r="AF26" s="7" t="str">
        <f>Tab_Data_Flows[[#This Row],[Flow_ID]]&amp;"_"&amp;"CC_"&amp;Tab_Data_Flows[[#This Row],[Flow_Data_Year]]</f>
        <v>F_12_00_CC_2024</v>
      </c>
      <c r="AG26" s="7">
        <f>IF(F26="Yes",AE26*Tab_Data_Flows[[#This Row],[Flow_Material]]*Tab_Data_Flows[[#This Row],[DM_'[%']]],"N.A.")</f>
        <v>80</v>
      </c>
      <c r="AH26" s="7" t="str">
        <f>Tab_Data_Flows[[#This Row],[UoM_Flow_Py]]</f>
        <v>Mg</v>
      </c>
      <c r="AI26"/>
    </row>
    <row r="27" spans="1:35" x14ac:dyDescent="0.25">
      <c r="A27" s="9">
        <f t="shared" si="1"/>
        <v>26</v>
      </c>
      <c r="B27" s="7" t="str">
        <f>_xlfn.XLOOKUP(C27,Tab_Def_Flows[Flow_Name],Tab_Def_Flows[Flow_ID],,0,)</f>
        <v>F_12_00</v>
      </c>
      <c r="C27" s="8" t="s">
        <v>739</v>
      </c>
      <c r="D27" s="10" t="str">
        <f>_xlfn.XLOOKUP(C27,Tab_Def_Flows[Flow_Name],Tab_Def_Flows[WC?],,0,)</f>
        <v>Yes</v>
      </c>
      <c r="E27" s="10" t="str">
        <f>_xlfn.XLOOKUP(C27,Tab_Def_Flows[Flow_Name],Tab_Def_Flows[DM?],,0,)</f>
        <v>Yes</v>
      </c>
      <c r="F27" s="10" t="str">
        <f>_xlfn.XLOOKUP(C27,Tab_Def_Flows[Flow_Name],Tab_Def_Flows[CC?],,0,)</f>
        <v>Yes</v>
      </c>
      <c r="G27" s="8">
        <v>2025</v>
      </c>
      <c r="H27" s="28">
        <v>100</v>
      </c>
      <c r="I27" s="8"/>
      <c r="J27" s="8"/>
      <c r="K27" s="8" t="e">
        <f>INDEX(#REF!,MATCH(Tab_Data_Flows[[#This Row],[Flow_Name]],#REF!,0),12)</f>
        <v>#REF!</v>
      </c>
      <c r="L27" s="8" t="e">
        <f>MATCH(Tab_Data_Flows[[#This Row],[Flow_Name]],#REF!,0)</f>
        <v>#REF!</v>
      </c>
      <c r="M27" s="8"/>
      <c r="N27" s="8"/>
      <c r="O27" s="8"/>
      <c r="P27" s="8"/>
      <c r="Q27" s="8" t="s">
        <v>8</v>
      </c>
      <c r="R27" s="8"/>
      <c r="S27" s="8"/>
      <c r="T27" s="7" t="str">
        <f>Tab_Data_Flows[[#This Row],[Flow_ID]]&amp;"_"&amp;"material_"&amp;Tab_Data_Flows[[#This Row],[Flow_Data_Year]]</f>
        <v>F_12_00_material_2025</v>
      </c>
      <c r="U27" s="18">
        <f t="shared" si="0"/>
        <v>100</v>
      </c>
      <c r="V27" s="8" t="s">
        <v>218</v>
      </c>
      <c r="W27" s="156">
        <f>INDEX(Tab_Def_Flows[[Flow_ID]:[CC_DM_source]],MATCH(Tab_Data_Flows[[#This Row],[Flow_Name]],Tab_Def_Flows[Flow_Name],0),11)</f>
        <v>0</v>
      </c>
      <c r="X27" s="7" t="str">
        <f>Tab_Data_Flows[[#This Row],[Flow_ID]]&amp;"_"&amp;"WC_"&amp;Tab_Data_Flows[[#This Row],[Flow_Data_Year]]</f>
        <v>F_12_00_WC_2025</v>
      </c>
      <c r="Y27" s="7">
        <f>IF(D27="Yes",U27*Tab_Data_Flows[[#This Row],[WC_'[%']]],"N.A.")</f>
        <v>0</v>
      </c>
      <c r="Z27" s="7" t="str">
        <f>Tab_Data_Flows[[#This Row],[UoM_Flow_Py]]</f>
        <v>Mg</v>
      </c>
      <c r="AA27" s="156">
        <f>INDEX(Tab_Def_Flows[[Flow_ID]:[CC_DM_source]],MATCH(Tab_Data_Flows[[#This Row],[Flow_Name]],Tab_Def_Flows[Flow_Name],0),14)</f>
        <v>1</v>
      </c>
      <c r="AB27" s="7" t="str">
        <f>Tab_Data_Flows[[#This Row],[Flow_ID]]&amp;"_"&amp;"DM_"&amp;Tab_Data_Flows[[#This Row],[Flow_Data_Year]]</f>
        <v>F_12_00_DM_2025</v>
      </c>
      <c r="AC27" s="7">
        <f>IF(E27="Yes",AA27*Tab_Data_Flows[[#This Row],[Flow_Material]],"N.A.")</f>
        <v>100</v>
      </c>
      <c r="AD27" s="7" t="str">
        <f>Tab_Data_Flows[[#This Row],[UoM_Flow_Py]]</f>
        <v>Mg</v>
      </c>
      <c r="AE27" s="156">
        <f>INDEX(Tab_Def_Flows[[Flow_ID]:[CC_DM_source]],MATCH(Tab_Data_Flows[[#This Row],[Flow_Name]],Tab_Def_Flows[Flow_Name],0),17)</f>
        <v>0.8</v>
      </c>
      <c r="AF27" s="7" t="str">
        <f>Tab_Data_Flows[[#This Row],[Flow_ID]]&amp;"_"&amp;"CC_"&amp;Tab_Data_Flows[[#This Row],[Flow_Data_Year]]</f>
        <v>F_12_00_CC_2025</v>
      </c>
      <c r="AG27" s="7">
        <f>IF(F27="Yes",AE27*Tab_Data_Flows[[#This Row],[Flow_Material]]*Tab_Data_Flows[[#This Row],[DM_'[%']]],"N.A.")</f>
        <v>80</v>
      </c>
      <c r="AH27" s="7" t="str">
        <f>Tab_Data_Flows[[#This Row],[UoM_Flow_Py]]</f>
        <v>Mg</v>
      </c>
      <c r="AI27"/>
    </row>
    <row r="28" spans="1:35" x14ac:dyDescent="0.25">
      <c r="A28" s="9">
        <f t="shared" si="1"/>
        <v>27</v>
      </c>
      <c r="B28" s="7" t="str">
        <f>_xlfn.XLOOKUP(C28,Tab_Def_Flows[Flow_Name],Tab_Def_Flows[Flow_ID],,0,)</f>
        <v>F_12_00</v>
      </c>
      <c r="C28" s="8" t="s">
        <v>739</v>
      </c>
      <c r="D28" s="10" t="str">
        <f>_xlfn.XLOOKUP(C28,Tab_Def_Flows[Flow_Name],Tab_Def_Flows[WC?],,0,)</f>
        <v>Yes</v>
      </c>
      <c r="E28" s="10" t="str">
        <f>_xlfn.XLOOKUP(C28,Tab_Def_Flows[Flow_Name],Tab_Def_Flows[DM?],,0,)</f>
        <v>Yes</v>
      </c>
      <c r="F28" s="10" t="str">
        <f>_xlfn.XLOOKUP(C28,Tab_Def_Flows[Flow_Name],Tab_Def_Flows[CC?],,0,)</f>
        <v>Yes</v>
      </c>
      <c r="G28" s="8">
        <v>2026</v>
      </c>
      <c r="H28" s="28">
        <v>100</v>
      </c>
      <c r="I28" s="8"/>
      <c r="J28" s="8"/>
      <c r="K28" s="8" t="e">
        <f>INDEX(#REF!,MATCH(Tab_Data_Flows[[#This Row],[Flow_Name]],#REF!,0),12)</f>
        <v>#REF!</v>
      </c>
      <c r="L28" s="8" t="e">
        <f>MATCH(Tab_Data_Flows[[#This Row],[Flow_Name]],#REF!,0)</f>
        <v>#REF!</v>
      </c>
      <c r="M28" s="8"/>
      <c r="N28" s="8"/>
      <c r="O28" s="8"/>
      <c r="P28" s="8"/>
      <c r="Q28" s="8" t="s">
        <v>8</v>
      </c>
      <c r="R28" s="8"/>
      <c r="S28" s="8"/>
      <c r="T28" s="7" t="str">
        <f>Tab_Data_Flows[[#This Row],[Flow_ID]]&amp;"_"&amp;"material_"&amp;Tab_Data_Flows[[#This Row],[Flow_Data_Year]]</f>
        <v>F_12_00_material_2026</v>
      </c>
      <c r="U28" s="18">
        <f t="shared" si="0"/>
        <v>100</v>
      </c>
      <c r="V28" s="8" t="s">
        <v>218</v>
      </c>
      <c r="W28" s="156">
        <f>INDEX(Tab_Def_Flows[[Flow_ID]:[CC_DM_source]],MATCH(Tab_Data_Flows[[#This Row],[Flow_Name]],Tab_Def_Flows[Flow_Name],0),11)</f>
        <v>0</v>
      </c>
      <c r="X28" s="7" t="str">
        <f>Tab_Data_Flows[[#This Row],[Flow_ID]]&amp;"_"&amp;"WC_"&amp;Tab_Data_Flows[[#This Row],[Flow_Data_Year]]</f>
        <v>F_12_00_WC_2026</v>
      </c>
      <c r="Y28" s="7">
        <f>IF(D28="Yes",U28*Tab_Data_Flows[[#This Row],[WC_'[%']]],"N.A.")</f>
        <v>0</v>
      </c>
      <c r="Z28" s="7" t="str">
        <f>Tab_Data_Flows[[#This Row],[UoM_Flow_Py]]</f>
        <v>Mg</v>
      </c>
      <c r="AA28" s="156">
        <f>INDEX(Tab_Def_Flows[[Flow_ID]:[CC_DM_source]],MATCH(Tab_Data_Flows[[#This Row],[Flow_Name]],Tab_Def_Flows[Flow_Name],0),14)</f>
        <v>1</v>
      </c>
      <c r="AB28" s="7" t="str">
        <f>Tab_Data_Flows[[#This Row],[Flow_ID]]&amp;"_"&amp;"DM_"&amp;Tab_Data_Flows[[#This Row],[Flow_Data_Year]]</f>
        <v>F_12_00_DM_2026</v>
      </c>
      <c r="AC28" s="7">
        <f>IF(E28="Yes",AA28*Tab_Data_Flows[[#This Row],[Flow_Material]],"N.A.")</f>
        <v>100</v>
      </c>
      <c r="AD28" s="7" t="str">
        <f>Tab_Data_Flows[[#This Row],[UoM_Flow_Py]]</f>
        <v>Mg</v>
      </c>
      <c r="AE28" s="156">
        <f>INDEX(Tab_Def_Flows[[Flow_ID]:[CC_DM_source]],MATCH(Tab_Data_Flows[[#This Row],[Flow_Name]],Tab_Def_Flows[Flow_Name],0),17)</f>
        <v>0.8</v>
      </c>
      <c r="AF28" s="7" t="str">
        <f>Tab_Data_Flows[[#This Row],[Flow_ID]]&amp;"_"&amp;"CC_"&amp;Tab_Data_Flows[[#This Row],[Flow_Data_Year]]</f>
        <v>F_12_00_CC_2026</v>
      </c>
      <c r="AG28" s="7">
        <f>IF(F28="Yes",AE28*Tab_Data_Flows[[#This Row],[Flow_Material]]*Tab_Data_Flows[[#This Row],[DM_'[%']]],"N.A.")</f>
        <v>80</v>
      </c>
      <c r="AH28" s="7" t="str">
        <f>Tab_Data_Flows[[#This Row],[UoM_Flow_Py]]</f>
        <v>Mg</v>
      </c>
      <c r="AI28"/>
    </row>
    <row r="29" spans="1:35" x14ac:dyDescent="0.25">
      <c r="A29" s="9">
        <f t="shared" si="1"/>
        <v>28</v>
      </c>
      <c r="B29" s="7" t="str">
        <f>_xlfn.XLOOKUP(C29,Tab_Def_Flows[Flow_Name],Tab_Def_Flows[Flow_ID],,0,)</f>
        <v>F_12_00</v>
      </c>
      <c r="C29" s="8" t="s">
        <v>739</v>
      </c>
      <c r="D29" s="10" t="str">
        <f>_xlfn.XLOOKUP(C29,Tab_Def_Flows[Flow_Name],Tab_Def_Flows[WC?],,0,)</f>
        <v>Yes</v>
      </c>
      <c r="E29" s="10" t="str">
        <f>_xlfn.XLOOKUP(C29,Tab_Def_Flows[Flow_Name],Tab_Def_Flows[DM?],,0,)</f>
        <v>Yes</v>
      </c>
      <c r="F29" s="10" t="str">
        <f>_xlfn.XLOOKUP(C29,Tab_Def_Flows[Flow_Name],Tab_Def_Flows[CC?],,0,)</f>
        <v>Yes</v>
      </c>
      <c r="G29" s="8">
        <v>2027</v>
      </c>
      <c r="H29" s="28">
        <v>100</v>
      </c>
      <c r="I29" s="8"/>
      <c r="J29" s="8"/>
      <c r="K29" s="8" t="e">
        <f>INDEX(#REF!,MATCH(Tab_Data_Flows[[#This Row],[Flow_Name]],#REF!,0),12)</f>
        <v>#REF!</v>
      </c>
      <c r="L29" s="8" t="e">
        <f>MATCH(Tab_Data_Flows[[#This Row],[Flow_Name]],#REF!,0)</f>
        <v>#REF!</v>
      </c>
      <c r="M29" s="8"/>
      <c r="N29" s="8"/>
      <c r="O29" s="8"/>
      <c r="P29" s="8"/>
      <c r="Q29" s="8" t="s">
        <v>8</v>
      </c>
      <c r="R29" s="8"/>
      <c r="S29" s="8"/>
      <c r="T29" s="7" t="str">
        <f>Tab_Data_Flows[[#This Row],[Flow_ID]]&amp;"_"&amp;"material_"&amp;Tab_Data_Flows[[#This Row],[Flow_Data_Year]]</f>
        <v>F_12_00_material_2027</v>
      </c>
      <c r="U29" s="18">
        <f t="shared" si="0"/>
        <v>100</v>
      </c>
      <c r="V29" s="8" t="s">
        <v>218</v>
      </c>
      <c r="W29" s="156">
        <f>INDEX(Tab_Def_Flows[[Flow_ID]:[CC_DM_source]],MATCH(Tab_Data_Flows[[#This Row],[Flow_Name]],Tab_Def_Flows[Flow_Name],0),11)</f>
        <v>0</v>
      </c>
      <c r="X29" s="7" t="str">
        <f>Tab_Data_Flows[[#This Row],[Flow_ID]]&amp;"_"&amp;"WC_"&amp;Tab_Data_Flows[[#This Row],[Flow_Data_Year]]</f>
        <v>F_12_00_WC_2027</v>
      </c>
      <c r="Y29" s="7">
        <f>IF(D29="Yes",U29*Tab_Data_Flows[[#This Row],[WC_'[%']]],"N.A.")</f>
        <v>0</v>
      </c>
      <c r="Z29" s="7" t="str">
        <f>Tab_Data_Flows[[#This Row],[UoM_Flow_Py]]</f>
        <v>Mg</v>
      </c>
      <c r="AA29" s="156">
        <f>INDEX(Tab_Def_Flows[[Flow_ID]:[CC_DM_source]],MATCH(Tab_Data_Flows[[#This Row],[Flow_Name]],Tab_Def_Flows[Flow_Name],0),14)</f>
        <v>1</v>
      </c>
      <c r="AB29" s="7" t="str">
        <f>Tab_Data_Flows[[#This Row],[Flow_ID]]&amp;"_"&amp;"DM_"&amp;Tab_Data_Flows[[#This Row],[Flow_Data_Year]]</f>
        <v>F_12_00_DM_2027</v>
      </c>
      <c r="AC29" s="7">
        <f>IF(E29="Yes",AA29*Tab_Data_Flows[[#This Row],[Flow_Material]],"N.A.")</f>
        <v>100</v>
      </c>
      <c r="AD29" s="7" t="str">
        <f>Tab_Data_Flows[[#This Row],[UoM_Flow_Py]]</f>
        <v>Mg</v>
      </c>
      <c r="AE29" s="156">
        <f>INDEX(Tab_Def_Flows[[Flow_ID]:[CC_DM_source]],MATCH(Tab_Data_Flows[[#This Row],[Flow_Name]],Tab_Def_Flows[Flow_Name],0),17)</f>
        <v>0.8</v>
      </c>
      <c r="AF29" s="7" t="str">
        <f>Tab_Data_Flows[[#This Row],[Flow_ID]]&amp;"_"&amp;"CC_"&amp;Tab_Data_Flows[[#This Row],[Flow_Data_Year]]</f>
        <v>F_12_00_CC_2027</v>
      </c>
      <c r="AG29" s="7">
        <f>IF(F29="Yes",AE29*Tab_Data_Flows[[#This Row],[Flow_Material]]*Tab_Data_Flows[[#This Row],[DM_'[%']]],"N.A.")</f>
        <v>80</v>
      </c>
      <c r="AH29" s="7" t="str">
        <f>Tab_Data_Flows[[#This Row],[UoM_Flow_Py]]</f>
        <v>Mg</v>
      </c>
      <c r="AI29"/>
    </row>
    <row r="30" spans="1:35" x14ac:dyDescent="0.25">
      <c r="A30" s="9">
        <f t="shared" si="1"/>
        <v>29</v>
      </c>
      <c r="B30" s="7" t="str">
        <f>_xlfn.XLOOKUP(C30,Tab_Def_Flows[Flow_Name],Tab_Def_Flows[Flow_ID],,0,)</f>
        <v>F_12_00</v>
      </c>
      <c r="C30" s="8" t="s">
        <v>739</v>
      </c>
      <c r="D30" s="10" t="str">
        <f>_xlfn.XLOOKUP(C30,Tab_Def_Flows[Flow_Name],Tab_Def_Flows[WC?],,0,)</f>
        <v>Yes</v>
      </c>
      <c r="E30" s="10" t="str">
        <f>_xlfn.XLOOKUP(C30,Tab_Def_Flows[Flow_Name],Tab_Def_Flows[DM?],,0,)</f>
        <v>Yes</v>
      </c>
      <c r="F30" s="10" t="str">
        <f>_xlfn.XLOOKUP(C30,Tab_Def_Flows[Flow_Name],Tab_Def_Flows[CC?],,0,)</f>
        <v>Yes</v>
      </c>
      <c r="G30" s="8">
        <v>2028</v>
      </c>
      <c r="H30" s="28">
        <v>100</v>
      </c>
      <c r="I30" s="8"/>
      <c r="J30" s="8"/>
      <c r="K30" s="8" t="e">
        <f>INDEX(#REF!,MATCH(Tab_Data_Flows[[#This Row],[Flow_Name]],#REF!,0),12)</f>
        <v>#REF!</v>
      </c>
      <c r="L30" s="8" t="e">
        <f>MATCH(Tab_Data_Flows[[#This Row],[Flow_Name]],#REF!,0)</f>
        <v>#REF!</v>
      </c>
      <c r="M30" s="8"/>
      <c r="N30" s="8"/>
      <c r="O30" s="8"/>
      <c r="P30" s="8"/>
      <c r="Q30" s="8" t="s">
        <v>8</v>
      </c>
      <c r="R30" s="8"/>
      <c r="S30" s="8"/>
      <c r="T30" s="7" t="str">
        <f>Tab_Data_Flows[[#This Row],[Flow_ID]]&amp;"_"&amp;"material_"&amp;Tab_Data_Flows[[#This Row],[Flow_Data_Year]]</f>
        <v>F_12_00_material_2028</v>
      </c>
      <c r="U30" s="18">
        <f t="shared" si="0"/>
        <v>100</v>
      </c>
      <c r="V30" s="8" t="s">
        <v>218</v>
      </c>
      <c r="W30" s="156">
        <f>INDEX(Tab_Def_Flows[[Flow_ID]:[CC_DM_source]],MATCH(Tab_Data_Flows[[#This Row],[Flow_Name]],Tab_Def_Flows[Flow_Name],0),11)</f>
        <v>0</v>
      </c>
      <c r="X30" s="7" t="str">
        <f>Tab_Data_Flows[[#This Row],[Flow_ID]]&amp;"_"&amp;"WC_"&amp;Tab_Data_Flows[[#This Row],[Flow_Data_Year]]</f>
        <v>F_12_00_WC_2028</v>
      </c>
      <c r="Y30" s="7">
        <f>IF(D30="Yes",U30*Tab_Data_Flows[[#This Row],[WC_'[%']]],"N.A.")</f>
        <v>0</v>
      </c>
      <c r="Z30" s="7" t="str">
        <f>Tab_Data_Flows[[#This Row],[UoM_Flow_Py]]</f>
        <v>Mg</v>
      </c>
      <c r="AA30" s="156">
        <f>INDEX(Tab_Def_Flows[[Flow_ID]:[CC_DM_source]],MATCH(Tab_Data_Flows[[#This Row],[Flow_Name]],Tab_Def_Flows[Flow_Name],0),14)</f>
        <v>1</v>
      </c>
      <c r="AB30" s="7" t="str">
        <f>Tab_Data_Flows[[#This Row],[Flow_ID]]&amp;"_"&amp;"DM_"&amp;Tab_Data_Flows[[#This Row],[Flow_Data_Year]]</f>
        <v>F_12_00_DM_2028</v>
      </c>
      <c r="AC30" s="7">
        <f>IF(E30="Yes",AA30*Tab_Data_Flows[[#This Row],[Flow_Material]],"N.A.")</f>
        <v>100</v>
      </c>
      <c r="AD30" s="7" t="str">
        <f>Tab_Data_Flows[[#This Row],[UoM_Flow_Py]]</f>
        <v>Mg</v>
      </c>
      <c r="AE30" s="156">
        <f>INDEX(Tab_Def_Flows[[Flow_ID]:[CC_DM_source]],MATCH(Tab_Data_Flows[[#This Row],[Flow_Name]],Tab_Def_Flows[Flow_Name],0),17)</f>
        <v>0.8</v>
      </c>
      <c r="AF30" s="7" t="str">
        <f>Tab_Data_Flows[[#This Row],[Flow_ID]]&amp;"_"&amp;"CC_"&amp;Tab_Data_Flows[[#This Row],[Flow_Data_Year]]</f>
        <v>F_12_00_CC_2028</v>
      </c>
      <c r="AG30" s="7">
        <f>IF(F30="Yes",AE30*Tab_Data_Flows[[#This Row],[Flow_Material]]*Tab_Data_Flows[[#This Row],[DM_'[%']]],"N.A.")</f>
        <v>80</v>
      </c>
      <c r="AH30" s="7" t="str">
        <f>Tab_Data_Flows[[#This Row],[UoM_Flow_Py]]</f>
        <v>Mg</v>
      </c>
      <c r="AI30"/>
    </row>
    <row r="31" spans="1:35" x14ac:dyDescent="0.25">
      <c r="A31" s="9">
        <f t="shared" si="1"/>
        <v>30</v>
      </c>
      <c r="B31" s="7" t="str">
        <f>_xlfn.XLOOKUP(C31,Tab_Def_Flows[Flow_Name],Tab_Def_Flows[Flow_ID],,0,)</f>
        <v>F_12_00</v>
      </c>
      <c r="C31" s="8" t="s">
        <v>739</v>
      </c>
      <c r="D31" s="10" t="str">
        <f>_xlfn.XLOOKUP(C31,Tab_Def_Flows[Flow_Name],Tab_Def_Flows[WC?],,0,)</f>
        <v>Yes</v>
      </c>
      <c r="E31" s="10" t="str">
        <f>_xlfn.XLOOKUP(C31,Tab_Def_Flows[Flow_Name],Tab_Def_Flows[DM?],,0,)</f>
        <v>Yes</v>
      </c>
      <c r="F31" s="10" t="str">
        <f>_xlfn.XLOOKUP(C31,Tab_Def_Flows[Flow_Name],Tab_Def_Flows[CC?],,0,)</f>
        <v>Yes</v>
      </c>
      <c r="G31" s="8">
        <v>2029</v>
      </c>
      <c r="H31" s="28">
        <v>100</v>
      </c>
      <c r="I31" s="8"/>
      <c r="J31" s="8"/>
      <c r="K31" s="8"/>
      <c r="L31" s="8"/>
      <c r="M31" s="8"/>
      <c r="N31" s="8"/>
      <c r="O31" s="8"/>
      <c r="P31" s="8"/>
      <c r="Q31" s="8" t="s">
        <v>8</v>
      </c>
      <c r="R31" s="21"/>
      <c r="S31" s="8"/>
      <c r="T31" s="7" t="str">
        <f>Tab_Data_Flows[[#This Row],[Flow_ID]]&amp;"_"&amp;"material_"&amp;Tab_Data_Flows[[#This Row],[Flow_Data_Year]]</f>
        <v>F_12_00_material_2029</v>
      </c>
      <c r="U31" s="18">
        <f t="shared" si="0"/>
        <v>100</v>
      </c>
      <c r="V31" s="8" t="s">
        <v>218</v>
      </c>
      <c r="W31" s="156">
        <f>INDEX(Tab_Def_Flows[[Flow_ID]:[CC_DM_source]],MATCH(Tab_Data_Flows[[#This Row],[Flow_Name]],Tab_Def_Flows[Flow_Name],0),11)</f>
        <v>0</v>
      </c>
      <c r="X31" s="7" t="str">
        <f>Tab_Data_Flows[[#This Row],[Flow_ID]]&amp;"_"&amp;"WC_"&amp;Tab_Data_Flows[[#This Row],[Flow_Data_Year]]</f>
        <v>F_12_00_WC_2029</v>
      </c>
      <c r="Y31" s="7">
        <f>IF(D31="Yes",U31*Tab_Data_Flows[[#This Row],[WC_'[%']]],"N.A.")</f>
        <v>0</v>
      </c>
      <c r="Z31" s="7" t="str">
        <f>Tab_Data_Flows[[#This Row],[UoM_Flow_Py]]</f>
        <v>Mg</v>
      </c>
      <c r="AA31" s="156">
        <f>INDEX(Tab_Def_Flows[[Flow_ID]:[CC_DM_source]],MATCH(Tab_Data_Flows[[#This Row],[Flow_Name]],Tab_Def_Flows[Flow_Name],0),14)</f>
        <v>1</v>
      </c>
      <c r="AB31" s="7" t="str">
        <f>Tab_Data_Flows[[#This Row],[Flow_ID]]&amp;"_"&amp;"DM_"&amp;Tab_Data_Flows[[#This Row],[Flow_Data_Year]]</f>
        <v>F_12_00_DM_2029</v>
      </c>
      <c r="AC31" s="7">
        <f>IF(E31="Yes",AA31*Tab_Data_Flows[[#This Row],[Flow_Material]],"N.A.")</f>
        <v>100</v>
      </c>
      <c r="AD31" s="7" t="str">
        <f>Tab_Data_Flows[[#This Row],[UoM_Flow_Py]]</f>
        <v>Mg</v>
      </c>
      <c r="AE31" s="156">
        <f>INDEX(Tab_Def_Flows[[Flow_ID]:[CC_DM_source]],MATCH(Tab_Data_Flows[[#This Row],[Flow_Name]],Tab_Def_Flows[Flow_Name],0),17)</f>
        <v>0.8</v>
      </c>
      <c r="AF31" s="7" t="str">
        <f>Tab_Data_Flows[[#This Row],[Flow_ID]]&amp;"_"&amp;"CC_"&amp;Tab_Data_Flows[[#This Row],[Flow_Data_Year]]</f>
        <v>F_12_00_CC_2029</v>
      </c>
      <c r="AG31" s="7">
        <f>IF(F31="Yes",AE31*Tab_Data_Flows[[#This Row],[Flow_Material]]*Tab_Data_Flows[[#This Row],[DM_'[%']]],"N.A.")</f>
        <v>80</v>
      </c>
      <c r="AH31" s="7" t="str">
        <f>Tab_Data_Flows[[#This Row],[UoM_Flow_Py]]</f>
        <v>Mg</v>
      </c>
      <c r="AI31"/>
    </row>
    <row r="32" spans="1:35" x14ac:dyDescent="0.25">
      <c r="A32" s="9">
        <f t="shared" si="1"/>
        <v>31</v>
      </c>
      <c r="B32" s="7" t="str">
        <f>_xlfn.XLOOKUP(C32,Tab_Def_Flows[Flow_Name],Tab_Def_Flows[Flow_ID],,0,)</f>
        <v>F_12_00</v>
      </c>
      <c r="C32" s="8" t="s">
        <v>739</v>
      </c>
      <c r="D32" s="10" t="str">
        <f>_xlfn.XLOOKUP(C32,Tab_Def_Flows[Flow_Name],Tab_Def_Flows[WC?],,0,)</f>
        <v>Yes</v>
      </c>
      <c r="E32" s="10" t="str">
        <f>_xlfn.XLOOKUP(C32,Tab_Def_Flows[Flow_Name],Tab_Def_Flows[DM?],,0,)</f>
        <v>Yes</v>
      </c>
      <c r="F32" s="10" t="str">
        <f>_xlfn.XLOOKUP(C32,Tab_Def_Flows[Flow_Name],Tab_Def_Flows[CC?],,0,)</f>
        <v>Yes</v>
      </c>
      <c r="G32" s="8">
        <v>2030</v>
      </c>
      <c r="H32" s="28">
        <v>100</v>
      </c>
      <c r="I32" s="8"/>
      <c r="J32" s="8"/>
      <c r="K32" s="8"/>
      <c r="L32" s="8"/>
      <c r="M32" s="8"/>
      <c r="N32" s="8"/>
      <c r="O32" s="8"/>
      <c r="P32" s="8"/>
      <c r="Q32" s="8" t="s">
        <v>8</v>
      </c>
      <c r="R32" s="21"/>
      <c r="S32" s="8"/>
      <c r="T32" s="7" t="str">
        <f>Tab_Data_Flows[[#This Row],[Flow_ID]]&amp;"_"&amp;"material_"&amp;Tab_Data_Flows[[#This Row],[Flow_Data_Year]]</f>
        <v>F_12_00_material_2030</v>
      </c>
      <c r="U32" s="18">
        <f t="shared" si="0"/>
        <v>100</v>
      </c>
      <c r="V32" s="8" t="s">
        <v>218</v>
      </c>
      <c r="W32" s="156">
        <f>INDEX(Tab_Def_Flows[[Flow_ID]:[CC_DM_source]],MATCH(Tab_Data_Flows[[#This Row],[Flow_Name]],Tab_Def_Flows[Flow_Name],0),11)</f>
        <v>0</v>
      </c>
      <c r="X32" s="7" t="str">
        <f>Tab_Data_Flows[[#This Row],[Flow_ID]]&amp;"_"&amp;"WC_"&amp;Tab_Data_Flows[[#This Row],[Flow_Data_Year]]</f>
        <v>F_12_00_WC_2030</v>
      </c>
      <c r="Y32" s="7">
        <f>IF(D32="Yes",U32*Tab_Data_Flows[[#This Row],[WC_'[%']]],"N.A.")</f>
        <v>0</v>
      </c>
      <c r="Z32" s="7" t="str">
        <f>Tab_Data_Flows[[#This Row],[UoM_Flow_Py]]</f>
        <v>Mg</v>
      </c>
      <c r="AA32" s="156">
        <f>INDEX(Tab_Def_Flows[[Flow_ID]:[CC_DM_source]],MATCH(Tab_Data_Flows[[#This Row],[Flow_Name]],Tab_Def_Flows[Flow_Name],0),14)</f>
        <v>1</v>
      </c>
      <c r="AB32" s="7" t="str">
        <f>Tab_Data_Flows[[#This Row],[Flow_ID]]&amp;"_"&amp;"DM_"&amp;Tab_Data_Flows[[#This Row],[Flow_Data_Year]]</f>
        <v>F_12_00_DM_2030</v>
      </c>
      <c r="AC32" s="7">
        <f>IF(E32="Yes",AA32*Tab_Data_Flows[[#This Row],[Flow_Material]],"N.A.")</f>
        <v>100</v>
      </c>
      <c r="AD32" s="7" t="str">
        <f>Tab_Data_Flows[[#This Row],[UoM_Flow_Py]]</f>
        <v>Mg</v>
      </c>
      <c r="AE32" s="156">
        <f>INDEX(Tab_Def_Flows[[Flow_ID]:[CC_DM_source]],MATCH(Tab_Data_Flows[[#This Row],[Flow_Name]],Tab_Def_Flows[Flow_Name],0),17)</f>
        <v>0.8</v>
      </c>
      <c r="AF32" s="7" t="str">
        <f>Tab_Data_Flows[[#This Row],[Flow_ID]]&amp;"_"&amp;"CC_"&amp;Tab_Data_Flows[[#This Row],[Flow_Data_Year]]</f>
        <v>F_12_00_CC_2030</v>
      </c>
      <c r="AG32" s="7">
        <f>IF(F32="Yes",AE32*Tab_Data_Flows[[#This Row],[Flow_Material]]*Tab_Data_Flows[[#This Row],[DM_'[%']]],"N.A.")</f>
        <v>80</v>
      </c>
      <c r="AH32" s="7" t="str">
        <f>Tab_Data_Flows[[#This Row],[UoM_Flow_Py]]</f>
        <v>Mg</v>
      </c>
      <c r="AI32"/>
    </row>
    <row r="33" spans="1:35" x14ac:dyDescent="0.25">
      <c r="A33" s="9">
        <f t="shared" si="1"/>
        <v>32</v>
      </c>
      <c r="B33" s="7" t="str">
        <f>_xlfn.XLOOKUP(C33,Tab_Def_Flows[Flow_Name],Tab_Def_Flows[Flow_ID],,0,)</f>
        <v>F_12_00</v>
      </c>
      <c r="C33" s="8" t="s">
        <v>739</v>
      </c>
      <c r="D33" s="10" t="str">
        <f>_xlfn.XLOOKUP(C33,Tab_Def_Flows[Flow_Name],Tab_Def_Flows[WC?],,0,)</f>
        <v>Yes</v>
      </c>
      <c r="E33" s="10" t="str">
        <f>_xlfn.XLOOKUP(C33,Tab_Def_Flows[Flow_Name],Tab_Def_Flows[DM?],,0,)</f>
        <v>Yes</v>
      </c>
      <c r="F33" s="10" t="str">
        <f>_xlfn.XLOOKUP(C33,Tab_Def_Flows[Flow_Name],Tab_Def_Flows[CC?],,0,)</f>
        <v>Yes</v>
      </c>
      <c r="G33" s="8">
        <v>2031</v>
      </c>
      <c r="H33" s="28">
        <v>100</v>
      </c>
      <c r="I33" s="8"/>
      <c r="J33" s="8"/>
      <c r="K33" s="8"/>
      <c r="L33" s="8"/>
      <c r="M33" s="8"/>
      <c r="N33" s="8"/>
      <c r="O33" s="8"/>
      <c r="P33" s="8"/>
      <c r="Q33" s="8" t="s">
        <v>8</v>
      </c>
      <c r="R33" s="21"/>
      <c r="S33" s="8"/>
      <c r="T33" s="7" t="str">
        <f>Tab_Data_Flows[[#This Row],[Flow_ID]]&amp;"_"&amp;"material_"&amp;Tab_Data_Flows[[#This Row],[Flow_Data_Year]]</f>
        <v>F_12_00_material_2031</v>
      </c>
      <c r="U33" s="18">
        <f t="shared" si="0"/>
        <v>100</v>
      </c>
      <c r="V33" s="8" t="s">
        <v>218</v>
      </c>
      <c r="W33" s="156">
        <f>INDEX(Tab_Def_Flows[[Flow_ID]:[CC_DM_source]],MATCH(Tab_Data_Flows[[#This Row],[Flow_Name]],Tab_Def_Flows[Flow_Name],0),11)</f>
        <v>0</v>
      </c>
      <c r="X33" s="7" t="str">
        <f>Tab_Data_Flows[[#This Row],[Flow_ID]]&amp;"_"&amp;"WC_"&amp;Tab_Data_Flows[[#This Row],[Flow_Data_Year]]</f>
        <v>F_12_00_WC_2031</v>
      </c>
      <c r="Y33" s="7">
        <f>IF(D33="Yes",U33*Tab_Data_Flows[[#This Row],[WC_'[%']]],"N.A.")</f>
        <v>0</v>
      </c>
      <c r="Z33" s="7" t="str">
        <f>Tab_Data_Flows[[#This Row],[UoM_Flow_Py]]</f>
        <v>Mg</v>
      </c>
      <c r="AA33" s="156">
        <f>INDEX(Tab_Def_Flows[[Flow_ID]:[CC_DM_source]],MATCH(Tab_Data_Flows[[#This Row],[Flow_Name]],Tab_Def_Flows[Flow_Name],0),14)</f>
        <v>1</v>
      </c>
      <c r="AB33" s="7" t="str">
        <f>Tab_Data_Flows[[#This Row],[Flow_ID]]&amp;"_"&amp;"DM_"&amp;Tab_Data_Flows[[#This Row],[Flow_Data_Year]]</f>
        <v>F_12_00_DM_2031</v>
      </c>
      <c r="AC33" s="7">
        <f>IF(E33="Yes",AA33*Tab_Data_Flows[[#This Row],[Flow_Material]],"N.A.")</f>
        <v>100</v>
      </c>
      <c r="AD33" s="7" t="str">
        <f>Tab_Data_Flows[[#This Row],[UoM_Flow_Py]]</f>
        <v>Mg</v>
      </c>
      <c r="AE33" s="156">
        <f>INDEX(Tab_Def_Flows[[Flow_ID]:[CC_DM_source]],MATCH(Tab_Data_Flows[[#This Row],[Flow_Name]],Tab_Def_Flows[Flow_Name],0),17)</f>
        <v>0.8</v>
      </c>
      <c r="AF33" s="7" t="str">
        <f>Tab_Data_Flows[[#This Row],[Flow_ID]]&amp;"_"&amp;"CC_"&amp;Tab_Data_Flows[[#This Row],[Flow_Data_Year]]</f>
        <v>F_12_00_CC_2031</v>
      </c>
      <c r="AG33" s="7">
        <f>IF(F33="Yes",AE33*Tab_Data_Flows[[#This Row],[Flow_Material]]*Tab_Data_Flows[[#This Row],[DM_'[%']]],"N.A.")</f>
        <v>80</v>
      </c>
      <c r="AH33" s="7" t="str">
        <f>Tab_Data_Flows[[#This Row],[UoM_Flow_Py]]</f>
        <v>Mg</v>
      </c>
      <c r="AI33"/>
    </row>
    <row r="34" spans="1:35" x14ac:dyDescent="0.25">
      <c r="A34" s="9">
        <f t="shared" si="1"/>
        <v>33</v>
      </c>
      <c r="B34" s="7" t="str">
        <f>_xlfn.XLOOKUP(C34,Tab_Def_Flows[Flow_Name],Tab_Def_Flows[Flow_ID],,0,)</f>
        <v>F_12_00</v>
      </c>
      <c r="C34" s="8" t="s">
        <v>739</v>
      </c>
      <c r="D34" s="10" t="str">
        <f>_xlfn.XLOOKUP(C34,Tab_Def_Flows[Flow_Name],Tab_Def_Flows[WC?],,0,)</f>
        <v>Yes</v>
      </c>
      <c r="E34" s="10" t="str">
        <f>_xlfn.XLOOKUP(C34,Tab_Def_Flows[Flow_Name],Tab_Def_Flows[DM?],,0,)</f>
        <v>Yes</v>
      </c>
      <c r="F34" s="10" t="str">
        <f>_xlfn.XLOOKUP(C34,Tab_Def_Flows[Flow_Name],Tab_Def_Flows[CC?],,0,)</f>
        <v>Yes</v>
      </c>
      <c r="G34" s="8">
        <v>2032</v>
      </c>
      <c r="H34" s="28">
        <v>100</v>
      </c>
      <c r="I34" s="8"/>
      <c r="J34" s="8"/>
      <c r="K34" s="8"/>
      <c r="L34" s="8"/>
      <c r="M34" s="8"/>
      <c r="N34" s="8"/>
      <c r="O34" s="8"/>
      <c r="P34" s="8"/>
      <c r="Q34" s="8" t="s">
        <v>8</v>
      </c>
      <c r="R34" s="21"/>
      <c r="S34" s="8"/>
      <c r="T34" s="7" t="str">
        <f>Tab_Data_Flows[[#This Row],[Flow_ID]]&amp;"_"&amp;"material_"&amp;Tab_Data_Flows[[#This Row],[Flow_Data_Year]]</f>
        <v>F_12_00_material_2032</v>
      </c>
      <c r="U34" s="18">
        <f t="shared" ref="U34:U66" si="2">IF(Q34="no",H34,H34*R34)</f>
        <v>100</v>
      </c>
      <c r="V34" s="8" t="s">
        <v>218</v>
      </c>
      <c r="W34" s="156">
        <f>INDEX(Tab_Def_Flows[[Flow_ID]:[CC_DM_source]],MATCH(Tab_Data_Flows[[#This Row],[Flow_Name]],Tab_Def_Flows[Flow_Name],0),11)</f>
        <v>0</v>
      </c>
      <c r="X34" s="7" t="str">
        <f>Tab_Data_Flows[[#This Row],[Flow_ID]]&amp;"_"&amp;"WC_"&amp;Tab_Data_Flows[[#This Row],[Flow_Data_Year]]</f>
        <v>F_12_00_WC_2032</v>
      </c>
      <c r="Y34" s="7">
        <f>IF(D34="Yes",U34*Tab_Data_Flows[[#This Row],[WC_'[%']]],"N.A.")</f>
        <v>0</v>
      </c>
      <c r="Z34" s="7" t="str">
        <f>Tab_Data_Flows[[#This Row],[UoM_Flow_Py]]</f>
        <v>Mg</v>
      </c>
      <c r="AA34" s="156">
        <f>INDEX(Tab_Def_Flows[[Flow_ID]:[CC_DM_source]],MATCH(Tab_Data_Flows[[#This Row],[Flow_Name]],Tab_Def_Flows[Flow_Name],0),14)</f>
        <v>1</v>
      </c>
      <c r="AB34" s="7" t="str">
        <f>Tab_Data_Flows[[#This Row],[Flow_ID]]&amp;"_"&amp;"DM_"&amp;Tab_Data_Flows[[#This Row],[Flow_Data_Year]]</f>
        <v>F_12_00_DM_2032</v>
      </c>
      <c r="AC34" s="7">
        <f>IF(E34="Yes",AA34*Tab_Data_Flows[[#This Row],[Flow_Material]],"N.A.")</f>
        <v>100</v>
      </c>
      <c r="AD34" s="7" t="str">
        <f>Tab_Data_Flows[[#This Row],[UoM_Flow_Py]]</f>
        <v>Mg</v>
      </c>
      <c r="AE34" s="156">
        <f>INDEX(Tab_Def_Flows[[Flow_ID]:[CC_DM_source]],MATCH(Tab_Data_Flows[[#This Row],[Flow_Name]],Tab_Def_Flows[Flow_Name],0),17)</f>
        <v>0.8</v>
      </c>
      <c r="AF34" s="7" t="str">
        <f>Tab_Data_Flows[[#This Row],[Flow_ID]]&amp;"_"&amp;"CC_"&amp;Tab_Data_Flows[[#This Row],[Flow_Data_Year]]</f>
        <v>F_12_00_CC_2032</v>
      </c>
      <c r="AG34" s="7">
        <f>IF(F34="Yes",AE34*Tab_Data_Flows[[#This Row],[Flow_Material]]*Tab_Data_Flows[[#This Row],[DM_'[%']]],"N.A.")</f>
        <v>80</v>
      </c>
      <c r="AH34" s="7" t="str">
        <f>Tab_Data_Flows[[#This Row],[UoM_Flow_Py]]</f>
        <v>Mg</v>
      </c>
      <c r="AI34"/>
    </row>
    <row r="35" spans="1:35" x14ac:dyDescent="0.25">
      <c r="A35" s="9">
        <f t="shared" si="1"/>
        <v>34</v>
      </c>
      <c r="B35" s="7" t="str">
        <f>_xlfn.XLOOKUP(C35,Tab_Def_Flows[Flow_Name],Tab_Def_Flows[Flow_ID],,0,)</f>
        <v>F_12_00</v>
      </c>
      <c r="C35" s="8" t="s">
        <v>739</v>
      </c>
      <c r="D35" s="10" t="str">
        <f>_xlfn.XLOOKUP(C35,Tab_Def_Flows[Flow_Name],Tab_Def_Flows[WC?],,0,)</f>
        <v>Yes</v>
      </c>
      <c r="E35" s="10" t="str">
        <f>_xlfn.XLOOKUP(C35,Tab_Def_Flows[Flow_Name],Tab_Def_Flows[DM?],,0,)</f>
        <v>Yes</v>
      </c>
      <c r="F35" s="10" t="str">
        <f>_xlfn.XLOOKUP(C35,Tab_Def_Flows[Flow_Name],Tab_Def_Flows[CC?],,0,)</f>
        <v>Yes</v>
      </c>
      <c r="G35" s="8">
        <v>2033</v>
      </c>
      <c r="H35" s="28">
        <v>100</v>
      </c>
      <c r="I35" s="8"/>
      <c r="J35" s="8"/>
      <c r="K35" s="8"/>
      <c r="L35" s="8"/>
      <c r="M35" s="8"/>
      <c r="N35" s="8"/>
      <c r="O35" s="8"/>
      <c r="P35" s="8"/>
      <c r="Q35" s="8" t="s">
        <v>8</v>
      </c>
      <c r="R35" s="21"/>
      <c r="S35" s="8"/>
      <c r="T35" s="7" t="str">
        <f>Tab_Data_Flows[[#This Row],[Flow_ID]]&amp;"_"&amp;"material_"&amp;Tab_Data_Flows[[#This Row],[Flow_Data_Year]]</f>
        <v>F_12_00_material_2033</v>
      </c>
      <c r="U35" s="18">
        <f t="shared" si="2"/>
        <v>100</v>
      </c>
      <c r="V35" s="8" t="s">
        <v>218</v>
      </c>
      <c r="W35" s="156">
        <f>INDEX(Tab_Def_Flows[[Flow_ID]:[CC_DM_source]],MATCH(Tab_Data_Flows[[#This Row],[Flow_Name]],Tab_Def_Flows[Flow_Name],0),11)</f>
        <v>0</v>
      </c>
      <c r="X35" s="7" t="str">
        <f>Tab_Data_Flows[[#This Row],[Flow_ID]]&amp;"_"&amp;"WC_"&amp;Tab_Data_Flows[[#This Row],[Flow_Data_Year]]</f>
        <v>F_12_00_WC_2033</v>
      </c>
      <c r="Y35" s="7">
        <f>IF(D35="Yes",U35*Tab_Data_Flows[[#This Row],[WC_'[%']]],"N.A.")</f>
        <v>0</v>
      </c>
      <c r="Z35" s="7" t="str">
        <f>Tab_Data_Flows[[#This Row],[UoM_Flow_Py]]</f>
        <v>Mg</v>
      </c>
      <c r="AA35" s="156">
        <f>INDEX(Tab_Def_Flows[[Flow_ID]:[CC_DM_source]],MATCH(Tab_Data_Flows[[#This Row],[Flow_Name]],Tab_Def_Flows[Flow_Name],0),14)</f>
        <v>1</v>
      </c>
      <c r="AB35" s="7" t="str">
        <f>Tab_Data_Flows[[#This Row],[Flow_ID]]&amp;"_"&amp;"DM_"&amp;Tab_Data_Flows[[#This Row],[Flow_Data_Year]]</f>
        <v>F_12_00_DM_2033</v>
      </c>
      <c r="AC35" s="7">
        <f>IF(E35="Yes",AA35*Tab_Data_Flows[[#This Row],[Flow_Material]],"N.A.")</f>
        <v>100</v>
      </c>
      <c r="AD35" s="7" t="str">
        <f>Tab_Data_Flows[[#This Row],[UoM_Flow_Py]]</f>
        <v>Mg</v>
      </c>
      <c r="AE35" s="156">
        <f>INDEX(Tab_Def_Flows[[Flow_ID]:[CC_DM_source]],MATCH(Tab_Data_Flows[[#This Row],[Flow_Name]],Tab_Def_Flows[Flow_Name],0),17)</f>
        <v>0.8</v>
      </c>
      <c r="AF35" s="7" t="str">
        <f>Tab_Data_Flows[[#This Row],[Flow_ID]]&amp;"_"&amp;"CC_"&amp;Tab_Data_Flows[[#This Row],[Flow_Data_Year]]</f>
        <v>F_12_00_CC_2033</v>
      </c>
      <c r="AG35" s="7">
        <f>IF(F35="Yes",AE35*Tab_Data_Flows[[#This Row],[Flow_Material]]*Tab_Data_Flows[[#This Row],[DM_'[%']]],"N.A.")</f>
        <v>80</v>
      </c>
      <c r="AH35" s="7" t="str">
        <f>Tab_Data_Flows[[#This Row],[UoM_Flow_Py]]</f>
        <v>Mg</v>
      </c>
      <c r="AI35"/>
    </row>
    <row r="36" spans="1:35" x14ac:dyDescent="0.25">
      <c r="A36" s="9">
        <f t="shared" si="1"/>
        <v>35</v>
      </c>
      <c r="B36" s="7" t="str">
        <f>_xlfn.XLOOKUP(C36,Tab_Def_Flows[Flow_Name],Tab_Def_Flows[Flow_ID],,0,)</f>
        <v>F_12_00</v>
      </c>
      <c r="C36" s="8" t="s">
        <v>739</v>
      </c>
      <c r="D36" s="10" t="str">
        <f>_xlfn.XLOOKUP(C36,Tab_Def_Flows[Flow_Name],Tab_Def_Flows[WC?],,0,)</f>
        <v>Yes</v>
      </c>
      <c r="E36" s="10" t="str">
        <f>_xlfn.XLOOKUP(C36,Tab_Def_Flows[Flow_Name],Tab_Def_Flows[DM?],,0,)</f>
        <v>Yes</v>
      </c>
      <c r="F36" s="10" t="str">
        <f>_xlfn.XLOOKUP(C36,Tab_Def_Flows[Flow_Name],Tab_Def_Flows[CC?],,0,)</f>
        <v>Yes</v>
      </c>
      <c r="G36" s="8">
        <v>2034</v>
      </c>
      <c r="H36" s="28">
        <v>100</v>
      </c>
      <c r="I36" s="8"/>
      <c r="J36" s="8"/>
      <c r="K36" s="8"/>
      <c r="L36" s="8"/>
      <c r="M36" s="8"/>
      <c r="N36" s="8"/>
      <c r="O36" s="8"/>
      <c r="P36" s="8"/>
      <c r="Q36" s="8" t="s">
        <v>8</v>
      </c>
      <c r="R36" s="21"/>
      <c r="S36" s="8"/>
      <c r="T36" s="7" t="str">
        <f>Tab_Data_Flows[[#This Row],[Flow_ID]]&amp;"_"&amp;"material_"&amp;Tab_Data_Flows[[#This Row],[Flow_Data_Year]]</f>
        <v>F_12_00_material_2034</v>
      </c>
      <c r="U36" s="18">
        <f t="shared" si="2"/>
        <v>100</v>
      </c>
      <c r="V36" s="8" t="s">
        <v>218</v>
      </c>
      <c r="W36" s="156">
        <f>INDEX(Tab_Def_Flows[[Flow_ID]:[CC_DM_source]],MATCH(Tab_Data_Flows[[#This Row],[Flow_Name]],Tab_Def_Flows[Flow_Name],0),11)</f>
        <v>0</v>
      </c>
      <c r="X36" s="7" t="str">
        <f>Tab_Data_Flows[[#This Row],[Flow_ID]]&amp;"_"&amp;"WC_"&amp;Tab_Data_Flows[[#This Row],[Flow_Data_Year]]</f>
        <v>F_12_00_WC_2034</v>
      </c>
      <c r="Y36" s="7">
        <f>IF(D36="Yes",U36*Tab_Data_Flows[[#This Row],[WC_'[%']]],"N.A.")</f>
        <v>0</v>
      </c>
      <c r="Z36" s="7" t="str">
        <f>Tab_Data_Flows[[#This Row],[UoM_Flow_Py]]</f>
        <v>Mg</v>
      </c>
      <c r="AA36" s="156">
        <f>INDEX(Tab_Def_Flows[[Flow_ID]:[CC_DM_source]],MATCH(Tab_Data_Flows[[#This Row],[Flow_Name]],Tab_Def_Flows[Flow_Name],0),14)</f>
        <v>1</v>
      </c>
      <c r="AB36" s="7" t="str">
        <f>Tab_Data_Flows[[#This Row],[Flow_ID]]&amp;"_"&amp;"DM_"&amp;Tab_Data_Flows[[#This Row],[Flow_Data_Year]]</f>
        <v>F_12_00_DM_2034</v>
      </c>
      <c r="AC36" s="7">
        <f>IF(E36="Yes",AA36*Tab_Data_Flows[[#This Row],[Flow_Material]],"N.A.")</f>
        <v>100</v>
      </c>
      <c r="AD36" s="7" t="str">
        <f>Tab_Data_Flows[[#This Row],[UoM_Flow_Py]]</f>
        <v>Mg</v>
      </c>
      <c r="AE36" s="156">
        <f>INDEX(Tab_Def_Flows[[Flow_ID]:[CC_DM_source]],MATCH(Tab_Data_Flows[[#This Row],[Flow_Name]],Tab_Def_Flows[Flow_Name],0),17)</f>
        <v>0.8</v>
      </c>
      <c r="AF36" s="7" t="str">
        <f>Tab_Data_Flows[[#This Row],[Flow_ID]]&amp;"_"&amp;"CC_"&amp;Tab_Data_Flows[[#This Row],[Flow_Data_Year]]</f>
        <v>F_12_00_CC_2034</v>
      </c>
      <c r="AG36" s="7">
        <f>IF(F36="Yes",AE36*Tab_Data_Flows[[#This Row],[Flow_Material]]*Tab_Data_Flows[[#This Row],[DM_'[%']]],"N.A.")</f>
        <v>80</v>
      </c>
      <c r="AH36" s="7" t="str">
        <f>Tab_Data_Flows[[#This Row],[UoM_Flow_Py]]</f>
        <v>Mg</v>
      </c>
      <c r="AI36"/>
    </row>
    <row r="37" spans="1:35" x14ac:dyDescent="0.25">
      <c r="A37" s="9">
        <f t="shared" si="1"/>
        <v>36</v>
      </c>
      <c r="B37" s="7" t="str">
        <f>_xlfn.XLOOKUP(C37,Tab_Def_Flows[Flow_Name],Tab_Def_Flows[Flow_ID],,0,)</f>
        <v>F_12_00</v>
      </c>
      <c r="C37" s="8" t="s">
        <v>739</v>
      </c>
      <c r="D37" s="10" t="str">
        <f>_xlfn.XLOOKUP(C37,Tab_Def_Flows[Flow_Name],Tab_Def_Flows[WC?],,0,)</f>
        <v>Yes</v>
      </c>
      <c r="E37" s="10" t="str">
        <f>_xlfn.XLOOKUP(C37,Tab_Def_Flows[Flow_Name],Tab_Def_Flows[DM?],,0,)</f>
        <v>Yes</v>
      </c>
      <c r="F37" s="10" t="str">
        <f>_xlfn.XLOOKUP(C37,Tab_Def_Flows[Flow_Name],Tab_Def_Flows[CC?],,0,)</f>
        <v>Yes</v>
      </c>
      <c r="G37" s="8">
        <v>2035</v>
      </c>
      <c r="H37" s="28">
        <v>100</v>
      </c>
      <c r="I37" s="8"/>
      <c r="J37" s="8"/>
      <c r="K37" s="8"/>
      <c r="L37" s="8"/>
      <c r="M37" s="8"/>
      <c r="N37" s="8"/>
      <c r="O37" s="8"/>
      <c r="P37" s="8"/>
      <c r="Q37" s="8" t="s">
        <v>8</v>
      </c>
      <c r="R37" s="21"/>
      <c r="S37" s="8"/>
      <c r="T37" s="7" t="str">
        <f>Tab_Data_Flows[[#This Row],[Flow_ID]]&amp;"_"&amp;"material_"&amp;Tab_Data_Flows[[#This Row],[Flow_Data_Year]]</f>
        <v>F_12_00_material_2035</v>
      </c>
      <c r="U37" s="18">
        <f t="shared" si="2"/>
        <v>100</v>
      </c>
      <c r="V37" s="8" t="s">
        <v>218</v>
      </c>
      <c r="W37" s="156">
        <f>INDEX(Tab_Def_Flows[[Flow_ID]:[CC_DM_source]],MATCH(Tab_Data_Flows[[#This Row],[Flow_Name]],Tab_Def_Flows[Flow_Name],0),11)</f>
        <v>0</v>
      </c>
      <c r="X37" s="7" t="str">
        <f>Tab_Data_Flows[[#This Row],[Flow_ID]]&amp;"_"&amp;"WC_"&amp;Tab_Data_Flows[[#This Row],[Flow_Data_Year]]</f>
        <v>F_12_00_WC_2035</v>
      </c>
      <c r="Y37" s="7">
        <f>IF(D37="Yes",U37*Tab_Data_Flows[[#This Row],[WC_'[%']]],"N.A.")</f>
        <v>0</v>
      </c>
      <c r="Z37" s="7" t="str">
        <f>Tab_Data_Flows[[#This Row],[UoM_Flow_Py]]</f>
        <v>Mg</v>
      </c>
      <c r="AA37" s="156">
        <f>INDEX(Tab_Def_Flows[[Flow_ID]:[CC_DM_source]],MATCH(Tab_Data_Flows[[#This Row],[Flow_Name]],Tab_Def_Flows[Flow_Name],0),14)</f>
        <v>1</v>
      </c>
      <c r="AB37" s="7" t="str">
        <f>Tab_Data_Flows[[#This Row],[Flow_ID]]&amp;"_"&amp;"DM_"&amp;Tab_Data_Flows[[#This Row],[Flow_Data_Year]]</f>
        <v>F_12_00_DM_2035</v>
      </c>
      <c r="AC37" s="7">
        <f>IF(E37="Yes",AA37*Tab_Data_Flows[[#This Row],[Flow_Material]],"N.A.")</f>
        <v>100</v>
      </c>
      <c r="AD37" s="7" t="str">
        <f>Tab_Data_Flows[[#This Row],[UoM_Flow_Py]]</f>
        <v>Mg</v>
      </c>
      <c r="AE37" s="156">
        <f>INDEX(Tab_Def_Flows[[Flow_ID]:[CC_DM_source]],MATCH(Tab_Data_Flows[[#This Row],[Flow_Name]],Tab_Def_Flows[Flow_Name],0),17)</f>
        <v>0.8</v>
      </c>
      <c r="AF37" s="7" t="str">
        <f>Tab_Data_Flows[[#This Row],[Flow_ID]]&amp;"_"&amp;"CC_"&amp;Tab_Data_Flows[[#This Row],[Flow_Data_Year]]</f>
        <v>F_12_00_CC_2035</v>
      </c>
      <c r="AG37" s="7">
        <f>IF(F37="Yes",AE37*Tab_Data_Flows[[#This Row],[Flow_Material]]*Tab_Data_Flows[[#This Row],[DM_'[%']]],"N.A.")</f>
        <v>80</v>
      </c>
      <c r="AH37" s="7" t="str">
        <f>Tab_Data_Flows[[#This Row],[UoM_Flow_Py]]</f>
        <v>Mg</v>
      </c>
      <c r="AI37"/>
    </row>
    <row r="38" spans="1:35" x14ac:dyDescent="0.25">
      <c r="A38" s="9">
        <f t="shared" si="1"/>
        <v>37</v>
      </c>
      <c r="B38" s="7" t="str">
        <f>_xlfn.XLOOKUP(C38,Tab_Def_Flows[Flow_Name],Tab_Def_Flows[Flow_ID],,0,)</f>
        <v>F_12_00</v>
      </c>
      <c r="C38" s="8" t="s">
        <v>739</v>
      </c>
      <c r="D38" s="10" t="str">
        <f>_xlfn.XLOOKUP(C38,Tab_Def_Flows[Flow_Name],Tab_Def_Flows[WC?],,0,)</f>
        <v>Yes</v>
      </c>
      <c r="E38" s="10" t="str">
        <f>_xlfn.XLOOKUP(C38,Tab_Def_Flows[Flow_Name],Tab_Def_Flows[DM?],,0,)</f>
        <v>Yes</v>
      </c>
      <c r="F38" s="10" t="str">
        <f>_xlfn.XLOOKUP(C38,Tab_Def_Flows[Flow_Name],Tab_Def_Flows[CC?],,0,)</f>
        <v>Yes</v>
      </c>
      <c r="G38" s="8">
        <v>2036</v>
      </c>
      <c r="H38" s="28">
        <v>100</v>
      </c>
      <c r="I38" s="8"/>
      <c r="J38" s="8"/>
      <c r="K38" s="8" t="e">
        <f>INDEX(#REF!,MATCH(Tab_Data_Flows[[#This Row],[Flow_Name]],#REF!,0),12)</f>
        <v>#REF!</v>
      </c>
      <c r="L38" s="8" t="e">
        <f>MATCH(Tab_Data_Flows[[#This Row],[Flow_Name]],#REF!,0)</f>
        <v>#REF!</v>
      </c>
      <c r="M38" s="8"/>
      <c r="N38" s="8"/>
      <c r="O38" s="8"/>
      <c r="P38" s="8"/>
      <c r="Q38" s="8" t="s">
        <v>8</v>
      </c>
      <c r="R38" s="8"/>
      <c r="S38" s="8"/>
      <c r="T38" s="7" t="str">
        <f>Tab_Data_Flows[[#This Row],[Flow_ID]]&amp;"_"&amp;"material_"&amp;Tab_Data_Flows[[#This Row],[Flow_Data_Year]]</f>
        <v>F_12_00_material_2036</v>
      </c>
      <c r="U38" s="18">
        <f t="shared" si="2"/>
        <v>100</v>
      </c>
      <c r="V38" s="8" t="s">
        <v>218</v>
      </c>
      <c r="W38" s="156">
        <f>INDEX(Tab_Def_Flows[[Flow_ID]:[CC_DM_source]],MATCH(Tab_Data_Flows[[#This Row],[Flow_Name]],Tab_Def_Flows[Flow_Name],0),11)</f>
        <v>0</v>
      </c>
      <c r="X38" s="7" t="str">
        <f>Tab_Data_Flows[[#This Row],[Flow_ID]]&amp;"_"&amp;"WC_"&amp;Tab_Data_Flows[[#This Row],[Flow_Data_Year]]</f>
        <v>F_12_00_WC_2036</v>
      </c>
      <c r="Y38" s="7">
        <f>IF(D38="Yes",U38*Tab_Data_Flows[[#This Row],[WC_'[%']]],"N.A.")</f>
        <v>0</v>
      </c>
      <c r="Z38" s="7" t="str">
        <f>Tab_Data_Flows[[#This Row],[UoM_Flow_Py]]</f>
        <v>Mg</v>
      </c>
      <c r="AA38" s="156">
        <f>INDEX(Tab_Def_Flows[[Flow_ID]:[CC_DM_source]],MATCH(Tab_Data_Flows[[#This Row],[Flow_Name]],Tab_Def_Flows[Flow_Name],0),14)</f>
        <v>1</v>
      </c>
      <c r="AB38" s="7" t="str">
        <f>Tab_Data_Flows[[#This Row],[Flow_ID]]&amp;"_"&amp;"DM_"&amp;Tab_Data_Flows[[#This Row],[Flow_Data_Year]]</f>
        <v>F_12_00_DM_2036</v>
      </c>
      <c r="AC38" s="7">
        <f>IF(E38="Yes",AA38*Tab_Data_Flows[[#This Row],[Flow_Material]],"N.A.")</f>
        <v>100</v>
      </c>
      <c r="AD38" s="7" t="str">
        <f>Tab_Data_Flows[[#This Row],[UoM_Flow_Py]]</f>
        <v>Mg</v>
      </c>
      <c r="AE38" s="156">
        <f>INDEX(Tab_Def_Flows[[Flow_ID]:[CC_DM_source]],MATCH(Tab_Data_Flows[[#This Row],[Flow_Name]],Tab_Def_Flows[Flow_Name],0),17)</f>
        <v>0.8</v>
      </c>
      <c r="AF38" s="7" t="str">
        <f>Tab_Data_Flows[[#This Row],[Flow_ID]]&amp;"_"&amp;"CC_"&amp;Tab_Data_Flows[[#This Row],[Flow_Data_Year]]</f>
        <v>F_12_00_CC_2036</v>
      </c>
      <c r="AG38" s="7">
        <f>IF(F38="Yes",AE38*Tab_Data_Flows[[#This Row],[Flow_Material]]*Tab_Data_Flows[[#This Row],[DM_'[%']]],"N.A.")</f>
        <v>80</v>
      </c>
      <c r="AH38" s="7" t="str">
        <f>Tab_Data_Flows[[#This Row],[UoM_Flow_Py]]</f>
        <v>Mg</v>
      </c>
      <c r="AI38"/>
    </row>
    <row r="39" spans="1:35" x14ac:dyDescent="0.25">
      <c r="A39" s="9">
        <f t="shared" si="1"/>
        <v>38</v>
      </c>
      <c r="B39" s="7" t="str">
        <f>_xlfn.XLOOKUP(C39,Tab_Def_Flows[Flow_Name],Tab_Def_Flows[Flow_ID],,0,)</f>
        <v>F_12_00</v>
      </c>
      <c r="C39" s="8" t="s">
        <v>739</v>
      </c>
      <c r="D39" s="10" t="str">
        <f>_xlfn.XLOOKUP(C39,Tab_Def_Flows[Flow_Name],Tab_Def_Flows[WC?],,0,)</f>
        <v>Yes</v>
      </c>
      <c r="E39" s="10" t="str">
        <f>_xlfn.XLOOKUP(C39,Tab_Def_Flows[Flow_Name],Tab_Def_Flows[DM?],,0,)</f>
        <v>Yes</v>
      </c>
      <c r="F39" s="10" t="str">
        <f>_xlfn.XLOOKUP(C39,Tab_Def_Flows[Flow_Name],Tab_Def_Flows[CC?],,0,)</f>
        <v>Yes</v>
      </c>
      <c r="G39" s="8">
        <v>2037</v>
      </c>
      <c r="H39" s="28">
        <v>100</v>
      </c>
      <c r="I39" s="8"/>
      <c r="J39" s="8"/>
      <c r="K39" s="8" t="e">
        <f>INDEX(#REF!,MATCH(Tab_Data_Flows[[#This Row],[Flow_Name]],#REF!,0),12)</f>
        <v>#REF!</v>
      </c>
      <c r="L39" s="8" t="e">
        <f>MATCH(Tab_Data_Flows[[#This Row],[Flow_Name]],#REF!,0)</f>
        <v>#REF!</v>
      </c>
      <c r="M39" s="8"/>
      <c r="N39" s="8"/>
      <c r="O39" s="8"/>
      <c r="P39" s="8"/>
      <c r="Q39" s="8" t="s">
        <v>8</v>
      </c>
      <c r="R39" s="8"/>
      <c r="S39" s="8"/>
      <c r="T39" s="7" t="str">
        <f>Tab_Data_Flows[[#This Row],[Flow_ID]]&amp;"_"&amp;"material_"&amp;Tab_Data_Flows[[#This Row],[Flow_Data_Year]]</f>
        <v>F_12_00_material_2037</v>
      </c>
      <c r="U39" s="18">
        <f t="shared" si="2"/>
        <v>100</v>
      </c>
      <c r="V39" s="8" t="s">
        <v>218</v>
      </c>
      <c r="W39" s="156">
        <f>INDEX(Tab_Def_Flows[[Flow_ID]:[CC_DM_source]],MATCH(Tab_Data_Flows[[#This Row],[Flow_Name]],Tab_Def_Flows[Flow_Name],0),11)</f>
        <v>0</v>
      </c>
      <c r="X39" s="7" t="str">
        <f>Tab_Data_Flows[[#This Row],[Flow_ID]]&amp;"_"&amp;"WC_"&amp;Tab_Data_Flows[[#This Row],[Flow_Data_Year]]</f>
        <v>F_12_00_WC_2037</v>
      </c>
      <c r="Y39" s="7">
        <f>IF(D39="Yes",U39*Tab_Data_Flows[[#This Row],[WC_'[%']]],"N.A.")</f>
        <v>0</v>
      </c>
      <c r="Z39" s="7" t="str">
        <f>Tab_Data_Flows[[#This Row],[UoM_Flow_Py]]</f>
        <v>Mg</v>
      </c>
      <c r="AA39" s="156">
        <f>INDEX(Tab_Def_Flows[[Flow_ID]:[CC_DM_source]],MATCH(Tab_Data_Flows[[#This Row],[Flow_Name]],Tab_Def_Flows[Flow_Name],0),14)</f>
        <v>1</v>
      </c>
      <c r="AB39" s="7" t="str">
        <f>Tab_Data_Flows[[#This Row],[Flow_ID]]&amp;"_"&amp;"DM_"&amp;Tab_Data_Flows[[#This Row],[Flow_Data_Year]]</f>
        <v>F_12_00_DM_2037</v>
      </c>
      <c r="AC39" s="7">
        <f>IF(E39="Yes",AA39*Tab_Data_Flows[[#This Row],[Flow_Material]],"N.A.")</f>
        <v>100</v>
      </c>
      <c r="AD39" s="7" t="str">
        <f>Tab_Data_Flows[[#This Row],[UoM_Flow_Py]]</f>
        <v>Mg</v>
      </c>
      <c r="AE39" s="156">
        <f>INDEX(Tab_Def_Flows[[Flow_ID]:[CC_DM_source]],MATCH(Tab_Data_Flows[[#This Row],[Flow_Name]],Tab_Def_Flows[Flow_Name],0),17)</f>
        <v>0.8</v>
      </c>
      <c r="AF39" s="7" t="str">
        <f>Tab_Data_Flows[[#This Row],[Flow_ID]]&amp;"_"&amp;"CC_"&amp;Tab_Data_Flows[[#This Row],[Flow_Data_Year]]</f>
        <v>F_12_00_CC_2037</v>
      </c>
      <c r="AG39" s="7">
        <f>IF(F39="Yes",AE39*Tab_Data_Flows[[#This Row],[Flow_Material]]*Tab_Data_Flows[[#This Row],[DM_'[%']]],"N.A.")</f>
        <v>80</v>
      </c>
      <c r="AH39" s="7" t="str">
        <f>Tab_Data_Flows[[#This Row],[UoM_Flow_Py]]</f>
        <v>Mg</v>
      </c>
      <c r="AI39"/>
    </row>
    <row r="40" spans="1:35" x14ac:dyDescent="0.25">
      <c r="A40" s="9">
        <f t="shared" si="1"/>
        <v>39</v>
      </c>
      <c r="B40" s="7" t="str">
        <f>_xlfn.XLOOKUP(C40,Tab_Def_Flows[Flow_Name],Tab_Def_Flows[Flow_ID],,0,)</f>
        <v>F_12_00</v>
      </c>
      <c r="C40" s="8" t="s">
        <v>739</v>
      </c>
      <c r="D40" s="10" t="str">
        <f>_xlfn.XLOOKUP(C40,Tab_Def_Flows[Flow_Name],Tab_Def_Flows[WC?],,0,)</f>
        <v>Yes</v>
      </c>
      <c r="E40" s="10" t="str">
        <f>_xlfn.XLOOKUP(C40,Tab_Def_Flows[Flow_Name],Tab_Def_Flows[DM?],,0,)</f>
        <v>Yes</v>
      </c>
      <c r="F40" s="10" t="str">
        <f>_xlfn.XLOOKUP(C40,Tab_Def_Flows[Flow_Name],Tab_Def_Flows[CC?],,0,)</f>
        <v>Yes</v>
      </c>
      <c r="G40" s="8">
        <v>2038</v>
      </c>
      <c r="H40" s="28">
        <v>100</v>
      </c>
      <c r="I40" s="8"/>
      <c r="J40" s="8"/>
      <c r="K40" s="8" t="e">
        <f>INDEX(#REF!,MATCH(Tab_Data_Flows[[#This Row],[Flow_Name]],#REF!,0),12)</f>
        <v>#REF!</v>
      </c>
      <c r="L40" s="8" t="e">
        <f>MATCH(Tab_Data_Flows[[#This Row],[Flow_Name]],#REF!,0)</f>
        <v>#REF!</v>
      </c>
      <c r="M40" s="8"/>
      <c r="N40" s="8"/>
      <c r="O40" s="8"/>
      <c r="P40" s="8"/>
      <c r="Q40" s="8" t="s">
        <v>8</v>
      </c>
      <c r="R40" s="8"/>
      <c r="S40" s="8"/>
      <c r="T40" s="7" t="str">
        <f>Tab_Data_Flows[[#This Row],[Flow_ID]]&amp;"_"&amp;"material_"&amp;Tab_Data_Flows[[#This Row],[Flow_Data_Year]]</f>
        <v>F_12_00_material_2038</v>
      </c>
      <c r="U40" s="18">
        <f t="shared" si="2"/>
        <v>100</v>
      </c>
      <c r="V40" s="8" t="s">
        <v>218</v>
      </c>
      <c r="W40" s="156">
        <f>INDEX(Tab_Def_Flows[[Flow_ID]:[CC_DM_source]],MATCH(Tab_Data_Flows[[#This Row],[Flow_Name]],Tab_Def_Flows[Flow_Name],0),11)</f>
        <v>0</v>
      </c>
      <c r="X40" s="7" t="str">
        <f>Tab_Data_Flows[[#This Row],[Flow_ID]]&amp;"_"&amp;"WC_"&amp;Tab_Data_Flows[[#This Row],[Flow_Data_Year]]</f>
        <v>F_12_00_WC_2038</v>
      </c>
      <c r="Y40" s="7">
        <f>IF(D40="Yes",U40*Tab_Data_Flows[[#This Row],[WC_'[%']]],"N.A.")</f>
        <v>0</v>
      </c>
      <c r="Z40" s="7" t="str">
        <f>Tab_Data_Flows[[#This Row],[UoM_Flow_Py]]</f>
        <v>Mg</v>
      </c>
      <c r="AA40" s="156">
        <f>INDEX(Tab_Def_Flows[[Flow_ID]:[CC_DM_source]],MATCH(Tab_Data_Flows[[#This Row],[Flow_Name]],Tab_Def_Flows[Flow_Name],0),14)</f>
        <v>1</v>
      </c>
      <c r="AB40" s="7" t="str">
        <f>Tab_Data_Flows[[#This Row],[Flow_ID]]&amp;"_"&amp;"DM_"&amp;Tab_Data_Flows[[#This Row],[Flow_Data_Year]]</f>
        <v>F_12_00_DM_2038</v>
      </c>
      <c r="AC40" s="7">
        <f>IF(E40="Yes",AA40*Tab_Data_Flows[[#This Row],[Flow_Material]],"N.A.")</f>
        <v>100</v>
      </c>
      <c r="AD40" s="7" t="str">
        <f>Tab_Data_Flows[[#This Row],[UoM_Flow_Py]]</f>
        <v>Mg</v>
      </c>
      <c r="AE40" s="156">
        <f>INDEX(Tab_Def_Flows[[Flow_ID]:[CC_DM_source]],MATCH(Tab_Data_Flows[[#This Row],[Flow_Name]],Tab_Def_Flows[Flow_Name],0),17)</f>
        <v>0.8</v>
      </c>
      <c r="AF40" s="7" t="str">
        <f>Tab_Data_Flows[[#This Row],[Flow_ID]]&amp;"_"&amp;"CC_"&amp;Tab_Data_Flows[[#This Row],[Flow_Data_Year]]</f>
        <v>F_12_00_CC_2038</v>
      </c>
      <c r="AG40" s="7">
        <f>IF(F40="Yes",AE40*Tab_Data_Flows[[#This Row],[Flow_Material]]*Tab_Data_Flows[[#This Row],[DM_'[%']]],"N.A.")</f>
        <v>80</v>
      </c>
      <c r="AH40" s="7" t="str">
        <f>Tab_Data_Flows[[#This Row],[UoM_Flow_Py]]</f>
        <v>Mg</v>
      </c>
      <c r="AI40"/>
    </row>
    <row r="41" spans="1:35" x14ac:dyDescent="0.25">
      <c r="A41" s="9">
        <f t="shared" si="1"/>
        <v>40</v>
      </c>
      <c r="B41" s="7" t="str">
        <f>_xlfn.XLOOKUP(C41,Tab_Def_Flows[Flow_Name],Tab_Def_Flows[Flow_ID],,0,)</f>
        <v>F_12_00</v>
      </c>
      <c r="C41" s="8" t="s">
        <v>739</v>
      </c>
      <c r="D41" s="10" t="str">
        <f>_xlfn.XLOOKUP(C41,Tab_Def_Flows[Flow_Name],Tab_Def_Flows[WC?],,0,)</f>
        <v>Yes</v>
      </c>
      <c r="E41" s="10" t="str">
        <f>_xlfn.XLOOKUP(C41,Tab_Def_Flows[Flow_Name],Tab_Def_Flows[DM?],,0,)</f>
        <v>Yes</v>
      </c>
      <c r="F41" s="10" t="str">
        <f>_xlfn.XLOOKUP(C41,Tab_Def_Flows[Flow_Name],Tab_Def_Flows[CC?],,0,)</f>
        <v>Yes</v>
      </c>
      <c r="G41" s="8">
        <v>2039</v>
      </c>
      <c r="H41" s="28">
        <v>100</v>
      </c>
      <c r="I41" s="8"/>
      <c r="J41" s="8"/>
      <c r="K41" s="8" t="e">
        <f>INDEX(#REF!,MATCH(Tab_Data_Flows[[#This Row],[Flow_Name]],#REF!,0),12)</f>
        <v>#REF!</v>
      </c>
      <c r="L41" s="8" t="e">
        <f>MATCH(Tab_Data_Flows[[#This Row],[Flow_Name]],#REF!,0)</f>
        <v>#REF!</v>
      </c>
      <c r="M41" s="8"/>
      <c r="N41" s="8"/>
      <c r="O41" s="8"/>
      <c r="P41" s="8"/>
      <c r="Q41" s="8" t="s">
        <v>8</v>
      </c>
      <c r="R41" s="8"/>
      <c r="S41" s="8"/>
      <c r="T41" s="7" t="str">
        <f>Tab_Data_Flows[[#This Row],[Flow_ID]]&amp;"_"&amp;"material_"&amp;Tab_Data_Flows[[#This Row],[Flow_Data_Year]]</f>
        <v>F_12_00_material_2039</v>
      </c>
      <c r="U41" s="18">
        <f t="shared" si="2"/>
        <v>100</v>
      </c>
      <c r="V41" s="8" t="s">
        <v>218</v>
      </c>
      <c r="W41" s="156">
        <f>INDEX(Tab_Def_Flows[[Flow_ID]:[CC_DM_source]],MATCH(Tab_Data_Flows[[#This Row],[Flow_Name]],Tab_Def_Flows[Flow_Name],0),11)</f>
        <v>0</v>
      </c>
      <c r="X41" s="7" t="str">
        <f>Tab_Data_Flows[[#This Row],[Flow_ID]]&amp;"_"&amp;"WC_"&amp;Tab_Data_Flows[[#This Row],[Flow_Data_Year]]</f>
        <v>F_12_00_WC_2039</v>
      </c>
      <c r="Y41" s="7">
        <f>IF(D41="Yes",U41*Tab_Data_Flows[[#This Row],[WC_'[%']]],"N.A.")</f>
        <v>0</v>
      </c>
      <c r="Z41" s="7" t="str">
        <f>Tab_Data_Flows[[#This Row],[UoM_Flow_Py]]</f>
        <v>Mg</v>
      </c>
      <c r="AA41" s="156">
        <f>INDEX(Tab_Def_Flows[[Flow_ID]:[CC_DM_source]],MATCH(Tab_Data_Flows[[#This Row],[Flow_Name]],Tab_Def_Flows[Flow_Name],0),14)</f>
        <v>1</v>
      </c>
      <c r="AB41" s="7" t="str">
        <f>Tab_Data_Flows[[#This Row],[Flow_ID]]&amp;"_"&amp;"DM_"&amp;Tab_Data_Flows[[#This Row],[Flow_Data_Year]]</f>
        <v>F_12_00_DM_2039</v>
      </c>
      <c r="AC41" s="7">
        <f>IF(E41="Yes",AA41*Tab_Data_Flows[[#This Row],[Flow_Material]],"N.A.")</f>
        <v>100</v>
      </c>
      <c r="AD41" s="7" t="str">
        <f>Tab_Data_Flows[[#This Row],[UoM_Flow_Py]]</f>
        <v>Mg</v>
      </c>
      <c r="AE41" s="156">
        <f>INDEX(Tab_Def_Flows[[Flow_ID]:[CC_DM_source]],MATCH(Tab_Data_Flows[[#This Row],[Flow_Name]],Tab_Def_Flows[Flow_Name],0),17)</f>
        <v>0.8</v>
      </c>
      <c r="AF41" s="7" t="str">
        <f>Tab_Data_Flows[[#This Row],[Flow_ID]]&amp;"_"&amp;"CC_"&amp;Tab_Data_Flows[[#This Row],[Flow_Data_Year]]</f>
        <v>F_12_00_CC_2039</v>
      </c>
      <c r="AG41" s="7">
        <f>IF(F41="Yes",AE41*Tab_Data_Flows[[#This Row],[Flow_Material]]*Tab_Data_Flows[[#This Row],[DM_'[%']]],"N.A.")</f>
        <v>80</v>
      </c>
      <c r="AH41" s="7" t="str">
        <f>Tab_Data_Flows[[#This Row],[UoM_Flow_Py]]</f>
        <v>Mg</v>
      </c>
      <c r="AI41"/>
    </row>
    <row r="42" spans="1:35" x14ac:dyDescent="0.25">
      <c r="A42" s="9">
        <f t="shared" si="1"/>
        <v>41</v>
      </c>
      <c r="B42" s="7" t="str">
        <f>_xlfn.XLOOKUP(C42,Tab_Def_Flows[Flow_Name],Tab_Def_Flows[Flow_ID],,0,)</f>
        <v>F_12_00</v>
      </c>
      <c r="C42" s="8" t="s">
        <v>739</v>
      </c>
      <c r="D42" s="10" t="str">
        <f>_xlfn.XLOOKUP(C42,Tab_Def_Flows[Flow_Name],Tab_Def_Flows[WC?],,0,)</f>
        <v>Yes</v>
      </c>
      <c r="E42" s="10" t="str">
        <f>_xlfn.XLOOKUP(C42,Tab_Def_Flows[Flow_Name],Tab_Def_Flows[DM?],,0,)</f>
        <v>Yes</v>
      </c>
      <c r="F42" s="10" t="str">
        <f>_xlfn.XLOOKUP(C42,Tab_Def_Flows[Flow_Name],Tab_Def_Flows[CC?],,0,)</f>
        <v>Yes</v>
      </c>
      <c r="G42" s="8">
        <v>2040</v>
      </c>
      <c r="H42" s="28">
        <v>100</v>
      </c>
      <c r="I42" s="8"/>
      <c r="J42" s="8"/>
      <c r="K42" s="8" t="e">
        <f>INDEX(#REF!,MATCH(Tab_Data_Flows[[#This Row],[Flow_Name]],#REF!,0),12)</f>
        <v>#REF!</v>
      </c>
      <c r="L42" s="8" t="e">
        <f>MATCH(Tab_Data_Flows[[#This Row],[Flow_Name]],#REF!,0)</f>
        <v>#REF!</v>
      </c>
      <c r="M42" s="8"/>
      <c r="N42" s="8"/>
      <c r="O42" s="8"/>
      <c r="P42" s="8"/>
      <c r="Q42" s="8" t="s">
        <v>8</v>
      </c>
      <c r="R42" s="8"/>
      <c r="S42" s="8"/>
      <c r="T42" s="7" t="str">
        <f>Tab_Data_Flows[[#This Row],[Flow_ID]]&amp;"_"&amp;"material_"&amp;Tab_Data_Flows[[#This Row],[Flow_Data_Year]]</f>
        <v>F_12_00_material_2040</v>
      </c>
      <c r="U42" s="18">
        <f t="shared" si="2"/>
        <v>100</v>
      </c>
      <c r="V42" s="8" t="s">
        <v>218</v>
      </c>
      <c r="W42" s="156">
        <f>INDEX(Tab_Def_Flows[[Flow_ID]:[CC_DM_source]],MATCH(Tab_Data_Flows[[#This Row],[Flow_Name]],Tab_Def_Flows[Flow_Name],0),11)</f>
        <v>0</v>
      </c>
      <c r="X42" s="7" t="str">
        <f>Tab_Data_Flows[[#This Row],[Flow_ID]]&amp;"_"&amp;"WC_"&amp;Tab_Data_Flows[[#This Row],[Flow_Data_Year]]</f>
        <v>F_12_00_WC_2040</v>
      </c>
      <c r="Y42" s="7">
        <f>IF(D42="Yes",U42*Tab_Data_Flows[[#This Row],[WC_'[%']]],"N.A.")</f>
        <v>0</v>
      </c>
      <c r="Z42" s="7" t="str">
        <f>Tab_Data_Flows[[#This Row],[UoM_Flow_Py]]</f>
        <v>Mg</v>
      </c>
      <c r="AA42" s="156">
        <f>INDEX(Tab_Def_Flows[[Flow_ID]:[CC_DM_source]],MATCH(Tab_Data_Flows[[#This Row],[Flow_Name]],Tab_Def_Flows[Flow_Name],0),14)</f>
        <v>1</v>
      </c>
      <c r="AB42" s="7" t="str">
        <f>Tab_Data_Flows[[#This Row],[Flow_ID]]&amp;"_"&amp;"DM_"&amp;Tab_Data_Flows[[#This Row],[Flow_Data_Year]]</f>
        <v>F_12_00_DM_2040</v>
      </c>
      <c r="AC42" s="7">
        <f>IF(E42="Yes",AA42*Tab_Data_Flows[[#This Row],[Flow_Material]],"N.A.")</f>
        <v>100</v>
      </c>
      <c r="AD42" s="7" t="str">
        <f>Tab_Data_Flows[[#This Row],[UoM_Flow_Py]]</f>
        <v>Mg</v>
      </c>
      <c r="AE42" s="156">
        <f>INDEX(Tab_Def_Flows[[Flow_ID]:[CC_DM_source]],MATCH(Tab_Data_Flows[[#This Row],[Flow_Name]],Tab_Def_Flows[Flow_Name],0),17)</f>
        <v>0.8</v>
      </c>
      <c r="AF42" s="7" t="str">
        <f>Tab_Data_Flows[[#This Row],[Flow_ID]]&amp;"_"&amp;"CC_"&amp;Tab_Data_Flows[[#This Row],[Flow_Data_Year]]</f>
        <v>F_12_00_CC_2040</v>
      </c>
      <c r="AG42" s="7">
        <f>IF(F42="Yes",AE42*Tab_Data_Flows[[#This Row],[Flow_Material]]*Tab_Data_Flows[[#This Row],[DM_'[%']]],"N.A.")</f>
        <v>80</v>
      </c>
      <c r="AH42" s="7" t="str">
        <f>Tab_Data_Flows[[#This Row],[UoM_Flow_Py]]</f>
        <v>Mg</v>
      </c>
      <c r="AI42"/>
    </row>
    <row r="43" spans="1:35" x14ac:dyDescent="0.25">
      <c r="A43" s="9">
        <f t="shared" si="1"/>
        <v>42</v>
      </c>
      <c r="B43" s="7" t="str">
        <f>_xlfn.XLOOKUP(C43,Tab_Def_Flows[Flow_Name],Tab_Def_Flows[Flow_ID],,0,)</f>
        <v>F_13_00</v>
      </c>
      <c r="C43" s="8" t="s">
        <v>738</v>
      </c>
      <c r="D43" s="10" t="str">
        <f>_xlfn.XLOOKUP(C43,Tab_Def_Flows[Flow_Name],Tab_Def_Flows[WC?],,0,)</f>
        <v>Yes</v>
      </c>
      <c r="E43" s="10" t="str">
        <f>_xlfn.XLOOKUP(C43,Tab_Def_Flows[Flow_Name],Tab_Def_Flows[DM?],,0,)</f>
        <v>Yes</v>
      </c>
      <c r="F43" s="10" t="str">
        <f>_xlfn.XLOOKUP(C43,Tab_Def_Flows[Flow_Name],Tab_Def_Flows[CC?],,0,)</f>
        <v>Yes</v>
      </c>
      <c r="G43" s="8">
        <v>2000</v>
      </c>
      <c r="H43" s="28">
        <v>10</v>
      </c>
      <c r="I43" s="8"/>
      <c r="J43" s="8"/>
      <c r="K43" s="8" t="e">
        <f>INDEX(#REF!,MATCH(Tab_Data_Flows[[#This Row],[Flow_Name]],#REF!,0),12)</f>
        <v>#REF!</v>
      </c>
      <c r="L43" s="8" t="e">
        <f>MATCH(Tab_Data_Flows[[#This Row],[Flow_Name]],#REF!,0)</f>
        <v>#REF!</v>
      </c>
      <c r="M43" s="8"/>
      <c r="N43" s="8"/>
      <c r="O43" s="8"/>
      <c r="P43" s="8"/>
      <c r="Q43" s="8" t="s">
        <v>8</v>
      </c>
      <c r="R43" s="8"/>
      <c r="S43" s="8"/>
      <c r="T43" s="7" t="str">
        <f>Tab_Data_Flows[[#This Row],[Flow_ID]]&amp;"_"&amp;"material_"&amp;Tab_Data_Flows[[#This Row],[Flow_Data_Year]]</f>
        <v>F_13_00_material_2000</v>
      </c>
      <c r="U43" s="18">
        <f t="shared" si="2"/>
        <v>10</v>
      </c>
      <c r="V43" s="8" t="s">
        <v>218</v>
      </c>
      <c r="W43" s="156">
        <f>INDEX(Tab_Def_Flows[[Flow_ID]:[CC_DM_source]],MATCH(Tab_Data_Flows[[#This Row],[Flow_Name]],Tab_Def_Flows[Flow_Name],0),11)</f>
        <v>0</v>
      </c>
      <c r="X43" s="7" t="str">
        <f>Tab_Data_Flows[[#This Row],[Flow_ID]]&amp;"_"&amp;"WC_"&amp;Tab_Data_Flows[[#This Row],[Flow_Data_Year]]</f>
        <v>F_13_00_WC_2000</v>
      </c>
      <c r="Y43" s="7">
        <f>IF(D43="Yes",U43*Tab_Data_Flows[[#This Row],[WC_'[%']]],"N.A.")</f>
        <v>0</v>
      </c>
      <c r="Z43" s="7" t="str">
        <f>Tab_Data_Flows[[#This Row],[UoM_Flow_Py]]</f>
        <v>Mg</v>
      </c>
      <c r="AA43" s="156">
        <f>INDEX(Tab_Def_Flows[[Flow_ID]:[CC_DM_source]],MATCH(Tab_Data_Flows[[#This Row],[Flow_Name]],Tab_Def_Flows[Flow_Name],0),14)</f>
        <v>1</v>
      </c>
      <c r="AB43" s="7" t="str">
        <f>Tab_Data_Flows[[#This Row],[Flow_ID]]&amp;"_"&amp;"DM_"&amp;Tab_Data_Flows[[#This Row],[Flow_Data_Year]]</f>
        <v>F_13_00_DM_2000</v>
      </c>
      <c r="AC43" s="7">
        <f>IF(E43="Yes",AA43*Tab_Data_Flows[[#This Row],[Flow_Material]],"N.A.")</f>
        <v>10</v>
      </c>
      <c r="AD43" s="7" t="str">
        <f>Tab_Data_Flows[[#This Row],[UoM_Flow_Py]]</f>
        <v>Mg</v>
      </c>
      <c r="AE43" s="156">
        <f>INDEX(Tab_Def_Flows[[Flow_ID]:[CC_DM_source]],MATCH(Tab_Data_Flows[[#This Row],[Flow_Name]],Tab_Def_Flows[Flow_Name],0),17)</f>
        <v>1</v>
      </c>
      <c r="AF43" s="7" t="str">
        <f>Tab_Data_Flows[[#This Row],[Flow_ID]]&amp;"_"&amp;"CC_"&amp;Tab_Data_Flows[[#This Row],[Flow_Data_Year]]</f>
        <v>F_13_00_CC_2000</v>
      </c>
      <c r="AG43" s="7">
        <f>IF(F43="Yes",AE43*Tab_Data_Flows[[#This Row],[Flow_Material]]*Tab_Data_Flows[[#This Row],[DM_'[%']]],"N.A.")</f>
        <v>10</v>
      </c>
      <c r="AH43" s="7" t="str">
        <f>Tab_Data_Flows[[#This Row],[UoM_Flow_Py]]</f>
        <v>Mg</v>
      </c>
      <c r="AI43"/>
    </row>
    <row r="44" spans="1:35" x14ac:dyDescent="0.25">
      <c r="A44" s="9">
        <f t="shared" si="1"/>
        <v>43</v>
      </c>
      <c r="B44" s="7" t="str">
        <f>_xlfn.XLOOKUP(C44,Tab_Def_Flows[Flow_Name],Tab_Def_Flows[Flow_ID],,0,)</f>
        <v>F_13_00</v>
      </c>
      <c r="C44" s="8" t="s">
        <v>738</v>
      </c>
      <c r="D44" s="10" t="str">
        <f>_xlfn.XLOOKUP(C44,Tab_Def_Flows[Flow_Name],Tab_Def_Flows[WC?],,0,)</f>
        <v>Yes</v>
      </c>
      <c r="E44" s="10" t="str">
        <f>_xlfn.XLOOKUP(C44,Tab_Def_Flows[Flow_Name],Tab_Def_Flows[DM?],,0,)</f>
        <v>Yes</v>
      </c>
      <c r="F44" s="10" t="str">
        <f>_xlfn.XLOOKUP(C44,Tab_Def_Flows[Flow_Name],Tab_Def_Flows[CC?],,0,)</f>
        <v>Yes</v>
      </c>
      <c r="G44" s="8">
        <v>2001</v>
      </c>
      <c r="H44" s="28">
        <v>10</v>
      </c>
      <c r="I44" s="8"/>
      <c r="J44" s="8"/>
      <c r="K44" s="8" t="e">
        <f>INDEX(#REF!,MATCH(Tab_Data_Flows[[#This Row],[Flow_Name]],#REF!,0),12)</f>
        <v>#REF!</v>
      </c>
      <c r="L44" s="8" t="e">
        <f>MATCH(Tab_Data_Flows[[#This Row],[Flow_Name]],#REF!,0)</f>
        <v>#REF!</v>
      </c>
      <c r="M44" s="8"/>
      <c r="N44" s="8"/>
      <c r="O44" s="8"/>
      <c r="P44" s="8"/>
      <c r="Q44" s="8" t="s">
        <v>8</v>
      </c>
      <c r="R44" s="8"/>
      <c r="S44" s="8"/>
      <c r="T44" s="7" t="str">
        <f>Tab_Data_Flows[[#This Row],[Flow_ID]]&amp;"_"&amp;"material_"&amp;Tab_Data_Flows[[#This Row],[Flow_Data_Year]]</f>
        <v>F_13_00_material_2001</v>
      </c>
      <c r="U44" s="18">
        <f t="shared" si="2"/>
        <v>10</v>
      </c>
      <c r="V44" s="8" t="s">
        <v>218</v>
      </c>
      <c r="W44" s="156">
        <f>INDEX(Tab_Def_Flows[[Flow_ID]:[CC_DM_source]],MATCH(Tab_Data_Flows[[#This Row],[Flow_Name]],Tab_Def_Flows[Flow_Name],0),11)</f>
        <v>0</v>
      </c>
      <c r="X44" s="7" t="str">
        <f>Tab_Data_Flows[[#This Row],[Flow_ID]]&amp;"_"&amp;"WC_"&amp;Tab_Data_Flows[[#This Row],[Flow_Data_Year]]</f>
        <v>F_13_00_WC_2001</v>
      </c>
      <c r="Y44" s="7">
        <f>IF(D44="Yes",U44*Tab_Data_Flows[[#This Row],[WC_'[%']]],"N.A.")</f>
        <v>0</v>
      </c>
      <c r="Z44" s="7" t="str">
        <f>Tab_Data_Flows[[#This Row],[UoM_Flow_Py]]</f>
        <v>Mg</v>
      </c>
      <c r="AA44" s="156">
        <f>INDEX(Tab_Def_Flows[[Flow_ID]:[CC_DM_source]],MATCH(Tab_Data_Flows[[#This Row],[Flow_Name]],Tab_Def_Flows[Flow_Name],0),14)</f>
        <v>1</v>
      </c>
      <c r="AB44" s="7" t="str">
        <f>Tab_Data_Flows[[#This Row],[Flow_ID]]&amp;"_"&amp;"DM_"&amp;Tab_Data_Flows[[#This Row],[Flow_Data_Year]]</f>
        <v>F_13_00_DM_2001</v>
      </c>
      <c r="AC44" s="7">
        <f>IF(E44="Yes",AA44*Tab_Data_Flows[[#This Row],[Flow_Material]],"N.A.")</f>
        <v>10</v>
      </c>
      <c r="AD44" s="7" t="str">
        <f>Tab_Data_Flows[[#This Row],[UoM_Flow_Py]]</f>
        <v>Mg</v>
      </c>
      <c r="AE44" s="156">
        <f>INDEX(Tab_Def_Flows[[Flow_ID]:[CC_DM_source]],MATCH(Tab_Data_Flows[[#This Row],[Flow_Name]],Tab_Def_Flows[Flow_Name],0),17)</f>
        <v>1</v>
      </c>
      <c r="AF44" s="7" t="str">
        <f>Tab_Data_Flows[[#This Row],[Flow_ID]]&amp;"_"&amp;"CC_"&amp;Tab_Data_Flows[[#This Row],[Flow_Data_Year]]</f>
        <v>F_13_00_CC_2001</v>
      </c>
      <c r="AG44" s="7">
        <f>IF(F44="Yes",AE44*Tab_Data_Flows[[#This Row],[Flow_Material]]*Tab_Data_Flows[[#This Row],[DM_'[%']]],"N.A.")</f>
        <v>10</v>
      </c>
      <c r="AH44" s="7" t="str">
        <f>Tab_Data_Flows[[#This Row],[UoM_Flow_Py]]</f>
        <v>Mg</v>
      </c>
      <c r="AI44"/>
    </row>
    <row r="45" spans="1:35" x14ac:dyDescent="0.25">
      <c r="A45" s="9">
        <f t="shared" si="1"/>
        <v>44</v>
      </c>
      <c r="B45" s="7" t="str">
        <f>_xlfn.XLOOKUP(C45,Tab_Def_Flows[Flow_Name],Tab_Def_Flows[Flow_ID],,0,)</f>
        <v>F_13_00</v>
      </c>
      <c r="C45" s="8" t="s">
        <v>738</v>
      </c>
      <c r="D45" s="10" t="str">
        <f>_xlfn.XLOOKUP(C45,Tab_Def_Flows[Flow_Name],Tab_Def_Flows[WC?],,0,)</f>
        <v>Yes</v>
      </c>
      <c r="E45" s="10" t="str">
        <f>_xlfn.XLOOKUP(C45,Tab_Def_Flows[Flow_Name],Tab_Def_Flows[DM?],,0,)</f>
        <v>Yes</v>
      </c>
      <c r="F45" s="10" t="str">
        <f>_xlfn.XLOOKUP(C45,Tab_Def_Flows[Flow_Name],Tab_Def_Flows[CC?],,0,)</f>
        <v>Yes</v>
      </c>
      <c r="G45" s="8">
        <v>2002</v>
      </c>
      <c r="H45" s="28">
        <v>10</v>
      </c>
      <c r="I45" s="8"/>
      <c r="J45" s="8"/>
      <c r="K45" s="8" t="e">
        <f>INDEX(#REF!,MATCH(Tab_Data_Flows[[#This Row],[Flow_Name]],#REF!,0),12)</f>
        <v>#REF!</v>
      </c>
      <c r="L45" s="8" t="e">
        <f>MATCH(Tab_Data_Flows[[#This Row],[Flow_Name]],#REF!,0)</f>
        <v>#REF!</v>
      </c>
      <c r="M45" s="8"/>
      <c r="N45" s="8"/>
      <c r="O45" s="8"/>
      <c r="P45" s="8"/>
      <c r="Q45" s="8" t="s">
        <v>8</v>
      </c>
      <c r="R45" s="8"/>
      <c r="S45" s="8"/>
      <c r="T45" s="7" t="str">
        <f>Tab_Data_Flows[[#This Row],[Flow_ID]]&amp;"_"&amp;"material_"&amp;Tab_Data_Flows[[#This Row],[Flow_Data_Year]]</f>
        <v>F_13_00_material_2002</v>
      </c>
      <c r="U45" s="18">
        <f t="shared" si="2"/>
        <v>10</v>
      </c>
      <c r="V45" s="8" t="s">
        <v>218</v>
      </c>
      <c r="W45" s="156">
        <f>INDEX(Tab_Def_Flows[[Flow_ID]:[CC_DM_source]],MATCH(Tab_Data_Flows[[#This Row],[Flow_Name]],Tab_Def_Flows[Flow_Name],0),11)</f>
        <v>0</v>
      </c>
      <c r="X45" s="7" t="str">
        <f>Tab_Data_Flows[[#This Row],[Flow_ID]]&amp;"_"&amp;"WC_"&amp;Tab_Data_Flows[[#This Row],[Flow_Data_Year]]</f>
        <v>F_13_00_WC_2002</v>
      </c>
      <c r="Y45" s="7">
        <f>IF(D45="Yes",U45*Tab_Data_Flows[[#This Row],[WC_'[%']]],"N.A.")</f>
        <v>0</v>
      </c>
      <c r="Z45" s="7" t="str">
        <f>Tab_Data_Flows[[#This Row],[UoM_Flow_Py]]</f>
        <v>Mg</v>
      </c>
      <c r="AA45" s="156">
        <f>INDEX(Tab_Def_Flows[[Flow_ID]:[CC_DM_source]],MATCH(Tab_Data_Flows[[#This Row],[Flow_Name]],Tab_Def_Flows[Flow_Name],0),14)</f>
        <v>1</v>
      </c>
      <c r="AB45" s="7" t="str">
        <f>Tab_Data_Flows[[#This Row],[Flow_ID]]&amp;"_"&amp;"DM_"&amp;Tab_Data_Flows[[#This Row],[Flow_Data_Year]]</f>
        <v>F_13_00_DM_2002</v>
      </c>
      <c r="AC45" s="7">
        <f>IF(E45="Yes",AA45*Tab_Data_Flows[[#This Row],[Flow_Material]],"N.A.")</f>
        <v>10</v>
      </c>
      <c r="AD45" s="7" t="str">
        <f>Tab_Data_Flows[[#This Row],[UoM_Flow_Py]]</f>
        <v>Mg</v>
      </c>
      <c r="AE45" s="156">
        <f>INDEX(Tab_Def_Flows[[Flow_ID]:[CC_DM_source]],MATCH(Tab_Data_Flows[[#This Row],[Flow_Name]],Tab_Def_Flows[Flow_Name],0),17)</f>
        <v>1</v>
      </c>
      <c r="AF45" s="7" t="str">
        <f>Tab_Data_Flows[[#This Row],[Flow_ID]]&amp;"_"&amp;"CC_"&amp;Tab_Data_Flows[[#This Row],[Flow_Data_Year]]</f>
        <v>F_13_00_CC_2002</v>
      </c>
      <c r="AG45" s="7">
        <f>IF(F45="Yes",AE45*Tab_Data_Flows[[#This Row],[Flow_Material]]*Tab_Data_Flows[[#This Row],[DM_'[%']]],"N.A.")</f>
        <v>10</v>
      </c>
      <c r="AH45" s="7" t="str">
        <f>Tab_Data_Flows[[#This Row],[UoM_Flow_Py]]</f>
        <v>Mg</v>
      </c>
      <c r="AI45"/>
    </row>
    <row r="46" spans="1:35" x14ac:dyDescent="0.25">
      <c r="A46" s="9">
        <f t="shared" si="1"/>
        <v>45</v>
      </c>
      <c r="B46" s="7" t="str">
        <f>_xlfn.XLOOKUP(C46,Tab_Def_Flows[Flow_Name],Tab_Def_Flows[Flow_ID],,0,)</f>
        <v>F_13_00</v>
      </c>
      <c r="C46" s="8" t="s">
        <v>738</v>
      </c>
      <c r="D46" s="10" t="str">
        <f>_xlfn.XLOOKUP(C46,Tab_Def_Flows[Flow_Name],Tab_Def_Flows[WC?],,0,)</f>
        <v>Yes</v>
      </c>
      <c r="E46" s="10" t="str">
        <f>_xlfn.XLOOKUP(C46,Tab_Def_Flows[Flow_Name],Tab_Def_Flows[DM?],,0,)</f>
        <v>Yes</v>
      </c>
      <c r="F46" s="10" t="str">
        <f>_xlfn.XLOOKUP(C46,Tab_Def_Flows[Flow_Name],Tab_Def_Flows[CC?],,0,)</f>
        <v>Yes</v>
      </c>
      <c r="G46" s="8">
        <v>2003</v>
      </c>
      <c r="H46" s="28">
        <v>10</v>
      </c>
      <c r="I46" s="8"/>
      <c r="J46" s="8"/>
      <c r="K46" s="8" t="e">
        <f>INDEX(#REF!,MATCH(Tab_Data_Flows[[#This Row],[Flow_Name]],#REF!,0),12)</f>
        <v>#REF!</v>
      </c>
      <c r="L46" s="8" t="e">
        <f>MATCH(Tab_Data_Flows[[#This Row],[Flow_Name]],#REF!,0)</f>
        <v>#REF!</v>
      </c>
      <c r="M46" s="8"/>
      <c r="N46" s="8"/>
      <c r="O46" s="8"/>
      <c r="P46" s="8"/>
      <c r="Q46" s="8" t="s">
        <v>8</v>
      </c>
      <c r="R46" s="8"/>
      <c r="S46" s="8"/>
      <c r="T46" s="7" t="str">
        <f>Tab_Data_Flows[[#This Row],[Flow_ID]]&amp;"_"&amp;"material_"&amp;Tab_Data_Flows[[#This Row],[Flow_Data_Year]]</f>
        <v>F_13_00_material_2003</v>
      </c>
      <c r="U46" s="18">
        <f t="shared" si="2"/>
        <v>10</v>
      </c>
      <c r="V46" s="8" t="s">
        <v>218</v>
      </c>
      <c r="W46" s="156">
        <f>INDEX(Tab_Def_Flows[[Flow_ID]:[CC_DM_source]],MATCH(Tab_Data_Flows[[#This Row],[Flow_Name]],Tab_Def_Flows[Flow_Name],0),11)</f>
        <v>0</v>
      </c>
      <c r="X46" s="7" t="str">
        <f>Tab_Data_Flows[[#This Row],[Flow_ID]]&amp;"_"&amp;"WC_"&amp;Tab_Data_Flows[[#This Row],[Flow_Data_Year]]</f>
        <v>F_13_00_WC_2003</v>
      </c>
      <c r="Y46" s="7">
        <f>IF(D46="Yes",U46*Tab_Data_Flows[[#This Row],[WC_'[%']]],"N.A.")</f>
        <v>0</v>
      </c>
      <c r="Z46" s="7" t="str">
        <f>Tab_Data_Flows[[#This Row],[UoM_Flow_Py]]</f>
        <v>Mg</v>
      </c>
      <c r="AA46" s="156">
        <f>INDEX(Tab_Def_Flows[[Flow_ID]:[CC_DM_source]],MATCH(Tab_Data_Flows[[#This Row],[Flow_Name]],Tab_Def_Flows[Flow_Name],0),14)</f>
        <v>1</v>
      </c>
      <c r="AB46" s="7" t="str">
        <f>Tab_Data_Flows[[#This Row],[Flow_ID]]&amp;"_"&amp;"DM_"&amp;Tab_Data_Flows[[#This Row],[Flow_Data_Year]]</f>
        <v>F_13_00_DM_2003</v>
      </c>
      <c r="AC46" s="7">
        <f>IF(E46="Yes",AA46*Tab_Data_Flows[[#This Row],[Flow_Material]],"N.A.")</f>
        <v>10</v>
      </c>
      <c r="AD46" s="7" t="str">
        <f>Tab_Data_Flows[[#This Row],[UoM_Flow_Py]]</f>
        <v>Mg</v>
      </c>
      <c r="AE46" s="156">
        <f>INDEX(Tab_Def_Flows[[Flow_ID]:[CC_DM_source]],MATCH(Tab_Data_Flows[[#This Row],[Flow_Name]],Tab_Def_Flows[Flow_Name],0),17)</f>
        <v>1</v>
      </c>
      <c r="AF46" s="7" t="str">
        <f>Tab_Data_Flows[[#This Row],[Flow_ID]]&amp;"_"&amp;"CC_"&amp;Tab_Data_Flows[[#This Row],[Flow_Data_Year]]</f>
        <v>F_13_00_CC_2003</v>
      </c>
      <c r="AG46" s="7">
        <f>IF(F46="Yes",AE46*Tab_Data_Flows[[#This Row],[Flow_Material]]*Tab_Data_Flows[[#This Row],[DM_'[%']]],"N.A.")</f>
        <v>10</v>
      </c>
      <c r="AH46" s="7" t="str">
        <f>Tab_Data_Flows[[#This Row],[UoM_Flow_Py]]</f>
        <v>Mg</v>
      </c>
      <c r="AI46"/>
    </row>
    <row r="47" spans="1:35" x14ac:dyDescent="0.25">
      <c r="A47" s="9">
        <f t="shared" si="1"/>
        <v>46</v>
      </c>
      <c r="B47" s="7" t="str">
        <f>_xlfn.XLOOKUP(C47,Tab_Def_Flows[Flow_Name],Tab_Def_Flows[Flow_ID],,0,)</f>
        <v>F_13_00</v>
      </c>
      <c r="C47" s="8" t="s">
        <v>738</v>
      </c>
      <c r="D47" s="10" t="str">
        <f>_xlfn.XLOOKUP(C47,Tab_Def_Flows[Flow_Name],Tab_Def_Flows[WC?],,0,)</f>
        <v>Yes</v>
      </c>
      <c r="E47" s="10" t="str">
        <f>_xlfn.XLOOKUP(C47,Tab_Def_Flows[Flow_Name],Tab_Def_Flows[DM?],,0,)</f>
        <v>Yes</v>
      </c>
      <c r="F47" s="10" t="str">
        <f>_xlfn.XLOOKUP(C47,Tab_Def_Flows[Flow_Name],Tab_Def_Flows[CC?],,0,)</f>
        <v>Yes</v>
      </c>
      <c r="G47" s="8">
        <v>2004</v>
      </c>
      <c r="H47" s="28">
        <v>10</v>
      </c>
      <c r="I47" s="8"/>
      <c r="J47" s="8"/>
      <c r="K47" s="8" t="e">
        <f>INDEX(#REF!,MATCH(Tab_Data_Flows[[#This Row],[Flow_Name]],#REF!,0),12)</f>
        <v>#REF!</v>
      </c>
      <c r="L47" s="8" t="e">
        <f>MATCH(Tab_Data_Flows[[#This Row],[Flow_Name]],#REF!,0)</f>
        <v>#REF!</v>
      </c>
      <c r="M47" s="8"/>
      <c r="N47" s="8"/>
      <c r="O47" s="8"/>
      <c r="P47" s="8"/>
      <c r="Q47" s="8" t="s">
        <v>8</v>
      </c>
      <c r="R47" s="8"/>
      <c r="S47" s="8"/>
      <c r="T47" s="7" t="str">
        <f>Tab_Data_Flows[[#This Row],[Flow_ID]]&amp;"_"&amp;"material_"&amp;Tab_Data_Flows[[#This Row],[Flow_Data_Year]]</f>
        <v>F_13_00_material_2004</v>
      </c>
      <c r="U47" s="18">
        <f t="shared" si="2"/>
        <v>10</v>
      </c>
      <c r="V47" s="8" t="s">
        <v>218</v>
      </c>
      <c r="W47" s="156">
        <f>INDEX(Tab_Def_Flows[[Flow_ID]:[CC_DM_source]],MATCH(Tab_Data_Flows[[#This Row],[Flow_Name]],Tab_Def_Flows[Flow_Name],0),11)</f>
        <v>0</v>
      </c>
      <c r="X47" s="7" t="str">
        <f>Tab_Data_Flows[[#This Row],[Flow_ID]]&amp;"_"&amp;"WC_"&amp;Tab_Data_Flows[[#This Row],[Flow_Data_Year]]</f>
        <v>F_13_00_WC_2004</v>
      </c>
      <c r="Y47" s="7">
        <f>IF(D47="Yes",U47*Tab_Data_Flows[[#This Row],[WC_'[%']]],"N.A.")</f>
        <v>0</v>
      </c>
      <c r="Z47" s="7" t="str">
        <f>Tab_Data_Flows[[#This Row],[UoM_Flow_Py]]</f>
        <v>Mg</v>
      </c>
      <c r="AA47" s="156">
        <f>INDEX(Tab_Def_Flows[[Flow_ID]:[CC_DM_source]],MATCH(Tab_Data_Flows[[#This Row],[Flow_Name]],Tab_Def_Flows[Flow_Name],0),14)</f>
        <v>1</v>
      </c>
      <c r="AB47" s="7" t="str">
        <f>Tab_Data_Flows[[#This Row],[Flow_ID]]&amp;"_"&amp;"DM_"&amp;Tab_Data_Flows[[#This Row],[Flow_Data_Year]]</f>
        <v>F_13_00_DM_2004</v>
      </c>
      <c r="AC47" s="7">
        <f>IF(E47="Yes",AA47*Tab_Data_Flows[[#This Row],[Flow_Material]],"N.A.")</f>
        <v>10</v>
      </c>
      <c r="AD47" s="7" t="str">
        <f>Tab_Data_Flows[[#This Row],[UoM_Flow_Py]]</f>
        <v>Mg</v>
      </c>
      <c r="AE47" s="156">
        <f>INDEX(Tab_Def_Flows[[Flow_ID]:[CC_DM_source]],MATCH(Tab_Data_Flows[[#This Row],[Flow_Name]],Tab_Def_Flows[Flow_Name],0),17)</f>
        <v>1</v>
      </c>
      <c r="AF47" s="7" t="str">
        <f>Tab_Data_Flows[[#This Row],[Flow_ID]]&amp;"_"&amp;"CC_"&amp;Tab_Data_Flows[[#This Row],[Flow_Data_Year]]</f>
        <v>F_13_00_CC_2004</v>
      </c>
      <c r="AG47" s="7">
        <f>IF(F47="Yes",AE47*Tab_Data_Flows[[#This Row],[Flow_Material]]*Tab_Data_Flows[[#This Row],[DM_'[%']]],"N.A.")</f>
        <v>10</v>
      </c>
      <c r="AH47" s="7" t="str">
        <f>Tab_Data_Flows[[#This Row],[UoM_Flow_Py]]</f>
        <v>Mg</v>
      </c>
      <c r="AI47"/>
    </row>
    <row r="48" spans="1:35" x14ac:dyDescent="0.25">
      <c r="A48" s="9">
        <f t="shared" si="1"/>
        <v>47</v>
      </c>
      <c r="B48" s="7" t="str">
        <f>_xlfn.XLOOKUP(C48,Tab_Def_Flows[Flow_Name],Tab_Def_Flows[Flow_ID],,0,)</f>
        <v>F_13_00</v>
      </c>
      <c r="C48" s="8" t="s">
        <v>738</v>
      </c>
      <c r="D48" s="10" t="str">
        <f>_xlfn.XLOOKUP(C48,Tab_Def_Flows[Flow_Name],Tab_Def_Flows[WC?],,0,)</f>
        <v>Yes</v>
      </c>
      <c r="E48" s="10" t="str">
        <f>_xlfn.XLOOKUP(C48,Tab_Def_Flows[Flow_Name],Tab_Def_Flows[DM?],,0,)</f>
        <v>Yes</v>
      </c>
      <c r="F48" s="10" t="str">
        <f>_xlfn.XLOOKUP(C48,Tab_Def_Flows[Flow_Name],Tab_Def_Flows[CC?],,0,)</f>
        <v>Yes</v>
      </c>
      <c r="G48" s="8">
        <v>2005</v>
      </c>
      <c r="H48" s="28">
        <v>10</v>
      </c>
      <c r="I48" s="8"/>
      <c r="J48" s="8"/>
      <c r="K48" s="8" t="e">
        <f>INDEX(#REF!,MATCH(Tab_Data_Flows[[#This Row],[Flow_Name]],#REF!,0),12)</f>
        <v>#REF!</v>
      </c>
      <c r="L48" s="8" t="e">
        <f>MATCH(Tab_Data_Flows[[#This Row],[Flow_Name]],#REF!,0)</f>
        <v>#REF!</v>
      </c>
      <c r="M48" s="8"/>
      <c r="N48" s="8"/>
      <c r="O48" s="8"/>
      <c r="P48" s="8"/>
      <c r="Q48" s="8" t="s">
        <v>8</v>
      </c>
      <c r="R48" s="8"/>
      <c r="S48" s="8"/>
      <c r="T48" s="7" t="str">
        <f>Tab_Data_Flows[[#This Row],[Flow_ID]]&amp;"_"&amp;"material_"&amp;Tab_Data_Flows[[#This Row],[Flow_Data_Year]]</f>
        <v>F_13_00_material_2005</v>
      </c>
      <c r="U48" s="18">
        <f t="shared" si="2"/>
        <v>10</v>
      </c>
      <c r="V48" s="8" t="s">
        <v>218</v>
      </c>
      <c r="W48" s="156">
        <f>INDEX(Tab_Def_Flows[[Flow_ID]:[CC_DM_source]],MATCH(Tab_Data_Flows[[#This Row],[Flow_Name]],Tab_Def_Flows[Flow_Name],0),11)</f>
        <v>0</v>
      </c>
      <c r="X48" s="7" t="str">
        <f>Tab_Data_Flows[[#This Row],[Flow_ID]]&amp;"_"&amp;"WC_"&amp;Tab_Data_Flows[[#This Row],[Flow_Data_Year]]</f>
        <v>F_13_00_WC_2005</v>
      </c>
      <c r="Y48" s="7">
        <f>IF(D48="Yes",U48*Tab_Data_Flows[[#This Row],[WC_'[%']]],"N.A.")</f>
        <v>0</v>
      </c>
      <c r="Z48" s="7" t="str">
        <f>Tab_Data_Flows[[#This Row],[UoM_Flow_Py]]</f>
        <v>Mg</v>
      </c>
      <c r="AA48" s="156">
        <f>INDEX(Tab_Def_Flows[[Flow_ID]:[CC_DM_source]],MATCH(Tab_Data_Flows[[#This Row],[Flow_Name]],Tab_Def_Flows[Flow_Name],0),14)</f>
        <v>1</v>
      </c>
      <c r="AB48" s="7" t="str">
        <f>Tab_Data_Flows[[#This Row],[Flow_ID]]&amp;"_"&amp;"DM_"&amp;Tab_Data_Flows[[#This Row],[Flow_Data_Year]]</f>
        <v>F_13_00_DM_2005</v>
      </c>
      <c r="AC48" s="7">
        <f>IF(E48="Yes",AA48*Tab_Data_Flows[[#This Row],[Flow_Material]],"N.A.")</f>
        <v>10</v>
      </c>
      <c r="AD48" s="7" t="str">
        <f>Tab_Data_Flows[[#This Row],[UoM_Flow_Py]]</f>
        <v>Mg</v>
      </c>
      <c r="AE48" s="156">
        <f>INDEX(Tab_Def_Flows[[Flow_ID]:[CC_DM_source]],MATCH(Tab_Data_Flows[[#This Row],[Flow_Name]],Tab_Def_Flows[Flow_Name],0),17)</f>
        <v>1</v>
      </c>
      <c r="AF48" s="7" t="str">
        <f>Tab_Data_Flows[[#This Row],[Flow_ID]]&amp;"_"&amp;"CC_"&amp;Tab_Data_Flows[[#This Row],[Flow_Data_Year]]</f>
        <v>F_13_00_CC_2005</v>
      </c>
      <c r="AG48" s="7">
        <f>IF(F48="Yes",AE48*Tab_Data_Flows[[#This Row],[Flow_Material]]*Tab_Data_Flows[[#This Row],[DM_'[%']]],"N.A.")</f>
        <v>10</v>
      </c>
      <c r="AH48" s="7" t="str">
        <f>Tab_Data_Flows[[#This Row],[UoM_Flow_Py]]</f>
        <v>Mg</v>
      </c>
      <c r="AI48"/>
    </row>
    <row r="49" spans="1:35" x14ac:dyDescent="0.25">
      <c r="A49" s="9">
        <f t="shared" si="1"/>
        <v>48</v>
      </c>
      <c r="B49" s="7" t="str">
        <f>_xlfn.XLOOKUP(C49,Tab_Def_Flows[Flow_Name],Tab_Def_Flows[Flow_ID],,0,)</f>
        <v>F_13_00</v>
      </c>
      <c r="C49" s="8" t="s">
        <v>738</v>
      </c>
      <c r="D49" s="10" t="str">
        <f>_xlfn.XLOOKUP(C49,Tab_Def_Flows[Flow_Name],Tab_Def_Flows[WC?],,0,)</f>
        <v>Yes</v>
      </c>
      <c r="E49" s="10" t="str">
        <f>_xlfn.XLOOKUP(C49,Tab_Def_Flows[Flow_Name],Tab_Def_Flows[DM?],,0,)</f>
        <v>Yes</v>
      </c>
      <c r="F49" s="10" t="str">
        <f>_xlfn.XLOOKUP(C49,Tab_Def_Flows[Flow_Name],Tab_Def_Flows[CC?],,0,)</f>
        <v>Yes</v>
      </c>
      <c r="G49" s="8">
        <v>2006</v>
      </c>
      <c r="H49" s="28">
        <v>10</v>
      </c>
      <c r="I49" s="8"/>
      <c r="J49" s="8"/>
      <c r="K49" s="8" t="e">
        <f>INDEX(#REF!,MATCH(Tab_Data_Flows[[#This Row],[Flow_Name]],#REF!,0),12)</f>
        <v>#REF!</v>
      </c>
      <c r="L49" s="8" t="e">
        <f>MATCH(Tab_Data_Flows[[#This Row],[Flow_Name]],#REF!,0)</f>
        <v>#REF!</v>
      </c>
      <c r="M49" s="8"/>
      <c r="N49" s="8"/>
      <c r="O49" s="8"/>
      <c r="P49" s="8"/>
      <c r="Q49" s="8" t="s">
        <v>8</v>
      </c>
      <c r="R49" s="8"/>
      <c r="S49" s="8"/>
      <c r="T49" s="7" t="str">
        <f>Tab_Data_Flows[[#This Row],[Flow_ID]]&amp;"_"&amp;"material_"&amp;Tab_Data_Flows[[#This Row],[Flow_Data_Year]]</f>
        <v>F_13_00_material_2006</v>
      </c>
      <c r="U49" s="18">
        <f t="shared" si="2"/>
        <v>10</v>
      </c>
      <c r="V49" s="8" t="s">
        <v>218</v>
      </c>
      <c r="W49" s="156">
        <f>INDEX(Tab_Def_Flows[[Flow_ID]:[CC_DM_source]],MATCH(Tab_Data_Flows[[#This Row],[Flow_Name]],Tab_Def_Flows[Flow_Name],0),11)</f>
        <v>0</v>
      </c>
      <c r="X49" s="7" t="str">
        <f>Tab_Data_Flows[[#This Row],[Flow_ID]]&amp;"_"&amp;"WC_"&amp;Tab_Data_Flows[[#This Row],[Flow_Data_Year]]</f>
        <v>F_13_00_WC_2006</v>
      </c>
      <c r="Y49" s="7">
        <f>IF(D49="Yes",U49*Tab_Data_Flows[[#This Row],[WC_'[%']]],"N.A.")</f>
        <v>0</v>
      </c>
      <c r="Z49" s="7" t="str">
        <f>Tab_Data_Flows[[#This Row],[UoM_Flow_Py]]</f>
        <v>Mg</v>
      </c>
      <c r="AA49" s="156">
        <f>INDEX(Tab_Def_Flows[[Flow_ID]:[CC_DM_source]],MATCH(Tab_Data_Flows[[#This Row],[Flow_Name]],Tab_Def_Flows[Flow_Name],0),14)</f>
        <v>1</v>
      </c>
      <c r="AB49" s="7" t="str">
        <f>Tab_Data_Flows[[#This Row],[Flow_ID]]&amp;"_"&amp;"DM_"&amp;Tab_Data_Flows[[#This Row],[Flow_Data_Year]]</f>
        <v>F_13_00_DM_2006</v>
      </c>
      <c r="AC49" s="7">
        <f>IF(E49="Yes",AA49*Tab_Data_Flows[[#This Row],[Flow_Material]],"N.A.")</f>
        <v>10</v>
      </c>
      <c r="AD49" s="7" t="str">
        <f>Tab_Data_Flows[[#This Row],[UoM_Flow_Py]]</f>
        <v>Mg</v>
      </c>
      <c r="AE49" s="156">
        <f>INDEX(Tab_Def_Flows[[Flow_ID]:[CC_DM_source]],MATCH(Tab_Data_Flows[[#This Row],[Flow_Name]],Tab_Def_Flows[Flow_Name],0),17)</f>
        <v>1</v>
      </c>
      <c r="AF49" s="7" t="str">
        <f>Tab_Data_Flows[[#This Row],[Flow_ID]]&amp;"_"&amp;"CC_"&amp;Tab_Data_Flows[[#This Row],[Flow_Data_Year]]</f>
        <v>F_13_00_CC_2006</v>
      </c>
      <c r="AG49" s="7">
        <f>IF(F49="Yes",AE49*Tab_Data_Flows[[#This Row],[Flow_Material]]*Tab_Data_Flows[[#This Row],[DM_'[%']]],"N.A.")</f>
        <v>10</v>
      </c>
      <c r="AH49" s="7" t="str">
        <f>Tab_Data_Flows[[#This Row],[UoM_Flow_Py]]</f>
        <v>Mg</v>
      </c>
      <c r="AI49"/>
    </row>
    <row r="50" spans="1:35" x14ac:dyDescent="0.25">
      <c r="A50" s="9">
        <f t="shared" si="1"/>
        <v>49</v>
      </c>
      <c r="B50" s="7" t="str">
        <f>_xlfn.XLOOKUP(C50,Tab_Def_Flows[Flow_Name],Tab_Def_Flows[Flow_ID],,0,)</f>
        <v>F_13_00</v>
      </c>
      <c r="C50" s="8" t="s">
        <v>738</v>
      </c>
      <c r="D50" s="10" t="str">
        <f>_xlfn.XLOOKUP(C50,Tab_Def_Flows[Flow_Name],Tab_Def_Flows[WC?],,0,)</f>
        <v>Yes</v>
      </c>
      <c r="E50" s="10" t="str">
        <f>_xlfn.XLOOKUP(C50,Tab_Def_Flows[Flow_Name],Tab_Def_Flows[DM?],,0,)</f>
        <v>Yes</v>
      </c>
      <c r="F50" s="10" t="str">
        <f>_xlfn.XLOOKUP(C50,Tab_Def_Flows[Flow_Name],Tab_Def_Flows[CC?],,0,)</f>
        <v>Yes</v>
      </c>
      <c r="G50" s="8">
        <v>2007</v>
      </c>
      <c r="H50" s="28">
        <v>10</v>
      </c>
      <c r="I50" s="8"/>
      <c r="J50" s="8"/>
      <c r="K50" s="8" t="e">
        <f>INDEX(#REF!,MATCH(Tab_Data_Flows[[#This Row],[Flow_Name]],#REF!,0),12)</f>
        <v>#REF!</v>
      </c>
      <c r="L50" s="8" t="e">
        <f>MATCH(Tab_Data_Flows[[#This Row],[Flow_Name]],#REF!,0)</f>
        <v>#REF!</v>
      </c>
      <c r="M50" s="8"/>
      <c r="N50" s="8"/>
      <c r="O50" s="8"/>
      <c r="P50" s="8"/>
      <c r="Q50" s="8" t="s">
        <v>8</v>
      </c>
      <c r="R50" s="8"/>
      <c r="S50" s="8"/>
      <c r="T50" s="7" t="str">
        <f>Tab_Data_Flows[[#This Row],[Flow_ID]]&amp;"_"&amp;"material_"&amp;Tab_Data_Flows[[#This Row],[Flow_Data_Year]]</f>
        <v>F_13_00_material_2007</v>
      </c>
      <c r="U50" s="18">
        <f t="shared" si="2"/>
        <v>10</v>
      </c>
      <c r="V50" s="8" t="s">
        <v>218</v>
      </c>
      <c r="W50" s="156">
        <f>INDEX(Tab_Def_Flows[[Flow_ID]:[CC_DM_source]],MATCH(Tab_Data_Flows[[#This Row],[Flow_Name]],Tab_Def_Flows[Flow_Name],0),11)</f>
        <v>0</v>
      </c>
      <c r="X50" s="7" t="str">
        <f>Tab_Data_Flows[[#This Row],[Flow_ID]]&amp;"_"&amp;"WC_"&amp;Tab_Data_Flows[[#This Row],[Flow_Data_Year]]</f>
        <v>F_13_00_WC_2007</v>
      </c>
      <c r="Y50" s="7">
        <f>IF(D50="Yes",U50*Tab_Data_Flows[[#This Row],[WC_'[%']]],"N.A.")</f>
        <v>0</v>
      </c>
      <c r="Z50" s="7" t="str">
        <f>Tab_Data_Flows[[#This Row],[UoM_Flow_Py]]</f>
        <v>Mg</v>
      </c>
      <c r="AA50" s="156">
        <f>INDEX(Tab_Def_Flows[[Flow_ID]:[CC_DM_source]],MATCH(Tab_Data_Flows[[#This Row],[Flow_Name]],Tab_Def_Flows[Flow_Name],0),14)</f>
        <v>1</v>
      </c>
      <c r="AB50" s="7" t="str">
        <f>Tab_Data_Flows[[#This Row],[Flow_ID]]&amp;"_"&amp;"DM_"&amp;Tab_Data_Flows[[#This Row],[Flow_Data_Year]]</f>
        <v>F_13_00_DM_2007</v>
      </c>
      <c r="AC50" s="7">
        <f>IF(E50="Yes",AA50*Tab_Data_Flows[[#This Row],[Flow_Material]],"N.A.")</f>
        <v>10</v>
      </c>
      <c r="AD50" s="7" t="str">
        <f>Tab_Data_Flows[[#This Row],[UoM_Flow_Py]]</f>
        <v>Mg</v>
      </c>
      <c r="AE50" s="156">
        <f>INDEX(Tab_Def_Flows[[Flow_ID]:[CC_DM_source]],MATCH(Tab_Data_Flows[[#This Row],[Flow_Name]],Tab_Def_Flows[Flow_Name],0),17)</f>
        <v>1</v>
      </c>
      <c r="AF50" s="7" t="str">
        <f>Tab_Data_Flows[[#This Row],[Flow_ID]]&amp;"_"&amp;"CC_"&amp;Tab_Data_Flows[[#This Row],[Flow_Data_Year]]</f>
        <v>F_13_00_CC_2007</v>
      </c>
      <c r="AG50" s="7">
        <f>IF(F50="Yes",AE50*Tab_Data_Flows[[#This Row],[Flow_Material]]*Tab_Data_Flows[[#This Row],[DM_'[%']]],"N.A.")</f>
        <v>10</v>
      </c>
      <c r="AH50" s="7" t="str">
        <f>Tab_Data_Flows[[#This Row],[UoM_Flow_Py]]</f>
        <v>Mg</v>
      </c>
      <c r="AI50"/>
    </row>
    <row r="51" spans="1:35" x14ac:dyDescent="0.25">
      <c r="A51" s="9">
        <f t="shared" si="1"/>
        <v>50</v>
      </c>
      <c r="B51" s="7" t="str">
        <f>_xlfn.XLOOKUP(C51,Tab_Def_Flows[Flow_Name],Tab_Def_Flows[Flow_ID],,0,)</f>
        <v>F_13_00</v>
      </c>
      <c r="C51" s="8" t="s">
        <v>738</v>
      </c>
      <c r="D51" s="10" t="str">
        <f>_xlfn.XLOOKUP(C51,Tab_Def_Flows[Flow_Name],Tab_Def_Flows[WC?],,0,)</f>
        <v>Yes</v>
      </c>
      <c r="E51" s="10" t="str">
        <f>_xlfn.XLOOKUP(C51,Tab_Def_Flows[Flow_Name],Tab_Def_Flows[DM?],,0,)</f>
        <v>Yes</v>
      </c>
      <c r="F51" s="10" t="str">
        <f>_xlfn.XLOOKUP(C51,Tab_Def_Flows[Flow_Name],Tab_Def_Flows[CC?],,0,)</f>
        <v>Yes</v>
      </c>
      <c r="G51" s="8">
        <v>2008</v>
      </c>
      <c r="H51" s="28">
        <v>10</v>
      </c>
      <c r="I51" s="8"/>
      <c r="J51" s="8"/>
      <c r="K51" s="8" t="e">
        <f>INDEX(#REF!,MATCH(Tab_Data_Flows[[#This Row],[Flow_Name]],#REF!,0),12)</f>
        <v>#REF!</v>
      </c>
      <c r="L51" s="8" t="e">
        <f>MATCH(Tab_Data_Flows[[#This Row],[Flow_Name]],#REF!,0)</f>
        <v>#REF!</v>
      </c>
      <c r="M51" s="8"/>
      <c r="N51" s="8"/>
      <c r="O51" s="8"/>
      <c r="P51" s="8"/>
      <c r="Q51" s="8" t="s">
        <v>8</v>
      </c>
      <c r="R51" s="8"/>
      <c r="S51" s="8"/>
      <c r="T51" s="7" t="str">
        <f>Tab_Data_Flows[[#This Row],[Flow_ID]]&amp;"_"&amp;"material_"&amp;Tab_Data_Flows[[#This Row],[Flow_Data_Year]]</f>
        <v>F_13_00_material_2008</v>
      </c>
      <c r="U51" s="18">
        <f t="shared" si="2"/>
        <v>10</v>
      </c>
      <c r="V51" s="8" t="s">
        <v>218</v>
      </c>
      <c r="W51" s="156">
        <f>INDEX(Tab_Def_Flows[[Flow_ID]:[CC_DM_source]],MATCH(Tab_Data_Flows[[#This Row],[Flow_Name]],Tab_Def_Flows[Flow_Name],0),11)</f>
        <v>0</v>
      </c>
      <c r="X51" s="7" t="str">
        <f>Tab_Data_Flows[[#This Row],[Flow_ID]]&amp;"_"&amp;"WC_"&amp;Tab_Data_Flows[[#This Row],[Flow_Data_Year]]</f>
        <v>F_13_00_WC_2008</v>
      </c>
      <c r="Y51" s="7">
        <f>IF(D51="Yes",U51*Tab_Data_Flows[[#This Row],[WC_'[%']]],"N.A.")</f>
        <v>0</v>
      </c>
      <c r="Z51" s="7" t="str">
        <f>Tab_Data_Flows[[#This Row],[UoM_Flow_Py]]</f>
        <v>Mg</v>
      </c>
      <c r="AA51" s="156">
        <f>INDEX(Tab_Def_Flows[[Flow_ID]:[CC_DM_source]],MATCH(Tab_Data_Flows[[#This Row],[Flow_Name]],Tab_Def_Flows[Flow_Name],0),14)</f>
        <v>1</v>
      </c>
      <c r="AB51" s="7" t="str">
        <f>Tab_Data_Flows[[#This Row],[Flow_ID]]&amp;"_"&amp;"DM_"&amp;Tab_Data_Flows[[#This Row],[Flow_Data_Year]]</f>
        <v>F_13_00_DM_2008</v>
      </c>
      <c r="AC51" s="7">
        <f>IF(E51="Yes",AA51*Tab_Data_Flows[[#This Row],[Flow_Material]],"N.A.")</f>
        <v>10</v>
      </c>
      <c r="AD51" s="7" t="str">
        <f>Tab_Data_Flows[[#This Row],[UoM_Flow_Py]]</f>
        <v>Mg</v>
      </c>
      <c r="AE51" s="156">
        <f>INDEX(Tab_Def_Flows[[Flow_ID]:[CC_DM_source]],MATCH(Tab_Data_Flows[[#This Row],[Flow_Name]],Tab_Def_Flows[Flow_Name],0),17)</f>
        <v>1</v>
      </c>
      <c r="AF51" s="7" t="str">
        <f>Tab_Data_Flows[[#This Row],[Flow_ID]]&amp;"_"&amp;"CC_"&amp;Tab_Data_Flows[[#This Row],[Flow_Data_Year]]</f>
        <v>F_13_00_CC_2008</v>
      </c>
      <c r="AG51" s="7">
        <f>IF(F51="Yes",AE51*Tab_Data_Flows[[#This Row],[Flow_Material]]*Tab_Data_Flows[[#This Row],[DM_'[%']]],"N.A.")</f>
        <v>10</v>
      </c>
      <c r="AH51" s="7" t="str">
        <f>Tab_Data_Flows[[#This Row],[UoM_Flow_Py]]</f>
        <v>Mg</v>
      </c>
      <c r="AI51"/>
    </row>
    <row r="52" spans="1:35" x14ac:dyDescent="0.25">
      <c r="A52" s="9">
        <f t="shared" si="1"/>
        <v>51</v>
      </c>
      <c r="B52" s="7" t="str">
        <f>_xlfn.XLOOKUP(C52,Tab_Def_Flows[Flow_Name],Tab_Def_Flows[Flow_ID],,0,)</f>
        <v>F_13_00</v>
      </c>
      <c r="C52" s="8" t="s">
        <v>738</v>
      </c>
      <c r="D52" s="10" t="str">
        <f>_xlfn.XLOOKUP(C52,Tab_Def_Flows[Flow_Name],Tab_Def_Flows[WC?],,0,)</f>
        <v>Yes</v>
      </c>
      <c r="E52" s="10" t="str">
        <f>_xlfn.XLOOKUP(C52,Tab_Def_Flows[Flow_Name],Tab_Def_Flows[DM?],,0,)</f>
        <v>Yes</v>
      </c>
      <c r="F52" s="10" t="str">
        <f>_xlfn.XLOOKUP(C52,Tab_Def_Flows[Flow_Name],Tab_Def_Flows[CC?],,0,)</f>
        <v>Yes</v>
      </c>
      <c r="G52" s="8">
        <v>2009</v>
      </c>
      <c r="H52" s="28">
        <v>10</v>
      </c>
      <c r="I52" s="8"/>
      <c r="J52" s="8"/>
      <c r="K52" s="8" t="e">
        <f>INDEX(#REF!,MATCH(Tab_Data_Flows[[#This Row],[Flow_Name]],#REF!,0),12)</f>
        <v>#REF!</v>
      </c>
      <c r="L52" s="8" t="e">
        <f>MATCH(Tab_Data_Flows[[#This Row],[Flow_Name]],#REF!,0)</f>
        <v>#REF!</v>
      </c>
      <c r="M52" s="8"/>
      <c r="N52" s="8"/>
      <c r="O52" s="8"/>
      <c r="P52" s="8"/>
      <c r="Q52" s="8" t="s">
        <v>8</v>
      </c>
      <c r="R52" s="8"/>
      <c r="S52" s="8"/>
      <c r="T52" s="7" t="str">
        <f>Tab_Data_Flows[[#This Row],[Flow_ID]]&amp;"_"&amp;"material_"&amp;Tab_Data_Flows[[#This Row],[Flow_Data_Year]]</f>
        <v>F_13_00_material_2009</v>
      </c>
      <c r="U52" s="18">
        <f t="shared" si="2"/>
        <v>10</v>
      </c>
      <c r="V52" s="8" t="s">
        <v>218</v>
      </c>
      <c r="W52" s="156">
        <f>INDEX(Tab_Def_Flows[[Flow_ID]:[CC_DM_source]],MATCH(Tab_Data_Flows[[#This Row],[Flow_Name]],Tab_Def_Flows[Flow_Name],0),11)</f>
        <v>0</v>
      </c>
      <c r="X52" s="7" t="str">
        <f>Tab_Data_Flows[[#This Row],[Flow_ID]]&amp;"_"&amp;"WC_"&amp;Tab_Data_Flows[[#This Row],[Flow_Data_Year]]</f>
        <v>F_13_00_WC_2009</v>
      </c>
      <c r="Y52" s="7">
        <f>IF(D52="Yes",U52*Tab_Data_Flows[[#This Row],[WC_'[%']]],"N.A.")</f>
        <v>0</v>
      </c>
      <c r="Z52" s="7" t="str">
        <f>Tab_Data_Flows[[#This Row],[UoM_Flow_Py]]</f>
        <v>Mg</v>
      </c>
      <c r="AA52" s="156">
        <f>INDEX(Tab_Def_Flows[[Flow_ID]:[CC_DM_source]],MATCH(Tab_Data_Flows[[#This Row],[Flow_Name]],Tab_Def_Flows[Flow_Name],0),14)</f>
        <v>1</v>
      </c>
      <c r="AB52" s="7" t="str">
        <f>Tab_Data_Flows[[#This Row],[Flow_ID]]&amp;"_"&amp;"DM_"&amp;Tab_Data_Flows[[#This Row],[Flow_Data_Year]]</f>
        <v>F_13_00_DM_2009</v>
      </c>
      <c r="AC52" s="7">
        <f>IF(E52="Yes",AA52*Tab_Data_Flows[[#This Row],[Flow_Material]],"N.A.")</f>
        <v>10</v>
      </c>
      <c r="AD52" s="7" t="str">
        <f>Tab_Data_Flows[[#This Row],[UoM_Flow_Py]]</f>
        <v>Mg</v>
      </c>
      <c r="AE52" s="156">
        <f>INDEX(Tab_Def_Flows[[Flow_ID]:[CC_DM_source]],MATCH(Tab_Data_Flows[[#This Row],[Flow_Name]],Tab_Def_Flows[Flow_Name],0),17)</f>
        <v>1</v>
      </c>
      <c r="AF52" s="7" t="str">
        <f>Tab_Data_Flows[[#This Row],[Flow_ID]]&amp;"_"&amp;"CC_"&amp;Tab_Data_Flows[[#This Row],[Flow_Data_Year]]</f>
        <v>F_13_00_CC_2009</v>
      </c>
      <c r="AG52" s="7">
        <f>IF(F52="Yes",AE52*Tab_Data_Flows[[#This Row],[Flow_Material]]*Tab_Data_Flows[[#This Row],[DM_'[%']]],"N.A.")</f>
        <v>10</v>
      </c>
      <c r="AH52" s="7" t="str">
        <f>Tab_Data_Flows[[#This Row],[UoM_Flow_Py]]</f>
        <v>Mg</v>
      </c>
      <c r="AI52"/>
    </row>
    <row r="53" spans="1:35" x14ac:dyDescent="0.25">
      <c r="A53" s="9">
        <f t="shared" si="1"/>
        <v>52</v>
      </c>
      <c r="B53" s="7" t="str">
        <f>_xlfn.XLOOKUP(C53,Tab_Def_Flows[Flow_Name],Tab_Def_Flows[Flow_ID],,0,)</f>
        <v>F_13_00</v>
      </c>
      <c r="C53" s="8" t="s">
        <v>738</v>
      </c>
      <c r="D53" s="10" t="str">
        <f>_xlfn.XLOOKUP(C53,Tab_Def_Flows[Flow_Name],Tab_Def_Flows[WC?],,0,)</f>
        <v>Yes</v>
      </c>
      <c r="E53" s="10" t="str">
        <f>_xlfn.XLOOKUP(C53,Tab_Def_Flows[Flow_Name],Tab_Def_Flows[DM?],,0,)</f>
        <v>Yes</v>
      </c>
      <c r="F53" s="10" t="str">
        <f>_xlfn.XLOOKUP(C53,Tab_Def_Flows[Flow_Name],Tab_Def_Flows[CC?],,0,)</f>
        <v>Yes</v>
      </c>
      <c r="G53" s="8">
        <v>2010</v>
      </c>
      <c r="H53" s="28">
        <v>10</v>
      </c>
      <c r="I53" s="8"/>
      <c r="J53" s="8"/>
      <c r="K53" s="8" t="e">
        <f>INDEX(#REF!,MATCH(Tab_Data_Flows[[#This Row],[Flow_Name]],#REF!,0),12)</f>
        <v>#REF!</v>
      </c>
      <c r="L53" s="8" t="e">
        <f>MATCH(Tab_Data_Flows[[#This Row],[Flow_Name]],#REF!,0)</f>
        <v>#REF!</v>
      </c>
      <c r="M53" s="8"/>
      <c r="N53" s="8"/>
      <c r="O53" s="8"/>
      <c r="P53" s="8"/>
      <c r="Q53" s="8" t="s">
        <v>8</v>
      </c>
      <c r="R53" s="8"/>
      <c r="S53" s="8"/>
      <c r="T53" s="7" t="str">
        <f>Tab_Data_Flows[[#This Row],[Flow_ID]]&amp;"_"&amp;"material_"&amp;Tab_Data_Flows[[#This Row],[Flow_Data_Year]]</f>
        <v>F_13_00_material_2010</v>
      </c>
      <c r="U53" s="18">
        <f t="shared" si="2"/>
        <v>10</v>
      </c>
      <c r="V53" s="8" t="s">
        <v>218</v>
      </c>
      <c r="W53" s="156">
        <f>INDEX(Tab_Def_Flows[[Flow_ID]:[CC_DM_source]],MATCH(Tab_Data_Flows[[#This Row],[Flow_Name]],Tab_Def_Flows[Flow_Name],0),11)</f>
        <v>0</v>
      </c>
      <c r="X53" s="7" t="str">
        <f>Tab_Data_Flows[[#This Row],[Flow_ID]]&amp;"_"&amp;"WC_"&amp;Tab_Data_Flows[[#This Row],[Flow_Data_Year]]</f>
        <v>F_13_00_WC_2010</v>
      </c>
      <c r="Y53" s="7">
        <f>IF(D53="Yes",U53*Tab_Data_Flows[[#This Row],[WC_'[%']]],"N.A.")</f>
        <v>0</v>
      </c>
      <c r="Z53" s="7" t="str">
        <f>Tab_Data_Flows[[#This Row],[UoM_Flow_Py]]</f>
        <v>Mg</v>
      </c>
      <c r="AA53" s="156">
        <f>INDEX(Tab_Def_Flows[[Flow_ID]:[CC_DM_source]],MATCH(Tab_Data_Flows[[#This Row],[Flow_Name]],Tab_Def_Flows[Flow_Name],0),14)</f>
        <v>1</v>
      </c>
      <c r="AB53" s="7" t="str">
        <f>Tab_Data_Flows[[#This Row],[Flow_ID]]&amp;"_"&amp;"DM_"&amp;Tab_Data_Flows[[#This Row],[Flow_Data_Year]]</f>
        <v>F_13_00_DM_2010</v>
      </c>
      <c r="AC53" s="7">
        <f>IF(E53="Yes",AA53*Tab_Data_Flows[[#This Row],[Flow_Material]],"N.A.")</f>
        <v>10</v>
      </c>
      <c r="AD53" s="7" t="str">
        <f>Tab_Data_Flows[[#This Row],[UoM_Flow_Py]]</f>
        <v>Mg</v>
      </c>
      <c r="AE53" s="156">
        <f>INDEX(Tab_Def_Flows[[Flow_ID]:[CC_DM_source]],MATCH(Tab_Data_Flows[[#This Row],[Flow_Name]],Tab_Def_Flows[Flow_Name],0),17)</f>
        <v>1</v>
      </c>
      <c r="AF53" s="7" t="str">
        <f>Tab_Data_Flows[[#This Row],[Flow_ID]]&amp;"_"&amp;"CC_"&amp;Tab_Data_Flows[[#This Row],[Flow_Data_Year]]</f>
        <v>F_13_00_CC_2010</v>
      </c>
      <c r="AG53" s="7">
        <f>IF(F53="Yes",AE53*Tab_Data_Flows[[#This Row],[Flow_Material]]*Tab_Data_Flows[[#This Row],[DM_'[%']]],"N.A.")</f>
        <v>10</v>
      </c>
      <c r="AH53" s="7" t="str">
        <f>Tab_Data_Flows[[#This Row],[UoM_Flow_Py]]</f>
        <v>Mg</v>
      </c>
      <c r="AI53"/>
    </row>
    <row r="54" spans="1:35" x14ac:dyDescent="0.25">
      <c r="A54" s="9">
        <f t="shared" si="1"/>
        <v>53</v>
      </c>
      <c r="B54" s="7" t="str">
        <f>_xlfn.XLOOKUP(C54,Tab_Def_Flows[Flow_Name],Tab_Def_Flows[Flow_ID],,0,)</f>
        <v>F_13_00</v>
      </c>
      <c r="C54" s="8" t="s">
        <v>738</v>
      </c>
      <c r="D54" s="10" t="str">
        <f>_xlfn.XLOOKUP(C54,Tab_Def_Flows[Flow_Name],Tab_Def_Flows[WC?],,0,)</f>
        <v>Yes</v>
      </c>
      <c r="E54" s="10" t="str">
        <f>_xlfn.XLOOKUP(C54,Tab_Def_Flows[Flow_Name],Tab_Def_Flows[DM?],,0,)</f>
        <v>Yes</v>
      </c>
      <c r="F54" s="10" t="str">
        <f>_xlfn.XLOOKUP(C54,Tab_Def_Flows[Flow_Name],Tab_Def_Flows[CC?],,0,)</f>
        <v>Yes</v>
      </c>
      <c r="G54" s="8">
        <v>2011</v>
      </c>
      <c r="H54" s="28">
        <v>10</v>
      </c>
      <c r="I54" s="8"/>
      <c r="J54" s="8"/>
      <c r="K54" s="8" t="e">
        <f>INDEX(#REF!,MATCH(Tab_Data_Flows[[#This Row],[Flow_Name]],#REF!,0),12)</f>
        <v>#REF!</v>
      </c>
      <c r="L54" s="8" t="e">
        <f>MATCH(Tab_Data_Flows[[#This Row],[Flow_Name]],#REF!,0)</f>
        <v>#REF!</v>
      </c>
      <c r="M54" s="8"/>
      <c r="N54" s="8"/>
      <c r="O54" s="8"/>
      <c r="P54" s="8"/>
      <c r="Q54" s="8" t="s">
        <v>8</v>
      </c>
      <c r="R54" s="8"/>
      <c r="S54" s="8"/>
      <c r="T54" s="7" t="str">
        <f>Tab_Data_Flows[[#This Row],[Flow_ID]]&amp;"_"&amp;"material_"&amp;Tab_Data_Flows[[#This Row],[Flow_Data_Year]]</f>
        <v>F_13_00_material_2011</v>
      </c>
      <c r="U54" s="18">
        <f t="shared" si="2"/>
        <v>10</v>
      </c>
      <c r="V54" s="8" t="s">
        <v>218</v>
      </c>
      <c r="W54" s="156">
        <f>INDEX(Tab_Def_Flows[[Flow_ID]:[CC_DM_source]],MATCH(Tab_Data_Flows[[#This Row],[Flow_Name]],Tab_Def_Flows[Flow_Name],0),11)</f>
        <v>0</v>
      </c>
      <c r="X54" s="7" t="str">
        <f>Tab_Data_Flows[[#This Row],[Flow_ID]]&amp;"_"&amp;"WC_"&amp;Tab_Data_Flows[[#This Row],[Flow_Data_Year]]</f>
        <v>F_13_00_WC_2011</v>
      </c>
      <c r="Y54" s="7">
        <f>IF(D54="Yes",U54*Tab_Data_Flows[[#This Row],[WC_'[%']]],"N.A.")</f>
        <v>0</v>
      </c>
      <c r="Z54" s="7" t="str">
        <f>Tab_Data_Flows[[#This Row],[UoM_Flow_Py]]</f>
        <v>Mg</v>
      </c>
      <c r="AA54" s="156">
        <f>INDEX(Tab_Def_Flows[[Flow_ID]:[CC_DM_source]],MATCH(Tab_Data_Flows[[#This Row],[Flow_Name]],Tab_Def_Flows[Flow_Name],0),14)</f>
        <v>1</v>
      </c>
      <c r="AB54" s="7" t="str">
        <f>Tab_Data_Flows[[#This Row],[Flow_ID]]&amp;"_"&amp;"DM_"&amp;Tab_Data_Flows[[#This Row],[Flow_Data_Year]]</f>
        <v>F_13_00_DM_2011</v>
      </c>
      <c r="AC54" s="7">
        <f>IF(E54="Yes",AA54*Tab_Data_Flows[[#This Row],[Flow_Material]],"N.A.")</f>
        <v>10</v>
      </c>
      <c r="AD54" s="7" t="str">
        <f>Tab_Data_Flows[[#This Row],[UoM_Flow_Py]]</f>
        <v>Mg</v>
      </c>
      <c r="AE54" s="156">
        <f>INDEX(Tab_Def_Flows[[Flow_ID]:[CC_DM_source]],MATCH(Tab_Data_Flows[[#This Row],[Flow_Name]],Tab_Def_Flows[Flow_Name],0),17)</f>
        <v>1</v>
      </c>
      <c r="AF54" s="7" t="str">
        <f>Tab_Data_Flows[[#This Row],[Flow_ID]]&amp;"_"&amp;"CC_"&amp;Tab_Data_Flows[[#This Row],[Flow_Data_Year]]</f>
        <v>F_13_00_CC_2011</v>
      </c>
      <c r="AG54" s="7">
        <f>IF(F54="Yes",AE54*Tab_Data_Flows[[#This Row],[Flow_Material]]*Tab_Data_Flows[[#This Row],[DM_'[%']]],"N.A.")</f>
        <v>10</v>
      </c>
      <c r="AH54" s="7" t="str">
        <f>Tab_Data_Flows[[#This Row],[UoM_Flow_Py]]</f>
        <v>Mg</v>
      </c>
      <c r="AI54"/>
    </row>
    <row r="55" spans="1:35" x14ac:dyDescent="0.25">
      <c r="A55" s="9">
        <f t="shared" si="1"/>
        <v>54</v>
      </c>
      <c r="B55" s="7" t="str">
        <f>_xlfn.XLOOKUP(C55,Tab_Def_Flows[Flow_Name],Tab_Def_Flows[Flow_ID],,0,)</f>
        <v>F_13_00</v>
      </c>
      <c r="C55" s="8" t="s">
        <v>738</v>
      </c>
      <c r="D55" s="10" t="str">
        <f>_xlfn.XLOOKUP(C55,Tab_Def_Flows[Flow_Name],Tab_Def_Flows[WC?],,0,)</f>
        <v>Yes</v>
      </c>
      <c r="E55" s="10" t="str">
        <f>_xlfn.XLOOKUP(C55,Tab_Def_Flows[Flow_Name],Tab_Def_Flows[DM?],,0,)</f>
        <v>Yes</v>
      </c>
      <c r="F55" s="10" t="str">
        <f>_xlfn.XLOOKUP(C55,Tab_Def_Flows[Flow_Name],Tab_Def_Flows[CC?],,0,)</f>
        <v>Yes</v>
      </c>
      <c r="G55" s="8">
        <v>2012</v>
      </c>
      <c r="H55" s="28">
        <v>10</v>
      </c>
      <c r="I55" s="8"/>
      <c r="J55" s="8"/>
      <c r="K55" s="8" t="e">
        <f>INDEX(#REF!,MATCH(Tab_Data_Flows[[#This Row],[Flow_Name]],#REF!,0),12)</f>
        <v>#REF!</v>
      </c>
      <c r="L55" s="8" t="e">
        <f>MATCH(Tab_Data_Flows[[#This Row],[Flow_Name]],#REF!,0)</f>
        <v>#REF!</v>
      </c>
      <c r="M55" s="8"/>
      <c r="N55" s="8"/>
      <c r="O55" s="8"/>
      <c r="P55" s="8"/>
      <c r="Q55" s="8" t="s">
        <v>8</v>
      </c>
      <c r="R55" s="8"/>
      <c r="S55" s="8"/>
      <c r="T55" s="7" t="str">
        <f>Tab_Data_Flows[[#This Row],[Flow_ID]]&amp;"_"&amp;"material_"&amp;Tab_Data_Flows[[#This Row],[Flow_Data_Year]]</f>
        <v>F_13_00_material_2012</v>
      </c>
      <c r="U55" s="18">
        <f t="shared" si="2"/>
        <v>10</v>
      </c>
      <c r="V55" s="8" t="s">
        <v>218</v>
      </c>
      <c r="W55" s="156">
        <f>INDEX(Tab_Def_Flows[[Flow_ID]:[CC_DM_source]],MATCH(Tab_Data_Flows[[#This Row],[Flow_Name]],Tab_Def_Flows[Flow_Name],0),11)</f>
        <v>0</v>
      </c>
      <c r="X55" s="7" t="str">
        <f>Tab_Data_Flows[[#This Row],[Flow_ID]]&amp;"_"&amp;"WC_"&amp;Tab_Data_Flows[[#This Row],[Flow_Data_Year]]</f>
        <v>F_13_00_WC_2012</v>
      </c>
      <c r="Y55" s="7">
        <f>IF(D55="Yes",U55*Tab_Data_Flows[[#This Row],[WC_'[%']]],"N.A.")</f>
        <v>0</v>
      </c>
      <c r="Z55" s="7" t="str">
        <f>Tab_Data_Flows[[#This Row],[UoM_Flow_Py]]</f>
        <v>Mg</v>
      </c>
      <c r="AA55" s="156">
        <f>INDEX(Tab_Def_Flows[[Flow_ID]:[CC_DM_source]],MATCH(Tab_Data_Flows[[#This Row],[Flow_Name]],Tab_Def_Flows[Flow_Name],0),14)</f>
        <v>1</v>
      </c>
      <c r="AB55" s="7" t="str">
        <f>Tab_Data_Flows[[#This Row],[Flow_ID]]&amp;"_"&amp;"DM_"&amp;Tab_Data_Flows[[#This Row],[Flow_Data_Year]]</f>
        <v>F_13_00_DM_2012</v>
      </c>
      <c r="AC55" s="7">
        <f>IF(E55="Yes",AA55*Tab_Data_Flows[[#This Row],[Flow_Material]],"N.A.")</f>
        <v>10</v>
      </c>
      <c r="AD55" s="7" t="str">
        <f>Tab_Data_Flows[[#This Row],[UoM_Flow_Py]]</f>
        <v>Mg</v>
      </c>
      <c r="AE55" s="156">
        <f>INDEX(Tab_Def_Flows[[Flow_ID]:[CC_DM_source]],MATCH(Tab_Data_Flows[[#This Row],[Flow_Name]],Tab_Def_Flows[Flow_Name],0),17)</f>
        <v>1</v>
      </c>
      <c r="AF55" s="7" t="str">
        <f>Tab_Data_Flows[[#This Row],[Flow_ID]]&amp;"_"&amp;"CC_"&amp;Tab_Data_Flows[[#This Row],[Flow_Data_Year]]</f>
        <v>F_13_00_CC_2012</v>
      </c>
      <c r="AG55" s="7">
        <f>IF(F55="Yes",AE55*Tab_Data_Flows[[#This Row],[Flow_Material]]*Tab_Data_Flows[[#This Row],[DM_'[%']]],"N.A.")</f>
        <v>10</v>
      </c>
      <c r="AH55" s="7" t="str">
        <f>Tab_Data_Flows[[#This Row],[UoM_Flow_Py]]</f>
        <v>Mg</v>
      </c>
      <c r="AI55"/>
    </row>
    <row r="56" spans="1:35" x14ac:dyDescent="0.25">
      <c r="A56" s="9">
        <f t="shared" si="1"/>
        <v>55</v>
      </c>
      <c r="B56" s="7" t="str">
        <f>_xlfn.XLOOKUP(C56,Tab_Def_Flows[Flow_Name],Tab_Def_Flows[Flow_ID],,0,)</f>
        <v>F_13_00</v>
      </c>
      <c r="C56" s="8" t="s">
        <v>738</v>
      </c>
      <c r="D56" s="10" t="str">
        <f>_xlfn.XLOOKUP(C56,Tab_Def_Flows[Flow_Name],Tab_Def_Flows[WC?],,0,)</f>
        <v>Yes</v>
      </c>
      <c r="E56" s="10" t="str">
        <f>_xlfn.XLOOKUP(C56,Tab_Def_Flows[Flow_Name],Tab_Def_Flows[DM?],,0,)</f>
        <v>Yes</v>
      </c>
      <c r="F56" s="10" t="str">
        <f>_xlfn.XLOOKUP(C56,Tab_Def_Flows[Flow_Name],Tab_Def_Flows[CC?],,0,)</f>
        <v>Yes</v>
      </c>
      <c r="G56" s="8">
        <v>2013</v>
      </c>
      <c r="H56" s="28">
        <v>10</v>
      </c>
      <c r="I56" s="8"/>
      <c r="J56" s="8"/>
      <c r="K56" s="8" t="e">
        <f>INDEX(#REF!,MATCH(Tab_Data_Flows[[#This Row],[Flow_Name]],#REF!,0),12)</f>
        <v>#REF!</v>
      </c>
      <c r="L56" s="8" t="e">
        <f>MATCH(Tab_Data_Flows[[#This Row],[Flow_Name]],#REF!,0)</f>
        <v>#REF!</v>
      </c>
      <c r="M56" s="8"/>
      <c r="N56" s="8"/>
      <c r="O56" s="8"/>
      <c r="P56" s="8"/>
      <c r="Q56" s="8" t="s">
        <v>8</v>
      </c>
      <c r="R56" s="8"/>
      <c r="S56" s="8"/>
      <c r="T56" s="7" t="str">
        <f>Tab_Data_Flows[[#This Row],[Flow_ID]]&amp;"_"&amp;"material_"&amp;Tab_Data_Flows[[#This Row],[Flow_Data_Year]]</f>
        <v>F_13_00_material_2013</v>
      </c>
      <c r="U56" s="18">
        <f t="shared" si="2"/>
        <v>10</v>
      </c>
      <c r="V56" s="8" t="s">
        <v>218</v>
      </c>
      <c r="W56" s="156">
        <f>INDEX(Tab_Def_Flows[[Flow_ID]:[CC_DM_source]],MATCH(Tab_Data_Flows[[#This Row],[Flow_Name]],Tab_Def_Flows[Flow_Name],0),11)</f>
        <v>0</v>
      </c>
      <c r="X56" s="7" t="str">
        <f>Tab_Data_Flows[[#This Row],[Flow_ID]]&amp;"_"&amp;"WC_"&amp;Tab_Data_Flows[[#This Row],[Flow_Data_Year]]</f>
        <v>F_13_00_WC_2013</v>
      </c>
      <c r="Y56" s="7">
        <f>IF(D56="Yes",U56*Tab_Data_Flows[[#This Row],[WC_'[%']]],"N.A.")</f>
        <v>0</v>
      </c>
      <c r="Z56" s="7" t="str">
        <f>Tab_Data_Flows[[#This Row],[UoM_Flow_Py]]</f>
        <v>Mg</v>
      </c>
      <c r="AA56" s="156">
        <f>INDEX(Tab_Def_Flows[[Flow_ID]:[CC_DM_source]],MATCH(Tab_Data_Flows[[#This Row],[Flow_Name]],Tab_Def_Flows[Flow_Name],0),14)</f>
        <v>1</v>
      </c>
      <c r="AB56" s="7" t="str">
        <f>Tab_Data_Flows[[#This Row],[Flow_ID]]&amp;"_"&amp;"DM_"&amp;Tab_Data_Flows[[#This Row],[Flow_Data_Year]]</f>
        <v>F_13_00_DM_2013</v>
      </c>
      <c r="AC56" s="7">
        <f>IF(E56="Yes",AA56*Tab_Data_Flows[[#This Row],[Flow_Material]],"N.A.")</f>
        <v>10</v>
      </c>
      <c r="AD56" s="7" t="str">
        <f>Tab_Data_Flows[[#This Row],[UoM_Flow_Py]]</f>
        <v>Mg</v>
      </c>
      <c r="AE56" s="156">
        <f>INDEX(Tab_Def_Flows[[Flow_ID]:[CC_DM_source]],MATCH(Tab_Data_Flows[[#This Row],[Flow_Name]],Tab_Def_Flows[Flow_Name],0),17)</f>
        <v>1</v>
      </c>
      <c r="AF56" s="7" t="str">
        <f>Tab_Data_Flows[[#This Row],[Flow_ID]]&amp;"_"&amp;"CC_"&amp;Tab_Data_Flows[[#This Row],[Flow_Data_Year]]</f>
        <v>F_13_00_CC_2013</v>
      </c>
      <c r="AG56" s="7">
        <f>IF(F56="Yes",AE56*Tab_Data_Flows[[#This Row],[Flow_Material]]*Tab_Data_Flows[[#This Row],[DM_'[%']]],"N.A.")</f>
        <v>10</v>
      </c>
      <c r="AH56" s="7" t="str">
        <f>Tab_Data_Flows[[#This Row],[UoM_Flow_Py]]</f>
        <v>Mg</v>
      </c>
      <c r="AI56"/>
    </row>
    <row r="57" spans="1:35" x14ac:dyDescent="0.25">
      <c r="A57" s="9">
        <f t="shared" si="1"/>
        <v>56</v>
      </c>
      <c r="B57" s="7" t="str">
        <f>_xlfn.XLOOKUP(C57,Tab_Def_Flows[Flow_Name],Tab_Def_Flows[Flow_ID],,0,)</f>
        <v>F_13_00</v>
      </c>
      <c r="C57" s="8" t="s">
        <v>738</v>
      </c>
      <c r="D57" s="10" t="str">
        <f>_xlfn.XLOOKUP(C57,Tab_Def_Flows[Flow_Name],Tab_Def_Flows[WC?],,0,)</f>
        <v>Yes</v>
      </c>
      <c r="E57" s="10" t="str">
        <f>_xlfn.XLOOKUP(C57,Tab_Def_Flows[Flow_Name],Tab_Def_Flows[DM?],,0,)</f>
        <v>Yes</v>
      </c>
      <c r="F57" s="10" t="str">
        <f>_xlfn.XLOOKUP(C57,Tab_Def_Flows[Flow_Name],Tab_Def_Flows[CC?],,0,)</f>
        <v>Yes</v>
      </c>
      <c r="G57" s="8">
        <v>2014</v>
      </c>
      <c r="H57" s="28">
        <v>10</v>
      </c>
      <c r="I57" s="8"/>
      <c r="J57" s="8"/>
      <c r="K57" s="8" t="e">
        <f>INDEX(#REF!,MATCH(Tab_Data_Flows[[#This Row],[Flow_Name]],#REF!,0),12)</f>
        <v>#REF!</v>
      </c>
      <c r="L57" s="8" t="e">
        <f>MATCH(Tab_Data_Flows[[#This Row],[Flow_Name]],#REF!,0)</f>
        <v>#REF!</v>
      </c>
      <c r="M57" s="8"/>
      <c r="N57" s="8"/>
      <c r="O57" s="8"/>
      <c r="P57" s="8"/>
      <c r="Q57" s="8" t="s">
        <v>8</v>
      </c>
      <c r="R57" s="8"/>
      <c r="S57" s="8"/>
      <c r="T57" s="7" t="str">
        <f>Tab_Data_Flows[[#This Row],[Flow_ID]]&amp;"_"&amp;"material_"&amp;Tab_Data_Flows[[#This Row],[Flow_Data_Year]]</f>
        <v>F_13_00_material_2014</v>
      </c>
      <c r="U57" s="18">
        <f t="shared" si="2"/>
        <v>10</v>
      </c>
      <c r="V57" s="8" t="s">
        <v>218</v>
      </c>
      <c r="W57" s="156">
        <f>INDEX(Tab_Def_Flows[[Flow_ID]:[CC_DM_source]],MATCH(Tab_Data_Flows[[#This Row],[Flow_Name]],Tab_Def_Flows[Flow_Name],0),11)</f>
        <v>0</v>
      </c>
      <c r="X57" s="7" t="str">
        <f>Tab_Data_Flows[[#This Row],[Flow_ID]]&amp;"_"&amp;"WC_"&amp;Tab_Data_Flows[[#This Row],[Flow_Data_Year]]</f>
        <v>F_13_00_WC_2014</v>
      </c>
      <c r="Y57" s="7">
        <f>IF(D57="Yes",U57*Tab_Data_Flows[[#This Row],[WC_'[%']]],"N.A.")</f>
        <v>0</v>
      </c>
      <c r="Z57" s="7" t="str">
        <f>Tab_Data_Flows[[#This Row],[UoM_Flow_Py]]</f>
        <v>Mg</v>
      </c>
      <c r="AA57" s="156">
        <f>INDEX(Tab_Def_Flows[[Flow_ID]:[CC_DM_source]],MATCH(Tab_Data_Flows[[#This Row],[Flow_Name]],Tab_Def_Flows[Flow_Name],0),14)</f>
        <v>1</v>
      </c>
      <c r="AB57" s="7" t="str">
        <f>Tab_Data_Flows[[#This Row],[Flow_ID]]&amp;"_"&amp;"DM_"&amp;Tab_Data_Flows[[#This Row],[Flow_Data_Year]]</f>
        <v>F_13_00_DM_2014</v>
      </c>
      <c r="AC57" s="7">
        <f>IF(E57="Yes",AA57*Tab_Data_Flows[[#This Row],[Flow_Material]],"N.A.")</f>
        <v>10</v>
      </c>
      <c r="AD57" s="7" t="str">
        <f>Tab_Data_Flows[[#This Row],[UoM_Flow_Py]]</f>
        <v>Mg</v>
      </c>
      <c r="AE57" s="156">
        <f>INDEX(Tab_Def_Flows[[Flow_ID]:[CC_DM_source]],MATCH(Tab_Data_Flows[[#This Row],[Flow_Name]],Tab_Def_Flows[Flow_Name],0),17)</f>
        <v>1</v>
      </c>
      <c r="AF57" s="7" t="str">
        <f>Tab_Data_Flows[[#This Row],[Flow_ID]]&amp;"_"&amp;"CC_"&amp;Tab_Data_Flows[[#This Row],[Flow_Data_Year]]</f>
        <v>F_13_00_CC_2014</v>
      </c>
      <c r="AG57" s="7">
        <f>IF(F57="Yes",AE57*Tab_Data_Flows[[#This Row],[Flow_Material]]*Tab_Data_Flows[[#This Row],[DM_'[%']]],"N.A.")</f>
        <v>10</v>
      </c>
      <c r="AH57" s="7" t="str">
        <f>Tab_Data_Flows[[#This Row],[UoM_Flow_Py]]</f>
        <v>Mg</v>
      </c>
      <c r="AI57"/>
    </row>
    <row r="58" spans="1:35" x14ac:dyDescent="0.25">
      <c r="A58" s="9">
        <f t="shared" si="1"/>
        <v>57</v>
      </c>
      <c r="B58" s="7" t="str">
        <f>_xlfn.XLOOKUP(C58,Tab_Def_Flows[Flow_Name],Tab_Def_Flows[Flow_ID],,0,)</f>
        <v>F_13_00</v>
      </c>
      <c r="C58" s="8" t="s">
        <v>738</v>
      </c>
      <c r="D58" s="10" t="str">
        <f>_xlfn.XLOOKUP(C58,Tab_Def_Flows[Flow_Name],Tab_Def_Flows[WC?],,0,)</f>
        <v>Yes</v>
      </c>
      <c r="E58" s="10" t="str">
        <f>_xlfn.XLOOKUP(C58,Tab_Def_Flows[Flow_Name],Tab_Def_Flows[DM?],,0,)</f>
        <v>Yes</v>
      </c>
      <c r="F58" s="10" t="str">
        <f>_xlfn.XLOOKUP(C58,Tab_Def_Flows[Flow_Name],Tab_Def_Flows[CC?],,0,)</f>
        <v>Yes</v>
      </c>
      <c r="G58" s="8">
        <v>2015</v>
      </c>
      <c r="H58" s="28">
        <v>10</v>
      </c>
      <c r="I58" s="8"/>
      <c r="J58" s="8"/>
      <c r="K58" s="8" t="e">
        <f>INDEX(#REF!,MATCH(Tab_Data_Flows[[#This Row],[Flow_Name]],#REF!,0),12)</f>
        <v>#REF!</v>
      </c>
      <c r="L58" s="8" t="e">
        <f>MATCH(Tab_Data_Flows[[#This Row],[Flow_Name]],#REF!,0)</f>
        <v>#REF!</v>
      </c>
      <c r="M58" s="8"/>
      <c r="N58" s="8"/>
      <c r="O58" s="8"/>
      <c r="P58" s="8"/>
      <c r="Q58" s="8" t="s">
        <v>8</v>
      </c>
      <c r="R58" s="8"/>
      <c r="S58" s="8"/>
      <c r="T58" s="7" t="str">
        <f>Tab_Data_Flows[[#This Row],[Flow_ID]]&amp;"_"&amp;"material_"&amp;Tab_Data_Flows[[#This Row],[Flow_Data_Year]]</f>
        <v>F_13_00_material_2015</v>
      </c>
      <c r="U58" s="18">
        <f t="shared" si="2"/>
        <v>10</v>
      </c>
      <c r="V58" s="8" t="s">
        <v>218</v>
      </c>
      <c r="W58" s="156">
        <f>INDEX(Tab_Def_Flows[[Flow_ID]:[CC_DM_source]],MATCH(Tab_Data_Flows[[#This Row],[Flow_Name]],Tab_Def_Flows[Flow_Name],0),11)</f>
        <v>0</v>
      </c>
      <c r="X58" s="7" t="str">
        <f>Tab_Data_Flows[[#This Row],[Flow_ID]]&amp;"_"&amp;"WC_"&amp;Tab_Data_Flows[[#This Row],[Flow_Data_Year]]</f>
        <v>F_13_00_WC_2015</v>
      </c>
      <c r="Y58" s="7">
        <f>IF(D58="Yes",U58*Tab_Data_Flows[[#This Row],[WC_'[%']]],"N.A.")</f>
        <v>0</v>
      </c>
      <c r="Z58" s="7" t="str">
        <f>Tab_Data_Flows[[#This Row],[UoM_Flow_Py]]</f>
        <v>Mg</v>
      </c>
      <c r="AA58" s="156">
        <f>INDEX(Tab_Def_Flows[[Flow_ID]:[CC_DM_source]],MATCH(Tab_Data_Flows[[#This Row],[Flow_Name]],Tab_Def_Flows[Flow_Name],0),14)</f>
        <v>1</v>
      </c>
      <c r="AB58" s="7" t="str">
        <f>Tab_Data_Flows[[#This Row],[Flow_ID]]&amp;"_"&amp;"DM_"&amp;Tab_Data_Flows[[#This Row],[Flow_Data_Year]]</f>
        <v>F_13_00_DM_2015</v>
      </c>
      <c r="AC58" s="7">
        <f>IF(E58="Yes",AA58*Tab_Data_Flows[[#This Row],[Flow_Material]],"N.A.")</f>
        <v>10</v>
      </c>
      <c r="AD58" s="7" t="str">
        <f>Tab_Data_Flows[[#This Row],[UoM_Flow_Py]]</f>
        <v>Mg</v>
      </c>
      <c r="AE58" s="156">
        <f>INDEX(Tab_Def_Flows[[Flow_ID]:[CC_DM_source]],MATCH(Tab_Data_Flows[[#This Row],[Flow_Name]],Tab_Def_Flows[Flow_Name],0),17)</f>
        <v>1</v>
      </c>
      <c r="AF58" s="7" t="str">
        <f>Tab_Data_Flows[[#This Row],[Flow_ID]]&amp;"_"&amp;"CC_"&amp;Tab_Data_Flows[[#This Row],[Flow_Data_Year]]</f>
        <v>F_13_00_CC_2015</v>
      </c>
      <c r="AG58" s="7">
        <f>IF(F58="Yes",AE58*Tab_Data_Flows[[#This Row],[Flow_Material]]*Tab_Data_Flows[[#This Row],[DM_'[%']]],"N.A.")</f>
        <v>10</v>
      </c>
      <c r="AH58" s="7" t="str">
        <f>Tab_Data_Flows[[#This Row],[UoM_Flow_Py]]</f>
        <v>Mg</v>
      </c>
      <c r="AI58"/>
    </row>
    <row r="59" spans="1:35" x14ac:dyDescent="0.25">
      <c r="A59" s="9">
        <f t="shared" si="1"/>
        <v>58</v>
      </c>
      <c r="B59" s="7" t="str">
        <f>_xlfn.XLOOKUP(C59,Tab_Def_Flows[Flow_Name],Tab_Def_Flows[Flow_ID],,0,)</f>
        <v>F_13_00</v>
      </c>
      <c r="C59" s="8" t="s">
        <v>738</v>
      </c>
      <c r="D59" s="10" t="str">
        <f>_xlfn.XLOOKUP(C59,Tab_Def_Flows[Flow_Name],Tab_Def_Flows[WC?],,0,)</f>
        <v>Yes</v>
      </c>
      <c r="E59" s="10" t="str">
        <f>_xlfn.XLOOKUP(C59,Tab_Def_Flows[Flow_Name],Tab_Def_Flows[DM?],,0,)</f>
        <v>Yes</v>
      </c>
      <c r="F59" s="10" t="str">
        <f>_xlfn.XLOOKUP(C59,Tab_Def_Flows[Flow_Name],Tab_Def_Flows[CC?],,0,)</f>
        <v>Yes</v>
      </c>
      <c r="G59" s="8">
        <v>2016</v>
      </c>
      <c r="H59" s="28">
        <v>10</v>
      </c>
      <c r="I59" s="8"/>
      <c r="J59" s="8"/>
      <c r="K59" s="8" t="e">
        <f>INDEX(#REF!,MATCH(Tab_Data_Flows[[#This Row],[Flow_Name]],#REF!,0),12)</f>
        <v>#REF!</v>
      </c>
      <c r="L59" s="8" t="e">
        <f>MATCH(Tab_Data_Flows[[#This Row],[Flow_Name]],#REF!,0)</f>
        <v>#REF!</v>
      </c>
      <c r="M59" s="8"/>
      <c r="N59" s="8"/>
      <c r="O59" s="8"/>
      <c r="P59" s="8"/>
      <c r="Q59" s="8" t="s">
        <v>8</v>
      </c>
      <c r="R59" s="8"/>
      <c r="S59" s="8"/>
      <c r="T59" s="7" t="str">
        <f>Tab_Data_Flows[[#This Row],[Flow_ID]]&amp;"_"&amp;"material_"&amp;Tab_Data_Flows[[#This Row],[Flow_Data_Year]]</f>
        <v>F_13_00_material_2016</v>
      </c>
      <c r="U59" s="18">
        <f t="shared" si="2"/>
        <v>10</v>
      </c>
      <c r="V59" s="8" t="s">
        <v>218</v>
      </c>
      <c r="W59" s="156">
        <f>INDEX(Tab_Def_Flows[[Flow_ID]:[CC_DM_source]],MATCH(Tab_Data_Flows[[#This Row],[Flow_Name]],Tab_Def_Flows[Flow_Name],0),11)</f>
        <v>0</v>
      </c>
      <c r="X59" s="7" t="str">
        <f>Tab_Data_Flows[[#This Row],[Flow_ID]]&amp;"_"&amp;"WC_"&amp;Tab_Data_Flows[[#This Row],[Flow_Data_Year]]</f>
        <v>F_13_00_WC_2016</v>
      </c>
      <c r="Y59" s="7">
        <f>IF(D59="Yes",U59*Tab_Data_Flows[[#This Row],[WC_'[%']]],"N.A.")</f>
        <v>0</v>
      </c>
      <c r="Z59" s="7" t="str">
        <f>Tab_Data_Flows[[#This Row],[UoM_Flow_Py]]</f>
        <v>Mg</v>
      </c>
      <c r="AA59" s="156">
        <f>INDEX(Tab_Def_Flows[[Flow_ID]:[CC_DM_source]],MATCH(Tab_Data_Flows[[#This Row],[Flow_Name]],Tab_Def_Flows[Flow_Name],0),14)</f>
        <v>1</v>
      </c>
      <c r="AB59" s="7" t="str">
        <f>Tab_Data_Flows[[#This Row],[Flow_ID]]&amp;"_"&amp;"DM_"&amp;Tab_Data_Flows[[#This Row],[Flow_Data_Year]]</f>
        <v>F_13_00_DM_2016</v>
      </c>
      <c r="AC59" s="7">
        <f>IF(E59="Yes",AA59*Tab_Data_Flows[[#This Row],[Flow_Material]],"N.A.")</f>
        <v>10</v>
      </c>
      <c r="AD59" s="7" t="str">
        <f>Tab_Data_Flows[[#This Row],[UoM_Flow_Py]]</f>
        <v>Mg</v>
      </c>
      <c r="AE59" s="156">
        <f>INDEX(Tab_Def_Flows[[Flow_ID]:[CC_DM_source]],MATCH(Tab_Data_Flows[[#This Row],[Flow_Name]],Tab_Def_Flows[Flow_Name],0),17)</f>
        <v>1</v>
      </c>
      <c r="AF59" s="7" t="str">
        <f>Tab_Data_Flows[[#This Row],[Flow_ID]]&amp;"_"&amp;"CC_"&amp;Tab_Data_Flows[[#This Row],[Flow_Data_Year]]</f>
        <v>F_13_00_CC_2016</v>
      </c>
      <c r="AG59" s="7">
        <f>IF(F59="Yes",AE59*Tab_Data_Flows[[#This Row],[Flow_Material]]*Tab_Data_Flows[[#This Row],[DM_'[%']]],"N.A.")</f>
        <v>10</v>
      </c>
      <c r="AH59" s="7" t="str">
        <f>Tab_Data_Flows[[#This Row],[UoM_Flow_Py]]</f>
        <v>Mg</v>
      </c>
      <c r="AI59"/>
    </row>
    <row r="60" spans="1:35" x14ac:dyDescent="0.25">
      <c r="A60" s="9">
        <f t="shared" si="1"/>
        <v>59</v>
      </c>
      <c r="B60" s="7" t="str">
        <f>_xlfn.XLOOKUP(C60,Tab_Def_Flows[Flow_Name],Tab_Def_Flows[Flow_ID],,0,)</f>
        <v>F_13_00</v>
      </c>
      <c r="C60" s="8" t="s">
        <v>738</v>
      </c>
      <c r="D60" s="10" t="str">
        <f>_xlfn.XLOOKUP(C60,Tab_Def_Flows[Flow_Name],Tab_Def_Flows[WC?],,0,)</f>
        <v>Yes</v>
      </c>
      <c r="E60" s="10" t="str">
        <f>_xlfn.XLOOKUP(C60,Tab_Def_Flows[Flow_Name],Tab_Def_Flows[DM?],,0,)</f>
        <v>Yes</v>
      </c>
      <c r="F60" s="10" t="str">
        <f>_xlfn.XLOOKUP(C60,Tab_Def_Flows[Flow_Name],Tab_Def_Flows[CC?],,0,)</f>
        <v>Yes</v>
      </c>
      <c r="G60" s="8">
        <v>2017</v>
      </c>
      <c r="H60" s="28">
        <v>10</v>
      </c>
      <c r="I60" s="8"/>
      <c r="J60" s="8"/>
      <c r="K60" s="8"/>
      <c r="L60" s="8"/>
      <c r="M60" s="8"/>
      <c r="N60" s="8"/>
      <c r="O60" s="8"/>
      <c r="P60" s="8"/>
      <c r="Q60" s="8" t="s">
        <v>8</v>
      </c>
      <c r="R60" s="21"/>
      <c r="S60" s="8"/>
      <c r="T60" s="7" t="str">
        <f>Tab_Data_Flows[[#This Row],[Flow_ID]]&amp;"_"&amp;"material_"&amp;Tab_Data_Flows[[#This Row],[Flow_Data_Year]]</f>
        <v>F_13_00_material_2017</v>
      </c>
      <c r="U60" s="18">
        <f t="shared" si="2"/>
        <v>10</v>
      </c>
      <c r="V60" s="8" t="s">
        <v>218</v>
      </c>
      <c r="W60" s="156">
        <f>INDEX(Tab_Def_Flows[[Flow_ID]:[CC_DM_source]],MATCH(Tab_Data_Flows[[#This Row],[Flow_Name]],Tab_Def_Flows[Flow_Name],0),11)</f>
        <v>0</v>
      </c>
      <c r="X60" s="7" t="str">
        <f>Tab_Data_Flows[[#This Row],[Flow_ID]]&amp;"_"&amp;"WC_"&amp;Tab_Data_Flows[[#This Row],[Flow_Data_Year]]</f>
        <v>F_13_00_WC_2017</v>
      </c>
      <c r="Y60" s="7">
        <f>IF(D60="Yes",U60*Tab_Data_Flows[[#This Row],[WC_'[%']]],"N.A.")</f>
        <v>0</v>
      </c>
      <c r="Z60" s="7" t="str">
        <f>Tab_Data_Flows[[#This Row],[UoM_Flow_Py]]</f>
        <v>Mg</v>
      </c>
      <c r="AA60" s="156">
        <f>INDEX(Tab_Def_Flows[[Flow_ID]:[CC_DM_source]],MATCH(Tab_Data_Flows[[#This Row],[Flow_Name]],Tab_Def_Flows[Flow_Name],0),14)</f>
        <v>1</v>
      </c>
      <c r="AB60" s="7" t="str">
        <f>Tab_Data_Flows[[#This Row],[Flow_ID]]&amp;"_"&amp;"DM_"&amp;Tab_Data_Flows[[#This Row],[Flow_Data_Year]]</f>
        <v>F_13_00_DM_2017</v>
      </c>
      <c r="AC60" s="7">
        <f>IF(E60="Yes",AA60*Tab_Data_Flows[[#This Row],[Flow_Material]],"N.A.")</f>
        <v>10</v>
      </c>
      <c r="AD60" s="7" t="str">
        <f>Tab_Data_Flows[[#This Row],[UoM_Flow_Py]]</f>
        <v>Mg</v>
      </c>
      <c r="AE60" s="156">
        <f>INDEX(Tab_Def_Flows[[Flow_ID]:[CC_DM_source]],MATCH(Tab_Data_Flows[[#This Row],[Flow_Name]],Tab_Def_Flows[Flow_Name],0),17)</f>
        <v>1</v>
      </c>
      <c r="AF60" s="7" t="str">
        <f>Tab_Data_Flows[[#This Row],[Flow_ID]]&amp;"_"&amp;"CC_"&amp;Tab_Data_Flows[[#This Row],[Flow_Data_Year]]</f>
        <v>F_13_00_CC_2017</v>
      </c>
      <c r="AG60" s="7">
        <f>IF(F60="Yes",AE60*Tab_Data_Flows[[#This Row],[Flow_Material]]*Tab_Data_Flows[[#This Row],[DM_'[%']]],"N.A.")</f>
        <v>10</v>
      </c>
      <c r="AH60" s="7" t="str">
        <f>Tab_Data_Flows[[#This Row],[UoM_Flow_Py]]</f>
        <v>Mg</v>
      </c>
      <c r="AI60"/>
    </row>
    <row r="61" spans="1:35" x14ac:dyDescent="0.25">
      <c r="A61" s="9">
        <f t="shared" si="1"/>
        <v>60</v>
      </c>
      <c r="B61" s="7" t="str">
        <f>_xlfn.XLOOKUP(C61,Tab_Def_Flows[Flow_Name],Tab_Def_Flows[Flow_ID],,0,)</f>
        <v>F_13_00</v>
      </c>
      <c r="C61" s="8" t="s">
        <v>738</v>
      </c>
      <c r="D61" s="10" t="str">
        <f>_xlfn.XLOOKUP(C61,Tab_Def_Flows[Flow_Name],Tab_Def_Flows[WC?],,0,)</f>
        <v>Yes</v>
      </c>
      <c r="E61" s="10" t="str">
        <f>_xlfn.XLOOKUP(C61,Tab_Def_Flows[Flow_Name],Tab_Def_Flows[DM?],,0,)</f>
        <v>Yes</v>
      </c>
      <c r="F61" s="10" t="str">
        <f>_xlfn.XLOOKUP(C61,Tab_Def_Flows[Flow_Name],Tab_Def_Flows[CC?],,0,)</f>
        <v>Yes</v>
      </c>
      <c r="G61" s="8">
        <v>2018</v>
      </c>
      <c r="H61" s="28">
        <v>10</v>
      </c>
      <c r="I61" s="8"/>
      <c r="J61" s="8"/>
      <c r="K61" s="8"/>
      <c r="L61" s="8"/>
      <c r="M61" s="8"/>
      <c r="N61" s="8"/>
      <c r="O61" s="8"/>
      <c r="P61" s="8"/>
      <c r="Q61" s="8" t="s">
        <v>8</v>
      </c>
      <c r="R61" s="21"/>
      <c r="S61" s="8"/>
      <c r="T61" s="7" t="str">
        <f>Tab_Data_Flows[[#This Row],[Flow_ID]]&amp;"_"&amp;"material_"&amp;Tab_Data_Flows[[#This Row],[Flow_Data_Year]]</f>
        <v>F_13_00_material_2018</v>
      </c>
      <c r="U61" s="18">
        <f t="shared" si="2"/>
        <v>10</v>
      </c>
      <c r="V61" s="8" t="s">
        <v>218</v>
      </c>
      <c r="W61" s="156">
        <f>INDEX(Tab_Def_Flows[[Flow_ID]:[CC_DM_source]],MATCH(Tab_Data_Flows[[#This Row],[Flow_Name]],Tab_Def_Flows[Flow_Name],0),11)</f>
        <v>0</v>
      </c>
      <c r="X61" s="7" t="str">
        <f>Tab_Data_Flows[[#This Row],[Flow_ID]]&amp;"_"&amp;"WC_"&amp;Tab_Data_Flows[[#This Row],[Flow_Data_Year]]</f>
        <v>F_13_00_WC_2018</v>
      </c>
      <c r="Y61" s="7">
        <f>IF(D61="Yes",U61*Tab_Data_Flows[[#This Row],[WC_'[%']]],"N.A.")</f>
        <v>0</v>
      </c>
      <c r="Z61" s="7" t="str">
        <f>Tab_Data_Flows[[#This Row],[UoM_Flow_Py]]</f>
        <v>Mg</v>
      </c>
      <c r="AA61" s="156">
        <f>INDEX(Tab_Def_Flows[[Flow_ID]:[CC_DM_source]],MATCH(Tab_Data_Flows[[#This Row],[Flow_Name]],Tab_Def_Flows[Flow_Name],0),14)</f>
        <v>1</v>
      </c>
      <c r="AB61" s="7" t="str">
        <f>Tab_Data_Flows[[#This Row],[Flow_ID]]&amp;"_"&amp;"DM_"&amp;Tab_Data_Flows[[#This Row],[Flow_Data_Year]]</f>
        <v>F_13_00_DM_2018</v>
      </c>
      <c r="AC61" s="7">
        <f>IF(E61="Yes",AA61*Tab_Data_Flows[[#This Row],[Flow_Material]],"N.A.")</f>
        <v>10</v>
      </c>
      <c r="AD61" s="7" t="str">
        <f>Tab_Data_Flows[[#This Row],[UoM_Flow_Py]]</f>
        <v>Mg</v>
      </c>
      <c r="AE61" s="156">
        <f>INDEX(Tab_Def_Flows[[Flow_ID]:[CC_DM_source]],MATCH(Tab_Data_Flows[[#This Row],[Flow_Name]],Tab_Def_Flows[Flow_Name],0),17)</f>
        <v>1</v>
      </c>
      <c r="AF61" s="7" t="str">
        <f>Tab_Data_Flows[[#This Row],[Flow_ID]]&amp;"_"&amp;"CC_"&amp;Tab_Data_Flows[[#This Row],[Flow_Data_Year]]</f>
        <v>F_13_00_CC_2018</v>
      </c>
      <c r="AG61" s="7">
        <f>IF(F61="Yes",AE61*Tab_Data_Flows[[#This Row],[Flow_Material]]*Tab_Data_Flows[[#This Row],[DM_'[%']]],"N.A.")</f>
        <v>10</v>
      </c>
      <c r="AH61" s="7" t="str">
        <f>Tab_Data_Flows[[#This Row],[UoM_Flow_Py]]</f>
        <v>Mg</v>
      </c>
      <c r="AI61"/>
    </row>
    <row r="62" spans="1:35" x14ac:dyDescent="0.25">
      <c r="A62" s="9">
        <f t="shared" si="1"/>
        <v>61</v>
      </c>
      <c r="B62" s="7" t="str">
        <f>_xlfn.XLOOKUP(C62,Tab_Def_Flows[Flow_Name],Tab_Def_Flows[Flow_ID],,0,)</f>
        <v>F_13_00</v>
      </c>
      <c r="C62" s="8" t="s">
        <v>738</v>
      </c>
      <c r="D62" s="10" t="str">
        <f>_xlfn.XLOOKUP(C62,Tab_Def_Flows[Flow_Name],Tab_Def_Flows[WC?],,0,)</f>
        <v>Yes</v>
      </c>
      <c r="E62" s="10" t="str">
        <f>_xlfn.XLOOKUP(C62,Tab_Def_Flows[Flow_Name],Tab_Def_Flows[DM?],,0,)</f>
        <v>Yes</v>
      </c>
      <c r="F62" s="10" t="str">
        <f>_xlfn.XLOOKUP(C62,Tab_Def_Flows[Flow_Name],Tab_Def_Flows[CC?],,0,)</f>
        <v>Yes</v>
      </c>
      <c r="G62" s="8">
        <v>2019</v>
      </c>
      <c r="H62" s="28">
        <v>10</v>
      </c>
      <c r="I62" s="8"/>
      <c r="J62" s="8"/>
      <c r="K62" s="8"/>
      <c r="L62" s="8"/>
      <c r="M62" s="8"/>
      <c r="N62" s="8"/>
      <c r="O62" s="8"/>
      <c r="P62" s="8"/>
      <c r="Q62" s="8" t="s">
        <v>8</v>
      </c>
      <c r="R62" s="21"/>
      <c r="S62" s="8"/>
      <c r="T62" s="7" t="str">
        <f>Tab_Data_Flows[[#This Row],[Flow_ID]]&amp;"_"&amp;"material_"&amp;Tab_Data_Flows[[#This Row],[Flow_Data_Year]]</f>
        <v>F_13_00_material_2019</v>
      </c>
      <c r="U62" s="18">
        <f t="shared" si="2"/>
        <v>10</v>
      </c>
      <c r="V62" s="8" t="s">
        <v>218</v>
      </c>
      <c r="W62" s="156">
        <f>INDEX(Tab_Def_Flows[[Flow_ID]:[CC_DM_source]],MATCH(Tab_Data_Flows[[#This Row],[Flow_Name]],Tab_Def_Flows[Flow_Name],0),11)</f>
        <v>0</v>
      </c>
      <c r="X62" s="7" t="str">
        <f>Tab_Data_Flows[[#This Row],[Flow_ID]]&amp;"_"&amp;"WC_"&amp;Tab_Data_Flows[[#This Row],[Flow_Data_Year]]</f>
        <v>F_13_00_WC_2019</v>
      </c>
      <c r="Y62" s="7">
        <f>IF(D62="Yes",U62*Tab_Data_Flows[[#This Row],[WC_'[%']]],"N.A.")</f>
        <v>0</v>
      </c>
      <c r="Z62" s="7" t="str">
        <f>Tab_Data_Flows[[#This Row],[UoM_Flow_Py]]</f>
        <v>Mg</v>
      </c>
      <c r="AA62" s="156">
        <f>INDEX(Tab_Def_Flows[[Flow_ID]:[CC_DM_source]],MATCH(Tab_Data_Flows[[#This Row],[Flow_Name]],Tab_Def_Flows[Flow_Name],0),14)</f>
        <v>1</v>
      </c>
      <c r="AB62" s="7" t="str">
        <f>Tab_Data_Flows[[#This Row],[Flow_ID]]&amp;"_"&amp;"DM_"&amp;Tab_Data_Flows[[#This Row],[Flow_Data_Year]]</f>
        <v>F_13_00_DM_2019</v>
      </c>
      <c r="AC62" s="7">
        <f>IF(E62="Yes",AA62*Tab_Data_Flows[[#This Row],[Flow_Material]],"N.A.")</f>
        <v>10</v>
      </c>
      <c r="AD62" s="7" t="str">
        <f>Tab_Data_Flows[[#This Row],[UoM_Flow_Py]]</f>
        <v>Mg</v>
      </c>
      <c r="AE62" s="156">
        <f>INDEX(Tab_Def_Flows[[Flow_ID]:[CC_DM_source]],MATCH(Tab_Data_Flows[[#This Row],[Flow_Name]],Tab_Def_Flows[Flow_Name],0),17)</f>
        <v>1</v>
      </c>
      <c r="AF62" s="7" t="str">
        <f>Tab_Data_Flows[[#This Row],[Flow_ID]]&amp;"_"&amp;"CC_"&amp;Tab_Data_Flows[[#This Row],[Flow_Data_Year]]</f>
        <v>F_13_00_CC_2019</v>
      </c>
      <c r="AG62" s="7">
        <f>IF(F62="Yes",AE62*Tab_Data_Flows[[#This Row],[Flow_Material]]*Tab_Data_Flows[[#This Row],[DM_'[%']]],"N.A.")</f>
        <v>10</v>
      </c>
      <c r="AH62" s="7" t="str">
        <f>Tab_Data_Flows[[#This Row],[UoM_Flow_Py]]</f>
        <v>Mg</v>
      </c>
      <c r="AI62"/>
    </row>
    <row r="63" spans="1:35" x14ac:dyDescent="0.25">
      <c r="A63" s="9">
        <f t="shared" si="1"/>
        <v>62</v>
      </c>
      <c r="B63" s="7" t="str">
        <f>_xlfn.XLOOKUP(C63,Tab_Def_Flows[Flow_Name],Tab_Def_Flows[Flow_ID],,0,)</f>
        <v>F_13_00</v>
      </c>
      <c r="C63" s="8" t="s">
        <v>738</v>
      </c>
      <c r="D63" s="10" t="str">
        <f>_xlfn.XLOOKUP(C63,Tab_Def_Flows[Flow_Name],Tab_Def_Flows[WC?],,0,)</f>
        <v>Yes</v>
      </c>
      <c r="E63" s="10" t="str">
        <f>_xlfn.XLOOKUP(C63,Tab_Def_Flows[Flow_Name],Tab_Def_Flows[DM?],,0,)</f>
        <v>Yes</v>
      </c>
      <c r="F63" s="10" t="str">
        <f>_xlfn.XLOOKUP(C63,Tab_Def_Flows[Flow_Name],Tab_Def_Flows[CC?],,0,)</f>
        <v>Yes</v>
      </c>
      <c r="G63" s="8">
        <v>2020</v>
      </c>
      <c r="H63" s="28">
        <v>10</v>
      </c>
      <c r="I63" s="8"/>
      <c r="J63" s="8"/>
      <c r="K63" s="8"/>
      <c r="L63" s="8"/>
      <c r="M63" s="8"/>
      <c r="N63" s="8"/>
      <c r="O63" s="8"/>
      <c r="P63" s="8"/>
      <c r="Q63" s="8" t="s">
        <v>8</v>
      </c>
      <c r="R63" s="21"/>
      <c r="S63" s="8"/>
      <c r="T63" s="7" t="str">
        <f>Tab_Data_Flows[[#This Row],[Flow_ID]]&amp;"_"&amp;"material_"&amp;Tab_Data_Flows[[#This Row],[Flow_Data_Year]]</f>
        <v>F_13_00_material_2020</v>
      </c>
      <c r="U63" s="18">
        <f t="shared" si="2"/>
        <v>10</v>
      </c>
      <c r="V63" s="8" t="s">
        <v>218</v>
      </c>
      <c r="W63" s="156">
        <f>INDEX(Tab_Def_Flows[[Flow_ID]:[CC_DM_source]],MATCH(Tab_Data_Flows[[#This Row],[Flow_Name]],Tab_Def_Flows[Flow_Name],0),11)</f>
        <v>0</v>
      </c>
      <c r="X63" s="7" t="str">
        <f>Tab_Data_Flows[[#This Row],[Flow_ID]]&amp;"_"&amp;"WC_"&amp;Tab_Data_Flows[[#This Row],[Flow_Data_Year]]</f>
        <v>F_13_00_WC_2020</v>
      </c>
      <c r="Y63" s="7">
        <f>IF(D63="Yes",U63*Tab_Data_Flows[[#This Row],[WC_'[%']]],"N.A.")</f>
        <v>0</v>
      </c>
      <c r="Z63" s="7" t="str">
        <f>Tab_Data_Flows[[#This Row],[UoM_Flow_Py]]</f>
        <v>Mg</v>
      </c>
      <c r="AA63" s="156">
        <f>INDEX(Tab_Def_Flows[[Flow_ID]:[CC_DM_source]],MATCH(Tab_Data_Flows[[#This Row],[Flow_Name]],Tab_Def_Flows[Flow_Name],0),14)</f>
        <v>1</v>
      </c>
      <c r="AB63" s="7" t="str">
        <f>Tab_Data_Flows[[#This Row],[Flow_ID]]&amp;"_"&amp;"DM_"&amp;Tab_Data_Flows[[#This Row],[Flow_Data_Year]]</f>
        <v>F_13_00_DM_2020</v>
      </c>
      <c r="AC63" s="7">
        <f>IF(E63="Yes",AA63*Tab_Data_Flows[[#This Row],[Flow_Material]],"N.A.")</f>
        <v>10</v>
      </c>
      <c r="AD63" s="7" t="str">
        <f>Tab_Data_Flows[[#This Row],[UoM_Flow_Py]]</f>
        <v>Mg</v>
      </c>
      <c r="AE63" s="156">
        <f>INDEX(Tab_Def_Flows[[Flow_ID]:[CC_DM_source]],MATCH(Tab_Data_Flows[[#This Row],[Flow_Name]],Tab_Def_Flows[Flow_Name],0),17)</f>
        <v>1</v>
      </c>
      <c r="AF63" s="7" t="str">
        <f>Tab_Data_Flows[[#This Row],[Flow_ID]]&amp;"_"&amp;"CC_"&amp;Tab_Data_Flows[[#This Row],[Flow_Data_Year]]</f>
        <v>F_13_00_CC_2020</v>
      </c>
      <c r="AG63" s="7">
        <f>IF(F63="Yes",AE63*Tab_Data_Flows[[#This Row],[Flow_Material]]*Tab_Data_Flows[[#This Row],[DM_'[%']]],"N.A.")</f>
        <v>10</v>
      </c>
      <c r="AH63" s="7" t="str">
        <f>Tab_Data_Flows[[#This Row],[UoM_Flow_Py]]</f>
        <v>Mg</v>
      </c>
      <c r="AI63"/>
    </row>
    <row r="64" spans="1:35" x14ac:dyDescent="0.25">
      <c r="A64" s="9">
        <f t="shared" si="1"/>
        <v>63</v>
      </c>
      <c r="B64" s="7" t="str">
        <f>_xlfn.XLOOKUP(C64,Tab_Def_Flows[Flow_Name],Tab_Def_Flows[Flow_ID],,0,)</f>
        <v>F_13_00</v>
      </c>
      <c r="C64" s="8" t="s">
        <v>738</v>
      </c>
      <c r="D64" s="10" t="str">
        <f>_xlfn.XLOOKUP(C64,Tab_Def_Flows[Flow_Name],Tab_Def_Flows[WC?],,0,)</f>
        <v>Yes</v>
      </c>
      <c r="E64" s="10" t="str">
        <f>_xlfn.XLOOKUP(C64,Tab_Def_Flows[Flow_Name],Tab_Def_Flows[DM?],,0,)</f>
        <v>Yes</v>
      </c>
      <c r="F64" s="10" t="str">
        <f>_xlfn.XLOOKUP(C64,Tab_Def_Flows[Flow_Name],Tab_Def_Flows[CC?],,0,)</f>
        <v>Yes</v>
      </c>
      <c r="G64" s="8">
        <v>2021</v>
      </c>
      <c r="H64" s="28">
        <v>10</v>
      </c>
      <c r="I64" s="8"/>
      <c r="J64" s="8"/>
      <c r="K64" s="8"/>
      <c r="L64" s="8"/>
      <c r="M64" s="8"/>
      <c r="N64" s="8"/>
      <c r="O64" s="8"/>
      <c r="P64" s="8"/>
      <c r="Q64" s="8" t="s">
        <v>8</v>
      </c>
      <c r="R64" s="21"/>
      <c r="S64" s="8"/>
      <c r="T64" s="7" t="str">
        <f>Tab_Data_Flows[[#This Row],[Flow_ID]]&amp;"_"&amp;"material_"&amp;Tab_Data_Flows[[#This Row],[Flow_Data_Year]]</f>
        <v>F_13_00_material_2021</v>
      </c>
      <c r="U64" s="18">
        <f t="shared" si="2"/>
        <v>10</v>
      </c>
      <c r="V64" s="8" t="s">
        <v>218</v>
      </c>
      <c r="W64" s="156">
        <f>INDEX(Tab_Def_Flows[[Flow_ID]:[CC_DM_source]],MATCH(Tab_Data_Flows[[#This Row],[Flow_Name]],Tab_Def_Flows[Flow_Name],0),11)</f>
        <v>0</v>
      </c>
      <c r="X64" s="7" t="str">
        <f>Tab_Data_Flows[[#This Row],[Flow_ID]]&amp;"_"&amp;"WC_"&amp;Tab_Data_Flows[[#This Row],[Flow_Data_Year]]</f>
        <v>F_13_00_WC_2021</v>
      </c>
      <c r="Y64" s="7">
        <f>IF(D64="Yes",U64*Tab_Data_Flows[[#This Row],[WC_'[%']]],"N.A.")</f>
        <v>0</v>
      </c>
      <c r="Z64" s="7" t="str">
        <f>Tab_Data_Flows[[#This Row],[UoM_Flow_Py]]</f>
        <v>Mg</v>
      </c>
      <c r="AA64" s="156">
        <f>INDEX(Tab_Def_Flows[[Flow_ID]:[CC_DM_source]],MATCH(Tab_Data_Flows[[#This Row],[Flow_Name]],Tab_Def_Flows[Flow_Name],0),14)</f>
        <v>1</v>
      </c>
      <c r="AB64" s="7" t="str">
        <f>Tab_Data_Flows[[#This Row],[Flow_ID]]&amp;"_"&amp;"DM_"&amp;Tab_Data_Flows[[#This Row],[Flow_Data_Year]]</f>
        <v>F_13_00_DM_2021</v>
      </c>
      <c r="AC64" s="7">
        <f>IF(E64="Yes",AA64*Tab_Data_Flows[[#This Row],[Flow_Material]],"N.A.")</f>
        <v>10</v>
      </c>
      <c r="AD64" s="7" t="str">
        <f>Tab_Data_Flows[[#This Row],[UoM_Flow_Py]]</f>
        <v>Mg</v>
      </c>
      <c r="AE64" s="156">
        <f>INDEX(Tab_Def_Flows[[Flow_ID]:[CC_DM_source]],MATCH(Tab_Data_Flows[[#This Row],[Flow_Name]],Tab_Def_Flows[Flow_Name],0),17)</f>
        <v>1</v>
      </c>
      <c r="AF64" s="7" t="str">
        <f>Tab_Data_Flows[[#This Row],[Flow_ID]]&amp;"_"&amp;"CC_"&amp;Tab_Data_Flows[[#This Row],[Flow_Data_Year]]</f>
        <v>F_13_00_CC_2021</v>
      </c>
      <c r="AG64" s="7">
        <f>IF(F64="Yes",AE64*Tab_Data_Flows[[#This Row],[Flow_Material]]*Tab_Data_Flows[[#This Row],[DM_'[%']]],"N.A.")</f>
        <v>10</v>
      </c>
      <c r="AH64" s="7" t="str">
        <f>Tab_Data_Flows[[#This Row],[UoM_Flow_Py]]</f>
        <v>Mg</v>
      </c>
      <c r="AI64"/>
    </row>
    <row r="65" spans="1:35" x14ac:dyDescent="0.25">
      <c r="A65" s="9">
        <f t="shared" si="1"/>
        <v>64</v>
      </c>
      <c r="B65" s="7" t="str">
        <f>_xlfn.XLOOKUP(C65,Tab_Def_Flows[Flow_Name],Tab_Def_Flows[Flow_ID],,0,)</f>
        <v>F_13_00</v>
      </c>
      <c r="C65" s="8" t="s">
        <v>738</v>
      </c>
      <c r="D65" s="10" t="str">
        <f>_xlfn.XLOOKUP(C65,Tab_Def_Flows[Flow_Name],Tab_Def_Flows[WC?],,0,)</f>
        <v>Yes</v>
      </c>
      <c r="E65" s="10" t="str">
        <f>_xlfn.XLOOKUP(C65,Tab_Def_Flows[Flow_Name],Tab_Def_Flows[DM?],,0,)</f>
        <v>Yes</v>
      </c>
      <c r="F65" s="10" t="str">
        <f>_xlfn.XLOOKUP(C65,Tab_Def_Flows[Flow_Name],Tab_Def_Flows[CC?],,0,)</f>
        <v>Yes</v>
      </c>
      <c r="G65" s="8">
        <v>2022</v>
      </c>
      <c r="H65" s="28">
        <v>10</v>
      </c>
      <c r="I65" s="8"/>
      <c r="J65" s="8"/>
      <c r="K65" s="8"/>
      <c r="L65" s="8"/>
      <c r="M65" s="8"/>
      <c r="N65" s="8"/>
      <c r="O65" s="8"/>
      <c r="P65" s="8"/>
      <c r="Q65" s="8" t="s">
        <v>8</v>
      </c>
      <c r="R65" s="21"/>
      <c r="S65" s="8"/>
      <c r="T65" s="7" t="str">
        <f>Tab_Data_Flows[[#This Row],[Flow_ID]]&amp;"_"&amp;"material_"&amp;Tab_Data_Flows[[#This Row],[Flow_Data_Year]]</f>
        <v>F_13_00_material_2022</v>
      </c>
      <c r="U65" s="18">
        <f t="shared" si="2"/>
        <v>10</v>
      </c>
      <c r="V65" s="8" t="s">
        <v>218</v>
      </c>
      <c r="W65" s="156">
        <f>INDEX(Tab_Def_Flows[[Flow_ID]:[CC_DM_source]],MATCH(Tab_Data_Flows[[#This Row],[Flow_Name]],Tab_Def_Flows[Flow_Name],0),11)</f>
        <v>0</v>
      </c>
      <c r="X65" s="7" t="str">
        <f>Tab_Data_Flows[[#This Row],[Flow_ID]]&amp;"_"&amp;"WC_"&amp;Tab_Data_Flows[[#This Row],[Flow_Data_Year]]</f>
        <v>F_13_00_WC_2022</v>
      </c>
      <c r="Y65" s="7">
        <f>IF(D65="Yes",U65*Tab_Data_Flows[[#This Row],[WC_'[%']]],"N.A.")</f>
        <v>0</v>
      </c>
      <c r="Z65" s="7" t="str">
        <f>Tab_Data_Flows[[#This Row],[UoM_Flow_Py]]</f>
        <v>Mg</v>
      </c>
      <c r="AA65" s="156">
        <f>INDEX(Tab_Def_Flows[[Flow_ID]:[CC_DM_source]],MATCH(Tab_Data_Flows[[#This Row],[Flow_Name]],Tab_Def_Flows[Flow_Name],0),14)</f>
        <v>1</v>
      </c>
      <c r="AB65" s="7" t="str">
        <f>Tab_Data_Flows[[#This Row],[Flow_ID]]&amp;"_"&amp;"DM_"&amp;Tab_Data_Flows[[#This Row],[Flow_Data_Year]]</f>
        <v>F_13_00_DM_2022</v>
      </c>
      <c r="AC65" s="7">
        <f>IF(E65="Yes",AA65*Tab_Data_Flows[[#This Row],[Flow_Material]],"N.A.")</f>
        <v>10</v>
      </c>
      <c r="AD65" s="7" t="str">
        <f>Tab_Data_Flows[[#This Row],[UoM_Flow_Py]]</f>
        <v>Mg</v>
      </c>
      <c r="AE65" s="156">
        <f>INDEX(Tab_Def_Flows[[Flow_ID]:[CC_DM_source]],MATCH(Tab_Data_Flows[[#This Row],[Flow_Name]],Tab_Def_Flows[Flow_Name],0),17)</f>
        <v>1</v>
      </c>
      <c r="AF65" s="7" t="str">
        <f>Tab_Data_Flows[[#This Row],[Flow_ID]]&amp;"_"&amp;"CC_"&amp;Tab_Data_Flows[[#This Row],[Flow_Data_Year]]</f>
        <v>F_13_00_CC_2022</v>
      </c>
      <c r="AG65" s="7">
        <f>IF(F65="Yes",AE65*Tab_Data_Flows[[#This Row],[Flow_Material]]*Tab_Data_Flows[[#This Row],[DM_'[%']]],"N.A.")</f>
        <v>10</v>
      </c>
      <c r="AH65" s="7" t="str">
        <f>Tab_Data_Flows[[#This Row],[UoM_Flow_Py]]</f>
        <v>Mg</v>
      </c>
      <c r="AI65"/>
    </row>
    <row r="66" spans="1:35" x14ac:dyDescent="0.25">
      <c r="A66" s="9">
        <f t="shared" si="1"/>
        <v>65</v>
      </c>
      <c r="B66" s="7" t="str">
        <f>_xlfn.XLOOKUP(C66,Tab_Def_Flows[Flow_Name],Tab_Def_Flows[Flow_ID],,0,)</f>
        <v>F_13_00</v>
      </c>
      <c r="C66" s="8" t="s">
        <v>738</v>
      </c>
      <c r="D66" s="10" t="str">
        <f>_xlfn.XLOOKUP(C66,Tab_Def_Flows[Flow_Name],Tab_Def_Flows[WC?],,0,)</f>
        <v>Yes</v>
      </c>
      <c r="E66" s="10" t="str">
        <f>_xlfn.XLOOKUP(C66,Tab_Def_Flows[Flow_Name],Tab_Def_Flows[DM?],,0,)</f>
        <v>Yes</v>
      </c>
      <c r="F66" s="10" t="str">
        <f>_xlfn.XLOOKUP(C66,Tab_Def_Flows[Flow_Name],Tab_Def_Flows[CC?],,0,)</f>
        <v>Yes</v>
      </c>
      <c r="G66" s="8">
        <v>2023</v>
      </c>
      <c r="H66" s="28">
        <v>10</v>
      </c>
      <c r="I66" s="8"/>
      <c r="J66" s="8"/>
      <c r="K66" s="8"/>
      <c r="L66" s="8"/>
      <c r="M66" s="8"/>
      <c r="N66" s="8"/>
      <c r="O66" s="8"/>
      <c r="P66" s="8"/>
      <c r="Q66" s="8" t="s">
        <v>8</v>
      </c>
      <c r="R66" s="21"/>
      <c r="S66" s="8"/>
      <c r="T66" s="7" t="str">
        <f>Tab_Data_Flows[[#This Row],[Flow_ID]]&amp;"_"&amp;"material_"&amp;Tab_Data_Flows[[#This Row],[Flow_Data_Year]]</f>
        <v>F_13_00_material_2023</v>
      </c>
      <c r="U66" s="18">
        <f t="shared" si="2"/>
        <v>10</v>
      </c>
      <c r="V66" s="8" t="s">
        <v>218</v>
      </c>
      <c r="W66" s="156">
        <f>INDEX(Tab_Def_Flows[[Flow_ID]:[CC_DM_source]],MATCH(Tab_Data_Flows[[#This Row],[Flow_Name]],Tab_Def_Flows[Flow_Name],0),11)</f>
        <v>0</v>
      </c>
      <c r="X66" s="7" t="str">
        <f>Tab_Data_Flows[[#This Row],[Flow_ID]]&amp;"_"&amp;"WC_"&amp;Tab_Data_Flows[[#This Row],[Flow_Data_Year]]</f>
        <v>F_13_00_WC_2023</v>
      </c>
      <c r="Y66" s="7">
        <f>IF(D66="Yes",U66*Tab_Data_Flows[[#This Row],[WC_'[%']]],"N.A.")</f>
        <v>0</v>
      </c>
      <c r="Z66" s="7" t="str">
        <f>Tab_Data_Flows[[#This Row],[UoM_Flow_Py]]</f>
        <v>Mg</v>
      </c>
      <c r="AA66" s="156">
        <f>INDEX(Tab_Def_Flows[[Flow_ID]:[CC_DM_source]],MATCH(Tab_Data_Flows[[#This Row],[Flow_Name]],Tab_Def_Flows[Flow_Name],0),14)</f>
        <v>1</v>
      </c>
      <c r="AB66" s="7" t="str">
        <f>Tab_Data_Flows[[#This Row],[Flow_ID]]&amp;"_"&amp;"DM_"&amp;Tab_Data_Flows[[#This Row],[Flow_Data_Year]]</f>
        <v>F_13_00_DM_2023</v>
      </c>
      <c r="AC66" s="7">
        <f>IF(E66="Yes",AA66*Tab_Data_Flows[[#This Row],[Flow_Material]],"N.A.")</f>
        <v>10</v>
      </c>
      <c r="AD66" s="7" t="str">
        <f>Tab_Data_Flows[[#This Row],[UoM_Flow_Py]]</f>
        <v>Mg</v>
      </c>
      <c r="AE66" s="156">
        <f>INDEX(Tab_Def_Flows[[Flow_ID]:[CC_DM_source]],MATCH(Tab_Data_Flows[[#This Row],[Flow_Name]],Tab_Def_Flows[Flow_Name],0),17)</f>
        <v>1</v>
      </c>
      <c r="AF66" s="7" t="str">
        <f>Tab_Data_Flows[[#This Row],[Flow_ID]]&amp;"_"&amp;"CC_"&amp;Tab_Data_Flows[[#This Row],[Flow_Data_Year]]</f>
        <v>F_13_00_CC_2023</v>
      </c>
      <c r="AG66" s="7">
        <f>IF(F66="Yes",AE66*Tab_Data_Flows[[#This Row],[Flow_Material]]*Tab_Data_Flows[[#This Row],[DM_'[%']]],"N.A.")</f>
        <v>10</v>
      </c>
      <c r="AH66" s="7" t="str">
        <f>Tab_Data_Flows[[#This Row],[UoM_Flow_Py]]</f>
        <v>Mg</v>
      </c>
      <c r="AI66"/>
    </row>
    <row r="67" spans="1:35" x14ac:dyDescent="0.25">
      <c r="A67" s="9">
        <f t="shared" ref="A67:A130" si="3">ROW()-1</f>
        <v>66</v>
      </c>
      <c r="B67" s="7" t="str">
        <f>_xlfn.XLOOKUP(C67,Tab_Def_Flows[Flow_Name],Tab_Def_Flows[Flow_ID],,0,)</f>
        <v>F_13_00</v>
      </c>
      <c r="C67" s="8" t="s">
        <v>738</v>
      </c>
      <c r="D67" s="10" t="str">
        <f>_xlfn.XLOOKUP(C67,Tab_Def_Flows[Flow_Name],Tab_Def_Flows[WC?],,0,)</f>
        <v>Yes</v>
      </c>
      <c r="E67" s="10" t="str">
        <f>_xlfn.XLOOKUP(C67,Tab_Def_Flows[Flow_Name],Tab_Def_Flows[DM?],,0,)</f>
        <v>Yes</v>
      </c>
      <c r="F67" s="10" t="str">
        <f>_xlfn.XLOOKUP(C67,Tab_Def_Flows[Flow_Name],Tab_Def_Flows[CC?],,0,)</f>
        <v>Yes</v>
      </c>
      <c r="G67" s="8">
        <v>2024</v>
      </c>
      <c r="H67" s="28">
        <v>10</v>
      </c>
      <c r="I67" s="8"/>
      <c r="J67" s="8"/>
      <c r="K67" s="8" t="e">
        <f>INDEX(#REF!,MATCH(Tab_Data_Flows[[#This Row],[Flow_Name]],#REF!,0),12)</f>
        <v>#REF!</v>
      </c>
      <c r="L67" s="8" t="e">
        <f>MATCH(Tab_Data_Flows[[#This Row],[Flow_Name]],#REF!,0)</f>
        <v>#REF!</v>
      </c>
      <c r="M67" s="8"/>
      <c r="N67" s="8"/>
      <c r="O67" s="8"/>
      <c r="P67" s="8"/>
      <c r="Q67" s="8" t="s">
        <v>8</v>
      </c>
      <c r="R67" s="8"/>
      <c r="S67" s="8"/>
      <c r="T67" s="7" t="str">
        <f>Tab_Data_Flows[[#This Row],[Flow_ID]]&amp;"_"&amp;"material_"&amp;Tab_Data_Flows[[#This Row],[Flow_Data_Year]]</f>
        <v>F_13_00_material_2024</v>
      </c>
      <c r="U67" s="18">
        <f t="shared" ref="U67:U130" si="4">IF(Q67="no",H67,H67*R67)</f>
        <v>10</v>
      </c>
      <c r="V67" s="8" t="s">
        <v>218</v>
      </c>
      <c r="W67" s="156">
        <f>INDEX(Tab_Def_Flows[[Flow_ID]:[CC_DM_source]],MATCH(Tab_Data_Flows[[#This Row],[Flow_Name]],Tab_Def_Flows[Flow_Name],0),11)</f>
        <v>0</v>
      </c>
      <c r="X67" s="7" t="str">
        <f>Tab_Data_Flows[[#This Row],[Flow_ID]]&amp;"_"&amp;"WC_"&amp;Tab_Data_Flows[[#This Row],[Flow_Data_Year]]</f>
        <v>F_13_00_WC_2024</v>
      </c>
      <c r="Y67" s="7">
        <f>IF(D67="Yes",U67*Tab_Data_Flows[[#This Row],[WC_'[%']]],"N.A.")</f>
        <v>0</v>
      </c>
      <c r="Z67" s="7" t="str">
        <f>Tab_Data_Flows[[#This Row],[UoM_Flow_Py]]</f>
        <v>Mg</v>
      </c>
      <c r="AA67" s="156">
        <f>INDEX(Tab_Def_Flows[[Flow_ID]:[CC_DM_source]],MATCH(Tab_Data_Flows[[#This Row],[Flow_Name]],Tab_Def_Flows[Flow_Name],0),14)</f>
        <v>1</v>
      </c>
      <c r="AB67" s="7" t="str">
        <f>Tab_Data_Flows[[#This Row],[Flow_ID]]&amp;"_"&amp;"DM_"&amp;Tab_Data_Flows[[#This Row],[Flow_Data_Year]]</f>
        <v>F_13_00_DM_2024</v>
      </c>
      <c r="AC67" s="7">
        <f>IF(E67="Yes",AA67*Tab_Data_Flows[[#This Row],[Flow_Material]],"N.A.")</f>
        <v>10</v>
      </c>
      <c r="AD67" s="7" t="str">
        <f>Tab_Data_Flows[[#This Row],[UoM_Flow_Py]]</f>
        <v>Mg</v>
      </c>
      <c r="AE67" s="156">
        <f>INDEX(Tab_Def_Flows[[Flow_ID]:[CC_DM_source]],MATCH(Tab_Data_Flows[[#This Row],[Flow_Name]],Tab_Def_Flows[Flow_Name],0),17)</f>
        <v>1</v>
      </c>
      <c r="AF67" s="7" t="str">
        <f>Tab_Data_Flows[[#This Row],[Flow_ID]]&amp;"_"&amp;"CC_"&amp;Tab_Data_Flows[[#This Row],[Flow_Data_Year]]</f>
        <v>F_13_00_CC_2024</v>
      </c>
      <c r="AG67" s="7">
        <f>IF(F67="Yes",AE67*Tab_Data_Flows[[#This Row],[Flow_Material]]*Tab_Data_Flows[[#This Row],[DM_'[%']]],"N.A.")</f>
        <v>10</v>
      </c>
      <c r="AH67" s="7" t="str">
        <f>Tab_Data_Flows[[#This Row],[UoM_Flow_Py]]</f>
        <v>Mg</v>
      </c>
      <c r="AI67"/>
    </row>
    <row r="68" spans="1:35" x14ac:dyDescent="0.25">
      <c r="A68" s="9">
        <f t="shared" si="3"/>
        <v>67</v>
      </c>
      <c r="B68" s="7" t="str">
        <f>_xlfn.XLOOKUP(C68,Tab_Def_Flows[Flow_Name],Tab_Def_Flows[Flow_ID],,0,)</f>
        <v>F_13_00</v>
      </c>
      <c r="C68" s="8" t="s">
        <v>738</v>
      </c>
      <c r="D68" s="10" t="str">
        <f>_xlfn.XLOOKUP(C68,Tab_Def_Flows[Flow_Name],Tab_Def_Flows[WC?],,0,)</f>
        <v>Yes</v>
      </c>
      <c r="E68" s="10" t="str">
        <f>_xlfn.XLOOKUP(C68,Tab_Def_Flows[Flow_Name],Tab_Def_Flows[DM?],,0,)</f>
        <v>Yes</v>
      </c>
      <c r="F68" s="10" t="str">
        <f>_xlfn.XLOOKUP(C68,Tab_Def_Flows[Flow_Name],Tab_Def_Flows[CC?],,0,)</f>
        <v>Yes</v>
      </c>
      <c r="G68" s="8">
        <v>2025</v>
      </c>
      <c r="H68" s="28">
        <v>10</v>
      </c>
      <c r="I68" s="8"/>
      <c r="J68" s="8"/>
      <c r="K68" s="8" t="e">
        <f>INDEX(#REF!,MATCH(Tab_Data_Flows[[#This Row],[Flow_Name]],#REF!,0),12)</f>
        <v>#REF!</v>
      </c>
      <c r="L68" s="8" t="e">
        <f>MATCH(Tab_Data_Flows[[#This Row],[Flow_Name]],#REF!,0)</f>
        <v>#REF!</v>
      </c>
      <c r="M68" s="8"/>
      <c r="N68" s="8"/>
      <c r="O68" s="8"/>
      <c r="P68" s="8"/>
      <c r="Q68" s="8" t="s">
        <v>8</v>
      </c>
      <c r="R68" s="8"/>
      <c r="S68" s="8"/>
      <c r="T68" s="7" t="str">
        <f>Tab_Data_Flows[[#This Row],[Flow_ID]]&amp;"_"&amp;"material_"&amp;Tab_Data_Flows[[#This Row],[Flow_Data_Year]]</f>
        <v>F_13_00_material_2025</v>
      </c>
      <c r="U68" s="18">
        <f t="shared" si="4"/>
        <v>10</v>
      </c>
      <c r="V68" s="8" t="s">
        <v>218</v>
      </c>
      <c r="W68" s="156">
        <f>INDEX(Tab_Def_Flows[[Flow_ID]:[CC_DM_source]],MATCH(Tab_Data_Flows[[#This Row],[Flow_Name]],Tab_Def_Flows[Flow_Name],0),11)</f>
        <v>0</v>
      </c>
      <c r="X68" s="7" t="str">
        <f>Tab_Data_Flows[[#This Row],[Flow_ID]]&amp;"_"&amp;"WC_"&amp;Tab_Data_Flows[[#This Row],[Flow_Data_Year]]</f>
        <v>F_13_00_WC_2025</v>
      </c>
      <c r="Y68" s="7">
        <f>IF(D68="Yes",U68*Tab_Data_Flows[[#This Row],[WC_'[%']]],"N.A.")</f>
        <v>0</v>
      </c>
      <c r="Z68" s="7" t="str">
        <f>Tab_Data_Flows[[#This Row],[UoM_Flow_Py]]</f>
        <v>Mg</v>
      </c>
      <c r="AA68" s="156">
        <f>INDEX(Tab_Def_Flows[[Flow_ID]:[CC_DM_source]],MATCH(Tab_Data_Flows[[#This Row],[Flow_Name]],Tab_Def_Flows[Flow_Name],0),14)</f>
        <v>1</v>
      </c>
      <c r="AB68" s="7" t="str">
        <f>Tab_Data_Flows[[#This Row],[Flow_ID]]&amp;"_"&amp;"DM_"&amp;Tab_Data_Flows[[#This Row],[Flow_Data_Year]]</f>
        <v>F_13_00_DM_2025</v>
      </c>
      <c r="AC68" s="7">
        <f>IF(E68="Yes",AA68*Tab_Data_Flows[[#This Row],[Flow_Material]],"N.A.")</f>
        <v>10</v>
      </c>
      <c r="AD68" s="7" t="str">
        <f>Tab_Data_Flows[[#This Row],[UoM_Flow_Py]]</f>
        <v>Mg</v>
      </c>
      <c r="AE68" s="156">
        <f>INDEX(Tab_Def_Flows[[Flow_ID]:[CC_DM_source]],MATCH(Tab_Data_Flows[[#This Row],[Flow_Name]],Tab_Def_Flows[Flow_Name],0),17)</f>
        <v>1</v>
      </c>
      <c r="AF68" s="7" t="str">
        <f>Tab_Data_Flows[[#This Row],[Flow_ID]]&amp;"_"&amp;"CC_"&amp;Tab_Data_Flows[[#This Row],[Flow_Data_Year]]</f>
        <v>F_13_00_CC_2025</v>
      </c>
      <c r="AG68" s="7">
        <f>IF(F68="Yes",AE68*Tab_Data_Flows[[#This Row],[Flow_Material]]*Tab_Data_Flows[[#This Row],[DM_'[%']]],"N.A.")</f>
        <v>10</v>
      </c>
      <c r="AH68" s="7" t="str">
        <f>Tab_Data_Flows[[#This Row],[UoM_Flow_Py]]</f>
        <v>Mg</v>
      </c>
      <c r="AI68"/>
    </row>
    <row r="69" spans="1:35" x14ac:dyDescent="0.25">
      <c r="A69" s="9">
        <f t="shared" si="3"/>
        <v>68</v>
      </c>
      <c r="B69" s="7" t="str">
        <f>_xlfn.XLOOKUP(C69,Tab_Def_Flows[Flow_Name],Tab_Def_Flows[Flow_ID],,0,)</f>
        <v>F_13_00</v>
      </c>
      <c r="C69" s="8" t="s">
        <v>738</v>
      </c>
      <c r="D69" s="10" t="str">
        <f>_xlfn.XLOOKUP(C69,Tab_Def_Flows[Flow_Name],Tab_Def_Flows[WC?],,0,)</f>
        <v>Yes</v>
      </c>
      <c r="E69" s="10" t="str">
        <f>_xlfn.XLOOKUP(C69,Tab_Def_Flows[Flow_Name],Tab_Def_Flows[DM?],,0,)</f>
        <v>Yes</v>
      </c>
      <c r="F69" s="10" t="str">
        <f>_xlfn.XLOOKUP(C69,Tab_Def_Flows[Flow_Name],Tab_Def_Flows[CC?],,0,)</f>
        <v>Yes</v>
      </c>
      <c r="G69" s="8">
        <v>2026</v>
      </c>
      <c r="H69" s="28">
        <v>10</v>
      </c>
      <c r="I69" s="8"/>
      <c r="J69" s="8"/>
      <c r="K69" s="8" t="e">
        <f>INDEX(#REF!,MATCH(Tab_Data_Flows[[#This Row],[Flow_Name]],#REF!,0),12)</f>
        <v>#REF!</v>
      </c>
      <c r="L69" s="8" t="e">
        <f>MATCH(Tab_Data_Flows[[#This Row],[Flow_Name]],#REF!,0)</f>
        <v>#REF!</v>
      </c>
      <c r="M69" s="8"/>
      <c r="N69" s="8"/>
      <c r="O69" s="8"/>
      <c r="P69" s="8"/>
      <c r="Q69" s="8" t="s">
        <v>8</v>
      </c>
      <c r="R69" s="8"/>
      <c r="S69" s="8"/>
      <c r="T69" s="7" t="str">
        <f>Tab_Data_Flows[[#This Row],[Flow_ID]]&amp;"_"&amp;"material_"&amp;Tab_Data_Flows[[#This Row],[Flow_Data_Year]]</f>
        <v>F_13_00_material_2026</v>
      </c>
      <c r="U69" s="18">
        <f t="shared" si="4"/>
        <v>10</v>
      </c>
      <c r="V69" s="8" t="s">
        <v>218</v>
      </c>
      <c r="W69" s="156">
        <f>INDEX(Tab_Def_Flows[[Flow_ID]:[CC_DM_source]],MATCH(Tab_Data_Flows[[#This Row],[Flow_Name]],Tab_Def_Flows[Flow_Name],0),11)</f>
        <v>0</v>
      </c>
      <c r="X69" s="7" t="str">
        <f>Tab_Data_Flows[[#This Row],[Flow_ID]]&amp;"_"&amp;"WC_"&amp;Tab_Data_Flows[[#This Row],[Flow_Data_Year]]</f>
        <v>F_13_00_WC_2026</v>
      </c>
      <c r="Y69" s="7">
        <f>IF(D69="Yes",U69*Tab_Data_Flows[[#This Row],[WC_'[%']]],"N.A.")</f>
        <v>0</v>
      </c>
      <c r="Z69" s="7" t="str">
        <f>Tab_Data_Flows[[#This Row],[UoM_Flow_Py]]</f>
        <v>Mg</v>
      </c>
      <c r="AA69" s="156">
        <f>INDEX(Tab_Def_Flows[[Flow_ID]:[CC_DM_source]],MATCH(Tab_Data_Flows[[#This Row],[Flow_Name]],Tab_Def_Flows[Flow_Name],0),14)</f>
        <v>1</v>
      </c>
      <c r="AB69" s="7" t="str">
        <f>Tab_Data_Flows[[#This Row],[Flow_ID]]&amp;"_"&amp;"DM_"&amp;Tab_Data_Flows[[#This Row],[Flow_Data_Year]]</f>
        <v>F_13_00_DM_2026</v>
      </c>
      <c r="AC69" s="7">
        <f>IF(E69="Yes",AA69*Tab_Data_Flows[[#This Row],[Flow_Material]],"N.A.")</f>
        <v>10</v>
      </c>
      <c r="AD69" s="7" t="str">
        <f>Tab_Data_Flows[[#This Row],[UoM_Flow_Py]]</f>
        <v>Mg</v>
      </c>
      <c r="AE69" s="156">
        <f>INDEX(Tab_Def_Flows[[Flow_ID]:[CC_DM_source]],MATCH(Tab_Data_Flows[[#This Row],[Flow_Name]],Tab_Def_Flows[Flow_Name],0),17)</f>
        <v>1</v>
      </c>
      <c r="AF69" s="7" t="str">
        <f>Tab_Data_Flows[[#This Row],[Flow_ID]]&amp;"_"&amp;"CC_"&amp;Tab_Data_Flows[[#This Row],[Flow_Data_Year]]</f>
        <v>F_13_00_CC_2026</v>
      </c>
      <c r="AG69" s="7">
        <f>IF(F69="Yes",AE69*Tab_Data_Flows[[#This Row],[Flow_Material]]*Tab_Data_Flows[[#This Row],[DM_'[%']]],"N.A.")</f>
        <v>10</v>
      </c>
      <c r="AH69" s="7" t="str">
        <f>Tab_Data_Flows[[#This Row],[UoM_Flow_Py]]</f>
        <v>Mg</v>
      </c>
      <c r="AI69"/>
    </row>
    <row r="70" spans="1:35" x14ac:dyDescent="0.25">
      <c r="A70" s="9">
        <f t="shared" si="3"/>
        <v>69</v>
      </c>
      <c r="B70" s="7" t="str">
        <f>_xlfn.XLOOKUP(C70,Tab_Def_Flows[Flow_Name],Tab_Def_Flows[Flow_ID],,0,)</f>
        <v>F_13_00</v>
      </c>
      <c r="C70" s="8" t="s">
        <v>738</v>
      </c>
      <c r="D70" s="10" t="str">
        <f>_xlfn.XLOOKUP(C70,Tab_Def_Flows[Flow_Name],Tab_Def_Flows[WC?],,0,)</f>
        <v>Yes</v>
      </c>
      <c r="E70" s="10" t="str">
        <f>_xlfn.XLOOKUP(C70,Tab_Def_Flows[Flow_Name],Tab_Def_Flows[DM?],,0,)</f>
        <v>Yes</v>
      </c>
      <c r="F70" s="10" t="str">
        <f>_xlfn.XLOOKUP(C70,Tab_Def_Flows[Flow_Name],Tab_Def_Flows[CC?],,0,)</f>
        <v>Yes</v>
      </c>
      <c r="G70" s="8">
        <v>2027</v>
      </c>
      <c r="H70" s="28">
        <v>10</v>
      </c>
      <c r="I70" s="8"/>
      <c r="J70" s="8"/>
      <c r="K70" s="8" t="e">
        <f>INDEX(#REF!,MATCH(Tab_Data_Flows[[#This Row],[Flow_Name]],#REF!,0),12)</f>
        <v>#REF!</v>
      </c>
      <c r="L70" s="8" t="e">
        <f>MATCH(Tab_Data_Flows[[#This Row],[Flow_Name]],#REF!,0)</f>
        <v>#REF!</v>
      </c>
      <c r="M70" s="8"/>
      <c r="N70" s="8"/>
      <c r="O70" s="8"/>
      <c r="P70" s="8"/>
      <c r="Q70" s="8" t="s">
        <v>8</v>
      </c>
      <c r="R70" s="8"/>
      <c r="S70" s="8"/>
      <c r="T70" s="7" t="str">
        <f>Tab_Data_Flows[[#This Row],[Flow_ID]]&amp;"_"&amp;"material_"&amp;Tab_Data_Flows[[#This Row],[Flow_Data_Year]]</f>
        <v>F_13_00_material_2027</v>
      </c>
      <c r="U70" s="18">
        <f t="shared" si="4"/>
        <v>10</v>
      </c>
      <c r="V70" s="8" t="s">
        <v>218</v>
      </c>
      <c r="W70" s="156">
        <f>INDEX(Tab_Def_Flows[[Flow_ID]:[CC_DM_source]],MATCH(Tab_Data_Flows[[#This Row],[Flow_Name]],Tab_Def_Flows[Flow_Name],0),11)</f>
        <v>0</v>
      </c>
      <c r="X70" s="7" t="str">
        <f>Tab_Data_Flows[[#This Row],[Flow_ID]]&amp;"_"&amp;"WC_"&amp;Tab_Data_Flows[[#This Row],[Flow_Data_Year]]</f>
        <v>F_13_00_WC_2027</v>
      </c>
      <c r="Y70" s="7">
        <f>IF(D70="Yes",U70*Tab_Data_Flows[[#This Row],[WC_'[%']]],"N.A.")</f>
        <v>0</v>
      </c>
      <c r="Z70" s="7" t="str">
        <f>Tab_Data_Flows[[#This Row],[UoM_Flow_Py]]</f>
        <v>Mg</v>
      </c>
      <c r="AA70" s="156">
        <f>INDEX(Tab_Def_Flows[[Flow_ID]:[CC_DM_source]],MATCH(Tab_Data_Flows[[#This Row],[Flow_Name]],Tab_Def_Flows[Flow_Name],0),14)</f>
        <v>1</v>
      </c>
      <c r="AB70" s="7" t="str">
        <f>Tab_Data_Flows[[#This Row],[Flow_ID]]&amp;"_"&amp;"DM_"&amp;Tab_Data_Flows[[#This Row],[Flow_Data_Year]]</f>
        <v>F_13_00_DM_2027</v>
      </c>
      <c r="AC70" s="7">
        <f>IF(E70="Yes",AA70*Tab_Data_Flows[[#This Row],[Flow_Material]],"N.A.")</f>
        <v>10</v>
      </c>
      <c r="AD70" s="7" t="str">
        <f>Tab_Data_Flows[[#This Row],[UoM_Flow_Py]]</f>
        <v>Mg</v>
      </c>
      <c r="AE70" s="156">
        <f>INDEX(Tab_Def_Flows[[Flow_ID]:[CC_DM_source]],MATCH(Tab_Data_Flows[[#This Row],[Flow_Name]],Tab_Def_Flows[Flow_Name],0),17)</f>
        <v>1</v>
      </c>
      <c r="AF70" s="7" t="str">
        <f>Tab_Data_Flows[[#This Row],[Flow_ID]]&amp;"_"&amp;"CC_"&amp;Tab_Data_Flows[[#This Row],[Flow_Data_Year]]</f>
        <v>F_13_00_CC_2027</v>
      </c>
      <c r="AG70" s="7">
        <f>IF(F70="Yes",AE70*Tab_Data_Flows[[#This Row],[Flow_Material]]*Tab_Data_Flows[[#This Row],[DM_'[%']]],"N.A.")</f>
        <v>10</v>
      </c>
      <c r="AH70" s="7" t="str">
        <f>Tab_Data_Flows[[#This Row],[UoM_Flow_Py]]</f>
        <v>Mg</v>
      </c>
      <c r="AI70"/>
    </row>
    <row r="71" spans="1:35" x14ac:dyDescent="0.25">
      <c r="A71" s="9">
        <f t="shared" si="3"/>
        <v>70</v>
      </c>
      <c r="B71" s="7" t="str">
        <f>_xlfn.XLOOKUP(C71,Tab_Def_Flows[Flow_Name],Tab_Def_Flows[Flow_ID],,0,)</f>
        <v>F_13_00</v>
      </c>
      <c r="C71" s="8" t="s">
        <v>738</v>
      </c>
      <c r="D71" s="10" t="str">
        <f>_xlfn.XLOOKUP(C71,Tab_Def_Flows[Flow_Name],Tab_Def_Flows[WC?],,0,)</f>
        <v>Yes</v>
      </c>
      <c r="E71" s="10" t="str">
        <f>_xlfn.XLOOKUP(C71,Tab_Def_Flows[Flow_Name],Tab_Def_Flows[DM?],,0,)</f>
        <v>Yes</v>
      </c>
      <c r="F71" s="10" t="str">
        <f>_xlfn.XLOOKUP(C71,Tab_Def_Flows[Flow_Name],Tab_Def_Flows[CC?],,0,)</f>
        <v>Yes</v>
      </c>
      <c r="G71" s="8">
        <v>2028</v>
      </c>
      <c r="H71" s="28">
        <v>10</v>
      </c>
      <c r="I71" s="8"/>
      <c r="J71" s="8"/>
      <c r="K71" s="8" t="e">
        <f>INDEX(#REF!,MATCH(Tab_Data_Flows[[#This Row],[Flow_Name]],#REF!,0),12)</f>
        <v>#REF!</v>
      </c>
      <c r="L71" s="8" t="e">
        <f>MATCH(Tab_Data_Flows[[#This Row],[Flow_Name]],#REF!,0)</f>
        <v>#REF!</v>
      </c>
      <c r="M71" s="8"/>
      <c r="N71" s="8"/>
      <c r="O71" s="8"/>
      <c r="P71" s="8"/>
      <c r="Q71" s="8" t="s">
        <v>8</v>
      </c>
      <c r="R71" s="8"/>
      <c r="S71" s="8"/>
      <c r="T71" s="7" t="str">
        <f>Tab_Data_Flows[[#This Row],[Flow_ID]]&amp;"_"&amp;"material_"&amp;Tab_Data_Flows[[#This Row],[Flow_Data_Year]]</f>
        <v>F_13_00_material_2028</v>
      </c>
      <c r="U71" s="18">
        <f t="shared" si="4"/>
        <v>10</v>
      </c>
      <c r="V71" s="8" t="s">
        <v>218</v>
      </c>
      <c r="W71" s="156">
        <f>INDEX(Tab_Def_Flows[[Flow_ID]:[CC_DM_source]],MATCH(Tab_Data_Flows[[#This Row],[Flow_Name]],Tab_Def_Flows[Flow_Name],0),11)</f>
        <v>0</v>
      </c>
      <c r="X71" s="7" t="str">
        <f>Tab_Data_Flows[[#This Row],[Flow_ID]]&amp;"_"&amp;"WC_"&amp;Tab_Data_Flows[[#This Row],[Flow_Data_Year]]</f>
        <v>F_13_00_WC_2028</v>
      </c>
      <c r="Y71" s="7">
        <f>IF(D71="Yes",U71*Tab_Data_Flows[[#This Row],[WC_'[%']]],"N.A.")</f>
        <v>0</v>
      </c>
      <c r="Z71" s="7" t="str">
        <f>Tab_Data_Flows[[#This Row],[UoM_Flow_Py]]</f>
        <v>Mg</v>
      </c>
      <c r="AA71" s="156">
        <f>INDEX(Tab_Def_Flows[[Flow_ID]:[CC_DM_source]],MATCH(Tab_Data_Flows[[#This Row],[Flow_Name]],Tab_Def_Flows[Flow_Name],0),14)</f>
        <v>1</v>
      </c>
      <c r="AB71" s="7" t="str">
        <f>Tab_Data_Flows[[#This Row],[Flow_ID]]&amp;"_"&amp;"DM_"&amp;Tab_Data_Flows[[#This Row],[Flow_Data_Year]]</f>
        <v>F_13_00_DM_2028</v>
      </c>
      <c r="AC71" s="7">
        <f>IF(E71="Yes",AA71*Tab_Data_Flows[[#This Row],[Flow_Material]],"N.A.")</f>
        <v>10</v>
      </c>
      <c r="AD71" s="7" t="str">
        <f>Tab_Data_Flows[[#This Row],[UoM_Flow_Py]]</f>
        <v>Mg</v>
      </c>
      <c r="AE71" s="156">
        <f>INDEX(Tab_Def_Flows[[Flow_ID]:[CC_DM_source]],MATCH(Tab_Data_Flows[[#This Row],[Flow_Name]],Tab_Def_Flows[Flow_Name],0),17)</f>
        <v>1</v>
      </c>
      <c r="AF71" s="7" t="str">
        <f>Tab_Data_Flows[[#This Row],[Flow_ID]]&amp;"_"&amp;"CC_"&amp;Tab_Data_Flows[[#This Row],[Flow_Data_Year]]</f>
        <v>F_13_00_CC_2028</v>
      </c>
      <c r="AG71" s="7">
        <f>IF(F71="Yes",AE71*Tab_Data_Flows[[#This Row],[Flow_Material]]*Tab_Data_Flows[[#This Row],[DM_'[%']]],"N.A.")</f>
        <v>10</v>
      </c>
      <c r="AH71" s="7" t="str">
        <f>Tab_Data_Flows[[#This Row],[UoM_Flow_Py]]</f>
        <v>Mg</v>
      </c>
      <c r="AI71"/>
    </row>
    <row r="72" spans="1:35" x14ac:dyDescent="0.25">
      <c r="A72" s="9">
        <f t="shared" si="3"/>
        <v>71</v>
      </c>
      <c r="B72" s="7" t="str">
        <f>_xlfn.XLOOKUP(C72,Tab_Def_Flows[Flow_Name],Tab_Def_Flows[Flow_ID],,0,)</f>
        <v>F_13_00</v>
      </c>
      <c r="C72" s="8" t="s">
        <v>738</v>
      </c>
      <c r="D72" s="10" t="str">
        <f>_xlfn.XLOOKUP(C72,Tab_Def_Flows[Flow_Name],Tab_Def_Flows[WC?],,0,)</f>
        <v>Yes</v>
      </c>
      <c r="E72" s="10" t="str">
        <f>_xlfn.XLOOKUP(C72,Tab_Def_Flows[Flow_Name],Tab_Def_Flows[DM?],,0,)</f>
        <v>Yes</v>
      </c>
      <c r="F72" s="10" t="str">
        <f>_xlfn.XLOOKUP(C72,Tab_Def_Flows[Flow_Name],Tab_Def_Flows[CC?],,0,)</f>
        <v>Yes</v>
      </c>
      <c r="G72" s="8">
        <v>2029</v>
      </c>
      <c r="H72" s="28">
        <v>10</v>
      </c>
      <c r="I72" s="8"/>
      <c r="J72" s="8"/>
      <c r="K72" s="8" t="e">
        <f>INDEX(#REF!,MATCH(Tab_Data_Flows[[#This Row],[Flow_Name]],#REF!,0),12)</f>
        <v>#REF!</v>
      </c>
      <c r="L72" s="8" t="e">
        <f>MATCH(Tab_Data_Flows[[#This Row],[Flow_Name]],#REF!,0)</f>
        <v>#REF!</v>
      </c>
      <c r="M72" s="8"/>
      <c r="N72" s="8"/>
      <c r="O72" s="8"/>
      <c r="P72" s="8"/>
      <c r="Q72" s="8" t="s">
        <v>8</v>
      </c>
      <c r="R72" s="8"/>
      <c r="S72" s="8"/>
      <c r="T72" s="7" t="str">
        <f>Tab_Data_Flows[[#This Row],[Flow_ID]]&amp;"_"&amp;"material_"&amp;Tab_Data_Flows[[#This Row],[Flow_Data_Year]]</f>
        <v>F_13_00_material_2029</v>
      </c>
      <c r="U72" s="18">
        <f t="shared" si="4"/>
        <v>10</v>
      </c>
      <c r="V72" s="8" t="s">
        <v>218</v>
      </c>
      <c r="W72" s="156">
        <f>INDEX(Tab_Def_Flows[[Flow_ID]:[CC_DM_source]],MATCH(Tab_Data_Flows[[#This Row],[Flow_Name]],Tab_Def_Flows[Flow_Name],0),11)</f>
        <v>0</v>
      </c>
      <c r="X72" s="7" t="str">
        <f>Tab_Data_Flows[[#This Row],[Flow_ID]]&amp;"_"&amp;"WC_"&amp;Tab_Data_Flows[[#This Row],[Flow_Data_Year]]</f>
        <v>F_13_00_WC_2029</v>
      </c>
      <c r="Y72" s="7">
        <f>IF(D72="Yes",U72*Tab_Data_Flows[[#This Row],[WC_'[%']]],"N.A.")</f>
        <v>0</v>
      </c>
      <c r="Z72" s="7" t="str">
        <f>Tab_Data_Flows[[#This Row],[UoM_Flow_Py]]</f>
        <v>Mg</v>
      </c>
      <c r="AA72" s="156">
        <f>INDEX(Tab_Def_Flows[[Flow_ID]:[CC_DM_source]],MATCH(Tab_Data_Flows[[#This Row],[Flow_Name]],Tab_Def_Flows[Flow_Name],0),14)</f>
        <v>1</v>
      </c>
      <c r="AB72" s="7" t="str">
        <f>Tab_Data_Flows[[#This Row],[Flow_ID]]&amp;"_"&amp;"DM_"&amp;Tab_Data_Flows[[#This Row],[Flow_Data_Year]]</f>
        <v>F_13_00_DM_2029</v>
      </c>
      <c r="AC72" s="7">
        <f>IF(E72="Yes",AA72*Tab_Data_Flows[[#This Row],[Flow_Material]],"N.A.")</f>
        <v>10</v>
      </c>
      <c r="AD72" s="7" t="str">
        <f>Tab_Data_Flows[[#This Row],[UoM_Flow_Py]]</f>
        <v>Mg</v>
      </c>
      <c r="AE72" s="156">
        <f>INDEX(Tab_Def_Flows[[Flow_ID]:[CC_DM_source]],MATCH(Tab_Data_Flows[[#This Row],[Flow_Name]],Tab_Def_Flows[Flow_Name],0),17)</f>
        <v>1</v>
      </c>
      <c r="AF72" s="7" t="str">
        <f>Tab_Data_Flows[[#This Row],[Flow_ID]]&amp;"_"&amp;"CC_"&amp;Tab_Data_Flows[[#This Row],[Flow_Data_Year]]</f>
        <v>F_13_00_CC_2029</v>
      </c>
      <c r="AG72" s="7">
        <f>IF(F72="Yes",AE72*Tab_Data_Flows[[#This Row],[Flow_Material]]*Tab_Data_Flows[[#This Row],[DM_'[%']]],"N.A.")</f>
        <v>10</v>
      </c>
      <c r="AH72" s="7" t="str">
        <f>Tab_Data_Flows[[#This Row],[UoM_Flow_Py]]</f>
        <v>Mg</v>
      </c>
      <c r="AI72"/>
    </row>
    <row r="73" spans="1:35" x14ac:dyDescent="0.25">
      <c r="A73" s="9">
        <f t="shared" si="3"/>
        <v>72</v>
      </c>
      <c r="B73" s="7" t="str">
        <f>_xlfn.XLOOKUP(C73,Tab_Def_Flows[Flow_Name],Tab_Def_Flows[Flow_ID],,0,)</f>
        <v>F_13_00</v>
      </c>
      <c r="C73" s="8" t="s">
        <v>738</v>
      </c>
      <c r="D73" s="10" t="str">
        <f>_xlfn.XLOOKUP(C73,Tab_Def_Flows[Flow_Name],Tab_Def_Flows[WC?],,0,)</f>
        <v>Yes</v>
      </c>
      <c r="E73" s="10" t="str">
        <f>_xlfn.XLOOKUP(C73,Tab_Def_Flows[Flow_Name],Tab_Def_Flows[DM?],,0,)</f>
        <v>Yes</v>
      </c>
      <c r="F73" s="10" t="str">
        <f>_xlfn.XLOOKUP(C73,Tab_Def_Flows[Flow_Name],Tab_Def_Flows[CC?],,0,)</f>
        <v>Yes</v>
      </c>
      <c r="G73" s="8">
        <v>2030</v>
      </c>
      <c r="H73" s="28">
        <v>10</v>
      </c>
      <c r="I73" s="8"/>
      <c r="J73" s="8"/>
      <c r="K73" s="8" t="e">
        <f>INDEX(#REF!,MATCH(Tab_Data_Flows[[#This Row],[Flow_Name]],#REF!,0),12)</f>
        <v>#REF!</v>
      </c>
      <c r="L73" s="8" t="e">
        <f>MATCH(Tab_Data_Flows[[#This Row],[Flow_Name]],#REF!,0)</f>
        <v>#REF!</v>
      </c>
      <c r="M73" s="8"/>
      <c r="N73" s="8"/>
      <c r="O73" s="8"/>
      <c r="P73" s="8"/>
      <c r="Q73" s="8" t="s">
        <v>8</v>
      </c>
      <c r="R73" s="8"/>
      <c r="S73" s="8"/>
      <c r="T73" s="7" t="str">
        <f>Tab_Data_Flows[[#This Row],[Flow_ID]]&amp;"_"&amp;"material_"&amp;Tab_Data_Flows[[#This Row],[Flow_Data_Year]]</f>
        <v>F_13_00_material_2030</v>
      </c>
      <c r="U73" s="18">
        <f t="shared" si="4"/>
        <v>10</v>
      </c>
      <c r="V73" s="8" t="s">
        <v>218</v>
      </c>
      <c r="W73" s="156">
        <f>INDEX(Tab_Def_Flows[[Flow_ID]:[CC_DM_source]],MATCH(Tab_Data_Flows[[#This Row],[Flow_Name]],Tab_Def_Flows[Flow_Name],0),11)</f>
        <v>0</v>
      </c>
      <c r="X73" s="7" t="str">
        <f>Tab_Data_Flows[[#This Row],[Flow_ID]]&amp;"_"&amp;"WC_"&amp;Tab_Data_Flows[[#This Row],[Flow_Data_Year]]</f>
        <v>F_13_00_WC_2030</v>
      </c>
      <c r="Y73" s="7">
        <f>IF(D73="Yes",U73*Tab_Data_Flows[[#This Row],[WC_'[%']]],"N.A.")</f>
        <v>0</v>
      </c>
      <c r="Z73" s="7" t="str">
        <f>Tab_Data_Flows[[#This Row],[UoM_Flow_Py]]</f>
        <v>Mg</v>
      </c>
      <c r="AA73" s="156">
        <f>INDEX(Tab_Def_Flows[[Flow_ID]:[CC_DM_source]],MATCH(Tab_Data_Flows[[#This Row],[Flow_Name]],Tab_Def_Flows[Flow_Name],0),14)</f>
        <v>1</v>
      </c>
      <c r="AB73" s="7" t="str">
        <f>Tab_Data_Flows[[#This Row],[Flow_ID]]&amp;"_"&amp;"DM_"&amp;Tab_Data_Flows[[#This Row],[Flow_Data_Year]]</f>
        <v>F_13_00_DM_2030</v>
      </c>
      <c r="AC73" s="7">
        <f>IF(E73="Yes",AA73*Tab_Data_Flows[[#This Row],[Flow_Material]],"N.A.")</f>
        <v>10</v>
      </c>
      <c r="AD73" s="7" t="str">
        <f>Tab_Data_Flows[[#This Row],[UoM_Flow_Py]]</f>
        <v>Mg</v>
      </c>
      <c r="AE73" s="156">
        <f>INDEX(Tab_Def_Flows[[Flow_ID]:[CC_DM_source]],MATCH(Tab_Data_Flows[[#This Row],[Flow_Name]],Tab_Def_Flows[Flow_Name],0),17)</f>
        <v>1</v>
      </c>
      <c r="AF73" s="7" t="str">
        <f>Tab_Data_Flows[[#This Row],[Flow_ID]]&amp;"_"&amp;"CC_"&amp;Tab_Data_Flows[[#This Row],[Flow_Data_Year]]</f>
        <v>F_13_00_CC_2030</v>
      </c>
      <c r="AG73" s="7">
        <f>IF(F73="Yes",AE73*Tab_Data_Flows[[#This Row],[Flow_Material]]*Tab_Data_Flows[[#This Row],[DM_'[%']]],"N.A.")</f>
        <v>10</v>
      </c>
      <c r="AH73" s="7" t="str">
        <f>Tab_Data_Flows[[#This Row],[UoM_Flow_Py]]</f>
        <v>Mg</v>
      </c>
      <c r="AI73"/>
    </row>
    <row r="74" spans="1:35" x14ac:dyDescent="0.25">
      <c r="A74" s="9">
        <f t="shared" si="3"/>
        <v>73</v>
      </c>
      <c r="B74" s="7" t="str">
        <f>_xlfn.XLOOKUP(C74,Tab_Def_Flows[Flow_Name],Tab_Def_Flows[Flow_ID],,0,)</f>
        <v>F_13_00</v>
      </c>
      <c r="C74" s="8" t="s">
        <v>738</v>
      </c>
      <c r="D74" s="10" t="str">
        <f>_xlfn.XLOOKUP(C74,Tab_Def_Flows[Flow_Name],Tab_Def_Flows[WC?],,0,)</f>
        <v>Yes</v>
      </c>
      <c r="E74" s="10" t="str">
        <f>_xlfn.XLOOKUP(C74,Tab_Def_Flows[Flow_Name],Tab_Def_Flows[DM?],,0,)</f>
        <v>Yes</v>
      </c>
      <c r="F74" s="10" t="str">
        <f>_xlfn.XLOOKUP(C74,Tab_Def_Flows[Flow_Name],Tab_Def_Flows[CC?],,0,)</f>
        <v>Yes</v>
      </c>
      <c r="G74" s="8">
        <v>2031</v>
      </c>
      <c r="H74" s="28">
        <v>10</v>
      </c>
      <c r="I74" s="8"/>
      <c r="J74" s="8"/>
      <c r="K74" s="8" t="e">
        <f>INDEX(#REF!,MATCH(Tab_Data_Flows[[#This Row],[Flow_Name]],#REF!,0),12)</f>
        <v>#REF!</v>
      </c>
      <c r="L74" s="8" t="e">
        <f>MATCH(Tab_Data_Flows[[#This Row],[Flow_Name]],#REF!,0)</f>
        <v>#REF!</v>
      </c>
      <c r="M74" s="8"/>
      <c r="N74" s="8"/>
      <c r="O74" s="8"/>
      <c r="P74" s="8"/>
      <c r="Q74" s="8" t="s">
        <v>8</v>
      </c>
      <c r="R74" s="8"/>
      <c r="S74" s="8"/>
      <c r="T74" s="7" t="str">
        <f>Tab_Data_Flows[[#This Row],[Flow_ID]]&amp;"_"&amp;"material_"&amp;Tab_Data_Flows[[#This Row],[Flow_Data_Year]]</f>
        <v>F_13_00_material_2031</v>
      </c>
      <c r="U74" s="18">
        <f t="shared" si="4"/>
        <v>10</v>
      </c>
      <c r="V74" s="8" t="s">
        <v>218</v>
      </c>
      <c r="W74" s="156">
        <f>INDEX(Tab_Def_Flows[[Flow_ID]:[CC_DM_source]],MATCH(Tab_Data_Flows[[#This Row],[Flow_Name]],Tab_Def_Flows[Flow_Name],0),11)</f>
        <v>0</v>
      </c>
      <c r="X74" s="7" t="str">
        <f>Tab_Data_Flows[[#This Row],[Flow_ID]]&amp;"_"&amp;"WC_"&amp;Tab_Data_Flows[[#This Row],[Flow_Data_Year]]</f>
        <v>F_13_00_WC_2031</v>
      </c>
      <c r="Y74" s="7">
        <f>IF(D74="Yes",U74*Tab_Data_Flows[[#This Row],[WC_'[%']]],"N.A.")</f>
        <v>0</v>
      </c>
      <c r="Z74" s="7" t="str">
        <f>Tab_Data_Flows[[#This Row],[UoM_Flow_Py]]</f>
        <v>Mg</v>
      </c>
      <c r="AA74" s="156">
        <f>INDEX(Tab_Def_Flows[[Flow_ID]:[CC_DM_source]],MATCH(Tab_Data_Flows[[#This Row],[Flow_Name]],Tab_Def_Flows[Flow_Name],0),14)</f>
        <v>1</v>
      </c>
      <c r="AB74" s="7" t="str">
        <f>Tab_Data_Flows[[#This Row],[Flow_ID]]&amp;"_"&amp;"DM_"&amp;Tab_Data_Flows[[#This Row],[Flow_Data_Year]]</f>
        <v>F_13_00_DM_2031</v>
      </c>
      <c r="AC74" s="7">
        <f>IF(E74="Yes",AA74*Tab_Data_Flows[[#This Row],[Flow_Material]],"N.A.")</f>
        <v>10</v>
      </c>
      <c r="AD74" s="7" t="str">
        <f>Tab_Data_Flows[[#This Row],[UoM_Flow_Py]]</f>
        <v>Mg</v>
      </c>
      <c r="AE74" s="156">
        <f>INDEX(Tab_Def_Flows[[Flow_ID]:[CC_DM_source]],MATCH(Tab_Data_Flows[[#This Row],[Flow_Name]],Tab_Def_Flows[Flow_Name],0),17)</f>
        <v>1</v>
      </c>
      <c r="AF74" s="7" t="str">
        <f>Tab_Data_Flows[[#This Row],[Flow_ID]]&amp;"_"&amp;"CC_"&amp;Tab_Data_Flows[[#This Row],[Flow_Data_Year]]</f>
        <v>F_13_00_CC_2031</v>
      </c>
      <c r="AG74" s="7">
        <f>IF(F74="Yes",AE74*Tab_Data_Flows[[#This Row],[Flow_Material]]*Tab_Data_Flows[[#This Row],[DM_'[%']]],"N.A.")</f>
        <v>10</v>
      </c>
      <c r="AH74" s="7" t="str">
        <f>Tab_Data_Flows[[#This Row],[UoM_Flow_Py]]</f>
        <v>Mg</v>
      </c>
      <c r="AI74"/>
    </row>
    <row r="75" spans="1:35" x14ac:dyDescent="0.25">
      <c r="A75" s="9">
        <f t="shared" si="3"/>
        <v>74</v>
      </c>
      <c r="B75" s="7" t="str">
        <f>_xlfn.XLOOKUP(C75,Tab_Def_Flows[Flow_Name],Tab_Def_Flows[Flow_ID],,0,)</f>
        <v>F_13_00</v>
      </c>
      <c r="C75" s="8" t="s">
        <v>738</v>
      </c>
      <c r="D75" s="10" t="str">
        <f>_xlfn.XLOOKUP(C75,Tab_Def_Flows[Flow_Name],Tab_Def_Flows[WC?],,0,)</f>
        <v>Yes</v>
      </c>
      <c r="E75" s="10" t="str">
        <f>_xlfn.XLOOKUP(C75,Tab_Def_Flows[Flow_Name],Tab_Def_Flows[DM?],,0,)</f>
        <v>Yes</v>
      </c>
      <c r="F75" s="10" t="str">
        <f>_xlfn.XLOOKUP(C75,Tab_Def_Flows[Flow_Name],Tab_Def_Flows[CC?],,0,)</f>
        <v>Yes</v>
      </c>
      <c r="G75" s="8">
        <v>2032</v>
      </c>
      <c r="H75" s="28">
        <v>10</v>
      </c>
      <c r="I75" s="8"/>
      <c r="J75" s="8"/>
      <c r="K75" s="8" t="e">
        <f>INDEX(#REF!,MATCH(Tab_Data_Flows[[#This Row],[Flow_Name]],#REF!,0),12)</f>
        <v>#REF!</v>
      </c>
      <c r="L75" s="8" t="e">
        <f>MATCH(Tab_Data_Flows[[#This Row],[Flow_Name]],#REF!,0)</f>
        <v>#REF!</v>
      </c>
      <c r="M75" s="8"/>
      <c r="N75" s="8"/>
      <c r="O75" s="8"/>
      <c r="P75" s="8"/>
      <c r="Q75" s="8" t="s">
        <v>8</v>
      </c>
      <c r="R75" s="8"/>
      <c r="S75" s="8"/>
      <c r="T75" s="7" t="str">
        <f>Tab_Data_Flows[[#This Row],[Flow_ID]]&amp;"_"&amp;"material_"&amp;Tab_Data_Flows[[#This Row],[Flow_Data_Year]]</f>
        <v>F_13_00_material_2032</v>
      </c>
      <c r="U75" s="18">
        <f t="shared" si="4"/>
        <v>10</v>
      </c>
      <c r="V75" s="8" t="s">
        <v>218</v>
      </c>
      <c r="W75" s="156">
        <f>INDEX(Tab_Def_Flows[[Flow_ID]:[CC_DM_source]],MATCH(Tab_Data_Flows[[#This Row],[Flow_Name]],Tab_Def_Flows[Flow_Name],0),11)</f>
        <v>0</v>
      </c>
      <c r="X75" s="7" t="str">
        <f>Tab_Data_Flows[[#This Row],[Flow_ID]]&amp;"_"&amp;"WC_"&amp;Tab_Data_Flows[[#This Row],[Flow_Data_Year]]</f>
        <v>F_13_00_WC_2032</v>
      </c>
      <c r="Y75" s="7">
        <f>IF(D75="Yes",U75*Tab_Data_Flows[[#This Row],[WC_'[%']]],"N.A.")</f>
        <v>0</v>
      </c>
      <c r="Z75" s="7" t="str">
        <f>Tab_Data_Flows[[#This Row],[UoM_Flow_Py]]</f>
        <v>Mg</v>
      </c>
      <c r="AA75" s="156">
        <f>INDEX(Tab_Def_Flows[[Flow_ID]:[CC_DM_source]],MATCH(Tab_Data_Flows[[#This Row],[Flow_Name]],Tab_Def_Flows[Flow_Name],0),14)</f>
        <v>1</v>
      </c>
      <c r="AB75" s="7" t="str">
        <f>Tab_Data_Flows[[#This Row],[Flow_ID]]&amp;"_"&amp;"DM_"&amp;Tab_Data_Flows[[#This Row],[Flow_Data_Year]]</f>
        <v>F_13_00_DM_2032</v>
      </c>
      <c r="AC75" s="7">
        <f>IF(E75="Yes",AA75*Tab_Data_Flows[[#This Row],[Flow_Material]],"N.A.")</f>
        <v>10</v>
      </c>
      <c r="AD75" s="7" t="str">
        <f>Tab_Data_Flows[[#This Row],[UoM_Flow_Py]]</f>
        <v>Mg</v>
      </c>
      <c r="AE75" s="156">
        <f>INDEX(Tab_Def_Flows[[Flow_ID]:[CC_DM_source]],MATCH(Tab_Data_Flows[[#This Row],[Flow_Name]],Tab_Def_Flows[Flow_Name],0),17)</f>
        <v>1</v>
      </c>
      <c r="AF75" s="7" t="str">
        <f>Tab_Data_Flows[[#This Row],[Flow_ID]]&amp;"_"&amp;"CC_"&amp;Tab_Data_Flows[[#This Row],[Flow_Data_Year]]</f>
        <v>F_13_00_CC_2032</v>
      </c>
      <c r="AG75" s="7">
        <f>IF(F75="Yes",AE75*Tab_Data_Flows[[#This Row],[Flow_Material]]*Tab_Data_Flows[[#This Row],[DM_'[%']]],"N.A.")</f>
        <v>10</v>
      </c>
      <c r="AH75" s="7" t="str">
        <f>Tab_Data_Flows[[#This Row],[UoM_Flow_Py]]</f>
        <v>Mg</v>
      </c>
      <c r="AI75"/>
    </row>
    <row r="76" spans="1:35" x14ac:dyDescent="0.25">
      <c r="A76" s="9">
        <f t="shared" si="3"/>
        <v>75</v>
      </c>
      <c r="B76" s="7" t="str">
        <f>_xlfn.XLOOKUP(C76,Tab_Def_Flows[Flow_Name],Tab_Def_Flows[Flow_ID],,0,)</f>
        <v>F_13_00</v>
      </c>
      <c r="C76" s="8" t="s">
        <v>738</v>
      </c>
      <c r="D76" s="10" t="str">
        <f>_xlfn.XLOOKUP(C76,Tab_Def_Flows[Flow_Name],Tab_Def_Flows[WC?],,0,)</f>
        <v>Yes</v>
      </c>
      <c r="E76" s="10" t="str">
        <f>_xlfn.XLOOKUP(C76,Tab_Def_Flows[Flow_Name],Tab_Def_Flows[DM?],,0,)</f>
        <v>Yes</v>
      </c>
      <c r="F76" s="10" t="str">
        <f>_xlfn.XLOOKUP(C76,Tab_Def_Flows[Flow_Name],Tab_Def_Flows[CC?],,0,)</f>
        <v>Yes</v>
      </c>
      <c r="G76" s="8">
        <v>2033</v>
      </c>
      <c r="H76" s="28">
        <v>10</v>
      </c>
      <c r="I76" s="8"/>
      <c r="J76" s="8"/>
      <c r="K76" s="8" t="e">
        <f>INDEX(#REF!,MATCH(Tab_Data_Flows[[#This Row],[Flow_Name]],#REF!,0),12)</f>
        <v>#REF!</v>
      </c>
      <c r="L76" s="8" t="e">
        <f>MATCH(Tab_Data_Flows[[#This Row],[Flow_Name]],#REF!,0)</f>
        <v>#REF!</v>
      </c>
      <c r="M76" s="8"/>
      <c r="N76" s="8"/>
      <c r="O76" s="8"/>
      <c r="P76" s="8"/>
      <c r="Q76" s="8" t="s">
        <v>8</v>
      </c>
      <c r="R76" s="8"/>
      <c r="S76" s="8"/>
      <c r="T76" s="7" t="str">
        <f>Tab_Data_Flows[[#This Row],[Flow_ID]]&amp;"_"&amp;"material_"&amp;Tab_Data_Flows[[#This Row],[Flow_Data_Year]]</f>
        <v>F_13_00_material_2033</v>
      </c>
      <c r="U76" s="18">
        <f t="shared" si="4"/>
        <v>10</v>
      </c>
      <c r="V76" s="8" t="s">
        <v>218</v>
      </c>
      <c r="W76" s="156">
        <f>INDEX(Tab_Def_Flows[[Flow_ID]:[CC_DM_source]],MATCH(Tab_Data_Flows[[#This Row],[Flow_Name]],Tab_Def_Flows[Flow_Name],0),11)</f>
        <v>0</v>
      </c>
      <c r="X76" s="7" t="str">
        <f>Tab_Data_Flows[[#This Row],[Flow_ID]]&amp;"_"&amp;"WC_"&amp;Tab_Data_Flows[[#This Row],[Flow_Data_Year]]</f>
        <v>F_13_00_WC_2033</v>
      </c>
      <c r="Y76" s="7">
        <f>IF(D76="Yes",U76*Tab_Data_Flows[[#This Row],[WC_'[%']]],"N.A.")</f>
        <v>0</v>
      </c>
      <c r="Z76" s="7" t="str">
        <f>Tab_Data_Flows[[#This Row],[UoM_Flow_Py]]</f>
        <v>Mg</v>
      </c>
      <c r="AA76" s="156">
        <f>INDEX(Tab_Def_Flows[[Flow_ID]:[CC_DM_source]],MATCH(Tab_Data_Flows[[#This Row],[Flow_Name]],Tab_Def_Flows[Flow_Name],0),14)</f>
        <v>1</v>
      </c>
      <c r="AB76" s="7" t="str">
        <f>Tab_Data_Flows[[#This Row],[Flow_ID]]&amp;"_"&amp;"DM_"&amp;Tab_Data_Flows[[#This Row],[Flow_Data_Year]]</f>
        <v>F_13_00_DM_2033</v>
      </c>
      <c r="AC76" s="7">
        <f>IF(E76="Yes",AA76*Tab_Data_Flows[[#This Row],[Flow_Material]],"N.A.")</f>
        <v>10</v>
      </c>
      <c r="AD76" s="7" t="str">
        <f>Tab_Data_Flows[[#This Row],[UoM_Flow_Py]]</f>
        <v>Mg</v>
      </c>
      <c r="AE76" s="156">
        <f>INDEX(Tab_Def_Flows[[Flow_ID]:[CC_DM_source]],MATCH(Tab_Data_Flows[[#This Row],[Flow_Name]],Tab_Def_Flows[Flow_Name],0),17)</f>
        <v>1</v>
      </c>
      <c r="AF76" s="7" t="str">
        <f>Tab_Data_Flows[[#This Row],[Flow_ID]]&amp;"_"&amp;"CC_"&amp;Tab_Data_Flows[[#This Row],[Flow_Data_Year]]</f>
        <v>F_13_00_CC_2033</v>
      </c>
      <c r="AG76" s="7">
        <f>IF(F76="Yes",AE76*Tab_Data_Flows[[#This Row],[Flow_Material]]*Tab_Data_Flows[[#This Row],[DM_'[%']]],"N.A.")</f>
        <v>10</v>
      </c>
      <c r="AH76" s="7" t="str">
        <f>Tab_Data_Flows[[#This Row],[UoM_Flow_Py]]</f>
        <v>Mg</v>
      </c>
      <c r="AI76"/>
    </row>
    <row r="77" spans="1:35" x14ac:dyDescent="0.25">
      <c r="A77" s="9">
        <f t="shared" si="3"/>
        <v>76</v>
      </c>
      <c r="B77" s="7" t="str">
        <f>_xlfn.XLOOKUP(C77,Tab_Def_Flows[Flow_Name],Tab_Def_Flows[Flow_ID],,0,)</f>
        <v>F_13_00</v>
      </c>
      <c r="C77" s="8" t="s">
        <v>738</v>
      </c>
      <c r="D77" s="10" t="str">
        <f>_xlfn.XLOOKUP(C77,Tab_Def_Flows[Flow_Name],Tab_Def_Flows[WC?],,0,)</f>
        <v>Yes</v>
      </c>
      <c r="E77" s="10" t="str">
        <f>_xlfn.XLOOKUP(C77,Tab_Def_Flows[Flow_Name],Tab_Def_Flows[DM?],,0,)</f>
        <v>Yes</v>
      </c>
      <c r="F77" s="10" t="str">
        <f>_xlfn.XLOOKUP(C77,Tab_Def_Flows[Flow_Name],Tab_Def_Flows[CC?],,0,)</f>
        <v>Yes</v>
      </c>
      <c r="G77" s="8">
        <v>2034</v>
      </c>
      <c r="H77" s="28">
        <v>10</v>
      </c>
      <c r="I77" s="8"/>
      <c r="J77" s="8"/>
      <c r="K77" s="8" t="e">
        <f>INDEX(#REF!,MATCH(Tab_Data_Flows[[#This Row],[Flow_Name]],#REF!,0),12)</f>
        <v>#REF!</v>
      </c>
      <c r="L77" s="8" t="e">
        <f>MATCH(Tab_Data_Flows[[#This Row],[Flow_Name]],#REF!,0)</f>
        <v>#REF!</v>
      </c>
      <c r="M77" s="8"/>
      <c r="N77" s="8"/>
      <c r="O77" s="8"/>
      <c r="P77" s="8"/>
      <c r="Q77" s="8" t="s">
        <v>8</v>
      </c>
      <c r="R77" s="8"/>
      <c r="S77" s="8"/>
      <c r="T77" s="7" t="str">
        <f>Tab_Data_Flows[[#This Row],[Flow_ID]]&amp;"_"&amp;"material_"&amp;Tab_Data_Flows[[#This Row],[Flow_Data_Year]]</f>
        <v>F_13_00_material_2034</v>
      </c>
      <c r="U77" s="18">
        <f t="shared" si="4"/>
        <v>10</v>
      </c>
      <c r="V77" s="8" t="s">
        <v>218</v>
      </c>
      <c r="W77" s="156">
        <f>INDEX(Tab_Def_Flows[[Flow_ID]:[CC_DM_source]],MATCH(Tab_Data_Flows[[#This Row],[Flow_Name]],Tab_Def_Flows[Flow_Name],0),11)</f>
        <v>0</v>
      </c>
      <c r="X77" s="7" t="str">
        <f>Tab_Data_Flows[[#This Row],[Flow_ID]]&amp;"_"&amp;"WC_"&amp;Tab_Data_Flows[[#This Row],[Flow_Data_Year]]</f>
        <v>F_13_00_WC_2034</v>
      </c>
      <c r="Y77" s="7">
        <f>IF(D77="Yes",U77*Tab_Data_Flows[[#This Row],[WC_'[%']]],"N.A.")</f>
        <v>0</v>
      </c>
      <c r="Z77" s="7" t="str">
        <f>Tab_Data_Flows[[#This Row],[UoM_Flow_Py]]</f>
        <v>Mg</v>
      </c>
      <c r="AA77" s="156">
        <f>INDEX(Tab_Def_Flows[[Flow_ID]:[CC_DM_source]],MATCH(Tab_Data_Flows[[#This Row],[Flow_Name]],Tab_Def_Flows[Flow_Name],0),14)</f>
        <v>1</v>
      </c>
      <c r="AB77" s="7" t="str">
        <f>Tab_Data_Flows[[#This Row],[Flow_ID]]&amp;"_"&amp;"DM_"&amp;Tab_Data_Flows[[#This Row],[Flow_Data_Year]]</f>
        <v>F_13_00_DM_2034</v>
      </c>
      <c r="AC77" s="7">
        <f>IF(E77="Yes",AA77*Tab_Data_Flows[[#This Row],[Flow_Material]],"N.A.")</f>
        <v>10</v>
      </c>
      <c r="AD77" s="7" t="str">
        <f>Tab_Data_Flows[[#This Row],[UoM_Flow_Py]]</f>
        <v>Mg</v>
      </c>
      <c r="AE77" s="156">
        <f>INDEX(Tab_Def_Flows[[Flow_ID]:[CC_DM_source]],MATCH(Tab_Data_Flows[[#This Row],[Flow_Name]],Tab_Def_Flows[Flow_Name],0),17)</f>
        <v>1</v>
      </c>
      <c r="AF77" s="7" t="str">
        <f>Tab_Data_Flows[[#This Row],[Flow_ID]]&amp;"_"&amp;"CC_"&amp;Tab_Data_Flows[[#This Row],[Flow_Data_Year]]</f>
        <v>F_13_00_CC_2034</v>
      </c>
      <c r="AG77" s="7">
        <f>IF(F77="Yes",AE77*Tab_Data_Flows[[#This Row],[Flow_Material]]*Tab_Data_Flows[[#This Row],[DM_'[%']]],"N.A.")</f>
        <v>10</v>
      </c>
      <c r="AH77" s="7" t="str">
        <f>Tab_Data_Flows[[#This Row],[UoM_Flow_Py]]</f>
        <v>Mg</v>
      </c>
      <c r="AI77"/>
    </row>
    <row r="78" spans="1:35" x14ac:dyDescent="0.25">
      <c r="A78" s="9">
        <f t="shared" si="3"/>
        <v>77</v>
      </c>
      <c r="B78" s="7" t="str">
        <f>_xlfn.XLOOKUP(C78,Tab_Def_Flows[Flow_Name],Tab_Def_Flows[Flow_ID],,0,)</f>
        <v>F_13_00</v>
      </c>
      <c r="C78" s="8" t="s">
        <v>738</v>
      </c>
      <c r="D78" s="10" t="str">
        <f>_xlfn.XLOOKUP(C78,Tab_Def_Flows[Flow_Name],Tab_Def_Flows[WC?],,0,)</f>
        <v>Yes</v>
      </c>
      <c r="E78" s="10" t="str">
        <f>_xlfn.XLOOKUP(C78,Tab_Def_Flows[Flow_Name],Tab_Def_Flows[DM?],,0,)</f>
        <v>Yes</v>
      </c>
      <c r="F78" s="10" t="str">
        <f>_xlfn.XLOOKUP(C78,Tab_Def_Flows[Flow_Name],Tab_Def_Flows[CC?],,0,)</f>
        <v>Yes</v>
      </c>
      <c r="G78" s="8">
        <v>2035</v>
      </c>
      <c r="H78" s="28">
        <v>10</v>
      </c>
      <c r="I78" s="8"/>
      <c r="J78" s="8"/>
      <c r="K78" s="8" t="e">
        <f>INDEX(#REF!,MATCH(Tab_Data_Flows[[#This Row],[Flow_Name]],#REF!,0),12)</f>
        <v>#REF!</v>
      </c>
      <c r="L78" s="8" t="e">
        <f>MATCH(Tab_Data_Flows[[#This Row],[Flow_Name]],#REF!,0)</f>
        <v>#REF!</v>
      </c>
      <c r="M78" s="8"/>
      <c r="N78" s="8"/>
      <c r="O78" s="8"/>
      <c r="P78" s="8"/>
      <c r="Q78" s="8" t="s">
        <v>8</v>
      </c>
      <c r="R78" s="8"/>
      <c r="S78" s="8"/>
      <c r="T78" s="7" t="str">
        <f>Tab_Data_Flows[[#This Row],[Flow_ID]]&amp;"_"&amp;"material_"&amp;Tab_Data_Flows[[#This Row],[Flow_Data_Year]]</f>
        <v>F_13_00_material_2035</v>
      </c>
      <c r="U78" s="18">
        <f t="shared" si="4"/>
        <v>10</v>
      </c>
      <c r="V78" s="8" t="s">
        <v>218</v>
      </c>
      <c r="W78" s="156">
        <f>INDEX(Tab_Def_Flows[[Flow_ID]:[CC_DM_source]],MATCH(Tab_Data_Flows[[#This Row],[Flow_Name]],Tab_Def_Flows[Flow_Name],0),11)</f>
        <v>0</v>
      </c>
      <c r="X78" s="7" t="str">
        <f>Tab_Data_Flows[[#This Row],[Flow_ID]]&amp;"_"&amp;"WC_"&amp;Tab_Data_Flows[[#This Row],[Flow_Data_Year]]</f>
        <v>F_13_00_WC_2035</v>
      </c>
      <c r="Y78" s="7">
        <f>IF(D78="Yes",U78*Tab_Data_Flows[[#This Row],[WC_'[%']]],"N.A.")</f>
        <v>0</v>
      </c>
      <c r="Z78" s="7" t="str">
        <f>Tab_Data_Flows[[#This Row],[UoM_Flow_Py]]</f>
        <v>Mg</v>
      </c>
      <c r="AA78" s="156">
        <f>INDEX(Tab_Def_Flows[[Flow_ID]:[CC_DM_source]],MATCH(Tab_Data_Flows[[#This Row],[Flow_Name]],Tab_Def_Flows[Flow_Name],0),14)</f>
        <v>1</v>
      </c>
      <c r="AB78" s="7" t="str">
        <f>Tab_Data_Flows[[#This Row],[Flow_ID]]&amp;"_"&amp;"DM_"&amp;Tab_Data_Flows[[#This Row],[Flow_Data_Year]]</f>
        <v>F_13_00_DM_2035</v>
      </c>
      <c r="AC78" s="7">
        <f>IF(E78="Yes",AA78*Tab_Data_Flows[[#This Row],[Flow_Material]],"N.A.")</f>
        <v>10</v>
      </c>
      <c r="AD78" s="7" t="str">
        <f>Tab_Data_Flows[[#This Row],[UoM_Flow_Py]]</f>
        <v>Mg</v>
      </c>
      <c r="AE78" s="156">
        <f>INDEX(Tab_Def_Flows[[Flow_ID]:[CC_DM_source]],MATCH(Tab_Data_Flows[[#This Row],[Flow_Name]],Tab_Def_Flows[Flow_Name],0),17)</f>
        <v>1</v>
      </c>
      <c r="AF78" s="7" t="str">
        <f>Tab_Data_Flows[[#This Row],[Flow_ID]]&amp;"_"&amp;"CC_"&amp;Tab_Data_Flows[[#This Row],[Flow_Data_Year]]</f>
        <v>F_13_00_CC_2035</v>
      </c>
      <c r="AG78" s="7">
        <f>IF(F78="Yes",AE78*Tab_Data_Flows[[#This Row],[Flow_Material]]*Tab_Data_Flows[[#This Row],[DM_'[%']]],"N.A.")</f>
        <v>10</v>
      </c>
      <c r="AH78" s="7" t="str">
        <f>Tab_Data_Flows[[#This Row],[UoM_Flow_Py]]</f>
        <v>Mg</v>
      </c>
      <c r="AI78"/>
    </row>
    <row r="79" spans="1:35" x14ac:dyDescent="0.25">
      <c r="A79" s="9">
        <f t="shared" si="3"/>
        <v>78</v>
      </c>
      <c r="B79" s="7" t="str">
        <f>_xlfn.XLOOKUP(C79,Tab_Def_Flows[Flow_Name],Tab_Def_Flows[Flow_ID],,0,)</f>
        <v>F_13_00</v>
      </c>
      <c r="C79" s="8" t="s">
        <v>738</v>
      </c>
      <c r="D79" s="10" t="str">
        <f>_xlfn.XLOOKUP(C79,Tab_Def_Flows[Flow_Name],Tab_Def_Flows[WC?],,0,)</f>
        <v>Yes</v>
      </c>
      <c r="E79" s="10" t="str">
        <f>_xlfn.XLOOKUP(C79,Tab_Def_Flows[Flow_Name],Tab_Def_Flows[DM?],,0,)</f>
        <v>Yes</v>
      </c>
      <c r="F79" s="10" t="str">
        <f>_xlfn.XLOOKUP(C79,Tab_Def_Flows[Flow_Name],Tab_Def_Flows[CC?],,0,)</f>
        <v>Yes</v>
      </c>
      <c r="G79" s="8">
        <v>2036</v>
      </c>
      <c r="H79" s="28">
        <v>10</v>
      </c>
      <c r="I79" s="8"/>
      <c r="J79" s="8"/>
      <c r="K79" s="8" t="e">
        <f>INDEX(#REF!,MATCH(Tab_Data_Flows[[#This Row],[Flow_Name]],#REF!,0),12)</f>
        <v>#REF!</v>
      </c>
      <c r="L79" s="8" t="e">
        <f>MATCH(Tab_Data_Flows[[#This Row],[Flow_Name]],#REF!,0)</f>
        <v>#REF!</v>
      </c>
      <c r="M79" s="8"/>
      <c r="N79" s="8"/>
      <c r="O79" s="8"/>
      <c r="P79" s="8"/>
      <c r="Q79" s="8" t="s">
        <v>8</v>
      </c>
      <c r="R79" s="8"/>
      <c r="S79" s="8"/>
      <c r="T79" s="7" t="str">
        <f>Tab_Data_Flows[[#This Row],[Flow_ID]]&amp;"_"&amp;"material_"&amp;Tab_Data_Flows[[#This Row],[Flow_Data_Year]]</f>
        <v>F_13_00_material_2036</v>
      </c>
      <c r="U79" s="18">
        <f t="shared" si="4"/>
        <v>10</v>
      </c>
      <c r="V79" s="8" t="s">
        <v>218</v>
      </c>
      <c r="W79" s="156">
        <f>INDEX(Tab_Def_Flows[[Flow_ID]:[CC_DM_source]],MATCH(Tab_Data_Flows[[#This Row],[Flow_Name]],Tab_Def_Flows[Flow_Name],0),11)</f>
        <v>0</v>
      </c>
      <c r="X79" s="7" t="str">
        <f>Tab_Data_Flows[[#This Row],[Flow_ID]]&amp;"_"&amp;"WC_"&amp;Tab_Data_Flows[[#This Row],[Flow_Data_Year]]</f>
        <v>F_13_00_WC_2036</v>
      </c>
      <c r="Y79" s="7">
        <f>IF(D79="Yes",U79*Tab_Data_Flows[[#This Row],[WC_'[%']]],"N.A.")</f>
        <v>0</v>
      </c>
      <c r="Z79" s="7" t="str">
        <f>Tab_Data_Flows[[#This Row],[UoM_Flow_Py]]</f>
        <v>Mg</v>
      </c>
      <c r="AA79" s="156">
        <f>INDEX(Tab_Def_Flows[[Flow_ID]:[CC_DM_source]],MATCH(Tab_Data_Flows[[#This Row],[Flow_Name]],Tab_Def_Flows[Flow_Name],0),14)</f>
        <v>1</v>
      </c>
      <c r="AB79" s="7" t="str">
        <f>Tab_Data_Flows[[#This Row],[Flow_ID]]&amp;"_"&amp;"DM_"&amp;Tab_Data_Flows[[#This Row],[Flow_Data_Year]]</f>
        <v>F_13_00_DM_2036</v>
      </c>
      <c r="AC79" s="7">
        <f>IF(E79="Yes",AA79*Tab_Data_Flows[[#This Row],[Flow_Material]],"N.A.")</f>
        <v>10</v>
      </c>
      <c r="AD79" s="7" t="str">
        <f>Tab_Data_Flows[[#This Row],[UoM_Flow_Py]]</f>
        <v>Mg</v>
      </c>
      <c r="AE79" s="156">
        <f>INDEX(Tab_Def_Flows[[Flow_ID]:[CC_DM_source]],MATCH(Tab_Data_Flows[[#This Row],[Flow_Name]],Tab_Def_Flows[Flow_Name],0),17)</f>
        <v>1</v>
      </c>
      <c r="AF79" s="7" t="str">
        <f>Tab_Data_Flows[[#This Row],[Flow_ID]]&amp;"_"&amp;"CC_"&amp;Tab_Data_Flows[[#This Row],[Flow_Data_Year]]</f>
        <v>F_13_00_CC_2036</v>
      </c>
      <c r="AG79" s="7">
        <f>IF(F79="Yes",AE79*Tab_Data_Flows[[#This Row],[Flow_Material]]*Tab_Data_Flows[[#This Row],[DM_'[%']]],"N.A.")</f>
        <v>10</v>
      </c>
      <c r="AH79" s="7" t="str">
        <f>Tab_Data_Flows[[#This Row],[UoM_Flow_Py]]</f>
        <v>Mg</v>
      </c>
      <c r="AI79"/>
    </row>
    <row r="80" spans="1:35" x14ac:dyDescent="0.25">
      <c r="A80" s="9">
        <f t="shared" si="3"/>
        <v>79</v>
      </c>
      <c r="B80" s="7" t="str">
        <f>_xlfn.XLOOKUP(C80,Tab_Def_Flows[Flow_Name],Tab_Def_Flows[Flow_ID],,0,)</f>
        <v>F_13_00</v>
      </c>
      <c r="C80" s="8" t="s">
        <v>738</v>
      </c>
      <c r="D80" s="10" t="str">
        <f>_xlfn.XLOOKUP(C80,Tab_Def_Flows[Flow_Name],Tab_Def_Flows[WC?],,0,)</f>
        <v>Yes</v>
      </c>
      <c r="E80" s="10" t="str">
        <f>_xlfn.XLOOKUP(C80,Tab_Def_Flows[Flow_Name],Tab_Def_Flows[DM?],,0,)</f>
        <v>Yes</v>
      </c>
      <c r="F80" s="10" t="str">
        <f>_xlfn.XLOOKUP(C80,Tab_Def_Flows[Flow_Name],Tab_Def_Flows[CC?],,0,)</f>
        <v>Yes</v>
      </c>
      <c r="G80" s="8">
        <v>2037</v>
      </c>
      <c r="H80" s="28">
        <v>10</v>
      </c>
      <c r="I80" s="8"/>
      <c r="J80" s="8"/>
      <c r="K80" s="8" t="e">
        <f>INDEX(#REF!,MATCH(Tab_Data_Flows[[#This Row],[Flow_Name]],#REF!,0),12)</f>
        <v>#REF!</v>
      </c>
      <c r="L80" s="8" t="e">
        <f>MATCH(Tab_Data_Flows[[#This Row],[Flow_Name]],#REF!,0)</f>
        <v>#REF!</v>
      </c>
      <c r="M80" s="8"/>
      <c r="N80" s="8"/>
      <c r="O80" s="8"/>
      <c r="P80" s="8"/>
      <c r="Q80" s="8" t="s">
        <v>8</v>
      </c>
      <c r="R80" s="8"/>
      <c r="S80" s="8"/>
      <c r="T80" s="7" t="str">
        <f>Tab_Data_Flows[[#This Row],[Flow_ID]]&amp;"_"&amp;"material_"&amp;Tab_Data_Flows[[#This Row],[Flow_Data_Year]]</f>
        <v>F_13_00_material_2037</v>
      </c>
      <c r="U80" s="18">
        <f t="shared" si="4"/>
        <v>10</v>
      </c>
      <c r="V80" s="8" t="s">
        <v>218</v>
      </c>
      <c r="W80" s="156">
        <f>INDEX(Tab_Def_Flows[[Flow_ID]:[CC_DM_source]],MATCH(Tab_Data_Flows[[#This Row],[Flow_Name]],Tab_Def_Flows[Flow_Name],0),11)</f>
        <v>0</v>
      </c>
      <c r="X80" s="7" t="str">
        <f>Tab_Data_Flows[[#This Row],[Flow_ID]]&amp;"_"&amp;"WC_"&amp;Tab_Data_Flows[[#This Row],[Flow_Data_Year]]</f>
        <v>F_13_00_WC_2037</v>
      </c>
      <c r="Y80" s="7">
        <f>IF(D80="Yes",U80*Tab_Data_Flows[[#This Row],[WC_'[%']]],"N.A.")</f>
        <v>0</v>
      </c>
      <c r="Z80" s="7" t="str">
        <f>Tab_Data_Flows[[#This Row],[UoM_Flow_Py]]</f>
        <v>Mg</v>
      </c>
      <c r="AA80" s="156">
        <f>INDEX(Tab_Def_Flows[[Flow_ID]:[CC_DM_source]],MATCH(Tab_Data_Flows[[#This Row],[Flow_Name]],Tab_Def_Flows[Flow_Name],0),14)</f>
        <v>1</v>
      </c>
      <c r="AB80" s="7" t="str">
        <f>Tab_Data_Flows[[#This Row],[Flow_ID]]&amp;"_"&amp;"DM_"&amp;Tab_Data_Flows[[#This Row],[Flow_Data_Year]]</f>
        <v>F_13_00_DM_2037</v>
      </c>
      <c r="AC80" s="7">
        <f>IF(E80="Yes",AA80*Tab_Data_Flows[[#This Row],[Flow_Material]],"N.A.")</f>
        <v>10</v>
      </c>
      <c r="AD80" s="7" t="str">
        <f>Tab_Data_Flows[[#This Row],[UoM_Flow_Py]]</f>
        <v>Mg</v>
      </c>
      <c r="AE80" s="156">
        <f>INDEX(Tab_Def_Flows[[Flow_ID]:[CC_DM_source]],MATCH(Tab_Data_Flows[[#This Row],[Flow_Name]],Tab_Def_Flows[Flow_Name],0),17)</f>
        <v>1</v>
      </c>
      <c r="AF80" s="7" t="str">
        <f>Tab_Data_Flows[[#This Row],[Flow_ID]]&amp;"_"&amp;"CC_"&amp;Tab_Data_Flows[[#This Row],[Flow_Data_Year]]</f>
        <v>F_13_00_CC_2037</v>
      </c>
      <c r="AG80" s="7">
        <f>IF(F80="Yes",AE80*Tab_Data_Flows[[#This Row],[Flow_Material]]*Tab_Data_Flows[[#This Row],[DM_'[%']]],"N.A.")</f>
        <v>10</v>
      </c>
      <c r="AH80" s="7" t="str">
        <f>Tab_Data_Flows[[#This Row],[UoM_Flow_Py]]</f>
        <v>Mg</v>
      </c>
      <c r="AI80"/>
    </row>
    <row r="81" spans="1:35" x14ac:dyDescent="0.25">
      <c r="A81" s="9">
        <f t="shared" si="3"/>
        <v>80</v>
      </c>
      <c r="B81" s="7" t="str">
        <f>_xlfn.XLOOKUP(C81,Tab_Def_Flows[Flow_Name],Tab_Def_Flows[Flow_ID],,0,)</f>
        <v>F_13_00</v>
      </c>
      <c r="C81" s="8" t="s">
        <v>738</v>
      </c>
      <c r="D81" s="10" t="str">
        <f>_xlfn.XLOOKUP(C81,Tab_Def_Flows[Flow_Name],Tab_Def_Flows[WC?],,0,)</f>
        <v>Yes</v>
      </c>
      <c r="E81" s="10" t="str">
        <f>_xlfn.XLOOKUP(C81,Tab_Def_Flows[Flow_Name],Tab_Def_Flows[DM?],,0,)</f>
        <v>Yes</v>
      </c>
      <c r="F81" s="10" t="str">
        <f>_xlfn.XLOOKUP(C81,Tab_Def_Flows[Flow_Name],Tab_Def_Flows[CC?],,0,)</f>
        <v>Yes</v>
      </c>
      <c r="G81" s="8">
        <v>2038</v>
      </c>
      <c r="H81" s="28">
        <v>10</v>
      </c>
      <c r="I81" s="8"/>
      <c r="J81" s="8"/>
      <c r="K81" s="8" t="e">
        <f>INDEX(#REF!,MATCH(Tab_Data_Flows[[#This Row],[Flow_Name]],#REF!,0),12)</f>
        <v>#REF!</v>
      </c>
      <c r="L81" s="8" t="e">
        <f>MATCH(Tab_Data_Flows[[#This Row],[Flow_Name]],#REF!,0)</f>
        <v>#REF!</v>
      </c>
      <c r="M81" s="8"/>
      <c r="N81" s="8"/>
      <c r="O81" s="8"/>
      <c r="P81" s="8"/>
      <c r="Q81" s="8" t="s">
        <v>8</v>
      </c>
      <c r="R81" s="8"/>
      <c r="S81" s="8"/>
      <c r="T81" s="7" t="str">
        <f>Tab_Data_Flows[[#This Row],[Flow_ID]]&amp;"_"&amp;"material_"&amp;Tab_Data_Flows[[#This Row],[Flow_Data_Year]]</f>
        <v>F_13_00_material_2038</v>
      </c>
      <c r="U81" s="18">
        <f t="shared" si="4"/>
        <v>10</v>
      </c>
      <c r="V81" s="8" t="s">
        <v>218</v>
      </c>
      <c r="W81" s="156">
        <f>INDEX(Tab_Def_Flows[[Flow_ID]:[CC_DM_source]],MATCH(Tab_Data_Flows[[#This Row],[Flow_Name]],Tab_Def_Flows[Flow_Name],0),11)</f>
        <v>0</v>
      </c>
      <c r="X81" s="7" t="str">
        <f>Tab_Data_Flows[[#This Row],[Flow_ID]]&amp;"_"&amp;"WC_"&amp;Tab_Data_Flows[[#This Row],[Flow_Data_Year]]</f>
        <v>F_13_00_WC_2038</v>
      </c>
      <c r="Y81" s="7">
        <f>IF(D81="Yes",U81*Tab_Data_Flows[[#This Row],[WC_'[%']]],"N.A.")</f>
        <v>0</v>
      </c>
      <c r="Z81" s="7" t="str">
        <f>Tab_Data_Flows[[#This Row],[UoM_Flow_Py]]</f>
        <v>Mg</v>
      </c>
      <c r="AA81" s="156">
        <f>INDEX(Tab_Def_Flows[[Flow_ID]:[CC_DM_source]],MATCH(Tab_Data_Flows[[#This Row],[Flow_Name]],Tab_Def_Flows[Flow_Name],0),14)</f>
        <v>1</v>
      </c>
      <c r="AB81" s="7" t="str">
        <f>Tab_Data_Flows[[#This Row],[Flow_ID]]&amp;"_"&amp;"DM_"&amp;Tab_Data_Flows[[#This Row],[Flow_Data_Year]]</f>
        <v>F_13_00_DM_2038</v>
      </c>
      <c r="AC81" s="7">
        <f>IF(E81="Yes",AA81*Tab_Data_Flows[[#This Row],[Flow_Material]],"N.A.")</f>
        <v>10</v>
      </c>
      <c r="AD81" s="7" t="str">
        <f>Tab_Data_Flows[[#This Row],[UoM_Flow_Py]]</f>
        <v>Mg</v>
      </c>
      <c r="AE81" s="156">
        <f>INDEX(Tab_Def_Flows[[Flow_ID]:[CC_DM_source]],MATCH(Tab_Data_Flows[[#This Row],[Flow_Name]],Tab_Def_Flows[Flow_Name],0),17)</f>
        <v>1</v>
      </c>
      <c r="AF81" s="7" t="str">
        <f>Tab_Data_Flows[[#This Row],[Flow_ID]]&amp;"_"&amp;"CC_"&amp;Tab_Data_Flows[[#This Row],[Flow_Data_Year]]</f>
        <v>F_13_00_CC_2038</v>
      </c>
      <c r="AG81" s="7">
        <f>IF(F81="Yes",AE81*Tab_Data_Flows[[#This Row],[Flow_Material]]*Tab_Data_Flows[[#This Row],[DM_'[%']]],"N.A.")</f>
        <v>10</v>
      </c>
      <c r="AH81" s="7" t="str">
        <f>Tab_Data_Flows[[#This Row],[UoM_Flow_Py]]</f>
        <v>Mg</v>
      </c>
      <c r="AI81"/>
    </row>
    <row r="82" spans="1:35" x14ac:dyDescent="0.25">
      <c r="A82" s="9">
        <f t="shared" si="3"/>
        <v>81</v>
      </c>
      <c r="B82" s="7" t="str">
        <f>_xlfn.XLOOKUP(C82,Tab_Def_Flows[Flow_Name],Tab_Def_Flows[Flow_ID],,0,)</f>
        <v>F_13_00</v>
      </c>
      <c r="C82" s="8" t="s">
        <v>738</v>
      </c>
      <c r="D82" s="10" t="str">
        <f>_xlfn.XLOOKUP(C82,Tab_Def_Flows[Flow_Name],Tab_Def_Flows[WC?],,0,)</f>
        <v>Yes</v>
      </c>
      <c r="E82" s="10" t="str">
        <f>_xlfn.XLOOKUP(C82,Tab_Def_Flows[Flow_Name],Tab_Def_Flows[DM?],,0,)</f>
        <v>Yes</v>
      </c>
      <c r="F82" s="10" t="str">
        <f>_xlfn.XLOOKUP(C82,Tab_Def_Flows[Flow_Name],Tab_Def_Flows[CC?],,0,)</f>
        <v>Yes</v>
      </c>
      <c r="G82" s="8">
        <v>2039</v>
      </c>
      <c r="H82" s="28">
        <v>10</v>
      </c>
      <c r="I82" s="8"/>
      <c r="J82" s="8"/>
      <c r="K82" s="8" t="e">
        <f>INDEX(#REF!,MATCH(Tab_Data_Flows[[#This Row],[Flow_Name]],#REF!,0),12)</f>
        <v>#REF!</v>
      </c>
      <c r="L82" s="8" t="e">
        <f>MATCH(Tab_Data_Flows[[#This Row],[Flow_Name]],#REF!,0)</f>
        <v>#REF!</v>
      </c>
      <c r="M82" s="8"/>
      <c r="N82" s="8"/>
      <c r="O82" s="8"/>
      <c r="P82" s="8"/>
      <c r="Q82" s="8" t="s">
        <v>8</v>
      </c>
      <c r="R82" s="8"/>
      <c r="S82" s="8"/>
      <c r="T82" s="7" t="str">
        <f>Tab_Data_Flows[[#This Row],[Flow_ID]]&amp;"_"&amp;"material_"&amp;Tab_Data_Flows[[#This Row],[Flow_Data_Year]]</f>
        <v>F_13_00_material_2039</v>
      </c>
      <c r="U82" s="18">
        <f t="shared" si="4"/>
        <v>10</v>
      </c>
      <c r="V82" s="8" t="s">
        <v>218</v>
      </c>
      <c r="W82" s="156">
        <f>INDEX(Tab_Def_Flows[[Flow_ID]:[CC_DM_source]],MATCH(Tab_Data_Flows[[#This Row],[Flow_Name]],Tab_Def_Flows[Flow_Name],0),11)</f>
        <v>0</v>
      </c>
      <c r="X82" s="7" t="str">
        <f>Tab_Data_Flows[[#This Row],[Flow_ID]]&amp;"_"&amp;"WC_"&amp;Tab_Data_Flows[[#This Row],[Flow_Data_Year]]</f>
        <v>F_13_00_WC_2039</v>
      </c>
      <c r="Y82" s="7">
        <f>IF(D82="Yes",U82*Tab_Data_Flows[[#This Row],[WC_'[%']]],"N.A.")</f>
        <v>0</v>
      </c>
      <c r="Z82" s="7" t="str">
        <f>Tab_Data_Flows[[#This Row],[UoM_Flow_Py]]</f>
        <v>Mg</v>
      </c>
      <c r="AA82" s="156">
        <f>INDEX(Tab_Def_Flows[[Flow_ID]:[CC_DM_source]],MATCH(Tab_Data_Flows[[#This Row],[Flow_Name]],Tab_Def_Flows[Flow_Name],0),14)</f>
        <v>1</v>
      </c>
      <c r="AB82" s="7" t="str">
        <f>Tab_Data_Flows[[#This Row],[Flow_ID]]&amp;"_"&amp;"DM_"&amp;Tab_Data_Flows[[#This Row],[Flow_Data_Year]]</f>
        <v>F_13_00_DM_2039</v>
      </c>
      <c r="AC82" s="7">
        <f>IF(E82="Yes",AA82*Tab_Data_Flows[[#This Row],[Flow_Material]],"N.A.")</f>
        <v>10</v>
      </c>
      <c r="AD82" s="7" t="str">
        <f>Tab_Data_Flows[[#This Row],[UoM_Flow_Py]]</f>
        <v>Mg</v>
      </c>
      <c r="AE82" s="156">
        <f>INDEX(Tab_Def_Flows[[Flow_ID]:[CC_DM_source]],MATCH(Tab_Data_Flows[[#This Row],[Flow_Name]],Tab_Def_Flows[Flow_Name],0),17)</f>
        <v>1</v>
      </c>
      <c r="AF82" s="7" t="str">
        <f>Tab_Data_Flows[[#This Row],[Flow_ID]]&amp;"_"&amp;"CC_"&amp;Tab_Data_Flows[[#This Row],[Flow_Data_Year]]</f>
        <v>F_13_00_CC_2039</v>
      </c>
      <c r="AG82" s="7">
        <f>IF(F82="Yes",AE82*Tab_Data_Flows[[#This Row],[Flow_Material]]*Tab_Data_Flows[[#This Row],[DM_'[%']]],"N.A.")</f>
        <v>10</v>
      </c>
      <c r="AH82" s="7" t="str">
        <f>Tab_Data_Flows[[#This Row],[UoM_Flow_Py]]</f>
        <v>Mg</v>
      </c>
      <c r="AI82"/>
    </row>
    <row r="83" spans="1:35" x14ac:dyDescent="0.25">
      <c r="A83" s="9">
        <f t="shared" si="3"/>
        <v>82</v>
      </c>
      <c r="B83" s="7" t="str">
        <f>_xlfn.XLOOKUP(C83,Tab_Def_Flows[Flow_Name],Tab_Def_Flows[Flow_ID],,0,)</f>
        <v>F_13_00</v>
      </c>
      <c r="C83" s="8" t="s">
        <v>738</v>
      </c>
      <c r="D83" s="10" t="str">
        <f>_xlfn.XLOOKUP(C83,Tab_Def_Flows[Flow_Name],Tab_Def_Flows[WC?],,0,)</f>
        <v>Yes</v>
      </c>
      <c r="E83" s="10" t="str">
        <f>_xlfn.XLOOKUP(C83,Tab_Def_Flows[Flow_Name],Tab_Def_Flows[DM?],,0,)</f>
        <v>Yes</v>
      </c>
      <c r="F83" s="10" t="str">
        <f>_xlfn.XLOOKUP(C83,Tab_Def_Flows[Flow_Name],Tab_Def_Flows[CC?],,0,)</f>
        <v>Yes</v>
      </c>
      <c r="G83" s="8">
        <v>2040</v>
      </c>
      <c r="H83" s="28">
        <v>10</v>
      </c>
      <c r="I83" s="8"/>
      <c r="J83" s="8"/>
      <c r="K83" s="8" t="e">
        <f>INDEX(#REF!,MATCH(Tab_Data_Flows[[#This Row],[Flow_Name]],#REF!,0),12)</f>
        <v>#REF!</v>
      </c>
      <c r="L83" s="8" t="e">
        <f>MATCH(Tab_Data_Flows[[#This Row],[Flow_Name]],#REF!,0)</f>
        <v>#REF!</v>
      </c>
      <c r="M83" s="8"/>
      <c r="N83" s="8"/>
      <c r="O83" s="8"/>
      <c r="P83" s="8"/>
      <c r="Q83" s="8" t="s">
        <v>8</v>
      </c>
      <c r="R83" s="8"/>
      <c r="S83" s="8"/>
      <c r="T83" s="7" t="str">
        <f>Tab_Data_Flows[[#This Row],[Flow_ID]]&amp;"_"&amp;"material_"&amp;Tab_Data_Flows[[#This Row],[Flow_Data_Year]]</f>
        <v>F_13_00_material_2040</v>
      </c>
      <c r="U83" s="18">
        <f t="shared" si="4"/>
        <v>10</v>
      </c>
      <c r="V83" s="8" t="s">
        <v>218</v>
      </c>
      <c r="W83" s="156">
        <f>INDEX(Tab_Def_Flows[[Flow_ID]:[CC_DM_source]],MATCH(Tab_Data_Flows[[#This Row],[Flow_Name]],Tab_Def_Flows[Flow_Name],0),11)</f>
        <v>0</v>
      </c>
      <c r="X83" s="7" t="str">
        <f>Tab_Data_Flows[[#This Row],[Flow_ID]]&amp;"_"&amp;"WC_"&amp;Tab_Data_Flows[[#This Row],[Flow_Data_Year]]</f>
        <v>F_13_00_WC_2040</v>
      </c>
      <c r="Y83" s="7">
        <f>IF(D83="Yes",U83*Tab_Data_Flows[[#This Row],[WC_'[%']]],"N.A.")</f>
        <v>0</v>
      </c>
      <c r="Z83" s="7" t="str">
        <f>Tab_Data_Flows[[#This Row],[UoM_Flow_Py]]</f>
        <v>Mg</v>
      </c>
      <c r="AA83" s="156">
        <f>INDEX(Tab_Def_Flows[[Flow_ID]:[CC_DM_source]],MATCH(Tab_Data_Flows[[#This Row],[Flow_Name]],Tab_Def_Flows[Flow_Name],0),14)</f>
        <v>1</v>
      </c>
      <c r="AB83" s="7" t="str">
        <f>Tab_Data_Flows[[#This Row],[Flow_ID]]&amp;"_"&amp;"DM_"&amp;Tab_Data_Flows[[#This Row],[Flow_Data_Year]]</f>
        <v>F_13_00_DM_2040</v>
      </c>
      <c r="AC83" s="7">
        <f>IF(E83="Yes",AA83*Tab_Data_Flows[[#This Row],[Flow_Material]],"N.A.")</f>
        <v>10</v>
      </c>
      <c r="AD83" s="7" t="str">
        <f>Tab_Data_Flows[[#This Row],[UoM_Flow_Py]]</f>
        <v>Mg</v>
      </c>
      <c r="AE83" s="156">
        <f>INDEX(Tab_Def_Flows[[Flow_ID]:[CC_DM_source]],MATCH(Tab_Data_Flows[[#This Row],[Flow_Name]],Tab_Def_Flows[Flow_Name],0),17)</f>
        <v>1</v>
      </c>
      <c r="AF83" s="7" t="str">
        <f>Tab_Data_Flows[[#This Row],[Flow_ID]]&amp;"_"&amp;"CC_"&amp;Tab_Data_Flows[[#This Row],[Flow_Data_Year]]</f>
        <v>F_13_00_CC_2040</v>
      </c>
      <c r="AG83" s="7">
        <f>IF(F83="Yes",AE83*Tab_Data_Flows[[#This Row],[Flow_Material]]*Tab_Data_Flows[[#This Row],[DM_'[%']]],"N.A.")</f>
        <v>10</v>
      </c>
      <c r="AH83" s="7" t="str">
        <f>Tab_Data_Flows[[#This Row],[UoM_Flow_Py]]</f>
        <v>Mg</v>
      </c>
      <c r="AI83"/>
    </row>
    <row r="84" spans="1:35" x14ac:dyDescent="0.25">
      <c r="A84" s="9">
        <f t="shared" si="3"/>
        <v>83</v>
      </c>
      <c r="B84" s="7" t="str">
        <f>_xlfn.XLOOKUP(C84,Tab_Def_Flows[Flow_Name],Tab_Def_Flows[Flow_ID],,0,)</f>
        <v>F_14_00</v>
      </c>
      <c r="C84" s="8" t="s">
        <v>740</v>
      </c>
      <c r="D84" s="10" t="str">
        <f>_xlfn.XLOOKUP(C84,Tab_Def_Flows[Flow_Name],Tab_Def_Flows[WC?],,0,)</f>
        <v>Yes</v>
      </c>
      <c r="E84" s="10" t="str">
        <f>_xlfn.XLOOKUP(C84,Tab_Def_Flows[Flow_Name],Tab_Def_Flows[DM?],,0,)</f>
        <v>Yes</v>
      </c>
      <c r="F84" s="10" t="str">
        <f>_xlfn.XLOOKUP(C84,Tab_Def_Flows[Flow_Name],Tab_Def_Flows[CC?],,0,)</f>
        <v>Yes</v>
      </c>
      <c r="G84" s="8">
        <v>2000</v>
      </c>
      <c r="H84" s="28">
        <v>30</v>
      </c>
      <c r="I84" s="8"/>
      <c r="J84" s="8"/>
      <c r="K84" s="8" t="e">
        <f>INDEX(#REF!,MATCH(Tab_Data_Flows[[#This Row],[Flow_Name]],#REF!,0),12)</f>
        <v>#REF!</v>
      </c>
      <c r="L84" s="8" t="e">
        <f>MATCH(Tab_Data_Flows[[#This Row],[Flow_Name]],#REF!,0)</f>
        <v>#REF!</v>
      </c>
      <c r="M84" s="8"/>
      <c r="N84" s="8"/>
      <c r="O84" s="8"/>
      <c r="P84" s="8"/>
      <c r="Q84" s="8" t="s">
        <v>8</v>
      </c>
      <c r="R84" s="8"/>
      <c r="S84" s="8"/>
      <c r="T84" s="7" t="str">
        <f>Tab_Data_Flows[[#This Row],[Flow_ID]]&amp;"_"&amp;"material_"&amp;Tab_Data_Flows[[#This Row],[Flow_Data_Year]]</f>
        <v>F_14_00_material_2000</v>
      </c>
      <c r="U84" s="18">
        <f t="shared" si="4"/>
        <v>30</v>
      </c>
      <c r="V84" s="8" t="s">
        <v>218</v>
      </c>
      <c r="W84" s="156">
        <f>INDEX(Tab_Def_Flows[[Flow_ID]:[CC_DM_source]],MATCH(Tab_Data_Flows[[#This Row],[Flow_Name]],Tab_Def_Flows[Flow_Name],0),11)</f>
        <v>0</v>
      </c>
      <c r="X84" s="7" t="str">
        <f>Tab_Data_Flows[[#This Row],[Flow_ID]]&amp;"_"&amp;"WC_"&amp;Tab_Data_Flows[[#This Row],[Flow_Data_Year]]</f>
        <v>F_14_00_WC_2000</v>
      </c>
      <c r="Y84" s="7">
        <f>IF(D84="Yes",U84*Tab_Data_Flows[[#This Row],[WC_'[%']]],"N.A.")</f>
        <v>0</v>
      </c>
      <c r="Z84" s="7" t="str">
        <f>Tab_Data_Flows[[#This Row],[UoM_Flow_Py]]</f>
        <v>Mg</v>
      </c>
      <c r="AA84" s="156">
        <f>INDEX(Tab_Def_Flows[[Flow_ID]:[CC_DM_source]],MATCH(Tab_Data_Flows[[#This Row],[Flow_Name]],Tab_Def_Flows[Flow_Name],0),14)</f>
        <v>1</v>
      </c>
      <c r="AB84" s="7" t="str">
        <f>Tab_Data_Flows[[#This Row],[Flow_ID]]&amp;"_"&amp;"DM_"&amp;Tab_Data_Flows[[#This Row],[Flow_Data_Year]]</f>
        <v>F_14_00_DM_2000</v>
      </c>
      <c r="AC84" s="7">
        <f>IF(E84="Yes",AA84*Tab_Data_Flows[[#This Row],[Flow_Material]],"N.A.")</f>
        <v>30</v>
      </c>
      <c r="AD84" s="7" t="str">
        <f>Tab_Data_Flows[[#This Row],[UoM_Flow_Py]]</f>
        <v>Mg</v>
      </c>
      <c r="AE84" s="156">
        <f>INDEX(Tab_Def_Flows[[Flow_ID]:[CC_DM_source]],MATCH(Tab_Data_Flows[[#This Row],[Flow_Name]],Tab_Def_Flows[Flow_Name],0),17)</f>
        <v>0.1</v>
      </c>
      <c r="AF84" s="7" t="str">
        <f>Tab_Data_Flows[[#This Row],[Flow_ID]]&amp;"_"&amp;"CC_"&amp;Tab_Data_Flows[[#This Row],[Flow_Data_Year]]</f>
        <v>F_14_00_CC_2000</v>
      </c>
      <c r="AG84" s="7">
        <f>IF(F84="Yes",AE84*Tab_Data_Flows[[#This Row],[Flow_Material]]*Tab_Data_Flows[[#This Row],[DM_'[%']]],"N.A.")</f>
        <v>3</v>
      </c>
      <c r="AH84" s="7" t="str">
        <f>Tab_Data_Flows[[#This Row],[UoM_Flow_Py]]</f>
        <v>Mg</v>
      </c>
      <c r="AI84"/>
    </row>
    <row r="85" spans="1:35" x14ac:dyDescent="0.25">
      <c r="A85" s="9">
        <f t="shared" si="3"/>
        <v>84</v>
      </c>
      <c r="B85" s="7" t="str">
        <f>_xlfn.XLOOKUP(C85,Tab_Def_Flows[Flow_Name],Tab_Def_Flows[Flow_ID],,0,)</f>
        <v>F_14_00</v>
      </c>
      <c r="C85" s="8" t="s">
        <v>740</v>
      </c>
      <c r="D85" s="10" t="str">
        <f>_xlfn.XLOOKUP(C85,Tab_Def_Flows[Flow_Name],Tab_Def_Flows[WC?],,0,)</f>
        <v>Yes</v>
      </c>
      <c r="E85" s="10" t="str">
        <f>_xlfn.XLOOKUP(C85,Tab_Def_Flows[Flow_Name],Tab_Def_Flows[DM?],,0,)</f>
        <v>Yes</v>
      </c>
      <c r="F85" s="10" t="str">
        <f>_xlfn.XLOOKUP(C85,Tab_Def_Flows[Flow_Name],Tab_Def_Flows[CC?],,0,)</f>
        <v>Yes</v>
      </c>
      <c r="G85" s="8">
        <v>2001</v>
      </c>
      <c r="H85" s="28">
        <v>30</v>
      </c>
      <c r="I85" s="8"/>
      <c r="J85" s="8"/>
      <c r="K85" s="8" t="e">
        <f>INDEX(#REF!,MATCH(Tab_Data_Flows[[#This Row],[Flow_Name]],#REF!,0),12)</f>
        <v>#REF!</v>
      </c>
      <c r="L85" s="8" t="e">
        <f>MATCH(Tab_Data_Flows[[#This Row],[Flow_Name]],#REF!,0)</f>
        <v>#REF!</v>
      </c>
      <c r="M85" s="8"/>
      <c r="N85" s="8"/>
      <c r="O85" s="8"/>
      <c r="P85" s="8"/>
      <c r="Q85" s="8" t="s">
        <v>8</v>
      </c>
      <c r="R85" s="8"/>
      <c r="S85" s="8"/>
      <c r="T85" s="7" t="str">
        <f>Tab_Data_Flows[[#This Row],[Flow_ID]]&amp;"_"&amp;"material_"&amp;Tab_Data_Flows[[#This Row],[Flow_Data_Year]]</f>
        <v>F_14_00_material_2001</v>
      </c>
      <c r="U85" s="18">
        <f t="shared" si="4"/>
        <v>30</v>
      </c>
      <c r="V85" s="8" t="s">
        <v>218</v>
      </c>
      <c r="W85" s="156">
        <f>INDEX(Tab_Def_Flows[[Flow_ID]:[CC_DM_source]],MATCH(Tab_Data_Flows[[#This Row],[Flow_Name]],Tab_Def_Flows[Flow_Name],0),11)</f>
        <v>0</v>
      </c>
      <c r="X85" s="7" t="str">
        <f>Tab_Data_Flows[[#This Row],[Flow_ID]]&amp;"_"&amp;"WC_"&amp;Tab_Data_Flows[[#This Row],[Flow_Data_Year]]</f>
        <v>F_14_00_WC_2001</v>
      </c>
      <c r="Y85" s="7">
        <f>IF(D85="Yes",U85*Tab_Data_Flows[[#This Row],[WC_'[%']]],"N.A.")</f>
        <v>0</v>
      </c>
      <c r="Z85" s="7" t="str">
        <f>Tab_Data_Flows[[#This Row],[UoM_Flow_Py]]</f>
        <v>Mg</v>
      </c>
      <c r="AA85" s="156">
        <f>INDEX(Tab_Def_Flows[[Flow_ID]:[CC_DM_source]],MATCH(Tab_Data_Flows[[#This Row],[Flow_Name]],Tab_Def_Flows[Flow_Name],0),14)</f>
        <v>1</v>
      </c>
      <c r="AB85" s="7" t="str">
        <f>Tab_Data_Flows[[#This Row],[Flow_ID]]&amp;"_"&amp;"DM_"&amp;Tab_Data_Flows[[#This Row],[Flow_Data_Year]]</f>
        <v>F_14_00_DM_2001</v>
      </c>
      <c r="AC85" s="7">
        <f>IF(E85="Yes",AA85*Tab_Data_Flows[[#This Row],[Flow_Material]],"N.A.")</f>
        <v>30</v>
      </c>
      <c r="AD85" s="7" t="str">
        <f>Tab_Data_Flows[[#This Row],[UoM_Flow_Py]]</f>
        <v>Mg</v>
      </c>
      <c r="AE85" s="156">
        <f>INDEX(Tab_Def_Flows[[Flow_ID]:[CC_DM_source]],MATCH(Tab_Data_Flows[[#This Row],[Flow_Name]],Tab_Def_Flows[Flow_Name],0),17)</f>
        <v>0.1</v>
      </c>
      <c r="AF85" s="7" t="str">
        <f>Tab_Data_Flows[[#This Row],[Flow_ID]]&amp;"_"&amp;"CC_"&amp;Tab_Data_Flows[[#This Row],[Flow_Data_Year]]</f>
        <v>F_14_00_CC_2001</v>
      </c>
      <c r="AG85" s="7">
        <f>IF(F85="Yes",AE85*Tab_Data_Flows[[#This Row],[Flow_Material]]*Tab_Data_Flows[[#This Row],[DM_'[%']]],"N.A.")</f>
        <v>3</v>
      </c>
      <c r="AH85" s="7" t="str">
        <f>Tab_Data_Flows[[#This Row],[UoM_Flow_Py]]</f>
        <v>Mg</v>
      </c>
      <c r="AI85"/>
    </row>
    <row r="86" spans="1:35" x14ac:dyDescent="0.25">
      <c r="A86" s="9">
        <f t="shared" si="3"/>
        <v>85</v>
      </c>
      <c r="B86" s="7" t="str">
        <f>_xlfn.XLOOKUP(C86,Tab_Def_Flows[Flow_Name],Tab_Def_Flows[Flow_ID],,0,)</f>
        <v>F_14_00</v>
      </c>
      <c r="C86" s="8" t="s">
        <v>740</v>
      </c>
      <c r="D86" s="10" t="str">
        <f>_xlfn.XLOOKUP(C86,Tab_Def_Flows[Flow_Name],Tab_Def_Flows[WC?],,0,)</f>
        <v>Yes</v>
      </c>
      <c r="E86" s="10" t="str">
        <f>_xlfn.XLOOKUP(C86,Tab_Def_Flows[Flow_Name],Tab_Def_Flows[DM?],,0,)</f>
        <v>Yes</v>
      </c>
      <c r="F86" s="10" t="str">
        <f>_xlfn.XLOOKUP(C86,Tab_Def_Flows[Flow_Name],Tab_Def_Flows[CC?],,0,)</f>
        <v>Yes</v>
      </c>
      <c r="G86" s="8">
        <v>2002</v>
      </c>
      <c r="H86" s="28">
        <v>30</v>
      </c>
      <c r="I86" s="8"/>
      <c r="J86" s="8"/>
      <c r="K86" s="8" t="e">
        <f>INDEX(#REF!,MATCH(Tab_Data_Flows[[#This Row],[Flow_Name]],#REF!,0),12)</f>
        <v>#REF!</v>
      </c>
      <c r="L86" s="8" t="e">
        <f>MATCH(Tab_Data_Flows[[#This Row],[Flow_Name]],#REF!,0)</f>
        <v>#REF!</v>
      </c>
      <c r="M86" s="8"/>
      <c r="N86" s="8"/>
      <c r="O86" s="8"/>
      <c r="P86" s="8"/>
      <c r="Q86" s="8" t="s">
        <v>8</v>
      </c>
      <c r="R86" s="8"/>
      <c r="S86" s="8"/>
      <c r="T86" s="7" t="str">
        <f>Tab_Data_Flows[[#This Row],[Flow_ID]]&amp;"_"&amp;"material_"&amp;Tab_Data_Flows[[#This Row],[Flow_Data_Year]]</f>
        <v>F_14_00_material_2002</v>
      </c>
      <c r="U86" s="18">
        <f t="shared" si="4"/>
        <v>30</v>
      </c>
      <c r="V86" s="8" t="s">
        <v>218</v>
      </c>
      <c r="W86" s="156">
        <f>INDEX(Tab_Def_Flows[[Flow_ID]:[CC_DM_source]],MATCH(Tab_Data_Flows[[#This Row],[Flow_Name]],Tab_Def_Flows[Flow_Name],0),11)</f>
        <v>0</v>
      </c>
      <c r="X86" s="7" t="str">
        <f>Tab_Data_Flows[[#This Row],[Flow_ID]]&amp;"_"&amp;"WC_"&amp;Tab_Data_Flows[[#This Row],[Flow_Data_Year]]</f>
        <v>F_14_00_WC_2002</v>
      </c>
      <c r="Y86" s="7">
        <f>IF(D86="Yes",U86*Tab_Data_Flows[[#This Row],[WC_'[%']]],"N.A.")</f>
        <v>0</v>
      </c>
      <c r="Z86" s="7" t="str">
        <f>Tab_Data_Flows[[#This Row],[UoM_Flow_Py]]</f>
        <v>Mg</v>
      </c>
      <c r="AA86" s="156">
        <f>INDEX(Tab_Def_Flows[[Flow_ID]:[CC_DM_source]],MATCH(Tab_Data_Flows[[#This Row],[Flow_Name]],Tab_Def_Flows[Flow_Name],0),14)</f>
        <v>1</v>
      </c>
      <c r="AB86" s="7" t="str">
        <f>Tab_Data_Flows[[#This Row],[Flow_ID]]&amp;"_"&amp;"DM_"&amp;Tab_Data_Flows[[#This Row],[Flow_Data_Year]]</f>
        <v>F_14_00_DM_2002</v>
      </c>
      <c r="AC86" s="7">
        <f>IF(E86="Yes",AA86*Tab_Data_Flows[[#This Row],[Flow_Material]],"N.A.")</f>
        <v>30</v>
      </c>
      <c r="AD86" s="7" t="str">
        <f>Tab_Data_Flows[[#This Row],[UoM_Flow_Py]]</f>
        <v>Mg</v>
      </c>
      <c r="AE86" s="156">
        <f>INDEX(Tab_Def_Flows[[Flow_ID]:[CC_DM_source]],MATCH(Tab_Data_Flows[[#This Row],[Flow_Name]],Tab_Def_Flows[Flow_Name],0),17)</f>
        <v>0.1</v>
      </c>
      <c r="AF86" s="7" t="str">
        <f>Tab_Data_Flows[[#This Row],[Flow_ID]]&amp;"_"&amp;"CC_"&amp;Tab_Data_Flows[[#This Row],[Flow_Data_Year]]</f>
        <v>F_14_00_CC_2002</v>
      </c>
      <c r="AG86" s="7">
        <f>IF(F86="Yes",AE86*Tab_Data_Flows[[#This Row],[Flow_Material]]*Tab_Data_Flows[[#This Row],[DM_'[%']]],"N.A.")</f>
        <v>3</v>
      </c>
      <c r="AH86" s="7" t="str">
        <f>Tab_Data_Flows[[#This Row],[UoM_Flow_Py]]</f>
        <v>Mg</v>
      </c>
      <c r="AI86"/>
    </row>
    <row r="87" spans="1:35" x14ac:dyDescent="0.25">
      <c r="A87" s="9">
        <f t="shared" si="3"/>
        <v>86</v>
      </c>
      <c r="B87" s="7" t="str">
        <f>_xlfn.XLOOKUP(C87,Tab_Def_Flows[Flow_Name],Tab_Def_Flows[Flow_ID],,0,)</f>
        <v>F_14_00</v>
      </c>
      <c r="C87" s="8" t="s">
        <v>740</v>
      </c>
      <c r="D87" s="10" t="str">
        <f>_xlfn.XLOOKUP(C87,Tab_Def_Flows[Flow_Name],Tab_Def_Flows[WC?],,0,)</f>
        <v>Yes</v>
      </c>
      <c r="E87" s="10" t="str">
        <f>_xlfn.XLOOKUP(C87,Tab_Def_Flows[Flow_Name],Tab_Def_Flows[DM?],,0,)</f>
        <v>Yes</v>
      </c>
      <c r="F87" s="10" t="str">
        <f>_xlfn.XLOOKUP(C87,Tab_Def_Flows[Flow_Name],Tab_Def_Flows[CC?],,0,)</f>
        <v>Yes</v>
      </c>
      <c r="G87" s="8">
        <v>2003</v>
      </c>
      <c r="H87" s="28">
        <v>30</v>
      </c>
      <c r="I87" s="8"/>
      <c r="J87" s="8"/>
      <c r="K87" s="8" t="e">
        <f>INDEX(#REF!,MATCH(Tab_Data_Flows[[#This Row],[Flow_Name]],#REF!,0),12)</f>
        <v>#REF!</v>
      </c>
      <c r="L87" s="8" t="e">
        <f>MATCH(Tab_Data_Flows[[#This Row],[Flow_Name]],#REF!,0)</f>
        <v>#REF!</v>
      </c>
      <c r="M87" s="8"/>
      <c r="N87" s="8"/>
      <c r="O87" s="8"/>
      <c r="P87" s="8"/>
      <c r="Q87" s="8" t="s">
        <v>8</v>
      </c>
      <c r="R87" s="8"/>
      <c r="S87" s="8"/>
      <c r="T87" s="7" t="str">
        <f>Tab_Data_Flows[[#This Row],[Flow_ID]]&amp;"_"&amp;"material_"&amp;Tab_Data_Flows[[#This Row],[Flow_Data_Year]]</f>
        <v>F_14_00_material_2003</v>
      </c>
      <c r="U87" s="18">
        <f t="shared" si="4"/>
        <v>30</v>
      </c>
      <c r="V87" s="8" t="s">
        <v>218</v>
      </c>
      <c r="W87" s="156">
        <f>INDEX(Tab_Def_Flows[[Flow_ID]:[CC_DM_source]],MATCH(Tab_Data_Flows[[#This Row],[Flow_Name]],Tab_Def_Flows[Flow_Name],0),11)</f>
        <v>0</v>
      </c>
      <c r="X87" s="7" t="str">
        <f>Tab_Data_Flows[[#This Row],[Flow_ID]]&amp;"_"&amp;"WC_"&amp;Tab_Data_Flows[[#This Row],[Flow_Data_Year]]</f>
        <v>F_14_00_WC_2003</v>
      </c>
      <c r="Y87" s="7">
        <f>IF(D87="Yes",U87*Tab_Data_Flows[[#This Row],[WC_'[%']]],"N.A.")</f>
        <v>0</v>
      </c>
      <c r="Z87" s="7" t="str">
        <f>Tab_Data_Flows[[#This Row],[UoM_Flow_Py]]</f>
        <v>Mg</v>
      </c>
      <c r="AA87" s="156">
        <f>INDEX(Tab_Def_Flows[[Flow_ID]:[CC_DM_source]],MATCH(Tab_Data_Flows[[#This Row],[Flow_Name]],Tab_Def_Flows[Flow_Name],0),14)</f>
        <v>1</v>
      </c>
      <c r="AB87" s="7" t="str">
        <f>Tab_Data_Flows[[#This Row],[Flow_ID]]&amp;"_"&amp;"DM_"&amp;Tab_Data_Flows[[#This Row],[Flow_Data_Year]]</f>
        <v>F_14_00_DM_2003</v>
      </c>
      <c r="AC87" s="7">
        <f>IF(E87="Yes",AA87*Tab_Data_Flows[[#This Row],[Flow_Material]],"N.A.")</f>
        <v>30</v>
      </c>
      <c r="AD87" s="7" t="str">
        <f>Tab_Data_Flows[[#This Row],[UoM_Flow_Py]]</f>
        <v>Mg</v>
      </c>
      <c r="AE87" s="156">
        <f>INDEX(Tab_Def_Flows[[Flow_ID]:[CC_DM_source]],MATCH(Tab_Data_Flows[[#This Row],[Flow_Name]],Tab_Def_Flows[Flow_Name],0),17)</f>
        <v>0.1</v>
      </c>
      <c r="AF87" s="7" t="str">
        <f>Tab_Data_Flows[[#This Row],[Flow_ID]]&amp;"_"&amp;"CC_"&amp;Tab_Data_Flows[[#This Row],[Flow_Data_Year]]</f>
        <v>F_14_00_CC_2003</v>
      </c>
      <c r="AG87" s="7">
        <f>IF(F87="Yes",AE87*Tab_Data_Flows[[#This Row],[Flow_Material]]*Tab_Data_Flows[[#This Row],[DM_'[%']]],"N.A.")</f>
        <v>3</v>
      </c>
      <c r="AH87" s="7" t="str">
        <f>Tab_Data_Flows[[#This Row],[UoM_Flow_Py]]</f>
        <v>Mg</v>
      </c>
      <c r="AI87"/>
    </row>
    <row r="88" spans="1:35" x14ac:dyDescent="0.25">
      <c r="A88" s="9">
        <f t="shared" si="3"/>
        <v>87</v>
      </c>
      <c r="B88" s="7" t="str">
        <f>_xlfn.XLOOKUP(C88,Tab_Def_Flows[Flow_Name],Tab_Def_Flows[Flow_ID],,0,)</f>
        <v>F_14_00</v>
      </c>
      <c r="C88" s="8" t="s">
        <v>740</v>
      </c>
      <c r="D88" s="10" t="str">
        <f>_xlfn.XLOOKUP(C88,Tab_Def_Flows[Flow_Name],Tab_Def_Flows[WC?],,0,)</f>
        <v>Yes</v>
      </c>
      <c r="E88" s="10" t="str">
        <f>_xlfn.XLOOKUP(C88,Tab_Def_Flows[Flow_Name],Tab_Def_Flows[DM?],,0,)</f>
        <v>Yes</v>
      </c>
      <c r="F88" s="10" t="str">
        <f>_xlfn.XLOOKUP(C88,Tab_Def_Flows[Flow_Name],Tab_Def_Flows[CC?],,0,)</f>
        <v>Yes</v>
      </c>
      <c r="G88" s="8">
        <v>2004</v>
      </c>
      <c r="H88" s="28">
        <v>30</v>
      </c>
      <c r="I88" s="8"/>
      <c r="J88" s="8"/>
      <c r="K88" s="8" t="e">
        <f>INDEX(#REF!,MATCH(Tab_Data_Flows[[#This Row],[Flow_Name]],#REF!,0),12)</f>
        <v>#REF!</v>
      </c>
      <c r="L88" s="8" t="e">
        <f>MATCH(Tab_Data_Flows[[#This Row],[Flow_Name]],#REF!,0)</f>
        <v>#REF!</v>
      </c>
      <c r="M88" s="8"/>
      <c r="N88" s="8"/>
      <c r="O88" s="8"/>
      <c r="P88" s="8"/>
      <c r="Q88" s="8" t="s">
        <v>8</v>
      </c>
      <c r="R88" s="8"/>
      <c r="S88" s="8"/>
      <c r="T88" s="7" t="str">
        <f>Tab_Data_Flows[[#This Row],[Flow_ID]]&amp;"_"&amp;"material_"&amp;Tab_Data_Flows[[#This Row],[Flow_Data_Year]]</f>
        <v>F_14_00_material_2004</v>
      </c>
      <c r="U88" s="18">
        <f t="shared" si="4"/>
        <v>30</v>
      </c>
      <c r="V88" s="8" t="s">
        <v>218</v>
      </c>
      <c r="W88" s="156">
        <f>INDEX(Tab_Def_Flows[[Flow_ID]:[CC_DM_source]],MATCH(Tab_Data_Flows[[#This Row],[Flow_Name]],Tab_Def_Flows[Flow_Name],0),11)</f>
        <v>0</v>
      </c>
      <c r="X88" s="7" t="str">
        <f>Tab_Data_Flows[[#This Row],[Flow_ID]]&amp;"_"&amp;"WC_"&amp;Tab_Data_Flows[[#This Row],[Flow_Data_Year]]</f>
        <v>F_14_00_WC_2004</v>
      </c>
      <c r="Y88" s="7">
        <f>IF(D88="Yes",U88*Tab_Data_Flows[[#This Row],[WC_'[%']]],"N.A.")</f>
        <v>0</v>
      </c>
      <c r="Z88" s="7" t="str">
        <f>Tab_Data_Flows[[#This Row],[UoM_Flow_Py]]</f>
        <v>Mg</v>
      </c>
      <c r="AA88" s="156">
        <f>INDEX(Tab_Def_Flows[[Flow_ID]:[CC_DM_source]],MATCH(Tab_Data_Flows[[#This Row],[Flow_Name]],Tab_Def_Flows[Flow_Name],0),14)</f>
        <v>1</v>
      </c>
      <c r="AB88" s="7" t="str">
        <f>Tab_Data_Flows[[#This Row],[Flow_ID]]&amp;"_"&amp;"DM_"&amp;Tab_Data_Flows[[#This Row],[Flow_Data_Year]]</f>
        <v>F_14_00_DM_2004</v>
      </c>
      <c r="AC88" s="7">
        <f>IF(E88="Yes",AA88*Tab_Data_Flows[[#This Row],[Flow_Material]],"N.A.")</f>
        <v>30</v>
      </c>
      <c r="AD88" s="7" t="str">
        <f>Tab_Data_Flows[[#This Row],[UoM_Flow_Py]]</f>
        <v>Mg</v>
      </c>
      <c r="AE88" s="156">
        <f>INDEX(Tab_Def_Flows[[Flow_ID]:[CC_DM_source]],MATCH(Tab_Data_Flows[[#This Row],[Flow_Name]],Tab_Def_Flows[Flow_Name],0),17)</f>
        <v>0.1</v>
      </c>
      <c r="AF88" s="7" t="str">
        <f>Tab_Data_Flows[[#This Row],[Flow_ID]]&amp;"_"&amp;"CC_"&amp;Tab_Data_Flows[[#This Row],[Flow_Data_Year]]</f>
        <v>F_14_00_CC_2004</v>
      </c>
      <c r="AG88" s="7">
        <f>IF(F88="Yes",AE88*Tab_Data_Flows[[#This Row],[Flow_Material]]*Tab_Data_Flows[[#This Row],[DM_'[%']]],"N.A.")</f>
        <v>3</v>
      </c>
      <c r="AH88" s="7" t="str">
        <f>Tab_Data_Flows[[#This Row],[UoM_Flow_Py]]</f>
        <v>Mg</v>
      </c>
      <c r="AI88"/>
    </row>
    <row r="89" spans="1:35" x14ac:dyDescent="0.25">
      <c r="A89" s="9">
        <f t="shared" si="3"/>
        <v>88</v>
      </c>
      <c r="B89" s="7" t="str">
        <f>_xlfn.XLOOKUP(C89,Tab_Def_Flows[Flow_Name],Tab_Def_Flows[Flow_ID],,0,)</f>
        <v>F_14_00</v>
      </c>
      <c r="C89" s="8" t="s">
        <v>740</v>
      </c>
      <c r="D89" s="10" t="str">
        <f>_xlfn.XLOOKUP(C89,Tab_Def_Flows[Flow_Name],Tab_Def_Flows[WC?],,0,)</f>
        <v>Yes</v>
      </c>
      <c r="E89" s="10" t="str">
        <f>_xlfn.XLOOKUP(C89,Tab_Def_Flows[Flow_Name],Tab_Def_Flows[DM?],,0,)</f>
        <v>Yes</v>
      </c>
      <c r="F89" s="10" t="str">
        <f>_xlfn.XLOOKUP(C89,Tab_Def_Flows[Flow_Name],Tab_Def_Flows[CC?],,0,)</f>
        <v>Yes</v>
      </c>
      <c r="G89" s="8">
        <v>2005</v>
      </c>
      <c r="H89" s="28">
        <v>30</v>
      </c>
      <c r="I89" s="8"/>
      <c r="J89" s="8"/>
      <c r="K89" s="8"/>
      <c r="L89" s="8"/>
      <c r="M89" s="8"/>
      <c r="N89" s="8"/>
      <c r="O89" s="8"/>
      <c r="P89" s="8"/>
      <c r="Q89" s="8" t="s">
        <v>8</v>
      </c>
      <c r="R89" s="21"/>
      <c r="S89" s="8"/>
      <c r="T89" s="7" t="str">
        <f>Tab_Data_Flows[[#This Row],[Flow_ID]]&amp;"_"&amp;"material_"&amp;Tab_Data_Flows[[#This Row],[Flow_Data_Year]]</f>
        <v>F_14_00_material_2005</v>
      </c>
      <c r="U89" s="18">
        <f t="shared" si="4"/>
        <v>30</v>
      </c>
      <c r="V89" s="8" t="s">
        <v>218</v>
      </c>
      <c r="W89" s="156">
        <f>INDEX(Tab_Def_Flows[[Flow_ID]:[CC_DM_source]],MATCH(Tab_Data_Flows[[#This Row],[Flow_Name]],Tab_Def_Flows[Flow_Name],0),11)</f>
        <v>0</v>
      </c>
      <c r="X89" s="7" t="str">
        <f>Tab_Data_Flows[[#This Row],[Flow_ID]]&amp;"_"&amp;"WC_"&amp;Tab_Data_Flows[[#This Row],[Flow_Data_Year]]</f>
        <v>F_14_00_WC_2005</v>
      </c>
      <c r="Y89" s="7">
        <f>IF(D89="Yes",U89*Tab_Data_Flows[[#This Row],[WC_'[%']]],"N.A.")</f>
        <v>0</v>
      </c>
      <c r="Z89" s="7" t="str">
        <f>Tab_Data_Flows[[#This Row],[UoM_Flow_Py]]</f>
        <v>Mg</v>
      </c>
      <c r="AA89" s="156">
        <f>INDEX(Tab_Def_Flows[[Flow_ID]:[CC_DM_source]],MATCH(Tab_Data_Flows[[#This Row],[Flow_Name]],Tab_Def_Flows[Flow_Name],0),14)</f>
        <v>1</v>
      </c>
      <c r="AB89" s="7" t="str">
        <f>Tab_Data_Flows[[#This Row],[Flow_ID]]&amp;"_"&amp;"DM_"&amp;Tab_Data_Flows[[#This Row],[Flow_Data_Year]]</f>
        <v>F_14_00_DM_2005</v>
      </c>
      <c r="AC89" s="7">
        <f>IF(E89="Yes",AA89*Tab_Data_Flows[[#This Row],[Flow_Material]],"N.A.")</f>
        <v>30</v>
      </c>
      <c r="AD89" s="7" t="str">
        <f>Tab_Data_Flows[[#This Row],[UoM_Flow_Py]]</f>
        <v>Mg</v>
      </c>
      <c r="AE89" s="156">
        <f>INDEX(Tab_Def_Flows[[Flow_ID]:[CC_DM_source]],MATCH(Tab_Data_Flows[[#This Row],[Flow_Name]],Tab_Def_Flows[Flow_Name],0),17)</f>
        <v>0.1</v>
      </c>
      <c r="AF89" s="7" t="str">
        <f>Tab_Data_Flows[[#This Row],[Flow_ID]]&amp;"_"&amp;"CC_"&amp;Tab_Data_Flows[[#This Row],[Flow_Data_Year]]</f>
        <v>F_14_00_CC_2005</v>
      </c>
      <c r="AG89" s="7">
        <f>IF(F89="Yes",AE89*Tab_Data_Flows[[#This Row],[Flow_Material]]*Tab_Data_Flows[[#This Row],[DM_'[%']]],"N.A.")</f>
        <v>3</v>
      </c>
      <c r="AH89" s="7" t="str">
        <f>Tab_Data_Flows[[#This Row],[UoM_Flow_Py]]</f>
        <v>Mg</v>
      </c>
      <c r="AI89"/>
    </row>
    <row r="90" spans="1:35" x14ac:dyDescent="0.25">
      <c r="A90" s="9">
        <f t="shared" si="3"/>
        <v>89</v>
      </c>
      <c r="B90" s="7" t="str">
        <f>_xlfn.XLOOKUP(C90,Tab_Def_Flows[Flow_Name],Tab_Def_Flows[Flow_ID],,0,)</f>
        <v>F_14_00</v>
      </c>
      <c r="C90" s="8" t="s">
        <v>740</v>
      </c>
      <c r="D90" s="10" t="str">
        <f>_xlfn.XLOOKUP(C90,Tab_Def_Flows[Flow_Name],Tab_Def_Flows[WC?],,0,)</f>
        <v>Yes</v>
      </c>
      <c r="E90" s="10" t="str">
        <f>_xlfn.XLOOKUP(C90,Tab_Def_Flows[Flow_Name],Tab_Def_Flows[DM?],,0,)</f>
        <v>Yes</v>
      </c>
      <c r="F90" s="10" t="str">
        <f>_xlfn.XLOOKUP(C90,Tab_Def_Flows[Flow_Name],Tab_Def_Flows[CC?],,0,)</f>
        <v>Yes</v>
      </c>
      <c r="G90" s="8">
        <v>2006</v>
      </c>
      <c r="H90" s="28">
        <v>30</v>
      </c>
      <c r="I90" s="8"/>
      <c r="J90" s="8"/>
      <c r="K90" s="8"/>
      <c r="L90" s="8"/>
      <c r="M90" s="8"/>
      <c r="N90" s="8"/>
      <c r="O90" s="8"/>
      <c r="P90" s="8"/>
      <c r="Q90" s="8" t="s">
        <v>8</v>
      </c>
      <c r="R90" s="21"/>
      <c r="S90" s="8"/>
      <c r="T90" s="7" t="str">
        <f>Tab_Data_Flows[[#This Row],[Flow_ID]]&amp;"_"&amp;"material_"&amp;Tab_Data_Flows[[#This Row],[Flow_Data_Year]]</f>
        <v>F_14_00_material_2006</v>
      </c>
      <c r="U90" s="18">
        <f t="shared" si="4"/>
        <v>30</v>
      </c>
      <c r="V90" s="8" t="s">
        <v>218</v>
      </c>
      <c r="W90" s="156">
        <f>INDEX(Tab_Def_Flows[[Flow_ID]:[CC_DM_source]],MATCH(Tab_Data_Flows[[#This Row],[Flow_Name]],Tab_Def_Flows[Flow_Name],0),11)</f>
        <v>0</v>
      </c>
      <c r="X90" s="7" t="str">
        <f>Tab_Data_Flows[[#This Row],[Flow_ID]]&amp;"_"&amp;"WC_"&amp;Tab_Data_Flows[[#This Row],[Flow_Data_Year]]</f>
        <v>F_14_00_WC_2006</v>
      </c>
      <c r="Y90" s="7">
        <f>IF(D90="Yes",U90*Tab_Data_Flows[[#This Row],[WC_'[%']]],"N.A.")</f>
        <v>0</v>
      </c>
      <c r="Z90" s="7" t="str">
        <f>Tab_Data_Flows[[#This Row],[UoM_Flow_Py]]</f>
        <v>Mg</v>
      </c>
      <c r="AA90" s="156">
        <f>INDEX(Tab_Def_Flows[[Flow_ID]:[CC_DM_source]],MATCH(Tab_Data_Flows[[#This Row],[Flow_Name]],Tab_Def_Flows[Flow_Name],0),14)</f>
        <v>1</v>
      </c>
      <c r="AB90" s="7" t="str">
        <f>Tab_Data_Flows[[#This Row],[Flow_ID]]&amp;"_"&amp;"DM_"&amp;Tab_Data_Flows[[#This Row],[Flow_Data_Year]]</f>
        <v>F_14_00_DM_2006</v>
      </c>
      <c r="AC90" s="7">
        <f>IF(E90="Yes",AA90*Tab_Data_Flows[[#This Row],[Flow_Material]],"N.A.")</f>
        <v>30</v>
      </c>
      <c r="AD90" s="7" t="str">
        <f>Tab_Data_Flows[[#This Row],[UoM_Flow_Py]]</f>
        <v>Mg</v>
      </c>
      <c r="AE90" s="156">
        <f>INDEX(Tab_Def_Flows[[Flow_ID]:[CC_DM_source]],MATCH(Tab_Data_Flows[[#This Row],[Flow_Name]],Tab_Def_Flows[Flow_Name],0),17)</f>
        <v>0.1</v>
      </c>
      <c r="AF90" s="7" t="str">
        <f>Tab_Data_Flows[[#This Row],[Flow_ID]]&amp;"_"&amp;"CC_"&amp;Tab_Data_Flows[[#This Row],[Flow_Data_Year]]</f>
        <v>F_14_00_CC_2006</v>
      </c>
      <c r="AG90" s="7">
        <f>IF(F90="Yes",AE90*Tab_Data_Flows[[#This Row],[Flow_Material]]*Tab_Data_Flows[[#This Row],[DM_'[%']]],"N.A.")</f>
        <v>3</v>
      </c>
      <c r="AH90" s="7" t="str">
        <f>Tab_Data_Flows[[#This Row],[UoM_Flow_Py]]</f>
        <v>Mg</v>
      </c>
      <c r="AI90"/>
    </row>
    <row r="91" spans="1:35" x14ac:dyDescent="0.25">
      <c r="A91" s="9">
        <f t="shared" si="3"/>
        <v>90</v>
      </c>
      <c r="B91" s="7" t="str">
        <f>_xlfn.XLOOKUP(C91,Tab_Def_Flows[Flow_Name],Tab_Def_Flows[Flow_ID],,0,)</f>
        <v>F_14_00</v>
      </c>
      <c r="C91" s="8" t="s">
        <v>740</v>
      </c>
      <c r="D91" s="10" t="str">
        <f>_xlfn.XLOOKUP(C91,Tab_Def_Flows[Flow_Name],Tab_Def_Flows[WC?],,0,)</f>
        <v>Yes</v>
      </c>
      <c r="E91" s="10" t="str">
        <f>_xlfn.XLOOKUP(C91,Tab_Def_Flows[Flow_Name],Tab_Def_Flows[DM?],,0,)</f>
        <v>Yes</v>
      </c>
      <c r="F91" s="10" t="str">
        <f>_xlfn.XLOOKUP(C91,Tab_Def_Flows[Flow_Name],Tab_Def_Flows[CC?],,0,)</f>
        <v>Yes</v>
      </c>
      <c r="G91" s="8">
        <v>2007</v>
      </c>
      <c r="H91" s="28">
        <v>30</v>
      </c>
      <c r="I91" s="8"/>
      <c r="J91" s="8"/>
      <c r="K91" s="8"/>
      <c r="L91" s="8"/>
      <c r="M91" s="8"/>
      <c r="N91" s="8"/>
      <c r="O91" s="8"/>
      <c r="P91" s="8"/>
      <c r="Q91" s="8" t="s">
        <v>8</v>
      </c>
      <c r="R91" s="21"/>
      <c r="S91" s="8"/>
      <c r="T91" s="7" t="str">
        <f>Tab_Data_Flows[[#This Row],[Flow_ID]]&amp;"_"&amp;"material_"&amp;Tab_Data_Flows[[#This Row],[Flow_Data_Year]]</f>
        <v>F_14_00_material_2007</v>
      </c>
      <c r="U91" s="18">
        <f t="shared" si="4"/>
        <v>30</v>
      </c>
      <c r="V91" s="8" t="s">
        <v>218</v>
      </c>
      <c r="W91" s="156">
        <f>INDEX(Tab_Def_Flows[[Flow_ID]:[CC_DM_source]],MATCH(Tab_Data_Flows[[#This Row],[Flow_Name]],Tab_Def_Flows[Flow_Name],0),11)</f>
        <v>0</v>
      </c>
      <c r="X91" s="7" t="str">
        <f>Tab_Data_Flows[[#This Row],[Flow_ID]]&amp;"_"&amp;"WC_"&amp;Tab_Data_Flows[[#This Row],[Flow_Data_Year]]</f>
        <v>F_14_00_WC_2007</v>
      </c>
      <c r="Y91" s="7">
        <f>IF(D91="Yes",U91*Tab_Data_Flows[[#This Row],[WC_'[%']]],"N.A.")</f>
        <v>0</v>
      </c>
      <c r="Z91" s="7" t="str">
        <f>Tab_Data_Flows[[#This Row],[UoM_Flow_Py]]</f>
        <v>Mg</v>
      </c>
      <c r="AA91" s="156">
        <f>INDEX(Tab_Def_Flows[[Flow_ID]:[CC_DM_source]],MATCH(Tab_Data_Flows[[#This Row],[Flow_Name]],Tab_Def_Flows[Flow_Name],0),14)</f>
        <v>1</v>
      </c>
      <c r="AB91" s="7" t="str">
        <f>Tab_Data_Flows[[#This Row],[Flow_ID]]&amp;"_"&amp;"DM_"&amp;Tab_Data_Flows[[#This Row],[Flow_Data_Year]]</f>
        <v>F_14_00_DM_2007</v>
      </c>
      <c r="AC91" s="7">
        <f>IF(E91="Yes",AA91*Tab_Data_Flows[[#This Row],[Flow_Material]],"N.A.")</f>
        <v>30</v>
      </c>
      <c r="AD91" s="7" t="str">
        <f>Tab_Data_Flows[[#This Row],[UoM_Flow_Py]]</f>
        <v>Mg</v>
      </c>
      <c r="AE91" s="156">
        <f>INDEX(Tab_Def_Flows[[Flow_ID]:[CC_DM_source]],MATCH(Tab_Data_Flows[[#This Row],[Flow_Name]],Tab_Def_Flows[Flow_Name],0),17)</f>
        <v>0.1</v>
      </c>
      <c r="AF91" s="7" t="str">
        <f>Tab_Data_Flows[[#This Row],[Flow_ID]]&amp;"_"&amp;"CC_"&amp;Tab_Data_Flows[[#This Row],[Flow_Data_Year]]</f>
        <v>F_14_00_CC_2007</v>
      </c>
      <c r="AG91" s="7">
        <f>IF(F91="Yes",AE91*Tab_Data_Flows[[#This Row],[Flow_Material]]*Tab_Data_Flows[[#This Row],[DM_'[%']]],"N.A.")</f>
        <v>3</v>
      </c>
      <c r="AH91" s="7" t="str">
        <f>Tab_Data_Flows[[#This Row],[UoM_Flow_Py]]</f>
        <v>Mg</v>
      </c>
      <c r="AI91"/>
    </row>
    <row r="92" spans="1:35" x14ac:dyDescent="0.25">
      <c r="A92" s="9">
        <f t="shared" si="3"/>
        <v>91</v>
      </c>
      <c r="B92" s="7" t="str">
        <f>_xlfn.XLOOKUP(C92,Tab_Def_Flows[Flow_Name],Tab_Def_Flows[Flow_ID],,0,)</f>
        <v>F_14_00</v>
      </c>
      <c r="C92" s="8" t="s">
        <v>740</v>
      </c>
      <c r="D92" s="10" t="str">
        <f>_xlfn.XLOOKUP(C92,Tab_Def_Flows[Flow_Name],Tab_Def_Flows[WC?],,0,)</f>
        <v>Yes</v>
      </c>
      <c r="E92" s="10" t="str">
        <f>_xlfn.XLOOKUP(C92,Tab_Def_Flows[Flow_Name],Tab_Def_Flows[DM?],,0,)</f>
        <v>Yes</v>
      </c>
      <c r="F92" s="10" t="str">
        <f>_xlfn.XLOOKUP(C92,Tab_Def_Flows[Flow_Name],Tab_Def_Flows[CC?],,0,)</f>
        <v>Yes</v>
      </c>
      <c r="G92" s="8">
        <v>2008</v>
      </c>
      <c r="H92" s="28">
        <v>30</v>
      </c>
      <c r="I92" s="8"/>
      <c r="J92" s="8"/>
      <c r="K92" s="8"/>
      <c r="L92" s="8"/>
      <c r="M92" s="8"/>
      <c r="N92" s="8"/>
      <c r="O92" s="8"/>
      <c r="P92" s="8"/>
      <c r="Q92" s="8" t="s">
        <v>8</v>
      </c>
      <c r="R92" s="21"/>
      <c r="S92" s="8"/>
      <c r="T92" s="7" t="str">
        <f>Tab_Data_Flows[[#This Row],[Flow_ID]]&amp;"_"&amp;"material_"&amp;Tab_Data_Flows[[#This Row],[Flow_Data_Year]]</f>
        <v>F_14_00_material_2008</v>
      </c>
      <c r="U92" s="18">
        <f t="shared" si="4"/>
        <v>30</v>
      </c>
      <c r="V92" s="8" t="s">
        <v>218</v>
      </c>
      <c r="W92" s="156">
        <f>INDEX(Tab_Def_Flows[[Flow_ID]:[CC_DM_source]],MATCH(Tab_Data_Flows[[#This Row],[Flow_Name]],Tab_Def_Flows[Flow_Name],0),11)</f>
        <v>0</v>
      </c>
      <c r="X92" s="7" t="str">
        <f>Tab_Data_Flows[[#This Row],[Flow_ID]]&amp;"_"&amp;"WC_"&amp;Tab_Data_Flows[[#This Row],[Flow_Data_Year]]</f>
        <v>F_14_00_WC_2008</v>
      </c>
      <c r="Y92" s="7">
        <f>IF(D92="Yes",U92*Tab_Data_Flows[[#This Row],[WC_'[%']]],"N.A.")</f>
        <v>0</v>
      </c>
      <c r="Z92" s="7" t="str">
        <f>Tab_Data_Flows[[#This Row],[UoM_Flow_Py]]</f>
        <v>Mg</v>
      </c>
      <c r="AA92" s="156">
        <f>INDEX(Tab_Def_Flows[[Flow_ID]:[CC_DM_source]],MATCH(Tab_Data_Flows[[#This Row],[Flow_Name]],Tab_Def_Flows[Flow_Name],0),14)</f>
        <v>1</v>
      </c>
      <c r="AB92" s="7" t="str">
        <f>Tab_Data_Flows[[#This Row],[Flow_ID]]&amp;"_"&amp;"DM_"&amp;Tab_Data_Flows[[#This Row],[Flow_Data_Year]]</f>
        <v>F_14_00_DM_2008</v>
      </c>
      <c r="AC92" s="7">
        <f>IF(E92="Yes",AA92*Tab_Data_Flows[[#This Row],[Flow_Material]],"N.A.")</f>
        <v>30</v>
      </c>
      <c r="AD92" s="7" t="str">
        <f>Tab_Data_Flows[[#This Row],[UoM_Flow_Py]]</f>
        <v>Mg</v>
      </c>
      <c r="AE92" s="156">
        <f>INDEX(Tab_Def_Flows[[Flow_ID]:[CC_DM_source]],MATCH(Tab_Data_Flows[[#This Row],[Flow_Name]],Tab_Def_Flows[Flow_Name],0),17)</f>
        <v>0.1</v>
      </c>
      <c r="AF92" s="7" t="str">
        <f>Tab_Data_Flows[[#This Row],[Flow_ID]]&amp;"_"&amp;"CC_"&amp;Tab_Data_Flows[[#This Row],[Flow_Data_Year]]</f>
        <v>F_14_00_CC_2008</v>
      </c>
      <c r="AG92" s="7">
        <f>IF(F92="Yes",AE92*Tab_Data_Flows[[#This Row],[Flow_Material]]*Tab_Data_Flows[[#This Row],[DM_'[%']]],"N.A.")</f>
        <v>3</v>
      </c>
      <c r="AH92" s="7" t="str">
        <f>Tab_Data_Flows[[#This Row],[UoM_Flow_Py]]</f>
        <v>Mg</v>
      </c>
      <c r="AI92"/>
    </row>
    <row r="93" spans="1:35" x14ac:dyDescent="0.25">
      <c r="A93" s="9">
        <f t="shared" si="3"/>
        <v>92</v>
      </c>
      <c r="B93" s="7" t="str">
        <f>_xlfn.XLOOKUP(C93,Tab_Def_Flows[Flow_Name],Tab_Def_Flows[Flow_ID],,0,)</f>
        <v>F_14_00</v>
      </c>
      <c r="C93" s="8" t="s">
        <v>740</v>
      </c>
      <c r="D93" s="10" t="str">
        <f>_xlfn.XLOOKUP(C93,Tab_Def_Flows[Flow_Name],Tab_Def_Flows[WC?],,0,)</f>
        <v>Yes</v>
      </c>
      <c r="E93" s="10" t="str">
        <f>_xlfn.XLOOKUP(C93,Tab_Def_Flows[Flow_Name],Tab_Def_Flows[DM?],,0,)</f>
        <v>Yes</v>
      </c>
      <c r="F93" s="10" t="str">
        <f>_xlfn.XLOOKUP(C93,Tab_Def_Flows[Flow_Name],Tab_Def_Flows[CC?],,0,)</f>
        <v>Yes</v>
      </c>
      <c r="G93" s="8">
        <v>2009</v>
      </c>
      <c r="H93" s="28">
        <v>30</v>
      </c>
      <c r="I93" s="8"/>
      <c r="J93" s="8"/>
      <c r="K93" s="8"/>
      <c r="L93" s="8"/>
      <c r="M93" s="8"/>
      <c r="N93" s="8"/>
      <c r="O93" s="8"/>
      <c r="P93" s="8"/>
      <c r="Q93" s="8" t="s">
        <v>8</v>
      </c>
      <c r="R93" s="21"/>
      <c r="S93" s="8"/>
      <c r="T93" s="7" t="str">
        <f>Tab_Data_Flows[[#This Row],[Flow_ID]]&amp;"_"&amp;"material_"&amp;Tab_Data_Flows[[#This Row],[Flow_Data_Year]]</f>
        <v>F_14_00_material_2009</v>
      </c>
      <c r="U93" s="18">
        <f t="shared" si="4"/>
        <v>30</v>
      </c>
      <c r="V93" s="8" t="s">
        <v>218</v>
      </c>
      <c r="W93" s="156">
        <f>INDEX(Tab_Def_Flows[[Flow_ID]:[CC_DM_source]],MATCH(Tab_Data_Flows[[#This Row],[Flow_Name]],Tab_Def_Flows[Flow_Name],0),11)</f>
        <v>0</v>
      </c>
      <c r="X93" s="7" t="str">
        <f>Tab_Data_Flows[[#This Row],[Flow_ID]]&amp;"_"&amp;"WC_"&amp;Tab_Data_Flows[[#This Row],[Flow_Data_Year]]</f>
        <v>F_14_00_WC_2009</v>
      </c>
      <c r="Y93" s="7">
        <f>IF(D93="Yes",U93*Tab_Data_Flows[[#This Row],[WC_'[%']]],"N.A.")</f>
        <v>0</v>
      </c>
      <c r="Z93" s="7" t="str">
        <f>Tab_Data_Flows[[#This Row],[UoM_Flow_Py]]</f>
        <v>Mg</v>
      </c>
      <c r="AA93" s="156">
        <f>INDEX(Tab_Def_Flows[[Flow_ID]:[CC_DM_source]],MATCH(Tab_Data_Flows[[#This Row],[Flow_Name]],Tab_Def_Flows[Flow_Name],0),14)</f>
        <v>1</v>
      </c>
      <c r="AB93" s="7" t="str">
        <f>Tab_Data_Flows[[#This Row],[Flow_ID]]&amp;"_"&amp;"DM_"&amp;Tab_Data_Flows[[#This Row],[Flow_Data_Year]]</f>
        <v>F_14_00_DM_2009</v>
      </c>
      <c r="AC93" s="7">
        <f>IF(E93="Yes",AA93*Tab_Data_Flows[[#This Row],[Flow_Material]],"N.A.")</f>
        <v>30</v>
      </c>
      <c r="AD93" s="7" t="str">
        <f>Tab_Data_Flows[[#This Row],[UoM_Flow_Py]]</f>
        <v>Mg</v>
      </c>
      <c r="AE93" s="156">
        <f>INDEX(Tab_Def_Flows[[Flow_ID]:[CC_DM_source]],MATCH(Tab_Data_Flows[[#This Row],[Flow_Name]],Tab_Def_Flows[Flow_Name],0),17)</f>
        <v>0.1</v>
      </c>
      <c r="AF93" s="7" t="str">
        <f>Tab_Data_Flows[[#This Row],[Flow_ID]]&amp;"_"&amp;"CC_"&amp;Tab_Data_Flows[[#This Row],[Flow_Data_Year]]</f>
        <v>F_14_00_CC_2009</v>
      </c>
      <c r="AG93" s="7">
        <f>IF(F93="Yes",AE93*Tab_Data_Flows[[#This Row],[Flow_Material]]*Tab_Data_Flows[[#This Row],[DM_'[%']]],"N.A.")</f>
        <v>3</v>
      </c>
      <c r="AH93" s="7" t="str">
        <f>Tab_Data_Flows[[#This Row],[UoM_Flow_Py]]</f>
        <v>Mg</v>
      </c>
      <c r="AI93"/>
    </row>
    <row r="94" spans="1:35" x14ac:dyDescent="0.25">
      <c r="A94" s="9">
        <f t="shared" si="3"/>
        <v>93</v>
      </c>
      <c r="B94" s="7" t="str">
        <f>_xlfn.XLOOKUP(C94,Tab_Def_Flows[Flow_Name],Tab_Def_Flows[Flow_ID],,0,)</f>
        <v>F_14_00</v>
      </c>
      <c r="C94" s="8" t="s">
        <v>740</v>
      </c>
      <c r="D94" s="10" t="str">
        <f>_xlfn.XLOOKUP(C94,Tab_Def_Flows[Flow_Name],Tab_Def_Flows[WC?],,0,)</f>
        <v>Yes</v>
      </c>
      <c r="E94" s="10" t="str">
        <f>_xlfn.XLOOKUP(C94,Tab_Def_Flows[Flow_Name],Tab_Def_Flows[DM?],,0,)</f>
        <v>Yes</v>
      </c>
      <c r="F94" s="10" t="str">
        <f>_xlfn.XLOOKUP(C94,Tab_Def_Flows[Flow_Name],Tab_Def_Flows[CC?],,0,)</f>
        <v>Yes</v>
      </c>
      <c r="G94" s="8">
        <v>2010</v>
      </c>
      <c r="H94" s="28">
        <v>30</v>
      </c>
      <c r="I94" s="8"/>
      <c r="J94" s="8"/>
      <c r="K94" s="8"/>
      <c r="L94" s="8"/>
      <c r="M94" s="8"/>
      <c r="N94" s="8"/>
      <c r="O94" s="8"/>
      <c r="P94" s="8"/>
      <c r="Q94" s="8" t="s">
        <v>8</v>
      </c>
      <c r="R94" s="21"/>
      <c r="S94" s="8"/>
      <c r="T94" s="7" t="str">
        <f>Tab_Data_Flows[[#This Row],[Flow_ID]]&amp;"_"&amp;"material_"&amp;Tab_Data_Flows[[#This Row],[Flow_Data_Year]]</f>
        <v>F_14_00_material_2010</v>
      </c>
      <c r="U94" s="18">
        <f t="shared" si="4"/>
        <v>30</v>
      </c>
      <c r="V94" s="8" t="s">
        <v>218</v>
      </c>
      <c r="W94" s="156">
        <f>INDEX(Tab_Def_Flows[[Flow_ID]:[CC_DM_source]],MATCH(Tab_Data_Flows[[#This Row],[Flow_Name]],Tab_Def_Flows[Flow_Name],0),11)</f>
        <v>0</v>
      </c>
      <c r="X94" s="7" t="str">
        <f>Tab_Data_Flows[[#This Row],[Flow_ID]]&amp;"_"&amp;"WC_"&amp;Tab_Data_Flows[[#This Row],[Flow_Data_Year]]</f>
        <v>F_14_00_WC_2010</v>
      </c>
      <c r="Y94" s="7">
        <f>IF(D94="Yes",U94*Tab_Data_Flows[[#This Row],[WC_'[%']]],"N.A.")</f>
        <v>0</v>
      </c>
      <c r="Z94" s="7" t="str">
        <f>Tab_Data_Flows[[#This Row],[UoM_Flow_Py]]</f>
        <v>Mg</v>
      </c>
      <c r="AA94" s="156">
        <f>INDEX(Tab_Def_Flows[[Flow_ID]:[CC_DM_source]],MATCH(Tab_Data_Flows[[#This Row],[Flow_Name]],Tab_Def_Flows[Flow_Name],0),14)</f>
        <v>1</v>
      </c>
      <c r="AB94" s="7" t="str">
        <f>Tab_Data_Flows[[#This Row],[Flow_ID]]&amp;"_"&amp;"DM_"&amp;Tab_Data_Flows[[#This Row],[Flow_Data_Year]]</f>
        <v>F_14_00_DM_2010</v>
      </c>
      <c r="AC94" s="7">
        <f>IF(E94="Yes",AA94*Tab_Data_Flows[[#This Row],[Flow_Material]],"N.A.")</f>
        <v>30</v>
      </c>
      <c r="AD94" s="7" t="str">
        <f>Tab_Data_Flows[[#This Row],[UoM_Flow_Py]]</f>
        <v>Mg</v>
      </c>
      <c r="AE94" s="156">
        <f>INDEX(Tab_Def_Flows[[Flow_ID]:[CC_DM_source]],MATCH(Tab_Data_Flows[[#This Row],[Flow_Name]],Tab_Def_Flows[Flow_Name],0),17)</f>
        <v>0.1</v>
      </c>
      <c r="AF94" s="7" t="str">
        <f>Tab_Data_Flows[[#This Row],[Flow_ID]]&amp;"_"&amp;"CC_"&amp;Tab_Data_Flows[[#This Row],[Flow_Data_Year]]</f>
        <v>F_14_00_CC_2010</v>
      </c>
      <c r="AG94" s="7">
        <f>IF(F94="Yes",AE94*Tab_Data_Flows[[#This Row],[Flow_Material]]*Tab_Data_Flows[[#This Row],[DM_'[%']]],"N.A.")</f>
        <v>3</v>
      </c>
      <c r="AH94" s="7" t="str">
        <f>Tab_Data_Flows[[#This Row],[UoM_Flow_Py]]</f>
        <v>Mg</v>
      </c>
      <c r="AI94"/>
    </row>
    <row r="95" spans="1:35" x14ac:dyDescent="0.25">
      <c r="A95" s="9">
        <f t="shared" si="3"/>
        <v>94</v>
      </c>
      <c r="B95" s="7" t="str">
        <f>_xlfn.XLOOKUP(C95,Tab_Def_Flows[Flow_Name],Tab_Def_Flows[Flow_ID],,0,)</f>
        <v>F_14_00</v>
      </c>
      <c r="C95" s="8" t="s">
        <v>740</v>
      </c>
      <c r="D95" s="10" t="str">
        <f>_xlfn.XLOOKUP(C95,Tab_Def_Flows[Flow_Name],Tab_Def_Flows[WC?],,0,)</f>
        <v>Yes</v>
      </c>
      <c r="E95" s="10" t="str">
        <f>_xlfn.XLOOKUP(C95,Tab_Def_Flows[Flow_Name],Tab_Def_Flows[DM?],,0,)</f>
        <v>Yes</v>
      </c>
      <c r="F95" s="10" t="str">
        <f>_xlfn.XLOOKUP(C95,Tab_Def_Flows[Flow_Name],Tab_Def_Flows[CC?],,0,)</f>
        <v>Yes</v>
      </c>
      <c r="G95" s="8">
        <v>2011</v>
      </c>
      <c r="H95" s="28">
        <v>30</v>
      </c>
      <c r="I95" s="8"/>
      <c r="J95" s="8"/>
      <c r="K95" s="8"/>
      <c r="L95" s="8"/>
      <c r="M95" s="8"/>
      <c r="N95" s="8"/>
      <c r="O95" s="8"/>
      <c r="P95" s="8"/>
      <c r="Q95" s="8" t="s">
        <v>8</v>
      </c>
      <c r="R95" s="21"/>
      <c r="S95" s="8"/>
      <c r="T95" s="7" t="str">
        <f>Tab_Data_Flows[[#This Row],[Flow_ID]]&amp;"_"&amp;"material_"&amp;Tab_Data_Flows[[#This Row],[Flow_Data_Year]]</f>
        <v>F_14_00_material_2011</v>
      </c>
      <c r="U95" s="18">
        <f t="shared" si="4"/>
        <v>30</v>
      </c>
      <c r="V95" s="8" t="s">
        <v>218</v>
      </c>
      <c r="W95" s="156">
        <f>INDEX(Tab_Def_Flows[[Flow_ID]:[CC_DM_source]],MATCH(Tab_Data_Flows[[#This Row],[Flow_Name]],Tab_Def_Flows[Flow_Name],0),11)</f>
        <v>0</v>
      </c>
      <c r="X95" s="7" t="str">
        <f>Tab_Data_Flows[[#This Row],[Flow_ID]]&amp;"_"&amp;"WC_"&amp;Tab_Data_Flows[[#This Row],[Flow_Data_Year]]</f>
        <v>F_14_00_WC_2011</v>
      </c>
      <c r="Y95" s="7">
        <f>IF(D95="Yes",U95*Tab_Data_Flows[[#This Row],[WC_'[%']]],"N.A.")</f>
        <v>0</v>
      </c>
      <c r="Z95" s="7" t="str">
        <f>Tab_Data_Flows[[#This Row],[UoM_Flow_Py]]</f>
        <v>Mg</v>
      </c>
      <c r="AA95" s="156">
        <f>INDEX(Tab_Def_Flows[[Flow_ID]:[CC_DM_source]],MATCH(Tab_Data_Flows[[#This Row],[Flow_Name]],Tab_Def_Flows[Flow_Name],0),14)</f>
        <v>1</v>
      </c>
      <c r="AB95" s="7" t="str">
        <f>Tab_Data_Flows[[#This Row],[Flow_ID]]&amp;"_"&amp;"DM_"&amp;Tab_Data_Flows[[#This Row],[Flow_Data_Year]]</f>
        <v>F_14_00_DM_2011</v>
      </c>
      <c r="AC95" s="7">
        <f>IF(E95="Yes",AA95*Tab_Data_Flows[[#This Row],[Flow_Material]],"N.A.")</f>
        <v>30</v>
      </c>
      <c r="AD95" s="7" t="str">
        <f>Tab_Data_Flows[[#This Row],[UoM_Flow_Py]]</f>
        <v>Mg</v>
      </c>
      <c r="AE95" s="156">
        <f>INDEX(Tab_Def_Flows[[Flow_ID]:[CC_DM_source]],MATCH(Tab_Data_Flows[[#This Row],[Flow_Name]],Tab_Def_Flows[Flow_Name],0),17)</f>
        <v>0.1</v>
      </c>
      <c r="AF95" s="7" t="str">
        <f>Tab_Data_Flows[[#This Row],[Flow_ID]]&amp;"_"&amp;"CC_"&amp;Tab_Data_Flows[[#This Row],[Flow_Data_Year]]</f>
        <v>F_14_00_CC_2011</v>
      </c>
      <c r="AG95" s="7">
        <f>IF(F95="Yes",AE95*Tab_Data_Flows[[#This Row],[Flow_Material]]*Tab_Data_Flows[[#This Row],[DM_'[%']]],"N.A.")</f>
        <v>3</v>
      </c>
      <c r="AH95" s="7" t="str">
        <f>Tab_Data_Flows[[#This Row],[UoM_Flow_Py]]</f>
        <v>Mg</v>
      </c>
      <c r="AI95"/>
    </row>
    <row r="96" spans="1:35" x14ac:dyDescent="0.25">
      <c r="A96" s="9">
        <f t="shared" si="3"/>
        <v>95</v>
      </c>
      <c r="B96" s="7" t="str">
        <f>_xlfn.XLOOKUP(C96,Tab_Def_Flows[Flow_Name],Tab_Def_Flows[Flow_ID],,0,)</f>
        <v>F_14_00</v>
      </c>
      <c r="C96" s="8" t="s">
        <v>740</v>
      </c>
      <c r="D96" s="10" t="str">
        <f>_xlfn.XLOOKUP(C96,Tab_Def_Flows[Flow_Name],Tab_Def_Flows[WC?],,0,)</f>
        <v>Yes</v>
      </c>
      <c r="E96" s="10" t="str">
        <f>_xlfn.XLOOKUP(C96,Tab_Def_Flows[Flow_Name],Tab_Def_Flows[DM?],,0,)</f>
        <v>Yes</v>
      </c>
      <c r="F96" s="10" t="str">
        <f>_xlfn.XLOOKUP(C96,Tab_Def_Flows[Flow_Name],Tab_Def_Flows[CC?],,0,)</f>
        <v>Yes</v>
      </c>
      <c r="G96" s="8">
        <v>2012</v>
      </c>
      <c r="H96" s="28">
        <v>30</v>
      </c>
      <c r="I96" s="8"/>
      <c r="J96" s="8"/>
      <c r="K96" s="8" t="e">
        <f>INDEX(#REF!,MATCH(Tab_Data_Flows[[#This Row],[Flow_Name]],#REF!,0),12)</f>
        <v>#REF!</v>
      </c>
      <c r="L96" s="8" t="e">
        <f>MATCH(Tab_Data_Flows[[#This Row],[Flow_Name]],#REF!,0)</f>
        <v>#REF!</v>
      </c>
      <c r="M96" s="8"/>
      <c r="N96" s="8"/>
      <c r="O96" s="8"/>
      <c r="P96" s="8"/>
      <c r="Q96" s="8" t="s">
        <v>8</v>
      </c>
      <c r="R96" s="8"/>
      <c r="S96" s="8"/>
      <c r="T96" s="7" t="str">
        <f>Tab_Data_Flows[[#This Row],[Flow_ID]]&amp;"_"&amp;"material_"&amp;Tab_Data_Flows[[#This Row],[Flow_Data_Year]]</f>
        <v>F_14_00_material_2012</v>
      </c>
      <c r="U96" s="18">
        <f t="shared" si="4"/>
        <v>30</v>
      </c>
      <c r="V96" s="8" t="s">
        <v>218</v>
      </c>
      <c r="W96" s="156">
        <f>INDEX(Tab_Def_Flows[[Flow_ID]:[CC_DM_source]],MATCH(Tab_Data_Flows[[#This Row],[Flow_Name]],Tab_Def_Flows[Flow_Name],0),11)</f>
        <v>0</v>
      </c>
      <c r="X96" s="7" t="str">
        <f>Tab_Data_Flows[[#This Row],[Flow_ID]]&amp;"_"&amp;"WC_"&amp;Tab_Data_Flows[[#This Row],[Flow_Data_Year]]</f>
        <v>F_14_00_WC_2012</v>
      </c>
      <c r="Y96" s="7">
        <f>IF(D96="Yes",U96*Tab_Data_Flows[[#This Row],[WC_'[%']]],"N.A.")</f>
        <v>0</v>
      </c>
      <c r="Z96" s="7" t="str">
        <f>Tab_Data_Flows[[#This Row],[UoM_Flow_Py]]</f>
        <v>Mg</v>
      </c>
      <c r="AA96" s="156">
        <f>INDEX(Tab_Def_Flows[[Flow_ID]:[CC_DM_source]],MATCH(Tab_Data_Flows[[#This Row],[Flow_Name]],Tab_Def_Flows[Flow_Name],0),14)</f>
        <v>1</v>
      </c>
      <c r="AB96" s="7" t="str">
        <f>Tab_Data_Flows[[#This Row],[Flow_ID]]&amp;"_"&amp;"DM_"&amp;Tab_Data_Flows[[#This Row],[Flow_Data_Year]]</f>
        <v>F_14_00_DM_2012</v>
      </c>
      <c r="AC96" s="7">
        <f>IF(E96="Yes",AA96*Tab_Data_Flows[[#This Row],[Flow_Material]],"N.A.")</f>
        <v>30</v>
      </c>
      <c r="AD96" s="7" t="str">
        <f>Tab_Data_Flows[[#This Row],[UoM_Flow_Py]]</f>
        <v>Mg</v>
      </c>
      <c r="AE96" s="156">
        <f>INDEX(Tab_Def_Flows[[Flow_ID]:[CC_DM_source]],MATCH(Tab_Data_Flows[[#This Row],[Flow_Name]],Tab_Def_Flows[Flow_Name],0),17)</f>
        <v>0.1</v>
      </c>
      <c r="AF96" s="7" t="str">
        <f>Tab_Data_Flows[[#This Row],[Flow_ID]]&amp;"_"&amp;"CC_"&amp;Tab_Data_Flows[[#This Row],[Flow_Data_Year]]</f>
        <v>F_14_00_CC_2012</v>
      </c>
      <c r="AG96" s="7">
        <f>IF(F96="Yes",AE96*Tab_Data_Flows[[#This Row],[Flow_Material]]*Tab_Data_Flows[[#This Row],[DM_'[%']]],"N.A.")</f>
        <v>3</v>
      </c>
      <c r="AH96" s="7" t="str">
        <f>Tab_Data_Flows[[#This Row],[UoM_Flow_Py]]</f>
        <v>Mg</v>
      </c>
      <c r="AI96"/>
    </row>
    <row r="97" spans="1:35" x14ac:dyDescent="0.25">
      <c r="A97" s="9">
        <f t="shared" si="3"/>
        <v>96</v>
      </c>
      <c r="B97" s="7" t="str">
        <f>_xlfn.XLOOKUP(C97,Tab_Def_Flows[Flow_Name],Tab_Def_Flows[Flow_ID],,0,)</f>
        <v>F_14_00</v>
      </c>
      <c r="C97" s="8" t="s">
        <v>740</v>
      </c>
      <c r="D97" s="10" t="str">
        <f>_xlfn.XLOOKUP(C97,Tab_Def_Flows[Flow_Name],Tab_Def_Flows[WC?],,0,)</f>
        <v>Yes</v>
      </c>
      <c r="E97" s="10" t="str">
        <f>_xlfn.XLOOKUP(C97,Tab_Def_Flows[Flow_Name],Tab_Def_Flows[DM?],,0,)</f>
        <v>Yes</v>
      </c>
      <c r="F97" s="10" t="str">
        <f>_xlfn.XLOOKUP(C97,Tab_Def_Flows[Flow_Name],Tab_Def_Flows[CC?],,0,)</f>
        <v>Yes</v>
      </c>
      <c r="G97" s="8">
        <v>2013</v>
      </c>
      <c r="H97" s="28">
        <v>30</v>
      </c>
      <c r="I97" s="8"/>
      <c r="J97" s="8"/>
      <c r="K97" s="8" t="e">
        <f>INDEX(#REF!,MATCH(Tab_Data_Flows[[#This Row],[Flow_Name]],#REF!,0),12)</f>
        <v>#REF!</v>
      </c>
      <c r="L97" s="8" t="e">
        <f>MATCH(Tab_Data_Flows[[#This Row],[Flow_Name]],#REF!,0)</f>
        <v>#REF!</v>
      </c>
      <c r="M97" s="8"/>
      <c r="N97" s="8"/>
      <c r="O97" s="8"/>
      <c r="P97" s="8"/>
      <c r="Q97" s="8" t="s">
        <v>8</v>
      </c>
      <c r="R97" s="8"/>
      <c r="S97" s="8"/>
      <c r="T97" s="7" t="str">
        <f>Tab_Data_Flows[[#This Row],[Flow_ID]]&amp;"_"&amp;"material_"&amp;Tab_Data_Flows[[#This Row],[Flow_Data_Year]]</f>
        <v>F_14_00_material_2013</v>
      </c>
      <c r="U97" s="18">
        <f t="shared" si="4"/>
        <v>30</v>
      </c>
      <c r="V97" s="8" t="s">
        <v>218</v>
      </c>
      <c r="W97" s="156">
        <f>INDEX(Tab_Def_Flows[[Flow_ID]:[CC_DM_source]],MATCH(Tab_Data_Flows[[#This Row],[Flow_Name]],Tab_Def_Flows[Flow_Name],0),11)</f>
        <v>0</v>
      </c>
      <c r="X97" s="7" t="str">
        <f>Tab_Data_Flows[[#This Row],[Flow_ID]]&amp;"_"&amp;"WC_"&amp;Tab_Data_Flows[[#This Row],[Flow_Data_Year]]</f>
        <v>F_14_00_WC_2013</v>
      </c>
      <c r="Y97" s="7">
        <f>IF(D97="Yes",U97*Tab_Data_Flows[[#This Row],[WC_'[%']]],"N.A.")</f>
        <v>0</v>
      </c>
      <c r="Z97" s="7" t="str">
        <f>Tab_Data_Flows[[#This Row],[UoM_Flow_Py]]</f>
        <v>Mg</v>
      </c>
      <c r="AA97" s="156">
        <f>INDEX(Tab_Def_Flows[[Flow_ID]:[CC_DM_source]],MATCH(Tab_Data_Flows[[#This Row],[Flow_Name]],Tab_Def_Flows[Flow_Name],0),14)</f>
        <v>1</v>
      </c>
      <c r="AB97" s="7" t="str">
        <f>Tab_Data_Flows[[#This Row],[Flow_ID]]&amp;"_"&amp;"DM_"&amp;Tab_Data_Flows[[#This Row],[Flow_Data_Year]]</f>
        <v>F_14_00_DM_2013</v>
      </c>
      <c r="AC97" s="7">
        <f>IF(E97="Yes",AA97*Tab_Data_Flows[[#This Row],[Flow_Material]],"N.A.")</f>
        <v>30</v>
      </c>
      <c r="AD97" s="7" t="str">
        <f>Tab_Data_Flows[[#This Row],[UoM_Flow_Py]]</f>
        <v>Mg</v>
      </c>
      <c r="AE97" s="156">
        <f>INDEX(Tab_Def_Flows[[Flow_ID]:[CC_DM_source]],MATCH(Tab_Data_Flows[[#This Row],[Flow_Name]],Tab_Def_Flows[Flow_Name],0),17)</f>
        <v>0.1</v>
      </c>
      <c r="AF97" s="7" t="str">
        <f>Tab_Data_Flows[[#This Row],[Flow_ID]]&amp;"_"&amp;"CC_"&amp;Tab_Data_Flows[[#This Row],[Flow_Data_Year]]</f>
        <v>F_14_00_CC_2013</v>
      </c>
      <c r="AG97" s="7">
        <f>IF(F97="Yes",AE97*Tab_Data_Flows[[#This Row],[Flow_Material]]*Tab_Data_Flows[[#This Row],[DM_'[%']]],"N.A.")</f>
        <v>3</v>
      </c>
      <c r="AH97" s="7" t="str">
        <f>Tab_Data_Flows[[#This Row],[UoM_Flow_Py]]</f>
        <v>Mg</v>
      </c>
      <c r="AI97"/>
    </row>
    <row r="98" spans="1:35" x14ac:dyDescent="0.25">
      <c r="A98" s="9">
        <f t="shared" si="3"/>
        <v>97</v>
      </c>
      <c r="B98" s="7" t="str">
        <f>_xlfn.XLOOKUP(C98,Tab_Def_Flows[Flow_Name],Tab_Def_Flows[Flow_ID],,0,)</f>
        <v>F_14_00</v>
      </c>
      <c r="C98" s="8" t="s">
        <v>740</v>
      </c>
      <c r="D98" s="10" t="str">
        <f>_xlfn.XLOOKUP(C98,Tab_Def_Flows[Flow_Name],Tab_Def_Flows[WC?],,0,)</f>
        <v>Yes</v>
      </c>
      <c r="E98" s="10" t="str">
        <f>_xlfn.XLOOKUP(C98,Tab_Def_Flows[Flow_Name],Tab_Def_Flows[DM?],,0,)</f>
        <v>Yes</v>
      </c>
      <c r="F98" s="10" t="str">
        <f>_xlfn.XLOOKUP(C98,Tab_Def_Flows[Flow_Name],Tab_Def_Flows[CC?],,0,)</f>
        <v>Yes</v>
      </c>
      <c r="G98" s="8">
        <v>2014</v>
      </c>
      <c r="H98" s="28">
        <v>30</v>
      </c>
      <c r="I98" s="8"/>
      <c r="J98" s="8"/>
      <c r="K98" s="8" t="e">
        <f>INDEX(#REF!,MATCH(Tab_Data_Flows[[#This Row],[Flow_Name]],#REF!,0),12)</f>
        <v>#REF!</v>
      </c>
      <c r="L98" s="8" t="e">
        <f>MATCH(Tab_Data_Flows[[#This Row],[Flow_Name]],#REF!,0)</f>
        <v>#REF!</v>
      </c>
      <c r="M98" s="8"/>
      <c r="N98" s="8"/>
      <c r="O98" s="8"/>
      <c r="P98" s="8"/>
      <c r="Q98" s="8" t="s">
        <v>8</v>
      </c>
      <c r="R98" s="8"/>
      <c r="S98" s="8"/>
      <c r="T98" s="7" t="str">
        <f>Tab_Data_Flows[[#This Row],[Flow_ID]]&amp;"_"&amp;"material_"&amp;Tab_Data_Flows[[#This Row],[Flow_Data_Year]]</f>
        <v>F_14_00_material_2014</v>
      </c>
      <c r="U98" s="18">
        <f t="shared" si="4"/>
        <v>30</v>
      </c>
      <c r="V98" s="8" t="s">
        <v>218</v>
      </c>
      <c r="W98" s="156">
        <f>INDEX(Tab_Def_Flows[[Flow_ID]:[CC_DM_source]],MATCH(Tab_Data_Flows[[#This Row],[Flow_Name]],Tab_Def_Flows[Flow_Name],0),11)</f>
        <v>0</v>
      </c>
      <c r="X98" s="7" t="str">
        <f>Tab_Data_Flows[[#This Row],[Flow_ID]]&amp;"_"&amp;"WC_"&amp;Tab_Data_Flows[[#This Row],[Flow_Data_Year]]</f>
        <v>F_14_00_WC_2014</v>
      </c>
      <c r="Y98" s="7">
        <f>IF(D98="Yes",U98*Tab_Data_Flows[[#This Row],[WC_'[%']]],"N.A.")</f>
        <v>0</v>
      </c>
      <c r="Z98" s="7" t="str">
        <f>Tab_Data_Flows[[#This Row],[UoM_Flow_Py]]</f>
        <v>Mg</v>
      </c>
      <c r="AA98" s="156">
        <f>INDEX(Tab_Def_Flows[[Flow_ID]:[CC_DM_source]],MATCH(Tab_Data_Flows[[#This Row],[Flow_Name]],Tab_Def_Flows[Flow_Name],0),14)</f>
        <v>1</v>
      </c>
      <c r="AB98" s="7" t="str">
        <f>Tab_Data_Flows[[#This Row],[Flow_ID]]&amp;"_"&amp;"DM_"&amp;Tab_Data_Flows[[#This Row],[Flow_Data_Year]]</f>
        <v>F_14_00_DM_2014</v>
      </c>
      <c r="AC98" s="7">
        <f>IF(E98="Yes",AA98*Tab_Data_Flows[[#This Row],[Flow_Material]],"N.A.")</f>
        <v>30</v>
      </c>
      <c r="AD98" s="7" t="str">
        <f>Tab_Data_Flows[[#This Row],[UoM_Flow_Py]]</f>
        <v>Mg</v>
      </c>
      <c r="AE98" s="156">
        <f>INDEX(Tab_Def_Flows[[Flow_ID]:[CC_DM_source]],MATCH(Tab_Data_Flows[[#This Row],[Flow_Name]],Tab_Def_Flows[Flow_Name],0),17)</f>
        <v>0.1</v>
      </c>
      <c r="AF98" s="7" t="str">
        <f>Tab_Data_Flows[[#This Row],[Flow_ID]]&amp;"_"&amp;"CC_"&amp;Tab_Data_Flows[[#This Row],[Flow_Data_Year]]</f>
        <v>F_14_00_CC_2014</v>
      </c>
      <c r="AG98" s="7">
        <f>IF(F98="Yes",AE98*Tab_Data_Flows[[#This Row],[Flow_Material]]*Tab_Data_Flows[[#This Row],[DM_'[%']]],"N.A.")</f>
        <v>3</v>
      </c>
      <c r="AH98" s="7" t="str">
        <f>Tab_Data_Flows[[#This Row],[UoM_Flow_Py]]</f>
        <v>Mg</v>
      </c>
      <c r="AI98"/>
    </row>
    <row r="99" spans="1:35" x14ac:dyDescent="0.25">
      <c r="A99" s="9">
        <f t="shared" si="3"/>
        <v>98</v>
      </c>
      <c r="B99" s="7" t="str">
        <f>_xlfn.XLOOKUP(C99,Tab_Def_Flows[Flow_Name],Tab_Def_Flows[Flow_ID],,0,)</f>
        <v>F_14_00</v>
      </c>
      <c r="C99" s="8" t="s">
        <v>740</v>
      </c>
      <c r="D99" s="10" t="str">
        <f>_xlfn.XLOOKUP(C99,Tab_Def_Flows[Flow_Name],Tab_Def_Flows[WC?],,0,)</f>
        <v>Yes</v>
      </c>
      <c r="E99" s="10" t="str">
        <f>_xlfn.XLOOKUP(C99,Tab_Def_Flows[Flow_Name],Tab_Def_Flows[DM?],,0,)</f>
        <v>Yes</v>
      </c>
      <c r="F99" s="10" t="str">
        <f>_xlfn.XLOOKUP(C99,Tab_Def_Flows[Flow_Name],Tab_Def_Flows[CC?],,0,)</f>
        <v>Yes</v>
      </c>
      <c r="G99" s="8">
        <v>2015</v>
      </c>
      <c r="H99" s="28">
        <v>30</v>
      </c>
      <c r="I99" s="8"/>
      <c r="J99" s="8"/>
      <c r="K99" s="8" t="e">
        <f>INDEX(#REF!,MATCH(Tab_Data_Flows[[#This Row],[Flow_Name]],#REF!,0),12)</f>
        <v>#REF!</v>
      </c>
      <c r="L99" s="8" t="e">
        <f>MATCH(Tab_Data_Flows[[#This Row],[Flow_Name]],#REF!,0)</f>
        <v>#REF!</v>
      </c>
      <c r="M99" s="8"/>
      <c r="N99" s="8"/>
      <c r="O99" s="8"/>
      <c r="P99" s="8"/>
      <c r="Q99" s="8" t="s">
        <v>8</v>
      </c>
      <c r="R99" s="8"/>
      <c r="S99" s="8"/>
      <c r="T99" s="7" t="str">
        <f>Tab_Data_Flows[[#This Row],[Flow_ID]]&amp;"_"&amp;"material_"&amp;Tab_Data_Flows[[#This Row],[Flow_Data_Year]]</f>
        <v>F_14_00_material_2015</v>
      </c>
      <c r="U99" s="18">
        <f t="shared" si="4"/>
        <v>30</v>
      </c>
      <c r="V99" s="8" t="s">
        <v>218</v>
      </c>
      <c r="W99" s="156">
        <f>INDEX(Tab_Def_Flows[[Flow_ID]:[CC_DM_source]],MATCH(Tab_Data_Flows[[#This Row],[Flow_Name]],Tab_Def_Flows[Flow_Name],0),11)</f>
        <v>0</v>
      </c>
      <c r="X99" s="7" t="str">
        <f>Tab_Data_Flows[[#This Row],[Flow_ID]]&amp;"_"&amp;"WC_"&amp;Tab_Data_Flows[[#This Row],[Flow_Data_Year]]</f>
        <v>F_14_00_WC_2015</v>
      </c>
      <c r="Y99" s="7">
        <f>IF(D99="Yes",U99*Tab_Data_Flows[[#This Row],[WC_'[%']]],"N.A.")</f>
        <v>0</v>
      </c>
      <c r="Z99" s="7" t="str">
        <f>Tab_Data_Flows[[#This Row],[UoM_Flow_Py]]</f>
        <v>Mg</v>
      </c>
      <c r="AA99" s="156">
        <f>INDEX(Tab_Def_Flows[[Flow_ID]:[CC_DM_source]],MATCH(Tab_Data_Flows[[#This Row],[Flow_Name]],Tab_Def_Flows[Flow_Name],0),14)</f>
        <v>1</v>
      </c>
      <c r="AB99" s="7" t="str">
        <f>Tab_Data_Flows[[#This Row],[Flow_ID]]&amp;"_"&amp;"DM_"&amp;Tab_Data_Flows[[#This Row],[Flow_Data_Year]]</f>
        <v>F_14_00_DM_2015</v>
      </c>
      <c r="AC99" s="7">
        <f>IF(E99="Yes",AA99*Tab_Data_Flows[[#This Row],[Flow_Material]],"N.A.")</f>
        <v>30</v>
      </c>
      <c r="AD99" s="7" t="str">
        <f>Tab_Data_Flows[[#This Row],[UoM_Flow_Py]]</f>
        <v>Mg</v>
      </c>
      <c r="AE99" s="156">
        <f>INDEX(Tab_Def_Flows[[Flow_ID]:[CC_DM_source]],MATCH(Tab_Data_Flows[[#This Row],[Flow_Name]],Tab_Def_Flows[Flow_Name],0),17)</f>
        <v>0.1</v>
      </c>
      <c r="AF99" s="7" t="str">
        <f>Tab_Data_Flows[[#This Row],[Flow_ID]]&amp;"_"&amp;"CC_"&amp;Tab_Data_Flows[[#This Row],[Flow_Data_Year]]</f>
        <v>F_14_00_CC_2015</v>
      </c>
      <c r="AG99" s="7">
        <f>IF(F99="Yes",AE99*Tab_Data_Flows[[#This Row],[Flow_Material]]*Tab_Data_Flows[[#This Row],[DM_'[%']]],"N.A.")</f>
        <v>3</v>
      </c>
      <c r="AH99" s="7" t="str">
        <f>Tab_Data_Flows[[#This Row],[UoM_Flow_Py]]</f>
        <v>Mg</v>
      </c>
      <c r="AI99"/>
    </row>
    <row r="100" spans="1:35" x14ac:dyDescent="0.25">
      <c r="A100" s="9">
        <f t="shared" si="3"/>
        <v>99</v>
      </c>
      <c r="B100" s="7" t="str">
        <f>_xlfn.XLOOKUP(C100,Tab_Def_Flows[Flow_Name],Tab_Def_Flows[Flow_ID],,0,)</f>
        <v>F_14_00</v>
      </c>
      <c r="C100" s="8" t="s">
        <v>740</v>
      </c>
      <c r="D100" s="10" t="str">
        <f>_xlfn.XLOOKUP(C100,Tab_Def_Flows[Flow_Name],Tab_Def_Flows[WC?],,0,)</f>
        <v>Yes</v>
      </c>
      <c r="E100" s="10" t="str">
        <f>_xlfn.XLOOKUP(C100,Tab_Def_Flows[Flow_Name],Tab_Def_Flows[DM?],,0,)</f>
        <v>Yes</v>
      </c>
      <c r="F100" s="10" t="str">
        <f>_xlfn.XLOOKUP(C100,Tab_Def_Flows[Flow_Name],Tab_Def_Flows[CC?],,0,)</f>
        <v>Yes</v>
      </c>
      <c r="G100" s="8">
        <v>2016</v>
      </c>
      <c r="H100" s="28">
        <v>30</v>
      </c>
      <c r="I100" s="8"/>
      <c r="J100" s="8"/>
      <c r="K100" s="8" t="e">
        <f>INDEX(#REF!,MATCH(Tab_Data_Flows[[#This Row],[Flow_Name]],#REF!,0),12)</f>
        <v>#REF!</v>
      </c>
      <c r="L100" s="8" t="e">
        <f>MATCH(Tab_Data_Flows[[#This Row],[Flow_Name]],#REF!,0)</f>
        <v>#REF!</v>
      </c>
      <c r="M100" s="8"/>
      <c r="N100" s="8"/>
      <c r="O100" s="8"/>
      <c r="P100" s="8"/>
      <c r="Q100" s="8" t="s">
        <v>8</v>
      </c>
      <c r="R100" s="8"/>
      <c r="S100" s="8"/>
      <c r="T100" s="7" t="str">
        <f>Tab_Data_Flows[[#This Row],[Flow_ID]]&amp;"_"&amp;"material_"&amp;Tab_Data_Flows[[#This Row],[Flow_Data_Year]]</f>
        <v>F_14_00_material_2016</v>
      </c>
      <c r="U100" s="18">
        <f t="shared" si="4"/>
        <v>30</v>
      </c>
      <c r="V100" s="8" t="s">
        <v>218</v>
      </c>
      <c r="W100" s="156">
        <f>INDEX(Tab_Def_Flows[[Flow_ID]:[CC_DM_source]],MATCH(Tab_Data_Flows[[#This Row],[Flow_Name]],Tab_Def_Flows[Flow_Name],0),11)</f>
        <v>0</v>
      </c>
      <c r="X100" s="7" t="str">
        <f>Tab_Data_Flows[[#This Row],[Flow_ID]]&amp;"_"&amp;"WC_"&amp;Tab_Data_Flows[[#This Row],[Flow_Data_Year]]</f>
        <v>F_14_00_WC_2016</v>
      </c>
      <c r="Y100" s="7">
        <f>IF(D100="Yes",U100*Tab_Data_Flows[[#This Row],[WC_'[%']]],"N.A.")</f>
        <v>0</v>
      </c>
      <c r="Z100" s="7" t="str">
        <f>Tab_Data_Flows[[#This Row],[UoM_Flow_Py]]</f>
        <v>Mg</v>
      </c>
      <c r="AA100" s="156">
        <f>INDEX(Tab_Def_Flows[[Flow_ID]:[CC_DM_source]],MATCH(Tab_Data_Flows[[#This Row],[Flow_Name]],Tab_Def_Flows[Flow_Name],0),14)</f>
        <v>1</v>
      </c>
      <c r="AB100" s="7" t="str">
        <f>Tab_Data_Flows[[#This Row],[Flow_ID]]&amp;"_"&amp;"DM_"&amp;Tab_Data_Flows[[#This Row],[Flow_Data_Year]]</f>
        <v>F_14_00_DM_2016</v>
      </c>
      <c r="AC100" s="7">
        <f>IF(E100="Yes",AA100*Tab_Data_Flows[[#This Row],[Flow_Material]],"N.A.")</f>
        <v>30</v>
      </c>
      <c r="AD100" s="7" t="str">
        <f>Tab_Data_Flows[[#This Row],[UoM_Flow_Py]]</f>
        <v>Mg</v>
      </c>
      <c r="AE100" s="156">
        <f>INDEX(Tab_Def_Flows[[Flow_ID]:[CC_DM_source]],MATCH(Tab_Data_Flows[[#This Row],[Flow_Name]],Tab_Def_Flows[Flow_Name],0),17)</f>
        <v>0.1</v>
      </c>
      <c r="AF100" s="7" t="str">
        <f>Tab_Data_Flows[[#This Row],[Flow_ID]]&amp;"_"&amp;"CC_"&amp;Tab_Data_Flows[[#This Row],[Flow_Data_Year]]</f>
        <v>F_14_00_CC_2016</v>
      </c>
      <c r="AG100" s="7">
        <f>IF(F100="Yes",AE100*Tab_Data_Flows[[#This Row],[Flow_Material]]*Tab_Data_Flows[[#This Row],[DM_'[%']]],"N.A.")</f>
        <v>3</v>
      </c>
      <c r="AH100" s="7" t="str">
        <f>Tab_Data_Flows[[#This Row],[UoM_Flow_Py]]</f>
        <v>Mg</v>
      </c>
      <c r="AI100"/>
    </row>
    <row r="101" spans="1:35" x14ac:dyDescent="0.25">
      <c r="A101" s="9">
        <f t="shared" si="3"/>
        <v>100</v>
      </c>
      <c r="B101" s="7" t="str">
        <f>_xlfn.XLOOKUP(C101,Tab_Def_Flows[Flow_Name],Tab_Def_Flows[Flow_ID],,0,)</f>
        <v>F_14_00</v>
      </c>
      <c r="C101" s="8" t="s">
        <v>740</v>
      </c>
      <c r="D101" s="10" t="str">
        <f>_xlfn.XLOOKUP(C101,Tab_Def_Flows[Flow_Name],Tab_Def_Flows[WC?],,0,)</f>
        <v>Yes</v>
      </c>
      <c r="E101" s="10" t="str">
        <f>_xlfn.XLOOKUP(C101,Tab_Def_Flows[Flow_Name],Tab_Def_Flows[DM?],,0,)</f>
        <v>Yes</v>
      </c>
      <c r="F101" s="10" t="str">
        <f>_xlfn.XLOOKUP(C101,Tab_Def_Flows[Flow_Name],Tab_Def_Flows[CC?],,0,)</f>
        <v>Yes</v>
      </c>
      <c r="G101" s="8">
        <v>2017</v>
      </c>
      <c r="H101" s="28">
        <v>30</v>
      </c>
      <c r="I101" s="8"/>
      <c r="J101" s="8"/>
      <c r="K101" s="8" t="e">
        <f>INDEX(#REF!,MATCH(Tab_Data_Flows[[#This Row],[Flow_Name]],#REF!,0),12)</f>
        <v>#REF!</v>
      </c>
      <c r="L101" s="8" t="e">
        <f>MATCH(Tab_Data_Flows[[#This Row],[Flow_Name]],#REF!,0)</f>
        <v>#REF!</v>
      </c>
      <c r="M101" s="8"/>
      <c r="N101" s="8"/>
      <c r="O101" s="8"/>
      <c r="P101" s="8"/>
      <c r="Q101" s="8" t="s">
        <v>8</v>
      </c>
      <c r="R101" s="8"/>
      <c r="S101" s="8"/>
      <c r="T101" s="7" t="str">
        <f>Tab_Data_Flows[[#This Row],[Flow_ID]]&amp;"_"&amp;"material_"&amp;Tab_Data_Flows[[#This Row],[Flow_Data_Year]]</f>
        <v>F_14_00_material_2017</v>
      </c>
      <c r="U101" s="18">
        <f t="shared" si="4"/>
        <v>30</v>
      </c>
      <c r="V101" s="8" t="s">
        <v>218</v>
      </c>
      <c r="W101" s="156">
        <f>INDEX(Tab_Def_Flows[[Flow_ID]:[CC_DM_source]],MATCH(Tab_Data_Flows[[#This Row],[Flow_Name]],Tab_Def_Flows[Flow_Name],0),11)</f>
        <v>0</v>
      </c>
      <c r="X101" s="7" t="str">
        <f>Tab_Data_Flows[[#This Row],[Flow_ID]]&amp;"_"&amp;"WC_"&amp;Tab_Data_Flows[[#This Row],[Flow_Data_Year]]</f>
        <v>F_14_00_WC_2017</v>
      </c>
      <c r="Y101" s="7">
        <f>IF(D101="Yes",U101*Tab_Data_Flows[[#This Row],[WC_'[%']]],"N.A.")</f>
        <v>0</v>
      </c>
      <c r="Z101" s="7" t="str">
        <f>Tab_Data_Flows[[#This Row],[UoM_Flow_Py]]</f>
        <v>Mg</v>
      </c>
      <c r="AA101" s="156">
        <f>INDEX(Tab_Def_Flows[[Flow_ID]:[CC_DM_source]],MATCH(Tab_Data_Flows[[#This Row],[Flow_Name]],Tab_Def_Flows[Flow_Name],0),14)</f>
        <v>1</v>
      </c>
      <c r="AB101" s="7" t="str">
        <f>Tab_Data_Flows[[#This Row],[Flow_ID]]&amp;"_"&amp;"DM_"&amp;Tab_Data_Flows[[#This Row],[Flow_Data_Year]]</f>
        <v>F_14_00_DM_2017</v>
      </c>
      <c r="AC101" s="7">
        <f>IF(E101="Yes",AA101*Tab_Data_Flows[[#This Row],[Flow_Material]],"N.A.")</f>
        <v>30</v>
      </c>
      <c r="AD101" s="7" t="str">
        <f>Tab_Data_Flows[[#This Row],[UoM_Flow_Py]]</f>
        <v>Mg</v>
      </c>
      <c r="AE101" s="156">
        <f>INDEX(Tab_Def_Flows[[Flow_ID]:[CC_DM_source]],MATCH(Tab_Data_Flows[[#This Row],[Flow_Name]],Tab_Def_Flows[Flow_Name],0),17)</f>
        <v>0.1</v>
      </c>
      <c r="AF101" s="7" t="str">
        <f>Tab_Data_Flows[[#This Row],[Flow_ID]]&amp;"_"&amp;"CC_"&amp;Tab_Data_Flows[[#This Row],[Flow_Data_Year]]</f>
        <v>F_14_00_CC_2017</v>
      </c>
      <c r="AG101" s="7">
        <f>IF(F101="Yes",AE101*Tab_Data_Flows[[#This Row],[Flow_Material]]*Tab_Data_Flows[[#This Row],[DM_'[%']]],"N.A.")</f>
        <v>3</v>
      </c>
      <c r="AH101" s="7" t="str">
        <f>Tab_Data_Flows[[#This Row],[UoM_Flow_Py]]</f>
        <v>Mg</v>
      </c>
      <c r="AI101"/>
    </row>
    <row r="102" spans="1:35" x14ac:dyDescent="0.25">
      <c r="A102" s="9">
        <f t="shared" si="3"/>
        <v>101</v>
      </c>
      <c r="B102" s="7" t="str">
        <f>_xlfn.XLOOKUP(C102,Tab_Def_Flows[Flow_Name],Tab_Def_Flows[Flow_ID],,0,)</f>
        <v>F_14_00</v>
      </c>
      <c r="C102" s="8" t="s">
        <v>740</v>
      </c>
      <c r="D102" s="10" t="str">
        <f>_xlfn.XLOOKUP(C102,Tab_Def_Flows[Flow_Name],Tab_Def_Flows[WC?],,0,)</f>
        <v>Yes</v>
      </c>
      <c r="E102" s="10" t="str">
        <f>_xlfn.XLOOKUP(C102,Tab_Def_Flows[Flow_Name],Tab_Def_Flows[DM?],,0,)</f>
        <v>Yes</v>
      </c>
      <c r="F102" s="10" t="str">
        <f>_xlfn.XLOOKUP(C102,Tab_Def_Flows[Flow_Name],Tab_Def_Flows[CC?],,0,)</f>
        <v>Yes</v>
      </c>
      <c r="G102" s="8">
        <v>2018</v>
      </c>
      <c r="H102" s="28">
        <v>30</v>
      </c>
      <c r="I102" s="8"/>
      <c r="J102" s="8"/>
      <c r="K102" s="8" t="e">
        <f>INDEX(#REF!,MATCH(Tab_Data_Flows[[#This Row],[Flow_Name]],#REF!,0),12)</f>
        <v>#REF!</v>
      </c>
      <c r="L102" s="8" t="e">
        <f>MATCH(Tab_Data_Flows[[#This Row],[Flow_Name]],#REF!,0)</f>
        <v>#REF!</v>
      </c>
      <c r="M102" s="8"/>
      <c r="N102" s="8"/>
      <c r="O102" s="8"/>
      <c r="P102" s="8"/>
      <c r="Q102" s="8" t="s">
        <v>8</v>
      </c>
      <c r="R102" s="8"/>
      <c r="S102" s="8"/>
      <c r="T102" s="7" t="str">
        <f>Tab_Data_Flows[[#This Row],[Flow_ID]]&amp;"_"&amp;"material_"&amp;Tab_Data_Flows[[#This Row],[Flow_Data_Year]]</f>
        <v>F_14_00_material_2018</v>
      </c>
      <c r="U102" s="18">
        <f t="shared" si="4"/>
        <v>30</v>
      </c>
      <c r="V102" s="8" t="s">
        <v>218</v>
      </c>
      <c r="W102" s="156">
        <f>INDEX(Tab_Def_Flows[[Flow_ID]:[CC_DM_source]],MATCH(Tab_Data_Flows[[#This Row],[Flow_Name]],Tab_Def_Flows[Flow_Name],0),11)</f>
        <v>0</v>
      </c>
      <c r="X102" s="7" t="str">
        <f>Tab_Data_Flows[[#This Row],[Flow_ID]]&amp;"_"&amp;"WC_"&amp;Tab_Data_Flows[[#This Row],[Flow_Data_Year]]</f>
        <v>F_14_00_WC_2018</v>
      </c>
      <c r="Y102" s="7">
        <f>IF(D102="Yes",U102*Tab_Data_Flows[[#This Row],[WC_'[%']]],"N.A.")</f>
        <v>0</v>
      </c>
      <c r="Z102" s="7" t="str">
        <f>Tab_Data_Flows[[#This Row],[UoM_Flow_Py]]</f>
        <v>Mg</v>
      </c>
      <c r="AA102" s="156">
        <f>INDEX(Tab_Def_Flows[[Flow_ID]:[CC_DM_source]],MATCH(Tab_Data_Flows[[#This Row],[Flow_Name]],Tab_Def_Flows[Flow_Name],0),14)</f>
        <v>1</v>
      </c>
      <c r="AB102" s="7" t="str">
        <f>Tab_Data_Flows[[#This Row],[Flow_ID]]&amp;"_"&amp;"DM_"&amp;Tab_Data_Flows[[#This Row],[Flow_Data_Year]]</f>
        <v>F_14_00_DM_2018</v>
      </c>
      <c r="AC102" s="7">
        <f>IF(E102="Yes",AA102*Tab_Data_Flows[[#This Row],[Flow_Material]],"N.A.")</f>
        <v>30</v>
      </c>
      <c r="AD102" s="7" t="str">
        <f>Tab_Data_Flows[[#This Row],[UoM_Flow_Py]]</f>
        <v>Mg</v>
      </c>
      <c r="AE102" s="156">
        <f>INDEX(Tab_Def_Flows[[Flow_ID]:[CC_DM_source]],MATCH(Tab_Data_Flows[[#This Row],[Flow_Name]],Tab_Def_Flows[Flow_Name],0),17)</f>
        <v>0.1</v>
      </c>
      <c r="AF102" s="7" t="str">
        <f>Tab_Data_Flows[[#This Row],[Flow_ID]]&amp;"_"&amp;"CC_"&amp;Tab_Data_Flows[[#This Row],[Flow_Data_Year]]</f>
        <v>F_14_00_CC_2018</v>
      </c>
      <c r="AG102" s="7">
        <f>IF(F102="Yes",AE102*Tab_Data_Flows[[#This Row],[Flow_Material]]*Tab_Data_Flows[[#This Row],[DM_'[%']]],"N.A.")</f>
        <v>3</v>
      </c>
      <c r="AH102" s="7" t="str">
        <f>Tab_Data_Flows[[#This Row],[UoM_Flow_Py]]</f>
        <v>Mg</v>
      </c>
      <c r="AI102"/>
    </row>
    <row r="103" spans="1:35" x14ac:dyDescent="0.25">
      <c r="A103" s="9">
        <f t="shared" si="3"/>
        <v>102</v>
      </c>
      <c r="B103" s="7" t="str">
        <f>_xlfn.XLOOKUP(C103,Tab_Def_Flows[Flow_Name],Tab_Def_Flows[Flow_ID],,0,)</f>
        <v>F_14_00</v>
      </c>
      <c r="C103" s="8" t="s">
        <v>740</v>
      </c>
      <c r="D103" s="10" t="str">
        <f>_xlfn.XLOOKUP(C103,Tab_Def_Flows[Flow_Name],Tab_Def_Flows[WC?],,0,)</f>
        <v>Yes</v>
      </c>
      <c r="E103" s="10" t="str">
        <f>_xlfn.XLOOKUP(C103,Tab_Def_Flows[Flow_Name],Tab_Def_Flows[DM?],,0,)</f>
        <v>Yes</v>
      </c>
      <c r="F103" s="10" t="str">
        <f>_xlfn.XLOOKUP(C103,Tab_Def_Flows[Flow_Name],Tab_Def_Flows[CC?],,0,)</f>
        <v>Yes</v>
      </c>
      <c r="G103" s="8">
        <v>2019</v>
      </c>
      <c r="H103" s="28">
        <v>30</v>
      </c>
      <c r="I103" s="8"/>
      <c r="J103" s="8"/>
      <c r="K103" s="8" t="e">
        <f>INDEX(#REF!,MATCH(Tab_Data_Flows[[#This Row],[Flow_Name]],#REF!,0),12)</f>
        <v>#REF!</v>
      </c>
      <c r="L103" s="8" t="e">
        <f>MATCH(Tab_Data_Flows[[#This Row],[Flow_Name]],#REF!,0)</f>
        <v>#REF!</v>
      </c>
      <c r="M103" s="8"/>
      <c r="N103" s="8"/>
      <c r="O103" s="8"/>
      <c r="P103" s="8"/>
      <c r="Q103" s="8" t="s">
        <v>8</v>
      </c>
      <c r="R103" s="8"/>
      <c r="S103" s="8"/>
      <c r="T103" s="7" t="str">
        <f>Tab_Data_Flows[[#This Row],[Flow_ID]]&amp;"_"&amp;"material_"&amp;Tab_Data_Flows[[#This Row],[Flow_Data_Year]]</f>
        <v>F_14_00_material_2019</v>
      </c>
      <c r="U103" s="18">
        <f t="shared" si="4"/>
        <v>30</v>
      </c>
      <c r="V103" s="8" t="s">
        <v>218</v>
      </c>
      <c r="W103" s="156">
        <f>INDEX(Tab_Def_Flows[[Flow_ID]:[CC_DM_source]],MATCH(Tab_Data_Flows[[#This Row],[Flow_Name]],Tab_Def_Flows[Flow_Name],0),11)</f>
        <v>0</v>
      </c>
      <c r="X103" s="7" t="str">
        <f>Tab_Data_Flows[[#This Row],[Flow_ID]]&amp;"_"&amp;"WC_"&amp;Tab_Data_Flows[[#This Row],[Flow_Data_Year]]</f>
        <v>F_14_00_WC_2019</v>
      </c>
      <c r="Y103" s="7">
        <f>IF(D103="Yes",U103*Tab_Data_Flows[[#This Row],[WC_'[%']]],"N.A.")</f>
        <v>0</v>
      </c>
      <c r="Z103" s="7" t="str">
        <f>Tab_Data_Flows[[#This Row],[UoM_Flow_Py]]</f>
        <v>Mg</v>
      </c>
      <c r="AA103" s="156">
        <f>INDEX(Tab_Def_Flows[[Flow_ID]:[CC_DM_source]],MATCH(Tab_Data_Flows[[#This Row],[Flow_Name]],Tab_Def_Flows[Flow_Name],0),14)</f>
        <v>1</v>
      </c>
      <c r="AB103" s="7" t="str">
        <f>Tab_Data_Flows[[#This Row],[Flow_ID]]&amp;"_"&amp;"DM_"&amp;Tab_Data_Flows[[#This Row],[Flow_Data_Year]]</f>
        <v>F_14_00_DM_2019</v>
      </c>
      <c r="AC103" s="7">
        <f>IF(E103="Yes",AA103*Tab_Data_Flows[[#This Row],[Flow_Material]],"N.A.")</f>
        <v>30</v>
      </c>
      <c r="AD103" s="7" t="str">
        <f>Tab_Data_Flows[[#This Row],[UoM_Flow_Py]]</f>
        <v>Mg</v>
      </c>
      <c r="AE103" s="156">
        <f>INDEX(Tab_Def_Flows[[Flow_ID]:[CC_DM_source]],MATCH(Tab_Data_Flows[[#This Row],[Flow_Name]],Tab_Def_Flows[Flow_Name],0),17)</f>
        <v>0.1</v>
      </c>
      <c r="AF103" s="7" t="str">
        <f>Tab_Data_Flows[[#This Row],[Flow_ID]]&amp;"_"&amp;"CC_"&amp;Tab_Data_Flows[[#This Row],[Flow_Data_Year]]</f>
        <v>F_14_00_CC_2019</v>
      </c>
      <c r="AG103" s="7">
        <f>IF(F103="Yes",AE103*Tab_Data_Flows[[#This Row],[Flow_Material]]*Tab_Data_Flows[[#This Row],[DM_'[%']]],"N.A.")</f>
        <v>3</v>
      </c>
      <c r="AH103" s="7" t="str">
        <f>Tab_Data_Flows[[#This Row],[UoM_Flow_Py]]</f>
        <v>Mg</v>
      </c>
      <c r="AI103"/>
    </row>
    <row r="104" spans="1:35" x14ac:dyDescent="0.25">
      <c r="A104" s="9">
        <f t="shared" si="3"/>
        <v>103</v>
      </c>
      <c r="B104" s="7" t="str">
        <f>_xlfn.XLOOKUP(C104,Tab_Def_Flows[Flow_Name],Tab_Def_Flows[Flow_ID],,0,)</f>
        <v>F_14_00</v>
      </c>
      <c r="C104" s="8" t="s">
        <v>740</v>
      </c>
      <c r="D104" s="10" t="str">
        <f>_xlfn.XLOOKUP(C104,Tab_Def_Flows[Flow_Name],Tab_Def_Flows[WC?],,0,)</f>
        <v>Yes</v>
      </c>
      <c r="E104" s="10" t="str">
        <f>_xlfn.XLOOKUP(C104,Tab_Def_Flows[Flow_Name],Tab_Def_Flows[DM?],,0,)</f>
        <v>Yes</v>
      </c>
      <c r="F104" s="10" t="str">
        <f>_xlfn.XLOOKUP(C104,Tab_Def_Flows[Flow_Name],Tab_Def_Flows[CC?],,0,)</f>
        <v>Yes</v>
      </c>
      <c r="G104" s="8">
        <v>2020</v>
      </c>
      <c r="H104" s="28">
        <v>30</v>
      </c>
      <c r="I104" s="8"/>
      <c r="J104" s="8"/>
      <c r="K104" s="8" t="e">
        <f>INDEX(#REF!,MATCH(Tab_Data_Flows[[#This Row],[Flow_Name]],#REF!,0),12)</f>
        <v>#REF!</v>
      </c>
      <c r="L104" s="8" t="e">
        <f>MATCH(Tab_Data_Flows[[#This Row],[Flow_Name]],#REF!,0)</f>
        <v>#REF!</v>
      </c>
      <c r="M104" s="8"/>
      <c r="N104" s="8"/>
      <c r="O104" s="8"/>
      <c r="P104" s="8"/>
      <c r="Q104" s="8" t="s">
        <v>8</v>
      </c>
      <c r="R104" s="8"/>
      <c r="S104" s="8"/>
      <c r="T104" s="7" t="str">
        <f>Tab_Data_Flows[[#This Row],[Flow_ID]]&amp;"_"&amp;"material_"&amp;Tab_Data_Flows[[#This Row],[Flow_Data_Year]]</f>
        <v>F_14_00_material_2020</v>
      </c>
      <c r="U104" s="18">
        <f t="shared" si="4"/>
        <v>30</v>
      </c>
      <c r="V104" s="8" t="s">
        <v>218</v>
      </c>
      <c r="W104" s="156">
        <f>INDEX(Tab_Def_Flows[[Flow_ID]:[CC_DM_source]],MATCH(Tab_Data_Flows[[#This Row],[Flow_Name]],Tab_Def_Flows[Flow_Name],0),11)</f>
        <v>0</v>
      </c>
      <c r="X104" s="7" t="str">
        <f>Tab_Data_Flows[[#This Row],[Flow_ID]]&amp;"_"&amp;"WC_"&amp;Tab_Data_Flows[[#This Row],[Flow_Data_Year]]</f>
        <v>F_14_00_WC_2020</v>
      </c>
      <c r="Y104" s="7">
        <f>IF(D104="Yes",U104*Tab_Data_Flows[[#This Row],[WC_'[%']]],"N.A.")</f>
        <v>0</v>
      </c>
      <c r="Z104" s="7" t="str">
        <f>Tab_Data_Flows[[#This Row],[UoM_Flow_Py]]</f>
        <v>Mg</v>
      </c>
      <c r="AA104" s="156">
        <f>INDEX(Tab_Def_Flows[[Flow_ID]:[CC_DM_source]],MATCH(Tab_Data_Flows[[#This Row],[Flow_Name]],Tab_Def_Flows[Flow_Name],0),14)</f>
        <v>1</v>
      </c>
      <c r="AB104" s="7" t="str">
        <f>Tab_Data_Flows[[#This Row],[Flow_ID]]&amp;"_"&amp;"DM_"&amp;Tab_Data_Flows[[#This Row],[Flow_Data_Year]]</f>
        <v>F_14_00_DM_2020</v>
      </c>
      <c r="AC104" s="7">
        <f>IF(E104="Yes",AA104*Tab_Data_Flows[[#This Row],[Flow_Material]],"N.A.")</f>
        <v>30</v>
      </c>
      <c r="AD104" s="7" t="str">
        <f>Tab_Data_Flows[[#This Row],[UoM_Flow_Py]]</f>
        <v>Mg</v>
      </c>
      <c r="AE104" s="156">
        <f>INDEX(Tab_Def_Flows[[Flow_ID]:[CC_DM_source]],MATCH(Tab_Data_Flows[[#This Row],[Flow_Name]],Tab_Def_Flows[Flow_Name],0),17)</f>
        <v>0.1</v>
      </c>
      <c r="AF104" s="7" t="str">
        <f>Tab_Data_Flows[[#This Row],[Flow_ID]]&amp;"_"&amp;"CC_"&amp;Tab_Data_Flows[[#This Row],[Flow_Data_Year]]</f>
        <v>F_14_00_CC_2020</v>
      </c>
      <c r="AG104" s="7">
        <f>IF(F104="Yes",AE104*Tab_Data_Flows[[#This Row],[Flow_Material]]*Tab_Data_Flows[[#This Row],[DM_'[%']]],"N.A.")</f>
        <v>3</v>
      </c>
      <c r="AH104" s="7" t="str">
        <f>Tab_Data_Flows[[#This Row],[UoM_Flow_Py]]</f>
        <v>Mg</v>
      </c>
      <c r="AI104"/>
    </row>
    <row r="105" spans="1:35" x14ac:dyDescent="0.25">
      <c r="A105" s="9">
        <f t="shared" si="3"/>
        <v>104</v>
      </c>
      <c r="B105" s="7" t="str">
        <f>_xlfn.XLOOKUP(C105,Tab_Def_Flows[Flow_Name],Tab_Def_Flows[Flow_ID],,0,)</f>
        <v>F_14_00</v>
      </c>
      <c r="C105" s="8" t="s">
        <v>740</v>
      </c>
      <c r="D105" s="10" t="str">
        <f>_xlfn.XLOOKUP(C105,Tab_Def_Flows[Flow_Name],Tab_Def_Flows[WC?],,0,)</f>
        <v>Yes</v>
      </c>
      <c r="E105" s="10" t="str">
        <f>_xlfn.XLOOKUP(C105,Tab_Def_Flows[Flow_Name],Tab_Def_Flows[DM?],,0,)</f>
        <v>Yes</v>
      </c>
      <c r="F105" s="10" t="str">
        <f>_xlfn.XLOOKUP(C105,Tab_Def_Flows[Flow_Name],Tab_Def_Flows[CC?],,0,)</f>
        <v>Yes</v>
      </c>
      <c r="G105" s="8">
        <v>2021</v>
      </c>
      <c r="H105" s="28">
        <v>30</v>
      </c>
      <c r="I105" s="8"/>
      <c r="J105" s="8"/>
      <c r="K105" s="8" t="e">
        <f>INDEX(#REF!,MATCH(Tab_Data_Flows[[#This Row],[Flow_Name]],#REF!,0),12)</f>
        <v>#REF!</v>
      </c>
      <c r="L105" s="8" t="e">
        <f>MATCH(Tab_Data_Flows[[#This Row],[Flow_Name]],#REF!,0)</f>
        <v>#REF!</v>
      </c>
      <c r="M105" s="8"/>
      <c r="N105" s="8"/>
      <c r="O105" s="8"/>
      <c r="P105" s="8"/>
      <c r="Q105" s="8" t="s">
        <v>8</v>
      </c>
      <c r="R105" s="8"/>
      <c r="S105" s="8"/>
      <c r="T105" s="7" t="str">
        <f>Tab_Data_Flows[[#This Row],[Flow_ID]]&amp;"_"&amp;"material_"&amp;Tab_Data_Flows[[#This Row],[Flow_Data_Year]]</f>
        <v>F_14_00_material_2021</v>
      </c>
      <c r="U105" s="18">
        <f t="shared" si="4"/>
        <v>30</v>
      </c>
      <c r="V105" s="8" t="s">
        <v>218</v>
      </c>
      <c r="W105" s="156">
        <f>INDEX(Tab_Def_Flows[[Flow_ID]:[CC_DM_source]],MATCH(Tab_Data_Flows[[#This Row],[Flow_Name]],Tab_Def_Flows[Flow_Name],0),11)</f>
        <v>0</v>
      </c>
      <c r="X105" s="7" t="str">
        <f>Tab_Data_Flows[[#This Row],[Flow_ID]]&amp;"_"&amp;"WC_"&amp;Tab_Data_Flows[[#This Row],[Flow_Data_Year]]</f>
        <v>F_14_00_WC_2021</v>
      </c>
      <c r="Y105" s="7">
        <f>IF(D105="Yes",U105*Tab_Data_Flows[[#This Row],[WC_'[%']]],"N.A.")</f>
        <v>0</v>
      </c>
      <c r="Z105" s="7" t="str">
        <f>Tab_Data_Flows[[#This Row],[UoM_Flow_Py]]</f>
        <v>Mg</v>
      </c>
      <c r="AA105" s="156">
        <f>INDEX(Tab_Def_Flows[[Flow_ID]:[CC_DM_source]],MATCH(Tab_Data_Flows[[#This Row],[Flow_Name]],Tab_Def_Flows[Flow_Name],0),14)</f>
        <v>1</v>
      </c>
      <c r="AB105" s="7" t="str">
        <f>Tab_Data_Flows[[#This Row],[Flow_ID]]&amp;"_"&amp;"DM_"&amp;Tab_Data_Flows[[#This Row],[Flow_Data_Year]]</f>
        <v>F_14_00_DM_2021</v>
      </c>
      <c r="AC105" s="7">
        <f>IF(E105="Yes",AA105*Tab_Data_Flows[[#This Row],[Flow_Material]],"N.A.")</f>
        <v>30</v>
      </c>
      <c r="AD105" s="7" t="str">
        <f>Tab_Data_Flows[[#This Row],[UoM_Flow_Py]]</f>
        <v>Mg</v>
      </c>
      <c r="AE105" s="156">
        <f>INDEX(Tab_Def_Flows[[Flow_ID]:[CC_DM_source]],MATCH(Tab_Data_Flows[[#This Row],[Flow_Name]],Tab_Def_Flows[Flow_Name],0),17)</f>
        <v>0.1</v>
      </c>
      <c r="AF105" s="7" t="str">
        <f>Tab_Data_Flows[[#This Row],[Flow_ID]]&amp;"_"&amp;"CC_"&amp;Tab_Data_Flows[[#This Row],[Flow_Data_Year]]</f>
        <v>F_14_00_CC_2021</v>
      </c>
      <c r="AG105" s="7">
        <f>IF(F105="Yes",AE105*Tab_Data_Flows[[#This Row],[Flow_Material]]*Tab_Data_Flows[[#This Row],[DM_'[%']]],"N.A.")</f>
        <v>3</v>
      </c>
      <c r="AH105" s="7" t="str">
        <f>Tab_Data_Flows[[#This Row],[UoM_Flow_Py]]</f>
        <v>Mg</v>
      </c>
      <c r="AI105"/>
    </row>
    <row r="106" spans="1:35" x14ac:dyDescent="0.25">
      <c r="A106" s="9">
        <f t="shared" si="3"/>
        <v>105</v>
      </c>
      <c r="B106" s="7" t="str">
        <f>_xlfn.XLOOKUP(C106,Tab_Def_Flows[Flow_Name],Tab_Def_Flows[Flow_ID],,0,)</f>
        <v>F_14_00</v>
      </c>
      <c r="C106" s="8" t="s">
        <v>740</v>
      </c>
      <c r="D106" s="10" t="str">
        <f>_xlfn.XLOOKUP(C106,Tab_Def_Flows[Flow_Name],Tab_Def_Flows[WC?],,0,)</f>
        <v>Yes</v>
      </c>
      <c r="E106" s="10" t="str">
        <f>_xlfn.XLOOKUP(C106,Tab_Def_Flows[Flow_Name],Tab_Def_Flows[DM?],,0,)</f>
        <v>Yes</v>
      </c>
      <c r="F106" s="10" t="str">
        <f>_xlfn.XLOOKUP(C106,Tab_Def_Flows[Flow_Name],Tab_Def_Flows[CC?],,0,)</f>
        <v>Yes</v>
      </c>
      <c r="G106" s="8">
        <v>2022</v>
      </c>
      <c r="H106" s="28">
        <v>30</v>
      </c>
      <c r="I106" s="8"/>
      <c r="J106" s="8"/>
      <c r="K106" s="8" t="e">
        <f>INDEX(#REF!,MATCH(Tab_Data_Flows[[#This Row],[Flow_Name]],#REF!,0),12)</f>
        <v>#REF!</v>
      </c>
      <c r="L106" s="8" t="e">
        <f>MATCH(Tab_Data_Flows[[#This Row],[Flow_Name]],#REF!,0)</f>
        <v>#REF!</v>
      </c>
      <c r="M106" s="8"/>
      <c r="N106" s="8"/>
      <c r="O106" s="8"/>
      <c r="P106" s="8"/>
      <c r="Q106" s="8" t="s">
        <v>8</v>
      </c>
      <c r="R106" s="8"/>
      <c r="S106" s="8"/>
      <c r="T106" s="7" t="str">
        <f>Tab_Data_Flows[[#This Row],[Flow_ID]]&amp;"_"&amp;"material_"&amp;Tab_Data_Flows[[#This Row],[Flow_Data_Year]]</f>
        <v>F_14_00_material_2022</v>
      </c>
      <c r="U106" s="18">
        <f t="shared" si="4"/>
        <v>30</v>
      </c>
      <c r="V106" s="8" t="s">
        <v>218</v>
      </c>
      <c r="W106" s="156">
        <f>INDEX(Tab_Def_Flows[[Flow_ID]:[CC_DM_source]],MATCH(Tab_Data_Flows[[#This Row],[Flow_Name]],Tab_Def_Flows[Flow_Name],0),11)</f>
        <v>0</v>
      </c>
      <c r="X106" s="7" t="str">
        <f>Tab_Data_Flows[[#This Row],[Flow_ID]]&amp;"_"&amp;"WC_"&amp;Tab_Data_Flows[[#This Row],[Flow_Data_Year]]</f>
        <v>F_14_00_WC_2022</v>
      </c>
      <c r="Y106" s="7">
        <f>IF(D106="Yes",U106*Tab_Data_Flows[[#This Row],[WC_'[%']]],"N.A.")</f>
        <v>0</v>
      </c>
      <c r="Z106" s="7" t="str">
        <f>Tab_Data_Flows[[#This Row],[UoM_Flow_Py]]</f>
        <v>Mg</v>
      </c>
      <c r="AA106" s="156">
        <f>INDEX(Tab_Def_Flows[[Flow_ID]:[CC_DM_source]],MATCH(Tab_Data_Flows[[#This Row],[Flow_Name]],Tab_Def_Flows[Flow_Name],0),14)</f>
        <v>1</v>
      </c>
      <c r="AB106" s="7" t="str">
        <f>Tab_Data_Flows[[#This Row],[Flow_ID]]&amp;"_"&amp;"DM_"&amp;Tab_Data_Flows[[#This Row],[Flow_Data_Year]]</f>
        <v>F_14_00_DM_2022</v>
      </c>
      <c r="AC106" s="7">
        <f>IF(E106="Yes",AA106*Tab_Data_Flows[[#This Row],[Flow_Material]],"N.A.")</f>
        <v>30</v>
      </c>
      <c r="AD106" s="7" t="str">
        <f>Tab_Data_Flows[[#This Row],[UoM_Flow_Py]]</f>
        <v>Mg</v>
      </c>
      <c r="AE106" s="156">
        <f>INDEX(Tab_Def_Flows[[Flow_ID]:[CC_DM_source]],MATCH(Tab_Data_Flows[[#This Row],[Flow_Name]],Tab_Def_Flows[Flow_Name],0),17)</f>
        <v>0.1</v>
      </c>
      <c r="AF106" s="7" t="str">
        <f>Tab_Data_Flows[[#This Row],[Flow_ID]]&amp;"_"&amp;"CC_"&amp;Tab_Data_Flows[[#This Row],[Flow_Data_Year]]</f>
        <v>F_14_00_CC_2022</v>
      </c>
      <c r="AG106" s="7">
        <f>IF(F106="Yes",AE106*Tab_Data_Flows[[#This Row],[Flow_Material]]*Tab_Data_Flows[[#This Row],[DM_'[%']]],"N.A.")</f>
        <v>3</v>
      </c>
      <c r="AH106" s="7" t="str">
        <f>Tab_Data_Flows[[#This Row],[UoM_Flow_Py]]</f>
        <v>Mg</v>
      </c>
      <c r="AI106"/>
    </row>
    <row r="107" spans="1:35" x14ac:dyDescent="0.25">
      <c r="A107" s="9">
        <f t="shared" si="3"/>
        <v>106</v>
      </c>
      <c r="B107" s="7" t="str">
        <f>_xlfn.XLOOKUP(C107,Tab_Def_Flows[Flow_Name],Tab_Def_Flows[Flow_ID],,0,)</f>
        <v>F_14_00</v>
      </c>
      <c r="C107" s="8" t="s">
        <v>740</v>
      </c>
      <c r="D107" s="10" t="str">
        <f>_xlfn.XLOOKUP(C107,Tab_Def_Flows[Flow_Name],Tab_Def_Flows[WC?],,0,)</f>
        <v>Yes</v>
      </c>
      <c r="E107" s="10" t="str">
        <f>_xlfn.XLOOKUP(C107,Tab_Def_Flows[Flow_Name],Tab_Def_Flows[DM?],,0,)</f>
        <v>Yes</v>
      </c>
      <c r="F107" s="10" t="str">
        <f>_xlfn.XLOOKUP(C107,Tab_Def_Flows[Flow_Name],Tab_Def_Flows[CC?],,0,)</f>
        <v>Yes</v>
      </c>
      <c r="G107" s="8">
        <v>2023</v>
      </c>
      <c r="H107" s="28">
        <v>30</v>
      </c>
      <c r="I107" s="8"/>
      <c r="J107" s="8"/>
      <c r="K107" s="8" t="e">
        <f>INDEX(#REF!,MATCH(Tab_Data_Flows[[#This Row],[Flow_Name]],#REF!,0),12)</f>
        <v>#REF!</v>
      </c>
      <c r="L107" s="8" t="e">
        <f>MATCH(Tab_Data_Flows[[#This Row],[Flow_Name]],#REF!,0)</f>
        <v>#REF!</v>
      </c>
      <c r="M107" s="8"/>
      <c r="N107" s="8"/>
      <c r="O107" s="8"/>
      <c r="P107" s="8"/>
      <c r="Q107" s="8" t="s">
        <v>8</v>
      </c>
      <c r="R107" s="8"/>
      <c r="S107" s="8"/>
      <c r="T107" s="7" t="str">
        <f>Tab_Data_Flows[[#This Row],[Flow_ID]]&amp;"_"&amp;"material_"&amp;Tab_Data_Flows[[#This Row],[Flow_Data_Year]]</f>
        <v>F_14_00_material_2023</v>
      </c>
      <c r="U107" s="18">
        <f t="shared" si="4"/>
        <v>30</v>
      </c>
      <c r="V107" s="8" t="s">
        <v>218</v>
      </c>
      <c r="W107" s="156">
        <f>INDEX(Tab_Def_Flows[[Flow_ID]:[CC_DM_source]],MATCH(Tab_Data_Flows[[#This Row],[Flow_Name]],Tab_Def_Flows[Flow_Name],0),11)</f>
        <v>0</v>
      </c>
      <c r="X107" s="7" t="str">
        <f>Tab_Data_Flows[[#This Row],[Flow_ID]]&amp;"_"&amp;"WC_"&amp;Tab_Data_Flows[[#This Row],[Flow_Data_Year]]</f>
        <v>F_14_00_WC_2023</v>
      </c>
      <c r="Y107" s="7">
        <f>IF(D107="Yes",U107*Tab_Data_Flows[[#This Row],[WC_'[%']]],"N.A.")</f>
        <v>0</v>
      </c>
      <c r="Z107" s="7" t="str">
        <f>Tab_Data_Flows[[#This Row],[UoM_Flow_Py]]</f>
        <v>Mg</v>
      </c>
      <c r="AA107" s="156">
        <f>INDEX(Tab_Def_Flows[[Flow_ID]:[CC_DM_source]],MATCH(Tab_Data_Flows[[#This Row],[Flow_Name]],Tab_Def_Flows[Flow_Name],0),14)</f>
        <v>1</v>
      </c>
      <c r="AB107" s="7" t="str">
        <f>Tab_Data_Flows[[#This Row],[Flow_ID]]&amp;"_"&amp;"DM_"&amp;Tab_Data_Flows[[#This Row],[Flow_Data_Year]]</f>
        <v>F_14_00_DM_2023</v>
      </c>
      <c r="AC107" s="7">
        <f>IF(E107="Yes",AA107*Tab_Data_Flows[[#This Row],[Flow_Material]],"N.A.")</f>
        <v>30</v>
      </c>
      <c r="AD107" s="7" t="str">
        <f>Tab_Data_Flows[[#This Row],[UoM_Flow_Py]]</f>
        <v>Mg</v>
      </c>
      <c r="AE107" s="156">
        <f>INDEX(Tab_Def_Flows[[Flow_ID]:[CC_DM_source]],MATCH(Tab_Data_Flows[[#This Row],[Flow_Name]],Tab_Def_Flows[Flow_Name],0),17)</f>
        <v>0.1</v>
      </c>
      <c r="AF107" s="7" t="str">
        <f>Tab_Data_Flows[[#This Row],[Flow_ID]]&amp;"_"&amp;"CC_"&amp;Tab_Data_Flows[[#This Row],[Flow_Data_Year]]</f>
        <v>F_14_00_CC_2023</v>
      </c>
      <c r="AG107" s="7">
        <f>IF(F107="Yes",AE107*Tab_Data_Flows[[#This Row],[Flow_Material]]*Tab_Data_Flows[[#This Row],[DM_'[%']]],"N.A.")</f>
        <v>3</v>
      </c>
      <c r="AH107" s="7" t="str">
        <f>Tab_Data_Flows[[#This Row],[UoM_Flow_Py]]</f>
        <v>Mg</v>
      </c>
      <c r="AI107"/>
    </row>
    <row r="108" spans="1:35" x14ac:dyDescent="0.25">
      <c r="A108" s="9">
        <f t="shared" si="3"/>
        <v>107</v>
      </c>
      <c r="B108" s="7" t="str">
        <f>_xlfn.XLOOKUP(C108,Tab_Def_Flows[Flow_Name],Tab_Def_Flows[Flow_ID],,0,)</f>
        <v>F_14_00</v>
      </c>
      <c r="C108" s="8" t="s">
        <v>740</v>
      </c>
      <c r="D108" s="10" t="str">
        <f>_xlfn.XLOOKUP(C108,Tab_Def_Flows[Flow_Name],Tab_Def_Flows[WC?],,0,)</f>
        <v>Yes</v>
      </c>
      <c r="E108" s="10" t="str">
        <f>_xlfn.XLOOKUP(C108,Tab_Def_Flows[Flow_Name],Tab_Def_Flows[DM?],,0,)</f>
        <v>Yes</v>
      </c>
      <c r="F108" s="10" t="str">
        <f>_xlfn.XLOOKUP(C108,Tab_Def_Flows[Flow_Name],Tab_Def_Flows[CC?],,0,)</f>
        <v>Yes</v>
      </c>
      <c r="G108" s="8">
        <v>2024</v>
      </c>
      <c r="H108" s="28">
        <v>30</v>
      </c>
      <c r="I108" s="8"/>
      <c r="J108" s="8"/>
      <c r="K108" s="8" t="e">
        <f>INDEX(#REF!,MATCH(Tab_Data_Flows[[#This Row],[Flow_Name]],#REF!,0),12)</f>
        <v>#REF!</v>
      </c>
      <c r="L108" s="8" t="e">
        <f>MATCH(Tab_Data_Flows[[#This Row],[Flow_Name]],#REF!,0)</f>
        <v>#REF!</v>
      </c>
      <c r="M108" s="8"/>
      <c r="N108" s="8"/>
      <c r="O108" s="8"/>
      <c r="P108" s="8"/>
      <c r="Q108" s="8" t="s">
        <v>8</v>
      </c>
      <c r="R108" s="8"/>
      <c r="S108" s="8"/>
      <c r="T108" s="7" t="str">
        <f>Tab_Data_Flows[[#This Row],[Flow_ID]]&amp;"_"&amp;"material_"&amp;Tab_Data_Flows[[#This Row],[Flow_Data_Year]]</f>
        <v>F_14_00_material_2024</v>
      </c>
      <c r="U108" s="18">
        <f t="shared" si="4"/>
        <v>30</v>
      </c>
      <c r="V108" s="8" t="s">
        <v>218</v>
      </c>
      <c r="W108" s="156">
        <f>INDEX(Tab_Def_Flows[[Flow_ID]:[CC_DM_source]],MATCH(Tab_Data_Flows[[#This Row],[Flow_Name]],Tab_Def_Flows[Flow_Name],0),11)</f>
        <v>0</v>
      </c>
      <c r="X108" s="7" t="str">
        <f>Tab_Data_Flows[[#This Row],[Flow_ID]]&amp;"_"&amp;"WC_"&amp;Tab_Data_Flows[[#This Row],[Flow_Data_Year]]</f>
        <v>F_14_00_WC_2024</v>
      </c>
      <c r="Y108" s="7">
        <f>IF(D108="Yes",U108*Tab_Data_Flows[[#This Row],[WC_'[%']]],"N.A.")</f>
        <v>0</v>
      </c>
      <c r="Z108" s="7" t="str">
        <f>Tab_Data_Flows[[#This Row],[UoM_Flow_Py]]</f>
        <v>Mg</v>
      </c>
      <c r="AA108" s="156">
        <f>INDEX(Tab_Def_Flows[[Flow_ID]:[CC_DM_source]],MATCH(Tab_Data_Flows[[#This Row],[Flow_Name]],Tab_Def_Flows[Flow_Name],0),14)</f>
        <v>1</v>
      </c>
      <c r="AB108" s="7" t="str">
        <f>Tab_Data_Flows[[#This Row],[Flow_ID]]&amp;"_"&amp;"DM_"&amp;Tab_Data_Flows[[#This Row],[Flow_Data_Year]]</f>
        <v>F_14_00_DM_2024</v>
      </c>
      <c r="AC108" s="7">
        <f>IF(E108="Yes",AA108*Tab_Data_Flows[[#This Row],[Flow_Material]],"N.A.")</f>
        <v>30</v>
      </c>
      <c r="AD108" s="7" t="str">
        <f>Tab_Data_Flows[[#This Row],[UoM_Flow_Py]]</f>
        <v>Mg</v>
      </c>
      <c r="AE108" s="156">
        <f>INDEX(Tab_Def_Flows[[Flow_ID]:[CC_DM_source]],MATCH(Tab_Data_Flows[[#This Row],[Flow_Name]],Tab_Def_Flows[Flow_Name],0),17)</f>
        <v>0.1</v>
      </c>
      <c r="AF108" s="7" t="str">
        <f>Tab_Data_Flows[[#This Row],[Flow_ID]]&amp;"_"&amp;"CC_"&amp;Tab_Data_Flows[[#This Row],[Flow_Data_Year]]</f>
        <v>F_14_00_CC_2024</v>
      </c>
      <c r="AG108" s="7">
        <f>IF(F108="Yes",AE108*Tab_Data_Flows[[#This Row],[Flow_Material]]*Tab_Data_Flows[[#This Row],[DM_'[%']]],"N.A.")</f>
        <v>3</v>
      </c>
      <c r="AH108" s="7" t="str">
        <f>Tab_Data_Flows[[#This Row],[UoM_Flow_Py]]</f>
        <v>Mg</v>
      </c>
      <c r="AI108"/>
    </row>
    <row r="109" spans="1:35" x14ac:dyDescent="0.25">
      <c r="A109" s="9">
        <f t="shared" si="3"/>
        <v>108</v>
      </c>
      <c r="B109" s="7" t="str">
        <f>_xlfn.XLOOKUP(C109,Tab_Def_Flows[Flow_Name],Tab_Def_Flows[Flow_ID],,0,)</f>
        <v>F_14_00</v>
      </c>
      <c r="C109" s="8" t="s">
        <v>740</v>
      </c>
      <c r="D109" s="10" t="str">
        <f>_xlfn.XLOOKUP(C109,Tab_Def_Flows[Flow_Name],Tab_Def_Flows[WC?],,0,)</f>
        <v>Yes</v>
      </c>
      <c r="E109" s="10" t="str">
        <f>_xlfn.XLOOKUP(C109,Tab_Def_Flows[Flow_Name],Tab_Def_Flows[DM?],,0,)</f>
        <v>Yes</v>
      </c>
      <c r="F109" s="10" t="str">
        <f>_xlfn.XLOOKUP(C109,Tab_Def_Flows[Flow_Name],Tab_Def_Flows[CC?],,0,)</f>
        <v>Yes</v>
      </c>
      <c r="G109" s="8">
        <v>2025</v>
      </c>
      <c r="H109" s="28">
        <v>30</v>
      </c>
      <c r="I109" s="8"/>
      <c r="J109" s="8"/>
      <c r="K109" s="8" t="e">
        <f>INDEX(#REF!,MATCH(Tab_Data_Flows[[#This Row],[Flow_Name]],#REF!,0),12)</f>
        <v>#REF!</v>
      </c>
      <c r="L109" s="8" t="e">
        <f>MATCH(Tab_Data_Flows[[#This Row],[Flow_Name]],#REF!,0)</f>
        <v>#REF!</v>
      </c>
      <c r="M109" s="8"/>
      <c r="N109" s="8"/>
      <c r="O109" s="8"/>
      <c r="P109" s="8"/>
      <c r="Q109" s="8" t="s">
        <v>8</v>
      </c>
      <c r="R109" s="8"/>
      <c r="S109" s="8"/>
      <c r="T109" s="7" t="str">
        <f>Tab_Data_Flows[[#This Row],[Flow_ID]]&amp;"_"&amp;"material_"&amp;Tab_Data_Flows[[#This Row],[Flow_Data_Year]]</f>
        <v>F_14_00_material_2025</v>
      </c>
      <c r="U109" s="18">
        <f t="shared" si="4"/>
        <v>30</v>
      </c>
      <c r="V109" s="8" t="s">
        <v>218</v>
      </c>
      <c r="W109" s="156">
        <f>INDEX(Tab_Def_Flows[[Flow_ID]:[CC_DM_source]],MATCH(Tab_Data_Flows[[#This Row],[Flow_Name]],Tab_Def_Flows[Flow_Name],0),11)</f>
        <v>0</v>
      </c>
      <c r="X109" s="7" t="str">
        <f>Tab_Data_Flows[[#This Row],[Flow_ID]]&amp;"_"&amp;"WC_"&amp;Tab_Data_Flows[[#This Row],[Flow_Data_Year]]</f>
        <v>F_14_00_WC_2025</v>
      </c>
      <c r="Y109" s="7">
        <f>IF(D109="Yes",U109*Tab_Data_Flows[[#This Row],[WC_'[%']]],"N.A.")</f>
        <v>0</v>
      </c>
      <c r="Z109" s="7" t="str">
        <f>Tab_Data_Flows[[#This Row],[UoM_Flow_Py]]</f>
        <v>Mg</v>
      </c>
      <c r="AA109" s="156">
        <f>INDEX(Tab_Def_Flows[[Flow_ID]:[CC_DM_source]],MATCH(Tab_Data_Flows[[#This Row],[Flow_Name]],Tab_Def_Flows[Flow_Name],0),14)</f>
        <v>1</v>
      </c>
      <c r="AB109" s="7" t="str">
        <f>Tab_Data_Flows[[#This Row],[Flow_ID]]&amp;"_"&amp;"DM_"&amp;Tab_Data_Flows[[#This Row],[Flow_Data_Year]]</f>
        <v>F_14_00_DM_2025</v>
      </c>
      <c r="AC109" s="7">
        <f>IF(E109="Yes",AA109*Tab_Data_Flows[[#This Row],[Flow_Material]],"N.A.")</f>
        <v>30</v>
      </c>
      <c r="AD109" s="7" t="str">
        <f>Tab_Data_Flows[[#This Row],[UoM_Flow_Py]]</f>
        <v>Mg</v>
      </c>
      <c r="AE109" s="156">
        <f>INDEX(Tab_Def_Flows[[Flow_ID]:[CC_DM_source]],MATCH(Tab_Data_Flows[[#This Row],[Flow_Name]],Tab_Def_Flows[Flow_Name],0),17)</f>
        <v>0.1</v>
      </c>
      <c r="AF109" s="7" t="str">
        <f>Tab_Data_Flows[[#This Row],[Flow_ID]]&amp;"_"&amp;"CC_"&amp;Tab_Data_Flows[[#This Row],[Flow_Data_Year]]</f>
        <v>F_14_00_CC_2025</v>
      </c>
      <c r="AG109" s="7">
        <f>IF(F109="Yes",AE109*Tab_Data_Flows[[#This Row],[Flow_Material]]*Tab_Data_Flows[[#This Row],[DM_'[%']]],"N.A.")</f>
        <v>3</v>
      </c>
      <c r="AH109" s="7" t="str">
        <f>Tab_Data_Flows[[#This Row],[UoM_Flow_Py]]</f>
        <v>Mg</v>
      </c>
      <c r="AI109"/>
    </row>
    <row r="110" spans="1:35" x14ac:dyDescent="0.25">
      <c r="A110" s="9">
        <f t="shared" si="3"/>
        <v>109</v>
      </c>
      <c r="B110" s="7" t="str">
        <f>_xlfn.XLOOKUP(C110,Tab_Def_Flows[Flow_Name],Tab_Def_Flows[Flow_ID],,0,)</f>
        <v>F_14_00</v>
      </c>
      <c r="C110" s="8" t="s">
        <v>740</v>
      </c>
      <c r="D110" s="10" t="str">
        <f>_xlfn.XLOOKUP(C110,Tab_Def_Flows[Flow_Name],Tab_Def_Flows[WC?],,0,)</f>
        <v>Yes</v>
      </c>
      <c r="E110" s="10" t="str">
        <f>_xlfn.XLOOKUP(C110,Tab_Def_Flows[Flow_Name],Tab_Def_Flows[DM?],,0,)</f>
        <v>Yes</v>
      </c>
      <c r="F110" s="10" t="str">
        <f>_xlfn.XLOOKUP(C110,Tab_Def_Flows[Flow_Name],Tab_Def_Flows[CC?],,0,)</f>
        <v>Yes</v>
      </c>
      <c r="G110" s="8">
        <v>2026</v>
      </c>
      <c r="H110" s="28">
        <v>30</v>
      </c>
      <c r="I110" s="8"/>
      <c r="J110" s="8"/>
      <c r="K110" s="8" t="e">
        <f>INDEX(#REF!,MATCH(Tab_Data_Flows[[#This Row],[Flow_Name]],#REF!,0),12)</f>
        <v>#REF!</v>
      </c>
      <c r="L110" s="8" t="e">
        <f>MATCH(Tab_Data_Flows[[#This Row],[Flow_Name]],#REF!,0)</f>
        <v>#REF!</v>
      </c>
      <c r="M110" s="8"/>
      <c r="N110" s="8"/>
      <c r="O110" s="8"/>
      <c r="P110" s="8"/>
      <c r="Q110" s="8" t="s">
        <v>8</v>
      </c>
      <c r="R110" s="8"/>
      <c r="S110" s="8"/>
      <c r="T110" s="7" t="str">
        <f>Tab_Data_Flows[[#This Row],[Flow_ID]]&amp;"_"&amp;"material_"&amp;Tab_Data_Flows[[#This Row],[Flow_Data_Year]]</f>
        <v>F_14_00_material_2026</v>
      </c>
      <c r="U110" s="18">
        <f t="shared" si="4"/>
        <v>30</v>
      </c>
      <c r="V110" s="8" t="s">
        <v>218</v>
      </c>
      <c r="W110" s="156">
        <f>INDEX(Tab_Def_Flows[[Flow_ID]:[CC_DM_source]],MATCH(Tab_Data_Flows[[#This Row],[Flow_Name]],Tab_Def_Flows[Flow_Name],0),11)</f>
        <v>0</v>
      </c>
      <c r="X110" s="7" t="str">
        <f>Tab_Data_Flows[[#This Row],[Flow_ID]]&amp;"_"&amp;"WC_"&amp;Tab_Data_Flows[[#This Row],[Flow_Data_Year]]</f>
        <v>F_14_00_WC_2026</v>
      </c>
      <c r="Y110" s="7">
        <f>IF(D110="Yes",U110*Tab_Data_Flows[[#This Row],[WC_'[%']]],"N.A.")</f>
        <v>0</v>
      </c>
      <c r="Z110" s="7" t="str">
        <f>Tab_Data_Flows[[#This Row],[UoM_Flow_Py]]</f>
        <v>Mg</v>
      </c>
      <c r="AA110" s="156">
        <f>INDEX(Tab_Def_Flows[[Flow_ID]:[CC_DM_source]],MATCH(Tab_Data_Flows[[#This Row],[Flow_Name]],Tab_Def_Flows[Flow_Name],0),14)</f>
        <v>1</v>
      </c>
      <c r="AB110" s="7" t="str">
        <f>Tab_Data_Flows[[#This Row],[Flow_ID]]&amp;"_"&amp;"DM_"&amp;Tab_Data_Flows[[#This Row],[Flow_Data_Year]]</f>
        <v>F_14_00_DM_2026</v>
      </c>
      <c r="AC110" s="7">
        <f>IF(E110="Yes",AA110*Tab_Data_Flows[[#This Row],[Flow_Material]],"N.A.")</f>
        <v>30</v>
      </c>
      <c r="AD110" s="7" t="str">
        <f>Tab_Data_Flows[[#This Row],[UoM_Flow_Py]]</f>
        <v>Mg</v>
      </c>
      <c r="AE110" s="156">
        <f>INDEX(Tab_Def_Flows[[Flow_ID]:[CC_DM_source]],MATCH(Tab_Data_Flows[[#This Row],[Flow_Name]],Tab_Def_Flows[Flow_Name],0),17)</f>
        <v>0.1</v>
      </c>
      <c r="AF110" s="7" t="str">
        <f>Tab_Data_Flows[[#This Row],[Flow_ID]]&amp;"_"&amp;"CC_"&amp;Tab_Data_Flows[[#This Row],[Flow_Data_Year]]</f>
        <v>F_14_00_CC_2026</v>
      </c>
      <c r="AG110" s="7">
        <f>IF(F110="Yes",AE110*Tab_Data_Flows[[#This Row],[Flow_Material]]*Tab_Data_Flows[[#This Row],[DM_'[%']]],"N.A.")</f>
        <v>3</v>
      </c>
      <c r="AH110" s="7" t="str">
        <f>Tab_Data_Flows[[#This Row],[UoM_Flow_Py]]</f>
        <v>Mg</v>
      </c>
      <c r="AI110"/>
    </row>
    <row r="111" spans="1:35" x14ac:dyDescent="0.25">
      <c r="A111" s="9">
        <f t="shared" si="3"/>
        <v>110</v>
      </c>
      <c r="B111" s="7" t="str">
        <f>_xlfn.XLOOKUP(C111,Tab_Def_Flows[Flow_Name],Tab_Def_Flows[Flow_ID],,0,)</f>
        <v>F_14_00</v>
      </c>
      <c r="C111" s="8" t="s">
        <v>740</v>
      </c>
      <c r="D111" s="10" t="str">
        <f>_xlfn.XLOOKUP(C111,Tab_Def_Flows[Flow_Name],Tab_Def_Flows[WC?],,0,)</f>
        <v>Yes</v>
      </c>
      <c r="E111" s="10" t="str">
        <f>_xlfn.XLOOKUP(C111,Tab_Def_Flows[Flow_Name],Tab_Def_Flows[DM?],,0,)</f>
        <v>Yes</v>
      </c>
      <c r="F111" s="10" t="str">
        <f>_xlfn.XLOOKUP(C111,Tab_Def_Flows[Flow_Name],Tab_Def_Flows[CC?],,0,)</f>
        <v>Yes</v>
      </c>
      <c r="G111" s="8">
        <v>2027</v>
      </c>
      <c r="H111" s="28">
        <v>30</v>
      </c>
      <c r="I111" s="8"/>
      <c r="J111" s="8"/>
      <c r="K111" s="8" t="e">
        <f>INDEX(#REF!,MATCH(Tab_Data_Flows[[#This Row],[Flow_Name]],#REF!,0),12)</f>
        <v>#REF!</v>
      </c>
      <c r="L111" s="8" t="e">
        <f>MATCH(Tab_Data_Flows[[#This Row],[Flow_Name]],#REF!,0)</f>
        <v>#REF!</v>
      </c>
      <c r="M111" s="8"/>
      <c r="N111" s="8"/>
      <c r="O111" s="8"/>
      <c r="P111" s="8"/>
      <c r="Q111" s="8" t="s">
        <v>8</v>
      </c>
      <c r="R111" s="8"/>
      <c r="S111" s="8"/>
      <c r="T111" s="7" t="str">
        <f>Tab_Data_Flows[[#This Row],[Flow_ID]]&amp;"_"&amp;"material_"&amp;Tab_Data_Flows[[#This Row],[Flow_Data_Year]]</f>
        <v>F_14_00_material_2027</v>
      </c>
      <c r="U111" s="18">
        <f t="shared" si="4"/>
        <v>30</v>
      </c>
      <c r="V111" s="8" t="s">
        <v>218</v>
      </c>
      <c r="W111" s="156">
        <f>INDEX(Tab_Def_Flows[[Flow_ID]:[CC_DM_source]],MATCH(Tab_Data_Flows[[#This Row],[Flow_Name]],Tab_Def_Flows[Flow_Name],0),11)</f>
        <v>0</v>
      </c>
      <c r="X111" s="7" t="str">
        <f>Tab_Data_Flows[[#This Row],[Flow_ID]]&amp;"_"&amp;"WC_"&amp;Tab_Data_Flows[[#This Row],[Flow_Data_Year]]</f>
        <v>F_14_00_WC_2027</v>
      </c>
      <c r="Y111" s="7">
        <f>IF(D111="Yes",U111*Tab_Data_Flows[[#This Row],[WC_'[%']]],"N.A.")</f>
        <v>0</v>
      </c>
      <c r="Z111" s="7" t="str">
        <f>Tab_Data_Flows[[#This Row],[UoM_Flow_Py]]</f>
        <v>Mg</v>
      </c>
      <c r="AA111" s="156">
        <f>INDEX(Tab_Def_Flows[[Flow_ID]:[CC_DM_source]],MATCH(Tab_Data_Flows[[#This Row],[Flow_Name]],Tab_Def_Flows[Flow_Name],0),14)</f>
        <v>1</v>
      </c>
      <c r="AB111" s="7" t="str">
        <f>Tab_Data_Flows[[#This Row],[Flow_ID]]&amp;"_"&amp;"DM_"&amp;Tab_Data_Flows[[#This Row],[Flow_Data_Year]]</f>
        <v>F_14_00_DM_2027</v>
      </c>
      <c r="AC111" s="7">
        <f>IF(E111="Yes",AA111*Tab_Data_Flows[[#This Row],[Flow_Material]],"N.A.")</f>
        <v>30</v>
      </c>
      <c r="AD111" s="7" t="str">
        <f>Tab_Data_Flows[[#This Row],[UoM_Flow_Py]]</f>
        <v>Mg</v>
      </c>
      <c r="AE111" s="156">
        <f>INDEX(Tab_Def_Flows[[Flow_ID]:[CC_DM_source]],MATCH(Tab_Data_Flows[[#This Row],[Flow_Name]],Tab_Def_Flows[Flow_Name],0),17)</f>
        <v>0.1</v>
      </c>
      <c r="AF111" s="7" t="str">
        <f>Tab_Data_Flows[[#This Row],[Flow_ID]]&amp;"_"&amp;"CC_"&amp;Tab_Data_Flows[[#This Row],[Flow_Data_Year]]</f>
        <v>F_14_00_CC_2027</v>
      </c>
      <c r="AG111" s="7">
        <f>IF(F111="Yes",AE111*Tab_Data_Flows[[#This Row],[Flow_Material]]*Tab_Data_Flows[[#This Row],[DM_'[%']]],"N.A.")</f>
        <v>3</v>
      </c>
      <c r="AH111" s="7" t="str">
        <f>Tab_Data_Flows[[#This Row],[UoM_Flow_Py]]</f>
        <v>Mg</v>
      </c>
      <c r="AI111"/>
    </row>
    <row r="112" spans="1:35" x14ac:dyDescent="0.25">
      <c r="A112" s="9">
        <f t="shared" si="3"/>
        <v>111</v>
      </c>
      <c r="B112" s="7" t="str">
        <f>_xlfn.XLOOKUP(C112,Tab_Def_Flows[Flow_Name],Tab_Def_Flows[Flow_ID],,0,)</f>
        <v>F_14_00</v>
      </c>
      <c r="C112" s="8" t="s">
        <v>740</v>
      </c>
      <c r="D112" s="10" t="str">
        <f>_xlfn.XLOOKUP(C112,Tab_Def_Flows[Flow_Name],Tab_Def_Flows[WC?],,0,)</f>
        <v>Yes</v>
      </c>
      <c r="E112" s="10" t="str">
        <f>_xlfn.XLOOKUP(C112,Tab_Def_Flows[Flow_Name],Tab_Def_Flows[DM?],,0,)</f>
        <v>Yes</v>
      </c>
      <c r="F112" s="10" t="str">
        <f>_xlfn.XLOOKUP(C112,Tab_Def_Flows[Flow_Name],Tab_Def_Flows[CC?],,0,)</f>
        <v>Yes</v>
      </c>
      <c r="G112" s="8">
        <v>2028</v>
      </c>
      <c r="H112" s="28">
        <v>30</v>
      </c>
      <c r="I112" s="8"/>
      <c r="J112" s="8"/>
      <c r="K112" s="8" t="e">
        <f>INDEX(#REF!,MATCH(Tab_Data_Flows[[#This Row],[Flow_Name]],#REF!,0),12)</f>
        <v>#REF!</v>
      </c>
      <c r="L112" s="8" t="e">
        <f>MATCH(Tab_Data_Flows[[#This Row],[Flow_Name]],#REF!,0)</f>
        <v>#REF!</v>
      </c>
      <c r="M112" s="8"/>
      <c r="N112" s="8"/>
      <c r="O112" s="8"/>
      <c r="P112" s="8"/>
      <c r="Q112" s="8" t="s">
        <v>8</v>
      </c>
      <c r="R112" s="8"/>
      <c r="S112" s="8"/>
      <c r="T112" s="7" t="str">
        <f>Tab_Data_Flows[[#This Row],[Flow_ID]]&amp;"_"&amp;"material_"&amp;Tab_Data_Flows[[#This Row],[Flow_Data_Year]]</f>
        <v>F_14_00_material_2028</v>
      </c>
      <c r="U112" s="18">
        <f t="shared" si="4"/>
        <v>30</v>
      </c>
      <c r="V112" s="8" t="s">
        <v>218</v>
      </c>
      <c r="W112" s="156">
        <f>INDEX(Tab_Def_Flows[[Flow_ID]:[CC_DM_source]],MATCH(Tab_Data_Flows[[#This Row],[Flow_Name]],Tab_Def_Flows[Flow_Name],0),11)</f>
        <v>0</v>
      </c>
      <c r="X112" s="7" t="str">
        <f>Tab_Data_Flows[[#This Row],[Flow_ID]]&amp;"_"&amp;"WC_"&amp;Tab_Data_Flows[[#This Row],[Flow_Data_Year]]</f>
        <v>F_14_00_WC_2028</v>
      </c>
      <c r="Y112" s="7">
        <f>IF(D112="Yes",U112*Tab_Data_Flows[[#This Row],[WC_'[%']]],"N.A.")</f>
        <v>0</v>
      </c>
      <c r="Z112" s="7" t="str">
        <f>Tab_Data_Flows[[#This Row],[UoM_Flow_Py]]</f>
        <v>Mg</v>
      </c>
      <c r="AA112" s="156">
        <f>INDEX(Tab_Def_Flows[[Flow_ID]:[CC_DM_source]],MATCH(Tab_Data_Flows[[#This Row],[Flow_Name]],Tab_Def_Flows[Flow_Name],0),14)</f>
        <v>1</v>
      </c>
      <c r="AB112" s="7" t="str">
        <f>Tab_Data_Flows[[#This Row],[Flow_ID]]&amp;"_"&amp;"DM_"&amp;Tab_Data_Flows[[#This Row],[Flow_Data_Year]]</f>
        <v>F_14_00_DM_2028</v>
      </c>
      <c r="AC112" s="7">
        <f>IF(E112="Yes",AA112*Tab_Data_Flows[[#This Row],[Flow_Material]],"N.A.")</f>
        <v>30</v>
      </c>
      <c r="AD112" s="7" t="str">
        <f>Tab_Data_Flows[[#This Row],[UoM_Flow_Py]]</f>
        <v>Mg</v>
      </c>
      <c r="AE112" s="156">
        <f>INDEX(Tab_Def_Flows[[Flow_ID]:[CC_DM_source]],MATCH(Tab_Data_Flows[[#This Row],[Flow_Name]],Tab_Def_Flows[Flow_Name],0),17)</f>
        <v>0.1</v>
      </c>
      <c r="AF112" s="7" t="str">
        <f>Tab_Data_Flows[[#This Row],[Flow_ID]]&amp;"_"&amp;"CC_"&amp;Tab_Data_Flows[[#This Row],[Flow_Data_Year]]</f>
        <v>F_14_00_CC_2028</v>
      </c>
      <c r="AG112" s="7">
        <f>IF(F112="Yes",AE112*Tab_Data_Flows[[#This Row],[Flow_Material]]*Tab_Data_Flows[[#This Row],[DM_'[%']]],"N.A.")</f>
        <v>3</v>
      </c>
      <c r="AH112" s="7" t="str">
        <f>Tab_Data_Flows[[#This Row],[UoM_Flow_Py]]</f>
        <v>Mg</v>
      </c>
      <c r="AI112"/>
    </row>
    <row r="113" spans="1:35" x14ac:dyDescent="0.25">
      <c r="A113" s="9">
        <f t="shared" si="3"/>
        <v>112</v>
      </c>
      <c r="B113" s="7" t="str">
        <f>_xlfn.XLOOKUP(C113,Tab_Def_Flows[Flow_Name],Tab_Def_Flows[Flow_ID],,0,)</f>
        <v>F_14_00</v>
      </c>
      <c r="C113" s="8" t="s">
        <v>740</v>
      </c>
      <c r="D113" s="10" t="str">
        <f>_xlfn.XLOOKUP(C113,Tab_Def_Flows[Flow_Name],Tab_Def_Flows[WC?],,0,)</f>
        <v>Yes</v>
      </c>
      <c r="E113" s="10" t="str">
        <f>_xlfn.XLOOKUP(C113,Tab_Def_Flows[Flow_Name],Tab_Def_Flows[DM?],,0,)</f>
        <v>Yes</v>
      </c>
      <c r="F113" s="10" t="str">
        <f>_xlfn.XLOOKUP(C113,Tab_Def_Flows[Flow_Name],Tab_Def_Flows[CC?],,0,)</f>
        <v>Yes</v>
      </c>
      <c r="G113" s="8">
        <v>2029</v>
      </c>
      <c r="H113" s="28">
        <v>30</v>
      </c>
      <c r="I113" s="8"/>
      <c r="J113" s="8"/>
      <c r="K113" s="8" t="e">
        <f>INDEX(#REF!,MATCH(Tab_Data_Flows[[#This Row],[Flow_Name]],#REF!,0),12)</f>
        <v>#REF!</v>
      </c>
      <c r="L113" s="8" t="e">
        <f>MATCH(Tab_Data_Flows[[#This Row],[Flow_Name]],#REF!,0)</f>
        <v>#REF!</v>
      </c>
      <c r="M113" s="8"/>
      <c r="N113" s="8"/>
      <c r="O113" s="8"/>
      <c r="P113" s="8"/>
      <c r="Q113" s="8" t="s">
        <v>8</v>
      </c>
      <c r="R113" s="8"/>
      <c r="S113" s="8"/>
      <c r="T113" s="7" t="str">
        <f>Tab_Data_Flows[[#This Row],[Flow_ID]]&amp;"_"&amp;"material_"&amp;Tab_Data_Flows[[#This Row],[Flow_Data_Year]]</f>
        <v>F_14_00_material_2029</v>
      </c>
      <c r="U113" s="18">
        <f t="shared" si="4"/>
        <v>30</v>
      </c>
      <c r="V113" s="8" t="s">
        <v>218</v>
      </c>
      <c r="W113" s="156">
        <f>INDEX(Tab_Def_Flows[[Flow_ID]:[CC_DM_source]],MATCH(Tab_Data_Flows[[#This Row],[Flow_Name]],Tab_Def_Flows[Flow_Name],0),11)</f>
        <v>0</v>
      </c>
      <c r="X113" s="7" t="str">
        <f>Tab_Data_Flows[[#This Row],[Flow_ID]]&amp;"_"&amp;"WC_"&amp;Tab_Data_Flows[[#This Row],[Flow_Data_Year]]</f>
        <v>F_14_00_WC_2029</v>
      </c>
      <c r="Y113" s="7">
        <f>IF(D113="Yes",U113*Tab_Data_Flows[[#This Row],[WC_'[%']]],"N.A.")</f>
        <v>0</v>
      </c>
      <c r="Z113" s="7" t="str">
        <f>Tab_Data_Flows[[#This Row],[UoM_Flow_Py]]</f>
        <v>Mg</v>
      </c>
      <c r="AA113" s="156">
        <f>INDEX(Tab_Def_Flows[[Flow_ID]:[CC_DM_source]],MATCH(Tab_Data_Flows[[#This Row],[Flow_Name]],Tab_Def_Flows[Flow_Name],0),14)</f>
        <v>1</v>
      </c>
      <c r="AB113" s="7" t="str">
        <f>Tab_Data_Flows[[#This Row],[Flow_ID]]&amp;"_"&amp;"DM_"&amp;Tab_Data_Flows[[#This Row],[Flow_Data_Year]]</f>
        <v>F_14_00_DM_2029</v>
      </c>
      <c r="AC113" s="7">
        <f>IF(E113="Yes",AA113*Tab_Data_Flows[[#This Row],[Flow_Material]],"N.A.")</f>
        <v>30</v>
      </c>
      <c r="AD113" s="7" t="str">
        <f>Tab_Data_Flows[[#This Row],[UoM_Flow_Py]]</f>
        <v>Mg</v>
      </c>
      <c r="AE113" s="156">
        <f>INDEX(Tab_Def_Flows[[Flow_ID]:[CC_DM_source]],MATCH(Tab_Data_Flows[[#This Row],[Flow_Name]],Tab_Def_Flows[Flow_Name],0),17)</f>
        <v>0.1</v>
      </c>
      <c r="AF113" s="7" t="str">
        <f>Tab_Data_Flows[[#This Row],[Flow_ID]]&amp;"_"&amp;"CC_"&amp;Tab_Data_Flows[[#This Row],[Flow_Data_Year]]</f>
        <v>F_14_00_CC_2029</v>
      </c>
      <c r="AG113" s="7">
        <f>IF(F113="Yes",AE113*Tab_Data_Flows[[#This Row],[Flow_Material]]*Tab_Data_Flows[[#This Row],[DM_'[%']]],"N.A.")</f>
        <v>3</v>
      </c>
      <c r="AH113" s="7" t="str">
        <f>Tab_Data_Flows[[#This Row],[UoM_Flow_Py]]</f>
        <v>Mg</v>
      </c>
      <c r="AI113"/>
    </row>
    <row r="114" spans="1:35" x14ac:dyDescent="0.25">
      <c r="A114" s="9">
        <f t="shared" si="3"/>
        <v>113</v>
      </c>
      <c r="B114" s="7" t="str">
        <f>_xlfn.XLOOKUP(C114,Tab_Def_Flows[Flow_Name],Tab_Def_Flows[Flow_ID],,0,)</f>
        <v>F_14_00</v>
      </c>
      <c r="C114" s="8" t="s">
        <v>740</v>
      </c>
      <c r="D114" s="10" t="str">
        <f>_xlfn.XLOOKUP(C114,Tab_Def_Flows[Flow_Name],Tab_Def_Flows[WC?],,0,)</f>
        <v>Yes</v>
      </c>
      <c r="E114" s="10" t="str">
        <f>_xlfn.XLOOKUP(C114,Tab_Def_Flows[Flow_Name],Tab_Def_Flows[DM?],,0,)</f>
        <v>Yes</v>
      </c>
      <c r="F114" s="10" t="str">
        <f>_xlfn.XLOOKUP(C114,Tab_Def_Flows[Flow_Name],Tab_Def_Flows[CC?],,0,)</f>
        <v>Yes</v>
      </c>
      <c r="G114" s="8">
        <v>2030</v>
      </c>
      <c r="H114" s="28">
        <v>30</v>
      </c>
      <c r="I114" s="8"/>
      <c r="J114" s="8"/>
      <c r="K114" s="8" t="e">
        <f>INDEX(#REF!,MATCH(Tab_Data_Flows[[#This Row],[Flow_Name]],#REF!,0),12)</f>
        <v>#REF!</v>
      </c>
      <c r="L114" s="8" t="e">
        <f>MATCH(Tab_Data_Flows[[#This Row],[Flow_Name]],#REF!,0)</f>
        <v>#REF!</v>
      </c>
      <c r="M114" s="8"/>
      <c r="N114" s="8"/>
      <c r="O114" s="8"/>
      <c r="P114" s="8"/>
      <c r="Q114" s="8" t="s">
        <v>8</v>
      </c>
      <c r="R114" s="8"/>
      <c r="S114" s="8"/>
      <c r="T114" s="7" t="str">
        <f>Tab_Data_Flows[[#This Row],[Flow_ID]]&amp;"_"&amp;"material_"&amp;Tab_Data_Flows[[#This Row],[Flow_Data_Year]]</f>
        <v>F_14_00_material_2030</v>
      </c>
      <c r="U114" s="18">
        <f t="shared" si="4"/>
        <v>30</v>
      </c>
      <c r="V114" s="8" t="s">
        <v>218</v>
      </c>
      <c r="W114" s="156">
        <f>INDEX(Tab_Def_Flows[[Flow_ID]:[CC_DM_source]],MATCH(Tab_Data_Flows[[#This Row],[Flow_Name]],Tab_Def_Flows[Flow_Name],0),11)</f>
        <v>0</v>
      </c>
      <c r="X114" s="7" t="str">
        <f>Tab_Data_Flows[[#This Row],[Flow_ID]]&amp;"_"&amp;"WC_"&amp;Tab_Data_Flows[[#This Row],[Flow_Data_Year]]</f>
        <v>F_14_00_WC_2030</v>
      </c>
      <c r="Y114" s="7">
        <f>IF(D114="Yes",U114*Tab_Data_Flows[[#This Row],[WC_'[%']]],"N.A.")</f>
        <v>0</v>
      </c>
      <c r="Z114" s="7" t="str">
        <f>Tab_Data_Flows[[#This Row],[UoM_Flow_Py]]</f>
        <v>Mg</v>
      </c>
      <c r="AA114" s="156">
        <f>INDEX(Tab_Def_Flows[[Flow_ID]:[CC_DM_source]],MATCH(Tab_Data_Flows[[#This Row],[Flow_Name]],Tab_Def_Flows[Flow_Name],0),14)</f>
        <v>1</v>
      </c>
      <c r="AB114" s="7" t="str">
        <f>Tab_Data_Flows[[#This Row],[Flow_ID]]&amp;"_"&amp;"DM_"&amp;Tab_Data_Flows[[#This Row],[Flow_Data_Year]]</f>
        <v>F_14_00_DM_2030</v>
      </c>
      <c r="AC114" s="7">
        <f>IF(E114="Yes",AA114*Tab_Data_Flows[[#This Row],[Flow_Material]],"N.A.")</f>
        <v>30</v>
      </c>
      <c r="AD114" s="7" t="str">
        <f>Tab_Data_Flows[[#This Row],[UoM_Flow_Py]]</f>
        <v>Mg</v>
      </c>
      <c r="AE114" s="156">
        <f>INDEX(Tab_Def_Flows[[Flow_ID]:[CC_DM_source]],MATCH(Tab_Data_Flows[[#This Row],[Flow_Name]],Tab_Def_Flows[Flow_Name],0),17)</f>
        <v>0.1</v>
      </c>
      <c r="AF114" s="7" t="str">
        <f>Tab_Data_Flows[[#This Row],[Flow_ID]]&amp;"_"&amp;"CC_"&amp;Tab_Data_Flows[[#This Row],[Flow_Data_Year]]</f>
        <v>F_14_00_CC_2030</v>
      </c>
      <c r="AG114" s="7">
        <f>IF(F114="Yes",AE114*Tab_Data_Flows[[#This Row],[Flow_Material]]*Tab_Data_Flows[[#This Row],[DM_'[%']]],"N.A.")</f>
        <v>3</v>
      </c>
      <c r="AH114" s="7" t="str">
        <f>Tab_Data_Flows[[#This Row],[UoM_Flow_Py]]</f>
        <v>Mg</v>
      </c>
      <c r="AI114"/>
    </row>
    <row r="115" spans="1:35" x14ac:dyDescent="0.25">
      <c r="A115" s="9">
        <f t="shared" si="3"/>
        <v>114</v>
      </c>
      <c r="B115" s="7" t="str">
        <f>_xlfn.XLOOKUP(C115,Tab_Def_Flows[Flow_Name],Tab_Def_Flows[Flow_ID],,0,)</f>
        <v>F_14_00</v>
      </c>
      <c r="C115" s="8" t="s">
        <v>740</v>
      </c>
      <c r="D115" s="10" t="str">
        <f>_xlfn.XLOOKUP(C115,Tab_Def_Flows[Flow_Name],Tab_Def_Flows[WC?],,0,)</f>
        <v>Yes</v>
      </c>
      <c r="E115" s="10" t="str">
        <f>_xlfn.XLOOKUP(C115,Tab_Def_Flows[Flow_Name],Tab_Def_Flows[DM?],,0,)</f>
        <v>Yes</v>
      </c>
      <c r="F115" s="10" t="str">
        <f>_xlfn.XLOOKUP(C115,Tab_Def_Flows[Flow_Name],Tab_Def_Flows[CC?],,0,)</f>
        <v>Yes</v>
      </c>
      <c r="G115" s="8">
        <v>2031</v>
      </c>
      <c r="H115" s="28">
        <v>30</v>
      </c>
      <c r="I115" s="8"/>
      <c r="J115" s="8"/>
      <c r="K115" s="8" t="e">
        <f>INDEX(#REF!,MATCH(Tab_Data_Flows[[#This Row],[Flow_Name]],#REF!,0),12)</f>
        <v>#REF!</v>
      </c>
      <c r="L115" s="8" t="e">
        <f>MATCH(Tab_Data_Flows[[#This Row],[Flow_Name]],#REF!,0)</f>
        <v>#REF!</v>
      </c>
      <c r="M115" s="8"/>
      <c r="N115" s="8"/>
      <c r="O115" s="8"/>
      <c r="P115" s="8"/>
      <c r="Q115" s="8" t="s">
        <v>8</v>
      </c>
      <c r="R115" s="8"/>
      <c r="S115" s="8"/>
      <c r="T115" s="7" t="str">
        <f>Tab_Data_Flows[[#This Row],[Flow_ID]]&amp;"_"&amp;"material_"&amp;Tab_Data_Flows[[#This Row],[Flow_Data_Year]]</f>
        <v>F_14_00_material_2031</v>
      </c>
      <c r="U115" s="18">
        <f t="shared" si="4"/>
        <v>30</v>
      </c>
      <c r="V115" s="8" t="s">
        <v>218</v>
      </c>
      <c r="W115" s="156">
        <f>INDEX(Tab_Def_Flows[[Flow_ID]:[CC_DM_source]],MATCH(Tab_Data_Flows[[#This Row],[Flow_Name]],Tab_Def_Flows[Flow_Name],0),11)</f>
        <v>0</v>
      </c>
      <c r="X115" s="7" t="str">
        <f>Tab_Data_Flows[[#This Row],[Flow_ID]]&amp;"_"&amp;"WC_"&amp;Tab_Data_Flows[[#This Row],[Flow_Data_Year]]</f>
        <v>F_14_00_WC_2031</v>
      </c>
      <c r="Y115" s="7">
        <f>IF(D115="Yes",U115*Tab_Data_Flows[[#This Row],[WC_'[%']]],"N.A.")</f>
        <v>0</v>
      </c>
      <c r="Z115" s="7" t="str">
        <f>Tab_Data_Flows[[#This Row],[UoM_Flow_Py]]</f>
        <v>Mg</v>
      </c>
      <c r="AA115" s="156">
        <f>INDEX(Tab_Def_Flows[[Flow_ID]:[CC_DM_source]],MATCH(Tab_Data_Flows[[#This Row],[Flow_Name]],Tab_Def_Flows[Flow_Name],0),14)</f>
        <v>1</v>
      </c>
      <c r="AB115" s="7" t="str">
        <f>Tab_Data_Flows[[#This Row],[Flow_ID]]&amp;"_"&amp;"DM_"&amp;Tab_Data_Flows[[#This Row],[Flow_Data_Year]]</f>
        <v>F_14_00_DM_2031</v>
      </c>
      <c r="AC115" s="7">
        <f>IF(E115="Yes",AA115*Tab_Data_Flows[[#This Row],[Flow_Material]],"N.A.")</f>
        <v>30</v>
      </c>
      <c r="AD115" s="7" t="str">
        <f>Tab_Data_Flows[[#This Row],[UoM_Flow_Py]]</f>
        <v>Mg</v>
      </c>
      <c r="AE115" s="156">
        <f>INDEX(Tab_Def_Flows[[Flow_ID]:[CC_DM_source]],MATCH(Tab_Data_Flows[[#This Row],[Flow_Name]],Tab_Def_Flows[Flow_Name],0),17)</f>
        <v>0.1</v>
      </c>
      <c r="AF115" s="7" t="str">
        <f>Tab_Data_Flows[[#This Row],[Flow_ID]]&amp;"_"&amp;"CC_"&amp;Tab_Data_Flows[[#This Row],[Flow_Data_Year]]</f>
        <v>F_14_00_CC_2031</v>
      </c>
      <c r="AG115" s="7">
        <f>IF(F115="Yes",AE115*Tab_Data_Flows[[#This Row],[Flow_Material]]*Tab_Data_Flows[[#This Row],[DM_'[%']]],"N.A.")</f>
        <v>3</v>
      </c>
      <c r="AH115" s="7" t="str">
        <f>Tab_Data_Flows[[#This Row],[UoM_Flow_Py]]</f>
        <v>Mg</v>
      </c>
      <c r="AI115"/>
    </row>
    <row r="116" spans="1:35" x14ac:dyDescent="0.25">
      <c r="A116" s="9">
        <f t="shared" si="3"/>
        <v>115</v>
      </c>
      <c r="B116" s="7" t="str">
        <f>_xlfn.XLOOKUP(C116,Tab_Def_Flows[Flow_Name],Tab_Def_Flows[Flow_ID],,0,)</f>
        <v>F_14_00</v>
      </c>
      <c r="C116" s="8" t="s">
        <v>740</v>
      </c>
      <c r="D116" s="10" t="str">
        <f>_xlfn.XLOOKUP(C116,Tab_Def_Flows[Flow_Name],Tab_Def_Flows[WC?],,0,)</f>
        <v>Yes</v>
      </c>
      <c r="E116" s="10" t="str">
        <f>_xlfn.XLOOKUP(C116,Tab_Def_Flows[Flow_Name],Tab_Def_Flows[DM?],,0,)</f>
        <v>Yes</v>
      </c>
      <c r="F116" s="10" t="str">
        <f>_xlfn.XLOOKUP(C116,Tab_Def_Flows[Flow_Name],Tab_Def_Flows[CC?],,0,)</f>
        <v>Yes</v>
      </c>
      <c r="G116" s="8">
        <v>2032</v>
      </c>
      <c r="H116" s="28">
        <v>30</v>
      </c>
      <c r="I116" s="8"/>
      <c r="J116" s="8"/>
      <c r="K116" s="8" t="e">
        <f>INDEX(#REF!,MATCH(Tab_Data_Flows[[#This Row],[Flow_Name]],#REF!,0),12)</f>
        <v>#REF!</v>
      </c>
      <c r="L116" s="8" t="e">
        <f>MATCH(Tab_Data_Flows[[#This Row],[Flow_Name]],#REF!,0)</f>
        <v>#REF!</v>
      </c>
      <c r="M116" s="8"/>
      <c r="N116" s="8"/>
      <c r="O116" s="8"/>
      <c r="P116" s="8"/>
      <c r="Q116" s="8" t="s">
        <v>8</v>
      </c>
      <c r="R116" s="8"/>
      <c r="S116" s="8"/>
      <c r="T116" s="7" t="str">
        <f>Tab_Data_Flows[[#This Row],[Flow_ID]]&amp;"_"&amp;"material_"&amp;Tab_Data_Flows[[#This Row],[Flow_Data_Year]]</f>
        <v>F_14_00_material_2032</v>
      </c>
      <c r="U116" s="18">
        <f t="shared" si="4"/>
        <v>30</v>
      </c>
      <c r="V116" s="8" t="s">
        <v>218</v>
      </c>
      <c r="W116" s="156">
        <f>INDEX(Tab_Def_Flows[[Flow_ID]:[CC_DM_source]],MATCH(Tab_Data_Flows[[#This Row],[Flow_Name]],Tab_Def_Flows[Flow_Name],0),11)</f>
        <v>0</v>
      </c>
      <c r="X116" s="7" t="str">
        <f>Tab_Data_Flows[[#This Row],[Flow_ID]]&amp;"_"&amp;"WC_"&amp;Tab_Data_Flows[[#This Row],[Flow_Data_Year]]</f>
        <v>F_14_00_WC_2032</v>
      </c>
      <c r="Y116" s="7">
        <f>IF(D116="Yes",U116*Tab_Data_Flows[[#This Row],[WC_'[%']]],"N.A.")</f>
        <v>0</v>
      </c>
      <c r="Z116" s="7" t="str">
        <f>Tab_Data_Flows[[#This Row],[UoM_Flow_Py]]</f>
        <v>Mg</v>
      </c>
      <c r="AA116" s="156">
        <f>INDEX(Tab_Def_Flows[[Flow_ID]:[CC_DM_source]],MATCH(Tab_Data_Flows[[#This Row],[Flow_Name]],Tab_Def_Flows[Flow_Name],0),14)</f>
        <v>1</v>
      </c>
      <c r="AB116" s="7" t="str">
        <f>Tab_Data_Flows[[#This Row],[Flow_ID]]&amp;"_"&amp;"DM_"&amp;Tab_Data_Flows[[#This Row],[Flow_Data_Year]]</f>
        <v>F_14_00_DM_2032</v>
      </c>
      <c r="AC116" s="7">
        <f>IF(E116="Yes",AA116*Tab_Data_Flows[[#This Row],[Flow_Material]],"N.A.")</f>
        <v>30</v>
      </c>
      <c r="AD116" s="7" t="str">
        <f>Tab_Data_Flows[[#This Row],[UoM_Flow_Py]]</f>
        <v>Mg</v>
      </c>
      <c r="AE116" s="156">
        <f>INDEX(Tab_Def_Flows[[Flow_ID]:[CC_DM_source]],MATCH(Tab_Data_Flows[[#This Row],[Flow_Name]],Tab_Def_Flows[Flow_Name],0),17)</f>
        <v>0.1</v>
      </c>
      <c r="AF116" s="7" t="str">
        <f>Tab_Data_Flows[[#This Row],[Flow_ID]]&amp;"_"&amp;"CC_"&amp;Tab_Data_Flows[[#This Row],[Flow_Data_Year]]</f>
        <v>F_14_00_CC_2032</v>
      </c>
      <c r="AG116" s="7">
        <f>IF(F116="Yes",AE116*Tab_Data_Flows[[#This Row],[Flow_Material]]*Tab_Data_Flows[[#This Row],[DM_'[%']]],"N.A.")</f>
        <v>3</v>
      </c>
      <c r="AH116" s="7" t="str">
        <f>Tab_Data_Flows[[#This Row],[UoM_Flow_Py]]</f>
        <v>Mg</v>
      </c>
      <c r="AI116"/>
    </row>
    <row r="117" spans="1:35" x14ac:dyDescent="0.25">
      <c r="A117" s="9">
        <f t="shared" si="3"/>
        <v>116</v>
      </c>
      <c r="B117" s="7" t="str">
        <f>_xlfn.XLOOKUP(C117,Tab_Def_Flows[Flow_Name],Tab_Def_Flows[Flow_ID],,0,)</f>
        <v>F_14_00</v>
      </c>
      <c r="C117" s="8" t="s">
        <v>740</v>
      </c>
      <c r="D117" s="10" t="str">
        <f>_xlfn.XLOOKUP(C117,Tab_Def_Flows[Flow_Name],Tab_Def_Flows[WC?],,0,)</f>
        <v>Yes</v>
      </c>
      <c r="E117" s="10" t="str">
        <f>_xlfn.XLOOKUP(C117,Tab_Def_Flows[Flow_Name],Tab_Def_Flows[DM?],,0,)</f>
        <v>Yes</v>
      </c>
      <c r="F117" s="10" t="str">
        <f>_xlfn.XLOOKUP(C117,Tab_Def_Flows[Flow_Name],Tab_Def_Flows[CC?],,0,)</f>
        <v>Yes</v>
      </c>
      <c r="G117" s="8">
        <v>2033</v>
      </c>
      <c r="H117" s="28">
        <v>30</v>
      </c>
      <c r="I117" s="8"/>
      <c r="J117" s="8"/>
      <c r="K117" s="8" t="e">
        <f>INDEX(#REF!,MATCH(Tab_Data_Flows[[#This Row],[Flow_Name]],#REF!,0),12)</f>
        <v>#REF!</v>
      </c>
      <c r="L117" s="8" t="e">
        <f>MATCH(Tab_Data_Flows[[#This Row],[Flow_Name]],#REF!,0)</f>
        <v>#REF!</v>
      </c>
      <c r="M117" s="8"/>
      <c r="N117" s="8"/>
      <c r="O117" s="8"/>
      <c r="P117" s="8"/>
      <c r="Q117" s="8" t="s">
        <v>8</v>
      </c>
      <c r="R117" s="8"/>
      <c r="S117" s="8"/>
      <c r="T117" s="7" t="str">
        <f>Tab_Data_Flows[[#This Row],[Flow_ID]]&amp;"_"&amp;"material_"&amp;Tab_Data_Flows[[#This Row],[Flow_Data_Year]]</f>
        <v>F_14_00_material_2033</v>
      </c>
      <c r="U117" s="18">
        <f t="shared" si="4"/>
        <v>30</v>
      </c>
      <c r="V117" s="8" t="s">
        <v>218</v>
      </c>
      <c r="W117" s="156">
        <f>INDEX(Tab_Def_Flows[[Flow_ID]:[CC_DM_source]],MATCH(Tab_Data_Flows[[#This Row],[Flow_Name]],Tab_Def_Flows[Flow_Name],0),11)</f>
        <v>0</v>
      </c>
      <c r="X117" s="7" t="str">
        <f>Tab_Data_Flows[[#This Row],[Flow_ID]]&amp;"_"&amp;"WC_"&amp;Tab_Data_Flows[[#This Row],[Flow_Data_Year]]</f>
        <v>F_14_00_WC_2033</v>
      </c>
      <c r="Y117" s="7">
        <f>IF(D117="Yes",U117*Tab_Data_Flows[[#This Row],[WC_'[%']]],"N.A.")</f>
        <v>0</v>
      </c>
      <c r="Z117" s="7" t="str">
        <f>Tab_Data_Flows[[#This Row],[UoM_Flow_Py]]</f>
        <v>Mg</v>
      </c>
      <c r="AA117" s="156">
        <f>INDEX(Tab_Def_Flows[[Flow_ID]:[CC_DM_source]],MATCH(Tab_Data_Flows[[#This Row],[Flow_Name]],Tab_Def_Flows[Flow_Name],0),14)</f>
        <v>1</v>
      </c>
      <c r="AB117" s="7" t="str">
        <f>Tab_Data_Flows[[#This Row],[Flow_ID]]&amp;"_"&amp;"DM_"&amp;Tab_Data_Flows[[#This Row],[Flow_Data_Year]]</f>
        <v>F_14_00_DM_2033</v>
      </c>
      <c r="AC117" s="7">
        <f>IF(E117="Yes",AA117*Tab_Data_Flows[[#This Row],[Flow_Material]],"N.A.")</f>
        <v>30</v>
      </c>
      <c r="AD117" s="7" t="str">
        <f>Tab_Data_Flows[[#This Row],[UoM_Flow_Py]]</f>
        <v>Mg</v>
      </c>
      <c r="AE117" s="156">
        <f>INDEX(Tab_Def_Flows[[Flow_ID]:[CC_DM_source]],MATCH(Tab_Data_Flows[[#This Row],[Flow_Name]],Tab_Def_Flows[Flow_Name],0),17)</f>
        <v>0.1</v>
      </c>
      <c r="AF117" s="7" t="str">
        <f>Tab_Data_Flows[[#This Row],[Flow_ID]]&amp;"_"&amp;"CC_"&amp;Tab_Data_Flows[[#This Row],[Flow_Data_Year]]</f>
        <v>F_14_00_CC_2033</v>
      </c>
      <c r="AG117" s="7">
        <f>IF(F117="Yes",AE117*Tab_Data_Flows[[#This Row],[Flow_Material]]*Tab_Data_Flows[[#This Row],[DM_'[%']]],"N.A.")</f>
        <v>3</v>
      </c>
      <c r="AH117" s="7" t="str">
        <f>Tab_Data_Flows[[#This Row],[UoM_Flow_Py]]</f>
        <v>Mg</v>
      </c>
      <c r="AI117"/>
    </row>
    <row r="118" spans="1:35" x14ac:dyDescent="0.25">
      <c r="A118" s="9">
        <f t="shared" si="3"/>
        <v>117</v>
      </c>
      <c r="B118" s="7" t="str">
        <f>_xlfn.XLOOKUP(C118,Tab_Def_Flows[Flow_Name],Tab_Def_Flows[Flow_ID],,0,)</f>
        <v>F_14_00</v>
      </c>
      <c r="C118" s="8" t="s">
        <v>740</v>
      </c>
      <c r="D118" s="10" t="str">
        <f>_xlfn.XLOOKUP(C118,Tab_Def_Flows[Flow_Name],Tab_Def_Flows[WC?],,0,)</f>
        <v>Yes</v>
      </c>
      <c r="E118" s="10" t="str">
        <f>_xlfn.XLOOKUP(C118,Tab_Def_Flows[Flow_Name],Tab_Def_Flows[DM?],,0,)</f>
        <v>Yes</v>
      </c>
      <c r="F118" s="10" t="str">
        <f>_xlfn.XLOOKUP(C118,Tab_Def_Flows[Flow_Name],Tab_Def_Flows[CC?],,0,)</f>
        <v>Yes</v>
      </c>
      <c r="G118" s="8">
        <v>2034</v>
      </c>
      <c r="H118" s="28">
        <v>30</v>
      </c>
      <c r="I118" s="8"/>
      <c r="J118" s="8"/>
      <c r="K118" s="8"/>
      <c r="L118" s="8"/>
      <c r="M118" s="8"/>
      <c r="N118" s="8"/>
      <c r="O118" s="8"/>
      <c r="P118" s="8"/>
      <c r="Q118" s="8" t="s">
        <v>8</v>
      </c>
      <c r="R118" s="21"/>
      <c r="S118" s="8"/>
      <c r="T118" s="7" t="str">
        <f>Tab_Data_Flows[[#This Row],[Flow_ID]]&amp;"_"&amp;"material_"&amp;Tab_Data_Flows[[#This Row],[Flow_Data_Year]]</f>
        <v>F_14_00_material_2034</v>
      </c>
      <c r="U118" s="18">
        <f t="shared" si="4"/>
        <v>30</v>
      </c>
      <c r="V118" s="8" t="s">
        <v>218</v>
      </c>
      <c r="W118" s="156">
        <f>INDEX(Tab_Def_Flows[[Flow_ID]:[CC_DM_source]],MATCH(Tab_Data_Flows[[#This Row],[Flow_Name]],Tab_Def_Flows[Flow_Name],0),11)</f>
        <v>0</v>
      </c>
      <c r="X118" s="7" t="str">
        <f>Tab_Data_Flows[[#This Row],[Flow_ID]]&amp;"_"&amp;"WC_"&amp;Tab_Data_Flows[[#This Row],[Flow_Data_Year]]</f>
        <v>F_14_00_WC_2034</v>
      </c>
      <c r="Y118" s="7">
        <f>IF(D118="Yes",U118*Tab_Data_Flows[[#This Row],[WC_'[%']]],"N.A.")</f>
        <v>0</v>
      </c>
      <c r="Z118" s="7" t="str">
        <f>Tab_Data_Flows[[#This Row],[UoM_Flow_Py]]</f>
        <v>Mg</v>
      </c>
      <c r="AA118" s="156">
        <f>INDEX(Tab_Def_Flows[[Flow_ID]:[CC_DM_source]],MATCH(Tab_Data_Flows[[#This Row],[Flow_Name]],Tab_Def_Flows[Flow_Name],0),14)</f>
        <v>1</v>
      </c>
      <c r="AB118" s="7" t="str">
        <f>Tab_Data_Flows[[#This Row],[Flow_ID]]&amp;"_"&amp;"DM_"&amp;Tab_Data_Flows[[#This Row],[Flow_Data_Year]]</f>
        <v>F_14_00_DM_2034</v>
      </c>
      <c r="AC118" s="7">
        <f>IF(E118="Yes",AA118*Tab_Data_Flows[[#This Row],[Flow_Material]],"N.A.")</f>
        <v>30</v>
      </c>
      <c r="AD118" s="7" t="str">
        <f>Tab_Data_Flows[[#This Row],[UoM_Flow_Py]]</f>
        <v>Mg</v>
      </c>
      <c r="AE118" s="156">
        <f>INDEX(Tab_Def_Flows[[Flow_ID]:[CC_DM_source]],MATCH(Tab_Data_Flows[[#This Row],[Flow_Name]],Tab_Def_Flows[Flow_Name],0),17)</f>
        <v>0.1</v>
      </c>
      <c r="AF118" s="7" t="str">
        <f>Tab_Data_Flows[[#This Row],[Flow_ID]]&amp;"_"&amp;"CC_"&amp;Tab_Data_Flows[[#This Row],[Flow_Data_Year]]</f>
        <v>F_14_00_CC_2034</v>
      </c>
      <c r="AG118" s="7">
        <f>IF(F118="Yes",AE118*Tab_Data_Flows[[#This Row],[Flow_Material]]*Tab_Data_Flows[[#This Row],[DM_'[%']]],"N.A.")</f>
        <v>3</v>
      </c>
      <c r="AH118" s="7" t="str">
        <f>Tab_Data_Flows[[#This Row],[UoM_Flow_Py]]</f>
        <v>Mg</v>
      </c>
      <c r="AI118"/>
    </row>
    <row r="119" spans="1:35" x14ac:dyDescent="0.25">
      <c r="A119" s="9">
        <f t="shared" si="3"/>
        <v>118</v>
      </c>
      <c r="B119" s="7" t="str">
        <f>_xlfn.XLOOKUP(C119,Tab_Def_Flows[Flow_Name],Tab_Def_Flows[Flow_ID],,0,)</f>
        <v>F_14_00</v>
      </c>
      <c r="C119" s="8" t="s">
        <v>740</v>
      </c>
      <c r="D119" s="10" t="str">
        <f>_xlfn.XLOOKUP(C119,Tab_Def_Flows[Flow_Name],Tab_Def_Flows[WC?],,0,)</f>
        <v>Yes</v>
      </c>
      <c r="E119" s="10" t="str">
        <f>_xlfn.XLOOKUP(C119,Tab_Def_Flows[Flow_Name],Tab_Def_Flows[DM?],,0,)</f>
        <v>Yes</v>
      </c>
      <c r="F119" s="10" t="str">
        <f>_xlfn.XLOOKUP(C119,Tab_Def_Flows[Flow_Name],Tab_Def_Flows[CC?],,0,)</f>
        <v>Yes</v>
      </c>
      <c r="G119" s="8">
        <v>2035</v>
      </c>
      <c r="H119" s="28">
        <v>30</v>
      </c>
      <c r="I119" s="8"/>
      <c r="J119" s="8"/>
      <c r="K119" s="8"/>
      <c r="L119" s="8"/>
      <c r="M119" s="8"/>
      <c r="N119" s="8"/>
      <c r="O119" s="8"/>
      <c r="P119" s="8"/>
      <c r="Q119" s="8" t="s">
        <v>8</v>
      </c>
      <c r="R119" s="21"/>
      <c r="S119" s="8"/>
      <c r="T119" s="7" t="str">
        <f>Tab_Data_Flows[[#This Row],[Flow_ID]]&amp;"_"&amp;"material_"&amp;Tab_Data_Flows[[#This Row],[Flow_Data_Year]]</f>
        <v>F_14_00_material_2035</v>
      </c>
      <c r="U119" s="18">
        <f t="shared" si="4"/>
        <v>30</v>
      </c>
      <c r="V119" s="8" t="s">
        <v>218</v>
      </c>
      <c r="W119" s="156">
        <f>INDEX(Tab_Def_Flows[[Flow_ID]:[CC_DM_source]],MATCH(Tab_Data_Flows[[#This Row],[Flow_Name]],Tab_Def_Flows[Flow_Name],0),11)</f>
        <v>0</v>
      </c>
      <c r="X119" s="7" t="str">
        <f>Tab_Data_Flows[[#This Row],[Flow_ID]]&amp;"_"&amp;"WC_"&amp;Tab_Data_Flows[[#This Row],[Flow_Data_Year]]</f>
        <v>F_14_00_WC_2035</v>
      </c>
      <c r="Y119" s="7">
        <f>IF(D119="Yes",U119*Tab_Data_Flows[[#This Row],[WC_'[%']]],"N.A.")</f>
        <v>0</v>
      </c>
      <c r="Z119" s="7" t="str">
        <f>Tab_Data_Flows[[#This Row],[UoM_Flow_Py]]</f>
        <v>Mg</v>
      </c>
      <c r="AA119" s="156">
        <f>INDEX(Tab_Def_Flows[[Flow_ID]:[CC_DM_source]],MATCH(Tab_Data_Flows[[#This Row],[Flow_Name]],Tab_Def_Flows[Flow_Name],0),14)</f>
        <v>1</v>
      </c>
      <c r="AB119" s="7" t="str">
        <f>Tab_Data_Flows[[#This Row],[Flow_ID]]&amp;"_"&amp;"DM_"&amp;Tab_Data_Flows[[#This Row],[Flow_Data_Year]]</f>
        <v>F_14_00_DM_2035</v>
      </c>
      <c r="AC119" s="7">
        <f>IF(E119="Yes",AA119*Tab_Data_Flows[[#This Row],[Flow_Material]],"N.A.")</f>
        <v>30</v>
      </c>
      <c r="AD119" s="7" t="str">
        <f>Tab_Data_Flows[[#This Row],[UoM_Flow_Py]]</f>
        <v>Mg</v>
      </c>
      <c r="AE119" s="156">
        <f>INDEX(Tab_Def_Flows[[Flow_ID]:[CC_DM_source]],MATCH(Tab_Data_Flows[[#This Row],[Flow_Name]],Tab_Def_Flows[Flow_Name],0),17)</f>
        <v>0.1</v>
      </c>
      <c r="AF119" s="7" t="str">
        <f>Tab_Data_Flows[[#This Row],[Flow_ID]]&amp;"_"&amp;"CC_"&amp;Tab_Data_Flows[[#This Row],[Flow_Data_Year]]</f>
        <v>F_14_00_CC_2035</v>
      </c>
      <c r="AG119" s="7">
        <f>IF(F119="Yes",AE119*Tab_Data_Flows[[#This Row],[Flow_Material]]*Tab_Data_Flows[[#This Row],[DM_'[%']]],"N.A.")</f>
        <v>3</v>
      </c>
      <c r="AH119" s="7" t="str">
        <f>Tab_Data_Flows[[#This Row],[UoM_Flow_Py]]</f>
        <v>Mg</v>
      </c>
      <c r="AI119"/>
    </row>
    <row r="120" spans="1:35" x14ac:dyDescent="0.25">
      <c r="A120" s="9">
        <f t="shared" si="3"/>
        <v>119</v>
      </c>
      <c r="B120" s="7" t="str">
        <f>_xlfn.XLOOKUP(C120,Tab_Def_Flows[Flow_Name],Tab_Def_Flows[Flow_ID],,0,)</f>
        <v>F_14_00</v>
      </c>
      <c r="C120" s="8" t="s">
        <v>740</v>
      </c>
      <c r="D120" s="10" t="str">
        <f>_xlfn.XLOOKUP(C120,Tab_Def_Flows[Flow_Name],Tab_Def_Flows[WC?],,0,)</f>
        <v>Yes</v>
      </c>
      <c r="E120" s="10" t="str">
        <f>_xlfn.XLOOKUP(C120,Tab_Def_Flows[Flow_Name],Tab_Def_Flows[DM?],,0,)</f>
        <v>Yes</v>
      </c>
      <c r="F120" s="10" t="str">
        <f>_xlfn.XLOOKUP(C120,Tab_Def_Flows[Flow_Name],Tab_Def_Flows[CC?],,0,)</f>
        <v>Yes</v>
      </c>
      <c r="G120" s="8">
        <v>2036</v>
      </c>
      <c r="H120" s="28">
        <v>30</v>
      </c>
      <c r="I120" s="8"/>
      <c r="J120" s="8"/>
      <c r="K120" s="8"/>
      <c r="L120" s="8"/>
      <c r="M120" s="8"/>
      <c r="N120" s="8"/>
      <c r="O120" s="8"/>
      <c r="P120" s="8"/>
      <c r="Q120" s="8" t="s">
        <v>8</v>
      </c>
      <c r="R120" s="21"/>
      <c r="S120" s="8"/>
      <c r="T120" s="7" t="str">
        <f>Tab_Data_Flows[[#This Row],[Flow_ID]]&amp;"_"&amp;"material_"&amp;Tab_Data_Flows[[#This Row],[Flow_Data_Year]]</f>
        <v>F_14_00_material_2036</v>
      </c>
      <c r="U120" s="18">
        <f t="shared" si="4"/>
        <v>30</v>
      </c>
      <c r="V120" s="8" t="s">
        <v>218</v>
      </c>
      <c r="W120" s="156">
        <f>INDEX(Tab_Def_Flows[[Flow_ID]:[CC_DM_source]],MATCH(Tab_Data_Flows[[#This Row],[Flow_Name]],Tab_Def_Flows[Flow_Name],0),11)</f>
        <v>0</v>
      </c>
      <c r="X120" s="7" t="str">
        <f>Tab_Data_Flows[[#This Row],[Flow_ID]]&amp;"_"&amp;"WC_"&amp;Tab_Data_Flows[[#This Row],[Flow_Data_Year]]</f>
        <v>F_14_00_WC_2036</v>
      </c>
      <c r="Y120" s="7">
        <f>IF(D120="Yes",U120*Tab_Data_Flows[[#This Row],[WC_'[%']]],"N.A.")</f>
        <v>0</v>
      </c>
      <c r="Z120" s="7" t="str">
        <f>Tab_Data_Flows[[#This Row],[UoM_Flow_Py]]</f>
        <v>Mg</v>
      </c>
      <c r="AA120" s="156">
        <f>INDEX(Tab_Def_Flows[[Flow_ID]:[CC_DM_source]],MATCH(Tab_Data_Flows[[#This Row],[Flow_Name]],Tab_Def_Flows[Flow_Name],0),14)</f>
        <v>1</v>
      </c>
      <c r="AB120" s="7" t="str">
        <f>Tab_Data_Flows[[#This Row],[Flow_ID]]&amp;"_"&amp;"DM_"&amp;Tab_Data_Flows[[#This Row],[Flow_Data_Year]]</f>
        <v>F_14_00_DM_2036</v>
      </c>
      <c r="AC120" s="7">
        <f>IF(E120="Yes",AA120*Tab_Data_Flows[[#This Row],[Flow_Material]],"N.A.")</f>
        <v>30</v>
      </c>
      <c r="AD120" s="7" t="str">
        <f>Tab_Data_Flows[[#This Row],[UoM_Flow_Py]]</f>
        <v>Mg</v>
      </c>
      <c r="AE120" s="156">
        <f>INDEX(Tab_Def_Flows[[Flow_ID]:[CC_DM_source]],MATCH(Tab_Data_Flows[[#This Row],[Flow_Name]],Tab_Def_Flows[Flow_Name],0),17)</f>
        <v>0.1</v>
      </c>
      <c r="AF120" s="7" t="str">
        <f>Tab_Data_Flows[[#This Row],[Flow_ID]]&amp;"_"&amp;"CC_"&amp;Tab_Data_Flows[[#This Row],[Flow_Data_Year]]</f>
        <v>F_14_00_CC_2036</v>
      </c>
      <c r="AG120" s="7">
        <f>IF(F120="Yes",AE120*Tab_Data_Flows[[#This Row],[Flow_Material]]*Tab_Data_Flows[[#This Row],[DM_'[%']]],"N.A.")</f>
        <v>3</v>
      </c>
      <c r="AH120" s="7" t="str">
        <f>Tab_Data_Flows[[#This Row],[UoM_Flow_Py]]</f>
        <v>Mg</v>
      </c>
      <c r="AI120"/>
    </row>
    <row r="121" spans="1:35" x14ac:dyDescent="0.25">
      <c r="A121" s="9">
        <f t="shared" si="3"/>
        <v>120</v>
      </c>
      <c r="B121" s="7" t="str">
        <f>_xlfn.XLOOKUP(C121,Tab_Def_Flows[Flow_Name],Tab_Def_Flows[Flow_ID],,0,)</f>
        <v>F_14_00</v>
      </c>
      <c r="C121" s="8" t="s">
        <v>740</v>
      </c>
      <c r="D121" s="10" t="str">
        <f>_xlfn.XLOOKUP(C121,Tab_Def_Flows[Flow_Name],Tab_Def_Flows[WC?],,0,)</f>
        <v>Yes</v>
      </c>
      <c r="E121" s="10" t="str">
        <f>_xlfn.XLOOKUP(C121,Tab_Def_Flows[Flow_Name],Tab_Def_Flows[DM?],,0,)</f>
        <v>Yes</v>
      </c>
      <c r="F121" s="10" t="str">
        <f>_xlfn.XLOOKUP(C121,Tab_Def_Flows[Flow_Name],Tab_Def_Flows[CC?],,0,)</f>
        <v>Yes</v>
      </c>
      <c r="G121" s="8">
        <v>2037</v>
      </c>
      <c r="H121" s="28">
        <v>30</v>
      </c>
      <c r="I121" s="8"/>
      <c r="J121" s="8"/>
      <c r="K121" s="8"/>
      <c r="L121" s="8"/>
      <c r="M121" s="8"/>
      <c r="N121" s="8"/>
      <c r="O121" s="8"/>
      <c r="P121" s="8"/>
      <c r="Q121" s="8" t="s">
        <v>8</v>
      </c>
      <c r="R121" s="21"/>
      <c r="S121" s="8"/>
      <c r="T121" s="7" t="str">
        <f>Tab_Data_Flows[[#This Row],[Flow_ID]]&amp;"_"&amp;"material_"&amp;Tab_Data_Flows[[#This Row],[Flow_Data_Year]]</f>
        <v>F_14_00_material_2037</v>
      </c>
      <c r="U121" s="18">
        <f t="shared" si="4"/>
        <v>30</v>
      </c>
      <c r="V121" s="8" t="s">
        <v>218</v>
      </c>
      <c r="W121" s="156">
        <f>INDEX(Tab_Def_Flows[[Flow_ID]:[CC_DM_source]],MATCH(Tab_Data_Flows[[#This Row],[Flow_Name]],Tab_Def_Flows[Flow_Name],0),11)</f>
        <v>0</v>
      </c>
      <c r="X121" s="7" t="str">
        <f>Tab_Data_Flows[[#This Row],[Flow_ID]]&amp;"_"&amp;"WC_"&amp;Tab_Data_Flows[[#This Row],[Flow_Data_Year]]</f>
        <v>F_14_00_WC_2037</v>
      </c>
      <c r="Y121" s="7">
        <f>IF(D121="Yes",U121*Tab_Data_Flows[[#This Row],[WC_'[%']]],"N.A.")</f>
        <v>0</v>
      </c>
      <c r="Z121" s="7" t="str">
        <f>Tab_Data_Flows[[#This Row],[UoM_Flow_Py]]</f>
        <v>Mg</v>
      </c>
      <c r="AA121" s="156">
        <f>INDEX(Tab_Def_Flows[[Flow_ID]:[CC_DM_source]],MATCH(Tab_Data_Flows[[#This Row],[Flow_Name]],Tab_Def_Flows[Flow_Name],0),14)</f>
        <v>1</v>
      </c>
      <c r="AB121" s="7" t="str">
        <f>Tab_Data_Flows[[#This Row],[Flow_ID]]&amp;"_"&amp;"DM_"&amp;Tab_Data_Flows[[#This Row],[Flow_Data_Year]]</f>
        <v>F_14_00_DM_2037</v>
      </c>
      <c r="AC121" s="7">
        <f>IF(E121="Yes",AA121*Tab_Data_Flows[[#This Row],[Flow_Material]],"N.A.")</f>
        <v>30</v>
      </c>
      <c r="AD121" s="7" t="str">
        <f>Tab_Data_Flows[[#This Row],[UoM_Flow_Py]]</f>
        <v>Mg</v>
      </c>
      <c r="AE121" s="156">
        <f>INDEX(Tab_Def_Flows[[Flow_ID]:[CC_DM_source]],MATCH(Tab_Data_Flows[[#This Row],[Flow_Name]],Tab_Def_Flows[Flow_Name],0),17)</f>
        <v>0.1</v>
      </c>
      <c r="AF121" s="7" t="str">
        <f>Tab_Data_Flows[[#This Row],[Flow_ID]]&amp;"_"&amp;"CC_"&amp;Tab_Data_Flows[[#This Row],[Flow_Data_Year]]</f>
        <v>F_14_00_CC_2037</v>
      </c>
      <c r="AG121" s="7">
        <f>IF(F121="Yes",AE121*Tab_Data_Flows[[#This Row],[Flow_Material]]*Tab_Data_Flows[[#This Row],[DM_'[%']]],"N.A.")</f>
        <v>3</v>
      </c>
      <c r="AH121" s="7" t="str">
        <f>Tab_Data_Flows[[#This Row],[UoM_Flow_Py]]</f>
        <v>Mg</v>
      </c>
      <c r="AI121"/>
    </row>
    <row r="122" spans="1:35" x14ac:dyDescent="0.25">
      <c r="A122" s="9">
        <f t="shared" si="3"/>
        <v>121</v>
      </c>
      <c r="B122" s="7" t="str">
        <f>_xlfn.XLOOKUP(C122,Tab_Def_Flows[Flow_Name],Tab_Def_Flows[Flow_ID],,0,)</f>
        <v>F_14_00</v>
      </c>
      <c r="C122" s="8" t="s">
        <v>740</v>
      </c>
      <c r="D122" s="10" t="str">
        <f>_xlfn.XLOOKUP(C122,Tab_Def_Flows[Flow_Name],Tab_Def_Flows[WC?],,0,)</f>
        <v>Yes</v>
      </c>
      <c r="E122" s="10" t="str">
        <f>_xlfn.XLOOKUP(C122,Tab_Def_Flows[Flow_Name],Tab_Def_Flows[DM?],,0,)</f>
        <v>Yes</v>
      </c>
      <c r="F122" s="10" t="str">
        <f>_xlfn.XLOOKUP(C122,Tab_Def_Flows[Flow_Name],Tab_Def_Flows[CC?],,0,)</f>
        <v>Yes</v>
      </c>
      <c r="G122" s="8">
        <v>2038</v>
      </c>
      <c r="H122" s="28">
        <v>30</v>
      </c>
      <c r="I122" s="8"/>
      <c r="J122" s="8"/>
      <c r="K122" s="8"/>
      <c r="L122" s="8"/>
      <c r="M122" s="8"/>
      <c r="N122" s="8"/>
      <c r="O122" s="8"/>
      <c r="P122" s="8"/>
      <c r="Q122" s="8" t="s">
        <v>8</v>
      </c>
      <c r="R122" s="21"/>
      <c r="S122" s="8"/>
      <c r="T122" s="7" t="str">
        <f>Tab_Data_Flows[[#This Row],[Flow_ID]]&amp;"_"&amp;"material_"&amp;Tab_Data_Flows[[#This Row],[Flow_Data_Year]]</f>
        <v>F_14_00_material_2038</v>
      </c>
      <c r="U122" s="18">
        <f t="shared" si="4"/>
        <v>30</v>
      </c>
      <c r="V122" s="8" t="s">
        <v>218</v>
      </c>
      <c r="W122" s="156">
        <f>INDEX(Tab_Def_Flows[[Flow_ID]:[CC_DM_source]],MATCH(Tab_Data_Flows[[#This Row],[Flow_Name]],Tab_Def_Flows[Flow_Name],0),11)</f>
        <v>0</v>
      </c>
      <c r="X122" s="7" t="str">
        <f>Tab_Data_Flows[[#This Row],[Flow_ID]]&amp;"_"&amp;"WC_"&amp;Tab_Data_Flows[[#This Row],[Flow_Data_Year]]</f>
        <v>F_14_00_WC_2038</v>
      </c>
      <c r="Y122" s="7">
        <f>IF(D122="Yes",U122*Tab_Data_Flows[[#This Row],[WC_'[%']]],"N.A.")</f>
        <v>0</v>
      </c>
      <c r="Z122" s="7" t="str">
        <f>Tab_Data_Flows[[#This Row],[UoM_Flow_Py]]</f>
        <v>Mg</v>
      </c>
      <c r="AA122" s="156">
        <f>INDEX(Tab_Def_Flows[[Flow_ID]:[CC_DM_source]],MATCH(Tab_Data_Flows[[#This Row],[Flow_Name]],Tab_Def_Flows[Flow_Name],0),14)</f>
        <v>1</v>
      </c>
      <c r="AB122" s="7" t="str">
        <f>Tab_Data_Flows[[#This Row],[Flow_ID]]&amp;"_"&amp;"DM_"&amp;Tab_Data_Flows[[#This Row],[Flow_Data_Year]]</f>
        <v>F_14_00_DM_2038</v>
      </c>
      <c r="AC122" s="7">
        <f>IF(E122="Yes",AA122*Tab_Data_Flows[[#This Row],[Flow_Material]],"N.A.")</f>
        <v>30</v>
      </c>
      <c r="AD122" s="7" t="str">
        <f>Tab_Data_Flows[[#This Row],[UoM_Flow_Py]]</f>
        <v>Mg</v>
      </c>
      <c r="AE122" s="156">
        <f>INDEX(Tab_Def_Flows[[Flow_ID]:[CC_DM_source]],MATCH(Tab_Data_Flows[[#This Row],[Flow_Name]],Tab_Def_Flows[Flow_Name],0),17)</f>
        <v>0.1</v>
      </c>
      <c r="AF122" s="7" t="str">
        <f>Tab_Data_Flows[[#This Row],[Flow_ID]]&amp;"_"&amp;"CC_"&amp;Tab_Data_Flows[[#This Row],[Flow_Data_Year]]</f>
        <v>F_14_00_CC_2038</v>
      </c>
      <c r="AG122" s="7">
        <f>IF(F122="Yes",AE122*Tab_Data_Flows[[#This Row],[Flow_Material]]*Tab_Data_Flows[[#This Row],[DM_'[%']]],"N.A.")</f>
        <v>3</v>
      </c>
      <c r="AH122" s="7" t="str">
        <f>Tab_Data_Flows[[#This Row],[UoM_Flow_Py]]</f>
        <v>Mg</v>
      </c>
      <c r="AI122"/>
    </row>
    <row r="123" spans="1:35" x14ac:dyDescent="0.25">
      <c r="A123" s="9">
        <f t="shared" si="3"/>
        <v>122</v>
      </c>
      <c r="B123" s="7" t="str">
        <f>_xlfn.XLOOKUP(C123,Tab_Def_Flows[Flow_Name],Tab_Def_Flows[Flow_ID],,0,)</f>
        <v>F_14_00</v>
      </c>
      <c r="C123" s="8" t="s">
        <v>740</v>
      </c>
      <c r="D123" s="10" t="str">
        <f>_xlfn.XLOOKUP(C123,Tab_Def_Flows[Flow_Name],Tab_Def_Flows[WC?],,0,)</f>
        <v>Yes</v>
      </c>
      <c r="E123" s="10" t="str">
        <f>_xlfn.XLOOKUP(C123,Tab_Def_Flows[Flow_Name],Tab_Def_Flows[DM?],,0,)</f>
        <v>Yes</v>
      </c>
      <c r="F123" s="10" t="str">
        <f>_xlfn.XLOOKUP(C123,Tab_Def_Flows[Flow_Name],Tab_Def_Flows[CC?],,0,)</f>
        <v>Yes</v>
      </c>
      <c r="G123" s="8">
        <v>2039</v>
      </c>
      <c r="H123" s="28">
        <v>30</v>
      </c>
      <c r="I123" s="8"/>
      <c r="J123" s="8"/>
      <c r="K123" s="8"/>
      <c r="L123" s="8"/>
      <c r="M123" s="8"/>
      <c r="N123" s="8"/>
      <c r="O123" s="8"/>
      <c r="P123" s="8"/>
      <c r="Q123" s="8" t="s">
        <v>8</v>
      </c>
      <c r="R123" s="21"/>
      <c r="S123" s="8"/>
      <c r="T123" s="7" t="str">
        <f>Tab_Data_Flows[[#This Row],[Flow_ID]]&amp;"_"&amp;"material_"&amp;Tab_Data_Flows[[#This Row],[Flow_Data_Year]]</f>
        <v>F_14_00_material_2039</v>
      </c>
      <c r="U123" s="18">
        <f t="shared" si="4"/>
        <v>30</v>
      </c>
      <c r="V123" s="8" t="s">
        <v>218</v>
      </c>
      <c r="W123" s="156">
        <f>INDEX(Tab_Def_Flows[[Flow_ID]:[CC_DM_source]],MATCH(Tab_Data_Flows[[#This Row],[Flow_Name]],Tab_Def_Flows[Flow_Name],0),11)</f>
        <v>0</v>
      </c>
      <c r="X123" s="7" t="str">
        <f>Tab_Data_Flows[[#This Row],[Flow_ID]]&amp;"_"&amp;"WC_"&amp;Tab_Data_Flows[[#This Row],[Flow_Data_Year]]</f>
        <v>F_14_00_WC_2039</v>
      </c>
      <c r="Y123" s="7">
        <f>IF(D123="Yes",U123*Tab_Data_Flows[[#This Row],[WC_'[%']]],"N.A.")</f>
        <v>0</v>
      </c>
      <c r="Z123" s="7" t="str">
        <f>Tab_Data_Flows[[#This Row],[UoM_Flow_Py]]</f>
        <v>Mg</v>
      </c>
      <c r="AA123" s="156">
        <f>INDEX(Tab_Def_Flows[[Flow_ID]:[CC_DM_source]],MATCH(Tab_Data_Flows[[#This Row],[Flow_Name]],Tab_Def_Flows[Flow_Name],0),14)</f>
        <v>1</v>
      </c>
      <c r="AB123" s="7" t="str">
        <f>Tab_Data_Flows[[#This Row],[Flow_ID]]&amp;"_"&amp;"DM_"&amp;Tab_Data_Flows[[#This Row],[Flow_Data_Year]]</f>
        <v>F_14_00_DM_2039</v>
      </c>
      <c r="AC123" s="7">
        <f>IF(E123="Yes",AA123*Tab_Data_Flows[[#This Row],[Flow_Material]],"N.A.")</f>
        <v>30</v>
      </c>
      <c r="AD123" s="7" t="str">
        <f>Tab_Data_Flows[[#This Row],[UoM_Flow_Py]]</f>
        <v>Mg</v>
      </c>
      <c r="AE123" s="156">
        <f>INDEX(Tab_Def_Flows[[Flow_ID]:[CC_DM_source]],MATCH(Tab_Data_Flows[[#This Row],[Flow_Name]],Tab_Def_Flows[Flow_Name],0),17)</f>
        <v>0.1</v>
      </c>
      <c r="AF123" s="7" t="str">
        <f>Tab_Data_Flows[[#This Row],[Flow_ID]]&amp;"_"&amp;"CC_"&amp;Tab_Data_Flows[[#This Row],[Flow_Data_Year]]</f>
        <v>F_14_00_CC_2039</v>
      </c>
      <c r="AG123" s="7">
        <f>IF(F123="Yes",AE123*Tab_Data_Flows[[#This Row],[Flow_Material]]*Tab_Data_Flows[[#This Row],[DM_'[%']]],"N.A.")</f>
        <v>3</v>
      </c>
      <c r="AH123" s="7" t="str">
        <f>Tab_Data_Flows[[#This Row],[UoM_Flow_Py]]</f>
        <v>Mg</v>
      </c>
      <c r="AI123"/>
    </row>
    <row r="124" spans="1:35" x14ac:dyDescent="0.25">
      <c r="A124" s="9">
        <f t="shared" si="3"/>
        <v>123</v>
      </c>
      <c r="B124" s="7" t="str">
        <f>_xlfn.XLOOKUP(C124,Tab_Def_Flows[Flow_Name],Tab_Def_Flows[Flow_ID],,0,)</f>
        <v>F_14_00</v>
      </c>
      <c r="C124" s="8" t="s">
        <v>740</v>
      </c>
      <c r="D124" s="10" t="str">
        <f>_xlfn.XLOOKUP(C124,Tab_Def_Flows[Flow_Name],Tab_Def_Flows[WC?],,0,)</f>
        <v>Yes</v>
      </c>
      <c r="E124" s="10" t="str">
        <f>_xlfn.XLOOKUP(C124,Tab_Def_Flows[Flow_Name],Tab_Def_Flows[DM?],,0,)</f>
        <v>Yes</v>
      </c>
      <c r="F124" s="10" t="str">
        <f>_xlfn.XLOOKUP(C124,Tab_Def_Flows[Flow_Name],Tab_Def_Flows[CC?],,0,)</f>
        <v>Yes</v>
      </c>
      <c r="G124" s="8">
        <v>2040</v>
      </c>
      <c r="H124" s="28">
        <v>30</v>
      </c>
      <c r="I124" s="8"/>
      <c r="J124" s="8"/>
      <c r="K124" s="8"/>
      <c r="L124" s="8"/>
      <c r="M124" s="8"/>
      <c r="N124" s="8"/>
      <c r="O124" s="8"/>
      <c r="P124" s="8"/>
      <c r="Q124" s="8" t="s">
        <v>8</v>
      </c>
      <c r="R124" s="21"/>
      <c r="S124" s="8"/>
      <c r="T124" s="7" t="str">
        <f>Tab_Data_Flows[[#This Row],[Flow_ID]]&amp;"_"&amp;"material_"&amp;Tab_Data_Flows[[#This Row],[Flow_Data_Year]]</f>
        <v>F_14_00_material_2040</v>
      </c>
      <c r="U124" s="18">
        <f t="shared" si="4"/>
        <v>30</v>
      </c>
      <c r="V124" s="8" t="s">
        <v>218</v>
      </c>
      <c r="W124" s="156">
        <f>INDEX(Tab_Def_Flows[[Flow_ID]:[CC_DM_source]],MATCH(Tab_Data_Flows[[#This Row],[Flow_Name]],Tab_Def_Flows[Flow_Name],0),11)</f>
        <v>0</v>
      </c>
      <c r="X124" s="7" t="str">
        <f>Tab_Data_Flows[[#This Row],[Flow_ID]]&amp;"_"&amp;"WC_"&amp;Tab_Data_Flows[[#This Row],[Flow_Data_Year]]</f>
        <v>F_14_00_WC_2040</v>
      </c>
      <c r="Y124" s="7">
        <f>IF(D124="Yes",U124*Tab_Data_Flows[[#This Row],[WC_'[%']]],"N.A.")</f>
        <v>0</v>
      </c>
      <c r="Z124" s="7" t="str">
        <f>Tab_Data_Flows[[#This Row],[UoM_Flow_Py]]</f>
        <v>Mg</v>
      </c>
      <c r="AA124" s="156">
        <f>INDEX(Tab_Def_Flows[[Flow_ID]:[CC_DM_source]],MATCH(Tab_Data_Flows[[#This Row],[Flow_Name]],Tab_Def_Flows[Flow_Name],0),14)</f>
        <v>1</v>
      </c>
      <c r="AB124" s="7" t="str">
        <f>Tab_Data_Flows[[#This Row],[Flow_ID]]&amp;"_"&amp;"DM_"&amp;Tab_Data_Flows[[#This Row],[Flow_Data_Year]]</f>
        <v>F_14_00_DM_2040</v>
      </c>
      <c r="AC124" s="7">
        <f>IF(E124="Yes",AA124*Tab_Data_Flows[[#This Row],[Flow_Material]],"N.A.")</f>
        <v>30</v>
      </c>
      <c r="AD124" s="7" t="str">
        <f>Tab_Data_Flows[[#This Row],[UoM_Flow_Py]]</f>
        <v>Mg</v>
      </c>
      <c r="AE124" s="156">
        <f>INDEX(Tab_Def_Flows[[Flow_ID]:[CC_DM_source]],MATCH(Tab_Data_Flows[[#This Row],[Flow_Name]],Tab_Def_Flows[Flow_Name],0),17)</f>
        <v>0.1</v>
      </c>
      <c r="AF124" s="7" t="str">
        <f>Tab_Data_Flows[[#This Row],[Flow_ID]]&amp;"_"&amp;"CC_"&amp;Tab_Data_Flows[[#This Row],[Flow_Data_Year]]</f>
        <v>F_14_00_CC_2040</v>
      </c>
      <c r="AG124" s="7">
        <f>IF(F124="Yes",AE124*Tab_Data_Flows[[#This Row],[Flow_Material]]*Tab_Data_Flows[[#This Row],[DM_'[%']]],"N.A.")</f>
        <v>3</v>
      </c>
      <c r="AH124" s="7" t="str">
        <f>Tab_Data_Flows[[#This Row],[UoM_Flow_Py]]</f>
        <v>Mg</v>
      </c>
      <c r="AI124"/>
    </row>
    <row r="125" spans="1:35" x14ac:dyDescent="0.25">
      <c r="A125" s="9">
        <f t="shared" si="3"/>
        <v>124</v>
      </c>
      <c r="B125" s="7" t="str">
        <f>_xlfn.XLOOKUP(C125,Tab_Def_Flows[Flow_Name],Tab_Def_Flows[Flow_ID],,0,)</f>
        <v>F__</v>
      </c>
      <c r="C125" s="8" t="s">
        <v>31</v>
      </c>
      <c r="D125" s="10">
        <f>_xlfn.XLOOKUP(C125,Tab_Def_Flows[Flow_Name],Tab_Def_Flows[WC?],,0,)</f>
        <v>0</v>
      </c>
      <c r="E125" s="10">
        <f>_xlfn.XLOOKUP(C125,Tab_Def_Flows[Flow_Name],Tab_Def_Flows[DM?],,0,)</f>
        <v>0</v>
      </c>
      <c r="F125" s="10">
        <f>_xlfn.XLOOKUP(C125,Tab_Def_Flows[Flow_Name],Tab_Def_Flows[CC?],,0,)</f>
        <v>0</v>
      </c>
      <c r="G125" s="8"/>
      <c r="H125" s="28"/>
      <c r="I125" s="8"/>
      <c r="J125" s="8"/>
      <c r="K125" s="8" t="e">
        <f>INDEX(#REF!,MATCH(Tab_Data_Flows[[#This Row],[Flow_Name]],#REF!,0),12)</f>
        <v>#REF!</v>
      </c>
      <c r="L125" s="8" t="e">
        <f>MATCH(Tab_Data_Flows[[#This Row],[Flow_Name]],#REF!,0)</f>
        <v>#REF!</v>
      </c>
      <c r="M125" s="8"/>
      <c r="N125" s="8"/>
      <c r="O125" s="8"/>
      <c r="P125" s="8"/>
      <c r="Q125" s="8" t="s">
        <v>8</v>
      </c>
      <c r="R125" s="8"/>
      <c r="S125" s="8"/>
      <c r="T125" s="7" t="str">
        <f>Tab_Data_Flows[[#This Row],[Flow_ID]]&amp;"_"&amp;"material_"&amp;Tab_Data_Flows[[#This Row],[Flow_Data_Year]]</f>
        <v>F___material_</v>
      </c>
      <c r="U125" s="18">
        <f t="shared" si="4"/>
        <v>0</v>
      </c>
      <c r="V125" s="8" t="s">
        <v>218</v>
      </c>
      <c r="W125" s="156">
        <f>INDEX(Tab_Def_Flows[[Flow_ID]:[CC_DM_source]],MATCH(Tab_Data_Flows[[#This Row],[Flow_Name]],Tab_Def_Flows[Flow_Name],0),11)</f>
        <v>0</v>
      </c>
      <c r="X125" s="7" t="str">
        <f>Tab_Data_Flows[[#This Row],[Flow_ID]]&amp;"_"&amp;"WC_"&amp;Tab_Data_Flows[[#This Row],[Flow_Data_Year]]</f>
        <v>F___WC_</v>
      </c>
      <c r="Y125" s="7" t="str">
        <f>IF(D125="Yes",U125*Tab_Data_Flows[[#This Row],[WC_'[%']]],"N.A.")</f>
        <v>N.A.</v>
      </c>
      <c r="Z125" s="7" t="str">
        <f>Tab_Data_Flows[[#This Row],[UoM_Flow_Py]]</f>
        <v>Mg</v>
      </c>
      <c r="AA125" s="156">
        <f>INDEX(Tab_Def_Flows[[Flow_ID]:[CC_DM_source]],MATCH(Tab_Data_Flows[[#This Row],[Flow_Name]],Tab_Def_Flows[Flow_Name],0),14)</f>
        <v>0</v>
      </c>
      <c r="AB125" s="7" t="str">
        <f>Tab_Data_Flows[[#This Row],[Flow_ID]]&amp;"_"&amp;"DM_"&amp;Tab_Data_Flows[[#This Row],[Flow_Data_Year]]</f>
        <v>F___DM_</v>
      </c>
      <c r="AC125" s="7" t="str">
        <f>IF(E125="Yes",AA125*Tab_Data_Flows[[#This Row],[Flow_Material]],"N.A.")</f>
        <v>N.A.</v>
      </c>
      <c r="AD125" s="7" t="str">
        <f>Tab_Data_Flows[[#This Row],[UoM_Flow_Py]]</f>
        <v>Mg</v>
      </c>
      <c r="AE125" s="156">
        <f>INDEX(Tab_Def_Flows[[Flow_ID]:[CC_DM_source]],MATCH(Tab_Data_Flows[[#This Row],[Flow_Name]],Tab_Def_Flows[Flow_Name],0),17)</f>
        <v>0</v>
      </c>
      <c r="AF125" s="7" t="str">
        <f>Tab_Data_Flows[[#This Row],[Flow_ID]]&amp;"_"&amp;"CC_"&amp;Tab_Data_Flows[[#This Row],[Flow_Data_Year]]</f>
        <v>F___CC_</v>
      </c>
      <c r="AG125" s="7" t="str">
        <f>IF(F125="Yes",AE125*Tab_Data_Flows[[#This Row],[Flow_Material]]*Tab_Data_Flows[[#This Row],[DM_'[%']]],"N.A.")</f>
        <v>N.A.</v>
      </c>
      <c r="AH125" s="7" t="str">
        <f>Tab_Data_Flows[[#This Row],[UoM_Flow_Py]]</f>
        <v>Mg</v>
      </c>
      <c r="AI125"/>
    </row>
    <row r="126" spans="1:35" x14ac:dyDescent="0.25">
      <c r="A126" s="9">
        <f t="shared" si="3"/>
        <v>125</v>
      </c>
      <c r="B126" s="7" t="str">
        <f>_xlfn.XLOOKUP(C126,Tab_Def_Flows[Flow_Name],Tab_Def_Flows[Flow_ID],,0,)</f>
        <v>F__</v>
      </c>
      <c r="C126" s="8" t="s">
        <v>31</v>
      </c>
      <c r="D126" s="10">
        <f>_xlfn.XLOOKUP(C126,Tab_Def_Flows[Flow_Name],Tab_Def_Flows[WC?],,0,)</f>
        <v>0</v>
      </c>
      <c r="E126" s="10">
        <f>_xlfn.XLOOKUP(C126,Tab_Def_Flows[Flow_Name],Tab_Def_Flows[DM?],,0,)</f>
        <v>0</v>
      </c>
      <c r="F126" s="10">
        <f>_xlfn.XLOOKUP(C126,Tab_Def_Flows[Flow_Name],Tab_Def_Flows[CC?],,0,)</f>
        <v>0</v>
      </c>
      <c r="G126" s="8"/>
      <c r="H126" s="28"/>
      <c r="I126" s="8"/>
      <c r="J126" s="8"/>
      <c r="K126" s="8" t="e">
        <f>INDEX(#REF!,MATCH(Tab_Data_Flows[[#This Row],[Flow_Name]],#REF!,0),12)</f>
        <v>#REF!</v>
      </c>
      <c r="L126" s="8" t="e">
        <f>MATCH(Tab_Data_Flows[[#This Row],[Flow_Name]],#REF!,0)</f>
        <v>#REF!</v>
      </c>
      <c r="M126" s="8"/>
      <c r="N126" s="8"/>
      <c r="O126" s="8"/>
      <c r="P126" s="8"/>
      <c r="Q126" s="8" t="s">
        <v>8</v>
      </c>
      <c r="R126" s="8"/>
      <c r="S126" s="8"/>
      <c r="T126" s="7" t="str">
        <f>Tab_Data_Flows[[#This Row],[Flow_ID]]&amp;"_"&amp;"material_"&amp;Tab_Data_Flows[[#This Row],[Flow_Data_Year]]</f>
        <v>F___material_</v>
      </c>
      <c r="U126" s="18">
        <f t="shared" si="4"/>
        <v>0</v>
      </c>
      <c r="V126" s="8" t="s">
        <v>218</v>
      </c>
      <c r="W126" s="156">
        <f>INDEX(Tab_Def_Flows[[Flow_ID]:[CC_DM_source]],MATCH(Tab_Data_Flows[[#This Row],[Flow_Name]],Tab_Def_Flows[Flow_Name],0),11)</f>
        <v>0</v>
      </c>
      <c r="X126" s="7" t="str">
        <f>Tab_Data_Flows[[#This Row],[Flow_ID]]&amp;"_"&amp;"WC_"&amp;Tab_Data_Flows[[#This Row],[Flow_Data_Year]]</f>
        <v>F___WC_</v>
      </c>
      <c r="Y126" s="7" t="str">
        <f>IF(D126="Yes",U126*Tab_Data_Flows[[#This Row],[WC_'[%']]],"N.A.")</f>
        <v>N.A.</v>
      </c>
      <c r="Z126" s="7" t="str">
        <f>Tab_Data_Flows[[#This Row],[UoM_Flow_Py]]</f>
        <v>Mg</v>
      </c>
      <c r="AA126" s="156">
        <f>INDEX(Tab_Def_Flows[[Flow_ID]:[CC_DM_source]],MATCH(Tab_Data_Flows[[#This Row],[Flow_Name]],Tab_Def_Flows[Flow_Name],0),14)</f>
        <v>0</v>
      </c>
      <c r="AB126" s="7" t="str">
        <f>Tab_Data_Flows[[#This Row],[Flow_ID]]&amp;"_"&amp;"DM_"&amp;Tab_Data_Flows[[#This Row],[Flow_Data_Year]]</f>
        <v>F___DM_</v>
      </c>
      <c r="AC126" s="7" t="str">
        <f>IF(E126="Yes",AA126*Tab_Data_Flows[[#This Row],[Flow_Material]],"N.A.")</f>
        <v>N.A.</v>
      </c>
      <c r="AD126" s="7" t="str">
        <f>Tab_Data_Flows[[#This Row],[UoM_Flow_Py]]</f>
        <v>Mg</v>
      </c>
      <c r="AE126" s="156">
        <f>INDEX(Tab_Def_Flows[[Flow_ID]:[CC_DM_source]],MATCH(Tab_Data_Flows[[#This Row],[Flow_Name]],Tab_Def_Flows[Flow_Name],0),17)</f>
        <v>0</v>
      </c>
      <c r="AF126" s="7" t="str">
        <f>Tab_Data_Flows[[#This Row],[Flow_ID]]&amp;"_"&amp;"CC_"&amp;Tab_Data_Flows[[#This Row],[Flow_Data_Year]]</f>
        <v>F___CC_</v>
      </c>
      <c r="AG126" s="7" t="str">
        <f>IF(F126="Yes",AE126*Tab_Data_Flows[[#This Row],[Flow_Material]]*Tab_Data_Flows[[#This Row],[DM_'[%']]],"N.A.")</f>
        <v>N.A.</v>
      </c>
      <c r="AH126" s="7" t="str">
        <f>Tab_Data_Flows[[#This Row],[UoM_Flow_Py]]</f>
        <v>Mg</v>
      </c>
      <c r="AI126"/>
    </row>
    <row r="127" spans="1:35" x14ac:dyDescent="0.25">
      <c r="A127" s="9">
        <f t="shared" si="3"/>
        <v>126</v>
      </c>
      <c r="B127" s="7" t="str">
        <f>_xlfn.XLOOKUP(C127,Tab_Def_Flows[Flow_Name],Tab_Def_Flows[Flow_ID],,0,)</f>
        <v>F__</v>
      </c>
      <c r="C127" s="8" t="s">
        <v>31</v>
      </c>
      <c r="D127" s="10">
        <f>_xlfn.XLOOKUP(C127,Tab_Def_Flows[Flow_Name],Tab_Def_Flows[WC?],,0,)</f>
        <v>0</v>
      </c>
      <c r="E127" s="10">
        <f>_xlfn.XLOOKUP(C127,Tab_Def_Flows[Flow_Name],Tab_Def_Flows[DM?],,0,)</f>
        <v>0</v>
      </c>
      <c r="F127" s="10">
        <f>_xlfn.XLOOKUP(C127,Tab_Def_Flows[Flow_Name],Tab_Def_Flows[CC?],,0,)</f>
        <v>0</v>
      </c>
      <c r="G127" s="8"/>
      <c r="H127" s="28"/>
      <c r="I127" s="8"/>
      <c r="J127" s="8"/>
      <c r="K127" s="8" t="e">
        <f>INDEX(#REF!,MATCH(Tab_Data_Flows[[#This Row],[Flow_Name]],#REF!,0),12)</f>
        <v>#REF!</v>
      </c>
      <c r="L127" s="8" t="e">
        <f>MATCH(Tab_Data_Flows[[#This Row],[Flow_Name]],#REF!,0)</f>
        <v>#REF!</v>
      </c>
      <c r="M127" s="8"/>
      <c r="N127" s="8"/>
      <c r="O127" s="8"/>
      <c r="P127" s="8"/>
      <c r="Q127" s="8" t="s">
        <v>8</v>
      </c>
      <c r="R127" s="8"/>
      <c r="S127" s="8"/>
      <c r="T127" s="7" t="str">
        <f>Tab_Data_Flows[[#This Row],[Flow_ID]]&amp;"_"&amp;"material_"&amp;Tab_Data_Flows[[#This Row],[Flow_Data_Year]]</f>
        <v>F___material_</v>
      </c>
      <c r="U127" s="18">
        <f t="shared" si="4"/>
        <v>0</v>
      </c>
      <c r="V127" s="8" t="s">
        <v>218</v>
      </c>
      <c r="W127" s="156">
        <f>INDEX(Tab_Def_Flows[[Flow_ID]:[CC_DM_source]],MATCH(Tab_Data_Flows[[#This Row],[Flow_Name]],Tab_Def_Flows[Flow_Name],0),11)</f>
        <v>0</v>
      </c>
      <c r="X127" s="7" t="str">
        <f>Tab_Data_Flows[[#This Row],[Flow_ID]]&amp;"_"&amp;"WC_"&amp;Tab_Data_Flows[[#This Row],[Flow_Data_Year]]</f>
        <v>F___WC_</v>
      </c>
      <c r="Y127" s="7" t="str">
        <f>IF(D127="Yes",U127*Tab_Data_Flows[[#This Row],[WC_'[%']]],"N.A.")</f>
        <v>N.A.</v>
      </c>
      <c r="Z127" s="7" t="str">
        <f>Tab_Data_Flows[[#This Row],[UoM_Flow_Py]]</f>
        <v>Mg</v>
      </c>
      <c r="AA127" s="156">
        <f>INDEX(Tab_Def_Flows[[Flow_ID]:[CC_DM_source]],MATCH(Tab_Data_Flows[[#This Row],[Flow_Name]],Tab_Def_Flows[Flow_Name],0),14)</f>
        <v>0</v>
      </c>
      <c r="AB127" s="7" t="str">
        <f>Tab_Data_Flows[[#This Row],[Flow_ID]]&amp;"_"&amp;"DM_"&amp;Tab_Data_Flows[[#This Row],[Flow_Data_Year]]</f>
        <v>F___DM_</v>
      </c>
      <c r="AC127" s="7" t="str">
        <f>IF(E127="Yes",AA127*Tab_Data_Flows[[#This Row],[Flow_Material]],"N.A.")</f>
        <v>N.A.</v>
      </c>
      <c r="AD127" s="7" t="str">
        <f>Tab_Data_Flows[[#This Row],[UoM_Flow_Py]]</f>
        <v>Mg</v>
      </c>
      <c r="AE127" s="156">
        <f>INDEX(Tab_Def_Flows[[Flow_ID]:[CC_DM_source]],MATCH(Tab_Data_Flows[[#This Row],[Flow_Name]],Tab_Def_Flows[Flow_Name],0),17)</f>
        <v>0</v>
      </c>
      <c r="AF127" s="7" t="str">
        <f>Tab_Data_Flows[[#This Row],[Flow_ID]]&amp;"_"&amp;"CC_"&amp;Tab_Data_Flows[[#This Row],[Flow_Data_Year]]</f>
        <v>F___CC_</v>
      </c>
      <c r="AG127" s="7" t="str">
        <f>IF(F127="Yes",AE127*Tab_Data_Flows[[#This Row],[Flow_Material]]*Tab_Data_Flows[[#This Row],[DM_'[%']]],"N.A.")</f>
        <v>N.A.</v>
      </c>
      <c r="AH127" s="7" t="str">
        <f>Tab_Data_Flows[[#This Row],[UoM_Flow_Py]]</f>
        <v>Mg</v>
      </c>
      <c r="AI127"/>
    </row>
    <row r="128" spans="1:35" x14ac:dyDescent="0.25">
      <c r="A128" s="9">
        <f t="shared" si="3"/>
        <v>127</v>
      </c>
      <c r="B128" s="7" t="str">
        <f>_xlfn.XLOOKUP(C128,Tab_Def_Flows[Flow_Name],Tab_Def_Flows[Flow_ID],,0,)</f>
        <v>F__</v>
      </c>
      <c r="C128" s="8" t="s">
        <v>31</v>
      </c>
      <c r="D128" s="10">
        <f>_xlfn.XLOOKUP(C128,Tab_Def_Flows[Flow_Name],Tab_Def_Flows[WC?],,0,)</f>
        <v>0</v>
      </c>
      <c r="E128" s="10">
        <f>_xlfn.XLOOKUP(C128,Tab_Def_Flows[Flow_Name],Tab_Def_Flows[DM?],,0,)</f>
        <v>0</v>
      </c>
      <c r="F128" s="10">
        <f>_xlfn.XLOOKUP(C128,Tab_Def_Flows[Flow_Name],Tab_Def_Flows[CC?],,0,)</f>
        <v>0</v>
      </c>
      <c r="G128" s="8"/>
      <c r="H128" s="28"/>
      <c r="I128" s="8"/>
      <c r="J128" s="8"/>
      <c r="K128" s="8" t="e">
        <f>INDEX(#REF!,MATCH(Tab_Data_Flows[[#This Row],[Flow_Name]],#REF!,0),12)</f>
        <v>#REF!</v>
      </c>
      <c r="L128" s="8" t="e">
        <f>MATCH(Tab_Data_Flows[[#This Row],[Flow_Name]],#REF!,0)</f>
        <v>#REF!</v>
      </c>
      <c r="M128" s="8"/>
      <c r="N128" s="8"/>
      <c r="O128" s="8"/>
      <c r="P128" s="8"/>
      <c r="Q128" s="8" t="s">
        <v>8</v>
      </c>
      <c r="R128" s="8"/>
      <c r="S128" s="8"/>
      <c r="T128" s="7" t="str">
        <f>Tab_Data_Flows[[#This Row],[Flow_ID]]&amp;"_"&amp;"material_"&amp;Tab_Data_Flows[[#This Row],[Flow_Data_Year]]</f>
        <v>F___material_</v>
      </c>
      <c r="U128" s="18">
        <f t="shared" si="4"/>
        <v>0</v>
      </c>
      <c r="V128" s="8" t="s">
        <v>218</v>
      </c>
      <c r="W128" s="156">
        <f>INDEX(Tab_Def_Flows[[Flow_ID]:[CC_DM_source]],MATCH(Tab_Data_Flows[[#This Row],[Flow_Name]],Tab_Def_Flows[Flow_Name],0),11)</f>
        <v>0</v>
      </c>
      <c r="X128" s="7" t="str">
        <f>Tab_Data_Flows[[#This Row],[Flow_ID]]&amp;"_"&amp;"WC_"&amp;Tab_Data_Flows[[#This Row],[Flow_Data_Year]]</f>
        <v>F___WC_</v>
      </c>
      <c r="Y128" s="7" t="str">
        <f>IF(D128="Yes",U128*Tab_Data_Flows[[#This Row],[WC_'[%']]],"N.A.")</f>
        <v>N.A.</v>
      </c>
      <c r="Z128" s="7" t="str">
        <f>Tab_Data_Flows[[#This Row],[UoM_Flow_Py]]</f>
        <v>Mg</v>
      </c>
      <c r="AA128" s="156">
        <f>INDEX(Tab_Def_Flows[[Flow_ID]:[CC_DM_source]],MATCH(Tab_Data_Flows[[#This Row],[Flow_Name]],Tab_Def_Flows[Flow_Name],0),14)</f>
        <v>0</v>
      </c>
      <c r="AB128" s="7" t="str">
        <f>Tab_Data_Flows[[#This Row],[Flow_ID]]&amp;"_"&amp;"DM_"&amp;Tab_Data_Flows[[#This Row],[Flow_Data_Year]]</f>
        <v>F___DM_</v>
      </c>
      <c r="AC128" s="7" t="str">
        <f>IF(E128="Yes",AA128*Tab_Data_Flows[[#This Row],[Flow_Material]],"N.A.")</f>
        <v>N.A.</v>
      </c>
      <c r="AD128" s="7" t="str">
        <f>Tab_Data_Flows[[#This Row],[UoM_Flow_Py]]</f>
        <v>Mg</v>
      </c>
      <c r="AE128" s="156">
        <f>INDEX(Tab_Def_Flows[[Flow_ID]:[CC_DM_source]],MATCH(Tab_Data_Flows[[#This Row],[Flow_Name]],Tab_Def_Flows[Flow_Name],0),17)</f>
        <v>0</v>
      </c>
      <c r="AF128" s="7" t="str">
        <f>Tab_Data_Flows[[#This Row],[Flow_ID]]&amp;"_"&amp;"CC_"&amp;Tab_Data_Flows[[#This Row],[Flow_Data_Year]]</f>
        <v>F___CC_</v>
      </c>
      <c r="AG128" s="7" t="str">
        <f>IF(F128="Yes",AE128*Tab_Data_Flows[[#This Row],[Flow_Material]]*Tab_Data_Flows[[#This Row],[DM_'[%']]],"N.A.")</f>
        <v>N.A.</v>
      </c>
      <c r="AH128" s="7" t="str">
        <f>Tab_Data_Flows[[#This Row],[UoM_Flow_Py]]</f>
        <v>Mg</v>
      </c>
      <c r="AI128"/>
    </row>
    <row r="129" spans="1:35" x14ac:dyDescent="0.25">
      <c r="A129" s="9">
        <f t="shared" si="3"/>
        <v>128</v>
      </c>
      <c r="B129" s="7" t="str">
        <f>_xlfn.XLOOKUP(C129,Tab_Def_Flows[Flow_Name],Tab_Def_Flows[Flow_ID],,0,)</f>
        <v>F__</v>
      </c>
      <c r="C129" s="8" t="s">
        <v>31</v>
      </c>
      <c r="D129" s="10">
        <f>_xlfn.XLOOKUP(C129,Tab_Def_Flows[Flow_Name],Tab_Def_Flows[WC?],,0,)</f>
        <v>0</v>
      </c>
      <c r="E129" s="10">
        <f>_xlfn.XLOOKUP(C129,Tab_Def_Flows[Flow_Name],Tab_Def_Flows[DM?],,0,)</f>
        <v>0</v>
      </c>
      <c r="F129" s="10">
        <f>_xlfn.XLOOKUP(C129,Tab_Def_Flows[Flow_Name],Tab_Def_Flows[CC?],,0,)</f>
        <v>0</v>
      </c>
      <c r="G129" s="8"/>
      <c r="H129" s="28"/>
      <c r="I129" s="8"/>
      <c r="J129" s="8"/>
      <c r="K129" s="8" t="e">
        <f>INDEX(#REF!,MATCH(Tab_Data_Flows[[#This Row],[Flow_Name]],#REF!,0),12)</f>
        <v>#REF!</v>
      </c>
      <c r="L129" s="8" t="e">
        <f>MATCH(Tab_Data_Flows[[#This Row],[Flow_Name]],#REF!,0)</f>
        <v>#REF!</v>
      </c>
      <c r="M129" s="8"/>
      <c r="N129" s="8"/>
      <c r="O129" s="8"/>
      <c r="P129" s="8"/>
      <c r="Q129" s="8" t="s">
        <v>8</v>
      </c>
      <c r="R129" s="8"/>
      <c r="S129" s="8"/>
      <c r="T129" s="7" t="str">
        <f>Tab_Data_Flows[[#This Row],[Flow_ID]]&amp;"_"&amp;"material_"&amp;Tab_Data_Flows[[#This Row],[Flow_Data_Year]]</f>
        <v>F___material_</v>
      </c>
      <c r="U129" s="18">
        <f t="shared" si="4"/>
        <v>0</v>
      </c>
      <c r="V129" s="8" t="s">
        <v>218</v>
      </c>
      <c r="W129" s="156">
        <f>INDEX(Tab_Def_Flows[[Flow_ID]:[CC_DM_source]],MATCH(Tab_Data_Flows[[#This Row],[Flow_Name]],Tab_Def_Flows[Flow_Name],0),11)</f>
        <v>0</v>
      </c>
      <c r="X129" s="7" t="str">
        <f>Tab_Data_Flows[[#This Row],[Flow_ID]]&amp;"_"&amp;"WC_"&amp;Tab_Data_Flows[[#This Row],[Flow_Data_Year]]</f>
        <v>F___WC_</v>
      </c>
      <c r="Y129" s="7" t="str">
        <f>IF(D129="Yes",U129*Tab_Data_Flows[[#This Row],[WC_'[%']]],"N.A.")</f>
        <v>N.A.</v>
      </c>
      <c r="Z129" s="7" t="str">
        <f>Tab_Data_Flows[[#This Row],[UoM_Flow_Py]]</f>
        <v>Mg</v>
      </c>
      <c r="AA129" s="156">
        <f>INDEX(Tab_Def_Flows[[Flow_ID]:[CC_DM_source]],MATCH(Tab_Data_Flows[[#This Row],[Flow_Name]],Tab_Def_Flows[Flow_Name],0),14)</f>
        <v>0</v>
      </c>
      <c r="AB129" s="7" t="str">
        <f>Tab_Data_Flows[[#This Row],[Flow_ID]]&amp;"_"&amp;"DM_"&amp;Tab_Data_Flows[[#This Row],[Flow_Data_Year]]</f>
        <v>F___DM_</v>
      </c>
      <c r="AC129" s="7" t="str">
        <f>IF(E129="Yes",AA129*Tab_Data_Flows[[#This Row],[Flow_Material]],"N.A.")</f>
        <v>N.A.</v>
      </c>
      <c r="AD129" s="7" t="str">
        <f>Tab_Data_Flows[[#This Row],[UoM_Flow_Py]]</f>
        <v>Mg</v>
      </c>
      <c r="AE129" s="156">
        <f>INDEX(Tab_Def_Flows[[Flow_ID]:[CC_DM_source]],MATCH(Tab_Data_Flows[[#This Row],[Flow_Name]],Tab_Def_Flows[Flow_Name],0),17)</f>
        <v>0</v>
      </c>
      <c r="AF129" s="7" t="str">
        <f>Tab_Data_Flows[[#This Row],[Flow_ID]]&amp;"_"&amp;"CC_"&amp;Tab_Data_Flows[[#This Row],[Flow_Data_Year]]</f>
        <v>F___CC_</v>
      </c>
      <c r="AG129" s="7" t="str">
        <f>IF(F129="Yes",AE129*Tab_Data_Flows[[#This Row],[Flow_Material]]*Tab_Data_Flows[[#This Row],[DM_'[%']]],"N.A.")</f>
        <v>N.A.</v>
      </c>
      <c r="AH129" s="7" t="str">
        <f>Tab_Data_Flows[[#This Row],[UoM_Flow_Py]]</f>
        <v>Mg</v>
      </c>
      <c r="AI129"/>
    </row>
    <row r="130" spans="1:35" x14ac:dyDescent="0.25">
      <c r="A130" s="9">
        <f t="shared" si="3"/>
        <v>129</v>
      </c>
      <c r="B130" s="7" t="str">
        <f>_xlfn.XLOOKUP(C130,Tab_Def_Flows[Flow_Name],Tab_Def_Flows[Flow_ID],,0,)</f>
        <v>F__</v>
      </c>
      <c r="C130" s="8" t="s">
        <v>31</v>
      </c>
      <c r="D130" s="10">
        <f>_xlfn.XLOOKUP(C130,Tab_Def_Flows[Flow_Name],Tab_Def_Flows[WC?],,0,)</f>
        <v>0</v>
      </c>
      <c r="E130" s="10">
        <f>_xlfn.XLOOKUP(C130,Tab_Def_Flows[Flow_Name],Tab_Def_Flows[DM?],,0,)</f>
        <v>0</v>
      </c>
      <c r="F130" s="10">
        <f>_xlfn.XLOOKUP(C130,Tab_Def_Flows[Flow_Name],Tab_Def_Flows[CC?],,0,)</f>
        <v>0</v>
      </c>
      <c r="G130" s="8"/>
      <c r="H130" s="28"/>
      <c r="I130" s="8"/>
      <c r="J130" s="8"/>
      <c r="K130" s="8" t="e">
        <f>INDEX(#REF!,MATCH(Tab_Data_Flows[[#This Row],[Flow_Name]],#REF!,0),12)</f>
        <v>#REF!</v>
      </c>
      <c r="L130" s="8" t="e">
        <f>MATCH(Tab_Data_Flows[[#This Row],[Flow_Name]],#REF!,0)</f>
        <v>#REF!</v>
      </c>
      <c r="M130" s="8"/>
      <c r="N130" s="8"/>
      <c r="O130" s="8"/>
      <c r="P130" s="8"/>
      <c r="Q130" s="8" t="s">
        <v>8</v>
      </c>
      <c r="R130" s="8"/>
      <c r="S130" s="8"/>
      <c r="T130" s="7" t="str">
        <f>Tab_Data_Flows[[#This Row],[Flow_ID]]&amp;"_"&amp;"material_"&amp;Tab_Data_Flows[[#This Row],[Flow_Data_Year]]</f>
        <v>F___material_</v>
      </c>
      <c r="U130" s="18">
        <f t="shared" si="4"/>
        <v>0</v>
      </c>
      <c r="V130" s="8" t="s">
        <v>218</v>
      </c>
      <c r="W130" s="156">
        <f>INDEX(Tab_Def_Flows[[Flow_ID]:[CC_DM_source]],MATCH(Tab_Data_Flows[[#This Row],[Flow_Name]],Tab_Def_Flows[Flow_Name],0),11)</f>
        <v>0</v>
      </c>
      <c r="X130" s="7" t="str">
        <f>Tab_Data_Flows[[#This Row],[Flow_ID]]&amp;"_"&amp;"WC_"&amp;Tab_Data_Flows[[#This Row],[Flow_Data_Year]]</f>
        <v>F___WC_</v>
      </c>
      <c r="Y130" s="7" t="str">
        <f>IF(D130="Yes",U130*Tab_Data_Flows[[#This Row],[WC_'[%']]],"N.A.")</f>
        <v>N.A.</v>
      </c>
      <c r="Z130" s="7" t="str">
        <f>Tab_Data_Flows[[#This Row],[UoM_Flow_Py]]</f>
        <v>Mg</v>
      </c>
      <c r="AA130" s="156">
        <f>INDEX(Tab_Def_Flows[[Flow_ID]:[CC_DM_source]],MATCH(Tab_Data_Flows[[#This Row],[Flow_Name]],Tab_Def_Flows[Flow_Name],0),14)</f>
        <v>0</v>
      </c>
      <c r="AB130" s="7" t="str">
        <f>Tab_Data_Flows[[#This Row],[Flow_ID]]&amp;"_"&amp;"DM_"&amp;Tab_Data_Flows[[#This Row],[Flow_Data_Year]]</f>
        <v>F___DM_</v>
      </c>
      <c r="AC130" s="7" t="str">
        <f>IF(E130="Yes",AA130*Tab_Data_Flows[[#This Row],[Flow_Material]],"N.A.")</f>
        <v>N.A.</v>
      </c>
      <c r="AD130" s="7" t="str">
        <f>Tab_Data_Flows[[#This Row],[UoM_Flow_Py]]</f>
        <v>Mg</v>
      </c>
      <c r="AE130" s="156">
        <f>INDEX(Tab_Def_Flows[[Flow_ID]:[CC_DM_source]],MATCH(Tab_Data_Flows[[#This Row],[Flow_Name]],Tab_Def_Flows[Flow_Name],0),17)</f>
        <v>0</v>
      </c>
      <c r="AF130" s="7" t="str">
        <f>Tab_Data_Flows[[#This Row],[Flow_ID]]&amp;"_"&amp;"CC_"&amp;Tab_Data_Flows[[#This Row],[Flow_Data_Year]]</f>
        <v>F___CC_</v>
      </c>
      <c r="AG130" s="7" t="str">
        <f>IF(F130="Yes",AE130*Tab_Data_Flows[[#This Row],[Flow_Material]]*Tab_Data_Flows[[#This Row],[DM_'[%']]],"N.A.")</f>
        <v>N.A.</v>
      </c>
      <c r="AH130" s="7" t="str">
        <f>Tab_Data_Flows[[#This Row],[UoM_Flow_Py]]</f>
        <v>Mg</v>
      </c>
      <c r="AI130"/>
    </row>
    <row r="131" spans="1:35" x14ac:dyDescent="0.25">
      <c r="A131" s="9">
        <f t="shared" ref="A131:A194" si="5">ROW()-1</f>
        <v>130</v>
      </c>
      <c r="B131" s="7" t="str">
        <f>_xlfn.XLOOKUP(C131,Tab_Def_Flows[Flow_Name],Tab_Def_Flows[Flow_ID],,0,)</f>
        <v>F__</v>
      </c>
      <c r="C131" s="8" t="s">
        <v>31</v>
      </c>
      <c r="D131" s="10">
        <f>_xlfn.XLOOKUP(C131,Tab_Def_Flows[Flow_Name],Tab_Def_Flows[WC?],,0,)</f>
        <v>0</v>
      </c>
      <c r="E131" s="10">
        <f>_xlfn.XLOOKUP(C131,Tab_Def_Flows[Flow_Name],Tab_Def_Flows[DM?],,0,)</f>
        <v>0</v>
      </c>
      <c r="F131" s="10">
        <f>_xlfn.XLOOKUP(C131,Tab_Def_Flows[Flow_Name],Tab_Def_Flows[CC?],,0,)</f>
        <v>0</v>
      </c>
      <c r="G131" s="8"/>
      <c r="H131" s="28"/>
      <c r="I131" s="8"/>
      <c r="J131" s="8"/>
      <c r="K131" s="8" t="e">
        <f>INDEX(#REF!,MATCH(Tab_Data_Flows[[#This Row],[Flow_Name]],#REF!,0),12)</f>
        <v>#REF!</v>
      </c>
      <c r="L131" s="8" t="e">
        <f>MATCH(Tab_Data_Flows[[#This Row],[Flow_Name]],#REF!,0)</f>
        <v>#REF!</v>
      </c>
      <c r="M131" s="8"/>
      <c r="N131" s="8"/>
      <c r="O131" s="8"/>
      <c r="P131" s="8"/>
      <c r="Q131" s="8" t="s">
        <v>8</v>
      </c>
      <c r="R131" s="8"/>
      <c r="S131" s="8"/>
      <c r="T131" s="7" t="str">
        <f>Tab_Data_Flows[[#This Row],[Flow_ID]]&amp;"_"&amp;"material_"&amp;Tab_Data_Flows[[#This Row],[Flow_Data_Year]]</f>
        <v>F___material_</v>
      </c>
      <c r="U131" s="18">
        <f t="shared" ref="U131:U194" si="6">IF(Q131="no",H131,H131*R131)</f>
        <v>0</v>
      </c>
      <c r="V131" s="8" t="s">
        <v>218</v>
      </c>
      <c r="W131" s="156">
        <f>INDEX(Tab_Def_Flows[[Flow_ID]:[CC_DM_source]],MATCH(Tab_Data_Flows[[#This Row],[Flow_Name]],Tab_Def_Flows[Flow_Name],0),11)</f>
        <v>0</v>
      </c>
      <c r="X131" s="7" t="str">
        <f>Tab_Data_Flows[[#This Row],[Flow_ID]]&amp;"_"&amp;"WC_"&amp;Tab_Data_Flows[[#This Row],[Flow_Data_Year]]</f>
        <v>F___WC_</v>
      </c>
      <c r="Y131" s="7" t="str">
        <f>IF(D131="Yes",U131*Tab_Data_Flows[[#This Row],[WC_'[%']]],"N.A.")</f>
        <v>N.A.</v>
      </c>
      <c r="Z131" s="7" t="str">
        <f>Tab_Data_Flows[[#This Row],[UoM_Flow_Py]]</f>
        <v>Mg</v>
      </c>
      <c r="AA131" s="156">
        <f>INDEX(Tab_Def_Flows[[Flow_ID]:[CC_DM_source]],MATCH(Tab_Data_Flows[[#This Row],[Flow_Name]],Tab_Def_Flows[Flow_Name],0),14)</f>
        <v>0</v>
      </c>
      <c r="AB131" s="7" t="str">
        <f>Tab_Data_Flows[[#This Row],[Flow_ID]]&amp;"_"&amp;"DM_"&amp;Tab_Data_Flows[[#This Row],[Flow_Data_Year]]</f>
        <v>F___DM_</v>
      </c>
      <c r="AC131" s="7" t="str">
        <f>IF(E131="Yes",AA131*Tab_Data_Flows[[#This Row],[Flow_Material]],"N.A.")</f>
        <v>N.A.</v>
      </c>
      <c r="AD131" s="7" t="str">
        <f>Tab_Data_Flows[[#This Row],[UoM_Flow_Py]]</f>
        <v>Mg</v>
      </c>
      <c r="AE131" s="156">
        <f>INDEX(Tab_Def_Flows[[Flow_ID]:[CC_DM_source]],MATCH(Tab_Data_Flows[[#This Row],[Flow_Name]],Tab_Def_Flows[Flow_Name],0),17)</f>
        <v>0</v>
      </c>
      <c r="AF131" s="7" t="str">
        <f>Tab_Data_Flows[[#This Row],[Flow_ID]]&amp;"_"&amp;"CC_"&amp;Tab_Data_Flows[[#This Row],[Flow_Data_Year]]</f>
        <v>F___CC_</v>
      </c>
      <c r="AG131" s="7" t="str">
        <f>IF(F131="Yes",AE131*Tab_Data_Flows[[#This Row],[Flow_Material]]*Tab_Data_Flows[[#This Row],[DM_'[%']]],"N.A.")</f>
        <v>N.A.</v>
      </c>
      <c r="AH131" s="7" t="str">
        <f>Tab_Data_Flows[[#This Row],[UoM_Flow_Py]]</f>
        <v>Mg</v>
      </c>
      <c r="AI131"/>
    </row>
    <row r="132" spans="1:35" x14ac:dyDescent="0.25">
      <c r="A132" s="9">
        <f t="shared" si="5"/>
        <v>131</v>
      </c>
      <c r="B132" s="7" t="str">
        <f>_xlfn.XLOOKUP(C132,Tab_Def_Flows[Flow_Name],Tab_Def_Flows[Flow_ID],,0,)</f>
        <v>F__</v>
      </c>
      <c r="C132" s="8" t="s">
        <v>31</v>
      </c>
      <c r="D132" s="10">
        <f>_xlfn.XLOOKUP(C132,Tab_Def_Flows[Flow_Name],Tab_Def_Flows[WC?],,0,)</f>
        <v>0</v>
      </c>
      <c r="E132" s="10">
        <f>_xlfn.XLOOKUP(C132,Tab_Def_Flows[Flow_Name],Tab_Def_Flows[DM?],,0,)</f>
        <v>0</v>
      </c>
      <c r="F132" s="10">
        <f>_xlfn.XLOOKUP(C132,Tab_Def_Flows[Flow_Name],Tab_Def_Flows[CC?],,0,)</f>
        <v>0</v>
      </c>
      <c r="G132" s="8"/>
      <c r="H132" s="28"/>
      <c r="I132" s="8"/>
      <c r="J132" s="8"/>
      <c r="K132" s="8" t="e">
        <f>INDEX(#REF!,MATCH(Tab_Data_Flows[[#This Row],[Flow_Name]],#REF!,0),12)</f>
        <v>#REF!</v>
      </c>
      <c r="L132" s="8" t="e">
        <f>MATCH(Tab_Data_Flows[[#This Row],[Flow_Name]],#REF!,0)</f>
        <v>#REF!</v>
      </c>
      <c r="M132" s="8"/>
      <c r="N132" s="8"/>
      <c r="O132" s="8"/>
      <c r="P132" s="8"/>
      <c r="Q132" s="8" t="s">
        <v>8</v>
      </c>
      <c r="R132" s="8"/>
      <c r="S132" s="8"/>
      <c r="T132" s="7" t="str">
        <f>Tab_Data_Flows[[#This Row],[Flow_ID]]&amp;"_"&amp;"material_"&amp;Tab_Data_Flows[[#This Row],[Flow_Data_Year]]</f>
        <v>F___material_</v>
      </c>
      <c r="U132" s="18">
        <f t="shared" si="6"/>
        <v>0</v>
      </c>
      <c r="V132" s="8" t="s">
        <v>218</v>
      </c>
      <c r="W132" s="156">
        <f>INDEX(Tab_Def_Flows[[Flow_ID]:[CC_DM_source]],MATCH(Tab_Data_Flows[[#This Row],[Flow_Name]],Tab_Def_Flows[Flow_Name],0),11)</f>
        <v>0</v>
      </c>
      <c r="X132" s="7" t="str">
        <f>Tab_Data_Flows[[#This Row],[Flow_ID]]&amp;"_"&amp;"WC_"&amp;Tab_Data_Flows[[#This Row],[Flow_Data_Year]]</f>
        <v>F___WC_</v>
      </c>
      <c r="Y132" s="7" t="str">
        <f>IF(D132="Yes",U132*Tab_Data_Flows[[#This Row],[WC_'[%']]],"N.A.")</f>
        <v>N.A.</v>
      </c>
      <c r="Z132" s="7" t="str">
        <f>Tab_Data_Flows[[#This Row],[UoM_Flow_Py]]</f>
        <v>Mg</v>
      </c>
      <c r="AA132" s="156">
        <f>INDEX(Tab_Def_Flows[[Flow_ID]:[CC_DM_source]],MATCH(Tab_Data_Flows[[#This Row],[Flow_Name]],Tab_Def_Flows[Flow_Name],0),14)</f>
        <v>0</v>
      </c>
      <c r="AB132" s="7" t="str">
        <f>Tab_Data_Flows[[#This Row],[Flow_ID]]&amp;"_"&amp;"DM_"&amp;Tab_Data_Flows[[#This Row],[Flow_Data_Year]]</f>
        <v>F___DM_</v>
      </c>
      <c r="AC132" s="7" t="str">
        <f>IF(E132="Yes",AA132*Tab_Data_Flows[[#This Row],[Flow_Material]],"N.A.")</f>
        <v>N.A.</v>
      </c>
      <c r="AD132" s="7" t="str">
        <f>Tab_Data_Flows[[#This Row],[UoM_Flow_Py]]</f>
        <v>Mg</v>
      </c>
      <c r="AE132" s="156">
        <f>INDEX(Tab_Def_Flows[[Flow_ID]:[CC_DM_source]],MATCH(Tab_Data_Flows[[#This Row],[Flow_Name]],Tab_Def_Flows[Flow_Name],0),17)</f>
        <v>0</v>
      </c>
      <c r="AF132" s="7" t="str">
        <f>Tab_Data_Flows[[#This Row],[Flow_ID]]&amp;"_"&amp;"CC_"&amp;Tab_Data_Flows[[#This Row],[Flow_Data_Year]]</f>
        <v>F___CC_</v>
      </c>
      <c r="AG132" s="7" t="str">
        <f>IF(F132="Yes",AE132*Tab_Data_Flows[[#This Row],[Flow_Material]]*Tab_Data_Flows[[#This Row],[DM_'[%']]],"N.A.")</f>
        <v>N.A.</v>
      </c>
      <c r="AH132" s="7" t="str">
        <f>Tab_Data_Flows[[#This Row],[UoM_Flow_Py]]</f>
        <v>Mg</v>
      </c>
      <c r="AI132"/>
    </row>
    <row r="133" spans="1:35" x14ac:dyDescent="0.25">
      <c r="A133" s="9">
        <f t="shared" si="5"/>
        <v>132</v>
      </c>
      <c r="B133" s="7" t="str">
        <f>_xlfn.XLOOKUP(C133,Tab_Def_Flows[Flow_Name],Tab_Def_Flows[Flow_ID],,0,)</f>
        <v>F__</v>
      </c>
      <c r="C133" s="8" t="s">
        <v>31</v>
      </c>
      <c r="D133" s="10">
        <f>_xlfn.XLOOKUP(C133,Tab_Def_Flows[Flow_Name],Tab_Def_Flows[WC?],,0,)</f>
        <v>0</v>
      </c>
      <c r="E133" s="10">
        <f>_xlfn.XLOOKUP(C133,Tab_Def_Flows[Flow_Name],Tab_Def_Flows[DM?],,0,)</f>
        <v>0</v>
      </c>
      <c r="F133" s="10">
        <f>_xlfn.XLOOKUP(C133,Tab_Def_Flows[Flow_Name],Tab_Def_Flows[CC?],,0,)</f>
        <v>0</v>
      </c>
      <c r="G133" s="8"/>
      <c r="H133" s="28"/>
      <c r="I133" s="8"/>
      <c r="J133" s="8"/>
      <c r="K133" s="8" t="e">
        <f>INDEX(#REF!,MATCH(Tab_Data_Flows[[#This Row],[Flow_Name]],#REF!,0),12)</f>
        <v>#REF!</v>
      </c>
      <c r="L133" s="8" t="e">
        <f>MATCH(Tab_Data_Flows[[#This Row],[Flow_Name]],#REF!,0)</f>
        <v>#REF!</v>
      </c>
      <c r="M133" s="8"/>
      <c r="N133" s="8"/>
      <c r="O133" s="8"/>
      <c r="P133" s="8"/>
      <c r="Q133" s="8" t="s">
        <v>8</v>
      </c>
      <c r="R133" s="8"/>
      <c r="S133" s="8"/>
      <c r="T133" s="7" t="str">
        <f>Tab_Data_Flows[[#This Row],[Flow_ID]]&amp;"_"&amp;"material_"&amp;Tab_Data_Flows[[#This Row],[Flow_Data_Year]]</f>
        <v>F___material_</v>
      </c>
      <c r="U133" s="18">
        <f t="shared" si="6"/>
        <v>0</v>
      </c>
      <c r="V133" s="8" t="s">
        <v>218</v>
      </c>
      <c r="W133" s="156">
        <f>INDEX(Tab_Def_Flows[[Flow_ID]:[CC_DM_source]],MATCH(Tab_Data_Flows[[#This Row],[Flow_Name]],Tab_Def_Flows[Flow_Name],0),11)</f>
        <v>0</v>
      </c>
      <c r="X133" s="7" t="str">
        <f>Tab_Data_Flows[[#This Row],[Flow_ID]]&amp;"_"&amp;"WC_"&amp;Tab_Data_Flows[[#This Row],[Flow_Data_Year]]</f>
        <v>F___WC_</v>
      </c>
      <c r="Y133" s="7" t="str">
        <f>IF(D133="Yes",U133*Tab_Data_Flows[[#This Row],[WC_'[%']]],"N.A.")</f>
        <v>N.A.</v>
      </c>
      <c r="Z133" s="7" t="str">
        <f>Tab_Data_Flows[[#This Row],[UoM_Flow_Py]]</f>
        <v>Mg</v>
      </c>
      <c r="AA133" s="156">
        <f>INDEX(Tab_Def_Flows[[Flow_ID]:[CC_DM_source]],MATCH(Tab_Data_Flows[[#This Row],[Flow_Name]],Tab_Def_Flows[Flow_Name],0),14)</f>
        <v>0</v>
      </c>
      <c r="AB133" s="7" t="str">
        <f>Tab_Data_Flows[[#This Row],[Flow_ID]]&amp;"_"&amp;"DM_"&amp;Tab_Data_Flows[[#This Row],[Flow_Data_Year]]</f>
        <v>F___DM_</v>
      </c>
      <c r="AC133" s="7" t="str">
        <f>IF(E133="Yes",AA133*Tab_Data_Flows[[#This Row],[Flow_Material]],"N.A.")</f>
        <v>N.A.</v>
      </c>
      <c r="AD133" s="7" t="str">
        <f>Tab_Data_Flows[[#This Row],[UoM_Flow_Py]]</f>
        <v>Mg</v>
      </c>
      <c r="AE133" s="156">
        <f>INDEX(Tab_Def_Flows[[Flow_ID]:[CC_DM_source]],MATCH(Tab_Data_Flows[[#This Row],[Flow_Name]],Tab_Def_Flows[Flow_Name],0),17)</f>
        <v>0</v>
      </c>
      <c r="AF133" s="7" t="str">
        <f>Tab_Data_Flows[[#This Row],[Flow_ID]]&amp;"_"&amp;"CC_"&amp;Tab_Data_Flows[[#This Row],[Flow_Data_Year]]</f>
        <v>F___CC_</v>
      </c>
      <c r="AG133" s="7" t="str">
        <f>IF(F133="Yes",AE133*Tab_Data_Flows[[#This Row],[Flow_Material]]*Tab_Data_Flows[[#This Row],[DM_'[%']]],"N.A.")</f>
        <v>N.A.</v>
      </c>
      <c r="AH133" s="7" t="str">
        <f>Tab_Data_Flows[[#This Row],[UoM_Flow_Py]]</f>
        <v>Mg</v>
      </c>
      <c r="AI133"/>
    </row>
    <row r="134" spans="1:35" x14ac:dyDescent="0.25">
      <c r="A134" s="9">
        <f t="shared" si="5"/>
        <v>133</v>
      </c>
      <c r="B134" s="7" t="str">
        <f>_xlfn.XLOOKUP(C134,Tab_Def_Flows[Flow_Name],Tab_Def_Flows[Flow_ID],,0,)</f>
        <v>F__</v>
      </c>
      <c r="C134" s="8" t="s">
        <v>31</v>
      </c>
      <c r="D134" s="10">
        <f>_xlfn.XLOOKUP(C134,Tab_Def_Flows[Flow_Name],Tab_Def_Flows[WC?],,0,)</f>
        <v>0</v>
      </c>
      <c r="E134" s="10">
        <f>_xlfn.XLOOKUP(C134,Tab_Def_Flows[Flow_Name],Tab_Def_Flows[DM?],,0,)</f>
        <v>0</v>
      </c>
      <c r="F134" s="10">
        <f>_xlfn.XLOOKUP(C134,Tab_Def_Flows[Flow_Name],Tab_Def_Flows[CC?],,0,)</f>
        <v>0</v>
      </c>
      <c r="G134" s="8"/>
      <c r="H134" s="28"/>
      <c r="I134" s="8"/>
      <c r="J134" s="8"/>
      <c r="K134" s="8" t="e">
        <f>INDEX(#REF!,MATCH(Tab_Data_Flows[[#This Row],[Flow_Name]],#REF!,0),12)</f>
        <v>#REF!</v>
      </c>
      <c r="L134" s="8" t="e">
        <f>MATCH(Tab_Data_Flows[[#This Row],[Flow_Name]],#REF!,0)</f>
        <v>#REF!</v>
      </c>
      <c r="M134" s="8"/>
      <c r="N134" s="8"/>
      <c r="O134" s="8"/>
      <c r="P134" s="8"/>
      <c r="Q134" s="8" t="s">
        <v>8</v>
      </c>
      <c r="R134" s="8"/>
      <c r="S134" s="8"/>
      <c r="T134" s="7" t="str">
        <f>Tab_Data_Flows[[#This Row],[Flow_ID]]&amp;"_"&amp;"material_"&amp;Tab_Data_Flows[[#This Row],[Flow_Data_Year]]</f>
        <v>F___material_</v>
      </c>
      <c r="U134" s="18">
        <f t="shared" si="6"/>
        <v>0</v>
      </c>
      <c r="V134" s="8" t="s">
        <v>218</v>
      </c>
      <c r="W134" s="156">
        <f>INDEX(Tab_Def_Flows[[Flow_ID]:[CC_DM_source]],MATCH(Tab_Data_Flows[[#This Row],[Flow_Name]],Tab_Def_Flows[Flow_Name],0),11)</f>
        <v>0</v>
      </c>
      <c r="X134" s="7" t="str">
        <f>Tab_Data_Flows[[#This Row],[Flow_ID]]&amp;"_"&amp;"WC_"&amp;Tab_Data_Flows[[#This Row],[Flow_Data_Year]]</f>
        <v>F___WC_</v>
      </c>
      <c r="Y134" s="7" t="str">
        <f>IF(D134="Yes",U134*Tab_Data_Flows[[#This Row],[WC_'[%']]],"N.A.")</f>
        <v>N.A.</v>
      </c>
      <c r="Z134" s="7" t="str">
        <f>Tab_Data_Flows[[#This Row],[UoM_Flow_Py]]</f>
        <v>Mg</v>
      </c>
      <c r="AA134" s="156">
        <f>INDEX(Tab_Def_Flows[[Flow_ID]:[CC_DM_source]],MATCH(Tab_Data_Flows[[#This Row],[Flow_Name]],Tab_Def_Flows[Flow_Name],0),14)</f>
        <v>0</v>
      </c>
      <c r="AB134" s="7" t="str">
        <f>Tab_Data_Flows[[#This Row],[Flow_ID]]&amp;"_"&amp;"DM_"&amp;Tab_Data_Flows[[#This Row],[Flow_Data_Year]]</f>
        <v>F___DM_</v>
      </c>
      <c r="AC134" s="7" t="str">
        <f>IF(E134="Yes",AA134*Tab_Data_Flows[[#This Row],[Flow_Material]],"N.A.")</f>
        <v>N.A.</v>
      </c>
      <c r="AD134" s="7" t="str">
        <f>Tab_Data_Flows[[#This Row],[UoM_Flow_Py]]</f>
        <v>Mg</v>
      </c>
      <c r="AE134" s="156">
        <f>INDEX(Tab_Def_Flows[[Flow_ID]:[CC_DM_source]],MATCH(Tab_Data_Flows[[#This Row],[Flow_Name]],Tab_Def_Flows[Flow_Name],0),17)</f>
        <v>0</v>
      </c>
      <c r="AF134" s="7" t="str">
        <f>Tab_Data_Flows[[#This Row],[Flow_ID]]&amp;"_"&amp;"CC_"&amp;Tab_Data_Flows[[#This Row],[Flow_Data_Year]]</f>
        <v>F___CC_</v>
      </c>
      <c r="AG134" s="7" t="str">
        <f>IF(F134="Yes",AE134*Tab_Data_Flows[[#This Row],[Flow_Material]]*Tab_Data_Flows[[#This Row],[DM_'[%']]],"N.A.")</f>
        <v>N.A.</v>
      </c>
      <c r="AH134" s="7" t="str">
        <f>Tab_Data_Flows[[#This Row],[UoM_Flow_Py]]</f>
        <v>Mg</v>
      </c>
      <c r="AI134"/>
    </row>
    <row r="135" spans="1:35" x14ac:dyDescent="0.25">
      <c r="A135" s="9">
        <f t="shared" si="5"/>
        <v>134</v>
      </c>
      <c r="B135" s="7" t="str">
        <f>_xlfn.XLOOKUP(C135,Tab_Def_Flows[Flow_Name],Tab_Def_Flows[Flow_ID],,0,)</f>
        <v>F__</v>
      </c>
      <c r="C135" s="8" t="s">
        <v>31</v>
      </c>
      <c r="D135" s="10">
        <f>_xlfn.XLOOKUP(C135,Tab_Def_Flows[Flow_Name],Tab_Def_Flows[WC?],,0,)</f>
        <v>0</v>
      </c>
      <c r="E135" s="10">
        <f>_xlfn.XLOOKUP(C135,Tab_Def_Flows[Flow_Name],Tab_Def_Flows[DM?],,0,)</f>
        <v>0</v>
      </c>
      <c r="F135" s="10">
        <f>_xlfn.XLOOKUP(C135,Tab_Def_Flows[Flow_Name],Tab_Def_Flows[CC?],,0,)</f>
        <v>0</v>
      </c>
      <c r="G135" s="8"/>
      <c r="H135" s="28"/>
      <c r="I135" s="8"/>
      <c r="J135" s="8"/>
      <c r="K135" s="8" t="e">
        <f>INDEX(#REF!,MATCH(Tab_Data_Flows[[#This Row],[Flow_Name]],#REF!,0),12)</f>
        <v>#REF!</v>
      </c>
      <c r="L135" s="8" t="e">
        <f>MATCH(Tab_Data_Flows[[#This Row],[Flow_Name]],#REF!,0)</f>
        <v>#REF!</v>
      </c>
      <c r="M135" s="8"/>
      <c r="N135" s="8"/>
      <c r="O135" s="8"/>
      <c r="P135" s="8"/>
      <c r="Q135" s="8" t="s">
        <v>8</v>
      </c>
      <c r="R135" s="8"/>
      <c r="S135" s="8"/>
      <c r="T135" s="7" t="str">
        <f>Tab_Data_Flows[[#This Row],[Flow_ID]]&amp;"_"&amp;"material_"&amp;Tab_Data_Flows[[#This Row],[Flow_Data_Year]]</f>
        <v>F___material_</v>
      </c>
      <c r="U135" s="18">
        <f t="shared" si="6"/>
        <v>0</v>
      </c>
      <c r="V135" s="8" t="s">
        <v>218</v>
      </c>
      <c r="W135" s="156">
        <f>INDEX(Tab_Def_Flows[[Flow_ID]:[CC_DM_source]],MATCH(Tab_Data_Flows[[#This Row],[Flow_Name]],Tab_Def_Flows[Flow_Name],0),11)</f>
        <v>0</v>
      </c>
      <c r="X135" s="7" t="str">
        <f>Tab_Data_Flows[[#This Row],[Flow_ID]]&amp;"_"&amp;"WC_"&amp;Tab_Data_Flows[[#This Row],[Flow_Data_Year]]</f>
        <v>F___WC_</v>
      </c>
      <c r="Y135" s="7" t="str">
        <f>IF(D135="Yes",U135*Tab_Data_Flows[[#This Row],[WC_'[%']]],"N.A.")</f>
        <v>N.A.</v>
      </c>
      <c r="Z135" s="7" t="str">
        <f>Tab_Data_Flows[[#This Row],[UoM_Flow_Py]]</f>
        <v>Mg</v>
      </c>
      <c r="AA135" s="156">
        <f>INDEX(Tab_Def_Flows[[Flow_ID]:[CC_DM_source]],MATCH(Tab_Data_Flows[[#This Row],[Flow_Name]],Tab_Def_Flows[Flow_Name],0),14)</f>
        <v>0</v>
      </c>
      <c r="AB135" s="7" t="str">
        <f>Tab_Data_Flows[[#This Row],[Flow_ID]]&amp;"_"&amp;"DM_"&amp;Tab_Data_Flows[[#This Row],[Flow_Data_Year]]</f>
        <v>F___DM_</v>
      </c>
      <c r="AC135" s="7" t="str">
        <f>IF(E135="Yes",AA135*Tab_Data_Flows[[#This Row],[Flow_Material]],"N.A.")</f>
        <v>N.A.</v>
      </c>
      <c r="AD135" s="7" t="str">
        <f>Tab_Data_Flows[[#This Row],[UoM_Flow_Py]]</f>
        <v>Mg</v>
      </c>
      <c r="AE135" s="156">
        <f>INDEX(Tab_Def_Flows[[Flow_ID]:[CC_DM_source]],MATCH(Tab_Data_Flows[[#This Row],[Flow_Name]],Tab_Def_Flows[Flow_Name],0),17)</f>
        <v>0</v>
      </c>
      <c r="AF135" s="7" t="str">
        <f>Tab_Data_Flows[[#This Row],[Flow_ID]]&amp;"_"&amp;"CC_"&amp;Tab_Data_Flows[[#This Row],[Flow_Data_Year]]</f>
        <v>F___CC_</v>
      </c>
      <c r="AG135" s="7" t="str">
        <f>IF(F135="Yes",AE135*Tab_Data_Flows[[#This Row],[Flow_Material]]*Tab_Data_Flows[[#This Row],[DM_'[%']]],"N.A.")</f>
        <v>N.A.</v>
      </c>
      <c r="AH135" s="7" t="str">
        <f>Tab_Data_Flows[[#This Row],[UoM_Flow_Py]]</f>
        <v>Mg</v>
      </c>
      <c r="AI135"/>
    </row>
    <row r="136" spans="1:35" x14ac:dyDescent="0.25">
      <c r="A136" s="9">
        <f t="shared" si="5"/>
        <v>135</v>
      </c>
      <c r="B136" s="7" t="str">
        <f>_xlfn.XLOOKUP(C136,Tab_Def_Flows[Flow_Name],Tab_Def_Flows[Flow_ID],,0,)</f>
        <v>F__</v>
      </c>
      <c r="C136" s="8" t="s">
        <v>31</v>
      </c>
      <c r="D136" s="10">
        <f>_xlfn.XLOOKUP(C136,Tab_Def_Flows[Flow_Name],Tab_Def_Flows[WC?],,0,)</f>
        <v>0</v>
      </c>
      <c r="E136" s="10">
        <f>_xlfn.XLOOKUP(C136,Tab_Def_Flows[Flow_Name],Tab_Def_Flows[DM?],,0,)</f>
        <v>0</v>
      </c>
      <c r="F136" s="10">
        <f>_xlfn.XLOOKUP(C136,Tab_Def_Flows[Flow_Name],Tab_Def_Flows[CC?],,0,)</f>
        <v>0</v>
      </c>
      <c r="G136" s="8"/>
      <c r="H136" s="28"/>
      <c r="I136" s="8"/>
      <c r="J136" s="8"/>
      <c r="K136" s="8" t="e">
        <f>INDEX(#REF!,MATCH(Tab_Data_Flows[[#This Row],[Flow_Name]],#REF!,0),12)</f>
        <v>#REF!</v>
      </c>
      <c r="L136" s="8" t="e">
        <f>MATCH(Tab_Data_Flows[[#This Row],[Flow_Name]],#REF!,0)</f>
        <v>#REF!</v>
      </c>
      <c r="M136" s="8"/>
      <c r="N136" s="8"/>
      <c r="O136" s="8"/>
      <c r="P136" s="8"/>
      <c r="Q136" s="8" t="s">
        <v>8</v>
      </c>
      <c r="R136" s="8"/>
      <c r="S136" s="8"/>
      <c r="T136" s="7" t="str">
        <f>Tab_Data_Flows[[#This Row],[Flow_ID]]&amp;"_"&amp;"material_"&amp;Tab_Data_Flows[[#This Row],[Flow_Data_Year]]</f>
        <v>F___material_</v>
      </c>
      <c r="U136" s="18">
        <f t="shared" si="6"/>
        <v>0</v>
      </c>
      <c r="V136" s="8" t="s">
        <v>218</v>
      </c>
      <c r="W136" s="156">
        <f>INDEX(Tab_Def_Flows[[Flow_ID]:[CC_DM_source]],MATCH(Tab_Data_Flows[[#This Row],[Flow_Name]],Tab_Def_Flows[Flow_Name],0),11)</f>
        <v>0</v>
      </c>
      <c r="X136" s="7" t="str">
        <f>Tab_Data_Flows[[#This Row],[Flow_ID]]&amp;"_"&amp;"WC_"&amp;Tab_Data_Flows[[#This Row],[Flow_Data_Year]]</f>
        <v>F___WC_</v>
      </c>
      <c r="Y136" s="7" t="str">
        <f>IF(D136="Yes",U136*Tab_Data_Flows[[#This Row],[WC_'[%']]],"N.A.")</f>
        <v>N.A.</v>
      </c>
      <c r="Z136" s="7" t="str">
        <f>Tab_Data_Flows[[#This Row],[UoM_Flow_Py]]</f>
        <v>Mg</v>
      </c>
      <c r="AA136" s="156">
        <f>INDEX(Tab_Def_Flows[[Flow_ID]:[CC_DM_source]],MATCH(Tab_Data_Flows[[#This Row],[Flow_Name]],Tab_Def_Flows[Flow_Name],0),14)</f>
        <v>0</v>
      </c>
      <c r="AB136" s="7" t="str">
        <f>Tab_Data_Flows[[#This Row],[Flow_ID]]&amp;"_"&amp;"DM_"&amp;Tab_Data_Flows[[#This Row],[Flow_Data_Year]]</f>
        <v>F___DM_</v>
      </c>
      <c r="AC136" s="7" t="str">
        <f>IF(E136="Yes",AA136*Tab_Data_Flows[[#This Row],[Flow_Material]],"N.A.")</f>
        <v>N.A.</v>
      </c>
      <c r="AD136" s="7" t="str">
        <f>Tab_Data_Flows[[#This Row],[UoM_Flow_Py]]</f>
        <v>Mg</v>
      </c>
      <c r="AE136" s="156">
        <f>INDEX(Tab_Def_Flows[[Flow_ID]:[CC_DM_source]],MATCH(Tab_Data_Flows[[#This Row],[Flow_Name]],Tab_Def_Flows[Flow_Name],0),17)</f>
        <v>0</v>
      </c>
      <c r="AF136" s="7" t="str">
        <f>Tab_Data_Flows[[#This Row],[Flow_ID]]&amp;"_"&amp;"CC_"&amp;Tab_Data_Flows[[#This Row],[Flow_Data_Year]]</f>
        <v>F___CC_</v>
      </c>
      <c r="AG136" s="7" t="str">
        <f>IF(F136="Yes",AE136*Tab_Data_Flows[[#This Row],[Flow_Material]]*Tab_Data_Flows[[#This Row],[DM_'[%']]],"N.A.")</f>
        <v>N.A.</v>
      </c>
      <c r="AH136" s="7" t="str">
        <f>Tab_Data_Flows[[#This Row],[UoM_Flow_Py]]</f>
        <v>Mg</v>
      </c>
      <c r="AI136"/>
    </row>
    <row r="137" spans="1:35" x14ac:dyDescent="0.25">
      <c r="A137" s="9">
        <f t="shared" si="5"/>
        <v>136</v>
      </c>
      <c r="B137" s="7" t="str">
        <f>_xlfn.XLOOKUP(C137,Tab_Def_Flows[Flow_Name],Tab_Def_Flows[Flow_ID],,0,)</f>
        <v>F__</v>
      </c>
      <c r="C137" s="8" t="s">
        <v>31</v>
      </c>
      <c r="D137" s="10">
        <f>_xlfn.XLOOKUP(C137,Tab_Def_Flows[Flow_Name],Tab_Def_Flows[WC?],,0,)</f>
        <v>0</v>
      </c>
      <c r="E137" s="10">
        <f>_xlfn.XLOOKUP(C137,Tab_Def_Flows[Flow_Name],Tab_Def_Flows[DM?],,0,)</f>
        <v>0</v>
      </c>
      <c r="F137" s="10">
        <f>_xlfn.XLOOKUP(C137,Tab_Def_Flows[Flow_Name],Tab_Def_Flows[CC?],,0,)</f>
        <v>0</v>
      </c>
      <c r="G137" s="8"/>
      <c r="H137" s="28"/>
      <c r="I137" s="8"/>
      <c r="J137" s="8"/>
      <c r="K137" s="8" t="e">
        <f>INDEX(#REF!,MATCH(Tab_Data_Flows[[#This Row],[Flow_Name]],#REF!,0),12)</f>
        <v>#REF!</v>
      </c>
      <c r="L137" s="8" t="e">
        <f>MATCH(Tab_Data_Flows[[#This Row],[Flow_Name]],#REF!,0)</f>
        <v>#REF!</v>
      </c>
      <c r="M137" s="8"/>
      <c r="N137" s="8"/>
      <c r="O137" s="8"/>
      <c r="P137" s="8"/>
      <c r="Q137" s="8" t="s">
        <v>8</v>
      </c>
      <c r="R137" s="8"/>
      <c r="S137" s="8"/>
      <c r="T137" s="7" t="str">
        <f>Tab_Data_Flows[[#This Row],[Flow_ID]]&amp;"_"&amp;"material_"&amp;Tab_Data_Flows[[#This Row],[Flow_Data_Year]]</f>
        <v>F___material_</v>
      </c>
      <c r="U137" s="18">
        <f t="shared" si="6"/>
        <v>0</v>
      </c>
      <c r="V137" s="8" t="s">
        <v>218</v>
      </c>
      <c r="W137" s="156">
        <f>INDEX(Tab_Def_Flows[[Flow_ID]:[CC_DM_source]],MATCH(Tab_Data_Flows[[#This Row],[Flow_Name]],Tab_Def_Flows[Flow_Name],0),11)</f>
        <v>0</v>
      </c>
      <c r="X137" s="7" t="str">
        <f>Tab_Data_Flows[[#This Row],[Flow_ID]]&amp;"_"&amp;"WC_"&amp;Tab_Data_Flows[[#This Row],[Flow_Data_Year]]</f>
        <v>F___WC_</v>
      </c>
      <c r="Y137" s="7" t="str">
        <f>IF(D137="Yes",U137*Tab_Data_Flows[[#This Row],[WC_'[%']]],"N.A.")</f>
        <v>N.A.</v>
      </c>
      <c r="Z137" s="7" t="str">
        <f>Tab_Data_Flows[[#This Row],[UoM_Flow_Py]]</f>
        <v>Mg</v>
      </c>
      <c r="AA137" s="156">
        <f>INDEX(Tab_Def_Flows[[Flow_ID]:[CC_DM_source]],MATCH(Tab_Data_Flows[[#This Row],[Flow_Name]],Tab_Def_Flows[Flow_Name],0),14)</f>
        <v>0</v>
      </c>
      <c r="AB137" s="7" t="str">
        <f>Tab_Data_Flows[[#This Row],[Flow_ID]]&amp;"_"&amp;"DM_"&amp;Tab_Data_Flows[[#This Row],[Flow_Data_Year]]</f>
        <v>F___DM_</v>
      </c>
      <c r="AC137" s="7" t="str">
        <f>IF(E137="Yes",AA137*Tab_Data_Flows[[#This Row],[Flow_Material]],"N.A.")</f>
        <v>N.A.</v>
      </c>
      <c r="AD137" s="7" t="str">
        <f>Tab_Data_Flows[[#This Row],[UoM_Flow_Py]]</f>
        <v>Mg</v>
      </c>
      <c r="AE137" s="156">
        <f>INDEX(Tab_Def_Flows[[Flow_ID]:[CC_DM_source]],MATCH(Tab_Data_Flows[[#This Row],[Flow_Name]],Tab_Def_Flows[Flow_Name],0),17)</f>
        <v>0</v>
      </c>
      <c r="AF137" s="7" t="str">
        <f>Tab_Data_Flows[[#This Row],[Flow_ID]]&amp;"_"&amp;"CC_"&amp;Tab_Data_Flows[[#This Row],[Flow_Data_Year]]</f>
        <v>F___CC_</v>
      </c>
      <c r="AG137" s="7" t="str">
        <f>IF(F137="Yes",AE137*Tab_Data_Flows[[#This Row],[Flow_Material]]*Tab_Data_Flows[[#This Row],[DM_'[%']]],"N.A.")</f>
        <v>N.A.</v>
      </c>
      <c r="AH137" s="7" t="str">
        <f>Tab_Data_Flows[[#This Row],[UoM_Flow_Py]]</f>
        <v>Mg</v>
      </c>
      <c r="AI137"/>
    </row>
    <row r="138" spans="1:35" x14ac:dyDescent="0.25">
      <c r="A138" s="9">
        <f t="shared" si="5"/>
        <v>137</v>
      </c>
      <c r="B138" s="7" t="str">
        <f>_xlfn.XLOOKUP(C138,Tab_Def_Flows[Flow_Name],Tab_Def_Flows[Flow_ID],,0,)</f>
        <v>F__</v>
      </c>
      <c r="C138" s="8" t="s">
        <v>31</v>
      </c>
      <c r="D138" s="10">
        <f>_xlfn.XLOOKUP(C138,Tab_Def_Flows[Flow_Name],Tab_Def_Flows[WC?],,0,)</f>
        <v>0</v>
      </c>
      <c r="E138" s="10">
        <f>_xlfn.XLOOKUP(C138,Tab_Def_Flows[Flow_Name],Tab_Def_Flows[DM?],,0,)</f>
        <v>0</v>
      </c>
      <c r="F138" s="10">
        <f>_xlfn.XLOOKUP(C138,Tab_Def_Flows[Flow_Name],Tab_Def_Flows[CC?],,0,)</f>
        <v>0</v>
      </c>
      <c r="G138" s="8"/>
      <c r="H138" s="28"/>
      <c r="I138" s="8"/>
      <c r="J138" s="8"/>
      <c r="K138" s="8" t="e">
        <f>INDEX(#REF!,MATCH(Tab_Data_Flows[[#This Row],[Flow_Name]],#REF!,0),12)</f>
        <v>#REF!</v>
      </c>
      <c r="L138" s="8" t="e">
        <f>MATCH(Tab_Data_Flows[[#This Row],[Flow_Name]],#REF!,0)</f>
        <v>#REF!</v>
      </c>
      <c r="M138" s="8"/>
      <c r="N138" s="8"/>
      <c r="O138" s="8"/>
      <c r="P138" s="8"/>
      <c r="Q138" s="8" t="s">
        <v>8</v>
      </c>
      <c r="R138" s="8"/>
      <c r="S138" s="8"/>
      <c r="T138" s="7" t="str">
        <f>Tab_Data_Flows[[#This Row],[Flow_ID]]&amp;"_"&amp;"material_"&amp;Tab_Data_Flows[[#This Row],[Flow_Data_Year]]</f>
        <v>F___material_</v>
      </c>
      <c r="U138" s="18">
        <f t="shared" si="6"/>
        <v>0</v>
      </c>
      <c r="V138" s="8" t="s">
        <v>218</v>
      </c>
      <c r="W138" s="156">
        <f>INDEX(Tab_Def_Flows[[Flow_ID]:[CC_DM_source]],MATCH(Tab_Data_Flows[[#This Row],[Flow_Name]],Tab_Def_Flows[Flow_Name],0),11)</f>
        <v>0</v>
      </c>
      <c r="X138" s="7" t="str">
        <f>Tab_Data_Flows[[#This Row],[Flow_ID]]&amp;"_"&amp;"WC_"&amp;Tab_Data_Flows[[#This Row],[Flow_Data_Year]]</f>
        <v>F___WC_</v>
      </c>
      <c r="Y138" s="7" t="str">
        <f>IF(D138="Yes",U138*Tab_Data_Flows[[#This Row],[WC_'[%']]],"N.A.")</f>
        <v>N.A.</v>
      </c>
      <c r="Z138" s="7" t="str">
        <f>Tab_Data_Flows[[#This Row],[UoM_Flow_Py]]</f>
        <v>Mg</v>
      </c>
      <c r="AA138" s="156">
        <f>INDEX(Tab_Def_Flows[[Flow_ID]:[CC_DM_source]],MATCH(Tab_Data_Flows[[#This Row],[Flow_Name]],Tab_Def_Flows[Flow_Name],0),14)</f>
        <v>0</v>
      </c>
      <c r="AB138" s="7" t="str">
        <f>Tab_Data_Flows[[#This Row],[Flow_ID]]&amp;"_"&amp;"DM_"&amp;Tab_Data_Flows[[#This Row],[Flow_Data_Year]]</f>
        <v>F___DM_</v>
      </c>
      <c r="AC138" s="7" t="str">
        <f>IF(E138="Yes",AA138*Tab_Data_Flows[[#This Row],[Flow_Material]],"N.A.")</f>
        <v>N.A.</v>
      </c>
      <c r="AD138" s="7" t="str">
        <f>Tab_Data_Flows[[#This Row],[UoM_Flow_Py]]</f>
        <v>Mg</v>
      </c>
      <c r="AE138" s="156">
        <f>INDEX(Tab_Def_Flows[[Flow_ID]:[CC_DM_source]],MATCH(Tab_Data_Flows[[#This Row],[Flow_Name]],Tab_Def_Flows[Flow_Name],0),17)</f>
        <v>0</v>
      </c>
      <c r="AF138" s="7" t="str">
        <f>Tab_Data_Flows[[#This Row],[Flow_ID]]&amp;"_"&amp;"CC_"&amp;Tab_Data_Flows[[#This Row],[Flow_Data_Year]]</f>
        <v>F___CC_</v>
      </c>
      <c r="AG138" s="7" t="str">
        <f>IF(F138="Yes",AE138*Tab_Data_Flows[[#This Row],[Flow_Material]]*Tab_Data_Flows[[#This Row],[DM_'[%']]],"N.A.")</f>
        <v>N.A.</v>
      </c>
      <c r="AH138" s="7" t="str">
        <f>Tab_Data_Flows[[#This Row],[UoM_Flow_Py]]</f>
        <v>Mg</v>
      </c>
      <c r="AI138"/>
    </row>
    <row r="139" spans="1:35" x14ac:dyDescent="0.25">
      <c r="A139" s="9">
        <f t="shared" si="5"/>
        <v>138</v>
      </c>
      <c r="B139" s="7" t="str">
        <f>_xlfn.XLOOKUP(C139,Tab_Def_Flows[Flow_Name],Tab_Def_Flows[Flow_ID],,0,)</f>
        <v>F__</v>
      </c>
      <c r="C139" s="8" t="s">
        <v>31</v>
      </c>
      <c r="D139" s="10">
        <f>_xlfn.XLOOKUP(C139,Tab_Def_Flows[Flow_Name],Tab_Def_Flows[WC?],,0,)</f>
        <v>0</v>
      </c>
      <c r="E139" s="10">
        <f>_xlfn.XLOOKUP(C139,Tab_Def_Flows[Flow_Name],Tab_Def_Flows[DM?],,0,)</f>
        <v>0</v>
      </c>
      <c r="F139" s="10">
        <f>_xlfn.XLOOKUP(C139,Tab_Def_Flows[Flow_Name],Tab_Def_Flows[CC?],,0,)</f>
        <v>0</v>
      </c>
      <c r="G139" s="8"/>
      <c r="H139" s="28"/>
      <c r="I139" s="8"/>
      <c r="J139" s="8"/>
      <c r="K139" s="8" t="e">
        <f>INDEX(#REF!,MATCH(Tab_Data_Flows[[#This Row],[Flow_Name]],#REF!,0),12)</f>
        <v>#REF!</v>
      </c>
      <c r="L139" s="8" t="e">
        <f>MATCH(Tab_Data_Flows[[#This Row],[Flow_Name]],#REF!,0)</f>
        <v>#REF!</v>
      </c>
      <c r="M139" s="8"/>
      <c r="N139" s="8"/>
      <c r="O139" s="8"/>
      <c r="P139" s="8"/>
      <c r="Q139" s="8" t="s">
        <v>8</v>
      </c>
      <c r="R139" s="8"/>
      <c r="S139" s="8"/>
      <c r="T139" s="7" t="str">
        <f>Tab_Data_Flows[[#This Row],[Flow_ID]]&amp;"_"&amp;"material_"&amp;Tab_Data_Flows[[#This Row],[Flow_Data_Year]]</f>
        <v>F___material_</v>
      </c>
      <c r="U139" s="18">
        <f t="shared" si="6"/>
        <v>0</v>
      </c>
      <c r="V139" s="8" t="s">
        <v>218</v>
      </c>
      <c r="W139" s="156">
        <f>INDEX(Tab_Def_Flows[[Flow_ID]:[CC_DM_source]],MATCH(Tab_Data_Flows[[#This Row],[Flow_Name]],Tab_Def_Flows[Flow_Name],0),11)</f>
        <v>0</v>
      </c>
      <c r="X139" s="7" t="str">
        <f>Tab_Data_Flows[[#This Row],[Flow_ID]]&amp;"_"&amp;"WC_"&amp;Tab_Data_Flows[[#This Row],[Flow_Data_Year]]</f>
        <v>F___WC_</v>
      </c>
      <c r="Y139" s="7" t="str">
        <f>IF(D139="Yes",U139*Tab_Data_Flows[[#This Row],[WC_'[%']]],"N.A.")</f>
        <v>N.A.</v>
      </c>
      <c r="Z139" s="7" t="str">
        <f>Tab_Data_Flows[[#This Row],[UoM_Flow_Py]]</f>
        <v>Mg</v>
      </c>
      <c r="AA139" s="156">
        <f>INDEX(Tab_Def_Flows[[Flow_ID]:[CC_DM_source]],MATCH(Tab_Data_Flows[[#This Row],[Flow_Name]],Tab_Def_Flows[Flow_Name],0),14)</f>
        <v>0</v>
      </c>
      <c r="AB139" s="7" t="str">
        <f>Tab_Data_Flows[[#This Row],[Flow_ID]]&amp;"_"&amp;"DM_"&amp;Tab_Data_Flows[[#This Row],[Flow_Data_Year]]</f>
        <v>F___DM_</v>
      </c>
      <c r="AC139" s="7" t="str">
        <f>IF(E139="Yes",AA139*Tab_Data_Flows[[#This Row],[Flow_Material]],"N.A.")</f>
        <v>N.A.</v>
      </c>
      <c r="AD139" s="7" t="str">
        <f>Tab_Data_Flows[[#This Row],[UoM_Flow_Py]]</f>
        <v>Mg</v>
      </c>
      <c r="AE139" s="156">
        <f>INDEX(Tab_Def_Flows[[Flow_ID]:[CC_DM_source]],MATCH(Tab_Data_Flows[[#This Row],[Flow_Name]],Tab_Def_Flows[Flow_Name],0),17)</f>
        <v>0</v>
      </c>
      <c r="AF139" s="7" t="str">
        <f>Tab_Data_Flows[[#This Row],[Flow_ID]]&amp;"_"&amp;"CC_"&amp;Tab_Data_Flows[[#This Row],[Flow_Data_Year]]</f>
        <v>F___CC_</v>
      </c>
      <c r="AG139" s="7" t="str">
        <f>IF(F139="Yes",AE139*Tab_Data_Flows[[#This Row],[Flow_Material]]*Tab_Data_Flows[[#This Row],[DM_'[%']]],"N.A.")</f>
        <v>N.A.</v>
      </c>
      <c r="AH139" s="7" t="str">
        <f>Tab_Data_Flows[[#This Row],[UoM_Flow_Py]]</f>
        <v>Mg</v>
      </c>
      <c r="AI139"/>
    </row>
    <row r="140" spans="1:35" x14ac:dyDescent="0.25">
      <c r="A140" s="9">
        <f t="shared" si="5"/>
        <v>139</v>
      </c>
      <c r="B140" s="7" t="str">
        <f>_xlfn.XLOOKUP(C140,Tab_Def_Flows[Flow_Name],Tab_Def_Flows[Flow_ID],,0,)</f>
        <v>F__</v>
      </c>
      <c r="C140" s="8" t="s">
        <v>31</v>
      </c>
      <c r="D140" s="10">
        <f>_xlfn.XLOOKUP(C140,Tab_Def_Flows[Flow_Name],Tab_Def_Flows[WC?],,0,)</f>
        <v>0</v>
      </c>
      <c r="E140" s="10">
        <f>_xlfn.XLOOKUP(C140,Tab_Def_Flows[Flow_Name],Tab_Def_Flows[DM?],,0,)</f>
        <v>0</v>
      </c>
      <c r="F140" s="10">
        <f>_xlfn.XLOOKUP(C140,Tab_Def_Flows[Flow_Name],Tab_Def_Flows[CC?],,0,)</f>
        <v>0</v>
      </c>
      <c r="G140" s="8"/>
      <c r="H140" s="28"/>
      <c r="I140" s="8"/>
      <c r="J140" s="8"/>
      <c r="K140" s="8" t="e">
        <f>INDEX(#REF!,MATCH(Tab_Data_Flows[[#This Row],[Flow_Name]],#REF!,0),12)</f>
        <v>#REF!</v>
      </c>
      <c r="L140" s="8" t="e">
        <f>MATCH(Tab_Data_Flows[[#This Row],[Flow_Name]],#REF!,0)</f>
        <v>#REF!</v>
      </c>
      <c r="M140" s="8"/>
      <c r="N140" s="8"/>
      <c r="O140" s="8"/>
      <c r="P140" s="8"/>
      <c r="Q140" s="8" t="s">
        <v>8</v>
      </c>
      <c r="R140" s="8"/>
      <c r="S140" s="8"/>
      <c r="T140" s="7" t="str">
        <f>Tab_Data_Flows[[#This Row],[Flow_ID]]&amp;"_"&amp;"material_"&amp;Tab_Data_Flows[[#This Row],[Flow_Data_Year]]</f>
        <v>F___material_</v>
      </c>
      <c r="U140" s="18">
        <f t="shared" si="6"/>
        <v>0</v>
      </c>
      <c r="V140" s="8" t="s">
        <v>218</v>
      </c>
      <c r="W140" s="156">
        <f>INDEX(Tab_Def_Flows[[Flow_ID]:[CC_DM_source]],MATCH(Tab_Data_Flows[[#This Row],[Flow_Name]],Tab_Def_Flows[Flow_Name],0),11)</f>
        <v>0</v>
      </c>
      <c r="X140" s="7" t="str">
        <f>Tab_Data_Flows[[#This Row],[Flow_ID]]&amp;"_"&amp;"WC_"&amp;Tab_Data_Flows[[#This Row],[Flow_Data_Year]]</f>
        <v>F___WC_</v>
      </c>
      <c r="Y140" s="7" t="str">
        <f>IF(D140="Yes",U140*Tab_Data_Flows[[#This Row],[WC_'[%']]],"N.A.")</f>
        <v>N.A.</v>
      </c>
      <c r="Z140" s="7" t="str">
        <f>Tab_Data_Flows[[#This Row],[UoM_Flow_Py]]</f>
        <v>Mg</v>
      </c>
      <c r="AA140" s="156">
        <f>INDEX(Tab_Def_Flows[[Flow_ID]:[CC_DM_source]],MATCH(Tab_Data_Flows[[#This Row],[Flow_Name]],Tab_Def_Flows[Flow_Name],0),14)</f>
        <v>0</v>
      </c>
      <c r="AB140" s="7" t="str">
        <f>Tab_Data_Flows[[#This Row],[Flow_ID]]&amp;"_"&amp;"DM_"&amp;Tab_Data_Flows[[#This Row],[Flow_Data_Year]]</f>
        <v>F___DM_</v>
      </c>
      <c r="AC140" s="7" t="str">
        <f>IF(E140="Yes",AA140*Tab_Data_Flows[[#This Row],[Flow_Material]],"N.A.")</f>
        <v>N.A.</v>
      </c>
      <c r="AD140" s="7" t="str">
        <f>Tab_Data_Flows[[#This Row],[UoM_Flow_Py]]</f>
        <v>Mg</v>
      </c>
      <c r="AE140" s="156">
        <f>INDEX(Tab_Def_Flows[[Flow_ID]:[CC_DM_source]],MATCH(Tab_Data_Flows[[#This Row],[Flow_Name]],Tab_Def_Flows[Flow_Name],0),17)</f>
        <v>0</v>
      </c>
      <c r="AF140" s="7" t="str">
        <f>Tab_Data_Flows[[#This Row],[Flow_ID]]&amp;"_"&amp;"CC_"&amp;Tab_Data_Flows[[#This Row],[Flow_Data_Year]]</f>
        <v>F___CC_</v>
      </c>
      <c r="AG140" s="7" t="str">
        <f>IF(F140="Yes",AE140*Tab_Data_Flows[[#This Row],[Flow_Material]]*Tab_Data_Flows[[#This Row],[DM_'[%']]],"N.A.")</f>
        <v>N.A.</v>
      </c>
      <c r="AH140" s="7" t="str">
        <f>Tab_Data_Flows[[#This Row],[UoM_Flow_Py]]</f>
        <v>Mg</v>
      </c>
      <c r="AI140"/>
    </row>
    <row r="141" spans="1:35" x14ac:dyDescent="0.25">
      <c r="A141" s="9">
        <f t="shared" si="5"/>
        <v>140</v>
      </c>
      <c r="B141" s="7" t="str">
        <f>_xlfn.XLOOKUP(C141,Tab_Def_Flows[Flow_Name],Tab_Def_Flows[Flow_ID],,0,)</f>
        <v>F__</v>
      </c>
      <c r="C141" s="8" t="s">
        <v>31</v>
      </c>
      <c r="D141" s="10">
        <f>_xlfn.XLOOKUP(C141,Tab_Def_Flows[Flow_Name],Tab_Def_Flows[WC?],,0,)</f>
        <v>0</v>
      </c>
      <c r="E141" s="10">
        <f>_xlfn.XLOOKUP(C141,Tab_Def_Flows[Flow_Name],Tab_Def_Flows[DM?],,0,)</f>
        <v>0</v>
      </c>
      <c r="F141" s="10">
        <f>_xlfn.XLOOKUP(C141,Tab_Def_Flows[Flow_Name],Tab_Def_Flows[CC?],,0,)</f>
        <v>0</v>
      </c>
      <c r="G141" s="8"/>
      <c r="H141" s="28"/>
      <c r="I141" s="8"/>
      <c r="J141" s="8"/>
      <c r="K141" s="8" t="e">
        <f>INDEX(#REF!,MATCH(Tab_Data_Flows[[#This Row],[Flow_Name]],#REF!,0),12)</f>
        <v>#REF!</v>
      </c>
      <c r="L141" s="8" t="e">
        <f>MATCH(Tab_Data_Flows[[#This Row],[Flow_Name]],#REF!,0)</f>
        <v>#REF!</v>
      </c>
      <c r="M141" s="8"/>
      <c r="N141" s="8"/>
      <c r="O141" s="8"/>
      <c r="P141" s="8"/>
      <c r="Q141" s="8" t="s">
        <v>8</v>
      </c>
      <c r="R141" s="8"/>
      <c r="S141" s="8"/>
      <c r="T141" s="7" t="str">
        <f>Tab_Data_Flows[[#This Row],[Flow_ID]]&amp;"_"&amp;"material_"&amp;Tab_Data_Flows[[#This Row],[Flow_Data_Year]]</f>
        <v>F___material_</v>
      </c>
      <c r="U141" s="18">
        <f t="shared" si="6"/>
        <v>0</v>
      </c>
      <c r="V141" s="8" t="s">
        <v>218</v>
      </c>
      <c r="W141" s="156">
        <f>INDEX(Tab_Def_Flows[[Flow_ID]:[CC_DM_source]],MATCH(Tab_Data_Flows[[#This Row],[Flow_Name]],Tab_Def_Flows[Flow_Name],0),11)</f>
        <v>0</v>
      </c>
      <c r="X141" s="7" t="str">
        <f>Tab_Data_Flows[[#This Row],[Flow_ID]]&amp;"_"&amp;"WC_"&amp;Tab_Data_Flows[[#This Row],[Flow_Data_Year]]</f>
        <v>F___WC_</v>
      </c>
      <c r="Y141" s="7" t="str">
        <f>IF(D141="Yes",U141*Tab_Data_Flows[[#This Row],[WC_'[%']]],"N.A.")</f>
        <v>N.A.</v>
      </c>
      <c r="Z141" s="7" t="str">
        <f>Tab_Data_Flows[[#This Row],[UoM_Flow_Py]]</f>
        <v>Mg</v>
      </c>
      <c r="AA141" s="156">
        <f>INDEX(Tab_Def_Flows[[Flow_ID]:[CC_DM_source]],MATCH(Tab_Data_Flows[[#This Row],[Flow_Name]],Tab_Def_Flows[Flow_Name],0),14)</f>
        <v>0</v>
      </c>
      <c r="AB141" s="7" t="str">
        <f>Tab_Data_Flows[[#This Row],[Flow_ID]]&amp;"_"&amp;"DM_"&amp;Tab_Data_Flows[[#This Row],[Flow_Data_Year]]</f>
        <v>F___DM_</v>
      </c>
      <c r="AC141" s="7" t="str">
        <f>IF(E141="Yes",AA141*Tab_Data_Flows[[#This Row],[Flow_Material]],"N.A.")</f>
        <v>N.A.</v>
      </c>
      <c r="AD141" s="7" t="str">
        <f>Tab_Data_Flows[[#This Row],[UoM_Flow_Py]]</f>
        <v>Mg</v>
      </c>
      <c r="AE141" s="156">
        <f>INDEX(Tab_Def_Flows[[Flow_ID]:[CC_DM_source]],MATCH(Tab_Data_Flows[[#This Row],[Flow_Name]],Tab_Def_Flows[Flow_Name],0),17)</f>
        <v>0</v>
      </c>
      <c r="AF141" s="7" t="str">
        <f>Tab_Data_Flows[[#This Row],[Flow_ID]]&amp;"_"&amp;"CC_"&amp;Tab_Data_Flows[[#This Row],[Flow_Data_Year]]</f>
        <v>F___CC_</v>
      </c>
      <c r="AG141" s="7" t="str">
        <f>IF(F141="Yes",AE141*Tab_Data_Flows[[#This Row],[Flow_Material]]*Tab_Data_Flows[[#This Row],[DM_'[%']]],"N.A.")</f>
        <v>N.A.</v>
      </c>
      <c r="AH141" s="7" t="str">
        <f>Tab_Data_Flows[[#This Row],[UoM_Flow_Py]]</f>
        <v>Mg</v>
      </c>
      <c r="AI141"/>
    </row>
    <row r="142" spans="1:35" x14ac:dyDescent="0.25">
      <c r="A142" s="9">
        <f t="shared" si="5"/>
        <v>141</v>
      </c>
      <c r="B142" s="7" t="str">
        <f>_xlfn.XLOOKUP(C142,Tab_Def_Flows[Flow_Name],Tab_Def_Flows[Flow_ID],,0,)</f>
        <v>F__</v>
      </c>
      <c r="C142" s="8" t="s">
        <v>31</v>
      </c>
      <c r="D142" s="10">
        <f>_xlfn.XLOOKUP(C142,Tab_Def_Flows[Flow_Name],Tab_Def_Flows[WC?],,0,)</f>
        <v>0</v>
      </c>
      <c r="E142" s="10">
        <f>_xlfn.XLOOKUP(C142,Tab_Def_Flows[Flow_Name],Tab_Def_Flows[DM?],,0,)</f>
        <v>0</v>
      </c>
      <c r="F142" s="10">
        <f>_xlfn.XLOOKUP(C142,Tab_Def_Flows[Flow_Name],Tab_Def_Flows[CC?],,0,)</f>
        <v>0</v>
      </c>
      <c r="G142" s="8"/>
      <c r="H142" s="28"/>
      <c r="I142" s="8"/>
      <c r="J142" s="8"/>
      <c r="K142" s="8" t="e">
        <f>INDEX(#REF!,MATCH(Tab_Data_Flows[[#This Row],[Flow_Name]],#REF!,0),12)</f>
        <v>#REF!</v>
      </c>
      <c r="L142" s="8" t="e">
        <f>MATCH(Tab_Data_Flows[[#This Row],[Flow_Name]],#REF!,0)</f>
        <v>#REF!</v>
      </c>
      <c r="M142" s="8"/>
      <c r="N142" s="8"/>
      <c r="O142" s="8"/>
      <c r="P142" s="8"/>
      <c r="Q142" s="8" t="s">
        <v>8</v>
      </c>
      <c r="R142" s="8"/>
      <c r="S142" s="8"/>
      <c r="T142" s="7" t="str">
        <f>Tab_Data_Flows[[#This Row],[Flow_ID]]&amp;"_"&amp;"material_"&amp;Tab_Data_Flows[[#This Row],[Flow_Data_Year]]</f>
        <v>F___material_</v>
      </c>
      <c r="U142" s="18">
        <f t="shared" si="6"/>
        <v>0</v>
      </c>
      <c r="V142" s="8" t="s">
        <v>218</v>
      </c>
      <c r="W142" s="156">
        <f>INDEX(Tab_Def_Flows[[Flow_ID]:[CC_DM_source]],MATCH(Tab_Data_Flows[[#This Row],[Flow_Name]],Tab_Def_Flows[Flow_Name],0),11)</f>
        <v>0</v>
      </c>
      <c r="X142" s="7" t="str">
        <f>Tab_Data_Flows[[#This Row],[Flow_ID]]&amp;"_"&amp;"WC_"&amp;Tab_Data_Flows[[#This Row],[Flow_Data_Year]]</f>
        <v>F___WC_</v>
      </c>
      <c r="Y142" s="7" t="str">
        <f>IF(D142="Yes",U142*Tab_Data_Flows[[#This Row],[WC_'[%']]],"N.A.")</f>
        <v>N.A.</v>
      </c>
      <c r="Z142" s="7" t="str">
        <f>Tab_Data_Flows[[#This Row],[UoM_Flow_Py]]</f>
        <v>Mg</v>
      </c>
      <c r="AA142" s="156">
        <f>INDEX(Tab_Def_Flows[[Flow_ID]:[CC_DM_source]],MATCH(Tab_Data_Flows[[#This Row],[Flow_Name]],Tab_Def_Flows[Flow_Name],0),14)</f>
        <v>0</v>
      </c>
      <c r="AB142" s="7" t="str">
        <f>Tab_Data_Flows[[#This Row],[Flow_ID]]&amp;"_"&amp;"DM_"&amp;Tab_Data_Flows[[#This Row],[Flow_Data_Year]]</f>
        <v>F___DM_</v>
      </c>
      <c r="AC142" s="7" t="str">
        <f>IF(E142="Yes",AA142*Tab_Data_Flows[[#This Row],[Flow_Material]],"N.A.")</f>
        <v>N.A.</v>
      </c>
      <c r="AD142" s="7" t="str">
        <f>Tab_Data_Flows[[#This Row],[UoM_Flow_Py]]</f>
        <v>Mg</v>
      </c>
      <c r="AE142" s="156">
        <f>INDEX(Tab_Def_Flows[[Flow_ID]:[CC_DM_source]],MATCH(Tab_Data_Flows[[#This Row],[Flow_Name]],Tab_Def_Flows[Flow_Name],0),17)</f>
        <v>0</v>
      </c>
      <c r="AF142" s="7" t="str">
        <f>Tab_Data_Flows[[#This Row],[Flow_ID]]&amp;"_"&amp;"CC_"&amp;Tab_Data_Flows[[#This Row],[Flow_Data_Year]]</f>
        <v>F___CC_</v>
      </c>
      <c r="AG142" s="7" t="str">
        <f>IF(F142="Yes",AE142*Tab_Data_Flows[[#This Row],[Flow_Material]]*Tab_Data_Flows[[#This Row],[DM_'[%']]],"N.A.")</f>
        <v>N.A.</v>
      </c>
      <c r="AH142" s="7" t="str">
        <f>Tab_Data_Flows[[#This Row],[UoM_Flow_Py]]</f>
        <v>Mg</v>
      </c>
      <c r="AI142"/>
    </row>
    <row r="143" spans="1:35" x14ac:dyDescent="0.25">
      <c r="A143" s="9">
        <f t="shared" si="5"/>
        <v>142</v>
      </c>
      <c r="B143" s="7" t="str">
        <f>_xlfn.XLOOKUP(C143,Tab_Def_Flows[Flow_Name],Tab_Def_Flows[Flow_ID],,0,)</f>
        <v>F__</v>
      </c>
      <c r="C143" s="8" t="s">
        <v>31</v>
      </c>
      <c r="D143" s="10">
        <f>_xlfn.XLOOKUP(C143,Tab_Def_Flows[Flow_Name],Tab_Def_Flows[WC?],,0,)</f>
        <v>0</v>
      </c>
      <c r="E143" s="10">
        <f>_xlfn.XLOOKUP(C143,Tab_Def_Flows[Flow_Name],Tab_Def_Flows[DM?],,0,)</f>
        <v>0</v>
      </c>
      <c r="F143" s="10">
        <f>_xlfn.XLOOKUP(C143,Tab_Def_Flows[Flow_Name],Tab_Def_Flows[CC?],,0,)</f>
        <v>0</v>
      </c>
      <c r="G143" s="8"/>
      <c r="H143" s="28"/>
      <c r="I143" s="8"/>
      <c r="J143" s="8"/>
      <c r="K143" s="8" t="e">
        <f>INDEX(#REF!,MATCH(Tab_Data_Flows[[#This Row],[Flow_Name]],#REF!,0),12)</f>
        <v>#REF!</v>
      </c>
      <c r="L143" s="8" t="e">
        <f>MATCH(Tab_Data_Flows[[#This Row],[Flow_Name]],#REF!,0)</f>
        <v>#REF!</v>
      </c>
      <c r="M143" s="8"/>
      <c r="N143" s="8"/>
      <c r="O143" s="8"/>
      <c r="P143" s="8"/>
      <c r="Q143" s="8" t="s">
        <v>8</v>
      </c>
      <c r="R143" s="8"/>
      <c r="S143" s="8"/>
      <c r="T143" s="7" t="str">
        <f>Tab_Data_Flows[[#This Row],[Flow_ID]]&amp;"_"&amp;"material_"&amp;Tab_Data_Flows[[#This Row],[Flow_Data_Year]]</f>
        <v>F___material_</v>
      </c>
      <c r="U143" s="18">
        <f t="shared" si="6"/>
        <v>0</v>
      </c>
      <c r="V143" s="8" t="s">
        <v>218</v>
      </c>
      <c r="W143" s="156">
        <f>INDEX(Tab_Def_Flows[[Flow_ID]:[CC_DM_source]],MATCH(Tab_Data_Flows[[#This Row],[Flow_Name]],Tab_Def_Flows[Flow_Name],0),11)</f>
        <v>0</v>
      </c>
      <c r="X143" s="7" t="str">
        <f>Tab_Data_Flows[[#This Row],[Flow_ID]]&amp;"_"&amp;"WC_"&amp;Tab_Data_Flows[[#This Row],[Flow_Data_Year]]</f>
        <v>F___WC_</v>
      </c>
      <c r="Y143" s="7" t="str">
        <f>IF(D143="Yes",U143*Tab_Data_Flows[[#This Row],[WC_'[%']]],"N.A.")</f>
        <v>N.A.</v>
      </c>
      <c r="Z143" s="7" t="str">
        <f>Tab_Data_Flows[[#This Row],[UoM_Flow_Py]]</f>
        <v>Mg</v>
      </c>
      <c r="AA143" s="156">
        <f>INDEX(Tab_Def_Flows[[Flow_ID]:[CC_DM_source]],MATCH(Tab_Data_Flows[[#This Row],[Flow_Name]],Tab_Def_Flows[Flow_Name],0),14)</f>
        <v>0</v>
      </c>
      <c r="AB143" s="7" t="str">
        <f>Tab_Data_Flows[[#This Row],[Flow_ID]]&amp;"_"&amp;"DM_"&amp;Tab_Data_Flows[[#This Row],[Flow_Data_Year]]</f>
        <v>F___DM_</v>
      </c>
      <c r="AC143" s="7" t="str">
        <f>IF(E143="Yes",AA143*Tab_Data_Flows[[#This Row],[Flow_Material]],"N.A.")</f>
        <v>N.A.</v>
      </c>
      <c r="AD143" s="7" t="str">
        <f>Tab_Data_Flows[[#This Row],[UoM_Flow_Py]]</f>
        <v>Mg</v>
      </c>
      <c r="AE143" s="156">
        <f>INDEX(Tab_Def_Flows[[Flow_ID]:[CC_DM_source]],MATCH(Tab_Data_Flows[[#This Row],[Flow_Name]],Tab_Def_Flows[Flow_Name],0),17)</f>
        <v>0</v>
      </c>
      <c r="AF143" s="7" t="str">
        <f>Tab_Data_Flows[[#This Row],[Flow_ID]]&amp;"_"&amp;"CC_"&amp;Tab_Data_Flows[[#This Row],[Flow_Data_Year]]</f>
        <v>F___CC_</v>
      </c>
      <c r="AG143" s="7" t="str">
        <f>IF(F143="Yes",AE143*Tab_Data_Flows[[#This Row],[Flow_Material]]*Tab_Data_Flows[[#This Row],[DM_'[%']]],"N.A.")</f>
        <v>N.A.</v>
      </c>
      <c r="AH143" s="7" t="str">
        <f>Tab_Data_Flows[[#This Row],[UoM_Flow_Py]]</f>
        <v>Mg</v>
      </c>
      <c r="AI143"/>
    </row>
    <row r="144" spans="1:35" x14ac:dyDescent="0.25">
      <c r="A144" s="9">
        <f t="shared" si="5"/>
        <v>143</v>
      </c>
      <c r="B144" s="7" t="str">
        <f>_xlfn.XLOOKUP(C144,Tab_Def_Flows[Flow_Name],Tab_Def_Flows[Flow_ID],,0,)</f>
        <v>F__</v>
      </c>
      <c r="C144" s="8" t="s">
        <v>31</v>
      </c>
      <c r="D144" s="10">
        <f>_xlfn.XLOOKUP(C144,Tab_Def_Flows[Flow_Name],Tab_Def_Flows[WC?],,0,)</f>
        <v>0</v>
      </c>
      <c r="E144" s="10">
        <f>_xlfn.XLOOKUP(C144,Tab_Def_Flows[Flow_Name],Tab_Def_Flows[DM?],,0,)</f>
        <v>0</v>
      </c>
      <c r="F144" s="10">
        <f>_xlfn.XLOOKUP(C144,Tab_Def_Flows[Flow_Name],Tab_Def_Flows[CC?],,0,)</f>
        <v>0</v>
      </c>
      <c r="G144" s="8"/>
      <c r="H144" s="28"/>
      <c r="I144" s="8"/>
      <c r="J144" s="8"/>
      <c r="K144" s="8" t="e">
        <f>INDEX(#REF!,MATCH(Tab_Data_Flows[[#This Row],[Flow_Name]],#REF!,0),12)</f>
        <v>#REF!</v>
      </c>
      <c r="L144" s="8" t="e">
        <f>MATCH(Tab_Data_Flows[[#This Row],[Flow_Name]],#REF!,0)</f>
        <v>#REF!</v>
      </c>
      <c r="M144" s="8"/>
      <c r="N144" s="8"/>
      <c r="O144" s="8"/>
      <c r="P144" s="8"/>
      <c r="Q144" s="8" t="s">
        <v>8</v>
      </c>
      <c r="R144" s="8"/>
      <c r="S144" s="8"/>
      <c r="T144" s="7" t="str">
        <f>Tab_Data_Flows[[#This Row],[Flow_ID]]&amp;"_"&amp;"material_"&amp;Tab_Data_Flows[[#This Row],[Flow_Data_Year]]</f>
        <v>F___material_</v>
      </c>
      <c r="U144" s="18">
        <f t="shared" si="6"/>
        <v>0</v>
      </c>
      <c r="V144" s="8" t="s">
        <v>218</v>
      </c>
      <c r="W144" s="156">
        <f>INDEX(Tab_Def_Flows[[Flow_ID]:[CC_DM_source]],MATCH(Tab_Data_Flows[[#This Row],[Flow_Name]],Tab_Def_Flows[Flow_Name],0),11)</f>
        <v>0</v>
      </c>
      <c r="X144" s="7" t="str">
        <f>Tab_Data_Flows[[#This Row],[Flow_ID]]&amp;"_"&amp;"WC_"&amp;Tab_Data_Flows[[#This Row],[Flow_Data_Year]]</f>
        <v>F___WC_</v>
      </c>
      <c r="Y144" s="7" t="str">
        <f>IF(D144="Yes",U144*Tab_Data_Flows[[#This Row],[WC_'[%']]],"N.A.")</f>
        <v>N.A.</v>
      </c>
      <c r="Z144" s="7" t="str">
        <f>Tab_Data_Flows[[#This Row],[UoM_Flow_Py]]</f>
        <v>Mg</v>
      </c>
      <c r="AA144" s="156">
        <f>INDEX(Tab_Def_Flows[[Flow_ID]:[CC_DM_source]],MATCH(Tab_Data_Flows[[#This Row],[Flow_Name]],Tab_Def_Flows[Flow_Name],0),14)</f>
        <v>0</v>
      </c>
      <c r="AB144" s="7" t="str">
        <f>Tab_Data_Flows[[#This Row],[Flow_ID]]&amp;"_"&amp;"DM_"&amp;Tab_Data_Flows[[#This Row],[Flow_Data_Year]]</f>
        <v>F___DM_</v>
      </c>
      <c r="AC144" s="7" t="str">
        <f>IF(E144="Yes",AA144*Tab_Data_Flows[[#This Row],[Flow_Material]],"N.A.")</f>
        <v>N.A.</v>
      </c>
      <c r="AD144" s="7" t="str">
        <f>Tab_Data_Flows[[#This Row],[UoM_Flow_Py]]</f>
        <v>Mg</v>
      </c>
      <c r="AE144" s="156">
        <f>INDEX(Tab_Def_Flows[[Flow_ID]:[CC_DM_source]],MATCH(Tab_Data_Flows[[#This Row],[Flow_Name]],Tab_Def_Flows[Flow_Name],0),17)</f>
        <v>0</v>
      </c>
      <c r="AF144" s="7" t="str">
        <f>Tab_Data_Flows[[#This Row],[Flow_ID]]&amp;"_"&amp;"CC_"&amp;Tab_Data_Flows[[#This Row],[Flow_Data_Year]]</f>
        <v>F___CC_</v>
      </c>
      <c r="AG144" s="7" t="str">
        <f>IF(F144="Yes",AE144*Tab_Data_Flows[[#This Row],[Flow_Material]]*Tab_Data_Flows[[#This Row],[DM_'[%']]],"N.A.")</f>
        <v>N.A.</v>
      </c>
      <c r="AH144" s="7" t="str">
        <f>Tab_Data_Flows[[#This Row],[UoM_Flow_Py]]</f>
        <v>Mg</v>
      </c>
      <c r="AI144"/>
    </row>
    <row r="145" spans="1:35" x14ac:dyDescent="0.25">
      <c r="A145" s="9">
        <f t="shared" si="5"/>
        <v>144</v>
      </c>
      <c r="B145" s="7" t="str">
        <f>_xlfn.XLOOKUP(C145,Tab_Def_Flows[Flow_Name],Tab_Def_Flows[Flow_ID],,0,)</f>
        <v>F__</v>
      </c>
      <c r="C145" s="8" t="s">
        <v>31</v>
      </c>
      <c r="D145" s="10">
        <f>_xlfn.XLOOKUP(C145,Tab_Def_Flows[Flow_Name],Tab_Def_Flows[WC?],,0,)</f>
        <v>0</v>
      </c>
      <c r="E145" s="10">
        <f>_xlfn.XLOOKUP(C145,Tab_Def_Flows[Flow_Name],Tab_Def_Flows[DM?],,0,)</f>
        <v>0</v>
      </c>
      <c r="F145" s="10">
        <f>_xlfn.XLOOKUP(C145,Tab_Def_Flows[Flow_Name],Tab_Def_Flows[CC?],,0,)</f>
        <v>0</v>
      </c>
      <c r="G145" s="8"/>
      <c r="H145" s="28"/>
      <c r="I145" s="8"/>
      <c r="J145" s="8"/>
      <c r="K145" s="8" t="e">
        <f>INDEX(#REF!,MATCH(Tab_Data_Flows[[#This Row],[Flow_Name]],#REF!,0),12)</f>
        <v>#REF!</v>
      </c>
      <c r="L145" s="8" t="e">
        <f>MATCH(Tab_Data_Flows[[#This Row],[Flow_Name]],#REF!,0)</f>
        <v>#REF!</v>
      </c>
      <c r="M145" s="8"/>
      <c r="N145" s="8"/>
      <c r="O145" s="8"/>
      <c r="P145" s="8"/>
      <c r="Q145" s="8" t="s">
        <v>8</v>
      </c>
      <c r="R145" s="8"/>
      <c r="S145" s="8"/>
      <c r="T145" s="7" t="str">
        <f>Tab_Data_Flows[[#This Row],[Flow_ID]]&amp;"_"&amp;"material_"&amp;Tab_Data_Flows[[#This Row],[Flow_Data_Year]]</f>
        <v>F___material_</v>
      </c>
      <c r="U145" s="18">
        <f t="shared" si="6"/>
        <v>0</v>
      </c>
      <c r="V145" s="8" t="s">
        <v>218</v>
      </c>
      <c r="W145" s="156">
        <f>INDEX(Tab_Def_Flows[[Flow_ID]:[CC_DM_source]],MATCH(Tab_Data_Flows[[#This Row],[Flow_Name]],Tab_Def_Flows[Flow_Name],0),11)</f>
        <v>0</v>
      </c>
      <c r="X145" s="7" t="str">
        <f>Tab_Data_Flows[[#This Row],[Flow_ID]]&amp;"_"&amp;"WC_"&amp;Tab_Data_Flows[[#This Row],[Flow_Data_Year]]</f>
        <v>F___WC_</v>
      </c>
      <c r="Y145" s="7" t="str">
        <f>IF(D145="Yes",U145*Tab_Data_Flows[[#This Row],[WC_'[%']]],"N.A.")</f>
        <v>N.A.</v>
      </c>
      <c r="Z145" s="7" t="str">
        <f>Tab_Data_Flows[[#This Row],[UoM_Flow_Py]]</f>
        <v>Mg</v>
      </c>
      <c r="AA145" s="156">
        <f>INDEX(Tab_Def_Flows[[Flow_ID]:[CC_DM_source]],MATCH(Tab_Data_Flows[[#This Row],[Flow_Name]],Tab_Def_Flows[Flow_Name],0),14)</f>
        <v>0</v>
      </c>
      <c r="AB145" s="7" t="str">
        <f>Tab_Data_Flows[[#This Row],[Flow_ID]]&amp;"_"&amp;"DM_"&amp;Tab_Data_Flows[[#This Row],[Flow_Data_Year]]</f>
        <v>F___DM_</v>
      </c>
      <c r="AC145" s="7" t="str">
        <f>IF(E145="Yes",AA145*Tab_Data_Flows[[#This Row],[Flow_Material]],"N.A.")</f>
        <v>N.A.</v>
      </c>
      <c r="AD145" s="7" t="str">
        <f>Tab_Data_Flows[[#This Row],[UoM_Flow_Py]]</f>
        <v>Mg</v>
      </c>
      <c r="AE145" s="156">
        <f>INDEX(Tab_Def_Flows[[Flow_ID]:[CC_DM_source]],MATCH(Tab_Data_Flows[[#This Row],[Flow_Name]],Tab_Def_Flows[Flow_Name],0),17)</f>
        <v>0</v>
      </c>
      <c r="AF145" s="7" t="str">
        <f>Tab_Data_Flows[[#This Row],[Flow_ID]]&amp;"_"&amp;"CC_"&amp;Tab_Data_Flows[[#This Row],[Flow_Data_Year]]</f>
        <v>F___CC_</v>
      </c>
      <c r="AG145" s="7" t="str">
        <f>IF(F145="Yes",AE145*Tab_Data_Flows[[#This Row],[Flow_Material]]*Tab_Data_Flows[[#This Row],[DM_'[%']]],"N.A.")</f>
        <v>N.A.</v>
      </c>
      <c r="AH145" s="7" t="str">
        <f>Tab_Data_Flows[[#This Row],[UoM_Flow_Py]]</f>
        <v>Mg</v>
      </c>
      <c r="AI145"/>
    </row>
    <row r="146" spans="1:35" x14ac:dyDescent="0.25">
      <c r="A146" s="9">
        <f t="shared" si="5"/>
        <v>145</v>
      </c>
      <c r="B146" s="7" t="str">
        <f>_xlfn.XLOOKUP(C146,Tab_Def_Flows[Flow_Name],Tab_Def_Flows[Flow_ID],,0,)</f>
        <v>F__</v>
      </c>
      <c r="C146" s="8" t="s">
        <v>31</v>
      </c>
      <c r="D146" s="10">
        <f>_xlfn.XLOOKUP(C146,Tab_Def_Flows[Flow_Name],Tab_Def_Flows[WC?],,0,)</f>
        <v>0</v>
      </c>
      <c r="E146" s="10">
        <f>_xlfn.XLOOKUP(C146,Tab_Def_Flows[Flow_Name],Tab_Def_Flows[DM?],,0,)</f>
        <v>0</v>
      </c>
      <c r="F146" s="10">
        <f>_xlfn.XLOOKUP(C146,Tab_Def_Flows[Flow_Name],Tab_Def_Flows[CC?],,0,)</f>
        <v>0</v>
      </c>
      <c r="G146" s="8"/>
      <c r="H146" s="28"/>
      <c r="I146" s="8"/>
      <c r="J146" s="8"/>
      <c r="K146" s="8" t="e">
        <f>INDEX(#REF!,MATCH(Tab_Data_Flows[[#This Row],[Flow_Name]],#REF!,0),12)</f>
        <v>#REF!</v>
      </c>
      <c r="L146" s="8" t="e">
        <f>MATCH(Tab_Data_Flows[[#This Row],[Flow_Name]],#REF!,0)</f>
        <v>#REF!</v>
      </c>
      <c r="M146" s="8"/>
      <c r="N146" s="8"/>
      <c r="O146" s="8"/>
      <c r="P146" s="8"/>
      <c r="Q146" s="8" t="s">
        <v>8</v>
      </c>
      <c r="R146" s="8"/>
      <c r="S146" s="8"/>
      <c r="T146" s="7" t="str">
        <f>Tab_Data_Flows[[#This Row],[Flow_ID]]&amp;"_"&amp;"material_"&amp;Tab_Data_Flows[[#This Row],[Flow_Data_Year]]</f>
        <v>F___material_</v>
      </c>
      <c r="U146" s="18">
        <f t="shared" si="6"/>
        <v>0</v>
      </c>
      <c r="V146" s="8" t="s">
        <v>218</v>
      </c>
      <c r="W146" s="156">
        <f>INDEX(Tab_Def_Flows[[Flow_ID]:[CC_DM_source]],MATCH(Tab_Data_Flows[[#This Row],[Flow_Name]],Tab_Def_Flows[Flow_Name],0),11)</f>
        <v>0</v>
      </c>
      <c r="X146" s="7" t="str">
        <f>Tab_Data_Flows[[#This Row],[Flow_ID]]&amp;"_"&amp;"WC_"&amp;Tab_Data_Flows[[#This Row],[Flow_Data_Year]]</f>
        <v>F___WC_</v>
      </c>
      <c r="Y146" s="7" t="str">
        <f>IF(D146="Yes",U146*Tab_Data_Flows[[#This Row],[WC_'[%']]],"N.A.")</f>
        <v>N.A.</v>
      </c>
      <c r="Z146" s="7" t="str">
        <f>Tab_Data_Flows[[#This Row],[UoM_Flow_Py]]</f>
        <v>Mg</v>
      </c>
      <c r="AA146" s="156">
        <f>INDEX(Tab_Def_Flows[[Flow_ID]:[CC_DM_source]],MATCH(Tab_Data_Flows[[#This Row],[Flow_Name]],Tab_Def_Flows[Flow_Name],0),14)</f>
        <v>0</v>
      </c>
      <c r="AB146" s="7" t="str">
        <f>Tab_Data_Flows[[#This Row],[Flow_ID]]&amp;"_"&amp;"DM_"&amp;Tab_Data_Flows[[#This Row],[Flow_Data_Year]]</f>
        <v>F___DM_</v>
      </c>
      <c r="AC146" s="7" t="str">
        <f>IF(E146="Yes",AA146*Tab_Data_Flows[[#This Row],[Flow_Material]],"N.A.")</f>
        <v>N.A.</v>
      </c>
      <c r="AD146" s="7" t="str">
        <f>Tab_Data_Flows[[#This Row],[UoM_Flow_Py]]</f>
        <v>Mg</v>
      </c>
      <c r="AE146" s="156">
        <f>INDEX(Tab_Def_Flows[[Flow_ID]:[CC_DM_source]],MATCH(Tab_Data_Flows[[#This Row],[Flow_Name]],Tab_Def_Flows[Flow_Name],0),17)</f>
        <v>0</v>
      </c>
      <c r="AF146" s="7" t="str">
        <f>Tab_Data_Flows[[#This Row],[Flow_ID]]&amp;"_"&amp;"CC_"&amp;Tab_Data_Flows[[#This Row],[Flow_Data_Year]]</f>
        <v>F___CC_</v>
      </c>
      <c r="AG146" s="7" t="str">
        <f>IF(F146="Yes",AE146*Tab_Data_Flows[[#This Row],[Flow_Material]]*Tab_Data_Flows[[#This Row],[DM_'[%']]],"N.A.")</f>
        <v>N.A.</v>
      </c>
      <c r="AH146" s="7" t="str">
        <f>Tab_Data_Flows[[#This Row],[UoM_Flow_Py]]</f>
        <v>Mg</v>
      </c>
      <c r="AI146"/>
    </row>
    <row r="147" spans="1:35" x14ac:dyDescent="0.25">
      <c r="A147" s="9">
        <f t="shared" si="5"/>
        <v>146</v>
      </c>
      <c r="B147" s="7" t="str">
        <f>_xlfn.XLOOKUP(C147,Tab_Def_Flows[Flow_Name],Tab_Def_Flows[Flow_ID],,0,)</f>
        <v>F__</v>
      </c>
      <c r="C147" s="8" t="s">
        <v>31</v>
      </c>
      <c r="D147" s="10">
        <f>_xlfn.XLOOKUP(C147,Tab_Def_Flows[Flow_Name],Tab_Def_Flows[WC?],,0,)</f>
        <v>0</v>
      </c>
      <c r="E147" s="10">
        <f>_xlfn.XLOOKUP(C147,Tab_Def_Flows[Flow_Name],Tab_Def_Flows[DM?],,0,)</f>
        <v>0</v>
      </c>
      <c r="F147" s="10">
        <f>_xlfn.XLOOKUP(C147,Tab_Def_Flows[Flow_Name],Tab_Def_Flows[CC?],,0,)</f>
        <v>0</v>
      </c>
      <c r="G147" s="8"/>
      <c r="H147" s="28"/>
      <c r="I147" s="8"/>
      <c r="J147" s="8"/>
      <c r="K147" s="8"/>
      <c r="L147" s="8"/>
      <c r="M147" s="8"/>
      <c r="N147" s="8"/>
      <c r="O147" s="8"/>
      <c r="P147" s="8"/>
      <c r="Q147" s="8" t="s">
        <v>8</v>
      </c>
      <c r="R147" s="21"/>
      <c r="S147" s="8"/>
      <c r="T147" s="7" t="str">
        <f>Tab_Data_Flows[[#This Row],[Flow_ID]]&amp;"_"&amp;"material_"&amp;Tab_Data_Flows[[#This Row],[Flow_Data_Year]]</f>
        <v>F___material_</v>
      </c>
      <c r="U147" s="18">
        <f t="shared" si="6"/>
        <v>0</v>
      </c>
      <c r="V147" s="8" t="s">
        <v>218</v>
      </c>
      <c r="W147" s="156">
        <f>INDEX(Tab_Def_Flows[[Flow_ID]:[CC_DM_source]],MATCH(Tab_Data_Flows[[#This Row],[Flow_Name]],Tab_Def_Flows[Flow_Name],0),11)</f>
        <v>0</v>
      </c>
      <c r="X147" s="7" t="str">
        <f>Tab_Data_Flows[[#This Row],[Flow_ID]]&amp;"_"&amp;"WC_"&amp;Tab_Data_Flows[[#This Row],[Flow_Data_Year]]</f>
        <v>F___WC_</v>
      </c>
      <c r="Y147" s="7" t="str">
        <f>IF(D147="Yes",U147*Tab_Data_Flows[[#This Row],[WC_'[%']]],"N.A.")</f>
        <v>N.A.</v>
      </c>
      <c r="Z147" s="7" t="str">
        <f>Tab_Data_Flows[[#This Row],[UoM_Flow_Py]]</f>
        <v>Mg</v>
      </c>
      <c r="AA147" s="156">
        <f>INDEX(Tab_Def_Flows[[Flow_ID]:[CC_DM_source]],MATCH(Tab_Data_Flows[[#This Row],[Flow_Name]],Tab_Def_Flows[Flow_Name],0),14)</f>
        <v>0</v>
      </c>
      <c r="AB147" s="7" t="str">
        <f>Tab_Data_Flows[[#This Row],[Flow_ID]]&amp;"_"&amp;"DM_"&amp;Tab_Data_Flows[[#This Row],[Flow_Data_Year]]</f>
        <v>F___DM_</v>
      </c>
      <c r="AC147" s="7" t="str">
        <f>IF(E147="Yes",AA147*Tab_Data_Flows[[#This Row],[Flow_Material]],"N.A.")</f>
        <v>N.A.</v>
      </c>
      <c r="AD147" s="7" t="str">
        <f>Tab_Data_Flows[[#This Row],[UoM_Flow_Py]]</f>
        <v>Mg</v>
      </c>
      <c r="AE147" s="156">
        <f>INDEX(Tab_Def_Flows[[Flow_ID]:[CC_DM_source]],MATCH(Tab_Data_Flows[[#This Row],[Flow_Name]],Tab_Def_Flows[Flow_Name],0),17)</f>
        <v>0</v>
      </c>
      <c r="AF147" s="7" t="str">
        <f>Tab_Data_Flows[[#This Row],[Flow_ID]]&amp;"_"&amp;"CC_"&amp;Tab_Data_Flows[[#This Row],[Flow_Data_Year]]</f>
        <v>F___CC_</v>
      </c>
      <c r="AG147" s="7" t="str">
        <f>IF(F147="Yes",AE147*Tab_Data_Flows[[#This Row],[Flow_Material]]*Tab_Data_Flows[[#This Row],[DM_'[%']]],"N.A.")</f>
        <v>N.A.</v>
      </c>
      <c r="AH147" s="7" t="str">
        <f>Tab_Data_Flows[[#This Row],[UoM_Flow_Py]]</f>
        <v>Mg</v>
      </c>
      <c r="AI147"/>
    </row>
    <row r="148" spans="1:35" x14ac:dyDescent="0.25">
      <c r="A148" s="9">
        <f t="shared" si="5"/>
        <v>147</v>
      </c>
      <c r="B148" s="7" t="str">
        <f>_xlfn.XLOOKUP(C148,Tab_Def_Flows[Flow_Name],Tab_Def_Flows[Flow_ID],,0,)</f>
        <v>F__</v>
      </c>
      <c r="C148" s="8" t="s">
        <v>31</v>
      </c>
      <c r="D148" s="10">
        <f>_xlfn.XLOOKUP(C148,Tab_Def_Flows[Flow_Name],Tab_Def_Flows[WC?],,0,)</f>
        <v>0</v>
      </c>
      <c r="E148" s="10">
        <f>_xlfn.XLOOKUP(C148,Tab_Def_Flows[Flow_Name],Tab_Def_Flows[DM?],,0,)</f>
        <v>0</v>
      </c>
      <c r="F148" s="10">
        <f>_xlfn.XLOOKUP(C148,Tab_Def_Flows[Flow_Name],Tab_Def_Flows[CC?],,0,)</f>
        <v>0</v>
      </c>
      <c r="G148" s="8"/>
      <c r="H148" s="28"/>
      <c r="I148" s="8"/>
      <c r="J148" s="8"/>
      <c r="K148" s="8"/>
      <c r="L148" s="8"/>
      <c r="M148" s="8"/>
      <c r="N148" s="8"/>
      <c r="O148" s="8"/>
      <c r="P148" s="8"/>
      <c r="Q148" s="8" t="s">
        <v>8</v>
      </c>
      <c r="R148" s="21"/>
      <c r="S148" s="8"/>
      <c r="T148" s="7" t="str">
        <f>Tab_Data_Flows[[#This Row],[Flow_ID]]&amp;"_"&amp;"material_"&amp;Tab_Data_Flows[[#This Row],[Flow_Data_Year]]</f>
        <v>F___material_</v>
      </c>
      <c r="U148" s="18">
        <f t="shared" si="6"/>
        <v>0</v>
      </c>
      <c r="V148" s="8" t="s">
        <v>218</v>
      </c>
      <c r="W148" s="156">
        <f>INDEX(Tab_Def_Flows[[Flow_ID]:[CC_DM_source]],MATCH(Tab_Data_Flows[[#This Row],[Flow_Name]],Tab_Def_Flows[Flow_Name],0),11)</f>
        <v>0</v>
      </c>
      <c r="X148" s="7" t="str">
        <f>Tab_Data_Flows[[#This Row],[Flow_ID]]&amp;"_"&amp;"WC_"&amp;Tab_Data_Flows[[#This Row],[Flow_Data_Year]]</f>
        <v>F___WC_</v>
      </c>
      <c r="Y148" s="7" t="str">
        <f>IF(D148="Yes",U148*Tab_Data_Flows[[#This Row],[WC_'[%']]],"N.A.")</f>
        <v>N.A.</v>
      </c>
      <c r="Z148" s="7" t="str">
        <f>Tab_Data_Flows[[#This Row],[UoM_Flow_Py]]</f>
        <v>Mg</v>
      </c>
      <c r="AA148" s="156">
        <f>INDEX(Tab_Def_Flows[[Flow_ID]:[CC_DM_source]],MATCH(Tab_Data_Flows[[#This Row],[Flow_Name]],Tab_Def_Flows[Flow_Name],0),14)</f>
        <v>0</v>
      </c>
      <c r="AB148" s="7" t="str">
        <f>Tab_Data_Flows[[#This Row],[Flow_ID]]&amp;"_"&amp;"DM_"&amp;Tab_Data_Flows[[#This Row],[Flow_Data_Year]]</f>
        <v>F___DM_</v>
      </c>
      <c r="AC148" s="7" t="str">
        <f>IF(E148="Yes",AA148*Tab_Data_Flows[[#This Row],[Flow_Material]],"N.A.")</f>
        <v>N.A.</v>
      </c>
      <c r="AD148" s="7" t="str">
        <f>Tab_Data_Flows[[#This Row],[UoM_Flow_Py]]</f>
        <v>Mg</v>
      </c>
      <c r="AE148" s="156">
        <f>INDEX(Tab_Def_Flows[[Flow_ID]:[CC_DM_source]],MATCH(Tab_Data_Flows[[#This Row],[Flow_Name]],Tab_Def_Flows[Flow_Name],0),17)</f>
        <v>0</v>
      </c>
      <c r="AF148" s="7" t="str">
        <f>Tab_Data_Flows[[#This Row],[Flow_ID]]&amp;"_"&amp;"CC_"&amp;Tab_Data_Flows[[#This Row],[Flow_Data_Year]]</f>
        <v>F___CC_</v>
      </c>
      <c r="AG148" s="7" t="str">
        <f>IF(F148="Yes",AE148*Tab_Data_Flows[[#This Row],[Flow_Material]]*Tab_Data_Flows[[#This Row],[DM_'[%']]],"N.A.")</f>
        <v>N.A.</v>
      </c>
      <c r="AH148" s="7" t="str">
        <f>Tab_Data_Flows[[#This Row],[UoM_Flow_Py]]</f>
        <v>Mg</v>
      </c>
      <c r="AI148"/>
    </row>
    <row r="149" spans="1:35" x14ac:dyDescent="0.25">
      <c r="A149" s="9">
        <f t="shared" si="5"/>
        <v>148</v>
      </c>
      <c r="B149" s="7" t="str">
        <f>_xlfn.XLOOKUP(C149,Tab_Def_Flows[Flow_Name],Tab_Def_Flows[Flow_ID],,0,)</f>
        <v>F__</v>
      </c>
      <c r="C149" s="8" t="s">
        <v>31</v>
      </c>
      <c r="D149" s="10">
        <f>_xlfn.XLOOKUP(C149,Tab_Def_Flows[Flow_Name],Tab_Def_Flows[WC?],,0,)</f>
        <v>0</v>
      </c>
      <c r="E149" s="10">
        <f>_xlfn.XLOOKUP(C149,Tab_Def_Flows[Flow_Name],Tab_Def_Flows[DM?],,0,)</f>
        <v>0</v>
      </c>
      <c r="F149" s="10">
        <f>_xlfn.XLOOKUP(C149,Tab_Def_Flows[Flow_Name],Tab_Def_Flows[CC?],,0,)</f>
        <v>0</v>
      </c>
      <c r="G149" s="8"/>
      <c r="H149" s="28"/>
      <c r="I149" s="8"/>
      <c r="J149" s="8"/>
      <c r="K149" s="8"/>
      <c r="L149" s="8"/>
      <c r="M149" s="8"/>
      <c r="N149" s="8"/>
      <c r="O149" s="8"/>
      <c r="P149" s="8"/>
      <c r="Q149" s="8" t="s">
        <v>8</v>
      </c>
      <c r="R149" s="21"/>
      <c r="S149" s="8"/>
      <c r="T149" s="7" t="str">
        <f>Tab_Data_Flows[[#This Row],[Flow_ID]]&amp;"_"&amp;"material_"&amp;Tab_Data_Flows[[#This Row],[Flow_Data_Year]]</f>
        <v>F___material_</v>
      </c>
      <c r="U149" s="18">
        <f t="shared" si="6"/>
        <v>0</v>
      </c>
      <c r="V149" s="8" t="s">
        <v>218</v>
      </c>
      <c r="W149" s="156">
        <f>INDEX(Tab_Def_Flows[[Flow_ID]:[CC_DM_source]],MATCH(Tab_Data_Flows[[#This Row],[Flow_Name]],Tab_Def_Flows[Flow_Name],0),11)</f>
        <v>0</v>
      </c>
      <c r="X149" s="7" t="str">
        <f>Tab_Data_Flows[[#This Row],[Flow_ID]]&amp;"_"&amp;"WC_"&amp;Tab_Data_Flows[[#This Row],[Flow_Data_Year]]</f>
        <v>F___WC_</v>
      </c>
      <c r="Y149" s="7" t="str">
        <f>IF(D149="Yes",U149*Tab_Data_Flows[[#This Row],[WC_'[%']]],"N.A.")</f>
        <v>N.A.</v>
      </c>
      <c r="Z149" s="7" t="str">
        <f>Tab_Data_Flows[[#This Row],[UoM_Flow_Py]]</f>
        <v>Mg</v>
      </c>
      <c r="AA149" s="156">
        <f>INDEX(Tab_Def_Flows[[Flow_ID]:[CC_DM_source]],MATCH(Tab_Data_Flows[[#This Row],[Flow_Name]],Tab_Def_Flows[Flow_Name],0),14)</f>
        <v>0</v>
      </c>
      <c r="AB149" s="7" t="str">
        <f>Tab_Data_Flows[[#This Row],[Flow_ID]]&amp;"_"&amp;"DM_"&amp;Tab_Data_Flows[[#This Row],[Flow_Data_Year]]</f>
        <v>F___DM_</v>
      </c>
      <c r="AC149" s="7" t="str">
        <f>IF(E149="Yes",AA149*Tab_Data_Flows[[#This Row],[Flow_Material]],"N.A.")</f>
        <v>N.A.</v>
      </c>
      <c r="AD149" s="7" t="str">
        <f>Tab_Data_Flows[[#This Row],[UoM_Flow_Py]]</f>
        <v>Mg</v>
      </c>
      <c r="AE149" s="156">
        <f>INDEX(Tab_Def_Flows[[Flow_ID]:[CC_DM_source]],MATCH(Tab_Data_Flows[[#This Row],[Flow_Name]],Tab_Def_Flows[Flow_Name],0),17)</f>
        <v>0</v>
      </c>
      <c r="AF149" s="7" t="str">
        <f>Tab_Data_Flows[[#This Row],[Flow_ID]]&amp;"_"&amp;"CC_"&amp;Tab_Data_Flows[[#This Row],[Flow_Data_Year]]</f>
        <v>F___CC_</v>
      </c>
      <c r="AG149" s="7" t="str">
        <f>IF(F149="Yes",AE149*Tab_Data_Flows[[#This Row],[Flow_Material]]*Tab_Data_Flows[[#This Row],[DM_'[%']]],"N.A.")</f>
        <v>N.A.</v>
      </c>
      <c r="AH149" s="7" t="str">
        <f>Tab_Data_Flows[[#This Row],[UoM_Flow_Py]]</f>
        <v>Mg</v>
      </c>
      <c r="AI149"/>
    </row>
    <row r="150" spans="1:35" x14ac:dyDescent="0.25">
      <c r="A150" s="9">
        <f t="shared" si="5"/>
        <v>149</v>
      </c>
      <c r="B150" s="7" t="str">
        <f>_xlfn.XLOOKUP(C150,Tab_Def_Flows[Flow_Name],Tab_Def_Flows[Flow_ID],,0,)</f>
        <v>F__</v>
      </c>
      <c r="C150" s="8" t="s">
        <v>31</v>
      </c>
      <c r="D150" s="10">
        <f>_xlfn.XLOOKUP(C150,Tab_Def_Flows[Flow_Name],Tab_Def_Flows[WC?],,0,)</f>
        <v>0</v>
      </c>
      <c r="E150" s="10">
        <f>_xlfn.XLOOKUP(C150,Tab_Def_Flows[Flow_Name],Tab_Def_Flows[DM?],,0,)</f>
        <v>0</v>
      </c>
      <c r="F150" s="10">
        <f>_xlfn.XLOOKUP(C150,Tab_Def_Flows[Flow_Name],Tab_Def_Flows[CC?],,0,)</f>
        <v>0</v>
      </c>
      <c r="G150" s="8"/>
      <c r="H150" s="28"/>
      <c r="I150" s="8"/>
      <c r="J150" s="8"/>
      <c r="K150" s="8"/>
      <c r="L150" s="8"/>
      <c r="M150" s="8"/>
      <c r="N150" s="8"/>
      <c r="O150" s="8"/>
      <c r="P150" s="8"/>
      <c r="Q150" s="8" t="s">
        <v>8</v>
      </c>
      <c r="R150" s="21"/>
      <c r="S150" s="8"/>
      <c r="T150" s="7" t="str">
        <f>Tab_Data_Flows[[#This Row],[Flow_ID]]&amp;"_"&amp;"material_"&amp;Tab_Data_Flows[[#This Row],[Flow_Data_Year]]</f>
        <v>F___material_</v>
      </c>
      <c r="U150" s="18">
        <f t="shared" si="6"/>
        <v>0</v>
      </c>
      <c r="V150" s="8" t="s">
        <v>218</v>
      </c>
      <c r="W150" s="156">
        <f>INDEX(Tab_Def_Flows[[Flow_ID]:[CC_DM_source]],MATCH(Tab_Data_Flows[[#This Row],[Flow_Name]],Tab_Def_Flows[Flow_Name],0),11)</f>
        <v>0</v>
      </c>
      <c r="X150" s="7" t="str">
        <f>Tab_Data_Flows[[#This Row],[Flow_ID]]&amp;"_"&amp;"WC_"&amp;Tab_Data_Flows[[#This Row],[Flow_Data_Year]]</f>
        <v>F___WC_</v>
      </c>
      <c r="Y150" s="7" t="str">
        <f>IF(D150="Yes",U150*Tab_Data_Flows[[#This Row],[WC_'[%']]],"N.A.")</f>
        <v>N.A.</v>
      </c>
      <c r="Z150" s="7" t="str">
        <f>Tab_Data_Flows[[#This Row],[UoM_Flow_Py]]</f>
        <v>Mg</v>
      </c>
      <c r="AA150" s="156">
        <f>INDEX(Tab_Def_Flows[[Flow_ID]:[CC_DM_source]],MATCH(Tab_Data_Flows[[#This Row],[Flow_Name]],Tab_Def_Flows[Flow_Name],0),14)</f>
        <v>0</v>
      </c>
      <c r="AB150" s="7" t="str">
        <f>Tab_Data_Flows[[#This Row],[Flow_ID]]&amp;"_"&amp;"DM_"&amp;Tab_Data_Flows[[#This Row],[Flow_Data_Year]]</f>
        <v>F___DM_</v>
      </c>
      <c r="AC150" s="7" t="str">
        <f>IF(E150="Yes",AA150*Tab_Data_Flows[[#This Row],[Flow_Material]],"N.A.")</f>
        <v>N.A.</v>
      </c>
      <c r="AD150" s="7" t="str">
        <f>Tab_Data_Flows[[#This Row],[UoM_Flow_Py]]</f>
        <v>Mg</v>
      </c>
      <c r="AE150" s="156">
        <f>INDEX(Tab_Def_Flows[[Flow_ID]:[CC_DM_source]],MATCH(Tab_Data_Flows[[#This Row],[Flow_Name]],Tab_Def_Flows[Flow_Name],0),17)</f>
        <v>0</v>
      </c>
      <c r="AF150" s="7" t="str">
        <f>Tab_Data_Flows[[#This Row],[Flow_ID]]&amp;"_"&amp;"CC_"&amp;Tab_Data_Flows[[#This Row],[Flow_Data_Year]]</f>
        <v>F___CC_</v>
      </c>
      <c r="AG150" s="7" t="str">
        <f>IF(F150="Yes",AE150*Tab_Data_Flows[[#This Row],[Flow_Material]]*Tab_Data_Flows[[#This Row],[DM_'[%']]],"N.A.")</f>
        <v>N.A.</v>
      </c>
      <c r="AH150" s="7" t="str">
        <f>Tab_Data_Flows[[#This Row],[UoM_Flow_Py]]</f>
        <v>Mg</v>
      </c>
      <c r="AI150"/>
    </row>
    <row r="151" spans="1:35" x14ac:dyDescent="0.25">
      <c r="A151" s="9">
        <f t="shared" si="5"/>
        <v>150</v>
      </c>
      <c r="B151" s="7" t="str">
        <f>_xlfn.XLOOKUP(C151,Tab_Def_Flows[Flow_Name],Tab_Def_Flows[Flow_ID],,0,)</f>
        <v>F__</v>
      </c>
      <c r="C151" s="8" t="s">
        <v>31</v>
      </c>
      <c r="D151" s="10">
        <f>_xlfn.XLOOKUP(C151,Tab_Def_Flows[Flow_Name],Tab_Def_Flows[WC?],,0,)</f>
        <v>0</v>
      </c>
      <c r="E151" s="10">
        <f>_xlfn.XLOOKUP(C151,Tab_Def_Flows[Flow_Name],Tab_Def_Flows[DM?],,0,)</f>
        <v>0</v>
      </c>
      <c r="F151" s="10">
        <f>_xlfn.XLOOKUP(C151,Tab_Def_Flows[Flow_Name],Tab_Def_Flows[CC?],,0,)</f>
        <v>0</v>
      </c>
      <c r="G151" s="8"/>
      <c r="H151" s="28"/>
      <c r="I151" s="8"/>
      <c r="J151" s="8"/>
      <c r="K151" s="8"/>
      <c r="L151" s="8"/>
      <c r="M151" s="8"/>
      <c r="N151" s="8"/>
      <c r="O151" s="8"/>
      <c r="P151" s="8"/>
      <c r="Q151" s="8" t="s">
        <v>8</v>
      </c>
      <c r="R151" s="21"/>
      <c r="S151" s="8"/>
      <c r="T151" s="7" t="str">
        <f>Tab_Data_Flows[[#This Row],[Flow_ID]]&amp;"_"&amp;"material_"&amp;Tab_Data_Flows[[#This Row],[Flow_Data_Year]]</f>
        <v>F___material_</v>
      </c>
      <c r="U151" s="18">
        <f t="shared" si="6"/>
        <v>0</v>
      </c>
      <c r="V151" s="8" t="s">
        <v>218</v>
      </c>
      <c r="W151" s="156">
        <f>INDEX(Tab_Def_Flows[[Flow_ID]:[CC_DM_source]],MATCH(Tab_Data_Flows[[#This Row],[Flow_Name]],Tab_Def_Flows[Flow_Name],0),11)</f>
        <v>0</v>
      </c>
      <c r="X151" s="7" t="str">
        <f>Tab_Data_Flows[[#This Row],[Flow_ID]]&amp;"_"&amp;"WC_"&amp;Tab_Data_Flows[[#This Row],[Flow_Data_Year]]</f>
        <v>F___WC_</v>
      </c>
      <c r="Y151" s="7" t="str">
        <f>IF(D151="Yes",U151*Tab_Data_Flows[[#This Row],[WC_'[%']]],"N.A.")</f>
        <v>N.A.</v>
      </c>
      <c r="Z151" s="7" t="str">
        <f>Tab_Data_Flows[[#This Row],[UoM_Flow_Py]]</f>
        <v>Mg</v>
      </c>
      <c r="AA151" s="156">
        <f>INDEX(Tab_Def_Flows[[Flow_ID]:[CC_DM_source]],MATCH(Tab_Data_Flows[[#This Row],[Flow_Name]],Tab_Def_Flows[Flow_Name],0),14)</f>
        <v>0</v>
      </c>
      <c r="AB151" s="7" t="str">
        <f>Tab_Data_Flows[[#This Row],[Flow_ID]]&amp;"_"&amp;"DM_"&amp;Tab_Data_Flows[[#This Row],[Flow_Data_Year]]</f>
        <v>F___DM_</v>
      </c>
      <c r="AC151" s="7" t="str">
        <f>IF(E151="Yes",AA151*Tab_Data_Flows[[#This Row],[Flow_Material]],"N.A.")</f>
        <v>N.A.</v>
      </c>
      <c r="AD151" s="7" t="str">
        <f>Tab_Data_Flows[[#This Row],[UoM_Flow_Py]]</f>
        <v>Mg</v>
      </c>
      <c r="AE151" s="156">
        <f>INDEX(Tab_Def_Flows[[Flow_ID]:[CC_DM_source]],MATCH(Tab_Data_Flows[[#This Row],[Flow_Name]],Tab_Def_Flows[Flow_Name],0),17)</f>
        <v>0</v>
      </c>
      <c r="AF151" s="7" t="str">
        <f>Tab_Data_Flows[[#This Row],[Flow_ID]]&amp;"_"&amp;"CC_"&amp;Tab_Data_Flows[[#This Row],[Flow_Data_Year]]</f>
        <v>F___CC_</v>
      </c>
      <c r="AG151" s="7" t="str">
        <f>IF(F151="Yes",AE151*Tab_Data_Flows[[#This Row],[Flow_Material]]*Tab_Data_Flows[[#This Row],[DM_'[%']]],"N.A.")</f>
        <v>N.A.</v>
      </c>
      <c r="AH151" s="7" t="str">
        <f>Tab_Data_Flows[[#This Row],[UoM_Flow_Py]]</f>
        <v>Mg</v>
      </c>
      <c r="AI151"/>
    </row>
    <row r="152" spans="1:35" x14ac:dyDescent="0.25">
      <c r="A152" s="9">
        <f t="shared" si="5"/>
        <v>151</v>
      </c>
      <c r="B152" s="7" t="str">
        <f>_xlfn.XLOOKUP(C152,Tab_Def_Flows[Flow_Name],Tab_Def_Flows[Flow_ID],,0,)</f>
        <v>F__</v>
      </c>
      <c r="C152" s="8" t="s">
        <v>31</v>
      </c>
      <c r="D152" s="10">
        <f>_xlfn.XLOOKUP(C152,Tab_Def_Flows[Flow_Name],Tab_Def_Flows[WC?],,0,)</f>
        <v>0</v>
      </c>
      <c r="E152" s="10">
        <f>_xlfn.XLOOKUP(C152,Tab_Def_Flows[Flow_Name],Tab_Def_Flows[DM?],,0,)</f>
        <v>0</v>
      </c>
      <c r="F152" s="10">
        <f>_xlfn.XLOOKUP(C152,Tab_Def_Flows[Flow_Name],Tab_Def_Flows[CC?],,0,)</f>
        <v>0</v>
      </c>
      <c r="G152" s="8"/>
      <c r="H152" s="28"/>
      <c r="I152" s="8"/>
      <c r="J152" s="8"/>
      <c r="K152" s="8"/>
      <c r="L152" s="8"/>
      <c r="M152" s="8"/>
      <c r="N152" s="8"/>
      <c r="O152" s="8"/>
      <c r="P152" s="8"/>
      <c r="Q152" s="8" t="s">
        <v>8</v>
      </c>
      <c r="R152" s="21"/>
      <c r="S152" s="8"/>
      <c r="T152" s="7" t="str">
        <f>Tab_Data_Flows[[#This Row],[Flow_ID]]&amp;"_"&amp;"material_"&amp;Tab_Data_Flows[[#This Row],[Flow_Data_Year]]</f>
        <v>F___material_</v>
      </c>
      <c r="U152" s="18">
        <f t="shared" si="6"/>
        <v>0</v>
      </c>
      <c r="V152" s="8" t="s">
        <v>218</v>
      </c>
      <c r="W152" s="156">
        <f>INDEX(Tab_Def_Flows[[Flow_ID]:[CC_DM_source]],MATCH(Tab_Data_Flows[[#This Row],[Flow_Name]],Tab_Def_Flows[Flow_Name],0),11)</f>
        <v>0</v>
      </c>
      <c r="X152" s="7" t="str">
        <f>Tab_Data_Flows[[#This Row],[Flow_ID]]&amp;"_"&amp;"WC_"&amp;Tab_Data_Flows[[#This Row],[Flow_Data_Year]]</f>
        <v>F___WC_</v>
      </c>
      <c r="Y152" s="7" t="str">
        <f>IF(D152="Yes",U152*Tab_Data_Flows[[#This Row],[WC_'[%']]],"N.A.")</f>
        <v>N.A.</v>
      </c>
      <c r="Z152" s="7" t="str">
        <f>Tab_Data_Flows[[#This Row],[UoM_Flow_Py]]</f>
        <v>Mg</v>
      </c>
      <c r="AA152" s="156">
        <f>INDEX(Tab_Def_Flows[[Flow_ID]:[CC_DM_source]],MATCH(Tab_Data_Flows[[#This Row],[Flow_Name]],Tab_Def_Flows[Flow_Name],0),14)</f>
        <v>0</v>
      </c>
      <c r="AB152" s="7" t="str">
        <f>Tab_Data_Flows[[#This Row],[Flow_ID]]&amp;"_"&amp;"DM_"&amp;Tab_Data_Flows[[#This Row],[Flow_Data_Year]]</f>
        <v>F___DM_</v>
      </c>
      <c r="AC152" s="7" t="str">
        <f>IF(E152="Yes",AA152*Tab_Data_Flows[[#This Row],[Flow_Material]],"N.A.")</f>
        <v>N.A.</v>
      </c>
      <c r="AD152" s="7" t="str">
        <f>Tab_Data_Flows[[#This Row],[UoM_Flow_Py]]</f>
        <v>Mg</v>
      </c>
      <c r="AE152" s="156">
        <f>INDEX(Tab_Def_Flows[[Flow_ID]:[CC_DM_source]],MATCH(Tab_Data_Flows[[#This Row],[Flow_Name]],Tab_Def_Flows[Flow_Name],0),17)</f>
        <v>0</v>
      </c>
      <c r="AF152" s="7" t="str">
        <f>Tab_Data_Flows[[#This Row],[Flow_ID]]&amp;"_"&amp;"CC_"&amp;Tab_Data_Flows[[#This Row],[Flow_Data_Year]]</f>
        <v>F___CC_</v>
      </c>
      <c r="AG152" s="7" t="str">
        <f>IF(F152="Yes",AE152*Tab_Data_Flows[[#This Row],[Flow_Material]]*Tab_Data_Flows[[#This Row],[DM_'[%']]],"N.A.")</f>
        <v>N.A.</v>
      </c>
      <c r="AH152" s="7" t="str">
        <f>Tab_Data_Flows[[#This Row],[UoM_Flow_Py]]</f>
        <v>Mg</v>
      </c>
      <c r="AI152"/>
    </row>
    <row r="153" spans="1:35" x14ac:dyDescent="0.25">
      <c r="A153" s="9">
        <f t="shared" si="5"/>
        <v>152</v>
      </c>
      <c r="B153" s="7" t="str">
        <f>_xlfn.XLOOKUP(C153,Tab_Def_Flows[Flow_Name],Tab_Def_Flows[Flow_ID],,0,)</f>
        <v>F__</v>
      </c>
      <c r="C153" s="8" t="s">
        <v>31</v>
      </c>
      <c r="D153" s="10">
        <f>_xlfn.XLOOKUP(C153,Tab_Def_Flows[Flow_Name],Tab_Def_Flows[WC?],,0,)</f>
        <v>0</v>
      </c>
      <c r="E153" s="10">
        <f>_xlfn.XLOOKUP(C153,Tab_Def_Flows[Flow_Name],Tab_Def_Flows[DM?],,0,)</f>
        <v>0</v>
      </c>
      <c r="F153" s="10">
        <f>_xlfn.XLOOKUP(C153,Tab_Def_Flows[Flow_Name],Tab_Def_Flows[CC?],,0,)</f>
        <v>0</v>
      </c>
      <c r="G153" s="8"/>
      <c r="H153" s="28"/>
      <c r="I153" s="8"/>
      <c r="J153" s="8"/>
      <c r="K153" s="8"/>
      <c r="L153" s="8"/>
      <c r="M153" s="8"/>
      <c r="N153" s="8"/>
      <c r="O153" s="8"/>
      <c r="P153" s="8"/>
      <c r="Q153" s="8" t="s">
        <v>8</v>
      </c>
      <c r="R153" s="21"/>
      <c r="S153" s="8"/>
      <c r="T153" s="7" t="str">
        <f>Tab_Data_Flows[[#This Row],[Flow_ID]]&amp;"_"&amp;"material_"&amp;Tab_Data_Flows[[#This Row],[Flow_Data_Year]]</f>
        <v>F___material_</v>
      </c>
      <c r="U153" s="18">
        <f t="shared" si="6"/>
        <v>0</v>
      </c>
      <c r="V153" s="8" t="s">
        <v>218</v>
      </c>
      <c r="W153" s="156">
        <f>INDEX(Tab_Def_Flows[[Flow_ID]:[CC_DM_source]],MATCH(Tab_Data_Flows[[#This Row],[Flow_Name]],Tab_Def_Flows[Flow_Name],0),11)</f>
        <v>0</v>
      </c>
      <c r="X153" s="7" t="str">
        <f>Tab_Data_Flows[[#This Row],[Flow_ID]]&amp;"_"&amp;"WC_"&amp;Tab_Data_Flows[[#This Row],[Flow_Data_Year]]</f>
        <v>F___WC_</v>
      </c>
      <c r="Y153" s="7" t="str">
        <f>IF(D153="Yes",U153*Tab_Data_Flows[[#This Row],[WC_'[%']]],"N.A.")</f>
        <v>N.A.</v>
      </c>
      <c r="Z153" s="7" t="str">
        <f>Tab_Data_Flows[[#This Row],[UoM_Flow_Py]]</f>
        <v>Mg</v>
      </c>
      <c r="AA153" s="156">
        <f>INDEX(Tab_Def_Flows[[Flow_ID]:[CC_DM_source]],MATCH(Tab_Data_Flows[[#This Row],[Flow_Name]],Tab_Def_Flows[Flow_Name],0),14)</f>
        <v>0</v>
      </c>
      <c r="AB153" s="7" t="str">
        <f>Tab_Data_Flows[[#This Row],[Flow_ID]]&amp;"_"&amp;"DM_"&amp;Tab_Data_Flows[[#This Row],[Flow_Data_Year]]</f>
        <v>F___DM_</v>
      </c>
      <c r="AC153" s="7" t="str">
        <f>IF(E153="Yes",AA153*Tab_Data_Flows[[#This Row],[Flow_Material]],"N.A.")</f>
        <v>N.A.</v>
      </c>
      <c r="AD153" s="7" t="str">
        <f>Tab_Data_Flows[[#This Row],[UoM_Flow_Py]]</f>
        <v>Mg</v>
      </c>
      <c r="AE153" s="156">
        <f>INDEX(Tab_Def_Flows[[Flow_ID]:[CC_DM_source]],MATCH(Tab_Data_Flows[[#This Row],[Flow_Name]],Tab_Def_Flows[Flow_Name],0),17)</f>
        <v>0</v>
      </c>
      <c r="AF153" s="7" t="str">
        <f>Tab_Data_Flows[[#This Row],[Flow_ID]]&amp;"_"&amp;"CC_"&amp;Tab_Data_Flows[[#This Row],[Flow_Data_Year]]</f>
        <v>F___CC_</v>
      </c>
      <c r="AG153" s="7" t="str">
        <f>IF(F153="Yes",AE153*Tab_Data_Flows[[#This Row],[Flow_Material]]*Tab_Data_Flows[[#This Row],[DM_'[%']]],"N.A.")</f>
        <v>N.A.</v>
      </c>
      <c r="AH153" s="7" t="str">
        <f>Tab_Data_Flows[[#This Row],[UoM_Flow_Py]]</f>
        <v>Mg</v>
      </c>
      <c r="AI153"/>
    </row>
    <row r="154" spans="1:35" x14ac:dyDescent="0.25">
      <c r="A154" s="9">
        <f t="shared" si="5"/>
        <v>153</v>
      </c>
      <c r="B154" s="7" t="str">
        <f>_xlfn.XLOOKUP(C154,Tab_Def_Flows[Flow_Name],Tab_Def_Flows[Flow_ID],,0,)</f>
        <v>F__</v>
      </c>
      <c r="C154" s="8" t="s">
        <v>31</v>
      </c>
      <c r="D154" s="10">
        <f>_xlfn.XLOOKUP(C154,Tab_Def_Flows[Flow_Name],Tab_Def_Flows[WC?],,0,)</f>
        <v>0</v>
      </c>
      <c r="E154" s="10">
        <f>_xlfn.XLOOKUP(C154,Tab_Def_Flows[Flow_Name],Tab_Def_Flows[DM?],,0,)</f>
        <v>0</v>
      </c>
      <c r="F154" s="10">
        <f>_xlfn.XLOOKUP(C154,Tab_Def_Flows[Flow_Name],Tab_Def_Flows[CC?],,0,)</f>
        <v>0</v>
      </c>
      <c r="G154" s="8"/>
      <c r="H154" s="28"/>
      <c r="I154" s="8"/>
      <c r="J154" s="8"/>
      <c r="K154" s="8" t="e">
        <f>INDEX(#REF!,MATCH(Tab_Data_Flows[[#This Row],[Flow_Name]],#REF!,0),12)</f>
        <v>#REF!</v>
      </c>
      <c r="L154" s="8" t="e">
        <f>MATCH(Tab_Data_Flows[[#This Row],[Flow_Name]],#REF!,0)</f>
        <v>#REF!</v>
      </c>
      <c r="M154" s="8"/>
      <c r="N154" s="8"/>
      <c r="O154" s="8"/>
      <c r="P154" s="8"/>
      <c r="Q154" s="8" t="s">
        <v>8</v>
      </c>
      <c r="R154" s="8"/>
      <c r="S154" s="8"/>
      <c r="T154" s="7" t="str">
        <f>Tab_Data_Flows[[#This Row],[Flow_ID]]&amp;"_"&amp;"material_"&amp;Tab_Data_Flows[[#This Row],[Flow_Data_Year]]</f>
        <v>F___material_</v>
      </c>
      <c r="U154" s="18">
        <f t="shared" si="6"/>
        <v>0</v>
      </c>
      <c r="V154" s="8" t="s">
        <v>218</v>
      </c>
      <c r="W154" s="156">
        <f>INDEX(Tab_Def_Flows[[Flow_ID]:[CC_DM_source]],MATCH(Tab_Data_Flows[[#This Row],[Flow_Name]],Tab_Def_Flows[Flow_Name],0),11)</f>
        <v>0</v>
      </c>
      <c r="X154" s="7" t="str">
        <f>Tab_Data_Flows[[#This Row],[Flow_ID]]&amp;"_"&amp;"WC_"&amp;Tab_Data_Flows[[#This Row],[Flow_Data_Year]]</f>
        <v>F___WC_</v>
      </c>
      <c r="Y154" s="7" t="str">
        <f>IF(D154="Yes",U154*Tab_Data_Flows[[#This Row],[WC_'[%']]],"N.A.")</f>
        <v>N.A.</v>
      </c>
      <c r="Z154" s="7" t="str">
        <f>Tab_Data_Flows[[#This Row],[UoM_Flow_Py]]</f>
        <v>Mg</v>
      </c>
      <c r="AA154" s="156">
        <f>INDEX(Tab_Def_Flows[[Flow_ID]:[CC_DM_source]],MATCH(Tab_Data_Flows[[#This Row],[Flow_Name]],Tab_Def_Flows[Flow_Name],0),14)</f>
        <v>0</v>
      </c>
      <c r="AB154" s="7" t="str">
        <f>Tab_Data_Flows[[#This Row],[Flow_ID]]&amp;"_"&amp;"DM_"&amp;Tab_Data_Flows[[#This Row],[Flow_Data_Year]]</f>
        <v>F___DM_</v>
      </c>
      <c r="AC154" s="7" t="str">
        <f>IF(E154="Yes",AA154*Tab_Data_Flows[[#This Row],[Flow_Material]],"N.A.")</f>
        <v>N.A.</v>
      </c>
      <c r="AD154" s="7" t="str">
        <f>Tab_Data_Flows[[#This Row],[UoM_Flow_Py]]</f>
        <v>Mg</v>
      </c>
      <c r="AE154" s="156">
        <f>INDEX(Tab_Def_Flows[[Flow_ID]:[CC_DM_source]],MATCH(Tab_Data_Flows[[#This Row],[Flow_Name]],Tab_Def_Flows[Flow_Name],0),17)</f>
        <v>0</v>
      </c>
      <c r="AF154" s="7" t="str">
        <f>Tab_Data_Flows[[#This Row],[Flow_ID]]&amp;"_"&amp;"CC_"&amp;Tab_Data_Flows[[#This Row],[Flow_Data_Year]]</f>
        <v>F___CC_</v>
      </c>
      <c r="AG154" s="7" t="str">
        <f>IF(F154="Yes",AE154*Tab_Data_Flows[[#This Row],[Flow_Material]]*Tab_Data_Flows[[#This Row],[DM_'[%']]],"N.A.")</f>
        <v>N.A.</v>
      </c>
      <c r="AH154" s="7" t="str">
        <f>Tab_Data_Flows[[#This Row],[UoM_Flow_Py]]</f>
        <v>Mg</v>
      </c>
      <c r="AI154"/>
    </row>
    <row r="155" spans="1:35" x14ac:dyDescent="0.25">
      <c r="A155" s="9">
        <f t="shared" si="5"/>
        <v>154</v>
      </c>
      <c r="B155" s="7" t="str">
        <f>_xlfn.XLOOKUP(C155,Tab_Def_Flows[Flow_Name],Tab_Def_Flows[Flow_ID],,0,)</f>
        <v>F__</v>
      </c>
      <c r="C155" s="8" t="s">
        <v>31</v>
      </c>
      <c r="D155" s="10">
        <f>_xlfn.XLOOKUP(C155,Tab_Def_Flows[Flow_Name],Tab_Def_Flows[WC?],,0,)</f>
        <v>0</v>
      </c>
      <c r="E155" s="10">
        <f>_xlfn.XLOOKUP(C155,Tab_Def_Flows[Flow_Name],Tab_Def_Flows[DM?],,0,)</f>
        <v>0</v>
      </c>
      <c r="F155" s="10">
        <f>_xlfn.XLOOKUP(C155,Tab_Def_Flows[Flow_Name],Tab_Def_Flows[CC?],,0,)</f>
        <v>0</v>
      </c>
      <c r="G155" s="8"/>
      <c r="H155" s="28"/>
      <c r="I155" s="8"/>
      <c r="J155" s="8"/>
      <c r="K155" s="8" t="e">
        <f>INDEX(#REF!,MATCH(Tab_Data_Flows[[#This Row],[Flow_Name]],#REF!,0),12)</f>
        <v>#REF!</v>
      </c>
      <c r="L155" s="8" t="e">
        <f>MATCH(Tab_Data_Flows[[#This Row],[Flow_Name]],#REF!,0)</f>
        <v>#REF!</v>
      </c>
      <c r="M155" s="8"/>
      <c r="N155" s="8"/>
      <c r="O155" s="8"/>
      <c r="P155" s="8"/>
      <c r="Q155" s="8" t="s">
        <v>8</v>
      </c>
      <c r="R155" s="8"/>
      <c r="S155" s="8"/>
      <c r="T155" s="7" t="str">
        <f>Tab_Data_Flows[[#This Row],[Flow_ID]]&amp;"_"&amp;"material_"&amp;Tab_Data_Flows[[#This Row],[Flow_Data_Year]]</f>
        <v>F___material_</v>
      </c>
      <c r="U155" s="18">
        <f t="shared" si="6"/>
        <v>0</v>
      </c>
      <c r="V155" s="8" t="s">
        <v>218</v>
      </c>
      <c r="W155" s="156">
        <f>INDEX(Tab_Def_Flows[[Flow_ID]:[CC_DM_source]],MATCH(Tab_Data_Flows[[#This Row],[Flow_Name]],Tab_Def_Flows[Flow_Name],0),11)</f>
        <v>0</v>
      </c>
      <c r="X155" s="7" t="str">
        <f>Tab_Data_Flows[[#This Row],[Flow_ID]]&amp;"_"&amp;"WC_"&amp;Tab_Data_Flows[[#This Row],[Flow_Data_Year]]</f>
        <v>F___WC_</v>
      </c>
      <c r="Y155" s="7" t="str">
        <f>IF(D155="Yes",U155*Tab_Data_Flows[[#This Row],[WC_'[%']]],"N.A.")</f>
        <v>N.A.</v>
      </c>
      <c r="Z155" s="7" t="str">
        <f>Tab_Data_Flows[[#This Row],[UoM_Flow_Py]]</f>
        <v>Mg</v>
      </c>
      <c r="AA155" s="156">
        <f>INDEX(Tab_Def_Flows[[Flow_ID]:[CC_DM_source]],MATCH(Tab_Data_Flows[[#This Row],[Flow_Name]],Tab_Def_Flows[Flow_Name],0),14)</f>
        <v>0</v>
      </c>
      <c r="AB155" s="7" t="str">
        <f>Tab_Data_Flows[[#This Row],[Flow_ID]]&amp;"_"&amp;"DM_"&amp;Tab_Data_Flows[[#This Row],[Flow_Data_Year]]</f>
        <v>F___DM_</v>
      </c>
      <c r="AC155" s="7" t="str">
        <f>IF(E155="Yes",AA155*Tab_Data_Flows[[#This Row],[Flow_Material]],"N.A.")</f>
        <v>N.A.</v>
      </c>
      <c r="AD155" s="7" t="str">
        <f>Tab_Data_Flows[[#This Row],[UoM_Flow_Py]]</f>
        <v>Mg</v>
      </c>
      <c r="AE155" s="156">
        <f>INDEX(Tab_Def_Flows[[Flow_ID]:[CC_DM_source]],MATCH(Tab_Data_Flows[[#This Row],[Flow_Name]],Tab_Def_Flows[Flow_Name],0),17)</f>
        <v>0</v>
      </c>
      <c r="AF155" s="7" t="str">
        <f>Tab_Data_Flows[[#This Row],[Flow_ID]]&amp;"_"&amp;"CC_"&amp;Tab_Data_Flows[[#This Row],[Flow_Data_Year]]</f>
        <v>F___CC_</v>
      </c>
      <c r="AG155" s="7" t="str">
        <f>IF(F155="Yes",AE155*Tab_Data_Flows[[#This Row],[Flow_Material]]*Tab_Data_Flows[[#This Row],[DM_'[%']]],"N.A.")</f>
        <v>N.A.</v>
      </c>
      <c r="AH155" s="7" t="str">
        <f>Tab_Data_Flows[[#This Row],[UoM_Flow_Py]]</f>
        <v>Mg</v>
      </c>
      <c r="AI155"/>
    </row>
    <row r="156" spans="1:35" x14ac:dyDescent="0.25">
      <c r="A156" s="9">
        <f t="shared" si="5"/>
        <v>155</v>
      </c>
      <c r="B156" s="7" t="str">
        <f>_xlfn.XLOOKUP(C156,Tab_Def_Flows[Flow_Name],Tab_Def_Flows[Flow_ID],,0,)</f>
        <v>F__</v>
      </c>
      <c r="C156" s="8" t="s">
        <v>31</v>
      </c>
      <c r="D156" s="10">
        <f>_xlfn.XLOOKUP(C156,Tab_Def_Flows[Flow_Name],Tab_Def_Flows[WC?],,0,)</f>
        <v>0</v>
      </c>
      <c r="E156" s="10">
        <f>_xlfn.XLOOKUP(C156,Tab_Def_Flows[Flow_Name],Tab_Def_Flows[DM?],,0,)</f>
        <v>0</v>
      </c>
      <c r="F156" s="10">
        <f>_xlfn.XLOOKUP(C156,Tab_Def_Flows[Flow_Name],Tab_Def_Flows[CC?],,0,)</f>
        <v>0</v>
      </c>
      <c r="G156" s="8"/>
      <c r="H156" s="28"/>
      <c r="I156" s="8"/>
      <c r="J156" s="8"/>
      <c r="K156" s="8" t="e">
        <f>INDEX(#REF!,MATCH(Tab_Data_Flows[[#This Row],[Flow_Name]],#REF!,0),12)</f>
        <v>#REF!</v>
      </c>
      <c r="L156" s="8" t="e">
        <f>MATCH(Tab_Data_Flows[[#This Row],[Flow_Name]],#REF!,0)</f>
        <v>#REF!</v>
      </c>
      <c r="M156" s="8"/>
      <c r="N156" s="8"/>
      <c r="O156" s="8"/>
      <c r="P156" s="8"/>
      <c r="Q156" s="8" t="s">
        <v>8</v>
      </c>
      <c r="R156" s="8"/>
      <c r="S156" s="8"/>
      <c r="T156" s="7" t="str">
        <f>Tab_Data_Flows[[#This Row],[Flow_ID]]&amp;"_"&amp;"material_"&amp;Tab_Data_Flows[[#This Row],[Flow_Data_Year]]</f>
        <v>F___material_</v>
      </c>
      <c r="U156" s="18">
        <f t="shared" si="6"/>
        <v>0</v>
      </c>
      <c r="V156" s="8" t="s">
        <v>218</v>
      </c>
      <c r="W156" s="156">
        <f>INDEX(Tab_Def_Flows[[Flow_ID]:[CC_DM_source]],MATCH(Tab_Data_Flows[[#This Row],[Flow_Name]],Tab_Def_Flows[Flow_Name],0),11)</f>
        <v>0</v>
      </c>
      <c r="X156" s="7" t="str">
        <f>Tab_Data_Flows[[#This Row],[Flow_ID]]&amp;"_"&amp;"WC_"&amp;Tab_Data_Flows[[#This Row],[Flow_Data_Year]]</f>
        <v>F___WC_</v>
      </c>
      <c r="Y156" s="7" t="str">
        <f>IF(D156="Yes",U156*Tab_Data_Flows[[#This Row],[WC_'[%']]],"N.A.")</f>
        <v>N.A.</v>
      </c>
      <c r="Z156" s="7" t="str">
        <f>Tab_Data_Flows[[#This Row],[UoM_Flow_Py]]</f>
        <v>Mg</v>
      </c>
      <c r="AA156" s="156">
        <f>INDEX(Tab_Def_Flows[[Flow_ID]:[CC_DM_source]],MATCH(Tab_Data_Flows[[#This Row],[Flow_Name]],Tab_Def_Flows[Flow_Name],0),14)</f>
        <v>0</v>
      </c>
      <c r="AB156" s="7" t="str">
        <f>Tab_Data_Flows[[#This Row],[Flow_ID]]&amp;"_"&amp;"DM_"&amp;Tab_Data_Flows[[#This Row],[Flow_Data_Year]]</f>
        <v>F___DM_</v>
      </c>
      <c r="AC156" s="7" t="str">
        <f>IF(E156="Yes",AA156*Tab_Data_Flows[[#This Row],[Flow_Material]],"N.A.")</f>
        <v>N.A.</v>
      </c>
      <c r="AD156" s="7" t="str">
        <f>Tab_Data_Flows[[#This Row],[UoM_Flow_Py]]</f>
        <v>Mg</v>
      </c>
      <c r="AE156" s="156">
        <f>INDEX(Tab_Def_Flows[[Flow_ID]:[CC_DM_source]],MATCH(Tab_Data_Flows[[#This Row],[Flow_Name]],Tab_Def_Flows[Flow_Name],0),17)</f>
        <v>0</v>
      </c>
      <c r="AF156" s="7" t="str">
        <f>Tab_Data_Flows[[#This Row],[Flow_ID]]&amp;"_"&amp;"CC_"&amp;Tab_Data_Flows[[#This Row],[Flow_Data_Year]]</f>
        <v>F___CC_</v>
      </c>
      <c r="AG156" s="7" t="str">
        <f>IF(F156="Yes",AE156*Tab_Data_Flows[[#This Row],[Flow_Material]]*Tab_Data_Flows[[#This Row],[DM_'[%']]],"N.A.")</f>
        <v>N.A.</v>
      </c>
      <c r="AH156" s="7" t="str">
        <f>Tab_Data_Flows[[#This Row],[UoM_Flow_Py]]</f>
        <v>Mg</v>
      </c>
      <c r="AI156"/>
    </row>
    <row r="157" spans="1:35" x14ac:dyDescent="0.25">
      <c r="A157" s="9">
        <f t="shared" si="5"/>
        <v>156</v>
      </c>
      <c r="B157" s="7" t="str">
        <f>_xlfn.XLOOKUP(C157,Tab_Def_Flows[Flow_Name],Tab_Def_Flows[Flow_ID],,0,)</f>
        <v>F__</v>
      </c>
      <c r="C157" s="8" t="s">
        <v>31</v>
      </c>
      <c r="D157" s="10">
        <f>_xlfn.XLOOKUP(C157,Tab_Def_Flows[Flow_Name],Tab_Def_Flows[WC?],,0,)</f>
        <v>0</v>
      </c>
      <c r="E157" s="10">
        <f>_xlfn.XLOOKUP(C157,Tab_Def_Flows[Flow_Name],Tab_Def_Flows[DM?],,0,)</f>
        <v>0</v>
      </c>
      <c r="F157" s="10">
        <f>_xlfn.XLOOKUP(C157,Tab_Def_Flows[Flow_Name],Tab_Def_Flows[CC?],,0,)</f>
        <v>0</v>
      </c>
      <c r="G157" s="8"/>
      <c r="H157" s="28"/>
      <c r="I157" s="8"/>
      <c r="J157" s="8"/>
      <c r="K157" s="8" t="e">
        <f>INDEX(#REF!,MATCH(Tab_Data_Flows[[#This Row],[Flow_Name]],#REF!,0),12)</f>
        <v>#REF!</v>
      </c>
      <c r="L157" s="8" t="e">
        <f>MATCH(Tab_Data_Flows[[#This Row],[Flow_Name]],#REF!,0)</f>
        <v>#REF!</v>
      </c>
      <c r="M157" s="8"/>
      <c r="N157" s="8"/>
      <c r="O157" s="8"/>
      <c r="P157" s="8"/>
      <c r="Q157" s="8" t="s">
        <v>8</v>
      </c>
      <c r="R157" s="8"/>
      <c r="S157" s="8"/>
      <c r="T157" s="7" t="str">
        <f>Tab_Data_Flows[[#This Row],[Flow_ID]]&amp;"_"&amp;"material_"&amp;Tab_Data_Flows[[#This Row],[Flow_Data_Year]]</f>
        <v>F___material_</v>
      </c>
      <c r="U157" s="18">
        <f t="shared" si="6"/>
        <v>0</v>
      </c>
      <c r="V157" s="8" t="s">
        <v>218</v>
      </c>
      <c r="W157" s="156">
        <f>INDEX(Tab_Def_Flows[[Flow_ID]:[CC_DM_source]],MATCH(Tab_Data_Flows[[#This Row],[Flow_Name]],Tab_Def_Flows[Flow_Name],0),11)</f>
        <v>0</v>
      </c>
      <c r="X157" s="7" t="str">
        <f>Tab_Data_Flows[[#This Row],[Flow_ID]]&amp;"_"&amp;"WC_"&amp;Tab_Data_Flows[[#This Row],[Flow_Data_Year]]</f>
        <v>F___WC_</v>
      </c>
      <c r="Y157" s="7" t="str">
        <f>IF(D157="Yes",U157*Tab_Data_Flows[[#This Row],[WC_'[%']]],"N.A.")</f>
        <v>N.A.</v>
      </c>
      <c r="Z157" s="7" t="str">
        <f>Tab_Data_Flows[[#This Row],[UoM_Flow_Py]]</f>
        <v>Mg</v>
      </c>
      <c r="AA157" s="156">
        <f>INDEX(Tab_Def_Flows[[Flow_ID]:[CC_DM_source]],MATCH(Tab_Data_Flows[[#This Row],[Flow_Name]],Tab_Def_Flows[Flow_Name],0),14)</f>
        <v>0</v>
      </c>
      <c r="AB157" s="7" t="str">
        <f>Tab_Data_Flows[[#This Row],[Flow_ID]]&amp;"_"&amp;"DM_"&amp;Tab_Data_Flows[[#This Row],[Flow_Data_Year]]</f>
        <v>F___DM_</v>
      </c>
      <c r="AC157" s="7" t="str">
        <f>IF(E157="Yes",AA157*Tab_Data_Flows[[#This Row],[Flow_Material]],"N.A.")</f>
        <v>N.A.</v>
      </c>
      <c r="AD157" s="7" t="str">
        <f>Tab_Data_Flows[[#This Row],[UoM_Flow_Py]]</f>
        <v>Mg</v>
      </c>
      <c r="AE157" s="156">
        <f>INDEX(Tab_Def_Flows[[Flow_ID]:[CC_DM_source]],MATCH(Tab_Data_Flows[[#This Row],[Flow_Name]],Tab_Def_Flows[Flow_Name],0),17)</f>
        <v>0</v>
      </c>
      <c r="AF157" s="7" t="str">
        <f>Tab_Data_Flows[[#This Row],[Flow_ID]]&amp;"_"&amp;"CC_"&amp;Tab_Data_Flows[[#This Row],[Flow_Data_Year]]</f>
        <v>F___CC_</v>
      </c>
      <c r="AG157" s="7" t="str">
        <f>IF(F157="Yes",AE157*Tab_Data_Flows[[#This Row],[Flow_Material]]*Tab_Data_Flows[[#This Row],[DM_'[%']]],"N.A.")</f>
        <v>N.A.</v>
      </c>
      <c r="AH157" s="7" t="str">
        <f>Tab_Data_Flows[[#This Row],[UoM_Flow_Py]]</f>
        <v>Mg</v>
      </c>
      <c r="AI157"/>
    </row>
    <row r="158" spans="1:35" x14ac:dyDescent="0.25">
      <c r="A158" s="9">
        <f t="shared" si="5"/>
        <v>157</v>
      </c>
      <c r="B158" s="7" t="str">
        <f>_xlfn.XLOOKUP(C158,Tab_Def_Flows[Flow_Name],Tab_Def_Flows[Flow_ID],,0,)</f>
        <v>F__</v>
      </c>
      <c r="C158" s="8" t="s">
        <v>31</v>
      </c>
      <c r="D158" s="10">
        <f>_xlfn.XLOOKUP(C158,Tab_Def_Flows[Flow_Name],Tab_Def_Flows[WC?],,0,)</f>
        <v>0</v>
      </c>
      <c r="E158" s="10">
        <f>_xlfn.XLOOKUP(C158,Tab_Def_Flows[Flow_Name],Tab_Def_Flows[DM?],,0,)</f>
        <v>0</v>
      </c>
      <c r="F158" s="10">
        <f>_xlfn.XLOOKUP(C158,Tab_Def_Flows[Flow_Name],Tab_Def_Flows[CC?],,0,)</f>
        <v>0</v>
      </c>
      <c r="G158" s="8"/>
      <c r="H158" s="28"/>
      <c r="I158" s="8"/>
      <c r="J158" s="8"/>
      <c r="K158" s="8" t="e">
        <f>INDEX(#REF!,MATCH(Tab_Data_Flows[[#This Row],[Flow_Name]],#REF!,0),12)</f>
        <v>#REF!</v>
      </c>
      <c r="L158" s="8" t="e">
        <f>MATCH(Tab_Data_Flows[[#This Row],[Flow_Name]],#REF!,0)</f>
        <v>#REF!</v>
      </c>
      <c r="M158" s="8"/>
      <c r="N158" s="8"/>
      <c r="O158" s="8"/>
      <c r="P158" s="8"/>
      <c r="Q158" s="8" t="s">
        <v>8</v>
      </c>
      <c r="R158" s="8"/>
      <c r="S158" s="8"/>
      <c r="T158" s="7" t="str">
        <f>Tab_Data_Flows[[#This Row],[Flow_ID]]&amp;"_"&amp;"material_"&amp;Tab_Data_Flows[[#This Row],[Flow_Data_Year]]</f>
        <v>F___material_</v>
      </c>
      <c r="U158" s="18">
        <f t="shared" si="6"/>
        <v>0</v>
      </c>
      <c r="V158" s="8" t="s">
        <v>218</v>
      </c>
      <c r="W158" s="156">
        <f>INDEX(Tab_Def_Flows[[Flow_ID]:[CC_DM_source]],MATCH(Tab_Data_Flows[[#This Row],[Flow_Name]],Tab_Def_Flows[Flow_Name],0),11)</f>
        <v>0</v>
      </c>
      <c r="X158" s="7" t="str">
        <f>Tab_Data_Flows[[#This Row],[Flow_ID]]&amp;"_"&amp;"WC_"&amp;Tab_Data_Flows[[#This Row],[Flow_Data_Year]]</f>
        <v>F___WC_</v>
      </c>
      <c r="Y158" s="7" t="str">
        <f>IF(D158="Yes",U158*Tab_Data_Flows[[#This Row],[WC_'[%']]],"N.A.")</f>
        <v>N.A.</v>
      </c>
      <c r="Z158" s="7" t="str">
        <f>Tab_Data_Flows[[#This Row],[UoM_Flow_Py]]</f>
        <v>Mg</v>
      </c>
      <c r="AA158" s="156">
        <f>INDEX(Tab_Def_Flows[[Flow_ID]:[CC_DM_source]],MATCH(Tab_Data_Flows[[#This Row],[Flow_Name]],Tab_Def_Flows[Flow_Name],0),14)</f>
        <v>0</v>
      </c>
      <c r="AB158" s="7" t="str">
        <f>Tab_Data_Flows[[#This Row],[Flow_ID]]&amp;"_"&amp;"DM_"&amp;Tab_Data_Flows[[#This Row],[Flow_Data_Year]]</f>
        <v>F___DM_</v>
      </c>
      <c r="AC158" s="7" t="str">
        <f>IF(E158="Yes",AA158*Tab_Data_Flows[[#This Row],[Flow_Material]],"N.A.")</f>
        <v>N.A.</v>
      </c>
      <c r="AD158" s="7" t="str">
        <f>Tab_Data_Flows[[#This Row],[UoM_Flow_Py]]</f>
        <v>Mg</v>
      </c>
      <c r="AE158" s="156">
        <f>INDEX(Tab_Def_Flows[[Flow_ID]:[CC_DM_source]],MATCH(Tab_Data_Flows[[#This Row],[Flow_Name]],Tab_Def_Flows[Flow_Name],0),17)</f>
        <v>0</v>
      </c>
      <c r="AF158" s="7" t="str">
        <f>Tab_Data_Flows[[#This Row],[Flow_ID]]&amp;"_"&amp;"CC_"&amp;Tab_Data_Flows[[#This Row],[Flow_Data_Year]]</f>
        <v>F___CC_</v>
      </c>
      <c r="AG158" s="7" t="str">
        <f>IF(F158="Yes",AE158*Tab_Data_Flows[[#This Row],[Flow_Material]]*Tab_Data_Flows[[#This Row],[DM_'[%']]],"N.A.")</f>
        <v>N.A.</v>
      </c>
      <c r="AH158" s="7" t="str">
        <f>Tab_Data_Flows[[#This Row],[UoM_Flow_Py]]</f>
        <v>Mg</v>
      </c>
      <c r="AI158"/>
    </row>
    <row r="159" spans="1:35" x14ac:dyDescent="0.25">
      <c r="A159" s="9">
        <f t="shared" si="5"/>
        <v>158</v>
      </c>
      <c r="B159" s="7" t="str">
        <f>_xlfn.XLOOKUP(C159,Tab_Def_Flows[Flow_Name],Tab_Def_Flows[Flow_ID],,0,)</f>
        <v>F__</v>
      </c>
      <c r="C159" s="8" t="s">
        <v>31</v>
      </c>
      <c r="D159" s="10">
        <f>_xlfn.XLOOKUP(C159,Tab_Def_Flows[Flow_Name],Tab_Def_Flows[WC?],,0,)</f>
        <v>0</v>
      </c>
      <c r="E159" s="10">
        <f>_xlfn.XLOOKUP(C159,Tab_Def_Flows[Flow_Name],Tab_Def_Flows[DM?],,0,)</f>
        <v>0</v>
      </c>
      <c r="F159" s="10">
        <f>_xlfn.XLOOKUP(C159,Tab_Def_Flows[Flow_Name],Tab_Def_Flows[CC?],,0,)</f>
        <v>0</v>
      </c>
      <c r="G159" s="8"/>
      <c r="H159" s="28"/>
      <c r="I159" s="8"/>
      <c r="J159" s="8"/>
      <c r="K159" s="8" t="e">
        <f>INDEX(#REF!,MATCH(Tab_Data_Flows[[#This Row],[Flow_Name]],#REF!,0),12)</f>
        <v>#REF!</v>
      </c>
      <c r="L159" s="8" t="e">
        <f>MATCH(Tab_Data_Flows[[#This Row],[Flow_Name]],#REF!,0)</f>
        <v>#REF!</v>
      </c>
      <c r="M159" s="8"/>
      <c r="N159" s="8"/>
      <c r="O159" s="8"/>
      <c r="P159" s="8"/>
      <c r="Q159" s="8" t="s">
        <v>8</v>
      </c>
      <c r="R159" s="8"/>
      <c r="S159" s="8"/>
      <c r="T159" s="7" t="str">
        <f>Tab_Data_Flows[[#This Row],[Flow_ID]]&amp;"_"&amp;"material_"&amp;Tab_Data_Flows[[#This Row],[Flow_Data_Year]]</f>
        <v>F___material_</v>
      </c>
      <c r="U159" s="18">
        <f t="shared" si="6"/>
        <v>0</v>
      </c>
      <c r="V159" s="8" t="s">
        <v>218</v>
      </c>
      <c r="W159" s="156">
        <f>INDEX(Tab_Def_Flows[[Flow_ID]:[CC_DM_source]],MATCH(Tab_Data_Flows[[#This Row],[Flow_Name]],Tab_Def_Flows[Flow_Name],0),11)</f>
        <v>0</v>
      </c>
      <c r="X159" s="7" t="str">
        <f>Tab_Data_Flows[[#This Row],[Flow_ID]]&amp;"_"&amp;"WC_"&amp;Tab_Data_Flows[[#This Row],[Flow_Data_Year]]</f>
        <v>F___WC_</v>
      </c>
      <c r="Y159" s="7" t="str">
        <f>IF(D159="Yes",U159*Tab_Data_Flows[[#This Row],[WC_'[%']]],"N.A.")</f>
        <v>N.A.</v>
      </c>
      <c r="Z159" s="7" t="str">
        <f>Tab_Data_Flows[[#This Row],[UoM_Flow_Py]]</f>
        <v>Mg</v>
      </c>
      <c r="AA159" s="156">
        <f>INDEX(Tab_Def_Flows[[Flow_ID]:[CC_DM_source]],MATCH(Tab_Data_Flows[[#This Row],[Flow_Name]],Tab_Def_Flows[Flow_Name],0),14)</f>
        <v>0</v>
      </c>
      <c r="AB159" s="7" t="str">
        <f>Tab_Data_Flows[[#This Row],[Flow_ID]]&amp;"_"&amp;"DM_"&amp;Tab_Data_Flows[[#This Row],[Flow_Data_Year]]</f>
        <v>F___DM_</v>
      </c>
      <c r="AC159" s="7" t="str">
        <f>IF(E159="Yes",AA159*Tab_Data_Flows[[#This Row],[Flow_Material]],"N.A.")</f>
        <v>N.A.</v>
      </c>
      <c r="AD159" s="7" t="str">
        <f>Tab_Data_Flows[[#This Row],[UoM_Flow_Py]]</f>
        <v>Mg</v>
      </c>
      <c r="AE159" s="156">
        <f>INDEX(Tab_Def_Flows[[Flow_ID]:[CC_DM_source]],MATCH(Tab_Data_Flows[[#This Row],[Flow_Name]],Tab_Def_Flows[Flow_Name],0),17)</f>
        <v>0</v>
      </c>
      <c r="AF159" s="7" t="str">
        <f>Tab_Data_Flows[[#This Row],[Flow_ID]]&amp;"_"&amp;"CC_"&amp;Tab_Data_Flows[[#This Row],[Flow_Data_Year]]</f>
        <v>F___CC_</v>
      </c>
      <c r="AG159" s="7" t="str">
        <f>IF(F159="Yes",AE159*Tab_Data_Flows[[#This Row],[Flow_Material]]*Tab_Data_Flows[[#This Row],[DM_'[%']]],"N.A.")</f>
        <v>N.A.</v>
      </c>
      <c r="AH159" s="7" t="str">
        <f>Tab_Data_Flows[[#This Row],[UoM_Flow_Py]]</f>
        <v>Mg</v>
      </c>
      <c r="AI159"/>
    </row>
    <row r="160" spans="1:35" x14ac:dyDescent="0.25">
      <c r="A160" s="9">
        <f t="shared" si="5"/>
        <v>159</v>
      </c>
      <c r="B160" s="7" t="str">
        <f>_xlfn.XLOOKUP(C160,Tab_Def_Flows[Flow_Name],Tab_Def_Flows[Flow_ID],,0,)</f>
        <v>F__</v>
      </c>
      <c r="C160" s="8" t="s">
        <v>31</v>
      </c>
      <c r="D160" s="10">
        <f>_xlfn.XLOOKUP(C160,Tab_Def_Flows[Flow_Name],Tab_Def_Flows[WC?],,0,)</f>
        <v>0</v>
      </c>
      <c r="E160" s="10">
        <f>_xlfn.XLOOKUP(C160,Tab_Def_Flows[Flow_Name],Tab_Def_Flows[DM?],,0,)</f>
        <v>0</v>
      </c>
      <c r="F160" s="10">
        <f>_xlfn.XLOOKUP(C160,Tab_Def_Flows[Flow_Name],Tab_Def_Flows[CC?],,0,)</f>
        <v>0</v>
      </c>
      <c r="G160" s="8"/>
      <c r="H160" s="28"/>
      <c r="I160" s="8"/>
      <c r="J160" s="8"/>
      <c r="K160" s="8" t="e">
        <f>INDEX(#REF!,MATCH(Tab_Data_Flows[[#This Row],[Flow_Name]],#REF!,0),12)</f>
        <v>#REF!</v>
      </c>
      <c r="L160" s="8" t="e">
        <f>MATCH(Tab_Data_Flows[[#This Row],[Flow_Name]],#REF!,0)</f>
        <v>#REF!</v>
      </c>
      <c r="M160" s="8"/>
      <c r="N160" s="8"/>
      <c r="O160" s="8"/>
      <c r="P160" s="8"/>
      <c r="Q160" s="8" t="s">
        <v>8</v>
      </c>
      <c r="R160" s="8"/>
      <c r="S160" s="8"/>
      <c r="T160" s="7" t="str">
        <f>Tab_Data_Flows[[#This Row],[Flow_ID]]&amp;"_"&amp;"material_"&amp;Tab_Data_Flows[[#This Row],[Flow_Data_Year]]</f>
        <v>F___material_</v>
      </c>
      <c r="U160" s="18">
        <f t="shared" si="6"/>
        <v>0</v>
      </c>
      <c r="V160" s="8" t="s">
        <v>218</v>
      </c>
      <c r="W160" s="156">
        <f>INDEX(Tab_Def_Flows[[Flow_ID]:[CC_DM_source]],MATCH(Tab_Data_Flows[[#This Row],[Flow_Name]],Tab_Def_Flows[Flow_Name],0),11)</f>
        <v>0</v>
      </c>
      <c r="X160" s="7" t="str">
        <f>Tab_Data_Flows[[#This Row],[Flow_ID]]&amp;"_"&amp;"WC_"&amp;Tab_Data_Flows[[#This Row],[Flow_Data_Year]]</f>
        <v>F___WC_</v>
      </c>
      <c r="Y160" s="7" t="str">
        <f>IF(D160="Yes",U160*Tab_Data_Flows[[#This Row],[WC_'[%']]],"N.A.")</f>
        <v>N.A.</v>
      </c>
      <c r="Z160" s="7" t="str">
        <f>Tab_Data_Flows[[#This Row],[UoM_Flow_Py]]</f>
        <v>Mg</v>
      </c>
      <c r="AA160" s="156">
        <f>INDEX(Tab_Def_Flows[[Flow_ID]:[CC_DM_source]],MATCH(Tab_Data_Flows[[#This Row],[Flow_Name]],Tab_Def_Flows[Flow_Name],0),14)</f>
        <v>0</v>
      </c>
      <c r="AB160" s="7" t="str">
        <f>Tab_Data_Flows[[#This Row],[Flow_ID]]&amp;"_"&amp;"DM_"&amp;Tab_Data_Flows[[#This Row],[Flow_Data_Year]]</f>
        <v>F___DM_</v>
      </c>
      <c r="AC160" s="7" t="str">
        <f>IF(E160="Yes",AA160*Tab_Data_Flows[[#This Row],[Flow_Material]],"N.A.")</f>
        <v>N.A.</v>
      </c>
      <c r="AD160" s="7" t="str">
        <f>Tab_Data_Flows[[#This Row],[UoM_Flow_Py]]</f>
        <v>Mg</v>
      </c>
      <c r="AE160" s="156">
        <f>INDEX(Tab_Def_Flows[[Flow_ID]:[CC_DM_source]],MATCH(Tab_Data_Flows[[#This Row],[Flow_Name]],Tab_Def_Flows[Flow_Name],0),17)</f>
        <v>0</v>
      </c>
      <c r="AF160" s="7" t="str">
        <f>Tab_Data_Flows[[#This Row],[Flow_ID]]&amp;"_"&amp;"CC_"&amp;Tab_Data_Flows[[#This Row],[Flow_Data_Year]]</f>
        <v>F___CC_</v>
      </c>
      <c r="AG160" s="7" t="str">
        <f>IF(F160="Yes",AE160*Tab_Data_Flows[[#This Row],[Flow_Material]]*Tab_Data_Flows[[#This Row],[DM_'[%']]],"N.A.")</f>
        <v>N.A.</v>
      </c>
      <c r="AH160" s="7" t="str">
        <f>Tab_Data_Flows[[#This Row],[UoM_Flow_Py]]</f>
        <v>Mg</v>
      </c>
      <c r="AI160"/>
    </row>
    <row r="161" spans="1:35" x14ac:dyDescent="0.25">
      <c r="A161" s="9">
        <f t="shared" si="5"/>
        <v>160</v>
      </c>
      <c r="B161" s="7" t="str">
        <f>_xlfn.XLOOKUP(C161,Tab_Def_Flows[Flow_Name],Tab_Def_Flows[Flow_ID],,0,)</f>
        <v>F__</v>
      </c>
      <c r="C161" s="8" t="s">
        <v>31</v>
      </c>
      <c r="D161" s="10">
        <f>_xlfn.XLOOKUP(C161,Tab_Def_Flows[Flow_Name],Tab_Def_Flows[WC?],,0,)</f>
        <v>0</v>
      </c>
      <c r="E161" s="10">
        <f>_xlfn.XLOOKUP(C161,Tab_Def_Flows[Flow_Name],Tab_Def_Flows[DM?],,0,)</f>
        <v>0</v>
      </c>
      <c r="F161" s="10">
        <f>_xlfn.XLOOKUP(C161,Tab_Def_Flows[Flow_Name],Tab_Def_Flows[CC?],,0,)</f>
        <v>0</v>
      </c>
      <c r="G161" s="8"/>
      <c r="H161" s="28"/>
      <c r="I161" s="8"/>
      <c r="J161" s="8"/>
      <c r="K161" s="8" t="e">
        <f>INDEX(#REF!,MATCH(Tab_Data_Flows[[#This Row],[Flow_Name]],#REF!,0),12)</f>
        <v>#REF!</v>
      </c>
      <c r="L161" s="8" t="e">
        <f>MATCH(Tab_Data_Flows[[#This Row],[Flow_Name]],#REF!,0)</f>
        <v>#REF!</v>
      </c>
      <c r="M161" s="8"/>
      <c r="N161" s="8"/>
      <c r="O161" s="8"/>
      <c r="P161" s="8"/>
      <c r="Q161" s="8" t="s">
        <v>8</v>
      </c>
      <c r="R161" s="8"/>
      <c r="S161" s="8"/>
      <c r="T161" s="7" t="str">
        <f>Tab_Data_Flows[[#This Row],[Flow_ID]]&amp;"_"&amp;"material_"&amp;Tab_Data_Flows[[#This Row],[Flow_Data_Year]]</f>
        <v>F___material_</v>
      </c>
      <c r="U161" s="18">
        <f t="shared" si="6"/>
        <v>0</v>
      </c>
      <c r="V161" s="8" t="s">
        <v>218</v>
      </c>
      <c r="W161" s="156">
        <f>INDEX(Tab_Def_Flows[[Flow_ID]:[CC_DM_source]],MATCH(Tab_Data_Flows[[#This Row],[Flow_Name]],Tab_Def_Flows[Flow_Name],0),11)</f>
        <v>0</v>
      </c>
      <c r="X161" s="7" t="str">
        <f>Tab_Data_Flows[[#This Row],[Flow_ID]]&amp;"_"&amp;"WC_"&amp;Tab_Data_Flows[[#This Row],[Flow_Data_Year]]</f>
        <v>F___WC_</v>
      </c>
      <c r="Y161" s="7" t="str">
        <f>IF(D161="Yes",U161*Tab_Data_Flows[[#This Row],[WC_'[%']]],"N.A.")</f>
        <v>N.A.</v>
      </c>
      <c r="Z161" s="7" t="str">
        <f>Tab_Data_Flows[[#This Row],[UoM_Flow_Py]]</f>
        <v>Mg</v>
      </c>
      <c r="AA161" s="156">
        <f>INDEX(Tab_Def_Flows[[Flow_ID]:[CC_DM_source]],MATCH(Tab_Data_Flows[[#This Row],[Flow_Name]],Tab_Def_Flows[Flow_Name],0),14)</f>
        <v>0</v>
      </c>
      <c r="AB161" s="7" t="str">
        <f>Tab_Data_Flows[[#This Row],[Flow_ID]]&amp;"_"&amp;"DM_"&amp;Tab_Data_Flows[[#This Row],[Flow_Data_Year]]</f>
        <v>F___DM_</v>
      </c>
      <c r="AC161" s="7" t="str">
        <f>IF(E161="Yes",AA161*Tab_Data_Flows[[#This Row],[Flow_Material]],"N.A.")</f>
        <v>N.A.</v>
      </c>
      <c r="AD161" s="7" t="str">
        <f>Tab_Data_Flows[[#This Row],[UoM_Flow_Py]]</f>
        <v>Mg</v>
      </c>
      <c r="AE161" s="156">
        <f>INDEX(Tab_Def_Flows[[Flow_ID]:[CC_DM_source]],MATCH(Tab_Data_Flows[[#This Row],[Flow_Name]],Tab_Def_Flows[Flow_Name],0),17)</f>
        <v>0</v>
      </c>
      <c r="AF161" s="7" t="str">
        <f>Tab_Data_Flows[[#This Row],[Flow_ID]]&amp;"_"&amp;"CC_"&amp;Tab_Data_Flows[[#This Row],[Flow_Data_Year]]</f>
        <v>F___CC_</v>
      </c>
      <c r="AG161" s="7" t="str">
        <f>IF(F161="Yes",AE161*Tab_Data_Flows[[#This Row],[Flow_Material]]*Tab_Data_Flows[[#This Row],[DM_'[%']]],"N.A.")</f>
        <v>N.A.</v>
      </c>
      <c r="AH161" s="7" t="str">
        <f>Tab_Data_Flows[[#This Row],[UoM_Flow_Py]]</f>
        <v>Mg</v>
      </c>
      <c r="AI161"/>
    </row>
    <row r="162" spans="1:35" x14ac:dyDescent="0.25">
      <c r="A162" s="9">
        <f t="shared" si="5"/>
        <v>161</v>
      </c>
      <c r="B162" s="7" t="str">
        <f>_xlfn.XLOOKUP(C162,Tab_Def_Flows[Flow_Name],Tab_Def_Flows[Flow_ID],,0,)</f>
        <v>F__</v>
      </c>
      <c r="C162" s="8" t="s">
        <v>31</v>
      </c>
      <c r="D162" s="10">
        <f>_xlfn.XLOOKUP(C162,Tab_Def_Flows[Flow_Name],Tab_Def_Flows[WC?],,0,)</f>
        <v>0</v>
      </c>
      <c r="E162" s="10">
        <f>_xlfn.XLOOKUP(C162,Tab_Def_Flows[Flow_Name],Tab_Def_Flows[DM?],,0,)</f>
        <v>0</v>
      </c>
      <c r="F162" s="10">
        <f>_xlfn.XLOOKUP(C162,Tab_Def_Flows[Flow_Name],Tab_Def_Flows[CC?],,0,)</f>
        <v>0</v>
      </c>
      <c r="G162" s="8"/>
      <c r="H162" s="28"/>
      <c r="I162" s="8"/>
      <c r="J162" s="8"/>
      <c r="K162" s="8" t="e">
        <f>INDEX(#REF!,MATCH(Tab_Data_Flows[[#This Row],[Flow_Name]],#REF!,0),12)</f>
        <v>#REF!</v>
      </c>
      <c r="L162" s="8" t="e">
        <f>MATCH(Tab_Data_Flows[[#This Row],[Flow_Name]],#REF!,0)</f>
        <v>#REF!</v>
      </c>
      <c r="M162" s="8"/>
      <c r="N162" s="8"/>
      <c r="O162" s="8"/>
      <c r="P162" s="8"/>
      <c r="Q162" s="8" t="s">
        <v>8</v>
      </c>
      <c r="R162" s="8"/>
      <c r="S162" s="8"/>
      <c r="T162" s="7" t="str">
        <f>Tab_Data_Flows[[#This Row],[Flow_ID]]&amp;"_"&amp;"material_"&amp;Tab_Data_Flows[[#This Row],[Flow_Data_Year]]</f>
        <v>F___material_</v>
      </c>
      <c r="U162" s="18">
        <f t="shared" si="6"/>
        <v>0</v>
      </c>
      <c r="V162" s="8" t="s">
        <v>218</v>
      </c>
      <c r="W162" s="156">
        <f>INDEX(Tab_Def_Flows[[Flow_ID]:[CC_DM_source]],MATCH(Tab_Data_Flows[[#This Row],[Flow_Name]],Tab_Def_Flows[Flow_Name],0),11)</f>
        <v>0</v>
      </c>
      <c r="X162" s="7" t="str">
        <f>Tab_Data_Flows[[#This Row],[Flow_ID]]&amp;"_"&amp;"WC_"&amp;Tab_Data_Flows[[#This Row],[Flow_Data_Year]]</f>
        <v>F___WC_</v>
      </c>
      <c r="Y162" s="7" t="str">
        <f>IF(D162="Yes",U162*Tab_Data_Flows[[#This Row],[WC_'[%']]],"N.A.")</f>
        <v>N.A.</v>
      </c>
      <c r="Z162" s="7" t="str">
        <f>Tab_Data_Flows[[#This Row],[UoM_Flow_Py]]</f>
        <v>Mg</v>
      </c>
      <c r="AA162" s="156">
        <f>INDEX(Tab_Def_Flows[[Flow_ID]:[CC_DM_source]],MATCH(Tab_Data_Flows[[#This Row],[Flow_Name]],Tab_Def_Flows[Flow_Name],0),14)</f>
        <v>0</v>
      </c>
      <c r="AB162" s="7" t="str">
        <f>Tab_Data_Flows[[#This Row],[Flow_ID]]&amp;"_"&amp;"DM_"&amp;Tab_Data_Flows[[#This Row],[Flow_Data_Year]]</f>
        <v>F___DM_</v>
      </c>
      <c r="AC162" s="7" t="str">
        <f>IF(E162="Yes",AA162*Tab_Data_Flows[[#This Row],[Flow_Material]],"N.A.")</f>
        <v>N.A.</v>
      </c>
      <c r="AD162" s="7" t="str">
        <f>Tab_Data_Flows[[#This Row],[UoM_Flow_Py]]</f>
        <v>Mg</v>
      </c>
      <c r="AE162" s="156">
        <f>INDEX(Tab_Def_Flows[[Flow_ID]:[CC_DM_source]],MATCH(Tab_Data_Flows[[#This Row],[Flow_Name]],Tab_Def_Flows[Flow_Name],0),17)</f>
        <v>0</v>
      </c>
      <c r="AF162" s="7" t="str">
        <f>Tab_Data_Flows[[#This Row],[Flow_ID]]&amp;"_"&amp;"CC_"&amp;Tab_Data_Flows[[#This Row],[Flow_Data_Year]]</f>
        <v>F___CC_</v>
      </c>
      <c r="AG162" s="7" t="str">
        <f>IF(F162="Yes",AE162*Tab_Data_Flows[[#This Row],[Flow_Material]]*Tab_Data_Flows[[#This Row],[DM_'[%']]],"N.A.")</f>
        <v>N.A.</v>
      </c>
      <c r="AH162" s="7" t="str">
        <f>Tab_Data_Flows[[#This Row],[UoM_Flow_Py]]</f>
        <v>Mg</v>
      </c>
      <c r="AI162"/>
    </row>
    <row r="163" spans="1:35" x14ac:dyDescent="0.25">
      <c r="A163" s="9">
        <f t="shared" si="5"/>
        <v>162</v>
      </c>
      <c r="B163" s="7" t="str">
        <f>_xlfn.XLOOKUP(C163,Tab_Def_Flows[Flow_Name],Tab_Def_Flows[Flow_ID],,0,)</f>
        <v>F__</v>
      </c>
      <c r="C163" s="8" t="s">
        <v>31</v>
      </c>
      <c r="D163" s="10">
        <f>_xlfn.XLOOKUP(C163,Tab_Def_Flows[Flow_Name],Tab_Def_Flows[WC?],,0,)</f>
        <v>0</v>
      </c>
      <c r="E163" s="10">
        <f>_xlfn.XLOOKUP(C163,Tab_Def_Flows[Flow_Name],Tab_Def_Flows[DM?],,0,)</f>
        <v>0</v>
      </c>
      <c r="F163" s="10">
        <f>_xlfn.XLOOKUP(C163,Tab_Def_Flows[Flow_Name],Tab_Def_Flows[CC?],,0,)</f>
        <v>0</v>
      </c>
      <c r="G163" s="8"/>
      <c r="H163" s="28"/>
      <c r="I163" s="8"/>
      <c r="J163" s="8"/>
      <c r="K163" s="8" t="e">
        <f>INDEX(#REF!,MATCH(Tab_Data_Flows[[#This Row],[Flow_Name]],#REF!,0),12)</f>
        <v>#REF!</v>
      </c>
      <c r="L163" s="8" t="e">
        <f>MATCH(Tab_Data_Flows[[#This Row],[Flow_Name]],#REF!,0)</f>
        <v>#REF!</v>
      </c>
      <c r="M163" s="8"/>
      <c r="N163" s="8"/>
      <c r="O163" s="8"/>
      <c r="P163" s="8"/>
      <c r="Q163" s="8" t="s">
        <v>8</v>
      </c>
      <c r="R163" s="8"/>
      <c r="S163" s="8"/>
      <c r="T163" s="7" t="str">
        <f>Tab_Data_Flows[[#This Row],[Flow_ID]]&amp;"_"&amp;"material_"&amp;Tab_Data_Flows[[#This Row],[Flow_Data_Year]]</f>
        <v>F___material_</v>
      </c>
      <c r="U163" s="18">
        <f t="shared" si="6"/>
        <v>0</v>
      </c>
      <c r="V163" s="8" t="s">
        <v>218</v>
      </c>
      <c r="W163" s="156">
        <f>INDEX(Tab_Def_Flows[[Flow_ID]:[CC_DM_source]],MATCH(Tab_Data_Flows[[#This Row],[Flow_Name]],Tab_Def_Flows[Flow_Name],0),11)</f>
        <v>0</v>
      </c>
      <c r="X163" s="7" t="str">
        <f>Tab_Data_Flows[[#This Row],[Flow_ID]]&amp;"_"&amp;"WC_"&amp;Tab_Data_Flows[[#This Row],[Flow_Data_Year]]</f>
        <v>F___WC_</v>
      </c>
      <c r="Y163" s="7" t="str">
        <f>IF(D163="Yes",U163*Tab_Data_Flows[[#This Row],[WC_'[%']]],"N.A.")</f>
        <v>N.A.</v>
      </c>
      <c r="Z163" s="7" t="str">
        <f>Tab_Data_Flows[[#This Row],[UoM_Flow_Py]]</f>
        <v>Mg</v>
      </c>
      <c r="AA163" s="156">
        <f>INDEX(Tab_Def_Flows[[Flow_ID]:[CC_DM_source]],MATCH(Tab_Data_Flows[[#This Row],[Flow_Name]],Tab_Def_Flows[Flow_Name],0),14)</f>
        <v>0</v>
      </c>
      <c r="AB163" s="7" t="str">
        <f>Tab_Data_Flows[[#This Row],[Flow_ID]]&amp;"_"&amp;"DM_"&amp;Tab_Data_Flows[[#This Row],[Flow_Data_Year]]</f>
        <v>F___DM_</v>
      </c>
      <c r="AC163" s="7" t="str">
        <f>IF(E163="Yes",AA163*Tab_Data_Flows[[#This Row],[Flow_Material]],"N.A.")</f>
        <v>N.A.</v>
      </c>
      <c r="AD163" s="7" t="str">
        <f>Tab_Data_Flows[[#This Row],[UoM_Flow_Py]]</f>
        <v>Mg</v>
      </c>
      <c r="AE163" s="156">
        <f>INDEX(Tab_Def_Flows[[Flow_ID]:[CC_DM_source]],MATCH(Tab_Data_Flows[[#This Row],[Flow_Name]],Tab_Def_Flows[Flow_Name],0),17)</f>
        <v>0</v>
      </c>
      <c r="AF163" s="7" t="str">
        <f>Tab_Data_Flows[[#This Row],[Flow_ID]]&amp;"_"&amp;"CC_"&amp;Tab_Data_Flows[[#This Row],[Flow_Data_Year]]</f>
        <v>F___CC_</v>
      </c>
      <c r="AG163" s="7" t="str">
        <f>IF(F163="Yes",AE163*Tab_Data_Flows[[#This Row],[Flow_Material]]*Tab_Data_Flows[[#This Row],[DM_'[%']]],"N.A.")</f>
        <v>N.A.</v>
      </c>
      <c r="AH163" s="7" t="str">
        <f>Tab_Data_Flows[[#This Row],[UoM_Flow_Py]]</f>
        <v>Mg</v>
      </c>
      <c r="AI163"/>
    </row>
    <row r="164" spans="1:35" x14ac:dyDescent="0.25">
      <c r="A164" s="9">
        <f t="shared" si="5"/>
        <v>163</v>
      </c>
      <c r="B164" s="7" t="str">
        <f>_xlfn.XLOOKUP(C164,Tab_Def_Flows[Flow_Name],Tab_Def_Flows[Flow_ID],,0,)</f>
        <v>F__</v>
      </c>
      <c r="C164" s="8" t="s">
        <v>31</v>
      </c>
      <c r="D164" s="10">
        <f>_xlfn.XLOOKUP(C164,Tab_Def_Flows[Flow_Name],Tab_Def_Flows[WC?],,0,)</f>
        <v>0</v>
      </c>
      <c r="E164" s="10">
        <f>_xlfn.XLOOKUP(C164,Tab_Def_Flows[Flow_Name],Tab_Def_Flows[DM?],,0,)</f>
        <v>0</v>
      </c>
      <c r="F164" s="10">
        <f>_xlfn.XLOOKUP(C164,Tab_Def_Flows[Flow_Name],Tab_Def_Flows[CC?],,0,)</f>
        <v>0</v>
      </c>
      <c r="G164" s="8"/>
      <c r="H164" s="28"/>
      <c r="I164" s="8"/>
      <c r="J164" s="8"/>
      <c r="K164" s="8" t="e">
        <f>INDEX(#REF!,MATCH(Tab_Data_Flows[[#This Row],[Flow_Name]],#REF!,0),12)</f>
        <v>#REF!</v>
      </c>
      <c r="L164" s="8" t="e">
        <f>MATCH(Tab_Data_Flows[[#This Row],[Flow_Name]],#REF!,0)</f>
        <v>#REF!</v>
      </c>
      <c r="M164" s="8"/>
      <c r="N164" s="8"/>
      <c r="O164" s="8"/>
      <c r="P164" s="8"/>
      <c r="Q164" s="8" t="s">
        <v>8</v>
      </c>
      <c r="R164" s="8"/>
      <c r="S164" s="8"/>
      <c r="T164" s="7" t="str">
        <f>Tab_Data_Flows[[#This Row],[Flow_ID]]&amp;"_"&amp;"material_"&amp;Tab_Data_Flows[[#This Row],[Flow_Data_Year]]</f>
        <v>F___material_</v>
      </c>
      <c r="U164" s="18">
        <f t="shared" si="6"/>
        <v>0</v>
      </c>
      <c r="V164" s="8" t="s">
        <v>218</v>
      </c>
      <c r="W164" s="156">
        <f>INDEX(Tab_Def_Flows[[Flow_ID]:[CC_DM_source]],MATCH(Tab_Data_Flows[[#This Row],[Flow_Name]],Tab_Def_Flows[Flow_Name],0),11)</f>
        <v>0</v>
      </c>
      <c r="X164" s="7" t="str">
        <f>Tab_Data_Flows[[#This Row],[Flow_ID]]&amp;"_"&amp;"WC_"&amp;Tab_Data_Flows[[#This Row],[Flow_Data_Year]]</f>
        <v>F___WC_</v>
      </c>
      <c r="Y164" s="7" t="str">
        <f>IF(D164="Yes",U164*Tab_Data_Flows[[#This Row],[WC_'[%']]],"N.A.")</f>
        <v>N.A.</v>
      </c>
      <c r="Z164" s="7" t="str">
        <f>Tab_Data_Flows[[#This Row],[UoM_Flow_Py]]</f>
        <v>Mg</v>
      </c>
      <c r="AA164" s="156">
        <f>INDEX(Tab_Def_Flows[[Flow_ID]:[CC_DM_source]],MATCH(Tab_Data_Flows[[#This Row],[Flow_Name]],Tab_Def_Flows[Flow_Name],0),14)</f>
        <v>0</v>
      </c>
      <c r="AB164" s="7" t="str">
        <f>Tab_Data_Flows[[#This Row],[Flow_ID]]&amp;"_"&amp;"DM_"&amp;Tab_Data_Flows[[#This Row],[Flow_Data_Year]]</f>
        <v>F___DM_</v>
      </c>
      <c r="AC164" s="7" t="str">
        <f>IF(E164="Yes",AA164*Tab_Data_Flows[[#This Row],[Flow_Material]],"N.A.")</f>
        <v>N.A.</v>
      </c>
      <c r="AD164" s="7" t="str">
        <f>Tab_Data_Flows[[#This Row],[UoM_Flow_Py]]</f>
        <v>Mg</v>
      </c>
      <c r="AE164" s="156">
        <f>INDEX(Tab_Def_Flows[[Flow_ID]:[CC_DM_source]],MATCH(Tab_Data_Flows[[#This Row],[Flow_Name]],Tab_Def_Flows[Flow_Name],0),17)</f>
        <v>0</v>
      </c>
      <c r="AF164" s="7" t="str">
        <f>Tab_Data_Flows[[#This Row],[Flow_ID]]&amp;"_"&amp;"CC_"&amp;Tab_Data_Flows[[#This Row],[Flow_Data_Year]]</f>
        <v>F___CC_</v>
      </c>
      <c r="AG164" s="7" t="str">
        <f>IF(F164="Yes",AE164*Tab_Data_Flows[[#This Row],[Flow_Material]]*Tab_Data_Flows[[#This Row],[DM_'[%']]],"N.A.")</f>
        <v>N.A.</v>
      </c>
      <c r="AH164" s="7" t="str">
        <f>Tab_Data_Flows[[#This Row],[UoM_Flow_Py]]</f>
        <v>Mg</v>
      </c>
      <c r="AI164"/>
    </row>
    <row r="165" spans="1:35" x14ac:dyDescent="0.25">
      <c r="A165" s="9">
        <f t="shared" si="5"/>
        <v>164</v>
      </c>
      <c r="B165" s="7" t="str">
        <f>_xlfn.XLOOKUP(C165,Tab_Def_Flows[Flow_Name],Tab_Def_Flows[Flow_ID],,0,)</f>
        <v>F__</v>
      </c>
      <c r="C165" s="8" t="s">
        <v>31</v>
      </c>
      <c r="D165" s="10">
        <f>_xlfn.XLOOKUP(C165,Tab_Def_Flows[Flow_Name],Tab_Def_Flows[WC?],,0,)</f>
        <v>0</v>
      </c>
      <c r="E165" s="10">
        <f>_xlfn.XLOOKUP(C165,Tab_Def_Flows[Flow_Name],Tab_Def_Flows[DM?],,0,)</f>
        <v>0</v>
      </c>
      <c r="F165" s="10">
        <f>_xlfn.XLOOKUP(C165,Tab_Def_Flows[Flow_Name],Tab_Def_Flows[CC?],,0,)</f>
        <v>0</v>
      </c>
      <c r="G165" s="8"/>
      <c r="H165" s="28"/>
      <c r="I165" s="8"/>
      <c r="J165" s="8"/>
      <c r="K165" s="8" t="e">
        <f>INDEX(#REF!,MATCH(Tab_Data_Flows[[#This Row],[Flow_Name]],#REF!,0),12)</f>
        <v>#REF!</v>
      </c>
      <c r="L165" s="8" t="e">
        <f>MATCH(Tab_Data_Flows[[#This Row],[Flow_Name]],#REF!,0)</f>
        <v>#REF!</v>
      </c>
      <c r="M165" s="8"/>
      <c r="N165" s="8"/>
      <c r="O165" s="8"/>
      <c r="P165" s="8"/>
      <c r="Q165" s="8" t="s">
        <v>8</v>
      </c>
      <c r="R165" s="8"/>
      <c r="S165" s="8"/>
      <c r="T165" s="7" t="str">
        <f>Tab_Data_Flows[[#This Row],[Flow_ID]]&amp;"_"&amp;"material_"&amp;Tab_Data_Flows[[#This Row],[Flow_Data_Year]]</f>
        <v>F___material_</v>
      </c>
      <c r="U165" s="18">
        <f t="shared" si="6"/>
        <v>0</v>
      </c>
      <c r="V165" s="8" t="s">
        <v>218</v>
      </c>
      <c r="W165" s="156">
        <f>INDEX(Tab_Def_Flows[[Flow_ID]:[CC_DM_source]],MATCH(Tab_Data_Flows[[#This Row],[Flow_Name]],Tab_Def_Flows[Flow_Name],0),11)</f>
        <v>0</v>
      </c>
      <c r="X165" s="7" t="str">
        <f>Tab_Data_Flows[[#This Row],[Flow_ID]]&amp;"_"&amp;"WC_"&amp;Tab_Data_Flows[[#This Row],[Flow_Data_Year]]</f>
        <v>F___WC_</v>
      </c>
      <c r="Y165" s="7" t="str">
        <f>IF(D165="Yes",U165*Tab_Data_Flows[[#This Row],[WC_'[%']]],"N.A.")</f>
        <v>N.A.</v>
      </c>
      <c r="Z165" s="7" t="str">
        <f>Tab_Data_Flows[[#This Row],[UoM_Flow_Py]]</f>
        <v>Mg</v>
      </c>
      <c r="AA165" s="156">
        <f>INDEX(Tab_Def_Flows[[Flow_ID]:[CC_DM_source]],MATCH(Tab_Data_Flows[[#This Row],[Flow_Name]],Tab_Def_Flows[Flow_Name],0),14)</f>
        <v>0</v>
      </c>
      <c r="AB165" s="7" t="str">
        <f>Tab_Data_Flows[[#This Row],[Flow_ID]]&amp;"_"&amp;"DM_"&amp;Tab_Data_Flows[[#This Row],[Flow_Data_Year]]</f>
        <v>F___DM_</v>
      </c>
      <c r="AC165" s="7" t="str">
        <f>IF(E165="Yes",AA165*Tab_Data_Flows[[#This Row],[Flow_Material]],"N.A.")</f>
        <v>N.A.</v>
      </c>
      <c r="AD165" s="7" t="str">
        <f>Tab_Data_Flows[[#This Row],[UoM_Flow_Py]]</f>
        <v>Mg</v>
      </c>
      <c r="AE165" s="156">
        <f>INDEX(Tab_Def_Flows[[Flow_ID]:[CC_DM_source]],MATCH(Tab_Data_Flows[[#This Row],[Flow_Name]],Tab_Def_Flows[Flow_Name],0),17)</f>
        <v>0</v>
      </c>
      <c r="AF165" s="7" t="str">
        <f>Tab_Data_Flows[[#This Row],[Flow_ID]]&amp;"_"&amp;"CC_"&amp;Tab_Data_Flows[[#This Row],[Flow_Data_Year]]</f>
        <v>F___CC_</v>
      </c>
      <c r="AG165" s="7" t="str">
        <f>IF(F165="Yes",AE165*Tab_Data_Flows[[#This Row],[Flow_Material]]*Tab_Data_Flows[[#This Row],[DM_'[%']]],"N.A.")</f>
        <v>N.A.</v>
      </c>
      <c r="AH165" s="7" t="str">
        <f>Tab_Data_Flows[[#This Row],[UoM_Flow_Py]]</f>
        <v>Mg</v>
      </c>
      <c r="AI165"/>
    </row>
    <row r="166" spans="1:35" x14ac:dyDescent="0.25">
      <c r="A166" s="9">
        <f t="shared" si="5"/>
        <v>165</v>
      </c>
      <c r="B166" s="7" t="str">
        <f>_xlfn.XLOOKUP(C166,Tab_Def_Flows[Flow_Name],Tab_Def_Flows[Flow_ID],,0,)</f>
        <v>F__</v>
      </c>
      <c r="C166" s="8" t="s">
        <v>31</v>
      </c>
      <c r="D166" s="10">
        <f>_xlfn.XLOOKUP(C166,Tab_Def_Flows[Flow_Name],Tab_Def_Flows[WC?],,0,)</f>
        <v>0</v>
      </c>
      <c r="E166" s="10">
        <f>_xlfn.XLOOKUP(C166,Tab_Def_Flows[Flow_Name],Tab_Def_Flows[DM?],,0,)</f>
        <v>0</v>
      </c>
      <c r="F166" s="10">
        <f>_xlfn.XLOOKUP(C166,Tab_Def_Flows[Flow_Name],Tab_Def_Flows[CC?],,0,)</f>
        <v>0</v>
      </c>
      <c r="G166" s="8"/>
      <c r="H166" s="28"/>
      <c r="I166" s="8"/>
      <c r="J166" s="8"/>
      <c r="K166" s="8" t="e">
        <f>INDEX(#REF!,MATCH(Tab_Data_Flows[[#This Row],[Flow_Name]],#REF!,0),12)</f>
        <v>#REF!</v>
      </c>
      <c r="L166" s="8" t="e">
        <f>MATCH(Tab_Data_Flows[[#This Row],[Flow_Name]],#REF!,0)</f>
        <v>#REF!</v>
      </c>
      <c r="M166" s="8"/>
      <c r="N166" s="8"/>
      <c r="O166" s="8"/>
      <c r="P166" s="8"/>
      <c r="Q166" s="8" t="s">
        <v>8</v>
      </c>
      <c r="R166" s="8"/>
      <c r="S166" s="8"/>
      <c r="T166" s="7" t="str">
        <f>Tab_Data_Flows[[#This Row],[Flow_ID]]&amp;"_"&amp;"material_"&amp;Tab_Data_Flows[[#This Row],[Flow_Data_Year]]</f>
        <v>F___material_</v>
      </c>
      <c r="U166" s="18">
        <f t="shared" si="6"/>
        <v>0</v>
      </c>
      <c r="V166" s="8" t="s">
        <v>218</v>
      </c>
      <c r="W166" s="156">
        <f>INDEX(Tab_Def_Flows[[Flow_ID]:[CC_DM_source]],MATCH(Tab_Data_Flows[[#This Row],[Flow_Name]],Tab_Def_Flows[Flow_Name],0),11)</f>
        <v>0</v>
      </c>
      <c r="X166" s="7" t="str">
        <f>Tab_Data_Flows[[#This Row],[Flow_ID]]&amp;"_"&amp;"WC_"&amp;Tab_Data_Flows[[#This Row],[Flow_Data_Year]]</f>
        <v>F___WC_</v>
      </c>
      <c r="Y166" s="7" t="str">
        <f>IF(D166="Yes",U166*Tab_Data_Flows[[#This Row],[WC_'[%']]],"N.A.")</f>
        <v>N.A.</v>
      </c>
      <c r="Z166" s="7" t="str">
        <f>Tab_Data_Flows[[#This Row],[UoM_Flow_Py]]</f>
        <v>Mg</v>
      </c>
      <c r="AA166" s="156">
        <f>INDEX(Tab_Def_Flows[[Flow_ID]:[CC_DM_source]],MATCH(Tab_Data_Flows[[#This Row],[Flow_Name]],Tab_Def_Flows[Flow_Name],0),14)</f>
        <v>0</v>
      </c>
      <c r="AB166" s="7" t="str">
        <f>Tab_Data_Flows[[#This Row],[Flow_ID]]&amp;"_"&amp;"DM_"&amp;Tab_Data_Flows[[#This Row],[Flow_Data_Year]]</f>
        <v>F___DM_</v>
      </c>
      <c r="AC166" s="7" t="str">
        <f>IF(E166="Yes",AA166*Tab_Data_Flows[[#This Row],[Flow_Material]],"N.A.")</f>
        <v>N.A.</v>
      </c>
      <c r="AD166" s="7" t="str">
        <f>Tab_Data_Flows[[#This Row],[UoM_Flow_Py]]</f>
        <v>Mg</v>
      </c>
      <c r="AE166" s="156">
        <f>INDEX(Tab_Def_Flows[[Flow_ID]:[CC_DM_source]],MATCH(Tab_Data_Flows[[#This Row],[Flow_Name]],Tab_Def_Flows[Flow_Name],0),17)</f>
        <v>0</v>
      </c>
      <c r="AF166" s="7" t="str">
        <f>Tab_Data_Flows[[#This Row],[Flow_ID]]&amp;"_"&amp;"CC_"&amp;Tab_Data_Flows[[#This Row],[Flow_Data_Year]]</f>
        <v>F___CC_</v>
      </c>
      <c r="AG166" s="7" t="str">
        <f>IF(F166="Yes",AE166*Tab_Data_Flows[[#This Row],[Flow_Material]]*Tab_Data_Flows[[#This Row],[DM_'[%']]],"N.A.")</f>
        <v>N.A.</v>
      </c>
      <c r="AH166" s="7" t="str">
        <f>Tab_Data_Flows[[#This Row],[UoM_Flow_Py]]</f>
        <v>Mg</v>
      </c>
      <c r="AI166"/>
    </row>
    <row r="167" spans="1:35" x14ac:dyDescent="0.25">
      <c r="A167" s="9">
        <f t="shared" si="5"/>
        <v>166</v>
      </c>
      <c r="B167" s="7" t="str">
        <f>_xlfn.XLOOKUP(C167,Tab_Def_Flows[Flow_Name],Tab_Def_Flows[Flow_ID],,0,)</f>
        <v>F__</v>
      </c>
      <c r="C167" s="8" t="s">
        <v>31</v>
      </c>
      <c r="D167" s="10">
        <f>_xlfn.XLOOKUP(C167,Tab_Def_Flows[Flow_Name],Tab_Def_Flows[WC?],,0,)</f>
        <v>0</v>
      </c>
      <c r="E167" s="10">
        <f>_xlfn.XLOOKUP(C167,Tab_Def_Flows[Flow_Name],Tab_Def_Flows[DM?],,0,)</f>
        <v>0</v>
      </c>
      <c r="F167" s="10">
        <f>_xlfn.XLOOKUP(C167,Tab_Def_Flows[Flow_Name],Tab_Def_Flows[CC?],,0,)</f>
        <v>0</v>
      </c>
      <c r="G167" s="8"/>
      <c r="H167" s="28"/>
      <c r="I167" s="8"/>
      <c r="J167" s="8"/>
      <c r="K167" s="8" t="e">
        <f>INDEX(#REF!,MATCH(Tab_Data_Flows[[#This Row],[Flow_Name]],#REF!,0),12)</f>
        <v>#REF!</v>
      </c>
      <c r="L167" s="8" t="e">
        <f>MATCH(Tab_Data_Flows[[#This Row],[Flow_Name]],#REF!,0)</f>
        <v>#REF!</v>
      </c>
      <c r="M167" s="8"/>
      <c r="N167" s="8"/>
      <c r="O167" s="8"/>
      <c r="P167" s="8"/>
      <c r="Q167" s="8" t="s">
        <v>8</v>
      </c>
      <c r="R167" s="8"/>
      <c r="S167" s="8"/>
      <c r="T167" s="7" t="str">
        <f>Tab_Data_Flows[[#This Row],[Flow_ID]]&amp;"_"&amp;"material_"&amp;Tab_Data_Flows[[#This Row],[Flow_Data_Year]]</f>
        <v>F___material_</v>
      </c>
      <c r="U167" s="18">
        <f t="shared" si="6"/>
        <v>0</v>
      </c>
      <c r="V167" s="8" t="s">
        <v>218</v>
      </c>
      <c r="W167" s="156">
        <f>INDEX(Tab_Def_Flows[[Flow_ID]:[CC_DM_source]],MATCH(Tab_Data_Flows[[#This Row],[Flow_Name]],Tab_Def_Flows[Flow_Name],0),11)</f>
        <v>0</v>
      </c>
      <c r="X167" s="7" t="str">
        <f>Tab_Data_Flows[[#This Row],[Flow_ID]]&amp;"_"&amp;"WC_"&amp;Tab_Data_Flows[[#This Row],[Flow_Data_Year]]</f>
        <v>F___WC_</v>
      </c>
      <c r="Y167" s="7" t="str">
        <f>IF(D167="Yes",U167*Tab_Data_Flows[[#This Row],[WC_'[%']]],"N.A.")</f>
        <v>N.A.</v>
      </c>
      <c r="Z167" s="7" t="str">
        <f>Tab_Data_Flows[[#This Row],[UoM_Flow_Py]]</f>
        <v>Mg</v>
      </c>
      <c r="AA167" s="156">
        <f>INDEX(Tab_Def_Flows[[Flow_ID]:[CC_DM_source]],MATCH(Tab_Data_Flows[[#This Row],[Flow_Name]],Tab_Def_Flows[Flow_Name],0),14)</f>
        <v>0</v>
      </c>
      <c r="AB167" s="7" t="str">
        <f>Tab_Data_Flows[[#This Row],[Flow_ID]]&amp;"_"&amp;"DM_"&amp;Tab_Data_Flows[[#This Row],[Flow_Data_Year]]</f>
        <v>F___DM_</v>
      </c>
      <c r="AC167" s="7" t="str">
        <f>IF(E167="Yes",AA167*Tab_Data_Flows[[#This Row],[Flow_Material]],"N.A.")</f>
        <v>N.A.</v>
      </c>
      <c r="AD167" s="7" t="str">
        <f>Tab_Data_Flows[[#This Row],[UoM_Flow_Py]]</f>
        <v>Mg</v>
      </c>
      <c r="AE167" s="156">
        <f>INDEX(Tab_Def_Flows[[Flow_ID]:[CC_DM_source]],MATCH(Tab_Data_Flows[[#This Row],[Flow_Name]],Tab_Def_Flows[Flow_Name],0),17)</f>
        <v>0</v>
      </c>
      <c r="AF167" s="7" t="str">
        <f>Tab_Data_Flows[[#This Row],[Flow_ID]]&amp;"_"&amp;"CC_"&amp;Tab_Data_Flows[[#This Row],[Flow_Data_Year]]</f>
        <v>F___CC_</v>
      </c>
      <c r="AG167" s="7" t="str">
        <f>IF(F167="Yes",AE167*Tab_Data_Flows[[#This Row],[Flow_Material]]*Tab_Data_Flows[[#This Row],[DM_'[%']]],"N.A.")</f>
        <v>N.A.</v>
      </c>
      <c r="AH167" s="7" t="str">
        <f>Tab_Data_Flows[[#This Row],[UoM_Flow_Py]]</f>
        <v>Mg</v>
      </c>
      <c r="AI167"/>
    </row>
    <row r="168" spans="1:35" x14ac:dyDescent="0.25">
      <c r="A168" s="9">
        <f t="shared" si="5"/>
        <v>167</v>
      </c>
      <c r="B168" s="7" t="str">
        <f>_xlfn.XLOOKUP(C168,Tab_Def_Flows[Flow_Name],Tab_Def_Flows[Flow_ID],,0,)</f>
        <v>F__</v>
      </c>
      <c r="C168" s="8" t="s">
        <v>31</v>
      </c>
      <c r="D168" s="10">
        <f>_xlfn.XLOOKUP(C168,Tab_Def_Flows[Flow_Name],Tab_Def_Flows[WC?],,0,)</f>
        <v>0</v>
      </c>
      <c r="E168" s="10">
        <f>_xlfn.XLOOKUP(C168,Tab_Def_Flows[Flow_Name],Tab_Def_Flows[DM?],,0,)</f>
        <v>0</v>
      </c>
      <c r="F168" s="10">
        <f>_xlfn.XLOOKUP(C168,Tab_Def_Flows[Flow_Name],Tab_Def_Flows[CC?],,0,)</f>
        <v>0</v>
      </c>
      <c r="G168" s="8"/>
      <c r="H168" s="28"/>
      <c r="I168" s="8"/>
      <c r="J168" s="8"/>
      <c r="K168" s="8" t="e">
        <f>INDEX(#REF!,MATCH(Tab_Data_Flows[[#This Row],[Flow_Name]],#REF!,0),12)</f>
        <v>#REF!</v>
      </c>
      <c r="L168" s="8" t="e">
        <f>MATCH(Tab_Data_Flows[[#This Row],[Flow_Name]],#REF!,0)</f>
        <v>#REF!</v>
      </c>
      <c r="M168" s="8"/>
      <c r="N168" s="8"/>
      <c r="O168" s="8"/>
      <c r="P168" s="8"/>
      <c r="Q168" s="8" t="s">
        <v>8</v>
      </c>
      <c r="R168" s="8"/>
      <c r="S168" s="8"/>
      <c r="T168" s="7" t="str">
        <f>Tab_Data_Flows[[#This Row],[Flow_ID]]&amp;"_"&amp;"material_"&amp;Tab_Data_Flows[[#This Row],[Flow_Data_Year]]</f>
        <v>F___material_</v>
      </c>
      <c r="U168" s="18">
        <f t="shared" si="6"/>
        <v>0</v>
      </c>
      <c r="V168" s="8" t="s">
        <v>218</v>
      </c>
      <c r="W168" s="156">
        <f>INDEX(Tab_Def_Flows[[Flow_ID]:[CC_DM_source]],MATCH(Tab_Data_Flows[[#This Row],[Flow_Name]],Tab_Def_Flows[Flow_Name],0),11)</f>
        <v>0</v>
      </c>
      <c r="X168" s="7" t="str">
        <f>Tab_Data_Flows[[#This Row],[Flow_ID]]&amp;"_"&amp;"WC_"&amp;Tab_Data_Flows[[#This Row],[Flow_Data_Year]]</f>
        <v>F___WC_</v>
      </c>
      <c r="Y168" s="7" t="str">
        <f>IF(D168="Yes",U168*Tab_Data_Flows[[#This Row],[WC_'[%']]],"N.A.")</f>
        <v>N.A.</v>
      </c>
      <c r="Z168" s="7" t="str">
        <f>Tab_Data_Flows[[#This Row],[UoM_Flow_Py]]</f>
        <v>Mg</v>
      </c>
      <c r="AA168" s="156">
        <f>INDEX(Tab_Def_Flows[[Flow_ID]:[CC_DM_source]],MATCH(Tab_Data_Flows[[#This Row],[Flow_Name]],Tab_Def_Flows[Flow_Name],0),14)</f>
        <v>0</v>
      </c>
      <c r="AB168" s="7" t="str">
        <f>Tab_Data_Flows[[#This Row],[Flow_ID]]&amp;"_"&amp;"DM_"&amp;Tab_Data_Flows[[#This Row],[Flow_Data_Year]]</f>
        <v>F___DM_</v>
      </c>
      <c r="AC168" s="7" t="str">
        <f>IF(E168="Yes",AA168*Tab_Data_Flows[[#This Row],[Flow_Material]],"N.A.")</f>
        <v>N.A.</v>
      </c>
      <c r="AD168" s="7" t="str">
        <f>Tab_Data_Flows[[#This Row],[UoM_Flow_Py]]</f>
        <v>Mg</v>
      </c>
      <c r="AE168" s="156">
        <f>INDEX(Tab_Def_Flows[[Flow_ID]:[CC_DM_source]],MATCH(Tab_Data_Flows[[#This Row],[Flow_Name]],Tab_Def_Flows[Flow_Name],0),17)</f>
        <v>0</v>
      </c>
      <c r="AF168" s="7" t="str">
        <f>Tab_Data_Flows[[#This Row],[Flow_ID]]&amp;"_"&amp;"CC_"&amp;Tab_Data_Flows[[#This Row],[Flow_Data_Year]]</f>
        <v>F___CC_</v>
      </c>
      <c r="AG168" s="7" t="str">
        <f>IF(F168="Yes",AE168*Tab_Data_Flows[[#This Row],[Flow_Material]]*Tab_Data_Flows[[#This Row],[DM_'[%']]],"N.A.")</f>
        <v>N.A.</v>
      </c>
      <c r="AH168" s="7" t="str">
        <f>Tab_Data_Flows[[#This Row],[UoM_Flow_Py]]</f>
        <v>Mg</v>
      </c>
      <c r="AI168"/>
    </row>
    <row r="169" spans="1:35" x14ac:dyDescent="0.25">
      <c r="A169" s="9">
        <f t="shared" si="5"/>
        <v>168</v>
      </c>
      <c r="B169" s="7" t="str">
        <f>_xlfn.XLOOKUP(C169,Tab_Def_Flows[Flow_Name],Tab_Def_Flows[Flow_ID],,0,)</f>
        <v>F__</v>
      </c>
      <c r="C169" s="8" t="s">
        <v>31</v>
      </c>
      <c r="D169" s="10">
        <f>_xlfn.XLOOKUP(C169,Tab_Def_Flows[Flow_Name],Tab_Def_Flows[WC?],,0,)</f>
        <v>0</v>
      </c>
      <c r="E169" s="10">
        <f>_xlfn.XLOOKUP(C169,Tab_Def_Flows[Flow_Name],Tab_Def_Flows[DM?],,0,)</f>
        <v>0</v>
      </c>
      <c r="F169" s="10">
        <f>_xlfn.XLOOKUP(C169,Tab_Def_Flows[Flow_Name],Tab_Def_Flows[CC?],,0,)</f>
        <v>0</v>
      </c>
      <c r="G169" s="8"/>
      <c r="H169" s="28"/>
      <c r="I169" s="8"/>
      <c r="J169" s="8"/>
      <c r="K169" s="8" t="e">
        <f>INDEX(#REF!,MATCH(Tab_Data_Flows[[#This Row],[Flow_Name]],#REF!,0),12)</f>
        <v>#REF!</v>
      </c>
      <c r="L169" s="8" t="e">
        <f>MATCH(Tab_Data_Flows[[#This Row],[Flow_Name]],#REF!,0)</f>
        <v>#REF!</v>
      </c>
      <c r="M169" s="8"/>
      <c r="N169" s="8"/>
      <c r="O169" s="8"/>
      <c r="P169" s="8"/>
      <c r="Q169" s="8" t="s">
        <v>8</v>
      </c>
      <c r="R169" s="8"/>
      <c r="S169" s="8"/>
      <c r="T169" s="7" t="str">
        <f>Tab_Data_Flows[[#This Row],[Flow_ID]]&amp;"_"&amp;"material_"&amp;Tab_Data_Flows[[#This Row],[Flow_Data_Year]]</f>
        <v>F___material_</v>
      </c>
      <c r="U169" s="18">
        <f t="shared" si="6"/>
        <v>0</v>
      </c>
      <c r="V169" s="8" t="s">
        <v>218</v>
      </c>
      <c r="W169" s="156">
        <f>INDEX(Tab_Def_Flows[[Flow_ID]:[CC_DM_source]],MATCH(Tab_Data_Flows[[#This Row],[Flow_Name]],Tab_Def_Flows[Flow_Name],0),11)</f>
        <v>0</v>
      </c>
      <c r="X169" s="7" t="str">
        <f>Tab_Data_Flows[[#This Row],[Flow_ID]]&amp;"_"&amp;"WC_"&amp;Tab_Data_Flows[[#This Row],[Flow_Data_Year]]</f>
        <v>F___WC_</v>
      </c>
      <c r="Y169" s="7" t="str">
        <f>IF(D169="Yes",U169*Tab_Data_Flows[[#This Row],[WC_'[%']]],"N.A.")</f>
        <v>N.A.</v>
      </c>
      <c r="Z169" s="7" t="str">
        <f>Tab_Data_Flows[[#This Row],[UoM_Flow_Py]]</f>
        <v>Mg</v>
      </c>
      <c r="AA169" s="156">
        <f>INDEX(Tab_Def_Flows[[Flow_ID]:[CC_DM_source]],MATCH(Tab_Data_Flows[[#This Row],[Flow_Name]],Tab_Def_Flows[Flow_Name],0),14)</f>
        <v>0</v>
      </c>
      <c r="AB169" s="7" t="str">
        <f>Tab_Data_Flows[[#This Row],[Flow_ID]]&amp;"_"&amp;"DM_"&amp;Tab_Data_Flows[[#This Row],[Flow_Data_Year]]</f>
        <v>F___DM_</v>
      </c>
      <c r="AC169" s="7" t="str">
        <f>IF(E169="Yes",AA169*Tab_Data_Flows[[#This Row],[Flow_Material]],"N.A.")</f>
        <v>N.A.</v>
      </c>
      <c r="AD169" s="7" t="str">
        <f>Tab_Data_Flows[[#This Row],[UoM_Flow_Py]]</f>
        <v>Mg</v>
      </c>
      <c r="AE169" s="156">
        <f>INDEX(Tab_Def_Flows[[Flow_ID]:[CC_DM_source]],MATCH(Tab_Data_Flows[[#This Row],[Flow_Name]],Tab_Def_Flows[Flow_Name],0),17)</f>
        <v>0</v>
      </c>
      <c r="AF169" s="7" t="str">
        <f>Tab_Data_Flows[[#This Row],[Flow_ID]]&amp;"_"&amp;"CC_"&amp;Tab_Data_Flows[[#This Row],[Flow_Data_Year]]</f>
        <v>F___CC_</v>
      </c>
      <c r="AG169" s="7" t="str">
        <f>IF(F169="Yes",AE169*Tab_Data_Flows[[#This Row],[Flow_Material]]*Tab_Data_Flows[[#This Row],[DM_'[%']]],"N.A.")</f>
        <v>N.A.</v>
      </c>
      <c r="AH169" s="7" t="str">
        <f>Tab_Data_Flows[[#This Row],[UoM_Flow_Py]]</f>
        <v>Mg</v>
      </c>
      <c r="AI169"/>
    </row>
    <row r="170" spans="1:35" x14ac:dyDescent="0.25">
      <c r="A170" s="9">
        <f t="shared" si="5"/>
        <v>169</v>
      </c>
      <c r="B170" s="7" t="str">
        <f>_xlfn.XLOOKUP(C170,Tab_Def_Flows[Flow_Name],Tab_Def_Flows[Flow_ID],,0,)</f>
        <v>F__</v>
      </c>
      <c r="C170" s="8" t="s">
        <v>31</v>
      </c>
      <c r="D170" s="10">
        <f>_xlfn.XLOOKUP(C170,Tab_Def_Flows[Flow_Name],Tab_Def_Flows[WC?],,0,)</f>
        <v>0</v>
      </c>
      <c r="E170" s="10">
        <f>_xlfn.XLOOKUP(C170,Tab_Def_Flows[Flow_Name],Tab_Def_Flows[DM?],,0,)</f>
        <v>0</v>
      </c>
      <c r="F170" s="10">
        <f>_xlfn.XLOOKUP(C170,Tab_Def_Flows[Flow_Name],Tab_Def_Flows[CC?],,0,)</f>
        <v>0</v>
      </c>
      <c r="G170" s="8"/>
      <c r="H170" s="28"/>
      <c r="I170" s="8"/>
      <c r="J170" s="8"/>
      <c r="K170" s="8" t="e">
        <f>INDEX(#REF!,MATCH(Tab_Data_Flows[[#This Row],[Flow_Name]],#REF!,0),12)</f>
        <v>#REF!</v>
      </c>
      <c r="L170" s="8" t="e">
        <f>MATCH(Tab_Data_Flows[[#This Row],[Flow_Name]],#REF!,0)</f>
        <v>#REF!</v>
      </c>
      <c r="M170" s="8"/>
      <c r="N170" s="8"/>
      <c r="O170" s="8"/>
      <c r="P170" s="8"/>
      <c r="Q170" s="8" t="s">
        <v>8</v>
      </c>
      <c r="R170" s="8"/>
      <c r="S170" s="8"/>
      <c r="T170" s="7" t="str">
        <f>Tab_Data_Flows[[#This Row],[Flow_ID]]&amp;"_"&amp;"material_"&amp;Tab_Data_Flows[[#This Row],[Flow_Data_Year]]</f>
        <v>F___material_</v>
      </c>
      <c r="U170" s="18">
        <f t="shared" si="6"/>
        <v>0</v>
      </c>
      <c r="V170" s="8" t="s">
        <v>218</v>
      </c>
      <c r="W170" s="156">
        <f>INDEX(Tab_Def_Flows[[Flow_ID]:[CC_DM_source]],MATCH(Tab_Data_Flows[[#This Row],[Flow_Name]],Tab_Def_Flows[Flow_Name],0),11)</f>
        <v>0</v>
      </c>
      <c r="X170" s="7" t="str">
        <f>Tab_Data_Flows[[#This Row],[Flow_ID]]&amp;"_"&amp;"WC_"&amp;Tab_Data_Flows[[#This Row],[Flow_Data_Year]]</f>
        <v>F___WC_</v>
      </c>
      <c r="Y170" s="7" t="str">
        <f>IF(D170="Yes",U170*Tab_Data_Flows[[#This Row],[WC_'[%']]],"N.A.")</f>
        <v>N.A.</v>
      </c>
      <c r="Z170" s="7" t="str">
        <f>Tab_Data_Flows[[#This Row],[UoM_Flow_Py]]</f>
        <v>Mg</v>
      </c>
      <c r="AA170" s="156">
        <f>INDEX(Tab_Def_Flows[[Flow_ID]:[CC_DM_source]],MATCH(Tab_Data_Flows[[#This Row],[Flow_Name]],Tab_Def_Flows[Flow_Name],0),14)</f>
        <v>0</v>
      </c>
      <c r="AB170" s="7" t="str">
        <f>Tab_Data_Flows[[#This Row],[Flow_ID]]&amp;"_"&amp;"DM_"&amp;Tab_Data_Flows[[#This Row],[Flow_Data_Year]]</f>
        <v>F___DM_</v>
      </c>
      <c r="AC170" s="7" t="str">
        <f>IF(E170="Yes",AA170*Tab_Data_Flows[[#This Row],[Flow_Material]],"N.A.")</f>
        <v>N.A.</v>
      </c>
      <c r="AD170" s="7" t="str">
        <f>Tab_Data_Flows[[#This Row],[UoM_Flow_Py]]</f>
        <v>Mg</v>
      </c>
      <c r="AE170" s="156">
        <f>INDEX(Tab_Def_Flows[[Flow_ID]:[CC_DM_source]],MATCH(Tab_Data_Flows[[#This Row],[Flow_Name]],Tab_Def_Flows[Flow_Name],0),17)</f>
        <v>0</v>
      </c>
      <c r="AF170" s="7" t="str">
        <f>Tab_Data_Flows[[#This Row],[Flow_ID]]&amp;"_"&amp;"CC_"&amp;Tab_Data_Flows[[#This Row],[Flow_Data_Year]]</f>
        <v>F___CC_</v>
      </c>
      <c r="AG170" s="7" t="str">
        <f>IF(F170="Yes",AE170*Tab_Data_Flows[[#This Row],[Flow_Material]]*Tab_Data_Flows[[#This Row],[DM_'[%']]],"N.A.")</f>
        <v>N.A.</v>
      </c>
      <c r="AH170" s="7" t="str">
        <f>Tab_Data_Flows[[#This Row],[UoM_Flow_Py]]</f>
        <v>Mg</v>
      </c>
      <c r="AI170"/>
    </row>
    <row r="171" spans="1:35" x14ac:dyDescent="0.25">
      <c r="A171" s="9">
        <f t="shared" si="5"/>
        <v>170</v>
      </c>
      <c r="B171" s="7" t="str">
        <f>_xlfn.XLOOKUP(C171,Tab_Def_Flows[Flow_Name],Tab_Def_Flows[Flow_ID],,0,)</f>
        <v>F__</v>
      </c>
      <c r="C171" s="8" t="s">
        <v>31</v>
      </c>
      <c r="D171" s="10">
        <f>_xlfn.XLOOKUP(C171,Tab_Def_Flows[Flow_Name],Tab_Def_Flows[WC?],,0,)</f>
        <v>0</v>
      </c>
      <c r="E171" s="10">
        <f>_xlfn.XLOOKUP(C171,Tab_Def_Flows[Flow_Name],Tab_Def_Flows[DM?],,0,)</f>
        <v>0</v>
      </c>
      <c r="F171" s="10">
        <f>_xlfn.XLOOKUP(C171,Tab_Def_Flows[Flow_Name],Tab_Def_Flows[CC?],,0,)</f>
        <v>0</v>
      </c>
      <c r="G171" s="8"/>
      <c r="H171" s="28"/>
      <c r="I171" s="8"/>
      <c r="J171" s="8"/>
      <c r="K171" s="8" t="e">
        <f>INDEX(#REF!,MATCH(Tab_Data_Flows[[#This Row],[Flow_Name]],#REF!,0),12)</f>
        <v>#REF!</v>
      </c>
      <c r="L171" s="8" t="e">
        <f>MATCH(Tab_Data_Flows[[#This Row],[Flow_Name]],#REF!,0)</f>
        <v>#REF!</v>
      </c>
      <c r="M171" s="8"/>
      <c r="N171" s="8"/>
      <c r="O171" s="8"/>
      <c r="P171" s="8"/>
      <c r="Q171" s="8" t="s">
        <v>8</v>
      </c>
      <c r="R171" s="8"/>
      <c r="S171" s="8"/>
      <c r="T171" s="7" t="str">
        <f>Tab_Data_Flows[[#This Row],[Flow_ID]]&amp;"_"&amp;"material_"&amp;Tab_Data_Flows[[#This Row],[Flow_Data_Year]]</f>
        <v>F___material_</v>
      </c>
      <c r="U171" s="18">
        <f t="shared" si="6"/>
        <v>0</v>
      </c>
      <c r="V171" s="8" t="s">
        <v>218</v>
      </c>
      <c r="W171" s="156">
        <f>INDEX(Tab_Def_Flows[[Flow_ID]:[CC_DM_source]],MATCH(Tab_Data_Flows[[#This Row],[Flow_Name]],Tab_Def_Flows[Flow_Name],0),11)</f>
        <v>0</v>
      </c>
      <c r="X171" s="7" t="str">
        <f>Tab_Data_Flows[[#This Row],[Flow_ID]]&amp;"_"&amp;"WC_"&amp;Tab_Data_Flows[[#This Row],[Flow_Data_Year]]</f>
        <v>F___WC_</v>
      </c>
      <c r="Y171" s="7" t="str">
        <f>IF(D171="Yes",U171*Tab_Data_Flows[[#This Row],[WC_'[%']]],"N.A.")</f>
        <v>N.A.</v>
      </c>
      <c r="Z171" s="7" t="str">
        <f>Tab_Data_Flows[[#This Row],[UoM_Flow_Py]]</f>
        <v>Mg</v>
      </c>
      <c r="AA171" s="156">
        <f>INDEX(Tab_Def_Flows[[Flow_ID]:[CC_DM_source]],MATCH(Tab_Data_Flows[[#This Row],[Flow_Name]],Tab_Def_Flows[Flow_Name],0),14)</f>
        <v>0</v>
      </c>
      <c r="AB171" s="7" t="str">
        <f>Tab_Data_Flows[[#This Row],[Flow_ID]]&amp;"_"&amp;"DM_"&amp;Tab_Data_Flows[[#This Row],[Flow_Data_Year]]</f>
        <v>F___DM_</v>
      </c>
      <c r="AC171" s="7" t="str">
        <f>IF(E171="Yes",AA171*Tab_Data_Flows[[#This Row],[Flow_Material]],"N.A.")</f>
        <v>N.A.</v>
      </c>
      <c r="AD171" s="7" t="str">
        <f>Tab_Data_Flows[[#This Row],[UoM_Flow_Py]]</f>
        <v>Mg</v>
      </c>
      <c r="AE171" s="156">
        <f>INDEX(Tab_Def_Flows[[Flow_ID]:[CC_DM_source]],MATCH(Tab_Data_Flows[[#This Row],[Flow_Name]],Tab_Def_Flows[Flow_Name],0),17)</f>
        <v>0</v>
      </c>
      <c r="AF171" s="7" t="str">
        <f>Tab_Data_Flows[[#This Row],[Flow_ID]]&amp;"_"&amp;"CC_"&amp;Tab_Data_Flows[[#This Row],[Flow_Data_Year]]</f>
        <v>F___CC_</v>
      </c>
      <c r="AG171" s="7" t="str">
        <f>IF(F171="Yes",AE171*Tab_Data_Flows[[#This Row],[Flow_Material]]*Tab_Data_Flows[[#This Row],[DM_'[%']]],"N.A.")</f>
        <v>N.A.</v>
      </c>
      <c r="AH171" s="7" t="str">
        <f>Tab_Data_Flows[[#This Row],[UoM_Flow_Py]]</f>
        <v>Mg</v>
      </c>
      <c r="AI171"/>
    </row>
    <row r="172" spans="1:35" x14ac:dyDescent="0.25">
      <c r="A172" s="9">
        <f t="shared" si="5"/>
        <v>171</v>
      </c>
      <c r="B172" s="7" t="str">
        <f>_xlfn.XLOOKUP(C172,Tab_Def_Flows[Flow_Name],Tab_Def_Flows[Flow_ID],,0,)</f>
        <v>F__</v>
      </c>
      <c r="C172" s="8" t="s">
        <v>31</v>
      </c>
      <c r="D172" s="10">
        <f>_xlfn.XLOOKUP(C172,Tab_Def_Flows[Flow_Name],Tab_Def_Flows[WC?],,0,)</f>
        <v>0</v>
      </c>
      <c r="E172" s="10">
        <f>_xlfn.XLOOKUP(C172,Tab_Def_Flows[Flow_Name],Tab_Def_Flows[DM?],,0,)</f>
        <v>0</v>
      </c>
      <c r="F172" s="10">
        <f>_xlfn.XLOOKUP(C172,Tab_Def_Flows[Flow_Name],Tab_Def_Flows[CC?],,0,)</f>
        <v>0</v>
      </c>
      <c r="G172" s="8"/>
      <c r="H172" s="28"/>
      <c r="I172" s="8"/>
      <c r="J172" s="8"/>
      <c r="K172" s="8" t="e">
        <f>INDEX(#REF!,MATCH(Tab_Data_Flows[[#This Row],[Flow_Name]],#REF!,0),12)</f>
        <v>#REF!</v>
      </c>
      <c r="L172" s="8" t="e">
        <f>MATCH(Tab_Data_Flows[[#This Row],[Flow_Name]],#REF!,0)</f>
        <v>#REF!</v>
      </c>
      <c r="M172" s="8"/>
      <c r="N172" s="8"/>
      <c r="O172" s="8"/>
      <c r="P172" s="8"/>
      <c r="Q172" s="8" t="s">
        <v>8</v>
      </c>
      <c r="R172" s="8"/>
      <c r="S172" s="8"/>
      <c r="T172" s="7" t="str">
        <f>Tab_Data_Flows[[#This Row],[Flow_ID]]&amp;"_"&amp;"material_"&amp;Tab_Data_Flows[[#This Row],[Flow_Data_Year]]</f>
        <v>F___material_</v>
      </c>
      <c r="U172" s="18">
        <f t="shared" si="6"/>
        <v>0</v>
      </c>
      <c r="V172" s="8" t="s">
        <v>218</v>
      </c>
      <c r="W172" s="156">
        <f>INDEX(Tab_Def_Flows[[Flow_ID]:[CC_DM_source]],MATCH(Tab_Data_Flows[[#This Row],[Flow_Name]],Tab_Def_Flows[Flow_Name],0),11)</f>
        <v>0</v>
      </c>
      <c r="X172" s="7" t="str">
        <f>Tab_Data_Flows[[#This Row],[Flow_ID]]&amp;"_"&amp;"WC_"&amp;Tab_Data_Flows[[#This Row],[Flow_Data_Year]]</f>
        <v>F___WC_</v>
      </c>
      <c r="Y172" s="7" t="str">
        <f>IF(D172="Yes",U172*Tab_Data_Flows[[#This Row],[WC_'[%']]],"N.A.")</f>
        <v>N.A.</v>
      </c>
      <c r="Z172" s="7" t="str">
        <f>Tab_Data_Flows[[#This Row],[UoM_Flow_Py]]</f>
        <v>Mg</v>
      </c>
      <c r="AA172" s="156">
        <f>INDEX(Tab_Def_Flows[[Flow_ID]:[CC_DM_source]],MATCH(Tab_Data_Flows[[#This Row],[Flow_Name]],Tab_Def_Flows[Flow_Name],0),14)</f>
        <v>0</v>
      </c>
      <c r="AB172" s="7" t="str">
        <f>Tab_Data_Flows[[#This Row],[Flow_ID]]&amp;"_"&amp;"DM_"&amp;Tab_Data_Flows[[#This Row],[Flow_Data_Year]]</f>
        <v>F___DM_</v>
      </c>
      <c r="AC172" s="7" t="str">
        <f>IF(E172="Yes",AA172*Tab_Data_Flows[[#This Row],[Flow_Material]],"N.A.")</f>
        <v>N.A.</v>
      </c>
      <c r="AD172" s="7" t="str">
        <f>Tab_Data_Flows[[#This Row],[UoM_Flow_Py]]</f>
        <v>Mg</v>
      </c>
      <c r="AE172" s="156">
        <f>INDEX(Tab_Def_Flows[[Flow_ID]:[CC_DM_source]],MATCH(Tab_Data_Flows[[#This Row],[Flow_Name]],Tab_Def_Flows[Flow_Name],0),17)</f>
        <v>0</v>
      </c>
      <c r="AF172" s="7" t="str">
        <f>Tab_Data_Flows[[#This Row],[Flow_ID]]&amp;"_"&amp;"CC_"&amp;Tab_Data_Flows[[#This Row],[Flow_Data_Year]]</f>
        <v>F___CC_</v>
      </c>
      <c r="AG172" s="7" t="str">
        <f>IF(F172="Yes",AE172*Tab_Data_Flows[[#This Row],[Flow_Material]]*Tab_Data_Flows[[#This Row],[DM_'[%']]],"N.A.")</f>
        <v>N.A.</v>
      </c>
      <c r="AH172" s="7" t="str">
        <f>Tab_Data_Flows[[#This Row],[UoM_Flow_Py]]</f>
        <v>Mg</v>
      </c>
      <c r="AI172"/>
    </row>
    <row r="173" spans="1:35" x14ac:dyDescent="0.25">
      <c r="A173" s="9">
        <f t="shared" si="5"/>
        <v>172</v>
      </c>
      <c r="B173" s="7" t="str">
        <f>_xlfn.XLOOKUP(C173,Tab_Def_Flows[Flow_Name],Tab_Def_Flows[Flow_ID],,0,)</f>
        <v>F__</v>
      </c>
      <c r="C173" s="8" t="s">
        <v>31</v>
      </c>
      <c r="D173" s="10">
        <f>_xlfn.XLOOKUP(C173,Tab_Def_Flows[Flow_Name],Tab_Def_Flows[WC?],,0,)</f>
        <v>0</v>
      </c>
      <c r="E173" s="10">
        <f>_xlfn.XLOOKUP(C173,Tab_Def_Flows[Flow_Name],Tab_Def_Flows[DM?],,0,)</f>
        <v>0</v>
      </c>
      <c r="F173" s="10">
        <f>_xlfn.XLOOKUP(C173,Tab_Def_Flows[Flow_Name],Tab_Def_Flows[CC?],,0,)</f>
        <v>0</v>
      </c>
      <c r="G173" s="8"/>
      <c r="H173" s="28"/>
      <c r="I173" s="8"/>
      <c r="J173" s="8"/>
      <c r="K173" s="8" t="e">
        <f>INDEX(#REF!,MATCH(Tab_Data_Flows[[#This Row],[Flow_Name]],#REF!,0),12)</f>
        <v>#REF!</v>
      </c>
      <c r="L173" s="8" t="e">
        <f>MATCH(Tab_Data_Flows[[#This Row],[Flow_Name]],#REF!,0)</f>
        <v>#REF!</v>
      </c>
      <c r="M173" s="8"/>
      <c r="N173" s="8"/>
      <c r="O173" s="8"/>
      <c r="P173" s="8"/>
      <c r="Q173" s="8" t="s">
        <v>8</v>
      </c>
      <c r="R173" s="8"/>
      <c r="S173" s="8"/>
      <c r="T173" s="7" t="str">
        <f>Tab_Data_Flows[[#This Row],[Flow_ID]]&amp;"_"&amp;"material_"&amp;Tab_Data_Flows[[#This Row],[Flow_Data_Year]]</f>
        <v>F___material_</v>
      </c>
      <c r="U173" s="18">
        <f t="shared" si="6"/>
        <v>0</v>
      </c>
      <c r="V173" s="8" t="s">
        <v>218</v>
      </c>
      <c r="W173" s="156">
        <f>INDEX(Tab_Def_Flows[[Flow_ID]:[CC_DM_source]],MATCH(Tab_Data_Flows[[#This Row],[Flow_Name]],Tab_Def_Flows[Flow_Name],0),11)</f>
        <v>0</v>
      </c>
      <c r="X173" s="7" t="str">
        <f>Tab_Data_Flows[[#This Row],[Flow_ID]]&amp;"_"&amp;"WC_"&amp;Tab_Data_Flows[[#This Row],[Flow_Data_Year]]</f>
        <v>F___WC_</v>
      </c>
      <c r="Y173" s="7" t="str">
        <f>IF(D173="Yes",U173*Tab_Data_Flows[[#This Row],[WC_'[%']]],"N.A.")</f>
        <v>N.A.</v>
      </c>
      <c r="Z173" s="7" t="str">
        <f>Tab_Data_Flows[[#This Row],[UoM_Flow_Py]]</f>
        <v>Mg</v>
      </c>
      <c r="AA173" s="156">
        <f>INDEX(Tab_Def_Flows[[Flow_ID]:[CC_DM_source]],MATCH(Tab_Data_Flows[[#This Row],[Flow_Name]],Tab_Def_Flows[Flow_Name],0),14)</f>
        <v>0</v>
      </c>
      <c r="AB173" s="7" t="str">
        <f>Tab_Data_Flows[[#This Row],[Flow_ID]]&amp;"_"&amp;"DM_"&amp;Tab_Data_Flows[[#This Row],[Flow_Data_Year]]</f>
        <v>F___DM_</v>
      </c>
      <c r="AC173" s="7" t="str">
        <f>IF(E173="Yes",AA173*Tab_Data_Flows[[#This Row],[Flow_Material]],"N.A.")</f>
        <v>N.A.</v>
      </c>
      <c r="AD173" s="7" t="str">
        <f>Tab_Data_Flows[[#This Row],[UoM_Flow_Py]]</f>
        <v>Mg</v>
      </c>
      <c r="AE173" s="156">
        <f>INDEX(Tab_Def_Flows[[Flow_ID]:[CC_DM_source]],MATCH(Tab_Data_Flows[[#This Row],[Flow_Name]],Tab_Def_Flows[Flow_Name],0),17)</f>
        <v>0</v>
      </c>
      <c r="AF173" s="7" t="str">
        <f>Tab_Data_Flows[[#This Row],[Flow_ID]]&amp;"_"&amp;"CC_"&amp;Tab_Data_Flows[[#This Row],[Flow_Data_Year]]</f>
        <v>F___CC_</v>
      </c>
      <c r="AG173" s="7" t="str">
        <f>IF(F173="Yes",AE173*Tab_Data_Flows[[#This Row],[Flow_Material]]*Tab_Data_Flows[[#This Row],[DM_'[%']]],"N.A.")</f>
        <v>N.A.</v>
      </c>
      <c r="AH173" s="7" t="str">
        <f>Tab_Data_Flows[[#This Row],[UoM_Flow_Py]]</f>
        <v>Mg</v>
      </c>
      <c r="AI173"/>
    </row>
    <row r="174" spans="1:35" x14ac:dyDescent="0.25">
      <c r="A174" s="9">
        <f t="shared" si="5"/>
        <v>173</v>
      </c>
      <c r="B174" s="7" t="str">
        <f>_xlfn.XLOOKUP(C174,Tab_Def_Flows[Flow_Name],Tab_Def_Flows[Flow_ID],,0,)</f>
        <v>F__</v>
      </c>
      <c r="C174" s="8" t="s">
        <v>31</v>
      </c>
      <c r="D174" s="10">
        <f>_xlfn.XLOOKUP(C174,Tab_Def_Flows[Flow_Name],Tab_Def_Flows[WC?],,0,)</f>
        <v>0</v>
      </c>
      <c r="E174" s="10">
        <f>_xlfn.XLOOKUP(C174,Tab_Def_Flows[Flow_Name],Tab_Def_Flows[DM?],,0,)</f>
        <v>0</v>
      </c>
      <c r="F174" s="10">
        <f>_xlfn.XLOOKUP(C174,Tab_Def_Flows[Flow_Name],Tab_Def_Flows[CC?],,0,)</f>
        <v>0</v>
      </c>
      <c r="G174" s="8"/>
      <c r="H174" s="28"/>
      <c r="I174" s="8"/>
      <c r="J174" s="8"/>
      <c r="K174" s="8" t="e">
        <f>INDEX(#REF!,MATCH(Tab_Data_Flows[[#This Row],[Flow_Name]],#REF!,0),12)</f>
        <v>#REF!</v>
      </c>
      <c r="L174" s="8" t="e">
        <f>MATCH(Tab_Data_Flows[[#This Row],[Flow_Name]],#REF!,0)</f>
        <v>#REF!</v>
      </c>
      <c r="M174" s="8"/>
      <c r="N174" s="8"/>
      <c r="O174" s="8"/>
      <c r="P174" s="8"/>
      <c r="Q174" s="8" t="s">
        <v>8</v>
      </c>
      <c r="R174" s="8"/>
      <c r="S174" s="8"/>
      <c r="T174" s="7" t="str">
        <f>Tab_Data_Flows[[#This Row],[Flow_ID]]&amp;"_"&amp;"material_"&amp;Tab_Data_Flows[[#This Row],[Flow_Data_Year]]</f>
        <v>F___material_</v>
      </c>
      <c r="U174" s="18">
        <f t="shared" si="6"/>
        <v>0</v>
      </c>
      <c r="V174" s="8" t="s">
        <v>218</v>
      </c>
      <c r="W174" s="156">
        <f>INDEX(Tab_Def_Flows[[Flow_ID]:[CC_DM_source]],MATCH(Tab_Data_Flows[[#This Row],[Flow_Name]],Tab_Def_Flows[Flow_Name],0),11)</f>
        <v>0</v>
      </c>
      <c r="X174" s="7" t="str">
        <f>Tab_Data_Flows[[#This Row],[Flow_ID]]&amp;"_"&amp;"WC_"&amp;Tab_Data_Flows[[#This Row],[Flow_Data_Year]]</f>
        <v>F___WC_</v>
      </c>
      <c r="Y174" s="7" t="str">
        <f>IF(D174="Yes",U174*Tab_Data_Flows[[#This Row],[WC_'[%']]],"N.A.")</f>
        <v>N.A.</v>
      </c>
      <c r="Z174" s="7" t="str">
        <f>Tab_Data_Flows[[#This Row],[UoM_Flow_Py]]</f>
        <v>Mg</v>
      </c>
      <c r="AA174" s="156">
        <f>INDEX(Tab_Def_Flows[[Flow_ID]:[CC_DM_source]],MATCH(Tab_Data_Flows[[#This Row],[Flow_Name]],Tab_Def_Flows[Flow_Name],0),14)</f>
        <v>0</v>
      </c>
      <c r="AB174" s="7" t="str">
        <f>Tab_Data_Flows[[#This Row],[Flow_ID]]&amp;"_"&amp;"DM_"&amp;Tab_Data_Flows[[#This Row],[Flow_Data_Year]]</f>
        <v>F___DM_</v>
      </c>
      <c r="AC174" s="7" t="str">
        <f>IF(E174="Yes",AA174*Tab_Data_Flows[[#This Row],[Flow_Material]],"N.A.")</f>
        <v>N.A.</v>
      </c>
      <c r="AD174" s="7" t="str">
        <f>Tab_Data_Flows[[#This Row],[UoM_Flow_Py]]</f>
        <v>Mg</v>
      </c>
      <c r="AE174" s="156">
        <f>INDEX(Tab_Def_Flows[[Flow_ID]:[CC_DM_source]],MATCH(Tab_Data_Flows[[#This Row],[Flow_Name]],Tab_Def_Flows[Flow_Name],0),17)</f>
        <v>0</v>
      </c>
      <c r="AF174" s="7" t="str">
        <f>Tab_Data_Flows[[#This Row],[Flow_ID]]&amp;"_"&amp;"CC_"&amp;Tab_Data_Flows[[#This Row],[Flow_Data_Year]]</f>
        <v>F___CC_</v>
      </c>
      <c r="AG174" s="7" t="str">
        <f>IF(F174="Yes",AE174*Tab_Data_Flows[[#This Row],[Flow_Material]]*Tab_Data_Flows[[#This Row],[DM_'[%']]],"N.A.")</f>
        <v>N.A.</v>
      </c>
      <c r="AH174" s="7" t="str">
        <f>Tab_Data_Flows[[#This Row],[UoM_Flow_Py]]</f>
        <v>Mg</v>
      </c>
      <c r="AI174"/>
    </row>
    <row r="175" spans="1:35" x14ac:dyDescent="0.25">
      <c r="A175" s="9">
        <f t="shared" si="5"/>
        <v>174</v>
      </c>
      <c r="B175" s="7" t="str">
        <f>_xlfn.XLOOKUP(C175,Tab_Def_Flows[Flow_Name],Tab_Def_Flows[Flow_ID],,0,)</f>
        <v>F__</v>
      </c>
      <c r="C175" s="8" t="s">
        <v>31</v>
      </c>
      <c r="D175" s="10">
        <f>_xlfn.XLOOKUP(C175,Tab_Def_Flows[Flow_Name],Tab_Def_Flows[WC?],,0,)</f>
        <v>0</v>
      </c>
      <c r="E175" s="10">
        <f>_xlfn.XLOOKUP(C175,Tab_Def_Flows[Flow_Name],Tab_Def_Flows[DM?],,0,)</f>
        <v>0</v>
      </c>
      <c r="F175" s="10">
        <f>_xlfn.XLOOKUP(C175,Tab_Def_Flows[Flow_Name],Tab_Def_Flows[CC?],,0,)</f>
        <v>0</v>
      </c>
      <c r="G175" s="8"/>
      <c r="H175" s="28"/>
      <c r="I175" s="8"/>
      <c r="J175" s="8"/>
      <c r="K175" s="8" t="e">
        <f>INDEX(#REF!,MATCH(Tab_Data_Flows[[#This Row],[Flow_Name]],#REF!,0),12)</f>
        <v>#REF!</v>
      </c>
      <c r="L175" s="8" t="e">
        <f>MATCH(Tab_Data_Flows[[#This Row],[Flow_Name]],#REF!,0)</f>
        <v>#REF!</v>
      </c>
      <c r="M175" s="8"/>
      <c r="N175" s="8"/>
      <c r="O175" s="8"/>
      <c r="P175" s="8"/>
      <c r="Q175" s="8" t="s">
        <v>8</v>
      </c>
      <c r="R175" s="8"/>
      <c r="S175" s="8"/>
      <c r="T175" s="7" t="str">
        <f>Tab_Data_Flows[[#This Row],[Flow_ID]]&amp;"_"&amp;"material_"&amp;Tab_Data_Flows[[#This Row],[Flow_Data_Year]]</f>
        <v>F___material_</v>
      </c>
      <c r="U175" s="18">
        <f t="shared" si="6"/>
        <v>0</v>
      </c>
      <c r="V175" s="8" t="s">
        <v>218</v>
      </c>
      <c r="W175" s="156">
        <f>INDEX(Tab_Def_Flows[[Flow_ID]:[CC_DM_source]],MATCH(Tab_Data_Flows[[#This Row],[Flow_Name]],Tab_Def_Flows[Flow_Name],0),11)</f>
        <v>0</v>
      </c>
      <c r="X175" s="7" t="str">
        <f>Tab_Data_Flows[[#This Row],[Flow_ID]]&amp;"_"&amp;"WC_"&amp;Tab_Data_Flows[[#This Row],[Flow_Data_Year]]</f>
        <v>F___WC_</v>
      </c>
      <c r="Y175" s="7" t="str">
        <f>IF(D175="Yes",U175*Tab_Data_Flows[[#This Row],[WC_'[%']]],"N.A.")</f>
        <v>N.A.</v>
      </c>
      <c r="Z175" s="7" t="str">
        <f>Tab_Data_Flows[[#This Row],[UoM_Flow_Py]]</f>
        <v>Mg</v>
      </c>
      <c r="AA175" s="156">
        <f>INDEX(Tab_Def_Flows[[Flow_ID]:[CC_DM_source]],MATCH(Tab_Data_Flows[[#This Row],[Flow_Name]],Tab_Def_Flows[Flow_Name],0),14)</f>
        <v>0</v>
      </c>
      <c r="AB175" s="7" t="str">
        <f>Tab_Data_Flows[[#This Row],[Flow_ID]]&amp;"_"&amp;"DM_"&amp;Tab_Data_Flows[[#This Row],[Flow_Data_Year]]</f>
        <v>F___DM_</v>
      </c>
      <c r="AC175" s="7" t="str">
        <f>IF(E175="Yes",AA175*Tab_Data_Flows[[#This Row],[Flow_Material]],"N.A.")</f>
        <v>N.A.</v>
      </c>
      <c r="AD175" s="7" t="str">
        <f>Tab_Data_Flows[[#This Row],[UoM_Flow_Py]]</f>
        <v>Mg</v>
      </c>
      <c r="AE175" s="156">
        <f>INDEX(Tab_Def_Flows[[Flow_ID]:[CC_DM_source]],MATCH(Tab_Data_Flows[[#This Row],[Flow_Name]],Tab_Def_Flows[Flow_Name],0),17)</f>
        <v>0</v>
      </c>
      <c r="AF175" s="7" t="str">
        <f>Tab_Data_Flows[[#This Row],[Flow_ID]]&amp;"_"&amp;"CC_"&amp;Tab_Data_Flows[[#This Row],[Flow_Data_Year]]</f>
        <v>F___CC_</v>
      </c>
      <c r="AG175" s="7" t="str">
        <f>IF(F175="Yes",AE175*Tab_Data_Flows[[#This Row],[Flow_Material]]*Tab_Data_Flows[[#This Row],[DM_'[%']]],"N.A.")</f>
        <v>N.A.</v>
      </c>
      <c r="AH175" s="7" t="str">
        <f>Tab_Data_Flows[[#This Row],[UoM_Flow_Py]]</f>
        <v>Mg</v>
      </c>
      <c r="AI175"/>
    </row>
    <row r="176" spans="1:35" x14ac:dyDescent="0.25">
      <c r="A176" s="9">
        <f t="shared" si="5"/>
        <v>175</v>
      </c>
      <c r="B176" s="7" t="str">
        <f>_xlfn.XLOOKUP(C176,Tab_Def_Flows[Flow_Name],Tab_Def_Flows[Flow_ID],,0,)</f>
        <v>F__</v>
      </c>
      <c r="C176" s="8" t="s">
        <v>31</v>
      </c>
      <c r="D176" s="10">
        <f>_xlfn.XLOOKUP(C176,Tab_Def_Flows[Flow_Name],Tab_Def_Flows[WC?],,0,)</f>
        <v>0</v>
      </c>
      <c r="E176" s="10">
        <f>_xlfn.XLOOKUP(C176,Tab_Def_Flows[Flow_Name],Tab_Def_Flows[DM?],,0,)</f>
        <v>0</v>
      </c>
      <c r="F176" s="10">
        <f>_xlfn.XLOOKUP(C176,Tab_Def_Flows[Flow_Name],Tab_Def_Flows[CC?],,0,)</f>
        <v>0</v>
      </c>
      <c r="G176" s="8"/>
      <c r="H176" s="28"/>
      <c r="I176" s="8"/>
      <c r="J176" s="8"/>
      <c r="K176" s="8"/>
      <c r="L176" s="8"/>
      <c r="M176" s="8"/>
      <c r="N176" s="8"/>
      <c r="O176" s="8"/>
      <c r="P176" s="8"/>
      <c r="Q176" s="8" t="s">
        <v>8</v>
      </c>
      <c r="R176" s="21"/>
      <c r="S176" s="8"/>
      <c r="T176" s="7" t="str">
        <f>Tab_Data_Flows[[#This Row],[Flow_ID]]&amp;"_"&amp;"material_"&amp;Tab_Data_Flows[[#This Row],[Flow_Data_Year]]</f>
        <v>F___material_</v>
      </c>
      <c r="U176" s="18">
        <f t="shared" si="6"/>
        <v>0</v>
      </c>
      <c r="V176" s="8" t="s">
        <v>218</v>
      </c>
      <c r="W176" s="156">
        <f>INDEX(Tab_Def_Flows[[Flow_ID]:[CC_DM_source]],MATCH(Tab_Data_Flows[[#This Row],[Flow_Name]],Tab_Def_Flows[Flow_Name],0),11)</f>
        <v>0</v>
      </c>
      <c r="X176" s="7" t="str">
        <f>Tab_Data_Flows[[#This Row],[Flow_ID]]&amp;"_"&amp;"WC_"&amp;Tab_Data_Flows[[#This Row],[Flow_Data_Year]]</f>
        <v>F___WC_</v>
      </c>
      <c r="Y176" s="7" t="str">
        <f>IF(D176="Yes",U176*Tab_Data_Flows[[#This Row],[WC_'[%']]],"N.A.")</f>
        <v>N.A.</v>
      </c>
      <c r="Z176" s="7" t="str">
        <f>Tab_Data_Flows[[#This Row],[UoM_Flow_Py]]</f>
        <v>Mg</v>
      </c>
      <c r="AA176" s="156">
        <f>INDEX(Tab_Def_Flows[[Flow_ID]:[CC_DM_source]],MATCH(Tab_Data_Flows[[#This Row],[Flow_Name]],Tab_Def_Flows[Flow_Name],0),14)</f>
        <v>0</v>
      </c>
      <c r="AB176" s="7" t="str">
        <f>Tab_Data_Flows[[#This Row],[Flow_ID]]&amp;"_"&amp;"DM_"&amp;Tab_Data_Flows[[#This Row],[Flow_Data_Year]]</f>
        <v>F___DM_</v>
      </c>
      <c r="AC176" s="7" t="str">
        <f>IF(E176="Yes",AA176*Tab_Data_Flows[[#This Row],[Flow_Material]],"N.A.")</f>
        <v>N.A.</v>
      </c>
      <c r="AD176" s="7" t="str">
        <f>Tab_Data_Flows[[#This Row],[UoM_Flow_Py]]</f>
        <v>Mg</v>
      </c>
      <c r="AE176" s="156">
        <f>INDEX(Tab_Def_Flows[[Flow_ID]:[CC_DM_source]],MATCH(Tab_Data_Flows[[#This Row],[Flow_Name]],Tab_Def_Flows[Flow_Name],0),17)</f>
        <v>0</v>
      </c>
      <c r="AF176" s="7" t="str">
        <f>Tab_Data_Flows[[#This Row],[Flow_ID]]&amp;"_"&amp;"CC_"&amp;Tab_Data_Flows[[#This Row],[Flow_Data_Year]]</f>
        <v>F___CC_</v>
      </c>
      <c r="AG176" s="7" t="str">
        <f>IF(F176="Yes",AE176*Tab_Data_Flows[[#This Row],[Flow_Material]]*Tab_Data_Flows[[#This Row],[DM_'[%']]],"N.A.")</f>
        <v>N.A.</v>
      </c>
      <c r="AH176" s="7" t="str">
        <f>Tab_Data_Flows[[#This Row],[UoM_Flow_Py]]</f>
        <v>Mg</v>
      </c>
      <c r="AI176"/>
    </row>
    <row r="177" spans="1:35" x14ac:dyDescent="0.25">
      <c r="A177" s="9">
        <f t="shared" si="5"/>
        <v>176</v>
      </c>
      <c r="B177" s="7" t="str">
        <f>_xlfn.XLOOKUP(C177,Tab_Def_Flows[Flow_Name],Tab_Def_Flows[Flow_ID],,0,)</f>
        <v>F__</v>
      </c>
      <c r="C177" s="8" t="s">
        <v>31</v>
      </c>
      <c r="D177" s="10">
        <f>_xlfn.XLOOKUP(C177,Tab_Def_Flows[Flow_Name],Tab_Def_Flows[WC?],,0,)</f>
        <v>0</v>
      </c>
      <c r="E177" s="10">
        <f>_xlfn.XLOOKUP(C177,Tab_Def_Flows[Flow_Name],Tab_Def_Flows[DM?],,0,)</f>
        <v>0</v>
      </c>
      <c r="F177" s="10">
        <f>_xlfn.XLOOKUP(C177,Tab_Def_Flows[Flow_Name],Tab_Def_Flows[CC?],,0,)</f>
        <v>0</v>
      </c>
      <c r="G177" s="8"/>
      <c r="H177" s="28"/>
      <c r="I177" s="8"/>
      <c r="J177" s="8"/>
      <c r="K177" s="8"/>
      <c r="L177" s="8"/>
      <c r="M177" s="8"/>
      <c r="N177" s="8"/>
      <c r="O177" s="8"/>
      <c r="P177" s="8"/>
      <c r="Q177" s="8" t="s">
        <v>8</v>
      </c>
      <c r="R177" s="21"/>
      <c r="S177" s="8"/>
      <c r="T177" s="7" t="str">
        <f>Tab_Data_Flows[[#This Row],[Flow_ID]]&amp;"_"&amp;"material_"&amp;Tab_Data_Flows[[#This Row],[Flow_Data_Year]]</f>
        <v>F___material_</v>
      </c>
      <c r="U177" s="18">
        <f t="shared" si="6"/>
        <v>0</v>
      </c>
      <c r="V177" s="8" t="s">
        <v>218</v>
      </c>
      <c r="W177" s="156">
        <f>INDEX(Tab_Def_Flows[[Flow_ID]:[CC_DM_source]],MATCH(Tab_Data_Flows[[#This Row],[Flow_Name]],Tab_Def_Flows[Flow_Name],0),11)</f>
        <v>0</v>
      </c>
      <c r="X177" s="7" t="str">
        <f>Tab_Data_Flows[[#This Row],[Flow_ID]]&amp;"_"&amp;"WC_"&amp;Tab_Data_Flows[[#This Row],[Flow_Data_Year]]</f>
        <v>F___WC_</v>
      </c>
      <c r="Y177" s="7" t="str">
        <f>IF(D177="Yes",U177*Tab_Data_Flows[[#This Row],[WC_'[%']]],"N.A.")</f>
        <v>N.A.</v>
      </c>
      <c r="Z177" s="7" t="str">
        <f>Tab_Data_Flows[[#This Row],[UoM_Flow_Py]]</f>
        <v>Mg</v>
      </c>
      <c r="AA177" s="156">
        <f>INDEX(Tab_Def_Flows[[Flow_ID]:[CC_DM_source]],MATCH(Tab_Data_Flows[[#This Row],[Flow_Name]],Tab_Def_Flows[Flow_Name],0),14)</f>
        <v>0</v>
      </c>
      <c r="AB177" s="7" t="str">
        <f>Tab_Data_Flows[[#This Row],[Flow_ID]]&amp;"_"&amp;"DM_"&amp;Tab_Data_Flows[[#This Row],[Flow_Data_Year]]</f>
        <v>F___DM_</v>
      </c>
      <c r="AC177" s="7" t="str">
        <f>IF(E177="Yes",AA177*Tab_Data_Flows[[#This Row],[Flow_Material]],"N.A.")</f>
        <v>N.A.</v>
      </c>
      <c r="AD177" s="7" t="str">
        <f>Tab_Data_Flows[[#This Row],[UoM_Flow_Py]]</f>
        <v>Mg</v>
      </c>
      <c r="AE177" s="156">
        <f>INDEX(Tab_Def_Flows[[Flow_ID]:[CC_DM_source]],MATCH(Tab_Data_Flows[[#This Row],[Flow_Name]],Tab_Def_Flows[Flow_Name],0),17)</f>
        <v>0</v>
      </c>
      <c r="AF177" s="7" t="str">
        <f>Tab_Data_Flows[[#This Row],[Flow_ID]]&amp;"_"&amp;"CC_"&amp;Tab_Data_Flows[[#This Row],[Flow_Data_Year]]</f>
        <v>F___CC_</v>
      </c>
      <c r="AG177" s="7" t="str">
        <f>IF(F177="Yes",AE177*Tab_Data_Flows[[#This Row],[Flow_Material]]*Tab_Data_Flows[[#This Row],[DM_'[%']]],"N.A.")</f>
        <v>N.A.</v>
      </c>
      <c r="AH177" s="7" t="str">
        <f>Tab_Data_Flows[[#This Row],[UoM_Flow_Py]]</f>
        <v>Mg</v>
      </c>
      <c r="AI177"/>
    </row>
    <row r="178" spans="1:35" x14ac:dyDescent="0.25">
      <c r="A178" s="9">
        <f t="shared" si="5"/>
        <v>177</v>
      </c>
      <c r="B178" s="7" t="str">
        <f>_xlfn.XLOOKUP(C178,Tab_Def_Flows[Flow_Name],Tab_Def_Flows[Flow_ID],,0,)</f>
        <v>F__</v>
      </c>
      <c r="C178" s="8" t="s">
        <v>31</v>
      </c>
      <c r="D178" s="10">
        <f>_xlfn.XLOOKUP(C178,Tab_Def_Flows[Flow_Name],Tab_Def_Flows[WC?],,0,)</f>
        <v>0</v>
      </c>
      <c r="E178" s="10">
        <f>_xlfn.XLOOKUP(C178,Tab_Def_Flows[Flow_Name],Tab_Def_Flows[DM?],,0,)</f>
        <v>0</v>
      </c>
      <c r="F178" s="10">
        <f>_xlfn.XLOOKUP(C178,Tab_Def_Flows[Flow_Name],Tab_Def_Flows[CC?],,0,)</f>
        <v>0</v>
      </c>
      <c r="G178" s="8"/>
      <c r="H178" s="28"/>
      <c r="I178" s="8"/>
      <c r="J178" s="8"/>
      <c r="K178" s="8"/>
      <c r="L178" s="8"/>
      <c r="M178" s="8"/>
      <c r="N178" s="8"/>
      <c r="O178" s="8"/>
      <c r="P178" s="8"/>
      <c r="Q178" s="8" t="s">
        <v>8</v>
      </c>
      <c r="R178" s="21"/>
      <c r="S178" s="8"/>
      <c r="T178" s="7" t="str">
        <f>Tab_Data_Flows[[#This Row],[Flow_ID]]&amp;"_"&amp;"material_"&amp;Tab_Data_Flows[[#This Row],[Flow_Data_Year]]</f>
        <v>F___material_</v>
      </c>
      <c r="U178" s="18">
        <f t="shared" si="6"/>
        <v>0</v>
      </c>
      <c r="V178" s="8" t="s">
        <v>218</v>
      </c>
      <c r="W178" s="156">
        <f>INDEX(Tab_Def_Flows[[Flow_ID]:[CC_DM_source]],MATCH(Tab_Data_Flows[[#This Row],[Flow_Name]],Tab_Def_Flows[Flow_Name],0),11)</f>
        <v>0</v>
      </c>
      <c r="X178" s="7" t="str">
        <f>Tab_Data_Flows[[#This Row],[Flow_ID]]&amp;"_"&amp;"WC_"&amp;Tab_Data_Flows[[#This Row],[Flow_Data_Year]]</f>
        <v>F___WC_</v>
      </c>
      <c r="Y178" s="7" t="str">
        <f>IF(D178="Yes",U178*Tab_Data_Flows[[#This Row],[WC_'[%']]],"N.A.")</f>
        <v>N.A.</v>
      </c>
      <c r="Z178" s="7" t="str">
        <f>Tab_Data_Flows[[#This Row],[UoM_Flow_Py]]</f>
        <v>Mg</v>
      </c>
      <c r="AA178" s="156">
        <f>INDEX(Tab_Def_Flows[[Flow_ID]:[CC_DM_source]],MATCH(Tab_Data_Flows[[#This Row],[Flow_Name]],Tab_Def_Flows[Flow_Name],0),14)</f>
        <v>0</v>
      </c>
      <c r="AB178" s="7" t="str">
        <f>Tab_Data_Flows[[#This Row],[Flow_ID]]&amp;"_"&amp;"DM_"&amp;Tab_Data_Flows[[#This Row],[Flow_Data_Year]]</f>
        <v>F___DM_</v>
      </c>
      <c r="AC178" s="7" t="str">
        <f>IF(E178="Yes",AA178*Tab_Data_Flows[[#This Row],[Flow_Material]],"N.A.")</f>
        <v>N.A.</v>
      </c>
      <c r="AD178" s="7" t="str">
        <f>Tab_Data_Flows[[#This Row],[UoM_Flow_Py]]</f>
        <v>Mg</v>
      </c>
      <c r="AE178" s="156">
        <f>INDEX(Tab_Def_Flows[[Flow_ID]:[CC_DM_source]],MATCH(Tab_Data_Flows[[#This Row],[Flow_Name]],Tab_Def_Flows[Flow_Name],0),17)</f>
        <v>0</v>
      </c>
      <c r="AF178" s="7" t="str">
        <f>Tab_Data_Flows[[#This Row],[Flow_ID]]&amp;"_"&amp;"CC_"&amp;Tab_Data_Flows[[#This Row],[Flow_Data_Year]]</f>
        <v>F___CC_</v>
      </c>
      <c r="AG178" s="7" t="str">
        <f>IF(F178="Yes",AE178*Tab_Data_Flows[[#This Row],[Flow_Material]]*Tab_Data_Flows[[#This Row],[DM_'[%']]],"N.A.")</f>
        <v>N.A.</v>
      </c>
      <c r="AH178" s="7" t="str">
        <f>Tab_Data_Flows[[#This Row],[UoM_Flow_Py]]</f>
        <v>Mg</v>
      </c>
      <c r="AI178"/>
    </row>
    <row r="179" spans="1:35" x14ac:dyDescent="0.25">
      <c r="A179" s="9">
        <f t="shared" si="5"/>
        <v>178</v>
      </c>
      <c r="B179" s="7" t="str">
        <f>_xlfn.XLOOKUP(C179,Tab_Def_Flows[Flow_Name],Tab_Def_Flows[Flow_ID],,0,)</f>
        <v>F__</v>
      </c>
      <c r="C179" s="8" t="s">
        <v>31</v>
      </c>
      <c r="D179" s="10">
        <f>_xlfn.XLOOKUP(C179,Tab_Def_Flows[Flow_Name],Tab_Def_Flows[WC?],,0,)</f>
        <v>0</v>
      </c>
      <c r="E179" s="10">
        <f>_xlfn.XLOOKUP(C179,Tab_Def_Flows[Flow_Name],Tab_Def_Flows[DM?],,0,)</f>
        <v>0</v>
      </c>
      <c r="F179" s="10">
        <f>_xlfn.XLOOKUP(C179,Tab_Def_Flows[Flow_Name],Tab_Def_Flows[CC?],,0,)</f>
        <v>0</v>
      </c>
      <c r="G179" s="8"/>
      <c r="H179" s="28"/>
      <c r="I179" s="8"/>
      <c r="J179" s="8"/>
      <c r="K179" s="8"/>
      <c r="L179" s="8"/>
      <c r="M179" s="8"/>
      <c r="N179" s="8"/>
      <c r="O179" s="8"/>
      <c r="P179" s="8"/>
      <c r="Q179" s="8" t="s">
        <v>8</v>
      </c>
      <c r="R179" s="21"/>
      <c r="S179" s="8"/>
      <c r="T179" s="7" t="str">
        <f>Tab_Data_Flows[[#This Row],[Flow_ID]]&amp;"_"&amp;"material_"&amp;Tab_Data_Flows[[#This Row],[Flow_Data_Year]]</f>
        <v>F___material_</v>
      </c>
      <c r="U179" s="18">
        <f t="shared" si="6"/>
        <v>0</v>
      </c>
      <c r="V179" s="8" t="s">
        <v>218</v>
      </c>
      <c r="W179" s="156">
        <f>INDEX(Tab_Def_Flows[[Flow_ID]:[CC_DM_source]],MATCH(Tab_Data_Flows[[#This Row],[Flow_Name]],Tab_Def_Flows[Flow_Name],0),11)</f>
        <v>0</v>
      </c>
      <c r="X179" s="7" t="str">
        <f>Tab_Data_Flows[[#This Row],[Flow_ID]]&amp;"_"&amp;"WC_"&amp;Tab_Data_Flows[[#This Row],[Flow_Data_Year]]</f>
        <v>F___WC_</v>
      </c>
      <c r="Y179" s="7" t="str">
        <f>IF(D179="Yes",U179*Tab_Data_Flows[[#This Row],[WC_'[%']]],"N.A.")</f>
        <v>N.A.</v>
      </c>
      <c r="Z179" s="7" t="str">
        <f>Tab_Data_Flows[[#This Row],[UoM_Flow_Py]]</f>
        <v>Mg</v>
      </c>
      <c r="AA179" s="156">
        <f>INDEX(Tab_Def_Flows[[Flow_ID]:[CC_DM_source]],MATCH(Tab_Data_Flows[[#This Row],[Flow_Name]],Tab_Def_Flows[Flow_Name],0),14)</f>
        <v>0</v>
      </c>
      <c r="AB179" s="7" t="str">
        <f>Tab_Data_Flows[[#This Row],[Flow_ID]]&amp;"_"&amp;"DM_"&amp;Tab_Data_Flows[[#This Row],[Flow_Data_Year]]</f>
        <v>F___DM_</v>
      </c>
      <c r="AC179" s="7" t="str">
        <f>IF(E179="Yes",AA179*Tab_Data_Flows[[#This Row],[Flow_Material]],"N.A.")</f>
        <v>N.A.</v>
      </c>
      <c r="AD179" s="7" t="str">
        <f>Tab_Data_Flows[[#This Row],[UoM_Flow_Py]]</f>
        <v>Mg</v>
      </c>
      <c r="AE179" s="156">
        <f>INDEX(Tab_Def_Flows[[Flow_ID]:[CC_DM_source]],MATCH(Tab_Data_Flows[[#This Row],[Flow_Name]],Tab_Def_Flows[Flow_Name],0),17)</f>
        <v>0</v>
      </c>
      <c r="AF179" s="7" t="str">
        <f>Tab_Data_Flows[[#This Row],[Flow_ID]]&amp;"_"&amp;"CC_"&amp;Tab_Data_Flows[[#This Row],[Flow_Data_Year]]</f>
        <v>F___CC_</v>
      </c>
      <c r="AG179" s="7" t="str">
        <f>IF(F179="Yes",AE179*Tab_Data_Flows[[#This Row],[Flow_Material]]*Tab_Data_Flows[[#This Row],[DM_'[%']]],"N.A.")</f>
        <v>N.A.</v>
      </c>
      <c r="AH179" s="7" t="str">
        <f>Tab_Data_Flows[[#This Row],[UoM_Flow_Py]]</f>
        <v>Mg</v>
      </c>
      <c r="AI179"/>
    </row>
    <row r="180" spans="1:35" x14ac:dyDescent="0.25">
      <c r="A180" s="9">
        <f t="shared" si="5"/>
        <v>179</v>
      </c>
      <c r="B180" s="7" t="str">
        <f>_xlfn.XLOOKUP(C180,Tab_Def_Flows[Flow_Name],Tab_Def_Flows[Flow_ID],,0,)</f>
        <v>F__</v>
      </c>
      <c r="C180" s="8" t="s">
        <v>31</v>
      </c>
      <c r="D180" s="10">
        <f>_xlfn.XLOOKUP(C180,Tab_Def_Flows[Flow_Name],Tab_Def_Flows[WC?],,0,)</f>
        <v>0</v>
      </c>
      <c r="E180" s="10">
        <f>_xlfn.XLOOKUP(C180,Tab_Def_Flows[Flow_Name],Tab_Def_Flows[DM?],,0,)</f>
        <v>0</v>
      </c>
      <c r="F180" s="10">
        <f>_xlfn.XLOOKUP(C180,Tab_Def_Flows[Flow_Name],Tab_Def_Flows[CC?],,0,)</f>
        <v>0</v>
      </c>
      <c r="G180" s="8"/>
      <c r="H180" s="28"/>
      <c r="I180" s="8"/>
      <c r="J180" s="8"/>
      <c r="K180" s="8"/>
      <c r="L180" s="8"/>
      <c r="M180" s="8"/>
      <c r="N180" s="8"/>
      <c r="O180" s="8"/>
      <c r="P180" s="8"/>
      <c r="Q180" s="8" t="s">
        <v>8</v>
      </c>
      <c r="R180" s="21"/>
      <c r="S180" s="8"/>
      <c r="T180" s="7" t="str">
        <f>Tab_Data_Flows[[#This Row],[Flow_ID]]&amp;"_"&amp;"material_"&amp;Tab_Data_Flows[[#This Row],[Flow_Data_Year]]</f>
        <v>F___material_</v>
      </c>
      <c r="U180" s="18">
        <f t="shared" si="6"/>
        <v>0</v>
      </c>
      <c r="V180" s="8" t="s">
        <v>218</v>
      </c>
      <c r="W180" s="156">
        <f>INDEX(Tab_Def_Flows[[Flow_ID]:[CC_DM_source]],MATCH(Tab_Data_Flows[[#This Row],[Flow_Name]],Tab_Def_Flows[Flow_Name],0),11)</f>
        <v>0</v>
      </c>
      <c r="X180" s="7" t="str">
        <f>Tab_Data_Flows[[#This Row],[Flow_ID]]&amp;"_"&amp;"WC_"&amp;Tab_Data_Flows[[#This Row],[Flow_Data_Year]]</f>
        <v>F___WC_</v>
      </c>
      <c r="Y180" s="7" t="str">
        <f>IF(D180="Yes",U180*Tab_Data_Flows[[#This Row],[WC_'[%']]],"N.A.")</f>
        <v>N.A.</v>
      </c>
      <c r="Z180" s="7" t="str">
        <f>Tab_Data_Flows[[#This Row],[UoM_Flow_Py]]</f>
        <v>Mg</v>
      </c>
      <c r="AA180" s="156">
        <f>INDEX(Tab_Def_Flows[[Flow_ID]:[CC_DM_source]],MATCH(Tab_Data_Flows[[#This Row],[Flow_Name]],Tab_Def_Flows[Flow_Name],0),14)</f>
        <v>0</v>
      </c>
      <c r="AB180" s="7" t="str">
        <f>Tab_Data_Flows[[#This Row],[Flow_ID]]&amp;"_"&amp;"DM_"&amp;Tab_Data_Flows[[#This Row],[Flow_Data_Year]]</f>
        <v>F___DM_</v>
      </c>
      <c r="AC180" s="7" t="str">
        <f>IF(E180="Yes",AA180*Tab_Data_Flows[[#This Row],[Flow_Material]],"N.A.")</f>
        <v>N.A.</v>
      </c>
      <c r="AD180" s="7" t="str">
        <f>Tab_Data_Flows[[#This Row],[UoM_Flow_Py]]</f>
        <v>Mg</v>
      </c>
      <c r="AE180" s="156">
        <f>INDEX(Tab_Def_Flows[[Flow_ID]:[CC_DM_source]],MATCH(Tab_Data_Flows[[#This Row],[Flow_Name]],Tab_Def_Flows[Flow_Name],0),17)</f>
        <v>0</v>
      </c>
      <c r="AF180" s="7" t="str">
        <f>Tab_Data_Flows[[#This Row],[Flow_ID]]&amp;"_"&amp;"CC_"&amp;Tab_Data_Flows[[#This Row],[Flow_Data_Year]]</f>
        <v>F___CC_</v>
      </c>
      <c r="AG180" s="7" t="str">
        <f>IF(F180="Yes",AE180*Tab_Data_Flows[[#This Row],[Flow_Material]]*Tab_Data_Flows[[#This Row],[DM_'[%']]],"N.A.")</f>
        <v>N.A.</v>
      </c>
      <c r="AH180" s="7" t="str">
        <f>Tab_Data_Flows[[#This Row],[UoM_Flow_Py]]</f>
        <v>Mg</v>
      </c>
      <c r="AI180"/>
    </row>
    <row r="181" spans="1:35" x14ac:dyDescent="0.25">
      <c r="A181" s="9">
        <f t="shared" si="5"/>
        <v>180</v>
      </c>
      <c r="B181" s="7" t="str">
        <f>_xlfn.XLOOKUP(C181,Tab_Def_Flows[Flow_Name],Tab_Def_Flows[Flow_ID],,0,)</f>
        <v>F__</v>
      </c>
      <c r="C181" s="8" t="s">
        <v>31</v>
      </c>
      <c r="D181" s="10">
        <f>_xlfn.XLOOKUP(C181,Tab_Def_Flows[Flow_Name],Tab_Def_Flows[WC?],,0,)</f>
        <v>0</v>
      </c>
      <c r="E181" s="10">
        <f>_xlfn.XLOOKUP(C181,Tab_Def_Flows[Flow_Name],Tab_Def_Flows[DM?],,0,)</f>
        <v>0</v>
      </c>
      <c r="F181" s="10">
        <f>_xlfn.XLOOKUP(C181,Tab_Def_Flows[Flow_Name],Tab_Def_Flows[CC?],,0,)</f>
        <v>0</v>
      </c>
      <c r="G181" s="8"/>
      <c r="H181" s="28"/>
      <c r="I181" s="8"/>
      <c r="J181" s="8"/>
      <c r="K181" s="8"/>
      <c r="L181" s="8"/>
      <c r="M181" s="8"/>
      <c r="N181" s="8"/>
      <c r="O181" s="8"/>
      <c r="P181" s="8"/>
      <c r="Q181" s="8" t="s">
        <v>8</v>
      </c>
      <c r="R181" s="21"/>
      <c r="S181" s="8"/>
      <c r="T181" s="7" t="str">
        <f>Tab_Data_Flows[[#This Row],[Flow_ID]]&amp;"_"&amp;"material_"&amp;Tab_Data_Flows[[#This Row],[Flow_Data_Year]]</f>
        <v>F___material_</v>
      </c>
      <c r="U181" s="18">
        <f t="shared" si="6"/>
        <v>0</v>
      </c>
      <c r="V181" s="8" t="s">
        <v>218</v>
      </c>
      <c r="W181" s="156">
        <f>INDEX(Tab_Def_Flows[[Flow_ID]:[CC_DM_source]],MATCH(Tab_Data_Flows[[#This Row],[Flow_Name]],Tab_Def_Flows[Flow_Name],0),11)</f>
        <v>0</v>
      </c>
      <c r="X181" s="7" t="str">
        <f>Tab_Data_Flows[[#This Row],[Flow_ID]]&amp;"_"&amp;"WC_"&amp;Tab_Data_Flows[[#This Row],[Flow_Data_Year]]</f>
        <v>F___WC_</v>
      </c>
      <c r="Y181" s="7" t="str">
        <f>IF(D181="Yes",U181*Tab_Data_Flows[[#This Row],[WC_'[%']]],"N.A.")</f>
        <v>N.A.</v>
      </c>
      <c r="Z181" s="7" t="str">
        <f>Tab_Data_Flows[[#This Row],[UoM_Flow_Py]]</f>
        <v>Mg</v>
      </c>
      <c r="AA181" s="156">
        <f>INDEX(Tab_Def_Flows[[Flow_ID]:[CC_DM_source]],MATCH(Tab_Data_Flows[[#This Row],[Flow_Name]],Tab_Def_Flows[Flow_Name],0),14)</f>
        <v>0</v>
      </c>
      <c r="AB181" s="7" t="str">
        <f>Tab_Data_Flows[[#This Row],[Flow_ID]]&amp;"_"&amp;"DM_"&amp;Tab_Data_Flows[[#This Row],[Flow_Data_Year]]</f>
        <v>F___DM_</v>
      </c>
      <c r="AC181" s="7" t="str">
        <f>IF(E181="Yes",AA181*Tab_Data_Flows[[#This Row],[Flow_Material]],"N.A.")</f>
        <v>N.A.</v>
      </c>
      <c r="AD181" s="7" t="str">
        <f>Tab_Data_Flows[[#This Row],[UoM_Flow_Py]]</f>
        <v>Mg</v>
      </c>
      <c r="AE181" s="156">
        <f>INDEX(Tab_Def_Flows[[Flow_ID]:[CC_DM_source]],MATCH(Tab_Data_Flows[[#This Row],[Flow_Name]],Tab_Def_Flows[Flow_Name],0),17)</f>
        <v>0</v>
      </c>
      <c r="AF181" s="7" t="str">
        <f>Tab_Data_Flows[[#This Row],[Flow_ID]]&amp;"_"&amp;"CC_"&amp;Tab_Data_Flows[[#This Row],[Flow_Data_Year]]</f>
        <v>F___CC_</v>
      </c>
      <c r="AG181" s="7" t="str">
        <f>IF(F181="Yes",AE181*Tab_Data_Flows[[#This Row],[Flow_Material]]*Tab_Data_Flows[[#This Row],[DM_'[%']]],"N.A.")</f>
        <v>N.A.</v>
      </c>
      <c r="AH181" s="7" t="str">
        <f>Tab_Data_Flows[[#This Row],[UoM_Flow_Py]]</f>
        <v>Mg</v>
      </c>
      <c r="AI181"/>
    </row>
    <row r="182" spans="1:35" x14ac:dyDescent="0.25">
      <c r="A182" s="9">
        <f t="shared" si="5"/>
        <v>181</v>
      </c>
      <c r="B182" s="7" t="str">
        <f>_xlfn.XLOOKUP(C182,Tab_Def_Flows[Flow_Name],Tab_Def_Flows[Flow_ID],,0,)</f>
        <v>F__</v>
      </c>
      <c r="C182" s="8" t="s">
        <v>31</v>
      </c>
      <c r="D182" s="10">
        <f>_xlfn.XLOOKUP(C182,Tab_Def_Flows[Flow_Name],Tab_Def_Flows[WC?],,0,)</f>
        <v>0</v>
      </c>
      <c r="E182" s="10">
        <f>_xlfn.XLOOKUP(C182,Tab_Def_Flows[Flow_Name],Tab_Def_Flows[DM?],,0,)</f>
        <v>0</v>
      </c>
      <c r="F182" s="10">
        <f>_xlfn.XLOOKUP(C182,Tab_Def_Flows[Flow_Name],Tab_Def_Flows[CC?],,0,)</f>
        <v>0</v>
      </c>
      <c r="G182" s="8"/>
      <c r="H182" s="28"/>
      <c r="I182" s="8"/>
      <c r="J182" s="8"/>
      <c r="K182" s="8" t="s">
        <v>79</v>
      </c>
      <c r="L182" s="8" t="s">
        <v>79</v>
      </c>
      <c r="M182" s="8" t="s">
        <v>79</v>
      </c>
      <c r="N182" s="8" t="s">
        <v>79</v>
      </c>
      <c r="O182" s="8" t="s">
        <v>79</v>
      </c>
      <c r="P182" s="8" t="s">
        <v>79</v>
      </c>
      <c r="Q182" s="8" t="s">
        <v>8</v>
      </c>
      <c r="R182" s="21"/>
      <c r="S182" s="8"/>
      <c r="T182" s="7" t="str">
        <f>Tab_Data_Flows[[#This Row],[Flow_ID]]&amp;"_"&amp;"material_"&amp;Tab_Data_Flows[[#This Row],[Flow_Data_Year]]</f>
        <v>F___material_</v>
      </c>
      <c r="U182" s="18">
        <f t="shared" si="6"/>
        <v>0</v>
      </c>
      <c r="V182" s="8" t="s">
        <v>218</v>
      </c>
      <c r="W182" s="156">
        <f>INDEX(Tab_Def_Flows[[Flow_ID]:[CC_DM_source]],MATCH(Tab_Data_Flows[[#This Row],[Flow_Name]],Tab_Def_Flows[Flow_Name],0),11)</f>
        <v>0</v>
      </c>
      <c r="X182" s="7" t="str">
        <f>Tab_Data_Flows[[#This Row],[Flow_ID]]&amp;"_"&amp;"WC_"&amp;Tab_Data_Flows[[#This Row],[Flow_Data_Year]]</f>
        <v>F___WC_</v>
      </c>
      <c r="Y182" s="7" t="str">
        <f>IF(D182="Yes",U182*Tab_Data_Flows[[#This Row],[WC_'[%']]],"N.A.")</f>
        <v>N.A.</v>
      </c>
      <c r="Z182" s="7" t="str">
        <f>Tab_Data_Flows[[#This Row],[UoM_Flow_Py]]</f>
        <v>Mg</v>
      </c>
      <c r="AA182" s="156">
        <f>INDEX(Tab_Def_Flows[[Flow_ID]:[CC_DM_source]],MATCH(Tab_Data_Flows[[#This Row],[Flow_Name]],Tab_Def_Flows[Flow_Name],0),14)</f>
        <v>0</v>
      </c>
      <c r="AB182" s="7" t="str">
        <f>Tab_Data_Flows[[#This Row],[Flow_ID]]&amp;"_"&amp;"DM_"&amp;Tab_Data_Flows[[#This Row],[Flow_Data_Year]]</f>
        <v>F___DM_</v>
      </c>
      <c r="AC182" s="7" t="str">
        <f>IF(E182="Yes",AA182*Tab_Data_Flows[[#This Row],[Flow_Material]],"N.A.")</f>
        <v>N.A.</v>
      </c>
      <c r="AD182" s="7" t="str">
        <f>Tab_Data_Flows[[#This Row],[UoM_Flow_Py]]</f>
        <v>Mg</v>
      </c>
      <c r="AE182" s="156">
        <f>INDEX(Tab_Def_Flows[[Flow_ID]:[CC_DM_source]],MATCH(Tab_Data_Flows[[#This Row],[Flow_Name]],Tab_Def_Flows[Flow_Name],0),17)</f>
        <v>0</v>
      </c>
      <c r="AF182" s="7" t="str">
        <f>Tab_Data_Flows[[#This Row],[Flow_ID]]&amp;"_"&amp;"CC_"&amp;Tab_Data_Flows[[#This Row],[Flow_Data_Year]]</f>
        <v>F___CC_</v>
      </c>
      <c r="AG182" s="7" t="str">
        <f>IF(F182="Yes",AE182*Tab_Data_Flows[[#This Row],[Flow_Material]]*Tab_Data_Flows[[#This Row],[DM_'[%']]],"N.A.")</f>
        <v>N.A.</v>
      </c>
      <c r="AH182" s="7" t="str">
        <f>Tab_Data_Flows[[#This Row],[UoM_Flow_Py]]</f>
        <v>Mg</v>
      </c>
      <c r="AI182"/>
    </row>
    <row r="183" spans="1:35" x14ac:dyDescent="0.25">
      <c r="A183" s="9">
        <f t="shared" si="5"/>
        <v>182</v>
      </c>
      <c r="B183" s="7" t="str">
        <f>_xlfn.XLOOKUP(C183,Tab_Def_Flows[Flow_Name],Tab_Def_Flows[Flow_ID],,0,)</f>
        <v>F__</v>
      </c>
      <c r="C183" s="8" t="s">
        <v>31</v>
      </c>
      <c r="D183" s="10">
        <f>_xlfn.XLOOKUP(C183,Tab_Def_Flows[Flow_Name],Tab_Def_Flows[WC?],,0,)</f>
        <v>0</v>
      </c>
      <c r="E183" s="10">
        <f>_xlfn.XLOOKUP(C183,Tab_Def_Flows[Flow_Name],Tab_Def_Flows[DM?],,0,)</f>
        <v>0</v>
      </c>
      <c r="F183" s="10">
        <f>_xlfn.XLOOKUP(C183,Tab_Def_Flows[Flow_Name],Tab_Def_Flows[CC?],,0,)</f>
        <v>0</v>
      </c>
      <c r="G183" s="8"/>
      <c r="H183" s="28"/>
      <c r="I183" s="8"/>
      <c r="J183" s="8"/>
      <c r="K183" s="8" t="e">
        <f>INDEX(#REF!,MATCH(Tab_Data_Flows[[#This Row],[Flow_Name]],#REF!,0),12)</f>
        <v>#REF!</v>
      </c>
      <c r="L183" s="8" t="e">
        <f>MATCH(Tab_Data_Flows[[#This Row],[Flow_Name]],#REF!,0)</f>
        <v>#REF!</v>
      </c>
      <c r="M183" s="8"/>
      <c r="N183" s="8"/>
      <c r="O183" s="8"/>
      <c r="P183" s="8"/>
      <c r="Q183" s="8" t="s">
        <v>8</v>
      </c>
      <c r="R183" s="8"/>
      <c r="S183" s="8"/>
      <c r="T183" s="7" t="str">
        <f>Tab_Data_Flows[[#This Row],[Flow_ID]]&amp;"_"&amp;"material_"&amp;Tab_Data_Flows[[#This Row],[Flow_Data_Year]]</f>
        <v>F___material_</v>
      </c>
      <c r="U183" s="18">
        <f t="shared" si="6"/>
        <v>0</v>
      </c>
      <c r="V183" s="8" t="s">
        <v>218</v>
      </c>
      <c r="W183" s="156">
        <f>INDEX(Tab_Def_Flows[[Flow_ID]:[CC_DM_source]],MATCH(Tab_Data_Flows[[#This Row],[Flow_Name]],Tab_Def_Flows[Flow_Name],0),11)</f>
        <v>0</v>
      </c>
      <c r="X183" s="7" t="str">
        <f>Tab_Data_Flows[[#This Row],[Flow_ID]]&amp;"_"&amp;"WC_"&amp;Tab_Data_Flows[[#This Row],[Flow_Data_Year]]</f>
        <v>F___WC_</v>
      </c>
      <c r="Y183" s="7" t="str">
        <f>IF(D183="Yes",U183*Tab_Data_Flows[[#This Row],[WC_'[%']]],"N.A.")</f>
        <v>N.A.</v>
      </c>
      <c r="Z183" s="7" t="str">
        <f>Tab_Data_Flows[[#This Row],[UoM_Flow_Py]]</f>
        <v>Mg</v>
      </c>
      <c r="AA183" s="156">
        <f>INDEX(Tab_Def_Flows[[Flow_ID]:[CC_DM_source]],MATCH(Tab_Data_Flows[[#This Row],[Flow_Name]],Tab_Def_Flows[Flow_Name],0),14)</f>
        <v>0</v>
      </c>
      <c r="AB183" s="7" t="str">
        <f>Tab_Data_Flows[[#This Row],[Flow_ID]]&amp;"_"&amp;"DM_"&amp;Tab_Data_Flows[[#This Row],[Flow_Data_Year]]</f>
        <v>F___DM_</v>
      </c>
      <c r="AC183" s="7" t="str">
        <f>IF(E183="Yes",AA183*Tab_Data_Flows[[#This Row],[Flow_Material]],"N.A.")</f>
        <v>N.A.</v>
      </c>
      <c r="AD183" s="7" t="str">
        <f>Tab_Data_Flows[[#This Row],[UoM_Flow_Py]]</f>
        <v>Mg</v>
      </c>
      <c r="AE183" s="156">
        <f>INDEX(Tab_Def_Flows[[Flow_ID]:[CC_DM_source]],MATCH(Tab_Data_Flows[[#This Row],[Flow_Name]],Tab_Def_Flows[Flow_Name],0),17)</f>
        <v>0</v>
      </c>
      <c r="AF183" s="7" t="str">
        <f>Tab_Data_Flows[[#This Row],[Flow_ID]]&amp;"_"&amp;"CC_"&amp;Tab_Data_Flows[[#This Row],[Flow_Data_Year]]</f>
        <v>F___CC_</v>
      </c>
      <c r="AG183" s="7" t="str">
        <f>IF(F183="Yes",AE183*Tab_Data_Flows[[#This Row],[Flow_Material]]*Tab_Data_Flows[[#This Row],[DM_'[%']]],"N.A.")</f>
        <v>N.A.</v>
      </c>
      <c r="AH183" s="7" t="str">
        <f>Tab_Data_Flows[[#This Row],[UoM_Flow_Py]]</f>
        <v>Mg</v>
      </c>
      <c r="AI183"/>
    </row>
    <row r="184" spans="1:35" x14ac:dyDescent="0.25">
      <c r="A184" s="9">
        <f t="shared" si="5"/>
        <v>183</v>
      </c>
      <c r="B184" s="7" t="str">
        <f>_xlfn.XLOOKUP(C184,Tab_Def_Flows[Flow_Name],Tab_Def_Flows[Flow_ID],,0,)</f>
        <v>F__</v>
      </c>
      <c r="C184" s="8" t="s">
        <v>31</v>
      </c>
      <c r="D184" s="10">
        <f>_xlfn.XLOOKUP(C184,Tab_Def_Flows[Flow_Name],Tab_Def_Flows[WC?],,0,)</f>
        <v>0</v>
      </c>
      <c r="E184" s="10">
        <f>_xlfn.XLOOKUP(C184,Tab_Def_Flows[Flow_Name],Tab_Def_Flows[DM?],,0,)</f>
        <v>0</v>
      </c>
      <c r="F184" s="10">
        <f>_xlfn.XLOOKUP(C184,Tab_Def_Flows[Flow_Name],Tab_Def_Flows[CC?],,0,)</f>
        <v>0</v>
      </c>
      <c r="G184" s="8"/>
      <c r="H184" s="28"/>
      <c r="I184" s="8"/>
      <c r="J184" s="8"/>
      <c r="K184" s="8" t="e">
        <f>INDEX(#REF!,MATCH(Tab_Data_Flows[[#This Row],[Flow_Name]],#REF!,0),12)</f>
        <v>#REF!</v>
      </c>
      <c r="L184" s="8" t="e">
        <f>MATCH(Tab_Data_Flows[[#This Row],[Flow_Name]],#REF!,0)</f>
        <v>#REF!</v>
      </c>
      <c r="M184" s="8"/>
      <c r="N184" s="8"/>
      <c r="O184" s="8"/>
      <c r="P184" s="8"/>
      <c r="Q184" s="8" t="s">
        <v>8</v>
      </c>
      <c r="R184" s="8"/>
      <c r="S184" s="8"/>
      <c r="T184" s="7" t="str">
        <f>Tab_Data_Flows[[#This Row],[Flow_ID]]&amp;"_"&amp;"material_"&amp;Tab_Data_Flows[[#This Row],[Flow_Data_Year]]</f>
        <v>F___material_</v>
      </c>
      <c r="U184" s="18">
        <f t="shared" si="6"/>
        <v>0</v>
      </c>
      <c r="V184" s="8" t="s">
        <v>218</v>
      </c>
      <c r="W184" s="156">
        <f>INDEX(Tab_Def_Flows[[Flow_ID]:[CC_DM_source]],MATCH(Tab_Data_Flows[[#This Row],[Flow_Name]],Tab_Def_Flows[Flow_Name],0),11)</f>
        <v>0</v>
      </c>
      <c r="X184" s="7" t="str">
        <f>Tab_Data_Flows[[#This Row],[Flow_ID]]&amp;"_"&amp;"WC_"&amp;Tab_Data_Flows[[#This Row],[Flow_Data_Year]]</f>
        <v>F___WC_</v>
      </c>
      <c r="Y184" s="7" t="str">
        <f>IF(D184="Yes",U184*Tab_Data_Flows[[#This Row],[WC_'[%']]],"N.A.")</f>
        <v>N.A.</v>
      </c>
      <c r="Z184" s="7" t="str">
        <f>Tab_Data_Flows[[#This Row],[UoM_Flow_Py]]</f>
        <v>Mg</v>
      </c>
      <c r="AA184" s="156">
        <f>INDEX(Tab_Def_Flows[[Flow_ID]:[CC_DM_source]],MATCH(Tab_Data_Flows[[#This Row],[Flow_Name]],Tab_Def_Flows[Flow_Name],0),14)</f>
        <v>0</v>
      </c>
      <c r="AB184" s="7" t="str">
        <f>Tab_Data_Flows[[#This Row],[Flow_ID]]&amp;"_"&amp;"DM_"&amp;Tab_Data_Flows[[#This Row],[Flow_Data_Year]]</f>
        <v>F___DM_</v>
      </c>
      <c r="AC184" s="7" t="str">
        <f>IF(E184="Yes",AA184*Tab_Data_Flows[[#This Row],[Flow_Material]],"N.A.")</f>
        <v>N.A.</v>
      </c>
      <c r="AD184" s="7" t="str">
        <f>Tab_Data_Flows[[#This Row],[UoM_Flow_Py]]</f>
        <v>Mg</v>
      </c>
      <c r="AE184" s="156">
        <f>INDEX(Tab_Def_Flows[[Flow_ID]:[CC_DM_source]],MATCH(Tab_Data_Flows[[#This Row],[Flow_Name]],Tab_Def_Flows[Flow_Name],0),17)</f>
        <v>0</v>
      </c>
      <c r="AF184" s="7" t="str">
        <f>Tab_Data_Flows[[#This Row],[Flow_ID]]&amp;"_"&amp;"CC_"&amp;Tab_Data_Flows[[#This Row],[Flow_Data_Year]]</f>
        <v>F___CC_</v>
      </c>
      <c r="AG184" s="7" t="str">
        <f>IF(F184="Yes",AE184*Tab_Data_Flows[[#This Row],[Flow_Material]]*Tab_Data_Flows[[#This Row],[DM_'[%']]],"N.A.")</f>
        <v>N.A.</v>
      </c>
      <c r="AH184" s="7" t="str">
        <f>Tab_Data_Flows[[#This Row],[UoM_Flow_Py]]</f>
        <v>Mg</v>
      </c>
      <c r="AI184"/>
    </row>
    <row r="185" spans="1:35" x14ac:dyDescent="0.25">
      <c r="A185" s="9">
        <f t="shared" si="5"/>
        <v>184</v>
      </c>
      <c r="B185" s="7" t="str">
        <f>_xlfn.XLOOKUP(C185,Tab_Def_Flows[Flow_Name],Tab_Def_Flows[Flow_ID],,0,)</f>
        <v>F__</v>
      </c>
      <c r="C185" s="8" t="s">
        <v>31</v>
      </c>
      <c r="D185" s="10">
        <f>_xlfn.XLOOKUP(C185,Tab_Def_Flows[Flow_Name],Tab_Def_Flows[WC?],,0,)</f>
        <v>0</v>
      </c>
      <c r="E185" s="10">
        <f>_xlfn.XLOOKUP(C185,Tab_Def_Flows[Flow_Name],Tab_Def_Flows[DM?],,0,)</f>
        <v>0</v>
      </c>
      <c r="F185" s="10">
        <f>_xlfn.XLOOKUP(C185,Tab_Def_Flows[Flow_Name],Tab_Def_Flows[CC?],,0,)</f>
        <v>0</v>
      </c>
      <c r="G185" s="8"/>
      <c r="H185" s="28"/>
      <c r="I185" s="8"/>
      <c r="J185" s="8"/>
      <c r="K185" s="8" t="e">
        <f>INDEX(#REF!,MATCH(Tab_Data_Flows[[#This Row],[Flow_Name]],#REF!,0),12)</f>
        <v>#REF!</v>
      </c>
      <c r="L185" s="8" t="e">
        <f>MATCH(Tab_Data_Flows[[#This Row],[Flow_Name]],#REF!,0)</f>
        <v>#REF!</v>
      </c>
      <c r="M185" s="8"/>
      <c r="N185" s="8"/>
      <c r="O185" s="8"/>
      <c r="P185" s="8"/>
      <c r="Q185" s="8" t="s">
        <v>8</v>
      </c>
      <c r="R185" s="8"/>
      <c r="S185" s="8"/>
      <c r="T185" s="7" t="str">
        <f>Tab_Data_Flows[[#This Row],[Flow_ID]]&amp;"_"&amp;"material_"&amp;Tab_Data_Flows[[#This Row],[Flow_Data_Year]]</f>
        <v>F___material_</v>
      </c>
      <c r="U185" s="18">
        <f t="shared" si="6"/>
        <v>0</v>
      </c>
      <c r="V185" s="8" t="s">
        <v>218</v>
      </c>
      <c r="W185" s="156">
        <f>INDEX(Tab_Def_Flows[[Flow_ID]:[CC_DM_source]],MATCH(Tab_Data_Flows[[#This Row],[Flow_Name]],Tab_Def_Flows[Flow_Name],0),11)</f>
        <v>0</v>
      </c>
      <c r="X185" s="7" t="str">
        <f>Tab_Data_Flows[[#This Row],[Flow_ID]]&amp;"_"&amp;"WC_"&amp;Tab_Data_Flows[[#This Row],[Flow_Data_Year]]</f>
        <v>F___WC_</v>
      </c>
      <c r="Y185" s="7" t="str">
        <f>IF(D185="Yes",U185*Tab_Data_Flows[[#This Row],[WC_'[%']]],"N.A.")</f>
        <v>N.A.</v>
      </c>
      <c r="Z185" s="7" t="str">
        <f>Tab_Data_Flows[[#This Row],[UoM_Flow_Py]]</f>
        <v>Mg</v>
      </c>
      <c r="AA185" s="156">
        <f>INDEX(Tab_Def_Flows[[Flow_ID]:[CC_DM_source]],MATCH(Tab_Data_Flows[[#This Row],[Flow_Name]],Tab_Def_Flows[Flow_Name],0),14)</f>
        <v>0</v>
      </c>
      <c r="AB185" s="7" t="str">
        <f>Tab_Data_Flows[[#This Row],[Flow_ID]]&amp;"_"&amp;"DM_"&amp;Tab_Data_Flows[[#This Row],[Flow_Data_Year]]</f>
        <v>F___DM_</v>
      </c>
      <c r="AC185" s="7" t="str">
        <f>IF(E185="Yes",AA185*Tab_Data_Flows[[#This Row],[Flow_Material]],"N.A.")</f>
        <v>N.A.</v>
      </c>
      <c r="AD185" s="7" t="str">
        <f>Tab_Data_Flows[[#This Row],[UoM_Flow_Py]]</f>
        <v>Mg</v>
      </c>
      <c r="AE185" s="156">
        <f>INDEX(Tab_Def_Flows[[Flow_ID]:[CC_DM_source]],MATCH(Tab_Data_Flows[[#This Row],[Flow_Name]],Tab_Def_Flows[Flow_Name],0),17)</f>
        <v>0</v>
      </c>
      <c r="AF185" s="7" t="str">
        <f>Tab_Data_Flows[[#This Row],[Flow_ID]]&amp;"_"&amp;"CC_"&amp;Tab_Data_Flows[[#This Row],[Flow_Data_Year]]</f>
        <v>F___CC_</v>
      </c>
      <c r="AG185" s="7" t="str">
        <f>IF(F185="Yes",AE185*Tab_Data_Flows[[#This Row],[Flow_Material]]*Tab_Data_Flows[[#This Row],[DM_'[%']]],"N.A.")</f>
        <v>N.A.</v>
      </c>
      <c r="AH185" s="7" t="str">
        <f>Tab_Data_Flows[[#This Row],[UoM_Flow_Py]]</f>
        <v>Mg</v>
      </c>
      <c r="AI185"/>
    </row>
    <row r="186" spans="1:35" x14ac:dyDescent="0.25">
      <c r="A186" s="9">
        <f t="shared" si="5"/>
        <v>185</v>
      </c>
      <c r="B186" s="7" t="str">
        <f>_xlfn.XLOOKUP(C186,Tab_Def_Flows[Flow_Name],Tab_Def_Flows[Flow_ID],,0,)</f>
        <v>F__</v>
      </c>
      <c r="C186" s="8" t="s">
        <v>31</v>
      </c>
      <c r="D186" s="10">
        <f>_xlfn.XLOOKUP(C186,Tab_Def_Flows[Flow_Name],Tab_Def_Flows[WC?],,0,)</f>
        <v>0</v>
      </c>
      <c r="E186" s="10">
        <f>_xlfn.XLOOKUP(C186,Tab_Def_Flows[Flow_Name],Tab_Def_Flows[DM?],,0,)</f>
        <v>0</v>
      </c>
      <c r="F186" s="10">
        <f>_xlfn.XLOOKUP(C186,Tab_Def_Flows[Flow_Name],Tab_Def_Flows[CC?],,0,)</f>
        <v>0</v>
      </c>
      <c r="G186" s="8"/>
      <c r="H186" s="28"/>
      <c r="I186" s="8"/>
      <c r="J186" s="8"/>
      <c r="K186" s="8" t="e">
        <f>INDEX(#REF!,MATCH(Tab_Data_Flows[[#This Row],[Flow_Name]],#REF!,0),12)</f>
        <v>#REF!</v>
      </c>
      <c r="L186" s="8" t="e">
        <f>MATCH(Tab_Data_Flows[[#This Row],[Flow_Name]],#REF!,0)</f>
        <v>#REF!</v>
      </c>
      <c r="M186" s="8"/>
      <c r="N186" s="8"/>
      <c r="O186" s="8"/>
      <c r="P186" s="8"/>
      <c r="Q186" s="8" t="s">
        <v>8</v>
      </c>
      <c r="R186" s="8"/>
      <c r="S186" s="8"/>
      <c r="T186" s="7" t="str">
        <f>Tab_Data_Flows[[#This Row],[Flow_ID]]&amp;"_"&amp;"material_"&amp;Tab_Data_Flows[[#This Row],[Flow_Data_Year]]</f>
        <v>F___material_</v>
      </c>
      <c r="U186" s="18">
        <f t="shared" si="6"/>
        <v>0</v>
      </c>
      <c r="V186" s="8" t="s">
        <v>218</v>
      </c>
      <c r="W186" s="156">
        <f>INDEX(Tab_Def_Flows[[Flow_ID]:[CC_DM_source]],MATCH(Tab_Data_Flows[[#This Row],[Flow_Name]],Tab_Def_Flows[Flow_Name],0),11)</f>
        <v>0</v>
      </c>
      <c r="X186" s="7" t="str">
        <f>Tab_Data_Flows[[#This Row],[Flow_ID]]&amp;"_"&amp;"WC_"&amp;Tab_Data_Flows[[#This Row],[Flow_Data_Year]]</f>
        <v>F___WC_</v>
      </c>
      <c r="Y186" s="7" t="str">
        <f>IF(D186="Yes",U186*Tab_Data_Flows[[#This Row],[WC_'[%']]],"N.A.")</f>
        <v>N.A.</v>
      </c>
      <c r="Z186" s="7" t="str">
        <f>Tab_Data_Flows[[#This Row],[UoM_Flow_Py]]</f>
        <v>Mg</v>
      </c>
      <c r="AA186" s="156">
        <f>INDEX(Tab_Def_Flows[[Flow_ID]:[CC_DM_source]],MATCH(Tab_Data_Flows[[#This Row],[Flow_Name]],Tab_Def_Flows[Flow_Name],0),14)</f>
        <v>0</v>
      </c>
      <c r="AB186" s="7" t="str">
        <f>Tab_Data_Flows[[#This Row],[Flow_ID]]&amp;"_"&amp;"DM_"&amp;Tab_Data_Flows[[#This Row],[Flow_Data_Year]]</f>
        <v>F___DM_</v>
      </c>
      <c r="AC186" s="7" t="str">
        <f>IF(E186="Yes",AA186*Tab_Data_Flows[[#This Row],[Flow_Material]],"N.A.")</f>
        <v>N.A.</v>
      </c>
      <c r="AD186" s="7" t="str">
        <f>Tab_Data_Flows[[#This Row],[UoM_Flow_Py]]</f>
        <v>Mg</v>
      </c>
      <c r="AE186" s="156">
        <f>INDEX(Tab_Def_Flows[[Flow_ID]:[CC_DM_source]],MATCH(Tab_Data_Flows[[#This Row],[Flow_Name]],Tab_Def_Flows[Flow_Name],0),17)</f>
        <v>0</v>
      </c>
      <c r="AF186" s="7" t="str">
        <f>Tab_Data_Flows[[#This Row],[Flow_ID]]&amp;"_"&amp;"CC_"&amp;Tab_Data_Flows[[#This Row],[Flow_Data_Year]]</f>
        <v>F___CC_</v>
      </c>
      <c r="AG186" s="7" t="str">
        <f>IF(F186="Yes",AE186*Tab_Data_Flows[[#This Row],[Flow_Material]]*Tab_Data_Flows[[#This Row],[DM_'[%']]],"N.A.")</f>
        <v>N.A.</v>
      </c>
      <c r="AH186" s="7" t="str">
        <f>Tab_Data_Flows[[#This Row],[UoM_Flow_Py]]</f>
        <v>Mg</v>
      </c>
      <c r="AI186"/>
    </row>
    <row r="187" spans="1:35" x14ac:dyDescent="0.25">
      <c r="A187" s="9">
        <f t="shared" si="5"/>
        <v>186</v>
      </c>
      <c r="B187" s="7" t="str">
        <f>_xlfn.XLOOKUP(C187,Tab_Def_Flows[Flow_Name],Tab_Def_Flows[Flow_ID],,0,)</f>
        <v>F__</v>
      </c>
      <c r="C187" s="8" t="s">
        <v>31</v>
      </c>
      <c r="D187" s="10">
        <f>_xlfn.XLOOKUP(C187,Tab_Def_Flows[Flow_Name],Tab_Def_Flows[WC?],,0,)</f>
        <v>0</v>
      </c>
      <c r="E187" s="10">
        <f>_xlfn.XLOOKUP(C187,Tab_Def_Flows[Flow_Name],Tab_Def_Flows[DM?],,0,)</f>
        <v>0</v>
      </c>
      <c r="F187" s="10">
        <f>_xlfn.XLOOKUP(C187,Tab_Def_Flows[Flow_Name],Tab_Def_Flows[CC?],,0,)</f>
        <v>0</v>
      </c>
      <c r="G187" s="8"/>
      <c r="H187" s="28"/>
      <c r="I187" s="8"/>
      <c r="J187" s="8"/>
      <c r="K187" s="8" t="e">
        <f>INDEX(#REF!,MATCH(Tab_Data_Flows[[#This Row],[Flow_Name]],#REF!,0),12)</f>
        <v>#REF!</v>
      </c>
      <c r="L187" s="8" t="e">
        <f>MATCH(Tab_Data_Flows[[#This Row],[Flow_Name]],#REF!,0)</f>
        <v>#REF!</v>
      </c>
      <c r="M187" s="8"/>
      <c r="N187" s="8"/>
      <c r="O187" s="8"/>
      <c r="P187" s="8"/>
      <c r="Q187" s="8" t="s">
        <v>8</v>
      </c>
      <c r="R187" s="8"/>
      <c r="S187" s="8"/>
      <c r="T187" s="7" t="str">
        <f>Tab_Data_Flows[[#This Row],[Flow_ID]]&amp;"_"&amp;"material_"&amp;Tab_Data_Flows[[#This Row],[Flow_Data_Year]]</f>
        <v>F___material_</v>
      </c>
      <c r="U187" s="18">
        <f t="shared" si="6"/>
        <v>0</v>
      </c>
      <c r="V187" s="8" t="s">
        <v>218</v>
      </c>
      <c r="W187" s="156">
        <f>INDEX(Tab_Def_Flows[[Flow_ID]:[CC_DM_source]],MATCH(Tab_Data_Flows[[#This Row],[Flow_Name]],Tab_Def_Flows[Flow_Name],0),11)</f>
        <v>0</v>
      </c>
      <c r="X187" s="7" t="str">
        <f>Tab_Data_Flows[[#This Row],[Flow_ID]]&amp;"_"&amp;"WC_"&amp;Tab_Data_Flows[[#This Row],[Flow_Data_Year]]</f>
        <v>F___WC_</v>
      </c>
      <c r="Y187" s="7" t="str">
        <f>IF(D187="Yes",U187*Tab_Data_Flows[[#This Row],[WC_'[%']]],"N.A.")</f>
        <v>N.A.</v>
      </c>
      <c r="Z187" s="7" t="str">
        <f>Tab_Data_Flows[[#This Row],[UoM_Flow_Py]]</f>
        <v>Mg</v>
      </c>
      <c r="AA187" s="156">
        <f>INDEX(Tab_Def_Flows[[Flow_ID]:[CC_DM_source]],MATCH(Tab_Data_Flows[[#This Row],[Flow_Name]],Tab_Def_Flows[Flow_Name],0),14)</f>
        <v>0</v>
      </c>
      <c r="AB187" s="7" t="str">
        <f>Tab_Data_Flows[[#This Row],[Flow_ID]]&amp;"_"&amp;"DM_"&amp;Tab_Data_Flows[[#This Row],[Flow_Data_Year]]</f>
        <v>F___DM_</v>
      </c>
      <c r="AC187" s="7" t="str">
        <f>IF(E187="Yes",AA187*Tab_Data_Flows[[#This Row],[Flow_Material]],"N.A.")</f>
        <v>N.A.</v>
      </c>
      <c r="AD187" s="7" t="str">
        <f>Tab_Data_Flows[[#This Row],[UoM_Flow_Py]]</f>
        <v>Mg</v>
      </c>
      <c r="AE187" s="156">
        <f>INDEX(Tab_Def_Flows[[Flow_ID]:[CC_DM_source]],MATCH(Tab_Data_Flows[[#This Row],[Flow_Name]],Tab_Def_Flows[Flow_Name],0),17)</f>
        <v>0</v>
      </c>
      <c r="AF187" s="7" t="str">
        <f>Tab_Data_Flows[[#This Row],[Flow_ID]]&amp;"_"&amp;"CC_"&amp;Tab_Data_Flows[[#This Row],[Flow_Data_Year]]</f>
        <v>F___CC_</v>
      </c>
      <c r="AG187" s="7" t="str">
        <f>IF(F187="Yes",AE187*Tab_Data_Flows[[#This Row],[Flow_Material]]*Tab_Data_Flows[[#This Row],[DM_'[%']]],"N.A.")</f>
        <v>N.A.</v>
      </c>
      <c r="AH187" s="7" t="str">
        <f>Tab_Data_Flows[[#This Row],[UoM_Flow_Py]]</f>
        <v>Mg</v>
      </c>
      <c r="AI187"/>
    </row>
    <row r="188" spans="1:35" x14ac:dyDescent="0.25">
      <c r="A188" s="9">
        <f t="shared" si="5"/>
        <v>187</v>
      </c>
      <c r="B188" s="7" t="str">
        <f>_xlfn.XLOOKUP(C188,Tab_Def_Flows[Flow_Name],Tab_Def_Flows[Flow_ID],,0,)</f>
        <v>F__</v>
      </c>
      <c r="C188" s="8" t="s">
        <v>31</v>
      </c>
      <c r="D188" s="10">
        <f>_xlfn.XLOOKUP(C188,Tab_Def_Flows[Flow_Name],Tab_Def_Flows[WC?],,0,)</f>
        <v>0</v>
      </c>
      <c r="E188" s="10">
        <f>_xlfn.XLOOKUP(C188,Tab_Def_Flows[Flow_Name],Tab_Def_Flows[DM?],,0,)</f>
        <v>0</v>
      </c>
      <c r="F188" s="10">
        <f>_xlfn.XLOOKUP(C188,Tab_Def_Flows[Flow_Name],Tab_Def_Flows[CC?],,0,)</f>
        <v>0</v>
      </c>
      <c r="G188" s="8"/>
      <c r="H188" s="28"/>
      <c r="I188" s="8"/>
      <c r="J188" s="8"/>
      <c r="K188" s="8" t="e">
        <f>INDEX(#REF!,MATCH(Tab_Data_Flows[[#This Row],[Flow_Name]],#REF!,0),12)</f>
        <v>#REF!</v>
      </c>
      <c r="L188" s="8" t="e">
        <f>MATCH(Tab_Data_Flows[[#This Row],[Flow_Name]],#REF!,0)</f>
        <v>#REF!</v>
      </c>
      <c r="M188" s="8"/>
      <c r="N188" s="8"/>
      <c r="O188" s="8"/>
      <c r="P188" s="8"/>
      <c r="Q188" s="8" t="s">
        <v>8</v>
      </c>
      <c r="R188" s="8"/>
      <c r="S188" s="8"/>
      <c r="T188" s="7" t="str">
        <f>Tab_Data_Flows[[#This Row],[Flow_ID]]&amp;"_"&amp;"material_"&amp;Tab_Data_Flows[[#This Row],[Flow_Data_Year]]</f>
        <v>F___material_</v>
      </c>
      <c r="U188" s="18">
        <f t="shared" si="6"/>
        <v>0</v>
      </c>
      <c r="V188" s="8" t="s">
        <v>218</v>
      </c>
      <c r="W188" s="156">
        <f>INDEX(Tab_Def_Flows[[Flow_ID]:[CC_DM_source]],MATCH(Tab_Data_Flows[[#This Row],[Flow_Name]],Tab_Def_Flows[Flow_Name],0),11)</f>
        <v>0</v>
      </c>
      <c r="X188" s="7" t="str">
        <f>Tab_Data_Flows[[#This Row],[Flow_ID]]&amp;"_"&amp;"WC_"&amp;Tab_Data_Flows[[#This Row],[Flow_Data_Year]]</f>
        <v>F___WC_</v>
      </c>
      <c r="Y188" s="7" t="str">
        <f>IF(D188="Yes",U188*Tab_Data_Flows[[#This Row],[WC_'[%']]],"N.A.")</f>
        <v>N.A.</v>
      </c>
      <c r="Z188" s="7" t="str">
        <f>Tab_Data_Flows[[#This Row],[UoM_Flow_Py]]</f>
        <v>Mg</v>
      </c>
      <c r="AA188" s="156">
        <f>INDEX(Tab_Def_Flows[[Flow_ID]:[CC_DM_source]],MATCH(Tab_Data_Flows[[#This Row],[Flow_Name]],Tab_Def_Flows[Flow_Name],0),14)</f>
        <v>0</v>
      </c>
      <c r="AB188" s="7" t="str">
        <f>Tab_Data_Flows[[#This Row],[Flow_ID]]&amp;"_"&amp;"DM_"&amp;Tab_Data_Flows[[#This Row],[Flow_Data_Year]]</f>
        <v>F___DM_</v>
      </c>
      <c r="AC188" s="7" t="str">
        <f>IF(E188="Yes",AA188*Tab_Data_Flows[[#This Row],[Flow_Material]],"N.A.")</f>
        <v>N.A.</v>
      </c>
      <c r="AD188" s="7" t="str">
        <f>Tab_Data_Flows[[#This Row],[UoM_Flow_Py]]</f>
        <v>Mg</v>
      </c>
      <c r="AE188" s="156">
        <f>INDEX(Tab_Def_Flows[[Flow_ID]:[CC_DM_source]],MATCH(Tab_Data_Flows[[#This Row],[Flow_Name]],Tab_Def_Flows[Flow_Name],0),17)</f>
        <v>0</v>
      </c>
      <c r="AF188" s="7" t="str">
        <f>Tab_Data_Flows[[#This Row],[Flow_ID]]&amp;"_"&amp;"CC_"&amp;Tab_Data_Flows[[#This Row],[Flow_Data_Year]]</f>
        <v>F___CC_</v>
      </c>
      <c r="AG188" s="7" t="str">
        <f>IF(F188="Yes",AE188*Tab_Data_Flows[[#This Row],[Flow_Material]]*Tab_Data_Flows[[#This Row],[DM_'[%']]],"N.A.")</f>
        <v>N.A.</v>
      </c>
      <c r="AH188" s="7" t="str">
        <f>Tab_Data_Flows[[#This Row],[UoM_Flow_Py]]</f>
        <v>Mg</v>
      </c>
      <c r="AI188"/>
    </row>
    <row r="189" spans="1:35" x14ac:dyDescent="0.25">
      <c r="A189" s="9">
        <f t="shared" si="5"/>
        <v>188</v>
      </c>
      <c r="B189" s="7" t="str">
        <f>_xlfn.XLOOKUP(C189,Tab_Def_Flows[Flow_Name],Tab_Def_Flows[Flow_ID],,0,)</f>
        <v>F__</v>
      </c>
      <c r="C189" s="8" t="s">
        <v>31</v>
      </c>
      <c r="D189" s="10">
        <f>_xlfn.XLOOKUP(C189,Tab_Def_Flows[Flow_Name],Tab_Def_Flows[WC?],,0,)</f>
        <v>0</v>
      </c>
      <c r="E189" s="10">
        <f>_xlfn.XLOOKUP(C189,Tab_Def_Flows[Flow_Name],Tab_Def_Flows[DM?],,0,)</f>
        <v>0</v>
      </c>
      <c r="F189" s="10">
        <f>_xlfn.XLOOKUP(C189,Tab_Def_Flows[Flow_Name],Tab_Def_Flows[CC?],,0,)</f>
        <v>0</v>
      </c>
      <c r="G189" s="8"/>
      <c r="H189" s="28"/>
      <c r="I189" s="8"/>
      <c r="J189" s="8"/>
      <c r="K189" s="8" t="e">
        <f>INDEX(#REF!,MATCH(Tab_Data_Flows[[#This Row],[Flow_Name]],#REF!,0),12)</f>
        <v>#REF!</v>
      </c>
      <c r="L189" s="8" t="e">
        <f>MATCH(Tab_Data_Flows[[#This Row],[Flow_Name]],#REF!,0)</f>
        <v>#REF!</v>
      </c>
      <c r="M189" s="8"/>
      <c r="N189" s="8"/>
      <c r="O189" s="8"/>
      <c r="P189" s="8"/>
      <c r="Q189" s="8" t="s">
        <v>8</v>
      </c>
      <c r="R189" s="8"/>
      <c r="S189" s="8"/>
      <c r="T189" s="7" t="str">
        <f>Tab_Data_Flows[[#This Row],[Flow_ID]]&amp;"_"&amp;"material_"&amp;Tab_Data_Flows[[#This Row],[Flow_Data_Year]]</f>
        <v>F___material_</v>
      </c>
      <c r="U189" s="18">
        <f t="shared" si="6"/>
        <v>0</v>
      </c>
      <c r="V189" s="8" t="s">
        <v>218</v>
      </c>
      <c r="W189" s="156">
        <f>INDEX(Tab_Def_Flows[[Flow_ID]:[CC_DM_source]],MATCH(Tab_Data_Flows[[#This Row],[Flow_Name]],Tab_Def_Flows[Flow_Name],0),11)</f>
        <v>0</v>
      </c>
      <c r="X189" s="7" t="str">
        <f>Tab_Data_Flows[[#This Row],[Flow_ID]]&amp;"_"&amp;"WC_"&amp;Tab_Data_Flows[[#This Row],[Flow_Data_Year]]</f>
        <v>F___WC_</v>
      </c>
      <c r="Y189" s="7" t="str">
        <f>IF(D189="Yes",U189*Tab_Data_Flows[[#This Row],[WC_'[%']]],"N.A.")</f>
        <v>N.A.</v>
      </c>
      <c r="Z189" s="7" t="str">
        <f>Tab_Data_Flows[[#This Row],[UoM_Flow_Py]]</f>
        <v>Mg</v>
      </c>
      <c r="AA189" s="156">
        <f>INDEX(Tab_Def_Flows[[Flow_ID]:[CC_DM_source]],MATCH(Tab_Data_Flows[[#This Row],[Flow_Name]],Tab_Def_Flows[Flow_Name],0),14)</f>
        <v>0</v>
      </c>
      <c r="AB189" s="7" t="str">
        <f>Tab_Data_Flows[[#This Row],[Flow_ID]]&amp;"_"&amp;"DM_"&amp;Tab_Data_Flows[[#This Row],[Flow_Data_Year]]</f>
        <v>F___DM_</v>
      </c>
      <c r="AC189" s="7" t="str">
        <f>IF(E189="Yes",AA189*Tab_Data_Flows[[#This Row],[Flow_Material]],"N.A.")</f>
        <v>N.A.</v>
      </c>
      <c r="AD189" s="7" t="str">
        <f>Tab_Data_Flows[[#This Row],[UoM_Flow_Py]]</f>
        <v>Mg</v>
      </c>
      <c r="AE189" s="156">
        <f>INDEX(Tab_Def_Flows[[Flow_ID]:[CC_DM_source]],MATCH(Tab_Data_Flows[[#This Row],[Flow_Name]],Tab_Def_Flows[Flow_Name],0),17)</f>
        <v>0</v>
      </c>
      <c r="AF189" s="7" t="str">
        <f>Tab_Data_Flows[[#This Row],[Flow_ID]]&amp;"_"&amp;"CC_"&amp;Tab_Data_Flows[[#This Row],[Flow_Data_Year]]</f>
        <v>F___CC_</v>
      </c>
      <c r="AG189" s="7" t="str">
        <f>IF(F189="Yes",AE189*Tab_Data_Flows[[#This Row],[Flow_Material]]*Tab_Data_Flows[[#This Row],[DM_'[%']]],"N.A.")</f>
        <v>N.A.</v>
      </c>
      <c r="AH189" s="7" t="str">
        <f>Tab_Data_Flows[[#This Row],[UoM_Flow_Py]]</f>
        <v>Mg</v>
      </c>
      <c r="AI189"/>
    </row>
    <row r="190" spans="1:35" x14ac:dyDescent="0.25">
      <c r="A190" s="9">
        <f t="shared" si="5"/>
        <v>189</v>
      </c>
      <c r="B190" s="7" t="str">
        <f>_xlfn.XLOOKUP(C190,Tab_Def_Flows[Flow_Name],Tab_Def_Flows[Flow_ID],,0,)</f>
        <v>F__</v>
      </c>
      <c r="C190" s="8" t="s">
        <v>31</v>
      </c>
      <c r="D190" s="10">
        <f>_xlfn.XLOOKUP(C190,Tab_Def_Flows[Flow_Name],Tab_Def_Flows[WC?],,0,)</f>
        <v>0</v>
      </c>
      <c r="E190" s="10">
        <f>_xlfn.XLOOKUP(C190,Tab_Def_Flows[Flow_Name],Tab_Def_Flows[DM?],,0,)</f>
        <v>0</v>
      </c>
      <c r="F190" s="10">
        <f>_xlfn.XLOOKUP(C190,Tab_Def_Flows[Flow_Name],Tab_Def_Flows[CC?],,0,)</f>
        <v>0</v>
      </c>
      <c r="G190" s="8"/>
      <c r="H190" s="28"/>
      <c r="I190" s="8"/>
      <c r="J190" s="8"/>
      <c r="K190" s="8" t="e">
        <f>INDEX(#REF!,MATCH(Tab_Data_Flows[[#This Row],[Flow_Name]],#REF!,0),12)</f>
        <v>#REF!</v>
      </c>
      <c r="L190" s="8" t="e">
        <f>MATCH(Tab_Data_Flows[[#This Row],[Flow_Name]],#REF!,0)</f>
        <v>#REF!</v>
      </c>
      <c r="M190" s="8"/>
      <c r="N190" s="8"/>
      <c r="O190" s="8"/>
      <c r="P190" s="8"/>
      <c r="Q190" s="8" t="s">
        <v>8</v>
      </c>
      <c r="R190" s="8"/>
      <c r="S190" s="8"/>
      <c r="T190" s="7" t="str">
        <f>Tab_Data_Flows[[#This Row],[Flow_ID]]&amp;"_"&amp;"material_"&amp;Tab_Data_Flows[[#This Row],[Flow_Data_Year]]</f>
        <v>F___material_</v>
      </c>
      <c r="U190" s="18">
        <f t="shared" si="6"/>
        <v>0</v>
      </c>
      <c r="V190" s="8" t="s">
        <v>218</v>
      </c>
      <c r="W190" s="156">
        <f>INDEX(Tab_Def_Flows[[Flow_ID]:[CC_DM_source]],MATCH(Tab_Data_Flows[[#This Row],[Flow_Name]],Tab_Def_Flows[Flow_Name],0),11)</f>
        <v>0</v>
      </c>
      <c r="X190" s="7" t="str">
        <f>Tab_Data_Flows[[#This Row],[Flow_ID]]&amp;"_"&amp;"WC_"&amp;Tab_Data_Flows[[#This Row],[Flow_Data_Year]]</f>
        <v>F___WC_</v>
      </c>
      <c r="Y190" s="7" t="str">
        <f>IF(D190="Yes",U190*Tab_Data_Flows[[#This Row],[WC_'[%']]],"N.A.")</f>
        <v>N.A.</v>
      </c>
      <c r="Z190" s="7" t="str">
        <f>Tab_Data_Flows[[#This Row],[UoM_Flow_Py]]</f>
        <v>Mg</v>
      </c>
      <c r="AA190" s="156">
        <f>INDEX(Tab_Def_Flows[[Flow_ID]:[CC_DM_source]],MATCH(Tab_Data_Flows[[#This Row],[Flow_Name]],Tab_Def_Flows[Flow_Name],0),14)</f>
        <v>0</v>
      </c>
      <c r="AB190" s="7" t="str">
        <f>Tab_Data_Flows[[#This Row],[Flow_ID]]&amp;"_"&amp;"DM_"&amp;Tab_Data_Flows[[#This Row],[Flow_Data_Year]]</f>
        <v>F___DM_</v>
      </c>
      <c r="AC190" s="7" t="str">
        <f>IF(E190="Yes",AA190*Tab_Data_Flows[[#This Row],[Flow_Material]],"N.A.")</f>
        <v>N.A.</v>
      </c>
      <c r="AD190" s="7" t="str">
        <f>Tab_Data_Flows[[#This Row],[UoM_Flow_Py]]</f>
        <v>Mg</v>
      </c>
      <c r="AE190" s="156">
        <f>INDEX(Tab_Def_Flows[[Flow_ID]:[CC_DM_source]],MATCH(Tab_Data_Flows[[#This Row],[Flow_Name]],Tab_Def_Flows[Flow_Name],0),17)</f>
        <v>0</v>
      </c>
      <c r="AF190" s="7" t="str">
        <f>Tab_Data_Flows[[#This Row],[Flow_ID]]&amp;"_"&amp;"CC_"&amp;Tab_Data_Flows[[#This Row],[Flow_Data_Year]]</f>
        <v>F___CC_</v>
      </c>
      <c r="AG190" s="7" t="str">
        <f>IF(F190="Yes",AE190*Tab_Data_Flows[[#This Row],[Flow_Material]]*Tab_Data_Flows[[#This Row],[DM_'[%']]],"N.A.")</f>
        <v>N.A.</v>
      </c>
      <c r="AH190" s="7" t="str">
        <f>Tab_Data_Flows[[#This Row],[UoM_Flow_Py]]</f>
        <v>Mg</v>
      </c>
      <c r="AI190"/>
    </row>
    <row r="191" spans="1:35" x14ac:dyDescent="0.25">
      <c r="A191" s="9">
        <f t="shared" si="5"/>
        <v>190</v>
      </c>
      <c r="B191" s="7" t="str">
        <f>_xlfn.XLOOKUP(C191,Tab_Def_Flows[Flow_Name],Tab_Def_Flows[Flow_ID],,0,)</f>
        <v>F__</v>
      </c>
      <c r="C191" s="8" t="s">
        <v>31</v>
      </c>
      <c r="D191" s="10">
        <f>_xlfn.XLOOKUP(C191,Tab_Def_Flows[Flow_Name],Tab_Def_Flows[WC?],,0,)</f>
        <v>0</v>
      </c>
      <c r="E191" s="10">
        <f>_xlfn.XLOOKUP(C191,Tab_Def_Flows[Flow_Name],Tab_Def_Flows[DM?],,0,)</f>
        <v>0</v>
      </c>
      <c r="F191" s="10">
        <f>_xlfn.XLOOKUP(C191,Tab_Def_Flows[Flow_Name],Tab_Def_Flows[CC?],,0,)</f>
        <v>0</v>
      </c>
      <c r="G191" s="8"/>
      <c r="H191" s="28"/>
      <c r="I191" s="8"/>
      <c r="J191" s="8"/>
      <c r="K191" s="8" t="e">
        <f>INDEX(#REF!,MATCH(Tab_Data_Flows[[#This Row],[Flow_Name]],#REF!,0),12)</f>
        <v>#REF!</v>
      </c>
      <c r="L191" s="8" t="e">
        <f>MATCH(Tab_Data_Flows[[#This Row],[Flow_Name]],#REF!,0)</f>
        <v>#REF!</v>
      </c>
      <c r="M191" s="8"/>
      <c r="N191" s="8"/>
      <c r="O191" s="8"/>
      <c r="P191" s="8"/>
      <c r="Q191" s="8" t="s">
        <v>8</v>
      </c>
      <c r="R191" s="8"/>
      <c r="S191" s="8"/>
      <c r="T191" s="7" t="str">
        <f>Tab_Data_Flows[[#This Row],[Flow_ID]]&amp;"_"&amp;"material_"&amp;Tab_Data_Flows[[#This Row],[Flow_Data_Year]]</f>
        <v>F___material_</v>
      </c>
      <c r="U191" s="18">
        <f t="shared" si="6"/>
        <v>0</v>
      </c>
      <c r="V191" s="8" t="s">
        <v>218</v>
      </c>
      <c r="W191" s="156">
        <f>INDEX(Tab_Def_Flows[[Flow_ID]:[CC_DM_source]],MATCH(Tab_Data_Flows[[#This Row],[Flow_Name]],Tab_Def_Flows[Flow_Name],0),11)</f>
        <v>0</v>
      </c>
      <c r="X191" s="7" t="str">
        <f>Tab_Data_Flows[[#This Row],[Flow_ID]]&amp;"_"&amp;"WC_"&amp;Tab_Data_Flows[[#This Row],[Flow_Data_Year]]</f>
        <v>F___WC_</v>
      </c>
      <c r="Y191" s="7" t="str">
        <f>IF(D191="Yes",U191*Tab_Data_Flows[[#This Row],[WC_'[%']]],"N.A.")</f>
        <v>N.A.</v>
      </c>
      <c r="Z191" s="7" t="str">
        <f>Tab_Data_Flows[[#This Row],[UoM_Flow_Py]]</f>
        <v>Mg</v>
      </c>
      <c r="AA191" s="156">
        <f>INDEX(Tab_Def_Flows[[Flow_ID]:[CC_DM_source]],MATCH(Tab_Data_Flows[[#This Row],[Flow_Name]],Tab_Def_Flows[Flow_Name],0),14)</f>
        <v>0</v>
      </c>
      <c r="AB191" s="7" t="str">
        <f>Tab_Data_Flows[[#This Row],[Flow_ID]]&amp;"_"&amp;"DM_"&amp;Tab_Data_Flows[[#This Row],[Flow_Data_Year]]</f>
        <v>F___DM_</v>
      </c>
      <c r="AC191" s="7" t="str">
        <f>IF(E191="Yes",AA191*Tab_Data_Flows[[#This Row],[Flow_Material]],"N.A.")</f>
        <v>N.A.</v>
      </c>
      <c r="AD191" s="7" t="str">
        <f>Tab_Data_Flows[[#This Row],[UoM_Flow_Py]]</f>
        <v>Mg</v>
      </c>
      <c r="AE191" s="156">
        <f>INDEX(Tab_Def_Flows[[Flow_ID]:[CC_DM_source]],MATCH(Tab_Data_Flows[[#This Row],[Flow_Name]],Tab_Def_Flows[Flow_Name],0),17)</f>
        <v>0</v>
      </c>
      <c r="AF191" s="7" t="str">
        <f>Tab_Data_Flows[[#This Row],[Flow_ID]]&amp;"_"&amp;"CC_"&amp;Tab_Data_Flows[[#This Row],[Flow_Data_Year]]</f>
        <v>F___CC_</v>
      </c>
      <c r="AG191" s="7" t="str">
        <f>IF(F191="Yes",AE191*Tab_Data_Flows[[#This Row],[Flow_Material]]*Tab_Data_Flows[[#This Row],[DM_'[%']]],"N.A.")</f>
        <v>N.A.</v>
      </c>
      <c r="AH191" s="7" t="str">
        <f>Tab_Data_Flows[[#This Row],[UoM_Flow_Py]]</f>
        <v>Mg</v>
      </c>
      <c r="AI191"/>
    </row>
    <row r="192" spans="1:35" x14ac:dyDescent="0.25">
      <c r="A192" s="9">
        <f t="shared" si="5"/>
        <v>191</v>
      </c>
      <c r="B192" s="7" t="str">
        <f>_xlfn.XLOOKUP(C192,Tab_Def_Flows[Flow_Name],Tab_Def_Flows[Flow_ID],,0,)</f>
        <v>F__</v>
      </c>
      <c r="C192" s="8" t="s">
        <v>31</v>
      </c>
      <c r="D192" s="10">
        <f>_xlfn.XLOOKUP(C192,Tab_Def_Flows[Flow_Name],Tab_Def_Flows[WC?],,0,)</f>
        <v>0</v>
      </c>
      <c r="E192" s="10">
        <f>_xlfn.XLOOKUP(C192,Tab_Def_Flows[Flow_Name],Tab_Def_Flows[DM?],,0,)</f>
        <v>0</v>
      </c>
      <c r="F192" s="10">
        <f>_xlfn.XLOOKUP(C192,Tab_Def_Flows[Flow_Name],Tab_Def_Flows[CC?],,0,)</f>
        <v>0</v>
      </c>
      <c r="G192" s="8"/>
      <c r="H192" s="28"/>
      <c r="I192" s="8"/>
      <c r="J192" s="8"/>
      <c r="K192" s="8" t="e">
        <f>INDEX(#REF!,MATCH(Tab_Data_Flows[[#This Row],[Flow_Name]],#REF!,0),12)</f>
        <v>#REF!</v>
      </c>
      <c r="L192" s="8" t="e">
        <f>MATCH(Tab_Data_Flows[[#This Row],[Flow_Name]],#REF!,0)</f>
        <v>#REF!</v>
      </c>
      <c r="M192" s="8"/>
      <c r="N192" s="8"/>
      <c r="O192" s="8"/>
      <c r="P192" s="8"/>
      <c r="Q192" s="8" t="s">
        <v>8</v>
      </c>
      <c r="R192" s="8"/>
      <c r="S192" s="8"/>
      <c r="T192" s="7" t="str">
        <f>Tab_Data_Flows[[#This Row],[Flow_ID]]&amp;"_"&amp;"material_"&amp;Tab_Data_Flows[[#This Row],[Flow_Data_Year]]</f>
        <v>F___material_</v>
      </c>
      <c r="U192" s="18">
        <f t="shared" si="6"/>
        <v>0</v>
      </c>
      <c r="V192" s="8" t="s">
        <v>218</v>
      </c>
      <c r="W192" s="156">
        <f>INDEX(Tab_Def_Flows[[Flow_ID]:[CC_DM_source]],MATCH(Tab_Data_Flows[[#This Row],[Flow_Name]],Tab_Def_Flows[Flow_Name],0),11)</f>
        <v>0</v>
      </c>
      <c r="X192" s="7" t="str">
        <f>Tab_Data_Flows[[#This Row],[Flow_ID]]&amp;"_"&amp;"WC_"&amp;Tab_Data_Flows[[#This Row],[Flow_Data_Year]]</f>
        <v>F___WC_</v>
      </c>
      <c r="Y192" s="7" t="str">
        <f>IF(D192="Yes",U192*Tab_Data_Flows[[#This Row],[WC_'[%']]],"N.A.")</f>
        <v>N.A.</v>
      </c>
      <c r="Z192" s="7" t="str">
        <f>Tab_Data_Flows[[#This Row],[UoM_Flow_Py]]</f>
        <v>Mg</v>
      </c>
      <c r="AA192" s="156">
        <f>INDEX(Tab_Def_Flows[[Flow_ID]:[CC_DM_source]],MATCH(Tab_Data_Flows[[#This Row],[Flow_Name]],Tab_Def_Flows[Flow_Name],0),14)</f>
        <v>0</v>
      </c>
      <c r="AB192" s="7" t="str">
        <f>Tab_Data_Flows[[#This Row],[Flow_ID]]&amp;"_"&amp;"DM_"&amp;Tab_Data_Flows[[#This Row],[Flow_Data_Year]]</f>
        <v>F___DM_</v>
      </c>
      <c r="AC192" s="7" t="str">
        <f>IF(E192="Yes",AA192*Tab_Data_Flows[[#This Row],[Flow_Material]],"N.A.")</f>
        <v>N.A.</v>
      </c>
      <c r="AD192" s="7" t="str">
        <f>Tab_Data_Flows[[#This Row],[UoM_Flow_Py]]</f>
        <v>Mg</v>
      </c>
      <c r="AE192" s="156">
        <f>INDEX(Tab_Def_Flows[[Flow_ID]:[CC_DM_source]],MATCH(Tab_Data_Flows[[#This Row],[Flow_Name]],Tab_Def_Flows[Flow_Name],0),17)</f>
        <v>0</v>
      </c>
      <c r="AF192" s="7" t="str">
        <f>Tab_Data_Flows[[#This Row],[Flow_ID]]&amp;"_"&amp;"CC_"&amp;Tab_Data_Flows[[#This Row],[Flow_Data_Year]]</f>
        <v>F___CC_</v>
      </c>
      <c r="AG192" s="7" t="str">
        <f>IF(F192="Yes",AE192*Tab_Data_Flows[[#This Row],[Flow_Material]]*Tab_Data_Flows[[#This Row],[DM_'[%']]],"N.A.")</f>
        <v>N.A.</v>
      </c>
      <c r="AH192" s="7" t="str">
        <f>Tab_Data_Flows[[#This Row],[UoM_Flow_Py]]</f>
        <v>Mg</v>
      </c>
      <c r="AI192"/>
    </row>
    <row r="193" spans="1:35" x14ac:dyDescent="0.25">
      <c r="A193" s="9">
        <f t="shared" si="5"/>
        <v>192</v>
      </c>
      <c r="B193" s="7" t="str">
        <f>_xlfn.XLOOKUP(C193,Tab_Def_Flows[Flow_Name],Tab_Def_Flows[Flow_ID],,0,)</f>
        <v>F__</v>
      </c>
      <c r="C193" s="8" t="s">
        <v>31</v>
      </c>
      <c r="D193" s="10">
        <f>_xlfn.XLOOKUP(C193,Tab_Def_Flows[Flow_Name],Tab_Def_Flows[WC?],,0,)</f>
        <v>0</v>
      </c>
      <c r="E193" s="10">
        <f>_xlfn.XLOOKUP(C193,Tab_Def_Flows[Flow_Name],Tab_Def_Flows[DM?],,0,)</f>
        <v>0</v>
      </c>
      <c r="F193" s="10">
        <f>_xlfn.XLOOKUP(C193,Tab_Def_Flows[Flow_Name],Tab_Def_Flows[CC?],,0,)</f>
        <v>0</v>
      </c>
      <c r="G193" s="8"/>
      <c r="H193" s="28"/>
      <c r="I193" s="8"/>
      <c r="J193" s="8"/>
      <c r="K193" s="8" t="e">
        <f>INDEX(#REF!,MATCH(Tab_Data_Flows[[#This Row],[Flow_Name]],#REF!,0),12)</f>
        <v>#REF!</v>
      </c>
      <c r="L193" s="8" t="e">
        <f>MATCH(Tab_Data_Flows[[#This Row],[Flow_Name]],#REF!,0)</f>
        <v>#REF!</v>
      </c>
      <c r="M193" s="8"/>
      <c r="N193" s="8"/>
      <c r="O193" s="8"/>
      <c r="P193" s="8"/>
      <c r="Q193" s="8" t="s">
        <v>8</v>
      </c>
      <c r="R193" s="8"/>
      <c r="S193" s="8"/>
      <c r="T193" s="7" t="str">
        <f>Tab_Data_Flows[[#This Row],[Flow_ID]]&amp;"_"&amp;"material_"&amp;Tab_Data_Flows[[#This Row],[Flow_Data_Year]]</f>
        <v>F___material_</v>
      </c>
      <c r="U193" s="18">
        <f t="shared" si="6"/>
        <v>0</v>
      </c>
      <c r="V193" s="8" t="s">
        <v>218</v>
      </c>
      <c r="W193" s="156">
        <f>INDEX(Tab_Def_Flows[[Flow_ID]:[CC_DM_source]],MATCH(Tab_Data_Flows[[#This Row],[Flow_Name]],Tab_Def_Flows[Flow_Name],0),11)</f>
        <v>0</v>
      </c>
      <c r="X193" s="7" t="str">
        <f>Tab_Data_Flows[[#This Row],[Flow_ID]]&amp;"_"&amp;"WC_"&amp;Tab_Data_Flows[[#This Row],[Flow_Data_Year]]</f>
        <v>F___WC_</v>
      </c>
      <c r="Y193" s="7" t="str">
        <f>IF(D193="Yes",U193*Tab_Data_Flows[[#This Row],[WC_'[%']]],"N.A.")</f>
        <v>N.A.</v>
      </c>
      <c r="Z193" s="7" t="str">
        <f>Tab_Data_Flows[[#This Row],[UoM_Flow_Py]]</f>
        <v>Mg</v>
      </c>
      <c r="AA193" s="156">
        <f>INDEX(Tab_Def_Flows[[Flow_ID]:[CC_DM_source]],MATCH(Tab_Data_Flows[[#This Row],[Flow_Name]],Tab_Def_Flows[Flow_Name],0),14)</f>
        <v>0</v>
      </c>
      <c r="AB193" s="7" t="str">
        <f>Tab_Data_Flows[[#This Row],[Flow_ID]]&amp;"_"&amp;"DM_"&amp;Tab_Data_Flows[[#This Row],[Flow_Data_Year]]</f>
        <v>F___DM_</v>
      </c>
      <c r="AC193" s="7" t="str">
        <f>IF(E193="Yes",AA193*Tab_Data_Flows[[#This Row],[Flow_Material]],"N.A.")</f>
        <v>N.A.</v>
      </c>
      <c r="AD193" s="7" t="str">
        <f>Tab_Data_Flows[[#This Row],[UoM_Flow_Py]]</f>
        <v>Mg</v>
      </c>
      <c r="AE193" s="156">
        <f>INDEX(Tab_Def_Flows[[Flow_ID]:[CC_DM_source]],MATCH(Tab_Data_Flows[[#This Row],[Flow_Name]],Tab_Def_Flows[Flow_Name],0),17)</f>
        <v>0</v>
      </c>
      <c r="AF193" s="7" t="str">
        <f>Tab_Data_Flows[[#This Row],[Flow_ID]]&amp;"_"&amp;"CC_"&amp;Tab_Data_Flows[[#This Row],[Flow_Data_Year]]</f>
        <v>F___CC_</v>
      </c>
      <c r="AG193" s="7" t="str">
        <f>IF(F193="Yes",AE193*Tab_Data_Flows[[#This Row],[Flow_Material]]*Tab_Data_Flows[[#This Row],[DM_'[%']]],"N.A.")</f>
        <v>N.A.</v>
      </c>
      <c r="AH193" s="7" t="str">
        <f>Tab_Data_Flows[[#This Row],[UoM_Flow_Py]]</f>
        <v>Mg</v>
      </c>
      <c r="AI193"/>
    </row>
    <row r="194" spans="1:35" x14ac:dyDescent="0.25">
      <c r="A194" s="9">
        <f t="shared" si="5"/>
        <v>193</v>
      </c>
      <c r="B194" s="7" t="str">
        <f>_xlfn.XLOOKUP(C194,Tab_Def_Flows[Flow_Name],Tab_Def_Flows[Flow_ID],,0,)</f>
        <v>F__</v>
      </c>
      <c r="C194" s="8" t="s">
        <v>31</v>
      </c>
      <c r="D194" s="10">
        <f>_xlfn.XLOOKUP(C194,Tab_Def_Flows[Flow_Name],Tab_Def_Flows[WC?],,0,)</f>
        <v>0</v>
      </c>
      <c r="E194" s="10">
        <f>_xlfn.XLOOKUP(C194,Tab_Def_Flows[Flow_Name],Tab_Def_Flows[DM?],,0,)</f>
        <v>0</v>
      </c>
      <c r="F194" s="10">
        <f>_xlfn.XLOOKUP(C194,Tab_Def_Flows[Flow_Name],Tab_Def_Flows[CC?],,0,)</f>
        <v>0</v>
      </c>
      <c r="G194" s="8"/>
      <c r="H194" s="28"/>
      <c r="I194" s="8"/>
      <c r="J194" s="8"/>
      <c r="K194" s="8" t="e">
        <f>INDEX(#REF!,MATCH(Tab_Data_Flows[[#This Row],[Flow_Name]],#REF!,0),12)</f>
        <v>#REF!</v>
      </c>
      <c r="L194" s="8" t="e">
        <f>MATCH(Tab_Data_Flows[[#This Row],[Flow_Name]],#REF!,0)</f>
        <v>#REF!</v>
      </c>
      <c r="M194" s="8"/>
      <c r="N194" s="8"/>
      <c r="O194" s="8"/>
      <c r="P194" s="8"/>
      <c r="Q194" s="8" t="s">
        <v>8</v>
      </c>
      <c r="R194" s="8"/>
      <c r="S194" s="8"/>
      <c r="T194" s="7" t="str">
        <f>Tab_Data_Flows[[#This Row],[Flow_ID]]&amp;"_"&amp;"material_"&amp;Tab_Data_Flows[[#This Row],[Flow_Data_Year]]</f>
        <v>F___material_</v>
      </c>
      <c r="U194" s="18">
        <f t="shared" si="6"/>
        <v>0</v>
      </c>
      <c r="V194" s="8" t="s">
        <v>218</v>
      </c>
      <c r="W194" s="156">
        <f>INDEX(Tab_Def_Flows[[Flow_ID]:[CC_DM_source]],MATCH(Tab_Data_Flows[[#This Row],[Flow_Name]],Tab_Def_Flows[Flow_Name],0),11)</f>
        <v>0</v>
      </c>
      <c r="X194" s="7" t="str">
        <f>Tab_Data_Flows[[#This Row],[Flow_ID]]&amp;"_"&amp;"WC_"&amp;Tab_Data_Flows[[#This Row],[Flow_Data_Year]]</f>
        <v>F___WC_</v>
      </c>
      <c r="Y194" s="7" t="str">
        <f>IF(D194="Yes",U194*Tab_Data_Flows[[#This Row],[WC_'[%']]],"N.A.")</f>
        <v>N.A.</v>
      </c>
      <c r="Z194" s="7" t="str">
        <f>Tab_Data_Flows[[#This Row],[UoM_Flow_Py]]</f>
        <v>Mg</v>
      </c>
      <c r="AA194" s="156">
        <f>INDEX(Tab_Def_Flows[[Flow_ID]:[CC_DM_source]],MATCH(Tab_Data_Flows[[#This Row],[Flow_Name]],Tab_Def_Flows[Flow_Name],0),14)</f>
        <v>0</v>
      </c>
      <c r="AB194" s="7" t="str">
        <f>Tab_Data_Flows[[#This Row],[Flow_ID]]&amp;"_"&amp;"DM_"&amp;Tab_Data_Flows[[#This Row],[Flow_Data_Year]]</f>
        <v>F___DM_</v>
      </c>
      <c r="AC194" s="7" t="str">
        <f>IF(E194="Yes",AA194*Tab_Data_Flows[[#This Row],[Flow_Material]],"N.A.")</f>
        <v>N.A.</v>
      </c>
      <c r="AD194" s="7" t="str">
        <f>Tab_Data_Flows[[#This Row],[UoM_Flow_Py]]</f>
        <v>Mg</v>
      </c>
      <c r="AE194" s="156">
        <f>INDEX(Tab_Def_Flows[[Flow_ID]:[CC_DM_source]],MATCH(Tab_Data_Flows[[#This Row],[Flow_Name]],Tab_Def_Flows[Flow_Name],0),17)</f>
        <v>0</v>
      </c>
      <c r="AF194" s="7" t="str">
        <f>Tab_Data_Flows[[#This Row],[Flow_ID]]&amp;"_"&amp;"CC_"&amp;Tab_Data_Flows[[#This Row],[Flow_Data_Year]]</f>
        <v>F___CC_</v>
      </c>
      <c r="AG194" s="7" t="str">
        <f>IF(F194="Yes",AE194*Tab_Data_Flows[[#This Row],[Flow_Material]]*Tab_Data_Flows[[#This Row],[DM_'[%']]],"N.A.")</f>
        <v>N.A.</v>
      </c>
      <c r="AH194" s="7" t="str">
        <f>Tab_Data_Flows[[#This Row],[UoM_Flow_Py]]</f>
        <v>Mg</v>
      </c>
      <c r="AI194"/>
    </row>
    <row r="195" spans="1:35" x14ac:dyDescent="0.25">
      <c r="A195" s="9">
        <f t="shared" ref="A195:A258" si="7">ROW()-1</f>
        <v>194</v>
      </c>
      <c r="B195" s="7" t="str">
        <f>_xlfn.XLOOKUP(C195,Tab_Def_Flows[Flow_Name],Tab_Def_Flows[Flow_ID],,0,)</f>
        <v>F__</v>
      </c>
      <c r="C195" s="8" t="s">
        <v>31</v>
      </c>
      <c r="D195" s="10">
        <f>_xlfn.XLOOKUP(C195,Tab_Def_Flows[Flow_Name],Tab_Def_Flows[WC?],,0,)</f>
        <v>0</v>
      </c>
      <c r="E195" s="10">
        <f>_xlfn.XLOOKUP(C195,Tab_Def_Flows[Flow_Name],Tab_Def_Flows[DM?],,0,)</f>
        <v>0</v>
      </c>
      <c r="F195" s="10">
        <f>_xlfn.XLOOKUP(C195,Tab_Def_Flows[Flow_Name],Tab_Def_Flows[CC?],,0,)</f>
        <v>0</v>
      </c>
      <c r="G195" s="8"/>
      <c r="H195" s="28"/>
      <c r="I195" s="8"/>
      <c r="J195" s="8"/>
      <c r="K195" s="8" t="e">
        <f>INDEX(#REF!,MATCH(Tab_Data_Flows[[#This Row],[Flow_Name]],#REF!,0),12)</f>
        <v>#REF!</v>
      </c>
      <c r="L195" s="8" t="e">
        <f>MATCH(Tab_Data_Flows[[#This Row],[Flow_Name]],#REF!,0)</f>
        <v>#REF!</v>
      </c>
      <c r="M195" s="8"/>
      <c r="N195" s="8"/>
      <c r="O195" s="8"/>
      <c r="P195" s="8"/>
      <c r="Q195" s="8" t="s">
        <v>8</v>
      </c>
      <c r="R195" s="8"/>
      <c r="S195" s="8"/>
      <c r="T195" s="7" t="str">
        <f>Tab_Data_Flows[[#This Row],[Flow_ID]]&amp;"_"&amp;"material_"&amp;Tab_Data_Flows[[#This Row],[Flow_Data_Year]]</f>
        <v>F___material_</v>
      </c>
      <c r="U195" s="18">
        <f t="shared" ref="U195:U258" si="8">IF(Q195="no",H195,H195*R195)</f>
        <v>0</v>
      </c>
      <c r="V195" s="8" t="s">
        <v>218</v>
      </c>
      <c r="W195" s="156">
        <f>INDEX(Tab_Def_Flows[[Flow_ID]:[CC_DM_source]],MATCH(Tab_Data_Flows[[#This Row],[Flow_Name]],Tab_Def_Flows[Flow_Name],0),11)</f>
        <v>0</v>
      </c>
      <c r="X195" s="7" t="str">
        <f>Tab_Data_Flows[[#This Row],[Flow_ID]]&amp;"_"&amp;"WC_"&amp;Tab_Data_Flows[[#This Row],[Flow_Data_Year]]</f>
        <v>F___WC_</v>
      </c>
      <c r="Y195" s="7" t="str">
        <f>IF(D195="Yes",U195*Tab_Data_Flows[[#This Row],[WC_'[%']]],"N.A.")</f>
        <v>N.A.</v>
      </c>
      <c r="Z195" s="7" t="str">
        <f>Tab_Data_Flows[[#This Row],[UoM_Flow_Py]]</f>
        <v>Mg</v>
      </c>
      <c r="AA195" s="156">
        <f>INDEX(Tab_Def_Flows[[Flow_ID]:[CC_DM_source]],MATCH(Tab_Data_Flows[[#This Row],[Flow_Name]],Tab_Def_Flows[Flow_Name],0),14)</f>
        <v>0</v>
      </c>
      <c r="AB195" s="7" t="str">
        <f>Tab_Data_Flows[[#This Row],[Flow_ID]]&amp;"_"&amp;"DM_"&amp;Tab_Data_Flows[[#This Row],[Flow_Data_Year]]</f>
        <v>F___DM_</v>
      </c>
      <c r="AC195" s="7" t="str">
        <f>IF(E195="Yes",AA195*Tab_Data_Flows[[#This Row],[Flow_Material]],"N.A.")</f>
        <v>N.A.</v>
      </c>
      <c r="AD195" s="7" t="str">
        <f>Tab_Data_Flows[[#This Row],[UoM_Flow_Py]]</f>
        <v>Mg</v>
      </c>
      <c r="AE195" s="156">
        <f>INDEX(Tab_Def_Flows[[Flow_ID]:[CC_DM_source]],MATCH(Tab_Data_Flows[[#This Row],[Flow_Name]],Tab_Def_Flows[Flow_Name],0),17)</f>
        <v>0</v>
      </c>
      <c r="AF195" s="7" t="str">
        <f>Tab_Data_Flows[[#This Row],[Flow_ID]]&amp;"_"&amp;"CC_"&amp;Tab_Data_Flows[[#This Row],[Flow_Data_Year]]</f>
        <v>F___CC_</v>
      </c>
      <c r="AG195" s="7" t="str">
        <f>IF(F195="Yes",AE195*Tab_Data_Flows[[#This Row],[Flow_Material]]*Tab_Data_Flows[[#This Row],[DM_'[%']]],"N.A.")</f>
        <v>N.A.</v>
      </c>
      <c r="AH195" s="7" t="str">
        <f>Tab_Data_Flows[[#This Row],[UoM_Flow_Py]]</f>
        <v>Mg</v>
      </c>
      <c r="AI195"/>
    </row>
    <row r="196" spans="1:35" x14ac:dyDescent="0.25">
      <c r="A196" s="9">
        <f t="shared" si="7"/>
        <v>195</v>
      </c>
      <c r="B196" s="7" t="str">
        <f>_xlfn.XLOOKUP(C196,Tab_Def_Flows[Flow_Name],Tab_Def_Flows[Flow_ID],,0,)</f>
        <v>F__</v>
      </c>
      <c r="C196" s="8" t="s">
        <v>31</v>
      </c>
      <c r="D196" s="10">
        <f>_xlfn.XLOOKUP(C196,Tab_Def_Flows[Flow_Name],Tab_Def_Flows[WC?],,0,)</f>
        <v>0</v>
      </c>
      <c r="E196" s="10">
        <f>_xlfn.XLOOKUP(C196,Tab_Def_Flows[Flow_Name],Tab_Def_Flows[DM?],,0,)</f>
        <v>0</v>
      </c>
      <c r="F196" s="10">
        <f>_xlfn.XLOOKUP(C196,Tab_Def_Flows[Flow_Name],Tab_Def_Flows[CC?],,0,)</f>
        <v>0</v>
      </c>
      <c r="G196" s="8"/>
      <c r="H196" s="28"/>
      <c r="I196" s="8"/>
      <c r="J196" s="8"/>
      <c r="K196" s="8" t="e">
        <f>INDEX(#REF!,MATCH(Tab_Data_Flows[[#This Row],[Flow_Name]],#REF!,0),12)</f>
        <v>#REF!</v>
      </c>
      <c r="L196" s="8" t="e">
        <f>MATCH(Tab_Data_Flows[[#This Row],[Flow_Name]],#REF!,0)</f>
        <v>#REF!</v>
      </c>
      <c r="M196" s="8"/>
      <c r="N196" s="8"/>
      <c r="O196" s="8"/>
      <c r="P196" s="8"/>
      <c r="Q196" s="8" t="s">
        <v>8</v>
      </c>
      <c r="R196" s="8"/>
      <c r="S196" s="8"/>
      <c r="T196" s="7" t="str">
        <f>Tab_Data_Flows[[#This Row],[Flow_ID]]&amp;"_"&amp;"material_"&amp;Tab_Data_Flows[[#This Row],[Flow_Data_Year]]</f>
        <v>F___material_</v>
      </c>
      <c r="U196" s="18">
        <f t="shared" si="8"/>
        <v>0</v>
      </c>
      <c r="V196" s="8" t="s">
        <v>218</v>
      </c>
      <c r="W196" s="156">
        <f>INDEX(Tab_Def_Flows[[Flow_ID]:[CC_DM_source]],MATCH(Tab_Data_Flows[[#This Row],[Flow_Name]],Tab_Def_Flows[Flow_Name],0),11)</f>
        <v>0</v>
      </c>
      <c r="X196" s="7" t="str">
        <f>Tab_Data_Flows[[#This Row],[Flow_ID]]&amp;"_"&amp;"WC_"&amp;Tab_Data_Flows[[#This Row],[Flow_Data_Year]]</f>
        <v>F___WC_</v>
      </c>
      <c r="Y196" s="7" t="str">
        <f>IF(D196="Yes",U196*Tab_Data_Flows[[#This Row],[WC_'[%']]],"N.A.")</f>
        <v>N.A.</v>
      </c>
      <c r="Z196" s="7" t="str">
        <f>Tab_Data_Flows[[#This Row],[UoM_Flow_Py]]</f>
        <v>Mg</v>
      </c>
      <c r="AA196" s="156">
        <f>INDEX(Tab_Def_Flows[[Flow_ID]:[CC_DM_source]],MATCH(Tab_Data_Flows[[#This Row],[Flow_Name]],Tab_Def_Flows[Flow_Name],0),14)</f>
        <v>0</v>
      </c>
      <c r="AB196" s="7" t="str">
        <f>Tab_Data_Flows[[#This Row],[Flow_ID]]&amp;"_"&amp;"DM_"&amp;Tab_Data_Flows[[#This Row],[Flow_Data_Year]]</f>
        <v>F___DM_</v>
      </c>
      <c r="AC196" s="7" t="str">
        <f>IF(E196="Yes",AA196*Tab_Data_Flows[[#This Row],[Flow_Material]],"N.A.")</f>
        <v>N.A.</v>
      </c>
      <c r="AD196" s="7" t="str">
        <f>Tab_Data_Flows[[#This Row],[UoM_Flow_Py]]</f>
        <v>Mg</v>
      </c>
      <c r="AE196" s="156">
        <f>INDEX(Tab_Def_Flows[[Flow_ID]:[CC_DM_source]],MATCH(Tab_Data_Flows[[#This Row],[Flow_Name]],Tab_Def_Flows[Flow_Name],0),17)</f>
        <v>0</v>
      </c>
      <c r="AF196" s="7" t="str">
        <f>Tab_Data_Flows[[#This Row],[Flow_ID]]&amp;"_"&amp;"CC_"&amp;Tab_Data_Flows[[#This Row],[Flow_Data_Year]]</f>
        <v>F___CC_</v>
      </c>
      <c r="AG196" s="7" t="str">
        <f>IF(F196="Yes",AE196*Tab_Data_Flows[[#This Row],[Flow_Material]]*Tab_Data_Flows[[#This Row],[DM_'[%']]],"N.A.")</f>
        <v>N.A.</v>
      </c>
      <c r="AH196" s="7" t="str">
        <f>Tab_Data_Flows[[#This Row],[UoM_Flow_Py]]</f>
        <v>Mg</v>
      </c>
      <c r="AI196"/>
    </row>
    <row r="197" spans="1:35" x14ac:dyDescent="0.25">
      <c r="A197" s="9">
        <f t="shared" si="7"/>
        <v>196</v>
      </c>
      <c r="B197" s="7" t="str">
        <f>_xlfn.XLOOKUP(C197,Tab_Def_Flows[Flow_Name],Tab_Def_Flows[Flow_ID],,0,)</f>
        <v>F__</v>
      </c>
      <c r="C197" s="8" t="s">
        <v>31</v>
      </c>
      <c r="D197" s="10">
        <f>_xlfn.XLOOKUP(C197,Tab_Def_Flows[Flow_Name],Tab_Def_Flows[WC?],,0,)</f>
        <v>0</v>
      </c>
      <c r="E197" s="10">
        <f>_xlfn.XLOOKUP(C197,Tab_Def_Flows[Flow_Name],Tab_Def_Flows[DM?],,0,)</f>
        <v>0</v>
      </c>
      <c r="F197" s="10">
        <f>_xlfn.XLOOKUP(C197,Tab_Def_Flows[Flow_Name],Tab_Def_Flows[CC?],,0,)</f>
        <v>0</v>
      </c>
      <c r="G197" s="8"/>
      <c r="H197" s="28"/>
      <c r="I197" s="8"/>
      <c r="J197" s="8"/>
      <c r="K197" s="8" t="e">
        <f>INDEX(#REF!,MATCH(Tab_Data_Flows[[#This Row],[Flow_Name]],#REF!,0),12)</f>
        <v>#REF!</v>
      </c>
      <c r="L197" s="8" t="e">
        <f>MATCH(Tab_Data_Flows[[#This Row],[Flow_Name]],#REF!,0)</f>
        <v>#REF!</v>
      </c>
      <c r="M197" s="8"/>
      <c r="N197" s="8"/>
      <c r="O197" s="8"/>
      <c r="P197" s="8"/>
      <c r="Q197" s="8" t="s">
        <v>8</v>
      </c>
      <c r="R197" s="8"/>
      <c r="S197" s="8"/>
      <c r="T197" s="7" t="str">
        <f>Tab_Data_Flows[[#This Row],[Flow_ID]]&amp;"_"&amp;"material_"&amp;Tab_Data_Flows[[#This Row],[Flow_Data_Year]]</f>
        <v>F___material_</v>
      </c>
      <c r="U197" s="18">
        <f t="shared" si="8"/>
        <v>0</v>
      </c>
      <c r="V197" s="8" t="s">
        <v>218</v>
      </c>
      <c r="W197" s="156">
        <f>INDEX(Tab_Def_Flows[[Flow_ID]:[CC_DM_source]],MATCH(Tab_Data_Flows[[#This Row],[Flow_Name]],Tab_Def_Flows[Flow_Name],0),11)</f>
        <v>0</v>
      </c>
      <c r="X197" s="7" t="str">
        <f>Tab_Data_Flows[[#This Row],[Flow_ID]]&amp;"_"&amp;"WC_"&amp;Tab_Data_Flows[[#This Row],[Flow_Data_Year]]</f>
        <v>F___WC_</v>
      </c>
      <c r="Y197" s="7" t="str">
        <f>IF(D197="Yes",U197*Tab_Data_Flows[[#This Row],[WC_'[%']]],"N.A.")</f>
        <v>N.A.</v>
      </c>
      <c r="Z197" s="7" t="str">
        <f>Tab_Data_Flows[[#This Row],[UoM_Flow_Py]]</f>
        <v>Mg</v>
      </c>
      <c r="AA197" s="156">
        <f>INDEX(Tab_Def_Flows[[Flow_ID]:[CC_DM_source]],MATCH(Tab_Data_Flows[[#This Row],[Flow_Name]],Tab_Def_Flows[Flow_Name],0),14)</f>
        <v>0</v>
      </c>
      <c r="AB197" s="7" t="str">
        <f>Tab_Data_Flows[[#This Row],[Flow_ID]]&amp;"_"&amp;"DM_"&amp;Tab_Data_Flows[[#This Row],[Flow_Data_Year]]</f>
        <v>F___DM_</v>
      </c>
      <c r="AC197" s="7" t="str">
        <f>IF(E197="Yes",AA197*Tab_Data_Flows[[#This Row],[Flow_Material]],"N.A.")</f>
        <v>N.A.</v>
      </c>
      <c r="AD197" s="7" t="str">
        <f>Tab_Data_Flows[[#This Row],[UoM_Flow_Py]]</f>
        <v>Mg</v>
      </c>
      <c r="AE197" s="156">
        <f>INDEX(Tab_Def_Flows[[Flow_ID]:[CC_DM_source]],MATCH(Tab_Data_Flows[[#This Row],[Flow_Name]],Tab_Def_Flows[Flow_Name],0),17)</f>
        <v>0</v>
      </c>
      <c r="AF197" s="7" t="str">
        <f>Tab_Data_Flows[[#This Row],[Flow_ID]]&amp;"_"&amp;"CC_"&amp;Tab_Data_Flows[[#This Row],[Flow_Data_Year]]</f>
        <v>F___CC_</v>
      </c>
      <c r="AG197" s="7" t="str">
        <f>IF(F197="Yes",AE197*Tab_Data_Flows[[#This Row],[Flow_Material]]*Tab_Data_Flows[[#This Row],[DM_'[%']]],"N.A.")</f>
        <v>N.A.</v>
      </c>
      <c r="AH197" s="7" t="str">
        <f>Tab_Data_Flows[[#This Row],[UoM_Flow_Py]]</f>
        <v>Mg</v>
      </c>
      <c r="AI197"/>
    </row>
    <row r="198" spans="1:35" x14ac:dyDescent="0.25">
      <c r="A198" s="9">
        <f t="shared" si="7"/>
        <v>197</v>
      </c>
      <c r="B198" s="7" t="str">
        <f>_xlfn.XLOOKUP(C198,Tab_Def_Flows[Flow_Name],Tab_Def_Flows[Flow_ID],,0,)</f>
        <v>F__</v>
      </c>
      <c r="C198" s="8" t="s">
        <v>31</v>
      </c>
      <c r="D198" s="10">
        <f>_xlfn.XLOOKUP(C198,Tab_Def_Flows[Flow_Name],Tab_Def_Flows[WC?],,0,)</f>
        <v>0</v>
      </c>
      <c r="E198" s="10">
        <f>_xlfn.XLOOKUP(C198,Tab_Def_Flows[Flow_Name],Tab_Def_Flows[DM?],,0,)</f>
        <v>0</v>
      </c>
      <c r="F198" s="10">
        <f>_xlfn.XLOOKUP(C198,Tab_Def_Flows[Flow_Name],Tab_Def_Flows[CC?],,0,)</f>
        <v>0</v>
      </c>
      <c r="G198" s="8"/>
      <c r="H198" s="28"/>
      <c r="I198" s="8"/>
      <c r="J198" s="8"/>
      <c r="K198" s="8" t="e">
        <f>INDEX(#REF!,MATCH(Tab_Data_Flows[[#This Row],[Flow_Name]],#REF!,0),12)</f>
        <v>#REF!</v>
      </c>
      <c r="L198" s="8" t="e">
        <f>MATCH(Tab_Data_Flows[[#This Row],[Flow_Name]],#REF!,0)</f>
        <v>#REF!</v>
      </c>
      <c r="M198" s="8"/>
      <c r="N198" s="8"/>
      <c r="O198" s="8"/>
      <c r="P198" s="8"/>
      <c r="Q198" s="8" t="s">
        <v>8</v>
      </c>
      <c r="R198" s="8"/>
      <c r="S198" s="8"/>
      <c r="T198" s="7" t="str">
        <f>Tab_Data_Flows[[#This Row],[Flow_ID]]&amp;"_"&amp;"material_"&amp;Tab_Data_Flows[[#This Row],[Flow_Data_Year]]</f>
        <v>F___material_</v>
      </c>
      <c r="U198" s="18">
        <f t="shared" si="8"/>
        <v>0</v>
      </c>
      <c r="V198" s="8" t="s">
        <v>218</v>
      </c>
      <c r="W198" s="156">
        <f>INDEX(Tab_Def_Flows[[Flow_ID]:[CC_DM_source]],MATCH(Tab_Data_Flows[[#This Row],[Flow_Name]],Tab_Def_Flows[Flow_Name],0),11)</f>
        <v>0</v>
      </c>
      <c r="X198" s="7" t="str">
        <f>Tab_Data_Flows[[#This Row],[Flow_ID]]&amp;"_"&amp;"WC_"&amp;Tab_Data_Flows[[#This Row],[Flow_Data_Year]]</f>
        <v>F___WC_</v>
      </c>
      <c r="Y198" s="7" t="str">
        <f>IF(D198="Yes",U198*Tab_Data_Flows[[#This Row],[WC_'[%']]],"N.A.")</f>
        <v>N.A.</v>
      </c>
      <c r="Z198" s="7" t="str">
        <f>Tab_Data_Flows[[#This Row],[UoM_Flow_Py]]</f>
        <v>Mg</v>
      </c>
      <c r="AA198" s="156">
        <f>INDEX(Tab_Def_Flows[[Flow_ID]:[CC_DM_source]],MATCH(Tab_Data_Flows[[#This Row],[Flow_Name]],Tab_Def_Flows[Flow_Name],0),14)</f>
        <v>0</v>
      </c>
      <c r="AB198" s="7" t="str">
        <f>Tab_Data_Flows[[#This Row],[Flow_ID]]&amp;"_"&amp;"DM_"&amp;Tab_Data_Flows[[#This Row],[Flow_Data_Year]]</f>
        <v>F___DM_</v>
      </c>
      <c r="AC198" s="7" t="str">
        <f>IF(E198="Yes",AA198*Tab_Data_Flows[[#This Row],[Flow_Material]],"N.A.")</f>
        <v>N.A.</v>
      </c>
      <c r="AD198" s="7" t="str">
        <f>Tab_Data_Flows[[#This Row],[UoM_Flow_Py]]</f>
        <v>Mg</v>
      </c>
      <c r="AE198" s="156">
        <f>INDEX(Tab_Def_Flows[[Flow_ID]:[CC_DM_source]],MATCH(Tab_Data_Flows[[#This Row],[Flow_Name]],Tab_Def_Flows[Flow_Name],0),17)</f>
        <v>0</v>
      </c>
      <c r="AF198" s="7" t="str">
        <f>Tab_Data_Flows[[#This Row],[Flow_ID]]&amp;"_"&amp;"CC_"&amp;Tab_Data_Flows[[#This Row],[Flow_Data_Year]]</f>
        <v>F___CC_</v>
      </c>
      <c r="AG198" s="7" t="str">
        <f>IF(F198="Yes",AE198*Tab_Data_Flows[[#This Row],[Flow_Material]]*Tab_Data_Flows[[#This Row],[DM_'[%']]],"N.A.")</f>
        <v>N.A.</v>
      </c>
      <c r="AH198" s="7" t="str">
        <f>Tab_Data_Flows[[#This Row],[UoM_Flow_Py]]</f>
        <v>Mg</v>
      </c>
      <c r="AI198"/>
    </row>
    <row r="199" spans="1:35" x14ac:dyDescent="0.25">
      <c r="A199" s="9">
        <f t="shared" si="7"/>
        <v>198</v>
      </c>
      <c r="B199" s="7" t="str">
        <f>_xlfn.XLOOKUP(C199,Tab_Def_Flows[Flow_Name],Tab_Def_Flows[Flow_ID],,0,)</f>
        <v>F__</v>
      </c>
      <c r="C199" s="8" t="s">
        <v>31</v>
      </c>
      <c r="D199" s="10">
        <f>_xlfn.XLOOKUP(C199,Tab_Def_Flows[Flow_Name],Tab_Def_Flows[WC?],,0,)</f>
        <v>0</v>
      </c>
      <c r="E199" s="10">
        <f>_xlfn.XLOOKUP(C199,Tab_Def_Flows[Flow_Name],Tab_Def_Flows[DM?],,0,)</f>
        <v>0</v>
      </c>
      <c r="F199" s="10">
        <f>_xlfn.XLOOKUP(C199,Tab_Def_Flows[Flow_Name],Tab_Def_Flows[CC?],,0,)</f>
        <v>0</v>
      </c>
      <c r="G199" s="8"/>
      <c r="H199" s="28"/>
      <c r="I199" s="8"/>
      <c r="J199" s="8"/>
      <c r="K199" s="8" t="e">
        <f>INDEX(#REF!,MATCH(Tab_Data_Flows[[#This Row],[Flow_Name]],#REF!,0),12)</f>
        <v>#REF!</v>
      </c>
      <c r="L199" s="8" t="e">
        <f>MATCH(Tab_Data_Flows[[#This Row],[Flow_Name]],#REF!,0)</f>
        <v>#REF!</v>
      </c>
      <c r="M199" s="8"/>
      <c r="N199" s="8"/>
      <c r="O199" s="8"/>
      <c r="P199" s="8"/>
      <c r="Q199" s="8" t="s">
        <v>8</v>
      </c>
      <c r="R199" s="8"/>
      <c r="S199" s="8"/>
      <c r="T199" s="7" t="str">
        <f>Tab_Data_Flows[[#This Row],[Flow_ID]]&amp;"_"&amp;"material_"&amp;Tab_Data_Flows[[#This Row],[Flow_Data_Year]]</f>
        <v>F___material_</v>
      </c>
      <c r="U199" s="18">
        <f t="shared" si="8"/>
        <v>0</v>
      </c>
      <c r="V199" s="8" t="s">
        <v>218</v>
      </c>
      <c r="W199" s="156">
        <f>INDEX(Tab_Def_Flows[[Flow_ID]:[CC_DM_source]],MATCH(Tab_Data_Flows[[#This Row],[Flow_Name]],Tab_Def_Flows[Flow_Name],0),11)</f>
        <v>0</v>
      </c>
      <c r="X199" s="7" t="str">
        <f>Tab_Data_Flows[[#This Row],[Flow_ID]]&amp;"_"&amp;"WC_"&amp;Tab_Data_Flows[[#This Row],[Flow_Data_Year]]</f>
        <v>F___WC_</v>
      </c>
      <c r="Y199" s="7" t="str">
        <f>IF(D199="Yes",U199*Tab_Data_Flows[[#This Row],[WC_'[%']]],"N.A.")</f>
        <v>N.A.</v>
      </c>
      <c r="Z199" s="7" t="str">
        <f>Tab_Data_Flows[[#This Row],[UoM_Flow_Py]]</f>
        <v>Mg</v>
      </c>
      <c r="AA199" s="156">
        <f>INDEX(Tab_Def_Flows[[Flow_ID]:[CC_DM_source]],MATCH(Tab_Data_Flows[[#This Row],[Flow_Name]],Tab_Def_Flows[Flow_Name],0),14)</f>
        <v>0</v>
      </c>
      <c r="AB199" s="7" t="str">
        <f>Tab_Data_Flows[[#This Row],[Flow_ID]]&amp;"_"&amp;"DM_"&amp;Tab_Data_Flows[[#This Row],[Flow_Data_Year]]</f>
        <v>F___DM_</v>
      </c>
      <c r="AC199" s="7" t="str">
        <f>IF(E199="Yes",AA199*Tab_Data_Flows[[#This Row],[Flow_Material]],"N.A.")</f>
        <v>N.A.</v>
      </c>
      <c r="AD199" s="7" t="str">
        <f>Tab_Data_Flows[[#This Row],[UoM_Flow_Py]]</f>
        <v>Mg</v>
      </c>
      <c r="AE199" s="156">
        <f>INDEX(Tab_Def_Flows[[Flow_ID]:[CC_DM_source]],MATCH(Tab_Data_Flows[[#This Row],[Flow_Name]],Tab_Def_Flows[Flow_Name],0),17)</f>
        <v>0</v>
      </c>
      <c r="AF199" s="7" t="str">
        <f>Tab_Data_Flows[[#This Row],[Flow_ID]]&amp;"_"&amp;"CC_"&amp;Tab_Data_Flows[[#This Row],[Flow_Data_Year]]</f>
        <v>F___CC_</v>
      </c>
      <c r="AG199" s="7" t="str">
        <f>IF(F199="Yes",AE199*Tab_Data_Flows[[#This Row],[Flow_Material]]*Tab_Data_Flows[[#This Row],[DM_'[%']]],"N.A.")</f>
        <v>N.A.</v>
      </c>
      <c r="AH199" s="7" t="str">
        <f>Tab_Data_Flows[[#This Row],[UoM_Flow_Py]]</f>
        <v>Mg</v>
      </c>
      <c r="AI199"/>
    </row>
    <row r="200" spans="1:35" x14ac:dyDescent="0.25">
      <c r="A200" s="9">
        <f t="shared" si="7"/>
        <v>199</v>
      </c>
      <c r="B200" s="7" t="str">
        <f>_xlfn.XLOOKUP(C200,Tab_Def_Flows[Flow_Name],Tab_Def_Flows[Flow_ID],,0,)</f>
        <v>F__</v>
      </c>
      <c r="C200" s="8" t="s">
        <v>31</v>
      </c>
      <c r="D200" s="10">
        <f>_xlfn.XLOOKUP(C200,Tab_Def_Flows[Flow_Name],Tab_Def_Flows[WC?],,0,)</f>
        <v>0</v>
      </c>
      <c r="E200" s="10">
        <f>_xlfn.XLOOKUP(C200,Tab_Def_Flows[Flow_Name],Tab_Def_Flows[DM?],,0,)</f>
        <v>0</v>
      </c>
      <c r="F200" s="10">
        <f>_xlfn.XLOOKUP(C200,Tab_Def_Flows[Flow_Name],Tab_Def_Flows[CC?],,0,)</f>
        <v>0</v>
      </c>
      <c r="G200" s="8"/>
      <c r="H200" s="28"/>
      <c r="I200" s="8"/>
      <c r="J200" s="8"/>
      <c r="K200" s="8" t="e">
        <f>INDEX(#REF!,MATCH(Tab_Data_Flows[[#This Row],[Flow_Name]],#REF!,0),12)</f>
        <v>#REF!</v>
      </c>
      <c r="L200" s="8" t="e">
        <f>MATCH(Tab_Data_Flows[[#This Row],[Flow_Name]],#REF!,0)</f>
        <v>#REF!</v>
      </c>
      <c r="M200" s="8"/>
      <c r="N200" s="8"/>
      <c r="O200" s="8"/>
      <c r="P200" s="8"/>
      <c r="Q200" s="8" t="s">
        <v>8</v>
      </c>
      <c r="R200" s="8"/>
      <c r="S200" s="8"/>
      <c r="T200" s="7" t="str">
        <f>Tab_Data_Flows[[#This Row],[Flow_ID]]&amp;"_"&amp;"material_"&amp;Tab_Data_Flows[[#This Row],[Flow_Data_Year]]</f>
        <v>F___material_</v>
      </c>
      <c r="U200" s="18">
        <f t="shared" si="8"/>
        <v>0</v>
      </c>
      <c r="V200" s="8" t="s">
        <v>218</v>
      </c>
      <c r="W200" s="156">
        <f>INDEX(Tab_Def_Flows[[Flow_ID]:[CC_DM_source]],MATCH(Tab_Data_Flows[[#This Row],[Flow_Name]],Tab_Def_Flows[Flow_Name],0),11)</f>
        <v>0</v>
      </c>
      <c r="X200" s="7" t="str">
        <f>Tab_Data_Flows[[#This Row],[Flow_ID]]&amp;"_"&amp;"WC_"&amp;Tab_Data_Flows[[#This Row],[Flow_Data_Year]]</f>
        <v>F___WC_</v>
      </c>
      <c r="Y200" s="7" t="str">
        <f>IF(D200="Yes",U200*Tab_Data_Flows[[#This Row],[WC_'[%']]],"N.A.")</f>
        <v>N.A.</v>
      </c>
      <c r="Z200" s="7" t="str">
        <f>Tab_Data_Flows[[#This Row],[UoM_Flow_Py]]</f>
        <v>Mg</v>
      </c>
      <c r="AA200" s="156">
        <f>INDEX(Tab_Def_Flows[[Flow_ID]:[CC_DM_source]],MATCH(Tab_Data_Flows[[#This Row],[Flow_Name]],Tab_Def_Flows[Flow_Name],0),14)</f>
        <v>0</v>
      </c>
      <c r="AB200" s="7" t="str">
        <f>Tab_Data_Flows[[#This Row],[Flow_ID]]&amp;"_"&amp;"DM_"&amp;Tab_Data_Flows[[#This Row],[Flow_Data_Year]]</f>
        <v>F___DM_</v>
      </c>
      <c r="AC200" s="7" t="str">
        <f>IF(E200="Yes",AA200*Tab_Data_Flows[[#This Row],[Flow_Material]],"N.A.")</f>
        <v>N.A.</v>
      </c>
      <c r="AD200" s="7" t="str">
        <f>Tab_Data_Flows[[#This Row],[UoM_Flow_Py]]</f>
        <v>Mg</v>
      </c>
      <c r="AE200" s="156">
        <f>INDEX(Tab_Def_Flows[[Flow_ID]:[CC_DM_source]],MATCH(Tab_Data_Flows[[#This Row],[Flow_Name]],Tab_Def_Flows[Flow_Name],0),17)</f>
        <v>0</v>
      </c>
      <c r="AF200" s="7" t="str">
        <f>Tab_Data_Flows[[#This Row],[Flow_ID]]&amp;"_"&amp;"CC_"&amp;Tab_Data_Flows[[#This Row],[Flow_Data_Year]]</f>
        <v>F___CC_</v>
      </c>
      <c r="AG200" s="7" t="str">
        <f>IF(F200="Yes",AE200*Tab_Data_Flows[[#This Row],[Flow_Material]]*Tab_Data_Flows[[#This Row],[DM_'[%']]],"N.A.")</f>
        <v>N.A.</v>
      </c>
      <c r="AH200" s="7" t="str">
        <f>Tab_Data_Flows[[#This Row],[UoM_Flow_Py]]</f>
        <v>Mg</v>
      </c>
      <c r="AI200"/>
    </row>
    <row r="201" spans="1:35" x14ac:dyDescent="0.25">
      <c r="A201" s="9">
        <f t="shared" si="7"/>
        <v>200</v>
      </c>
      <c r="B201" s="7" t="str">
        <f>_xlfn.XLOOKUP(C201,Tab_Def_Flows[Flow_Name],Tab_Def_Flows[Flow_ID],,0,)</f>
        <v>F__</v>
      </c>
      <c r="C201" s="8" t="s">
        <v>31</v>
      </c>
      <c r="D201" s="10">
        <f>_xlfn.XLOOKUP(C201,Tab_Def_Flows[Flow_Name],Tab_Def_Flows[WC?],,0,)</f>
        <v>0</v>
      </c>
      <c r="E201" s="10">
        <f>_xlfn.XLOOKUP(C201,Tab_Def_Flows[Flow_Name],Tab_Def_Flows[DM?],,0,)</f>
        <v>0</v>
      </c>
      <c r="F201" s="10">
        <f>_xlfn.XLOOKUP(C201,Tab_Def_Flows[Flow_Name],Tab_Def_Flows[CC?],,0,)</f>
        <v>0</v>
      </c>
      <c r="G201" s="8"/>
      <c r="H201" s="28"/>
      <c r="I201" s="8"/>
      <c r="J201" s="8"/>
      <c r="K201" s="8" t="e">
        <f>INDEX(#REF!,MATCH(Tab_Data_Flows[[#This Row],[Flow_Name]],#REF!,0),12)</f>
        <v>#REF!</v>
      </c>
      <c r="L201" s="8" t="e">
        <f>MATCH(Tab_Data_Flows[[#This Row],[Flow_Name]],#REF!,0)</f>
        <v>#REF!</v>
      </c>
      <c r="M201" s="8"/>
      <c r="N201" s="8"/>
      <c r="O201" s="8"/>
      <c r="P201" s="8"/>
      <c r="Q201" s="8" t="s">
        <v>8</v>
      </c>
      <c r="R201" s="8"/>
      <c r="S201" s="8"/>
      <c r="T201" s="7" t="str">
        <f>Tab_Data_Flows[[#This Row],[Flow_ID]]&amp;"_"&amp;"material_"&amp;Tab_Data_Flows[[#This Row],[Flow_Data_Year]]</f>
        <v>F___material_</v>
      </c>
      <c r="U201" s="18">
        <f t="shared" si="8"/>
        <v>0</v>
      </c>
      <c r="V201" s="8" t="s">
        <v>218</v>
      </c>
      <c r="W201" s="156">
        <f>INDEX(Tab_Def_Flows[[Flow_ID]:[CC_DM_source]],MATCH(Tab_Data_Flows[[#This Row],[Flow_Name]],Tab_Def_Flows[Flow_Name],0),11)</f>
        <v>0</v>
      </c>
      <c r="X201" s="7" t="str">
        <f>Tab_Data_Flows[[#This Row],[Flow_ID]]&amp;"_"&amp;"WC_"&amp;Tab_Data_Flows[[#This Row],[Flow_Data_Year]]</f>
        <v>F___WC_</v>
      </c>
      <c r="Y201" s="7" t="str">
        <f>IF(D201="Yes",U201*Tab_Data_Flows[[#This Row],[WC_'[%']]],"N.A.")</f>
        <v>N.A.</v>
      </c>
      <c r="Z201" s="7" t="str">
        <f>Tab_Data_Flows[[#This Row],[UoM_Flow_Py]]</f>
        <v>Mg</v>
      </c>
      <c r="AA201" s="156">
        <f>INDEX(Tab_Def_Flows[[Flow_ID]:[CC_DM_source]],MATCH(Tab_Data_Flows[[#This Row],[Flow_Name]],Tab_Def_Flows[Flow_Name],0),14)</f>
        <v>0</v>
      </c>
      <c r="AB201" s="7" t="str">
        <f>Tab_Data_Flows[[#This Row],[Flow_ID]]&amp;"_"&amp;"DM_"&amp;Tab_Data_Flows[[#This Row],[Flow_Data_Year]]</f>
        <v>F___DM_</v>
      </c>
      <c r="AC201" s="7" t="str">
        <f>IF(E201="Yes",AA201*Tab_Data_Flows[[#This Row],[Flow_Material]],"N.A.")</f>
        <v>N.A.</v>
      </c>
      <c r="AD201" s="7" t="str">
        <f>Tab_Data_Flows[[#This Row],[UoM_Flow_Py]]</f>
        <v>Mg</v>
      </c>
      <c r="AE201" s="156">
        <f>INDEX(Tab_Def_Flows[[Flow_ID]:[CC_DM_source]],MATCH(Tab_Data_Flows[[#This Row],[Flow_Name]],Tab_Def_Flows[Flow_Name],0),17)</f>
        <v>0</v>
      </c>
      <c r="AF201" s="7" t="str">
        <f>Tab_Data_Flows[[#This Row],[Flow_ID]]&amp;"_"&amp;"CC_"&amp;Tab_Data_Flows[[#This Row],[Flow_Data_Year]]</f>
        <v>F___CC_</v>
      </c>
      <c r="AG201" s="7" t="str">
        <f>IF(F201="Yes",AE201*Tab_Data_Flows[[#This Row],[Flow_Material]]*Tab_Data_Flows[[#This Row],[DM_'[%']]],"N.A.")</f>
        <v>N.A.</v>
      </c>
      <c r="AH201" s="7" t="str">
        <f>Tab_Data_Flows[[#This Row],[UoM_Flow_Py]]</f>
        <v>Mg</v>
      </c>
      <c r="AI201"/>
    </row>
    <row r="202" spans="1:35" x14ac:dyDescent="0.25">
      <c r="A202" s="9">
        <f t="shared" si="7"/>
        <v>201</v>
      </c>
      <c r="B202" s="7" t="str">
        <f>_xlfn.XLOOKUP(C202,Tab_Def_Flows[Flow_Name],Tab_Def_Flows[Flow_ID],,0,)</f>
        <v>F__</v>
      </c>
      <c r="C202" s="8" t="s">
        <v>31</v>
      </c>
      <c r="D202" s="10">
        <f>_xlfn.XLOOKUP(C202,Tab_Def_Flows[Flow_Name],Tab_Def_Flows[WC?],,0,)</f>
        <v>0</v>
      </c>
      <c r="E202" s="10">
        <f>_xlfn.XLOOKUP(C202,Tab_Def_Flows[Flow_Name],Tab_Def_Flows[DM?],,0,)</f>
        <v>0</v>
      </c>
      <c r="F202" s="10">
        <f>_xlfn.XLOOKUP(C202,Tab_Def_Flows[Flow_Name],Tab_Def_Flows[CC?],,0,)</f>
        <v>0</v>
      </c>
      <c r="G202" s="8"/>
      <c r="H202" s="28"/>
      <c r="I202" s="8"/>
      <c r="J202" s="8"/>
      <c r="K202" s="8" t="e">
        <f>INDEX(#REF!,MATCH(Tab_Data_Flows[[#This Row],[Flow_Name]],#REF!,0),12)</f>
        <v>#REF!</v>
      </c>
      <c r="L202" s="8" t="e">
        <f>MATCH(Tab_Data_Flows[[#This Row],[Flow_Name]],#REF!,0)</f>
        <v>#REF!</v>
      </c>
      <c r="M202" s="8"/>
      <c r="N202" s="8"/>
      <c r="O202" s="8"/>
      <c r="P202" s="8"/>
      <c r="Q202" s="8" t="s">
        <v>8</v>
      </c>
      <c r="R202" s="8"/>
      <c r="S202" s="8"/>
      <c r="T202" s="7" t="str">
        <f>Tab_Data_Flows[[#This Row],[Flow_ID]]&amp;"_"&amp;"material_"&amp;Tab_Data_Flows[[#This Row],[Flow_Data_Year]]</f>
        <v>F___material_</v>
      </c>
      <c r="U202" s="18">
        <f t="shared" si="8"/>
        <v>0</v>
      </c>
      <c r="V202" s="8" t="s">
        <v>218</v>
      </c>
      <c r="W202" s="156">
        <f>INDEX(Tab_Def_Flows[[Flow_ID]:[CC_DM_source]],MATCH(Tab_Data_Flows[[#This Row],[Flow_Name]],Tab_Def_Flows[Flow_Name],0),11)</f>
        <v>0</v>
      </c>
      <c r="X202" s="7" t="str">
        <f>Tab_Data_Flows[[#This Row],[Flow_ID]]&amp;"_"&amp;"WC_"&amp;Tab_Data_Flows[[#This Row],[Flow_Data_Year]]</f>
        <v>F___WC_</v>
      </c>
      <c r="Y202" s="7" t="str">
        <f>IF(D202="Yes",U202*Tab_Data_Flows[[#This Row],[WC_'[%']]],"N.A.")</f>
        <v>N.A.</v>
      </c>
      <c r="Z202" s="7" t="str">
        <f>Tab_Data_Flows[[#This Row],[UoM_Flow_Py]]</f>
        <v>Mg</v>
      </c>
      <c r="AA202" s="156">
        <f>INDEX(Tab_Def_Flows[[Flow_ID]:[CC_DM_source]],MATCH(Tab_Data_Flows[[#This Row],[Flow_Name]],Tab_Def_Flows[Flow_Name],0),14)</f>
        <v>0</v>
      </c>
      <c r="AB202" s="7" t="str">
        <f>Tab_Data_Flows[[#This Row],[Flow_ID]]&amp;"_"&amp;"DM_"&amp;Tab_Data_Flows[[#This Row],[Flow_Data_Year]]</f>
        <v>F___DM_</v>
      </c>
      <c r="AC202" s="7" t="str">
        <f>IF(E202="Yes",AA202*Tab_Data_Flows[[#This Row],[Flow_Material]],"N.A.")</f>
        <v>N.A.</v>
      </c>
      <c r="AD202" s="7" t="str">
        <f>Tab_Data_Flows[[#This Row],[UoM_Flow_Py]]</f>
        <v>Mg</v>
      </c>
      <c r="AE202" s="156">
        <f>INDEX(Tab_Def_Flows[[Flow_ID]:[CC_DM_source]],MATCH(Tab_Data_Flows[[#This Row],[Flow_Name]],Tab_Def_Flows[Flow_Name],0),17)</f>
        <v>0</v>
      </c>
      <c r="AF202" s="7" t="str">
        <f>Tab_Data_Flows[[#This Row],[Flow_ID]]&amp;"_"&amp;"CC_"&amp;Tab_Data_Flows[[#This Row],[Flow_Data_Year]]</f>
        <v>F___CC_</v>
      </c>
      <c r="AG202" s="7" t="str">
        <f>IF(F202="Yes",AE202*Tab_Data_Flows[[#This Row],[Flow_Material]]*Tab_Data_Flows[[#This Row],[DM_'[%']]],"N.A.")</f>
        <v>N.A.</v>
      </c>
      <c r="AH202" s="7" t="str">
        <f>Tab_Data_Flows[[#This Row],[UoM_Flow_Py]]</f>
        <v>Mg</v>
      </c>
      <c r="AI202"/>
    </row>
    <row r="203" spans="1:35" x14ac:dyDescent="0.25">
      <c r="A203" s="9">
        <f t="shared" si="7"/>
        <v>202</v>
      </c>
      <c r="B203" s="7" t="str">
        <f>_xlfn.XLOOKUP(C203,Tab_Def_Flows[Flow_Name],Tab_Def_Flows[Flow_ID],,0,)</f>
        <v>F__</v>
      </c>
      <c r="C203" s="8" t="s">
        <v>31</v>
      </c>
      <c r="D203" s="10">
        <f>_xlfn.XLOOKUP(C203,Tab_Def_Flows[Flow_Name],Tab_Def_Flows[WC?],,0,)</f>
        <v>0</v>
      </c>
      <c r="E203" s="10">
        <f>_xlfn.XLOOKUP(C203,Tab_Def_Flows[Flow_Name],Tab_Def_Flows[DM?],,0,)</f>
        <v>0</v>
      </c>
      <c r="F203" s="10">
        <f>_xlfn.XLOOKUP(C203,Tab_Def_Flows[Flow_Name],Tab_Def_Flows[CC?],,0,)</f>
        <v>0</v>
      </c>
      <c r="G203" s="8"/>
      <c r="H203" s="28"/>
      <c r="I203" s="8"/>
      <c r="J203" s="8"/>
      <c r="K203" s="8" t="e">
        <f>INDEX(#REF!,MATCH(Tab_Data_Flows[[#This Row],[Flow_Name]],#REF!,0),12)</f>
        <v>#REF!</v>
      </c>
      <c r="L203" s="8" t="e">
        <f>MATCH(Tab_Data_Flows[[#This Row],[Flow_Name]],#REF!,0)</f>
        <v>#REF!</v>
      </c>
      <c r="M203" s="8"/>
      <c r="N203" s="8"/>
      <c r="O203" s="8"/>
      <c r="P203" s="8"/>
      <c r="Q203" s="8" t="s">
        <v>8</v>
      </c>
      <c r="R203" s="8"/>
      <c r="S203" s="8"/>
      <c r="T203" s="7" t="str">
        <f>Tab_Data_Flows[[#This Row],[Flow_ID]]&amp;"_"&amp;"material_"&amp;Tab_Data_Flows[[#This Row],[Flow_Data_Year]]</f>
        <v>F___material_</v>
      </c>
      <c r="U203" s="18">
        <f t="shared" si="8"/>
        <v>0</v>
      </c>
      <c r="V203" s="8" t="s">
        <v>218</v>
      </c>
      <c r="W203" s="156">
        <f>INDEX(Tab_Def_Flows[[Flow_ID]:[CC_DM_source]],MATCH(Tab_Data_Flows[[#This Row],[Flow_Name]],Tab_Def_Flows[Flow_Name],0),11)</f>
        <v>0</v>
      </c>
      <c r="X203" s="7" t="str">
        <f>Tab_Data_Flows[[#This Row],[Flow_ID]]&amp;"_"&amp;"WC_"&amp;Tab_Data_Flows[[#This Row],[Flow_Data_Year]]</f>
        <v>F___WC_</v>
      </c>
      <c r="Y203" s="7" t="str">
        <f>IF(D203="Yes",U203*Tab_Data_Flows[[#This Row],[WC_'[%']]],"N.A.")</f>
        <v>N.A.</v>
      </c>
      <c r="Z203" s="7" t="str">
        <f>Tab_Data_Flows[[#This Row],[UoM_Flow_Py]]</f>
        <v>Mg</v>
      </c>
      <c r="AA203" s="156">
        <f>INDEX(Tab_Def_Flows[[Flow_ID]:[CC_DM_source]],MATCH(Tab_Data_Flows[[#This Row],[Flow_Name]],Tab_Def_Flows[Flow_Name],0),14)</f>
        <v>0</v>
      </c>
      <c r="AB203" s="7" t="str">
        <f>Tab_Data_Flows[[#This Row],[Flow_ID]]&amp;"_"&amp;"DM_"&amp;Tab_Data_Flows[[#This Row],[Flow_Data_Year]]</f>
        <v>F___DM_</v>
      </c>
      <c r="AC203" s="7" t="str">
        <f>IF(E203="Yes",AA203*Tab_Data_Flows[[#This Row],[Flow_Material]],"N.A.")</f>
        <v>N.A.</v>
      </c>
      <c r="AD203" s="7" t="str">
        <f>Tab_Data_Flows[[#This Row],[UoM_Flow_Py]]</f>
        <v>Mg</v>
      </c>
      <c r="AE203" s="156">
        <f>INDEX(Tab_Def_Flows[[Flow_ID]:[CC_DM_source]],MATCH(Tab_Data_Flows[[#This Row],[Flow_Name]],Tab_Def_Flows[Flow_Name],0),17)</f>
        <v>0</v>
      </c>
      <c r="AF203" s="7" t="str">
        <f>Tab_Data_Flows[[#This Row],[Flow_ID]]&amp;"_"&amp;"CC_"&amp;Tab_Data_Flows[[#This Row],[Flow_Data_Year]]</f>
        <v>F___CC_</v>
      </c>
      <c r="AG203" s="7" t="str">
        <f>IF(F203="Yes",AE203*Tab_Data_Flows[[#This Row],[Flow_Material]]*Tab_Data_Flows[[#This Row],[DM_'[%']]],"N.A.")</f>
        <v>N.A.</v>
      </c>
      <c r="AH203" s="7" t="str">
        <f>Tab_Data_Flows[[#This Row],[UoM_Flow_Py]]</f>
        <v>Mg</v>
      </c>
      <c r="AI203"/>
    </row>
    <row r="204" spans="1:35" x14ac:dyDescent="0.25">
      <c r="A204" s="9">
        <f t="shared" si="7"/>
        <v>203</v>
      </c>
      <c r="B204" s="7" t="str">
        <f>_xlfn.XLOOKUP(C204,Tab_Def_Flows[Flow_Name],Tab_Def_Flows[Flow_ID],,0,)</f>
        <v>F__</v>
      </c>
      <c r="C204" s="8" t="s">
        <v>31</v>
      </c>
      <c r="D204" s="10">
        <f>_xlfn.XLOOKUP(C204,Tab_Def_Flows[Flow_Name],Tab_Def_Flows[WC?],,0,)</f>
        <v>0</v>
      </c>
      <c r="E204" s="10">
        <f>_xlfn.XLOOKUP(C204,Tab_Def_Flows[Flow_Name],Tab_Def_Flows[DM?],,0,)</f>
        <v>0</v>
      </c>
      <c r="F204" s="10">
        <f>_xlfn.XLOOKUP(C204,Tab_Def_Flows[Flow_Name],Tab_Def_Flows[CC?],,0,)</f>
        <v>0</v>
      </c>
      <c r="G204" s="8"/>
      <c r="H204" s="28"/>
      <c r="I204" s="8"/>
      <c r="J204" s="8"/>
      <c r="K204" s="8" t="e">
        <f>INDEX(#REF!,MATCH(Tab_Data_Flows[[#This Row],[Flow_Name]],#REF!,0),12)</f>
        <v>#REF!</v>
      </c>
      <c r="L204" s="8" t="e">
        <f>MATCH(Tab_Data_Flows[[#This Row],[Flow_Name]],#REF!,0)</f>
        <v>#REF!</v>
      </c>
      <c r="M204" s="8"/>
      <c r="N204" s="8"/>
      <c r="O204" s="8"/>
      <c r="P204" s="8"/>
      <c r="Q204" s="8" t="s">
        <v>8</v>
      </c>
      <c r="R204" s="8"/>
      <c r="S204" s="8"/>
      <c r="T204" s="7" t="str">
        <f>Tab_Data_Flows[[#This Row],[Flow_ID]]&amp;"_"&amp;"material_"&amp;Tab_Data_Flows[[#This Row],[Flow_Data_Year]]</f>
        <v>F___material_</v>
      </c>
      <c r="U204" s="18">
        <f t="shared" si="8"/>
        <v>0</v>
      </c>
      <c r="V204" s="8" t="s">
        <v>218</v>
      </c>
      <c r="W204" s="156">
        <f>INDEX(Tab_Def_Flows[[Flow_ID]:[CC_DM_source]],MATCH(Tab_Data_Flows[[#This Row],[Flow_Name]],Tab_Def_Flows[Flow_Name],0),11)</f>
        <v>0</v>
      </c>
      <c r="X204" s="7" t="str">
        <f>Tab_Data_Flows[[#This Row],[Flow_ID]]&amp;"_"&amp;"WC_"&amp;Tab_Data_Flows[[#This Row],[Flow_Data_Year]]</f>
        <v>F___WC_</v>
      </c>
      <c r="Y204" s="7" t="str">
        <f>IF(D204="Yes",U204*Tab_Data_Flows[[#This Row],[WC_'[%']]],"N.A.")</f>
        <v>N.A.</v>
      </c>
      <c r="Z204" s="7" t="str">
        <f>Tab_Data_Flows[[#This Row],[UoM_Flow_Py]]</f>
        <v>Mg</v>
      </c>
      <c r="AA204" s="156">
        <f>INDEX(Tab_Def_Flows[[Flow_ID]:[CC_DM_source]],MATCH(Tab_Data_Flows[[#This Row],[Flow_Name]],Tab_Def_Flows[Flow_Name],0),14)</f>
        <v>0</v>
      </c>
      <c r="AB204" s="7" t="str">
        <f>Tab_Data_Flows[[#This Row],[Flow_ID]]&amp;"_"&amp;"DM_"&amp;Tab_Data_Flows[[#This Row],[Flow_Data_Year]]</f>
        <v>F___DM_</v>
      </c>
      <c r="AC204" s="7" t="str">
        <f>IF(E204="Yes",AA204*Tab_Data_Flows[[#This Row],[Flow_Material]],"N.A.")</f>
        <v>N.A.</v>
      </c>
      <c r="AD204" s="7" t="str">
        <f>Tab_Data_Flows[[#This Row],[UoM_Flow_Py]]</f>
        <v>Mg</v>
      </c>
      <c r="AE204" s="156">
        <f>INDEX(Tab_Def_Flows[[Flow_ID]:[CC_DM_source]],MATCH(Tab_Data_Flows[[#This Row],[Flow_Name]],Tab_Def_Flows[Flow_Name],0),17)</f>
        <v>0</v>
      </c>
      <c r="AF204" s="7" t="str">
        <f>Tab_Data_Flows[[#This Row],[Flow_ID]]&amp;"_"&amp;"CC_"&amp;Tab_Data_Flows[[#This Row],[Flow_Data_Year]]</f>
        <v>F___CC_</v>
      </c>
      <c r="AG204" s="7" t="str">
        <f>IF(F204="Yes",AE204*Tab_Data_Flows[[#This Row],[Flow_Material]]*Tab_Data_Flows[[#This Row],[DM_'[%']]],"N.A.")</f>
        <v>N.A.</v>
      </c>
      <c r="AH204" s="7" t="str">
        <f>Tab_Data_Flows[[#This Row],[UoM_Flow_Py]]</f>
        <v>Mg</v>
      </c>
      <c r="AI204"/>
    </row>
    <row r="205" spans="1:35" x14ac:dyDescent="0.25">
      <c r="A205" s="9">
        <f t="shared" si="7"/>
        <v>204</v>
      </c>
      <c r="B205" s="7" t="str">
        <f>_xlfn.XLOOKUP(C205,Tab_Def_Flows[Flow_Name],Tab_Def_Flows[Flow_ID],,0,)</f>
        <v>F__</v>
      </c>
      <c r="C205" s="8" t="s">
        <v>31</v>
      </c>
      <c r="D205" s="10">
        <f>_xlfn.XLOOKUP(C205,Tab_Def_Flows[Flow_Name],Tab_Def_Flows[WC?],,0,)</f>
        <v>0</v>
      </c>
      <c r="E205" s="10">
        <f>_xlfn.XLOOKUP(C205,Tab_Def_Flows[Flow_Name],Tab_Def_Flows[DM?],,0,)</f>
        <v>0</v>
      </c>
      <c r="F205" s="10">
        <f>_xlfn.XLOOKUP(C205,Tab_Def_Flows[Flow_Name],Tab_Def_Flows[CC?],,0,)</f>
        <v>0</v>
      </c>
      <c r="G205" s="8"/>
      <c r="H205" s="28"/>
      <c r="I205" s="8"/>
      <c r="J205" s="8"/>
      <c r="K205" s="8"/>
      <c r="L205" s="8"/>
      <c r="M205" s="8"/>
      <c r="N205" s="8"/>
      <c r="O205" s="8"/>
      <c r="P205" s="8"/>
      <c r="Q205" s="8" t="s">
        <v>8</v>
      </c>
      <c r="R205" s="21"/>
      <c r="S205" s="8"/>
      <c r="T205" s="7" t="str">
        <f>Tab_Data_Flows[[#This Row],[Flow_ID]]&amp;"_"&amp;"material_"&amp;Tab_Data_Flows[[#This Row],[Flow_Data_Year]]</f>
        <v>F___material_</v>
      </c>
      <c r="U205" s="18">
        <f t="shared" si="8"/>
        <v>0</v>
      </c>
      <c r="V205" s="8" t="s">
        <v>218</v>
      </c>
      <c r="W205" s="156">
        <f>INDEX(Tab_Def_Flows[[Flow_ID]:[CC_DM_source]],MATCH(Tab_Data_Flows[[#This Row],[Flow_Name]],Tab_Def_Flows[Flow_Name],0),11)</f>
        <v>0</v>
      </c>
      <c r="X205" s="7" t="str">
        <f>Tab_Data_Flows[[#This Row],[Flow_ID]]&amp;"_"&amp;"WC_"&amp;Tab_Data_Flows[[#This Row],[Flow_Data_Year]]</f>
        <v>F___WC_</v>
      </c>
      <c r="Y205" s="7" t="str">
        <f>IF(D205="Yes",U205*Tab_Data_Flows[[#This Row],[WC_'[%']]],"N.A.")</f>
        <v>N.A.</v>
      </c>
      <c r="Z205" s="7" t="str">
        <f>Tab_Data_Flows[[#This Row],[UoM_Flow_Py]]</f>
        <v>Mg</v>
      </c>
      <c r="AA205" s="156">
        <f>INDEX(Tab_Def_Flows[[Flow_ID]:[CC_DM_source]],MATCH(Tab_Data_Flows[[#This Row],[Flow_Name]],Tab_Def_Flows[Flow_Name],0),14)</f>
        <v>0</v>
      </c>
      <c r="AB205" s="7" t="str">
        <f>Tab_Data_Flows[[#This Row],[Flow_ID]]&amp;"_"&amp;"DM_"&amp;Tab_Data_Flows[[#This Row],[Flow_Data_Year]]</f>
        <v>F___DM_</v>
      </c>
      <c r="AC205" s="7" t="str">
        <f>IF(E205="Yes",AA205*Tab_Data_Flows[[#This Row],[Flow_Material]],"N.A.")</f>
        <v>N.A.</v>
      </c>
      <c r="AD205" s="7" t="str">
        <f>Tab_Data_Flows[[#This Row],[UoM_Flow_Py]]</f>
        <v>Mg</v>
      </c>
      <c r="AE205" s="156">
        <f>INDEX(Tab_Def_Flows[[Flow_ID]:[CC_DM_source]],MATCH(Tab_Data_Flows[[#This Row],[Flow_Name]],Tab_Def_Flows[Flow_Name],0),17)</f>
        <v>0</v>
      </c>
      <c r="AF205" s="7" t="str">
        <f>Tab_Data_Flows[[#This Row],[Flow_ID]]&amp;"_"&amp;"CC_"&amp;Tab_Data_Flows[[#This Row],[Flow_Data_Year]]</f>
        <v>F___CC_</v>
      </c>
      <c r="AG205" s="7" t="str">
        <f>IF(F205="Yes",AE205*Tab_Data_Flows[[#This Row],[Flow_Material]]*Tab_Data_Flows[[#This Row],[DM_'[%']]],"N.A.")</f>
        <v>N.A.</v>
      </c>
      <c r="AH205" s="7" t="str">
        <f>Tab_Data_Flows[[#This Row],[UoM_Flow_Py]]</f>
        <v>Mg</v>
      </c>
      <c r="AI205"/>
    </row>
    <row r="206" spans="1:35" x14ac:dyDescent="0.25">
      <c r="A206" s="9">
        <f t="shared" si="7"/>
        <v>205</v>
      </c>
      <c r="B206" s="7" t="str">
        <f>_xlfn.XLOOKUP(C206,Tab_Def_Flows[Flow_Name],Tab_Def_Flows[Flow_ID],,0,)</f>
        <v>F__</v>
      </c>
      <c r="C206" s="8" t="s">
        <v>31</v>
      </c>
      <c r="D206" s="10">
        <f>_xlfn.XLOOKUP(C206,Tab_Def_Flows[Flow_Name],Tab_Def_Flows[WC?],,0,)</f>
        <v>0</v>
      </c>
      <c r="E206" s="10">
        <f>_xlfn.XLOOKUP(C206,Tab_Def_Flows[Flow_Name],Tab_Def_Flows[DM?],,0,)</f>
        <v>0</v>
      </c>
      <c r="F206" s="10">
        <f>_xlfn.XLOOKUP(C206,Tab_Def_Flows[Flow_Name],Tab_Def_Flows[CC?],,0,)</f>
        <v>0</v>
      </c>
      <c r="G206" s="8"/>
      <c r="H206" s="28"/>
      <c r="I206" s="8"/>
      <c r="J206" s="8"/>
      <c r="K206" s="8"/>
      <c r="L206" s="8"/>
      <c r="M206" s="8"/>
      <c r="N206" s="8"/>
      <c r="O206" s="8"/>
      <c r="P206" s="8"/>
      <c r="Q206" s="8" t="s">
        <v>8</v>
      </c>
      <c r="R206" s="21"/>
      <c r="S206" s="8"/>
      <c r="T206" s="7" t="str">
        <f>Tab_Data_Flows[[#This Row],[Flow_ID]]&amp;"_"&amp;"material_"&amp;Tab_Data_Flows[[#This Row],[Flow_Data_Year]]</f>
        <v>F___material_</v>
      </c>
      <c r="U206" s="18">
        <f t="shared" si="8"/>
        <v>0</v>
      </c>
      <c r="V206" s="8" t="s">
        <v>218</v>
      </c>
      <c r="W206" s="156">
        <f>INDEX(Tab_Def_Flows[[Flow_ID]:[CC_DM_source]],MATCH(Tab_Data_Flows[[#This Row],[Flow_Name]],Tab_Def_Flows[Flow_Name],0),11)</f>
        <v>0</v>
      </c>
      <c r="X206" s="7" t="str">
        <f>Tab_Data_Flows[[#This Row],[Flow_ID]]&amp;"_"&amp;"WC_"&amp;Tab_Data_Flows[[#This Row],[Flow_Data_Year]]</f>
        <v>F___WC_</v>
      </c>
      <c r="Y206" s="7" t="str">
        <f>IF(D206="Yes",U206*Tab_Data_Flows[[#This Row],[WC_'[%']]],"N.A.")</f>
        <v>N.A.</v>
      </c>
      <c r="Z206" s="7" t="str">
        <f>Tab_Data_Flows[[#This Row],[UoM_Flow_Py]]</f>
        <v>Mg</v>
      </c>
      <c r="AA206" s="156">
        <f>INDEX(Tab_Def_Flows[[Flow_ID]:[CC_DM_source]],MATCH(Tab_Data_Flows[[#This Row],[Flow_Name]],Tab_Def_Flows[Flow_Name],0),14)</f>
        <v>0</v>
      </c>
      <c r="AB206" s="7" t="str">
        <f>Tab_Data_Flows[[#This Row],[Flow_ID]]&amp;"_"&amp;"DM_"&amp;Tab_Data_Flows[[#This Row],[Flow_Data_Year]]</f>
        <v>F___DM_</v>
      </c>
      <c r="AC206" s="7" t="str">
        <f>IF(E206="Yes",AA206*Tab_Data_Flows[[#This Row],[Flow_Material]],"N.A.")</f>
        <v>N.A.</v>
      </c>
      <c r="AD206" s="7" t="str">
        <f>Tab_Data_Flows[[#This Row],[UoM_Flow_Py]]</f>
        <v>Mg</v>
      </c>
      <c r="AE206" s="156">
        <f>INDEX(Tab_Def_Flows[[Flow_ID]:[CC_DM_source]],MATCH(Tab_Data_Flows[[#This Row],[Flow_Name]],Tab_Def_Flows[Flow_Name],0),17)</f>
        <v>0</v>
      </c>
      <c r="AF206" s="7" t="str">
        <f>Tab_Data_Flows[[#This Row],[Flow_ID]]&amp;"_"&amp;"CC_"&amp;Tab_Data_Flows[[#This Row],[Flow_Data_Year]]</f>
        <v>F___CC_</v>
      </c>
      <c r="AG206" s="7" t="str">
        <f>IF(F206="Yes",AE206*Tab_Data_Flows[[#This Row],[Flow_Material]]*Tab_Data_Flows[[#This Row],[DM_'[%']]],"N.A.")</f>
        <v>N.A.</v>
      </c>
      <c r="AH206" s="7" t="str">
        <f>Tab_Data_Flows[[#This Row],[UoM_Flow_Py]]</f>
        <v>Mg</v>
      </c>
      <c r="AI206"/>
    </row>
    <row r="207" spans="1:35" x14ac:dyDescent="0.25">
      <c r="A207" s="9">
        <f t="shared" si="7"/>
        <v>206</v>
      </c>
      <c r="B207" s="7" t="str">
        <f>_xlfn.XLOOKUP(C207,Tab_Def_Flows[Flow_Name],Tab_Def_Flows[Flow_ID],,0,)</f>
        <v>F__</v>
      </c>
      <c r="C207" s="8" t="s">
        <v>31</v>
      </c>
      <c r="D207" s="10">
        <f>_xlfn.XLOOKUP(C207,Tab_Def_Flows[Flow_Name],Tab_Def_Flows[WC?],,0,)</f>
        <v>0</v>
      </c>
      <c r="E207" s="10">
        <f>_xlfn.XLOOKUP(C207,Tab_Def_Flows[Flow_Name],Tab_Def_Flows[DM?],,0,)</f>
        <v>0</v>
      </c>
      <c r="F207" s="10">
        <f>_xlfn.XLOOKUP(C207,Tab_Def_Flows[Flow_Name],Tab_Def_Flows[CC?],,0,)</f>
        <v>0</v>
      </c>
      <c r="G207" s="8"/>
      <c r="H207" s="28"/>
      <c r="I207" s="8"/>
      <c r="J207" s="8"/>
      <c r="K207" s="8"/>
      <c r="L207" s="8"/>
      <c r="M207" s="8"/>
      <c r="N207" s="8"/>
      <c r="O207" s="8"/>
      <c r="P207" s="8"/>
      <c r="Q207" s="8" t="s">
        <v>8</v>
      </c>
      <c r="R207" s="21"/>
      <c r="S207" s="8"/>
      <c r="T207" s="7" t="str">
        <f>Tab_Data_Flows[[#This Row],[Flow_ID]]&amp;"_"&amp;"material_"&amp;Tab_Data_Flows[[#This Row],[Flow_Data_Year]]</f>
        <v>F___material_</v>
      </c>
      <c r="U207" s="18">
        <f t="shared" si="8"/>
        <v>0</v>
      </c>
      <c r="V207" s="8" t="s">
        <v>218</v>
      </c>
      <c r="W207" s="156">
        <f>INDEX(Tab_Def_Flows[[Flow_ID]:[CC_DM_source]],MATCH(Tab_Data_Flows[[#This Row],[Flow_Name]],Tab_Def_Flows[Flow_Name],0),11)</f>
        <v>0</v>
      </c>
      <c r="X207" s="7" t="str">
        <f>Tab_Data_Flows[[#This Row],[Flow_ID]]&amp;"_"&amp;"WC_"&amp;Tab_Data_Flows[[#This Row],[Flow_Data_Year]]</f>
        <v>F___WC_</v>
      </c>
      <c r="Y207" s="7" t="str">
        <f>IF(D207="Yes",U207*Tab_Data_Flows[[#This Row],[WC_'[%']]],"N.A.")</f>
        <v>N.A.</v>
      </c>
      <c r="Z207" s="7" t="str">
        <f>Tab_Data_Flows[[#This Row],[UoM_Flow_Py]]</f>
        <v>Mg</v>
      </c>
      <c r="AA207" s="156">
        <f>INDEX(Tab_Def_Flows[[Flow_ID]:[CC_DM_source]],MATCH(Tab_Data_Flows[[#This Row],[Flow_Name]],Tab_Def_Flows[Flow_Name],0),14)</f>
        <v>0</v>
      </c>
      <c r="AB207" s="7" t="str">
        <f>Tab_Data_Flows[[#This Row],[Flow_ID]]&amp;"_"&amp;"DM_"&amp;Tab_Data_Flows[[#This Row],[Flow_Data_Year]]</f>
        <v>F___DM_</v>
      </c>
      <c r="AC207" s="7" t="str">
        <f>IF(E207="Yes",AA207*Tab_Data_Flows[[#This Row],[Flow_Material]],"N.A.")</f>
        <v>N.A.</v>
      </c>
      <c r="AD207" s="7" t="str">
        <f>Tab_Data_Flows[[#This Row],[UoM_Flow_Py]]</f>
        <v>Mg</v>
      </c>
      <c r="AE207" s="156">
        <f>INDEX(Tab_Def_Flows[[Flow_ID]:[CC_DM_source]],MATCH(Tab_Data_Flows[[#This Row],[Flow_Name]],Tab_Def_Flows[Flow_Name],0),17)</f>
        <v>0</v>
      </c>
      <c r="AF207" s="7" t="str">
        <f>Tab_Data_Flows[[#This Row],[Flow_ID]]&amp;"_"&amp;"CC_"&amp;Tab_Data_Flows[[#This Row],[Flow_Data_Year]]</f>
        <v>F___CC_</v>
      </c>
      <c r="AG207" s="7" t="str">
        <f>IF(F207="Yes",AE207*Tab_Data_Flows[[#This Row],[Flow_Material]]*Tab_Data_Flows[[#This Row],[DM_'[%']]],"N.A.")</f>
        <v>N.A.</v>
      </c>
      <c r="AH207" s="7" t="str">
        <f>Tab_Data_Flows[[#This Row],[UoM_Flow_Py]]</f>
        <v>Mg</v>
      </c>
      <c r="AI207"/>
    </row>
    <row r="208" spans="1:35" x14ac:dyDescent="0.25">
      <c r="A208" s="9">
        <f t="shared" si="7"/>
        <v>207</v>
      </c>
      <c r="B208" s="7" t="str">
        <f>_xlfn.XLOOKUP(C208,Tab_Def_Flows[Flow_Name],Tab_Def_Flows[Flow_ID],,0,)</f>
        <v>F__</v>
      </c>
      <c r="C208" s="8" t="s">
        <v>31</v>
      </c>
      <c r="D208" s="10">
        <f>_xlfn.XLOOKUP(C208,Tab_Def_Flows[Flow_Name],Tab_Def_Flows[WC?],,0,)</f>
        <v>0</v>
      </c>
      <c r="E208" s="10">
        <f>_xlfn.XLOOKUP(C208,Tab_Def_Flows[Flow_Name],Tab_Def_Flows[DM?],,0,)</f>
        <v>0</v>
      </c>
      <c r="F208" s="10">
        <f>_xlfn.XLOOKUP(C208,Tab_Def_Flows[Flow_Name],Tab_Def_Flows[CC?],,0,)</f>
        <v>0</v>
      </c>
      <c r="G208" s="8"/>
      <c r="H208" s="28"/>
      <c r="I208" s="8"/>
      <c r="J208" s="8"/>
      <c r="K208" s="8"/>
      <c r="L208" s="8"/>
      <c r="M208" s="8"/>
      <c r="N208" s="8"/>
      <c r="O208" s="8"/>
      <c r="P208" s="8"/>
      <c r="Q208" s="8" t="s">
        <v>8</v>
      </c>
      <c r="R208" s="21"/>
      <c r="S208" s="8"/>
      <c r="T208" s="7" t="str">
        <f>Tab_Data_Flows[[#This Row],[Flow_ID]]&amp;"_"&amp;"material_"&amp;Tab_Data_Flows[[#This Row],[Flow_Data_Year]]</f>
        <v>F___material_</v>
      </c>
      <c r="U208" s="18">
        <f t="shared" si="8"/>
        <v>0</v>
      </c>
      <c r="V208" s="8" t="s">
        <v>218</v>
      </c>
      <c r="W208" s="156">
        <f>INDEX(Tab_Def_Flows[[Flow_ID]:[CC_DM_source]],MATCH(Tab_Data_Flows[[#This Row],[Flow_Name]],Tab_Def_Flows[Flow_Name],0),11)</f>
        <v>0</v>
      </c>
      <c r="X208" s="7" t="str">
        <f>Tab_Data_Flows[[#This Row],[Flow_ID]]&amp;"_"&amp;"WC_"&amp;Tab_Data_Flows[[#This Row],[Flow_Data_Year]]</f>
        <v>F___WC_</v>
      </c>
      <c r="Y208" s="7" t="str">
        <f>IF(D208="Yes",U208*Tab_Data_Flows[[#This Row],[WC_'[%']]],"N.A.")</f>
        <v>N.A.</v>
      </c>
      <c r="Z208" s="7" t="str">
        <f>Tab_Data_Flows[[#This Row],[UoM_Flow_Py]]</f>
        <v>Mg</v>
      </c>
      <c r="AA208" s="156">
        <f>INDEX(Tab_Def_Flows[[Flow_ID]:[CC_DM_source]],MATCH(Tab_Data_Flows[[#This Row],[Flow_Name]],Tab_Def_Flows[Flow_Name],0),14)</f>
        <v>0</v>
      </c>
      <c r="AB208" s="7" t="str">
        <f>Tab_Data_Flows[[#This Row],[Flow_ID]]&amp;"_"&amp;"DM_"&amp;Tab_Data_Flows[[#This Row],[Flow_Data_Year]]</f>
        <v>F___DM_</v>
      </c>
      <c r="AC208" s="7" t="str">
        <f>IF(E208="Yes",AA208*Tab_Data_Flows[[#This Row],[Flow_Material]],"N.A.")</f>
        <v>N.A.</v>
      </c>
      <c r="AD208" s="7" t="str">
        <f>Tab_Data_Flows[[#This Row],[UoM_Flow_Py]]</f>
        <v>Mg</v>
      </c>
      <c r="AE208" s="156">
        <f>INDEX(Tab_Def_Flows[[Flow_ID]:[CC_DM_source]],MATCH(Tab_Data_Flows[[#This Row],[Flow_Name]],Tab_Def_Flows[Flow_Name],0),17)</f>
        <v>0</v>
      </c>
      <c r="AF208" s="7" t="str">
        <f>Tab_Data_Flows[[#This Row],[Flow_ID]]&amp;"_"&amp;"CC_"&amp;Tab_Data_Flows[[#This Row],[Flow_Data_Year]]</f>
        <v>F___CC_</v>
      </c>
      <c r="AG208" s="7" t="str">
        <f>IF(F208="Yes",AE208*Tab_Data_Flows[[#This Row],[Flow_Material]]*Tab_Data_Flows[[#This Row],[DM_'[%']]],"N.A.")</f>
        <v>N.A.</v>
      </c>
      <c r="AH208" s="7" t="str">
        <f>Tab_Data_Flows[[#This Row],[UoM_Flow_Py]]</f>
        <v>Mg</v>
      </c>
      <c r="AI208"/>
    </row>
    <row r="209" spans="1:35" x14ac:dyDescent="0.25">
      <c r="A209" s="9">
        <f t="shared" si="7"/>
        <v>208</v>
      </c>
      <c r="B209" s="7" t="str">
        <f>_xlfn.XLOOKUP(C209,Tab_Def_Flows[Flow_Name],Tab_Def_Flows[Flow_ID],,0,)</f>
        <v>F__</v>
      </c>
      <c r="C209" s="8" t="s">
        <v>31</v>
      </c>
      <c r="D209" s="10">
        <f>_xlfn.XLOOKUP(C209,Tab_Def_Flows[Flow_Name],Tab_Def_Flows[WC?],,0,)</f>
        <v>0</v>
      </c>
      <c r="E209" s="10">
        <f>_xlfn.XLOOKUP(C209,Tab_Def_Flows[Flow_Name],Tab_Def_Flows[DM?],,0,)</f>
        <v>0</v>
      </c>
      <c r="F209" s="10">
        <f>_xlfn.XLOOKUP(C209,Tab_Def_Flows[Flow_Name],Tab_Def_Flows[CC?],,0,)</f>
        <v>0</v>
      </c>
      <c r="G209" s="8"/>
      <c r="H209" s="28"/>
      <c r="I209" s="8"/>
      <c r="J209" s="8"/>
      <c r="K209" s="8"/>
      <c r="L209" s="8"/>
      <c r="M209" s="8"/>
      <c r="N209" s="8"/>
      <c r="O209" s="8"/>
      <c r="P209" s="8"/>
      <c r="Q209" s="8" t="s">
        <v>8</v>
      </c>
      <c r="R209" s="21"/>
      <c r="S209" s="8"/>
      <c r="T209" s="7" t="str">
        <f>Tab_Data_Flows[[#This Row],[Flow_ID]]&amp;"_"&amp;"material_"&amp;Tab_Data_Flows[[#This Row],[Flow_Data_Year]]</f>
        <v>F___material_</v>
      </c>
      <c r="U209" s="18">
        <f t="shared" si="8"/>
        <v>0</v>
      </c>
      <c r="V209" s="8" t="s">
        <v>218</v>
      </c>
      <c r="W209" s="156">
        <f>INDEX(Tab_Def_Flows[[Flow_ID]:[CC_DM_source]],MATCH(Tab_Data_Flows[[#This Row],[Flow_Name]],Tab_Def_Flows[Flow_Name],0),11)</f>
        <v>0</v>
      </c>
      <c r="X209" s="7" t="str">
        <f>Tab_Data_Flows[[#This Row],[Flow_ID]]&amp;"_"&amp;"WC_"&amp;Tab_Data_Flows[[#This Row],[Flow_Data_Year]]</f>
        <v>F___WC_</v>
      </c>
      <c r="Y209" s="7" t="str">
        <f>IF(D209="Yes",U209*Tab_Data_Flows[[#This Row],[WC_'[%']]],"N.A.")</f>
        <v>N.A.</v>
      </c>
      <c r="Z209" s="7" t="str">
        <f>Tab_Data_Flows[[#This Row],[UoM_Flow_Py]]</f>
        <v>Mg</v>
      </c>
      <c r="AA209" s="156">
        <f>INDEX(Tab_Def_Flows[[Flow_ID]:[CC_DM_source]],MATCH(Tab_Data_Flows[[#This Row],[Flow_Name]],Tab_Def_Flows[Flow_Name],0),14)</f>
        <v>0</v>
      </c>
      <c r="AB209" s="7" t="str">
        <f>Tab_Data_Flows[[#This Row],[Flow_ID]]&amp;"_"&amp;"DM_"&amp;Tab_Data_Flows[[#This Row],[Flow_Data_Year]]</f>
        <v>F___DM_</v>
      </c>
      <c r="AC209" s="7" t="str">
        <f>IF(E209="Yes",AA209*Tab_Data_Flows[[#This Row],[Flow_Material]],"N.A.")</f>
        <v>N.A.</v>
      </c>
      <c r="AD209" s="7" t="str">
        <f>Tab_Data_Flows[[#This Row],[UoM_Flow_Py]]</f>
        <v>Mg</v>
      </c>
      <c r="AE209" s="156">
        <f>INDEX(Tab_Def_Flows[[Flow_ID]:[CC_DM_source]],MATCH(Tab_Data_Flows[[#This Row],[Flow_Name]],Tab_Def_Flows[Flow_Name],0),17)</f>
        <v>0</v>
      </c>
      <c r="AF209" s="7" t="str">
        <f>Tab_Data_Flows[[#This Row],[Flow_ID]]&amp;"_"&amp;"CC_"&amp;Tab_Data_Flows[[#This Row],[Flow_Data_Year]]</f>
        <v>F___CC_</v>
      </c>
      <c r="AG209" s="7" t="str">
        <f>IF(F209="Yes",AE209*Tab_Data_Flows[[#This Row],[Flow_Material]]*Tab_Data_Flows[[#This Row],[DM_'[%']]],"N.A.")</f>
        <v>N.A.</v>
      </c>
      <c r="AH209" s="7" t="str">
        <f>Tab_Data_Flows[[#This Row],[UoM_Flow_Py]]</f>
        <v>Mg</v>
      </c>
      <c r="AI209"/>
    </row>
    <row r="210" spans="1:35" x14ac:dyDescent="0.25">
      <c r="A210" s="9">
        <f t="shared" si="7"/>
        <v>209</v>
      </c>
      <c r="B210" s="7" t="str">
        <f>_xlfn.XLOOKUP(C210,Tab_Def_Flows[Flow_Name],Tab_Def_Flows[Flow_ID],,0,)</f>
        <v>F__</v>
      </c>
      <c r="C210" s="8" t="s">
        <v>31</v>
      </c>
      <c r="D210" s="10">
        <f>_xlfn.XLOOKUP(C210,Tab_Def_Flows[Flow_Name],Tab_Def_Flows[WC?],,0,)</f>
        <v>0</v>
      </c>
      <c r="E210" s="10">
        <f>_xlfn.XLOOKUP(C210,Tab_Def_Flows[Flow_Name],Tab_Def_Flows[DM?],,0,)</f>
        <v>0</v>
      </c>
      <c r="F210" s="10">
        <f>_xlfn.XLOOKUP(C210,Tab_Def_Flows[Flow_Name],Tab_Def_Flows[CC?],,0,)</f>
        <v>0</v>
      </c>
      <c r="G210" s="8"/>
      <c r="H210" s="28"/>
      <c r="I210" s="8"/>
      <c r="J210" s="8"/>
      <c r="K210" s="8"/>
      <c r="L210" s="8"/>
      <c r="M210" s="8"/>
      <c r="N210" s="8"/>
      <c r="O210" s="8"/>
      <c r="P210" s="8"/>
      <c r="Q210" s="8" t="s">
        <v>8</v>
      </c>
      <c r="R210" s="21"/>
      <c r="S210" s="8"/>
      <c r="T210" s="7" t="str">
        <f>Tab_Data_Flows[[#This Row],[Flow_ID]]&amp;"_"&amp;"material_"&amp;Tab_Data_Flows[[#This Row],[Flow_Data_Year]]</f>
        <v>F___material_</v>
      </c>
      <c r="U210" s="18">
        <f t="shared" si="8"/>
        <v>0</v>
      </c>
      <c r="V210" s="8" t="s">
        <v>218</v>
      </c>
      <c r="W210" s="156">
        <f>INDEX(Tab_Def_Flows[[Flow_ID]:[CC_DM_source]],MATCH(Tab_Data_Flows[[#This Row],[Flow_Name]],Tab_Def_Flows[Flow_Name],0),11)</f>
        <v>0</v>
      </c>
      <c r="X210" s="7" t="str">
        <f>Tab_Data_Flows[[#This Row],[Flow_ID]]&amp;"_"&amp;"WC_"&amp;Tab_Data_Flows[[#This Row],[Flow_Data_Year]]</f>
        <v>F___WC_</v>
      </c>
      <c r="Y210" s="7" t="str">
        <f>IF(D210="Yes",U210*Tab_Data_Flows[[#This Row],[WC_'[%']]],"N.A.")</f>
        <v>N.A.</v>
      </c>
      <c r="Z210" s="7" t="str">
        <f>Tab_Data_Flows[[#This Row],[UoM_Flow_Py]]</f>
        <v>Mg</v>
      </c>
      <c r="AA210" s="156">
        <f>INDEX(Tab_Def_Flows[[Flow_ID]:[CC_DM_source]],MATCH(Tab_Data_Flows[[#This Row],[Flow_Name]],Tab_Def_Flows[Flow_Name],0),14)</f>
        <v>0</v>
      </c>
      <c r="AB210" s="7" t="str">
        <f>Tab_Data_Flows[[#This Row],[Flow_ID]]&amp;"_"&amp;"DM_"&amp;Tab_Data_Flows[[#This Row],[Flow_Data_Year]]</f>
        <v>F___DM_</v>
      </c>
      <c r="AC210" s="7" t="str">
        <f>IF(E210="Yes",AA210*Tab_Data_Flows[[#This Row],[Flow_Material]],"N.A.")</f>
        <v>N.A.</v>
      </c>
      <c r="AD210" s="7" t="str">
        <f>Tab_Data_Flows[[#This Row],[UoM_Flow_Py]]</f>
        <v>Mg</v>
      </c>
      <c r="AE210" s="156">
        <f>INDEX(Tab_Def_Flows[[Flow_ID]:[CC_DM_source]],MATCH(Tab_Data_Flows[[#This Row],[Flow_Name]],Tab_Def_Flows[Flow_Name],0),17)</f>
        <v>0</v>
      </c>
      <c r="AF210" s="7" t="str">
        <f>Tab_Data_Flows[[#This Row],[Flow_ID]]&amp;"_"&amp;"CC_"&amp;Tab_Data_Flows[[#This Row],[Flow_Data_Year]]</f>
        <v>F___CC_</v>
      </c>
      <c r="AG210" s="7" t="str">
        <f>IF(F210="Yes",AE210*Tab_Data_Flows[[#This Row],[Flow_Material]]*Tab_Data_Flows[[#This Row],[DM_'[%']]],"N.A.")</f>
        <v>N.A.</v>
      </c>
      <c r="AH210" s="7" t="str">
        <f>Tab_Data_Flows[[#This Row],[UoM_Flow_Py]]</f>
        <v>Mg</v>
      </c>
      <c r="AI210"/>
    </row>
    <row r="211" spans="1:35" x14ac:dyDescent="0.25">
      <c r="A211" s="9">
        <f t="shared" si="7"/>
        <v>210</v>
      </c>
      <c r="B211" s="7" t="str">
        <f>_xlfn.XLOOKUP(C211,Tab_Def_Flows[Flow_Name],Tab_Def_Flows[Flow_ID],,0,)</f>
        <v>F__</v>
      </c>
      <c r="C211" s="8" t="s">
        <v>31</v>
      </c>
      <c r="D211" s="10">
        <f>_xlfn.XLOOKUP(C211,Tab_Def_Flows[Flow_Name],Tab_Def_Flows[WC?],,0,)</f>
        <v>0</v>
      </c>
      <c r="E211" s="10">
        <f>_xlfn.XLOOKUP(C211,Tab_Def_Flows[Flow_Name],Tab_Def_Flows[DM?],,0,)</f>
        <v>0</v>
      </c>
      <c r="F211" s="10">
        <f>_xlfn.XLOOKUP(C211,Tab_Def_Flows[Flow_Name],Tab_Def_Flows[CC?],,0,)</f>
        <v>0</v>
      </c>
      <c r="G211" s="8"/>
      <c r="H211" s="28"/>
      <c r="I211" s="8"/>
      <c r="J211" s="8"/>
      <c r="K211" s="8"/>
      <c r="L211" s="8"/>
      <c r="M211" s="8"/>
      <c r="N211" s="8"/>
      <c r="O211" s="8"/>
      <c r="P211" s="8"/>
      <c r="Q211" s="8" t="s">
        <v>8</v>
      </c>
      <c r="R211" s="21"/>
      <c r="S211" s="8"/>
      <c r="T211" s="7" t="str">
        <f>Tab_Data_Flows[[#This Row],[Flow_ID]]&amp;"_"&amp;"material_"&amp;Tab_Data_Flows[[#This Row],[Flow_Data_Year]]</f>
        <v>F___material_</v>
      </c>
      <c r="U211" s="18">
        <f t="shared" si="8"/>
        <v>0</v>
      </c>
      <c r="V211" s="8" t="s">
        <v>218</v>
      </c>
      <c r="W211" s="156">
        <f>INDEX(Tab_Def_Flows[[Flow_ID]:[CC_DM_source]],MATCH(Tab_Data_Flows[[#This Row],[Flow_Name]],Tab_Def_Flows[Flow_Name],0),11)</f>
        <v>0</v>
      </c>
      <c r="X211" s="7" t="str">
        <f>Tab_Data_Flows[[#This Row],[Flow_ID]]&amp;"_"&amp;"WC_"&amp;Tab_Data_Flows[[#This Row],[Flow_Data_Year]]</f>
        <v>F___WC_</v>
      </c>
      <c r="Y211" s="7" t="str">
        <f>IF(D211="Yes",U211*Tab_Data_Flows[[#This Row],[WC_'[%']]],"N.A.")</f>
        <v>N.A.</v>
      </c>
      <c r="Z211" s="7" t="str">
        <f>Tab_Data_Flows[[#This Row],[UoM_Flow_Py]]</f>
        <v>Mg</v>
      </c>
      <c r="AA211" s="156">
        <f>INDEX(Tab_Def_Flows[[Flow_ID]:[CC_DM_source]],MATCH(Tab_Data_Flows[[#This Row],[Flow_Name]],Tab_Def_Flows[Flow_Name],0),14)</f>
        <v>0</v>
      </c>
      <c r="AB211" s="7" t="str">
        <f>Tab_Data_Flows[[#This Row],[Flow_ID]]&amp;"_"&amp;"DM_"&amp;Tab_Data_Flows[[#This Row],[Flow_Data_Year]]</f>
        <v>F___DM_</v>
      </c>
      <c r="AC211" s="7" t="str">
        <f>IF(E211="Yes",AA211*Tab_Data_Flows[[#This Row],[Flow_Material]],"N.A.")</f>
        <v>N.A.</v>
      </c>
      <c r="AD211" s="7" t="str">
        <f>Tab_Data_Flows[[#This Row],[UoM_Flow_Py]]</f>
        <v>Mg</v>
      </c>
      <c r="AE211" s="156">
        <f>INDEX(Tab_Def_Flows[[Flow_ID]:[CC_DM_source]],MATCH(Tab_Data_Flows[[#This Row],[Flow_Name]],Tab_Def_Flows[Flow_Name],0),17)</f>
        <v>0</v>
      </c>
      <c r="AF211" s="7" t="str">
        <f>Tab_Data_Flows[[#This Row],[Flow_ID]]&amp;"_"&amp;"CC_"&amp;Tab_Data_Flows[[#This Row],[Flow_Data_Year]]</f>
        <v>F___CC_</v>
      </c>
      <c r="AG211" s="7" t="str">
        <f>IF(F211="Yes",AE211*Tab_Data_Flows[[#This Row],[Flow_Material]]*Tab_Data_Flows[[#This Row],[DM_'[%']]],"N.A.")</f>
        <v>N.A.</v>
      </c>
      <c r="AH211" s="7" t="str">
        <f>Tab_Data_Flows[[#This Row],[UoM_Flow_Py]]</f>
        <v>Mg</v>
      </c>
      <c r="AI211"/>
    </row>
    <row r="212" spans="1:35" x14ac:dyDescent="0.25">
      <c r="A212" s="9">
        <f t="shared" si="7"/>
        <v>211</v>
      </c>
      <c r="B212" s="7" t="str">
        <f>_xlfn.XLOOKUP(C212,Tab_Def_Flows[Flow_Name],Tab_Def_Flows[Flow_ID],,0,)</f>
        <v>F__</v>
      </c>
      <c r="C212" s="8" t="s">
        <v>31</v>
      </c>
      <c r="D212" s="10">
        <f>_xlfn.XLOOKUP(C212,Tab_Def_Flows[Flow_Name],Tab_Def_Flows[WC?],,0,)</f>
        <v>0</v>
      </c>
      <c r="E212" s="10">
        <f>_xlfn.XLOOKUP(C212,Tab_Def_Flows[Flow_Name],Tab_Def_Flows[DM?],,0,)</f>
        <v>0</v>
      </c>
      <c r="F212" s="10">
        <f>_xlfn.XLOOKUP(C212,Tab_Def_Flows[Flow_Name],Tab_Def_Flows[CC?],,0,)</f>
        <v>0</v>
      </c>
      <c r="G212" s="8"/>
      <c r="H212" s="28"/>
      <c r="I212" s="8"/>
      <c r="J212" s="8"/>
      <c r="K212" s="8"/>
      <c r="L212" s="8"/>
      <c r="M212" s="8"/>
      <c r="N212" s="8"/>
      <c r="O212" s="8"/>
      <c r="P212" s="8"/>
      <c r="Q212" s="8" t="s">
        <v>8</v>
      </c>
      <c r="R212" s="21"/>
      <c r="S212" s="8"/>
      <c r="T212" s="7" t="str">
        <f>Tab_Data_Flows[[#This Row],[Flow_ID]]&amp;"_"&amp;"material_"&amp;Tab_Data_Flows[[#This Row],[Flow_Data_Year]]</f>
        <v>F___material_</v>
      </c>
      <c r="U212" s="18">
        <f t="shared" si="8"/>
        <v>0</v>
      </c>
      <c r="V212" s="8" t="s">
        <v>218</v>
      </c>
      <c r="W212" s="156">
        <f>INDEX(Tab_Def_Flows[[Flow_ID]:[CC_DM_source]],MATCH(Tab_Data_Flows[[#This Row],[Flow_Name]],Tab_Def_Flows[Flow_Name],0),11)</f>
        <v>0</v>
      </c>
      <c r="X212" s="7" t="str">
        <f>Tab_Data_Flows[[#This Row],[Flow_ID]]&amp;"_"&amp;"WC_"&amp;Tab_Data_Flows[[#This Row],[Flow_Data_Year]]</f>
        <v>F___WC_</v>
      </c>
      <c r="Y212" s="7" t="str">
        <f>IF(D212="Yes",U212*Tab_Data_Flows[[#This Row],[WC_'[%']]],"N.A.")</f>
        <v>N.A.</v>
      </c>
      <c r="Z212" s="7" t="str">
        <f>Tab_Data_Flows[[#This Row],[UoM_Flow_Py]]</f>
        <v>Mg</v>
      </c>
      <c r="AA212" s="156">
        <f>INDEX(Tab_Def_Flows[[Flow_ID]:[CC_DM_source]],MATCH(Tab_Data_Flows[[#This Row],[Flow_Name]],Tab_Def_Flows[Flow_Name],0),14)</f>
        <v>0</v>
      </c>
      <c r="AB212" s="7" t="str">
        <f>Tab_Data_Flows[[#This Row],[Flow_ID]]&amp;"_"&amp;"DM_"&amp;Tab_Data_Flows[[#This Row],[Flow_Data_Year]]</f>
        <v>F___DM_</v>
      </c>
      <c r="AC212" s="7" t="str">
        <f>IF(E212="Yes",AA212*Tab_Data_Flows[[#This Row],[Flow_Material]],"N.A.")</f>
        <v>N.A.</v>
      </c>
      <c r="AD212" s="7" t="str">
        <f>Tab_Data_Flows[[#This Row],[UoM_Flow_Py]]</f>
        <v>Mg</v>
      </c>
      <c r="AE212" s="156">
        <f>INDEX(Tab_Def_Flows[[Flow_ID]:[CC_DM_source]],MATCH(Tab_Data_Flows[[#This Row],[Flow_Name]],Tab_Def_Flows[Flow_Name],0),17)</f>
        <v>0</v>
      </c>
      <c r="AF212" s="7" t="str">
        <f>Tab_Data_Flows[[#This Row],[Flow_ID]]&amp;"_"&amp;"CC_"&amp;Tab_Data_Flows[[#This Row],[Flow_Data_Year]]</f>
        <v>F___CC_</v>
      </c>
      <c r="AG212" s="7" t="str">
        <f>IF(F212="Yes",AE212*Tab_Data_Flows[[#This Row],[Flow_Material]]*Tab_Data_Flows[[#This Row],[DM_'[%']]],"N.A.")</f>
        <v>N.A.</v>
      </c>
      <c r="AH212" s="7" t="str">
        <f>Tab_Data_Flows[[#This Row],[UoM_Flow_Py]]</f>
        <v>Mg</v>
      </c>
      <c r="AI212"/>
    </row>
    <row r="213" spans="1:35" x14ac:dyDescent="0.25">
      <c r="A213" s="9">
        <f t="shared" si="7"/>
        <v>212</v>
      </c>
      <c r="B213" s="7" t="str">
        <f>_xlfn.XLOOKUP(C213,Tab_Def_Flows[Flow_Name],Tab_Def_Flows[Flow_ID],,0,)</f>
        <v>F__</v>
      </c>
      <c r="C213" s="8" t="s">
        <v>31</v>
      </c>
      <c r="D213" s="10">
        <f>_xlfn.XLOOKUP(C213,Tab_Def_Flows[Flow_Name],Tab_Def_Flows[WC?],,0,)</f>
        <v>0</v>
      </c>
      <c r="E213" s="10">
        <f>_xlfn.XLOOKUP(C213,Tab_Def_Flows[Flow_Name],Tab_Def_Flows[DM?],,0,)</f>
        <v>0</v>
      </c>
      <c r="F213" s="10">
        <f>_xlfn.XLOOKUP(C213,Tab_Def_Flows[Flow_Name],Tab_Def_Flows[CC?],,0,)</f>
        <v>0</v>
      </c>
      <c r="G213" s="8"/>
      <c r="H213" s="28"/>
      <c r="I213" s="8"/>
      <c r="J213" s="8"/>
      <c r="K213" s="8"/>
      <c r="L213" s="8"/>
      <c r="M213" s="8"/>
      <c r="N213" s="8"/>
      <c r="O213" s="8"/>
      <c r="P213" s="8"/>
      <c r="Q213" s="8" t="s">
        <v>8</v>
      </c>
      <c r="R213" s="21"/>
      <c r="S213" s="8"/>
      <c r="T213" s="7" t="str">
        <f>Tab_Data_Flows[[#This Row],[Flow_ID]]&amp;"_"&amp;"material_"&amp;Tab_Data_Flows[[#This Row],[Flow_Data_Year]]</f>
        <v>F___material_</v>
      </c>
      <c r="U213" s="18">
        <f t="shared" si="8"/>
        <v>0</v>
      </c>
      <c r="V213" s="8" t="s">
        <v>218</v>
      </c>
      <c r="W213" s="156">
        <f>INDEX(Tab_Def_Flows[[Flow_ID]:[CC_DM_source]],MATCH(Tab_Data_Flows[[#This Row],[Flow_Name]],Tab_Def_Flows[Flow_Name],0),11)</f>
        <v>0</v>
      </c>
      <c r="X213" s="7" t="str">
        <f>Tab_Data_Flows[[#This Row],[Flow_ID]]&amp;"_"&amp;"WC_"&amp;Tab_Data_Flows[[#This Row],[Flow_Data_Year]]</f>
        <v>F___WC_</v>
      </c>
      <c r="Y213" s="7" t="str">
        <f>IF(D213="Yes",U213*Tab_Data_Flows[[#This Row],[WC_'[%']]],"N.A.")</f>
        <v>N.A.</v>
      </c>
      <c r="Z213" s="7" t="str">
        <f>Tab_Data_Flows[[#This Row],[UoM_Flow_Py]]</f>
        <v>Mg</v>
      </c>
      <c r="AA213" s="156">
        <f>INDEX(Tab_Def_Flows[[Flow_ID]:[CC_DM_source]],MATCH(Tab_Data_Flows[[#This Row],[Flow_Name]],Tab_Def_Flows[Flow_Name],0),14)</f>
        <v>0</v>
      </c>
      <c r="AB213" s="7" t="str">
        <f>Tab_Data_Flows[[#This Row],[Flow_ID]]&amp;"_"&amp;"DM_"&amp;Tab_Data_Flows[[#This Row],[Flow_Data_Year]]</f>
        <v>F___DM_</v>
      </c>
      <c r="AC213" s="7" t="str">
        <f>IF(E213="Yes",AA213*Tab_Data_Flows[[#This Row],[Flow_Material]],"N.A.")</f>
        <v>N.A.</v>
      </c>
      <c r="AD213" s="7" t="str">
        <f>Tab_Data_Flows[[#This Row],[UoM_Flow_Py]]</f>
        <v>Mg</v>
      </c>
      <c r="AE213" s="156">
        <f>INDEX(Tab_Def_Flows[[Flow_ID]:[CC_DM_source]],MATCH(Tab_Data_Flows[[#This Row],[Flow_Name]],Tab_Def_Flows[Flow_Name],0),17)</f>
        <v>0</v>
      </c>
      <c r="AF213" s="7" t="str">
        <f>Tab_Data_Flows[[#This Row],[Flow_ID]]&amp;"_"&amp;"CC_"&amp;Tab_Data_Flows[[#This Row],[Flow_Data_Year]]</f>
        <v>F___CC_</v>
      </c>
      <c r="AG213" s="7" t="str">
        <f>IF(F213="Yes",AE213*Tab_Data_Flows[[#This Row],[Flow_Material]]*Tab_Data_Flows[[#This Row],[DM_'[%']]],"N.A.")</f>
        <v>N.A.</v>
      </c>
      <c r="AH213" s="7" t="str">
        <f>Tab_Data_Flows[[#This Row],[UoM_Flow_Py]]</f>
        <v>Mg</v>
      </c>
      <c r="AI213"/>
    </row>
    <row r="214" spans="1:35" x14ac:dyDescent="0.25">
      <c r="A214" s="9">
        <f t="shared" si="7"/>
        <v>213</v>
      </c>
      <c r="B214" s="7" t="str">
        <f>_xlfn.XLOOKUP(C214,Tab_Def_Flows[Flow_Name],Tab_Def_Flows[Flow_ID],,0,)</f>
        <v>F__</v>
      </c>
      <c r="C214" s="8" t="s">
        <v>31</v>
      </c>
      <c r="D214" s="10">
        <f>_xlfn.XLOOKUP(C214,Tab_Def_Flows[Flow_Name],Tab_Def_Flows[WC?],,0,)</f>
        <v>0</v>
      </c>
      <c r="E214" s="10">
        <f>_xlfn.XLOOKUP(C214,Tab_Def_Flows[Flow_Name],Tab_Def_Flows[DM?],,0,)</f>
        <v>0</v>
      </c>
      <c r="F214" s="10">
        <f>_xlfn.XLOOKUP(C214,Tab_Def_Flows[Flow_Name],Tab_Def_Flows[CC?],,0,)</f>
        <v>0</v>
      </c>
      <c r="G214" s="8"/>
      <c r="H214" s="28"/>
      <c r="I214" s="8"/>
      <c r="J214" s="8"/>
      <c r="K214" s="8"/>
      <c r="L214" s="8"/>
      <c r="M214" s="8"/>
      <c r="N214" s="8"/>
      <c r="O214" s="8"/>
      <c r="P214" s="8"/>
      <c r="Q214" s="8" t="s">
        <v>8</v>
      </c>
      <c r="R214" s="21"/>
      <c r="S214" s="8"/>
      <c r="T214" s="7" t="str">
        <f>Tab_Data_Flows[[#This Row],[Flow_ID]]&amp;"_"&amp;"material_"&amp;Tab_Data_Flows[[#This Row],[Flow_Data_Year]]</f>
        <v>F___material_</v>
      </c>
      <c r="U214" s="18">
        <f t="shared" si="8"/>
        <v>0</v>
      </c>
      <c r="V214" s="8" t="s">
        <v>218</v>
      </c>
      <c r="W214" s="156">
        <f>INDEX(Tab_Def_Flows[[Flow_ID]:[CC_DM_source]],MATCH(Tab_Data_Flows[[#This Row],[Flow_Name]],Tab_Def_Flows[Flow_Name],0),11)</f>
        <v>0</v>
      </c>
      <c r="X214" s="7" t="str">
        <f>Tab_Data_Flows[[#This Row],[Flow_ID]]&amp;"_"&amp;"WC_"&amp;Tab_Data_Flows[[#This Row],[Flow_Data_Year]]</f>
        <v>F___WC_</v>
      </c>
      <c r="Y214" s="7" t="str">
        <f>IF(D214="Yes",U214*Tab_Data_Flows[[#This Row],[WC_'[%']]],"N.A.")</f>
        <v>N.A.</v>
      </c>
      <c r="Z214" s="7" t="str">
        <f>Tab_Data_Flows[[#This Row],[UoM_Flow_Py]]</f>
        <v>Mg</v>
      </c>
      <c r="AA214" s="156">
        <f>INDEX(Tab_Def_Flows[[Flow_ID]:[CC_DM_source]],MATCH(Tab_Data_Flows[[#This Row],[Flow_Name]],Tab_Def_Flows[Flow_Name],0),14)</f>
        <v>0</v>
      </c>
      <c r="AB214" s="7" t="str">
        <f>Tab_Data_Flows[[#This Row],[Flow_ID]]&amp;"_"&amp;"DM_"&amp;Tab_Data_Flows[[#This Row],[Flow_Data_Year]]</f>
        <v>F___DM_</v>
      </c>
      <c r="AC214" s="7" t="str">
        <f>IF(E214="Yes",AA214*Tab_Data_Flows[[#This Row],[Flow_Material]],"N.A.")</f>
        <v>N.A.</v>
      </c>
      <c r="AD214" s="7" t="str">
        <f>Tab_Data_Flows[[#This Row],[UoM_Flow_Py]]</f>
        <v>Mg</v>
      </c>
      <c r="AE214" s="156">
        <f>INDEX(Tab_Def_Flows[[Flow_ID]:[CC_DM_source]],MATCH(Tab_Data_Flows[[#This Row],[Flow_Name]],Tab_Def_Flows[Flow_Name],0),17)</f>
        <v>0</v>
      </c>
      <c r="AF214" s="7" t="str">
        <f>Tab_Data_Flows[[#This Row],[Flow_ID]]&amp;"_"&amp;"CC_"&amp;Tab_Data_Flows[[#This Row],[Flow_Data_Year]]</f>
        <v>F___CC_</v>
      </c>
      <c r="AG214" s="7" t="str">
        <f>IF(F214="Yes",AE214*Tab_Data_Flows[[#This Row],[Flow_Material]]*Tab_Data_Flows[[#This Row],[DM_'[%']]],"N.A.")</f>
        <v>N.A.</v>
      </c>
      <c r="AH214" s="7" t="str">
        <f>Tab_Data_Flows[[#This Row],[UoM_Flow_Py]]</f>
        <v>Mg</v>
      </c>
      <c r="AI214"/>
    </row>
    <row r="215" spans="1:35" x14ac:dyDescent="0.25">
      <c r="A215" s="9">
        <f t="shared" si="7"/>
        <v>214</v>
      </c>
      <c r="B215" s="7" t="str">
        <f>_xlfn.XLOOKUP(C215,Tab_Def_Flows[Flow_Name],Tab_Def_Flows[Flow_ID],,0,)</f>
        <v>F__</v>
      </c>
      <c r="C215" s="8" t="s">
        <v>31</v>
      </c>
      <c r="D215" s="10">
        <f>_xlfn.XLOOKUP(C215,Tab_Def_Flows[Flow_Name],Tab_Def_Flows[WC?],,0,)</f>
        <v>0</v>
      </c>
      <c r="E215" s="10">
        <f>_xlfn.XLOOKUP(C215,Tab_Def_Flows[Flow_Name],Tab_Def_Flows[DM?],,0,)</f>
        <v>0</v>
      </c>
      <c r="F215" s="10">
        <f>_xlfn.XLOOKUP(C215,Tab_Def_Flows[Flow_Name],Tab_Def_Flows[CC?],,0,)</f>
        <v>0</v>
      </c>
      <c r="G215" s="8"/>
      <c r="H215" s="28"/>
      <c r="I215" s="8"/>
      <c r="J215" s="8"/>
      <c r="K215" s="8"/>
      <c r="L215" s="8"/>
      <c r="M215" s="8"/>
      <c r="N215" s="8"/>
      <c r="O215" s="8"/>
      <c r="P215" s="8"/>
      <c r="Q215" s="8" t="s">
        <v>8</v>
      </c>
      <c r="R215" s="21"/>
      <c r="S215" s="8"/>
      <c r="T215" s="7" t="str">
        <f>Tab_Data_Flows[[#This Row],[Flow_ID]]&amp;"_"&amp;"material_"&amp;Tab_Data_Flows[[#This Row],[Flow_Data_Year]]</f>
        <v>F___material_</v>
      </c>
      <c r="U215" s="18">
        <f t="shared" si="8"/>
        <v>0</v>
      </c>
      <c r="V215" s="8" t="s">
        <v>218</v>
      </c>
      <c r="W215" s="156">
        <f>INDEX(Tab_Def_Flows[[Flow_ID]:[CC_DM_source]],MATCH(Tab_Data_Flows[[#This Row],[Flow_Name]],Tab_Def_Flows[Flow_Name],0),11)</f>
        <v>0</v>
      </c>
      <c r="X215" s="7" t="str">
        <f>Tab_Data_Flows[[#This Row],[Flow_ID]]&amp;"_"&amp;"WC_"&amp;Tab_Data_Flows[[#This Row],[Flow_Data_Year]]</f>
        <v>F___WC_</v>
      </c>
      <c r="Y215" s="7" t="str">
        <f>IF(D215="Yes",U215*Tab_Data_Flows[[#This Row],[WC_'[%']]],"N.A.")</f>
        <v>N.A.</v>
      </c>
      <c r="Z215" s="7" t="str">
        <f>Tab_Data_Flows[[#This Row],[UoM_Flow_Py]]</f>
        <v>Mg</v>
      </c>
      <c r="AA215" s="156">
        <f>INDEX(Tab_Def_Flows[[Flow_ID]:[CC_DM_source]],MATCH(Tab_Data_Flows[[#This Row],[Flow_Name]],Tab_Def_Flows[Flow_Name],0),14)</f>
        <v>0</v>
      </c>
      <c r="AB215" s="7" t="str">
        <f>Tab_Data_Flows[[#This Row],[Flow_ID]]&amp;"_"&amp;"DM_"&amp;Tab_Data_Flows[[#This Row],[Flow_Data_Year]]</f>
        <v>F___DM_</v>
      </c>
      <c r="AC215" s="7" t="str">
        <f>IF(E215="Yes",AA215*Tab_Data_Flows[[#This Row],[Flow_Material]],"N.A.")</f>
        <v>N.A.</v>
      </c>
      <c r="AD215" s="7" t="str">
        <f>Tab_Data_Flows[[#This Row],[UoM_Flow_Py]]</f>
        <v>Mg</v>
      </c>
      <c r="AE215" s="156">
        <f>INDEX(Tab_Def_Flows[[Flow_ID]:[CC_DM_source]],MATCH(Tab_Data_Flows[[#This Row],[Flow_Name]],Tab_Def_Flows[Flow_Name],0),17)</f>
        <v>0</v>
      </c>
      <c r="AF215" s="7" t="str">
        <f>Tab_Data_Flows[[#This Row],[Flow_ID]]&amp;"_"&amp;"CC_"&amp;Tab_Data_Flows[[#This Row],[Flow_Data_Year]]</f>
        <v>F___CC_</v>
      </c>
      <c r="AG215" s="7" t="str">
        <f>IF(F215="Yes",AE215*Tab_Data_Flows[[#This Row],[Flow_Material]]*Tab_Data_Flows[[#This Row],[DM_'[%']]],"N.A.")</f>
        <v>N.A.</v>
      </c>
      <c r="AH215" s="7" t="str">
        <f>Tab_Data_Flows[[#This Row],[UoM_Flow_Py]]</f>
        <v>Mg</v>
      </c>
      <c r="AI215"/>
    </row>
    <row r="216" spans="1:35" x14ac:dyDescent="0.25">
      <c r="A216" s="9">
        <f t="shared" si="7"/>
        <v>215</v>
      </c>
      <c r="B216" s="7" t="str">
        <f>_xlfn.XLOOKUP(C216,Tab_Def_Flows[Flow_Name],Tab_Def_Flows[Flow_ID],,0,)</f>
        <v>F__</v>
      </c>
      <c r="C216" s="8" t="s">
        <v>31</v>
      </c>
      <c r="D216" s="10">
        <f>_xlfn.XLOOKUP(C216,Tab_Def_Flows[Flow_Name],Tab_Def_Flows[WC?],,0,)</f>
        <v>0</v>
      </c>
      <c r="E216" s="10">
        <f>_xlfn.XLOOKUP(C216,Tab_Def_Flows[Flow_Name],Tab_Def_Flows[DM?],,0,)</f>
        <v>0</v>
      </c>
      <c r="F216" s="10">
        <f>_xlfn.XLOOKUP(C216,Tab_Def_Flows[Flow_Name],Tab_Def_Flows[CC?],,0,)</f>
        <v>0</v>
      </c>
      <c r="G216" s="8"/>
      <c r="H216" s="28"/>
      <c r="I216" s="8"/>
      <c r="J216" s="8"/>
      <c r="K216" s="8"/>
      <c r="L216" s="8"/>
      <c r="M216" s="8"/>
      <c r="N216" s="8"/>
      <c r="O216" s="8"/>
      <c r="P216" s="8"/>
      <c r="Q216" s="8" t="s">
        <v>8</v>
      </c>
      <c r="R216" s="21"/>
      <c r="S216" s="8"/>
      <c r="T216" s="7" t="str">
        <f>Tab_Data_Flows[[#This Row],[Flow_ID]]&amp;"_"&amp;"material_"&amp;Tab_Data_Flows[[#This Row],[Flow_Data_Year]]</f>
        <v>F___material_</v>
      </c>
      <c r="U216" s="18">
        <f t="shared" si="8"/>
        <v>0</v>
      </c>
      <c r="V216" s="8" t="s">
        <v>218</v>
      </c>
      <c r="W216" s="156">
        <f>INDEX(Tab_Def_Flows[[Flow_ID]:[CC_DM_source]],MATCH(Tab_Data_Flows[[#This Row],[Flow_Name]],Tab_Def_Flows[Flow_Name],0),11)</f>
        <v>0</v>
      </c>
      <c r="X216" s="7" t="str">
        <f>Tab_Data_Flows[[#This Row],[Flow_ID]]&amp;"_"&amp;"WC_"&amp;Tab_Data_Flows[[#This Row],[Flow_Data_Year]]</f>
        <v>F___WC_</v>
      </c>
      <c r="Y216" s="7" t="str">
        <f>IF(D216="Yes",U216*Tab_Data_Flows[[#This Row],[WC_'[%']]],"N.A.")</f>
        <v>N.A.</v>
      </c>
      <c r="Z216" s="7" t="str">
        <f>Tab_Data_Flows[[#This Row],[UoM_Flow_Py]]</f>
        <v>Mg</v>
      </c>
      <c r="AA216" s="156">
        <f>INDEX(Tab_Def_Flows[[Flow_ID]:[CC_DM_source]],MATCH(Tab_Data_Flows[[#This Row],[Flow_Name]],Tab_Def_Flows[Flow_Name],0),14)</f>
        <v>0</v>
      </c>
      <c r="AB216" s="7" t="str">
        <f>Tab_Data_Flows[[#This Row],[Flow_ID]]&amp;"_"&amp;"DM_"&amp;Tab_Data_Flows[[#This Row],[Flow_Data_Year]]</f>
        <v>F___DM_</v>
      </c>
      <c r="AC216" s="7" t="str">
        <f>IF(E216="Yes",AA216*Tab_Data_Flows[[#This Row],[Flow_Material]],"N.A.")</f>
        <v>N.A.</v>
      </c>
      <c r="AD216" s="7" t="str">
        <f>Tab_Data_Flows[[#This Row],[UoM_Flow_Py]]</f>
        <v>Mg</v>
      </c>
      <c r="AE216" s="156">
        <f>INDEX(Tab_Def_Flows[[Flow_ID]:[CC_DM_source]],MATCH(Tab_Data_Flows[[#This Row],[Flow_Name]],Tab_Def_Flows[Flow_Name],0),17)</f>
        <v>0</v>
      </c>
      <c r="AF216" s="7" t="str">
        <f>Tab_Data_Flows[[#This Row],[Flow_ID]]&amp;"_"&amp;"CC_"&amp;Tab_Data_Flows[[#This Row],[Flow_Data_Year]]</f>
        <v>F___CC_</v>
      </c>
      <c r="AG216" s="7" t="str">
        <f>IF(F216="Yes",AE216*Tab_Data_Flows[[#This Row],[Flow_Material]]*Tab_Data_Flows[[#This Row],[DM_'[%']]],"N.A.")</f>
        <v>N.A.</v>
      </c>
      <c r="AH216" s="7" t="str">
        <f>Tab_Data_Flows[[#This Row],[UoM_Flow_Py]]</f>
        <v>Mg</v>
      </c>
      <c r="AI216"/>
    </row>
    <row r="217" spans="1:35" x14ac:dyDescent="0.25">
      <c r="A217" s="9">
        <f t="shared" si="7"/>
        <v>216</v>
      </c>
      <c r="B217" s="7" t="str">
        <f>_xlfn.XLOOKUP(C217,Tab_Def_Flows[Flow_Name],Tab_Def_Flows[Flow_ID],,0,)</f>
        <v>F__</v>
      </c>
      <c r="C217" s="8" t="s">
        <v>31</v>
      </c>
      <c r="D217" s="10">
        <f>_xlfn.XLOOKUP(C217,Tab_Def_Flows[Flow_Name],Tab_Def_Flows[WC?],,0,)</f>
        <v>0</v>
      </c>
      <c r="E217" s="10">
        <f>_xlfn.XLOOKUP(C217,Tab_Def_Flows[Flow_Name],Tab_Def_Flows[DM?],,0,)</f>
        <v>0</v>
      </c>
      <c r="F217" s="10">
        <f>_xlfn.XLOOKUP(C217,Tab_Def_Flows[Flow_Name],Tab_Def_Flows[CC?],,0,)</f>
        <v>0</v>
      </c>
      <c r="G217" s="8"/>
      <c r="H217" s="28"/>
      <c r="I217" s="8"/>
      <c r="J217" s="8"/>
      <c r="K217" s="8"/>
      <c r="L217" s="8"/>
      <c r="M217" s="8"/>
      <c r="N217" s="8"/>
      <c r="O217" s="8"/>
      <c r="P217" s="8"/>
      <c r="Q217" s="8" t="s">
        <v>8</v>
      </c>
      <c r="R217" s="21"/>
      <c r="S217" s="8"/>
      <c r="T217" s="7" t="str">
        <f>Tab_Data_Flows[[#This Row],[Flow_ID]]&amp;"_"&amp;"material_"&amp;Tab_Data_Flows[[#This Row],[Flow_Data_Year]]</f>
        <v>F___material_</v>
      </c>
      <c r="U217" s="18">
        <f t="shared" si="8"/>
        <v>0</v>
      </c>
      <c r="V217" s="8" t="s">
        <v>218</v>
      </c>
      <c r="W217" s="156">
        <f>INDEX(Tab_Def_Flows[[Flow_ID]:[CC_DM_source]],MATCH(Tab_Data_Flows[[#This Row],[Flow_Name]],Tab_Def_Flows[Flow_Name],0),11)</f>
        <v>0</v>
      </c>
      <c r="X217" s="7" t="str">
        <f>Tab_Data_Flows[[#This Row],[Flow_ID]]&amp;"_"&amp;"WC_"&amp;Tab_Data_Flows[[#This Row],[Flow_Data_Year]]</f>
        <v>F___WC_</v>
      </c>
      <c r="Y217" s="7" t="str">
        <f>IF(D217="Yes",U217*Tab_Data_Flows[[#This Row],[WC_'[%']]],"N.A.")</f>
        <v>N.A.</v>
      </c>
      <c r="Z217" s="7" t="str">
        <f>Tab_Data_Flows[[#This Row],[UoM_Flow_Py]]</f>
        <v>Mg</v>
      </c>
      <c r="AA217" s="156">
        <f>INDEX(Tab_Def_Flows[[Flow_ID]:[CC_DM_source]],MATCH(Tab_Data_Flows[[#This Row],[Flow_Name]],Tab_Def_Flows[Flow_Name],0),14)</f>
        <v>0</v>
      </c>
      <c r="AB217" s="7" t="str">
        <f>Tab_Data_Flows[[#This Row],[Flow_ID]]&amp;"_"&amp;"DM_"&amp;Tab_Data_Flows[[#This Row],[Flow_Data_Year]]</f>
        <v>F___DM_</v>
      </c>
      <c r="AC217" s="7" t="str">
        <f>IF(E217="Yes",AA217*Tab_Data_Flows[[#This Row],[Flow_Material]],"N.A.")</f>
        <v>N.A.</v>
      </c>
      <c r="AD217" s="7" t="str">
        <f>Tab_Data_Flows[[#This Row],[UoM_Flow_Py]]</f>
        <v>Mg</v>
      </c>
      <c r="AE217" s="156">
        <f>INDEX(Tab_Def_Flows[[Flow_ID]:[CC_DM_source]],MATCH(Tab_Data_Flows[[#This Row],[Flow_Name]],Tab_Def_Flows[Flow_Name],0),17)</f>
        <v>0</v>
      </c>
      <c r="AF217" s="7" t="str">
        <f>Tab_Data_Flows[[#This Row],[Flow_ID]]&amp;"_"&amp;"CC_"&amp;Tab_Data_Flows[[#This Row],[Flow_Data_Year]]</f>
        <v>F___CC_</v>
      </c>
      <c r="AG217" s="7" t="str">
        <f>IF(F217="Yes",AE217*Tab_Data_Flows[[#This Row],[Flow_Material]]*Tab_Data_Flows[[#This Row],[DM_'[%']]],"N.A.")</f>
        <v>N.A.</v>
      </c>
      <c r="AH217" s="7" t="str">
        <f>Tab_Data_Flows[[#This Row],[UoM_Flow_Py]]</f>
        <v>Mg</v>
      </c>
      <c r="AI217"/>
    </row>
    <row r="218" spans="1:35" x14ac:dyDescent="0.25">
      <c r="A218" s="9">
        <f t="shared" si="7"/>
        <v>217</v>
      </c>
      <c r="B218" s="7" t="str">
        <f>_xlfn.XLOOKUP(C218,Tab_Def_Flows[Flow_Name],Tab_Def_Flows[Flow_ID],,0,)</f>
        <v>F__</v>
      </c>
      <c r="C218" s="8" t="s">
        <v>31</v>
      </c>
      <c r="D218" s="10">
        <f>_xlfn.XLOOKUP(C218,Tab_Def_Flows[Flow_Name],Tab_Def_Flows[WC?],,0,)</f>
        <v>0</v>
      </c>
      <c r="E218" s="10">
        <f>_xlfn.XLOOKUP(C218,Tab_Def_Flows[Flow_Name],Tab_Def_Flows[DM?],,0,)</f>
        <v>0</v>
      </c>
      <c r="F218" s="10">
        <f>_xlfn.XLOOKUP(C218,Tab_Def_Flows[Flow_Name],Tab_Def_Flows[CC?],,0,)</f>
        <v>0</v>
      </c>
      <c r="G218" s="8"/>
      <c r="H218" s="28"/>
      <c r="I218" s="8"/>
      <c r="J218" s="8"/>
      <c r="K218" s="8"/>
      <c r="L218" s="8"/>
      <c r="M218" s="8"/>
      <c r="N218" s="8"/>
      <c r="O218" s="8"/>
      <c r="P218" s="8"/>
      <c r="Q218" s="8" t="s">
        <v>8</v>
      </c>
      <c r="R218" s="21"/>
      <c r="S218" s="8"/>
      <c r="T218" s="7" t="str">
        <f>Tab_Data_Flows[[#This Row],[Flow_ID]]&amp;"_"&amp;"material_"&amp;Tab_Data_Flows[[#This Row],[Flow_Data_Year]]</f>
        <v>F___material_</v>
      </c>
      <c r="U218" s="18">
        <f t="shared" si="8"/>
        <v>0</v>
      </c>
      <c r="V218" s="8" t="s">
        <v>218</v>
      </c>
      <c r="W218" s="156">
        <f>INDEX(Tab_Def_Flows[[Flow_ID]:[CC_DM_source]],MATCH(Tab_Data_Flows[[#This Row],[Flow_Name]],Tab_Def_Flows[Flow_Name],0),11)</f>
        <v>0</v>
      </c>
      <c r="X218" s="7" t="str">
        <f>Tab_Data_Flows[[#This Row],[Flow_ID]]&amp;"_"&amp;"WC_"&amp;Tab_Data_Flows[[#This Row],[Flow_Data_Year]]</f>
        <v>F___WC_</v>
      </c>
      <c r="Y218" s="7" t="str">
        <f>IF(D218="Yes",U218*Tab_Data_Flows[[#This Row],[WC_'[%']]],"N.A.")</f>
        <v>N.A.</v>
      </c>
      <c r="Z218" s="7" t="str">
        <f>Tab_Data_Flows[[#This Row],[UoM_Flow_Py]]</f>
        <v>Mg</v>
      </c>
      <c r="AA218" s="156">
        <f>INDEX(Tab_Def_Flows[[Flow_ID]:[CC_DM_source]],MATCH(Tab_Data_Flows[[#This Row],[Flow_Name]],Tab_Def_Flows[Flow_Name],0),14)</f>
        <v>0</v>
      </c>
      <c r="AB218" s="7" t="str">
        <f>Tab_Data_Flows[[#This Row],[Flow_ID]]&amp;"_"&amp;"DM_"&amp;Tab_Data_Flows[[#This Row],[Flow_Data_Year]]</f>
        <v>F___DM_</v>
      </c>
      <c r="AC218" s="7" t="str">
        <f>IF(E218="Yes",AA218*Tab_Data_Flows[[#This Row],[Flow_Material]],"N.A.")</f>
        <v>N.A.</v>
      </c>
      <c r="AD218" s="7" t="str">
        <f>Tab_Data_Flows[[#This Row],[UoM_Flow_Py]]</f>
        <v>Mg</v>
      </c>
      <c r="AE218" s="156">
        <f>INDEX(Tab_Def_Flows[[Flow_ID]:[CC_DM_source]],MATCH(Tab_Data_Flows[[#This Row],[Flow_Name]],Tab_Def_Flows[Flow_Name],0),17)</f>
        <v>0</v>
      </c>
      <c r="AF218" s="7" t="str">
        <f>Tab_Data_Flows[[#This Row],[Flow_ID]]&amp;"_"&amp;"CC_"&amp;Tab_Data_Flows[[#This Row],[Flow_Data_Year]]</f>
        <v>F___CC_</v>
      </c>
      <c r="AG218" s="7" t="str">
        <f>IF(F218="Yes",AE218*Tab_Data_Flows[[#This Row],[Flow_Material]]*Tab_Data_Flows[[#This Row],[DM_'[%']]],"N.A.")</f>
        <v>N.A.</v>
      </c>
      <c r="AH218" s="7" t="str">
        <f>Tab_Data_Flows[[#This Row],[UoM_Flow_Py]]</f>
        <v>Mg</v>
      </c>
      <c r="AI218"/>
    </row>
    <row r="219" spans="1:35" x14ac:dyDescent="0.25">
      <c r="A219" s="9">
        <f t="shared" si="7"/>
        <v>218</v>
      </c>
      <c r="B219" s="7" t="str">
        <f>_xlfn.XLOOKUP(C219,Tab_Def_Flows[Flow_Name],Tab_Def_Flows[Flow_ID],,0,)</f>
        <v>F__</v>
      </c>
      <c r="C219" s="8" t="s">
        <v>31</v>
      </c>
      <c r="D219" s="10">
        <f>_xlfn.XLOOKUP(C219,Tab_Def_Flows[Flow_Name],Tab_Def_Flows[WC?],,0,)</f>
        <v>0</v>
      </c>
      <c r="E219" s="10">
        <f>_xlfn.XLOOKUP(C219,Tab_Def_Flows[Flow_Name],Tab_Def_Flows[DM?],,0,)</f>
        <v>0</v>
      </c>
      <c r="F219" s="10">
        <f>_xlfn.XLOOKUP(C219,Tab_Def_Flows[Flow_Name],Tab_Def_Flows[CC?],,0,)</f>
        <v>0</v>
      </c>
      <c r="G219" s="8"/>
      <c r="H219" s="28"/>
      <c r="I219" s="8"/>
      <c r="J219" s="8"/>
      <c r="K219" s="8"/>
      <c r="L219" s="8"/>
      <c r="M219" s="8"/>
      <c r="N219" s="8"/>
      <c r="O219" s="8"/>
      <c r="P219" s="8"/>
      <c r="Q219" s="8" t="s">
        <v>8</v>
      </c>
      <c r="R219" s="21"/>
      <c r="S219" s="8"/>
      <c r="T219" s="7" t="str">
        <f>Tab_Data_Flows[[#This Row],[Flow_ID]]&amp;"_"&amp;"material_"&amp;Tab_Data_Flows[[#This Row],[Flow_Data_Year]]</f>
        <v>F___material_</v>
      </c>
      <c r="U219" s="18">
        <f t="shared" si="8"/>
        <v>0</v>
      </c>
      <c r="V219" s="8" t="s">
        <v>218</v>
      </c>
      <c r="W219" s="156">
        <f>INDEX(Tab_Def_Flows[[Flow_ID]:[CC_DM_source]],MATCH(Tab_Data_Flows[[#This Row],[Flow_Name]],Tab_Def_Flows[Flow_Name],0),11)</f>
        <v>0</v>
      </c>
      <c r="X219" s="7" t="str">
        <f>Tab_Data_Flows[[#This Row],[Flow_ID]]&amp;"_"&amp;"WC_"&amp;Tab_Data_Flows[[#This Row],[Flow_Data_Year]]</f>
        <v>F___WC_</v>
      </c>
      <c r="Y219" s="7" t="str">
        <f>IF(D219="Yes",U219*Tab_Data_Flows[[#This Row],[WC_'[%']]],"N.A.")</f>
        <v>N.A.</v>
      </c>
      <c r="Z219" s="7" t="str">
        <f>Tab_Data_Flows[[#This Row],[UoM_Flow_Py]]</f>
        <v>Mg</v>
      </c>
      <c r="AA219" s="156">
        <f>INDEX(Tab_Def_Flows[[Flow_ID]:[CC_DM_source]],MATCH(Tab_Data_Flows[[#This Row],[Flow_Name]],Tab_Def_Flows[Flow_Name],0),14)</f>
        <v>0</v>
      </c>
      <c r="AB219" s="7" t="str">
        <f>Tab_Data_Flows[[#This Row],[Flow_ID]]&amp;"_"&amp;"DM_"&amp;Tab_Data_Flows[[#This Row],[Flow_Data_Year]]</f>
        <v>F___DM_</v>
      </c>
      <c r="AC219" s="7" t="str">
        <f>IF(E219="Yes",AA219*Tab_Data_Flows[[#This Row],[Flow_Material]],"N.A.")</f>
        <v>N.A.</v>
      </c>
      <c r="AD219" s="7" t="str">
        <f>Tab_Data_Flows[[#This Row],[UoM_Flow_Py]]</f>
        <v>Mg</v>
      </c>
      <c r="AE219" s="156">
        <f>INDEX(Tab_Def_Flows[[Flow_ID]:[CC_DM_source]],MATCH(Tab_Data_Flows[[#This Row],[Flow_Name]],Tab_Def_Flows[Flow_Name],0),17)</f>
        <v>0</v>
      </c>
      <c r="AF219" s="7" t="str">
        <f>Tab_Data_Flows[[#This Row],[Flow_ID]]&amp;"_"&amp;"CC_"&amp;Tab_Data_Flows[[#This Row],[Flow_Data_Year]]</f>
        <v>F___CC_</v>
      </c>
      <c r="AG219" s="7" t="str">
        <f>IF(F219="Yes",AE219*Tab_Data_Flows[[#This Row],[Flow_Material]]*Tab_Data_Flows[[#This Row],[DM_'[%']]],"N.A.")</f>
        <v>N.A.</v>
      </c>
      <c r="AH219" s="7" t="str">
        <f>Tab_Data_Flows[[#This Row],[UoM_Flow_Py]]</f>
        <v>Mg</v>
      </c>
      <c r="AI219"/>
    </row>
    <row r="220" spans="1:35" x14ac:dyDescent="0.25">
      <c r="A220" s="9">
        <f t="shared" si="7"/>
        <v>219</v>
      </c>
      <c r="B220" s="7" t="str">
        <f>_xlfn.XLOOKUP(C220,Tab_Def_Flows[Flow_Name],Tab_Def_Flows[Flow_ID],,0,)</f>
        <v>F__</v>
      </c>
      <c r="C220" s="8" t="s">
        <v>31</v>
      </c>
      <c r="D220" s="10">
        <f>_xlfn.XLOOKUP(C220,Tab_Def_Flows[Flow_Name],Tab_Def_Flows[WC?],,0,)</f>
        <v>0</v>
      </c>
      <c r="E220" s="10">
        <f>_xlfn.XLOOKUP(C220,Tab_Def_Flows[Flow_Name],Tab_Def_Flows[DM?],,0,)</f>
        <v>0</v>
      </c>
      <c r="F220" s="10">
        <f>_xlfn.XLOOKUP(C220,Tab_Def_Flows[Flow_Name],Tab_Def_Flows[CC?],,0,)</f>
        <v>0</v>
      </c>
      <c r="G220" s="8"/>
      <c r="H220" s="28"/>
      <c r="I220" s="8"/>
      <c r="J220" s="8"/>
      <c r="K220" s="8"/>
      <c r="L220" s="8"/>
      <c r="M220" s="8"/>
      <c r="N220" s="8"/>
      <c r="O220" s="8"/>
      <c r="P220" s="8"/>
      <c r="Q220" s="8" t="s">
        <v>8</v>
      </c>
      <c r="R220" s="21"/>
      <c r="S220" s="8"/>
      <c r="T220" s="7" t="str">
        <f>Tab_Data_Flows[[#This Row],[Flow_ID]]&amp;"_"&amp;"material_"&amp;Tab_Data_Flows[[#This Row],[Flow_Data_Year]]</f>
        <v>F___material_</v>
      </c>
      <c r="U220" s="18">
        <f t="shared" si="8"/>
        <v>0</v>
      </c>
      <c r="V220" s="8" t="s">
        <v>218</v>
      </c>
      <c r="W220" s="156">
        <f>INDEX(Tab_Def_Flows[[Flow_ID]:[CC_DM_source]],MATCH(Tab_Data_Flows[[#This Row],[Flow_Name]],Tab_Def_Flows[Flow_Name],0),11)</f>
        <v>0</v>
      </c>
      <c r="X220" s="7" t="str">
        <f>Tab_Data_Flows[[#This Row],[Flow_ID]]&amp;"_"&amp;"WC_"&amp;Tab_Data_Flows[[#This Row],[Flow_Data_Year]]</f>
        <v>F___WC_</v>
      </c>
      <c r="Y220" s="7" t="str">
        <f>IF(D220="Yes",U220*Tab_Data_Flows[[#This Row],[WC_'[%']]],"N.A.")</f>
        <v>N.A.</v>
      </c>
      <c r="Z220" s="7" t="str">
        <f>Tab_Data_Flows[[#This Row],[UoM_Flow_Py]]</f>
        <v>Mg</v>
      </c>
      <c r="AA220" s="156">
        <f>INDEX(Tab_Def_Flows[[Flow_ID]:[CC_DM_source]],MATCH(Tab_Data_Flows[[#This Row],[Flow_Name]],Tab_Def_Flows[Flow_Name],0),14)</f>
        <v>0</v>
      </c>
      <c r="AB220" s="7" t="str">
        <f>Tab_Data_Flows[[#This Row],[Flow_ID]]&amp;"_"&amp;"DM_"&amp;Tab_Data_Flows[[#This Row],[Flow_Data_Year]]</f>
        <v>F___DM_</v>
      </c>
      <c r="AC220" s="7" t="str">
        <f>IF(E220="Yes",AA220*Tab_Data_Flows[[#This Row],[Flow_Material]],"N.A.")</f>
        <v>N.A.</v>
      </c>
      <c r="AD220" s="7" t="str">
        <f>Tab_Data_Flows[[#This Row],[UoM_Flow_Py]]</f>
        <v>Mg</v>
      </c>
      <c r="AE220" s="156">
        <f>INDEX(Tab_Def_Flows[[Flow_ID]:[CC_DM_source]],MATCH(Tab_Data_Flows[[#This Row],[Flow_Name]],Tab_Def_Flows[Flow_Name],0),17)</f>
        <v>0</v>
      </c>
      <c r="AF220" s="7" t="str">
        <f>Tab_Data_Flows[[#This Row],[Flow_ID]]&amp;"_"&amp;"CC_"&amp;Tab_Data_Flows[[#This Row],[Flow_Data_Year]]</f>
        <v>F___CC_</v>
      </c>
      <c r="AG220" s="7" t="str">
        <f>IF(F220="Yes",AE220*Tab_Data_Flows[[#This Row],[Flow_Material]]*Tab_Data_Flows[[#This Row],[DM_'[%']]],"N.A.")</f>
        <v>N.A.</v>
      </c>
      <c r="AH220" s="7" t="str">
        <f>Tab_Data_Flows[[#This Row],[UoM_Flow_Py]]</f>
        <v>Mg</v>
      </c>
      <c r="AI220"/>
    </row>
    <row r="221" spans="1:35" x14ac:dyDescent="0.25">
      <c r="A221" s="9">
        <f t="shared" si="7"/>
        <v>220</v>
      </c>
      <c r="B221" s="7" t="str">
        <f>_xlfn.XLOOKUP(C221,Tab_Def_Flows[Flow_Name],Tab_Def_Flows[Flow_ID],,0,)</f>
        <v>F__</v>
      </c>
      <c r="C221" s="8" t="s">
        <v>31</v>
      </c>
      <c r="D221" s="10">
        <f>_xlfn.XLOOKUP(C221,Tab_Def_Flows[Flow_Name],Tab_Def_Flows[WC?],,0,)</f>
        <v>0</v>
      </c>
      <c r="E221" s="10">
        <f>_xlfn.XLOOKUP(C221,Tab_Def_Flows[Flow_Name],Tab_Def_Flows[DM?],,0,)</f>
        <v>0</v>
      </c>
      <c r="F221" s="10">
        <f>_xlfn.XLOOKUP(C221,Tab_Def_Flows[Flow_Name],Tab_Def_Flows[CC?],,0,)</f>
        <v>0</v>
      </c>
      <c r="G221" s="8"/>
      <c r="H221" s="28"/>
      <c r="I221" s="8"/>
      <c r="J221" s="8"/>
      <c r="K221" s="8"/>
      <c r="L221" s="8"/>
      <c r="M221" s="8"/>
      <c r="N221" s="8"/>
      <c r="O221" s="8"/>
      <c r="P221" s="8"/>
      <c r="Q221" s="8" t="s">
        <v>8</v>
      </c>
      <c r="R221" s="21"/>
      <c r="S221" s="8"/>
      <c r="T221" s="7" t="str">
        <f>Tab_Data_Flows[[#This Row],[Flow_ID]]&amp;"_"&amp;"material_"&amp;Tab_Data_Flows[[#This Row],[Flow_Data_Year]]</f>
        <v>F___material_</v>
      </c>
      <c r="U221" s="18">
        <f t="shared" si="8"/>
        <v>0</v>
      </c>
      <c r="V221" s="8" t="s">
        <v>218</v>
      </c>
      <c r="W221" s="156">
        <f>INDEX(Tab_Def_Flows[[Flow_ID]:[CC_DM_source]],MATCH(Tab_Data_Flows[[#This Row],[Flow_Name]],Tab_Def_Flows[Flow_Name],0),11)</f>
        <v>0</v>
      </c>
      <c r="X221" s="7" t="str">
        <f>Tab_Data_Flows[[#This Row],[Flow_ID]]&amp;"_"&amp;"WC_"&amp;Tab_Data_Flows[[#This Row],[Flow_Data_Year]]</f>
        <v>F___WC_</v>
      </c>
      <c r="Y221" s="7" t="str">
        <f>IF(D221="Yes",U221*Tab_Data_Flows[[#This Row],[WC_'[%']]],"N.A.")</f>
        <v>N.A.</v>
      </c>
      <c r="Z221" s="7" t="str">
        <f>Tab_Data_Flows[[#This Row],[UoM_Flow_Py]]</f>
        <v>Mg</v>
      </c>
      <c r="AA221" s="156">
        <f>INDEX(Tab_Def_Flows[[Flow_ID]:[CC_DM_source]],MATCH(Tab_Data_Flows[[#This Row],[Flow_Name]],Tab_Def_Flows[Flow_Name],0),14)</f>
        <v>0</v>
      </c>
      <c r="AB221" s="7" t="str">
        <f>Tab_Data_Flows[[#This Row],[Flow_ID]]&amp;"_"&amp;"DM_"&amp;Tab_Data_Flows[[#This Row],[Flow_Data_Year]]</f>
        <v>F___DM_</v>
      </c>
      <c r="AC221" s="7" t="str">
        <f>IF(E221="Yes",AA221*Tab_Data_Flows[[#This Row],[Flow_Material]],"N.A.")</f>
        <v>N.A.</v>
      </c>
      <c r="AD221" s="7" t="str">
        <f>Tab_Data_Flows[[#This Row],[UoM_Flow_Py]]</f>
        <v>Mg</v>
      </c>
      <c r="AE221" s="156">
        <f>INDEX(Tab_Def_Flows[[Flow_ID]:[CC_DM_source]],MATCH(Tab_Data_Flows[[#This Row],[Flow_Name]],Tab_Def_Flows[Flow_Name],0),17)</f>
        <v>0</v>
      </c>
      <c r="AF221" s="7" t="str">
        <f>Tab_Data_Flows[[#This Row],[Flow_ID]]&amp;"_"&amp;"CC_"&amp;Tab_Data_Flows[[#This Row],[Flow_Data_Year]]</f>
        <v>F___CC_</v>
      </c>
      <c r="AG221" s="7" t="str">
        <f>IF(F221="Yes",AE221*Tab_Data_Flows[[#This Row],[Flow_Material]]*Tab_Data_Flows[[#This Row],[DM_'[%']]],"N.A.")</f>
        <v>N.A.</v>
      </c>
      <c r="AH221" s="7" t="str">
        <f>Tab_Data_Flows[[#This Row],[UoM_Flow_Py]]</f>
        <v>Mg</v>
      </c>
      <c r="AI221"/>
    </row>
    <row r="222" spans="1:35" x14ac:dyDescent="0.25">
      <c r="A222" s="9">
        <f t="shared" si="7"/>
        <v>221</v>
      </c>
      <c r="B222" s="7" t="str">
        <f>_xlfn.XLOOKUP(C222,Tab_Def_Flows[Flow_Name],Tab_Def_Flows[Flow_ID],,0,)</f>
        <v>F__</v>
      </c>
      <c r="C222" s="8" t="s">
        <v>31</v>
      </c>
      <c r="D222" s="10">
        <f>_xlfn.XLOOKUP(C222,Tab_Def_Flows[Flow_Name],Tab_Def_Flows[WC?],,0,)</f>
        <v>0</v>
      </c>
      <c r="E222" s="10">
        <f>_xlfn.XLOOKUP(C222,Tab_Def_Flows[Flow_Name],Tab_Def_Flows[DM?],,0,)</f>
        <v>0</v>
      </c>
      <c r="F222" s="10">
        <f>_xlfn.XLOOKUP(C222,Tab_Def_Flows[Flow_Name],Tab_Def_Flows[CC?],,0,)</f>
        <v>0</v>
      </c>
      <c r="G222" s="8"/>
      <c r="H222" s="28"/>
      <c r="I222" s="8"/>
      <c r="J222" s="8"/>
      <c r="K222" s="8"/>
      <c r="L222" s="8"/>
      <c r="M222" s="8"/>
      <c r="N222" s="8"/>
      <c r="O222" s="8"/>
      <c r="P222" s="8"/>
      <c r="Q222" s="8" t="s">
        <v>8</v>
      </c>
      <c r="R222" s="21"/>
      <c r="S222" s="8"/>
      <c r="T222" s="7" t="str">
        <f>Tab_Data_Flows[[#This Row],[Flow_ID]]&amp;"_"&amp;"material_"&amp;Tab_Data_Flows[[#This Row],[Flow_Data_Year]]</f>
        <v>F___material_</v>
      </c>
      <c r="U222" s="18">
        <f t="shared" si="8"/>
        <v>0</v>
      </c>
      <c r="V222" s="8" t="s">
        <v>218</v>
      </c>
      <c r="W222" s="156">
        <f>INDEX(Tab_Def_Flows[[Flow_ID]:[CC_DM_source]],MATCH(Tab_Data_Flows[[#This Row],[Flow_Name]],Tab_Def_Flows[Flow_Name],0),11)</f>
        <v>0</v>
      </c>
      <c r="X222" s="7" t="str">
        <f>Tab_Data_Flows[[#This Row],[Flow_ID]]&amp;"_"&amp;"WC_"&amp;Tab_Data_Flows[[#This Row],[Flow_Data_Year]]</f>
        <v>F___WC_</v>
      </c>
      <c r="Y222" s="7" t="str">
        <f>IF(D222="Yes",U222*Tab_Data_Flows[[#This Row],[WC_'[%']]],"N.A.")</f>
        <v>N.A.</v>
      </c>
      <c r="Z222" s="7" t="str">
        <f>Tab_Data_Flows[[#This Row],[UoM_Flow_Py]]</f>
        <v>Mg</v>
      </c>
      <c r="AA222" s="156">
        <f>INDEX(Tab_Def_Flows[[Flow_ID]:[CC_DM_source]],MATCH(Tab_Data_Flows[[#This Row],[Flow_Name]],Tab_Def_Flows[Flow_Name],0),14)</f>
        <v>0</v>
      </c>
      <c r="AB222" s="7" t="str">
        <f>Tab_Data_Flows[[#This Row],[Flow_ID]]&amp;"_"&amp;"DM_"&amp;Tab_Data_Flows[[#This Row],[Flow_Data_Year]]</f>
        <v>F___DM_</v>
      </c>
      <c r="AC222" s="7" t="str">
        <f>IF(E222="Yes",AA222*Tab_Data_Flows[[#This Row],[Flow_Material]],"N.A.")</f>
        <v>N.A.</v>
      </c>
      <c r="AD222" s="7" t="str">
        <f>Tab_Data_Flows[[#This Row],[UoM_Flow_Py]]</f>
        <v>Mg</v>
      </c>
      <c r="AE222" s="156">
        <f>INDEX(Tab_Def_Flows[[Flow_ID]:[CC_DM_source]],MATCH(Tab_Data_Flows[[#This Row],[Flow_Name]],Tab_Def_Flows[Flow_Name],0),17)</f>
        <v>0</v>
      </c>
      <c r="AF222" s="7" t="str">
        <f>Tab_Data_Flows[[#This Row],[Flow_ID]]&amp;"_"&amp;"CC_"&amp;Tab_Data_Flows[[#This Row],[Flow_Data_Year]]</f>
        <v>F___CC_</v>
      </c>
      <c r="AG222" s="7" t="str">
        <f>IF(F222="Yes",AE222*Tab_Data_Flows[[#This Row],[Flow_Material]]*Tab_Data_Flows[[#This Row],[DM_'[%']]],"N.A.")</f>
        <v>N.A.</v>
      </c>
      <c r="AH222" s="7" t="str">
        <f>Tab_Data_Flows[[#This Row],[UoM_Flow_Py]]</f>
        <v>Mg</v>
      </c>
      <c r="AI222"/>
    </row>
    <row r="223" spans="1:35" x14ac:dyDescent="0.25">
      <c r="A223" s="9">
        <f t="shared" si="7"/>
        <v>222</v>
      </c>
      <c r="B223" s="7" t="str">
        <f>_xlfn.XLOOKUP(C223,Tab_Def_Flows[Flow_Name],Tab_Def_Flows[Flow_ID],,0,)</f>
        <v>F__</v>
      </c>
      <c r="C223" s="8" t="s">
        <v>31</v>
      </c>
      <c r="D223" s="10">
        <f>_xlfn.XLOOKUP(C223,Tab_Def_Flows[Flow_Name],Tab_Def_Flows[WC?],,0,)</f>
        <v>0</v>
      </c>
      <c r="E223" s="10">
        <f>_xlfn.XLOOKUP(C223,Tab_Def_Flows[Flow_Name],Tab_Def_Flows[DM?],,0,)</f>
        <v>0</v>
      </c>
      <c r="F223" s="10">
        <f>_xlfn.XLOOKUP(C223,Tab_Def_Flows[Flow_Name],Tab_Def_Flows[CC?],,0,)</f>
        <v>0</v>
      </c>
      <c r="G223" s="8"/>
      <c r="H223" s="28"/>
      <c r="I223" s="8"/>
      <c r="J223" s="8"/>
      <c r="K223" s="8"/>
      <c r="L223" s="8"/>
      <c r="M223" s="8"/>
      <c r="N223" s="8"/>
      <c r="O223" s="8"/>
      <c r="P223" s="8"/>
      <c r="Q223" s="8" t="s">
        <v>8</v>
      </c>
      <c r="R223" s="21"/>
      <c r="S223" s="8"/>
      <c r="T223" s="7" t="str">
        <f>Tab_Data_Flows[[#This Row],[Flow_ID]]&amp;"_"&amp;"material_"&amp;Tab_Data_Flows[[#This Row],[Flow_Data_Year]]</f>
        <v>F___material_</v>
      </c>
      <c r="U223" s="18">
        <f t="shared" si="8"/>
        <v>0</v>
      </c>
      <c r="V223" s="8" t="s">
        <v>218</v>
      </c>
      <c r="W223" s="156">
        <f>INDEX(Tab_Def_Flows[[Flow_ID]:[CC_DM_source]],MATCH(Tab_Data_Flows[[#This Row],[Flow_Name]],Tab_Def_Flows[Flow_Name],0),11)</f>
        <v>0</v>
      </c>
      <c r="X223" s="7" t="str">
        <f>Tab_Data_Flows[[#This Row],[Flow_ID]]&amp;"_"&amp;"WC_"&amp;Tab_Data_Flows[[#This Row],[Flow_Data_Year]]</f>
        <v>F___WC_</v>
      </c>
      <c r="Y223" s="7" t="str">
        <f>IF(D223="Yes",U223*Tab_Data_Flows[[#This Row],[WC_'[%']]],"N.A.")</f>
        <v>N.A.</v>
      </c>
      <c r="Z223" s="7" t="str">
        <f>Tab_Data_Flows[[#This Row],[UoM_Flow_Py]]</f>
        <v>Mg</v>
      </c>
      <c r="AA223" s="156">
        <f>INDEX(Tab_Def_Flows[[Flow_ID]:[CC_DM_source]],MATCH(Tab_Data_Flows[[#This Row],[Flow_Name]],Tab_Def_Flows[Flow_Name],0),14)</f>
        <v>0</v>
      </c>
      <c r="AB223" s="7" t="str">
        <f>Tab_Data_Flows[[#This Row],[Flow_ID]]&amp;"_"&amp;"DM_"&amp;Tab_Data_Flows[[#This Row],[Flow_Data_Year]]</f>
        <v>F___DM_</v>
      </c>
      <c r="AC223" s="7" t="str">
        <f>IF(E223="Yes",AA223*Tab_Data_Flows[[#This Row],[Flow_Material]],"N.A.")</f>
        <v>N.A.</v>
      </c>
      <c r="AD223" s="7" t="str">
        <f>Tab_Data_Flows[[#This Row],[UoM_Flow_Py]]</f>
        <v>Mg</v>
      </c>
      <c r="AE223" s="156">
        <f>INDEX(Tab_Def_Flows[[Flow_ID]:[CC_DM_source]],MATCH(Tab_Data_Flows[[#This Row],[Flow_Name]],Tab_Def_Flows[Flow_Name],0),17)</f>
        <v>0</v>
      </c>
      <c r="AF223" s="7" t="str">
        <f>Tab_Data_Flows[[#This Row],[Flow_ID]]&amp;"_"&amp;"CC_"&amp;Tab_Data_Flows[[#This Row],[Flow_Data_Year]]</f>
        <v>F___CC_</v>
      </c>
      <c r="AG223" s="7" t="str">
        <f>IF(F223="Yes",AE223*Tab_Data_Flows[[#This Row],[Flow_Material]]*Tab_Data_Flows[[#This Row],[DM_'[%']]],"N.A.")</f>
        <v>N.A.</v>
      </c>
      <c r="AH223" s="7" t="str">
        <f>Tab_Data_Flows[[#This Row],[UoM_Flow_Py]]</f>
        <v>Mg</v>
      </c>
      <c r="AI223"/>
    </row>
    <row r="224" spans="1:35" x14ac:dyDescent="0.25">
      <c r="A224" s="9">
        <f t="shared" si="7"/>
        <v>223</v>
      </c>
      <c r="B224" s="7" t="str">
        <f>_xlfn.XLOOKUP(C224,Tab_Def_Flows[Flow_Name],Tab_Def_Flows[Flow_ID],,0,)</f>
        <v>F__</v>
      </c>
      <c r="C224" s="8" t="s">
        <v>31</v>
      </c>
      <c r="D224" s="10">
        <f>_xlfn.XLOOKUP(C224,Tab_Def_Flows[Flow_Name],Tab_Def_Flows[WC?],,0,)</f>
        <v>0</v>
      </c>
      <c r="E224" s="10">
        <f>_xlfn.XLOOKUP(C224,Tab_Def_Flows[Flow_Name],Tab_Def_Flows[DM?],,0,)</f>
        <v>0</v>
      </c>
      <c r="F224" s="10">
        <f>_xlfn.XLOOKUP(C224,Tab_Def_Flows[Flow_Name],Tab_Def_Flows[CC?],,0,)</f>
        <v>0</v>
      </c>
      <c r="G224" s="8"/>
      <c r="H224" s="28"/>
      <c r="I224" s="8"/>
      <c r="J224" s="8"/>
      <c r="K224" s="8"/>
      <c r="L224" s="8"/>
      <c r="M224" s="8"/>
      <c r="N224" s="8"/>
      <c r="O224" s="8"/>
      <c r="P224" s="8"/>
      <c r="Q224" s="8" t="s">
        <v>8</v>
      </c>
      <c r="R224" s="21"/>
      <c r="S224" s="8"/>
      <c r="T224" s="7" t="str">
        <f>Tab_Data_Flows[[#This Row],[Flow_ID]]&amp;"_"&amp;"material_"&amp;Tab_Data_Flows[[#This Row],[Flow_Data_Year]]</f>
        <v>F___material_</v>
      </c>
      <c r="U224" s="18">
        <f t="shared" si="8"/>
        <v>0</v>
      </c>
      <c r="V224" s="8" t="s">
        <v>218</v>
      </c>
      <c r="W224" s="156">
        <f>INDEX(Tab_Def_Flows[[Flow_ID]:[CC_DM_source]],MATCH(Tab_Data_Flows[[#This Row],[Flow_Name]],Tab_Def_Flows[Flow_Name],0),11)</f>
        <v>0</v>
      </c>
      <c r="X224" s="7" t="str">
        <f>Tab_Data_Flows[[#This Row],[Flow_ID]]&amp;"_"&amp;"WC_"&amp;Tab_Data_Flows[[#This Row],[Flow_Data_Year]]</f>
        <v>F___WC_</v>
      </c>
      <c r="Y224" s="7" t="str">
        <f>IF(D224="Yes",U224*Tab_Data_Flows[[#This Row],[WC_'[%']]],"N.A.")</f>
        <v>N.A.</v>
      </c>
      <c r="Z224" s="7" t="str">
        <f>Tab_Data_Flows[[#This Row],[UoM_Flow_Py]]</f>
        <v>Mg</v>
      </c>
      <c r="AA224" s="156">
        <f>INDEX(Tab_Def_Flows[[Flow_ID]:[CC_DM_source]],MATCH(Tab_Data_Flows[[#This Row],[Flow_Name]],Tab_Def_Flows[Flow_Name],0),14)</f>
        <v>0</v>
      </c>
      <c r="AB224" s="7" t="str">
        <f>Tab_Data_Flows[[#This Row],[Flow_ID]]&amp;"_"&amp;"DM_"&amp;Tab_Data_Flows[[#This Row],[Flow_Data_Year]]</f>
        <v>F___DM_</v>
      </c>
      <c r="AC224" s="7" t="str">
        <f>IF(E224="Yes",AA224*Tab_Data_Flows[[#This Row],[Flow_Material]],"N.A.")</f>
        <v>N.A.</v>
      </c>
      <c r="AD224" s="7" t="str">
        <f>Tab_Data_Flows[[#This Row],[UoM_Flow_Py]]</f>
        <v>Mg</v>
      </c>
      <c r="AE224" s="156">
        <f>INDEX(Tab_Def_Flows[[Flow_ID]:[CC_DM_source]],MATCH(Tab_Data_Flows[[#This Row],[Flow_Name]],Tab_Def_Flows[Flow_Name],0),17)</f>
        <v>0</v>
      </c>
      <c r="AF224" s="7" t="str">
        <f>Tab_Data_Flows[[#This Row],[Flow_ID]]&amp;"_"&amp;"CC_"&amp;Tab_Data_Flows[[#This Row],[Flow_Data_Year]]</f>
        <v>F___CC_</v>
      </c>
      <c r="AG224" s="7" t="str">
        <f>IF(F224="Yes",AE224*Tab_Data_Flows[[#This Row],[Flow_Material]]*Tab_Data_Flows[[#This Row],[DM_'[%']]],"N.A.")</f>
        <v>N.A.</v>
      </c>
      <c r="AH224" s="7" t="str">
        <f>Tab_Data_Flows[[#This Row],[UoM_Flow_Py]]</f>
        <v>Mg</v>
      </c>
      <c r="AI224"/>
    </row>
    <row r="225" spans="1:35" x14ac:dyDescent="0.25">
      <c r="A225" s="9">
        <f t="shared" si="7"/>
        <v>224</v>
      </c>
      <c r="B225" s="7" t="str">
        <f>_xlfn.XLOOKUP(C225,Tab_Def_Flows[Flow_Name],Tab_Def_Flows[Flow_ID],,0,)</f>
        <v>F__</v>
      </c>
      <c r="C225" s="8" t="s">
        <v>31</v>
      </c>
      <c r="D225" s="10">
        <f>_xlfn.XLOOKUP(C225,Tab_Def_Flows[Flow_Name],Tab_Def_Flows[WC?],,0,)</f>
        <v>0</v>
      </c>
      <c r="E225" s="10">
        <f>_xlfn.XLOOKUP(C225,Tab_Def_Flows[Flow_Name],Tab_Def_Flows[DM?],,0,)</f>
        <v>0</v>
      </c>
      <c r="F225" s="10">
        <f>_xlfn.XLOOKUP(C225,Tab_Def_Flows[Flow_Name],Tab_Def_Flows[CC?],,0,)</f>
        <v>0</v>
      </c>
      <c r="G225" s="8"/>
      <c r="H225" s="28"/>
      <c r="I225" s="8"/>
      <c r="J225" s="8"/>
      <c r="K225" s="8"/>
      <c r="L225" s="8"/>
      <c r="M225" s="8"/>
      <c r="N225" s="8"/>
      <c r="O225" s="8"/>
      <c r="P225" s="8"/>
      <c r="Q225" s="8" t="s">
        <v>8</v>
      </c>
      <c r="R225" s="21"/>
      <c r="S225" s="8"/>
      <c r="T225" s="7" t="str">
        <f>Tab_Data_Flows[[#This Row],[Flow_ID]]&amp;"_"&amp;"material_"&amp;Tab_Data_Flows[[#This Row],[Flow_Data_Year]]</f>
        <v>F___material_</v>
      </c>
      <c r="U225" s="18">
        <f t="shared" si="8"/>
        <v>0</v>
      </c>
      <c r="V225" s="8" t="s">
        <v>218</v>
      </c>
      <c r="W225" s="156">
        <f>INDEX(Tab_Def_Flows[[Flow_ID]:[CC_DM_source]],MATCH(Tab_Data_Flows[[#This Row],[Flow_Name]],Tab_Def_Flows[Flow_Name],0),11)</f>
        <v>0</v>
      </c>
      <c r="X225" s="7" t="str">
        <f>Tab_Data_Flows[[#This Row],[Flow_ID]]&amp;"_"&amp;"WC_"&amp;Tab_Data_Flows[[#This Row],[Flow_Data_Year]]</f>
        <v>F___WC_</v>
      </c>
      <c r="Y225" s="7" t="str">
        <f>IF(D225="Yes",U225*Tab_Data_Flows[[#This Row],[WC_'[%']]],"N.A.")</f>
        <v>N.A.</v>
      </c>
      <c r="Z225" s="7" t="str">
        <f>Tab_Data_Flows[[#This Row],[UoM_Flow_Py]]</f>
        <v>Mg</v>
      </c>
      <c r="AA225" s="156">
        <f>INDEX(Tab_Def_Flows[[Flow_ID]:[CC_DM_source]],MATCH(Tab_Data_Flows[[#This Row],[Flow_Name]],Tab_Def_Flows[Flow_Name],0),14)</f>
        <v>0</v>
      </c>
      <c r="AB225" s="7" t="str">
        <f>Tab_Data_Flows[[#This Row],[Flow_ID]]&amp;"_"&amp;"DM_"&amp;Tab_Data_Flows[[#This Row],[Flow_Data_Year]]</f>
        <v>F___DM_</v>
      </c>
      <c r="AC225" s="7" t="str">
        <f>IF(E225="Yes",AA225*Tab_Data_Flows[[#This Row],[Flow_Material]],"N.A.")</f>
        <v>N.A.</v>
      </c>
      <c r="AD225" s="7" t="str">
        <f>Tab_Data_Flows[[#This Row],[UoM_Flow_Py]]</f>
        <v>Mg</v>
      </c>
      <c r="AE225" s="156">
        <f>INDEX(Tab_Def_Flows[[Flow_ID]:[CC_DM_source]],MATCH(Tab_Data_Flows[[#This Row],[Flow_Name]],Tab_Def_Flows[Flow_Name],0),17)</f>
        <v>0</v>
      </c>
      <c r="AF225" s="7" t="str">
        <f>Tab_Data_Flows[[#This Row],[Flow_ID]]&amp;"_"&amp;"CC_"&amp;Tab_Data_Flows[[#This Row],[Flow_Data_Year]]</f>
        <v>F___CC_</v>
      </c>
      <c r="AG225" s="7" t="str">
        <f>IF(F225="Yes",AE225*Tab_Data_Flows[[#This Row],[Flow_Material]]*Tab_Data_Flows[[#This Row],[DM_'[%']]],"N.A.")</f>
        <v>N.A.</v>
      </c>
      <c r="AH225" s="7" t="str">
        <f>Tab_Data_Flows[[#This Row],[UoM_Flow_Py]]</f>
        <v>Mg</v>
      </c>
      <c r="AI225"/>
    </row>
    <row r="226" spans="1:35" x14ac:dyDescent="0.25">
      <c r="A226" s="9">
        <f t="shared" si="7"/>
        <v>225</v>
      </c>
      <c r="B226" s="7" t="str">
        <f>_xlfn.XLOOKUP(C226,Tab_Def_Flows[Flow_Name],Tab_Def_Flows[Flow_ID],,0,)</f>
        <v>F__</v>
      </c>
      <c r="C226" s="8" t="s">
        <v>31</v>
      </c>
      <c r="D226" s="10">
        <f>_xlfn.XLOOKUP(C226,Tab_Def_Flows[Flow_Name],Tab_Def_Flows[WC?],,0,)</f>
        <v>0</v>
      </c>
      <c r="E226" s="10">
        <f>_xlfn.XLOOKUP(C226,Tab_Def_Flows[Flow_Name],Tab_Def_Flows[DM?],,0,)</f>
        <v>0</v>
      </c>
      <c r="F226" s="10">
        <f>_xlfn.XLOOKUP(C226,Tab_Def_Flows[Flow_Name],Tab_Def_Flows[CC?],,0,)</f>
        <v>0</v>
      </c>
      <c r="G226" s="8"/>
      <c r="H226" s="28"/>
      <c r="I226" s="8"/>
      <c r="J226" s="8"/>
      <c r="K226" s="8"/>
      <c r="L226" s="8"/>
      <c r="M226" s="8"/>
      <c r="N226" s="8"/>
      <c r="O226" s="8"/>
      <c r="P226" s="8"/>
      <c r="Q226" s="8" t="s">
        <v>8</v>
      </c>
      <c r="R226" s="21"/>
      <c r="S226" s="8"/>
      <c r="T226" s="7" t="str">
        <f>Tab_Data_Flows[[#This Row],[Flow_ID]]&amp;"_"&amp;"material_"&amp;Tab_Data_Flows[[#This Row],[Flow_Data_Year]]</f>
        <v>F___material_</v>
      </c>
      <c r="U226" s="18">
        <f t="shared" si="8"/>
        <v>0</v>
      </c>
      <c r="V226" s="8" t="s">
        <v>218</v>
      </c>
      <c r="W226" s="156">
        <f>INDEX(Tab_Def_Flows[[Flow_ID]:[CC_DM_source]],MATCH(Tab_Data_Flows[[#This Row],[Flow_Name]],Tab_Def_Flows[Flow_Name],0),11)</f>
        <v>0</v>
      </c>
      <c r="X226" s="7" t="str">
        <f>Tab_Data_Flows[[#This Row],[Flow_ID]]&amp;"_"&amp;"WC_"&amp;Tab_Data_Flows[[#This Row],[Flow_Data_Year]]</f>
        <v>F___WC_</v>
      </c>
      <c r="Y226" s="7" t="str">
        <f>IF(D226="Yes",U226*Tab_Data_Flows[[#This Row],[WC_'[%']]],"N.A.")</f>
        <v>N.A.</v>
      </c>
      <c r="Z226" s="7" t="str">
        <f>Tab_Data_Flows[[#This Row],[UoM_Flow_Py]]</f>
        <v>Mg</v>
      </c>
      <c r="AA226" s="156">
        <f>INDEX(Tab_Def_Flows[[Flow_ID]:[CC_DM_source]],MATCH(Tab_Data_Flows[[#This Row],[Flow_Name]],Tab_Def_Flows[Flow_Name],0),14)</f>
        <v>0</v>
      </c>
      <c r="AB226" s="7" t="str">
        <f>Tab_Data_Flows[[#This Row],[Flow_ID]]&amp;"_"&amp;"DM_"&amp;Tab_Data_Flows[[#This Row],[Flow_Data_Year]]</f>
        <v>F___DM_</v>
      </c>
      <c r="AC226" s="7" t="str">
        <f>IF(E226="Yes",AA226*Tab_Data_Flows[[#This Row],[Flow_Material]],"N.A.")</f>
        <v>N.A.</v>
      </c>
      <c r="AD226" s="7" t="str">
        <f>Tab_Data_Flows[[#This Row],[UoM_Flow_Py]]</f>
        <v>Mg</v>
      </c>
      <c r="AE226" s="156">
        <f>INDEX(Tab_Def_Flows[[Flow_ID]:[CC_DM_source]],MATCH(Tab_Data_Flows[[#This Row],[Flow_Name]],Tab_Def_Flows[Flow_Name],0),17)</f>
        <v>0</v>
      </c>
      <c r="AF226" s="7" t="str">
        <f>Tab_Data_Flows[[#This Row],[Flow_ID]]&amp;"_"&amp;"CC_"&amp;Tab_Data_Flows[[#This Row],[Flow_Data_Year]]</f>
        <v>F___CC_</v>
      </c>
      <c r="AG226" s="7" t="str">
        <f>IF(F226="Yes",AE226*Tab_Data_Flows[[#This Row],[Flow_Material]]*Tab_Data_Flows[[#This Row],[DM_'[%']]],"N.A.")</f>
        <v>N.A.</v>
      </c>
      <c r="AH226" s="7" t="str">
        <f>Tab_Data_Flows[[#This Row],[UoM_Flow_Py]]</f>
        <v>Mg</v>
      </c>
      <c r="AI226"/>
    </row>
    <row r="227" spans="1:35" x14ac:dyDescent="0.25">
      <c r="A227" s="9">
        <f t="shared" si="7"/>
        <v>226</v>
      </c>
      <c r="B227" s="7" t="str">
        <f>_xlfn.XLOOKUP(C227,Tab_Def_Flows[Flow_Name],Tab_Def_Flows[Flow_ID],,0,)</f>
        <v>F__</v>
      </c>
      <c r="C227" s="8" t="s">
        <v>31</v>
      </c>
      <c r="D227" s="10">
        <f>_xlfn.XLOOKUP(C227,Tab_Def_Flows[Flow_Name],Tab_Def_Flows[WC?],,0,)</f>
        <v>0</v>
      </c>
      <c r="E227" s="10">
        <f>_xlfn.XLOOKUP(C227,Tab_Def_Flows[Flow_Name],Tab_Def_Flows[DM?],,0,)</f>
        <v>0</v>
      </c>
      <c r="F227" s="10">
        <f>_xlfn.XLOOKUP(C227,Tab_Def_Flows[Flow_Name],Tab_Def_Flows[CC?],,0,)</f>
        <v>0</v>
      </c>
      <c r="G227" s="8"/>
      <c r="H227" s="28"/>
      <c r="I227" s="8"/>
      <c r="J227" s="8"/>
      <c r="K227" s="8"/>
      <c r="L227" s="8"/>
      <c r="M227" s="8"/>
      <c r="N227" s="8"/>
      <c r="O227" s="8"/>
      <c r="P227" s="8"/>
      <c r="Q227" s="8" t="s">
        <v>8</v>
      </c>
      <c r="R227" s="21"/>
      <c r="S227" s="8"/>
      <c r="T227" s="7" t="str">
        <f>Tab_Data_Flows[[#This Row],[Flow_ID]]&amp;"_"&amp;"material_"&amp;Tab_Data_Flows[[#This Row],[Flow_Data_Year]]</f>
        <v>F___material_</v>
      </c>
      <c r="U227" s="18">
        <f t="shared" si="8"/>
        <v>0</v>
      </c>
      <c r="V227" s="8" t="s">
        <v>218</v>
      </c>
      <c r="W227" s="156">
        <f>INDEX(Tab_Def_Flows[[Flow_ID]:[CC_DM_source]],MATCH(Tab_Data_Flows[[#This Row],[Flow_Name]],Tab_Def_Flows[Flow_Name],0),11)</f>
        <v>0</v>
      </c>
      <c r="X227" s="7" t="str">
        <f>Tab_Data_Flows[[#This Row],[Flow_ID]]&amp;"_"&amp;"WC_"&amp;Tab_Data_Flows[[#This Row],[Flow_Data_Year]]</f>
        <v>F___WC_</v>
      </c>
      <c r="Y227" s="7" t="str">
        <f>IF(D227="Yes",U227*Tab_Data_Flows[[#This Row],[WC_'[%']]],"N.A.")</f>
        <v>N.A.</v>
      </c>
      <c r="Z227" s="7" t="str">
        <f>Tab_Data_Flows[[#This Row],[UoM_Flow_Py]]</f>
        <v>Mg</v>
      </c>
      <c r="AA227" s="156">
        <f>INDEX(Tab_Def_Flows[[Flow_ID]:[CC_DM_source]],MATCH(Tab_Data_Flows[[#This Row],[Flow_Name]],Tab_Def_Flows[Flow_Name],0),14)</f>
        <v>0</v>
      </c>
      <c r="AB227" s="7" t="str">
        <f>Tab_Data_Flows[[#This Row],[Flow_ID]]&amp;"_"&amp;"DM_"&amp;Tab_Data_Flows[[#This Row],[Flow_Data_Year]]</f>
        <v>F___DM_</v>
      </c>
      <c r="AC227" s="7" t="str">
        <f>IF(E227="Yes",AA227*Tab_Data_Flows[[#This Row],[Flow_Material]],"N.A.")</f>
        <v>N.A.</v>
      </c>
      <c r="AD227" s="7" t="str">
        <f>Tab_Data_Flows[[#This Row],[UoM_Flow_Py]]</f>
        <v>Mg</v>
      </c>
      <c r="AE227" s="156">
        <f>INDEX(Tab_Def_Flows[[Flow_ID]:[CC_DM_source]],MATCH(Tab_Data_Flows[[#This Row],[Flow_Name]],Tab_Def_Flows[Flow_Name],0),17)</f>
        <v>0</v>
      </c>
      <c r="AF227" s="7" t="str">
        <f>Tab_Data_Flows[[#This Row],[Flow_ID]]&amp;"_"&amp;"CC_"&amp;Tab_Data_Flows[[#This Row],[Flow_Data_Year]]</f>
        <v>F___CC_</v>
      </c>
      <c r="AG227" s="7" t="str">
        <f>IF(F227="Yes",AE227*Tab_Data_Flows[[#This Row],[Flow_Material]]*Tab_Data_Flows[[#This Row],[DM_'[%']]],"N.A.")</f>
        <v>N.A.</v>
      </c>
      <c r="AH227" s="7" t="str">
        <f>Tab_Data_Flows[[#This Row],[UoM_Flow_Py]]</f>
        <v>Mg</v>
      </c>
      <c r="AI227"/>
    </row>
    <row r="228" spans="1:35" x14ac:dyDescent="0.25">
      <c r="A228" s="9">
        <f t="shared" si="7"/>
        <v>227</v>
      </c>
      <c r="B228" s="7" t="str">
        <f>_xlfn.XLOOKUP(C228,Tab_Def_Flows[Flow_Name],Tab_Def_Flows[Flow_ID],,0,)</f>
        <v>F__</v>
      </c>
      <c r="C228" s="8" t="s">
        <v>31</v>
      </c>
      <c r="D228" s="10">
        <f>_xlfn.XLOOKUP(C228,Tab_Def_Flows[Flow_Name],Tab_Def_Flows[WC?],,0,)</f>
        <v>0</v>
      </c>
      <c r="E228" s="10">
        <f>_xlfn.XLOOKUP(C228,Tab_Def_Flows[Flow_Name],Tab_Def_Flows[DM?],,0,)</f>
        <v>0</v>
      </c>
      <c r="F228" s="10">
        <f>_xlfn.XLOOKUP(C228,Tab_Def_Flows[Flow_Name],Tab_Def_Flows[CC?],,0,)</f>
        <v>0</v>
      </c>
      <c r="G228" s="8"/>
      <c r="H228" s="28"/>
      <c r="I228" s="8"/>
      <c r="J228" s="8"/>
      <c r="K228" s="8"/>
      <c r="L228" s="8"/>
      <c r="M228" s="8"/>
      <c r="N228" s="8"/>
      <c r="O228" s="8"/>
      <c r="P228" s="8"/>
      <c r="Q228" s="8" t="s">
        <v>8</v>
      </c>
      <c r="R228" s="21"/>
      <c r="S228" s="8"/>
      <c r="T228" s="7" t="str">
        <f>Tab_Data_Flows[[#This Row],[Flow_ID]]&amp;"_"&amp;"material_"&amp;Tab_Data_Flows[[#This Row],[Flow_Data_Year]]</f>
        <v>F___material_</v>
      </c>
      <c r="U228" s="18">
        <f t="shared" si="8"/>
        <v>0</v>
      </c>
      <c r="V228" s="8" t="s">
        <v>218</v>
      </c>
      <c r="W228" s="156">
        <f>INDEX(Tab_Def_Flows[[Flow_ID]:[CC_DM_source]],MATCH(Tab_Data_Flows[[#This Row],[Flow_Name]],Tab_Def_Flows[Flow_Name],0),11)</f>
        <v>0</v>
      </c>
      <c r="X228" s="7" t="str">
        <f>Tab_Data_Flows[[#This Row],[Flow_ID]]&amp;"_"&amp;"WC_"&amp;Tab_Data_Flows[[#This Row],[Flow_Data_Year]]</f>
        <v>F___WC_</v>
      </c>
      <c r="Y228" s="7" t="str">
        <f>IF(D228="Yes",U228*Tab_Data_Flows[[#This Row],[WC_'[%']]],"N.A.")</f>
        <v>N.A.</v>
      </c>
      <c r="Z228" s="7" t="str">
        <f>Tab_Data_Flows[[#This Row],[UoM_Flow_Py]]</f>
        <v>Mg</v>
      </c>
      <c r="AA228" s="156">
        <f>INDEX(Tab_Def_Flows[[Flow_ID]:[CC_DM_source]],MATCH(Tab_Data_Flows[[#This Row],[Flow_Name]],Tab_Def_Flows[Flow_Name],0),14)</f>
        <v>0</v>
      </c>
      <c r="AB228" s="7" t="str">
        <f>Tab_Data_Flows[[#This Row],[Flow_ID]]&amp;"_"&amp;"DM_"&amp;Tab_Data_Flows[[#This Row],[Flow_Data_Year]]</f>
        <v>F___DM_</v>
      </c>
      <c r="AC228" s="7" t="str">
        <f>IF(E228="Yes",AA228*Tab_Data_Flows[[#This Row],[Flow_Material]],"N.A.")</f>
        <v>N.A.</v>
      </c>
      <c r="AD228" s="7" t="str">
        <f>Tab_Data_Flows[[#This Row],[UoM_Flow_Py]]</f>
        <v>Mg</v>
      </c>
      <c r="AE228" s="156">
        <f>INDEX(Tab_Def_Flows[[Flow_ID]:[CC_DM_source]],MATCH(Tab_Data_Flows[[#This Row],[Flow_Name]],Tab_Def_Flows[Flow_Name],0),17)</f>
        <v>0</v>
      </c>
      <c r="AF228" s="7" t="str">
        <f>Tab_Data_Flows[[#This Row],[Flow_ID]]&amp;"_"&amp;"CC_"&amp;Tab_Data_Flows[[#This Row],[Flow_Data_Year]]</f>
        <v>F___CC_</v>
      </c>
      <c r="AG228" s="7" t="str">
        <f>IF(F228="Yes",AE228*Tab_Data_Flows[[#This Row],[Flow_Material]]*Tab_Data_Flows[[#This Row],[DM_'[%']]],"N.A.")</f>
        <v>N.A.</v>
      </c>
      <c r="AH228" s="7" t="str">
        <f>Tab_Data_Flows[[#This Row],[UoM_Flow_Py]]</f>
        <v>Mg</v>
      </c>
      <c r="AI228"/>
    </row>
    <row r="229" spans="1:35" x14ac:dyDescent="0.25">
      <c r="A229" s="9">
        <f t="shared" si="7"/>
        <v>228</v>
      </c>
      <c r="B229" s="7" t="str">
        <f>_xlfn.XLOOKUP(C229,Tab_Def_Flows[Flow_Name],Tab_Def_Flows[Flow_ID],,0,)</f>
        <v>F__</v>
      </c>
      <c r="C229" s="8" t="s">
        <v>31</v>
      </c>
      <c r="D229" s="10">
        <f>_xlfn.XLOOKUP(C229,Tab_Def_Flows[Flow_Name],Tab_Def_Flows[WC?],,0,)</f>
        <v>0</v>
      </c>
      <c r="E229" s="10">
        <f>_xlfn.XLOOKUP(C229,Tab_Def_Flows[Flow_Name],Tab_Def_Flows[DM?],,0,)</f>
        <v>0</v>
      </c>
      <c r="F229" s="10">
        <f>_xlfn.XLOOKUP(C229,Tab_Def_Flows[Flow_Name],Tab_Def_Flows[CC?],,0,)</f>
        <v>0</v>
      </c>
      <c r="G229" s="8"/>
      <c r="H229" s="28"/>
      <c r="I229" s="8"/>
      <c r="J229" s="8"/>
      <c r="K229" s="8"/>
      <c r="L229" s="8"/>
      <c r="M229" s="8"/>
      <c r="N229" s="8"/>
      <c r="O229" s="8"/>
      <c r="P229" s="8"/>
      <c r="Q229" s="8" t="s">
        <v>8</v>
      </c>
      <c r="R229" s="21"/>
      <c r="S229" s="8"/>
      <c r="T229" s="7" t="str">
        <f>Tab_Data_Flows[[#This Row],[Flow_ID]]&amp;"_"&amp;"material_"&amp;Tab_Data_Flows[[#This Row],[Flow_Data_Year]]</f>
        <v>F___material_</v>
      </c>
      <c r="U229" s="18">
        <f t="shared" si="8"/>
        <v>0</v>
      </c>
      <c r="V229" s="8" t="s">
        <v>218</v>
      </c>
      <c r="W229" s="156">
        <f>INDEX(Tab_Def_Flows[[Flow_ID]:[CC_DM_source]],MATCH(Tab_Data_Flows[[#This Row],[Flow_Name]],Tab_Def_Flows[Flow_Name],0),11)</f>
        <v>0</v>
      </c>
      <c r="X229" s="7" t="str">
        <f>Tab_Data_Flows[[#This Row],[Flow_ID]]&amp;"_"&amp;"WC_"&amp;Tab_Data_Flows[[#This Row],[Flow_Data_Year]]</f>
        <v>F___WC_</v>
      </c>
      <c r="Y229" s="7" t="str">
        <f>IF(D229="Yes",U229*Tab_Data_Flows[[#This Row],[WC_'[%']]],"N.A.")</f>
        <v>N.A.</v>
      </c>
      <c r="Z229" s="7" t="str">
        <f>Tab_Data_Flows[[#This Row],[UoM_Flow_Py]]</f>
        <v>Mg</v>
      </c>
      <c r="AA229" s="156">
        <f>INDEX(Tab_Def_Flows[[Flow_ID]:[CC_DM_source]],MATCH(Tab_Data_Flows[[#This Row],[Flow_Name]],Tab_Def_Flows[Flow_Name],0),14)</f>
        <v>0</v>
      </c>
      <c r="AB229" s="7" t="str">
        <f>Tab_Data_Flows[[#This Row],[Flow_ID]]&amp;"_"&amp;"DM_"&amp;Tab_Data_Flows[[#This Row],[Flow_Data_Year]]</f>
        <v>F___DM_</v>
      </c>
      <c r="AC229" s="7" t="str">
        <f>IF(E229="Yes",AA229*Tab_Data_Flows[[#This Row],[Flow_Material]],"N.A.")</f>
        <v>N.A.</v>
      </c>
      <c r="AD229" s="7" t="str">
        <f>Tab_Data_Flows[[#This Row],[UoM_Flow_Py]]</f>
        <v>Mg</v>
      </c>
      <c r="AE229" s="156">
        <f>INDEX(Tab_Def_Flows[[Flow_ID]:[CC_DM_source]],MATCH(Tab_Data_Flows[[#This Row],[Flow_Name]],Tab_Def_Flows[Flow_Name],0),17)</f>
        <v>0</v>
      </c>
      <c r="AF229" s="7" t="str">
        <f>Tab_Data_Flows[[#This Row],[Flow_ID]]&amp;"_"&amp;"CC_"&amp;Tab_Data_Flows[[#This Row],[Flow_Data_Year]]</f>
        <v>F___CC_</v>
      </c>
      <c r="AG229" s="7" t="str">
        <f>IF(F229="Yes",AE229*Tab_Data_Flows[[#This Row],[Flow_Material]]*Tab_Data_Flows[[#This Row],[DM_'[%']]],"N.A.")</f>
        <v>N.A.</v>
      </c>
      <c r="AH229" s="7" t="str">
        <f>Tab_Data_Flows[[#This Row],[UoM_Flow_Py]]</f>
        <v>Mg</v>
      </c>
      <c r="AI229"/>
    </row>
    <row r="230" spans="1:35" x14ac:dyDescent="0.25">
      <c r="A230" s="9">
        <f t="shared" si="7"/>
        <v>229</v>
      </c>
      <c r="B230" s="7" t="str">
        <f>_xlfn.XLOOKUP(C230,Tab_Def_Flows[Flow_Name],Tab_Def_Flows[Flow_ID],,0,)</f>
        <v>F__</v>
      </c>
      <c r="C230" s="8" t="s">
        <v>31</v>
      </c>
      <c r="D230" s="10">
        <f>_xlfn.XLOOKUP(C230,Tab_Def_Flows[Flow_Name],Tab_Def_Flows[WC?],,0,)</f>
        <v>0</v>
      </c>
      <c r="E230" s="10">
        <f>_xlfn.XLOOKUP(C230,Tab_Def_Flows[Flow_Name],Tab_Def_Flows[DM?],,0,)</f>
        <v>0</v>
      </c>
      <c r="F230" s="10">
        <f>_xlfn.XLOOKUP(C230,Tab_Def_Flows[Flow_Name],Tab_Def_Flows[CC?],,0,)</f>
        <v>0</v>
      </c>
      <c r="G230" s="8"/>
      <c r="H230" s="28"/>
      <c r="I230" s="8"/>
      <c r="J230" s="8"/>
      <c r="K230" s="8"/>
      <c r="L230" s="8"/>
      <c r="M230" s="8"/>
      <c r="N230" s="8"/>
      <c r="O230" s="8"/>
      <c r="P230" s="8"/>
      <c r="Q230" s="8" t="s">
        <v>8</v>
      </c>
      <c r="R230" s="21"/>
      <c r="S230" s="8"/>
      <c r="T230" s="7" t="str">
        <f>Tab_Data_Flows[[#This Row],[Flow_ID]]&amp;"_"&amp;"material_"&amp;Tab_Data_Flows[[#This Row],[Flow_Data_Year]]</f>
        <v>F___material_</v>
      </c>
      <c r="U230" s="18">
        <f t="shared" si="8"/>
        <v>0</v>
      </c>
      <c r="V230" s="8" t="s">
        <v>218</v>
      </c>
      <c r="W230" s="156">
        <f>INDEX(Tab_Def_Flows[[Flow_ID]:[CC_DM_source]],MATCH(Tab_Data_Flows[[#This Row],[Flow_Name]],Tab_Def_Flows[Flow_Name],0),11)</f>
        <v>0</v>
      </c>
      <c r="X230" s="7" t="str">
        <f>Tab_Data_Flows[[#This Row],[Flow_ID]]&amp;"_"&amp;"WC_"&amp;Tab_Data_Flows[[#This Row],[Flow_Data_Year]]</f>
        <v>F___WC_</v>
      </c>
      <c r="Y230" s="7" t="str">
        <f>IF(D230="Yes",U230*Tab_Data_Flows[[#This Row],[WC_'[%']]],"N.A.")</f>
        <v>N.A.</v>
      </c>
      <c r="Z230" s="7" t="str">
        <f>Tab_Data_Flows[[#This Row],[UoM_Flow_Py]]</f>
        <v>Mg</v>
      </c>
      <c r="AA230" s="156">
        <f>INDEX(Tab_Def_Flows[[Flow_ID]:[CC_DM_source]],MATCH(Tab_Data_Flows[[#This Row],[Flow_Name]],Tab_Def_Flows[Flow_Name],0),14)</f>
        <v>0</v>
      </c>
      <c r="AB230" s="7" t="str">
        <f>Tab_Data_Flows[[#This Row],[Flow_ID]]&amp;"_"&amp;"DM_"&amp;Tab_Data_Flows[[#This Row],[Flow_Data_Year]]</f>
        <v>F___DM_</v>
      </c>
      <c r="AC230" s="7" t="str">
        <f>IF(E230="Yes",AA230*Tab_Data_Flows[[#This Row],[Flow_Material]],"N.A.")</f>
        <v>N.A.</v>
      </c>
      <c r="AD230" s="7" t="str">
        <f>Tab_Data_Flows[[#This Row],[UoM_Flow_Py]]</f>
        <v>Mg</v>
      </c>
      <c r="AE230" s="156">
        <f>INDEX(Tab_Def_Flows[[Flow_ID]:[CC_DM_source]],MATCH(Tab_Data_Flows[[#This Row],[Flow_Name]],Tab_Def_Flows[Flow_Name],0),17)</f>
        <v>0</v>
      </c>
      <c r="AF230" s="7" t="str">
        <f>Tab_Data_Flows[[#This Row],[Flow_ID]]&amp;"_"&amp;"CC_"&amp;Tab_Data_Flows[[#This Row],[Flow_Data_Year]]</f>
        <v>F___CC_</v>
      </c>
      <c r="AG230" s="7" t="str">
        <f>IF(F230="Yes",AE230*Tab_Data_Flows[[#This Row],[Flow_Material]]*Tab_Data_Flows[[#This Row],[DM_'[%']]],"N.A.")</f>
        <v>N.A.</v>
      </c>
      <c r="AH230" s="7" t="str">
        <f>Tab_Data_Flows[[#This Row],[UoM_Flow_Py]]</f>
        <v>Mg</v>
      </c>
      <c r="AI230"/>
    </row>
    <row r="231" spans="1:35" x14ac:dyDescent="0.25">
      <c r="A231" s="9">
        <f t="shared" si="7"/>
        <v>230</v>
      </c>
      <c r="B231" s="7" t="str">
        <f>_xlfn.XLOOKUP(C231,Tab_Def_Flows[Flow_Name],Tab_Def_Flows[Flow_ID],,0,)</f>
        <v>F__</v>
      </c>
      <c r="C231" s="8" t="s">
        <v>31</v>
      </c>
      <c r="D231" s="10">
        <f>_xlfn.XLOOKUP(C231,Tab_Def_Flows[Flow_Name],Tab_Def_Flows[WC?],,0,)</f>
        <v>0</v>
      </c>
      <c r="E231" s="10">
        <f>_xlfn.XLOOKUP(C231,Tab_Def_Flows[Flow_Name],Tab_Def_Flows[DM?],,0,)</f>
        <v>0</v>
      </c>
      <c r="F231" s="10">
        <f>_xlfn.XLOOKUP(C231,Tab_Def_Flows[Flow_Name],Tab_Def_Flows[CC?],,0,)</f>
        <v>0</v>
      </c>
      <c r="G231" s="8"/>
      <c r="H231" s="28"/>
      <c r="I231" s="8"/>
      <c r="J231" s="8"/>
      <c r="K231" s="8"/>
      <c r="L231" s="8"/>
      <c r="M231" s="8"/>
      <c r="N231" s="8"/>
      <c r="O231" s="8"/>
      <c r="P231" s="8"/>
      <c r="Q231" s="8" t="s">
        <v>8</v>
      </c>
      <c r="R231" s="21"/>
      <c r="S231" s="8"/>
      <c r="T231" s="7" t="str">
        <f>Tab_Data_Flows[[#This Row],[Flow_ID]]&amp;"_"&amp;"material_"&amp;Tab_Data_Flows[[#This Row],[Flow_Data_Year]]</f>
        <v>F___material_</v>
      </c>
      <c r="U231" s="18">
        <f t="shared" si="8"/>
        <v>0</v>
      </c>
      <c r="V231" s="8" t="s">
        <v>218</v>
      </c>
      <c r="W231" s="156">
        <f>INDEX(Tab_Def_Flows[[Flow_ID]:[CC_DM_source]],MATCH(Tab_Data_Flows[[#This Row],[Flow_Name]],Tab_Def_Flows[Flow_Name],0),11)</f>
        <v>0</v>
      </c>
      <c r="X231" s="7" t="str">
        <f>Tab_Data_Flows[[#This Row],[Flow_ID]]&amp;"_"&amp;"WC_"&amp;Tab_Data_Flows[[#This Row],[Flow_Data_Year]]</f>
        <v>F___WC_</v>
      </c>
      <c r="Y231" s="7" t="str">
        <f>IF(D231="Yes",U231*Tab_Data_Flows[[#This Row],[WC_'[%']]],"N.A.")</f>
        <v>N.A.</v>
      </c>
      <c r="Z231" s="7" t="str">
        <f>Tab_Data_Flows[[#This Row],[UoM_Flow_Py]]</f>
        <v>Mg</v>
      </c>
      <c r="AA231" s="156">
        <f>INDEX(Tab_Def_Flows[[Flow_ID]:[CC_DM_source]],MATCH(Tab_Data_Flows[[#This Row],[Flow_Name]],Tab_Def_Flows[Flow_Name],0),14)</f>
        <v>0</v>
      </c>
      <c r="AB231" s="7" t="str">
        <f>Tab_Data_Flows[[#This Row],[Flow_ID]]&amp;"_"&amp;"DM_"&amp;Tab_Data_Flows[[#This Row],[Flow_Data_Year]]</f>
        <v>F___DM_</v>
      </c>
      <c r="AC231" s="7" t="str">
        <f>IF(E231="Yes",AA231*Tab_Data_Flows[[#This Row],[Flow_Material]],"N.A.")</f>
        <v>N.A.</v>
      </c>
      <c r="AD231" s="7" t="str">
        <f>Tab_Data_Flows[[#This Row],[UoM_Flow_Py]]</f>
        <v>Mg</v>
      </c>
      <c r="AE231" s="156">
        <f>INDEX(Tab_Def_Flows[[Flow_ID]:[CC_DM_source]],MATCH(Tab_Data_Flows[[#This Row],[Flow_Name]],Tab_Def_Flows[Flow_Name],0),17)</f>
        <v>0</v>
      </c>
      <c r="AF231" s="7" t="str">
        <f>Tab_Data_Flows[[#This Row],[Flow_ID]]&amp;"_"&amp;"CC_"&amp;Tab_Data_Flows[[#This Row],[Flow_Data_Year]]</f>
        <v>F___CC_</v>
      </c>
      <c r="AG231" s="7" t="str">
        <f>IF(F231="Yes",AE231*Tab_Data_Flows[[#This Row],[Flow_Material]]*Tab_Data_Flows[[#This Row],[DM_'[%']]],"N.A.")</f>
        <v>N.A.</v>
      </c>
      <c r="AH231" s="7" t="str">
        <f>Tab_Data_Flows[[#This Row],[UoM_Flow_Py]]</f>
        <v>Mg</v>
      </c>
      <c r="AI231"/>
    </row>
    <row r="232" spans="1:35" x14ac:dyDescent="0.25">
      <c r="A232" s="9">
        <f t="shared" si="7"/>
        <v>231</v>
      </c>
      <c r="B232" s="7" t="str">
        <f>_xlfn.XLOOKUP(C232,Tab_Def_Flows[Flow_Name],Tab_Def_Flows[Flow_ID],,0,)</f>
        <v>F__</v>
      </c>
      <c r="C232" s="8" t="s">
        <v>31</v>
      </c>
      <c r="D232" s="10">
        <f>_xlfn.XLOOKUP(C232,Tab_Def_Flows[Flow_Name],Tab_Def_Flows[WC?],,0,)</f>
        <v>0</v>
      </c>
      <c r="E232" s="10">
        <f>_xlfn.XLOOKUP(C232,Tab_Def_Flows[Flow_Name],Tab_Def_Flows[DM?],,0,)</f>
        <v>0</v>
      </c>
      <c r="F232" s="10">
        <f>_xlfn.XLOOKUP(C232,Tab_Def_Flows[Flow_Name],Tab_Def_Flows[CC?],,0,)</f>
        <v>0</v>
      </c>
      <c r="G232" s="8"/>
      <c r="H232" s="28"/>
      <c r="I232" s="8"/>
      <c r="J232" s="8"/>
      <c r="K232" s="8"/>
      <c r="L232" s="8"/>
      <c r="M232" s="8"/>
      <c r="N232" s="8"/>
      <c r="O232" s="8"/>
      <c r="P232" s="8"/>
      <c r="Q232" s="8" t="s">
        <v>8</v>
      </c>
      <c r="R232" s="21"/>
      <c r="S232" s="8"/>
      <c r="T232" s="7" t="str">
        <f>Tab_Data_Flows[[#This Row],[Flow_ID]]&amp;"_"&amp;"material_"&amp;Tab_Data_Flows[[#This Row],[Flow_Data_Year]]</f>
        <v>F___material_</v>
      </c>
      <c r="U232" s="18">
        <f t="shared" si="8"/>
        <v>0</v>
      </c>
      <c r="V232" s="8" t="s">
        <v>218</v>
      </c>
      <c r="W232" s="156">
        <f>INDEX(Tab_Def_Flows[[Flow_ID]:[CC_DM_source]],MATCH(Tab_Data_Flows[[#This Row],[Flow_Name]],Tab_Def_Flows[Flow_Name],0),11)</f>
        <v>0</v>
      </c>
      <c r="X232" s="7" t="str">
        <f>Tab_Data_Flows[[#This Row],[Flow_ID]]&amp;"_"&amp;"WC_"&amp;Tab_Data_Flows[[#This Row],[Flow_Data_Year]]</f>
        <v>F___WC_</v>
      </c>
      <c r="Y232" s="7" t="str">
        <f>IF(D232="Yes",U232*Tab_Data_Flows[[#This Row],[WC_'[%']]],"N.A.")</f>
        <v>N.A.</v>
      </c>
      <c r="Z232" s="7" t="str">
        <f>Tab_Data_Flows[[#This Row],[UoM_Flow_Py]]</f>
        <v>Mg</v>
      </c>
      <c r="AA232" s="156">
        <f>INDEX(Tab_Def_Flows[[Flow_ID]:[CC_DM_source]],MATCH(Tab_Data_Flows[[#This Row],[Flow_Name]],Tab_Def_Flows[Flow_Name],0),14)</f>
        <v>0</v>
      </c>
      <c r="AB232" s="7" t="str">
        <f>Tab_Data_Flows[[#This Row],[Flow_ID]]&amp;"_"&amp;"DM_"&amp;Tab_Data_Flows[[#This Row],[Flow_Data_Year]]</f>
        <v>F___DM_</v>
      </c>
      <c r="AC232" s="7" t="str">
        <f>IF(E232="Yes",AA232*Tab_Data_Flows[[#This Row],[Flow_Material]],"N.A.")</f>
        <v>N.A.</v>
      </c>
      <c r="AD232" s="7" t="str">
        <f>Tab_Data_Flows[[#This Row],[UoM_Flow_Py]]</f>
        <v>Mg</v>
      </c>
      <c r="AE232" s="156">
        <f>INDEX(Tab_Def_Flows[[Flow_ID]:[CC_DM_source]],MATCH(Tab_Data_Flows[[#This Row],[Flow_Name]],Tab_Def_Flows[Flow_Name],0),17)</f>
        <v>0</v>
      </c>
      <c r="AF232" s="7" t="str">
        <f>Tab_Data_Flows[[#This Row],[Flow_ID]]&amp;"_"&amp;"CC_"&amp;Tab_Data_Flows[[#This Row],[Flow_Data_Year]]</f>
        <v>F___CC_</v>
      </c>
      <c r="AG232" s="7" t="str">
        <f>IF(F232="Yes",AE232*Tab_Data_Flows[[#This Row],[Flow_Material]]*Tab_Data_Flows[[#This Row],[DM_'[%']]],"N.A.")</f>
        <v>N.A.</v>
      </c>
      <c r="AH232" s="7" t="str">
        <f>Tab_Data_Flows[[#This Row],[UoM_Flow_Py]]</f>
        <v>Mg</v>
      </c>
      <c r="AI232"/>
    </row>
    <row r="233" spans="1:35" x14ac:dyDescent="0.25">
      <c r="A233" s="9">
        <f t="shared" si="7"/>
        <v>232</v>
      </c>
      <c r="B233" s="7" t="str">
        <f>_xlfn.XLOOKUP(C233,Tab_Def_Flows[Flow_Name],Tab_Def_Flows[Flow_ID],,0,)</f>
        <v>F__</v>
      </c>
      <c r="C233" s="8" t="s">
        <v>31</v>
      </c>
      <c r="D233" s="10">
        <f>_xlfn.XLOOKUP(C233,Tab_Def_Flows[Flow_Name],Tab_Def_Flows[WC?],,0,)</f>
        <v>0</v>
      </c>
      <c r="E233" s="10">
        <f>_xlfn.XLOOKUP(C233,Tab_Def_Flows[Flow_Name],Tab_Def_Flows[DM?],,0,)</f>
        <v>0</v>
      </c>
      <c r="F233" s="10">
        <f>_xlfn.XLOOKUP(C233,Tab_Def_Flows[Flow_Name],Tab_Def_Flows[CC?],,0,)</f>
        <v>0</v>
      </c>
      <c r="G233" s="8"/>
      <c r="H233" s="28"/>
      <c r="I233" s="8"/>
      <c r="J233" s="8"/>
      <c r="K233" s="8"/>
      <c r="L233" s="8"/>
      <c r="M233" s="8"/>
      <c r="N233" s="8"/>
      <c r="O233" s="8"/>
      <c r="P233" s="8"/>
      <c r="Q233" s="8" t="s">
        <v>8</v>
      </c>
      <c r="R233" s="21"/>
      <c r="S233" s="8"/>
      <c r="T233" s="7" t="str">
        <f>Tab_Data_Flows[[#This Row],[Flow_ID]]&amp;"_"&amp;"material_"&amp;Tab_Data_Flows[[#This Row],[Flow_Data_Year]]</f>
        <v>F___material_</v>
      </c>
      <c r="U233" s="18">
        <f t="shared" si="8"/>
        <v>0</v>
      </c>
      <c r="V233" s="8" t="s">
        <v>218</v>
      </c>
      <c r="W233" s="156">
        <f>INDEX(Tab_Def_Flows[[Flow_ID]:[CC_DM_source]],MATCH(Tab_Data_Flows[[#This Row],[Flow_Name]],Tab_Def_Flows[Flow_Name],0),11)</f>
        <v>0</v>
      </c>
      <c r="X233" s="7" t="str">
        <f>Tab_Data_Flows[[#This Row],[Flow_ID]]&amp;"_"&amp;"WC_"&amp;Tab_Data_Flows[[#This Row],[Flow_Data_Year]]</f>
        <v>F___WC_</v>
      </c>
      <c r="Y233" s="7" t="str">
        <f>IF(D233="Yes",U233*Tab_Data_Flows[[#This Row],[WC_'[%']]],"N.A.")</f>
        <v>N.A.</v>
      </c>
      <c r="Z233" s="7" t="str">
        <f>Tab_Data_Flows[[#This Row],[UoM_Flow_Py]]</f>
        <v>Mg</v>
      </c>
      <c r="AA233" s="156">
        <f>INDEX(Tab_Def_Flows[[Flow_ID]:[CC_DM_source]],MATCH(Tab_Data_Flows[[#This Row],[Flow_Name]],Tab_Def_Flows[Flow_Name],0),14)</f>
        <v>0</v>
      </c>
      <c r="AB233" s="7" t="str">
        <f>Tab_Data_Flows[[#This Row],[Flow_ID]]&amp;"_"&amp;"DM_"&amp;Tab_Data_Flows[[#This Row],[Flow_Data_Year]]</f>
        <v>F___DM_</v>
      </c>
      <c r="AC233" s="7" t="str">
        <f>IF(E233="Yes",AA233*Tab_Data_Flows[[#This Row],[Flow_Material]],"N.A.")</f>
        <v>N.A.</v>
      </c>
      <c r="AD233" s="7" t="str">
        <f>Tab_Data_Flows[[#This Row],[UoM_Flow_Py]]</f>
        <v>Mg</v>
      </c>
      <c r="AE233" s="156">
        <f>INDEX(Tab_Def_Flows[[Flow_ID]:[CC_DM_source]],MATCH(Tab_Data_Flows[[#This Row],[Flow_Name]],Tab_Def_Flows[Flow_Name],0),17)</f>
        <v>0</v>
      </c>
      <c r="AF233" s="7" t="str">
        <f>Tab_Data_Flows[[#This Row],[Flow_ID]]&amp;"_"&amp;"CC_"&amp;Tab_Data_Flows[[#This Row],[Flow_Data_Year]]</f>
        <v>F___CC_</v>
      </c>
      <c r="AG233" s="7" t="str">
        <f>IF(F233="Yes",AE233*Tab_Data_Flows[[#This Row],[Flow_Material]]*Tab_Data_Flows[[#This Row],[DM_'[%']]],"N.A.")</f>
        <v>N.A.</v>
      </c>
      <c r="AH233" s="7" t="str">
        <f>Tab_Data_Flows[[#This Row],[UoM_Flow_Py]]</f>
        <v>Mg</v>
      </c>
      <c r="AI233"/>
    </row>
    <row r="234" spans="1:35" x14ac:dyDescent="0.25">
      <c r="A234" s="9">
        <f t="shared" si="7"/>
        <v>233</v>
      </c>
      <c r="B234" s="7" t="str">
        <f>_xlfn.XLOOKUP(C234,Tab_Def_Flows[Flow_Name],Tab_Def_Flows[Flow_ID],,0,)</f>
        <v>F__</v>
      </c>
      <c r="C234" s="8" t="s">
        <v>31</v>
      </c>
      <c r="D234" s="10">
        <f>_xlfn.XLOOKUP(C234,Tab_Def_Flows[Flow_Name],Tab_Def_Flows[WC?],,0,)</f>
        <v>0</v>
      </c>
      <c r="E234" s="10">
        <f>_xlfn.XLOOKUP(C234,Tab_Def_Flows[Flow_Name],Tab_Def_Flows[DM?],,0,)</f>
        <v>0</v>
      </c>
      <c r="F234" s="10">
        <f>_xlfn.XLOOKUP(C234,Tab_Def_Flows[Flow_Name],Tab_Def_Flows[CC?],,0,)</f>
        <v>0</v>
      </c>
      <c r="G234" s="8"/>
      <c r="H234" s="28"/>
      <c r="I234" s="8"/>
      <c r="J234" s="8"/>
      <c r="K234" s="8"/>
      <c r="L234" s="8"/>
      <c r="M234" s="8"/>
      <c r="N234" s="8"/>
      <c r="O234" s="8"/>
      <c r="P234" s="8"/>
      <c r="Q234" s="8" t="s">
        <v>8</v>
      </c>
      <c r="R234" s="21"/>
      <c r="S234" s="8"/>
      <c r="T234" s="7" t="str">
        <f>Tab_Data_Flows[[#This Row],[Flow_ID]]&amp;"_"&amp;"material_"&amp;Tab_Data_Flows[[#This Row],[Flow_Data_Year]]</f>
        <v>F___material_</v>
      </c>
      <c r="U234" s="18">
        <f t="shared" si="8"/>
        <v>0</v>
      </c>
      <c r="V234" s="8" t="s">
        <v>218</v>
      </c>
      <c r="W234" s="156">
        <f>INDEX(Tab_Def_Flows[[Flow_ID]:[CC_DM_source]],MATCH(Tab_Data_Flows[[#This Row],[Flow_Name]],Tab_Def_Flows[Flow_Name],0),11)</f>
        <v>0</v>
      </c>
      <c r="X234" s="7" t="str">
        <f>Tab_Data_Flows[[#This Row],[Flow_ID]]&amp;"_"&amp;"WC_"&amp;Tab_Data_Flows[[#This Row],[Flow_Data_Year]]</f>
        <v>F___WC_</v>
      </c>
      <c r="Y234" s="7" t="str">
        <f>IF(D234="Yes",U234*Tab_Data_Flows[[#This Row],[WC_'[%']]],"N.A.")</f>
        <v>N.A.</v>
      </c>
      <c r="Z234" s="7" t="str">
        <f>Tab_Data_Flows[[#This Row],[UoM_Flow_Py]]</f>
        <v>Mg</v>
      </c>
      <c r="AA234" s="156">
        <f>INDEX(Tab_Def_Flows[[Flow_ID]:[CC_DM_source]],MATCH(Tab_Data_Flows[[#This Row],[Flow_Name]],Tab_Def_Flows[Flow_Name],0),14)</f>
        <v>0</v>
      </c>
      <c r="AB234" s="7" t="str">
        <f>Tab_Data_Flows[[#This Row],[Flow_ID]]&amp;"_"&amp;"DM_"&amp;Tab_Data_Flows[[#This Row],[Flow_Data_Year]]</f>
        <v>F___DM_</v>
      </c>
      <c r="AC234" s="7" t="str">
        <f>IF(E234="Yes",AA234*Tab_Data_Flows[[#This Row],[Flow_Material]],"N.A.")</f>
        <v>N.A.</v>
      </c>
      <c r="AD234" s="7" t="str">
        <f>Tab_Data_Flows[[#This Row],[UoM_Flow_Py]]</f>
        <v>Mg</v>
      </c>
      <c r="AE234" s="156">
        <f>INDEX(Tab_Def_Flows[[Flow_ID]:[CC_DM_source]],MATCH(Tab_Data_Flows[[#This Row],[Flow_Name]],Tab_Def_Flows[Flow_Name],0),17)</f>
        <v>0</v>
      </c>
      <c r="AF234" s="7" t="str">
        <f>Tab_Data_Flows[[#This Row],[Flow_ID]]&amp;"_"&amp;"CC_"&amp;Tab_Data_Flows[[#This Row],[Flow_Data_Year]]</f>
        <v>F___CC_</v>
      </c>
      <c r="AG234" s="7" t="str">
        <f>IF(F234="Yes",AE234*Tab_Data_Flows[[#This Row],[Flow_Material]]*Tab_Data_Flows[[#This Row],[DM_'[%']]],"N.A.")</f>
        <v>N.A.</v>
      </c>
      <c r="AH234" s="7" t="str">
        <f>Tab_Data_Flows[[#This Row],[UoM_Flow_Py]]</f>
        <v>Mg</v>
      </c>
      <c r="AI234"/>
    </row>
    <row r="235" spans="1:35" x14ac:dyDescent="0.25">
      <c r="A235" s="9">
        <f t="shared" si="7"/>
        <v>234</v>
      </c>
      <c r="B235" s="7" t="str">
        <f>_xlfn.XLOOKUP(C235,Tab_Def_Flows[Flow_Name],Tab_Def_Flows[Flow_ID],,0,)</f>
        <v>F__</v>
      </c>
      <c r="C235" s="8" t="s">
        <v>31</v>
      </c>
      <c r="D235" s="10">
        <f>_xlfn.XLOOKUP(C235,Tab_Def_Flows[Flow_Name],Tab_Def_Flows[WC?],,0,)</f>
        <v>0</v>
      </c>
      <c r="E235" s="10">
        <f>_xlfn.XLOOKUP(C235,Tab_Def_Flows[Flow_Name],Tab_Def_Flows[DM?],,0,)</f>
        <v>0</v>
      </c>
      <c r="F235" s="10">
        <f>_xlfn.XLOOKUP(C235,Tab_Def_Flows[Flow_Name],Tab_Def_Flows[CC?],,0,)</f>
        <v>0</v>
      </c>
      <c r="G235" s="8"/>
      <c r="H235" s="28"/>
      <c r="I235" s="8"/>
      <c r="J235" s="8"/>
      <c r="K235" s="8"/>
      <c r="L235" s="8"/>
      <c r="M235" s="8"/>
      <c r="N235" s="8"/>
      <c r="O235" s="8"/>
      <c r="P235" s="8"/>
      <c r="Q235" s="8" t="s">
        <v>8</v>
      </c>
      <c r="R235" s="21"/>
      <c r="S235" s="8"/>
      <c r="T235" s="7" t="str">
        <f>Tab_Data_Flows[[#This Row],[Flow_ID]]&amp;"_"&amp;"material_"&amp;Tab_Data_Flows[[#This Row],[Flow_Data_Year]]</f>
        <v>F___material_</v>
      </c>
      <c r="U235" s="18">
        <f t="shared" si="8"/>
        <v>0</v>
      </c>
      <c r="V235" s="8" t="s">
        <v>218</v>
      </c>
      <c r="W235" s="156">
        <f>INDEX(Tab_Def_Flows[[Flow_ID]:[CC_DM_source]],MATCH(Tab_Data_Flows[[#This Row],[Flow_Name]],Tab_Def_Flows[Flow_Name],0),11)</f>
        <v>0</v>
      </c>
      <c r="X235" s="7" t="str">
        <f>Tab_Data_Flows[[#This Row],[Flow_ID]]&amp;"_"&amp;"WC_"&amp;Tab_Data_Flows[[#This Row],[Flow_Data_Year]]</f>
        <v>F___WC_</v>
      </c>
      <c r="Y235" s="7" t="str">
        <f>IF(D235="Yes",U235*Tab_Data_Flows[[#This Row],[WC_'[%']]],"N.A.")</f>
        <v>N.A.</v>
      </c>
      <c r="Z235" s="7" t="str">
        <f>Tab_Data_Flows[[#This Row],[UoM_Flow_Py]]</f>
        <v>Mg</v>
      </c>
      <c r="AA235" s="156">
        <f>INDEX(Tab_Def_Flows[[Flow_ID]:[CC_DM_source]],MATCH(Tab_Data_Flows[[#This Row],[Flow_Name]],Tab_Def_Flows[Flow_Name],0),14)</f>
        <v>0</v>
      </c>
      <c r="AB235" s="7" t="str">
        <f>Tab_Data_Flows[[#This Row],[Flow_ID]]&amp;"_"&amp;"DM_"&amp;Tab_Data_Flows[[#This Row],[Flow_Data_Year]]</f>
        <v>F___DM_</v>
      </c>
      <c r="AC235" s="7" t="str">
        <f>IF(E235="Yes",AA235*Tab_Data_Flows[[#This Row],[Flow_Material]],"N.A.")</f>
        <v>N.A.</v>
      </c>
      <c r="AD235" s="7" t="str">
        <f>Tab_Data_Flows[[#This Row],[UoM_Flow_Py]]</f>
        <v>Mg</v>
      </c>
      <c r="AE235" s="156">
        <f>INDEX(Tab_Def_Flows[[Flow_ID]:[CC_DM_source]],MATCH(Tab_Data_Flows[[#This Row],[Flow_Name]],Tab_Def_Flows[Flow_Name],0),17)</f>
        <v>0</v>
      </c>
      <c r="AF235" s="7" t="str">
        <f>Tab_Data_Flows[[#This Row],[Flow_ID]]&amp;"_"&amp;"CC_"&amp;Tab_Data_Flows[[#This Row],[Flow_Data_Year]]</f>
        <v>F___CC_</v>
      </c>
      <c r="AG235" s="7" t="str">
        <f>IF(F235="Yes",AE235*Tab_Data_Flows[[#This Row],[Flow_Material]]*Tab_Data_Flows[[#This Row],[DM_'[%']]],"N.A.")</f>
        <v>N.A.</v>
      </c>
      <c r="AH235" s="7" t="str">
        <f>Tab_Data_Flows[[#This Row],[UoM_Flow_Py]]</f>
        <v>Mg</v>
      </c>
      <c r="AI235"/>
    </row>
    <row r="236" spans="1:35" x14ac:dyDescent="0.25">
      <c r="A236" s="9">
        <f t="shared" si="7"/>
        <v>235</v>
      </c>
      <c r="B236" s="7" t="str">
        <f>_xlfn.XLOOKUP(C236,Tab_Def_Flows[Flow_Name],Tab_Def_Flows[Flow_ID],,0,)</f>
        <v>F__</v>
      </c>
      <c r="C236" s="8" t="s">
        <v>31</v>
      </c>
      <c r="D236" s="10">
        <f>_xlfn.XLOOKUP(C236,Tab_Def_Flows[Flow_Name],Tab_Def_Flows[WC?],,0,)</f>
        <v>0</v>
      </c>
      <c r="E236" s="10">
        <f>_xlfn.XLOOKUP(C236,Tab_Def_Flows[Flow_Name],Tab_Def_Flows[DM?],,0,)</f>
        <v>0</v>
      </c>
      <c r="F236" s="10">
        <f>_xlfn.XLOOKUP(C236,Tab_Def_Flows[Flow_Name],Tab_Def_Flows[CC?],,0,)</f>
        <v>0</v>
      </c>
      <c r="G236" s="8"/>
      <c r="H236" s="28"/>
      <c r="I236" s="8"/>
      <c r="J236" s="8"/>
      <c r="K236" s="8"/>
      <c r="L236" s="8"/>
      <c r="M236" s="8"/>
      <c r="N236" s="8"/>
      <c r="O236" s="8"/>
      <c r="P236" s="8"/>
      <c r="Q236" s="8" t="s">
        <v>8</v>
      </c>
      <c r="R236" s="21"/>
      <c r="S236" s="8"/>
      <c r="T236" s="7" t="str">
        <f>Tab_Data_Flows[[#This Row],[Flow_ID]]&amp;"_"&amp;"material_"&amp;Tab_Data_Flows[[#This Row],[Flow_Data_Year]]</f>
        <v>F___material_</v>
      </c>
      <c r="U236" s="18">
        <f t="shared" si="8"/>
        <v>0</v>
      </c>
      <c r="V236" s="8" t="s">
        <v>218</v>
      </c>
      <c r="W236" s="156">
        <f>INDEX(Tab_Def_Flows[[Flow_ID]:[CC_DM_source]],MATCH(Tab_Data_Flows[[#This Row],[Flow_Name]],Tab_Def_Flows[Flow_Name],0),11)</f>
        <v>0</v>
      </c>
      <c r="X236" s="7" t="str">
        <f>Tab_Data_Flows[[#This Row],[Flow_ID]]&amp;"_"&amp;"WC_"&amp;Tab_Data_Flows[[#This Row],[Flow_Data_Year]]</f>
        <v>F___WC_</v>
      </c>
      <c r="Y236" s="7" t="str">
        <f>IF(D236="Yes",U236*Tab_Data_Flows[[#This Row],[WC_'[%']]],"N.A.")</f>
        <v>N.A.</v>
      </c>
      <c r="Z236" s="7" t="str">
        <f>Tab_Data_Flows[[#This Row],[UoM_Flow_Py]]</f>
        <v>Mg</v>
      </c>
      <c r="AA236" s="156">
        <f>INDEX(Tab_Def_Flows[[Flow_ID]:[CC_DM_source]],MATCH(Tab_Data_Flows[[#This Row],[Flow_Name]],Tab_Def_Flows[Flow_Name],0),14)</f>
        <v>0</v>
      </c>
      <c r="AB236" s="7" t="str">
        <f>Tab_Data_Flows[[#This Row],[Flow_ID]]&amp;"_"&amp;"DM_"&amp;Tab_Data_Flows[[#This Row],[Flow_Data_Year]]</f>
        <v>F___DM_</v>
      </c>
      <c r="AC236" s="7" t="str">
        <f>IF(E236="Yes",AA236*Tab_Data_Flows[[#This Row],[Flow_Material]],"N.A.")</f>
        <v>N.A.</v>
      </c>
      <c r="AD236" s="7" t="str">
        <f>Tab_Data_Flows[[#This Row],[UoM_Flow_Py]]</f>
        <v>Mg</v>
      </c>
      <c r="AE236" s="156">
        <f>INDEX(Tab_Def_Flows[[Flow_ID]:[CC_DM_source]],MATCH(Tab_Data_Flows[[#This Row],[Flow_Name]],Tab_Def_Flows[Flow_Name],0),17)</f>
        <v>0</v>
      </c>
      <c r="AF236" s="7" t="str">
        <f>Tab_Data_Flows[[#This Row],[Flow_ID]]&amp;"_"&amp;"CC_"&amp;Tab_Data_Flows[[#This Row],[Flow_Data_Year]]</f>
        <v>F___CC_</v>
      </c>
      <c r="AG236" s="7" t="str">
        <f>IF(F236="Yes",AE236*Tab_Data_Flows[[#This Row],[Flow_Material]]*Tab_Data_Flows[[#This Row],[DM_'[%']]],"N.A.")</f>
        <v>N.A.</v>
      </c>
      <c r="AH236" s="7" t="str">
        <f>Tab_Data_Flows[[#This Row],[UoM_Flow_Py]]</f>
        <v>Mg</v>
      </c>
      <c r="AI236"/>
    </row>
    <row r="237" spans="1:35" x14ac:dyDescent="0.25">
      <c r="A237" s="9">
        <f t="shared" si="7"/>
        <v>236</v>
      </c>
      <c r="B237" s="7" t="str">
        <f>_xlfn.XLOOKUP(C237,Tab_Def_Flows[Flow_Name],Tab_Def_Flows[Flow_ID],,0,)</f>
        <v>F__</v>
      </c>
      <c r="C237" s="8" t="s">
        <v>31</v>
      </c>
      <c r="D237" s="10">
        <f>_xlfn.XLOOKUP(C237,Tab_Def_Flows[Flow_Name],Tab_Def_Flows[WC?],,0,)</f>
        <v>0</v>
      </c>
      <c r="E237" s="10">
        <f>_xlfn.XLOOKUP(C237,Tab_Def_Flows[Flow_Name],Tab_Def_Flows[DM?],,0,)</f>
        <v>0</v>
      </c>
      <c r="F237" s="10">
        <f>_xlfn.XLOOKUP(C237,Tab_Def_Flows[Flow_Name],Tab_Def_Flows[CC?],,0,)</f>
        <v>0</v>
      </c>
      <c r="G237" s="8"/>
      <c r="H237" s="28"/>
      <c r="I237" s="8"/>
      <c r="J237" s="8"/>
      <c r="K237" s="8"/>
      <c r="L237" s="8"/>
      <c r="M237" s="8"/>
      <c r="N237" s="8"/>
      <c r="O237" s="8"/>
      <c r="P237" s="8"/>
      <c r="Q237" s="8" t="s">
        <v>8</v>
      </c>
      <c r="R237" s="21"/>
      <c r="S237" s="8"/>
      <c r="T237" s="7" t="str">
        <f>Tab_Data_Flows[[#This Row],[Flow_ID]]&amp;"_"&amp;"material_"&amp;Tab_Data_Flows[[#This Row],[Flow_Data_Year]]</f>
        <v>F___material_</v>
      </c>
      <c r="U237" s="18">
        <f t="shared" si="8"/>
        <v>0</v>
      </c>
      <c r="V237" s="8" t="s">
        <v>218</v>
      </c>
      <c r="W237" s="156">
        <f>INDEX(Tab_Def_Flows[[Flow_ID]:[CC_DM_source]],MATCH(Tab_Data_Flows[[#This Row],[Flow_Name]],Tab_Def_Flows[Flow_Name],0),11)</f>
        <v>0</v>
      </c>
      <c r="X237" s="7" t="str">
        <f>Tab_Data_Flows[[#This Row],[Flow_ID]]&amp;"_"&amp;"WC_"&amp;Tab_Data_Flows[[#This Row],[Flow_Data_Year]]</f>
        <v>F___WC_</v>
      </c>
      <c r="Y237" s="7" t="str">
        <f>IF(D237="Yes",U237*Tab_Data_Flows[[#This Row],[WC_'[%']]],"N.A.")</f>
        <v>N.A.</v>
      </c>
      <c r="Z237" s="7" t="str">
        <f>Tab_Data_Flows[[#This Row],[UoM_Flow_Py]]</f>
        <v>Mg</v>
      </c>
      <c r="AA237" s="156">
        <f>INDEX(Tab_Def_Flows[[Flow_ID]:[CC_DM_source]],MATCH(Tab_Data_Flows[[#This Row],[Flow_Name]],Tab_Def_Flows[Flow_Name],0),14)</f>
        <v>0</v>
      </c>
      <c r="AB237" s="7" t="str">
        <f>Tab_Data_Flows[[#This Row],[Flow_ID]]&amp;"_"&amp;"DM_"&amp;Tab_Data_Flows[[#This Row],[Flow_Data_Year]]</f>
        <v>F___DM_</v>
      </c>
      <c r="AC237" s="7" t="str">
        <f>IF(E237="Yes",AA237*Tab_Data_Flows[[#This Row],[Flow_Material]],"N.A.")</f>
        <v>N.A.</v>
      </c>
      <c r="AD237" s="7" t="str">
        <f>Tab_Data_Flows[[#This Row],[UoM_Flow_Py]]</f>
        <v>Mg</v>
      </c>
      <c r="AE237" s="156">
        <f>INDEX(Tab_Def_Flows[[Flow_ID]:[CC_DM_source]],MATCH(Tab_Data_Flows[[#This Row],[Flow_Name]],Tab_Def_Flows[Flow_Name],0),17)</f>
        <v>0</v>
      </c>
      <c r="AF237" s="7" t="str">
        <f>Tab_Data_Flows[[#This Row],[Flow_ID]]&amp;"_"&amp;"CC_"&amp;Tab_Data_Flows[[#This Row],[Flow_Data_Year]]</f>
        <v>F___CC_</v>
      </c>
      <c r="AG237" s="7" t="str">
        <f>IF(F237="Yes",AE237*Tab_Data_Flows[[#This Row],[Flow_Material]]*Tab_Data_Flows[[#This Row],[DM_'[%']]],"N.A.")</f>
        <v>N.A.</v>
      </c>
      <c r="AH237" s="7" t="str">
        <f>Tab_Data_Flows[[#This Row],[UoM_Flow_Py]]</f>
        <v>Mg</v>
      </c>
      <c r="AI237"/>
    </row>
    <row r="238" spans="1:35" x14ac:dyDescent="0.25">
      <c r="A238" s="9">
        <f t="shared" si="7"/>
        <v>237</v>
      </c>
      <c r="B238" s="7" t="str">
        <f>_xlfn.XLOOKUP(C238,Tab_Def_Flows[Flow_Name],Tab_Def_Flows[Flow_ID],,0,)</f>
        <v>F__</v>
      </c>
      <c r="C238" s="8" t="s">
        <v>31</v>
      </c>
      <c r="D238" s="10">
        <f>_xlfn.XLOOKUP(C238,Tab_Def_Flows[Flow_Name],Tab_Def_Flows[WC?],,0,)</f>
        <v>0</v>
      </c>
      <c r="E238" s="10">
        <f>_xlfn.XLOOKUP(C238,Tab_Def_Flows[Flow_Name],Tab_Def_Flows[DM?],,0,)</f>
        <v>0</v>
      </c>
      <c r="F238" s="10">
        <f>_xlfn.XLOOKUP(C238,Tab_Def_Flows[Flow_Name],Tab_Def_Flows[CC?],,0,)</f>
        <v>0</v>
      </c>
      <c r="G238" s="8"/>
      <c r="H238" s="28"/>
      <c r="I238" s="8"/>
      <c r="J238" s="8"/>
      <c r="K238" s="8"/>
      <c r="L238" s="8"/>
      <c r="M238" s="8"/>
      <c r="N238" s="8"/>
      <c r="O238" s="8"/>
      <c r="P238" s="8"/>
      <c r="Q238" s="8" t="s">
        <v>8</v>
      </c>
      <c r="R238" s="21"/>
      <c r="S238" s="8"/>
      <c r="T238" s="7" t="str">
        <f>Tab_Data_Flows[[#This Row],[Flow_ID]]&amp;"_"&amp;"material_"&amp;Tab_Data_Flows[[#This Row],[Flow_Data_Year]]</f>
        <v>F___material_</v>
      </c>
      <c r="U238" s="18">
        <f t="shared" si="8"/>
        <v>0</v>
      </c>
      <c r="V238" s="8" t="s">
        <v>218</v>
      </c>
      <c r="W238" s="156">
        <f>INDEX(Tab_Def_Flows[[Flow_ID]:[CC_DM_source]],MATCH(Tab_Data_Flows[[#This Row],[Flow_Name]],Tab_Def_Flows[Flow_Name],0),11)</f>
        <v>0</v>
      </c>
      <c r="X238" s="7" t="str">
        <f>Tab_Data_Flows[[#This Row],[Flow_ID]]&amp;"_"&amp;"WC_"&amp;Tab_Data_Flows[[#This Row],[Flow_Data_Year]]</f>
        <v>F___WC_</v>
      </c>
      <c r="Y238" s="7" t="str">
        <f>IF(D238="Yes",U238*Tab_Data_Flows[[#This Row],[WC_'[%']]],"N.A.")</f>
        <v>N.A.</v>
      </c>
      <c r="Z238" s="7" t="str">
        <f>Tab_Data_Flows[[#This Row],[UoM_Flow_Py]]</f>
        <v>Mg</v>
      </c>
      <c r="AA238" s="156">
        <f>INDEX(Tab_Def_Flows[[Flow_ID]:[CC_DM_source]],MATCH(Tab_Data_Flows[[#This Row],[Flow_Name]],Tab_Def_Flows[Flow_Name],0),14)</f>
        <v>0</v>
      </c>
      <c r="AB238" s="7" t="str">
        <f>Tab_Data_Flows[[#This Row],[Flow_ID]]&amp;"_"&amp;"DM_"&amp;Tab_Data_Flows[[#This Row],[Flow_Data_Year]]</f>
        <v>F___DM_</v>
      </c>
      <c r="AC238" s="7" t="str">
        <f>IF(E238="Yes",AA238*Tab_Data_Flows[[#This Row],[Flow_Material]],"N.A.")</f>
        <v>N.A.</v>
      </c>
      <c r="AD238" s="7" t="str">
        <f>Tab_Data_Flows[[#This Row],[UoM_Flow_Py]]</f>
        <v>Mg</v>
      </c>
      <c r="AE238" s="156">
        <f>INDEX(Tab_Def_Flows[[Flow_ID]:[CC_DM_source]],MATCH(Tab_Data_Flows[[#This Row],[Flow_Name]],Tab_Def_Flows[Flow_Name],0),17)</f>
        <v>0</v>
      </c>
      <c r="AF238" s="7" t="str">
        <f>Tab_Data_Flows[[#This Row],[Flow_ID]]&amp;"_"&amp;"CC_"&amp;Tab_Data_Flows[[#This Row],[Flow_Data_Year]]</f>
        <v>F___CC_</v>
      </c>
      <c r="AG238" s="7" t="str">
        <f>IF(F238="Yes",AE238*Tab_Data_Flows[[#This Row],[Flow_Material]]*Tab_Data_Flows[[#This Row],[DM_'[%']]],"N.A.")</f>
        <v>N.A.</v>
      </c>
      <c r="AH238" s="7" t="str">
        <f>Tab_Data_Flows[[#This Row],[UoM_Flow_Py]]</f>
        <v>Mg</v>
      </c>
      <c r="AI238"/>
    </row>
    <row r="239" spans="1:35" x14ac:dyDescent="0.25">
      <c r="A239" s="9">
        <f t="shared" si="7"/>
        <v>238</v>
      </c>
      <c r="B239" s="7" t="str">
        <f>_xlfn.XLOOKUP(C239,Tab_Def_Flows[Flow_Name],Tab_Def_Flows[Flow_ID],,0,)</f>
        <v>F__</v>
      </c>
      <c r="C239" s="8" t="s">
        <v>31</v>
      </c>
      <c r="D239" s="10">
        <f>_xlfn.XLOOKUP(C239,Tab_Def_Flows[Flow_Name],Tab_Def_Flows[WC?],,0,)</f>
        <v>0</v>
      </c>
      <c r="E239" s="10">
        <f>_xlfn.XLOOKUP(C239,Tab_Def_Flows[Flow_Name],Tab_Def_Flows[DM?],,0,)</f>
        <v>0</v>
      </c>
      <c r="F239" s="10">
        <f>_xlfn.XLOOKUP(C239,Tab_Def_Flows[Flow_Name],Tab_Def_Flows[CC?],,0,)</f>
        <v>0</v>
      </c>
      <c r="G239" s="8"/>
      <c r="H239" s="28"/>
      <c r="I239" s="8"/>
      <c r="J239" s="8"/>
      <c r="K239" s="8"/>
      <c r="L239" s="8"/>
      <c r="M239" s="8"/>
      <c r="N239" s="8"/>
      <c r="O239" s="8"/>
      <c r="P239" s="8"/>
      <c r="Q239" s="8" t="s">
        <v>8</v>
      </c>
      <c r="R239" s="21"/>
      <c r="S239" s="8"/>
      <c r="T239" s="7" t="str">
        <f>Tab_Data_Flows[[#This Row],[Flow_ID]]&amp;"_"&amp;"material_"&amp;Tab_Data_Flows[[#This Row],[Flow_Data_Year]]</f>
        <v>F___material_</v>
      </c>
      <c r="U239" s="18">
        <f t="shared" si="8"/>
        <v>0</v>
      </c>
      <c r="V239" s="8" t="s">
        <v>218</v>
      </c>
      <c r="W239" s="156">
        <f>INDEX(Tab_Def_Flows[[Flow_ID]:[CC_DM_source]],MATCH(Tab_Data_Flows[[#This Row],[Flow_Name]],Tab_Def_Flows[Flow_Name],0),11)</f>
        <v>0</v>
      </c>
      <c r="X239" s="7" t="str">
        <f>Tab_Data_Flows[[#This Row],[Flow_ID]]&amp;"_"&amp;"WC_"&amp;Tab_Data_Flows[[#This Row],[Flow_Data_Year]]</f>
        <v>F___WC_</v>
      </c>
      <c r="Y239" s="7" t="str">
        <f>IF(D239="Yes",U239*Tab_Data_Flows[[#This Row],[WC_'[%']]],"N.A.")</f>
        <v>N.A.</v>
      </c>
      <c r="Z239" s="7" t="str">
        <f>Tab_Data_Flows[[#This Row],[UoM_Flow_Py]]</f>
        <v>Mg</v>
      </c>
      <c r="AA239" s="156">
        <f>INDEX(Tab_Def_Flows[[Flow_ID]:[CC_DM_source]],MATCH(Tab_Data_Flows[[#This Row],[Flow_Name]],Tab_Def_Flows[Flow_Name],0),14)</f>
        <v>0</v>
      </c>
      <c r="AB239" s="7" t="str">
        <f>Tab_Data_Flows[[#This Row],[Flow_ID]]&amp;"_"&amp;"DM_"&amp;Tab_Data_Flows[[#This Row],[Flow_Data_Year]]</f>
        <v>F___DM_</v>
      </c>
      <c r="AC239" s="7" t="str">
        <f>IF(E239="Yes",AA239*Tab_Data_Flows[[#This Row],[Flow_Material]],"N.A.")</f>
        <v>N.A.</v>
      </c>
      <c r="AD239" s="7" t="str">
        <f>Tab_Data_Flows[[#This Row],[UoM_Flow_Py]]</f>
        <v>Mg</v>
      </c>
      <c r="AE239" s="156">
        <f>INDEX(Tab_Def_Flows[[Flow_ID]:[CC_DM_source]],MATCH(Tab_Data_Flows[[#This Row],[Flow_Name]],Tab_Def_Flows[Flow_Name],0),17)</f>
        <v>0</v>
      </c>
      <c r="AF239" s="7" t="str">
        <f>Tab_Data_Flows[[#This Row],[Flow_ID]]&amp;"_"&amp;"CC_"&amp;Tab_Data_Flows[[#This Row],[Flow_Data_Year]]</f>
        <v>F___CC_</v>
      </c>
      <c r="AG239" s="7" t="str">
        <f>IF(F239="Yes",AE239*Tab_Data_Flows[[#This Row],[Flow_Material]]*Tab_Data_Flows[[#This Row],[DM_'[%']]],"N.A.")</f>
        <v>N.A.</v>
      </c>
      <c r="AH239" s="7" t="str">
        <f>Tab_Data_Flows[[#This Row],[UoM_Flow_Py]]</f>
        <v>Mg</v>
      </c>
      <c r="AI239"/>
    </row>
    <row r="240" spans="1:35" x14ac:dyDescent="0.25">
      <c r="A240" s="9">
        <f t="shared" si="7"/>
        <v>239</v>
      </c>
      <c r="B240" s="7" t="str">
        <f>_xlfn.XLOOKUP(C240,Tab_Def_Flows[Flow_Name],Tab_Def_Flows[Flow_ID],,0,)</f>
        <v>F__</v>
      </c>
      <c r="C240" s="8" t="s">
        <v>31</v>
      </c>
      <c r="D240" s="10">
        <f>_xlfn.XLOOKUP(C240,Tab_Def_Flows[Flow_Name],Tab_Def_Flows[WC?],,0,)</f>
        <v>0</v>
      </c>
      <c r="E240" s="10">
        <f>_xlfn.XLOOKUP(C240,Tab_Def_Flows[Flow_Name],Tab_Def_Flows[DM?],,0,)</f>
        <v>0</v>
      </c>
      <c r="F240" s="10">
        <f>_xlfn.XLOOKUP(C240,Tab_Def_Flows[Flow_Name],Tab_Def_Flows[CC?],,0,)</f>
        <v>0</v>
      </c>
      <c r="G240" s="8"/>
      <c r="H240" s="28"/>
      <c r="I240" s="8"/>
      <c r="J240" s="8"/>
      <c r="K240" s="8"/>
      <c r="L240" s="8"/>
      <c r="M240" s="8"/>
      <c r="N240" s="8"/>
      <c r="O240" s="8"/>
      <c r="P240" s="8"/>
      <c r="Q240" s="8" t="s">
        <v>8</v>
      </c>
      <c r="R240" s="21"/>
      <c r="S240" s="8"/>
      <c r="T240" s="7" t="str">
        <f>Tab_Data_Flows[[#This Row],[Flow_ID]]&amp;"_"&amp;"material_"&amp;Tab_Data_Flows[[#This Row],[Flow_Data_Year]]</f>
        <v>F___material_</v>
      </c>
      <c r="U240" s="18">
        <f t="shared" si="8"/>
        <v>0</v>
      </c>
      <c r="V240" s="8" t="s">
        <v>218</v>
      </c>
      <c r="W240" s="156">
        <f>INDEX(Tab_Def_Flows[[Flow_ID]:[CC_DM_source]],MATCH(Tab_Data_Flows[[#This Row],[Flow_Name]],Tab_Def_Flows[Flow_Name],0),11)</f>
        <v>0</v>
      </c>
      <c r="X240" s="7" t="str">
        <f>Tab_Data_Flows[[#This Row],[Flow_ID]]&amp;"_"&amp;"WC_"&amp;Tab_Data_Flows[[#This Row],[Flow_Data_Year]]</f>
        <v>F___WC_</v>
      </c>
      <c r="Y240" s="7" t="str">
        <f>IF(D240="Yes",U240*Tab_Data_Flows[[#This Row],[WC_'[%']]],"N.A.")</f>
        <v>N.A.</v>
      </c>
      <c r="Z240" s="7" t="str">
        <f>Tab_Data_Flows[[#This Row],[UoM_Flow_Py]]</f>
        <v>Mg</v>
      </c>
      <c r="AA240" s="156">
        <f>INDEX(Tab_Def_Flows[[Flow_ID]:[CC_DM_source]],MATCH(Tab_Data_Flows[[#This Row],[Flow_Name]],Tab_Def_Flows[Flow_Name],0),14)</f>
        <v>0</v>
      </c>
      <c r="AB240" s="7" t="str">
        <f>Tab_Data_Flows[[#This Row],[Flow_ID]]&amp;"_"&amp;"DM_"&amp;Tab_Data_Flows[[#This Row],[Flow_Data_Year]]</f>
        <v>F___DM_</v>
      </c>
      <c r="AC240" s="7" t="str">
        <f>IF(E240="Yes",AA240*Tab_Data_Flows[[#This Row],[Flow_Material]],"N.A.")</f>
        <v>N.A.</v>
      </c>
      <c r="AD240" s="7" t="str">
        <f>Tab_Data_Flows[[#This Row],[UoM_Flow_Py]]</f>
        <v>Mg</v>
      </c>
      <c r="AE240" s="156">
        <f>INDEX(Tab_Def_Flows[[Flow_ID]:[CC_DM_source]],MATCH(Tab_Data_Flows[[#This Row],[Flow_Name]],Tab_Def_Flows[Flow_Name],0),17)</f>
        <v>0</v>
      </c>
      <c r="AF240" s="7" t="str">
        <f>Tab_Data_Flows[[#This Row],[Flow_ID]]&amp;"_"&amp;"CC_"&amp;Tab_Data_Flows[[#This Row],[Flow_Data_Year]]</f>
        <v>F___CC_</v>
      </c>
      <c r="AG240" s="7" t="str">
        <f>IF(F240="Yes",AE240*Tab_Data_Flows[[#This Row],[Flow_Material]]*Tab_Data_Flows[[#This Row],[DM_'[%']]],"N.A.")</f>
        <v>N.A.</v>
      </c>
      <c r="AH240" s="7" t="str">
        <f>Tab_Data_Flows[[#This Row],[UoM_Flow_Py]]</f>
        <v>Mg</v>
      </c>
      <c r="AI240"/>
    </row>
    <row r="241" spans="1:35" x14ac:dyDescent="0.25">
      <c r="A241" s="9">
        <f t="shared" si="7"/>
        <v>240</v>
      </c>
      <c r="B241" s="7" t="str">
        <f>_xlfn.XLOOKUP(C241,Tab_Def_Flows[Flow_Name],Tab_Def_Flows[Flow_ID],,0,)</f>
        <v>F__</v>
      </c>
      <c r="C241" s="8" t="s">
        <v>31</v>
      </c>
      <c r="D241" s="10">
        <f>_xlfn.XLOOKUP(C241,Tab_Def_Flows[Flow_Name],Tab_Def_Flows[WC?],,0,)</f>
        <v>0</v>
      </c>
      <c r="E241" s="10">
        <f>_xlfn.XLOOKUP(C241,Tab_Def_Flows[Flow_Name],Tab_Def_Flows[DM?],,0,)</f>
        <v>0</v>
      </c>
      <c r="F241" s="10">
        <f>_xlfn.XLOOKUP(C241,Tab_Def_Flows[Flow_Name],Tab_Def_Flows[CC?],,0,)</f>
        <v>0</v>
      </c>
      <c r="G241" s="8"/>
      <c r="H241" s="28"/>
      <c r="I241" s="8"/>
      <c r="J241" s="8"/>
      <c r="K241" s="8"/>
      <c r="L241" s="8"/>
      <c r="M241" s="8"/>
      <c r="N241" s="8"/>
      <c r="O241" s="8"/>
      <c r="P241" s="8"/>
      <c r="Q241" s="8" t="s">
        <v>8</v>
      </c>
      <c r="R241" s="21"/>
      <c r="S241" s="8"/>
      <c r="T241" s="7" t="str">
        <f>Tab_Data_Flows[[#This Row],[Flow_ID]]&amp;"_"&amp;"material_"&amp;Tab_Data_Flows[[#This Row],[Flow_Data_Year]]</f>
        <v>F___material_</v>
      </c>
      <c r="U241" s="18">
        <f t="shared" si="8"/>
        <v>0</v>
      </c>
      <c r="V241" s="8" t="s">
        <v>218</v>
      </c>
      <c r="W241" s="156">
        <f>INDEX(Tab_Def_Flows[[Flow_ID]:[CC_DM_source]],MATCH(Tab_Data_Flows[[#This Row],[Flow_Name]],Tab_Def_Flows[Flow_Name],0),11)</f>
        <v>0</v>
      </c>
      <c r="X241" s="7" t="str">
        <f>Tab_Data_Flows[[#This Row],[Flow_ID]]&amp;"_"&amp;"WC_"&amp;Tab_Data_Flows[[#This Row],[Flow_Data_Year]]</f>
        <v>F___WC_</v>
      </c>
      <c r="Y241" s="7" t="str">
        <f>IF(D241="Yes",U241*Tab_Data_Flows[[#This Row],[WC_'[%']]],"N.A.")</f>
        <v>N.A.</v>
      </c>
      <c r="Z241" s="7" t="str">
        <f>Tab_Data_Flows[[#This Row],[UoM_Flow_Py]]</f>
        <v>Mg</v>
      </c>
      <c r="AA241" s="156">
        <f>INDEX(Tab_Def_Flows[[Flow_ID]:[CC_DM_source]],MATCH(Tab_Data_Flows[[#This Row],[Flow_Name]],Tab_Def_Flows[Flow_Name],0),14)</f>
        <v>0</v>
      </c>
      <c r="AB241" s="7" t="str">
        <f>Tab_Data_Flows[[#This Row],[Flow_ID]]&amp;"_"&amp;"DM_"&amp;Tab_Data_Flows[[#This Row],[Flow_Data_Year]]</f>
        <v>F___DM_</v>
      </c>
      <c r="AC241" s="7" t="str">
        <f>IF(E241="Yes",AA241*Tab_Data_Flows[[#This Row],[Flow_Material]],"N.A.")</f>
        <v>N.A.</v>
      </c>
      <c r="AD241" s="7" t="str">
        <f>Tab_Data_Flows[[#This Row],[UoM_Flow_Py]]</f>
        <v>Mg</v>
      </c>
      <c r="AE241" s="156">
        <f>INDEX(Tab_Def_Flows[[Flow_ID]:[CC_DM_source]],MATCH(Tab_Data_Flows[[#This Row],[Flow_Name]],Tab_Def_Flows[Flow_Name],0),17)</f>
        <v>0</v>
      </c>
      <c r="AF241" s="7" t="str">
        <f>Tab_Data_Flows[[#This Row],[Flow_ID]]&amp;"_"&amp;"CC_"&amp;Tab_Data_Flows[[#This Row],[Flow_Data_Year]]</f>
        <v>F___CC_</v>
      </c>
      <c r="AG241" s="7" t="str">
        <f>IF(F241="Yes",AE241*Tab_Data_Flows[[#This Row],[Flow_Material]]*Tab_Data_Flows[[#This Row],[DM_'[%']]],"N.A.")</f>
        <v>N.A.</v>
      </c>
      <c r="AH241" s="7" t="str">
        <f>Tab_Data_Flows[[#This Row],[UoM_Flow_Py]]</f>
        <v>Mg</v>
      </c>
      <c r="AI241"/>
    </row>
    <row r="242" spans="1:35" x14ac:dyDescent="0.25">
      <c r="A242" s="9">
        <f t="shared" si="7"/>
        <v>241</v>
      </c>
      <c r="B242" s="7" t="str">
        <f>_xlfn.XLOOKUP(C242,Tab_Def_Flows[Flow_Name],Tab_Def_Flows[Flow_ID],,0,)</f>
        <v>F__</v>
      </c>
      <c r="C242" s="8" t="s">
        <v>31</v>
      </c>
      <c r="D242" s="10">
        <f>_xlfn.XLOOKUP(C242,Tab_Def_Flows[Flow_Name],Tab_Def_Flows[WC?],,0,)</f>
        <v>0</v>
      </c>
      <c r="E242" s="10">
        <f>_xlfn.XLOOKUP(C242,Tab_Def_Flows[Flow_Name],Tab_Def_Flows[DM?],,0,)</f>
        <v>0</v>
      </c>
      <c r="F242" s="10">
        <f>_xlfn.XLOOKUP(C242,Tab_Def_Flows[Flow_Name],Tab_Def_Flows[CC?],,0,)</f>
        <v>0</v>
      </c>
      <c r="G242" s="8"/>
      <c r="H242" s="28"/>
      <c r="I242" s="8"/>
      <c r="J242" s="8"/>
      <c r="K242" s="8"/>
      <c r="L242" s="8"/>
      <c r="M242" s="8"/>
      <c r="N242" s="8"/>
      <c r="O242" s="8"/>
      <c r="P242" s="8"/>
      <c r="Q242" s="8" t="s">
        <v>8</v>
      </c>
      <c r="R242" s="21"/>
      <c r="S242" s="8"/>
      <c r="T242" s="7" t="str">
        <f>Tab_Data_Flows[[#This Row],[Flow_ID]]&amp;"_"&amp;"material_"&amp;Tab_Data_Flows[[#This Row],[Flow_Data_Year]]</f>
        <v>F___material_</v>
      </c>
      <c r="U242" s="18">
        <f t="shared" si="8"/>
        <v>0</v>
      </c>
      <c r="V242" s="8" t="s">
        <v>218</v>
      </c>
      <c r="W242" s="156">
        <f>INDEX(Tab_Def_Flows[[Flow_ID]:[CC_DM_source]],MATCH(Tab_Data_Flows[[#This Row],[Flow_Name]],Tab_Def_Flows[Flow_Name],0),11)</f>
        <v>0</v>
      </c>
      <c r="X242" s="7" t="str">
        <f>Tab_Data_Flows[[#This Row],[Flow_ID]]&amp;"_"&amp;"WC_"&amp;Tab_Data_Flows[[#This Row],[Flow_Data_Year]]</f>
        <v>F___WC_</v>
      </c>
      <c r="Y242" s="7" t="str">
        <f>IF(D242="Yes",U242*Tab_Data_Flows[[#This Row],[WC_'[%']]],"N.A.")</f>
        <v>N.A.</v>
      </c>
      <c r="Z242" s="7" t="str">
        <f>Tab_Data_Flows[[#This Row],[UoM_Flow_Py]]</f>
        <v>Mg</v>
      </c>
      <c r="AA242" s="156">
        <f>INDEX(Tab_Def_Flows[[Flow_ID]:[CC_DM_source]],MATCH(Tab_Data_Flows[[#This Row],[Flow_Name]],Tab_Def_Flows[Flow_Name],0),14)</f>
        <v>0</v>
      </c>
      <c r="AB242" s="7" t="str">
        <f>Tab_Data_Flows[[#This Row],[Flow_ID]]&amp;"_"&amp;"DM_"&amp;Tab_Data_Flows[[#This Row],[Flow_Data_Year]]</f>
        <v>F___DM_</v>
      </c>
      <c r="AC242" s="7" t="str">
        <f>IF(E242="Yes",AA242*Tab_Data_Flows[[#This Row],[Flow_Material]],"N.A.")</f>
        <v>N.A.</v>
      </c>
      <c r="AD242" s="7" t="str">
        <f>Tab_Data_Flows[[#This Row],[UoM_Flow_Py]]</f>
        <v>Mg</v>
      </c>
      <c r="AE242" s="156">
        <f>INDEX(Tab_Def_Flows[[Flow_ID]:[CC_DM_source]],MATCH(Tab_Data_Flows[[#This Row],[Flow_Name]],Tab_Def_Flows[Flow_Name],0),17)</f>
        <v>0</v>
      </c>
      <c r="AF242" s="7" t="str">
        <f>Tab_Data_Flows[[#This Row],[Flow_ID]]&amp;"_"&amp;"CC_"&amp;Tab_Data_Flows[[#This Row],[Flow_Data_Year]]</f>
        <v>F___CC_</v>
      </c>
      <c r="AG242" s="7" t="str">
        <f>IF(F242="Yes",AE242*Tab_Data_Flows[[#This Row],[Flow_Material]]*Tab_Data_Flows[[#This Row],[DM_'[%']]],"N.A.")</f>
        <v>N.A.</v>
      </c>
      <c r="AH242" s="7" t="str">
        <f>Tab_Data_Flows[[#This Row],[UoM_Flow_Py]]</f>
        <v>Mg</v>
      </c>
      <c r="AI242"/>
    </row>
    <row r="243" spans="1:35" x14ac:dyDescent="0.25">
      <c r="A243" s="9">
        <f t="shared" si="7"/>
        <v>242</v>
      </c>
      <c r="B243" s="7" t="str">
        <f>_xlfn.XLOOKUP(C243,Tab_Def_Flows[Flow_Name],Tab_Def_Flows[Flow_ID],,0,)</f>
        <v>F__</v>
      </c>
      <c r="C243" s="8" t="s">
        <v>31</v>
      </c>
      <c r="D243" s="10">
        <f>_xlfn.XLOOKUP(C243,Tab_Def_Flows[Flow_Name],Tab_Def_Flows[WC?],,0,)</f>
        <v>0</v>
      </c>
      <c r="E243" s="10">
        <f>_xlfn.XLOOKUP(C243,Tab_Def_Flows[Flow_Name],Tab_Def_Flows[DM?],,0,)</f>
        <v>0</v>
      </c>
      <c r="F243" s="10">
        <f>_xlfn.XLOOKUP(C243,Tab_Def_Flows[Flow_Name],Tab_Def_Flows[CC?],,0,)</f>
        <v>0</v>
      </c>
      <c r="G243" s="8"/>
      <c r="H243" s="28"/>
      <c r="I243" s="8"/>
      <c r="J243" s="8"/>
      <c r="K243" s="8"/>
      <c r="L243" s="8"/>
      <c r="M243" s="8"/>
      <c r="N243" s="8"/>
      <c r="O243" s="8"/>
      <c r="P243" s="8"/>
      <c r="Q243" s="8" t="s">
        <v>8</v>
      </c>
      <c r="R243" s="21"/>
      <c r="S243" s="8"/>
      <c r="T243" s="7" t="str">
        <f>Tab_Data_Flows[[#This Row],[Flow_ID]]&amp;"_"&amp;"material_"&amp;Tab_Data_Flows[[#This Row],[Flow_Data_Year]]</f>
        <v>F___material_</v>
      </c>
      <c r="U243" s="18">
        <f t="shared" si="8"/>
        <v>0</v>
      </c>
      <c r="V243" s="8" t="s">
        <v>218</v>
      </c>
      <c r="W243" s="156">
        <f>INDEX(Tab_Def_Flows[[Flow_ID]:[CC_DM_source]],MATCH(Tab_Data_Flows[[#This Row],[Flow_Name]],Tab_Def_Flows[Flow_Name],0),11)</f>
        <v>0</v>
      </c>
      <c r="X243" s="7" t="str">
        <f>Tab_Data_Flows[[#This Row],[Flow_ID]]&amp;"_"&amp;"WC_"&amp;Tab_Data_Flows[[#This Row],[Flow_Data_Year]]</f>
        <v>F___WC_</v>
      </c>
      <c r="Y243" s="7" t="str">
        <f>IF(D243="Yes",U243*Tab_Data_Flows[[#This Row],[WC_'[%']]],"N.A.")</f>
        <v>N.A.</v>
      </c>
      <c r="Z243" s="7" t="str">
        <f>Tab_Data_Flows[[#This Row],[UoM_Flow_Py]]</f>
        <v>Mg</v>
      </c>
      <c r="AA243" s="156">
        <f>INDEX(Tab_Def_Flows[[Flow_ID]:[CC_DM_source]],MATCH(Tab_Data_Flows[[#This Row],[Flow_Name]],Tab_Def_Flows[Flow_Name],0),14)</f>
        <v>0</v>
      </c>
      <c r="AB243" s="7" t="str">
        <f>Tab_Data_Flows[[#This Row],[Flow_ID]]&amp;"_"&amp;"DM_"&amp;Tab_Data_Flows[[#This Row],[Flow_Data_Year]]</f>
        <v>F___DM_</v>
      </c>
      <c r="AC243" s="7" t="str">
        <f>IF(E243="Yes",AA243*Tab_Data_Flows[[#This Row],[Flow_Material]],"N.A.")</f>
        <v>N.A.</v>
      </c>
      <c r="AD243" s="7" t="str">
        <f>Tab_Data_Flows[[#This Row],[UoM_Flow_Py]]</f>
        <v>Mg</v>
      </c>
      <c r="AE243" s="156">
        <f>INDEX(Tab_Def_Flows[[Flow_ID]:[CC_DM_source]],MATCH(Tab_Data_Flows[[#This Row],[Flow_Name]],Tab_Def_Flows[Flow_Name],0),17)</f>
        <v>0</v>
      </c>
      <c r="AF243" s="7" t="str">
        <f>Tab_Data_Flows[[#This Row],[Flow_ID]]&amp;"_"&amp;"CC_"&amp;Tab_Data_Flows[[#This Row],[Flow_Data_Year]]</f>
        <v>F___CC_</v>
      </c>
      <c r="AG243" s="7" t="str">
        <f>IF(F243="Yes",AE243*Tab_Data_Flows[[#This Row],[Flow_Material]]*Tab_Data_Flows[[#This Row],[DM_'[%']]],"N.A.")</f>
        <v>N.A.</v>
      </c>
      <c r="AH243" s="7" t="str">
        <f>Tab_Data_Flows[[#This Row],[UoM_Flow_Py]]</f>
        <v>Mg</v>
      </c>
      <c r="AI243"/>
    </row>
    <row r="244" spans="1:35" x14ac:dyDescent="0.25">
      <c r="A244" s="9">
        <f t="shared" si="7"/>
        <v>243</v>
      </c>
      <c r="B244" s="7" t="str">
        <f>_xlfn.XLOOKUP(C244,Tab_Def_Flows[Flow_Name],Tab_Def_Flows[Flow_ID],,0,)</f>
        <v>F__</v>
      </c>
      <c r="C244" s="8" t="s">
        <v>31</v>
      </c>
      <c r="D244" s="10">
        <f>_xlfn.XLOOKUP(C244,Tab_Def_Flows[Flow_Name],Tab_Def_Flows[WC?],,0,)</f>
        <v>0</v>
      </c>
      <c r="E244" s="10">
        <f>_xlfn.XLOOKUP(C244,Tab_Def_Flows[Flow_Name],Tab_Def_Flows[DM?],,0,)</f>
        <v>0</v>
      </c>
      <c r="F244" s="10">
        <f>_xlfn.XLOOKUP(C244,Tab_Def_Flows[Flow_Name],Tab_Def_Flows[CC?],,0,)</f>
        <v>0</v>
      </c>
      <c r="G244" s="8"/>
      <c r="H244" s="28"/>
      <c r="I244" s="8"/>
      <c r="J244" s="8"/>
      <c r="K244" s="8"/>
      <c r="L244" s="8"/>
      <c r="M244" s="8"/>
      <c r="N244" s="8"/>
      <c r="O244" s="8"/>
      <c r="P244" s="8"/>
      <c r="Q244" s="8" t="s">
        <v>8</v>
      </c>
      <c r="R244" s="21"/>
      <c r="S244" s="8"/>
      <c r="T244" s="7" t="str">
        <f>Tab_Data_Flows[[#This Row],[Flow_ID]]&amp;"_"&amp;"material_"&amp;Tab_Data_Flows[[#This Row],[Flow_Data_Year]]</f>
        <v>F___material_</v>
      </c>
      <c r="U244" s="18">
        <f t="shared" si="8"/>
        <v>0</v>
      </c>
      <c r="V244" s="8" t="s">
        <v>218</v>
      </c>
      <c r="W244" s="156">
        <f>INDEX(Tab_Def_Flows[[Flow_ID]:[CC_DM_source]],MATCH(Tab_Data_Flows[[#This Row],[Flow_Name]],Tab_Def_Flows[Flow_Name],0),11)</f>
        <v>0</v>
      </c>
      <c r="X244" s="7" t="str">
        <f>Tab_Data_Flows[[#This Row],[Flow_ID]]&amp;"_"&amp;"WC_"&amp;Tab_Data_Flows[[#This Row],[Flow_Data_Year]]</f>
        <v>F___WC_</v>
      </c>
      <c r="Y244" s="7" t="str">
        <f>IF(D244="Yes",U244*Tab_Data_Flows[[#This Row],[WC_'[%']]],"N.A.")</f>
        <v>N.A.</v>
      </c>
      <c r="Z244" s="7" t="str">
        <f>Tab_Data_Flows[[#This Row],[UoM_Flow_Py]]</f>
        <v>Mg</v>
      </c>
      <c r="AA244" s="156">
        <f>INDEX(Tab_Def_Flows[[Flow_ID]:[CC_DM_source]],MATCH(Tab_Data_Flows[[#This Row],[Flow_Name]],Tab_Def_Flows[Flow_Name],0),14)</f>
        <v>0</v>
      </c>
      <c r="AB244" s="7" t="str">
        <f>Tab_Data_Flows[[#This Row],[Flow_ID]]&amp;"_"&amp;"DM_"&amp;Tab_Data_Flows[[#This Row],[Flow_Data_Year]]</f>
        <v>F___DM_</v>
      </c>
      <c r="AC244" s="7" t="str">
        <f>IF(E244="Yes",AA244*Tab_Data_Flows[[#This Row],[Flow_Material]],"N.A.")</f>
        <v>N.A.</v>
      </c>
      <c r="AD244" s="7" t="str">
        <f>Tab_Data_Flows[[#This Row],[UoM_Flow_Py]]</f>
        <v>Mg</v>
      </c>
      <c r="AE244" s="156">
        <f>INDEX(Tab_Def_Flows[[Flow_ID]:[CC_DM_source]],MATCH(Tab_Data_Flows[[#This Row],[Flow_Name]],Tab_Def_Flows[Flow_Name],0),17)</f>
        <v>0</v>
      </c>
      <c r="AF244" s="7" t="str">
        <f>Tab_Data_Flows[[#This Row],[Flow_ID]]&amp;"_"&amp;"CC_"&amp;Tab_Data_Flows[[#This Row],[Flow_Data_Year]]</f>
        <v>F___CC_</v>
      </c>
      <c r="AG244" s="7" t="str">
        <f>IF(F244="Yes",AE244*Tab_Data_Flows[[#This Row],[Flow_Material]]*Tab_Data_Flows[[#This Row],[DM_'[%']]],"N.A.")</f>
        <v>N.A.</v>
      </c>
      <c r="AH244" s="7" t="str">
        <f>Tab_Data_Flows[[#This Row],[UoM_Flow_Py]]</f>
        <v>Mg</v>
      </c>
      <c r="AI244"/>
    </row>
    <row r="245" spans="1:35" x14ac:dyDescent="0.25">
      <c r="A245" s="9">
        <f t="shared" si="7"/>
        <v>244</v>
      </c>
      <c r="B245" s="7" t="str">
        <f>_xlfn.XLOOKUP(C245,Tab_Def_Flows[Flow_Name],Tab_Def_Flows[Flow_ID],,0,)</f>
        <v>F__</v>
      </c>
      <c r="C245" s="8" t="s">
        <v>31</v>
      </c>
      <c r="D245" s="10">
        <f>_xlfn.XLOOKUP(C245,Tab_Def_Flows[Flow_Name],Tab_Def_Flows[WC?],,0,)</f>
        <v>0</v>
      </c>
      <c r="E245" s="10">
        <f>_xlfn.XLOOKUP(C245,Tab_Def_Flows[Flow_Name],Tab_Def_Flows[DM?],,0,)</f>
        <v>0</v>
      </c>
      <c r="F245" s="10">
        <f>_xlfn.XLOOKUP(C245,Tab_Def_Flows[Flow_Name],Tab_Def_Flows[CC?],,0,)</f>
        <v>0</v>
      </c>
      <c r="G245" s="8"/>
      <c r="H245" s="28"/>
      <c r="I245" s="8"/>
      <c r="J245" s="8"/>
      <c r="K245" s="8"/>
      <c r="L245" s="8"/>
      <c r="M245" s="8"/>
      <c r="N245" s="8"/>
      <c r="O245" s="8"/>
      <c r="P245" s="8"/>
      <c r="Q245" s="8" t="s">
        <v>8</v>
      </c>
      <c r="R245" s="21"/>
      <c r="S245" s="8"/>
      <c r="T245" s="7" t="str">
        <f>Tab_Data_Flows[[#This Row],[Flow_ID]]&amp;"_"&amp;"material_"&amp;Tab_Data_Flows[[#This Row],[Flow_Data_Year]]</f>
        <v>F___material_</v>
      </c>
      <c r="U245" s="18">
        <f t="shared" si="8"/>
        <v>0</v>
      </c>
      <c r="V245" s="8" t="s">
        <v>218</v>
      </c>
      <c r="W245" s="156">
        <f>INDEX(Tab_Def_Flows[[Flow_ID]:[CC_DM_source]],MATCH(Tab_Data_Flows[[#This Row],[Flow_Name]],Tab_Def_Flows[Flow_Name],0),11)</f>
        <v>0</v>
      </c>
      <c r="X245" s="7" t="str">
        <f>Tab_Data_Flows[[#This Row],[Flow_ID]]&amp;"_"&amp;"WC_"&amp;Tab_Data_Flows[[#This Row],[Flow_Data_Year]]</f>
        <v>F___WC_</v>
      </c>
      <c r="Y245" s="7" t="str">
        <f>IF(D245="Yes",U245*Tab_Data_Flows[[#This Row],[WC_'[%']]],"N.A.")</f>
        <v>N.A.</v>
      </c>
      <c r="Z245" s="7" t="str">
        <f>Tab_Data_Flows[[#This Row],[UoM_Flow_Py]]</f>
        <v>Mg</v>
      </c>
      <c r="AA245" s="156">
        <f>INDEX(Tab_Def_Flows[[Flow_ID]:[CC_DM_source]],MATCH(Tab_Data_Flows[[#This Row],[Flow_Name]],Tab_Def_Flows[Flow_Name],0),14)</f>
        <v>0</v>
      </c>
      <c r="AB245" s="7" t="str">
        <f>Tab_Data_Flows[[#This Row],[Flow_ID]]&amp;"_"&amp;"DM_"&amp;Tab_Data_Flows[[#This Row],[Flow_Data_Year]]</f>
        <v>F___DM_</v>
      </c>
      <c r="AC245" s="7" t="str">
        <f>IF(E245="Yes",AA245*Tab_Data_Flows[[#This Row],[Flow_Material]],"N.A.")</f>
        <v>N.A.</v>
      </c>
      <c r="AD245" s="7" t="str">
        <f>Tab_Data_Flows[[#This Row],[UoM_Flow_Py]]</f>
        <v>Mg</v>
      </c>
      <c r="AE245" s="156">
        <f>INDEX(Tab_Def_Flows[[Flow_ID]:[CC_DM_source]],MATCH(Tab_Data_Flows[[#This Row],[Flow_Name]],Tab_Def_Flows[Flow_Name],0),17)</f>
        <v>0</v>
      </c>
      <c r="AF245" s="7" t="str">
        <f>Tab_Data_Flows[[#This Row],[Flow_ID]]&amp;"_"&amp;"CC_"&amp;Tab_Data_Flows[[#This Row],[Flow_Data_Year]]</f>
        <v>F___CC_</v>
      </c>
      <c r="AG245" s="7" t="str">
        <f>IF(F245="Yes",AE245*Tab_Data_Flows[[#This Row],[Flow_Material]]*Tab_Data_Flows[[#This Row],[DM_'[%']]],"N.A.")</f>
        <v>N.A.</v>
      </c>
      <c r="AH245" s="7" t="str">
        <f>Tab_Data_Flows[[#This Row],[UoM_Flow_Py]]</f>
        <v>Mg</v>
      </c>
      <c r="AI245"/>
    </row>
    <row r="246" spans="1:35" x14ac:dyDescent="0.25">
      <c r="A246" s="9">
        <f t="shared" si="7"/>
        <v>245</v>
      </c>
      <c r="B246" s="7" t="str">
        <f>_xlfn.XLOOKUP(C246,Tab_Def_Flows[Flow_Name],Tab_Def_Flows[Flow_ID],,0,)</f>
        <v>F__</v>
      </c>
      <c r="C246" s="8" t="s">
        <v>31</v>
      </c>
      <c r="D246" s="10">
        <f>_xlfn.XLOOKUP(C246,Tab_Def_Flows[Flow_Name],Tab_Def_Flows[WC?],,0,)</f>
        <v>0</v>
      </c>
      <c r="E246" s="10">
        <f>_xlfn.XLOOKUP(C246,Tab_Def_Flows[Flow_Name],Tab_Def_Flows[DM?],,0,)</f>
        <v>0</v>
      </c>
      <c r="F246" s="10">
        <f>_xlfn.XLOOKUP(C246,Tab_Def_Flows[Flow_Name],Tab_Def_Flows[CC?],,0,)</f>
        <v>0</v>
      </c>
      <c r="G246" s="8"/>
      <c r="H246" s="28"/>
      <c r="I246" s="8"/>
      <c r="J246" s="8"/>
      <c r="K246" s="8"/>
      <c r="L246" s="8"/>
      <c r="M246" s="8"/>
      <c r="N246" s="8"/>
      <c r="O246" s="8"/>
      <c r="P246" s="8"/>
      <c r="Q246" s="8" t="s">
        <v>8</v>
      </c>
      <c r="R246" s="21"/>
      <c r="S246" s="8"/>
      <c r="T246" s="7" t="str">
        <f>Tab_Data_Flows[[#This Row],[Flow_ID]]&amp;"_"&amp;"material_"&amp;Tab_Data_Flows[[#This Row],[Flow_Data_Year]]</f>
        <v>F___material_</v>
      </c>
      <c r="U246" s="18">
        <f t="shared" si="8"/>
        <v>0</v>
      </c>
      <c r="V246" s="8" t="s">
        <v>218</v>
      </c>
      <c r="W246" s="156">
        <f>INDEX(Tab_Def_Flows[[Flow_ID]:[CC_DM_source]],MATCH(Tab_Data_Flows[[#This Row],[Flow_Name]],Tab_Def_Flows[Flow_Name],0),11)</f>
        <v>0</v>
      </c>
      <c r="X246" s="7" t="str">
        <f>Tab_Data_Flows[[#This Row],[Flow_ID]]&amp;"_"&amp;"WC_"&amp;Tab_Data_Flows[[#This Row],[Flow_Data_Year]]</f>
        <v>F___WC_</v>
      </c>
      <c r="Y246" s="7" t="str">
        <f>IF(D246="Yes",U246*Tab_Data_Flows[[#This Row],[WC_'[%']]],"N.A.")</f>
        <v>N.A.</v>
      </c>
      <c r="Z246" s="7" t="str">
        <f>Tab_Data_Flows[[#This Row],[UoM_Flow_Py]]</f>
        <v>Mg</v>
      </c>
      <c r="AA246" s="156">
        <f>INDEX(Tab_Def_Flows[[Flow_ID]:[CC_DM_source]],MATCH(Tab_Data_Flows[[#This Row],[Flow_Name]],Tab_Def_Flows[Flow_Name],0),14)</f>
        <v>0</v>
      </c>
      <c r="AB246" s="7" t="str">
        <f>Tab_Data_Flows[[#This Row],[Flow_ID]]&amp;"_"&amp;"DM_"&amp;Tab_Data_Flows[[#This Row],[Flow_Data_Year]]</f>
        <v>F___DM_</v>
      </c>
      <c r="AC246" s="7" t="str">
        <f>IF(E246="Yes",AA246*Tab_Data_Flows[[#This Row],[Flow_Material]],"N.A.")</f>
        <v>N.A.</v>
      </c>
      <c r="AD246" s="7" t="str">
        <f>Tab_Data_Flows[[#This Row],[UoM_Flow_Py]]</f>
        <v>Mg</v>
      </c>
      <c r="AE246" s="156">
        <f>INDEX(Tab_Def_Flows[[Flow_ID]:[CC_DM_source]],MATCH(Tab_Data_Flows[[#This Row],[Flow_Name]],Tab_Def_Flows[Flow_Name],0),17)</f>
        <v>0</v>
      </c>
      <c r="AF246" s="7" t="str">
        <f>Tab_Data_Flows[[#This Row],[Flow_ID]]&amp;"_"&amp;"CC_"&amp;Tab_Data_Flows[[#This Row],[Flow_Data_Year]]</f>
        <v>F___CC_</v>
      </c>
      <c r="AG246" s="7" t="str">
        <f>IF(F246="Yes",AE246*Tab_Data_Flows[[#This Row],[Flow_Material]]*Tab_Data_Flows[[#This Row],[DM_'[%']]],"N.A.")</f>
        <v>N.A.</v>
      </c>
      <c r="AH246" s="7" t="str">
        <f>Tab_Data_Flows[[#This Row],[UoM_Flow_Py]]</f>
        <v>Mg</v>
      </c>
      <c r="AI246"/>
    </row>
    <row r="247" spans="1:35" x14ac:dyDescent="0.25">
      <c r="A247" s="9">
        <f t="shared" si="7"/>
        <v>246</v>
      </c>
      <c r="B247" s="7" t="str">
        <f>_xlfn.XLOOKUP(C247,Tab_Def_Flows[Flow_Name],Tab_Def_Flows[Flow_ID],,0,)</f>
        <v>F__</v>
      </c>
      <c r="C247" s="8" t="s">
        <v>31</v>
      </c>
      <c r="D247" s="10">
        <f>_xlfn.XLOOKUP(C247,Tab_Def_Flows[Flow_Name],Tab_Def_Flows[WC?],,0,)</f>
        <v>0</v>
      </c>
      <c r="E247" s="10">
        <f>_xlfn.XLOOKUP(C247,Tab_Def_Flows[Flow_Name],Tab_Def_Flows[DM?],,0,)</f>
        <v>0</v>
      </c>
      <c r="F247" s="10">
        <f>_xlfn.XLOOKUP(C247,Tab_Def_Flows[Flow_Name],Tab_Def_Flows[CC?],,0,)</f>
        <v>0</v>
      </c>
      <c r="G247" s="8"/>
      <c r="H247" s="28"/>
      <c r="I247" s="8"/>
      <c r="J247" s="8"/>
      <c r="K247" s="8"/>
      <c r="L247" s="8"/>
      <c r="M247" s="8"/>
      <c r="N247" s="8"/>
      <c r="O247" s="8"/>
      <c r="P247" s="8"/>
      <c r="Q247" s="8" t="s">
        <v>8</v>
      </c>
      <c r="R247" s="21"/>
      <c r="S247" s="8"/>
      <c r="T247" s="7" t="str">
        <f>Tab_Data_Flows[[#This Row],[Flow_ID]]&amp;"_"&amp;"material_"&amp;Tab_Data_Flows[[#This Row],[Flow_Data_Year]]</f>
        <v>F___material_</v>
      </c>
      <c r="U247" s="18">
        <f t="shared" si="8"/>
        <v>0</v>
      </c>
      <c r="V247" s="8" t="s">
        <v>218</v>
      </c>
      <c r="W247" s="156">
        <f>INDEX(Tab_Def_Flows[[Flow_ID]:[CC_DM_source]],MATCH(Tab_Data_Flows[[#This Row],[Flow_Name]],Tab_Def_Flows[Flow_Name],0),11)</f>
        <v>0</v>
      </c>
      <c r="X247" s="7" t="str">
        <f>Tab_Data_Flows[[#This Row],[Flow_ID]]&amp;"_"&amp;"WC_"&amp;Tab_Data_Flows[[#This Row],[Flow_Data_Year]]</f>
        <v>F___WC_</v>
      </c>
      <c r="Y247" s="7" t="str">
        <f>IF(D247="Yes",U247*Tab_Data_Flows[[#This Row],[WC_'[%']]],"N.A.")</f>
        <v>N.A.</v>
      </c>
      <c r="Z247" s="7" t="str">
        <f>Tab_Data_Flows[[#This Row],[UoM_Flow_Py]]</f>
        <v>Mg</v>
      </c>
      <c r="AA247" s="156">
        <f>INDEX(Tab_Def_Flows[[Flow_ID]:[CC_DM_source]],MATCH(Tab_Data_Flows[[#This Row],[Flow_Name]],Tab_Def_Flows[Flow_Name],0),14)</f>
        <v>0</v>
      </c>
      <c r="AB247" s="7" t="str">
        <f>Tab_Data_Flows[[#This Row],[Flow_ID]]&amp;"_"&amp;"DM_"&amp;Tab_Data_Flows[[#This Row],[Flow_Data_Year]]</f>
        <v>F___DM_</v>
      </c>
      <c r="AC247" s="7" t="str">
        <f>IF(E247="Yes",AA247*Tab_Data_Flows[[#This Row],[Flow_Material]],"N.A.")</f>
        <v>N.A.</v>
      </c>
      <c r="AD247" s="7" t="str">
        <f>Tab_Data_Flows[[#This Row],[UoM_Flow_Py]]</f>
        <v>Mg</v>
      </c>
      <c r="AE247" s="156">
        <f>INDEX(Tab_Def_Flows[[Flow_ID]:[CC_DM_source]],MATCH(Tab_Data_Flows[[#This Row],[Flow_Name]],Tab_Def_Flows[Flow_Name],0),17)</f>
        <v>0</v>
      </c>
      <c r="AF247" s="7" t="str">
        <f>Tab_Data_Flows[[#This Row],[Flow_ID]]&amp;"_"&amp;"CC_"&amp;Tab_Data_Flows[[#This Row],[Flow_Data_Year]]</f>
        <v>F___CC_</v>
      </c>
      <c r="AG247" s="7" t="str">
        <f>IF(F247="Yes",AE247*Tab_Data_Flows[[#This Row],[Flow_Material]]*Tab_Data_Flows[[#This Row],[DM_'[%']]],"N.A.")</f>
        <v>N.A.</v>
      </c>
      <c r="AH247" s="7" t="str">
        <f>Tab_Data_Flows[[#This Row],[UoM_Flow_Py]]</f>
        <v>Mg</v>
      </c>
      <c r="AI247"/>
    </row>
    <row r="248" spans="1:35" x14ac:dyDescent="0.25">
      <c r="A248" s="9">
        <f t="shared" si="7"/>
        <v>247</v>
      </c>
      <c r="B248" s="7" t="str">
        <f>_xlfn.XLOOKUP(C248,Tab_Def_Flows[Flow_Name],Tab_Def_Flows[Flow_ID],,0,)</f>
        <v>F__</v>
      </c>
      <c r="C248" s="8" t="s">
        <v>31</v>
      </c>
      <c r="D248" s="10">
        <f>_xlfn.XLOOKUP(C248,Tab_Def_Flows[Flow_Name],Tab_Def_Flows[WC?],,0,)</f>
        <v>0</v>
      </c>
      <c r="E248" s="10">
        <f>_xlfn.XLOOKUP(C248,Tab_Def_Flows[Flow_Name],Tab_Def_Flows[DM?],,0,)</f>
        <v>0</v>
      </c>
      <c r="F248" s="10">
        <f>_xlfn.XLOOKUP(C248,Tab_Def_Flows[Flow_Name],Tab_Def_Flows[CC?],,0,)</f>
        <v>0</v>
      </c>
      <c r="G248" s="8"/>
      <c r="H248" s="28"/>
      <c r="I248" s="8"/>
      <c r="J248" s="8"/>
      <c r="K248" s="8"/>
      <c r="L248" s="8"/>
      <c r="M248" s="8"/>
      <c r="N248" s="8"/>
      <c r="O248" s="8"/>
      <c r="P248" s="8"/>
      <c r="Q248" s="8" t="s">
        <v>8</v>
      </c>
      <c r="R248" s="21"/>
      <c r="S248" s="8"/>
      <c r="T248" s="7" t="str">
        <f>Tab_Data_Flows[[#This Row],[Flow_ID]]&amp;"_"&amp;"material_"&amp;Tab_Data_Flows[[#This Row],[Flow_Data_Year]]</f>
        <v>F___material_</v>
      </c>
      <c r="U248" s="18">
        <f t="shared" si="8"/>
        <v>0</v>
      </c>
      <c r="V248" s="8" t="s">
        <v>218</v>
      </c>
      <c r="W248" s="156">
        <f>INDEX(Tab_Def_Flows[[Flow_ID]:[CC_DM_source]],MATCH(Tab_Data_Flows[[#This Row],[Flow_Name]],Tab_Def_Flows[Flow_Name],0),11)</f>
        <v>0</v>
      </c>
      <c r="X248" s="7" t="str">
        <f>Tab_Data_Flows[[#This Row],[Flow_ID]]&amp;"_"&amp;"WC_"&amp;Tab_Data_Flows[[#This Row],[Flow_Data_Year]]</f>
        <v>F___WC_</v>
      </c>
      <c r="Y248" s="7" t="str">
        <f>IF(D248="Yes",U248*Tab_Data_Flows[[#This Row],[WC_'[%']]],"N.A.")</f>
        <v>N.A.</v>
      </c>
      <c r="Z248" s="7" t="str">
        <f>Tab_Data_Flows[[#This Row],[UoM_Flow_Py]]</f>
        <v>Mg</v>
      </c>
      <c r="AA248" s="156">
        <f>INDEX(Tab_Def_Flows[[Flow_ID]:[CC_DM_source]],MATCH(Tab_Data_Flows[[#This Row],[Flow_Name]],Tab_Def_Flows[Flow_Name],0),14)</f>
        <v>0</v>
      </c>
      <c r="AB248" s="7" t="str">
        <f>Tab_Data_Flows[[#This Row],[Flow_ID]]&amp;"_"&amp;"DM_"&amp;Tab_Data_Flows[[#This Row],[Flow_Data_Year]]</f>
        <v>F___DM_</v>
      </c>
      <c r="AC248" s="7" t="str">
        <f>IF(E248="Yes",AA248*Tab_Data_Flows[[#This Row],[Flow_Material]],"N.A.")</f>
        <v>N.A.</v>
      </c>
      <c r="AD248" s="7" t="str">
        <f>Tab_Data_Flows[[#This Row],[UoM_Flow_Py]]</f>
        <v>Mg</v>
      </c>
      <c r="AE248" s="156">
        <f>INDEX(Tab_Def_Flows[[Flow_ID]:[CC_DM_source]],MATCH(Tab_Data_Flows[[#This Row],[Flow_Name]],Tab_Def_Flows[Flow_Name],0),17)</f>
        <v>0</v>
      </c>
      <c r="AF248" s="7" t="str">
        <f>Tab_Data_Flows[[#This Row],[Flow_ID]]&amp;"_"&amp;"CC_"&amp;Tab_Data_Flows[[#This Row],[Flow_Data_Year]]</f>
        <v>F___CC_</v>
      </c>
      <c r="AG248" s="7" t="str">
        <f>IF(F248="Yes",AE248*Tab_Data_Flows[[#This Row],[Flow_Material]]*Tab_Data_Flows[[#This Row],[DM_'[%']]],"N.A.")</f>
        <v>N.A.</v>
      </c>
      <c r="AH248" s="7" t="str">
        <f>Tab_Data_Flows[[#This Row],[UoM_Flow_Py]]</f>
        <v>Mg</v>
      </c>
      <c r="AI248"/>
    </row>
    <row r="249" spans="1:35" x14ac:dyDescent="0.25">
      <c r="A249" s="9">
        <f t="shared" si="7"/>
        <v>248</v>
      </c>
      <c r="B249" s="7" t="str">
        <f>_xlfn.XLOOKUP(C249,Tab_Def_Flows[Flow_Name],Tab_Def_Flows[Flow_ID],,0,)</f>
        <v>F__</v>
      </c>
      <c r="C249" s="8" t="s">
        <v>31</v>
      </c>
      <c r="D249" s="10">
        <f>_xlfn.XLOOKUP(C249,Tab_Def_Flows[Flow_Name],Tab_Def_Flows[WC?],,0,)</f>
        <v>0</v>
      </c>
      <c r="E249" s="10">
        <f>_xlfn.XLOOKUP(C249,Tab_Def_Flows[Flow_Name],Tab_Def_Flows[DM?],,0,)</f>
        <v>0</v>
      </c>
      <c r="F249" s="10">
        <f>_xlfn.XLOOKUP(C249,Tab_Def_Flows[Flow_Name],Tab_Def_Flows[CC?],,0,)</f>
        <v>0</v>
      </c>
      <c r="G249" s="8"/>
      <c r="H249" s="28"/>
      <c r="I249" s="8"/>
      <c r="J249" s="8"/>
      <c r="K249" s="8"/>
      <c r="L249" s="8"/>
      <c r="M249" s="8"/>
      <c r="N249" s="8"/>
      <c r="O249" s="8"/>
      <c r="P249" s="8"/>
      <c r="Q249" s="8" t="s">
        <v>8</v>
      </c>
      <c r="R249" s="21"/>
      <c r="S249" s="8"/>
      <c r="T249" s="7" t="str">
        <f>Tab_Data_Flows[[#This Row],[Flow_ID]]&amp;"_"&amp;"material_"&amp;Tab_Data_Flows[[#This Row],[Flow_Data_Year]]</f>
        <v>F___material_</v>
      </c>
      <c r="U249" s="18">
        <f t="shared" si="8"/>
        <v>0</v>
      </c>
      <c r="V249" s="8" t="s">
        <v>218</v>
      </c>
      <c r="W249" s="156">
        <f>INDEX(Tab_Def_Flows[[Flow_ID]:[CC_DM_source]],MATCH(Tab_Data_Flows[[#This Row],[Flow_Name]],Tab_Def_Flows[Flow_Name],0),11)</f>
        <v>0</v>
      </c>
      <c r="X249" s="7" t="str">
        <f>Tab_Data_Flows[[#This Row],[Flow_ID]]&amp;"_"&amp;"WC_"&amp;Tab_Data_Flows[[#This Row],[Flow_Data_Year]]</f>
        <v>F___WC_</v>
      </c>
      <c r="Y249" s="7" t="str">
        <f>IF(D249="Yes",U249*Tab_Data_Flows[[#This Row],[WC_'[%']]],"N.A.")</f>
        <v>N.A.</v>
      </c>
      <c r="Z249" s="7" t="str">
        <f>Tab_Data_Flows[[#This Row],[UoM_Flow_Py]]</f>
        <v>Mg</v>
      </c>
      <c r="AA249" s="156">
        <f>INDEX(Tab_Def_Flows[[Flow_ID]:[CC_DM_source]],MATCH(Tab_Data_Flows[[#This Row],[Flow_Name]],Tab_Def_Flows[Flow_Name],0),14)</f>
        <v>0</v>
      </c>
      <c r="AB249" s="7" t="str">
        <f>Tab_Data_Flows[[#This Row],[Flow_ID]]&amp;"_"&amp;"DM_"&amp;Tab_Data_Flows[[#This Row],[Flow_Data_Year]]</f>
        <v>F___DM_</v>
      </c>
      <c r="AC249" s="7" t="str">
        <f>IF(E249="Yes",AA249*Tab_Data_Flows[[#This Row],[Flow_Material]],"N.A.")</f>
        <v>N.A.</v>
      </c>
      <c r="AD249" s="7" t="str">
        <f>Tab_Data_Flows[[#This Row],[UoM_Flow_Py]]</f>
        <v>Mg</v>
      </c>
      <c r="AE249" s="156">
        <f>INDEX(Tab_Def_Flows[[Flow_ID]:[CC_DM_source]],MATCH(Tab_Data_Flows[[#This Row],[Flow_Name]],Tab_Def_Flows[Flow_Name],0),17)</f>
        <v>0</v>
      </c>
      <c r="AF249" s="7" t="str">
        <f>Tab_Data_Flows[[#This Row],[Flow_ID]]&amp;"_"&amp;"CC_"&amp;Tab_Data_Flows[[#This Row],[Flow_Data_Year]]</f>
        <v>F___CC_</v>
      </c>
      <c r="AG249" s="7" t="str">
        <f>IF(F249="Yes",AE249*Tab_Data_Flows[[#This Row],[Flow_Material]]*Tab_Data_Flows[[#This Row],[DM_'[%']]],"N.A.")</f>
        <v>N.A.</v>
      </c>
      <c r="AH249" s="7" t="str">
        <f>Tab_Data_Flows[[#This Row],[UoM_Flow_Py]]</f>
        <v>Mg</v>
      </c>
      <c r="AI249"/>
    </row>
    <row r="250" spans="1:35" x14ac:dyDescent="0.25">
      <c r="A250" s="9">
        <f t="shared" si="7"/>
        <v>249</v>
      </c>
      <c r="B250" s="7" t="str">
        <f>_xlfn.XLOOKUP(C250,Tab_Def_Flows[Flow_Name],Tab_Def_Flows[Flow_ID],,0,)</f>
        <v>F__</v>
      </c>
      <c r="C250" s="8" t="s">
        <v>31</v>
      </c>
      <c r="D250" s="10">
        <f>_xlfn.XLOOKUP(C250,Tab_Def_Flows[Flow_Name],Tab_Def_Flows[WC?],,0,)</f>
        <v>0</v>
      </c>
      <c r="E250" s="10">
        <f>_xlfn.XLOOKUP(C250,Tab_Def_Flows[Flow_Name],Tab_Def_Flows[DM?],,0,)</f>
        <v>0</v>
      </c>
      <c r="F250" s="10">
        <f>_xlfn.XLOOKUP(C250,Tab_Def_Flows[Flow_Name],Tab_Def_Flows[CC?],,0,)</f>
        <v>0</v>
      </c>
      <c r="G250" s="8"/>
      <c r="H250" s="28"/>
      <c r="I250" s="8"/>
      <c r="J250" s="8"/>
      <c r="K250" s="8"/>
      <c r="L250" s="8"/>
      <c r="M250" s="8"/>
      <c r="N250" s="8"/>
      <c r="O250" s="8"/>
      <c r="P250" s="8"/>
      <c r="Q250" s="8" t="s">
        <v>8</v>
      </c>
      <c r="R250" s="21"/>
      <c r="S250" s="8"/>
      <c r="T250" s="7" t="str">
        <f>Tab_Data_Flows[[#This Row],[Flow_ID]]&amp;"_"&amp;"material_"&amp;Tab_Data_Flows[[#This Row],[Flow_Data_Year]]</f>
        <v>F___material_</v>
      </c>
      <c r="U250" s="18">
        <f t="shared" si="8"/>
        <v>0</v>
      </c>
      <c r="V250" s="8" t="s">
        <v>218</v>
      </c>
      <c r="W250" s="156">
        <f>INDEX(Tab_Def_Flows[[Flow_ID]:[CC_DM_source]],MATCH(Tab_Data_Flows[[#This Row],[Flow_Name]],Tab_Def_Flows[Flow_Name],0),11)</f>
        <v>0</v>
      </c>
      <c r="X250" s="7" t="str">
        <f>Tab_Data_Flows[[#This Row],[Flow_ID]]&amp;"_"&amp;"WC_"&amp;Tab_Data_Flows[[#This Row],[Flow_Data_Year]]</f>
        <v>F___WC_</v>
      </c>
      <c r="Y250" s="7" t="str">
        <f>IF(D250="Yes",U250*Tab_Data_Flows[[#This Row],[WC_'[%']]],"N.A.")</f>
        <v>N.A.</v>
      </c>
      <c r="Z250" s="7" t="str">
        <f>Tab_Data_Flows[[#This Row],[UoM_Flow_Py]]</f>
        <v>Mg</v>
      </c>
      <c r="AA250" s="156">
        <f>INDEX(Tab_Def_Flows[[Flow_ID]:[CC_DM_source]],MATCH(Tab_Data_Flows[[#This Row],[Flow_Name]],Tab_Def_Flows[Flow_Name],0),14)</f>
        <v>0</v>
      </c>
      <c r="AB250" s="7" t="str">
        <f>Tab_Data_Flows[[#This Row],[Flow_ID]]&amp;"_"&amp;"DM_"&amp;Tab_Data_Flows[[#This Row],[Flow_Data_Year]]</f>
        <v>F___DM_</v>
      </c>
      <c r="AC250" s="7" t="str">
        <f>IF(E250="Yes",AA250*Tab_Data_Flows[[#This Row],[Flow_Material]],"N.A.")</f>
        <v>N.A.</v>
      </c>
      <c r="AD250" s="7" t="str">
        <f>Tab_Data_Flows[[#This Row],[UoM_Flow_Py]]</f>
        <v>Mg</v>
      </c>
      <c r="AE250" s="156">
        <f>INDEX(Tab_Def_Flows[[Flow_ID]:[CC_DM_source]],MATCH(Tab_Data_Flows[[#This Row],[Flow_Name]],Tab_Def_Flows[Flow_Name],0),17)</f>
        <v>0</v>
      </c>
      <c r="AF250" s="7" t="str">
        <f>Tab_Data_Flows[[#This Row],[Flow_ID]]&amp;"_"&amp;"CC_"&amp;Tab_Data_Flows[[#This Row],[Flow_Data_Year]]</f>
        <v>F___CC_</v>
      </c>
      <c r="AG250" s="7" t="str">
        <f>IF(F250="Yes",AE250*Tab_Data_Flows[[#This Row],[Flow_Material]]*Tab_Data_Flows[[#This Row],[DM_'[%']]],"N.A.")</f>
        <v>N.A.</v>
      </c>
      <c r="AH250" s="7" t="str">
        <f>Tab_Data_Flows[[#This Row],[UoM_Flow_Py]]</f>
        <v>Mg</v>
      </c>
      <c r="AI250"/>
    </row>
    <row r="251" spans="1:35" x14ac:dyDescent="0.25">
      <c r="A251" s="9">
        <f t="shared" si="7"/>
        <v>250</v>
      </c>
      <c r="B251" s="7" t="str">
        <f>_xlfn.XLOOKUP(C251,Tab_Def_Flows[Flow_Name],Tab_Def_Flows[Flow_ID],,0,)</f>
        <v>F__</v>
      </c>
      <c r="C251" s="8" t="s">
        <v>31</v>
      </c>
      <c r="D251" s="10">
        <f>_xlfn.XLOOKUP(C251,Tab_Def_Flows[Flow_Name],Tab_Def_Flows[WC?],,0,)</f>
        <v>0</v>
      </c>
      <c r="E251" s="10">
        <f>_xlfn.XLOOKUP(C251,Tab_Def_Flows[Flow_Name],Tab_Def_Flows[DM?],,0,)</f>
        <v>0</v>
      </c>
      <c r="F251" s="10">
        <f>_xlfn.XLOOKUP(C251,Tab_Def_Flows[Flow_Name],Tab_Def_Flows[CC?],,0,)</f>
        <v>0</v>
      </c>
      <c r="G251" s="8"/>
      <c r="H251" s="28"/>
      <c r="I251" s="8"/>
      <c r="J251" s="8"/>
      <c r="K251" s="8"/>
      <c r="L251" s="8"/>
      <c r="M251" s="8"/>
      <c r="N251" s="8"/>
      <c r="O251" s="8"/>
      <c r="P251" s="8"/>
      <c r="Q251" s="8" t="s">
        <v>8</v>
      </c>
      <c r="R251" s="21"/>
      <c r="S251" s="8"/>
      <c r="T251" s="7" t="str">
        <f>Tab_Data_Flows[[#This Row],[Flow_ID]]&amp;"_"&amp;"material_"&amp;Tab_Data_Flows[[#This Row],[Flow_Data_Year]]</f>
        <v>F___material_</v>
      </c>
      <c r="U251" s="18">
        <f t="shared" si="8"/>
        <v>0</v>
      </c>
      <c r="V251" s="8" t="s">
        <v>218</v>
      </c>
      <c r="W251" s="156">
        <f>INDEX(Tab_Def_Flows[[Flow_ID]:[CC_DM_source]],MATCH(Tab_Data_Flows[[#This Row],[Flow_Name]],Tab_Def_Flows[Flow_Name],0),11)</f>
        <v>0</v>
      </c>
      <c r="X251" s="7" t="str">
        <f>Tab_Data_Flows[[#This Row],[Flow_ID]]&amp;"_"&amp;"WC_"&amp;Tab_Data_Flows[[#This Row],[Flow_Data_Year]]</f>
        <v>F___WC_</v>
      </c>
      <c r="Y251" s="7" t="str">
        <f>IF(D251="Yes",U251*Tab_Data_Flows[[#This Row],[WC_'[%']]],"N.A.")</f>
        <v>N.A.</v>
      </c>
      <c r="Z251" s="7" t="str">
        <f>Tab_Data_Flows[[#This Row],[UoM_Flow_Py]]</f>
        <v>Mg</v>
      </c>
      <c r="AA251" s="156">
        <f>INDEX(Tab_Def_Flows[[Flow_ID]:[CC_DM_source]],MATCH(Tab_Data_Flows[[#This Row],[Flow_Name]],Tab_Def_Flows[Flow_Name],0),14)</f>
        <v>0</v>
      </c>
      <c r="AB251" s="7" t="str">
        <f>Tab_Data_Flows[[#This Row],[Flow_ID]]&amp;"_"&amp;"DM_"&amp;Tab_Data_Flows[[#This Row],[Flow_Data_Year]]</f>
        <v>F___DM_</v>
      </c>
      <c r="AC251" s="7" t="str">
        <f>IF(E251="Yes",AA251*Tab_Data_Flows[[#This Row],[Flow_Material]],"N.A.")</f>
        <v>N.A.</v>
      </c>
      <c r="AD251" s="7" t="str">
        <f>Tab_Data_Flows[[#This Row],[UoM_Flow_Py]]</f>
        <v>Mg</v>
      </c>
      <c r="AE251" s="156">
        <f>INDEX(Tab_Def_Flows[[Flow_ID]:[CC_DM_source]],MATCH(Tab_Data_Flows[[#This Row],[Flow_Name]],Tab_Def_Flows[Flow_Name],0),17)</f>
        <v>0</v>
      </c>
      <c r="AF251" s="7" t="str">
        <f>Tab_Data_Flows[[#This Row],[Flow_ID]]&amp;"_"&amp;"CC_"&amp;Tab_Data_Flows[[#This Row],[Flow_Data_Year]]</f>
        <v>F___CC_</v>
      </c>
      <c r="AG251" s="7" t="str">
        <f>IF(F251="Yes",AE251*Tab_Data_Flows[[#This Row],[Flow_Material]]*Tab_Data_Flows[[#This Row],[DM_'[%']]],"N.A.")</f>
        <v>N.A.</v>
      </c>
      <c r="AH251" s="7" t="str">
        <f>Tab_Data_Flows[[#This Row],[UoM_Flow_Py]]</f>
        <v>Mg</v>
      </c>
      <c r="AI251"/>
    </row>
    <row r="252" spans="1:35" x14ac:dyDescent="0.25">
      <c r="A252" s="9">
        <f t="shared" si="7"/>
        <v>251</v>
      </c>
      <c r="B252" s="7" t="str">
        <f>_xlfn.XLOOKUP(C252,Tab_Def_Flows[Flow_Name],Tab_Def_Flows[Flow_ID],,0,)</f>
        <v>F__</v>
      </c>
      <c r="C252" s="8" t="s">
        <v>31</v>
      </c>
      <c r="D252" s="10">
        <f>_xlfn.XLOOKUP(C252,Tab_Def_Flows[Flow_Name],Tab_Def_Flows[WC?],,0,)</f>
        <v>0</v>
      </c>
      <c r="E252" s="10">
        <f>_xlfn.XLOOKUP(C252,Tab_Def_Flows[Flow_Name],Tab_Def_Flows[DM?],,0,)</f>
        <v>0</v>
      </c>
      <c r="F252" s="10">
        <f>_xlfn.XLOOKUP(C252,Tab_Def_Flows[Flow_Name],Tab_Def_Flows[CC?],,0,)</f>
        <v>0</v>
      </c>
      <c r="G252" s="8"/>
      <c r="H252" s="28"/>
      <c r="I252" s="8"/>
      <c r="J252" s="8"/>
      <c r="K252" s="8"/>
      <c r="L252" s="8"/>
      <c r="M252" s="8"/>
      <c r="N252" s="8"/>
      <c r="O252" s="8"/>
      <c r="P252" s="8"/>
      <c r="Q252" s="8" t="s">
        <v>8</v>
      </c>
      <c r="R252" s="21"/>
      <c r="S252" s="8"/>
      <c r="T252" s="7" t="str">
        <f>Tab_Data_Flows[[#This Row],[Flow_ID]]&amp;"_"&amp;"material_"&amp;Tab_Data_Flows[[#This Row],[Flow_Data_Year]]</f>
        <v>F___material_</v>
      </c>
      <c r="U252" s="18">
        <f t="shared" si="8"/>
        <v>0</v>
      </c>
      <c r="V252" s="8" t="s">
        <v>218</v>
      </c>
      <c r="W252" s="156">
        <f>INDEX(Tab_Def_Flows[[Flow_ID]:[CC_DM_source]],MATCH(Tab_Data_Flows[[#This Row],[Flow_Name]],Tab_Def_Flows[Flow_Name],0),11)</f>
        <v>0</v>
      </c>
      <c r="X252" s="7" t="str">
        <f>Tab_Data_Flows[[#This Row],[Flow_ID]]&amp;"_"&amp;"WC_"&amp;Tab_Data_Flows[[#This Row],[Flow_Data_Year]]</f>
        <v>F___WC_</v>
      </c>
      <c r="Y252" s="7" t="str">
        <f>IF(D252="Yes",U252*Tab_Data_Flows[[#This Row],[WC_'[%']]],"N.A.")</f>
        <v>N.A.</v>
      </c>
      <c r="Z252" s="7" t="str">
        <f>Tab_Data_Flows[[#This Row],[UoM_Flow_Py]]</f>
        <v>Mg</v>
      </c>
      <c r="AA252" s="156">
        <f>INDEX(Tab_Def_Flows[[Flow_ID]:[CC_DM_source]],MATCH(Tab_Data_Flows[[#This Row],[Flow_Name]],Tab_Def_Flows[Flow_Name],0),14)</f>
        <v>0</v>
      </c>
      <c r="AB252" s="7" t="str">
        <f>Tab_Data_Flows[[#This Row],[Flow_ID]]&amp;"_"&amp;"DM_"&amp;Tab_Data_Flows[[#This Row],[Flow_Data_Year]]</f>
        <v>F___DM_</v>
      </c>
      <c r="AC252" s="7" t="str">
        <f>IF(E252="Yes",AA252*Tab_Data_Flows[[#This Row],[Flow_Material]],"N.A.")</f>
        <v>N.A.</v>
      </c>
      <c r="AD252" s="7" t="str">
        <f>Tab_Data_Flows[[#This Row],[UoM_Flow_Py]]</f>
        <v>Mg</v>
      </c>
      <c r="AE252" s="156">
        <f>INDEX(Tab_Def_Flows[[Flow_ID]:[CC_DM_source]],MATCH(Tab_Data_Flows[[#This Row],[Flow_Name]],Tab_Def_Flows[Flow_Name],0),17)</f>
        <v>0</v>
      </c>
      <c r="AF252" s="7" t="str">
        <f>Tab_Data_Flows[[#This Row],[Flow_ID]]&amp;"_"&amp;"CC_"&amp;Tab_Data_Flows[[#This Row],[Flow_Data_Year]]</f>
        <v>F___CC_</v>
      </c>
      <c r="AG252" s="7" t="str">
        <f>IF(F252="Yes",AE252*Tab_Data_Flows[[#This Row],[Flow_Material]]*Tab_Data_Flows[[#This Row],[DM_'[%']]],"N.A.")</f>
        <v>N.A.</v>
      </c>
      <c r="AH252" s="7" t="str">
        <f>Tab_Data_Flows[[#This Row],[UoM_Flow_Py]]</f>
        <v>Mg</v>
      </c>
      <c r="AI252"/>
    </row>
    <row r="253" spans="1:35" x14ac:dyDescent="0.25">
      <c r="A253" s="9">
        <f t="shared" si="7"/>
        <v>252</v>
      </c>
      <c r="B253" s="7" t="str">
        <f>_xlfn.XLOOKUP(C253,Tab_Def_Flows[Flow_Name],Tab_Def_Flows[Flow_ID],,0,)</f>
        <v>F__</v>
      </c>
      <c r="C253" s="8" t="s">
        <v>31</v>
      </c>
      <c r="D253" s="10">
        <f>_xlfn.XLOOKUP(C253,Tab_Def_Flows[Flow_Name],Tab_Def_Flows[WC?],,0,)</f>
        <v>0</v>
      </c>
      <c r="E253" s="10">
        <f>_xlfn.XLOOKUP(C253,Tab_Def_Flows[Flow_Name],Tab_Def_Flows[DM?],,0,)</f>
        <v>0</v>
      </c>
      <c r="F253" s="10">
        <f>_xlfn.XLOOKUP(C253,Tab_Def_Flows[Flow_Name],Tab_Def_Flows[CC?],,0,)</f>
        <v>0</v>
      </c>
      <c r="G253" s="8"/>
      <c r="H253" s="28"/>
      <c r="I253" s="8"/>
      <c r="J253" s="8"/>
      <c r="K253" s="8"/>
      <c r="L253" s="8"/>
      <c r="M253" s="8"/>
      <c r="N253" s="8"/>
      <c r="O253" s="8"/>
      <c r="P253" s="8"/>
      <c r="Q253" s="8" t="s">
        <v>8</v>
      </c>
      <c r="R253" s="21"/>
      <c r="S253" s="8"/>
      <c r="T253" s="7" t="str">
        <f>Tab_Data_Flows[[#This Row],[Flow_ID]]&amp;"_"&amp;"material_"&amp;Tab_Data_Flows[[#This Row],[Flow_Data_Year]]</f>
        <v>F___material_</v>
      </c>
      <c r="U253" s="18">
        <f t="shared" si="8"/>
        <v>0</v>
      </c>
      <c r="V253" s="8" t="s">
        <v>218</v>
      </c>
      <c r="W253" s="156">
        <f>INDEX(Tab_Def_Flows[[Flow_ID]:[CC_DM_source]],MATCH(Tab_Data_Flows[[#This Row],[Flow_Name]],Tab_Def_Flows[Flow_Name],0),11)</f>
        <v>0</v>
      </c>
      <c r="X253" s="7" t="str">
        <f>Tab_Data_Flows[[#This Row],[Flow_ID]]&amp;"_"&amp;"WC_"&amp;Tab_Data_Flows[[#This Row],[Flow_Data_Year]]</f>
        <v>F___WC_</v>
      </c>
      <c r="Y253" s="7" t="str">
        <f>IF(D253="Yes",U253*Tab_Data_Flows[[#This Row],[WC_'[%']]],"N.A.")</f>
        <v>N.A.</v>
      </c>
      <c r="Z253" s="7" t="str">
        <f>Tab_Data_Flows[[#This Row],[UoM_Flow_Py]]</f>
        <v>Mg</v>
      </c>
      <c r="AA253" s="156">
        <f>INDEX(Tab_Def_Flows[[Flow_ID]:[CC_DM_source]],MATCH(Tab_Data_Flows[[#This Row],[Flow_Name]],Tab_Def_Flows[Flow_Name],0),14)</f>
        <v>0</v>
      </c>
      <c r="AB253" s="7" t="str">
        <f>Tab_Data_Flows[[#This Row],[Flow_ID]]&amp;"_"&amp;"DM_"&amp;Tab_Data_Flows[[#This Row],[Flow_Data_Year]]</f>
        <v>F___DM_</v>
      </c>
      <c r="AC253" s="7" t="str">
        <f>IF(E253="Yes",AA253*Tab_Data_Flows[[#This Row],[Flow_Material]],"N.A.")</f>
        <v>N.A.</v>
      </c>
      <c r="AD253" s="7" t="str">
        <f>Tab_Data_Flows[[#This Row],[UoM_Flow_Py]]</f>
        <v>Mg</v>
      </c>
      <c r="AE253" s="156">
        <f>INDEX(Tab_Def_Flows[[Flow_ID]:[CC_DM_source]],MATCH(Tab_Data_Flows[[#This Row],[Flow_Name]],Tab_Def_Flows[Flow_Name],0),17)</f>
        <v>0</v>
      </c>
      <c r="AF253" s="7" t="str">
        <f>Tab_Data_Flows[[#This Row],[Flow_ID]]&amp;"_"&amp;"CC_"&amp;Tab_Data_Flows[[#This Row],[Flow_Data_Year]]</f>
        <v>F___CC_</v>
      </c>
      <c r="AG253" s="7" t="str">
        <f>IF(F253="Yes",AE253*Tab_Data_Flows[[#This Row],[Flow_Material]]*Tab_Data_Flows[[#This Row],[DM_'[%']]],"N.A.")</f>
        <v>N.A.</v>
      </c>
      <c r="AH253" s="7" t="str">
        <f>Tab_Data_Flows[[#This Row],[UoM_Flow_Py]]</f>
        <v>Mg</v>
      </c>
      <c r="AI253"/>
    </row>
    <row r="254" spans="1:35" x14ac:dyDescent="0.25">
      <c r="A254" s="9">
        <f t="shared" si="7"/>
        <v>253</v>
      </c>
      <c r="B254" s="7" t="str">
        <f>_xlfn.XLOOKUP(C254,Tab_Def_Flows[Flow_Name],Tab_Def_Flows[Flow_ID],,0,)</f>
        <v>F__</v>
      </c>
      <c r="C254" s="8" t="s">
        <v>31</v>
      </c>
      <c r="D254" s="10">
        <f>_xlfn.XLOOKUP(C254,Tab_Def_Flows[Flow_Name],Tab_Def_Flows[WC?],,0,)</f>
        <v>0</v>
      </c>
      <c r="E254" s="10">
        <f>_xlfn.XLOOKUP(C254,Tab_Def_Flows[Flow_Name],Tab_Def_Flows[DM?],,0,)</f>
        <v>0</v>
      </c>
      <c r="F254" s="10">
        <f>_xlfn.XLOOKUP(C254,Tab_Def_Flows[Flow_Name],Tab_Def_Flows[CC?],,0,)</f>
        <v>0</v>
      </c>
      <c r="G254" s="8"/>
      <c r="H254" s="28"/>
      <c r="I254" s="8"/>
      <c r="J254" s="8"/>
      <c r="K254" s="8"/>
      <c r="L254" s="8"/>
      <c r="M254" s="8"/>
      <c r="N254" s="8"/>
      <c r="O254" s="8"/>
      <c r="P254" s="8"/>
      <c r="Q254" s="8" t="s">
        <v>8</v>
      </c>
      <c r="R254" s="21"/>
      <c r="S254" s="8"/>
      <c r="T254" s="7" t="str">
        <f>Tab_Data_Flows[[#This Row],[Flow_ID]]&amp;"_"&amp;"material_"&amp;Tab_Data_Flows[[#This Row],[Flow_Data_Year]]</f>
        <v>F___material_</v>
      </c>
      <c r="U254" s="18">
        <f t="shared" si="8"/>
        <v>0</v>
      </c>
      <c r="V254" s="8" t="s">
        <v>218</v>
      </c>
      <c r="W254" s="156">
        <f>INDEX(Tab_Def_Flows[[Flow_ID]:[CC_DM_source]],MATCH(Tab_Data_Flows[[#This Row],[Flow_Name]],Tab_Def_Flows[Flow_Name],0),11)</f>
        <v>0</v>
      </c>
      <c r="X254" s="7" t="str">
        <f>Tab_Data_Flows[[#This Row],[Flow_ID]]&amp;"_"&amp;"WC_"&amp;Tab_Data_Flows[[#This Row],[Flow_Data_Year]]</f>
        <v>F___WC_</v>
      </c>
      <c r="Y254" s="7" t="str">
        <f>IF(D254="Yes",U254*Tab_Data_Flows[[#This Row],[WC_'[%']]],"N.A.")</f>
        <v>N.A.</v>
      </c>
      <c r="Z254" s="7" t="str">
        <f>Tab_Data_Flows[[#This Row],[UoM_Flow_Py]]</f>
        <v>Mg</v>
      </c>
      <c r="AA254" s="156">
        <f>INDEX(Tab_Def_Flows[[Flow_ID]:[CC_DM_source]],MATCH(Tab_Data_Flows[[#This Row],[Flow_Name]],Tab_Def_Flows[Flow_Name],0),14)</f>
        <v>0</v>
      </c>
      <c r="AB254" s="7" t="str">
        <f>Tab_Data_Flows[[#This Row],[Flow_ID]]&amp;"_"&amp;"DM_"&amp;Tab_Data_Flows[[#This Row],[Flow_Data_Year]]</f>
        <v>F___DM_</v>
      </c>
      <c r="AC254" s="7" t="str">
        <f>IF(E254="Yes",AA254*Tab_Data_Flows[[#This Row],[Flow_Material]],"N.A.")</f>
        <v>N.A.</v>
      </c>
      <c r="AD254" s="7" t="str">
        <f>Tab_Data_Flows[[#This Row],[UoM_Flow_Py]]</f>
        <v>Mg</v>
      </c>
      <c r="AE254" s="156">
        <f>INDEX(Tab_Def_Flows[[Flow_ID]:[CC_DM_source]],MATCH(Tab_Data_Flows[[#This Row],[Flow_Name]],Tab_Def_Flows[Flow_Name],0),17)</f>
        <v>0</v>
      </c>
      <c r="AF254" s="7" t="str">
        <f>Tab_Data_Flows[[#This Row],[Flow_ID]]&amp;"_"&amp;"CC_"&amp;Tab_Data_Flows[[#This Row],[Flow_Data_Year]]</f>
        <v>F___CC_</v>
      </c>
      <c r="AG254" s="7" t="str">
        <f>IF(F254="Yes",AE254*Tab_Data_Flows[[#This Row],[Flow_Material]]*Tab_Data_Flows[[#This Row],[DM_'[%']]],"N.A.")</f>
        <v>N.A.</v>
      </c>
      <c r="AH254" s="7" t="str">
        <f>Tab_Data_Flows[[#This Row],[UoM_Flow_Py]]</f>
        <v>Mg</v>
      </c>
      <c r="AI254"/>
    </row>
    <row r="255" spans="1:35" x14ac:dyDescent="0.25">
      <c r="A255" s="9">
        <f t="shared" si="7"/>
        <v>254</v>
      </c>
      <c r="B255" s="7" t="str">
        <f>_xlfn.XLOOKUP(C255,Tab_Def_Flows[Flow_Name],Tab_Def_Flows[Flow_ID],,0,)</f>
        <v>F__</v>
      </c>
      <c r="C255" s="8" t="s">
        <v>31</v>
      </c>
      <c r="D255" s="10">
        <f>_xlfn.XLOOKUP(C255,Tab_Def_Flows[Flow_Name],Tab_Def_Flows[WC?],,0,)</f>
        <v>0</v>
      </c>
      <c r="E255" s="10">
        <f>_xlfn.XLOOKUP(C255,Tab_Def_Flows[Flow_Name],Tab_Def_Flows[DM?],,0,)</f>
        <v>0</v>
      </c>
      <c r="F255" s="10">
        <f>_xlfn.XLOOKUP(C255,Tab_Def_Flows[Flow_Name],Tab_Def_Flows[CC?],,0,)</f>
        <v>0</v>
      </c>
      <c r="G255" s="8"/>
      <c r="H255" s="28"/>
      <c r="I255" s="8"/>
      <c r="J255" s="8"/>
      <c r="K255" s="8"/>
      <c r="L255" s="8"/>
      <c r="M255" s="8"/>
      <c r="N255" s="8"/>
      <c r="O255" s="8"/>
      <c r="P255" s="8"/>
      <c r="Q255" s="8" t="s">
        <v>8</v>
      </c>
      <c r="R255" s="21"/>
      <c r="S255" s="8"/>
      <c r="T255" s="7" t="str">
        <f>Tab_Data_Flows[[#This Row],[Flow_ID]]&amp;"_"&amp;"material_"&amp;Tab_Data_Flows[[#This Row],[Flow_Data_Year]]</f>
        <v>F___material_</v>
      </c>
      <c r="U255" s="18">
        <f t="shared" si="8"/>
        <v>0</v>
      </c>
      <c r="V255" s="8" t="s">
        <v>218</v>
      </c>
      <c r="W255" s="156">
        <f>INDEX(Tab_Def_Flows[[Flow_ID]:[CC_DM_source]],MATCH(Tab_Data_Flows[[#This Row],[Flow_Name]],Tab_Def_Flows[Flow_Name],0),11)</f>
        <v>0</v>
      </c>
      <c r="X255" s="7" t="str">
        <f>Tab_Data_Flows[[#This Row],[Flow_ID]]&amp;"_"&amp;"WC_"&amp;Tab_Data_Flows[[#This Row],[Flow_Data_Year]]</f>
        <v>F___WC_</v>
      </c>
      <c r="Y255" s="7" t="str">
        <f>IF(D255="Yes",U255*Tab_Data_Flows[[#This Row],[WC_'[%']]],"N.A.")</f>
        <v>N.A.</v>
      </c>
      <c r="Z255" s="7" t="str">
        <f>Tab_Data_Flows[[#This Row],[UoM_Flow_Py]]</f>
        <v>Mg</v>
      </c>
      <c r="AA255" s="156">
        <f>INDEX(Tab_Def_Flows[[Flow_ID]:[CC_DM_source]],MATCH(Tab_Data_Flows[[#This Row],[Flow_Name]],Tab_Def_Flows[Flow_Name],0),14)</f>
        <v>0</v>
      </c>
      <c r="AB255" s="7" t="str">
        <f>Tab_Data_Flows[[#This Row],[Flow_ID]]&amp;"_"&amp;"DM_"&amp;Tab_Data_Flows[[#This Row],[Flow_Data_Year]]</f>
        <v>F___DM_</v>
      </c>
      <c r="AC255" s="7" t="str">
        <f>IF(E255="Yes",AA255*Tab_Data_Flows[[#This Row],[Flow_Material]],"N.A.")</f>
        <v>N.A.</v>
      </c>
      <c r="AD255" s="7" t="str">
        <f>Tab_Data_Flows[[#This Row],[UoM_Flow_Py]]</f>
        <v>Mg</v>
      </c>
      <c r="AE255" s="156">
        <f>INDEX(Tab_Def_Flows[[Flow_ID]:[CC_DM_source]],MATCH(Tab_Data_Flows[[#This Row],[Flow_Name]],Tab_Def_Flows[Flow_Name],0),17)</f>
        <v>0</v>
      </c>
      <c r="AF255" s="7" t="str">
        <f>Tab_Data_Flows[[#This Row],[Flow_ID]]&amp;"_"&amp;"CC_"&amp;Tab_Data_Flows[[#This Row],[Flow_Data_Year]]</f>
        <v>F___CC_</v>
      </c>
      <c r="AG255" s="7" t="str">
        <f>IF(F255="Yes",AE255*Tab_Data_Flows[[#This Row],[Flow_Material]]*Tab_Data_Flows[[#This Row],[DM_'[%']]],"N.A.")</f>
        <v>N.A.</v>
      </c>
      <c r="AH255" s="7" t="str">
        <f>Tab_Data_Flows[[#This Row],[UoM_Flow_Py]]</f>
        <v>Mg</v>
      </c>
      <c r="AI255"/>
    </row>
    <row r="256" spans="1:35" x14ac:dyDescent="0.25">
      <c r="A256" s="9">
        <f t="shared" si="7"/>
        <v>255</v>
      </c>
      <c r="B256" s="7" t="str">
        <f>_xlfn.XLOOKUP(C256,Tab_Def_Flows[Flow_Name],Tab_Def_Flows[Flow_ID],,0,)</f>
        <v>F__</v>
      </c>
      <c r="C256" s="8" t="s">
        <v>31</v>
      </c>
      <c r="D256" s="10">
        <f>_xlfn.XLOOKUP(C256,Tab_Def_Flows[Flow_Name],Tab_Def_Flows[WC?],,0,)</f>
        <v>0</v>
      </c>
      <c r="E256" s="10">
        <f>_xlfn.XLOOKUP(C256,Tab_Def_Flows[Flow_Name],Tab_Def_Flows[DM?],,0,)</f>
        <v>0</v>
      </c>
      <c r="F256" s="10">
        <f>_xlfn.XLOOKUP(C256,Tab_Def_Flows[Flow_Name],Tab_Def_Flows[CC?],,0,)</f>
        <v>0</v>
      </c>
      <c r="G256" s="8"/>
      <c r="H256" s="28"/>
      <c r="I256" s="8"/>
      <c r="J256" s="8"/>
      <c r="K256" s="8"/>
      <c r="L256" s="8"/>
      <c r="M256" s="8"/>
      <c r="N256" s="8"/>
      <c r="O256" s="8"/>
      <c r="P256" s="8"/>
      <c r="Q256" s="8" t="s">
        <v>8</v>
      </c>
      <c r="R256" s="21"/>
      <c r="S256" s="8"/>
      <c r="T256" s="7" t="str">
        <f>Tab_Data_Flows[[#This Row],[Flow_ID]]&amp;"_"&amp;"material_"&amp;Tab_Data_Flows[[#This Row],[Flow_Data_Year]]</f>
        <v>F___material_</v>
      </c>
      <c r="U256" s="18">
        <f t="shared" si="8"/>
        <v>0</v>
      </c>
      <c r="V256" s="8" t="s">
        <v>218</v>
      </c>
      <c r="W256" s="156">
        <f>INDEX(Tab_Def_Flows[[Flow_ID]:[CC_DM_source]],MATCH(Tab_Data_Flows[[#This Row],[Flow_Name]],Tab_Def_Flows[Flow_Name],0),11)</f>
        <v>0</v>
      </c>
      <c r="X256" s="7" t="str">
        <f>Tab_Data_Flows[[#This Row],[Flow_ID]]&amp;"_"&amp;"WC_"&amp;Tab_Data_Flows[[#This Row],[Flow_Data_Year]]</f>
        <v>F___WC_</v>
      </c>
      <c r="Y256" s="7" t="str">
        <f>IF(D256="Yes",U256*Tab_Data_Flows[[#This Row],[WC_'[%']]],"N.A.")</f>
        <v>N.A.</v>
      </c>
      <c r="Z256" s="7" t="str">
        <f>Tab_Data_Flows[[#This Row],[UoM_Flow_Py]]</f>
        <v>Mg</v>
      </c>
      <c r="AA256" s="156">
        <f>INDEX(Tab_Def_Flows[[Flow_ID]:[CC_DM_source]],MATCH(Tab_Data_Flows[[#This Row],[Flow_Name]],Tab_Def_Flows[Flow_Name],0),14)</f>
        <v>0</v>
      </c>
      <c r="AB256" s="7" t="str">
        <f>Tab_Data_Flows[[#This Row],[Flow_ID]]&amp;"_"&amp;"DM_"&amp;Tab_Data_Flows[[#This Row],[Flow_Data_Year]]</f>
        <v>F___DM_</v>
      </c>
      <c r="AC256" s="7" t="str">
        <f>IF(E256="Yes",AA256*Tab_Data_Flows[[#This Row],[Flow_Material]],"N.A.")</f>
        <v>N.A.</v>
      </c>
      <c r="AD256" s="7" t="str">
        <f>Tab_Data_Flows[[#This Row],[UoM_Flow_Py]]</f>
        <v>Mg</v>
      </c>
      <c r="AE256" s="156">
        <f>INDEX(Tab_Def_Flows[[Flow_ID]:[CC_DM_source]],MATCH(Tab_Data_Flows[[#This Row],[Flow_Name]],Tab_Def_Flows[Flow_Name],0),17)</f>
        <v>0</v>
      </c>
      <c r="AF256" s="7" t="str">
        <f>Tab_Data_Flows[[#This Row],[Flow_ID]]&amp;"_"&amp;"CC_"&amp;Tab_Data_Flows[[#This Row],[Flow_Data_Year]]</f>
        <v>F___CC_</v>
      </c>
      <c r="AG256" s="7" t="str">
        <f>IF(F256="Yes",AE256*Tab_Data_Flows[[#This Row],[Flow_Material]]*Tab_Data_Flows[[#This Row],[DM_'[%']]],"N.A.")</f>
        <v>N.A.</v>
      </c>
      <c r="AH256" s="7" t="str">
        <f>Tab_Data_Flows[[#This Row],[UoM_Flow_Py]]</f>
        <v>Mg</v>
      </c>
      <c r="AI256"/>
    </row>
    <row r="257" spans="1:35" x14ac:dyDescent="0.25">
      <c r="A257" s="9">
        <f t="shared" si="7"/>
        <v>256</v>
      </c>
      <c r="B257" s="7" t="str">
        <f>_xlfn.XLOOKUP(C257,Tab_Def_Flows[Flow_Name],Tab_Def_Flows[Flow_ID],,0,)</f>
        <v>F__</v>
      </c>
      <c r="C257" s="8" t="s">
        <v>31</v>
      </c>
      <c r="D257" s="10">
        <f>_xlfn.XLOOKUP(C257,Tab_Def_Flows[Flow_Name],Tab_Def_Flows[WC?],,0,)</f>
        <v>0</v>
      </c>
      <c r="E257" s="10">
        <f>_xlfn.XLOOKUP(C257,Tab_Def_Flows[Flow_Name],Tab_Def_Flows[DM?],,0,)</f>
        <v>0</v>
      </c>
      <c r="F257" s="10">
        <f>_xlfn.XLOOKUP(C257,Tab_Def_Flows[Flow_Name],Tab_Def_Flows[CC?],,0,)</f>
        <v>0</v>
      </c>
      <c r="G257" s="8"/>
      <c r="H257" s="28"/>
      <c r="I257" s="8"/>
      <c r="J257" s="8"/>
      <c r="K257" s="8"/>
      <c r="L257" s="8"/>
      <c r="M257" s="8"/>
      <c r="N257" s="8"/>
      <c r="O257" s="8"/>
      <c r="P257" s="8"/>
      <c r="Q257" s="8" t="s">
        <v>8</v>
      </c>
      <c r="R257" s="21"/>
      <c r="S257" s="8"/>
      <c r="T257" s="7" t="str">
        <f>Tab_Data_Flows[[#This Row],[Flow_ID]]&amp;"_"&amp;"material_"&amp;Tab_Data_Flows[[#This Row],[Flow_Data_Year]]</f>
        <v>F___material_</v>
      </c>
      <c r="U257" s="18">
        <f t="shared" si="8"/>
        <v>0</v>
      </c>
      <c r="V257" s="8" t="s">
        <v>218</v>
      </c>
      <c r="W257" s="156">
        <f>INDEX(Tab_Def_Flows[[Flow_ID]:[CC_DM_source]],MATCH(Tab_Data_Flows[[#This Row],[Flow_Name]],Tab_Def_Flows[Flow_Name],0),11)</f>
        <v>0</v>
      </c>
      <c r="X257" s="7" t="str">
        <f>Tab_Data_Flows[[#This Row],[Flow_ID]]&amp;"_"&amp;"WC_"&amp;Tab_Data_Flows[[#This Row],[Flow_Data_Year]]</f>
        <v>F___WC_</v>
      </c>
      <c r="Y257" s="7" t="str">
        <f>IF(D257="Yes",U257*Tab_Data_Flows[[#This Row],[WC_'[%']]],"N.A.")</f>
        <v>N.A.</v>
      </c>
      <c r="Z257" s="7" t="str">
        <f>Tab_Data_Flows[[#This Row],[UoM_Flow_Py]]</f>
        <v>Mg</v>
      </c>
      <c r="AA257" s="156">
        <f>INDEX(Tab_Def_Flows[[Flow_ID]:[CC_DM_source]],MATCH(Tab_Data_Flows[[#This Row],[Flow_Name]],Tab_Def_Flows[Flow_Name],0),14)</f>
        <v>0</v>
      </c>
      <c r="AB257" s="7" t="str">
        <f>Tab_Data_Flows[[#This Row],[Flow_ID]]&amp;"_"&amp;"DM_"&amp;Tab_Data_Flows[[#This Row],[Flow_Data_Year]]</f>
        <v>F___DM_</v>
      </c>
      <c r="AC257" s="7" t="str">
        <f>IF(E257="Yes",AA257*Tab_Data_Flows[[#This Row],[Flow_Material]],"N.A.")</f>
        <v>N.A.</v>
      </c>
      <c r="AD257" s="7" t="str">
        <f>Tab_Data_Flows[[#This Row],[UoM_Flow_Py]]</f>
        <v>Mg</v>
      </c>
      <c r="AE257" s="156">
        <f>INDEX(Tab_Def_Flows[[Flow_ID]:[CC_DM_source]],MATCH(Tab_Data_Flows[[#This Row],[Flow_Name]],Tab_Def_Flows[Flow_Name],0),17)</f>
        <v>0</v>
      </c>
      <c r="AF257" s="7" t="str">
        <f>Tab_Data_Flows[[#This Row],[Flow_ID]]&amp;"_"&amp;"CC_"&amp;Tab_Data_Flows[[#This Row],[Flow_Data_Year]]</f>
        <v>F___CC_</v>
      </c>
      <c r="AG257" s="7" t="str">
        <f>IF(F257="Yes",AE257*Tab_Data_Flows[[#This Row],[Flow_Material]]*Tab_Data_Flows[[#This Row],[DM_'[%']]],"N.A.")</f>
        <v>N.A.</v>
      </c>
      <c r="AH257" s="7" t="str">
        <f>Tab_Data_Flows[[#This Row],[UoM_Flow_Py]]</f>
        <v>Mg</v>
      </c>
      <c r="AI257"/>
    </row>
    <row r="258" spans="1:35" x14ac:dyDescent="0.25">
      <c r="A258" s="9">
        <f t="shared" si="7"/>
        <v>257</v>
      </c>
      <c r="B258" s="7" t="str">
        <f>_xlfn.XLOOKUP(C258,Tab_Def_Flows[Flow_Name],Tab_Def_Flows[Flow_ID],,0,)</f>
        <v>F__</v>
      </c>
      <c r="C258" s="8" t="s">
        <v>31</v>
      </c>
      <c r="D258" s="10">
        <f>_xlfn.XLOOKUP(C258,Tab_Def_Flows[Flow_Name],Tab_Def_Flows[WC?],,0,)</f>
        <v>0</v>
      </c>
      <c r="E258" s="10">
        <f>_xlfn.XLOOKUP(C258,Tab_Def_Flows[Flow_Name],Tab_Def_Flows[DM?],,0,)</f>
        <v>0</v>
      </c>
      <c r="F258" s="10">
        <f>_xlfn.XLOOKUP(C258,Tab_Def_Flows[Flow_Name],Tab_Def_Flows[CC?],,0,)</f>
        <v>0</v>
      </c>
      <c r="G258" s="8"/>
      <c r="H258" s="28"/>
      <c r="I258" s="8"/>
      <c r="J258" s="8"/>
      <c r="K258" s="8"/>
      <c r="L258" s="8"/>
      <c r="M258" s="8"/>
      <c r="N258" s="8"/>
      <c r="O258" s="8"/>
      <c r="P258" s="8"/>
      <c r="Q258" s="8" t="s">
        <v>8</v>
      </c>
      <c r="R258" s="21"/>
      <c r="S258" s="8"/>
      <c r="T258" s="7" t="str">
        <f>Tab_Data_Flows[[#This Row],[Flow_ID]]&amp;"_"&amp;"material_"&amp;Tab_Data_Flows[[#This Row],[Flow_Data_Year]]</f>
        <v>F___material_</v>
      </c>
      <c r="U258" s="18">
        <f t="shared" si="8"/>
        <v>0</v>
      </c>
      <c r="V258" s="8" t="s">
        <v>218</v>
      </c>
      <c r="W258" s="156">
        <f>INDEX(Tab_Def_Flows[[Flow_ID]:[CC_DM_source]],MATCH(Tab_Data_Flows[[#This Row],[Flow_Name]],Tab_Def_Flows[Flow_Name],0),11)</f>
        <v>0</v>
      </c>
      <c r="X258" s="7" t="str">
        <f>Tab_Data_Flows[[#This Row],[Flow_ID]]&amp;"_"&amp;"WC_"&amp;Tab_Data_Flows[[#This Row],[Flow_Data_Year]]</f>
        <v>F___WC_</v>
      </c>
      <c r="Y258" s="7" t="str">
        <f>IF(D258="Yes",U258*Tab_Data_Flows[[#This Row],[WC_'[%']]],"N.A.")</f>
        <v>N.A.</v>
      </c>
      <c r="Z258" s="7" t="str">
        <f>Tab_Data_Flows[[#This Row],[UoM_Flow_Py]]</f>
        <v>Mg</v>
      </c>
      <c r="AA258" s="156">
        <f>INDEX(Tab_Def_Flows[[Flow_ID]:[CC_DM_source]],MATCH(Tab_Data_Flows[[#This Row],[Flow_Name]],Tab_Def_Flows[Flow_Name],0),14)</f>
        <v>0</v>
      </c>
      <c r="AB258" s="7" t="str">
        <f>Tab_Data_Flows[[#This Row],[Flow_ID]]&amp;"_"&amp;"DM_"&amp;Tab_Data_Flows[[#This Row],[Flow_Data_Year]]</f>
        <v>F___DM_</v>
      </c>
      <c r="AC258" s="7" t="str">
        <f>IF(E258="Yes",AA258*Tab_Data_Flows[[#This Row],[Flow_Material]],"N.A.")</f>
        <v>N.A.</v>
      </c>
      <c r="AD258" s="7" t="str">
        <f>Tab_Data_Flows[[#This Row],[UoM_Flow_Py]]</f>
        <v>Mg</v>
      </c>
      <c r="AE258" s="156">
        <f>INDEX(Tab_Def_Flows[[Flow_ID]:[CC_DM_source]],MATCH(Tab_Data_Flows[[#This Row],[Flow_Name]],Tab_Def_Flows[Flow_Name],0),17)</f>
        <v>0</v>
      </c>
      <c r="AF258" s="7" t="str">
        <f>Tab_Data_Flows[[#This Row],[Flow_ID]]&amp;"_"&amp;"CC_"&amp;Tab_Data_Flows[[#This Row],[Flow_Data_Year]]</f>
        <v>F___CC_</v>
      </c>
      <c r="AG258" s="7" t="str">
        <f>IF(F258="Yes",AE258*Tab_Data_Flows[[#This Row],[Flow_Material]]*Tab_Data_Flows[[#This Row],[DM_'[%']]],"N.A.")</f>
        <v>N.A.</v>
      </c>
      <c r="AH258" s="7" t="str">
        <f>Tab_Data_Flows[[#This Row],[UoM_Flow_Py]]</f>
        <v>Mg</v>
      </c>
      <c r="AI258"/>
    </row>
    <row r="259" spans="1:35" x14ac:dyDescent="0.25">
      <c r="A259" s="9">
        <f t="shared" ref="A259:A322" si="9">ROW()-1</f>
        <v>258</v>
      </c>
      <c r="B259" s="7" t="str">
        <f>_xlfn.XLOOKUP(C259,Tab_Def_Flows[Flow_Name],Tab_Def_Flows[Flow_ID],,0,)</f>
        <v>F__</v>
      </c>
      <c r="C259" s="8" t="s">
        <v>31</v>
      </c>
      <c r="D259" s="10">
        <f>_xlfn.XLOOKUP(C259,Tab_Def_Flows[Flow_Name],Tab_Def_Flows[WC?],,0,)</f>
        <v>0</v>
      </c>
      <c r="E259" s="10">
        <f>_xlfn.XLOOKUP(C259,Tab_Def_Flows[Flow_Name],Tab_Def_Flows[DM?],,0,)</f>
        <v>0</v>
      </c>
      <c r="F259" s="10">
        <f>_xlfn.XLOOKUP(C259,Tab_Def_Flows[Flow_Name],Tab_Def_Flows[CC?],,0,)</f>
        <v>0</v>
      </c>
      <c r="G259" s="8"/>
      <c r="H259" s="28"/>
      <c r="I259" s="8"/>
      <c r="J259" s="8"/>
      <c r="K259" s="8"/>
      <c r="L259" s="8"/>
      <c r="M259" s="8"/>
      <c r="N259" s="8"/>
      <c r="O259" s="8"/>
      <c r="P259" s="8"/>
      <c r="Q259" s="8" t="s">
        <v>8</v>
      </c>
      <c r="R259" s="21"/>
      <c r="S259" s="8"/>
      <c r="T259" s="7" t="str">
        <f>Tab_Data_Flows[[#This Row],[Flow_ID]]&amp;"_"&amp;"material_"&amp;Tab_Data_Flows[[#This Row],[Flow_Data_Year]]</f>
        <v>F___material_</v>
      </c>
      <c r="U259" s="18">
        <f t="shared" ref="U259:U280" si="10">IF(Q259="no",H259,H259*R259)</f>
        <v>0</v>
      </c>
      <c r="V259" s="8" t="s">
        <v>218</v>
      </c>
      <c r="W259" s="156">
        <f>INDEX(Tab_Def_Flows[[Flow_ID]:[CC_DM_source]],MATCH(Tab_Data_Flows[[#This Row],[Flow_Name]],Tab_Def_Flows[Flow_Name],0),11)</f>
        <v>0</v>
      </c>
      <c r="X259" s="7" t="str">
        <f>Tab_Data_Flows[[#This Row],[Flow_ID]]&amp;"_"&amp;"WC_"&amp;Tab_Data_Flows[[#This Row],[Flow_Data_Year]]</f>
        <v>F___WC_</v>
      </c>
      <c r="Y259" s="7" t="str">
        <f>IF(D259="Yes",U259*Tab_Data_Flows[[#This Row],[WC_'[%']]],"N.A.")</f>
        <v>N.A.</v>
      </c>
      <c r="Z259" s="7" t="str">
        <f>Tab_Data_Flows[[#This Row],[UoM_Flow_Py]]</f>
        <v>Mg</v>
      </c>
      <c r="AA259" s="156">
        <f>INDEX(Tab_Def_Flows[[Flow_ID]:[CC_DM_source]],MATCH(Tab_Data_Flows[[#This Row],[Flow_Name]],Tab_Def_Flows[Flow_Name],0),14)</f>
        <v>0</v>
      </c>
      <c r="AB259" s="7" t="str">
        <f>Tab_Data_Flows[[#This Row],[Flow_ID]]&amp;"_"&amp;"DM_"&amp;Tab_Data_Flows[[#This Row],[Flow_Data_Year]]</f>
        <v>F___DM_</v>
      </c>
      <c r="AC259" s="7" t="str">
        <f>IF(E259="Yes",AA259*Tab_Data_Flows[[#This Row],[Flow_Material]],"N.A.")</f>
        <v>N.A.</v>
      </c>
      <c r="AD259" s="7" t="str">
        <f>Tab_Data_Flows[[#This Row],[UoM_Flow_Py]]</f>
        <v>Mg</v>
      </c>
      <c r="AE259" s="156">
        <f>INDEX(Tab_Def_Flows[[Flow_ID]:[CC_DM_source]],MATCH(Tab_Data_Flows[[#This Row],[Flow_Name]],Tab_Def_Flows[Flow_Name],0),17)</f>
        <v>0</v>
      </c>
      <c r="AF259" s="7" t="str">
        <f>Tab_Data_Flows[[#This Row],[Flow_ID]]&amp;"_"&amp;"CC_"&amp;Tab_Data_Flows[[#This Row],[Flow_Data_Year]]</f>
        <v>F___CC_</v>
      </c>
      <c r="AG259" s="7" t="str">
        <f>IF(F259="Yes",AE259*Tab_Data_Flows[[#This Row],[Flow_Material]]*Tab_Data_Flows[[#This Row],[DM_'[%']]],"N.A.")</f>
        <v>N.A.</v>
      </c>
      <c r="AH259" s="7" t="str">
        <f>Tab_Data_Flows[[#This Row],[UoM_Flow_Py]]</f>
        <v>Mg</v>
      </c>
      <c r="AI259"/>
    </row>
    <row r="260" spans="1:35" x14ac:dyDescent="0.25">
      <c r="A260" s="9">
        <f t="shared" si="9"/>
        <v>259</v>
      </c>
      <c r="B260" s="7" t="str">
        <f>_xlfn.XLOOKUP(C260,Tab_Def_Flows[Flow_Name],Tab_Def_Flows[Flow_ID],,0,)</f>
        <v>F__</v>
      </c>
      <c r="C260" s="8" t="s">
        <v>31</v>
      </c>
      <c r="D260" s="10">
        <f>_xlfn.XLOOKUP(C260,Tab_Def_Flows[Flow_Name],Tab_Def_Flows[WC?],,0,)</f>
        <v>0</v>
      </c>
      <c r="E260" s="10">
        <f>_xlfn.XLOOKUP(C260,Tab_Def_Flows[Flow_Name],Tab_Def_Flows[DM?],,0,)</f>
        <v>0</v>
      </c>
      <c r="F260" s="10">
        <f>_xlfn.XLOOKUP(C260,Tab_Def_Flows[Flow_Name],Tab_Def_Flows[CC?],,0,)</f>
        <v>0</v>
      </c>
      <c r="G260" s="8"/>
      <c r="H260" s="28"/>
      <c r="I260" s="8"/>
      <c r="J260" s="8"/>
      <c r="K260" s="8"/>
      <c r="L260" s="8"/>
      <c r="M260" s="8"/>
      <c r="N260" s="8"/>
      <c r="O260" s="8"/>
      <c r="P260" s="8"/>
      <c r="Q260" s="8" t="s">
        <v>8</v>
      </c>
      <c r="R260" s="21"/>
      <c r="S260" s="8"/>
      <c r="T260" s="7" t="str">
        <f>Tab_Data_Flows[[#This Row],[Flow_ID]]&amp;"_"&amp;"material_"&amp;Tab_Data_Flows[[#This Row],[Flow_Data_Year]]</f>
        <v>F___material_</v>
      </c>
      <c r="U260" s="18">
        <f t="shared" si="10"/>
        <v>0</v>
      </c>
      <c r="V260" s="8" t="s">
        <v>218</v>
      </c>
      <c r="W260" s="156">
        <f>INDEX(Tab_Def_Flows[[Flow_ID]:[CC_DM_source]],MATCH(Tab_Data_Flows[[#This Row],[Flow_Name]],Tab_Def_Flows[Flow_Name],0),11)</f>
        <v>0</v>
      </c>
      <c r="X260" s="7" t="str">
        <f>Tab_Data_Flows[[#This Row],[Flow_ID]]&amp;"_"&amp;"WC_"&amp;Tab_Data_Flows[[#This Row],[Flow_Data_Year]]</f>
        <v>F___WC_</v>
      </c>
      <c r="Y260" s="7" t="str">
        <f>IF(D260="Yes",U260*Tab_Data_Flows[[#This Row],[WC_'[%']]],"N.A.")</f>
        <v>N.A.</v>
      </c>
      <c r="Z260" s="7" t="str">
        <f>Tab_Data_Flows[[#This Row],[UoM_Flow_Py]]</f>
        <v>Mg</v>
      </c>
      <c r="AA260" s="156">
        <f>INDEX(Tab_Def_Flows[[Flow_ID]:[CC_DM_source]],MATCH(Tab_Data_Flows[[#This Row],[Flow_Name]],Tab_Def_Flows[Flow_Name],0),14)</f>
        <v>0</v>
      </c>
      <c r="AB260" s="7" t="str">
        <f>Tab_Data_Flows[[#This Row],[Flow_ID]]&amp;"_"&amp;"DM_"&amp;Tab_Data_Flows[[#This Row],[Flow_Data_Year]]</f>
        <v>F___DM_</v>
      </c>
      <c r="AC260" s="7" t="str">
        <f>IF(E260="Yes",AA260*Tab_Data_Flows[[#This Row],[Flow_Material]],"N.A.")</f>
        <v>N.A.</v>
      </c>
      <c r="AD260" s="7" t="str">
        <f>Tab_Data_Flows[[#This Row],[UoM_Flow_Py]]</f>
        <v>Mg</v>
      </c>
      <c r="AE260" s="156">
        <f>INDEX(Tab_Def_Flows[[Flow_ID]:[CC_DM_source]],MATCH(Tab_Data_Flows[[#This Row],[Flow_Name]],Tab_Def_Flows[Flow_Name],0),17)</f>
        <v>0</v>
      </c>
      <c r="AF260" s="7" t="str">
        <f>Tab_Data_Flows[[#This Row],[Flow_ID]]&amp;"_"&amp;"CC_"&amp;Tab_Data_Flows[[#This Row],[Flow_Data_Year]]</f>
        <v>F___CC_</v>
      </c>
      <c r="AG260" s="7" t="str">
        <f>IF(F260="Yes",AE260*Tab_Data_Flows[[#This Row],[Flow_Material]]*Tab_Data_Flows[[#This Row],[DM_'[%']]],"N.A.")</f>
        <v>N.A.</v>
      </c>
      <c r="AH260" s="7" t="str">
        <f>Tab_Data_Flows[[#This Row],[UoM_Flow_Py]]</f>
        <v>Mg</v>
      </c>
      <c r="AI260"/>
    </row>
    <row r="261" spans="1:35" x14ac:dyDescent="0.25">
      <c r="A261" s="9">
        <f t="shared" si="9"/>
        <v>260</v>
      </c>
      <c r="B261" s="7" t="str">
        <f>_xlfn.XLOOKUP(C261,Tab_Def_Flows[Flow_Name],Tab_Def_Flows[Flow_ID],,0,)</f>
        <v>F__</v>
      </c>
      <c r="C261" s="8" t="s">
        <v>31</v>
      </c>
      <c r="D261" s="10">
        <f>_xlfn.XLOOKUP(C261,Tab_Def_Flows[Flow_Name],Tab_Def_Flows[WC?],,0,)</f>
        <v>0</v>
      </c>
      <c r="E261" s="10">
        <f>_xlfn.XLOOKUP(C261,Tab_Def_Flows[Flow_Name],Tab_Def_Flows[DM?],,0,)</f>
        <v>0</v>
      </c>
      <c r="F261" s="10">
        <f>_xlfn.XLOOKUP(C261,Tab_Def_Flows[Flow_Name],Tab_Def_Flows[CC?],,0,)</f>
        <v>0</v>
      </c>
      <c r="G261" s="8"/>
      <c r="H261" s="28"/>
      <c r="I261" s="8"/>
      <c r="J261" s="8"/>
      <c r="K261" s="8"/>
      <c r="L261" s="8"/>
      <c r="M261" s="8"/>
      <c r="N261" s="8"/>
      <c r="O261" s="8"/>
      <c r="P261" s="8"/>
      <c r="Q261" s="8" t="s">
        <v>8</v>
      </c>
      <c r="R261" s="21"/>
      <c r="S261" s="8"/>
      <c r="T261" s="7" t="str">
        <f>Tab_Data_Flows[[#This Row],[Flow_ID]]&amp;"_"&amp;"material_"&amp;Tab_Data_Flows[[#This Row],[Flow_Data_Year]]</f>
        <v>F___material_</v>
      </c>
      <c r="U261" s="18">
        <f t="shared" si="10"/>
        <v>0</v>
      </c>
      <c r="V261" s="8" t="s">
        <v>218</v>
      </c>
      <c r="W261" s="156">
        <f>INDEX(Tab_Def_Flows[[Flow_ID]:[CC_DM_source]],MATCH(Tab_Data_Flows[[#This Row],[Flow_Name]],Tab_Def_Flows[Flow_Name],0),11)</f>
        <v>0</v>
      </c>
      <c r="X261" s="7" t="str">
        <f>Tab_Data_Flows[[#This Row],[Flow_ID]]&amp;"_"&amp;"WC_"&amp;Tab_Data_Flows[[#This Row],[Flow_Data_Year]]</f>
        <v>F___WC_</v>
      </c>
      <c r="Y261" s="7" t="str">
        <f>IF(D261="Yes",U261*Tab_Data_Flows[[#This Row],[WC_'[%']]],"N.A.")</f>
        <v>N.A.</v>
      </c>
      <c r="Z261" s="7" t="str">
        <f>Tab_Data_Flows[[#This Row],[UoM_Flow_Py]]</f>
        <v>Mg</v>
      </c>
      <c r="AA261" s="156">
        <f>INDEX(Tab_Def_Flows[[Flow_ID]:[CC_DM_source]],MATCH(Tab_Data_Flows[[#This Row],[Flow_Name]],Tab_Def_Flows[Flow_Name],0),14)</f>
        <v>0</v>
      </c>
      <c r="AB261" s="7" t="str">
        <f>Tab_Data_Flows[[#This Row],[Flow_ID]]&amp;"_"&amp;"DM_"&amp;Tab_Data_Flows[[#This Row],[Flow_Data_Year]]</f>
        <v>F___DM_</v>
      </c>
      <c r="AC261" s="7" t="str">
        <f>IF(E261="Yes",AA261*Tab_Data_Flows[[#This Row],[Flow_Material]],"N.A.")</f>
        <v>N.A.</v>
      </c>
      <c r="AD261" s="7" t="str">
        <f>Tab_Data_Flows[[#This Row],[UoM_Flow_Py]]</f>
        <v>Mg</v>
      </c>
      <c r="AE261" s="156">
        <f>INDEX(Tab_Def_Flows[[Flow_ID]:[CC_DM_source]],MATCH(Tab_Data_Flows[[#This Row],[Flow_Name]],Tab_Def_Flows[Flow_Name],0),17)</f>
        <v>0</v>
      </c>
      <c r="AF261" s="7" t="str">
        <f>Tab_Data_Flows[[#This Row],[Flow_ID]]&amp;"_"&amp;"CC_"&amp;Tab_Data_Flows[[#This Row],[Flow_Data_Year]]</f>
        <v>F___CC_</v>
      </c>
      <c r="AG261" s="7" t="str">
        <f>IF(F261="Yes",AE261*Tab_Data_Flows[[#This Row],[Flow_Material]]*Tab_Data_Flows[[#This Row],[DM_'[%']]],"N.A.")</f>
        <v>N.A.</v>
      </c>
      <c r="AH261" s="7" t="str">
        <f>Tab_Data_Flows[[#This Row],[UoM_Flow_Py]]</f>
        <v>Mg</v>
      </c>
      <c r="AI261"/>
    </row>
    <row r="262" spans="1:35" x14ac:dyDescent="0.25">
      <c r="A262" s="9">
        <f t="shared" si="9"/>
        <v>261</v>
      </c>
      <c r="B262" s="7" t="str">
        <f>_xlfn.XLOOKUP(C262,Tab_Def_Flows[Flow_Name],Tab_Def_Flows[Flow_ID],,0,)</f>
        <v>F__</v>
      </c>
      <c r="C262" s="8" t="s">
        <v>31</v>
      </c>
      <c r="D262" s="10">
        <f>_xlfn.XLOOKUP(C262,Tab_Def_Flows[Flow_Name],Tab_Def_Flows[WC?],,0,)</f>
        <v>0</v>
      </c>
      <c r="E262" s="10">
        <f>_xlfn.XLOOKUP(C262,Tab_Def_Flows[Flow_Name],Tab_Def_Flows[DM?],,0,)</f>
        <v>0</v>
      </c>
      <c r="F262" s="10">
        <f>_xlfn.XLOOKUP(C262,Tab_Def_Flows[Flow_Name],Tab_Def_Flows[CC?],,0,)</f>
        <v>0</v>
      </c>
      <c r="G262" s="8"/>
      <c r="H262" s="28"/>
      <c r="I262" s="8"/>
      <c r="J262" s="8"/>
      <c r="K262" s="8"/>
      <c r="L262" s="8"/>
      <c r="M262" s="8"/>
      <c r="N262" s="8"/>
      <c r="O262" s="8"/>
      <c r="P262" s="8"/>
      <c r="Q262" s="8" t="s">
        <v>8</v>
      </c>
      <c r="R262" s="21"/>
      <c r="S262" s="8"/>
      <c r="T262" s="7" t="str">
        <f>Tab_Data_Flows[[#This Row],[Flow_ID]]&amp;"_"&amp;"material_"&amp;Tab_Data_Flows[[#This Row],[Flow_Data_Year]]</f>
        <v>F___material_</v>
      </c>
      <c r="U262" s="18">
        <f t="shared" si="10"/>
        <v>0</v>
      </c>
      <c r="V262" s="8" t="s">
        <v>218</v>
      </c>
      <c r="W262" s="156">
        <f>INDEX(Tab_Def_Flows[[Flow_ID]:[CC_DM_source]],MATCH(Tab_Data_Flows[[#This Row],[Flow_Name]],Tab_Def_Flows[Flow_Name],0),11)</f>
        <v>0</v>
      </c>
      <c r="X262" s="7" t="str">
        <f>Tab_Data_Flows[[#This Row],[Flow_ID]]&amp;"_"&amp;"WC_"&amp;Tab_Data_Flows[[#This Row],[Flow_Data_Year]]</f>
        <v>F___WC_</v>
      </c>
      <c r="Y262" s="7" t="str">
        <f>IF(D262="Yes",U262*Tab_Data_Flows[[#This Row],[WC_'[%']]],"N.A.")</f>
        <v>N.A.</v>
      </c>
      <c r="Z262" s="7" t="str">
        <f>Tab_Data_Flows[[#This Row],[UoM_Flow_Py]]</f>
        <v>Mg</v>
      </c>
      <c r="AA262" s="156">
        <f>INDEX(Tab_Def_Flows[[Flow_ID]:[CC_DM_source]],MATCH(Tab_Data_Flows[[#This Row],[Flow_Name]],Tab_Def_Flows[Flow_Name],0),14)</f>
        <v>0</v>
      </c>
      <c r="AB262" s="7" t="str">
        <f>Tab_Data_Flows[[#This Row],[Flow_ID]]&amp;"_"&amp;"DM_"&amp;Tab_Data_Flows[[#This Row],[Flow_Data_Year]]</f>
        <v>F___DM_</v>
      </c>
      <c r="AC262" s="7" t="str">
        <f>IF(E262="Yes",AA262*Tab_Data_Flows[[#This Row],[Flow_Material]],"N.A.")</f>
        <v>N.A.</v>
      </c>
      <c r="AD262" s="7" t="str">
        <f>Tab_Data_Flows[[#This Row],[UoM_Flow_Py]]</f>
        <v>Mg</v>
      </c>
      <c r="AE262" s="156">
        <f>INDEX(Tab_Def_Flows[[Flow_ID]:[CC_DM_source]],MATCH(Tab_Data_Flows[[#This Row],[Flow_Name]],Tab_Def_Flows[Flow_Name],0),17)</f>
        <v>0</v>
      </c>
      <c r="AF262" s="7" t="str">
        <f>Tab_Data_Flows[[#This Row],[Flow_ID]]&amp;"_"&amp;"CC_"&amp;Tab_Data_Flows[[#This Row],[Flow_Data_Year]]</f>
        <v>F___CC_</v>
      </c>
      <c r="AG262" s="7" t="str">
        <f>IF(F262="Yes",AE262*Tab_Data_Flows[[#This Row],[Flow_Material]]*Tab_Data_Flows[[#This Row],[DM_'[%']]],"N.A.")</f>
        <v>N.A.</v>
      </c>
      <c r="AH262" s="7" t="str">
        <f>Tab_Data_Flows[[#This Row],[UoM_Flow_Py]]</f>
        <v>Mg</v>
      </c>
      <c r="AI262"/>
    </row>
    <row r="263" spans="1:35" x14ac:dyDescent="0.25">
      <c r="A263" s="9">
        <f t="shared" si="9"/>
        <v>262</v>
      </c>
      <c r="B263" s="7" t="str">
        <f>_xlfn.XLOOKUP(C263,Tab_Def_Flows[Flow_Name],Tab_Def_Flows[Flow_ID],,0,)</f>
        <v>F__</v>
      </c>
      <c r="C263" s="8" t="s">
        <v>31</v>
      </c>
      <c r="D263" s="10">
        <f>_xlfn.XLOOKUP(C263,Tab_Def_Flows[Flow_Name],Tab_Def_Flows[WC?],,0,)</f>
        <v>0</v>
      </c>
      <c r="E263" s="10">
        <f>_xlfn.XLOOKUP(C263,Tab_Def_Flows[Flow_Name],Tab_Def_Flows[DM?],,0,)</f>
        <v>0</v>
      </c>
      <c r="F263" s="10">
        <f>_xlfn.XLOOKUP(C263,Tab_Def_Flows[Flow_Name],Tab_Def_Flows[CC?],,0,)</f>
        <v>0</v>
      </c>
      <c r="G263" s="8"/>
      <c r="H263" s="28"/>
      <c r="I263" s="8"/>
      <c r="J263" s="8"/>
      <c r="K263" s="8"/>
      <c r="L263" s="8"/>
      <c r="M263" s="8"/>
      <c r="N263" s="8"/>
      <c r="O263" s="8"/>
      <c r="P263" s="8"/>
      <c r="Q263" s="8" t="s">
        <v>8</v>
      </c>
      <c r="R263" s="21"/>
      <c r="S263" s="8"/>
      <c r="T263" s="7" t="str">
        <f>Tab_Data_Flows[[#This Row],[Flow_ID]]&amp;"_"&amp;"material_"&amp;Tab_Data_Flows[[#This Row],[Flow_Data_Year]]</f>
        <v>F___material_</v>
      </c>
      <c r="U263" s="18">
        <f t="shared" si="10"/>
        <v>0</v>
      </c>
      <c r="V263" s="8" t="s">
        <v>218</v>
      </c>
      <c r="W263" s="156">
        <f>INDEX(Tab_Def_Flows[[Flow_ID]:[CC_DM_source]],MATCH(Tab_Data_Flows[[#This Row],[Flow_Name]],Tab_Def_Flows[Flow_Name],0),11)</f>
        <v>0</v>
      </c>
      <c r="X263" s="7" t="str">
        <f>Tab_Data_Flows[[#This Row],[Flow_ID]]&amp;"_"&amp;"WC_"&amp;Tab_Data_Flows[[#This Row],[Flow_Data_Year]]</f>
        <v>F___WC_</v>
      </c>
      <c r="Y263" s="7" t="str">
        <f>IF(D263="Yes",U263*Tab_Data_Flows[[#This Row],[WC_'[%']]],"N.A.")</f>
        <v>N.A.</v>
      </c>
      <c r="Z263" s="7" t="str">
        <f>Tab_Data_Flows[[#This Row],[UoM_Flow_Py]]</f>
        <v>Mg</v>
      </c>
      <c r="AA263" s="156">
        <f>INDEX(Tab_Def_Flows[[Flow_ID]:[CC_DM_source]],MATCH(Tab_Data_Flows[[#This Row],[Flow_Name]],Tab_Def_Flows[Flow_Name],0),14)</f>
        <v>0</v>
      </c>
      <c r="AB263" s="7" t="str">
        <f>Tab_Data_Flows[[#This Row],[Flow_ID]]&amp;"_"&amp;"DM_"&amp;Tab_Data_Flows[[#This Row],[Flow_Data_Year]]</f>
        <v>F___DM_</v>
      </c>
      <c r="AC263" s="7" t="str">
        <f>IF(E263="Yes",AA263*Tab_Data_Flows[[#This Row],[Flow_Material]],"N.A.")</f>
        <v>N.A.</v>
      </c>
      <c r="AD263" s="7" t="str">
        <f>Tab_Data_Flows[[#This Row],[UoM_Flow_Py]]</f>
        <v>Mg</v>
      </c>
      <c r="AE263" s="156">
        <f>INDEX(Tab_Def_Flows[[Flow_ID]:[CC_DM_source]],MATCH(Tab_Data_Flows[[#This Row],[Flow_Name]],Tab_Def_Flows[Flow_Name],0),17)</f>
        <v>0</v>
      </c>
      <c r="AF263" s="7" t="str">
        <f>Tab_Data_Flows[[#This Row],[Flow_ID]]&amp;"_"&amp;"CC_"&amp;Tab_Data_Flows[[#This Row],[Flow_Data_Year]]</f>
        <v>F___CC_</v>
      </c>
      <c r="AG263" s="7" t="str">
        <f>IF(F263="Yes",AE263*Tab_Data_Flows[[#This Row],[Flow_Material]]*Tab_Data_Flows[[#This Row],[DM_'[%']]],"N.A.")</f>
        <v>N.A.</v>
      </c>
      <c r="AH263" s="7" t="str">
        <f>Tab_Data_Flows[[#This Row],[UoM_Flow_Py]]</f>
        <v>Mg</v>
      </c>
      <c r="AI263"/>
    </row>
    <row r="264" spans="1:35" x14ac:dyDescent="0.25">
      <c r="A264" s="9">
        <f t="shared" si="9"/>
        <v>263</v>
      </c>
      <c r="B264" s="7" t="str">
        <f>_xlfn.XLOOKUP(C264,Tab_Def_Flows[Flow_Name],Tab_Def_Flows[Flow_ID],,0,)</f>
        <v>F__</v>
      </c>
      <c r="C264" s="8" t="s">
        <v>31</v>
      </c>
      <c r="D264" s="10">
        <f>_xlfn.XLOOKUP(C264,Tab_Def_Flows[Flow_Name],Tab_Def_Flows[WC?],,0,)</f>
        <v>0</v>
      </c>
      <c r="E264" s="10">
        <f>_xlfn.XLOOKUP(C264,Tab_Def_Flows[Flow_Name],Tab_Def_Flows[DM?],,0,)</f>
        <v>0</v>
      </c>
      <c r="F264" s="10">
        <f>_xlfn.XLOOKUP(C264,Tab_Def_Flows[Flow_Name],Tab_Def_Flows[CC?],,0,)</f>
        <v>0</v>
      </c>
      <c r="G264" s="8"/>
      <c r="H264" s="28"/>
      <c r="I264" s="8"/>
      <c r="J264" s="8"/>
      <c r="K264" s="8"/>
      <c r="L264" s="14"/>
      <c r="M264" s="8"/>
      <c r="N264" s="8"/>
      <c r="O264" s="8"/>
      <c r="P264" s="8"/>
      <c r="Q264" s="8" t="s">
        <v>8</v>
      </c>
      <c r="R264" s="21"/>
      <c r="S264" s="8"/>
      <c r="T264" s="7" t="str">
        <f>Tab_Data_Flows[[#This Row],[Flow_ID]]&amp;"_"&amp;"material_"&amp;Tab_Data_Flows[[#This Row],[Flow_Data_Year]]</f>
        <v>F___material_</v>
      </c>
      <c r="U264" s="18">
        <f t="shared" si="10"/>
        <v>0</v>
      </c>
      <c r="V264" s="8" t="s">
        <v>218</v>
      </c>
      <c r="W264" s="156">
        <f>INDEX(Tab_Def_Flows[[Flow_ID]:[CC_DM_source]],MATCH(Tab_Data_Flows[[#This Row],[Flow_Name]],Tab_Def_Flows[Flow_Name],0),11)</f>
        <v>0</v>
      </c>
      <c r="X264" s="7" t="str">
        <f>Tab_Data_Flows[[#This Row],[Flow_ID]]&amp;"_"&amp;"WC_"&amp;Tab_Data_Flows[[#This Row],[Flow_Data_Year]]</f>
        <v>F___WC_</v>
      </c>
      <c r="Y264" s="7" t="str">
        <f>IF(D264="Yes",U264*Tab_Data_Flows[[#This Row],[WC_'[%']]],"N.A.")</f>
        <v>N.A.</v>
      </c>
      <c r="Z264" s="7" t="str">
        <f>Tab_Data_Flows[[#This Row],[UoM_Flow_Py]]</f>
        <v>Mg</v>
      </c>
      <c r="AA264" s="156">
        <f>INDEX(Tab_Def_Flows[[Flow_ID]:[CC_DM_source]],MATCH(Tab_Data_Flows[[#This Row],[Flow_Name]],Tab_Def_Flows[Flow_Name],0),14)</f>
        <v>0</v>
      </c>
      <c r="AB264" s="7" t="str">
        <f>Tab_Data_Flows[[#This Row],[Flow_ID]]&amp;"_"&amp;"DM_"&amp;Tab_Data_Flows[[#This Row],[Flow_Data_Year]]</f>
        <v>F___DM_</v>
      </c>
      <c r="AC264" s="7" t="str">
        <f>IF(E264="Yes",AA264*Tab_Data_Flows[[#This Row],[Flow_Material]],"N.A.")</f>
        <v>N.A.</v>
      </c>
      <c r="AD264" s="7" t="str">
        <f>Tab_Data_Flows[[#This Row],[UoM_Flow_Py]]</f>
        <v>Mg</v>
      </c>
      <c r="AE264" s="156">
        <f>INDEX(Tab_Def_Flows[[Flow_ID]:[CC_DM_source]],MATCH(Tab_Data_Flows[[#This Row],[Flow_Name]],Tab_Def_Flows[Flow_Name],0),17)</f>
        <v>0</v>
      </c>
      <c r="AF264" s="7" t="str">
        <f>Tab_Data_Flows[[#This Row],[Flow_ID]]&amp;"_"&amp;"CC_"&amp;Tab_Data_Flows[[#This Row],[Flow_Data_Year]]</f>
        <v>F___CC_</v>
      </c>
      <c r="AG264" s="7" t="str">
        <f>IF(F264="Yes",AE264*Tab_Data_Flows[[#This Row],[Flow_Material]]*Tab_Data_Flows[[#This Row],[DM_'[%']]],"N.A.")</f>
        <v>N.A.</v>
      </c>
      <c r="AH264" s="7" t="str">
        <f>Tab_Data_Flows[[#This Row],[UoM_Flow_Py]]</f>
        <v>Mg</v>
      </c>
      <c r="AI264"/>
    </row>
    <row r="265" spans="1:35" x14ac:dyDescent="0.25">
      <c r="A265" s="9">
        <f t="shared" si="9"/>
        <v>264</v>
      </c>
      <c r="B265" s="7" t="str">
        <f>_xlfn.XLOOKUP(C265,Tab_Def_Flows[Flow_Name],Tab_Def_Flows[Flow_ID],,0,)</f>
        <v>F__</v>
      </c>
      <c r="C265" s="8" t="s">
        <v>31</v>
      </c>
      <c r="D265" s="10">
        <f>_xlfn.XLOOKUP(C265,Tab_Def_Flows[Flow_Name],Tab_Def_Flows[WC?],,0,)</f>
        <v>0</v>
      </c>
      <c r="E265" s="10">
        <f>_xlfn.XLOOKUP(C265,Tab_Def_Flows[Flow_Name],Tab_Def_Flows[DM?],,0,)</f>
        <v>0</v>
      </c>
      <c r="F265" s="10">
        <f>_xlfn.XLOOKUP(C265,Tab_Def_Flows[Flow_Name],Tab_Def_Flows[CC?],,0,)</f>
        <v>0</v>
      </c>
      <c r="G265" s="8"/>
      <c r="H265" s="28"/>
      <c r="I265" s="8"/>
      <c r="J265" s="8"/>
      <c r="K265" s="8"/>
      <c r="L265" s="14"/>
      <c r="M265" s="8"/>
      <c r="N265" s="8"/>
      <c r="O265" s="8"/>
      <c r="P265" s="8"/>
      <c r="Q265" s="8" t="s">
        <v>8</v>
      </c>
      <c r="R265" s="21"/>
      <c r="S265" s="8"/>
      <c r="T265" s="7" t="str">
        <f>Tab_Data_Flows[[#This Row],[Flow_ID]]&amp;"_"&amp;"material_"&amp;Tab_Data_Flows[[#This Row],[Flow_Data_Year]]</f>
        <v>F___material_</v>
      </c>
      <c r="U265" s="18">
        <f t="shared" si="10"/>
        <v>0</v>
      </c>
      <c r="V265" s="8" t="s">
        <v>218</v>
      </c>
      <c r="W265" s="156">
        <f>INDEX(Tab_Def_Flows[[Flow_ID]:[CC_DM_source]],MATCH(Tab_Data_Flows[[#This Row],[Flow_Name]],Tab_Def_Flows[Flow_Name],0),11)</f>
        <v>0</v>
      </c>
      <c r="X265" s="7" t="str">
        <f>Tab_Data_Flows[[#This Row],[Flow_ID]]&amp;"_"&amp;"WC_"&amp;Tab_Data_Flows[[#This Row],[Flow_Data_Year]]</f>
        <v>F___WC_</v>
      </c>
      <c r="Y265" s="7" t="str">
        <f>IF(D265="Yes",U265*Tab_Data_Flows[[#This Row],[WC_'[%']]],"N.A.")</f>
        <v>N.A.</v>
      </c>
      <c r="Z265" s="7" t="str">
        <f>Tab_Data_Flows[[#This Row],[UoM_Flow_Py]]</f>
        <v>Mg</v>
      </c>
      <c r="AA265" s="156">
        <f>INDEX(Tab_Def_Flows[[Flow_ID]:[CC_DM_source]],MATCH(Tab_Data_Flows[[#This Row],[Flow_Name]],Tab_Def_Flows[Flow_Name],0),14)</f>
        <v>0</v>
      </c>
      <c r="AB265" s="7" t="str">
        <f>Tab_Data_Flows[[#This Row],[Flow_ID]]&amp;"_"&amp;"DM_"&amp;Tab_Data_Flows[[#This Row],[Flow_Data_Year]]</f>
        <v>F___DM_</v>
      </c>
      <c r="AC265" s="7" t="str">
        <f>IF(E265="Yes",AA265*Tab_Data_Flows[[#This Row],[Flow_Material]],"N.A.")</f>
        <v>N.A.</v>
      </c>
      <c r="AD265" s="7" t="str">
        <f>Tab_Data_Flows[[#This Row],[UoM_Flow_Py]]</f>
        <v>Mg</v>
      </c>
      <c r="AE265" s="156">
        <f>INDEX(Tab_Def_Flows[[Flow_ID]:[CC_DM_source]],MATCH(Tab_Data_Flows[[#This Row],[Flow_Name]],Tab_Def_Flows[Flow_Name],0),17)</f>
        <v>0</v>
      </c>
      <c r="AF265" s="7" t="str">
        <f>Tab_Data_Flows[[#This Row],[Flow_ID]]&amp;"_"&amp;"CC_"&amp;Tab_Data_Flows[[#This Row],[Flow_Data_Year]]</f>
        <v>F___CC_</v>
      </c>
      <c r="AG265" s="7" t="str">
        <f>IF(F265="Yes",AE265*Tab_Data_Flows[[#This Row],[Flow_Material]]*Tab_Data_Flows[[#This Row],[DM_'[%']]],"N.A.")</f>
        <v>N.A.</v>
      </c>
      <c r="AH265" s="7" t="str">
        <f>Tab_Data_Flows[[#This Row],[UoM_Flow_Py]]</f>
        <v>Mg</v>
      </c>
      <c r="AI265"/>
    </row>
    <row r="266" spans="1:35" x14ac:dyDescent="0.25">
      <c r="A266" s="9">
        <f t="shared" si="9"/>
        <v>265</v>
      </c>
      <c r="B266" s="7" t="str">
        <f>_xlfn.XLOOKUP(C266,Tab_Def_Flows[Flow_Name],Tab_Def_Flows[Flow_ID],,0,)</f>
        <v>F__</v>
      </c>
      <c r="C266" s="8" t="s">
        <v>31</v>
      </c>
      <c r="D266" s="10">
        <f>_xlfn.XLOOKUP(C266,Tab_Def_Flows[Flow_Name],Tab_Def_Flows[WC?],,0,)</f>
        <v>0</v>
      </c>
      <c r="E266" s="10">
        <f>_xlfn.XLOOKUP(C266,Tab_Def_Flows[Flow_Name],Tab_Def_Flows[DM?],,0,)</f>
        <v>0</v>
      </c>
      <c r="F266" s="10">
        <f>_xlfn.XLOOKUP(C266,Tab_Def_Flows[Flow_Name],Tab_Def_Flows[CC?],,0,)</f>
        <v>0</v>
      </c>
      <c r="G266" s="8"/>
      <c r="H266" s="28"/>
      <c r="I266" s="8"/>
      <c r="J266" s="8"/>
      <c r="K266" s="8"/>
      <c r="L266" s="14"/>
      <c r="M266" s="8"/>
      <c r="N266" s="8"/>
      <c r="O266" s="8"/>
      <c r="P266" s="8"/>
      <c r="Q266" s="8" t="s">
        <v>8</v>
      </c>
      <c r="R266" s="21"/>
      <c r="S266" s="8"/>
      <c r="T266" s="7" t="str">
        <f>Tab_Data_Flows[[#This Row],[Flow_ID]]&amp;"_"&amp;"material_"&amp;Tab_Data_Flows[[#This Row],[Flow_Data_Year]]</f>
        <v>F___material_</v>
      </c>
      <c r="U266" s="18">
        <f t="shared" si="10"/>
        <v>0</v>
      </c>
      <c r="V266" s="8" t="s">
        <v>218</v>
      </c>
      <c r="W266" s="156">
        <f>INDEX(Tab_Def_Flows[[Flow_ID]:[CC_DM_source]],MATCH(Tab_Data_Flows[[#This Row],[Flow_Name]],Tab_Def_Flows[Flow_Name],0),11)</f>
        <v>0</v>
      </c>
      <c r="X266" s="7" t="str">
        <f>Tab_Data_Flows[[#This Row],[Flow_ID]]&amp;"_"&amp;"WC_"&amp;Tab_Data_Flows[[#This Row],[Flow_Data_Year]]</f>
        <v>F___WC_</v>
      </c>
      <c r="Y266" s="7" t="str">
        <f>IF(D266="Yes",U266*Tab_Data_Flows[[#This Row],[WC_'[%']]],"N.A.")</f>
        <v>N.A.</v>
      </c>
      <c r="Z266" s="7" t="str">
        <f>Tab_Data_Flows[[#This Row],[UoM_Flow_Py]]</f>
        <v>Mg</v>
      </c>
      <c r="AA266" s="156">
        <f>INDEX(Tab_Def_Flows[[Flow_ID]:[CC_DM_source]],MATCH(Tab_Data_Flows[[#This Row],[Flow_Name]],Tab_Def_Flows[Flow_Name],0),14)</f>
        <v>0</v>
      </c>
      <c r="AB266" s="7" t="str">
        <f>Tab_Data_Flows[[#This Row],[Flow_ID]]&amp;"_"&amp;"DM_"&amp;Tab_Data_Flows[[#This Row],[Flow_Data_Year]]</f>
        <v>F___DM_</v>
      </c>
      <c r="AC266" s="7" t="str">
        <f>IF(E266="Yes",AA266*Tab_Data_Flows[[#This Row],[Flow_Material]],"N.A.")</f>
        <v>N.A.</v>
      </c>
      <c r="AD266" s="7" t="str">
        <f>Tab_Data_Flows[[#This Row],[UoM_Flow_Py]]</f>
        <v>Mg</v>
      </c>
      <c r="AE266" s="156">
        <f>INDEX(Tab_Def_Flows[[Flow_ID]:[CC_DM_source]],MATCH(Tab_Data_Flows[[#This Row],[Flow_Name]],Tab_Def_Flows[Flow_Name],0),17)</f>
        <v>0</v>
      </c>
      <c r="AF266" s="7" t="str">
        <f>Tab_Data_Flows[[#This Row],[Flow_ID]]&amp;"_"&amp;"CC_"&amp;Tab_Data_Flows[[#This Row],[Flow_Data_Year]]</f>
        <v>F___CC_</v>
      </c>
      <c r="AG266" s="7" t="str">
        <f>IF(F266="Yes",AE266*Tab_Data_Flows[[#This Row],[Flow_Material]]*Tab_Data_Flows[[#This Row],[DM_'[%']]],"N.A.")</f>
        <v>N.A.</v>
      </c>
      <c r="AH266" s="7" t="str">
        <f>Tab_Data_Flows[[#This Row],[UoM_Flow_Py]]</f>
        <v>Mg</v>
      </c>
      <c r="AI266"/>
    </row>
    <row r="267" spans="1:35" x14ac:dyDescent="0.25">
      <c r="A267" s="9">
        <f t="shared" si="9"/>
        <v>266</v>
      </c>
      <c r="B267" s="7" t="str">
        <f>_xlfn.XLOOKUP(C267,Tab_Def_Flows[Flow_Name],Tab_Def_Flows[Flow_ID],,0,)</f>
        <v>F__</v>
      </c>
      <c r="C267" s="8" t="s">
        <v>31</v>
      </c>
      <c r="D267" s="10">
        <f>_xlfn.XLOOKUP(C267,Tab_Def_Flows[Flow_Name],Tab_Def_Flows[WC?],,0,)</f>
        <v>0</v>
      </c>
      <c r="E267" s="10">
        <f>_xlfn.XLOOKUP(C267,Tab_Def_Flows[Flow_Name],Tab_Def_Flows[DM?],,0,)</f>
        <v>0</v>
      </c>
      <c r="F267" s="10">
        <f>_xlfn.XLOOKUP(C267,Tab_Def_Flows[Flow_Name],Tab_Def_Flows[CC?],,0,)</f>
        <v>0</v>
      </c>
      <c r="G267" s="8"/>
      <c r="H267" s="28"/>
      <c r="I267" s="8"/>
      <c r="J267" s="8"/>
      <c r="K267" s="8"/>
      <c r="L267" s="14"/>
      <c r="M267" s="8"/>
      <c r="N267" s="8"/>
      <c r="O267" s="8"/>
      <c r="P267" s="8"/>
      <c r="Q267" s="8" t="s">
        <v>8</v>
      </c>
      <c r="R267" s="21"/>
      <c r="S267" s="8"/>
      <c r="T267" s="7" t="str">
        <f>Tab_Data_Flows[[#This Row],[Flow_ID]]&amp;"_"&amp;"material_"&amp;Tab_Data_Flows[[#This Row],[Flow_Data_Year]]</f>
        <v>F___material_</v>
      </c>
      <c r="U267" s="18">
        <f t="shared" si="10"/>
        <v>0</v>
      </c>
      <c r="V267" s="8" t="s">
        <v>218</v>
      </c>
      <c r="W267" s="156">
        <f>INDEX(Tab_Def_Flows[[Flow_ID]:[CC_DM_source]],MATCH(Tab_Data_Flows[[#This Row],[Flow_Name]],Tab_Def_Flows[Flow_Name],0),11)</f>
        <v>0</v>
      </c>
      <c r="X267" s="7" t="str">
        <f>Tab_Data_Flows[[#This Row],[Flow_ID]]&amp;"_"&amp;"WC_"&amp;Tab_Data_Flows[[#This Row],[Flow_Data_Year]]</f>
        <v>F___WC_</v>
      </c>
      <c r="Y267" s="7" t="str">
        <f>IF(D267="Yes",U267*Tab_Data_Flows[[#This Row],[WC_'[%']]],"N.A.")</f>
        <v>N.A.</v>
      </c>
      <c r="Z267" s="7" t="str">
        <f>Tab_Data_Flows[[#This Row],[UoM_Flow_Py]]</f>
        <v>Mg</v>
      </c>
      <c r="AA267" s="156">
        <f>INDEX(Tab_Def_Flows[[Flow_ID]:[CC_DM_source]],MATCH(Tab_Data_Flows[[#This Row],[Flow_Name]],Tab_Def_Flows[Flow_Name],0),14)</f>
        <v>0</v>
      </c>
      <c r="AB267" s="7" t="str">
        <f>Tab_Data_Flows[[#This Row],[Flow_ID]]&amp;"_"&amp;"DM_"&amp;Tab_Data_Flows[[#This Row],[Flow_Data_Year]]</f>
        <v>F___DM_</v>
      </c>
      <c r="AC267" s="7" t="str">
        <f>IF(E267="Yes",AA267*Tab_Data_Flows[[#This Row],[Flow_Material]],"N.A.")</f>
        <v>N.A.</v>
      </c>
      <c r="AD267" s="7" t="str">
        <f>Tab_Data_Flows[[#This Row],[UoM_Flow_Py]]</f>
        <v>Mg</v>
      </c>
      <c r="AE267" s="156">
        <f>INDEX(Tab_Def_Flows[[Flow_ID]:[CC_DM_source]],MATCH(Tab_Data_Flows[[#This Row],[Flow_Name]],Tab_Def_Flows[Flow_Name],0),17)</f>
        <v>0</v>
      </c>
      <c r="AF267" s="7" t="str">
        <f>Tab_Data_Flows[[#This Row],[Flow_ID]]&amp;"_"&amp;"CC_"&amp;Tab_Data_Flows[[#This Row],[Flow_Data_Year]]</f>
        <v>F___CC_</v>
      </c>
      <c r="AG267" s="7" t="str">
        <f>IF(F267="Yes",AE267*Tab_Data_Flows[[#This Row],[Flow_Material]]*Tab_Data_Flows[[#This Row],[DM_'[%']]],"N.A.")</f>
        <v>N.A.</v>
      </c>
      <c r="AH267" s="7" t="str">
        <f>Tab_Data_Flows[[#This Row],[UoM_Flow_Py]]</f>
        <v>Mg</v>
      </c>
      <c r="AI267"/>
    </row>
    <row r="268" spans="1:35" x14ac:dyDescent="0.25">
      <c r="A268" s="9">
        <f t="shared" si="9"/>
        <v>267</v>
      </c>
      <c r="B268" s="7" t="str">
        <f>_xlfn.XLOOKUP(C268,Tab_Def_Flows[Flow_Name],Tab_Def_Flows[Flow_ID],,0,)</f>
        <v>F__</v>
      </c>
      <c r="C268" s="8" t="s">
        <v>31</v>
      </c>
      <c r="D268" s="10">
        <f>_xlfn.XLOOKUP(C268,Tab_Def_Flows[Flow_Name],Tab_Def_Flows[WC?],,0,)</f>
        <v>0</v>
      </c>
      <c r="E268" s="10">
        <f>_xlfn.XLOOKUP(C268,Tab_Def_Flows[Flow_Name],Tab_Def_Flows[DM?],,0,)</f>
        <v>0</v>
      </c>
      <c r="F268" s="10">
        <f>_xlfn.XLOOKUP(C268,Tab_Def_Flows[Flow_Name],Tab_Def_Flows[CC?],,0,)</f>
        <v>0</v>
      </c>
      <c r="G268" s="8"/>
      <c r="H268" s="28"/>
      <c r="I268" s="8"/>
      <c r="J268" s="8"/>
      <c r="K268" s="8"/>
      <c r="L268" s="14"/>
      <c r="M268" s="8"/>
      <c r="N268" s="8"/>
      <c r="O268" s="8"/>
      <c r="P268" s="8"/>
      <c r="Q268" s="8" t="s">
        <v>8</v>
      </c>
      <c r="R268" s="21"/>
      <c r="S268" s="8"/>
      <c r="T268" s="7" t="str">
        <f>Tab_Data_Flows[[#This Row],[Flow_ID]]&amp;"_"&amp;"material_"&amp;Tab_Data_Flows[[#This Row],[Flow_Data_Year]]</f>
        <v>F___material_</v>
      </c>
      <c r="U268" s="18">
        <f t="shared" si="10"/>
        <v>0</v>
      </c>
      <c r="V268" s="8" t="s">
        <v>218</v>
      </c>
      <c r="W268" s="156">
        <f>INDEX(Tab_Def_Flows[[Flow_ID]:[CC_DM_source]],MATCH(Tab_Data_Flows[[#This Row],[Flow_Name]],Tab_Def_Flows[Flow_Name],0),11)</f>
        <v>0</v>
      </c>
      <c r="X268" s="7" t="str">
        <f>Tab_Data_Flows[[#This Row],[Flow_ID]]&amp;"_"&amp;"WC_"&amp;Tab_Data_Flows[[#This Row],[Flow_Data_Year]]</f>
        <v>F___WC_</v>
      </c>
      <c r="Y268" s="7" t="str">
        <f>IF(D268="Yes",U268*Tab_Data_Flows[[#This Row],[WC_'[%']]],"N.A.")</f>
        <v>N.A.</v>
      </c>
      <c r="Z268" s="7" t="str">
        <f>Tab_Data_Flows[[#This Row],[UoM_Flow_Py]]</f>
        <v>Mg</v>
      </c>
      <c r="AA268" s="156">
        <f>INDEX(Tab_Def_Flows[[Flow_ID]:[CC_DM_source]],MATCH(Tab_Data_Flows[[#This Row],[Flow_Name]],Tab_Def_Flows[Flow_Name],0),14)</f>
        <v>0</v>
      </c>
      <c r="AB268" s="7" t="str">
        <f>Tab_Data_Flows[[#This Row],[Flow_ID]]&amp;"_"&amp;"DM_"&amp;Tab_Data_Flows[[#This Row],[Flow_Data_Year]]</f>
        <v>F___DM_</v>
      </c>
      <c r="AC268" s="7" t="str">
        <f>IF(E268="Yes",AA268*Tab_Data_Flows[[#This Row],[Flow_Material]],"N.A.")</f>
        <v>N.A.</v>
      </c>
      <c r="AD268" s="7" t="str">
        <f>Tab_Data_Flows[[#This Row],[UoM_Flow_Py]]</f>
        <v>Mg</v>
      </c>
      <c r="AE268" s="156">
        <f>INDEX(Tab_Def_Flows[[Flow_ID]:[CC_DM_source]],MATCH(Tab_Data_Flows[[#This Row],[Flow_Name]],Tab_Def_Flows[Flow_Name],0),17)</f>
        <v>0</v>
      </c>
      <c r="AF268" s="7" t="str">
        <f>Tab_Data_Flows[[#This Row],[Flow_ID]]&amp;"_"&amp;"CC_"&amp;Tab_Data_Flows[[#This Row],[Flow_Data_Year]]</f>
        <v>F___CC_</v>
      </c>
      <c r="AG268" s="7" t="str">
        <f>IF(F268="Yes",AE268*Tab_Data_Flows[[#This Row],[Flow_Material]]*Tab_Data_Flows[[#This Row],[DM_'[%']]],"N.A.")</f>
        <v>N.A.</v>
      </c>
      <c r="AH268" s="7" t="str">
        <f>Tab_Data_Flows[[#This Row],[UoM_Flow_Py]]</f>
        <v>Mg</v>
      </c>
      <c r="AI268"/>
    </row>
    <row r="269" spans="1:35" x14ac:dyDescent="0.25">
      <c r="A269" s="9">
        <f t="shared" si="9"/>
        <v>268</v>
      </c>
      <c r="B269" s="7" t="str">
        <f>_xlfn.XLOOKUP(C269,Tab_Def_Flows[Flow_Name],Tab_Def_Flows[Flow_ID],,0,)</f>
        <v>F__</v>
      </c>
      <c r="C269" s="8" t="s">
        <v>31</v>
      </c>
      <c r="D269" s="10">
        <f>_xlfn.XLOOKUP(C269,Tab_Def_Flows[Flow_Name],Tab_Def_Flows[WC?],,0,)</f>
        <v>0</v>
      </c>
      <c r="E269" s="10">
        <f>_xlfn.XLOOKUP(C269,Tab_Def_Flows[Flow_Name],Tab_Def_Flows[DM?],,0,)</f>
        <v>0</v>
      </c>
      <c r="F269" s="10">
        <f>_xlfn.XLOOKUP(C269,Tab_Def_Flows[Flow_Name],Tab_Def_Flows[CC?],,0,)</f>
        <v>0</v>
      </c>
      <c r="G269" s="8"/>
      <c r="H269" s="28"/>
      <c r="I269" s="8"/>
      <c r="J269" s="8"/>
      <c r="K269" s="8"/>
      <c r="L269" s="14"/>
      <c r="M269" s="8"/>
      <c r="N269" s="8"/>
      <c r="O269" s="8"/>
      <c r="P269" s="8"/>
      <c r="Q269" s="8" t="s">
        <v>8</v>
      </c>
      <c r="R269" s="21"/>
      <c r="S269" s="8"/>
      <c r="T269" s="7" t="str">
        <f>Tab_Data_Flows[[#This Row],[Flow_ID]]&amp;"_"&amp;"material_"&amp;Tab_Data_Flows[[#This Row],[Flow_Data_Year]]</f>
        <v>F___material_</v>
      </c>
      <c r="U269" s="18">
        <f t="shared" si="10"/>
        <v>0</v>
      </c>
      <c r="V269" s="8" t="s">
        <v>218</v>
      </c>
      <c r="W269" s="156">
        <f>INDEX(Tab_Def_Flows[[Flow_ID]:[CC_DM_source]],MATCH(Tab_Data_Flows[[#This Row],[Flow_Name]],Tab_Def_Flows[Flow_Name],0),11)</f>
        <v>0</v>
      </c>
      <c r="X269" s="7" t="str">
        <f>Tab_Data_Flows[[#This Row],[Flow_ID]]&amp;"_"&amp;"WC_"&amp;Tab_Data_Flows[[#This Row],[Flow_Data_Year]]</f>
        <v>F___WC_</v>
      </c>
      <c r="Y269" s="7" t="str">
        <f>IF(D269="Yes",U269*Tab_Data_Flows[[#This Row],[WC_'[%']]],"N.A.")</f>
        <v>N.A.</v>
      </c>
      <c r="Z269" s="7" t="str">
        <f>Tab_Data_Flows[[#This Row],[UoM_Flow_Py]]</f>
        <v>Mg</v>
      </c>
      <c r="AA269" s="156">
        <f>INDEX(Tab_Def_Flows[[Flow_ID]:[CC_DM_source]],MATCH(Tab_Data_Flows[[#This Row],[Flow_Name]],Tab_Def_Flows[Flow_Name],0),14)</f>
        <v>0</v>
      </c>
      <c r="AB269" s="7" t="str">
        <f>Tab_Data_Flows[[#This Row],[Flow_ID]]&amp;"_"&amp;"DM_"&amp;Tab_Data_Flows[[#This Row],[Flow_Data_Year]]</f>
        <v>F___DM_</v>
      </c>
      <c r="AC269" s="7" t="str">
        <f>IF(E269="Yes",AA269*Tab_Data_Flows[[#This Row],[Flow_Material]],"N.A.")</f>
        <v>N.A.</v>
      </c>
      <c r="AD269" s="7" t="str">
        <f>Tab_Data_Flows[[#This Row],[UoM_Flow_Py]]</f>
        <v>Mg</v>
      </c>
      <c r="AE269" s="156">
        <f>INDEX(Tab_Def_Flows[[Flow_ID]:[CC_DM_source]],MATCH(Tab_Data_Flows[[#This Row],[Flow_Name]],Tab_Def_Flows[Flow_Name],0),17)</f>
        <v>0</v>
      </c>
      <c r="AF269" s="7" t="str">
        <f>Tab_Data_Flows[[#This Row],[Flow_ID]]&amp;"_"&amp;"CC_"&amp;Tab_Data_Flows[[#This Row],[Flow_Data_Year]]</f>
        <v>F___CC_</v>
      </c>
      <c r="AG269" s="7" t="str">
        <f>IF(F269="Yes",AE269*Tab_Data_Flows[[#This Row],[Flow_Material]]*Tab_Data_Flows[[#This Row],[DM_'[%']]],"N.A.")</f>
        <v>N.A.</v>
      </c>
      <c r="AH269" s="7" t="str">
        <f>Tab_Data_Flows[[#This Row],[UoM_Flow_Py]]</f>
        <v>Mg</v>
      </c>
      <c r="AI269"/>
    </row>
    <row r="270" spans="1:35" x14ac:dyDescent="0.25">
      <c r="A270" s="9">
        <f t="shared" si="9"/>
        <v>269</v>
      </c>
      <c r="B270" s="7" t="str">
        <f>_xlfn.XLOOKUP(C270,Tab_Def_Flows[Flow_Name],Tab_Def_Flows[Flow_ID],,0,)</f>
        <v>F__</v>
      </c>
      <c r="C270" s="8" t="s">
        <v>31</v>
      </c>
      <c r="D270" s="10">
        <f>_xlfn.XLOOKUP(C270,Tab_Def_Flows[Flow_Name],Tab_Def_Flows[WC?],,0,)</f>
        <v>0</v>
      </c>
      <c r="E270" s="10">
        <f>_xlfn.XLOOKUP(C270,Tab_Def_Flows[Flow_Name],Tab_Def_Flows[DM?],,0,)</f>
        <v>0</v>
      </c>
      <c r="F270" s="10">
        <f>_xlfn.XLOOKUP(C270,Tab_Def_Flows[Flow_Name],Tab_Def_Flows[CC?],,0,)</f>
        <v>0</v>
      </c>
      <c r="G270" s="8"/>
      <c r="H270" s="28"/>
      <c r="I270" s="8"/>
      <c r="J270" s="8"/>
      <c r="K270" s="8"/>
      <c r="L270" s="14"/>
      <c r="M270" s="8"/>
      <c r="N270" s="8"/>
      <c r="O270" s="8"/>
      <c r="P270" s="8"/>
      <c r="Q270" s="8" t="s">
        <v>8</v>
      </c>
      <c r="R270" s="21"/>
      <c r="S270" s="8"/>
      <c r="T270" s="7" t="str">
        <f>Tab_Data_Flows[[#This Row],[Flow_ID]]&amp;"_"&amp;"material_"&amp;Tab_Data_Flows[[#This Row],[Flow_Data_Year]]</f>
        <v>F___material_</v>
      </c>
      <c r="U270" s="18">
        <f t="shared" si="10"/>
        <v>0</v>
      </c>
      <c r="V270" s="8" t="s">
        <v>218</v>
      </c>
      <c r="W270" s="156">
        <f>INDEX(Tab_Def_Flows[[Flow_ID]:[CC_DM_source]],MATCH(Tab_Data_Flows[[#This Row],[Flow_Name]],Tab_Def_Flows[Flow_Name],0),11)</f>
        <v>0</v>
      </c>
      <c r="X270" s="7" t="str">
        <f>Tab_Data_Flows[[#This Row],[Flow_ID]]&amp;"_"&amp;"WC_"&amp;Tab_Data_Flows[[#This Row],[Flow_Data_Year]]</f>
        <v>F___WC_</v>
      </c>
      <c r="Y270" s="7" t="str">
        <f>IF(D270="Yes",U270*Tab_Data_Flows[[#This Row],[WC_'[%']]],"N.A.")</f>
        <v>N.A.</v>
      </c>
      <c r="Z270" s="7" t="str">
        <f>Tab_Data_Flows[[#This Row],[UoM_Flow_Py]]</f>
        <v>Mg</v>
      </c>
      <c r="AA270" s="156">
        <f>INDEX(Tab_Def_Flows[[Flow_ID]:[CC_DM_source]],MATCH(Tab_Data_Flows[[#This Row],[Flow_Name]],Tab_Def_Flows[Flow_Name],0),14)</f>
        <v>0</v>
      </c>
      <c r="AB270" s="7" t="str">
        <f>Tab_Data_Flows[[#This Row],[Flow_ID]]&amp;"_"&amp;"DM_"&amp;Tab_Data_Flows[[#This Row],[Flow_Data_Year]]</f>
        <v>F___DM_</v>
      </c>
      <c r="AC270" s="7" t="str">
        <f>IF(E270="Yes",AA270*Tab_Data_Flows[[#This Row],[Flow_Material]],"N.A.")</f>
        <v>N.A.</v>
      </c>
      <c r="AD270" s="7" t="str">
        <f>Tab_Data_Flows[[#This Row],[UoM_Flow_Py]]</f>
        <v>Mg</v>
      </c>
      <c r="AE270" s="156">
        <f>INDEX(Tab_Def_Flows[[Flow_ID]:[CC_DM_source]],MATCH(Tab_Data_Flows[[#This Row],[Flow_Name]],Tab_Def_Flows[Flow_Name],0),17)</f>
        <v>0</v>
      </c>
      <c r="AF270" s="7" t="str">
        <f>Tab_Data_Flows[[#This Row],[Flow_ID]]&amp;"_"&amp;"CC_"&amp;Tab_Data_Flows[[#This Row],[Flow_Data_Year]]</f>
        <v>F___CC_</v>
      </c>
      <c r="AG270" s="7" t="str">
        <f>IF(F270="Yes",AE270*Tab_Data_Flows[[#This Row],[Flow_Material]]*Tab_Data_Flows[[#This Row],[DM_'[%']]],"N.A.")</f>
        <v>N.A.</v>
      </c>
      <c r="AH270" s="7" t="str">
        <f>Tab_Data_Flows[[#This Row],[UoM_Flow_Py]]</f>
        <v>Mg</v>
      </c>
      <c r="AI270"/>
    </row>
    <row r="271" spans="1:35" x14ac:dyDescent="0.25">
      <c r="A271" s="9">
        <f t="shared" si="9"/>
        <v>270</v>
      </c>
      <c r="B271" s="7" t="str">
        <f>_xlfn.XLOOKUP(C271,Tab_Def_Flows[Flow_Name],Tab_Def_Flows[Flow_ID],,0,)</f>
        <v>F__</v>
      </c>
      <c r="C271" s="8" t="s">
        <v>31</v>
      </c>
      <c r="D271" s="10">
        <f>_xlfn.XLOOKUP(C271,Tab_Def_Flows[Flow_Name],Tab_Def_Flows[WC?],,0,)</f>
        <v>0</v>
      </c>
      <c r="E271" s="10">
        <f>_xlfn.XLOOKUP(C271,Tab_Def_Flows[Flow_Name],Tab_Def_Flows[DM?],,0,)</f>
        <v>0</v>
      </c>
      <c r="F271" s="10">
        <f>_xlfn.XLOOKUP(C271,Tab_Def_Flows[Flow_Name],Tab_Def_Flows[CC?],,0,)</f>
        <v>0</v>
      </c>
      <c r="G271" s="8"/>
      <c r="H271" s="28"/>
      <c r="I271" s="8"/>
      <c r="J271" s="8"/>
      <c r="K271" s="8"/>
      <c r="L271" s="14"/>
      <c r="M271" s="8"/>
      <c r="N271" s="8"/>
      <c r="O271" s="8"/>
      <c r="P271" s="8"/>
      <c r="Q271" s="8" t="s">
        <v>8</v>
      </c>
      <c r="R271" s="21"/>
      <c r="S271" s="8"/>
      <c r="T271" s="7" t="str">
        <f>Tab_Data_Flows[[#This Row],[Flow_ID]]&amp;"_"&amp;"material_"&amp;Tab_Data_Flows[[#This Row],[Flow_Data_Year]]</f>
        <v>F___material_</v>
      </c>
      <c r="U271" s="18">
        <f t="shared" si="10"/>
        <v>0</v>
      </c>
      <c r="V271" s="8" t="s">
        <v>218</v>
      </c>
      <c r="W271" s="156">
        <f>INDEX(Tab_Def_Flows[[Flow_ID]:[CC_DM_source]],MATCH(Tab_Data_Flows[[#This Row],[Flow_Name]],Tab_Def_Flows[Flow_Name],0),11)</f>
        <v>0</v>
      </c>
      <c r="X271" s="7" t="str">
        <f>Tab_Data_Flows[[#This Row],[Flow_ID]]&amp;"_"&amp;"WC_"&amp;Tab_Data_Flows[[#This Row],[Flow_Data_Year]]</f>
        <v>F___WC_</v>
      </c>
      <c r="Y271" s="7" t="str">
        <f>IF(D271="Yes",U271*Tab_Data_Flows[[#This Row],[WC_'[%']]],"N.A.")</f>
        <v>N.A.</v>
      </c>
      <c r="Z271" s="7" t="str">
        <f>Tab_Data_Flows[[#This Row],[UoM_Flow_Py]]</f>
        <v>Mg</v>
      </c>
      <c r="AA271" s="156">
        <f>INDEX(Tab_Def_Flows[[Flow_ID]:[CC_DM_source]],MATCH(Tab_Data_Flows[[#This Row],[Flow_Name]],Tab_Def_Flows[Flow_Name],0),14)</f>
        <v>0</v>
      </c>
      <c r="AB271" s="7" t="str">
        <f>Tab_Data_Flows[[#This Row],[Flow_ID]]&amp;"_"&amp;"DM_"&amp;Tab_Data_Flows[[#This Row],[Flow_Data_Year]]</f>
        <v>F___DM_</v>
      </c>
      <c r="AC271" s="7" t="str">
        <f>IF(E271="Yes",AA271*Tab_Data_Flows[[#This Row],[Flow_Material]],"N.A.")</f>
        <v>N.A.</v>
      </c>
      <c r="AD271" s="7" t="str">
        <f>Tab_Data_Flows[[#This Row],[UoM_Flow_Py]]</f>
        <v>Mg</v>
      </c>
      <c r="AE271" s="156">
        <f>INDEX(Tab_Def_Flows[[Flow_ID]:[CC_DM_source]],MATCH(Tab_Data_Flows[[#This Row],[Flow_Name]],Tab_Def_Flows[Flow_Name],0),17)</f>
        <v>0</v>
      </c>
      <c r="AF271" s="7" t="str">
        <f>Tab_Data_Flows[[#This Row],[Flow_ID]]&amp;"_"&amp;"CC_"&amp;Tab_Data_Flows[[#This Row],[Flow_Data_Year]]</f>
        <v>F___CC_</v>
      </c>
      <c r="AG271" s="7" t="str">
        <f>IF(F271="Yes",AE271*Tab_Data_Flows[[#This Row],[Flow_Material]]*Tab_Data_Flows[[#This Row],[DM_'[%']]],"N.A.")</f>
        <v>N.A.</v>
      </c>
      <c r="AH271" s="7" t="str">
        <f>Tab_Data_Flows[[#This Row],[UoM_Flow_Py]]</f>
        <v>Mg</v>
      </c>
      <c r="AI271"/>
    </row>
    <row r="272" spans="1:35" x14ac:dyDescent="0.25">
      <c r="A272" s="9">
        <f t="shared" si="9"/>
        <v>271</v>
      </c>
      <c r="B272" s="7" t="str">
        <f>_xlfn.XLOOKUP(C272,Tab_Def_Flows[Flow_Name],Tab_Def_Flows[Flow_ID],,0,)</f>
        <v>F__</v>
      </c>
      <c r="C272" s="8" t="s">
        <v>31</v>
      </c>
      <c r="D272" s="10">
        <f>_xlfn.XLOOKUP(C272,Tab_Def_Flows[Flow_Name],Tab_Def_Flows[WC?],,0,)</f>
        <v>0</v>
      </c>
      <c r="E272" s="10">
        <f>_xlfn.XLOOKUP(C272,Tab_Def_Flows[Flow_Name],Tab_Def_Flows[DM?],,0,)</f>
        <v>0</v>
      </c>
      <c r="F272" s="10">
        <f>_xlfn.XLOOKUP(C272,Tab_Def_Flows[Flow_Name],Tab_Def_Flows[CC?],,0,)</f>
        <v>0</v>
      </c>
      <c r="G272" s="8"/>
      <c r="H272" s="28"/>
      <c r="I272" s="8"/>
      <c r="J272" s="8"/>
      <c r="K272" s="8"/>
      <c r="L272" s="14"/>
      <c r="M272" s="8"/>
      <c r="N272" s="8"/>
      <c r="O272" s="8"/>
      <c r="P272" s="8"/>
      <c r="Q272" s="8" t="s">
        <v>8</v>
      </c>
      <c r="R272" s="21"/>
      <c r="S272" s="8"/>
      <c r="T272" s="7" t="str">
        <f>Tab_Data_Flows[[#This Row],[Flow_ID]]&amp;"_"&amp;"material_"&amp;Tab_Data_Flows[[#This Row],[Flow_Data_Year]]</f>
        <v>F___material_</v>
      </c>
      <c r="U272" s="18">
        <f t="shared" si="10"/>
        <v>0</v>
      </c>
      <c r="V272" s="8" t="s">
        <v>218</v>
      </c>
      <c r="W272" s="156">
        <f>INDEX(Tab_Def_Flows[[Flow_ID]:[CC_DM_source]],MATCH(Tab_Data_Flows[[#This Row],[Flow_Name]],Tab_Def_Flows[Flow_Name],0),11)</f>
        <v>0</v>
      </c>
      <c r="X272" s="7" t="str">
        <f>Tab_Data_Flows[[#This Row],[Flow_ID]]&amp;"_"&amp;"WC_"&amp;Tab_Data_Flows[[#This Row],[Flow_Data_Year]]</f>
        <v>F___WC_</v>
      </c>
      <c r="Y272" s="7" t="str">
        <f>IF(D272="Yes",U272*Tab_Data_Flows[[#This Row],[WC_'[%']]],"N.A.")</f>
        <v>N.A.</v>
      </c>
      <c r="Z272" s="7" t="str">
        <f>Tab_Data_Flows[[#This Row],[UoM_Flow_Py]]</f>
        <v>Mg</v>
      </c>
      <c r="AA272" s="156">
        <f>INDEX(Tab_Def_Flows[[Flow_ID]:[CC_DM_source]],MATCH(Tab_Data_Flows[[#This Row],[Flow_Name]],Tab_Def_Flows[Flow_Name],0),14)</f>
        <v>0</v>
      </c>
      <c r="AB272" s="7" t="str">
        <f>Tab_Data_Flows[[#This Row],[Flow_ID]]&amp;"_"&amp;"DM_"&amp;Tab_Data_Flows[[#This Row],[Flow_Data_Year]]</f>
        <v>F___DM_</v>
      </c>
      <c r="AC272" s="7" t="str">
        <f>IF(E272="Yes",AA272*Tab_Data_Flows[[#This Row],[Flow_Material]],"N.A.")</f>
        <v>N.A.</v>
      </c>
      <c r="AD272" s="7" t="str">
        <f>Tab_Data_Flows[[#This Row],[UoM_Flow_Py]]</f>
        <v>Mg</v>
      </c>
      <c r="AE272" s="156">
        <f>INDEX(Tab_Def_Flows[[Flow_ID]:[CC_DM_source]],MATCH(Tab_Data_Flows[[#This Row],[Flow_Name]],Tab_Def_Flows[Flow_Name],0),17)</f>
        <v>0</v>
      </c>
      <c r="AF272" s="7" t="str">
        <f>Tab_Data_Flows[[#This Row],[Flow_ID]]&amp;"_"&amp;"CC_"&amp;Tab_Data_Flows[[#This Row],[Flow_Data_Year]]</f>
        <v>F___CC_</v>
      </c>
      <c r="AG272" s="7" t="str">
        <f>IF(F272="Yes",AE272*Tab_Data_Flows[[#This Row],[Flow_Material]]*Tab_Data_Flows[[#This Row],[DM_'[%']]],"N.A.")</f>
        <v>N.A.</v>
      </c>
      <c r="AH272" s="7" t="str">
        <f>Tab_Data_Flows[[#This Row],[UoM_Flow_Py]]</f>
        <v>Mg</v>
      </c>
      <c r="AI272"/>
    </row>
    <row r="273" spans="1:35" x14ac:dyDescent="0.25">
      <c r="A273" s="9">
        <f t="shared" si="9"/>
        <v>272</v>
      </c>
      <c r="B273" s="7" t="str">
        <f>_xlfn.XLOOKUP(C273,Tab_Def_Flows[Flow_Name],Tab_Def_Flows[Flow_ID],,0,)</f>
        <v>F__</v>
      </c>
      <c r="C273" s="8" t="s">
        <v>31</v>
      </c>
      <c r="D273" s="10">
        <f>_xlfn.XLOOKUP(C273,Tab_Def_Flows[Flow_Name],Tab_Def_Flows[WC?],,0,)</f>
        <v>0</v>
      </c>
      <c r="E273" s="10">
        <f>_xlfn.XLOOKUP(C273,Tab_Def_Flows[Flow_Name],Tab_Def_Flows[DM?],,0,)</f>
        <v>0</v>
      </c>
      <c r="F273" s="10">
        <f>_xlfn.XLOOKUP(C273,Tab_Def_Flows[Flow_Name],Tab_Def_Flows[CC?],,0,)</f>
        <v>0</v>
      </c>
      <c r="G273" s="8"/>
      <c r="H273" s="28"/>
      <c r="I273" s="8"/>
      <c r="J273" s="8"/>
      <c r="K273" s="8"/>
      <c r="L273" s="14"/>
      <c r="M273" s="8"/>
      <c r="N273" s="8"/>
      <c r="O273" s="8"/>
      <c r="P273" s="8"/>
      <c r="Q273" s="8" t="s">
        <v>8</v>
      </c>
      <c r="R273" s="21"/>
      <c r="S273" s="8"/>
      <c r="T273" s="7" t="str">
        <f>Tab_Data_Flows[[#This Row],[Flow_ID]]&amp;"_"&amp;"material_"&amp;Tab_Data_Flows[[#This Row],[Flow_Data_Year]]</f>
        <v>F___material_</v>
      </c>
      <c r="U273" s="18">
        <f t="shared" si="10"/>
        <v>0</v>
      </c>
      <c r="V273" s="8" t="s">
        <v>218</v>
      </c>
      <c r="W273" s="156">
        <f>INDEX(Tab_Def_Flows[[Flow_ID]:[CC_DM_source]],MATCH(Tab_Data_Flows[[#This Row],[Flow_Name]],Tab_Def_Flows[Flow_Name],0),11)</f>
        <v>0</v>
      </c>
      <c r="X273" s="7" t="str">
        <f>Tab_Data_Flows[[#This Row],[Flow_ID]]&amp;"_"&amp;"WC_"&amp;Tab_Data_Flows[[#This Row],[Flow_Data_Year]]</f>
        <v>F___WC_</v>
      </c>
      <c r="Y273" s="7" t="str">
        <f>IF(D273="Yes",U273*Tab_Data_Flows[[#This Row],[WC_'[%']]],"N.A.")</f>
        <v>N.A.</v>
      </c>
      <c r="Z273" s="7" t="str">
        <f>Tab_Data_Flows[[#This Row],[UoM_Flow_Py]]</f>
        <v>Mg</v>
      </c>
      <c r="AA273" s="156">
        <f>INDEX(Tab_Def_Flows[[Flow_ID]:[CC_DM_source]],MATCH(Tab_Data_Flows[[#This Row],[Flow_Name]],Tab_Def_Flows[Flow_Name],0),14)</f>
        <v>0</v>
      </c>
      <c r="AB273" s="7" t="str">
        <f>Tab_Data_Flows[[#This Row],[Flow_ID]]&amp;"_"&amp;"DM_"&amp;Tab_Data_Flows[[#This Row],[Flow_Data_Year]]</f>
        <v>F___DM_</v>
      </c>
      <c r="AC273" s="7" t="str">
        <f>IF(E273="Yes",AA273*Tab_Data_Flows[[#This Row],[Flow_Material]],"N.A.")</f>
        <v>N.A.</v>
      </c>
      <c r="AD273" s="7" t="str">
        <f>Tab_Data_Flows[[#This Row],[UoM_Flow_Py]]</f>
        <v>Mg</v>
      </c>
      <c r="AE273" s="156">
        <f>INDEX(Tab_Def_Flows[[Flow_ID]:[CC_DM_source]],MATCH(Tab_Data_Flows[[#This Row],[Flow_Name]],Tab_Def_Flows[Flow_Name],0),17)</f>
        <v>0</v>
      </c>
      <c r="AF273" s="7" t="str">
        <f>Tab_Data_Flows[[#This Row],[Flow_ID]]&amp;"_"&amp;"CC_"&amp;Tab_Data_Flows[[#This Row],[Flow_Data_Year]]</f>
        <v>F___CC_</v>
      </c>
      <c r="AG273" s="7" t="str">
        <f>IF(F273="Yes",AE273*Tab_Data_Flows[[#This Row],[Flow_Material]]*Tab_Data_Flows[[#This Row],[DM_'[%']]],"N.A.")</f>
        <v>N.A.</v>
      </c>
      <c r="AH273" s="7" t="str">
        <f>Tab_Data_Flows[[#This Row],[UoM_Flow_Py]]</f>
        <v>Mg</v>
      </c>
      <c r="AI273"/>
    </row>
    <row r="274" spans="1:35" x14ac:dyDescent="0.25">
      <c r="A274" s="9">
        <f t="shared" si="9"/>
        <v>273</v>
      </c>
      <c r="B274" s="7" t="str">
        <f>_xlfn.XLOOKUP(C274,Tab_Def_Flows[Flow_Name],Tab_Def_Flows[Flow_ID],,0,)</f>
        <v>F__</v>
      </c>
      <c r="C274" s="8" t="s">
        <v>31</v>
      </c>
      <c r="D274" s="10">
        <f>_xlfn.XLOOKUP(C274,Tab_Def_Flows[Flow_Name],Tab_Def_Flows[WC?],,0,)</f>
        <v>0</v>
      </c>
      <c r="E274" s="10">
        <f>_xlfn.XLOOKUP(C274,Tab_Def_Flows[Flow_Name],Tab_Def_Flows[DM?],,0,)</f>
        <v>0</v>
      </c>
      <c r="F274" s="10">
        <f>_xlfn.XLOOKUP(C274,Tab_Def_Flows[Flow_Name],Tab_Def_Flows[CC?],,0,)</f>
        <v>0</v>
      </c>
      <c r="G274" s="8"/>
      <c r="H274" s="28"/>
      <c r="I274" s="8"/>
      <c r="J274" s="8"/>
      <c r="K274" s="8"/>
      <c r="L274" s="14"/>
      <c r="M274" s="8"/>
      <c r="N274" s="8"/>
      <c r="O274" s="8"/>
      <c r="P274" s="8"/>
      <c r="Q274" s="8" t="s">
        <v>8</v>
      </c>
      <c r="R274" s="21"/>
      <c r="S274" s="8"/>
      <c r="T274" s="7" t="str">
        <f>Tab_Data_Flows[[#This Row],[Flow_ID]]&amp;"_"&amp;"material_"&amp;Tab_Data_Flows[[#This Row],[Flow_Data_Year]]</f>
        <v>F___material_</v>
      </c>
      <c r="U274" s="18">
        <f t="shared" si="10"/>
        <v>0</v>
      </c>
      <c r="V274" s="8" t="s">
        <v>218</v>
      </c>
      <c r="W274" s="156">
        <f>INDEX(Tab_Def_Flows[[Flow_ID]:[CC_DM_source]],MATCH(Tab_Data_Flows[[#This Row],[Flow_Name]],Tab_Def_Flows[Flow_Name],0),11)</f>
        <v>0</v>
      </c>
      <c r="X274" s="7" t="str">
        <f>Tab_Data_Flows[[#This Row],[Flow_ID]]&amp;"_"&amp;"WC_"&amp;Tab_Data_Flows[[#This Row],[Flow_Data_Year]]</f>
        <v>F___WC_</v>
      </c>
      <c r="Y274" s="7" t="str">
        <f>IF(D274="Yes",U274*Tab_Data_Flows[[#This Row],[WC_'[%']]],"N.A.")</f>
        <v>N.A.</v>
      </c>
      <c r="Z274" s="7" t="str">
        <f>Tab_Data_Flows[[#This Row],[UoM_Flow_Py]]</f>
        <v>Mg</v>
      </c>
      <c r="AA274" s="156">
        <f>INDEX(Tab_Def_Flows[[Flow_ID]:[CC_DM_source]],MATCH(Tab_Data_Flows[[#This Row],[Flow_Name]],Tab_Def_Flows[Flow_Name],0),14)</f>
        <v>0</v>
      </c>
      <c r="AB274" s="7" t="str">
        <f>Tab_Data_Flows[[#This Row],[Flow_ID]]&amp;"_"&amp;"DM_"&amp;Tab_Data_Flows[[#This Row],[Flow_Data_Year]]</f>
        <v>F___DM_</v>
      </c>
      <c r="AC274" s="7" t="str">
        <f>IF(E274="Yes",AA274*Tab_Data_Flows[[#This Row],[Flow_Material]],"N.A.")</f>
        <v>N.A.</v>
      </c>
      <c r="AD274" s="7" t="str">
        <f>Tab_Data_Flows[[#This Row],[UoM_Flow_Py]]</f>
        <v>Mg</v>
      </c>
      <c r="AE274" s="156">
        <f>INDEX(Tab_Def_Flows[[Flow_ID]:[CC_DM_source]],MATCH(Tab_Data_Flows[[#This Row],[Flow_Name]],Tab_Def_Flows[Flow_Name],0),17)</f>
        <v>0</v>
      </c>
      <c r="AF274" s="7" t="str">
        <f>Tab_Data_Flows[[#This Row],[Flow_ID]]&amp;"_"&amp;"CC_"&amp;Tab_Data_Flows[[#This Row],[Flow_Data_Year]]</f>
        <v>F___CC_</v>
      </c>
      <c r="AG274" s="7" t="str">
        <f>IF(F274="Yes",AE274*Tab_Data_Flows[[#This Row],[Flow_Material]]*Tab_Data_Flows[[#This Row],[DM_'[%']]],"N.A.")</f>
        <v>N.A.</v>
      </c>
      <c r="AH274" s="7" t="str">
        <f>Tab_Data_Flows[[#This Row],[UoM_Flow_Py]]</f>
        <v>Mg</v>
      </c>
      <c r="AI274"/>
    </row>
    <row r="275" spans="1:35" x14ac:dyDescent="0.25">
      <c r="A275" s="9">
        <f t="shared" si="9"/>
        <v>274</v>
      </c>
      <c r="B275" s="7" t="str">
        <f>_xlfn.XLOOKUP(C275,Tab_Def_Flows[Flow_Name],Tab_Def_Flows[Flow_ID],,0,)</f>
        <v>F__</v>
      </c>
      <c r="C275" s="8" t="s">
        <v>31</v>
      </c>
      <c r="D275" s="10">
        <f>_xlfn.XLOOKUP(C275,Tab_Def_Flows[Flow_Name],Tab_Def_Flows[WC?],,0,)</f>
        <v>0</v>
      </c>
      <c r="E275" s="10">
        <f>_xlfn.XLOOKUP(C275,Tab_Def_Flows[Flow_Name],Tab_Def_Flows[DM?],,0,)</f>
        <v>0</v>
      </c>
      <c r="F275" s="10">
        <f>_xlfn.XLOOKUP(C275,Tab_Def_Flows[Flow_Name],Tab_Def_Flows[CC?],,0,)</f>
        <v>0</v>
      </c>
      <c r="G275" s="8"/>
      <c r="H275" s="28"/>
      <c r="I275" s="8"/>
      <c r="J275" s="8"/>
      <c r="K275" s="8"/>
      <c r="L275" s="14"/>
      <c r="M275" s="8"/>
      <c r="N275" s="8"/>
      <c r="O275" s="8"/>
      <c r="P275" s="8"/>
      <c r="Q275" s="8" t="s">
        <v>8</v>
      </c>
      <c r="R275" s="21"/>
      <c r="S275" s="8"/>
      <c r="T275" s="7" t="str">
        <f>Tab_Data_Flows[[#This Row],[Flow_ID]]&amp;"_"&amp;"material_"&amp;Tab_Data_Flows[[#This Row],[Flow_Data_Year]]</f>
        <v>F___material_</v>
      </c>
      <c r="U275" s="18">
        <f t="shared" si="10"/>
        <v>0</v>
      </c>
      <c r="V275" s="8" t="s">
        <v>218</v>
      </c>
      <c r="W275" s="156">
        <f>INDEX(Tab_Def_Flows[[Flow_ID]:[CC_DM_source]],MATCH(Tab_Data_Flows[[#This Row],[Flow_Name]],Tab_Def_Flows[Flow_Name],0),11)</f>
        <v>0</v>
      </c>
      <c r="X275" s="7" t="str">
        <f>Tab_Data_Flows[[#This Row],[Flow_ID]]&amp;"_"&amp;"WC_"&amp;Tab_Data_Flows[[#This Row],[Flow_Data_Year]]</f>
        <v>F___WC_</v>
      </c>
      <c r="Y275" s="7" t="str">
        <f>IF(D275="Yes",U275*Tab_Data_Flows[[#This Row],[WC_'[%']]],"N.A.")</f>
        <v>N.A.</v>
      </c>
      <c r="Z275" s="7" t="str">
        <f>Tab_Data_Flows[[#This Row],[UoM_Flow_Py]]</f>
        <v>Mg</v>
      </c>
      <c r="AA275" s="156">
        <f>INDEX(Tab_Def_Flows[[Flow_ID]:[CC_DM_source]],MATCH(Tab_Data_Flows[[#This Row],[Flow_Name]],Tab_Def_Flows[Flow_Name],0),14)</f>
        <v>0</v>
      </c>
      <c r="AB275" s="7" t="str">
        <f>Tab_Data_Flows[[#This Row],[Flow_ID]]&amp;"_"&amp;"DM_"&amp;Tab_Data_Flows[[#This Row],[Flow_Data_Year]]</f>
        <v>F___DM_</v>
      </c>
      <c r="AC275" s="7" t="str">
        <f>IF(E275="Yes",AA275*Tab_Data_Flows[[#This Row],[Flow_Material]],"N.A.")</f>
        <v>N.A.</v>
      </c>
      <c r="AD275" s="7" t="str">
        <f>Tab_Data_Flows[[#This Row],[UoM_Flow_Py]]</f>
        <v>Mg</v>
      </c>
      <c r="AE275" s="156">
        <f>INDEX(Tab_Def_Flows[[Flow_ID]:[CC_DM_source]],MATCH(Tab_Data_Flows[[#This Row],[Flow_Name]],Tab_Def_Flows[Flow_Name],0),17)</f>
        <v>0</v>
      </c>
      <c r="AF275" s="7" t="str">
        <f>Tab_Data_Flows[[#This Row],[Flow_ID]]&amp;"_"&amp;"CC_"&amp;Tab_Data_Flows[[#This Row],[Flow_Data_Year]]</f>
        <v>F___CC_</v>
      </c>
      <c r="AG275" s="7" t="str">
        <f>IF(F275="Yes",AE275*Tab_Data_Flows[[#This Row],[Flow_Material]]*Tab_Data_Flows[[#This Row],[DM_'[%']]],"N.A.")</f>
        <v>N.A.</v>
      </c>
      <c r="AH275" s="7" t="str">
        <f>Tab_Data_Flows[[#This Row],[UoM_Flow_Py]]</f>
        <v>Mg</v>
      </c>
      <c r="AI275"/>
    </row>
    <row r="276" spans="1:35" x14ac:dyDescent="0.25">
      <c r="A276" s="9">
        <f t="shared" si="9"/>
        <v>275</v>
      </c>
      <c r="B276" s="7" t="str">
        <f>_xlfn.XLOOKUP(C276,Tab_Def_Flows[Flow_Name],Tab_Def_Flows[Flow_ID],,0,)</f>
        <v>F__</v>
      </c>
      <c r="C276" s="8" t="s">
        <v>31</v>
      </c>
      <c r="D276" s="10">
        <f>_xlfn.XLOOKUP(C276,Tab_Def_Flows[Flow_Name],Tab_Def_Flows[WC?],,0,)</f>
        <v>0</v>
      </c>
      <c r="E276" s="10">
        <f>_xlfn.XLOOKUP(C276,Tab_Def_Flows[Flow_Name],Tab_Def_Flows[DM?],,0,)</f>
        <v>0</v>
      </c>
      <c r="F276" s="10">
        <f>_xlfn.XLOOKUP(C276,Tab_Def_Flows[Flow_Name],Tab_Def_Flows[CC?],,0,)</f>
        <v>0</v>
      </c>
      <c r="G276" s="8"/>
      <c r="H276" s="28"/>
      <c r="I276" s="8"/>
      <c r="J276" s="8"/>
      <c r="K276" s="8"/>
      <c r="L276" s="14"/>
      <c r="M276" s="8"/>
      <c r="N276" s="8"/>
      <c r="O276" s="8"/>
      <c r="P276" s="8"/>
      <c r="Q276" s="8" t="s">
        <v>8</v>
      </c>
      <c r="R276" s="21"/>
      <c r="S276" s="8"/>
      <c r="T276" s="7" t="str">
        <f>Tab_Data_Flows[[#This Row],[Flow_ID]]&amp;"_"&amp;"material_"&amp;Tab_Data_Flows[[#This Row],[Flow_Data_Year]]</f>
        <v>F___material_</v>
      </c>
      <c r="U276" s="18">
        <f t="shared" si="10"/>
        <v>0</v>
      </c>
      <c r="V276" s="8" t="s">
        <v>218</v>
      </c>
      <c r="W276" s="156">
        <f>INDEX(Tab_Def_Flows[[Flow_ID]:[CC_DM_source]],MATCH(Tab_Data_Flows[[#This Row],[Flow_Name]],Tab_Def_Flows[Flow_Name],0),11)</f>
        <v>0</v>
      </c>
      <c r="X276" s="7" t="str">
        <f>Tab_Data_Flows[[#This Row],[Flow_ID]]&amp;"_"&amp;"WC_"&amp;Tab_Data_Flows[[#This Row],[Flow_Data_Year]]</f>
        <v>F___WC_</v>
      </c>
      <c r="Y276" s="7" t="str">
        <f>IF(D276="Yes",U276*Tab_Data_Flows[[#This Row],[WC_'[%']]],"N.A.")</f>
        <v>N.A.</v>
      </c>
      <c r="Z276" s="7" t="str">
        <f>Tab_Data_Flows[[#This Row],[UoM_Flow_Py]]</f>
        <v>Mg</v>
      </c>
      <c r="AA276" s="156">
        <f>INDEX(Tab_Def_Flows[[Flow_ID]:[CC_DM_source]],MATCH(Tab_Data_Flows[[#This Row],[Flow_Name]],Tab_Def_Flows[Flow_Name],0),14)</f>
        <v>0</v>
      </c>
      <c r="AB276" s="7" t="str">
        <f>Tab_Data_Flows[[#This Row],[Flow_ID]]&amp;"_"&amp;"DM_"&amp;Tab_Data_Flows[[#This Row],[Flow_Data_Year]]</f>
        <v>F___DM_</v>
      </c>
      <c r="AC276" s="7" t="str">
        <f>IF(E276="Yes",AA276*Tab_Data_Flows[[#This Row],[Flow_Material]],"N.A.")</f>
        <v>N.A.</v>
      </c>
      <c r="AD276" s="7" t="str">
        <f>Tab_Data_Flows[[#This Row],[UoM_Flow_Py]]</f>
        <v>Mg</v>
      </c>
      <c r="AE276" s="156">
        <f>INDEX(Tab_Def_Flows[[Flow_ID]:[CC_DM_source]],MATCH(Tab_Data_Flows[[#This Row],[Flow_Name]],Tab_Def_Flows[Flow_Name],0),17)</f>
        <v>0</v>
      </c>
      <c r="AF276" s="7" t="str">
        <f>Tab_Data_Flows[[#This Row],[Flow_ID]]&amp;"_"&amp;"CC_"&amp;Tab_Data_Flows[[#This Row],[Flow_Data_Year]]</f>
        <v>F___CC_</v>
      </c>
      <c r="AG276" s="7" t="str">
        <f>IF(F276="Yes",AE276*Tab_Data_Flows[[#This Row],[Flow_Material]]*Tab_Data_Flows[[#This Row],[DM_'[%']]],"N.A.")</f>
        <v>N.A.</v>
      </c>
      <c r="AH276" s="7" t="str">
        <f>Tab_Data_Flows[[#This Row],[UoM_Flow_Py]]</f>
        <v>Mg</v>
      </c>
      <c r="AI276"/>
    </row>
    <row r="277" spans="1:35" x14ac:dyDescent="0.25">
      <c r="A277" s="9">
        <f t="shared" si="9"/>
        <v>276</v>
      </c>
      <c r="B277" s="7" t="str">
        <f>_xlfn.XLOOKUP(C277,Tab_Def_Flows[Flow_Name],Tab_Def_Flows[Flow_ID],,0,)</f>
        <v>F__</v>
      </c>
      <c r="C277" s="8" t="s">
        <v>31</v>
      </c>
      <c r="D277" s="10">
        <f>_xlfn.XLOOKUP(C277,Tab_Def_Flows[Flow_Name],Tab_Def_Flows[WC?],,0,)</f>
        <v>0</v>
      </c>
      <c r="E277" s="10">
        <f>_xlfn.XLOOKUP(C277,Tab_Def_Flows[Flow_Name],Tab_Def_Flows[DM?],,0,)</f>
        <v>0</v>
      </c>
      <c r="F277" s="10">
        <f>_xlfn.XLOOKUP(C277,Tab_Def_Flows[Flow_Name],Tab_Def_Flows[CC?],,0,)</f>
        <v>0</v>
      </c>
      <c r="G277" s="8"/>
      <c r="H277" s="28"/>
      <c r="I277" s="8"/>
      <c r="J277" s="8"/>
      <c r="K277" s="8"/>
      <c r="L277" s="14"/>
      <c r="M277" s="8"/>
      <c r="N277" s="8"/>
      <c r="O277" s="8"/>
      <c r="P277" s="8"/>
      <c r="Q277" s="8" t="s">
        <v>8</v>
      </c>
      <c r="R277" s="21"/>
      <c r="S277" s="8"/>
      <c r="T277" s="7" t="str">
        <f>Tab_Data_Flows[[#This Row],[Flow_ID]]&amp;"_"&amp;"material_"&amp;Tab_Data_Flows[[#This Row],[Flow_Data_Year]]</f>
        <v>F___material_</v>
      </c>
      <c r="U277" s="18">
        <f t="shared" si="10"/>
        <v>0</v>
      </c>
      <c r="V277" s="8" t="s">
        <v>218</v>
      </c>
      <c r="W277" s="156">
        <f>INDEX(Tab_Def_Flows[[Flow_ID]:[CC_DM_source]],MATCH(Tab_Data_Flows[[#This Row],[Flow_Name]],Tab_Def_Flows[Flow_Name],0),11)</f>
        <v>0</v>
      </c>
      <c r="X277" s="7" t="str">
        <f>Tab_Data_Flows[[#This Row],[Flow_ID]]&amp;"_"&amp;"WC_"&amp;Tab_Data_Flows[[#This Row],[Flow_Data_Year]]</f>
        <v>F___WC_</v>
      </c>
      <c r="Y277" s="7" t="str">
        <f>IF(D277="Yes",U277*Tab_Data_Flows[[#This Row],[WC_'[%']]],"N.A.")</f>
        <v>N.A.</v>
      </c>
      <c r="Z277" s="7" t="str">
        <f>Tab_Data_Flows[[#This Row],[UoM_Flow_Py]]</f>
        <v>Mg</v>
      </c>
      <c r="AA277" s="156">
        <f>INDEX(Tab_Def_Flows[[Flow_ID]:[CC_DM_source]],MATCH(Tab_Data_Flows[[#This Row],[Flow_Name]],Tab_Def_Flows[Flow_Name],0),14)</f>
        <v>0</v>
      </c>
      <c r="AB277" s="7" t="str">
        <f>Tab_Data_Flows[[#This Row],[Flow_ID]]&amp;"_"&amp;"DM_"&amp;Tab_Data_Flows[[#This Row],[Flow_Data_Year]]</f>
        <v>F___DM_</v>
      </c>
      <c r="AC277" s="7" t="str">
        <f>IF(E277="Yes",AA277*Tab_Data_Flows[[#This Row],[Flow_Material]],"N.A.")</f>
        <v>N.A.</v>
      </c>
      <c r="AD277" s="7" t="str">
        <f>Tab_Data_Flows[[#This Row],[UoM_Flow_Py]]</f>
        <v>Mg</v>
      </c>
      <c r="AE277" s="156">
        <f>INDEX(Tab_Def_Flows[[Flow_ID]:[CC_DM_source]],MATCH(Tab_Data_Flows[[#This Row],[Flow_Name]],Tab_Def_Flows[Flow_Name],0),17)</f>
        <v>0</v>
      </c>
      <c r="AF277" s="7" t="str">
        <f>Tab_Data_Flows[[#This Row],[Flow_ID]]&amp;"_"&amp;"CC_"&amp;Tab_Data_Flows[[#This Row],[Flow_Data_Year]]</f>
        <v>F___CC_</v>
      </c>
      <c r="AG277" s="7" t="str">
        <f>IF(F277="Yes",AE277*Tab_Data_Flows[[#This Row],[Flow_Material]]*Tab_Data_Flows[[#This Row],[DM_'[%']]],"N.A.")</f>
        <v>N.A.</v>
      </c>
      <c r="AH277" s="7" t="str">
        <f>Tab_Data_Flows[[#This Row],[UoM_Flow_Py]]</f>
        <v>Mg</v>
      </c>
      <c r="AI277"/>
    </row>
    <row r="278" spans="1:35" x14ac:dyDescent="0.25">
      <c r="A278" s="9">
        <f t="shared" si="9"/>
        <v>277</v>
      </c>
      <c r="B278" s="7" t="str">
        <f>_xlfn.XLOOKUP(C278,Tab_Def_Flows[Flow_Name],Tab_Def_Flows[Flow_ID],,0,)</f>
        <v>F__</v>
      </c>
      <c r="C278" s="8" t="s">
        <v>31</v>
      </c>
      <c r="D278" s="10">
        <f>_xlfn.XLOOKUP(C278,Tab_Def_Flows[Flow_Name],Tab_Def_Flows[WC?],,0,)</f>
        <v>0</v>
      </c>
      <c r="E278" s="10">
        <f>_xlfn.XLOOKUP(C278,Tab_Def_Flows[Flow_Name],Tab_Def_Flows[DM?],,0,)</f>
        <v>0</v>
      </c>
      <c r="F278" s="10">
        <f>_xlfn.XLOOKUP(C278,Tab_Def_Flows[Flow_Name],Tab_Def_Flows[CC?],,0,)</f>
        <v>0</v>
      </c>
      <c r="G278" s="8"/>
      <c r="H278" s="28"/>
      <c r="I278" s="8"/>
      <c r="J278" s="8"/>
      <c r="K278" s="8"/>
      <c r="L278" s="14"/>
      <c r="M278" s="8"/>
      <c r="N278" s="8"/>
      <c r="O278" s="8"/>
      <c r="P278" s="8"/>
      <c r="Q278" s="8" t="s">
        <v>8</v>
      </c>
      <c r="R278" s="21"/>
      <c r="S278" s="8"/>
      <c r="T278" s="7" t="str">
        <f>Tab_Data_Flows[[#This Row],[Flow_ID]]&amp;"_"&amp;"material_"&amp;Tab_Data_Flows[[#This Row],[Flow_Data_Year]]</f>
        <v>F___material_</v>
      </c>
      <c r="U278" s="18">
        <f t="shared" si="10"/>
        <v>0</v>
      </c>
      <c r="V278" s="8" t="s">
        <v>218</v>
      </c>
      <c r="W278" s="156">
        <f>INDEX(Tab_Def_Flows[[Flow_ID]:[CC_DM_source]],MATCH(Tab_Data_Flows[[#This Row],[Flow_Name]],Tab_Def_Flows[Flow_Name],0),11)</f>
        <v>0</v>
      </c>
      <c r="X278" s="7" t="str">
        <f>Tab_Data_Flows[[#This Row],[Flow_ID]]&amp;"_"&amp;"WC_"&amp;Tab_Data_Flows[[#This Row],[Flow_Data_Year]]</f>
        <v>F___WC_</v>
      </c>
      <c r="Y278" s="7" t="str">
        <f>IF(D278="Yes",U278*Tab_Data_Flows[[#This Row],[WC_'[%']]],"N.A.")</f>
        <v>N.A.</v>
      </c>
      <c r="Z278" s="7" t="str">
        <f>Tab_Data_Flows[[#This Row],[UoM_Flow_Py]]</f>
        <v>Mg</v>
      </c>
      <c r="AA278" s="156">
        <f>INDEX(Tab_Def_Flows[[Flow_ID]:[CC_DM_source]],MATCH(Tab_Data_Flows[[#This Row],[Flow_Name]],Tab_Def_Flows[Flow_Name],0),14)</f>
        <v>0</v>
      </c>
      <c r="AB278" s="7" t="str">
        <f>Tab_Data_Flows[[#This Row],[Flow_ID]]&amp;"_"&amp;"DM_"&amp;Tab_Data_Flows[[#This Row],[Flow_Data_Year]]</f>
        <v>F___DM_</v>
      </c>
      <c r="AC278" s="7" t="str">
        <f>IF(E278="Yes",AA278*Tab_Data_Flows[[#This Row],[Flow_Material]],"N.A.")</f>
        <v>N.A.</v>
      </c>
      <c r="AD278" s="7" t="str">
        <f>Tab_Data_Flows[[#This Row],[UoM_Flow_Py]]</f>
        <v>Mg</v>
      </c>
      <c r="AE278" s="156">
        <f>INDEX(Tab_Def_Flows[[Flow_ID]:[CC_DM_source]],MATCH(Tab_Data_Flows[[#This Row],[Flow_Name]],Tab_Def_Flows[Flow_Name],0),17)</f>
        <v>0</v>
      </c>
      <c r="AF278" s="7" t="str">
        <f>Tab_Data_Flows[[#This Row],[Flow_ID]]&amp;"_"&amp;"CC_"&amp;Tab_Data_Flows[[#This Row],[Flow_Data_Year]]</f>
        <v>F___CC_</v>
      </c>
      <c r="AG278" s="7" t="str">
        <f>IF(F278="Yes",AE278*Tab_Data_Flows[[#This Row],[Flow_Material]]*Tab_Data_Flows[[#This Row],[DM_'[%']]],"N.A.")</f>
        <v>N.A.</v>
      </c>
      <c r="AH278" s="7" t="str">
        <f>Tab_Data_Flows[[#This Row],[UoM_Flow_Py]]</f>
        <v>Mg</v>
      </c>
      <c r="AI278"/>
    </row>
    <row r="279" spans="1:35" x14ac:dyDescent="0.25">
      <c r="A279" s="9">
        <f t="shared" si="9"/>
        <v>278</v>
      </c>
      <c r="B279" s="7" t="str">
        <f>_xlfn.XLOOKUP(C279,Tab_Def_Flows[Flow_Name],Tab_Def_Flows[Flow_ID],,0,)</f>
        <v>F__</v>
      </c>
      <c r="C279" s="8" t="s">
        <v>31</v>
      </c>
      <c r="D279" s="10">
        <f>_xlfn.XLOOKUP(C279,Tab_Def_Flows[Flow_Name],Tab_Def_Flows[WC?],,0,)</f>
        <v>0</v>
      </c>
      <c r="E279" s="10">
        <f>_xlfn.XLOOKUP(C279,Tab_Def_Flows[Flow_Name],Tab_Def_Flows[DM?],,0,)</f>
        <v>0</v>
      </c>
      <c r="F279" s="10">
        <f>_xlfn.XLOOKUP(C279,Tab_Def_Flows[Flow_Name],Tab_Def_Flows[CC?],,0,)</f>
        <v>0</v>
      </c>
      <c r="G279" s="8"/>
      <c r="H279" s="28"/>
      <c r="I279" s="8"/>
      <c r="J279" s="8"/>
      <c r="K279" s="8"/>
      <c r="L279" s="14"/>
      <c r="M279" s="8"/>
      <c r="N279" s="8"/>
      <c r="O279" s="8"/>
      <c r="P279" s="8"/>
      <c r="Q279" s="8" t="s">
        <v>8</v>
      </c>
      <c r="R279" s="21"/>
      <c r="S279" s="8"/>
      <c r="T279" s="7" t="str">
        <f>Tab_Data_Flows[[#This Row],[Flow_ID]]&amp;"_"&amp;"material_"&amp;Tab_Data_Flows[[#This Row],[Flow_Data_Year]]</f>
        <v>F___material_</v>
      </c>
      <c r="U279" s="18">
        <f t="shared" si="10"/>
        <v>0</v>
      </c>
      <c r="V279" s="8" t="s">
        <v>218</v>
      </c>
      <c r="W279" s="156">
        <f>INDEX(Tab_Def_Flows[[Flow_ID]:[CC_DM_source]],MATCH(Tab_Data_Flows[[#This Row],[Flow_Name]],Tab_Def_Flows[Flow_Name],0),11)</f>
        <v>0</v>
      </c>
      <c r="X279" s="7" t="str">
        <f>Tab_Data_Flows[[#This Row],[Flow_ID]]&amp;"_"&amp;"WC_"&amp;Tab_Data_Flows[[#This Row],[Flow_Data_Year]]</f>
        <v>F___WC_</v>
      </c>
      <c r="Y279" s="7" t="str">
        <f>IF(D279="Yes",U279*Tab_Data_Flows[[#This Row],[WC_'[%']]],"N.A.")</f>
        <v>N.A.</v>
      </c>
      <c r="Z279" s="7" t="str">
        <f>Tab_Data_Flows[[#This Row],[UoM_Flow_Py]]</f>
        <v>Mg</v>
      </c>
      <c r="AA279" s="156">
        <f>INDEX(Tab_Def_Flows[[Flow_ID]:[CC_DM_source]],MATCH(Tab_Data_Flows[[#This Row],[Flow_Name]],Tab_Def_Flows[Flow_Name],0),14)</f>
        <v>0</v>
      </c>
      <c r="AB279" s="7" t="str">
        <f>Tab_Data_Flows[[#This Row],[Flow_ID]]&amp;"_"&amp;"DM_"&amp;Tab_Data_Flows[[#This Row],[Flow_Data_Year]]</f>
        <v>F___DM_</v>
      </c>
      <c r="AC279" s="7" t="str">
        <f>IF(E279="Yes",AA279*Tab_Data_Flows[[#This Row],[Flow_Material]],"N.A.")</f>
        <v>N.A.</v>
      </c>
      <c r="AD279" s="7" t="str">
        <f>Tab_Data_Flows[[#This Row],[UoM_Flow_Py]]</f>
        <v>Mg</v>
      </c>
      <c r="AE279" s="156">
        <f>INDEX(Tab_Def_Flows[[Flow_ID]:[CC_DM_source]],MATCH(Tab_Data_Flows[[#This Row],[Flow_Name]],Tab_Def_Flows[Flow_Name],0),17)</f>
        <v>0</v>
      </c>
      <c r="AF279" s="7" t="str">
        <f>Tab_Data_Flows[[#This Row],[Flow_ID]]&amp;"_"&amp;"CC_"&amp;Tab_Data_Flows[[#This Row],[Flow_Data_Year]]</f>
        <v>F___CC_</v>
      </c>
      <c r="AG279" s="7" t="str">
        <f>IF(F279="Yes",AE279*Tab_Data_Flows[[#This Row],[Flow_Material]]*Tab_Data_Flows[[#This Row],[DM_'[%']]],"N.A.")</f>
        <v>N.A.</v>
      </c>
      <c r="AH279" s="7" t="str">
        <f>Tab_Data_Flows[[#This Row],[UoM_Flow_Py]]</f>
        <v>Mg</v>
      </c>
      <c r="AI279"/>
    </row>
    <row r="280" spans="1:35" x14ac:dyDescent="0.25">
      <c r="A280" s="9">
        <f t="shared" si="9"/>
        <v>279</v>
      </c>
      <c r="B280" s="7" t="str">
        <f>_xlfn.XLOOKUP(C280,Tab_Def_Flows[Flow_Name],Tab_Def_Flows[Flow_ID],,0,)</f>
        <v>F__</v>
      </c>
      <c r="C280" s="8" t="s">
        <v>31</v>
      </c>
      <c r="D280" s="10">
        <f>_xlfn.XLOOKUP(C280,Tab_Def_Flows[Flow_Name],Tab_Def_Flows[WC?],,0,)</f>
        <v>0</v>
      </c>
      <c r="E280" s="10">
        <f>_xlfn.XLOOKUP(C280,Tab_Def_Flows[Flow_Name],Tab_Def_Flows[DM?],,0,)</f>
        <v>0</v>
      </c>
      <c r="F280" s="10">
        <f>_xlfn.XLOOKUP(C280,Tab_Def_Flows[Flow_Name],Tab_Def_Flows[CC?],,0,)</f>
        <v>0</v>
      </c>
      <c r="G280" s="8"/>
      <c r="H280" s="28"/>
      <c r="I280" s="8"/>
      <c r="J280" s="8"/>
      <c r="K280" s="8"/>
      <c r="L280" s="14"/>
      <c r="M280" s="8"/>
      <c r="N280" s="8"/>
      <c r="O280" s="8"/>
      <c r="P280" s="8"/>
      <c r="Q280" s="8" t="s">
        <v>8</v>
      </c>
      <c r="R280" s="21"/>
      <c r="S280" s="8"/>
      <c r="T280" s="7" t="str">
        <f>Tab_Data_Flows[[#This Row],[Flow_ID]]&amp;"_"&amp;"material_"&amp;Tab_Data_Flows[[#This Row],[Flow_Data_Year]]</f>
        <v>F___material_</v>
      </c>
      <c r="U280" s="18">
        <f t="shared" si="10"/>
        <v>0</v>
      </c>
      <c r="V280" s="8" t="s">
        <v>218</v>
      </c>
      <c r="W280" s="156">
        <f>INDEX(Tab_Def_Flows[[Flow_ID]:[CC_DM_source]],MATCH(Tab_Data_Flows[[#This Row],[Flow_Name]],Tab_Def_Flows[Flow_Name],0),11)</f>
        <v>0</v>
      </c>
      <c r="X280" s="7" t="str">
        <f>Tab_Data_Flows[[#This Row],[Flow_ID]]&amp;"_"&amp;"WC_"&amp;Tab_Data_Flows[[#This Row],[Flow_Data_Year]]</f>
        <v>F___WC_</v>
      </c>
      <c r="Y280" s="7" t="str">
        <f>IF(D280="Yes",U280*Tab_Data_Flows[[#This Row],[WC_'[%']]],"N.A.")</f>
        <v>N.A.</v>
      </c>
      <c r="Z280" s="7" t="str">
        <f>Tab_Data_Flows[[#This Row],[UoM_Flow_Py]]</f>
        <v>Mg</v>
      </c>
      <c r="AA280" s="156">
        <f>INDEX(Tab_Def_Flows[[Flow_ID]:[CC_DM_source]],MATCH(Tab_Data_Flows[[#This Row],[Flow_Name]],Tab_Def_Flows[Flow_Name],0),14)</f>
        <v>0</v>
      </c>
      <c r="AB280" s="7" t="str">
        <f>Tab_Data_Flows[[#This Row],[Flow_ID]]&amp;"_"&amp;"DM_"&amp;Tab_Data_Flows[[#This Row],[Flow_Data_Year]]</f>
        <v>F___DM_</v>
      </c>
      <c r="AC280" s="7" t="str">
        <f>IF(E280="Yes",AA280*Tab_Data_Flows[[#This Row],[Flow_Material]],"N.A.")</f>
        <v>N.A.</v>
      </c>
      <c r="AD280" s="7" t="str">
        <f>Tab_Data_Flows[[#This Row],[UoM_Flow_Py]]</f>
        <v>Mg</v>
      </c>
      <c r="AE280" s="156">
        <f>INDEX(Tab_Def_Flows[[Flow_ID]:[CC_DM_source]],MATCH(Tab_Data_Flows[[#This Row],[Flow_Name]],Tab_Def_Flows[Flow_Name],0),17)</f>
        <v>0</v>
      </c>
      <c r="AF280" s="7" t="str">
        <f>Tab_Data_Flows[[#This Row],[Flow_ID]]&amp;"_"&amp;"CC_"&amp;Tab_Data_Flows[[#This Row],[Flow_Data_Year]]</f>
        <v>F___CC_</v>
      </c>
      <c r="AG280" s="7" t="str">
        <f>IF(F280="Yes",AE280*Tab_Data_Flows[[#This Row],[Flow_Material]]*Tab_Data_Flows[[#This Row],[DM_'[%']]],"N.A.")</f>
        <v>N.A.</v>
      </c>
      <c r="AH280" s="7" t="str">
        <f>Tab_Data_Flows[[#This Row],[UoM_Flow_Py]]</f>
        <v>Mg</v>
      </c>
      <c r="AI280"/>
    </row>
    <row r="281" spans="1:35" x14ac:dyDescent="0.25">
      <c r="A281" s="9">
        <f t="shared" si="9"/>
        <v>280</v>
      </c>
      <c r="B281" s="7" t="str">
        <f>_xlfn.XLOOKUP(C281,Tab_Def_Flows[Flow_Name],Tab_Def_Flows[Flow_ID],,0,)</f>
        <v>F__</v>
      </c>
      <c r="C281" s="8" t="s">
        <v>31</v>
      </c>
      <c r="D281" s="10">
        <f>_xlfn.XLOOKUP(C281,Tab_Def_Flows[Flow_Name],Tab_Def_Flows[WC?],,0,)</f>
        <v>0</v>
      </c>
      <c r="E281" s="10">
        <f>_xlfn.XLOOKUP(C281,Tab_Def_Flows[Flow_Name],Tab_Def_Flows[DM?],,0,)</f>
        <v>0</v>
      </c>
      <c r="F281" s="10">
        <f>_xlfn.XLOOKUP(C281,Tab_Def_Flows[Flow_Name],Tab_Def_Flows[CC?],,0,)</f>
        <v>0</v>
      </c>
      <c r="G281" s="8"/>
      <c r="H281" s="28"/>
      <c r="I281" s="8"/>
      <c r="J281" s="8"/>
      <c r="K281" s="8"/>
      <c r="L281" s="14"/>
      <c r="M281" s="8"/>
      <c r="N281" s="8"/>
      <c r="O281" s="8"/>
      <c r="P281" s="8"/>
      <c r="Q281" s="8" t="s">
        <v>8</v>
      </c>
      <c r="R281" s="21"/>
      <c r="S281" s="8"/>
      <c r="T281" s="7" t="str">
        <f>Tab_Data_Flows[[#This Row],[Flow_ID]]&amp;"_"&amp;"material_"&amp;Tab_Data_Flows[[#This Row],[Flow_Data_Year]]</f>
        <v>F___material_</v>
      </c>
      <c r="U281" s="18">
        <f t="shared" ref="U281:U322" si="11">IF(Q281="no",H281,H281*R281)</f>
        <v>0</v>
      </c>
      <c r="V281" s="8" t="s">
        <v>218</v>
      </c>
      <c r="W281" s="156">
        <f>INDEX(Tab_Def_Flows[[Flow_ID]:[CC_DM_source]],MATCH(Tab_Data_Flows[[#This Row],[Flow_Name]],Tab_Def_Flows[Flow_Name],0),11)</f>
        <v>0</v>
      </c>
      <c r="X281" s="7" t="str">
        <f>Tab_Data_Flows[[#This Row],[Flow_ID]]&amp;"_"&amp;"WC_"&amp;Tab_Data_Flows[[#This Row],[Flow_Data_Year]]</f>
        <v>F___WC_</v>
      </c>
      <c r="Y281" s="7" t="str">
        <f>IF(D281="Yes",U281*Tab_Data_Flows[[#This Row],[WC_'[%']]],"N.A.")</f>
        <v>N.A.</v>
      </c>
      <c r="Z281" s="7" t="str">
        <f>Tab_Data_Flows[[#This Row],[UoM_Flow_Py]]</f>
        <v>Mg</v>
      </c>
      <c r="AA281" s="156">
        <f>INDEX(Tab_Def_Flows[[Flow_ID]:[CC_DM_source]],MATCH(Tab_Data_Flows[[#This Row],[Flow_Name]],Tab_Def_Flows[Flow_Name],0),14)</f>
        <v>0</v>
      </c>
      <c r="AB281" s="7" t="str">
        <f>Tab_Data_Flows[[#This Row],[Flow_ID]]&amp;"_"&amp;"DM_"&amp;Tab_Data_Flows[[#This Row],[Flow_Data_Year]]</f>
        <v>F___DM_</v>
      </c>
      <c r="AC281" s="7" t="str">
        <f>IF(E281="Yes",AA281*Tab_Data_Flows[[#This Row],[Flow_Material]],"N.A.")</f>
        <v>N.A.</v>
      </c>
      <c r="AD281" s="7" t="str">
        <f>Tab_Data_Flows[[#This Row],[UoM_Flow_Py]]</f>
        <v>Mg</v>
      </c>
      <c r="AE281" s="156">
        <f>INDEX(Tab_Def_Flows[[Flow_ID]:[CC_DM_source]],MATCH(Tab_Data_Flows[[#This Row],[Flow_Name]],Tab_Def_Flows[Flow_Name],0),17)</f>
        <v>0</v>
      </c>
      <c r="AF281" s="7" t="str">
        <f>Tab_Data_Flows[[#This Row],[Flow_ID]]&amp;"_"&amp;"CC_"&amp;Tab_Data_Flows[[#This Row],[Flow_Data_Year]]</f>
        <v>F___CC_</v>
      </c>
      <c r="AG281" s="7" t="str">
        <f>IF(F281="Yes",AE281*Tab_Data_Flows[[#This Row],[Flow_Material]]*Tab_Data_Flows[[#This Row],[DM_'[%']]],"N.A.")</f>
        <v>N.A.</v>
      </c>
      <c r="AH281" s="7" t="str">
        <f>Tab_Data_Flows[[#This Row],[UoM_Flow_Py]]</f>
        <v>Mg</v>
      </c>
      <c r="AI281"/>
    </row>
    <row r="282" spans="1:35" x14ac:dyDescent="0.25">
      <c r="A282" s="9">
        <f t="shared" si="9"/>
        <v>281</v>
      </c>
      <c r="B282" s="7" t="str">
        <f>_xlfn.XLOOKUP(C282,Tab_Def_Flows[Flow_Name],Tab_Def_Flows[Flow_ID],,0,)</f>
        <v>F__</v>
      </c>
      <c r="C282" s="8" t="s">
        <v>31</v>
      </c>
      <c r="D282" s="10">
        <f>_xlfn.XLOOKUP(C282,Tab_Def_Flows[Flow_Name],Tab_Def_Flows[WC?],,0,)</f>
        <v>0</v>
      </c>
      <c r="E282" s="10">
        <f>_xlfn.XLOOKUP(C282,Tab_Def_Flows[Flow_Name],Tab_Def_Flows[DM?],,0,)</f>
        <v>0</v>
      </c>
      <c r="F282" s="10">
        <f>_xlfn.XLOOKUP(C282,Tab_Def_Flows[Flow_Name],Tab_Def_Flows[CC?],,0,)</f>
        <v>0</v>
      </c>
      <c r="G282" s="8"/>
      <c r="H282" s="28"/>
      <c r="I282" s="8"/>
      <c r="J282" s="8"/>
      <c r="K282" s="8"/>
      <c r="L282" s="14"/>
      <c r="M282" s="8"/>
      <c r="N282" s="8"/>
      <c r="O282" s="8"/>
      <c r="P282" s="8"/>
      <c r="Q282" s="8" t="s">
        <v>8</v>
      </c>
      <c r="R282" s="21"/>
      <c r="S282" s="8"/>
      <c r="T282" s="7" t="str">
        <f>Tab_Data_Flows[[#This Row],[Flow_ID]]&amp;"_"&amp;"material_"&amp;Tab_Data_Flows[[#This Row],[Flow_Data_Year]]</f>
        <v>F___material_</v>
      </c>
      <c r="U282" s="18">
        <f t="shared" si="11"/>
        <v>0</v>
      </c>
      <c r="V282" s="8" t="s">
        <v>218</v>
      </c>
      <c r="W282" s="156">
        <f>INDEX(Tab_Def_Flows[[Flow_ID]:[CC_DM_source]],MATCH(Tab_Data_Flows[[#This Row],[Flow_Name]],Tab_Def_Flows[Flow_Name],0),11)</f>
        <v>0</v>
      </c>
      <c r="X282" s="7" t="str">
        <f>Tab_Data_Flows[[#This Row],[Flow_ID]]&amp;"_"&amp;"WC_"&amp;Tab_Data_Flows[[#This Row],[Flow_Data_Year]]</f>
        <v>F___WC_</v>
      </c>
      <c r="Y282" s="7" t="str">
        <f>IF(D282="Yes",U282*Tab_Data_Flows[[#This Row],[WC_'[%']]],"N.A.")</f>
        <v>N.A.</v>
      </c>
      <c r="Z282" s="7" t="str">
        <f>Tab_Data_Flows[[#This Row],[UoM_Flow_Py]]</f>
        <v>Mg</v>
      </c>
      <c r="AA282" s="156">
        <f>INDEX(Tab_Def_Flows[[Flow_ID]:[CC_DM_source]],MATCH(Tab_Data_Flows[[#This Row],[Flow_Name]],Tab_Def_Flows[Flow_Name],0),14)</f>
        <v>0</v>
      </c>
      <c r="AB282" s="7" t="str">
        <f>Tab_Data_Flows[[#This Row],[Flow_ID]]&amp;"_"&amp;"DM_"&amp;Tab_Data_Flows[[#This Row],[Flow_Data_Year]]</f>
        <v>F___DM_</v>
      </c>
      <c r="AC282" s="7" t="str">
        <f>IF(E282="Yes",AA282*Tab_Data_Flows[[#This Row],[Flow_Material]],"N.A.")</f>
        <v>N.A.</v>
      </c>
      <c r="AD282" s="7" t="str">
        <f>Tab_Data_Flows[[#This Row],[UoM_Flow_Py]]</f>
        <v>Mg</v>
      </c>
      <c r="AE282" s="156">
        <f>INDEX(Tab_Def_Flows[[Flow_ID]:[CC_DM_source]],MATCH(Tab_Data_Flows[[#This Row],[Flow_Name]],Tab_Def_Flows[Flow_Name],0),17)</f>
        <v>0</v>
      </c>
      <c r="AF282" s="7" t="str">
        <f>Tab_Data_Flows[[#This Row],[Flow_ID]]&amp;"_"&amp;"CC_"&amp;Tab_Data_Flows[[#This Row],[Flow_Data_Year]]</f>
        <v>F___CC_</v>
      </c>
      <c r="AG282" s="7" t="str">
        <f>IF(F282="Yes",AE282*Tab_Data_Flows[[#This Row],[Flow_Material]]*Tab_Data_Flows[[#This Row],[DM_'[%']]],"N.A.")</f>
        <v>N.A.</v>
      </c>
      <c r="AH282" s="7" t="str">
        <f>Tab_Data_Flows[[#This Row],[UoM_Flow_Py]]</f>
        <v>Mg</v>
      </c>
      <c r="AI282"/>
    </row>
    <row r="283" spans="1:35" x14ac:dyDescent="0.25">
      <c r="A283" s="9">
        <f t="shared" si="9"/>
        <v>282</v>
      </c>
      <c r="B283" s="7" t="str">
        <f>_xlfn.XLOOKUP(C283,Tab_Def_Flows[Flow_Name],Tab_Def_Flows[Flow_ID],,0,)</f>
        <v>F__</v>
      </c>
      <c r="C283" s="8" t="s">
        <v>31</v>
      </c>
      <c r="D283" s="10">
        <f>_xlfn.XLOOKUP(C283,Tab_Def_Flows[Flow_Name],Tab_Def_Flows[WC?],,0,)</f>
        <v>0</v>
      </c>
      <c r="E283" s="10">
        <f>_xlfn.XLOOKUP(C283,Tab_Def_Flows[Flow_Name],Tab_Def_Flows[DM?],,0,)</f>
        <v>0</v>
      </c>
      <c r="F283" s="10">
        <f>_xlfn.XLOOKUP(C283,Tab_Def_Flows[Flow_Name],Tab_Def_Flows[CC?],,0,)</f>
        <v>0</v>
      </c>
      <c r="G283" s="8"/>
      <c r="H283" s="28"/>
      <c r="I283" s="8"/>
      <c r="J283" s="8"/>
      <c r="K283" s="8"/>
      <c r="L283" s="14"/>
      <c r="M283" s="8"/>
      <c r="N283" s="8"/>
      <c r="O283" s="8"/>
      <c r="P283" s="8"/>
      <c r="Q283" s="8" t="s">
        <v>8</v>
      </c>
      <c r="R283" s="21"/>
      <c r="S283" s="8"/>
      <c r="T283" s="7" t="str">
        <f>Tab_Data_Flows[[#This Row],[Flow_ID]]&amp;"_"&amp;"material_"&amp;Tab_Data_Flows[[#This Row],[Flow_Data_Year]]</f>
        <v>F___material_</v>
      </c>
      <c r="U283" s="18">
        <f t="shared" si="11"/>
        <v>0</v>
      </c>
      <c r="V283" s="8" t="s">
        <v>218</v>
      </c>
      <c r="W283" s="156">
        <f>INDEX(Tab_Def_Flows[[Flow_ID]:[CC_DM_source]],MATCH(Tab_Data_Flows[[#This Row],[Flow_Name]],Tab_Def_Flows[Flow_Name],0),11)</f>
        <v>0</v>
      </c>
      <c r="X283" s="7" t="str">
        <f>Tab_Data_Flows[[#This Row],[Flow_ID]]&amp;"_"&amp;"WC_"&amp;Tab_Data_Flows[[#This Row],[Flow_Data_Year]]</f>
        <v>F___WC_</v>
      </c>
      <c r="Y283" s="7" t="str">
        <f>IF(D283="Yes",U283*Tab_Data_Flows[[#This Row],[WC_'[%']]],"N.A.")</f>
        <v>N.A.</v>
      </c>
      <c r="Z283" s="7" t="str">
        <f>Tab_Data_Flows[[#This Row],[UoM_Flow_Py]]</f>
        <v>Mg</v>
      </c>
      <c r="AA283" s="156">
        <f>INDEX(Tab_Def_Flows[[Flow_ID]:[CC_DM_source]],MATCH(Tab_Data_Flows[[#This Row],[Flow_Name]],Tab_Def_Flows[Flow_Name],0),14)</f>
        <v>0</v>
      </c>
      <c r="AB283" s="7" t="str">
        <f>Tab_Data_Flows[[#This Row],[Flow_ID]]&amp;"_"&amp;"DM_"&amp;Tab_Data_Flows[[#This Row],[Flow_Data_Year]]</f>
        <v>F___DM_</v>
      </c>
      <c r="AC283" s="7" t="str">
        <f>IF(E283="Yes",AA283*Tab_Data_Flows[[#This Row],[Flow_Material]],"N.A.")</f>
        <v>N.A.</v>
      </c>
      <c r="AD283" s="7" t="str">
        <f>Tab_Data_Flows[[#This Row],[UoM_Flow_Py]]</f>
        <v>Mg</v>
      </c>
      <c r="AE283" s="156">
        <f>INDEX(Tab_Def_Flows[[Flow_ID]:[CC_DM_source]],MATCH(Tab_Data_Flows[[#This Row],[Flow_Name]],Tab_Def_Flows[Flow_Name],0),17)</f>
        <v>0</v>
      </c>
      <c r="AF283" s="7" t="str">
        <f>Tab_Data_Flows[[#This Row],[Flow_ID]]&amp;"_"&amp;"CC_"&amp;Tab_Data_Flows[[#This Row],[Flow_Data_Year]]</f>
        <v>F___CC_</v>
      </c>
      <c r="AG283" s="7" t="str">
        <f>IF(F283="Yes",AE283*Tab_Data_Flows[[#This Row],[Flow_Material]]*Tab_Data_Flows[[#This Row],[DM_'[%']]],"N.A.")</f>
        <v>N.A.</v>
      </c>
      <c r="AH283" s="7" t="str">
        <f>Tab_Data_Flows[[#This Row],[UoM_Flow_Py]]</f>
        <v>Mg</v>
      </c>
      <c r="AI283"/>
    </row>
    <row r="284" spans="1:35" x14ac:dyDescent="0.25">
      <c r="A284" s="9">
        <f t="shared" si="9"/>
        <v>283</v>
      </c>
      <c r="B284" s="7" t="str">
        <f>_xlfn.XLOOKUP(C284,Tab_Def_Flows[Flow_Name],Tab_Def_Flows[Flow_ID],,0,)</f>
        <v>F__</v>
      </c>
      <c r="C284" s="8" t="s">
        <v>31</v>
      </c>
      <c r="D284" s="10">
        <f>_xlfn.XLOOKUP(C284,Tab_Def_Flows[Flow_Name],Tab_Def_Flows[WC?],,0,)</f>
        <v>0</v>
      </c>
      <c r="E284" s="10">
        <f>_xlfn.XLOOKUP(C284,Tab_Def_Flows[Flow_Name],Tab_Def_Flows[DM?],,0,)</f>
        <v>0</v>
      </c>
      <c r="F284" s="10">
        <f>_xlfn.XLOOKUP(C284,Tab_Def_Flows[Flow_Name],Tab_Def_Flows[CC?],,0,)</f>
        <v>0</v>
      </c>
      <c r="G284" s="8"/>
      <c r="H284" s="28"/>
      <c r="I284" s="8"/>
      <c r="J284" s="8"/>
      <c r="K284" s="8"/>
      <c r="L284" s="14"/>
      <c r="M284" s="8"/>
      <c r="N284" s="8"/>
      <c r="O284" s="8"/>
      <c r="P284" s="8"/>
      <c r="Q284" s="8" t="s">
        <v>8</v>
      </c>
      <c r="R284" s="21"/>
      <c r="S284" s="8"/>
      <c r="T284" s="7" t="str">
        <f>Tab_Data_Flows[[#This Row],[Flow_ID]]&amp;"_"&amp;"material_"&amp;Tab_Data_Flows[[#This Row],[Flow_Data_Year]]</f>
        <v>F___material_</v>
      </c>
      <c r="U284" s="18">
        <f t="shared" si="11"/>
        <v>0</v>
      </c>
      <c r="V284" s="8" t="s">
        <v>218</v>
      </c>
      <c r="W284" s="156">
        <f>INDEX(Tab_Def_Flows[[Flow_ID]:[CC_DM_source]],MATCH(Tab_Data_Flows[[#This Row],[Flow_Name]],Tab_Def_Flows[Flow_Name],0),11)</f>
        <v>0</v>
      </c>
      <c r="X284" s="7" t="str">
        <f>Tab_Data_Flows[[#This Row],[Flow_ID]]&amp;"_"&amp;"WC_"&amp;Tab_Data_Flows[[#This Row],[Flow_Data_Year]]</f>
        <v>F___WC_</v>
      </c>
      <c r="Y284" s="7" t="str">
        <f>IF(D284="Yes",U284*Tab_Data_Flows[[#This Row],[WC_'[%']]],"N.A.")</f>
        <v>N.A.</v>
      </c>
      <c r="Z284" s="7" t="str">
        <f>Tab_Data_Flows[[#This Row],[UoM_Flow_Py]]</f>
        <v>Mg</v>
      </c>
      <c r="AA284" s="156">
        <f>INDEX(Tab_Def_Flows[[Flow_ID]:[CC_DM_source]],MATCH(Tab_Data_Flows[[#This Row],[Flow_Name]],Tab_Def_Flows[Flow_Name],0),14)</f>
        <v>0</v>
      </c>
      <c r="AB284" s="7" t="str">
        <f>Tab_Data_Flows[[#This Row],[Flow_ID]]&amp;"_"&amp;"DM_"&amp;Tab_Data_Flows[[#This Row],[Flow_Data_Year]]</f>
        <v>F___DM_</v>
      </c>
      <c r="AC284" s="7" t="str">
        <f>IF(E284="Yes",AA284*Tab_Data_Flows[[#This Row],[Flow_Material]],"N.A.")</f>
        <v>N.A.</v>
      </c>
      <c r="AD284" s="7" t="str">
        <f>Tab_Data_Flows[[#This Row],[UoM_Flow_Py]]</f>
        <v>Mg</v>
      </c>
      <c r="AE284" s="156">
        <f>INDEX(Tab_Def_Flows[[Flow_ID]:[CC_DM_source]],MATCH(Tab_Data_Flows[[#This Row],[Flow_Name]],Tab_Def_Flows[Flow_Name],0),17)</f>
        <v>0</v>
      </c>
      <c r="AF284" s="7" t="str">
        <f>Tab_Data_Flows[[#This Row],[Flow_ID]]&amp;"_"&amp;"CC_"&amp;Tab_Data_Flows[[#This Row],[Flow_Data_Year]]</f>
        <v>F___CC_</v>
      </c>
      <c r="AG284" s="7" t="str">
        <f>IF(F284="Yes",AE284*Tab_Data_Flows[[#This Row],[Flow_Material]]*Tab_Data_Flows[[#This Row],[DM_'[%']]],"N.A.")</f>
        <v>N.A.</v>
      </c>
      <c r="AH284" s="7" t="str">
        <f>Tab_Data_Flows[[#This Row],[UoM_Flow_Py]]</f>
        <v>Mg</v>
      </c>
      <c r="AI284"/>
    </row>
    <row r="285" spans="1:35" x14ac:dyDescent="0.25">
      <c r="A285" s="9">
        <f t="shared" si="9"/>
        <v>284</v>
      </c>
      <c r="B285" s="7" t="str">
        <f>_xlfn.XLOOKUP(C285,Tab_Def_Flows[Flow_Name],Tab_Def_Flows[Flow_ID],,0,)</f>
        <v>F__</v>
      </c>
      <c r="C285" s="8" t="s">
        <v>31</v>
      </c>
      <c r="D285" s="10">
        <f>_xlfn.XLOOKUP(C285,Tab_Def_Flows[Flow_Name],Tab_Def_Flows[WC?],,0,)</f>
        <v>0</v>
      </c>
      <c r="E285" s="10">
        <f>_xlfn.XLOOKUP(C285,Tab_Def_Flows[Flow_Name],Tab_Def_Flows[DM?],,0,)</f>
        <v>0</v>
      </c>
      <c r="F285" s="10">
        <f>_xlfn.XLOOKUP(C285,Tab_Def_Flows[Flow_Name],Tab_Def_Flows[CC?],,0,)</f>
        <v>0</v>
      </c>
      <c r="G285" s="8"/>
      <c r="H285" s="28"/>
      <c r="I285" s="8"/>
      <c r="J285" s="8"/>
      <c r="K285" s="8"/>
      <c r="L285" s="14"/>
      <c r="M285" s="8"/>
      <c r="N285" s="8"/>
      <c r="O285" s="8"/>
      <c r="P285" s="8"/>
      <c r="Q285" s="8" t="s">
        <v>8</v>
      </c>
      <c r="R285" s="21"/>
      <c r="S285" s="8"/>
      <c r="T285" s="7" t="str">
        <f>Tab_Data_Flows[[#This Row],[Flow_ID]]&amp;"_"&amp;"material_"&amp;Tab_Data_Flows[[#This Row],[Flow_Data_Year]]</f>
        <v>F___material_</v>
      </c>
      <c r="U285" s="18">
        <f t="shared" si="11"/>
        <v>0</v>
      </c>
      <c r="V285" s="8" t="s">
        <v>218</v>
      </c>
      <c r="W285" s="156">
        <f>INDEX(Tab_Def_Flows[[Flow_ID]:[CC_DM_source]],MATCH(Tab_Data_Flows[[#This Row],[Flow_Name]],Tab_Def_Flows[Flow_Name],0),11)</f>
        <v>0</v>
      </c>
      <c r="X285" s="7" t="str">
        <f>Tab_Data_Flows[[#This Row],[Flow_ID]]&amp;"_"&amp;"WC_"&amp;Tab_Data_Flows[[#This Row],[Flow_Data_Year]]</f>
        <v>F___WC_</v>
      </c>
      <c r="Y285" s="7" t="str">
        <f>IF(D285="Yes",U285*Tab_Data_Flows[[#This Row],[WC_'[%']]],"N.A.")</f>
        <v>N.A.</v>
      </c>
      <c r="Z285" s="7" t="str">
        <f>Tab_Data_Flows[[#This Row],[UoM_Flow_Py]]</f>
        <v>Mg</v>
      </c>
      <c r="AA285" s="156">
        <f>INDEX(Tab_Def_Flows[[Flow_ID]:[CC_DM_source]],MATCH(Tab_Data_Flows[[#This Row],[Flow_Name]],Tab_Def_Flows[Flow_Name],0),14)</f>
        <v>0</v>
      </c>
      <c r="AB285" s="7" t="str">
        <f>Tab_Data_Flows[[#This Row],[Flow_ID]]&amp;"_"&amp;"DM_"&amp;Tab_Data_Flows[[#This Row],[Flow_Data_Year]]</f>
        <v>F___DM_</v>
      </c>
      <c r="AC285" s="7" t="str">
        <f>IF(E285="Yes",AA285*Tab_Data_Flows[[#This Row],[Flow_Material]],"N.A.")</f>
        <v>N.A.</v>
      </c>
      <c r="AD285" s="7" t="str">
        <f>Tab_Data_Flows[[#This Row],[UoM_Flow_Py]]</f>
        <v>Mg</v>
      </c>
      <c r="AE285" s="156">
        <f>INDEX(Tab_Def_Flows[[Flow_ID]:[CC_DM_source]],MATCH(Tab_Data_Flows[[#This Row],[Flow_Name]],Tab_Def_Flows[Flow_Name],0),17)</f>
        <v>0</v>
      </c>
      <c r="AF285" s="7" t="str">
        <f>Tab_Data_Flows[[#This Row],[Flow_ID]]&amp;"_"&amp;"CC_"&amp;Tab_Data_Flows[[#This Row],[Flow_Data_Year]]</f>
        <v>F___CC_</v>
      </c>
      <c r="AG285" s="7" t="str">
        <f>IF(F285="Yes",AE285*Tab_Data_Flows[[#This Row],[Flow_Material]]*Tab_Data_Flows[[#This Row],[DM_'[%']]],"N.A.")</f>
        <v>N.A.</v>
      </c>
      <c r="AH285" s="7" t="str">
        <f>Tab_Data_Flows[[#This Row],[UoM_Flow_Py]]</f>
        <v>Mg</v>
      </c>
      <c r="AI285"/>
    </row>
    <row r="286" spans="1:35" x14ac:dyDescent="0.25">
      <c r="A286" s="9">
        <f t="shared" si="9"/>
        <v>285</v>
      </c>
      <c r="B286" s="7" t="str">
        <f>_xlfn.XLOOKUP(C286,Tab_Def_Flows[Flow_Name],Tab_Def_Flows[Flow_ID],,0,)</f>
        <v>F__</v>
      </c>
      <c r="C286" s="8" t="s">
        <v>31</v>
      </c>
      <c r="D286" s="10">
        <f>_xlfn.XLOOKUP(C286,Tab_Def_Flows[Flow_Name],Tab_Def_Flows[WC?],,0,)</f>
        <v>0</v>
      </c>
      <c r="E286" s="10">
        <f>_xlfn.XLOOKUP(C286,Tab_Def_Flows[Flow_Name],Tab_Def_Flows[DM?],,0,)</f>
        <v>0</v>
      </c>
      <c r="F286" s="10">
        <f>_xlfn.XLOOKUP(C286,Tab_Def_Flows[Flow_Name],Tab_Def_Flows[CC?],,0,)</f>
        <v>0</v>
      </c>
      <c r="G286" s="8"/>
      <c r="H286" s="28"/>
      <c r="I286" s="8"/>
      <c r="J286" s="8"/>
      <c r="K286" s="8"/>
      <c r="L286" s="14"/>
      <c r="M286" s="8"/>
      <c r="N286" s="8"/>
      <c r="O286" s="8"/>
      <c r="P286" s="8"/>
      <c r="Q286" s="8" t="s">
        <v>8</v>
      </c>
      <c r="R286" s="21"/>
      <c r="S286" s="8"/>
      <c r="T286" s="7" t="str">
        <f>Tab_Data_Flows[[#This Row],[Flow_ID]]&amp;"_"&amp;"material_"&amp;Tab_Data_Flows[[#This Row],[Flow_Data_Year]]</f>
        <v>F___material_</v>
      </c>
      <c r="U286" s="18">
        <f t="shared" si="11"/>
        <v>0</v>
      </c>
      <c r="V286" s="8" t="s">
        <v>218</v>
      </c>
      <c r="W286" s="156">
        <f>INDEX(Tab_Def_Flows[[Flow_ID]:[CC_DM_source]],MATCH(Tab_Data_Flows[[#This Row],[Flow_Name]],Tab_Def_Flows[Flow_Name],0),11)</f>
        <v>0</v>
      </c>
      <c r="X286" s="7" t="str">
        <f>Tab_Data_Flows[[#This Row],[Flow_ID]]&amp;"_"&amp;"WC_"&amp;Tab_Data_Flows[[#This Row],[Flow_Data_Year]]</f>
        <v>F___WC_</v>
      </c>
      <c r="Y286" s="7" t="str">
        <f>IF(D286="Yes",U286*Tab_Data_Flows[[#This Row],[WC_'[%']]],"N.A.")</f>
        <v>N.A.</v>
      </c>
      <c r="Z286" s="7" t="str">
        <f>Tab_Data_Flows[[#This Row],[UoM_Flow_Py]]</f>
        <v>Mg</v>
      </c>
      <c r="AA286" s="156">
        <f>INDEX(Tab_Def_Flows[[Flow_ID]:[CC_DM_source]],MATCH(Tab_Data_Flows[[#This Row],[Flow_Name]],Tab_Def_Flows[Flow_Name],0),14)</f>
        <v>0</v>
      </c>
      <c r="AB286" s="7" t="str">
        <f>Tab_Data_Flows[[#This Row],[Flow_ID]]&amp;"_"&amp;"DM_"&amp;Tab_Data_Flows[[#This Row],[Flow_Data_Year]]</f>
        <v>F___DM_</v>
      </c>
      <c r="AC286" s="7" t="str">
        <f>IF(E286="Yes",AA286*Tab_Data_Flows[[#This Row],[Flow_Material]],"N.A.")</f>
        <v>N.A.</v>
      </c>
      <c r="AD286" s="7" t="str">
        <f>Tab_Data_Flows[[#This Row],[UoM_Flow_Py]]</f>
        <v>Mg</v>
      </c>
      <c r="AE286" s="156">
        <f>INDEX(Tab_Def_Flows[[Flow_ID]:[CC_DM_source]],MATCH(Tab_Data_Flows[[#This Row],[Flow_Name]],Tab_Def_Flows[Flow_Name],0),17)</f>
        <v>0</v>
      </c>
      <c r="AF286" s="7" t="str">
        <f>Tab_Data_Flows[[#This Row],[Flow_ID]]&amp;"_"&amp;"CC_"&amp;Tab_Data_Flows[[#This Row],[Flow_Data_Year]]</f>
        <v>F___CC_</v>
      </c>
      <c r="AG286" s="7" t="str">
        <f>IF(F286="Yes",AE286*Tab_Data_Flows[[#This Row],[Flow_Material]]*Tab_Data_Flows[[#This Row],[DM_'[%']]],"N.A.")</f>
        <v>N.A.</v>
      </c>
      <c r="AH286" s="7" t="str">
        <f>Tab_Data_Flows[[#This Row],[UoM_Flow_Py]]</f>
        <v>Mg</v>
      </c>
      <c r="AI286"/>
    </row>
    <row r="287" spans="1:35" x14ac:dyDescent="0.25">
      <c r="A287" s="9">
        <f t="shared" si="9"/>
        <v>286</v>
      </c>
      <c r="B287" s="7" t="str">
        <f>_xlfn.XLOOKUP(C287,Tab_Def_Flows[Flow_Name],Tab_Def_Flows[Flow_ID],,0,)</f>
        <v>F__</v>
      </c>
      <c r="C287" s="8" t="s">
        <v>31</v>
      </c>
      <c r="D287" s="10">
        <f>_xlfn.XLOOKUP(C287,Tab_Def_Flows[Flow_Name],Tab_Def_Flows[WC?],,0,)</f>
        <v>0</v>
      </c>
      <c r="E287" s="10">
        <f>_xlfn.XLOOKUP(C287,Tab_Def_Flows[Flow_Name],Tab_Def_Flows[DM?],,0,)</f>
        <v>0</v>
      </c>
      <c r="F287" s="10">
        <f>_xlfn.XLOOKUP(C287,Tab_Def_Flows[Flow_Name],Tab_Def_Flows[CC?],,0,)</f>
        <v>0</v>
      </c>
      <c r="G287" s="8"/>
      <c r="H287" s="28"/>
      <c r="I287" s="8"/>
      <c r="J287" s="8"/>
      <c r="K287" s="8"/>
      <c r="L287" s="14"/>
      <c r="M287" s="8"/>
      <c r="N287" s="8"/>
      <c r="O287" s="8"/>
      <c r="P287" s="8"/>
      <c r="Q287" s="8" t="s">
        <v>8</v>
      </c>
      <c r="R287" s="21"/>
      <c r="S287" s="8"/>
      <c r="T287" s="7" t="str">
        <f>Tab_Data_Flows[[#This Row],[Flow_ID]]&amp;"_"&amp;"material_"&amp;Tab_Data_Flows[[#This Row],[Flow_Data_Year]]</f>
        <v>F___material_</v>
      </c>
      <c r="U287" s="18">
        <f t="shared" si="11"/>
        <v>0</v>
      </c>
      <c r="V287" s="8" t="s">
        <v>218</v>
      </c>
      <c r="W287" s="156">
        <f>INDEX(Tab_Def_Flows[[Flow_ID]:[CC_DM_source]],MATCH(Tab_Data_Flows[[#This Row],[Flow_Name]],Tab_Def_Flows[Flow_Name],0),11)</f>
        <v>0</v>
      </c>
      <c r="X287" s="7" t="str">
        <f>Tab_Data_Flows[[#This Row],[Flow_ID]]&amp;"_"&amp;"WC_"&amp;Tab_Data_Flows[[#This Row],[Flow_Data_Year]]</f>
        <v>F___WC_</v>
      </c>
      <c r="Y287" s="7" t="str">
        <f>IF(D287="Yes",U287*Tab_Data_Flows[[#This Row],[WC_'[%']]],"N.A.")</f>
        <v>N.A.</v>
      </c>
      <c r="Z287" s="7" t="str">
        <f>Tab_Data_Flows[[#This Row],[UoM_Flow_Py]]</f>
        <v>Mg</v>
      </c>
      <c r="AA287" s="156">
        <f>INDEX(Tab_Def_Flows[[Flow_ID]:[CC_DM_source]],MATCH(Tab_Data_Flows[[#This Row],[Flow_Name]],Tab_Def_Flows[Flow_Name],0),14)</f>
        <v>0</v>
      </c>
      <c r="AB287" s="7" t="str">
        <f>Tab_Data_Flows[[#This Row],[Flow_ID]]&amp;"_"&amp;"DM_"&amp;Tab_Data_Flows[[#This Row],[Flow_Data_Year]]</f>
        <v>F___DM_</v>
      </c>
      <c r="AC287" s="7" t="str">
        <f>IF(E287="Yes",AA287*Tab_Data_Flows[[#This Row],[Flow_Material]],"N.A.")</f>
        <v>N.A.</v>
      </c>
      <c r="AD287" s="7" t="str">
        <f>Tab_Data_Flows[[#This Row],[UoM_Flow_Py]]</f>
        <v>Mg</v>
      </c>
      <c r="AE287" s="156">
        <f>INDEX(Tab_Def_Flows[[Flow_ID]:[CC_DM_source]],MATCH(Tab_Data_Flows[[#This Row],[Flow_Name]],Tab_Def_Flows[Flow_Name],0),17)</f>
        <v>0</v>
      </c>
      <c r="AF287" s="7" t="str">
        <f>Tab_Data_Flows[[#This Row],[Flow_ID]]&amp;"_"&amp;"CC_"&amp;Tab_Data_Flows[[#This Row],[Flow_Data_Year]]</f>
        <v>F___CC_</v>
      </c>
      <c r="AG287" s="7" t="str">
        <f>IF(F287="Yes",AE287*Tab_Data_Flows[[#This Row],[Flow_Material]]*Tab_Data_Flows[[#This Row],[DM_'[%']]],"N.A.")</f>
        <v>N.A.</v>
      </c>
      <c r="AH287" s="7" t="str">
        <f>Tab_Data_Flows[[#This Row],[UoM_Flow_Py]]</f>
        <v>Mg</v>
      </c>
      <c r="AI287"/>
    </row>
    <row r="288" spans="1:35" x14ac:dyDescent="0.25">
      <c r="A288" s="9">
        <f t="shared" si="9"/>
        <v>287</v>
      </c>
      <c r="B288" s="7" t="str">
        <f>_xlfn.XLOOKUP(C288,Tab_Def_Flows[Flow_Name],Tab_Def_Flows[Flow_ID],,0,)</f>
        <v>F__</v>
      </c>
      <c r="C288" s="8" t="s">
        <v>31</v>
      </c>
      <c r="D288" s="10">
        <f>_xlfn.XLOOKUP(C288,Tab_Def_Flows[Flow_Name],Tab_Def_Flows[WC?],,0,)</f>
        <v>0</v>
      </c>
      <c r="E288" s="10">
        <f>_xlfn.XLOOKUP(C288,Tab_Def_Flows[Flow_Name],Tab_Def_Flows[DM?],,0,)</f>
        <v>0</v>
      </c>
      <c r="F288" s="10">
        <f>_xlfn.XLOOKUP(C288,Tab_Def_Flows[Flow_Name],Tab_Def_Flows[CC?],,0,)</f>
        <v>0</v>
      </c>
      <c r="G288" s="8"/>
      <c r="H288" s="28"/>
      <c r="I288" s="8"/>
      <c r="J288" s="8"/>
      <c r="K288" s="8"/>
      <c r="L288" s="14"/>
      <c r="M288" s="8"/>
      <c r="N288" s="8"/>
      <c r="O288" s="8"/>
      <c r="P288" s="8"/>
      <c r="Q288" s="8" t="s">
        <v>8</v>
      </c>
      <c r="R288" s="21"/>
      <c r="S288" s="8"/>
      <c r="T288" s="7" t="str">
        <f>Tab_Data_Flows[[#This Row],[Flow_ID]]&amp;"_"&amp;"material_"&amp;Tab_Data_Flows[[#This Row],[Flow_Data_Year]]</f>
        <v>F___material_</v>
      </c>
      <c r="U288" s="18">
        <f t="shared" si="11"/>
        <v>0</v>
      </c>
      <c r="V288" s="8" t="s">
        <v>218</v>
      </c>
      <c r="W288" s="156">
        <f>INDEX(Tab_Def_Flows[[Flow_ID]:[CC_DM_source]],MATCH(Tab_Data_Flows[[#This Row],[Flow_Name]],Tab_Def_Flows[Flow_Name],0),11)</f>
        <v>0</v>
      </c>
      <c r="X288" s="7" t="str">
        <f>Tab_Data_Flows[[#This Row],[Flow_ID]]&amp;"_"&amp;"WC_"&amp;Tab_Data_Flows[[#This Row],[Flow_Data_Year]]</f>
        <v>F___WC_</v>
      </c>
      <c r="Y288" s="7" t="str">
        <f>IF(D288="Yes",U288*Tab_Data_Flows[[#This Row],[WC_'[%']]],"N.A.")</f>
        <v>N.A.</v>
      </c>
      <c r="Z288" s="7" t="str">
        <f>Tab_Data_Flows[[#This Row],[UoM_Flow_Py]]</f>
        <v>Mg</v>
      </c>
      <c r="AA288" s="156">
        <f>INDEX(Tab_Def_Flows[[Flow_ID]:[CC_DM_source]],MATCH(Tab_Data_Flows[[#This Row],[Flow_Name]],Tab_Def_Flows[Flow_Name],0),14)</f>
        <v>0</v>
      </c>
      <c r="AB288" s="7" t="str">
        <f>Tab_Data_Flows[[#This Row],[Flow_ID]]&amp;"_"&amp;"DM_"&amp;Tab_Data_Flows[[#This Row],[Flow_Data_Year]]</f>
        <v>F___DM_</v>
      </c>
      <c r="AC288" s="7" t="str">
        <f>IF(E288="Yes",AA288*Tab_Data_Flows[[#This Row],[Flow_Material]],"N.A.")</f>
        <v>N.A.</v>
      </c>
      <c r="AD288" s="7" t="str">
        <f>Tab_Data_Flows[[#This Row],[UoM_Flow_Py]]</f>
        <v>Mg</v>
      </c>
      <c r="AE288" s="156">
        <f>INDEX(Tab_Def_Flows[[Flow_ID]:[CC_DM_source]],MATCH(Tab_Data_Flows[[#This Row],[Flow_Name]],Tab_Def_Flows[Flow_Name],0),17)</f>
        <v>0</v>
      </c>
      <c r="AF288" s="7" t="str">
        <f>Tab_Data_Flows[[#This Row],[Flow_ID]]&amp;"_"&amp;"CC_"&amp;Tab_Data_Flows[[#This Row],[Flow_Data_Year]]</f>
        <v>F___CC_</v>
      </c>
      <c r="AG288" s="7" t="str">
        <f>IF(F288="Yes",AE288*Tab_Data_Flows[[#This Row],[Flow_Material]]*Tab_Data_Flows[[#This Row],[DM_'[%']]],"N.A.")</f>
        <v>N.A.</v>
      </c>
      <c r="AH288" s="7" t="str">
        <f>Tab_Data_Flows[[#This Row],[UoM_Flow_Py]]</f>
        <v>Mg</v>
      </c>
      <c r="AI288"/>
    </row>
    <row r="289" spans="1:35" x14ac:dyDescent="0.25">
      <c r="A289" s="9">
        <f t="shared" si="9"/>
        <v>288</v>
      </c>
      <c r="B289" s="7" t="str">
        <f>_xlfn.XLOOKUP(C289,Tab_Def_Flows[Flow_Name],Tab_Def_Flows[Flow_ID],,0,)</f>
        <v>F__</v>
      </c>
      <c r="C289" s="8" t="s">
        <v>31</v>
      </c>
      <c r="D289" s="10">
        <f>_xlfn.XLOOKUP(C289,Tab_Def_Flows[Flow_Name],Tab_Def_Flows[WC?],,0,)</f>
        <v>0</v>
      </c>
      <c r="E289" s="10">
        <f>_xlfn.XLOOKUP(C289,Tab_Def_Flows[Flow_Name],Tab_Def_Flows[DM?],,0,)</f>
        <v>0</v>
      </c>
      <c r="F289" s="10">
        <f>_xlfn.XLOOKUP(C289,Tab_Def_Flows[Flow_Name],Tab_Def_Flows[CC?],,0,)</f>
        <v>0</v>
      </c>
      <c r="G289" s="8"/>
      <c r="H289" s="28"/>
      <c r="I289" s="8"/>
      <c r="J289" s="8"/>
      <c r="K289" s="8"/>
      <c r="L289" s="14"/>
      <c r="M289" s="8"/>
      <c r="N289" s="8"/>
      <c r="O289" s="8"/>
      <c r="P289" s="8"/>
      <c r="Q289" s="8" t="s">
        <v>8</v>
      </c>
      <c r="R289" s="21"/>
      <c r="S289" s="8"/>
      <c r="T289" s="7" t="str">
        <f>Tab_Data_Flows[[#This Row],[Flow_ID]]&amp;"_"&amp;"material_"&amp;Tab_Data_Flows[[#This Row],[Flow_Data_Year]]</f>
        <v>F___material_</v>
      </c>
      <c r="U289" s="18">
        <f t="shared" si="11"/>
        <v>0</v>
      </c>
      <c r="V289" s="8" t="s">
        <v>218</v>
      </c>
      <c r="W289" s="156">
        <f>INDEX(Tab_Def_Flows[[Flow_ID]:[CC_DM_source]],MATCH(Tab_Data_Flows[[#This Row],[Flow_Name]],Tab_Def_Flows[Flow_Name],0),11)</f>
        <v>0</v>
      </c>
      <c r="X289" s="7" t="str">
        <f>Tab_Data_Flows[[#This Row],[Flow_ID]]&amp;"_"&amp;"WC_"&amp;Tab_Data_Flows[[#This Row],[Flow_Data_Year]]</f>
        <v>F___WC_</v>
      </c>
      <c r="Y289" s="7" t="str">
        <f>IF(D289="Yes",U289*Tab_Data_Flows[[#This Row],[WC_'[%']]],"N.A.")</f>
        <v>N.A.</v>
      </c>
      <c r="Z289" s="7" t="str">
        <f>Tab_Data_Flows[[#This Row],[UoM_Flow_Py]]</f>
        <v>Mg</v>
      </c>
      <c r="AA289" s="156">
        <f>INDEX(Tab_Def_Flows[[Flow_ID]:[CC_DM_source]],MATCH(Tab_Data_Flows[[#This Row],[Flow_Name]],Tab_Def_Flows[Flow_Name],0),14)</f>
        <v>0</v>
      </c>
      <c r="AB289" s="7" t="str">
        <f>Tab_Data_Flows[[#This Row],[Flow_ID]]&amp;"_"&amp;"DM_"&amp;Tab_Data_Flows[[#This Row],[Flow_Data_Year]]</f>
        <v>F___DM_</v>
      </c>
      <c r="AC289" s="7" t="str">
        <f>IF(E289="Yes",AA289*Tab_Data_Flows[[#This Row],[Flow_Material]],"N.A.")</f>
        <v>N.A.</v>
      </c>
      <c r="AD289" s="7" t="str">
        <f>Tab_Data_Flows[[#This Row],[UoM_Flow_Py]]</f>
        <v>Mg</v>
      </c>
      <c r="AE289" s="156">
        <f>INDEX(Tab_Def_Flows[[Flow_ID]:[CC_DM_source]],MATCH(Tab_Data_Flows[[#This Row],[Flow_Name]],Tab_Def_Flows[Flow_Name],0),17)</f>
        <v>0</v>
      </c>
      <c r="AF289" s="7" t="str">
        <f>Tab_Data_Flows[[#This Row],[Flow_ID]]&amp;"_"&amp;"CC_"&amp;Tab_Data_Flows[[#This Row],[Flow_Data_Year]]</f>
        <v>F___CC_</v>
      </c>
      <c r="AG289" s="7" t="str">
        <f>IF(F289="Yes",AE289*Tab_Data_Flows[[#This Row],[Flow_Material]]*Tab_Data_Flows[[#This Row],[DM_'[%']]],"N.A.")</f>
        <v>N.A.</v>
      </c>
      <c r="AH289" s="7" t="str">
        <f>Tab_Data_Flows[[#This Row],[UoM_Flow_Py]]</f>
        <v>Mg</v>
      </c>
      <c r="AI289"/>
    </row>
    <row r="290" spans="1:35" x14ac:dyDescent="0.25">
      <c r="A290" s="9">
        <f t="shared" si="9"/>
        <v>289</v>
      </c>
      <c r="B290" s="7" t="str">
        <f>_xlfn.XLOOKUP(C290,Tab_Def_Flows[Flow_Name],Tab_Def_Flows[Flow_ID],,0,)</f>
        <v>F__</v>
      </c>
      <c r="C290" s="8" t="s">
        <v>31</v>
      </c>
      <c r="D290" s="10">
        <f>_xlfn.XLOOKUP(C290,Tab_Def_Flows[Flow_Name],Tab_Def_Flows[WC?],,0,)</f>
        <v>0</v>
      </c>
      <c r="E290" s="10">
        <f>_xlfn.XLOOKUP(C290,Tab_Def_Flows[Flow_Name],Tab_Def_Flows[DM?],,0,)</f>
        <v>0</v>
      </c>
      <c r="F290" s="10">
        <f>_xlfn.XLOOKUP(C290,Tab_Def_Flows[Flow_Name],Tab_Def_Flows[CC?],,0,)</f>
        <v>0</v>
      </c>
      <c r="G290" s="8"/>
      <c r="H290" s="28"/>
      <c r="I290" s="8"/>
      <c r="J290" s="8"/>
      <c r="K290" s="8"/>
      <c r="L290" s="14"/>
      <c r="M290" s="8"/>
      <c r="N290" s="8"/>
      <c r="O290" s="8"/>
      <c r="P290" s="8"/>
      <c r="Q290" s="8" t="s">
        <v>8</v>
      </c>
      <c r="R290" s="21"/>
      <c r="S290" s="8"/>
      <c r="T290" s="7" t="str">
        <f>Tab_Data_Flows[[#This Row],[Flow_ID]]&amp;"_"&amp;"material_"&amp;Tab_Data_Flows[[#This Row],[Flow_Data_Year]]</f>
        <v>F___material_</v>
      </c>
      <c r="U290" s="18">
        <f t="shared" si="11"/>
        <v>0</v>
      </c>
      <c r="V290" s="8" t="s">
        <v>218</v>
      </c>
      <c r="W290" s="156">
        <f>INDEX(Tab_Def_Flows[[Flow_ID]:[CC_DM_source]],MATCH(Tab_Data_Flows[[#This Row],[Flow_Name]],Tab_Def_Flows[Flow_Name],0),11)</f>
        <v>0</v>
      </c>
      <c r="X290" s="7" t="str">
        <f>Tab_Data_Flows[[#This Row],[Flow_ID]]&amp;"_"&amp;"WC_"&amp;Tab_Data_Flows[[#This Row],[Flow_Data_Year]]</f>
        <v>F___WC_</v>
      </c>
      <c r="Y290" s="7" t="str">
        <f>IF(D290="Yes",U290*Tab_Data_Flows[[#This Row],[WC_'[%']]],"N.A.")</f>
        <v>N.A.</v>
      </c>
      <c r="Z290" s="7" t="str">
        <f>Tab_Data_Flows[[#This Row],[UoM_Flow_Py]]</f>
        <v>Mg</v>
      </c>
      <c r="AA290" s="156">
        <f>INDEX(Tab_Def_Flows[[Flow_ID]:[CC_DM_source]],MATCH(Tab_Data_Flows[[#This Row],[Flow_Name]],Tab_Def_Flows[Flow_Name],0),14)</f>
        <v>0</v>
      </c>
      <c r="AB290" s="7" t="str">
        <f>Tab_Data_Flows[[#This Row],[Flow_ID]]&amp;"_"&amp;"DM_"&amp;Tab_Data_Flows[[#This Row],[Flow_Data_Year]]</f>
        <v>F___DM_</v>
      </c>
      <c r="AC290" s="7" t="str">
        <f>IF(E290="Yes",AA290*Tab_Data_Flows[[#This Row],[Flow_Material]],"N.A.")</f>
        <v>N.A.</v>
      </c>
      <c r="AD290" s="7" t="str">
        <f>Tab_Data_Flows[[#This Row],[UoM_Flow_Py]]</f>
        <v>Mg</v>
      </c>
      <c r="AE290" s="156">
        <f>INDEX(Tab_Def_Flows[[Flow_ID]:[CC_DM_source]],MATCH(Tab_Data_Flows[[#This Row],[Flow_Name]],Tab_Def_Flows[Flow_Name],0),17)</f>
        <v>0</v>
      </c>
      <c r="AF290" s="7" t="str">
        <f>Tab_Data_Flows[[#This Row],[Flow_ID]]&amp;"_"&amp;"CC_"&amp;Tab_Data_Flows[[#This Row],[Flow_Data_Year]]</f>
        <v>F___CC_</v>
      </c>
      <c r="AG290" s="7" t="str">
        <f>IF(F290="Yes",AE290*Tab_Data_Flows[[#This Row],[Flow_Material]]*Tab_Data_Flows[[#This Row],[DM_'[%']]],"N.A.")</f>
        <v>N.A.</v>
      </c>
      <c r="AH290" s="7" t="str">
        <f>Tab_Data_Flows[[#This Row],[UoM_Flow_Py]]</f>
        <v>Mg</v>
      </c>
      <c r="AI290"/>
    </row>
    <row r="291" spans="1:35" x14ac:dyDescent="0.25">
      <c r="A291" s="9">
        <f t="shared" si="9"/>
        <v>290</v>
      </c>
      <c r="B291" s="7" t="str">
        <f>_xlfn.XLOOKUP(C291,Tab_Def_Flows[Flow_Name],Tab_Def_Flows[Flow_ID],,0,)</f>
        <v>F__</v>
      </c>
      <c r="C291" s="8" t="s">
        <v>31</v>
      </c>
      <c r="D291" s="10">
        <f>_xlfn.XLOOKUP(C291,Tab_Def_Flows[Flow_Name],Tab_Def_Flows[WC?],,0,)</f>
        <v>0</v>
      </c>
      <c r="E291" s="10">
        <f>_xlfn.XLOOKUP(C291,Tab_Def_Flows[Flow_Name],Tab_Def_Flows[DM?],,0,)</f>
        <v>0</v>
      </c>
      <c r="F291" s="10">
        <f>_xlfn.XLOOKUP(C291,Tab_Def_Flows[Flow_Name],Tab_Def_Flows[CC?],,0,)</f>
        <v>0</v>
      </c>
      <c r="G291" s="8"/>
      <c r="H291" s="28"/>
      <c r="I291" s="8"/>
      <c r="J291" s="8"/>
      <c r="K291" s="8"/>
      <c r="L291" s="14"/>
      <c r="M291" s="8"/>
      <c r="N291" s="8"/>
      <c r="O291" s="8"/>
      <c r="P291" s="8"/>
      <c r="Q291" s="8" t="s">
        <v>8</v>
      </c>
      <c r="R291" s="21"/>
      <c r="S291" s="8"/>
      <c r="T291" s="7" t="str">
        <f>Tab_Data_Flows[[#This Row],[Flow_ID]]&amp;"_"&amp;"material_"&amp;Tab_Data_Flows[[#This Row],[Flow_Data_Year]]</f>
        <v>F___material_</v>
      </c>
      <c r="U291" s="18">
        <f t="shared" si="11"/>
        <v>0</v>
      </c>
      <c r="V291" s="8" t="s">
        <v>218</v>
      </c>
      <c r="W291" s="156">
        <f>INDEX(Tab_Def_Flows[[Flow_ID]:[CC_DM_source]],MATCH(Tab_Data_Flows[[#This Row],[Flow_Name]],Tab_Def_Flows[Flow_Name],0),11)</f>
        <v>0</v>
      </c>
      <c r="X291" s="7" t="str">
        <f>Tab_Data_Flows[[#This Row],[Flow_ID]]&amp;"_"&amp;"WC_"&amp;Tab_Data_Flows[[#This Row],[Flow_Data_Year]]</f>
        <v>F___WC_</v>
      </c>
      <c r="Y291" s="7" t="str">
        <f>IF(D291="Yes",U291*Tab_Data_Flows[[#This Row],[WC_'[%']]],"N.A.")</f>
        <v>N.A.</v>
      </c>
      <c r="Z291" s="7" t="str">
        <f>Tab_Data_Flows[[#This Row],[UoM_Flow_Py]]</f>
        <v>Mg</v>
      </c>
      <c r="AA291" s="156">
        <f>INDEX(Tab_Def_Flows[[Flow_ID]:[CC_DM_source]],MATCH(Tab_Data_Flows[[#This Row],[Flow_Name]],Tab_Def_Flows[Flow_Name],0),14)</f>
        <v>0</v>
      </c>
      <c r="AB291" s="7" t="str">
        <f>Tab_Data_Flows[[#This Row],[Flow_ID]]&amp;"_"&amp;"DM_"&amp;Tab_Data_Flows[[#This Row],[Flow_Data_Year]]</f>
        <v>F___DM_</v>
      </c>
      <c r="AC291" s="7" t="str">
        <f>IF(E291="Yes",AA291*Tab_Data_Flows[[#This Row],[Flow_Material]],"N.A.")</f>
        <v>N.A.</v>
      </c>
      <c r="AD291" s="7" t="str">
        <f>Tab_Data_Flows[[#This Row],[UoM_Flow_Py]]</f>
        <v>Mg</v>
      </c>
      <c r="AE291" s="156">
        <f>INDEX(Tab_Def_Flows[[Flow_ID]:[CC_DM_source]],MATCH(Tab_Data_Flows[[#This Row],[Flow_Name]],Tab_Def_Flows[Flow_Name],0),17)</f>
        <v>0</v>
      </c>
      <c r="AF291" s="7" t="str">
        <f>Tab_Data_Flows[[#This Row],[Flow_ID]]&amp;"_"&amp;"CC_"&amp;Tab_Data_Flows[[#This Row],[Flow_Data_Year]]</f>
        <v>F___CC_</v>
      </c>
      <c r="AG291" s="7" t="str">
        <f>IF(F291="Yes",AE291*Tab_Data_Flows[[#This Row],[Flow_Material]]*Tab_Data_Flows[[#This Row],[DM_'[%']]],"N.A.")</f>
        <v>N.A.</v>
      </c>
      <c r="AH291" s="7" t="str">
        <f>Tab_Data_Flows[[#This Row],[UoM_Flow_Py]]</f>
        <v>Mg</v>
      </c>
      <c r="AI291"/>
    </row>
    <row r="292" spans="1:35" x14ac:dyDescent="0.25">
      <c r="A292" s="9">
        <f t="shared" si="9"/>
        <v>291</v>
      </c>
      <c r="B292" s="7" t="str">
        <f>_xlfn.XLOOKUP(C292,Tab_Def_Flows[Flow_Name],Tab_Def_Flows[Flow_ID],,0,)</f>
        <v>F__</v>
      </c>
      <c r="C292" s="8" t="s">
        <v>31</v>
      </c>
      <c r="D292" s="10">
        <f>_xlfn.XLOOKUP(C292,Tab_Def_Flows[Flow_Name],Tab_Def_Flows[WC?],,0,)</f>
        <v>0</v>
      </c>
      <c r="E292" s="10">
        <f>_xlfn.XLOOKUP(C292,Tab_Def_Flows[Flow_Name],Tab_Def_Flows[DM?],,0,)</f>
        <v>0</v>
      </c>
      <c r="F292" s="10">
        <f>_xlfn.XLOOKUP(C292,Tab_Def_Flows[Flow_Name],Tab_Def_Flows[CC?],,0,)</f>
        <v>0</v>
      </c>
      <c r="G292" s="8"/>
      <c r="H292" s="28"/>
      <c r="I292" s="8"/>
      <c r="J292" s="8"/>
      <c r="K292" s="8"/>
      <c r="L292" s="14"/>
      <c r="M292" s="8"/>
      <c r="N292" s="8"/>
      <c r="O292" s="8"/>
      <c r="P292" s="8"/>
      <c r="Q292" s="8" t="s">
        <v>8</v>
      </c>
      <c r="R292" s="21"/>
      <c r="S292" s="8"/>
      <c r="T292" s="7" t="str">
        <f>Tab_Data_Flows[[#This Row],[Flow_ID]]&amp;"_"&amp;"material_"&amp;Tab_Data_Flows[[#This Row],[Flow_Data_Year]]</f>
        <v>F___material_</v>
      </c>
      <c r="U292" s="18">
        <f t="shared" si="11"/>
        <v>0</v>
      </c>
      <c r="V292" s="8" t="s">
        <v>218</v>
      </c>
      <c r="W292" s="156">
        <f>INDEX(Tab_Def_Flows[[Flow_ID]:[CC_DM_source]],MATCH(Tab_Data_Flows[[#This Row],[Flow_Name]],Tab_Def_Flows[Flow_Name],0),11)</f>
        <v>0</v>
      </c>
      <c r="X292" s="7" t="str">
        <f>Tab_Data_Flows[[#This Row],[Flow_ID]]&amp;"_"&amp;"WC_"&amp;Tab_Data_Flows[[#This Row],[Flow_Data_Year]]</f>
        <v>F___WC_</v>
      </c>
      <c r="Y292" s="7" t="str">
        <f>IF(D292="Yes",U292*Tab_Data_Flows[[#This Row],[WC_'[%']]],"N.A.")</f>
        <v>N.A.</v>
      </c>
      <c r="Z292" s="7" t="str">
        <f>Tab_Data_Flows[[#This Row],[UoM_Flow_Py]]</f>
        <v>Mg</v>
      </c>
      <c r="AA292" s="156">
        <f>INDEX(Tab_Def_Flows[[Flow_ID]:[CC_DM_source]],MATCH(Tab_Data_Flows[[#This Row],[Flow_Name]],Tab_Def_Flows[Flow_Name],0),14)</f>
        <v>0</v>
      </c>
      <c r="AB292" s="7" t="str">
        <f>Tab_Data_Flows[[#This Row],[Flow_ID]]&amp;"_"&amp;"DM_"&amp;Tab_Data_Flows[[#This Row],[Flow_Data_Year]]</f>
        <v>F___DM_</v>
      </c>
      <c r="AC292" s="7" t="str">
        <f>IF(E292="Yes",AA292*Tab_Data_Flows[[#This Row],[Flow_Material]],"N.A.")</f>
        <v>N.A.</v>
      </c>
      <c r="AD292" s="7" t="str">
        <f>Tab_Data_Flows[[#This Row],[UoM_Flow_Py]]</f>
        <v>Mg</v>
      </c>
      <c r="AE292" s="156">
        <f>INDEX(Tab_Def_Flows[[Flow_ID]:[CC_DM_source]],MATCH(Tab_Data_Flows[[#This Row],[Flow_Name]],Tab_Def_Flows[Flow_Name],0),17)</f>
        <v>0</v>
      </c>
      <c r="AF292" s="7" t="str">
        <f>Tab_Data_Flows[[#This Row],[Flow_ID]]&amp;"_"&amp;"CC_"&amp;Tab_Data_Flows[[#This Row],[Flow_Data_Year]]</f>
        <v>F___CC_</v>
      </c>
      <c r="AG292" s="7" t="str">
        <f>IF(F292="Yes",AE292*Tab_Data_Flows[[#This Row],[Flow_Material]]*Tab_Data_Flows[[#This Row],[DM_'[%']]],"N.A.")</f>
        <v>N.A.</v>
      </c>
      <c r="AH292" s="7" t="str">
        <f>Tab_Data_Flows[[#This Row],[UoM_Flow_Py]]</f>
        <v>Mg</v>
      </c>
      <c r="AI292"/>
    </row>
    <row r="293" spans="1:35" x14ac:dyDescent="0.25">
      <c r="A293" s="9">
        <f t="shared" si="9"/>
        <v>292</v>
      </c>
      <c r="B293" s="7" t="str">
        <f>_xlfn.XLOOKUP(C293,Tab_Def_Flows[Flow_Name],Tab_Def_Flows[Flow_ID],,0,)</f>
        <v>F__</v>
      </c>
      <c r="C293" s="8" t="s">
        <v>31</v>
      </c>
      <c r="D293" s="10">
        <f>_xlfn.XLOOKUP(C293,Tab_Def_Flows[Flow_Name],Tab_Def_Flows[WC?],,0,)</f>
        <v>0</v>
      </c>
      <c r="E293" s="10">
        <f>_xlfn.XLOOKUP(C293,Tab_Def_Flows[Flow_Name],Tab_Def_Flows[DM?],,0,)</f>
        <v>0</v>
      </c>
      <c r="F293" s="10">
        <f>_xlfn.XLOOKUP(C293,Tab_Def_Flows[Flow_Name],Tab_Def_Flows[CC?],,0,)</f>
        <v>0</v>
      </c>
      <c r="G293" s="8"/>
      <c r="H293" s="28"/>
      <c r="I293" s="8"/>
      <c r="J293" s="8"/>
      <c r="K293" s="8"/>
      <c r="L293" s="14"/>
      <c r="M293" s="8"/>
      <c r="N293" s="8"/>
      <c r="O293" s="8"/>
      <c r="P293" s="8"/>
      <c r="Q293" s="8" t="s">
        <v>8</v>
      </c>
      <c r="R293" s="21"/>
      <c r="S293" s="8"/>
      <c r="T293" s="7" t="str">
        <f>Tab_Data_Flows[[#This Row],[Flow_ID]]&amp;"_"&amp;"material_"&amp;Tab_Data_Flows[[#This Row],[Flow_Data_Year]]</f>
        <v>F___material_</v>
      </c>
      <c r="U293" s="18">
        <f t="shared" si="11"/>
        <v>0</v>
      </c>
      <c r="V293" s="8" t="s">
        <v>218</v>
      </c>
      <c r="W293" s="156">
        <f>INDEX(Tab_Def_Flows[[Flow_ID]:[CC_DM_source]],MATCH(Tab_Data_Flows[[#This Row],[Flow_Name]],Tab_Def_Flows[Flow_Name],0),11)</f>
        <v>0</v>
      </c>
      <c r="X293" s="7" t="str">
        <f>Tab_Data_Flows[[#This Row],[Flow_ID]]&amp;"_"&amp;"WC_"&amp;Tab_Data_Flows[[#This Row],[Flow_Data_Year]]</f>
        <v>F___WC_</v>
      </c>
      <c r="Y293" s="7" t="str">
        <f>IF(D293="Yes",U293*Tab_Data_Flows[[#This Row],[WC_'[%']]],"N.A.")</f>
        <v>N.A.</v>
      </c>
      <c r="Z293" s="7" t="str">
        <f>Tab_Data_Flows[[#This Row],[UoM_Flow_Py]]</f>
        <v>Mg</v>
      </c>
      <c r="AA293" s="156">
        <f>INDEX(Tab_Def_Flows[[Flow_ID]:[CC_DM_source]],MATCH(Tab_Data_Flows[[#This Row],[Flow_Name]],Tab_Def_Flows[Flow_Name],0),14)</f>
        <v>0</v>
      </c>
      <c r="AB293" s="7" t="str">
        <f>Tab_Data_Flows[[#This Row],[Flow_ID]]&amp;"_"&amp;"DM_"&amp;Tab_Data_Flows[[#This Row],[Flow_Data_Year]]</f>
        <v>F___DM_</v>
      </c>
      <c r="AC293" s="7" t="str">
        <f>IF(E293="Yes",AA293*Tab_Data_Flows[[#This Row],[Flow_Material]],"N.A.")</f>
        <v>N.A.</v>
      </c>
      <c r="AD293" s="7" t="str">
        <f>Tab_Data_Flows[[#This Row],[UoM_Flow_Py]]</f>
        <v>Mg</v>
      </c>
      <c r="AE293" s="156">
        <f>INDEX(Tab_Def_Flows[[Flow_ID]:[CC_DM_source]],MATCH(Tab_Data_Flows[[#This Row],[Flow_Name]],Tab_Def_Flows[Flow_Name],0),17)</f>
        <v>0</v>
      </c>
      <c r="AF293" s="7" t="str">
        <f>Tab_Data_Flows[[#This Row],[Flow_ID]]&amp;"_"&amp;"CC_"&amp;Tab_Data_Flows[[#This Row],[Flow_Data_Year]]</f>
        <v>F___CC_</v>
      </c>
      <c r="AG293" s="7" t="str">
        <f>IF(F293="Yes",AE293*Tab_Data_Flows[[#This Row],[Flow_Material]]*Tab_Data_Flows[[#This Row],[DM_'[%']]],"N.A.")</f>
        <v>N.A.</v>
      </c>
      <c r="AH293" s="7" t="str">
        <f>Tab_Data_Flows[[#This Row],[UoM_Flow_Py]]</f>
        <v>Mg</v>
      </c>
      <c r="AI293"/>
    </row>
    <row r="294" spans="1:35" x14ac:dyDescent="0.25">
      <c r="A294" s="9">
        <f t="shared" si="9"/>
        <v>293</v>
      </c>
      <c r="B294" s="7" t="str">
        <f>_xlfn.XLOOKUP(C294,Tab_Def_Flows[Flow_Name],Tab_Def_Flows[Flow_ID],,0,)</f>
        <v>F__</v>
      </c>
      <c r="C294" s="8" t="s">
        <v>31</v>
      </c>
      <c r="D294" s="10">
        <f>_xlfn.XLOOKUP(C294,Tab_Def_Flows[Flow_Name],Tab_Def_Flows[WC?],,0,)</f>
        <v>0</v>
      </c>
      <c r="E294" s="10">
        <f>_xlfn.XLOOKUP(C294,Tab_Def_Flows[Flow_Name],Tab_Def_Flows[DM?],,0,)</f>
        <v>0</v>
      </c>
      <c r="F294" s="10">
        <f>_xlfn.XLOOKUP(C294,Tab_Def_Flows[Flow_Name],Tab_Def_Flows[CC?],,0,)</f>
        <v>0</v>
      </c>
      <c r="G294" s="8"/>
      <c r="H294" s="28"/>
      <c r="I294" s="8"/>
      <c r="J294" s="8"/>
      <c r="K294" s="8"/>
      <c r="L294" s="14"/>
      <c r="M294" s="8"/>
      <c r="N294" s="8"/>
      <c r="O294" s="8"/>
      <c r="P294" s="8"/>
      <c r="Q294" s="8" t="s">
        <v>8</v>
      </c>
      <c r="R294" s="21"/>
      <c r="S294" s="8"/>
      <c r="T294" s="7" t="str">
        <f>Tab_Data_Flows[[#This Row],[Flow_ID]]&amp;"_"&amp;"material_"&amp;Tab_Data_Flows[[#This Row],[Flow_Data_Year]]</f>
        <v>F___material_</v>
      </c>
      <c r="U294" s="18">
        <f t="shared" si="11"/>
        <v>0</v>
      </c>
      <c r="V294" s="8" t="s">
        <v>218</v>
      </c>
      <c r="W294" s="156">
        <f>INDEX(Tab_Def_Flows[[Flow_ID]:[CC_DM_source]],MATCH(Tab_Data_Flows[[#This Row],[Flow_Name]],Tab_Def_Flows[Flow_Name],0),11)</f>
        <v>0</v>
      </c>
      <c r="X294" s="7" t="str">
        <f>Tab_Data_Flows[[#This Row],[Flow_ID]]&amp;"_"&amp;"WC_"&amp;Tab_Data_Flows[[#This Row],[Flow_Data_Year]]</f>
        <v>F___WC_</v>
      </c>
      <c r="Y294" s="7" t="str">
        <f>IF(D294="Yes",U294*Tab_Data_Flows[[#This Row],[WC_'[%']]],"N.A.")</f>
        <v>N.A.</v>
      </c>
      <c r="Z294" s="7" t="str">
        <f>Tab_Data_Flows[[#This Row],[UoM_Flow_Py]]</f>
        <v>Mg</v>
      </c>
      <c r="AA294" s="156">
        <f>INDEX(Tab_Def_Flows[[Flow_ID]:[CC_DM_source]],MATCH(Tab_Data_Flows[[#This Row],[Flow_Name]],Tab_Def_Flows[Flow_Name],0),14)</f>
        <v>0</v>
      </c>
      <c r="AB294" s="7" t="str">
        <f>Tab_Data_Flows[[#This Row],[Flow_ID]]&amp;"_"&amp;"DM_"&amp;Tab_Data_Flows[[#This Row],[Flow_Data_Year]]</f>
        <v>F___DM_</v>
      </c>
      <c r="AC294" s="7" t="str">
        <f>IF(E294="Yes",AA294*Tab_Data_Flows[[#This Row],[Flow_Material]],"N.A.")</f>
        <v>N.A.</v>
      </c>
      <c r="AD294" s="7" t="str">
        <f>Tab_Data_Flows[[#This Row],[UoM_Flow_Py]]</f>
        <v>Mg</v>
      </c>
      <c r="AE294" s="156">
        <f>INDEX(Tab_Def_Flows[[Flow_ID]:[CC_DM_source]],MATCH(Tab_Data_Flows[[#This Row],[Flow_Name]],Tab_Def_Flows[Flow_Name],0),17)</f>
        <v>0</v>
      </c>
      <c r="AF294" s="7" t="str">
        <f>Tab_Data_Flows[[#This Row],[Flow_ID]]&amp;"_"&amp;"CC_"&amp;Tab_Data_Flows[[#This Row],[Flow_Data_Year]]</f>
        <v>F___CC_</v>
      </c>
      <c r="AG294" s="7" t="str">
        <f>IF(F294="Yes",AE294*Tab_Data_Flows[[#This Row],[Flow_Material]]*Tab_Data_Flows[[#This Row],[DM_'[%']]],"N.A.")</f>
        <v>N.A.</v>
      </c>
      <c r="AH294" s="7" t="str">
        <f>Tab_Data_Flows[[#This Row],[UoM_Flow_Py]]</f>
        <v>Mg</v>
      </c>
      <c r="AI294"/>
    </row>
    <row r="295" spans="1:35" x14ac:dyDescent="0.25">
      <c r="A295" s="9">
        <f t="shared" si="9"/>
        <v>294</v>
      </c>
      <c r="B295" s="7" t="str">
        <f>_xlfn.XLOOKUP(C295,Tab_Def_Flows[Flow_Name],Tab_Def_Flows[Flow_ID],,0,)</f>
        <v>F__</v>
      </c>
      <c r="C295" s="8" t="s">
        <v>31</v>
      </c>
      <c r="D295" s="10">
        <f>_xlfn.XLOOKUP(C295,Tab_Def_Flows[Flow_Name],Tab_Def_Flows[WC?],,0,)</f>
        <v>0</v>
      </c>
      <c r="E295" s="10">
        <f>_xlfn.XLOOKUP(C295,Tab_Def_Flows[Flow_Name],Tab_Def_Flows[DM?],,0,)</f>
        <v>0</v>
      </c>
      <c r="F295" s="10">
        <f>_xlfn.XLOOKUP(C295,Tab_Def_Flows[Flow_Name],Tab_Def_Flows[CC?],,0,)</f>
        <v>0</v>
      </c>
      <c r="G295" s="8"/>
      <c r="H295" s="28"/>
      <c r="I295" s="8"/>
      <c r="J295" s="8"/>
      <c r="K295" s="8"/>
      <c r="L295" s="14"/>
      <c r="M295" s="8"/>
      <c r="N295" s="8"/>
      <c r="O295" s="8"/>
      <c r="P295" s="8"/>
      <c r="Q295" s="8" t="s">
        <v>8</v>
      </c>
      <c r="R295" s="21"/>
      <c r="S295" s="8"/>
      <c r="T295" s="7" t="str">
        <f>Tab_Data_Flows[[#This Row],[Flow_ID]]&amp;"_"&amp;"material_"&amp;Tab_Data_Flows[[#This Row],[Flow_Data_Year]]</f>
        <v>F___material_</v>
      </c>
      <c r="U295" s="18">
        <f t="shared" si="11"/>
        <v>0</v>
      </c>
      <c r="V295" s="8" t="s">
        <v>218</v>
      </c>
      <c r="W295" s="156">
        <f>INDEX(Tab_Def_Flows[[Flow_ID]:[CC_DM_source]],MATCH(Tab_Data_Flows[[#This Row],[Flow_Name]],Tab_Def_Flows[Flow_Name],0),11)</f>
        <v>0</v>
      </c>
      <c r="X295" s="7" t="str">
        <f>Tab_Data_Flows[[#This Row],[Flow_ID]]&amp;"_"&amp;"WC_"&amp;Tab_Data_Flows[[#This Row],[Flow_Data_Year]]</f>
        <v>F___WC_</v>
      </c>
      <c r="Y295" s="7" t="str">
        <f>IF(D295="Yes",U295*Tab_Data_Flows[[#This Row],[WC_'[%']]],"N.A.")</f>
        <v>N.A.</v>
      </c>
      <c r="Z295" s="7" t="str">
        <f>Tab_Data_Flows[[#This Row],[UoM_Flow_Py]]</f>
        <v>Mg</v>
      </c>
      <c r="AA295" s="156">
        <f>INDEX(Tab_Def_Flows[[Flow_ID]:[CC_DM_source]],MATCH(Tab_Data_Flows[[#This Row],[Flow_Name]],Tab_Def_Flows[Flow_Name],0),14)</f>
        <v>0</v>
      </c>
      <c r="AB295" s="7" t="str">
        <f>Tab_Data_Flows[[#This Row],[Flow_ID]]&amp;"_"&amp;"DM_"&amp;Tab_Data_Flows[[#This Row],[Flow_Data_Year]]</f>
        <v>F___DM_</v>
      </c>
      <c r="AC295" s="7" t="str">
        <f>IF(E295="Yes",AA295*Tab_Data_Flows[[#This Row],[Flow_Material]],"N.A.")</f>
        <v>N.A.</v>
      </c>
      <c r="AD295" s="7" t="str">
        <f>Tab_Data_Flows[[#This Row],[UoM_Flow_Py]]</f>
        <v>Mg</v>
      </c>
      <c r="AE295" s="156">
        <f>INDEX(Tab_Def_Flows[[Flow_ID]:[CC_DM_source]],MATCH(Tab_Data_Flows[[#This Row],[Flow_Name]],Tab_Def_Flows[Flow_Name],0),17)</f>
        <v>0</v>
      </c>
      <c r="AF295" s="7" t="str">
        <f>Tab_Data_Flows[[#This Row],[Flow_ID]]&amp;"_"&amp;"CC_"&amp;Tab_Data_Flows[[#This Row],[Flow_Data_Year]]</f>
        <v>F___CC_</v>
      </c>
      <c r="AG295" s="7" t="str">
        <f>IF(F295="Yes",AE295*Tab_Data_Flows[[#This Row],[Flow_Material]]*Tab_Data_Flows[[#This Row],[DM_'[%']]],"N.A.")</f>
        <v>N.A.</v>
      </c>
      <c r="AH295" s="7" t="str">
        <f>Tab_Data_Flows[[#This Row],[UoM_Flow_Py]]</f>
        <v>Mg</v>
      </c>
      <c r="AI295"/>
    </row>
    <row r="296" spans="1:35" x14ac:dyDescent="0.25">
      <c r="A296" s="9">
        <f t="shared" si="9"/>
        <v>295</v>
      </c>
      <c r="B296" s="7" t="str">
        <f>_xlfn.XLOOKUP(C296,Tab_Def_Flows[Flow_Name],Tab_Def_Flows[Flow_ID],,0,)</f>
        <v>F__</v>
      </c>
      <c r="C296" s="8" t="s">
        <v>31</v>
      </c>
      <c r="D296" s="10">
        <f>_xlfn.XLOOKUP(C296,Tab_Def_Flows[Flow_Name],Tab_Def_Flows[WC?],,0,)</f>
        <v>0</v>
      </c>
      <c r="E296" s="10">
        <f>_xlfn.XLOOKUP(C296,Tab_Def_Flows[Flow_Name],Tab_Def_Flows[DM?],,0,)</f>
        <v>0</v>
      </c>
      <c r="F296" s="10">
        <f>_xlfn.XLOOKUP(C296,Tab_Def_Flows[Flow_Name],Tab_Def_Flows[CC?],,0,)</f>
        <v>0</v>
      </c>
      <c r="G296" s="8"/>
      <c r="H296" s="28"/>
      <c r="I296" s="8"/>
      <c r="J296" s="8"/>
      <c r="K296" s="8"/>
      <c r="L296" s="14"/>
      <c r="M296" s="8"/>
      <c r="N296" s="8"/>
      <c r="O296" s="8"/>
      <c r="P296" s="8"/>
      <c r="Q296" s="8" t="s">
        <v>8</v>
      </c>
      <c r="R296" s="21"/>
      <c r="S296" s="8"/>
      <c r="T296" s="7" t="str">
        <f>Tab_Data_Flows[[#This Row],[Flow_ID]]&amp;"_"&amp;"material_"&amp;Tab_Data_Flows[[#This Row],[Flow_Data_Year]]</f>
        <v>F___material_</v>
      </c>
      <c r="U296" s="18">
        <f t="shared" si="11"/>
        <v>0</v>
      </c>
      <c r="V296" s="8" t="s">
        <v>218</v>
      </c>
      <c r="W296" s="156">
        <f>INDEX(Tab_Def_Flows[[Flow_ID]:[CC_DM_source]],MATCH(Tab_Data_Flows[[#This Row],[Flow_Name]],Tab_Def_Flows[Flow_Name],0),11)</f>
        <v>0</v>
      </c>
      <c r="X296" s="7" t="str">
        <f>Tab_Data_Flows[[#This Row],[Flow_ID]]&amp;"_"&amp;"WC_"&amp;Tab_Data_Flows[[#This Row],[Flow_Data_Year]]</f>
        <v>F___WC_</v>
      </c>
      <c r="Y296" s="7" t="str">
        <f>IF(D296="Yes",U296*Tab_Data_Flows[[#This Row],[WC_'[%']]],"N.A.")</f>
        <v>N.A.</v>
      </c>
      <c r="Z296" s="7" t="str">
        <f>Tab_Data_Flows[[#This Row],[UoM_Flow_Py]]</f>
        <v>Mg</v>
      </c>
      <c r="AA296" s="156">
        <f>INDEX(Tab_Def_Flows[[Flow_ID]:[CC_DM_source]],MATCH(Tab_Data_Flows[[#This Row],[Flow_Name]],Tab_Def_Flows[Flow_Name],0),14)</f>
        <v>0</v>
      </c>
      <c r="AB296" s="7" t="str">
        <f>Tab_Data_Flows[[#This Row],[Flow_ID]]&amp;"_"&amp;"DM_"&amp;Tab_Data_Flows[[#This Row],[Flow_Data_Year]]</f>
        <v>F___DM_</v>
      </c>
      <c r="AC296" s="7" t="str">
        <f>IF(E296="Yes",AA296*Tab_Data_Flows[[#This Row],[Flow_Material]],"N.A.")</f>
        <v>N.A.</v>
      </c>
      <c r="AD296" s="7" t="str">
        <f>Tab_Data_Flows[[#This Row],[UoM_Flow_Py]]</f>
        <v>Mg</v>
      </c>
      <c r="AE296" s="156">
        <f>INDEX(Tab_Def_Flows[[Flow_ID]:[CC_DM_source]],MATCH(Tab_Data_Flows[[#This Row],[Flow_Name]],Tab_Def_Flows[Flow_Name],0),17)</f>
        <v>0</v>
      </c>
      <c r="AF296" s="7" t="str">
        <f>Tab_Data_Flows[[#This Row],[Flow_ID]]&amp;"_"&amp;"CC_"&amp;Tab_Data_Flows[[#This Row],[Flow_Data_Year]]</f>
        <v>F___CC_</v>
      </c>
      <c r="AG296" s="7" t="str">
        <f>IF(F296="Yes",AE296*Tab_Data_Flows[[#This Row],[Flow_Material]]*Tab_Data_Flows[[#This Row],[DM_'[%']]],"N.A.")</f>
        <v>N.A.</v>
      </c>
      <c r="AH296" s="7" t="str">
        <f>Tab_Data_Flows[[#This Row],[UoM_Flow_Py]]</f>
        <v>Mg</v>
      </c>
      <c r="AI296"/>
    </row>
    <row r="297" spans="1:35" x14ac:dyDescent="0.25">
      <c r="A297" s="9">
        <f t="shared" si="9"/>
        <v>296</v>
      </c>
      <c r="B297" s="7" t="str">
        <f>_xlfn.XLOOKUP(C297,Tab_Def_Flows[Flow_Name],Tab_Def_Flows[Flow_ID],,0,)</f>
        <v>F__</v>
      </c>
      <c r="C297" s="8" t="s">
        <v>31</v>
      </c>
      <c r="D297" s="10">
        <f>_xlfn.XLOOKUP(C297,Tab_Def_Flows[Flow_Name],Tab_Def_Flows[WC?],,0,)</f>
        <v>0</v>
      </c>
      <c r="E297" s="10">
        <f>_xlfn.XLOOKUP(C297,Tab_Def_Flows[Flow_Name],Tab_Def_Flows[DM?],,0,)</f>
        <v>0</v>
      </c>
      <c r="F297" s="10">
        <f>_xlfn.XLOOKUP(C297,Tab_Def_Flows[Flow_Name],Tab_Def_Flows[CC?],,0,)</f>
        <v>0</v>
      </c>
      <c r="G297" s="8"/>
      <c r="H297" s="28"/>
      <c r="I297" s="8"/>
      <c r="J297" s="8"/>
      <c r="K297" s="8"/>
      <c r="L297" s="14"/>
      <c r="M297" s="8"/>
      <c r="N297" s="8"/>
      <c r="O297" s="8"/>
      <c r="P297" s="8"/>
      <c r="Q297" s="8" t="s">
        <v>8</v>
      </c>
      <c r="R297" s="21"/>
      <c r="S297" s="8"/>
      <c r="T297" s="7" t="str">
        <f>Tab_Data_Flows[[#This Row],[Flow_ID]]&amp;"_"&amp;"material_"&amp;Tab_Data_Flows[[#This Row],[Flow_Data_Year]]</f>
        <v>F___material_</v>
      </c>
      <c r="U297" s="18">
        <f t="shared" si="11"/>
        <v>0</v>
      </c>
      <c r="V297" s="8" t="s">
        <v>218</v>
      </c>
      <c r="W297" s="156">
        <f>INDEX(Tab_Def_Flows[[Flow_ID]:[CC_DM_source]],MATCH(Tab_Data_Flows[[#This Row],[Flow_Name]],Tab_Def_Flows[Flow_Name],0),11)</f>
        <v>0</v>
      </c>
      <c r="X297" s="7" t="str">
        <f>Tab_Data_Flows[[#This Row],[Flow_ID]]&amp;"_"&amp;"WC_"&amp;Tab_Data_Flows[[#This Row],[Flow_Data_Year]]</f>
        <v>F___WC_</v>
      </c>
      <c r="Y297" s="7" t="str">
        <f>IF(D297="Yes",U297*Tab_Data_Flows[[#This Row],[WC_'[%']]],"N.A.")</f>
        <v>N.A.</v>
      </c>
      <c r="Z297" s="7" t="str">
        <f>Tab_Data_Flows[[#This Row],[UoM_Flow_Py]]</f>
        <v>Mg</v>
      </c>
      <c r="AA297" s="156">
        <f>INDEX(Tab_Def_Flows[[Flow_ID]:[CC_DM_source]],MATCH(Tab_Data_Flows[[#This Row],[Flow_Name]],Tab_Def_Flows[Flow_Name],0),14)</f>
        <v>0</v>
      </c>
      <c r="AB297" s="7" t="str">
        <f>Tab_Data_Flows[[#This Row],[Flow_ID]]&amp;"_"&amp;"DM_"&amp;Tab_Data_Flows[[#This Row],[Flow_Data_Year]]</f>
        <v>F___DM_</v>
      </c>
      <c r="AC297" s="7" t="str">
        <f>IF(E297="Yes",AA297*Tab_Data_Flows[[#This Row],[Flow_Material]],"N.A.")</f>
        <v>N.A.</v>
      </c>
      <c r="AD297" s="7" t="str">
        <f>Tab_Data_Flows[[#This Row],[UoM_Flow_Py]]</f>
        <v>Mg</v>
      </c>
      <c r="AE297" s="156">
        <f>INDEX(Tab_Def_Flows[[Flow_ID]:[CC_DM_source]],MATCH(Tab_Data_Flows[[#This Row],[Flow_Name]],Tab_Def_Flows[Flow_Name],0),17)</f>
        <v>0</v>
      </c>
      <c r="AF297" s="7" t="str">
        <f>Tab_Data_Flows[[#This Row],[Flow_ID]]&amp;"_"&amp;"CC_"&amp;Tab_Data_Flows[[#This Row],[Flow_Data_Year]]</f>
        <v>F___CC_</v>
      </c>
      <c r="AG297" s="7" t="str">
        <f>IF(F297="Yes",AE297*Tab_Data_Flows[[#This Row],[Flow_Material]]*Tab_Data_Flows[[#This Row],[DM_'[%']]],"N.A.")</f>
        <v>N.A.</v>
      </c>
      <c r="AH297" s="7" t="str">
        <f>Tab_Data_Flows[[#This Row],[UoM_Flow_Py]]</f>
        <v>Mg</v>
      </c>
      <c r="AI297"/>
    </row>
    <row r="298" spans="1:35" x14ac:dyDescent="0.25">
      <c r="A298" s="9">
        <f t="shared" si="9"/>
        <v>297</v>
      </c>
      <c r="B298" s="7" t="str">
        <f>_xlfn.XLOOKUP(C298,Tab_Def_Flows[Flow_Name],Tab_Def_Flows[Flow_ID],,0,)</f>
        <v>F__</v>
      </c>
      <c r="C298" s="8" t="s">
        <v>31</v>
      </c>
      <c r="D298" s="10">
        <f>_xlfn.XLOOKUP(C298,Tab_Def_Flows[Flow_Name],Tab_Def_Flows[WC?],,0,)</f>
        <v>0</v>
      </c>
      <c r="E298" s="10">
        <f>_xlfn.XLOOKUP(C298,Tab_Def_Flows[Flow_Name],Tab_Def_Flows[DM?],,0,)</f>
        <v>0</v>
      </c>
      <c r="F298" s="10">
        <f>_xlfn.XLOOKUP(C298,Tab_Def_Flows[Flow_Name],Tab_Def_Flows[CC?],,0,)</f>
        <v>0</v>
      </c>
      <c r="G298" s="8"/>
      <c r="H298" s="28"/>
      <c r="I298" s="8"/>
      <c r="J298" s="8"/>
      <c r="K298" s="8"/>
      <c r="L298" s="14"/>
      <c r="M298" s="8"/>
      <c r="N298" s="8"/>
      <c r="O298" s="8"/>
      <c r="P298" s="8"/>
      <c r="Q298" s="8" t="s">
        <v>8</v>
      </c>
      <c r="R298" s="21"/>
      <c r="S298" s="8"/>
      <c r="T298" s="7" t="str">
        <f>Tab_Data_Flows[[#This Row],[Flow_ID]]&amp;"_"&amp;"material_"&amp;Tab_Data_Flows[[#This Row],[Flow_Data_Year]]</f>
        <v>F___material_</v>
      </c>
      <c r="U298" s="18">
        <f t="shared" si="11"/>
        <v>0</v>
      </c>
      <c r="V298" s="8" t="s">
        <v>218</v>
      </c>
      <c r="W298" s="156">
        <f>INDEX(Tab_Def_Flows[[Flow_ID]:[CC_DM_source]],MATCH(Tab_Data_Flows[[#This Row],[Flow_Name]],Tab_Def_Flows[Flow_Name],0),11)</f>
        <v>0</v>
      </c>
      <c r="X298" s="7" t="str">
        <f>Tab_Data_Flows[[#This Row],[Flow_ID]]&amp;"_"&amp;"WC_"&amp;Tab_Data_Flows[[#This Row],[Flow_Data_Year]]</f>
        <v>F___WC_</v>
      </c>
      <c r="Y298" s="7" t="str">
        <f>IF(D298="Yes",U298*Tab_Data_Flows[[#This Row],[WC_'[%']]],"N.A.")</f>
        <v>N.A.</v>
      </c>
      <c r="Z298" s="7" t="str">
        <f>Tab_Data_Flows[[#This Row],[UoM_Flow_Py]]</f>
        <v>Mg</v>
      </c>
      <c r="AA298" s="156">
        <f>INDEX(Tab_Def_Flows[[Flow_ID]:[CC_DM_source]],MATCH(Tab_Data_Flows[[#This Row],[Flow_Name]],Tab_Def_Flows[Flow_Name],0),14)</f>
        <v>0</v>
      </c>
      <c r="AB298" s="7" t="str">
        <f>Tab_Data_Flows[[#This Row],[Flow_ID]]&amp;"_"&amp;"DM_"&amp;Tab_Data_Flows[[#This Row],[Flow_Data_Year]]</f>
        <v>F___DM_</v>
      </c>
      <c r="AC298" s="7" t="str">
        <f>IF(E298="Yes",AA298*Tab_Data_Flows[[#This Row],[Flow_Material]],"N.A.")</f>
        <v>N.A.</v>
      </c>
      <c r="AD298" s="7" t="str">
        <f>Tab_Data_Flows[[#This Row],[UoM_Flow_Py]]</f>
        <v>Mg</v>
      </c>
      <c r="AE298" s="156">
        <f>INDEX(Tab_Def_Flows[[Flow_ID]:[CC_DM_source]],MATCH(Tab_Data_Flows[[#This Row],[Flow_Name]],Tab_Def_Flows[Flow_Name],0),17)</f>
        <v>0</v>
      </c>
      <c r="AF298" s="7" t="str">
        <f>Tab_Data_Flows[[#This Row],[Flow_ID]]&amp;"_"&amp;"CC_"&amp;Tab_Data_Flows[[#This Row],[Flow_Data_Year]]</f>
        <v>F___CC_</v>
      </c>
      <c r="AG298" s="7" t="str">
        <f>IF(F298="Yes",AE298*Tab_Data_Flows[[#This Row],[Flow_Material]]*Tab_Data_Flows[[#This Row],[DM_'[%']]],"N.A.")</f>
        <v>N.A.</v>
      </c>
      <c r="AH298" s="7" t="str">
        <f>Tab_Data_Flows[[#This Row],[UoM_Flow_Py]]</f>
        <v>Mg</v>
      </c>
      <c r="AI298"/>
    </row>
    <row r="299" spans="1:35" x14ac:dyDescent="0.25">
      <c r="A299" s="9">
        <f t="shared" si="9"/>
        <v>298</v>
      </c>
      <c r="B299" s="7" t="str">
        <f>_xlfn.XLOOKUP(C299,Tab_Def_Flows[Flow_Name],Tab_Def_Flows[Flow_ID],,0,)</f>
        <v>F__</v>
      </c>
      <c r="C299" s="8" t="s">
        <v>31</v>
      </c>
      <c r="D299" s="10">
        <f>_xlfn.XLOOKUP(C299,Tab_Def_Flows[Flow_Name],Tab_Def_Flows[WC?],,0,)</f>
        <v>0</v>
      </c>
      <c r="E299" s="10">
        <f>_xlfn.XLOOKUP(C299,Tab_Def_Flows[Flow_Name],Tab_Def_Flows[DM?],,0,)</f>
        <v>0</v>
      </c>
      <c r="F299" s="10">
        <f>_xlfn.XLOOKUP(C299,Tab_Def_Flows[Flow_Name],Tab_Def_Flows[CC?],,0,)</f>
        <v>0</v>
      </c>
      <c r="G299" s="8"/>
      <c r="H299" s="28"/>
      <c r="I299" s="8"/>
      <c r="J299" s="8"/>
      <c r="K299" s="8"/>
      <c r="L299" s="14"/>
      <c r="M299" s="8"/>
      <c r="N299" s="8"/>
      <c r="O299" s="8"/>
      <c r="P299" s="8"/>
      <c r="Q299" s="8" t="s">
        <v>8</v>
      </c>
      <c r="R299" s="21"/>
      <c r="S299" s="8"/>
      <c r="T299" s="7" t="str">
        <f>Tab_Data_Flows[[#This Row],[Flow_ID]]&amp;"_"&amp;"material_"&amp;Tab_Data_Flows[[#This Row],[Flow_Data_Year]]</f>
        <v>F___material_</v>
      </c>
      <c r="U299" s="18">
        <f t="shared" si="11"/>
        <v>0</v>
      </c>
      <c r="V299" s="8" t="s">
        <v>218</v>
      </c>
      <c r="W299" s="156">
        <f>INDEX(Tab_Def_Flows[[Flow_ID]:[CC_DM_source]],MATCH(Tab_Data_Flows[[#This Row],[Flow_Name]],Tab_Def_Flows[Flow_Name],0),11)</f>
        <v>0</v>
      </c>
      <c r="X299" s="7" t="str">
        <f>Tab_Data_Flows[[#This Row],[Flow_ID]]&amp;"_"&amp;"WC_"&amp;Tab_Data_Flows[[#This Row],[Flow_Data_Year]]</f>
        <v>F___WC_</v>
      </c>
      <c r="Y299" s="7" t="str">
        <f>IF(D299="Yes",U299*Tab_Data_Flows[[#This Row],[WC_'[%']]],"N.A.")</f>
        <v>N.A.</v>
      </c>
      <c r="Z299" s="7" t="str">
        <f>Tab_Data_Flows[[#This Row],[UoM_Flow_Py]]</f>
        <v>Mg</v>
      </c>
      <c r="AA299" s="156">
        <f>INDEX(Tab_Def_Flows[[Flow_ID]:[CC_DM_source]],MATCH(Tab_Data_Flows[[#This Row],[Flow_Name]],Tab_Def_Flows[Flow_Name],0),14)</f>
        <v>0</v>
      </c>
      <c r="AB299" s="7" t="str">
        <f>Tab_Data_Flows[[#This Row],[Flow_ID]]&amp;"_"&amp;"DM_"&amp;Tab_Data_Flows[[#This Row],[Flow_Data_Year]]</f>
        <v>F___DM_</v>
      </c>
      <c r="AC299" s="7" t="str">
        <f>IF(E299="Yes",AA299*Tab_Data_Flows[[#This Row],[Flow_Material]],"N.A.")</f>
        <v>N.A.</v>
      </c>
      <c r="AD299" s="7" t="str">
        <f>Tab_Data_Flows[[#This Row],[UoM_Flow_Py]]</f>
        <v>Mg</v>
      </c>
      <c r="AE299" s="156">
        <f>INDEX(Tab_Def_Flows[[Flow_ID]:[CC_DM_source]],MATCH(Tab_Data_Flows[[#This Row],[Flow_Name]],Tab_Def_Flows[Flow_Name],0),17)</f>
        <v>0</v>
      </c>
      <c r="AF299" s="7" t="str">
        <f>Tab_Data_Flows[[#This Row],[Flow_ID]]&amp;"_"&amp;"CC_"&amp;Tab_Data_Flows[[#This Row],[Flow_Data_Year]]</f>
        <v>F___CC_</v>
      </c>
      <c r="AG299" s="7" t="str">
        <f>IF(F299="Yes",AE299*Tab_Data_Flows[[#This Row],[Flow_Material]]*Tab_Data_Flows[[#This Row],[DM_'[%']]],"N.A.")</f>
        <v>N.A.</v>
      </c>
      <c r="AH299" s="7" t="str">
        <f>Tab_Data_Flows[[#This Row],[UoM_Flow_Py]]</f>
        <v>Mg</v>
      </c>
      <c r="AI299"/>
    </row>
    <row r="300" spans="1:35" x14ac:dyDescent="0.25">
      <c r="A300" s="9">
        <f t="shared" si="9"/>
        <v>299</v>
      </c>
      <c r="B300" s="7" t="str">
        <f>_xlfn.XLOOKUP(C300,Tab_Def_Flows[Flow_Name],Tab_Def_Flows[Flow_ID],,0,)</f>
        <v>F__</v>
      </c>
      <c r="C300" s="8" t="s">
        <v>31</v>
      </c>
      <c r="D300" s="10">
        <f>_xlfn.XLOOKUP(C300,Tab_Def_Flows[Flow_Name],Tab_Def_Flows[WC?],,0,)</f>
        <v>0</v>
      </c>
      <c r="E300" s="10">
        <f>_xlfn.XLOOKUP(C300,Tab_Def_Flows[Flow_Name],Tab_Def_Flows[DM?],,0,)</f>
        <v>0</v>
      </c>
      <c r="F300" s="10">
        <f>_xlfn.XLOOKUP(C300,Tab_Def_Flows[Flow_Name],Tab_Def_Flows[CC?],,0,)</f>
        <v>0</v>
      </c>
      <c r="G300" s="8"/>
      <c r="H300" s="28"/>
      <c r="I300" s="8"/>
      <c r="J300" s="8"/>
      <c r="K300" s="8"/>
      <c r="L300" s="14"/>
      <c r="M300" s="8"/>
      <c r="N300" s="8"/>
      <c r="O300" s="8"/>
      <c r="P300" s="8"/>
      <c r="Q300" s="8" t="s">
        <v>8</v>
      </c>
      <c r="R300" s="21"/>
      <c r="S300" s="8"/>
      <c r="T300" s="7" t="str">
        <f>Tab_Data_Flows[[#This Row],[Flow_ID]]&amp;"_"&amp;"material_"&amp;Tab_Data_Flows[[#This Row],[Flow_Data_Year]]</f>
        <v>F___material_</v>
      </c>
      <c r="U300" s="18">
        <f t="shared" si="11"/>
        <v>0</v>
      </c>
      <c r="V300" s="8" t="s">
        <v>218</v>
      </c>
      <c r="W300" s="156">
        <f>INDEX(Tab_Def_Flows[[Flow_ID]:[CC_DM_source]],MATCH(Tab_Data_Flows[[#This Row],[Flow_Name]],Tab_Def_Flows[Flow_Name],0),11)</f>
        <v>0</v>
      </c>
      <c r="X300" s="7" t="str">
        <f>Tab_Data_Flows[[#This Row],[Flow_ID]]&amp;"_"&amp;"WC_"&amp;Tab_Data_Flows[[#This Row],[Flow_Data_Year]]</f>
        <v>F___WC_</v>
      </c>
      <c r="Y300" s="7" t="str">
        <f>IF(D300="Yes",U300*Tab_Data_Flows[[#This Row],[WC_'[%']]],"N.A.")</f>
        <v>N.A.</v>
      </c>
      <c r="Z300" s="7" t="str">
        <f>Tab_Data_Flows[[#This Row],[UoM_Flow_Py]]</f>
        <v>Mg</v>
      </c>
      <c r="AA300" s="156">
        <f>INDEX(Tab_Def_Flows[[Flow_ID]:[CC_DM_source]],MATCH(Tab_Data_Flows[[#This Row],[Flow_Name]],Tab_Def_Flows[Flow_Name],0),14)</f>
        <v>0</v>
      </c>
      <c r="AB300" s="7" t="str">
        <f>Tab_Data_Flows[[#This Row],[Flow_ID]]&amp;"_"&amp;"DM_"&amp;Tab_Data_Flows[[#This Row],[Flow_Data_Year]]</f>
        <v>F___DM_</v>
      </c>
      <c r="AC300" s="7" t="str">
        <f>IF(E300="Yes",AA300*Tab_Data_Flows[[#This Row],[Flow_Material]],"N.A.")</f>
        <v>N.A.</v>
      </c>
      <c r="AD300" s="7" t="str">
        <f>Tab_Data_Flows[[#This Row],[UoM_Flow_Py]]</f>
        <v>Mg</v>
      </c>
      <c r="AE300" s="156">
        <f>INDEX(Tab_Def_Flows[[Flow_ID]:[CC_DM_source]],MATCH(Tab_Data_Flows[[#This Row],[Flow_Name]],Tab_Def_Flows[Flow_Name],0),17)</f>
        <v>0</v>
      </c>
      <c r="AF300" s="7" t="str">
        <f>Tab_Data_Flows[[#This Row],[Flow_ID]]&amp;"_"&amp;"CC_"&amp;Tab_Data_Flows[[#This Row],[Flow_Data_Year]]</f>
        <v>F___CC_</v>
      </c>
      <c r="AG300" s="7" t="str">
        <f>IF(F300="Yes",AE300*Tab_Data_Flows[[#This Row],[Flow_Material]]*Tab_Data_Flows[[#This Row],[DM_'[%']]],"N.A.")</f>
        <v>N.A.</v>
      </c>
      <c r="AH300" s="7" t="str">
        <f>Tab_Data_Flows[[#This Row],[UoM_Flow_Py]]</f>
        <v>Mg</v>
      </c>
      <c r="AI300"/>
    </row>
    <row r="301" spans="1:35" x14ac:dyDescent="0.25">
      <c r="A301" s="9">
        <f t="shared" si="9"/>
        <v>300</v>
      </c>
      <c r="B301" s="7" t="str">
        <f>_xlfn.XLOOKUP(C301,Tab_Def_Flows[Flow_Name],Tab_Def_Flows[Flow_ID],,0,)</f>
        <v>F__</v>
      </c>
      <c r="C301" s="8" t="s">
        <v>31</v>
      </c>
      <c r="D301" s="10">
        <f>_xlfn.XLOOKUP(C301,Tab_Def_Flows[Flow_Name],Tab_Def_Flows[WC?],,0,)</f>
        <v>0</v>
      </c>
      <c r="E301" s="10">
        <f>_xlfn.XLOOKUP(C301,Tab_Def_Flows[Flow_Name],Tab_Def_Flows[DM?],,0,)</f>
        <v>0</v>
      </c>
      <c r="F301" s="10">
        <f>_xlfn.XLOOKUP(C301,Tab_Def_Flows[Flow_Name],Tab_Def_Flows[CC?],,0,)</f>
        <v>0</v>
      </c>
      <c r="G301" s="8"/>
      <c r="H301" s="28"/>
      <c r="I301" s="8"/>
      <c r="J301" s="8"/>
      <c r="K301" s="8"/>
      <c r="L301" s="14"/>
      <c r="M301" s="8"/>
      <c r="N301" s="8"/>
      <c r="O301" s="8"/>
      <c r="P301" s="8"/>
      <c r="Q301" s="8" t="s">
        <v>8</v>
      </c>
      <c r="R301" s="21"/>
      <c r="S301" s="8"/>
      <c r="T301" s="7" t="str">
        <f>Tab_Data_Flows[[#This Row],[Flow_ID]]&amp;"_"&amp;"material_"&amp;Tab_Data_Flows[[#This Row],[Flow_Data_Year]]</f>
        <v>F___material_</v>
      </c>
      <c r="U301" s="18">
        <f t="shared" si="11"/>
        <v>0</v>
      </c>
      <c r="V301" s="8" t="s">
        <v>218</v>
      </c>
      <c r="W301" s="156">
        <f>INDEX(Tab_Def_Flows[[Flow_ID]:[CC_DM_source]],MATCH(Tab_Data_Flows[[#This Row],[Flow_Name]],Tab_Def_Flows[Flow_Name],0),11)</f>
        <v>0</v>
      </c>
      <c r="X301" s="7" t="str">
        <f>Tab_Data_Flows[[#This Row],[Flow_ID]]&amp;"_"&amp;"WC_"&amp;Tab_Data_Flows[[#This Row],[Flow_Data_Year]]</f>
        <v>F___WC_</v>
      </c>
      <c r="Y301" s="7" t="str">
        <f>IF(D301="Yes",U301*Tab_Data_Flows[[#This Row],[WC_'[%']]],"N.A.")</f>
        <v>N.A.</v>
      </c>
      <c r="Z301" s="7" t="str">
        <f>Tab_Data_Flows[[#This Row],[UoM_Flow_Py]]</f>
        <v>Mg</v>
      </c>
      <c r="AA301" s="156">
        <f>INDEX(Tab_Def_Flows[[Flow_ID]:[CC_DM_source]],MATCH(Tab_Data_Flows[[#This Row],[Flow_Name]],Tab_Def_Flows[Flow_Name],0),14)</f>
        <v>0</v>
      </c>
      <c r="AB301" s="7" t="str">
        <f>Tab_Data_Flows[[#This Row],[Flow_ID]]&amp;"_"&amp;"DM_"&amp;Tab_Data_Flows[[#This Row],[Flow_Data_Year]]</f>
        <v>F___DM_</v>
      </c>
      <c r="AC301" s="7" t="str">
        <f>IF(E301="Yes",AA301*Tab_Data_Flows[[#This Row],[Flow_Material]],"N.A.")</f>
        <v>N.A.</v>
      </c>
      <c r="AD301" s="7" t="str">
        <f>Tab_Data_Flows[[#This Row],[UoM_Flow_Py]]</f>
        <v>Mg</v>
      </c>
      <c r="AE301" s="156">
        <f>INDEX(Tab_Def_Flows[[Flow_ID]:[CC_DM_source]],MATCH(Tab_Data_Flows[[#This Row],[Flow_Name]],Tab_Def_Flows[Flow_Name],0),17)</f>
        <v>0</v>
      </c>
      <c r="AF301" s="7" t="str">
        <f>Tab_Data_Flows[[#This Row],[Flow_ID]]&amp;"_"&amp;"CC_"&amp;Tab_Data_Flows[[#This Row],[Flow_Data_Year]]</f>
        <v>F___CC_</v>
      </c>
      <c r="AG301" s="7" t="str">
        <f>IF(F301="Yes",AE301*Tab_Data_Flows[[#This Row],[Flow_Material]]*Tab_Data_Flows[[#This Row],[DM_'[%']]],"N.A.")</f>
        <v>N.A.</v>
      </c>
      <c r="AH301" s="7" t="str">
        <f>Tab_Data_Flows[[#This Row],[UoM_Flow_Py]]</f>
        <v>Mg</v>
      </c>
      <c r="AI301"/>
    </row>
    <row r="302" spans="1:35" x14ac:dyDescent="0.25">
      <c r="A302" s="9">
        <f t="shared" si="9"/>
        <v>301</v>
      </c>
      <c r="B302" s="7" t="str">
        <f>_xlfn.XLOOKUP(C302,Tab_Def_Flows[Flow_Name],Tab_Def_Flows[Flow_ID],,0,)</f>
        <v>F__</v>
      </c>
      <c r="C302" s="8" t="s">
        <v>31</v>
      </c>
      <c r="D302" s="10">
        <f>_xlfn.XLOOKUP(C302,Tab_Def_Flows[Flow_Name],Tab_Def_Flows[WC?],,0,)</f>
        <v>0</v>
      </c>
      <c r="E302" s="10">
        <f>_xlfn.XLOOKUP(C302,Tab_Def_Flows[Flow_Name],Tab_Def_Flows[DM?],,0,)</f>
        <v>0</v>
      </c>
      <c r="F302" s="10">
        <f>_xlfn.XLOOKUP(C302,Tab_Def_Flows[Flow_Name],Tab_Def_Flows[CC?],,0,)</f>
        <v>0</v>
      </c>
      <c r="G302" s="8"/>
      <c r="H302" s="28"/>
      <c r="I302" s="8"/>
      <c r="J302" s="8"/>
      <c r="K302" s="8"/>
      <c r="L302" s="14"/>
      <c r="M302" s="8"/>
      <c r="N302" s="8"/>
      <c r="O302" s="8"/>
      <c r="P302" s="8"/>
      <c r="Q302" s="8" t="s">
        <v>8</v>
      </c>
      <c r="R302" s="21"/>
      <c r="S302" s="8"/>
      <c r="T302" s="7" t="str">
        <f>Tab_Data_Flows[[#This Row],[Flow_ID]]&amp;"_"&amp;"material_"&amp;Tab_Data_Flows[[#This Row],[Flow_Data_Year]]</f>
        <v>F___material_</v>
      </c>
      <c r="U302" s="18">
        <f t="shared" si="11"/>
        <v>0</v>
      </c>
      <c r="V302" s="8" t="s">
        <v>218</v>
      </c>
      <c r="W302" s="156">
        <f>INDEX(Tab_Def_Flows[[Flow_ID]:[CC_DM_source]],MATCH(Tab_Data_Flows[[#This Row],[Flow_Name]],Tab_Def_Flows[Flow_Name],0),11)</f>
        <v>0</v>
      </c>
      <c r="X302" s="7" t="str">
        <f>Tab_Data_Flows[[#This Row],[Flow_ID]]&amp;"_"&amp;"WC_"&amp;Tab_Data_Flows[[#This Row],[Flow_Data_Year]]</f>
        <v>F___WC_</v>
      </c>
      <c r="Y302" s="7" t="str">
        <f>IF(D302="Yes",U302*Tab_Data_Flows[[#This Row],[WC_'[%']]],"N.A.")</f>
        <v>N.A.</v>
      </c>
      <c r="Z302" s="7" t="str">
        <f>Tab_Data_Flows[[#This Row],[UoM_Flow_Py]]</f>
        <v>Mg</v>
      </c>
      <c r="AA302" s="156">
        <f>INDEX(Tab_Def_Flows[[Flow_ID]:[CC_DM_source]],MATCH(Tab_Data_Flows[[#This Row],[Flow_Name]],Tab_Def_Flows[Flow_Name],0),14)</f>
        <v>0</v>
      </c>
      <c r="AB302" s="7" t="str">
        <f>Tab_Data_Flows[[#This Row],[Flow_ID]]&amp;"_"&amp;"DM_"&amp;Tab_Data_Flows[[#This Row],[Flow_Data_Year]]</f>
        <v>F___DM_</v>
      </c>
      <c r="AC302" s="7" t="str">
        <f>IF(E302="Yes",AA302*Tab_Data_Flows[[#This Row],[Flow_Material]],"N.A.")</f>
        <v>N.A.</v>
      </c>
      <c r="AD302" s="7" t="str">
        <f>Tab_Data_Flows[[#This Row],[UoM_Flow_Py]]</f>
        <v>Mg</v>
      </c>
      <c r="AE302" s="156">
        <f>INDEX(Tab_Def_Flows[[Flow_ID]:[CC_DM_source]],MATCH(Tab_Data_Flows[[#This Row],[Flow_Name]],Tab_Def_Flows[Flow_Name],0),17)</f>
        <v>0</v>
      </c>
      <c r="AF302" s="7" t="str">
        <f>Tab_Data_Flows[[#This Row],[Flow_ID]]&amp;"_"&amp;"CC_"&amp;Tab_Data_Flows[[#This Row],[Flow_Data_Year]]</f>
        <v>F___CC_</v>
      </c>
      <c r="AG302" s="7" t="str">
        <f>IF(F302="Yes",AE302*Tab_Data_Flows[[#This Row],[Flow_Material]]*Tab_Data_Flows[[#This Row],[DM_'[%']]],"N.A.")</f>
        <v>N.A.</v>
      </c>
      <c r="AH302" s="7" t="str">
        <f>Tab_Data_Flows[[#This Row],[UoM_Flow_Py]]</f>
        <v>Mg</v>
      </c>
      <c r="AI302"/>
    </row>
    <row r="303" spans="1:35" x14ac:dyDescent="0.25">
      <c r="A303" s="9">
        <f t="shared" si="9"/>
        <v>302</v>
      </c>
      <c r="B303" s="7" t="str">
        <f>_xlfn.XLOOKUP(C303,Tab_Def_Flows[Flow_Name],Tab_Def_Flows[Flow_ID],,0,)</f>
        <v>F__</v>
      </c>
      <c r="C303" s="8" t="s">
        <v>31</v>
      </c>
      <c r="D303" s="10">
        <f>_xlfn.XLOOKUP(C303,Tab_Def_Flows[Flow_Name],Tab_Def_Flows[WC?],,0,)</f>
        <v>0</v>
      </c>
      <c r="E303" s="10">
        <f>_xlfn.XLOOKUP(C303,Tab_Def_Flows[Flow_Name],Tab_Def_Flows[DM?],,0,)</f>
        <v>0</v>
      </c>
      <c r="F303" s="10">
        <f>_xlfn.XLOOKUP(C303,Tab_Def_Flows[Flow_Name],Tab_Def_Flows[CC?],,0,)</f>
        <v>0</v>
      </c>
      <c r="G303" s="8"/>
      <c r="H303" s="28"/>
      <c r="I303" s="8"/>
      <c r="J303" s="8"/>
      <c r="K303" s="8"/>
      <c r="L303" s="14"/>
      <c r="M303" s="8"/>
      <c r="N303" s="8"/>
      <c r="O303" s="8"/>
      <c r="P303" s="8"/>
      <c r="Q303" s="8" t="s">
        <v>8</v>
      </c>
      <c r="R303" s="21"/>
      <c r="S303" s="8"/>
      <c r="T303" s="7" t="str">
        <f>Tab_Data_Flows[[#This Row],[Flow_ID]]&amp;"_"&amp;"material_"&amp;Tab_Data_Flows[[#This Row],[Flow_Data_Year]]</f>
        <v>F___material_</v>
      </c>
      <c r="U303" s="18">
        <f t="shared" si="11"/>
        <v>0</v>
      </c>
      <c r="V303" s="8" t="s">
        <v>218</v>
      </c>
      <c r="W303" s="156">
        <f>INDEX(Tab_Def_Flows[[Flow_ID]:[CC_DM_source]],MATCH(Tab_Data_Flows[[#This Row],[Flow_Name]],Tab_Def_Flows[Flow_Name],0),11)</f>
        <v>0</v>
      </c>
      <c r="X303" s="7" t="str">
        <f>Tab_Data_Flows[[#This Row],[Flow_ID]]&amp;"_"&amp;"WC_"&amp;Tab_Data_Flows[[#This Row],[Flow_Data_Year]]</f>
        <v>F___WC_</v>
      </c>
      <c r="Y303" s="7" t="str">
        <f>IF(D303="Yes",U303*Tab_Data_Flows[[#This Row],[WC_'[%']]],"N.A.")</f>
        <v>N.A.</v>
      </c>
      <c r="Z303" s="7" t="str">
        <f>Tab_Data_Flows[[#This Row],[UoM_Flow_Py]]</f>
        <v>Mg</v>
      </c>
      <c r="AA303" s="156">
        <f>INDEX(Tab_Def_Flows[[Flow_ID]:[CC_DM_source]],MATCH(Tab_Data_Flows[[#This Row],[Flow_Name]],Tab_Def_Flows[Flow_Name],0),14)</f>
        <v>0</v>
      </c>
      <c r="AB303" s="7" t="str">
        <f>Tab_Data_Flows[[#This Row],[Flow_ID]]&amp;"_"&amp;"DM_"&amp;Tab_Data_Flows[[#This Row],[Flow_Data_Year]]</f>
        <v>F___DM_</v>
      </c>
      <c r="AC303" s="7" t="str">
        <f>IF(E303="Yes",AA303*Tab_Data_Flows[[#This Row],[Flow_Material]],"N.A.")</f>
        <v>N.A.</v>
      </c>
      <c r="AD303" s="7" t="str">
        <f>Tab_Data_Flows[[#This Row],[UoM_Flow_Py]]</f>
        <v>Mg</v>
      </c>
      <c r="AE303" s="156">
        <f>INDEX(Tab_Def_Flows[[Flow_ID]:[CC_DM_source]],MATCH(Tab_Data_Flows[[#This Row],[Flow_Name]],Tab_Def_Flows[Flow_Name],0),17)</f>
        <v>0</v>
      </c>
      <c r="AF303" s="7" t="str">
        <f>Tab_Data_Flows[[#This Row],[Flow_ID]]&amp;"_"&amp;"CC_"&amp;Tab_Data_Flows[[#This Row],[Flow_Data_Year]]</f>
        <v>F___CC_</v>
      </c>
      <c r="AG303" s="7" t="str">
        <f>IF(F303="Yes",AE303*Tab_Data_Flows[[#This Row],[Flow_Material]]*Tab_Data_Flows[[#This Row],[DM_'[%']]],"N.A.")</f>
        <v>N.A.</v>
      </c>
      <c r="AH303" s="7" t="str">
        <f>Tab_Data_Flows[[#This Row],[UoM_Flow_Py]]</f>
        <v>Mg</v>
      </c>
      <c r="AI303"/>
    </row>
    <row r="304" spans="1:35" x14ac:dyDescent="0.25">
      <c r="A304" s="9">
        <f t="shared" si="9"/>
        <v>303</v>
      </c>
      <c r="B304" s="7" t="str">
        <f>_xlfn.XLOOKUP(C304,Tab_Def_Flows[Flow_Name],Tab_Def_Flows[Flow_ID],,0,)</f>
        <v>F__</v>
      </c>
      <c r="C304" s="8" t="s">
        <v>31</v>
      </c>
      <c r="D304" s="10">
        <f>_xlfn.XLOOKUP(C304,Tab_Def_Flows[Flow_Name],Tab_Def_Flows[WC?],,0,)</f>
        <v>0</v>
      </c>
      <c r="E304" s="10">
        <f>_xlfn.XLOOKUP(C304,Tab_Def_Flows[Flow_Name],Tab_Def_Flows[DM?],,0,)</f>
        <v>0</v>
      </c>
      <c r="F304" s="10">
        <f>_xlfn.XLOOKUP(C304,Tab_Def_Flows[Flow_Name],Tab_Def_Flows[CC?],,0,)</f>
        <v>0</v>
      </c>
      <c r="G304" s="8"/>
      <c r="H304" s="28"/>
      <c r="I304" s="8"/>
      <c r="J304" s="8"/>
      <c r="K304" s="8"/>
      <c r="L304" s="14"/>
      <c r="M304" s="8"/>
      <c r="N304" s="8"/>
      <c r="O304" s="8"/>
      <c r="P304" s="8"/>
      <c r="Q304" s="8" t="s">
        <v>8</v>
      </c>
      <c r="R304" s="21"/>
      <c r="S304" s="8"/>
      <c r="T304" s="7" t="str">
        <f>Tab_Data_Flows[[#This Row],[Flow_ID]]&amp;"_"&amp;"material_"&amp;Tab_Data_Flows[[#This Row],[Flow_Data_Year]]</f>
        <v>F___material_</v>
      </c>
      <c r="U304" s="18">
        <f t="shared" si="11"/>
        <v>0</v>
      </c>
      <c r="V304" s="8" t="s">
        <v>218</v>
      </c>
      <c r="W304" s="156">
        <f>INDEX(Tab_Def_Flows[[Flow_ID]:[CC_DM_source]],MATCH(Tab_Data_Flows[[#This Row],[Flow_Name]],Tab_Def_Flows[Flow_Name],0),11)</f>
        <v>0</v>
      </c>
      <c r="X304" s="7" t="str">
        <f>Tab_Data_Flows[[#This Row],[Flow_ID]]&amp;"_"&amp;"WC_"&amp;Tab_Data_Flows[[#This Row],[Flow_Data_Year]]</f>
        <v>F___WC_</v>
      </c>
      <c r="Y304" s="7" t="str">
        <f>IF(D304="Yes",U304*Tab_Data_Flows[[#This Row],[WC_'[%']]],"N.A.")</f>
        <v>N.A.</v>
      </c>
      <c r="Z304" s="7" t="str">
        <f>Tab_Data_Flows[[#This Row],[UoM_Flow_Py]]</f>
        <v>Mg</v>
      </c>
      <c r="AA304" s="156">
        <f>INDEX(Tab_Def_Flows[[Flow_ID]:[CC_DM_source]],MATCH(Tab_Data_Flows[[#This Row],[Flow_Name]],Tab_Def_Flows[Flow_Name],0),14)</f>
        <v>0</v>
      </c>
      <c r="AB304" s="7" t="str">
        <f>Tab_Data_Flows[[#This Row],[Flow_ID]]&amp;"_"&amp;"DM_"&amp;Tab_Data_Flows[[#This Row],[Flow_Data_Year]]</f>
        <v>F___DM_</v>
      </c>
      <c r="AC304" s="7" t="str">
        <f>IF(E304="Yes",AA304*Tab_Data_Flows[[#This Row],[Flow_Material]],"N.A.")</f>
        <v>N.A.</v>
      </c>
      <c r="AD304" s="7" t="str">
        <f>Tab_Data_Flows[[#This Row],[UoM_Flow_Py]]</f>
        <v>Mg</v>
      </c>
      <c r="AE304" s="156">
        <f>INDEX(Tab_Def_Flows[[Flow_ID]:[CC_DM_source]],MATCH(Tab_Data_Flows[[#This Row],[Flow_Name]],Tab_Def_Flows[Flow_Name],0),17)</f>
        <v>0</v>
      </c>
      <c r="AF304" s="7" t="str">
        <f>Tab_Data_Flows[[#This Row],[Flow_ID]]&amp;"_"&amp;"CC_"&amp;Tab_Data_Flows[[#This Row],[Flow_Data_Year]]</f>
        <v>F___CC_</v>
      </c>
      <c r="AG304" s="7" t="str">
        <f>IF(F304="Yes",AE304*Tab_Data_Flows[[#This Row],[Flow_Material]]*Tab_Data_Flows[[#This Row],[DM_'[%']]],"N.A.")</f>
        <v>N.A.</v>
      </c>
      <c r="AH304" s="7" t="str">
        <f>Tab_Data_Flows[[#This Row],[UoM_Flow_Py]]</f>
        <v>Mg</v>
      </c>
      <c r="AI304"/>
    </row>
    <row r="305" spans="1:35" x14ac:dyDescent="0.25">
      <c r="A305" s="9">
        <f t="shared" si="9"/>
        <v>304</v>
      </c>
      <c r="B305" s="7" t="str">
        <f>_xlfn.XLOOKUP(C305,Tab_Def_Flows[Flow_Name],Tab_Def_Flows[Flow_ID],,0,)</f>
        <v>F__</v>
      </c>
      <c r="C305" s="8" t="s">
        <v>31</v>
      </c>
      <c r="D305" s="10">
        <f>_xlfn.XLOOKUP(C305,Tab_Def_Flows[Flow_Name],Tab_Def_Flows[WC?],,0,)</f>
        <v>0</v>
      </c>
      <c r="E305" s="10">
        <f>_xlfn.XLOOKUP(C305,Tab_Def_Flows[Flow_Name],Tab_Def_Flows[DM?],,0,)</f>
        <v>0</v>
      </c>
      <c r="F305" s="10">
        <f>_xlfn.XLOOKUP(C305,Tab_Def_Flows[Flow_Name],Tab_Def_Flows[CC?],,0,)</f>
        <v>0</v>
      </c>
      <c r="G305" s="8"/>
      <c r="H305" s="28"/>
      <c r="I305" s="8"/>
      <c r="J305" s="8"/>
      <c r="K305" s="8"/>
      <c r="L305" s="14"/>
      <c r="M305" s="8"/>
      <c r="N305" s="8"/>
      <c r="O305" s="8"/>
      <c r="P305" s="8"/>
      <c r="Q305" s="8" t="s">
        <v>8</v>
      </c>
      <c r="R305" s="21"/>
      <c r="S305" s="8"/>
      <c r="T305" s="7" t="str">
        <f>Tab_Data_Flows[[#This Row],[Flow_ID]]&amp;"_"&amp;"material_"&amp;Tab_Data_Flows[[#This Row],[Flow_Data_Year]]</f>
        <v>F___material_</v>
      </c>
      <c r="U305" s="18">
        <f t="shared" si="11"/>
        <v>0</v>
      </c>
      <c r="V305" s="8" t="s">
        <v>218</v>
      </c>
      <c r="W305" s="156">
        <f>INDEX(Tab_Def_Flows[[Flow_ID]:[CC_DM_source]],MATCH(Tab_Data_Flows[[#This Row],[Flow_Name]],Tab_Def_Flows[Flow_Name],0),11)</f>
        <v>0</v>
      </c>
      <c r="X305" s="7" t="str">
        <f>Tab_Data_Flows[[#This Row],[Flow_ID]]&amp;"_"&amp;"WC_"&amp;Tab_Data_Flows[[#This Row],[Flow_Data_Year]]</f>
        <v>F___WC_</v>
      </c>
      <c r="Y305" s="7" t="str">
        <f>IF(D305="Yes",U305*Tab_Data_Flows[[#This Row],[WC_'[%']]],"N.A.")</f>
        <v>N.A.</v>
      </c>
      <c r="Z305" s="7" t="str">
        <f>Tab_Data_Flows[[#This Row],[UoM_Flow_Py]]</f>
        <v>Mg</v>
      </c>
      <c r="AA305" s="156">
        <f>INDEX(Tab_Def_Flows[[Flow_ID]:[CC_DM_source]],MATCH(Tab_Data_Flows[[#This Row],[Flow_Name]],Tab_Def_Flows[Flow_Name],0),14)</f>
        <v>0</v>
      </c>
      <c r="AB305" s="7" t="str">
        <f>Tab_Data_Flows[[#This Row],[Flow_ID]]&amp;"_"&amp;"DM_"&amp;Tab_Data_Flows[[#This Row],[Flow_Data_Year]]</f>
        <v>F___DM_</v>
      </c>
      <c r="AC305" s="7" t="str">
        <f>IF(E305="Yes",AA305*Tab_Data_Flows[[#This Row],[Flow_Material]],"N.A.")</f>
        <v>N.A.</v>
      </c>
      <c r="AD305" s="7" t="str">
        <f>Tab_Data_Flows[[#This Row],[UoM_Flow_Py]]</f>
        <v>Mg</v>
      </c>
      <c r="AE305" s="156">
        <f>INDEX(Tab_Def_Flows[[Flow_ID]:[CC_DM_source]],MATCH(Tab_Data_Flows[[#This Row],[Flow_Name]],Tab_Def_Flows[Flow_Name],0),17)</f>
        <v>0</v>
      </c>
      <c r="AF305" s="7" t="str">
        <f>Tab_Data_Flows[[#This Row],[Flow_ID]]&amp;"_"&amp;"CC_"&amp;Tab_Data_Flows[[#This Row],[Flow_Data_Year]]</f>
        <v>F___CC_</v>
      </c>
      <c r="AG305" s="7" t="str">
        <f>IF(F305="Yes",AE305*Tab_Data_Flows[[#This Row],[Flow_Material]]*Tab_Data_Flows[[#This Row],[DM_'[%']]],"N.A.")</f>
        <v>N.A.</v>
      </c>
      <c r="AH305" s="7" t="str">
        <f>Tab_Data_Flows[[#This Row],[UoM_Flow_Py]]</f>
        <v>Mg</v>
      </c>
      <c r="AI305"/>
    </row>
    <row r="306" spans="1:35" x14ac:dyDescent="0.25">
      <c r="A306" s="9">
        <f t="shared" si="9"/>
        <v>305</v>
      </c>
      <c r="B306" s="7" t="str">
        <f>_xlfn.XLOOKUP(C306,Tab_Def_Flows[Flow_Name],Tab_Def_Flows[Flow_ID],,0,)</f>
        <v>F__</v>
      </c>
      <c r="C306" s="8" t="s">
        <v>31</v>
      </c>
      <c r="D306" s="10">
        <f>_xlfn.XLOOKUP(C306,Tab_Def_Flows[Flow_Name],Tab_Def_Flows[WC?],,0,)</f>
        <v>0</v>
      </c>
      <c r="E306" s="10">
        <f>_xlfn.XLOOKUP(C306,Tab_Def_Flows[Flow_Name],Tab_Def_Flows[DM?],,0,)</f>
        <v>0</v>
      </c>
      <c r="F306" s="10">
        <f>_xlfn.XLOOKUP(C306,Tab_Def_Flows[Flow_Name],Tab_Def_Flows[CC?],,0,)</f>
        <v>0</v>
      </c>
      <c r="G306" s="8"/>
      <c r="H306" s="28"/>
      <c r="I306" s="8"/>
      <c r="J306" s="8"/>
      <c r="K306" s="8"/>
      <c r="L306" s="14"/>
      <c r="M306" s="8"/>
      <c r="N306" s="8"/>
      <c r="O306" s="8"/>
      <c r="P306" s="8"/>
      <c r="Q306" s="8" t="s">
        <v>8</v>
      </c>
      <c r="R306" s="21"/>
      <c r="S306" s="8"/>
      <c r="T306" s="7" t="str">
        <f>Tab_Data_Flows[[#This Row],[Flow_ID]]&amp;"_"&amp;"material_"&amp;Tab_Data_Flows[[#This Row],[Flow_Data_Year]]</f>
        <v>F___material_</v>
      </c>
      <c r="U306" s="18">
        <f t="shared" si="11"/>
        <v>0</v>
      </c>
      <c r="V306" s="8" t="s">
        <v>218</v>
      </c>
      <c r="W306" s="156">
        <f>INDEX(Tab_Def_Flows[[Flow_ID]:[CC_DM_source]],MATCH(Tab_Data_Flows[[#This Row],[Flow_Name]],Tab_Def_Flows[Flow_Name],0),11)</f>
        <v>0</v>
      </c>
      <c r="X306" s="7" t="str">
        <f>Tab_Data_Flows[[#This Row],[Flow_ID]]&amp;"_"&amp;"WC_"&amp;Tab_Data_Flows[[#This Row],[Flow_Data_Year]]</f>
        <v>F___WC_</v>
      </c>
      <c r="Y306" s="7" t="str">
        <f>IF(D306="Yes",U306*Tab_Data_Flows[[#This Row],[WC_'[%']]],"N.A.")</f>
        <v>N.A.</v>
      </c>
      <c r="Z306" s="7" t="str">
        <f>Tab_Data_Flows[[#This Row],[UoM_Flow_Py]]</f>
        <v>Mg</v>
      </c>
      <c r="AA306" s="156">
        <f>INDEX(Tab_Def_Flows[[Flow_ID]:[CC_DM_source]],MATCH(Tab_Data_Flows[[#This Row],[Flow_Name]],Tab_Def_Flows[Flow_Name],0),14)</f>
        <v>0</v>
      </c>
      <c r="AB306" s="7" t="str">
        <f>Tab_Data_Flows[[#This Row],[Flow_ID]]&amp;"_"&amp;"DM_"&amp;Tab_Data_Flows[[#This Row],[Flow_Data_Year]]</f>
        <v>F___DM_</v>
      </c>
      <c r="AC306" s="7" t="str">
        <f>IF(E306="Yes",AA306*Tab_Data_Flows[[#This Row],[Flow_Material]],"N.A.")</f>
        <v>N.A.</v>
      </c>
      <c r="AD306" s="7" t="str">
        <f>Tab_Data_Flows[[#This Row],[UoM_Flow_Py]]</f>
        <v>Mg</v>
      </c>
      <c r="AE306" s="156">
        <f>INDEX(Tab_Def_Flows[[Flow_ID]:[CC_DM_source]],MATCH(Tab_Data_Flows[[#This Row],[Flow_Name]],Tab_Def_Flows[Flow_Name],0),17)</f>
        <v>0</v>
      </c>
      <c r="AF306" s="7" t="str">
        <f>Tab_Data_Flows[[#This Row],[Flow_ID]]&amp;"_"&amp;"CC_"&amp;Tab_Data_Flows[[#This Row],[Flow_Data_Year]]</f>
        <v>F___CC_</v>
      </c>
      <c r="AG306" s="7" t="str">
        <f>IF(F306="Yes",AE306*Tab_Data_Flows[[#This Row],[Flow_Material]]*Tab_Data_Flows[[#This Row],[DM_'[%']]],"N.A.")</f>
        <v>N.A.</v>
      </c>
      <c r="AH306" s="7" t="str">
        <f>Tab_Data_Flows[[#This Row],[UoM_Flow_Py]]</f>
        <v>Mg</v>
      </c>
      <c r="AI306"/>
    </row>
    <row r="307" spans="1:35" x14ac:dyDescent="0.25">
      <c r="A307" s="9">
        <f t="shared" si="9"/>
        <v>306</v>
      </c>
      <c r="B307" s="7" t="str">
        <f>_xlfn.XLOOKUP(C307,Tab_Def_Flows[Flow_Name],Tab_Def_Flows[Flow_ID],,0,)</f>
        <v>F__</v>
      </c>
      <c r="C307" s="8" t="s">
        <v>31</v>
      </c>
      <c r="D307" s="10">
        <f>_xlfn.XLOOKUP(C307,Tab_Def_Flows[Flow_Name],Tab_Def_Flows[WC?],,0,)</f>
        <v>0</v>
      </c>
      <c r="E307" s="10">
        <f>_xlfn.XLOOKUP(C307,Tab_Def_Flows[Flow_Name],Tab_Def_Flows[DM?],,0,)</f>
        <v>0</v>
      </c>
      <c r="F307" s="10">
        <f>_xlfn.XLOOKUP(C307,Tab_Def_Flows[Flow_Name],Tab_Def_Flows[CC?],,0,)</f>
        <v>0</v>
      </c>
      <c r="G307" s="8"/>
      <c r="H307" s="28"/>
      <c r="I307" s="8"/>
      <c r="J307" s="8"/>
      <c r="K307" s="8"/>
      <c r="L307" s="14"/>
      <c r="M307" s="8"/>
      <c r="N307" s="8"/>
      <c r="O307" s="8"/>
      <c r="P307" s="8"/>
      <c r="Q307" s="8" t="s">
        <v>8</v>
      </c>
      <c r="R307" s="21"/>
      <c r="S307" s="8"/>
      <c r="T307" s="7" t="str">
        <f>Tab_Data_Flows[[#This Row],[Flow_ID]]&amp;"_"&amp;"material_"&amp;Tab_Data_Flows[[#This Row],[Flow_Data_Year]]</f>
        <v>F___material_</v>
      </c>
      <c r="U307" s="18">
        <f t="shared" si="11"/>
        <v>0</v>
      </c>
      <c r="V307" s="8" t="s">
        <v>218</v>
      </c>
      <c r="W307" s="156">
        <f>INDEX(Tab_Def_Flows[[Flow_ID]:[CC_DM_source]],MATCH(Tab_Data_Flows[[#This Row],[Flow_Name]],Tab_Def_Flows[Flow_Name],0),11)</f>
        <v>0</v>
      </c>
      <c r="X307" s="7" t="str">
        <f>Tab_Data_Flows[[#This Row],[Flow_ID]]&amp;"_"&amp;"WC_"&amp;Tab_Data_Flows[[#This Row],[Flow_Data_Year]]</f>
        <v>F___WC_</v>
      </c>
      <c r="Y307" s="7" t="str">
        <f>IF(D307="Yes",U307*Tab_Data_Flows[[#This Row],[WC_'[%']]],"N.A.")</f>
        <v>N.A.</v>
      </c>
      <c r="Z307" s="7" t="str">
        <f>Tab_Data_Flows[[#This Row],[UoM_Flow_Py]]</f>
        <v>Mg</v>
      </c>
      <c r="AA307" s="156">
        <f>INDEX(Tab_Def_Flows[[Flow_ID]:[CC_DM_source]],MATCH(Tab_Data_Flows[[#This Row],[Flow_Name]],Tab_Def_Flows[Flow_Name],0),14)</f>
        <v>0</v>
      </c>
      <c r="AB307" s="7" t="str">
        <f>Tab_Data_Flows[[#This Row],[Flow_ID]]&amp;"_"&amp;"DM_"&amp;Tab_Data_Flows[[#This Row],[Flow_Data_Year]]</f>
        <v>F___DM_</v>
      </c>
      <c r="AC307" s="7" t="str">
        <f>IF(E307="Yes",AA307*Tab_Data_Flows[[#This Row],[Flow_Material]],"N.A.")</f>
        <v>N.A.</v>
      </c>
      <c r="AD307" s="7" t="str">
        <f>Tab_Data_Flows[[#This Row],[UoM_Flow_Py]]</f>
        <v>Mg</v>
      </c>
      <c r="AE307" s="156">
        <f>INDEX(Tab_Def_Flows[[Flow_ID]:[CC_DM_source]],MATCH(Tab_Data_Flows[[#This Row],[Flow_Name]],Tab_Def_Flows[Flow_Name],0),17)</f>
        <v>0</v>
      </c>
      <c r="AF307" s="7" t="str">
        <f>Tab_Data_Flows[[#This Row],[Flow_ID]]&amp;"_"&amp;"CC_"&amp;Tab_Data_Flows[[#This Row],[Flow_Data_Year]]</f>
        <v>F___CC_</v>
      </c>
      <c r="AG307" s="7" t="str">
        <f>IF(F307="Yes",AE307*Tab_Data_Flows[[#This Row],[Flow_Material]]*Tab_Data_Flows[[#This Row],[DM_'[%']]],"N.A.")</f>
        <v>N.A.</v>
      </c>
      <c r="AH307" s="7" t="str">
        <f>Tab_Data_Flows[[#This Row],[UoM_Flow_Py]]</f>
        <v>Mg</v>
      </c>
      <c r="AI307"/>
    </row>
    <row r="308" spans="1:35" x14ac:dyDescent="0.25">
      <c r="A308" s="9">
        <f t="shared" si="9"/>
        <v>307</v>
      </c>
      <c r="B308" s="7" t="str">
        <f>_xlfn.XLOOKUP(C308,Tab_Def_Flows[Flow_Name],Tab_Def_Flows[Flow_ID],,0,)</f>
        <v>F__</v>
      </c>
      <c r="C308" s="8" t="s">
        <v>31</v>
      </c>
      <c r="D308" s="10">
        <f>_xlfn.XLOOKUP(C308,Tab_Def_Flows[Flow_Name],Tab_Def_Flows[WC?],,0,)</f>
        <v>0</v>
      </c>
      <c r="E308" s="10">
        <f>_xlfn.XLOOKUP(C308,Tab_Def_Flows[Flow_Name],Tab_Def_Flows[DM?],,0,)</f>
        <v>0</v>
      </c>
      <c r="F308" s="10">
        <f>_xlfn.XLOOKUP(C308,Tab_Def_Flows[Flow_Name],Tab_Def_Flows[CC?],,0,)</f>
        <v>0</v>
      </c>
      <c r="G308" s="8"/>
      <c r="H308" s="28"/>
      <c r="I308" s="8"/>
      <c r="J308" s="8"/>
      <c r="K308" s="8"/>
      <c r="L308" s="14"/>
      <c r="M308" s="8"/>
      <c r="N308" s="8"/>
      <c r="O308" s="8"/>
      <c r="P308" s="8"/>
      <c r="Q308" s="8" t="s">
        <v>8</v>
      </c>
      <c r="R308" s="21"/>
      <c r="S308" s="8"/>
      <c r="T308" s="7" t="str">
        <f>Tab_Data_Flows[[#This Row],[Flow_ID]]&amp;"_"&amp;"material_"&amp;Tab_Data_Flows[[#This Row],[Flow_Data_Year]]</f>
        <v>F___material_</v>
      </c>
      <c r="U308" s="18">
        <f t="shared" si="11"/>
        <v>0</v>
      </c>
      <c r="V308" s="8" t="s">
        <v>218</v>
      </c>
      <c r="W308" s="156">
        <f>INDEX(Tab_Def_Flows[[Flow_ID]:[CC_DM_source]],MATCH(Tab_Data_Flows[[#This Row],[Flow_Name]],Tab_Def_Flows[Flow_Name],0),11)</f>
        <v>0</v>
      </c>
      <c r="X308" s="7" t="str">
        <f>Tab_Data_Flows[[#This Row],[Flow_ID]]&amp;"_"&amp;"WC_"&amp;Tab_Data_Flows[[#This Row],[Flow_Data_Year]]</f>
        <v>F___WC_</v>
      </c>
      <c r="Y308" s="7" t="str">
        <f>IF(D308="Yes",U308*Tab_Data_Flows[[#This Row],[WC_'[%']]],"N.A.")</f>
        <v>N.A.</v>
      </c>
      <c r="Z308" s="7" t="str">
        <f>Tab_Data_Flows[[#This Row],[UoM_Flow_Py]]</f>
        <v>Mg</v>
      </c>
      <c r="AA308" s="156">
        <f>INDEX(Tab_Def_Flows[[Flow_ID]:[CC_DM_source]],MATCH(Tab_Data_Flows[[#This Row],[Flow_Name]],Tab_Def_Flows[Flow_Name],0),14)</f>
        <v>0</v>
      </c>
      <c r="AB308" s="7" t="str">
        <f>Tab_Data_Flows[[#This Row],[Flow_ID]]&amp;"_"&amp;"DM_"&amp;Tab_Data_Flows[[#This Row],[Flow_Data_Year]]</f>
        <v>F___DM_</v>
      </c>
      <c r="AC308" s="7" t="str">
        <f>IF(E308="Yes",AA308*Tab_Data_Flows[[#This Row],[Flow_Material]],"N.A.")</f>
        <v>N.A.</v>
      </c>
      <c r="AD308" s="7" t="str">
        <f>Tab_Data_Flows[[#This Row],[UoM_Flow_Py]]</f>
        <v>Mg</v>
      </c>
      <c r="AE308" s="156">
        <f>INDEX(Tab_Def_Flows[[Flow_ID]:[CC_DM_source]],MATCH(Tab_Data_Flows[[#This Row],[Flow_Name]],Tab_Def_Flows[Flow_Name],0),17)</f>
        <v>0</v>
      </c>
      <c r="AF308" s="7" t="str">
        <f>Tab_Data_Flows[[#This Row],[Flow_ID]]&amp;"_"&amp;"CC_"&amp;Tab_Data_Flows[[#This Row],[Flow_Data_Year]]</f>
        <v>F___CC_</v>
      </c>
      <c r="AG308" s="7" t="str">
        <f>IF(F308="Yes",AE308*Tab_Data_Flows[[#This Row],[Flow_Material]]*Tab_Data_Flows[[#This Row],[DM_'[%']]],"N.A.")</f>
        <v>N.A.</v>
      </c>
      <c r="AH308" s="7" t="str">
        <f>Tab_Data_Flows[[#This Row],[UoM_Flow_Py]]</f>
        <v>Mg</v>
      </c>
      <c r="AI308"/>
    </row>
    <row r="309" spans="1:35" x14ac:dyDescent="0.25">
      <c r="A309" s="9">
        <f t="shared" si="9"/>
        <v>308</v>
      </c>
      <c r="B309" s="7" t="str">
        <f>_xlfn.XLOOKUP(C309,Tab_Def_Flows[Flow_Name],Tab_Def_Flows[Flow_ID],,0,)</f>
        <v>F__</v>
      </c>
      <c r="C309" s="8" t="s">
        <v>31</v>
      </c>
      <c r="D309" s="10">
        <f>_xlfn.XLOOKUP(C309,Tab_Def_Flows[Flow_Name],Tab_Def_Flows[WC?],,0,)</f>
        <v>0</v>
      </c>
      <c r="E309" s="10">
        <f>_xlfn.XLOOKUP(C309,Tab_Def_Flows[Flow_Name],Tab_Def_Flows[DM?],,0,)</f>
        <v>0</v>
      </c>
      <c r="F309" s="10">
        <f>_xlfn.XLOOKUP(C309,Tab_Def_Flows[Flow_Name],Tab_Def_Flows[CC?],,0,)</f>
        <v>0</v>
      </c>
      <c r="G309" s="8"/>
      <c r="H309" s="28"/>
      <c r="I309" s="8"/>
      <c r="J309" s="8"/>
      <c r="K309" s="8"/>
      <c r="L309" s="14"/>
      <c r="M309" s="8"/>
      <c r="N309" s="8"/>
      <c r="O309" s="8"/>
      <c r="P309" s="8"/>
      <c r="Q309" s="8" t="s">
        <v>8</v>
      </c>
      <c r="R309" s="21"/>
      <c r="S309" s="8"/>
      <c r="T309" s="7" t="str">
        <f>Tab_Data_Flows[[#This Row],[Flow_ID]]&amp;"_"&amp;"material_"&amp;Tab_Data_Flows[[#This Row],[Flow_Data_Year]]</f>
        <v>F___material_</v>
      </c>
      <c r="U309" s="18">
        <f t="shared" si="11"/>
        <v>0</v>
      </c>
      <c r="V309" s="8" t="s">
        <v>218</v>
      </c>
      <c r="W309" s="156">
        <f>INDEX(Tab_Def_Flows[[Flow_ID]:[CC_DM_source]],MATCH(Tab_Data_Flows[[#This Row],[Flow_Name]],Tab_Def_Flows[Flow_Name],0),11)</f>
        <v>0</v>
      </c>
      <c r="X309" s="7" t="str">
        <f>Tab_Data_Flows[[#This Row],[Flow_ID]]&amp;"_"&amp;"WC_"&amp;Tab_Data_Flows[[#This Row],[Flow_Data_Year]]</f>
        <v>F___WC_</v>
      </c>
      <c r="Y309" s="7" t="str">
        <f>IF(D309="Yes",U309*Tab_Data_Flows[[#This Row],[WC_'[%']]],"N.A.")</f>
        <v>N.A.</v>
      </c>
      <c r="Z309" s="7" t="str">
        <f>Tab_Data_Flows[[#This Row],[UoM_Flow_Py]]</f>
        <v>Mg</v>
      </c>
      <c r="AA309" s="156">
        <f>INDEX(Tab_Def_Flows[[Flow_ID]:[CC_DM_source]],MATCH(Tab_Data_Flows[[#This Row],[Flow_Name]],Tab_Def_Flows[Flow_Name],0),14)</f>
        <v>0</v>
      </c>
      <c r="AB309" s="7" t="str">
        <f>Tab_Data_Flows[[#This Row],[Flow_ID]]&amp;"_"&amp;"DM_"&amp;Tab_Data_Flows[[#This Row],[Flow_Data_Year]]</f>
        <v>F___DM_</v>
      </c>
      <c r="AC309" s="7" t="str">
        <f>IF(E309="Yes",AA309*Tab_Data_Flows[[#This Row],[Flow_Material]],"N.A.")</f>
        <v>N.A.</v>
      </c>
      <c r="AD309" s="7" t="str">
        <f>Tab_Data_Flows[[#This Row],[UoM_Flow_Py]]</f>
        <v>Mg</v>
      </c>
      <c r="AE309" s="156">
        <f>INDEX(Tab_Def_Flows[[Flow_ID]:[CC_DM_source]],MATCH(Tab_Data_Flows[[#This Row],[Flow_Name]],Tab_Def_Flows[Flow_Name],0),17)</f>
        <v>0</v>
      </c>
      <c r="AF309" s="7" t="str">
        <f>Tab_Data_Flows[[#This Row],[Flow_ID]]&amp;"_"&amp;"CC_"&amp;Tab_Data_Flows[[#This Row],[Flow_Data_Year]]</f>
        <v>F___CC_</v>
      </c>
      <c r="AG309" s="7" t="str">
        <f>IF(F309="Yes",AE309*Tab_Data_Flows[[#This Row],[Flow_Material]]*Tab_Data_Flows[[#This Row],[DM_'[%']]],"N.A.")</f>
        <v>N.A.</v>
      </c>
      <c r="AH309" s="7" t="str">
        <f>Tab_Data_Flows[[#This Row],[UoM_Flow_Py]]</f>
        <v>Mg</v>
      </c>
      <c r="AI309"/>
    </row>
    <row r="310" spans="1:35" x14ac:dyDescent="0.25">
      <c r="A310" s="9">
        <f t="shared" si="9"/>
        <v>309</v>
      </c>
      <c r="B310" s="7" t="str">
        <f>_xlfn.XLOOKUP(C310,Tab_Def_Flows[Flow_Name],Tab_Def_Flows[Flow_ID],,0,)</f>
        <v>F__</v>
      </c>
      <c r="C310" s="8" t="s">
        <v>31</v>
      </c>
      <c r="D310" s="10">
        <f>_xlfn.XLOOKUP(C310,Tab_Def_Flows[Flow_Name],Tab_Def_Flows[WC?],,0,)</f>
        <v>0</v>
      </c>
      <c r="E310" s="10">
        <f>_xlfn.XLOOKUP(C310,Tab_Def_Flows[Flow_Name],Tab_Def_Flows[DM?],,0,)</f>
        <v>0</v>
      </c>
      <c r="F310" s="10">
        <f>_xlfn.XLOOKUP(C310,Tab_Def_Flows[Flow_Name],Tab_Def_Flows[CC?],,0,)</f>
        <v>0</v>
      </c>
      <c r="G310" s="8"/>
      <c r="H310" s="28"/>
      <c r="I310" s="8"/>
      <c r="J310" s="8"/>
      <c r="K310" s="8"/>
      <c r="L310" s="14"/>
      <c r="M310" s="8"/>
      <c r="N310" s="8"/>
      <c r="O310" s="8"/>
      <c r="P310" s="8"/>
      <c r="Q310" s="8" t="s">
        <v>8</v>
      </c>
      <c r="R310" s="21"/>
      <c r="S310" s="8"/>
      <c r="T310" s="7" t="str">
        <f>Tab_Data_Flows[[#This Row],[Flow_ID]]&amp;"_"&amp;"material_"&amp;Tab_Data_Flows[[#This Row],[Flow_Data_Year]]</f>
        <v>F___material_</v>
      </c>
      <c r="U310" s="18">
        <f t="shared" si="11"/>
        <v>0</v>
      </c>
      <c r="V310" s="8" t="s">
        <v>218</v>
      </c>
      <c r="W310" s="156">
        <f>INDEX(Tab_Def_Flows[[Flow_ID]:[CC_DM_source]],MATCH(Tab_Data_Flows[[#This Row],[Flow_Name]],Tab_Def_Flows[Flow_Name],0),11)</f>
        <v>0</v>
      </c>
      <c r="X310" s="7" t="str">
        <f>Tab_Data_Flows[[#This Row],[Flow_ID]]&amp;"_"&amp;"WC_"&amp;Tab_Data_Flows[[#This Row],[Flow_Data_Year]]</f>
        <v>F___WC_</v>
      </c>
      <c r="Y310" s="7" t="str">
        <f>IF(D310="Yes",U310*Tab_Data_Flows[[#This Row],[WC_'[%']]],"N.A.")</f>
        <v>N.A.</v>
      </c>
      <c r="Z310" s="7" t="str">
        <f>Tab_Data_Flows[[#This Row],[UoM_Flow_Py]]</f>
        <v>Mg</v>
      </c>
      <c r="AA310" s="156">
        <f>INDEX(Tab_Def_Flows[[Flow_ID]:[CC_DM_source]],MATCH(Tab_Data_Flows[[#This Row],[Flow_Name]],Tab_Def_Flows[Flow_Name],0),14)</f>
        <v>0</v>
      </c>
      <c r="AB310" s="7" t="str">
        <f>Tab_Data_Flows[[#This Row],[Flow_ID]]&amp;"_"&amp;"DM_"&amp;Tab_Data_Flows[[#This Row],[Flow_Data_Year]]</f>
        <v>F___DM_</v>
      </c>
      <c r="AC310" s="7" t="str">
        <f>IF(E310="Yes",AA310*Tab_Data_Flows[[#This Row],[Flow_Material]],"N.A.")</f>
        <v>N.A.</v>
      </c>
      <c r="AD310" s="7" t="str">
        <f>Tab_Data_Flows[[#This Row],[UoM_Flow_Py]]</f>
        <v>Mg</v>
      </c>
      <c r="AE310" s="156">
        <f>INDEX(Tab_Def_Flows[[Flow_ID]:[CC_DM_source]],MATCH(Tab_Data_Flows[[#This Row],[Flow_Name]],Tab_Def_Flows[Flow_Name],0),17)</f>
        <v>0</v>
      </c>
      <c r="AF310" s="7" t="str">
        <f>Tab_Data_Flows[[#This Row],[Flow_ID]]&amp;"_"&amp;"CC_"&amp;Tab_Data_Flows[[#This Row],[Flow_Data_Year]]</f>
        <v>F___CC_</v>
      </c>
      <c r="AG310" s="7" t="str">
        <f>IF(F310="Yes",AE310*Tab_Data_Flows[[#This Row],[Flow_Material]]*Tab_Data_Flows[[#This Row],[DM_'[%']]],"N.A.")</f>
        <v>N.A.</v>
      </c>
      <c r="AH310" s="7" t="str">
        <f>Tab_Data_Flows[[#This Row],[UoM_Flow_Py]]</f>
        <v>Mg</v>
      </c>
      <c r="AI310"/>
    </row>
    <row r="311" spans="1:35" x14ac:dyDescent="0.25">
      <c r="A311" s="9">
        <f t="shared" si="9"/>
        <v>310</v>
      </c>
      <c r="B311" s="7" t="str">
        <f>_xlfn.XLOOKUP(C311,Tab_Def_Flows[Flow_Name],Tab_Def_Flows[Flow_ID],,0,)</f>
        <v>F__</v>
      </c>
      <c r="C311" s="8" t="s">
        <v>31</v>
      </c>
      <c r="D311" s="10">
        <f>_xlfn.XLOOKUP(C311,Tab_Def_Flows[Flow_Name],Tab_Def_Flows[WC?],,0,)</f>
        <v>0</v>
      </c>
      <c r="E311" s="10">
        <f>_xlfn.XLOOKUP(C311,Tab_Def_Flows[Flow_Name],Tab_Def_Flows[DM?],,0,)</f>
        <v>0</v>
      </c>
      <c r="F311" s="10">
        <f>_xlfn.XLOOKUP(C311,Tab_Def_Flows[Flow_Name],Tab_Def_Flows[CC?],,0,)</f>
        <v>0</v>
      </c>
      <c r="G311" s="8"/>
      <c r="H311" s="28"/>
      <c r="I311" s="8"/>
      <c r="J311" s="8"/>
      <c r="K311" s="8"/>
      <c r="L311" s="14"/>
      <c r="M311" s="8"/>
      <c r="N311" s="8"/>
      <c r="O311" s="8"/>
      <c r="P311" s="8"/>
      <c r="Q311" s="8" t="s">
        <v>8</v>
      </c>
      <c r="R311" s="21"/>
      <c r="S311" s="8"/>
      <c r="T311" s="7" t="str">
        <f>Tab_Data_Flows[[#This Row],[Flow_ID]]&amp;"_"&amp;"material_"&amp;Tab_Data_Flows[[#This Row],[Flow_Data_Year]]</f>
        <v>F___material_</v>
      </c>
      <c r="U311" s="18">
        <f t="shared" si="11"/>
        <v>0</v>
      </c>
      <c r="V311" s="8" t="s">
        <v>218</v>
      </c>
      <c r="W311" s="156">
        <f>INDEX(Tab_Def_Flows[[Flow_ID]:[CC_DM_source]],MATCH(Tab_Data_Flows[[#This Row],[Flow_Name]],Tab_Def_Flows[Flow_Name],0),11)</f>
        <v>0</v>
      </c>
      <c r="X311" s="7" t="str">
        <f>Tab_Data_Flows[[#This Row],[Flow_ID]]&amp;"_"&amp;"WC_"&amp;Tab_Data_Flows[[#This Row],[Flow_Data_Year]]</f>
        <v>F___WC_</v>
      </c>
      <c r="Y311" s="7" t="str">
        <f>IF(D311="Yes",U311*Tab_Data_Flows[[#This Row],[WC_'[%']]],"N.A.")</f>
        <v>N.A.</v>
      </c>
      <c r="Z311" s="7" t="str">
        <f>Tab_Data_Flows[[#This Row],[UoM_Flow_Py]]</f>
        <v>Mg</v>
      </c>
      <c r="AA311" s="156">
        <f>INDEX(Tab_Def_Flows[[Flow_ID]:[CC_DM_source]],MATCH(Tab_Data_Flows[[#This Row],[Flow_Name]],Tab_Def_Flows[Flow_Name],0),14)</f>
        <v>0</v>
      </c>
      <c r="AB311" s="7" t="str">
        <f>Tab_Data_Flows[[#This Row],[Flow_ID]]&amp;"_"&amp;"DM_"&amp;Tab_Data_Flows[[#This Row],[Flow_Data_Year]]</f>
        <v>F___DM_</v>
      </c>
      <c r="AC311" s="7" t="str">
        <f>IF(E311="Yes",AA311*Tab_Data_Flows[[#This Row],[Flow_Material]],"N.A.")</f>
        <v>N.A.</v>
      </c>
      <c r="AD311" s="7" t="str">
        <f>Tab_Data_Flows[[#This Row],[UoM_Flow_Py]]</f>
        <v>Mg</v>
      </c>
      <c r="AE311" s="156">
        <f>INDEX(Tab_Def_Flows[[Flow_ID]:[CC_DM_source]],MATCH(Tab_Data_Flows[[#This Row],[Flow_Name]],Tab_Def_Flows[Flow_Name],0),17)</f>
        <v>0</v>
      </c>
      <c r="AF311" s="7" t="str">
        <f>Tab_Data_Flows[[#This Row],[Flow_ID]]&amp;"_"&amp;"CC_"&amp;Tab_Data_Flows[[#This Row],[Flow_Data_Year]]</f>
        <v>F___CC_</v>
      </c>
      <c r="AG311" s="7" t="str">
        <f>IF(F311="Yes",AE311*Tab_Data_Flows[[#This Row],[Flow_Material]]*Tab_Data_Flows[[#This Row],[DM_'[%']]],"N.A.")</f>
        <v>N.A.</v>
      </c>
      <c r="AH311" s="7" t="str">
        <f>Tab_Data_Flows[[#This Row],[UoM_Flow_Py]]</f>
        <v>Mg</v>
      </c>
      <c r="AI311"/>
    </row>
    <row r="312" spans="1:35" x14ac:dyDescent="0.25">
      <c r="A312" s="9">
        <f t="shared" si="9"/>
        <v>311</v>
      </c>
      <c r="B312" s="7" t="str">
        <f>_xlfn.XLOOKUP(C312,Tab_Def_Flows[Flow_Name],Tab_Def_Flows[Flow_ID],,0,)</f>
        <v>F__</v>
      </c>
      <c r="C312" s="8" t="s">
        <v>31</v>
      </c>
      <c r="D312" s="10">
        <f>_xlfn.XLOOKUP(C312,Tab_Def_Flows[Flow_Name],Tab_Def_Flows[WC?],,0,)</f>
        <v>0</v>
      </c>
      <c r="E312" s="10">
        <f>_xlfn.XLOOKUP(C312,Tab_Def_Flows[Flow_Name],Tab_Def_Flows[DM?],,0,)</f>
        <v>0</v>
      </c>
      <c r="F312" s="10">
        <f>_xlfn.XLOOKUP(C312,Tab_Def_Flows[Flow_Name],Tab_Def_Flows[CC?],,0,)</f>
        <v>0</v>
      </c>
      <c r="G312" s="8"/>
      <c r="H312" s="28"/>
      <c r="I312" s="8"/>
      <c r="J312" s="8"/>
      <c r="K312" s="8"/>
      <c r="L312" s="14"/>
      <c r="M312" s="8"/>
      <c r="N312" s="8"/>
      <c r="O312" s="8"/>
      <c r="P312" s="8"/>
      <c r="Q312" s="8" t="s">
        <v>8</v>
      </c>
      <c r="R312" s="21"/>
      <c r="S312" s="8"/>
      <c r="T312" s="7" t="str">
        <f>Tab_Data_Flows[[#This Row],[Flow_ID]]&amp;"_"&amp;"material_"&amp;Tab_Data_Flows[[#This Row],[Flow_Data_Year]]</f>
        <v>F___material_</v>
      </c>
      <c r="U312" s="18">
        <f t="shared" si="11"/>
        <v>0</v>
      </c>
      <c r="V312" s="8" t="s">
        <v>218</v>
      </c>
      <c r="W312" s="156">
        <f>INDEX(Tab_Def_Flows[[Flow_ID]:[CC_DM_source]],MATCH(Tab_Data_Flows[[#This Row],[Flow_Name]],Tab_Def_Flows[Flow_Name],0),11)</f>
        <v>0</v>
      </c>
      <c r="X312" s="7" t="str">
        <f>Tab_Data_Flows[[#This Row],[Flow_ID]]&amp;"_"&amp;"WC_"&amp;Tab_Data_Flows[[#This Row],[Flow_Data_Year]]</f>
        <v>F___WC_</v>
      </c>
      <c r="Y312" s="7" t="str">
        <f>IF(D312="Yes",U312*Tab_Data_Flows[[#This Row],[WC_'[%']]],"N.A.")</f>
        <v>N.A.</v>
      </c>
      <c r="Z312" s="7" t="str">
        <f>Tab_Data_Flows[[#This Row],[UoM_Flow_Py]]</f>
        <v>Mg</v>
      </c>
      <c r="AA312" s="156">
        <f>INDEX(Tab_Def_Flows[[Flow_ID]:[CC_DM_source]],MATCH(Tab_Data_Flows[[#This Row],[Flow_Name]],Tab_Def_Flows[Flow_Name],0),14)</f>
        <v>0</v>
      </c>
      <c r="AB312" s="7" t="str">
        <f>Tab_Data_Flows[[#This Row],[Flow_ID]]&amp;"_"&amp;"DM_"&amp;Tab_Data_Flows[[#This Row],[Flow_Data_Year]]</f>
        <v>F___DM_</v>
      </c>
      <c r="AC312" s="7" t="str">
        <f>IF(E312="Yes",AA312*Tab_Data_Flows[[#This Row],[Flow_Material]],"N.A.")</f>
        <v>N.A.</v>
      </c>
      <c r="AD312" s="7" t="str">
        <f>Tab_Data_Flows[[#This Row],[UoM_Flow_Py]]</f>
        <v>Mg</v>
      </c>
      <c r="AE312" s="156">
        <f>INDEX(Tab_Def_Flows[[Flow_ID]:[CC_DM_source]],MATCH(Tab_Data_Flows[[#This Row],[Flow_Name]],Tab_Def_Flows[Flow_Name],0),17)</f>
        <v>0</v>
      </c>
      <c r="AF312" s="7" t="str">
        <f>Tab_Data_Flows[[#This Row],[Flow_ID]]&amp;"_"&amp;"CC_"&amp;Tab_Data_Flows[[#This Row],[Flow_Data_Year]]</f>
        <v>F___CC_</v>
      </c>
      <c r="AG312" s="7" t="str">
        <f>IF(F312="Yes",AE312*Tab_Data_Flows[[#This Row],[Flow_Material]]*Tab_Data_Flows[[#This Row],[DM_'[%']]],"N.A.")</f>
        <v>N.A.</v>
      </c>
      <c r="AH312" s="7" t="str">
        <f>Tab_Data_Flows[[#This Row],[UoM_Flow_Py]]</f>
        <v>Mg</v>
      </c>
      <c r="AI312"/>
    </row>
    <row r="313" spans="1:35" x14ac:dyDescent="0.25">
      <c r="A313" s="9">
        <f t="shared" si="9"/>
        <v>312</v>
      </c>
      <c r="B313" s="7" t="str">
        <f>_xlfn.XLOOKUP(C313,Tab_Def_Flows[Flow_Name],Tab_Def_Flows[Flow_ID],,0,)</f>
        <v>F__</v>
      </c>
      <c r="C313" s="8" t="s">
        <v>31</v>
      </c>
      <c r="D313" s="10">
        <f>_xlfn.XLOOKUP(C313,Tab_Def_Flows[Flow_Name],Tab_Def_Flows[WC?],,0,)</f>
        <v>0</v>
      </c>
      <c r="E313" s="10">
        <f>_xlfn.XLOOKUP(C313,Tab_Def_Flows[Flow_Name],Tab_Def_Flows[DM?],,0,)</f>
        <v>0</v>
      </c>
      <c r="F313" s="10">
        <f>_xlfn.XLOOKUP(C313,Tab_Def_Flows[Flow_Name],Tab_Def_Flows[CC?],,0,)</f>
        <v>0</v>
      </c>
      <c r="G313" s="8"/>
      <c r="H313" s="28"/>
      <c r="I313" s="8"/>
      <c r="J313" s="8"/>
      <c r="K313" s="8"/>
      <c r="L313" s="14"/>
      <c r="M313" s="8"/>
      <c r="N313" s="8"/>
      <c r="O313" s="8"/>
      <c r="P313" s="8"/>
      <c r="Q313" s="8" t="s">
        <v>8</v>
      </c>
      <c r="R313" s="21"/>
      <c r="S313" s="8"/>
      <c r="T313" s="7" t="str">
        <f>Tab_Data_Flows[[#This Row],[Flow_ID]]&amp;"_"&amp;"material_"&amp;Tab_Data_Flows[[#This Row],[Flow_Data_Year]]</f>
        <v>F___material_</v>
      </c>
      <c r="U313" s="18">
        <f t="shared" si="11"/>
        <v>0</v>
      </c>
      <c r="V313" s="8" t="s">
        <v>218</v>
      </c>
      <c r="W313" s="156">
        <f>INDEX(Tab_Def_Flows[[Flow_ID]:[CC_DM_source]],MATCH(Tab_Data_Flows[[#This Row],[Flow_Name]],Tab_Def_Flows[Flow_Name],0),11)</f>
        <v>0</v>
      </c>
      <c r="X313" s="7" t="str">
        <f>Tab_Data_Flows[[#This Row],[Flow_ID]]&amp;"_"&amp;"WC_"&amp;Tab_Data_Flows[[#This Row],[Flow_Data_Year]]</f>
        <v>F___WC_</v>
      </c>
      <c r="Y313" s="7" t="str">
        <f>IF(D313="Yes",U313*Tab_Data_Flows[[#This Row],[WC_'[%']]],"N.A.")</f>
        <v>N.A.</v>
      </c>
      <c r="Z313" s="7" t="str">
        <f>Tab_Data_Flows[[#This Row],[UoM_Flow_Py]]</f>
        <v>Mg</v>
      </c>
      <c r="AA313" s="156">
        <f>INDEX(Tab_Def_Flows[[Flow_ID]:[CC_DM_source]],MATCH(Tab_Data_Flows[[#This Row],[Flow_Name]],Tab_Def_Flows[Flow_Name],0),14)</f>
        <v>0</v>
      </c>
      <c r="AB313" s="7" t="str">
        <f>Tab_Data_Flows[[#This Row],[Flow_ID]]&amp;"_"&amp;"DM_"&amp;Tab_Data_Flows[[#This Row],[Flow_Data_Year]]</f>
        <v>F___DM_</v>
      </c>
      <c r="AC313" s="7" t="str">
        <f>IF(E313="Yes",AA313*Tab_Data_Flows[[#This Row],[Flow_Material]],"N.A.")</f>
        <v>N.A.</v>
      </c>
      <c r="AD313" s="7" t="str">
        <f>Tab_Data_Flows[[#This Row],[UoM_Flow_Py]]</f>
        <v>Mg</v>
      </c>
      <c r="AE313" s="156">
        <f>INDEX(Tab_Def_Flows[[Flow_ID]:[CC_DM_source]],MATCH(Tab_Data_Flows[[#This Row],[Flow_Name]],Tab_Def_Flows[Flow_Name],0),17)</f>
        <v>0</v>
      </c>
      <c r="AF313" s="7" t="str">
        <f>Tab_Data_Flows[[#This Row],[Flow_ID]]&amp;"_"&amp;"CC_"&amp;Tab_Data_Flows[[#This Row],[Flow_Data_Year]]</f>
        <v>F___CC_</v>
      </c>
      <c r="AG313" s="7" t="str">
        <f>IF(F313="Yes",AE313*Tab_Data_Flows[[#This Row],[Flow_Material]]*Tab_Data_Flows[[#This Row],[DM_'[%']]],"N.A.")</f>
        <v>N.A.</v>
      </c>
      <c r="AH313" s="7" t="str">
        <f>Tab_Data_Flows[[#This Row],[UoM_Flow_Py]]</f>
        <v>Mg</v>
      </c>
      <c r="AI313"/>
    </row>
    <row r="314" spans="1:35" x14ac:dyDescent="0.25">
      <c r="A314" s="9">
        <f t="shared" si="9"/>
        <v>313</v>
      </c>
      <c r="B314" s="7" t="str">
        <f>_xlfn.XLOOKUP(C314,Tab_Def_Flows[Flow_Name],Tab_Def_Flows[Flow_ID],,0,)</f>
        <v>F__</v>
      </c>
      <c r="C314" s="8" t="s">
        <v>31</v>
      </c>
      <c r="D314" s="10">
        <f>_xlfn.XLOOKUP(C314,Tab_Def_Flows[Flow_Name],Tab_Def_Flows[WC?],,0,)</f>
        <v>0</v>
      </c>
      <c r="E314" s="10">
        <f>_xlfn.XLOOKUP(C314,Tab_Def_Flows[Flow_Name],Tab_Def_Flows[DM?],,0,)</f>
        <v>0</v>
      </c>
      <c r="F314" s="10">
        <f>_xlfn.XLOOKUP(C314,Tab_Def_Flows[Flow_Name],Tab_Def_Flows[CC?],,0,)</f>
        <v>0</v>
      </c>
      <c r="G314" s="8"/>
      <c r="H314" s="28"/>
      <c r="I314" s="8"/>
      <c r="J314" s="8"/>
      <c r="K314" s="8"/>
      <c r="L314" s="14"/>
      <c r="M314" s="8"/>
      <c r="N314" s="8"/>
      <c r="O314" s="8"/>
      <c r="P314" s="8"/>
      <c r="Q314" s="8" t="s">
        <v>8</v>
      </c>
      <c r="R314" s="21"/>
      <c r="S314" s="8"/>
      <c r="T314" s="7" t="str">
        <f>Tab_Data_Flows[[#This Row],[Flow_ID]]&amp;"_"&amp;"material_"&amp;Tab_Data_Flows[[#This Row],[Flow_Data_Year]]</f>
        <v>F___material_</v>
      </c>
      <c r="U314" s="18">
        <f t="shared" si="11"/>
        <v>0</v>
      </c>
      <c r="V314" s="8" t="s">
        <v>218</v>
      </c>
      <c r="W314" s="156">
        <f>INDEX(Tab_Def_Flows[[Flow_ID]:[CC_DM_source]],MATCH(Tab_Data_Flows[[#This Row],[Flow_Name]],Tab_Def_Flows[Flow_Name],0),11)</f>
        <v>0</v>
      </c>
      <c r="X314" s="7" t="str">
        <f>Tab_Data_Flows[[#This Row],[Flow_ID]]&amp;"_"&amp;"WC_"&amp;Tab_Data_Flows[[#This Row],[Flow_Data_Year]]</f>
        <v>F___WC_</v>
      </c>
      <c r="Y314" s="7" t="str">
        <f>IF(D314="Yes",U314*Tab_Data_Flows[[#This Row],[WC_'[%']]],"N.A.")</f>
        <v>N.A.</v>
      </c>
      <c r="Z314" s="7" t="str">
        <f>Tab_Data_Flows[[#This Row],[UoM_Flow_Py]]</f>
        <v>Mg</v>
      </c>
      <c r="AA314" s="156">
        <f>INDEX(Tab_Def_Flows[[Flow_ID]:[CC_DM_source]],MATCH(Tab_Data_Flows[[#This Row],[Flow_Name]],Tab_Def_Flows[Flow_Name],0),14)</f>
        <v>0</v>
      </c>
      <c r="AB314" s="7" t="str">
        <f>Tab_Data_Flows[[#This Row],[Flow_ID]]&amp;"_"&amp;"DM_"&amp;Tab_Data_Flows[[#This Row],[Flow_Data_Year]]</f>
        <v>F___DM_</v>
      </c>
      <c r="AC314" s="7" t="str">
        <f>IF(E314="Yes",AA314*Tab_Data_Flows[[#This Row],[Flow_Material]],"N.A.")</f>
        <v>N.A.</v>
      </c>
      <c r="AD314" s="7" t="str">
        <f>Tab_Data_Flows[[#This Row],[UoM_Flow_Py]]</f>
        <v>Mg</v>
      </c>
      <c r="AE314" s="156">
        <f>INDEX(Tab_Def_Flows[[Flow_ID]:[CC_DM_source]],MATCH(Tab_Data_Flows[[#This Row],[Flow_Name]],Tab_Def_Flows[Flow_Name],0),17)</f>
        <v>0</v>
      </c>
      <c r="AF314" s="7" t="str">
        <f>Tab_Data_Flows[[#This Row],[Flow_ID]]&amp;"_"&amp;"CC_"&amp;Tab_Data_Flows[[#This Row],[Flow_Data_Year]]</f>
        <v>F___CC_</v>
      </c>
      <c r="AG314" s="7" t="str">
        <f>IF(F314="Yes",AE314*Tab_Data_Flows[[#This Row],[Flow_Material]]*Tab_Data_Flows[[#This Row],[DM_'[%']]],"N.A.")</f>
        <v>N.A.</v>
      </c>
      <c r="AH314" s="7" t="str">
        <f>Tab_Data_Flows[[#This Row],[UoM_Flow_Py]]</f>
        <v>Mg</v>
      </c>
      <c r="AI314"/>
    </row>
    <row r="315" spans="1:35" x14ac:dyDescent="0.25">
      <c r="A315" s="9">
        <f t="shared" si="9"/>
        <v>314</v>
      </c>
      <c r="B315" s="7" t="str">
        <f>_xlfn.XLOOKUP(C315,Tab_Def_Flows[Flow_Name],Tab_Def_Flows[Flow_ID],,0,)</f>
        <v>F__</v>
      </c>
      <c r="C315" s="8" t="s">
        <v>31</v>
      </c>
      <c r="D315" s="10">
        <f>_xlfn.XLOOKUP(C315,Tab_Def_Flows[Flow_Name],Tab_Def_Flows[WC?],,0,)</f>
        <v>0</v>
      </c>
      <c r="E315" s="10">
        <f>_xlfn.XLOOKUP(C315,Tab_Def_Flows[Flow_Name],Tab_Def_Flows[DM?],,0,)</f>
        <v>0</v>
      </c>
      <c r="F315" s="10">
        <f>_xlfn.XLOOKUP(C315,Tab_Def_Flows[Flow_Name],Tab_Def_Flows[CC?],,0,)</f>
        <v>0</v>
      </c>
      <c r="G315" s="8"/>
      <c r="H315" s="28"/>
      <c r="I315" s="8"/>
      <c r="J315" s="8"/>
      <c r="K315" s="8"/>
      <c r="L315" s="14"/>
      <c r="M315" s="8"/>
      <c r="N315" s="8"/>
      <c r="O315" s="8"/>
      <c r="P315" s="8"/>
      <c r="Q315" s="8" t="s">
        <v>8</v>
      </c>
      <c r="R315" s="21"/>
      <c r="S315" s="8"/>
      <c r="T315" s="7" t="str">
        <f>Tab_Data_Flows[[#This Row],[Flow_ID]]&amp;"_"&amp;"material_"&amp;Tab_Data_Flows[[#This Row],[Flow_Data_Year]]</f>
        <v>F___material_</v>
      </c>
      <c r="U315" s="18">
        <f t="shared" si="11"/>
        <v>0</v>
      </c>
      <c r="V315" s="8" t="s">
        <v>218</v>
      </c>
      <c r="W315" s="156">
        <f>INDEX(Tab_Def_Flows[[Flow_ID]:[CC_DM_source]],MATCH(Tab_Data_Flows[[#This Row],[Flow_Name]],Tab_Def_Flows[Flow_Name],0),11)</f>
        <v>0</v>
      </c>
      <c r="X315" s="7" t="str">
        <f>Tab_Data_Flows[[#This Row],[Flow_ID]]&amp;"_"&amp;"WC_"&amp;Tab_Data_Flows[[#This Row],[Flow_Data_Year]]</f>
        <v>F___WC_</v>
      </c>
      <c r="Y315" s="7" t="str">
        <f>IF(D315="Yes",U315*Tab_Data_Flows[[#This Row],[WC_'[%']]],"N.A.")</f>
        <v>N.A.</v>
      </c>
      <c r="Z315" s="7" t="str">
        <f>Tab_Data_Flows[[#This Row],[UoM_Flow_Py]]</f>
        <v>Mg</v>
      </c>
      <c r="AA315" s="156">
        <f>INDEX(Tab_Def_Flows[[Flow_ID]:[CC_DM_source]],MATCH(Tab_Data_Flows[[#This Row],[Flow_Name]],Tab_Def_Flows[Flow_Name],0),14)</f>
        <v>0</v>
      </c>
      <c r="AB315" s="7" t="str">
        <f>Tab_Data_Flows[[#This Row],[Flow_ID]]&amp;"_"&amp;"DM_"&amp;Tab_Data_Flows[[#This Row],[Flow_Data_Year]]</f>
        <v>F___DM_</v>
      </c>
      <c r="AC315" s="7" t="str">
        <f>IF(E315="Yes",AA315*Tab_Data_Flows[[#This Row],[Flow_Material]],"N.A.")</f>
        <v>N.A.</v>
      </c>
      <c r="AD315" s="7" t="str">
        <f>Tab_Data_Flows[[#This Row],[UoM_Flow_Py]]</f>
        <v>Mg</v>
      </c>
      <c r="AE315" s="156">
        <f>INDEX(Tab_Def_Flows[[Flow_ID]:[CC_DM_source]],MATCH(Tab_Data_Flows[[#This Row],[Flow_Name]],Tab_Def_Flows[Flow_Name],0),17)</f>
        <v>0</v>
      </c>
      <c r="AF315" s="7" t="str">
        <f>Tab_Data_Flows[[#This Row],[Flow_ID]]&amp;"_"&amp;"CC_"&amp;Tab_Data_Flows[[#This Row],[Flow_Data_Year]]</f>
        <v>F___CC_</v>
      </c>
      <c r="AG315" s="7" t="str">
        <f>IF(F315="Yes",AE315*Tab_Data_Flows[[#This Row],[Flow_Material]]*Tab_Data_Flows[[#This Row],[DM_'[%']]],"N.A.")</f>
        <v>N.A.</v>
      </c>
      <c r="AH315" s="7" t="str">
        <f>Tab_Data_Flows[[#This Row],[UoM_Flow_Py]]</f>
        <v>Mg</v>
      </c>
      <c r="AI315"/>
    </row>
    <row r="316" spans="1:35" x14ac:dyDescent="0.25">
      <c r="A316" s="9">
        <f t="shared" si="9"/>
        <v>315</v>
      </c>
      <c r="B316" s="7" t="str">
        <f>_xlfn.XLOOKUP(C316,Tab_Def_Flows[Flow_Name],Tab_Def_Flows[Flow_ID],,0,)</f>
        <v>F__</v>
      </c>
      <c r="C316" s="8" t="s">
        <v>31</v>
      </c>
      <c r="D316" s="10">
        <f>_xlfn.XLOOKUP(C316,Tab_Def_Flows[Flow_Name],Tab_Def_Flows[WC?],,0,)</f>
        <v>0</v>
      </c>
      <c r="E316" s="10">
        <f>_xlfn.XLOOKUP(C316,Tab_Def_Flows[Flow_Name],Tab_Def_Flows[DM?],,0,)</f>
        <v>0</v>
      </c>
      <c r="F316" s="10">
        <f>_xlfn.XLOOKUP(C316,Tab_Def_Flows[Flow_Name],Tab_Def_Flows[CC?],,0,)</f>
        <v>0</v>
      </c>
      <c r="G316" s="8"/>
      <c r="H316" s="28"/>
      <c r="I316" s="8"/>
      <c r="J316" s="8"/>
      <c r="K316" s="8"/>
      <c r="L316" s="14"/>
      <c r="M316" s="8"/>
      <c r="N316" s="8"/>
      <c r="O316" s="8"/>
      <c r="P316" s="8"/>
      <c r="Q316" s="8" t="s">
        <v>8</v>
      </c>
      <c r="R316" s="21"/>
      <c r="S316" s="8"/>
      <c r="T316" s="7" t="str">
        <f>Tab_Data_Flows[[#This Row],[Flow_ID]]&amp;"_"&amp;"material_"&amp;Tab_Data_Flows[[#This Row],[Flow_Data_Year]]</f>
        <v>F___material_</v>
      </c>
      <c r="U316" s="18">
        <f t="shared" si="11"/>
        <v>0</v>
      </c>
      <c r="V316" s="8" t="s">
        <v>218</v>
      </c>
      <c r="W316" s="156">
        <f>INDEX(Tab_Def_Flows[[Flow_ID]:[CC_DM_source]],MATCH(Tab_Data_Flows[[#This Row],[Flow_Name]],Tab_Def_Flows[Flow_Name],0),11)</f>
        <v>0</v>
      </c>
      <c r="X316" s="7" t="str">
        <f>Tab_Data_Flows[[#This Row],[Flow_ID]]&amp;"_"&amp;"WC_"&amp;Tab_Data_Flows[[#This Row],[Flow_Data_Year]]</f>
        <v>F___WC_</v>
      </c>
      <c r="Y316" s="7" t="str">
        <f>IF(D316="Yes",U316*Tab_Data_Flows[[#This Row],[WC_'[%']]],"N.A.")</f>
        <v>N.A.</v>
      </c>
      <c r="Z316" s="7" t="str">
        <f>Tab_Data_Flows[[#This Row],[UoM_Flow_Py]]</f>
        <v>Mg</v>
      </c>
      <c r="AA316" s="156">
        <f>INDEX(Tab_Def_Flows[[Flow_ID]:[CC_DM_source]],MATCH(Tab_Data_Flows[[#This Row],[Flow_Name]],Tab_Def_Flows[Flow_Name],0),14)</f>
        <v>0</v>
      </c>
      <c r="AB316" s="7" t="str">
        <f>Tab_Data_Flows[[#This Row],[Flow_ID]]&amp;"_"&amp;"DM_"&amp;Tab_Data_Flows[[#This Row],[Flow_Data_Year]]</f>
        <v>F___DM_</v>
      </c>
      <c r="AC316" s="7" t="str">
        <f>IF(E316="Yes",AA316*Tab_Data_Flows[[#This Row],[Flow_Material]],"N.A.")</f>
        <v>N.A.</v>
      </c>
      <c r="AD316" s="7" t="str">
        <f>Tab_Data_Flows[[#This Row],[UoM_Flow_Py]]</f>
        <v>Mg</v>
      </c>
      <c r="AE316" s="156">
        <f>INDEX(Tab_Def_Flows[[Flow_ID]:[CC_DM_source]],MATCH(Tab_Data_Flows[[#This Row],[Flow_Name]],Tab_Def_Flows[Flow_Name],0),17)</f>
        <v>0</v>
      </c>
      <c r="AF316" s="7" t="str">
        <f>Tab_Data_Flows[[#This Row],[Flow_ID]]&amp;"_"&amp;"CC_"&amp;Tab_Data_Flows[[#This Row],[Flow_Data_Year]]</f>
        <v>F___CC_</v>
      </c>
      <c r="AG316" s="7" t="str">
        <f>IF(F316="Yes",AE316*Tab_Data_Flows[[#This Row],[Flow_Material]]*Tab_Data_Flows[[#This Row],[DM_'[%']]],"N.A.")</f>
        <v>N.A.</v>
      </c>
      <c r="AH316" s="7" t="str">
        <f>Tab_Data_Flows[[#This Row],[UoM_Flow_Py]]</f>
        <v>Mg</v>
      </c>
      <c r="AI316"/>
    </row>
    <row r="317" spans="1:35" x14ac:dyDescent="0.25">
      <c r="A317" s="9">
        <f t="shared" si="9"/>
        <v>316</v>
      </c>
      <c r="B317" s="7" t="str">
        <f>_xlfn.XLOOKUP(C317,Tab_Def_Flows[Flow_Name],Tab_Def_Flows[Flow_ID],,0,)</f>
        <v>F__</v>
      </c>
      <c r="C317" s="8" t="s">
        <v>31</v>
      </c>
      <c r="D317" s="10">
        <f>_xlfn.XLOOKUP(C317,Tab_Def_Flows[Flow_Name],Tab_Def_Flows[WC?],,0,)</f>
        <v>0</v>
      </c>
      <c r="E317" s="10">
        <f>_xlfn.XLOOKUP(C317,Tab_Def_Flows[Flow_Name],Tab_Def_Flows[DM?],,0,)</f>
        <v>0</v>
      </c>
      <c r="F317" s="10">
        <f>_xlfn.XLOOKUP(C317,Tab_Def_Flows[Flow_Name],Tab_Def_Flows[CC?],,0,)</f>
        <v>0</v>
      </c>
      <c r="G317" s="8"/>
      <c r="H317" s="28"/>
      <c r="I317" s="8"/>
      <c r="J317" s="8"/>
      <c r="K317" s="8"/>
      <c r="L317" s="14"/>
      <c r="M317" s="8"/>
      <c r="N317" s="8"/>
      <c r="O317" s="8"/>
      <c r="P317" s="8"/>
      <c r="Q317" s="8" t="s">
        <v>8</v>
      </c>
      <c r="R317" s="21"/>
      <c r="S317" s="8"/>
      <c r="T317" s="7" t="str">
        <f>Tab_Data_Flows[[#This Row],[Flow_ID]]&amp;"_"&amp;"material_"&amp;Tab_Data_Flows[[#This Row],[Flow_Data_Year]]</f>
        <v>F___material_</v>
      </c>
      <c r="U317" s="18">
        <f t="shared" si="11"/>
        <v>0</v>
      </c>
      <c r="V317" s="8" t="s">
        <v>218</v>
      </c>
      <c r="W317" s="156">
        <f>INDEX(Tab_Def_Flows[[Flow_ID]:[CC_DM_source]],MATCH(Tab_Data_Flows[[#This Row],[Flow_Name]],Tab_Def_Flows[Flow_Name],0),11)</f>
        <v>0</v>
      </c>
      <c r="X317" s="7" t="str">
        <f>Tab_Data_Flows[[#This Row],[Flow_ID]]&amp;"_"&amp;"WC_"&amp;Tab_Data_Flows[[#This Row],[Flow_Data_Year]]</f>
        <v>F___WC_</v>
      </c>
      <c r="Y317" s="7" t="str">
        <f>IF(D317="Yes",U317*Tab_Data_Flows[[#This Row],[WC_'[%']]],"N.A.")</f>
        <v>N.A.</v>
      </c>
      <c r="Z317" s="7" t="str">
        <f>Tab_Data_Flows[[#This Row],[UoM_Flow_Py]]</f>
        <v>Mg</v>
      </c>
      <c r="AA317" s="156">
        <f>INDEX(Tab_Def_Flows[[Flow_ID]:[CC_DM_source]],MATCH(Tab_Data_Flows[[#This Row],[Flow_Name]],Tab_Def_Flows[Flow_Name],0),14)</f>
        <v>0</v>
      </c>
      <c r="AB317" s="7" t="str">
        <f>Tab_Data_Flows[[#This Row],[Flow_ID]]&amp;"_"&amp;"DM_"&amp;Tab_Data_Flows[[#This Row],[Flow_Data_Year]]</f>
        <v>F___DM_</v>
      </c>
      <c r="AC317" s="7" t="str">
        <f>IF(E317="Yes",AA317*Tab_Data_Flows[[#This Row],[Flow_Material]],"N.A.")</f>
        <v>N.A.</v>
      </c>
      <c r="AD317" s="7" t="str">
        <f>Tab_Data_Flows[[#This Row],[UoM_Flow_Py]]</f>
        <v>Mg</v>
      </c>
      <c r="AE317" s="156">
        <f>INDEX(Tab_Def_Flows[[Flow_ID]:[CC_DM_source]],MATCH(Tab_Data_Flows[[#This Row],[Flow_Name]],Tab_Def_Flows[Flow_Name],0),17)</f>
        <v>0</v>
      </c>
      <c r="AF317" s="7" t="str">
        <f>Tab_Data_Flows[[#This Row],[Flow_ID]]&amp;"_"&amp;"CC_"&amp;Tab_Data_Flows[[#This Row],[Flow_Data_Year]]</f>
        <v>F___CC_</v>
      </c>
      <c r="AG317" s="7" t="str">
        <f>IF(F317="Yes",AE317*Tab_Data_Flows[[#This Row],[Flow_Material]]*Tab_Data_Flows[[#This Row],[DM_'[%']]],"N.A.")</f>
        <v>N.A.</v>
      </c>
      <c r="AH317" s="7" t="str">
        <f>Tab_Data_Flows[[#This Row],[UoM_Flow_Py]]</f>
        <v>Mg</v>
      </c>
      <c r="AI317"/>
    </row>
    <row r="318" spans="1:35" x14ac:dyDescent="0.25">
      <c r="A318" s="9">
        <f t="shared" si="9"/>
        <v>317</v>
      </c>
      <c r="B318" s="7" t="str">
        <f>_xlfn.XLOOKUP(C318,Tab_Def_Flows[Flow_Name],Tab_Def_Flows[Flow_ID],,0,)</f>
        <v>F__</v>
      </c>
      <c r="C318" s="8" t="s">
        <v>31</v>
      </c>
      <c r="D318" s="10">
        <f>_xlfn.XLOOKUP(C318,Tab_Def_Flows[Flow_Name],Tab_Def_Flows[WC?],,0,)</f>
        <v>0</v>
      </c>
      <c r="E318" s="10">
        <f>_xlfn.XLOOKUP(C318,Tab_Def_Flows[Flow_Name],Tab_Def_Flows[DM?],,0,)</f>
        <v>0</v>
      </c>
      <c r="F318" s="10">
        <f>_xlfn.XLOOKUP(C318,Tab_Def_Flows[Flow_Name],Tab_Def_Flows[CC?],,0,)</f>
        <v>0</v>
      </c>
      <c r="G318" s="8"/>
      <c r="H318" s="28"/>
      <c r="I318" s="8"/>
      <c r="J318" s="8"/>
      <c r="K318" s="8"/>
      <c r="L318" s="14"/>
      <c r="M318" s="8"/>
      <c r="N318" s="8"/>
      <c r="O318" s="8"/>
      <c r="P318" s="8"/>
      <c r="Q318" s="8" t="s">
        <v>8</v>
      </c>
      <c r="R318" s="21"/>
      <c r="S318" s="8"/>
      <c r="T318" s="7" t="str">
        <f>Tab_Data_Flows[[#This Row],[Flow_ID]]&amp;"_"&amp;"material_"&amp;Tab_Data_Flows[[#This Row],[Flow_Data_Year]]</f>
        <v>F___material_</v>
      </c>
      <c r="U318" s="18">
        <f t="shared" si="11"/>
        <v>0</v>
      </c>
      <c r="V318" s="8" t="s">
        <v>218</v>
      </c>
      <c r="W318" s="156">
        <f>INDEX(Tab_Def_Flows[[Flow_ID]:[CC_DM_source]],MATCH(Tab_Data_Flows[[#This Row],[Flow_Name]],Tab_Def_Flows[Flow_Name],0),11)</f>
        <v>0</v>
      </c>
      <c r="X318" s="7" t="str">
        <f>Tab_Data_Flows[[#This Row],[Flow_ID]]&amp;"_"&amp;"WC_"&amp;Tab_Data_Flows[[#This Row],[Flow_Data_Year]]</f>
        <v>F___WC_</v>
      </c>
      <c r="Y318" s="7" t="str">
        <f>IF(D318="Yes",U318*Tab_Data_Flows[[#This Row],[WC_'[%']]],"N.A.")</f>
        <v>N.A.</v>
      </c>
      <c r="Z318" s="7" t="str">
        <f>Tab_Data_Flows[[#This Row],[UoM_Flow_Py]]</f>
        <v>Mg</v>
      </c>
      <c r="AA318" s="156">
        <f>INDEX(Tab_Def_Flows[[Flow_ID]:[CC_DM_source]],MATCH(Tab_Data_Flows[[#This Row],[Flow_Name]],Tab_Def_Flows[Flow_Name],0),14)</f>
        <v>0</v>
      </c>
      <c r="AB318" s="7" t="str">
        <f>Tab_Data_Flows[[#This Row],[Flow_ID]]&amp;"_"&amp;"DM_"&amp;Tab_Data_Flows[[#This Row],[Flow_Data_Year]]</f>
        <v>F___DM_</v>
      </c>
      <c r="AC318" s="7" t="str">
        <f>IF(E318="Yes",AA318*Tab_Data_Flows[[#This Row],[Flow_Material]],"N.A.")</f>
        <v>N.A.</v>
      </c>
      <c r="AD318" s="7" t="str">
        <f>Tab_Data_Flows[[#This Row],[UoM_Flow_Py]]</f>
        <v>Mg</v>
      </c>
      <c r="AE318" s="156">
        <f>INDEX(Tab_Def_Flows[[Flow_ID]:[CC_DM_source]],MATCH(Tab_Data_Flows[[#This Row],[Flow_Name]],Tab_Def_Flows[Flow_Name],0),17)</f>
        <v>0</v>
      </c>
      <c r="AF318" s="7" t="str">
        <f>Tab_Data_Flows[[#This Row],[Flow_ID]]&amp;"_"&amp;"CC_"&amp;Tab_Data_Flows[[#This Row],[Flow_Data_Year]]</f>
        <v>F___CC_</v>
      </c>
      <c r="AG318" s="7" t="str">
        <f>IF(F318="Yes",AE318*Tab_Data_Flows[[#This Row],[Flow_Material]]*Tab_Data_Flows[[#This Row],[DM_'[%']]],"N.A.")</f>
        <v>N.A.</v>
      </c>
      <c r="AH318" s="7" t="str">
        <f>Tab_Data_Flows[[#This Row],[UoM_Flow_Py]]</f>
        <v>Mg</v>
      </c>
      <c r="AI318"/>
    </row>
    <row r="319" spans="1:35" x14ac:dyDescent="0.25">
      <c r="A319" s="9">
        <f t="shared" si="9"/>
        <v>318</v>
      </c>
      <c r="B319" s="7" t="str">
        <f>_xlfn.XLOOKUP(C319,Tab_Def_Flows[Flow_Name],Tab_Def_Flows[Flow_ID],,0,)</f>
        <v>F__</v>
      </c>
      <c r="C319" s="8" t="s">
        <v>31</v>
      </c>
      <c r="D319" s="10">
        <f>_xlfn.XLOOKUP(C319,Tab_Def_Flows[Flow_Name],Tab_Def_Flows[WC?],,0,)</f>
        <v>0</v>
      </c>
      <c r="E319" s="10">
        <f>_xlfn.XLOOKUP(C319,Tab_Def_Flows[Flow_Name],Tab_Def_Flows[DM?],,0,)</f>
        <v>0</v>
      </c>
      <c r="F319" s="10">
        <f>_xlfn.XLOOKUP(C319,Tab_Def_Flows[Flow_Name],Tab_Def_Flows[CC?],,0,)</f>
        <v>0</v>
      </c>
      <c r="G319" s="8"/>
      <c r="H319" s="28"/>
      <c r="I319" s="8"/>
      <c r="J319" s="8"/>
      <c r="K319" s="8"/>
      <c r="L319" s="14"/>
      <c r="M319" s="8"/>
      <c r="N319" s="8"/>
      <c r="O319" s="8"/>
      <c r="P319" s="8"/>
      <c r="Q319" s="8" t="s">
        <v>8</v>
      </c>
      <c r="R319" s="21"/>
      <c r="S319" s="8"/>
      <c r="T319" s="7" t="str">
        <f>Tab_Data_Flows[[#This Row],[Flow_ID]]&amp;"_"&amp;"material_"&amp;Tab_Data_Flows[[#This Row],[Flow_Data_Year]]</f>
        <v>F___material_</v>
      </c>
      <c r="U319" s="18">
        <f t="shared" si="11"/>
        <v>0</v>
      </c>
      <c r="V319" s="8" t="s">
        <v>218</v>
      </c>
      <c r="W319" s="156">
        <f>INDEX(Tab_Def_Flows[[Flow_ID]:[CC_DM_source]],MATCH(Tab_Data_Flows[[#This Row],[Flow_Name]],Tab_Def_Flows[Flow_Name],0),11)</f>
        <v>0</v>
      </c>
      <c r="X319" s="7" t="str">
        <f>Tab_Data_Flows[[#This Row],[Flow_ID]]&amp;"_"&amp;"WC_"&amp;Tab_Data_Flows[[#This Row],[Flow_Data_Year]]</f>
        <v>F___WC_</v>
      </c>
      <c r="Y319" s="7" t="str">
        <f>IF(D319="Yes",U319*Tab_Data_Flows[[#This Row],[WC_'[%']]],"N.A.")</f>
        <v>N.A.</v>
      </c>
      <c r="Z319" s="7" t="str">
        <f>Tab_Data_Flows[[#This Row],[UoM_Flow_Py]]</f>
        <v>Mg</v>
      </c>
      <c r="AA319" s="156">
        <f>INDEX(Tab_Def_Flows[[Flow_ID]:[CC_DM_source]],MATCH(Tab_Data_Flows[[#This Row],[Flow_Name]],Tab_Def_Flows[Flow_Name],0),14)</f>
        <v>0</v>
      </c>
      <c r="AB319" s="7" t="str">
        <f>Tab_Data_Flows[[#This Row],[Flow_ID]]&amp;"_"&amp;"DM_"&amp;Tab_Data_Flows[[#This Row],[Flow_Data_Year]]</f>
        <v>F___DM_</v>
      </c>
      <c r="AC319" s="7" t="str">
        <f>IF(E319="Yes",AA319*Tab_Data_Flows[[#This Row],[Flow_Material]],"N.A.")</f>
        <v>N.A.</v>
      </c>
      <c r="AD319" s="7" t="str">
        <f>Tab_Data_Flows[[#This Row],[UoM_Flow_Py]]</f>
        <v>Mg</v>
      </c>
      <c r="AE319" s="156">
        <f>INDEX(Tab_Def_Flows[[Flow_ID]:[CC_DM_source]],MATCH(Tab_Data_Flows[[#This Row],[Flow_Name]],Tab_Def_Flows[Flow_Name],0),17)</f>
        <v>0</v>
      </c>
      <c r="AF319" s="7" t="str">
        <f>Tab_Data_Flows[[#This Row],[Flow_ID]]&amp;"_"&amp;"CC_"&amp;Tab_Data_Flows[[#This Row],[Flow_Data_Year]]</f>
        <v>F___CC_</v>
      </c>
      <c r="AG319" s="7" t="str">
        <f>IF(F319="Yes",AE319*Tab_Data_Flows[[#This Row],[Flow_Material]]*Tab_Data_Flows[[#This Row],[DM_'[%']]],"N.A.")</f>
        <v>N.A.</v>
      </c>
      <c r="AH319" s="7" t="str">
        <f>Tab_Data_Flows[[#This Row],[UoM_Flow_Py]]</f>
        <v>Mg</v>
      </c>
      <c r="AI319"/>
    </row>
    <row r="320" spans="1:35" x14ac:dyDescent="0.25">
      <c r="A320" s="9">
        <f t="shared" si="9"/>
        <v>319</v>
      </c>
      <c r="B320" s="7" t="str">
        <f>_xlfn.XLOOKUP(C320,Tab_Def_Flows[Flow_Name],Tab_Def_Flows[Flow_ID],,0,)</f>
        <v>F__</v>
      </c>
      <c r="C320" s="8" t="s">
        <v>31</v>
      </c>
      <c r="D320" s="10">
        <f>_xlfn.XLOOKUP(C320,Tab_Def_Flows[Flow_Name],Tab_Def_Flows[WC?],,0,)</f>
        <v>0</v>
      </c>
      <c r="E320" s="10">
        <f>_xlfn.XLOOKUP(C320,Tab_Def_Flows[Flow_Name],Tab_Def_Flows[DM?],,0,)</f>
        <v>0</v>
      </c>
      <c r="F320" s="10">
        <f>_xlfn.XLOOKUP(C320,Tab_Def_Flows[Flow_Name],Tab_Def_Flows[CC?],,0,)</f>
        <v>0</v>
      </c>
      <c r="G320" s="8"/>
      <c r="H320" s="28"/>
      <c r="I320" s="8"/>
      <c r="J320" s="8"/>
      <c r="K320" s="8"/>
      <c r="L320" s="14"/>
      <c r="M320" s="8"/>
      <c r="N320" s="8"/>
      <c r="O320" s="8"/>
      <c r="P320" s="8"/>
      <c r="Q320" s="8" t="s">
        <v>8</v>
      </c>
      <c r="R320" s="21"/>
      <c r="S320" s="8"/>
      <c r="T320" s="7" t="str">
        <f>Tab_Data_Flows[[#This Row],[Flow_ID]]&amp;"_"&amp;"material_"&amp;Tab_Data_Flows[[#This Row],[Flow_Data_Year]]</f>
        <v>F___material_</v>
      </c>
      <c r="U320" s="18">
        <f t="shared" si="11"/>
        <v>0</v>
      </c>
      <c r="V320" s="8" t="s">
        <v>218</v>
      </c>
      <c r="W320" s="156">
        <f>INDEX(Tab_Def_Flows[[Flow_ID]:[CC_DM_source]],MATCH(Tab_Data_Flows[[#This Row],[Flow_Name]],Tab_Def_Flows[Flow_Name],0),11)</f>
        <v>0</v>
      </c>
      <c r="X320" s="7" t="str">
        <f>Tab_Data_Flows[[#This Row],[Flow_ID]]&amp;"_"&amp;"WC_"&amp;Tab_Data_Flows[[#This Row],[Flow_Data_Year]]</f>
        <v>F___WC_</v>
      </c>
      <c r="Y320" s="7" t="str">
        <f>IF(D320="Yes",U320*Tab_Data_Flows[[#This Row],[WC_'[%']]],"N.A.")</f>
        <v>N.A.</v>
      </c>
      <c r="Z320" s="7" t="str">
        <f>Tab_Data_Flows[[#This Row],[UoM_Flow_Py]]</f>
        <v>Mg</v>
      </c>
      <c r="AA320" s="156">
        <f>INDEX(Tab_Def_Flows[[Flow_ID]:[CC_DM_source]],MATCH(Tab_Data_Flows[[#This Row],[Flow_Name]],Tab_Def_Flows[Flow_Name],0),14)</f>
        <v>0</v>
      </c>
      <c r="AB320" s="7" t="str">
        <f>Tab_Data_Flows[[#This Row],[Flow_ID]]&amp;"_"&amp;"DM_"&amp;Tab_Data_Flows[[#This Row],[Flow_Data_Year]]</f>
        <v>F___DM_</v>
      </c>
      <c r="AC320" s="7" t="str">
        <f>IF(E320="Yes",AA320*Tab_Data_Flows[[#This Row],[Flow_Material]],"N.A.")</f>
        <v>N.A.</v>
      </c>
      <c r="AD320" s="7" t="str">
        <f>Tab_Data_Flows[[#This Row],[UoM_Flow_Py]]</f>
        <v>Mg</v>
      </c>
      <c r="AE320" s="156">
        <f>INDEX(Tab_Def_Flows[[Flow_ID]:[CC_DM_source]],MATCH(Tab_Data_Flows[[#This Row],[Flow_Name]],Tab_Def_Flows[Flow_Name],0),17)</f>
        <v>0</v>
      </c>
      <c r="AF320" s="7" t="str">
        <f>Tab_Data_Flows[[#This Row],[Flow_ID]]&amp;"_"&amp;"CC_"&amp;Tab_Data_Flows[[#This Row],[Flow_Data_Year]]</f>
        <v>F___CC_</v>
      </c>
      <c r="AG320" s="7" t="str">
        <f>IF(F320="Yes",AE320*Tab_Data_Flows[[#This Row],[Flow_Material]]*Tab_Data_Flows[[#This Row],[DM_'[%']]],"N.A.")</f>
        <v>N.A.</v>
      </c>
      <c r="AH320" s="7" t="str">
        <f>Tab_Data_Flows[[#This Row],[UoM_Flow_Py]]</f>
        <v>Mg</v>
      </c>
      <c r="AI320"/>
    </row>
    <row r="321" spans="1:35" x14ac:dyDescent="0.25">
      <c r="A321" s="9">
        <f t="shared" si="9"/>
        <v>320</v>
      </c>
      <c r="B321" s="7" t="str">
        <f>_xlfn.XLOOKUP(C321,Tab_Def_Flows[Flow_Name],Tab_Def_Flows[Flow_ID],,0,)</f>
        <v>F__</v>
      </c>
      <c r="C321" s="8" t="s">
        <v>31</v>
      </c>
      <c r="D321" s="10">
        <f>_xlfn.XLOOKUP(C321,Tab_Def_Flows[Flow_Name],Tab_Def_Flows[WC?],,0,)</f>
        <v>0</v>
      </c>
      <c r="E321" s="10">
        <f>_xlfn.XLOOKUP(C321,Tab_Def_Flows[Flow_Name],Tab_Def_Flows[DM?],,0,)</f>
        <v>0</v>
      </c>
      <c r="F321" s="10">
        <f>_xlfn.XLOOKUP(C321,Tab_Def_Flows[Flow_Name],Tab_Def_Flows[CC?],,0,)</f>
        <v>0</v>
      </c>
      <c r="G321" s="8"/>
      <c r="H321" s="28"/>
      <c r="I321" s="8"/>
      <c r="J321" s="8"/>
      <c r="K321" s="8"/>
      <c r="L321" s="14"/>
      <c r="M321" s="8"/>
      <c r="N321" s="8"/>
      <c r="O321" s="8"/>
      <c r="P321" s="8"/>
      <c r="Q321" s="8" t="s">
        <v>8</v>
      </c>
      <c r="R321" s="21"/>
      <c r="S321" s="8"/>
      <c r="T321" s="7" t="str">
        <f>Tab_Data_Flows[[#This Row],[Flow_ID]]&amp;"_"&amp;"material_"&amp;Tab_Data_Flows[[#This Row],[Flow_Data_Year]]</f>
        <v>F___material_</v>
      </c>
      <c r="U321" s="18">
        <f t="shared" si="11"/>
        <v>0</v>
      </c>
      <c r="V321" s="8" t="s">
        <v>218</v>
      </c>
      <c r="W321" s="156">
        <f>INDEX(Tab_Def_Flows[[Flow_ID]:[CC_DM_source]],MATCH(Tab_Data_Flows[[#This Row],[Flow_Name]],Tab_Def_Flows[Flow_Name],0),11)</f>
        <v>0</v>
      </c>
      <c r="X321" s="7" t="str">
        <f>Tab_Data_Flows[[#This Row],[Flow_ID]]&amp;"_"&amp;"WC_"&amp;Tab_Data_Flows[[#This Row],[Flow_Data_Year]]</f>
        <v>F___WC_</v>
      </c>
      <c r="Y321" s="7" t="str">
        <f>IF(D321="Yes",U321*Tab_Data_Flows[[#This Row],[WC_'[%']]],"N.A.")</f>
        <v>N.A.</v>
      </c>
      <c r="Z321" s="7" t="str">
        <f>Tab_Data_Flows[[#This Row],[UoM_Flow_Py]]</f>
        <v>Mg</v>
      </c>
      <c r="AA321" s="156">
        <f>INDEX(Tab_Def_Flows[[Flow_ID]:[CC_DM_source]],MATCH(Tab_Data_Flows[[#This Row],[Flow_Name]],Tab_Def_Flows[Flow_Name],0),14)</f>
        <v>0</v>
      </c>
      <c r="AB321" s="7" t="str">
        <f>Tab_Data_Flows[[#This Row],[Flow_ID]]&amp;"_"&amp;"DM_"&amp;Tab_Data_Flows[[#This Row],[Flow_Data_Year]]</f>
        <v>F___DM_</v>
      </c>
      <c r="AC321" s="7" t="str">
        <f>IF(E321="Yes",AA321*Tab_Data_Flows[[#This Row],[Flow_Material]],"N.A.")</f>
        <v>N.A.</v>
      </c>
      <c r="AD321" s="7" t="str">
        <f>Tab_Data_Flows[[#This Row],[UoM_Flow_Py]]</f>
        <v>Mg</v>
      </c>
      <c r="AE321" s="156">
        <f>INDEX(Tab_Def_Flows[[Flow_ID]:[CC_DM_source]],MATCH(Tab_Data_Flows[[#This Row],[Flow_Name]],Tab_Def_Flows[Flow_Name],0),17)</f>
        <v>0</v>
      </c>
      <c r="AF321" s="7" t="str">
        <f>Tab_Data_Flows[[#This Row],[Flow_ID]]&amp;"_"&amp;"CC_"&amp;Tab_Data_Flows[[#This Row],[Flow_Data_Year]]</f>
        <v>F___CC_</v>
      </c>
      <c r="AG321" s="7" t="str">
        <f>IF(F321="Yes",AE321*Tab_Data_Flows[[#This Row],[Flow_Material]]*Tab_Data_Flows[[#This Row],[DM_'[%']]],"N.A.")</f>
        <v>N.A.</v>
      </c>
      <c r="AH321" s="7" t="str">
        <f>Tab_Data_Flows[[#This Row],[UoM_Flow_Py]]</f>
        <v>Mg</v>
      </c>
      <c r="AI321"/>
    </row>
    <row r="322" spans="1:35" x14ac:dyDescent="0.25">
      <c r="A322" s="9">
        <f t="shared" si="9"/>
        <v>321</v>
      </c>
      <c r="B322" s="7" t="str">
        <f>_xlfn.XLOOKUP(C322,Tab_Def_Flows[Flow_Name],Tab_Def_Flows[Flow_ID],,0,)</f>
        <v>F__</v>
      </c>
      <c r="C322" s="8" t="s">
        <v>31</v>
      </c>
      <c r="D322" s="10">
        <f>_xlfn.XLOOKUP(C322,Tab_Def_Flows[Flow_Name],Tab_Def_Flows[WC?],,0,)</f>
        <v>0</v>
      </c>
      <c r="E322" s="10">
        <f>_xlfn.XLOOKUP(C322,Tab_Def_Flows[Flow_Name],Tab_Def_Flows[DM?],,0,)</f>
        <v>0</v>
      </c>
      <c r="F322" s="10">
        <f>_xlfn.XLOOKUP(C322,Tab_Def_Flows[Flow_Name],Tab_Def_Flows[CC?],,0,)</f>
        <v>0</v>
      </c>
      <c r="G322" s="8"/>
      <c r="H322" s="28"/>
      <c r="I322" s="8"/>
      <c r="J322" s="8"/>
      <c r="K322" s="8"/>
      <c r="L322" s="14"/>
      <c r="M322" s="8"/>
      <c r="N322" s="8"/>
      <c r="O322" s="8"/>
      <c r="P322" s="8"/>
      <c r="Q322" s="8" t="s">
        <v>8</v>
      </c>
      <c r="R322" s="21"/>
      <c r="S322" s="8"/>
      <c r="T322" s="7" t="str">
        <f>Tab_Data_Flows[[#This Row],[Flow_ID]]&amp;"_"&amp;"material_"&amp;Tab_Data_Flows[[#This Row],[Flow_Data_Year]]</f>
        <v>F___material_</v>
      </c>
      <c r="U322" s="18">
        <f t="shared" si="11"/>
        <v>0</v>
      </c>
      <c r="V322" s="8" t="s">
        <v>218</v>
      </c>
      <c r="W322" s="156">
        <f>INDEX(Tab_Def_Flows[[Flow_ID]:[CC_DM_source]],MATCH(Tab_Data_Flows[[#This Row],[Flow_Name]],Tab_Def_Flows[Flow_Name],0),11)</f>
        <v>0</v>
      </c>
      <c r="X322" s="7" t="str">
        <f>Tab_Data_Flows[[#This Row],[Flow_ID]]&amp;"_"&amp;"WC_"&amp;Tab_Data_Flows[[#This Row],[Flow_Data_Year]]</f>
        <v>F___WC_</v>
      </c>
      <c r="Y322" s="7" t="str">
        <f>IF(D322="Yes",U322*Tab_Data_Flows[[#This Row],[WC_'[%']]],"N.A.")</f>
        <v>N.A.</v>
      </c>
      <c r="Z322" s="7" t="str">
        <f>Tab_Data_Flows[[#This Row],[UoM_Flow_Py]]</f>
        <v>Mg</v>
      </c>
      <c r="AA322" s="156">
        <f>INDEX(Tab_Def_Flows[[Flow_ID]:[CC_DM_source]],MATCH(Tab_Data_Flows[[#This Row],[Flow_Name]],Tab_Def_Flows[Flow_Name],0),14)</f>
        <v>0</v>
      </c>
      <c r="AB322" s="7" t="str">
        <f>Tab_Data_Flows[[#This Row],[Flow_ID]]&amp;"_"&amp;"DM_"&amp;Tab_Data_Flows[[#This Row],[Flow_Data_Year]]</f>
        <v>F___DM_</v>
      </c>
      <c r="AC322" s="7" t="str">
        <f>IF(E322="Yes",AA322*Tab_Data_Flows[[#This Row],[Flow_Material]],"N.A.")</f>
        <v>N.A.</v>
      </c>
      <c r="AD322" s="7" t="str">
        <f>Tab_Data_Flows[[#This Row],[UoM_Flow_Py]]</f>
        <v>Mg</v>
      </c>
      <c r="AE322" s="156">
        <f>INDEX(Tab_Def_Flows[[Flow_ID]:[CC_DM_source]],MATCH(Tab_Data_Flows[[#This Row],[Flow_Name]],Tab_Def_Flows[Flow_Name],0),17)</f>
        <v>0</v>
      </c>
      <c r="AF322" s="7" t="str">
        <f>Tab_Data_Flows[[#This Row],[Flow_ID]]&amp;"_"&amp;"CC_"&amp;Tab_Data_Flows[[#This Row],[Flow_Data_Year]]</f>
        <v>F___CC_</v>
      </c>
      <c r="AG322" s="7" t="str">
        <f>IF(F322="Yes",AE322*Tab_Data_Flows[[#This Row],[Flow_Material]]*Tab_Data_Flows[[#This Row],[DM_'[%']]],"N.A.")</f>
        <v>N.A.</v>
      </c>
      <c r="AH322" s="7" t="str">
        <f>Tab_Data_Flows[[#This Row],[UoM_Flow_Py]]</f>
        <v>Mg</v>
      </c>
      <c r="AI322"/>
    </row>
    <row r="323" spans="1:35" x14ac:dyDescent="0.25">
      <c r="A323" s="9">
        <f t="shared" ref="A323:A346" si="12">ROW()-1</f>
        <v>322</v>
      </c>
      <c r="B323" s="7" t="str">
        <f>_xlfn.XLOOKUP(C323,Tab_Def_Flows[Flow_Name],Tab_Def_Flows[Flow_ID],,0,)</f>
        <v>F__</v>
      </c>
      <c r="C323" s="8" t="s">
        <v>31</v>
      </c>
      <c r="D323" s="10">
        <f>_xlfn.XLOOKUP(C323,Tab_Def_Flows[Flow_Name],Tab_Def_Flows[WC?],,0,)</f>
        <v>0</v>
      </c>
      <c r="E323" s="10">
        <f>_xlfn.XLOOKUP(C323,Tab_Def_Flows[Flow_Name],Tab_Def_Flows[DM?],,0,)</f>
        <v>0</v>
      </c>
      <c r="F323" s="10">
        <f>_xlfn.XLOOKUP(C323,Tab_Def_Flows[Flow_Name],Tab_Def_Flows[CC?],,0,)</f>
        <v>0</v>
      </c>
      <c r="G323" s="8"/>
      <c r="H323" s="28"/>
      <c r="I323" s="8"/>
      <c r="J323" s="8"/>
      <c r="K323" s="8"/>
      <c r="L323" s="14"/>
      <c r="M323" s="8"/>
      <c r="N323" s="8"/>
      <c r="O323" s="8"/>
      <c r="P323" s="8"/>
      <c r="Q323" s="8" t="s">
        <v>8</v>
      </c>
      <c r="R323" s="21"/>
      <c r="S323" s="8"/>
      <c r="T323" s="7" t="str">
        <f>Tab_Data_Flows[[#This Row],[Flow_ID]]&amp;"_"&amp;"material_"&amp;Tab_Data_Flows[[#This Row],[Flow_Data_Year]]</f>
        <v>F___material_</v>
      </c>
      <c r="U323" s="18">
        <f t="shared" ref="U323:U350" si="13">IF(Q323="no",H323,H323*R323)</f>
        <v>0</v>
      </c>
      <c r="V323" s="8" t="s">
        <v>218</v>
      </c>
      <c r="W323" s="156">
        <f>INDEX(Tab_Def_Flows[[Flow_ID]:[CC_DM_source]],MATCH(Tab_Data_Flows[[#This Row],[Flow_Name]],Tab_Def_Flows[Flow_Name],0),11)</f>
        <v>0</v>
      </c>
      <c r="X323" s="7" t="str">
        <f>Tab_Data_Flows[[#This Row],[Flow_ID]]&amp;"_"&amp;"WC_"&amp;Tab_Data_Flows[[#This Row],[Flow_Data_Year]]</f>
        <v>F___WC_</v>
      </c>
      <c r="Y323" s="7" t="str">
        <f>IF(D323="Yes",U323*Tab_Data_Flows[[#This Row],[WC_'[%']]],"N.A.")</f>
        <v>N.A.</v>
      </c>
      <c r="Z323" s="7" t="str">
        <f>Tab_Data_Flows[[#This Row],[UoM_Flow_Py]]</f>
        <v>Mg</v>
      </c>
      <c r="AA323" s="156">
        <f>INDEX(Tab_Def_Flows[[Flow_ID]:[CC_DM_source]],MATCH(Tab_Data_Flows[[#This Row],[Flow_Name]],Tab_Def_Flows[Flow_Name],0),14)</f>
        <v>0</v>
      </c>
      <c r="AB323" s="7" t="str">
        <f>Tab_Data_Flows[[#This Row],[Flow_ID]]&amp;"_"&amp;"DM_"&amp;Tab_Data_Flows[[#This Row],[Flow_Data_Year]]</f>
        <v>F___DM_</v>
      </c>
      <c r="AC323" s="7" t="str">
        <f>IF(E323="Yes",AA323*Tab_Data_Flows[[#This Row],[Flow_Material]],"N.A.")</f>
        <v>N.A.</v>
      </c>
      <c r="AD323" s="7" t="str">
        <f>Tab_Data_Flows[[#This Row],[UoM_Flow_Py]]</f>
        <v>Mg</v>
      </c>
      <c r="AE323" s="156">
        <f>INDEX(Tab_Def_Flows[[Flow_ID]:[CC_DM_source]],MATCH(Tab_Data_Flows[[#This Row],[Flow_Name]],Tab_Def_Flows[Flow_Name],0),17)</f>
        <v>0</v>
      </c>
      <c r="AF323" s="7" t="str">
        <f>Tab_Data_Flows[[#This Row],[Flow_ID]]&amp;"_"&amp;"CC_"&amp;Tab_Data_Flows[[#This Row],[Flow_Data_Year]]</f>
        <v>F___CC_</v>
      </c>
      <c r="AG323" s="7" t="str">
        <f>IF(F323="Yes",AE323*Tab_Data_Flows[[#This Row],[Flow_Material]]*Tab_Data_Flows[[#This Row],[DM_'[%']]],"N.A.")</f>
        <v>N.A.</v>
      </c>
      <c r="AH323" s="7" t="str">
        <f>Tab_Data_Flows[[#This Row],[UoM_Flow_Py]]</f>
        <v>Mg</v>
      </c>
      <c r="AI323"/>
    </row>
    <row r="324" spans="1:35" x14ac:dyDescent="0.25">
      <c r="A324" s="9">
        <f t="shared" si="12"/>
        <v>323</v>
      </c>
      <c r="B324" s="7" t="str">
        <f>_xlfn.XLOOKUP(C324,Tab_Def_Flows[Flow_Name],Tab_Def_Flows[Flow_ID],,0,)</f>
        <v>F__</v>
      </c>
      <c r="C324" s="8" t="s">
        <v>31</v>
      </c>
      <c r="D324" s="10">
        <f>_xlfn.XLOOKUP(C324,Tab_Def_Flows[Flow_Name],Tab_Def_Flows[WC?],,0,)</f>
        <v>0</v>
      </c>
      <c r="E324" s="10">
        <f>_xlfn.XLOOKUP(C324,Tab_Def_Flows[Flow_Name],Tab_Def_Flows[DM?],,0,)</f>
        <v>0</v>
      </c>
      <c r="F324" s="10">
        <f>_xlfn.XLOOKUP(C324,Tab_Def_Flows[Flow_Name],Tab_Def_Flows[CC?],,0,)</f>
        <v>0</v>
      </c>
      <c r="G324" s="8"/>
      <c r="H324" s="28"/>
      <c r="I324" s="8"/>
      <c r="J324" s="8"/>
      <c r="K324" s="8"/>
      <c r="L324" s="14"/>
      <c r="M324" s="8"/>
      <c r="N324" s="8"/>
      <c r="O324" s="8"/>
      <c r="P324" s="8"/>
      <c r="Q324" s="8" t="s">
        <v>8</v>
      </c>
      <c r="R324" s="21"/>
      <c r="S324" s="8"/>
      <c r="T324" s="7" t="str">
        <f>Tab_Data_Flows[[#This Row],[Flow_ID]]&amp;"_"&amp;"material_"&amp;Tab_Data_Flows[[#This Row],[Flow_Data_Year]]</f>
        <v>F___material_</v>
      </c>
      <c r="U324" s="18">
        <f t="shared" si="13"/>
        <v>0</v>
      </c>
      <c r="V324" s="8" t="s">
        <v>218</v>
      </c>
      <c r="W324" s="156">
        <f>INDEX(Tab_Def_Flows[[Flow_ID]:[CC_DM_source]],MATCH(Tab_Data_Flows[[#This Row],[Flow_Name]],Tab_Def_Flows[Flow_Name],0),11)</f>
        <v>0</v>
      </c>
      <c r="X324" s="7" t="str">
        <f>Tab_Data_Flows[[#This Row],[Flow_ID]]&amp;"_"&amp;"WC_"&amp;Tab_Data_Flows[[#This Row],[Flow_Data_Year]]</f>
        <v>F___WC_</v>
      </c>
      <c r="Y324" s="7" t="str">
        <f>IF(D324="Yes",U324*Tab_Data_Flows[[#This Row],[WC_'[%']]],"N.A.")</f>
        <v>N.A.</v>
      </c>
      <c r="Z324" s="7" t="str">
        <f>Tab_Data_Flows[[#This Row],[UoM_Flow_Py]]</f>
        <v>Mg</v>
      </c>
      <c r="AA324" s="156">
        <f>INDEX(Tab_Def_Flows[[Flow_ID]:[CC_DM_source]],MATCH(Tab_Data_Flows[[#This Row],[Flow_Name]],Tab_Def_Flows[Flow_Name],0),14)</f>
        <v>0</v>
      </c>
      <c r="AB324" s="7" t="str">
        <f>Tab_Data_Flows[[#This Row],[Flow_ID]]&amp;"_"&amp;"DM_"&amp;Tab_Data_Flows[[#This Row],[Flow_Data_Year]]</f>
        <v>F___DM_</v>
      </c>
      <c r="AC324" s="7" t="str">
        <f>IF(E324="Yes",AA324*Tab_Data_Flows[[#This Row],[Flow_Material]],"N.A.")</f>
        <v>N.A.</v>
      </c>
      <c r="AD324" s="7" t="str">
        <f>Tab_Data_Flows[[#This Row],[UoM_Flow_Py]]</f>
        <v>Mg</v>
      </c>
      <c r="AE324" s="156">
        <f>INDEX(Tab_Def_Flows[[Flow_ID]:[CC_DM_source]],MATCH(Tab_Data_Flows[[#This Row],[Flow_Name]],Tab_Def_Flows[Flow_Name],0),17)</f>
        <v>0</v>
      </c>
      <c r="AF324" s="7" t="str">
        <f>Tab_Data_Flows[[#This Row],[Flow_ID]]&amp;"_"&amp;"CC_"&amp;Tab_Data_Flows[[#This Row],[Flow_Data_Year]]</f>
        <v>F___CC_</v>
      </c>
      <c r="AG324" s="7" t="str">
        <f>IF(F324="Yes",AE324*Tab_Data_Flows[[#This Row],[Flow_Material]]*Tab_Data_Flows[[#This Row],[DM_'[%']]],"N.A.")</f>
        <v>N.A.</v>
      </c>
      <c r="AH324" s="7" t="str">
        <f>Tab_Data_Flows[[#This Row],[UoM_Flow_Py]]</f>
        <v>Mg</v>
      </c>
      <c r="AI324"/>
    </row>
    <row r="325" spans="1:35" x14ac:dyDescent="0.25">
      <c r="A325" s="9">
        <f t="shared" si="12"/>
        <v>324</v>
      </c>
      <c r="B325" s="7" t="str">
        <f>_xlfn.XLOOKUP(C325,Tab_Def_Flows[Flow_Name],Tab_Def_Flows[Flow_ID],,0,)</f>
        <v>F__</v>
      </c>
      <c r="C325" s="8" t="s">
        <v>31</v>
      </c>
      <c r="D325" s="10">
        <f>_xlfn.XLOOKUP(C325,Tab_Def_Flows[Flow_Name],Tab_Def_Flows[WC?],,0,)</f>
        <v>0</v>
      </c>
      <c r="E325" s="10">
        <f>_xlfn.XLOOKUP(C325,Tab_Def_Flows[Flow_Name],Tab_Def_Flows[DM?],,0,)</f>
        <v>0</v>
      </c>
      <c r="F325" s="10">
        <f>_xlfn.XLOOKUP(C325,Tab_Def_Flows[Flow_Name],Tab_Def_Flows[CC?],,0,)</f>
        <v>0</v>
      </c>
      <c r="G325" s="8"/>
      <c r="H325" s="28"/>
      <c r="I325" s="8"/>
      <c r="J325" s="8"/>
      <c r="K325" s="8"/>
      <c r="L325" s="14"/>
      <c r="M325" s="8"/>
      <c r="N325" s="8"/>
      <c r="O325" s="8"/>
      <c r="P325" s="8"/>
      <c r="Q325" s="8" t="s">
        <v>8</v>
      </c>
      <c r="R325" s="21"/>
      <c r="S325" s="8"/>
      <c r="T325" s="7" t="str">
        <f>Tab_Data_Flows[[#This Row],[Flow_ID]]&amp;"_"&amp;"material_"&amp;Tab_Data_Flows[[#This Row],[Flow_Data_Year]]</f>
        <v>F___material_</v>
      </c>
      <c r="U325" s="18">
        <f t="shared" si="13"/>
        <v>0</v>
      </c>
      <c r="V325" s="8" t="s">
        <v>218</v>
      </c>
      <c r="W325" s="156">
        <f>INDEX(Tab_Def_Flows[[Flow_ID]:[CC_DM_source]],MATCH(Tab_Data_Flows[[#This Row],[Flow_Name]],Tab_Def_Flows[Flow_Name],0),11)</f>
        <v>0</v>
      </c>
      <c r="X325" s="7" t="str">
        <f>Tab_Data_Flows[[#This Row],[Flow_ID]]&amp;"_"&amp;"WC_"&amp;Tab_Data_Flows[[#This Row],[Flow_Data_Year]]</f>
        <v>F___WC_</v>
      </c>
      <c r="Y325" s="7" t="str">
        <f>IF(D325="Yes",U325*Tab_Data_Flows[[#This Row],[WC_'[%']]],"N.A.")</f>
        <v>N.A.</v>
      </c>
      <c r="Z325" s="7" t="str">
        <f>Tab_Data_Flows[[#This Row],[UoM_Flow_Py]]</f>
        <v>Mg</v>
      </c>
      <c r="AA325" s="156">
        <f>INDEX(Tab_Def_Flows[[Flow_ID]:[CC_DM_source]],MATCH(Tab_Data_Flows[[#This Row],[Flow_Name]],Tab_Def_Flows[Flow_Name],0),14)</f>
        <v>0</v>
      </c>
      <c r="AB325" s="7" t="str">
        <f>Tab_Data_Flows[[#This Row],[Flow_ID]]&amp;"_"&amp;"DM_"&amp;Tab_Data_Flows[[#This Row],[Flow_Data_Year]]</f>
        <v>F___DM_</v>
      </c>
      <c r="AC325" s="7" t="str">
        <f>IF(E325="Yes",AA325*Tab_Data_Flows[[#This Row],[Flow_Material]],"N.A.")</f>
        <v>N.A.</v>
      </c>
      <c r="AD325" s="7" t="str">
        <f>Tab_Data_Flows[[#This Row],[UoM_Flow_Py]]</f>
        <v>Mg</v>
      </c>
      <c r="AE325" s="156">
        <f>INDEX(Tab_Def_Flows[[Flow_ID]:[CC_DM_source]],MATCH(Tab_Data_Flows[[#This Row],[Flow_Name]],Tab_Def_Flows[Flow_Name],0),17)</f>
        <v>0</v>
      </c>
      <c r="AF325" s="7" t="str">
        <f>Tab_Data_Flows[[#This Row],[Flow_ID]]&amp;"_"&amp;"CC_"&amp;Tab_Data_Flows[[#This Row],[Flow_Data_Year]]</f>
        <v>F___CC_</v>
      </c>
      <c r="AG325" s="7" t="str">
        <f>IF(F325="Yes",AE325*Tab_Data_Flows[[#This Row],[Flow_Material]]*Tab_Data_Flows[[#This Row],[DM_'[%']]],"N.A.")</f>
        <v>N.A.</v>
      </c>
      <c r="AH325" s="7" t="str">
        <f>Tab_Data_Flows[[#This Row],[UoM_Flow_Py]]</f>
        <v>Mg</v>
      </c>
      <c r="AI325"/>
    </row>
    <row r="326" spans="1:35" x14ac:dyDescent="0.25">
      <c r="A326" s="9">
        <f t="shared" si="12"/>
        <v>325</v>
      </c>
      <c r="B326" s="7" t="str">
        <f>_xlfn.XLOOKUP(C326,Tab_Def_Flows[Flow_Name],Tab_Def_Flows[Flow_ID],,0,)</f>
        <v>F__</v>
      </c>
      <c r="C326" s="8" t="s">
        <v>31</v>
      </c>
      <c r="D326" s="10">
        <f>_xlfn.XLOOKUP(C326,Tab_Def_Flows[Flow_Name],Tab_Def_Flows[WC?],,0,)</f>
        <v>0</v>
      </c>
      <c r="E326" s="10">
        <f>_xlfn.XLOOKUP(C326,Tab_Def_Flows[Flow_Name],Tab_Def_Flows[DM?],,0,)</f>
        <v>0</v>
      </c>
      <c r="F326" s="10">
        <f>_xlfn.XLOOKUP(C326,Tab_Def_Flows[Flow_Name],Tab_Def_Flows[CC?],,0,)</f>
        <v>0</v>
      </c>
      <c r="G326" s="8"/>
      <c r="H326" s="28"/>
      <c r="I326" s="8"/>
      <c r="J326" s="8"/>
      <c r="K326" s="8"/>
      <c r="L326" s="14"/>
      <c r="M326" s="8"/>
      <c r="N326" s="8"/>
      <c r="O326" s="8"/>
      <c r="P326" s="8"/>
      <c r="Q326" s="8" t="s">
        <v>8</v>
      </c>
      <c r="R326" s="21"/>
      <c r="S326" s="8"/>
      <c r="T326" s="7" t="str">
        <f>Tab_Data_Flows[[#This Row],[Flow_ID]]&amp;"_"&amp;"material_"&amp;Tab_Data_Flows[[#This Row],[Flow_Data_Year]]</f>
        <v>F___material_</v>
      </c>
      <c r="U326" s="18">
        <f t="shared" si="13"/>
        <v>0</v>
      </c>
      <c r="V326" s="8" t="s">
        <v>218</v>
      </c>
      <c r="W326" s="156">
        <f>INDEX(Tab_Def_Flows[[Flow_ID]:[CC_DM_source]],MATCH(Tab_Data_Flows[[#This Row],[Flow_Name]],Tab_Def_Flows[Flow_Name],0),11)</f>
        <v>0</v>
      </c>
      <c r="X326" s="7" t="str">
        <f>Tab_Data_Flows[[#This Row],[Flow_ID]]&amp;"_"&amp;"WC_"&amp;Tab_Data_Flows[[#This Row],[Flow_Data_Year]]</f>
        <v>F___WC_</v>
      </c>
      <c r="Y326" s="7" t="str">
        <f>IF(D326="Yes",U326*Tab_Data_Flows[[#This Row],[WC_'[%']]],"N.A.")</f>
        <v>N.A.</v>
      </c>
      <c r="Z326" s="7" t="str">
        <f>Tab_Data_Flows[[#This Row],[UoM_Flow_Py]]</f>
        <v>Mg</v>
      </c>
      <c r="AA326" s="156">
        <f>INDEX(Tab_Def_Flows[[Flow_ID]:[CC_DM_source]],MATCH(Tab_Data_Flows[[#This Row],[Flow_Name]],Tab_Def_Flows[Flow_Name],0),14)</f>
        <v>0</v>
      </c>
      <c r="AB326" s="7" t="str">
        <f>Tab_Data_Flows[[#This Row],[Flow_ID]]&amp;"_"&amp;"DM_"&amp;Tab_Data_Flows[[#This Row],[Flow_Data_Year]]</f>
        <v>F___DM_</v>
      </c>
      <c r="AC326" s="7" t="str">
        <f>IF(E326="Yes",AA326*Tab_Data_Flows[[#This Row],[Flow_Material]],"N.A.")</f>
        <v>N.A.</v>
      </c>
      <c r="AD326" s="7" t="str">
        <f>Tab_Data_Flows[[#This Row],[UoM_Flow_Py]]</f>
        <v>Mg</v>
      </c>
      <c r="AE326" s="156">
        <f>INDEX(Tab_Def_Flows[[Flow_ID]:[CC_DM_source]],MATCH(Tab_Data_Flows[[#This Row],[Flow_Name]],Tab_Def_Flows[Flow_Name],0),17)</f>
        <v>0</v>
      </c>
      <c r="AF326" s="7" t="str">
        <f>Tab_Data_Flows[[#This Row],[Flow_ID]]&amp;"_"&amp;"CC_"&amp;Tab_Data_Flows[[#This Row],[Flow_Data_Year]]</f>
        <v>F___CC_</v>
      </c>
      <c r="AG326" s="7" t="str">
        <f>IF(F326="Yes",AE326*Tab_Data_Flows[[#This Row],[Flow_Material]]*Tab_Data_Flows[[#This Row],[DM_'[%']]],"N.A.")</f>
        <v>N.A.</v>
      </c>
      <c r="AH326" s="7" t="str">
        <f>Tab_Data_Flows[[#This Row],[UoM_Flow_Py]]</f>
        <v>Mg</v>
      </c>
      <c r="AI326"/>
    </row>
    <row r="327" spans="1:35" x14ac:dyDescent="0.25">
      <c r="A327" s="9">
        <f t="shared" si="12"/>
        <v>326</v>
      </c>
      <c r="B327" s="7" t="str">
        <f>_xlfn.XLOOKUP(C327,Tab_Def_Flows[Flow_Name],Tab_Def_Flows[Flow_ID],,0,)</f>
        <v>F__</v>
      </c>
      <c r="C327" s="8" t="s">
        <v>31</v>
      </c>
      <c r="D327" s="10">
        <f>_xlfn.XLOOKUP(C327,Tab_Def_Flows[Flow_Name],Tab_Def_Flows[WC?],,0,)</f>
        <v>0</v>
      </c>
      <c r="E327" s="10">
        <f>_xlfn.XLOOKUP(C327,Tab_Def_Flows[Flow_Name],Tab_Def_Flows[DM?],,0,)</f>
        <v>0</v>
      </c>
      <c r="F327" s="10">
        <f>_xlfn.XLOOKUP(C327,Tab_Def_Flows[Flow_Name],Tab_Def_Flows[CC?],,0,)</f>
        <v>0</v>
      </c>
      <c r="G327" s="8"/>
      <c r="H327" s="28"/>
      <c r="I327" s="8"/>
      <c r="J327" s="8"/>
      <c r="K327" s="8"/>
      <c r="L327" s="14"/>
      <c r="M327" s="8"/>
      <c r="N327" s="8"/>
      <c r="O327" s="8"/>
      <c r="P327" s="8"/>
      <c r="Q327" s="8" t="s">
        <v>8</v>
      </c>
      <c r="R327" s="21"/>
      <c r="S327" s="8"/>
      <c r="T327" s="7" t="str">
        <f>Tab_Data_Flows[[#This Row],[Flow_ID]]&amp;"_"&amp;"material_"&amp;Tab_Data_Flows[[#This Row],[Flow_Data_Year]]</f>
        <v>F___material_</v>
      </c>
      <c r="U327" s="18">
        <f t="shared" si="13"/>
        <v>0</v>
      </c>
      <c r="V327" s="8" t="s">
        <v>218</v>
      </c>
      <c r="W327" s="156">
        <f>INDEX(Tab_Def_Flows[[Flow_ID]:[CC_DM_source]],MATCH(Tab_Data_Flows[[#This Row],[Flow_Name]],Tab_Def_Flows[Flow_Name],0),11)</f>
        <v>0</v>
      </c>
      <c r="X327" s="7" t="str">
        <f>Tab_Data_Flows[[#This Row],[Flow_ID]]&amp;"_"&amp;"WC_"&amp;Tab_Data_Flows[[#This Row],[Flow_Data_Year]]</f>
        <v>F___WC_</v>
      </c>
      <c r="Y327" s="7" t="str">
        <f>IF(D327="Yes",U327*Tab_Data_Flows[[#This Row],[WC_'[%']]],"N.A.")</f>
        <v>N.A.</v>
      </c>
      <c r="Z327" s="7" t="str">
        <f>Tab_Data_Flows[[#This Row],[UoM_Flow_Py]]</f>
        <v>Mg</v>
      </c>
      <c r="AA327" s="156">
        <f>INDEX(Tab_Def_Flows[[Flow_ID]:[CC_DM_source]],MATCH(Tab_Data_Flows[[#This Row],[Flow_Name]],Tab_Def_Flows[Flow_Name],0),14)</f>
        <v>0</v>
      </c>
      <c r="AB327" s="7" t="str">
        <f>Tab_Data_Flows[[#This Row],[Flow_ID]]&amp;"_"&amp;"DM_"&amp;Tab_Data_Flows[[#This Row],[Flow_Data_Year]]</f>
        <v>F___DM_</v>
      </c>
      <c r="AC327" s="7" t="str">
        <f>IF(E327="Yes",AA327*Tab_Data_Flows[[#This Row],[Flow_Material]],"N.A.")</f>
        <v>N.A.</v>
      </c>
      <c r="AD327" s="7" t="str">
        <f>Tab_Data_Flows[[#This Row],[UoM_Flow_Py]]</f>
        <v>Mg</v>
      </c>
      <c r="AE327" s="156">
        <f>INDEX(Tab_Def_Flows[[Flow_ID]:[CC_DM_source]],MATCH(Tab_Data_Flows[[#This Row],[Flow_Name]],Tab_Def_Flows[Flow_Name],0),17)</f>
        <v>0</v>
      </c>
      <c r="AF327" s="7" t="str">
        <f>Tab_Data_Flows[[#This Row],[Flow_ID]]&amp;"_"&amp;"CC_"&amp;Tab_Data_Flows[[#This Row],[Flow_Data_Year]]</f>
        <v>F___CC_</v>
      </c>
      <c r="AG327" s="7" t="str">
        <f>IF(F327="Yes",AE327*Tab_Data_Flows[[#This Row],[Flow_Material]]*Tab_Data_Flows[[#This Row],[DM_'[%']]],"N.A.")</f>
        <v>N.A.</v>
      </c>
      <c r="AH327" s="7" t="str">
        <f>Tab_Data_Flows[[#This Row],[UoM_Flow_Py]]</f>
        <v>Mg</v>
      </c>
      <c r="AI327"/>
    </row>
    <row r="328" spans="1:35" x14ac:dyDescent="0.25">
      <c r="A328" s="9">
        <f t="shared" si="12"/>
        <v>327</v>
      </c>
      <c r="B328" s="7" t="str">
        <f>_xlfn.XLOOKUP(C328,Tab_Def_Flows[Flow_Name],Tab_Def_Flows[Flow_ID],,0,)</f>
        <v>F__</v>
      </c>
      <c r="C328" s="8" t="s">
        <v>31</v>
      </c>
      <c r="D328" s="10">
        <f>_xlfn.XLOOKUP(C328,Tab_Def_Flows[Flow_Name],Tab_Def_Flows[WC?],,0,)</f>
        <v>0</v>
      </c>
      <c r="E328" s="10">
        <f>_xlfn.XLOOKUP(C328,Tab_Def_Flows[Flow_Name],Tab_Def_Flows[DM?],,0,)</f>
        <v>0</v>
      </c>
      <c r="F328" s="10">
        <f>_xlfn.XLOOKUP(C328,Tab_Def_Flows[Flow_Name],Tab_Def_Flows[CC?],,0,)</f>
        <v>0</v>
      </c>
      <c r="G328" s="8"/>
      <c r="H328" s="28"/>
      <c r="I328" s="8"/>
      <c r="J328" s="8"/>
      <c r="K328" s="8"/>
      <c r="L328" s="14"/>
      <c r="M328" s="8"/>
      <c r="N328" s="8"/>
      <c r="O328" s="8"/>
      <c r="P328" s="8"/>
      <c r="Q328" s="8" t="s">
        <v>8</v>
      </c>
      <c r="R328" s="21"/>
      <c r="S328" s="8"/>
      <c r="T328" s="7" t="str">
        <f>Tab_Data_Flows[[#This Row],[Flow_ID]]&amp;"_"&amp;"material_"&amp;Tab_Data_Flows[[#This Row],[Flow_Data_Year]]</f>
        <v>F___material_</v>
      </c>
      <c r="U328" s="18">
        <f t="shared" si="13"/>
        <v>0</v>
      </c>
      <c r="V328" s="8" t="s">
        <v>218</v>
      </c>
      <c r="W328" s="156">
        <f>INDEX(Tab_Def_Flows[[Flow_ID]:[CC_DM_source]],MATCH(Tab_Data_Flows[[#This Row],[Flow_Name]],Tab_Def_Flows[Flow_Name],0),11)</f>
        <v>0</v>
      </c>
      <c r="X328" s="7" t="str">
        <f>Tab_Data_Flows[[#This Row],[Flow_ID]]&amp;"_"&amp;"WC_"&amp;Tab_Data_Flows[[#This Row],[Flow_Data_Year]]</f>
        <v>F___WC_</v>
      </c>
      <c r="Y328" s="7" t="str">
        <f>IF(D328="Yes",U328*Tab_Data_Flows[[#This Row],[WC_'[%']]],"N.A.")</f>
        <v>N.A.</v>
      </c>
      <c r="Z328" s="7" t="str">
        <f>Tab_Data_Flows[[#This Row],[UoM_Flow_Py]]</f>
        <v>Mg</v>
      </c>
      <c r="AA328" s="156">
        <f>INDEX(Tab_Def_Flows[[Flow_ID]:[CC_DM_source]],MATCH(Tab_Data_Flows[[#This Row],[Flow_Name]],Tab_Def_Flows[Flow_Name],0),14)</f>
        <v>0</v>
      </c>
      <c r="AB328" s="7" t="str">
        <f>Tab_Data_Flows[[#This Row],[Flow_ID]]&amp;"_"&amp;"DM_"&amp;Tab_Data_Flows[[#This Row],[Flow_Data_Year]]</f>
        <v>F___DM_</v>
      </c>
      <c r="AC328" s="7" t="str">
        <f>IF(E328="Yes",AA328*Tab_Data_Flows[[#This Row],[Flow_Material]],"N.A.")</f>
        <v>N.A.</v>
      </c>
      <c r="AD328" s="7" t="str">
        <f>Tab_Data_Flows[[#This Row],[UoM_Flow_Py]]</f>
        <v>Mg</v>
      </c>
      <c r="AE328" s="156">
        <f>INDEX(Tab_Def_Flows[[Flow_ID]:[CC_DM_source]],MATCH(Tab_Data_Flows[[#This Row],[Flow_Name]],Tab_Def_Flows[Flow_Name],0),17)</f>
        <v>0</v>
      </c>
      <c r="AF328" s="7" t="str">
        <f>Tab_Data_Flows[[#This Row],[Flow_ID]]&amp;"_"&amp;"CC_"&amp;Tab_Data_Flows[[#This Row],[Flow_Data_Year]]</f>
        <v>F___CC_</v>
      </c>
      <c r="AG328" s="7" t="str">
        <f>IF(F328="Yes",AE328*Tab_Data_Flows[[#This Row],[Flow_Material]]*Tab_Data_Flows[[#This Row],[DM_'[%']]],"N.A.")</f>
        <v>N.A.</v>
      </c>
      <c r="AH328" s="7" t="str">
        <f>Tab_Data_Flows[[#This Row],[UoM_Flow_Py]]</f>
        <v>Mg</v>
      </c>
      <c r="AI328"/>
    </row>
    <row r="329" spans="1:35" x14ac:dyDescent="0.25">
      <c r="A329" s="9">
        <f t="shared" si="12"/>
        <v>328</v>
      </c>
      <c r="B329" s="7" t="str">
        <f>_xlfn.XLOOKUP(C329,Tab_Def_Flows[Flow_Name],Tab_Def_Flows[Flow_ID],,0,)</f>
        <v>F__</v>
      </c>
      <c r="C329" s="8" t="s">
        <v>31</v>
      </c>
      <c r="D329" s="10">
        <f>_xlfn.XLOOKUP(C329,Tab_Def_Flows[Flow_Name],Tab_Def_Flows[WC?],,0,)</f>
        <v>0</v>
      </c>
      <c r="E329" s="10">
        <f>_xlfn.XLOOKUP(C329,Tab_Def_Flows[Flow_Name],Tab_Def_Flows[DM?],,0,)</f>
        <v>0</v>
      </c>
      <c r="F329" s="10">
        <f>_xlfn.XLOOKUP(C329,Tab_Def_Flows[Flow_Name],Tab_Def_Flows[CC?],,0,)</f>
        <v>0</v>
      </c>
      <c r="G329" s="8"/>
      <c r="H329" s="28"/>
      <c r="I329" s="8"/>
      <c r="J329" s="8"/>
      <c r="K329" s="8"/>
      <c r="L329" s="14"/>
      <c r="M329" s="8"/>
      <c r="N329" s="8"/>
      <c r="O329" s="8"/>
      <c r="P329" s="8"/>
      <c r="Q329" s="8" t="s">
        <v>8</v>
      </c>
      <c r="R329" s="21"/>
      <c r="S329" s="8"/>
      <c r="T329" s="7" t="str">
        <f>Tab_Data_Flows[[#This Row],[Flow_ID]]&amp;"_"&amp;"material_"&amp;Tab_Data_Flows[[#This Row],[Flow_Data_Year]]</f>
        <v>F___material_</v>
      </c>
      <c r="U329" s="18">
        <f t="shared" si="13"/>
        <v>0</v>
      </c>
      <c r="V329" s="8" t="s">
        <v>218</v>
      </c>
      <c r="W329" s="156">
        <f>INDEX(Tab_Def_Flows[[Flow_ID]:[CC_DM_source]],MATCH(Tab_Data_Flows[[#This Row],[Flow_Name]],Tab_Def_Flows[Flow_Name],0),11)</f>
        <v>0</v>
      </c>
      <c r="X329" s="7" t="str">
        <f>Tab_Data_Flows[[#This Row],[Flow_ID]]&amp;"_"&amp;"WC_"&amp;Tab_Data_Flows[[#This Row],[Flow_Data_Year]]</f>
        <v>F___WC_</v>
      </c>
      <c r="Y329" s="7" t="str">
        <f>IF(D329="Yes",U329*Tab_Data_Flows[[#This Row],[WC_'[%']]],"N.A.")</f>
        <v>N.A.</v>
      </c>
      <c r="Z329" s="7" t="str">
        <f>Tab_Data_Flows[[#This Row],[UoM_Flow_Py]]</f>
        <v>Mg</v>
      </c>
      <c r="AA329" s="156">
        <f>INDEX(Tab_Def_Flows[[Flow_ID]:[CC_DM_source]],MATCH(Tab_Data_Flows[[#This Row],[Flow_Name]],Tab_Def_Flows[Flow_Name],0),14)</f>
        <v>0</v>
      </c>
      <c r="AB329" s="7" t="str">
        <f>Tab_Data_Flows[[#This Row],[Flow_ID]]&amp;"_"&amp;"DM_"&amp;Tab_Data_Flows[[#This Row],[Flow_Data_Year]]</f>
        <v>F___DM_</v>
      </c>
      <c r="AC329" s="7" t="str">
        <f>IF(E329="Yes",AA329*Tab_Data_Flows[[#This Row],[Flow_Material]],"N.A.")</f>
        <v>N.A.</v>
      </c>
      <c r="AD329" s="7" t="str">
        <f>Tab_Data_Flows[[#This Row],[UoM_Flow_Py]]</f>
        <v>Mg</v>
      </c>
      <c r="AE329" s="156">
        <f>INDEX(Tab_Def_Flows[[Flow_ID]:[CC_DM_source]],MATCH(Tab_Data_Flows[[#This Row],[Flow_Name]],Tab_Def_Flows[Flow_Name],0),17)</f>
        <v>0</v>
      </c>
      <c r="AF329" s="7" t="str">
        <f>Tab_Data_Flows[[#This Row],[Flow_ID]]&amp;"_"&amp;"CC_"&amp;Tab_Data_Flows[[#This Row],[Flow_Data_Year]]</f>
        <v>F___CC_</v>
      </c>
      <c r="AG329" s="7" t="str">
        <f>IF(F329="Yes",AE329*Tab_Data_Flows[[#This Row],[Flow_Material]]*Tab_Data_Flows[[#This Row],[DM_'[%']]],"N.A.")</f>
        <v>N.A.</v>
      </c>
      <c r="AH329" s="7" t="str">
        <f>Tab_Data_Flows[[#This Row],[UoM_Flow_Py]]</f>
        <v>Mg</v>
      </c>
      <c r="AI329"/>
    </row>
    <row r="330" spans="1:35" x14ac:dyDescent="0.25">
      <c r="A330" s="9">
        <f t="shared" si="12"/>
        <v>329</v>
      </c>
      <c r="B330" s="7" t="str">
        <f>_xlfn.XLOOKUP(C330,Tab_Def_Flows[Flow_Name],Tab_Def_Flows[Flow_ID],,0,)</f>
        <v>F__</v>
      </c>
      <c r="C330" s="8" t="s">
        <v>31</v>
      </c>
      <c r="D330" s="10">
        <f>_xlfn.XLOOKUP(C330,Tab_Def_Flows[Flow_Name],Tab_Def_Flows[WC?],,0,)</f>
        <v>0</v>
      </c>
      <c r="E330" s="10">
        <f>_xlfn.XLOOKUP(C330,Tab_Def_Flows[Flow_Name],Tab_Def_Flows[DM?],,0,)</f>
        <v>0</v>
      </c>
      <c r="F330" s="10">
        <f>_xlfn.XLOOKUP(C330,Tab_Def_Flows[Flow_Name],Tab_Def_Flows[CC?],,0,)</f>
        <v>0</v>
      </c>
      <c r="G330" s="8"/>
      <c r="H330" s="28"/>
      <c r="I330" s="8"/>
      <c r="J330" s="8"/>
      <c r="K330" s="8"/>
      <c r="L330" s="14"/>
      <c r="M330" s="8"/>
      <c r="N330" s="8"/>
      <c r="O330" s="8"/>
      <c r="P330" s="8"/>
      <c r="Q330" s="8" t="s">
        <v>8</v>
      </c>
      <c r="R330" s="21"/>
      <c r="S330" s="8"/>
      <c r="T330" s="7" t="str">
        <f>Tab_Data_Flows[[#This Row],[Flow_ID]]&amp;"_"&amp;"material_"&amp;Tab_Data_Flows[[#This Row],[Flow_Data_Year]]</f>
        <v>F___material_</v>
      </c>
      <c r="U330" s="18">
        <f t="shared" si="13"/>
        <v>0</v>
      </c>
      <c r="V330" s="8" t="s">
        <v>218</v>
      </c>
      <c r="W330" s="156">
        <f>INDEX(Tab_Def_Flows[[Flow_ID]:[CC_DM_source]],MATCH(Tab_Data_Flows[[#This Row],[Flow_Name]],Tab_Def_Flows[Flow_Name],0),11)</f>
        <v>0</v>
      </c>
      <c r="X330" s="7" t="str">
        <f>Tab_Data_Flows[[#This Row],[Flow_ID]]&amp;"_"&amp;"WC_"&amp;Tab_Data_Flows[[#This Row],[Flow_Data_Year]]</f>
        <v>F___WC_</v>
      </c>
      <c r="Y330" s="7" t="str">
        <f>IF(D330="Yes",U330*Tab_Data_Flows[[#This Row],[WC_'[%']]],"N.A.")</f>
        <v>N.A.</v>
      </c>
      <c r="Z330" s="7" t="str">
        <f>Tab_Data_Flows[[#This Row],[UoM_Flow_Py]]</f>
        <v>Mg</v>
      </c>
      <c r="AA330" s="156">
        <f>INDEX(Tab_Def_Flows[[Flow_ID]:[CC_DM_source]],MATCH(Tab_Data_Flows[[#This Row],[Flow_Name]],Tab_Def_Flows[Flow_Name],0),14)</f>
        <v>0</v>
      </c>
      <c r="AB330" s="7" t="str">
        <f>Tab_Data_Flows[[#This Row],[Flow_ID]]&amp;"_"&amp;"DM_"&amp;Tab_Data_Flows[[#This Row],[Flow_Data_Year]]</f>
        <v>F___DM_</v>
      </c>
      <c r="AC330" s="7" t="str">
        <f>IF(E330="Yes",AA330*Tab_Data_Flows[[#This Row],[Flow_Material]],"N.A.")</f>
        <v>N.A.</v>
      </c>
      <c r="AD330" s="7" t="str">
        <f>Tab_Data_Flows[[#This Row],[UoM_Flow_Py]]</f>
        <v>Mg</v>
      </c>
      <c r="AE330" s="156">
        <f>INDEX(Tab_Def_Flows[[Flow_ID]:[CC_DM_source]],MATCH(Tab_Data_Flows[[#This Row],[Flow_Name]],Tab_Def_Flows[Flow_Name],0),17)</f>
        <v>0</v>
      </c>
      <c r="AF330" s="7" t="str">
        <f>Tab_Data_Flows[[#This Row],[Flow_ID]]&amp;"_"&amp;"CC_"&amp;Tab_Data_Flows[[#This Row],[Flow_Data_Year]]</f>
        <v>F___CC_</v>
      </c>
      <c r="AG330" s="7" t="str">
        <f>IF(F330="Yes",AE330*Tab_Data_Flows[[#This Row],[Flow_Material]]*Tab_Data_Flows[[#This Row],[DM_'[%']]],"N.A.")</f>
        <v>N.A.</v>
      </c>
      <c r="AH330" s="7" t="str">
        <f>Tab_Data_Flows[[#This Row],[UoM_Flow_Py]]</f>
        <v>Mg</v>
      </c>
      <c r="AI330"/>
    </row>
    <row r="331" spans="1:35" x14ac:dyDescent="0.25">
      <c r="A331" s="9">
        <f t="shared" si="12"/>
        <v>330</v>
      </c>
      <c r="B331" s="7" t="str">
        <f>_xlfn.XLOOKUP(C331,Tab_Def_Flows[Flow_Name],Tab_Def_Flows[Flow_ID],,0,)</f>
        <v>F__</v>
      </c>
      <c r="C331" s="8" t="s">
        <v>31</v>
      </c>
      <c r="D331" s="10">
        <f>_xlfn.XLOOKUP(C331,Tab_Def_Flows[Flow_Name],Tab_Def_Flows[WC?],,0,)</f>
        <v>0</v>
      </c>
      <c r="E331" s="10">
        <f>_xlfn.XLOOKUP(C331,Tab_Def_Flows[Flow_Name],Tab_Def_Flows[DM?],,0,)</f>
        <v>0</v>
      </c>
      <c r="F331" s="10">
        <f>_xlfn.XLOOKUP(C331,Tab_Def_Flows[Flow_Name],Tab_Def_Flows[CC?],,0,)</f>
        <v>0</v>
      </c>
      <c r="G331" s="8"/>
      <c r="H331" s="28"/>
      <c r="I331" s="8"/>
      <c r="J331" s="8"/>
      <c r="K331" s="8"/>
      <c r="L331" s="14"/>
      <c r="M331" s="8"/>
      <c r="N331" s="8"/>
      <c r="O331" s="8"/>
      <c r="P331" s="8"/>
      <c r="Q331" s="8" t="s">
        <v>8</v>
      </c>
      <c r="R331" s="21"/>
      <c r="S331" s="8"/>
      <c r="T331" s="7" t="str">
        <f>Tab_Data_Flows[[#This Row],[Flow_ID]]&amp;"_"&amp;"material_"&amp;Tab_Data_Flows[[#This Row],[Flow_Data_Year]]</f>
        <v>F___material_</v>
      </c>
      <c r="U331" s="18">
        <f t="shared" si="13"/>
        <v>0</v>
      </c>
      <c r="V331" s="8" t="s">
        <v>218</v>
      </c>
      <c r="W331" s="156">
        <f>INDEX(Tab_Def_Flows[[Flow_ID]:[CC_DM_source]],MATCH(Tab_Data_Flows[[#This Row],[Flow_Name]],Tab_Def_Flows[Flow_Name],0),11)</f>
        <v>0</v>
      </c>
      <c r="X331" s="7" t="str">
        <f>Tab_Data_Flows[[#This Row],[Flow_ID]]&amp;"_"&amp;"WC_"&amp;Tab_Data_Flows[[#This Row],[Flow_Data_Year]]</f>
        <v>F___WC_</v>
      </c>
      <c r="Y331" s="7" t="str">
        <f>IF(D331="Yes",U331*Tab_Data_Flows[[#This Row],[WC_'[%']]],"N.A.")</f>
        <v>N.A.</v>
      </c>
      <c r="Z331" s="7" t="str">
        <f>Tab_Data_Flows[[#This Row],[UoM_Flow_Py]]</f>
        <v>Mg</v>
      </c>
      <c r="AA331" s="156">
        <f>INDEX(Tab_Def_Flows[[Flow_ID]:[CC_DM_source]],MATCH(Tab_Data_Flows[[#This Row],[Flow_Name]],Tab_Def_Flows[Flow_Name],0),14)</f>
        <v>0</v>
      </c>
      <c r="AB331" s="7" t="str">
        <f>Tab_Data_Flows[[#This Row],[Flow_ID]]&amp;"_"&amp;"DM_"&amp;Tab_Data_Flows[[#This Row],[Flow_Data_Year]]</f>
        <v>F___DM_</v>
      </c>
      <c r="AC331" s="7" t="str">
        <f>IF(E331="Yes",AA331*Tab_Data_Flows[[#This Row],[Flow_Material]],"N.A.")</f>
        <v>N.A.</v>
      </c>
      <c r="AD331" s="7" t="str">
        <f>Tab_Data_Flows[[#This Row],[UoM_Flow_Py]]</f>
        <v>Mg</v>
      </c>
      <c r="AE331" s="156">
        <f>INDEX(Tab_Def_Flows[[Flow_ID]:[CC_DM_source]],MATCH(Tab_Data_Flows[[#This Row],[Flow_Name]],Tab_Def_Flows[Flow_Name],0),17)</f>
        <v>0</v>
      </c>
      <c r="AF331" s="7" t="str">
        <f>Tab_Data_Flows[[#This Row],[Flow_ID]]&amp;"_"&amp;"CC_"&amp;Tab_Data_Flows[[#This Row],[Flow_Data_Year]]</f>
        <v>F___CC_</v>
      </c>
      <c r="AG331" s="7" t="str">
        <f>IF(F331="Yes",AE331*Tab_Data_Flows[[#This Row],[Flow_Material]]*Tab_Data_Flows[[#This Row],[DM_'[%']]],"N.A.")</f>
        <v>N.A.</v>
      </c>
      <c r="AH331" s="7" t="str">
        <f>Tab_Data_Flows[[#This Row],[UoM_Flow_Py]]</f>
        <v>Mg</v>
      </c>
      <c r="AI331"/>
    </row>
    <row r="332" spans="1:35" x14ac:dyDescent="0.25">
      <c r="A332" s="9">
        <f t="shared" si="12"/>
        <v>331</v>
      </c>
      <c r="B332" s="7" t="str">
        <f>_xlfn.XLOOKUP(C332,Tab_Def_Flows[Flow_Name],Tab_Def_Flows[Flow_ID],,0,)</f>
        <v>F__</v>
      </c>
      <c r="C332" s="8" t="s">
        <v>31</v>
      </c>
      <c r="D332" s="10">
        <f>_xlfn.XLOOKUP(C332,Tab_Def_Flows[Flow_Name],Tab_Def_Flows[WC?],,0,)</f>
        <v>0</v>
      </c>
      <c r="E332" s="10">
        <f>_xlfn.XLOOKUP(C332,Tab_Def_Flows[Flow_Name],Tab_Def_Flows[DM?],,0,)</f>
        <v>0</v>
      </c>
      <c r="F332" s="10">
        <f>_xlfn.XLOOKUP(C332,Tab_Def_Flows[Flow_Name],Tab_Def_Flows[CC?],,0,)</f>
        <v>0</v>
      </c>
      <c r="G332" s="8"/>
      <c r="H332" s="28"/>
      <c r="I332" s="8"/>
      <c r="J332" s="8"/>
      <c r="K332" s="8"/>
      <c r="L332" s="14"/>
      <c r="M332" s="8"/>
      <c r="N332" s="8"/>
      <c r="O332" s="8"/>
      <c r="P332" s="8"/>
      <c r="Q332" s="8" t="s">
        <v>8</v>
      </c>
      <c r="R332" s="21"/>
      <c r="S332" s="8"/>
      <c r="T332" s="7" t="str">
        <f>Tab_Data_Flows[[#This Row],[Flow_ID]]&amp;"_"&amp;"material_"&amp;Tab_Data_Flows[[#This Row],[Flow_Data_Year]]</f>
        <v>F___material_</v>
      </c>
      <c r="U332" s="18">
        <f t="shared" si="13"/>
        <v>0</v>
      </c>
      <c r="V332" s="8" t="s">
        <v>218</v>
      </c>
      <c r="W332" s="156">
        <f>INDEX(Tab_Def_Flows[[Flow_ID]:[CC_DM_source]],MATCH(Tab_Data_Flows[[#This Row],[Flow_Name]],Tab_Def_Flows[Flow_Name],0),11)</f>
        <v>0</v>
      </c>
      <c r="X332" s="7" t="str">
        <f>Tab_Data_Flows[[#This Row],[Flow_ID]]&amp;"_"&amp;"WC_"&amp;Tab_Data_Flows[[#This Row],[Flow_Data_Year]]</f>
        <v>F___WC_</v>
      </c>
      <c r="Y332" s="7" t="str">
        <f>IF(D332="Yes",U332*Tab_Data_Flows[[#This Row],[WC_'[%']]],"N.A.")</f>
        <v>N.A.</v>
      </c>
      <c r="Z332" s="7" t="str">
        <f>Tab_Data_Flows[[#This Row],[UoM_Flow_Py]]</f>
        <v>Mg</v>
      </c>
      <c r="AA332" s="156">
        <f>INDEX(Tab_Def_Flows[[Flow_ID]:[CC_DM_source]],MATCH(Tab_Data_Flows[[#This Row],[Flow_Name]],Tab_Def_Flows[Flow_Name],0),14)</f>
        <v>0</v>
      </c>
      <c r="AB332" s="7" t="str">
        <f>Tab_Data_Flows[[#This Row],[Flow_ID]]&amp;"_"&amp;"DM_"&amp;Tab_Data_Flows[[#This Row],[Flow_Data_Year]]</f>
        <v>F___DM_</v>
      </c>
      <c r="AC332" s="7" t="str">
        <f>IF(E332="Yes",AA332*Tab_Data_Flows[[#This Row],[Flow_Material]],"N.A.")</f>
        <v>N.A.</v>
      </c>
      <c r="AD332" s="7" t="str">
        <f>Tab_Data_Flows[[#This Row],[UoM_Flow_Py]]</f>
        <v>Mg</v>
      </c>
      <c r="AE332" s="156">
        <f>INDEX(Tab_Def_Flows[[Flow_ID]:[CC_DM_source]],MATCH(Tab_Data_Flows[[#This Row],[Flow_Name]],Tab_Def_Flows[Flow_Name],0),17)</f>
        <v>0</v>
      </c>
      <c r="AF332" s="7" t="str">
        <f>Tab_Data_Flows[[#This Row],[Flow_ID]]&amp;"_"&amp;"CC_"&amp;Tab_Data_Flows[[#This Row],[Flow_Data_Year]]</f>
        <v>F___CC_</v>
      </c>
      <c r="AG332" s="7" t="str">
        <f>IF(F332="Yes",AE332*Tab_Data_Flows[[#This Row],[Flow_Material]]*Tab_Data_Flows[[#This Row],[DM_'[%']]],"N.A.")</f>
        <v>N.A.</v>
      </c>
      <c r="AH332" s="7" t="str">
        <f>Tab_Data_Flows[[#This Row],[UoM_Flow_Py]]</f>
        <v>Mg</v>
      </c>
      <c r="AI332"/>
    </row>
    <row r="333" spans="1:35" x14ac:dyDescent="0.25">
      <c r="A333" s="9">
        <f t="shared" si="12"/>
        <v>332</v>
      </c>
      <c r="B333" s="7" t="str">
        <f>_xlfn.XLOOKUP(C333,Tab_Def_Flows[Flow_Name],Tab_Def_Flows[Flow_ID],,0,)</f>
        <v>F__</v>
      </c>
      <c r="C333" s="8" t="s">
        <v>31</v>
      </c>
      <c r="D333" s="10">
        <f>_xlfn.XLOOKUP(C333,Tab_Def_Flows[Flow_Name],Tab_Def_Flows[WC?],,0,)</f>
        <v>0</v>
      </c>
      <c r="E333" s="10">
        <f>_xlfn.XLOOKUP(C333,Tab_Def_Flows[Flow_Name],Tab_Def_Flows[DM?],,0,)</f>
        <v>0</v>
      </c>
      <c r="F333" s="10">
        <f>_xlfn.XLOOKUP(C333,Tab_Def_Flows[Flow_Name],Tab_Def_Flows[CC?],,0,)</f>
        <v>0</v>
      </c>
      <c r="G333" s="8"/>
      <c r="H333" s="28"/>
      <c r="I333" s="8"/>
      <c r="J333" s="8"/>
      <c r="K333" s="8"/>
      <c r="L333" s="14"/>
      <c r="M333" s="8"/>
      <c r="N333" s="8"/>
      <c r="O333" s="8"/>
      <c r="P333" s="8"/>
      <c r="Q333" s="8" t="s">
        <v>8</v>
      </c>
      <c r="R333" s="21"/>
      <c r="S333" s="8"/>
      <c r="T333" s="7" t="str">
        <f>Tab_Data_Flows[[#This Row],[Flow_ID]]&amp;"_"&amp;"material_"&amp;Tab_Data_Flows[[#This Row],[Flow_Data_Year]]</f>
        <v>F___material_</v>
      </c>
      <c r="U333" s="18">
        <f t="shared" si="13"/>
        <v>0</v>
      </c>
      <c r="V333" s="8" t="s">
        <v>218</v>
      </c>
      <c r="W333" s="156">
        <f>INDEX(Tab_Def_Flows[[Flow_ID]:[CC_DM_source]],MATCH(Tab_Data_Flows[[#This Row],[Flow_Name]],Tab_Def_Flows[Flow_Name],0),11)</f>
        <v>0</v>
      </c>
      <c r="X333" s="7" t="str">
        <f>Tab_Data_Flows[[#This Row],[Flow_ID]]&amp;"_"&amp;"WC_"&amp;Tab_Data_Flows[[#This Row],[Flow_Data_Year]]</f>
        <v>F___WC_</v>
      </c>
      <c r="Y333" s="7" t="str">
        <f>IF(D333="Yes",U333*Tab_Data_Flows[[#This Row],[WC_'[%']]],"N.A.")</f>
        <v>N.A.</v>
      </c>
      <c r="Z333" s="7" t="str">
        <f>Tab_Data_Flows[[#This Row],[UoM_Flow_Py]]</f>
        <v>Mg</v>
      </c>
      <c r="AA333" s="156">
        <f>INDEX(Tab_Def_Flows[[Flow_ID]:[CC_DM_source]],MATCH(Tab_Data_Flows[[#This Row],[Flow_Name]],Tab_Def_Flows[Flow_Name],0),14)</f>
        <v>0</v>
      </c>
      <c r="AB333" s="7" t="str">
        <f>Tab_Data_Flows[[#This Row],[Flow_ID]]&amp;"_"&amp;"DM_"&amp;Tab_Data_Flows[[#This Row],[Flow_Data_Year]]</f>
        <v>F___DM_</v>
      </c>
      <c r="AC333" s="7" t="str">
        <f>IF(E333="Yes",AA333*Tab_Data_Flows[[#This Row],[Flow_Material]],"N.A.")</f>
        <v>N.A.</v>
      </c>
      <c r="AD333" s="7" t="str">
        <f>Tab_Data_Flows[[#This Row],[UoM_Flow_Py]]</f>
        <v>Mg</v>
      </c>
      <c r="AE333" s="156">
        <f>INDEX(Tab_Def_Flows[[Flow_ID]:[CC_DM_source]],MATCH(Tab_Data_Flows[[#This Row],[Flow_Name]],Tab_Def_Flows[Flow_Name],0),17)</f>
        <v>0</v>
      </c>
      <c r="AF333" s="7" t="str">
        <f>Tab_Data_Flows[[#This Row],[Flow_ID]]&amp;"_"&amp;"CC_"&amp;Tab_Data_Flows[[#This Row],[Flow_Data_Year]]</f>
        <v>F___CC_</v>
      </c>
      <c r="AG333" s="7" t="str">
        <f>IF(F333="Yes",AE333*Tab_Data_Flows[[#This Row],[Flow_Material]]*Tab_Data_Flows[[#This Row],[DM_'[%']]],"N.A.")</f>
        <v>N.A.</v>
      </c>
      <c r="AH333" s="7" t="str">
        <f>Tab_Data_Flows[[#This Row],[UoM_Flow_Py]]</f>
        <v>Mg</v>
      </c>
      <c r="AI333"/>
    </row>
    <row r="334" spans="1:35" x14ac:dyDescent="0.25">
      <c r="A334" s="9">
        <f t="shared" si="12"/>
        <v>333</v>
      </c>
      <c r="B334" s="7" t="str">
        <f>_xlfn.XLOOKUP(C334,Tab_Def_Flows[Flow_Name],Tab_Def_Flows[Flow_ID],,0,)</f>
        <v>F__</v>
      </c>
      <c r="C334" s="8" t="s">
        <v>31</v>
      </c>
      <c r="D334" s="10">
        <f>_xlfn.XLOOKUP(C334,Tab_Def_Flows[Flow_Name],Tab_Def_Flows[WC?],,0,)</f>
        <v>0</v>
      </c>
      <c r="E334" s="10">
        <f>_xlfn.XLOOKUP(C334,Tab_Def_Flows[Flow_Name],Tab_Def_Flows[DM?],,0,)</f>
        <v>0</v>
      </c>
      <c r="F334" s="10">
        <f>_xlfn.XLOOKUP(C334,Tab_Def_Flows[Flow_Name],Tab_Def_Flows[CC?],,0,)</f>
        <v>0</v>
      </c>
      <c r="G334" s="8"/>
      <c r="H334" s="28"/>
      <c r="I334" s="8"/>
      <c r="J334" s="8"/>
      <c r="K334" s="8"/>
      <c r="L334" s="8"/>
      <c r="M334" s="8"/>
      <c r="N334" s="8"/>
      <c r="O334" s="8"/>
      <c r="P334" s="8"/>
      <c r="Q334" s="8" t="s">
        <v>8</v>
      </c>
      <c r="R334" s="8"/>
      <c r="S334" s="8"/>
      <c r="T334" s="7" t="str">
        <f>Tab_Data_Flows[[#This Row],[Flow_ID]]&amp;"_"&amp;"material_"&amp;Tab_Data_Flows[[#This Row],[Flow_Data_Year]]</f>
        <v>F___material_</v>
      </c>
      <c r="U334" s="18">
        <f t="shared" si="13"/>
        <v>0</v>
      </c>
      <c r="V334" s="8" t="s">
        <v>218</v>
      </c>
      <c r="W334" s="156">
        <f>INDEX(Tab_Def_Flows[[Flow_ID]:[CC_DM_source]],MATCH(Tab_Data_Flows[[#This Row],[Flow_Name]],Tab_Def_Flows[Flow_Name],0),11)</f>
        <v>0</v>
      </c>
      <c r="X334" s="7" t="str">
        <f>Tab_Data_Flows[[#This Row],[Flow_ID]]&amp;"_"&amp;"WC_"&amp;Tab_Data_Flows[[#This Row],[Flow_Data_Year]]</f>
        <v>F___WC_</v>
      </c>
      <c r="Y334" s="7" t="str">
        <f>IF(D334="Yes",U334*Tab_Data_Flows[[#This Row],[WC_'[%']]],"N.A.")</f>
        <v>N.A.</v>
      </c>
      <c r="Z334" s="7" t="str">
        <f>Tab_Data_Flows[[#This Row],[UoM_Flow_Py]]</f>
        <v>Mg</v>
      </c>
      <c r="AA334" s="156">
        <f>INDEX(Tab_Def_Flows[[Flow_ID]:[CC_DM_source]],MATCH(Tab_Data_Flows[[#This Row],[Flow_Name]],Tab_Def_Flows[Flow_Name],0),14)</f>
        <v>0</v>
      </c>
      <c r="AB334" s="7" t="str">
        <f>Tab_Data_Flows[[#This Row],[Flow_ID]]&amp;"_"&amp;"DM_"&amp;Tab_Data_Flows[[#This Row],[Flow_Data_Year]]</f>
        <v>F___DM_</v>
      </c>
      <c r="AC334" s="7" t="str">
        <f>IF(E334="Yes",AA334*Tab_Data_Flows[[#This Row],[Flow_Material]],"N.A.")</f>
        <v>N.A.</v>
      </c>
      <c r="AD334" s="7" t="str">
        <f>Tab_Data_Flows[[#This Row],[UoM_Flow_Py]]</f>
        <v>Mg</v>
      </c>
      <c r="AE334" s="156">
        <f>INDEX(Tab_Def_Flows[[Flow_ID]:[CC_DM_source]],MATCH(Tab_Data_Flows[[#This Row],[Flow_Name]],Tab_Def_Flows[Flow_Name],0),17)</f>
        <v>0</v>
      </c>
      <c r="AF334" s="7" t="str">
        <f>Tab_Data_Flows[[#This Row],[Flow_ID]]&amp;"_"&amp;"CC_"&amp;Tab_Data_Flows[[#This Row],[Flow_Data_Year]]</f>
        <v>F___CC_</v>
      </c>
      <c r="AG334" s="7" t="str">
        <f>IF(F334="Yes",AE334*Tab_Data_Flows[[#This Row],[Flow_Material]]*Tab_Data_Flows[[#This Row],[DM_'[%']]],"N.A.")</f>
        <v>N.A.</v>
      </c>
      <c r="AH334" s="7" t="str">
        <f>Tab_Data_Flows[[#This Row],[UoM_Flow_Py]]</f>
        <v>Mg</v>
      </c>
      <c r="AI334"/>
    </row>
    <row r="335" spans="1:35" x14ac:dyDescent="0.25">
      <c r="A335" s="9">
        <f t="shared" si="12"/>
        <v>334</v>
      </c>
      <c r="B335" s="7" t="str">
        <f>_xlfn.XLOOKUP(C335,Tab_Def_Flows[Flow_Name],Tab_Def_Flows[Flow_ID],,0,)</f>
        <v>F__</v>
      </c>
      <c r="C335" s="8" t="s">
        <v>31</v>
      </c>
      <c r="D335" s="10">
        <f>_xlfn.XLOOKUP(C335,Tab_Def_Flows[Flow_Name],Tab_Def_Flows[WC?],,0,)</f>
        <v>0</v>
      </c>
      <c r="E335" s="10">
        <f>_xlfn.XLOOKUP(C335,Tab_Def_Flows[Flow_Name],Tab_Def_Flows[DM?],,0,)</f>
        <v>0</v>
      </c>
      <c r="F335" s="10">
        <f>_xlfn.XLOOKUP(C335,Tab_Def_Flows[Flow_Name],Tab_Def_Flows[CC?],,0,)</f>
        <v>0</v>
      </c>
      <c r="G335" s="8"/>
      <c r="H335" s="28"/>
      <c r="I335" s="8"/>
      <c r="J335" s="8"/>
      <c r="K335" s="8"/>
      <c r="L335" s="8"/>
      <c r="M335" s="8"/>
      <c r="N335" s="8"/>
      <c r="O335" s="8"/>
      <c r="P335" s="8"/>
      <c r="Q335" s="8" t="s">
        <v>8</v>
      </c>
      <c r="R335" s="8"/>
      <c r="S335" s="8"/>
      <c r="T335" s="7" t="str">
        <f>Tab_Data_Flows[[#This Row],[Flow_ID]]&amp;"_"&amp;"material_"&amp;Tab_Data_Flows[[#This Row],[Flow_Data_Year]]</f>
        <v>F___material_</v>
      </c>
      <c r="U335" s="18">
        <f t="shared" si="13"/>
        <v>0</v>
      </c>
      <c r="V335" s="8" t="s">
        <v>218</v>
      </c>
      <c r="W335" s="156">
        <f>INDEX(Tab_Def_Flows[[Flow_ID]:[CC_DM_source]],MATCH(Tab_Data_Flows[[#This Row],[Flow_Name]],Tab_Def_Flows[Flow_Name],0),11)</f>
        <v>0</v>
      </c>
      <c r="X335" s="7" t="str">
        <f>Tab_Data_Flows[[#This Row],[Flow_ID]]&amp;"_"&amp;"WC_"&amp;Tab_Data_Flows[[#This Row],[Flow_Data_Year]]</f>
        <v>F___WC_</v>
      </c>
      <c r="Y335" s="7" t="str">
        <f>IF(D335="Yes",U335*Tab_Data_Flows[[#This Row],[WC_'[%']]],"N.A.")</f>
        <v>N.A.</v>
      </c>
      <c r="Z335" s="7" t="str">
        <f>Tab_Data_Flows[[#This Row],[UoM_Flow_Py]]</f>
        <v>Mg</v>
      </c>
      <c r="AA335" s="156">
        <f>INDEX(Tab_Def_Flows[[Flow_ID]:[CC_DM_source]],MATCH(Tab_Data_Flows[[#This Row],[Flow_Name]],Tab_Def_Flows[Flow_Name],0),14)</f>
        <v>0</v>
      </c>
      <c r="AB335" s="7" t="str">
        <f>Tab_Data_Flows[[#This Row],[Flow_ID]]&amp;"_"&amp;"DM_"&amp;Tab_Data_Flows[[#This Row],[Flow_Data_Year]]</f>
        <v>F___DM_</v>
      </c>
      <c r="AC335" s="7" t="str">
        <f>IF(E335="Yes",AA335*Tab_Data_Flows[[#This Row],[Flow_Material]],"N.A.")</f>
        <v>N.A.</v>
      </c>
      <c r="AD335" s="7" t="str">
        <f>Tab_Data_Flows[[#This Row],[UoM_Flow_Py]]</f>
        <v>Mg</v>
      </c>
      <c r="AE335" s="156">
        <f>INDEX(Tab_Def_Flows[[Flow_ID]:[CC_DM_source]],MATCH(Tab_Data_Flows[[#This Row],[Flow_Name]],Tab_Def_Flows[Flow_Name],0),17)</f>
        <v>0</v>
      </c>
      <c r="AF335" s="7" t="str">
        <f>Tab_Data_Flows[[#This Row],[Flow_ID]]&amp;"_"&amp;"CC_"&amp;Tab_Data_Flows[[#This Row],[Flow_Data_Year]]</f>
        <v>F___CC_</v>
      </c>
      <c r="AG335" s="7" t="str">
        <f>IF(F335="Yes",AE335*Tab_Data_Flows[[#This Row],[Flow_Material]]*Tab_Data_Flows[[#This Row],[DM_'[%']]],"N.A.")</f>
        <v>N.A.</v>
      </c>
      <c r="AH335" s="7" t="str">
        <f>Tab_Data_Flows[[#This Row],[UoM_Flow_Py]]</f>
        <v>Mg</v>
      </c>
      <c r="AI335"/>
    </row>
    <row r="336" spans="1:35" x14ac:dyDescent="0.25">
      <c r="A336" s="9">
        <f t="shared" si="12"/>
        <v>335</v>
      </c>
      <c r="B336" s="7" t="str">
        <f>_xlfn.XLOOKUP(C336,Tab_Def_Flows[Flow_Name],Tab_Def_Flows[Flow_ID],,0,)</f>
        <v>F__</v>
      </c>
      <c r="C336" s="8" t="s">
        <v>31</v>
      </c>
      <c r="D336" s="10">
        <f>_xlfn.XLOOKUP(C336,Tab_Def_Flows[Flow_Name],Tab_Def_Flows[WC?],,0,)</f>
        <v>0</v>
      </c>
      <c r="E336" s="10">
        <f>_xlfn.XLOOKUP(C336,Tab_Def_Flows[Flow_Name],Tab_Def_Flows[DM?],,0,)</f>
        <v>0</v>
      </c>
      <c r="F336" s="10">
        <f>_xlfn.XLOOKUP(C336,Tab_Def_Flows[Flow_Name],Tab_Def_Flows[CC?],,0,)</f>
        <v>0</v>
      </c>
      <c r="G336" s="8"/>
      <c r="H336" s="28"/>
      <c r="I336" s="8"/>
      <c r="J336" s="8"/>
      <c r="K336" s="8"/>
      <c r="L336" s="8"/>
      <c r="M336" s="8"/>
      <c r="N336" s="8"/>
      <c r="O336" s="8"/>
      <c r="P336" s="8"/>
      <c r="Q336" s="8" t="s">
        <v>8</v>
      </c>
      <c r="R336" s="8"/>
      <c r="S336" s="8"/>
      <c r="T336" s="7" t="str">
        <f>Tab_Data_Flows[[#This Row],[Flow_ID]]&amp;"_"&amp;"material_"&amp;Tab_Data_Flows[[#This Row],[Flow_Data_Year]]</f>
        <v>F___material_</v>
      </c>
      <c r="U336" s="18">
        <f t="shared" si="13"/>
        <v>0</v>
      </c>
      <c r="V336" s="8" t="s">
        <v>218</v>
      </c>
      <c r="W336" s="156">
        <f>INDEX(Tab_Def_Flows[[Flow_ID]:[CC_DM_source]],MATCH(Tab_Data_Flows[[#This Row],[Flow_Name]],Tab_Def_Flows[Flow_Name],0),11)</f>
        <v>0</v>
      </c>
      <c r="X336" s="7" t="str">
        <f>Tab_Data_Flows[[#This Row],[Flow_ID]]&amp;"_"&amp;"WC_"&amp;Tab_Data_Flows[[#This Row],[Flow_Data_Year]]</f>
        <v>F___WC_</v>
      </c>
      <c r="Y336" s="7" t="str">
        <f>IF(D336="Yes",U336*Tab_Data_Flows[[#This Row],[WC_'[%']]],"N.A.")</f>
        <v>N.A.</v>
      </c>
      <c r="Z336" s="7" t="str">
        <f>Tab_Data_Flows[[#This Row],[UoM_Flow_Py]]</f>
        <v>Mg</v>
      </c>
      <c r="AA336" s="156">
        <f>INDEX(Tab_Def_Flows[[Flow_ID]:[CC_DM_source]],MATCH(Tab_Data_Flows[[#This Row],[Flow_Name]],Tab_Def_Flows[Flow_Name],0),14)</f>
        <v>0</v>
      </c>
      <c r="AB336" s="7" t="str">
        <f>Tab_Data_Flows[[#This Row],[Flow_ID]]&amp;"_"&amp;"DM_"&amp;Tab_Data_Flows[[#This Row],[Flow_Data_Year]]</f>
        <v>F___DM_</v>
      </c>
      <c r="AC336" s="7" t="str">
        <f>IF(E336="Yes",AA336*Tab_Data_Flows[[#This Row],[Flow_Material]],"N.A.")</f>
        <v>N.A.</v>
      </c>
      <c r="AD336" s="7" t="str">
        <f>Tab_Data_Flows[[#This Row],[UoM_Flow_Py]]</f>
        <v>Mg</v>
      </c>
      <c r="AE336" s="156">
        <f>INDEX(Tab_Def_Flows[[Flow_ID]:[CC_DM_source]],MATCH(Tab_Data_Flows[[#This Row],[Flow_Name]],Tab_Def_Flows[Flow_Name],0),17)</f>
        <v>0</v>
      </c>
      <c r="AF336" s="7" t="str">
        <f>Tab_Data_Flows[[#This Row],[Flow_ID]]&amp;"_"&amp;"CC_"&amp;Tab_Data_Flows[[#This Row],[Flow_Data_Year]]</f>
        <v>F___CC_</v>
      </c>
      <c r="AG336" s="7" t="str">
        <f>IF(F336="Yes",AE336*Tab_Data_Flows[[#This Row],[Flow_Material]]*Tab_Data_Flows[[#This Row],[DM_'[%']]],"N.A.")</f>
        <v>N.A.</v>
      </c>
      <c r="AH336" s="7" t="str">
        <f>Tab_Data_Flows[[#This Row],[UoM_Flow_Py]]</f>
        <v>Mg</v>
      </c>
      <c r="AI336"/>
    </row>
    <row r="337" spans="1:35" x14ac:dyDescent="0.25">
      <c r="A337" s="9">
        <f t="shared" si="12"/>
        <v>336</v>
      </c>
      <c r="B337" s="7" t="str">
        <f>_xlfn.XLOOKUP(C337,Tab_Def_Flows[Flow_Name],Tab_Def_Flows[Flow_ID],,0,)</f>
        <v>F__</v>
      </c>
      <c r="C337" s="8" t="s">
        <v>31</v>
      </c>
      <c r="D337" s="10">
        <f>_xlfn.XLOOKUP(C337,Tab_Def_Flows[Flow_Name],Tab_Def_Flows[WC?],,0,)</f>
        <v>0</v>
      </c>
      <c r="E337" s="10">
        <f>_xlfn.XLOOKUP(C337,Tab_Def_Flows[Flow_Name],Tab_Def_Flows[DM?],,0,)</f>
        <v>0</v>
      </c>
      <c r="F337" s="10">
        <f>_xlfn.XLOOKUP(C337,Tab_Def_Flows[Flow_Name],Tab_Def_Flows[CC?],,0,)</f>
        <v>0</v>
      </c>
      <c r="G337" s="8"/>
      <c r="H337" s="28"/>
      <c r="I337" s="8"/>
      <c r="J337" s="8"/>
      <c r="K337" s="8"/>
      <c r="L337" s="8"/>
      <c r="M337" s="8"/>
      <c r="N337" s="8"/>
      <c r="O337" s="8"/>
      <c r="P337" s="8"/>
      <c r="Q337" s="8" t="s">
        <v>8</v>
      </c>
      <c r="R337" s="8"/>
      <c r="S337" s="8"/>
      <c r="T337" s="7" t="str">
        <f>Tab_Data_Flows[[#This Row],[Flow_ID]]&amp;"_"&amp;"material_"&amp;Tab_Data_Flows[[#This Row],[Flow_Data_Year]]</f>
        <v>F___material_</v>
      </c>
      <c r="U337" s="18">
        <f t="shared" si="13"/>
        <v>0</v>
      </c>
      <c r="V337" s="8" t="s">
        <v>218</v>
      </c>
      <c r="W337" s="156">
        <f>INDEX(Tab_Def_Flows[[Flow_ID]:[CC_DM_source]],MATCH(Tab_Data_Flows[[#This Row],[Flow_Name]],Tab_Def_Flows[Flow_Name],0),11)</f>
        <v>0</v>
      </c>
      <c r="X337" s="7" t="str">
        <f>Tab_Data_Flows[[#This Row],[Flow_ID]]&amp;"_"&amp;"WC_"&amp;Tab_Data_Flows[[#This Row],[Flow_Data_Year]]</f>
        <v>F___WC_</v>
      </c>
      <c r="Y337" s="7" t="str">
        <f>IF(D337="Yes",U337*Tab_Data_Flows[[#This Row],[WC_'[%']]],"N.A.")</f>
        <v>N.A.</v>
      </c>
      <c r="Z337" s="7" t="str">
        <f>Tab_Data_Flows[[#This Row],[UoM_Flow_Py]]</f>
        <v>Mg</v>
      </c>
      <c r="AA337" s="156">
        <f>INDEX(Tab_Def_Flows[[Flow_ID]:[CC_DM_source]],MATCH(Tab_Data_Flows[[#This Row],[Flow_Name]],Tab_Def_Flows[Flow_Name],0),14)</f>
        <v>0</v>
      </c>
      <c r="AB337" s="7" t="str">
        <f>Tab_Data_Flows[[#This Row],[Flow_ID]]&amp;"_"&amp;"DM_"&amp;Tab_Data_Flows[[#This Row],[Flow_Data_Year]]</f>
        <v>F___DM_</v>
      </c>
      <c r="AC337" s="7" t="str">
        <f>IF(E337="Yes",AA337*Tab_Data_Flows[[#This Row],[Flow_Material]],"N.A.")</f>
        <v>N.A.</v>
      </c>
      <c r="AD337" s="7" t="str">
        <f>Tab_Data_Flows[[#This Row],[UoM_Flow_Py]]</f>
        <v>Mg</v>
      </c>
      <c r="AE337" s="156">
        <f>INDEX(Tab_Def_Flows[[Flow_ID]:[CC_DM_source]],MATCH(Tab_Data_Flows[[#This Row],[Flow_Name]],Tab_Def_Flows[Flow_Name],0),17)</f>
        <v>0</v>
      </c>
      <c r="AF337" s="7" t="str">
        <f>Tab_Data_Flows[[#This Row],[Flow_ID]]&amp;"_"&amp;"CC_"&amp;Tab_Data_Flows[[#This Row],[Flow_Data_Year]]</f>
        <v>F___CC_</v>
      </c>
      <c r="AG337" s="7" t="str">
        <f>IF(F337="Yes",AE337*Tab_Data_Flows[[#This Row],[Flow_Material]]*Tab_Data_Flows[[#This Row],[DM_'[%']]],"N.A.")</f>
        <v>N.A.</v>
      </c>
      <c r="AH337" s="7" t="str">
        <f>Tab_Data_Flows[[#This Row],[UoM_Flow_Py]]</f>
        <v>Mg</v>
      </c>
      <c r="AI337"/>
    </row>
    <row r="338" spans="1:35" x14ac:dyDescent="0.25">
      <c r="A338" s="9">
        <f t="shared" si="12"/>
        <v>337</v>
      </c>
      <c r="B338" s="7" t="str">
        <f>_xlfn.XLOOKUP(C338,Tab_Def_Flows[Flow_Name],Tab_Def_Flows[Flow_ID],,0,)</f>
        <v>F__</v>
      </c>
      <c r="C338" s="8" t="s">
        <v>31</v>
      </c>
      <c r="D338" s="10">
        <f>_xlfn.XLOOKUP(C338,Tab_Def_Flows[Flow_Name],Tab_Def_Flows[WC?],,0,)</f>
        <v>0</v>
      </c>
      <c r="E338" s="10">
        <f>_xlfn.XLOOKUP(C338,Tab_Def_Flows[Flow_Name],Tab_Def_Flows[DM?],,0,)</f>
        <v>0</v>
      </c>
      <c r="F338" s="10">
        <f>_xlfn.XLOOKUP(C338,Tab_Def_Flows[Flow_Name],Tab_Def_Flows[CC?],,0,)</f>
        <v>0</v>
      </c>
      <c r="G338" s="8"/>
      <c r="H338" s="28"/>
      <c r="I338" s="8"/>
      <c r="J338" s="8"/>
      <c r="K338" s="8"/>
      <c r="L338" s="8"/>
      <c r="M338" s="8"/>
      <c r="N338" s="8"/>
      <c r="O338" s="8"/>
      <c r="P338" s="8"/>
      <c r="Q338" s="8" t="s">
        <v>8</v>
      </c>
      <c r="R338" s="8"/>
      <c r="S338" s="8"/>
      <c r="T338" s="7" t="str">
        <f>Tab_Data_Flows[[#This Row],[Flow_ID]]&amp;"_"&amp;"material_"&amp;Tab_Data_Flows[[#This Row],[Flow_Data_Year]]</f>
        <v>F___material_</v>
      </c>
      <c r="U338" s="18">
        <f t="shared" si="13"/>
        <v>0</v>
      </c>
      <c r="V338" s="8" t="s">
        <v>218</v>
      </c>
      <c r="W338" s="156">
        <f>INDEX(Tab_Def_Flows[[Flow_ID]:[CC_DM_source]],MATCH(Tab_Data_Flows[[#This Row],[Flow_Name]],Tab_Def_Flows[Flow_Name],0),11)</f>
        <v>0</v>
      </c>
      <c r="X338" s="7" t="str">
        <f>Tab_Data_Flows[[#This Row],[Flow_ID]]&amp;"_"&amp;"WC_"&amp;Tab_Data_Flows[[#This Row],[Flow_Data_Year]]</f>
        <v>F___WC_</v>
      </c>
      <c r="Y338" s="7" t="str">
        <f>IF(D338="Yes",U338*Tab_Data_Flows[[#This Row],[WC_'[%']]],"N.A.")</f>
        <v>N.A.</v>
      </c>
      <c r="Z338" s="7" t="str">
        <f>Tab_Data_Flows[[#This Row],[UoM_Flow_Py]]</f>
        <v>Mg</v>
      </c>
      <c r="AA338" s="156">
        <f>INDEX(Tab_Def_Flows[[Flow_ID]:[CC_DM_source]],MATCH(Tab_Data_Flows[[#This Row],[Flow_Name]],Tab_Def_Flows[Flow_Name],0),14)</f>
        <v>0</v>
      </c>
      <c r="AB338" s="7" t="str">
        <f>Tab_Data_Flows[[#This Row],[Flow_ID]]&amp;"_"&amp;"DM_"&amp;Tab_Data_Flows[[#This Row],[Flow_Data_Year]]</f>
        <v>F___DM_</v>
      </c>
      <c r="AC338" s="7" t="str">
        <f>IF(E338="Yes",AA338*Tab_Data_Flows[[#This Row],[Flow_Material]],"N.A.")</f>
        <v>N.A.</v>
      </c>
      <c r="AD338" s="7" t="str">
        <f>Tab_Data_Flows[[#This Row],[UoM_Flow_Py]]</f>
        <v>Mg</v>
      </c>
      <c r="AE338" s="156">
        <f>INDEX(Tab_Def_Flows[[Flow_ID]:[CC_DM_source]],MATCH(Tab_Data_Flows[[#This Row],[Flow_Name]],Tab_Def_Flows[Flow_Name],0),17)</f>
        <v>0</v>
      </c>
      <c r="AF338" s="7" t="str">
        <f>Tab_Data_Flows[[#This Row],[Flow_ID]]&amp;"_"&amp;"CC_"&amp;Tab_Data_Flows[[#This Row],[Flow_Data_Year]]</f>
        <v>F___CC_</v>
      </c>
      <c r="AG338" s="7" t="str">
        <f>IF(F338="Yes",AE338*Tab_Data_Flows[[#This Row],[Flow_Material]]*Tab_Data_Flows[[#This Row],[DM_'[%']]],"N.A.")</f>
        <v>N.A.</v>
      </c>
      <c r="AH338" s="7" t="str">
        <f>Tab_Data_Flows[[#This Row],[UoM_Flow_Py]]</f>
        <v>Mg</v>
      </c>
      <c r="AI338"/>
    </row>
    <row r="339" spans="1:35" x14ac:dyDescent="0.25">
      <c r="A339" s="9">
        <f t="shared" si="12"/>
        <v>338</v>
      </c>
      <c r="B339" s="7" t="str">
        <f>_xlfn.XLOOKUP(C339,Tab_Def_Flows[Flow_Name],Tab_Def_Flows[Flow_ID],,0,)</f>
        <v>F__</v>
      </c>
      <c r="C339" s="8" t="s">
        <v>31</v>
      </c>
      <c r="D339" s="10">
        <f>_xlfn.XLOOKUP(C339,Tab_Def_Flows[Flow_Name],Tab_Def_Flows[WC?],,0,)</f>
        <v>0</v>
      </c>
      <c r="E339" s="10">
        <f>_xlfn.XLOOKUP(C339,Tab_Def_Flows[Flow_Name],Tab_Def_Flows[DM?],,0,)</f>
        <v>0</v>
      </c>
      <c r="F339" s="10">
        <f>_xlfn.XLOOKUP(C339,Tab_Def_Flows[Flow_Name],Tab_Def_Flows[CC?],,0,)</f>
        <v>0</v>
      </c>
      <c r="G339" s="8"/>
      <c r="H339" s="28"/>
      <c r="I339" s="8"/>
      <c r="J339" s="8"/>
      <c r="K339" s="8"/>
      <c r="L339" s="8"/>
      <c r="M339" s="8"/>
      <c r="N339" s="8"/>
      <c r="O339" s="8"/>
      <c r="P339" s="8"/>
      <c r="Q339" s="8" t="s">
        <v>8</v>
      </c>
      <c r="R339" s="8"/>
      <c r="S339" s="8"/>
      <c r="T339" s="7" t="str">
        <f>Tab_Data_Flows[[#This Row],[Flow_ID]]&amp;"_"&amp;"material_"&amp;Tab_Data_Flows[[#This Row],[Flow_Data_Year]]</f>
        <v>F___material_</v>
      </c>
      <c r="U339" s="18">
        <f t="shared" si="13"/>
        <v>0</v>
      </c>
      <c r="V339" s="8" t="s">
        <v>218</v>
      </c>
      <c r="W339" s="156">
        <f>INDEX(Tab_Def_Flows[[Flow_ID]:[CC_DM_source]],MATCH(Tab_Data_Flows[[#This Row],[Flow_Name]],Tab_Def_Flows[Flow_Name],0),11)</f>
        <v>0</v>
      </c>
      <c r="X339" s="7" t="str">
        <f>Tab_Data_Flows[[#This Row],[Flow_ID]]&amp;"_"&amp;"WC_"&amp;Tab_Data_Flows[[#This Row],[Flow_Data_Year]]</f>
        <v>F___WC_</v>
      </c>
      <c r="Y339" s="7" t="str">
        <f>IF(D339="Yes",U339*Tab_Data_Flows[[#This Row],[WC_'[%']]],"N.A.")</f>
        <v>N.A.</v>
      </c>
      <c r="Z339" s="7" t="str">
        <f>Tab_Data_Flows[[#This Row],[UoM_Flow_Py]]</f>
        <v>Mg</v>
      </c>
      <c r="AA339" s="156">
        <f>INDEX(Tab_Def_Flows[[Flow_ID]:[CC_DM_source]],MATCH(Tab_Data_Flows[[#This Row],[Flow_Name]],Tab_Def_Flows[Flow_Name],0),14)</f>
        <v>0</v>
      </c>
      <c r="AB339" s="7" t="str">
        <f>Tab_Data_Flows[[#This Row],[Flow_ID]]&amp;"_"&amp;"DM_"&amp;Tab_Data_Flows[[#This Row],[Flow_Data_Year]]</f>
        <v>F___DM_</v>
      </c>
      <c r="AC339" s="7" t="str">
        <f>IF(E339="Yes",AA339*Tab_Data_Flows[[#This Row],[Flow_Material]],"N.A.")</f>
        <v>N.A.</v>
      </c>
      <c r="AD339" s="7" t="str">
        <f>Tab_Data_Flows[[#This Row],[UoM_Flow_Py]]</f>
        <v>Mg</v>
      </c>
      <c r="AE339" s="156">
        <f>INDEX(Tab_Def_Flows[[Flow_ID]:[CC_DM_source]],MATCH(Tab_Data_Flows[[#This Row],[Flow_Name]],Tab_Def_Flows[Flow_Name],0),17)</f>
        <v>0</v>
      </c>
      <c r="AF339" s="7" t="str">
        <f>Tab_Data_Flows[[#This Row],[Flow_ID]]&amp;"_"&amp;"CC_"&amp;Tab_Data_Flows[[#This Row],[Flow_Data_Year]]</f>
        <v>F___CC_</v>
      </c>
      <c r="AG339" s="7" t="str">
        <f>IF(F339="Yes",AE339*Tab_Data_Flows[[#This Row],[Flow_Material]]*Tab_Data_Flows[[#This Row],[DM_'[%']]],"N.A.")</f>
        <v>N.A.</v>
      </c>
      <c r="AH339" s="7" t="str">
        <f>Tab_Data_Flows[[#This Row],[UoM_Flow_Py]]</f>
        <v>Mg</v>
      </c>
      <c r="AI339"/>
    </row>
    <row r="340" spans="1:35" x14ac:dyDescent="0.25">
      <c r="A340" s="9">
        <f t="shared" si="12"/>
        <v>339</v>
      </c>
      <c r="B340" s="7" t="str">
        <f>_xlfn.XLOOKUP(C340,Tab_Def_Flows[Flow_Name],Tab_Def_Flows[Flow_ID],,0,)</f>
        <v>F__</v>
      </c>
      <c r="C340" s="8" t="s">
        <v>31</v>
      </c>
      <c r="D340" s="10">
        <f>_xlfn.XLOOKUP(C340,Tab_Def_Flows[Flow_Name],Tab_Def_Flows[WC?],,0,)</f>
        <v>0</v>
      </c>
      <c r="E340" s="10">
        <f>_xlfn.XLOOKUP(C340,Tab_Def_Flows[Flow_Name],Tab_Def_Flows[DM?],,0,)</f>
        <v>0</v>
      </c>
      <c r="F340" s="10">
        <f>_xlfn.XLOOKUP(C340,Tab_Def_Flows[Flow_Name],Tab_Def_Flows[CC?],,0,)</f>
        <v>0</v>
      </c>
      <c r="G340" s="8"/>
      <c r="H340" s="28"/>
      <c r="I340" s="8"/>
      <c r="J340" s="8"/>
      <c r="K340" s="8"/>
      <c r="L340" s="8"/>
      <c r="M340" s="8"/>
      <c r="N340" s="8"/>
      <c r="O340" s="8"/>
      <c r="P340" s="8"/>
      <c r="Q340" s="8" t="s">
        <v>8</v>
      </c>
      <c r="R340" s="8"/>
      <c r="S340" s="8"/>
      <c r="T340" s="7" t="str">
        <f>Tab_Data_Flows[[#This Row],[Flow_ID]]&amp;"_"&amp;"material_"&amp;Tab_Data_Flows[[#This Row],[Flow_Data_Year]]</f>
        <v>F___material_</v>
      </c>
      <c r="U340" s="18">
        <f t="shared" si="13"/>
        <v>0</v>
      </c>
      <c r="V340" s="8" t="s">
        <v>218</v>
      </c>
      <c r="W340" s="156">
        <f>INDEX(Tab_Def_Flows[[Flow_ID]:[CC_DM_source]],MATCH(Tab_Data_Flows[[#This Row],[Flow_Name]],Tab_Def_Flows[Flow_Name],0),11)</f>
        <v>0</v>
      </c>
      <c r="X340" s="7" t="str">
        <f>Tab_Data_Flows[[#This Row],[Flow_ID]]&amp;"_"&amp;"WC_"&amp;Tab_Data_Flows[[#This Row],[Flow_Data_Year]]</f>
        <v>F___WC_</v>
      </c>
      <c r="Y340" s="7" t="str">
        <f>IF(D340="Yes",U340*Tab_Data_Flows[[#This Row],[WC_'[%']]],"N.A.")</f>
        <v>N.A.</v>
      </c>
      <c r="Z340" s="7" t="str">
        <f>Tab_Data_Flows[[#This Row],[UoM_Flow_Py]]</f>
        <v>Mg</v>
      </c>
      <c r="AA340" s="156">
        <f>INDEX(Tab_Def_Flows[[Flow_ID]:[CC_DM_source]],MATCH(Tab_Data_Flows[[#This Row],[Flow_Name]],Tab_Def_Flows[Flow_Name],0),14)</f>
        <v>0</v>
      </c>
      <c r="AB340" s="7" t="str">
        <f>Tab_Data_Flows[[#This Row],[Flow_ID]]&amp;"_"&amp;"DM_"&amp;Tab_Data_Flows[[#This Row],[Flow_Data_Year]]</f>
        <v>F___DM_</v>
      </c>
      <c r="AC340" s="7" t="str">
        <f>IF(E340="Yes",AA340*Tab_Data_Flows[[#This Row],[Flow_Material]],"N.A.")</f>
        <v>N.A.</v>
      </c>
      <c r="AD340" s="7" t="str">
        <f>Tab_Data_Flows[[#This Row],[UoM_Flow_Py]]</f>
        <v>Mg</v>
      </c>
      <c r="AE340" s="156">
        <f>INDEX(Tab_Def_Flows[[Flow_ID]:[CC_DM_source]],MATCH(Tab_Data_Flows[[#This Row],[Flow_Name]],Tab_Def_Flows[Flow_Name],0),17)</f>
        <v>0</v>
      </c>
      <c r="AF340" s="7" t="str">
        <f>Tab_Data_Flows[[#This Row],[Flow_ID]]&amp;"_"&amp;"CC_"&amp;Tab_Data_Flows[[#This Row],[Flow_Data_Year]]</f>
        <v>F___CC_</v>
      </c>
      <c r="AG340" s="7" t="str">
        <f>IF(F340="Yes",AE340*Tab_Data_Flows[[#This Row],[Flow_Material]]*Tab_Data_Flows[[#This Row],[DM_'[%']]],"N.A.")</f>
        <v>N.A.</v>
      </c>
      <c r="AH340" s="7" t="str">
        <f>Tab_Data_Flows[[#This Row],[UoM_Flow_Py]]</f>
        <v>Mg</v>
      </c>
      <c r="AI340"/>
    </row>
    <row r="341" spans="1:35" x14ac:dyDescent="0.25">
      <c r="A341" s="9">
        <f t="shared" si="12"/>
        <v>340</v>
      </c>
      <c r="B341" s="7" t="str">
        <f>_xlfn.XLOOKUP(C341,Tab_Def_Flows[Flow_Name],Tab_Def_Flows[Flow_ID],,0,)</f>
        <v>F__</v>
      </c>
      <c r="C341" s="8" t="s">
        <v>31</v>
      </c>
      <c r="D341" s="10">
        <f>_xlfn.XLOOKUP(C341,Tab_Def_Flows[Flow_Name],Tab_Def_Flows[WC?],,0,)</f>
        <v>0</v>
      </c>
      <c r="E341" s="10">
        <f>_xlfn.XLOOKUP(C341,Tab_Def_Flows[Flow_Name],Tab_Def_Flows[DM?],,0,)</f>
        <v>0</v>
      </c>
      <c r="F341" s="10">
        <f>_xlfn.XLOOKUP(C341,Tab_Def_Flows[Flow_Name],Tab_Def_Flows[CC?],,0,)</f>
        <v>0</v>
      </c>
      <c r="G341" s="8"/>
      <c r="H341" s="28"/>
      <c r="I341" s="8"/>
      <c r="J341" s="8"/>
      <c r="K341" s="8"/>
      <c r="L341" s="8"/>
      <c r="M341" s="8"/>
      <c r="N341" s="8"/>
      <c r="O341" s="8"/>
      <c r="P341" s="8"/>
      <c r="Q341" s="8" t="s">
        <v>8</v>
      </c>
      <c r="R341" s="8"/>
      <c r="S341" s="8"/>
      <c r="T341" s="7" t="str">
        <f>Tab_Data_Flows[[#This Row],[Flow_ID]]&amp;"_"&amp;"material_"&amp;Tab_Data_Flows[[#This Row],[Flow_Data_Year]]</f>
        <v>F___material_</v>
      </c>
      <c r="U341" s="18">
        <f t="shared" si="13"/>
        <v>0</v>
      </c>
      <c r="V341" s="8" t="s">
        <v>218</v>
      </c>
      <c r="W341" s="156">
        <f>INDEX(Tab_Def_Flows[[Flow_ID]:[CC_DM_source]],MATCH(Tab_Data_Flows[[#This Row],[Flow_Name]],Tab_Def_Flows[Flow_Name],0),11)</f>
        <v>0</v>
      </c>
      <c r="X341" s="7" t="str">
        <f>Tab_Data_Flows[[#This Row],[Flow_ID]]&amp;"_"&amp;"WC_"&amp;Tab_Data_Flows[[#This Row],[Flow_Data_Year]]</f>
        <v>F___WC_</v>
      </c>
      <c r="Y341" s="7" t="str">
        <f>IF(D341="Yes",U341*Tab_Data_Flows[[#This Row],[WC_'[%']]],"N.A.")</f>
        <v>N.A.</v>
      </c>
      <c r="Z341" s="7" t="str">
        <f>Tab_Data_Flows[[#This Row],[UoM_Flow_Py]]</f>
        <v>Mg</v>
      </c>
      <c r="AA341" s="156">
        <f>INDEX(Tab_Def_Flows[[Flow_ID]:[CC_DM_source]],MATCH(Tab_Data_Flows[[#This Row],[Flow_Name]],Tab_Def_Flows[Flow_Name],0),14)</f>
        <v>0</v>
      </c>
      <c r="AB341" s="7" t="str">
        <f>Tab_Data_Flows[[#This Row],[Flow_ID]]&amp;"_"&amp;"DM_"&amp;Tab_Data_Flows[[#This Row],[Flow_Data_Year]]</f>
        <v>F___DM_</v>
      </c>
      <c r="AC341" s="7" t="str">
        <f>IF(E341="Yes",AA341*Tab_Data_Flows[[#This Row],[Flow_Material]],"N.A.")</f>
        <v>N.A.</v>
      </c>
      <c r="AD341" s="7" t="str">
        <f>Tab_Data_Flows[[#This Row],[UoM_Flow_Py]]</f>
        <v>Mg</v>
      </c>
      <c r="AE341" s="156">
        <f>INDEX(Tab_Def_Flows[[Flow_ID]:[CC_DM_source]],MATCH(Tab_Data_Flows[[#This Row],[Flow_Name]],Tab_Def_Flows[Flow_Name],0),17)</f>
        <v>0</v>
      </c>
      <c r="AF341" s="7" t="str">
        <f>Tab_Data_Flows[[#This Row],[Flow_ID]]&amp;"_"&amp;"CC_"&amp;Tab_Data_Flows[[#This Row],[Flow_Data_Year]]</f>
        <v>F___CC_</v>
      </c>
      <c r="AG341" s="7" t="str">
        <f>IF(F341="Yes",AE341*Tab_Data_Flows[[#This Row],[Flow_Material]]*Tab_Data_Flows[[#This Row],[DM_'[%']]],"N.A.")</f>
        <v>N.A.</v>
      </c>
      <c r="AH341" s="7" t="str">
        <f>Tab_Data_Flows[[#This Row],[UoM_Flow_Py]]</f>
        <v>Mg</v>
      </c>
      <c r="AI341"/>
    </row>
    <row r="342" spans="1:35" x14ac:dyDescent="0.25">
      <c r="A342" s="9">
        <f t="shared" si="12"/>
        <v>341</v>
      </c>
      <c r="B342" s="7" t="str">
        <f>_xlfn.XLOOKUP(C342,Tab_Def_Flows[Flow_Name],Tab_Def_Flows[Flow_ID],,0,)</f>
        <v>F__</v>
      </c>
      <c r="C342" s="8" t="s">
        <v>31</v>
      </c>
      <c r="D342" s="10">
        <f>_xlfn.XLOOKUP(C342,Tab_Def_Flows[Flow_Name],Tab_Def_Flows[WC?],,0,)</f>
        <v>0</v>
      </c>
      <c r="E342" s="10">
        <f>_xlfn.XLOOKUP(C342,Tab_Def_Flows[Flow_Name],Tab_Def_Flows[DM?],,0,)</f>
        <v>0</v>
      </c>
      <c r="F342" s="10">
        <f>_xlfn.XLOOKUP(C342,Tab_Def_Flows[Flow_Name],Tab_Def_Flows[CC?],,0,)</f>
        <v>0</v>
      </c>
      <c r="G342" s="8"/>
      <c r="H342" s="28"/>
      <c r="I342" s="8"/>
      <c r="J342" s="8"/>
      <c r="K342" s="8"/>
      <c r="L342" s="8"/>
      <c r="M342" s="8"/>
      <c r="N342" s="8"/>
      <c r="O342" s="8"/>
      <c r="P342" s="8"/>
      <c r="Q342" s="8" t="s">
        <v>8</v>
      </c>
      <c r="R342" s="8"/>
      <c r="S342" s="8"/>
      <c r="T342" s="7" t="str">
        <f>Tab_Data_Flows[[#This Row],[Flow_ID]]&amp;"_"&amp;"material_"&amp;Tab_Data_Flows[[#This Row],[Flow_Data_Year]]</f>
        <v>F___material_</v>
      </c>
      <c r="U342" s="18">
        <f t="shared" si="13"/>
        <v>0</v>
      </c>
      <c r="V342" s="8" t="s">
        <v>218</v>
      </c>
      <c r="W342" s="156">
        <f>INDEX(Tab_Def_Flows[[Flow_ID]:[CC_DM_source]],MATCH(Tab_Data_Flows[[#This Row],[Flow_Name]],Tab_Def_Flows[Flow_Name],0),11)</f>
        <v>0</v>
      </c>
      <c r="X342" s="7" t="str">
        <f>Tab_Data_Flows[[#This Row],[Flow_ID]]&amp;"_"&amp;"WC_"&amp;Tab_Data_Flows[[#This Row],[Flow_Data_Year]]</f>
        <v>F___WC_</v>
      </c>
      <c r="Y342" s="7" t="str">
        <f>IF(D342="Yes",U342*Tab_Data_Flows[[#This Row],[WC_'[%']]],"N.A.")</f>
        <v>N.A.</v>
      </c>
      <c r="Z342" s="7" t="str">
        <f>Tab_Data_Flows[[#This Row],[UoM_Flow_Py]]</f>
        <v>Mg</v>
      </c>
      <c r="AA342" s="156">
        <f>INDEX(Tab_Def_Flows[[Flow_ID]:[CC_DM_source]],MATCH(Tab_Data_Flows[[#This Row],[Flow_Name]],Tab_Def_Flows[Flow_Name],0),14)</f>
        <v>0</v>
      </c>
      <c r="AB342" s="7" t="str">
        <f>Tab_Data_Flows[[#This Row],[Flow_ID]]&amp;"_"&amp;"DM_"&amp;Tab_Data_Flows[[#This Row],[Flow_Data_Year]]</f>
        <v>F___DM_</v>
      </c>
      <c r="AC342" s="7" t="str">
        <f>IF(E342="Yes",AA342*Tab_Data_Flows[[#This Row],[Flow_Material]],"N.A.")</f>
        <v>N.A.</v>
      </c>
      <c r="AD342" s="7" t="str">
        <f>Tab_Data_Flows[[#This Row],[UoM_Flow_Py]]</f>
        <v>Mg</v>
      </c>
      <c r="AE342" s="156">
        <f>INDEX(Tab_Def_Flows[[Flow_ID]:[CC_DM_source]],MATCH(Tab_Data_Flows[[#This Row],[Flow_Name]],Tab_Def_Flows[Flow_Name],0),17)</f>
        <v>0</v>
      </c>
      <c r="AF342" s="7" t="str">
        <f>Tab_Data_Flows[[#This Row],[Flow_ID]]&amp;"_"&amp;"CC_"&amp;Tab_Data_Flows[[#This Row],[Flow_Data_Year]]</f>
        <v>F___CC_</v>
      </c>
      <c r="AG342" s="7" t="str">
        <f>IF(F342="Yes",AE342*Tab_Data_Flows[[#This Row],[Flow_Material]]*Tab_Data_Flows[[#This Row],[DM_'[%']]],"N.A.")</f>
        <v>N.A.</v>
      </c>
      <c r="AH342" s="7" t="str">
        <f>Tab_Data_Flows[[#This Row],[UoM_Flow_Py]]</f>
        <v>Mg</v>
      </c>
      <c r="AI342"/>
    </row>
    <row r="343" spans="1:35" x14ac:dyDescent="0.25">
      <c r="A343" s="9">
        <f t="shared" si="12"/>
        <v>342</v>
      </c>
      <c r="B343" s="7" t="str">
        <f>_xlfn.XLOOKUP(C343,Tab_Def_Flows[Flow_Name],Tab_Def_Flows[Flow_ID],,0,)</f>
        <v>F__</v>
      </c>
      <c r="C343" s="8" t="s">
        <v>31</v>
      </c>
      <c r="D343" s="10">
        <f>_xlfn.XLOOKUP(C343,Tab_Def_Flows[Flow_Name],Tab_Def_Flows[WC?],,0,)</f>
        <v>0</v>
      </c>
      <c r="E343" s="10">
        <f>_xlfn.XLOOKUP(C343,Tab_Def_Flows[Flow_Name],Tab_Def_Flows[DM?],,0,)</f>
        <v>0</v>
      </c>
      <c r="F343" s="10">
        <f>_xlfn.XLOOKUP(C343,Tab_Def_Flows[Flow_Name],Tab_Def_Flows[CC?],,0,)</f>
        <v>0</v>
      </c>
      <c r="G343" s="8"/>
      <c r="H343" s="28"/>
      <c r="I343" s="8"/>
      <c r="J343" s="8"/>
      <c r="K343" s="8"/>
      <c r="L343" s="8"/>
      <c r="M343" s="8"/>
      <c r="N343" s="8"/>
      <c r="O343" s="8"/>
      <c r="P343" s="8"/>
      <c r="Q343" s="8" t="s">
        <v>8</v>
      </c>
      <c r="R343" s="8"/>
      <c r="S343" s="8"/>
      <c r="T343" s="7" t="str">
        <f>Tab_Data_Flows[[#This Row],[Flow_ID]]&amp;"_"&amp;"material_"&amp;Tab_Data_Flows[[#This Row],[Flow_Data_Year]]</f>
        <v>F___material_</v>
      </c>
      <c r="U343" s="18">
        <f t="shared" si="13"/>
        <v>0</v>
      </c>
      <c r="V343" s="8" t="s">
        <v>218</v>
      </c>
      <c r="W343" s="156">
        <f>INDEX(Tab_Def_Flows[[Flow_ID]:[CC_DM_source]],MATCH(Tab_Data_Flows[[#This Row],[Flow_Name]],Tab_Def_Flows[Flow_Name],0),11)</f>
        <v>0</v>
      </c>
      <c r="X343" s="7" t="str">
        <f>Tab_Data_Flows[[#This Row],[Flow_ID]]&amp;"_"&amp;"WC_"&amp;Tab_Data_Flows[[#This Row],[Flow_Data_Year]]</f>
        <v>F___WC_</v>
      </c>
      <c r="Y343" s="7" t="str">
        <f>IF(D343="Yes",U343*Tab_Data_Flows[[#This Row],[WC_'[%']]],"N.A.")</f>
        <v>N.A.</v>
      </c>
      <c r="Z343" s="7" t="str">
        <f>Tab_Data_Flows[[#This Row],[UoM_Flow_Py]]</f>
        <v>Mg</v>
      </c>
      <c r="AA343" s="156">
        <f>INDEX(Tab_Def_Flows[[Flow_ID]:[CC_DM_source]],MATCH(Tab_Data_Flows[[#This Row],[Flow_Name]],Tab_Def_Flows[Flow_Name],0),14)</f>
        <v>0</v>
      </c>
      <c r="AB343" s="7" t="str">
        <f>Tab_Data_Flows[[#This Row],[Flow_ID]]&amp;"_"&amp;"DM_"&amp;Tab_Data_Flows[[#This Row],[Flow_Data_Year]]</f>
        <v>F___DM_</v>
      </c>
      <c r="AC343" s="7" t="str">
        <f>IF(E343="Yes",AA343*Tab_Data_Flows[[#This Row],[Flow_Material]],"N.A.")</f>
        <v>N.A.</v>
      </c>
      <c r="AD343" s="7" t="str">
        <f>Tab_Data_Flows[[#This Row],[UoM_Flow_Py]]</f>
        <v>Mg</v>
      </c>
      <c r="AE343" s="156">
        <f>INDEX(Tab_Def_Flows[[Flow_ID]:[CC_DM_source]],MATCH(Tab_Data_Flows[[#This Row],[Flow_Name]],Tab_Def_Flows[Flow_Name],0),17)</f>
        <v>0</v>
      </c>
      <c r="AF343" s="7" t="str">
        <f>Tab_Data_Flows[[#This Row],[Flow_ID]]&amp;"_"&amp;"CC_"&amp;Tab_Data_Flows[[#This Row],[Flow_Data_Year]]</f>
        <v>F___CC_</v>
      </c>
      <c r="AG343" s="7" t="str">
        <f>IF(F343="Yes",AE343*Tab_Data_Flows[[#This Row],[Flow_Material]]*Tab_Data_Flows[[#This Row],[DM_'[%']]],"N.A.")</f>
        <v>N.A.</v>
      </c>
      <c r="AH343" s="7" t="str">
        <f>Tab_Data_Flows[[#This Row],[UoM_Flow_Py]]</f>
        <v>Mg</v>
      </c>
      <c r="AI343"/>
    </row>
    <row r="344" spans="1:35" x14ac:dyDescent="0.25">
      <c r="A344" s="9">
        <f t="shared" si="12"/>
        <v>343</v>
      </c>
      <c r="B344" s="7" t="str">
        <f>_xlfn.XLOOKUP(C344,Tab_Def_Flows[Flow_Name],Tab_Def_Flows[Flow_ID],,0,)</f>
        <v>F__</v>
      </c>
      <c r="C344" s="8" t="s">
        <v>31</v>
      </c>
      <c r="D344" s="10">
        <f>_xlfn.XLOOKUP(C344,Tab_Def_Flows[Flow_Name],Tab_Def_Flows[WC?],,0,)</f>
        <v>0</v>
      </c>
      <c r="E344" s="10">
        <f>_xlfn.XLOOKUP(C344,Tab_Def_Flows[Flow_Name],Tab_Def_Flows[DM?],,0,)</f>
        <v>0</v>
      </c>
      <c r="F344" s="10">
        <f>_xlfn.XLOOKUP(C344,Tab_Def_Flows[Flow_Name],Tab_Def_Flows[CC?],,0,)</f>
        <v>0</v>
      </c>
      <c r="G344" s="8"/>
      <c r="H344" s="28"/>
      <c r="I344" s="8"/>
      <c r="J344" s="8"/>
      <c r="K344" s="8"/>
      <c r="L344" s="8"/>
      <c r="M344" s="8"/>
      <c r="N344" s="8"/>
      <c r="O344" s="8"/>
      <c r="P344" s="8"/>
      <c r="Q344" s="8" t="s">
        <v>8</v>
      </c>
      <c r="R344" s="8"/>
      <c r="S344" s="8"/>
      <c r="T344" s="7" t="str">
        <f>Tab_Data_Flows[[#This Row],[Flow_ID]]&amp;"_"&amp;"material_"&amp;Tab_Data_Flows[[#This Row],[Flow_Data_Year]]</f>
        <v>F___material_</v>
      </c>
      <c r="U344" s="18">
        <f t="shared" si="13"/>
        <v>0</v>
      </c>
      <c r="V344" s="8" t="s">
        <v>218</v>
      </c>
      <c r="W344" s="156">
        <f>INDEX(Tab_Def_Flows[[Flow_ID]:[CC_DM_source]],MATCH(Tab_Data_Flows[[#This Row],[Flow_Name]],Tab_Def_Flows[Flow_Name],0),11)</f>
        <v>0</v>
      </c>
      <c r="X344" s="7" t="str">
        <f>Tab_Data_Flows[[#This Row],[Flow_ID]]&amp;"_"&amp;"WC_"&amp;Tab_Data_Flows[[#This Row],[Flow_Data_Year]]</f>
        <v>F___WC_</v>
      </c>
      <c r="Y344" s="7" t="str">
        <f>IF(D344="Yes",U344*Tab_Data_Flows[[#This Row],[WC_'[%']]],"N.A.")</f>
        <v>N.A.</v>
      </c>
      <c r="Z344" s="7" t="str">
        <f>Tab_Data_Flows[[#This Row],[UoM_Flow_Py]]</f>
        <v>Mg</v>
      </c>
      <c r="AA344" s="156">
        <f>INDEX(Tab_Def_Flows[[Flow_ID]:[CC_DM_source]],MATCH(Tab_Data_Flows[[#This Row],[Flow_Name]],Tab_Def_Flows[Flow_Name],0),14)</f>
        <v>0</v>
      </c>
      <c r="AB344" s="7" t="str">
        <f>Tab_Data_Flows[[#This Row],[Flow_ID]]&amp;"_"&amp;"DM_"&amp;Tab_Data_Flows[[#This Row],[Flow_Data_Year]]</f>
        <v>F___DM_</v>
      </c>
      <c r="AC344" s="7" t="str">
        <f>IF(E344="Yes",AA344*Tab_Data_Flows[[#This Row],[Flow_Material]],"N.A.")</f>
        <v>N.A.</v>
      </c>
      <c r="AD344" s="7" t="str">
        <f>Tab_Data_Flows[[#This Row],[UoM_Flow_Py]]</f>
        <v>Mg</v>
      </c>
      <c r="AE344" s="156">
        <f>INDEX(Tab_Def_Flows[[Flow_ID]:[CC_DM_source]],MATCH(Tab_Data_Flows[[#This Row],[Flow_Name]],Tab_Def_Flows[Flow_Name],0),17)</f>
        <v>0</v>
      </c>
      <c r="AF344" s="7" t="str">
        <f>Tab_Data_Flows[[#This Row],[Flow_ID]]&amp;"_"&amp;"CC_"&amp;Tab_Data_Flows[[#This Row],[Flow_Data_Year]]</f>
        <v>F___CC_</v>
      </c>
      <c r="AG344" s="7" t="str">
        <f>IF(F344="Yes",AE344*Tab_Data_Flows[[#This Row],[Flow_Material]]*Tab_Data_Flows[[#This Row],[DM_'[%']]],"N.A.")</f>
        <v>N.A.</v>
      </c>
      <c r="AH344" s="7" t="str">
        <f>Tab_Data_Flows[[#This Row],[UoM_Flow_Py]]</f>
        <v>Mg</v>
      </c>
      <c r="AI344"/>
    </row>
    <row r="345" spans="1:35" x14ac:dyDescent="0.25">
      <c r="A345" s="9">
        <f t="shared" si="12"/>
        <v>344</v>
      </c>
      <c r="B345" s="7" t="str">
        <f>_xlfn.XLOOKUP(C345,Tab_Def_Flows[Flow_Name],Tab_Def_Flows[Flow_ID],,0,)</f>
        <v>F__</v>
      </c>
      <c r="C345" s="8" t="s">
        <v>31</v>
      </c>
      <c r="D345" s="10">
        <f>_xlfn.XLOOKUP(C345,Tab_Def_Flows[Flow_Name],Tab_Def_Flows[WC?],,0,)</f>
        <v>0</v>
      </c>
      <c r="E345" s="10">
        <f>_xlfn.XLOOKUP(C345,Tab_Def_Flows[Flow_Name],Tab_Def_Flows[DM?],,0,)</f>
        <v>0</v>
      </c>
      <c r="F345" s="10">
        <f>_xlfn.XLOOKUP(C345,Tab_Def_Flows[Flow_Name],Tab_Def_Flows[CC?],,0,)</f>
        <v>0</v>
      </c>
      <c r="G345" s="8"/>
      <c r="H345" s="28"/>
      <c r="I345" s="8"/>
      <c r="J345" s="8"/>
      <c r="K345" s="8"/>
      <c r="L345" s="8"/>
      <c r="M345" s="8"/>
      <c r="N345" s="8"/>
      <c r="O345" s="8"/>
      <c r="P345" s="8"/>
      <c r="Q345" s="8" t="s">
        <v>8</v>
      </c>
      <c r="R345" s="8"/>
      <c r="S345" s="8"/>
      <c r="T345" s="7" t="str">
        <f>Tab_Data_Flows[[#This Row],[Flow_ID]]&amp;"_"&amp;"material_"&amp;Tab_Data_Flows[[#This Row],[Flow_Data_Year]]</f>
        <v>F___material_</v>
      </c>
      <c r="U345" s="18">
        <f t="shared" si="13"/>
        <v>0</v>
      </c>
      <c r="V345" s="8" t="s">
        <v>218</v>
      </c>
      <c r="W345" s="156">
        <f>INDEX(Tab_Def_Flows[[Flow_ID]:[CC_DM_source]],MATCH(Tab_Data_Flows[[#This Row],[Flow_Name]],Tab_Def_Flows[Flow_Name],0),11)</f>
        <v>0</v>
      </c>
      <c r="X345" s="7" t="str">
        <f>Tab_Data_Flows[[#This Row],[Flow_ID]]&amp;"_"&amp;"WC_"&amp;Tab_Data_Flows[[#This Row],[Flow_Data_Year]]</f>
        <v>F___WC_</v>
      </c>
      <c r="Y345" s="7" t="str">
        <f>IF(D345="Yes",U345*Tab_Data_Flows[[#This Row],[WC_'[%']]],"N.A.")</f>
        <v>N.A.</v>
      </c>
      <c r="Z345" s="7" t="str">
        <f>Tab_Data_Flows[[#This Row],[UoM_Flow_Py]]</f>
        <v>Mg</v>
      </c>
      <c r="AA345" s="156">
        <f>INDEX(Tab_Def_Flows[[Flow_ID]:[CC_DM_source]],MATCH(Tab_Data_Flows[[#This Row],[Flow_Name]],Tab_Def_Flows[Flow_Name],0),14)</f>
        <v>0</v>
      </c>
      <c r="AB345" s="7" t="str">
        <f>Tab_Data_Flows[[#This Row],[Flow_ID]]&amp;"_"&amp;"DM_"&amp;Tab_Data_Flows[[#This Row],[Flow_Data_Year]]</f>
        <v>F___DM_</v>
      </c>
      <c r="AC345" s="7" t="str">
        <f>IF(E345="Yes",AA345*Tab_Data_Flows[[#This Row],[Flow_Material]],"N.A.")</f>
        <v>N.A.</v>
      </c>
      <c r="AD345" s="7" t="str">
        <f>Tab_Data_Flows[[#This Row],[UoM_Flow_Py]]</f>
        <v>Mg</v>
      </c>
      <c r="AE345" s="156">
        <f>INDEX(Tab_Def_Flows[[Flow_ID]:[CC_DM_source]],MATCH(Tab_Data_Flows[[#This Row],[Flow_Name]],Tab_Def_Flows[Flow_Name],0),17)</f>
        <v>0</v>
      </c>
      <c r="AF345" s="7" t="str">
        <f>Tab_Data_Flows[[#This Row],[Flow_ID]]&amp;"_"&amp;"CC_"&amp;Tab_Data_Flows[[#This Row],[Flow_Data_Year]]</f>
        <v>F___CC_</v>
      </c>
      <c r="AG345" s="7" t="str">
        <f>IF(F345="Yes",AE345*Tab_Data_Flows[[#This Row],[Flow_Material]]*Tab_Data_Flows[[#This Row],[DM_'[%']]],"N.A.")</f>
        <v>N.A.</v>
      </c>
      <c r="AH345" s="7" t="str">
        <f>Tab_Data_Flows[[#This Row],[UoM_Flow_Py]]</f>
        <v>Mg</v>
      </c>
      <c r="AI345"/>
    </row>
    <row r="346" spans="1:35" x14ac:dyDescent="0.25">
      <c r="A346" s="9">
        <f t="shared" si="12"/>
        <v>345</v>
      </c>
      <c r="B346" s="7" t="str">
        <f>_xlfn.XLOOKUP(C346,Tab_Def_Flows[Flow_Name],Tab_Def_Flows[Flow_ID],,0,)</f>
        <v>F__</v>
      </c>
      <c r="C346" s="8" t="s">
        <v>31</v>
      </c>
      <c r="D346" s="10">
        <f>_xlfn.XLOOKUP(C346,Tab_Def_Flows[Flow_Name],Tab_Def_Flows[WC?],,0,)</f>
        <v>0</v>
      </c>
      <c r="E346" s="10">
        <f>_xlfn.XLOOKUP(C346,Tab_Def_Flows[Flow_Name],Tab_Def_Flows[DM?],,0,)</f>
        <v>0</v>
      </c>
      <c r="F346" s="10">
        <f>_xlfn.XLOOKUP(C346,Tab_Def_Flows[Flow_Name],Tab_Def_Flows[CC?],,0,)</f>
        <v>0</v>
      </c>
      <c r="G346" s="8"/>
      <c r="H346" s="28"/>
      <c r="I346" s="8"/>
      <c r="J346" s="8"/>
      <c r="K346" s="8"/>
      <c r="L346" s="8"/>
      <c r="M346" s="8"/>
      <c r="N346" s="8"/>
      <c r="O346" s="8"/>
      <c r="P346" s="8"/>
      <c r="Q346" s="8" t="s">
        <v>8</v>
      </c>
      <c r="R346" s="8"/>
      <c r="S346" s="8"/>
      <c r="T346" s="7" t="str">
        <f>Tab_Data_Flows[[#This Row],[Flow_ID]]&amp;"_"&amp;"material_"&amp;Tab_Data_Flows[[#This Row],[Flow_Data_Year]]</f>
        <v>F___material_</v>
      </c>
      <c r="U346" s="18">
        <f t="shared" si="13"/>
        <v>0</v>
      </c>
      <c r="V346" s="8" t="s">
        <v>218</v>
      </c>
      <c r="W346" s="156">
        <f>INDEX(Tab_Def_Flows[[Flow_ID]:[CC_DM_source]],MATCH(Tab_Data_Flows[[#This Row],[Flow_Name]],Tab_Def_Flows[Flow_Name],0),11)</f>
        <v>0</v>
      </c>
      <c r="X346" s="7" t="str">
        <f>Tab_Data_Flows[[#This Row],[Flow_ID]]&amp;"_"&amp;"WC_"&amp;Tab_Data_Flows[[#This Row],[Flow_Data_Year]]</f>
        <v>F___WC_</v>
      </c>
      <c r="Y346" s="7" t="str">
        <f>IF(D346="Yes",U346*Tab_Data_Flows[[#This Row],[WC_'[%']]],"N.A.")</f>
        <v>N.A.</v>
      </c>
      <c r="Z346" s="7" t="str">
        <f>Tab_Data_Flows[[#This Row],[UoM_Flow_Py]]</f>
        <v>Mg</v>
      </c>
      <c r="AA346" s="156">
        <f>INDEX(Tab_Def_Flows[[Flow_ID]:[CC_DM_source]],MATCH(Tab_Data_Flows[[#This Row],[Flow_Name]],Tab_Def_Flows[Flow_Name],0),14)</f>
        <v>0</v>
      </c>
      <c r="AB346" s="7" t="str">
        <f>Tab_Data_Flows[[#This Row],[Flow_ID]]&amp;"_"&amp;"DM_"&amp;Tab_Data_Flows[[#This Row],[Flow_Data_Year]]</f>
        <v>F___DM_</v>
      </c>
      <c r="AC346" s="7" t="str">
        <f>IF(E346="Yes",AA346*Tab_Data_Flows[[#This Row],[Flow_Material]],"N.A.")</f>
        <v>N.A.</v>
      </c>
      <c r="AD346" s="7" t="str">
        <f>Tab_Data_Flows[[#This Row],[UoM_Flow_Py]]</f>
        <v>Mg</v>
      </c>
      <c r="AE346" s="156">
        <f>INDEX(Tab_Def_Flows[[Flow_ID]:[CC_DM_source]],MATCH(Tab_Data_Flows[[#This Row],[Flow_Name]],Tab_Def_Flows[Flow_Name],0),17)</f>
        <v>0</v>
      </c>
      <c r="AF346" s="7" t="str">
        <f>Tab_Data_Flows[[#This Row],[Flow_ID]]&amp;"_"&amp;"CC_"&amp;Tab_Data_Flows[[#This Row],[Flow_Data_Year]]</f>
        <v>F___CC_</v>
      </c>
      <c r="AG346" s="7" t="str">
        <f>IF(F346="Yes",AE346*Tab_Data_Flows[[#This Row],[Flow_Material]]*Tab_Data_Flows[[#This Row],[DM_'[%']]],"N.A.")</f>
        <v>N.A.</v>
      </c>
      <c r="AH346" s="7" t="str">
        <f>Tab_Data_Flows[[#This Row],[UoM_Flow_Py]]</f>
        <v>Mg</v>
      </c>
      <c r="AI346"/>
    </row>
    <row r="347" spans="1:35" x14ac:dyDescent="0.25">
      <c r="A347" s="9">
        <f t="shared" ref="A347:A350" si="14">ROW()-1</f>
        <v>346</v>
      </c>
      <c r="B347" s="7" t="str">
        <f>_xlfn.XLOOKUP(C347,Tab_Def_Flows[Flow_Name],Tab_Def_Flows[Flow_ID],,0,)</f>
        <v>F__</v>
      </c>
      <c r="C347" s="8" t="s">
        <v>31</v>
      </c>
      <c r="D347" s="10">
        <f>_xlfn.XLOOKUP(C347,Tab_Def_Flows[Flow_Name],Tab_Def_Flows[WC?],,0,)</f>
        <v>0</v>
      </c>
      <c r="E347" s="10">
        <f>_xlfn.XLOOKUP(C347,Tab_Def_Flows[Flow_Name],Tab_Def_Flows[DM?],,0,)</f>
        <v>0</v>
      </c>
      <c r="F347" s="10">
        <f>_xlfn.XLOOKUP(C347,Tab_Def_Flows[Flow_Name],Tab_Def_Flows[CC?],,0,)</f>
        <v>0</v>
      </c>
      <c r="G347" s="8"/>
      <c r="H347" s="28"/>
      <c r="I347" s="8"/>
      <c r="J347" s="8"/>
      <c r="K347" s="8"/>
      <c r="L347" s="8"/>
      <c r="M347" s="8"/>
      <c r="N347" s="8"/>
      <c r="O347" s="8"/>
      <c r="P347" s="8"/>
      <c r="Q347" s="8" t="s">
        <v>8</v>
      </c>
      <c r="R347" s="8"/>
      <c r="S347" s="8"/>
      <c r="T347" s="7" t="str">
        <f>Tab_Data_Flows[[#This Row],[Flow_ID]]&amp;"_"&amp;"material_"&amp;Tab_Data_Flows[[#This Row],[Flow_Data_Year]]</f>
        <v>F___material_</v>
      </c>
      <c r="U347" s="18">
        <f t="shared" si="13"/>
        <v>0</v>
      </c>
      <c r="V347" s="8" t="s">
        <v>218</v>
      </c>
      <c r="W347" s="156">
        <f>INDEX(Tab_Def_Flows[[Flow_ID]:[CC_DM_source]],MATCH(Tab_Data_Flows[[#This Row],[Flow_Name]],Tab_Def_Flows[Flow_Name],0),11)</f>
        <v>0</v>
      </c>
      <c r="X347" s="7" t="str">
        <f>Tab_Data_Flows[[#This Row],[Flow_ID]]&amp;"_"&amp;"WC_"&amp;Tab_Data_Flows[[#This Row],[Flow_Data_Year]]</f>
        <v>F___WC_</v>
      </c>
      <c r="Y347" s="7" t="str">
        <f>IF(D347="Yes",U347*Tab_Data_Flows[[#This Row],[WC_'[%']]],"N.A.")</f>
        <v>N.A.</v>
      </c>
      <c r="Z347" s="7" t="str">
        <f>Tab_Data_Flows[[#This Row],[UoM_Flow_Py]]</f>
        <v>Mg</v>
      </c>
      <c r="AA347" s="156">
        <f>INDEX(Tab_Def_Flows[[Flow_ID]:[CC_DM_source]],MATCH(Tab_Data_Flows[[#This Row],[Flow_Name]],Tab_Def_Flows[Flow_Name],0),14)</f>
        <v>0</v>
      </c>
      <c r="AB347" s="7" t="str">
        <f>Tab_Data_Flows[[#This Row],[Flow_ID]]&amp;"_"&amp;"DM_"&amp;Tab_Data_Flows[[#This Row],[Flow_Data_Year]]</f>
        <v>F___DM_</v>
      </c>
      <c r="AC347" s="7" t="str">
        <f>IF(E347="Yes",AA347*Tab_Data_Flows[[#This Row],[Flow_Material]],"N.A.")</f>
        <v>N.A.</v>
      </c>
      <c r="AD347" s="7" t="str">
        <f>Tab_Data_Flows[[#This Row],[UoM_Flow_Py]]</f>
        <v>Mg</v>
      </c>
      <c r="AE347" s="156">
        <f>INDEX(Tab_Def_Flows[[Flow_ID]:[CC_DM_source]],MATCH(Tab_Data_Flows[[#This Row],[Flow_Name]],Tab_Def_Flows[Flow_Name],0),17)</f>
        <v>0</v>
      </c>
      <c r="AF347" s="7" t="str">
        <f>Tab_Data_Flows[[#This Row],[Flow_ID]]&amp;"_"&amp;"CC_"&amp;Tab_Data_Flows[[#This Row],[Flow_Data_Year]]</f>
        <v>F___CC_</v>
      </c>
      <c r="AG347" s="7" t="str">
        <f>IF(F347="Yes",AE347*Tab_Data_Flows[[#This Row],[Flow_Material]]*Tab_Data_Flows[[#This Row],[DM_'[%']]],"N.A.")</f>
        <v>N.A.</v>
      </c>
      <c r="AH347" s="7" t="str">
        <f>Tab_Data_Flows[[#This Row],[UoM_Flow_Py]]</f>
        <v>Mg</v>
      </c>
      <c r="AI347"/>
    </row>
    <row r="348" spans="1:35" x14ac:dyDescent="0.25">
      <c r="A348" s="9">
        <f t="shared" si="14"/>
        <v>347</v>
      </c>
      <c r="B348" s="7" t="str">
        <f>_xlfn.XLOOKUP(C348,Tab_Def_Flows[Flow_Name],Tab_Def_Flows[Flow_ID],,0,)</f>
        <v>F__</v>
      </c>
      <c r="C348" s="8" t="s">
        <v>31</v>
      </c>
      <c r="D348" s="10">
        <f>_xlfn.XLOOKUP(C348,Tab_Def_Flows[Flow_Name],Tab_Def_Flows[WC?],,0,)</f>
        <v>0</v>
      </c>
      <c r="E348" s="10">
        <f>_xlfn.XLOOKUP(C348,Tab_Def_Flows[Flow_Name],Tab_Def_Flows[DM?],,0,)</f>
        <v>0</v>
      </c>
      <c r="F348" s="10">
        <f>_xlfn.XLOOKUP(C348,Tab_Def_Flows[Flow_Name],Tab_Def_Flows[CC?],,0,)</f>
        <v>0</v>
      </c>
      <c r="G348" s="8"/>
      <c r="H348" s="28"/>
      <c r="I348" s="8"/>
      <c r="J348" s="8"/>
      <c r="K348" s="8"/>
      <c r="L348" s="8"/>
      <c r="M348" s="8"/>
      <c r="N348" s="8"/>
      <c r="O348" s="8"/>
      <c r="P348" s="8"/>
      <c r="Q348" s="8" t="s">
        <v>8</v>
      </c>
      <c r="R348" s="8"/>
      <c r="S348" s="8"/>
      <c r="T348" s="7" t="str">
        <f>Tab_Data_Flows[[#This Row],[Flow_ID]]&amp;"_"&amp;"material_"&amp;Tab_Data_Flows[[#This Row],[Flow_Data_Year]]</f>
        <v>F___material_</v>
      </c>
      <c r="U348" s="18">
        <f t="shared" si="13"/>
        <v>0</v>
      </c>
      <c r="V348" s="8" t="s">
        <v>218</v>
      </c>
      <c r="W348" s="156">
        <f>INDEX(Tab_Def_Flows[[Flow_ID]:[CC_DM_source]],MATCH(Tab_Data_Flows[[#This Row],[Flow_Name]],Tab_Def_Flows[Flow_Name],0),11)</f>
        <v>0</v>
      </c>
      <c r="X348" s="7" t="str">
        <f>Tab_Data_Flows[[#This Row],[Flow_ID]]&amp;"_"&amp;"WC_"&amp;Tab_Data_Flows[[#This Row],[Flow_Data_Year]]</f>
        <v>F___WC_</v>
      </c>
      <c r="Y348" s="7" t="str">
        <f>IF(D348="Yes",U348*Tab_Data_Flows[[#This Row],[WC_'[%']]],"N.A.")</f>
        <v>N.A.</v>
      </c>
      <c r="Z348" s="7" t="str">
        <f>Tab_Data_Flows[[#This Row],[UoM_Flow_Py]]</f>
        <v>Mg</v>
      </c>
      <c r="AA348" s="156">
        <f>INDEX(Tab_Def_Flows[[Flow_ID]:[CC_DM_source]],MATCH(Tab_Data_Flows[[#This Row],[Flow_Name]],Tab_Def_Flows[Flow_Name],0),14)</f>
        <v>0</v>
      </c>
      <c r="AB348" s="7" t="str">
        <f>Tab_Data_Flows[[#This Row],[Flow_ID]]&amp;"_"&amp;"DM_"&amp;Tab_Data_Flows[[#This Row],[Flow_Data_Year]]</f>
        <v>F___DM_</v>
      </c>
      <c r="AC348" s="7" t="str">
        <f>IF(E348="Yes",AA348*Tab_Data_Flows[[#This Row],[Flow_Material]],"N.A.")</f>
        <v>N.A.</v>
      </c>
      <c r="AD348" s="7" t="str">
        <f>Tab_Data_Flows[[#This Row],[UoM_Flow_Py]]</f>
        <v>Mg</v>
      </c>
      <c r="AE348" s="156">
        <f>INDEX(Tab_Def_Flows[[Flow_ID]:[CC_DM_source]],MATCH(Tab_Data_Flows[[#This Row],[Flow_Name]],Tab_Def_Flows[Flow_Name],0),17)</f>
        <v>0</v>
      </c>
      <c r="AF348" s="7" t="str">
        <f>Tab_Data_Flows[[#This Row],[Flow_ID]]&amp;"_"&amp;"CC_"&amp;Tab_Data_Flows[[#This Row],[Flow_Data_Year]]</f>
        <v>F___CC_</v>
      </c>
      <c r="AG348" s="7" t="str">
        <f>IF(F348="Yes",AE348*Tab_Data_Flows[[#This Row],[Flow_Material]]*Tab_Data_Flows[[#This Row],[DM_'[%']]],"N.A.")</f>
        <v>N.A.</v>
      </c>
      <c r="AH348" s="7" t="str">
        <f>Tab_Data_Flows[[#This Row],[UoM_Flow_Py]]</f>
        <v>Mg</v>
      </c>
      <c r="AI348"/>
    </row>
    <row r="349" spans="1:35" x14ac:dyDescent="0.25">
      <c r="A349" s="9">
        <f t="shared" si="14"/>
        <v>348</v>
      </c>
      <c r="B349" s="7" t="str">
        <f>_xlfn.XLOOKUP(C349,Tab_Def_Flows[Flow_Name],Tab_Def_Flows[Flow_ID],,0,)</f>
        <v>F__</v>
      </c>
      <c r="C349" s="8" t="s">
        <v>31</v>
      </c>
      <c r="D349" s="10">
        <f>_xlfn.XLOOKUP(C349,Tab_Def_Flows[Flow_Name],Tab_Def_Flows[WC?],,0,)</f>
        <v>0</v>
      </c>
      <c r="E349" s="10">
        <f>_xlfn.XLOOKUP(C349,Tab_Def_Flows[Flow_Name],Tab_Def_Flows[DM?],,0,)</f>
        <v>0</v>
      </c>
      <c r="F349" s="10">
        <f>_xlfn.XLOOKUP(C349,Tab_Def_Flows[Flow_Name],Tab_Def_Flows[CC?],,0,)</f>
        <v>0</v>
      </c>
      <c r="G349" s="8"/>
      <c r="H349" s="28"/>
      <c r="I349" s="8"/>
      <c r="J349" s="8"/>
      <c r="K349" s="8"/>
      <c r="L349" s="8"/>
      <c r="M349" s="8"/>
      <c r="N349" s="8"/>
      <c r="O349" s="8"/>
      <c r="P349" s="8"/>
      <c r="Q349" s="8" t="s">
        <v>8</v>
      </c>
      <c r="R349" s="8"/>
      <c r="S349" s="8"/>
      <c r="T349" s="7" t="str">
        <f>Tab_Data_Flows[[#This Row],[Flow_ID]]&amp;"_"&amp;"material_"&amp;Tab_Data_Flows[[#This Row],[Flow_Data_Year]]</f>
        <v>F___material_</v>
      </c>
      <c r="U349" s="18">
        <f t="shared" si="13"/>
        <v>0</v>
      </c>
      <c r="V349" s="8" t="s">
        <v>218</v>
      </c>
      <c r="W349" s="156">
        <f>INDEX(Tab_Def_Flows[[Flow_ID]:[CC_DM_source]],MATCH(Tab_Data_Flows[[#This Row],[Flow_Name]],Tab_Def_Flows[Flow_Name],0),11)</f>
        <v>0</v>
      </c>
      <c r="X349" s="7" t="str">
        <f>Tab_Data_Flows[[#This Row],[Flow_ID]]&amp;"_"&amp;"WC_"&amp;Tab_Data_Flows[[#This Row],[Flow_Data_Year]]</f>
        <v>F___WC_</v>
      </c>
      <c r="Y349" s="7" t="str">
        <f>IF(D349="Yes",U349*Tab_Data_Flows[[#This Row],[WC_'[%']]],"N.A.")</f>
        <v>N.A.</v>
      </c>
      <c r="Z349" s="7" t="str">
        <f>Tab_Data_Flows[[#This Row],[UoM_Flow_Py]]</f>
        <v>Mg</v>
      </c>
      <c r="AA349" s="156">
        <f>INDEX(Tab_Def_Flows[[Flow_ID]:[CC_DM_source]],MATCH(Tab_Data_Flows[[#This Row],[Flow_Name]],Tab_Def_Flows[Flow_Name],0),14)</f>
        <v>0</v>
      </c>
      <c r="AB349" s="7" t="str">
        <f>Tab_Data_Flows[[#This Row],[Flow_ID]]&amp;"_"&amp;"DM_"&amp;Tab_Data_Flows[[#This Row],[Flow_Data_Year]]</f>
        <v>F___DM_</v>
      </c>
      <c r="AC349" s="7" t="str">
        <f>IF(E349="Yes",AA349*Tab_Data_Flows[[#This Row],[Flow_Material]],"N.A.")</f>
        <v>N.A.</v>
      </c>
      <c r="AD349" s="7" t="str">
        <f>Tab_Data_Flows[[#This Row],[UoM_Flow_Py]]</f>
        <v>Mg</v>
      </c>
      <c r="AE349" s="156">
        <f>INDEX(Tab_Def_Flows[[Flow_ID]:[CC_DM_source]],MATCH(Tab_Data_Flows[[#This Row],[Flow_Name]],Tab_Def_Flows[Flow_Name],0),17)</f>
        <v>0</v>
      </c>
      <c r="AF349" s="7" t="str">
        <f>Tab_Data_Flows[[#This Row],[Flow_ID]]&amp;"_"&amp;"CC_"&amp;Tab_Data_Flows[[#This Row],[Flow_Data_Year]]</f>
        <v>F___CC_</v>
      </c>
      <c r="AG349" s="7" t="str">
        <f>IF(F349="Yes",AE349*Tab_Data_Flows[[#This Row],[Flow_Material]]*Tab_Data_Flows[[#This Row],[DM_'[%']]],"N.A.")</f>
        <v>N.A.</v>
      </c>
      <c r="AH349" s="7" t="str">
        <f>Tab_Data_Flows[[#This Row],[UoM_Flow_Py]]</f>
        <v>Mg</v>
      </c>
      <c r="AI349"/>
    </row>
    <row r="350" spans="1:35" x14ac:dyDescent="0.25">
      <c r="A350" s="9">
        <f t="shared" si="14"/>
        <v>349</v>
      </c>
      <c r="B350" s="7" t="str">
        <f>_xlfn.XLOOKUP(C350,Tab_Def_Flows[Flow_Name],Tab_Def_Flows[Flow_ID],,0,)</f>
        <v>F__</v>
      </c>
      <c r="C350" s="8" t="s">
        <v>31</v>
      </c>
      <c r="D350" s="10">
        <f>_xlfn.XLOOKUP(C350,Tab_Def_Flows[Flow_Name],Tab_Def_Flows[WC?],,0,)</f>
        <v>0</v>
      </c>
      <c r="E350" s="10">
        <f>_xlfn.XLOOKUP(C350,Tab_Def_Flows[Flow_Name],Tab_Def_Flows[DM?],,0,)</f>
        <v>0</v>
      </c>
      <c r="F350" s="10">
        <f>_xlfn.XLOOKUP(C350,Tab_Def_Flows[Flow_Name],Tab_Def_Flows[CC?],,0,)</f>
        <v>0</v>
      </c>
      <c r="G350" s="8"/>
      <c r="H350" s="28"/>
      <c r="I350" s="8"/>
      <c r="J350" s="8"/>
      <c r="K350" s="8"/>
      <c r="L350" s="8"/>
      <c r="M350" s="8"/>
      <c r="N350" s="8"/>
      <c r="O350" s="8"/>
      <c r="P350" s="8"/>
      <c r="Q350" s="8" t="s">
        <v>8</v>
      </c>
      <c r="R350" s="8"/>
      <c r="S350" s="8"/>
      <c r="T350" s="7" t="str">
        <f>Tab_Data_Flows[[#This Row],[Flow_ID]]&amp;"_"&amp;"material_"&amp;Tab_Data_Flows[[#This Row],[Flow_Data_Year]]</f>
        <v>F___material_</v>
      </c>
      <c r="U350" s="18">
        <f t="shared" si="13"/>
        <v>0</v>
      </c>
      <c r="V350" s="8" t="s">
        <v>218</v>
      </c>
      <c r="W350" s="156">
        <f>INDEX(Tab_Def_Flows[[Flow_ID]:[CC_DM_source]],MATCH(Tab_Data_Flows[[#This Row],[Flow_Name]],Tab_Def_Flows[Flow_Name],0),11)</f>
        <v>0</v>
      </c>
      <c r="X350" s="7" t="str">
        <f>Tab_Data_Flows[[#This Row],[Flow_ID]]&amp;"_"&amp;"WC_"&amp;Tab_Data_Flows[[#This Row],[Flow_Data_Year]]</f>
        <v>F___WC_</v>
      </c>
      <c r="Y350" s="7" t="str">
        <f>IF(D350="Yes",U350*Tab_Data_Flows[[#This Row],[WC_'[%']]],"N.A.")</f>
        <v>N.A.</v>
      </c>
      <c r="Z350" s="7" t="str">
        <f>Tab_Data_Flows[[#This Row],[UoM_Flow_Py]]</f>
        <v>Mg</v>
      </c>
      <c r="AA350" s="156">
        <f>INDEX(Tab_Def_Flows[[Flow_ID]:[CC_DM_source]],MATCH(Tab_Data_Flows[[#This Row],[Flow_Name]],Tab_Def_Flows[Flow_Name],0),14)</f>
        <v>0</v>
      </c>
      <c r="AB350" s="7" t="str">
        <f>Tab_Data_Flows[[#This Row],[Flow_ID]]&amp;"_"&amp;"DM_"&amp;Tab_Data_Flows[[#This Row],[Flow_Data_Year]]</f>
        <v>F___DM_</v>
      </c>
      <c r="AC350" s="7" t="str">
        <f>IF(E350="Yes",AA350*Tab_Data_Flows[[#This Row],[Flow_Material]],"N.A.")</f>
        <v>N.A.</v>
      </c>
      <c r="AD350" s="7" t="str">
        <f>Tab_Data_Flows[[#This Row],[UoM_Flow_Py]]</f>
        <v>Mg</v>
      </c>
      <c r="AE350" s="156">
        <f>INDEX(Tab_Def_Flows[[Flow_ID]:[CC_DM_source]],MATCH(Tab_Data_Flows[[#This Row],[Flow_Name]],Tab_Def_Flows[Flow_Name],0),17)</f>
        <v>0</v>
      </c>
      <c r="AF350" s="7" t="str">
        <f>Tab_Data_Flows[[#This Row],[Flow_ID]]&amp;"_"&amp;"CC_"&amp;Tab_Data_Flows[[#This Row],[Flow_Data_Year]]</f>
        <v>F___CC_</v>
      </c>
      <c r="AG350" s="7" t="str">
        <f>IF(F350="Yes",AE350*Tab_Data_Flows[[#This Row],[Flow_Material]]*Tab_Data_Flows[[#This Row],[DM_'[%']]],"N.A.")</f>
        <v>N.A.</v>
      </c>
      <c r="AH350" s="7" t="str">
        <f>Tab_Data_Flows[[#This Row],[UoM_Flow_Py]]</f>
        <v>Mg</v>
      </c>
      <c r="AI350"/>
    </row>
    <row r="351" spans="1:35" x14ac:dyDescent="0.25">
      <c r="AC351" s="24"/>
      <c r="AI351" s="2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Q2:Q350</xm:sqref>
        </x14:dataValidation>
        <x14:dataValidation type="list" allowBlank="1" showInputMessage="1" showErrorMessage="1" xr:uid="{A030A264-E9C5-4840-932B-125C397F8D0A}">
          <x14:formula1>
            <xm:f>'1_1_Definition_Flows'!$D$2:$D$70</xm:f>
          </x14:formula1>
          <xm:sqref>C2:C350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Q47"/>
  <sheetViews>
    <sheetView tabSelected="1" zoomScale="145" zoomScaleNormal="145" workbookViewId="0">
      <pane xSplit="4" topLeftCell="I1" activePane="topRight" state="frozen"/>
      <selection pane="topRight" activeCell="J26" sqref="J26"/>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10" width="21.28515625" customWidth="1"/>
    <col min="11" max="11" width="9.28515625" customWidth="1"/>
    <col min="12" max="17" width="15.5703125" customWidth="1"/>
    <col min="18" max="18" width="10.7109375" customWidth="1"/>
  </cols>
  <sheetData>
    <row r="1" spans="1:17" x14ac:dyDescent="0.25">
      <c r="A1" s="159" t="s">
        <v>54</v>
      </c>
      <c r="B1" s="159" t="s">
        <v>28</v>
      </c>
      <c r="C1" s="159" t="s">
        <v>49</v>
      </c>
      <c r="D1" s="159" t="s">
        <v>713</v>
      </c>
      <c r="E1" s="159" t="s">
        <v>33</v>
      </c>
      <c r="F1" s="159" t="s">
        <v>50</v>
      </c>
      <c r="G1" s="159" t="s">
        <v>51</v>
      </c>
      <c r="H1" s="159" t="s">
        <v>6</v>
      </c>
      <c r="I1" s="159" t="s">
        <v>77</v>
      </c>
      <c r="J1" s="159" t="s">
        <v>670</v>
      </c>
      <c r="K1" s="159" t="s">
        <v>52</v>
      </c>
      <c r="L1" s="159" t="s">
        <v>719</v>
      </c>
      <c r="M1" s="159" t="s">
        <v>57</v>
      </c>
      <c r="N1" s="159" t="s">
        <v>224</v>
      </c>
      <c r="O1" s="159" t="s">
        <v>229</v>
      </c>
      <c r="P1" s="159" t="s">
        <v>230</v>
      </c>
      <c r="Q1" s="159" t="s">
        <v>256</v>
      </c>
    </row>
    <row r="2" spans="1:17" x14ac:dyDescent="0.25">
      <c r="A2" s="160" t="b">
        <v>1</v>
      </c>
      <c r="B2" s="23" t="s">
        <v>99</v>
      </c>
      <c r="C2" s="7" t="str">
        <f>LEFT(B2,2)</f>
        <v>00</v>
      </c>
      <c r="D2" s="8" t="s">
        <v>725</v>
      </c>
      <c r="E2" s="8"/>
      <c r="F2" s="8"/>
      <c r="G2" s="8"/>
      <c r="H2" s="20"/>
      <c r="I2" s="155" t="s">
        <v>78</v>
      </c>
      <c r="J2" s="155" t="s">
        <v>672</v>
      </c>
      <c r="K2" s="155" t="s">
        <v>8</v>
      </c>
      <c r="L2" s="155" t="s">
        <v>721</v>
      </c>
      <c r="M2" s="155" t="s">
        <v>8</v>
      </c>
      <c r="N2" s="155" t="s">
        <v>8</v>
      </c>
      <c r="O2" s="155" t="s">
        <v>8</v>
      </c>
      <c r="P2" s="155" t="s">
        <v>8</v>
      </c>
      <c r="Q2" s="8">
        <v>1</v>
      </c>
    </row>
    <row r="3" spans="1:17" x14ac:dyDescent="0.25">
      <c r="A3" s="160" t="b">
        <v>1</v>
      </c>
      <c r="B3" s="23" t="s">
        <v>88</v>
      </c>
      <c r="C3" s="7" t="str">
        <f t="shared" ref="C3:C47" si="0">LEFT(B3,2)</f>
        <v>01</v>
      </c>
      <c r="D3" s="8" t="s">
        <v>726</v>
      </c>
      <c r="E3" s="8"/>
      <c r="F3" s="8"/>
      <c r="G3" s="8"/>
      <c r="H3" s="20"/>
      <c r="I3" s="155" t="s">
        <v>78</v>
      </c>
      <c r="J3" s="155" t="s">
        <v>671</v>
      </c>
      <c r="K3" s="155" t="s">
        <v>7</v>
      </c>
      <c r="L3" s="155" t="s">
        <v>721</v>
      </c>
      <c r="M3" s="155" t="s">
        <v>7</v>
      </c>
      <c r="N3" s="155" t="s">
        <v>7</v>
      </c>
      <c r="O3" s="155" t="s">
        <v>7</v>
      </c>
      <c r="P3" s="155" t="s">
        <v>8</v>
      </c>
      <c r="Q3" s="8">
        <v>2</v>
      </c>
    </row>
    <row r="4" spans="1:17" x14ac:dyDescent="0.25">
      <c r="A4" s="160" t="b">
        <v>1</v>
      </c>
      <c r="B4" s="23" t="s">
        <v>89</v>
      </c>
      <c r="C4" s="7" t="str">
        <f t="shared" si="0"/>
        <v>02</v>
      </c>
      <c r="D4" s="8" t="s">
        <v>727</v>
      </c>
      <c r="E4" s="8"/>
      <c r="F4" s="8"/>
      <c r="G4" s="8"/>
      <c r="H4" s="20"/>
      <c r="I4" s="155" t="s">
        <v>78</v>
      </c>
      <c r="J4" s="155" t="s">
        <v>671</v>
      </c>
      <c r="K4" s="155" t="s">
        <v>8</v>
      </c>
      <c r="L4" s="155" t="s">
        <v>721</v>
      </c>
      <c r="M4" s="155" t="s">
        <v>7</v>
      </c>
      <c r="N4" s="155" t="s">
        <v>8</v>
      </c>
      <c r="O4" s="155" t="s">
        <v>8</v>
      </c>
      <c r="P4" s="155" t="s">
        <v>8</v>
      </c>
      <c r="Q4" s="8">
        <v>0</v>
      </c>
    </row>
    <row r="5" spans="1:17" x14ac:dyDescent="0.25">
      <c r="A5" s="160" t="b">
        <v>1</v>
      </c>
      <c r="B5" s="23" t="s">
        <v>90</v>
      </c>
      <c r="C5" s="7" t="str">
        <f t="shared" si="0"/>
        <v>03</v>
      </c>
      <c r="D5" s="8" t="s">
        <v>728</v>
      </c>
      <c r="E5" s="8"/>
      <c r="F5" s="8"/>
      <c r="G5" s="8"/>
      <c r="H5" s="20"/>
      <c r="I5" s="155" t="s">
        <v>78</v>
      </c>
      <c r="J5" s="155" t="s">
        <v>671</v>
      </c>
      <c r="K5" s="155" t="s">
        <v>7</v>
      </c>
      <c r="L5" s="155" t="s">
        <v>721</v>
      </c>
      <c r="M5" s="155" t="s">
        <v>8</v>
      </c>
      <c r="N5" s="155" t="s">
        <v>8</v>
      </c>
      <c r="O5" s="155" t="s">
        <v>8</v>
      </c>
      <c r="P5" s="155" t="s">
        <v>8</v>
      </c>
      <c r="Q5" s="8">
        <v>4</v>
      </c>
    </row>
    <row r="6" spans="1:17" x14ac:dyDescent="0.25">
      <c r="A6" s="160" t="b">
        <v>1</v>
      </c>
      <c r="B6" s="23" t="s">
        <v>91</v>
      </c>
      <c r="C6" s="7" t="str">
        <f t="shared" si="0"/>
        <v>04</v>
      </c>
      <c r="D6" s="8" t="s">
        <v>729</v>
      </c>
      <c r="E6" s="8"/>
      <c r="F6" s="8"/>
      <c r="G6" s="8"/>
      <c r="H6" s="20"/>
      <c r="I6" s="155" t="s">
        <v>78</v>
      </c>
      <c r="J6" s="155" t="s">
        <v>672</v>
      </c>
      <c r="K6" s="155" t="s">
        <v>8</v>
      </c>
      <c r="L6" s="155" t="s">
        <v>721</v>
      </c>
      <c r="M6" s="155" t="s">
        <v>8</v>
      </c>
      <c r="N6" s="155" t="s">
        <v>8</v>
      </c>
      <c r="O6" s="155" t="s">
        <v>8</v>
      </c>
      <c r="P6" s="155" t="s">
        <v>8</v>
      </c>
      <c r="Q6" s="8">
        <v>1</v>
      </c>
    </row>
    <row r="7" spans="1:17" x14ac:dyDescent="0.25">
      <c r="A7" s="160" t="b">
        <v>1</v>
      </c>
      <c r="B7" s="23" t="s">
        <v>92</v>
      </c>
      <c r="C7" s="7" t="str">
        <f t="shared" si="0"/>
        <v>05</v>
      </c>
      <c r="D7" s="8" t="s">
        <v>730</v>
      </c>
      <c r="E7" s="8"/>
      <c r="F7" s="8"/>
      <c r="G7" s="8"/>
      <c r="H7" s="20"/>
      <c r="I7" s="155" t="s">
        <v>78</v>
      </c>
      <c r="J7" s="155" t="s">
        <v>671</v>
      </c>
      <c r="K7" s="155" t="s">
        <v>7</v>
      </c>
      <c r="L7" s="155" t="s">
        <v>721</v>
      </c>
      <c r="M7" s="155" t="s">
        <v>8</v>
      </c>
      <c r="N7" s="155" t="s">
        <v>8</v>
      </c>
      <c r="O7" s="155" t="s">
        <v>8</v>
      </c>
      <c r="P7" s="155" t="s">
        <v>8</v>
      </c>
      <c r="Q7" s="8">
        <v>2</v>
      </c>
    </row>
    <row r="8" spans="1:17" x14ac:dyDescent="0.25">
      <c r="A8" s="160" t="b">
        <v>1</v>
      </c>
      <c r="B8" s="23" t="s">
        <v>93</v>
      </c>
      <c r="C8" s="7" t="str">
        <f t="shared" si="0"/>
        <v>06</v>
      </c>
      <c r="D8" s="8" t="s">
        <v>731</v>
      </c>
      <c r="E8" s="8"/>
      <c r="F8" s="8"/>
      <c r="G8" s="8"/>
      <c r="H8" s="20"/>
      <c r="I8" s="155" t="s">
        <v>78</v>
      </c>
      <c r="J8" s="155" t="s">
        <v>672</v>
      </c>
      <c r="K8" s="155" t="s">
        <v>7</v>
      </c>
      <c r="L8" s="155" t="s">
        <v>721</v>
      </c>
      <c r="M8" s="155" t="s">
        <v>8</v>
      </c>
      <c r="N8" s="155" t="s">
        <v>8</v>
      </c>
      <c r="O8" s="155" t="s">
        <v>8</v>
      </c>
      <c r="P8" s="155" t="s">
        <v>8</v>
      </c>
      <c r="Q8" s="8">
        <v>2</v>
      </c>
    </row>
    <row r="9" spans="1:17" x14ac:dyDescent="0.25">
      <c r="A9" s="160" t="b">
        <v>1</v>
      </c>
      <c r="B9" s="23" t="s">
        <v>94</v>
      </c>
      <c r="C9" s="7" t="str">
        <f t="shared" si="0"/>
        <v>07</v>
      </c>
      <c r="D9" s="8" t="s">
        <v>440</v>
      </c>
      <c r="E9" s="8"/>
      <c r="F9" s="8"/>
      <c r="G9" s="8"/>
      <c r="H9" s="20"/>
      <c r="I9" s="155" t="s">
        <v>161</v>
      </c>
      <c r="J9" s="155" t="s">
        <v>671</v>
      </c>
      <c r="K9" s="155" t="s">
        <v>8</v>
      </c>
      <c r="L9" s="155" t="s">
        <v>721</v>
      </c>
      <c r="M9" s="155" t="s">
        <v>7</v>
      </c>
      <c r="N9" s="155" t="s">
        <v>8</v>
      </c>
      <c r="O9" s="155" t="s">
        <v>8</v>
      </c>
      <c r="P9" s="155" t="s">
        <v>8</v>
      </c>
      <c r="Q9" s="8">
        <v>0</v>
      </c>
    </row>
    <row r="10" spans="1:17" x14ac:dyDescent="0.25">
      <c r="A10" s="160" t="b">
        <v>1</v>
      </c>
      <c r="B10" s="23" t="s">
        <v>95</v>
      </c>
      <c r="C10" s="7" t="str">
        <f t="shared" si="0"/>
        <v>08</v>
      </c>
      <c r="D10" s="8" t="s">
        <v>732</v>
      </c>
      <c r="E10" s="8"/>
      <c r="F10" s="8"/>
      <c r="G10" s="8"/>
      <c r="H10" s="20"/>
      <c r="I10" s="155" t="s">
        <v>161</v>
      </c>
      <c r="J10" s="155" t="s">
        <v>671</v>
      </c>
      <c r="K10" s="155" t="s">
        <v>8</v>
      </c>
      <c r="L10" s="155" t="s">
        <v>721</v>
      </c>
      <c r="M10" s="155" t="s">
        <v>7</v>
      </c>
      <c r="N10" s="155" t="s">
        <v>8</v>
      </c>
      <c r="O10" s="155" t="s">
        <v>8</v>
      </c>
      <c r="P10" s="155" t="s">
        <v>8</v>
      </c>
      <c r="Q10" s="8">
        <v>0</v>
      </c>
    </row>
    <row r="11" spans="1:17" x14ac:dyDescent="0.25">
      <c r="A11" s="160" t="b">
        <v>1</v>
      </c>
      <c r="B11" s="23" t="s">
        <v>96</v>
      </c>
      <c r="C11" s="7" t="str">
        <f t="shared" si="0"/>
        <v>09</v>
      </c>
      <c r="D11" s="8" t="s">
        <v>733</v>
      </c>
      <c r="E11" s="8"/>
      <c r="F11" s="8"/>
      <c r="G11" s="8"/>
      <c r="H11" s="20"/>
      <c r="I11" s="155" t="s">
        <v>161</v>
      </c>
      <c r="J11" s="155" t="s">
        <v>671</v>
      </c>
      <c r="K11" s="155" t="s">
        <v>8</v>
      </c>
      <c r="L11" s="155" t="s">
        <v>721</v>
      </c>
      <c r="M11" s="155" t="s">
        <v>7</v>
      </c>
      <c r="N11" s="155" t="s">
        <v>8</v>
      </c>
      <c r="O11" s="155" t="s">
        <v>8</v>
      </c>
      <c r="P11" s="155" t="s">
        <v>8</v>
      </c>
      <c r="Q11" s="8">
        <v>0</v>
      </c>
    </row>
    <row r="12" spans="1:17" x14ac:dyDescent="0.25">
      <c r="A12" s="160" t="b">
        <v>1</v>
      </c>
      <c r="B12" s="23" t="s">
        <v>100</v>
      </c>
      <c r="C12" s="7" t="str">
        <f t="shared" si="0"/>
        <v>10</v>
      </c>
      <c r="D12" s="8" t="s">
        <v>734</v>
      </c>
      <c r="E12" s="8"/>
      <c r="F12" s="8"/>
      <c r="G12" s="8"/>
      <c r="H12" s="20"/>
      <c r="I12" s="155" t="s">
        <v>161</v>
      </c>
      <c r="J12" s="155" t="s">
        <v>671</v>
      </c>
      <c r="K12" s="155" t="s">
        <v>8</v>
      </c>
      <c r="L12" s="155" t="s">
        <v>721</v>
      </c>
      <c r="M12" s="155" t="s">
        <v>7</v>
      </c>
      <c r="N12" s="155" t="s">
        <v>8</v>
      </c>
      <c r="O12" s="155" t="s">
        <v>8</v>
      </c>
      <c r="P12" s="155" t="s">
        <v>8</v>
      </c>
      <c r="Q12" s="8">
        <v>0</v>
      </c>
    </row>
    <row r="13" spans="1:17" x14ac:dyDescent="0.25">
      <c r="A13" s="160" t="b">
        <v>1</v>
      </c>
      <c r="B13" s="23" t="s">
        <v>101</v>
      </c>
      <c r="C13" s="7" t="str">
        <f t="shared" si="0"/>
        <v>11</v>
      </c>
      <c r="D13" s="8" t="s">
        <v>735</v>
      </c>
      <c r="E13" s="8"/>
      <c r="F13" s="8"/>
      <c r="G13" s="8"/>
      <c r="H13" s="20"/>
      <c r="I13" s="155" t="s">
        <v>161</v>
      </c>
      <c r="J13" s="155" t="s">
        <v>671</v>
      </c>
      <c r="K13" s="155" t="s">
        <v>8</v>
      </c>
      <c r="L13" s="155" t="s">
        <v>721</v>
      </c>
      <c r="M13" s="155" t="s">
        <v>7</v>
      </c>
      <c r="N13" s="155" t="s">
        <v>8</v>
      </c>
      <c r="O13" s="155" t="s">
        <v>8</v>
      </c>
      <c r="P13" s="155" t="s">
        <v>8</v>
      </c>
      <c r="Q13" s="8">
        <v>0</v>
      </c>
    </row>
    <row r="14" spans="1:17" x14ac:dyDescent="0.25">
      <c r="A14" s="160" t="b">
        <v>1</v>
      </c>
      <c r="B14" s="23" t="s">
        <v>102</v>
      </c>
      <c r="C14" s="7" t="str">
        <f t="shared" si="0"/>
        <v>12</v>
      </c>
      <c r="D14" s="8" t="s">
        <v>736</v>
      </c>
      <c r="E14" s="8"/>
      <c r="F14" s="8"/>
      <c r="G14" s="8"/>
      <c r="H14" s="20"/>
      <c r="I14" s="155" t="s">
        <v>162</v>
      </c>
      <c r="J14" s="155" t="s">
        <v>671</v>
      </c>
      <c r="K14" s="155" t="s">
        <v>8</v>
      </c>
      <c r="L14" s="155" t="s">
        <v>721</v>
      </c>
      <c r="M14" s="155" t="s">
        <v>7</v>
      </c>
      <c r="N14" s="155" t="s">
        <v>8</v>
      </c>
      <c r="O14" s="155" t="s">
        <v>8</v>
      </c>
      <c r="P14" s="155" t="s">
        <v>8</v>
      </c>
      <c r="Q14" s="8">
        <v>1</v>
      </c>
    </row>
    <row r="15" spans="1:17" x14ac:dyDescent="0.25">
      <c r="A15" s="160" t="b">
        <v>0</v>
      </c>
      <c r="B15" s="23" t="s">
        <v>103</v>
      </c>
      <c r="C15" s="7" t="str">
        <f t="shared" si="0"/>
        <v>13</v>
      </c>
      <c r="D15" s="8" t="s">
        <v>738</v>
      </c>
      <c r="E15" s="8"/>
      <c r="F15" s="8"/>
      <c r="G15" s="8"/>
      <c r="H15" s="20"/>
      <c r="I15" s="155" t="s">
        <v>162</v>
      </c>
      <c r="J15" s="155" t="s">
        <v>671</v>
      </c>
      <c r="K15" s="155" t="s">
        <v>8</v>
      </c>
      <c r="L15" s="155" t="s">
        <v>721</v>
      </c>
      <c r="M15" s="155" t="s">
        <v>7</v>
      </c>
      <c r="N15" s="155" t="s">
        <v>8</v>
      </c>
      <c r="O15" s="155" t="s">
        <v>8</v>
      </c>
      <c r="P15" s="155" t="s">
        <v>8</v>
      </c>
      <c r="Q15" s="8">
        <v>1</v>
      </c>
    </row>
    <row r="16" spans="1:17" x14ac:dyDescent="0.25">
      <c r="A16" s="160" t="b">
        <v>0</v>
      </c>
      <c r="B16" s="23" t="s">
        <v>104</v>
      </c>
      <c r="C16" s="7" t="str">
        <f t="shared" si="0"/>
        <v>14</v>
      </c>
      <c r="D16" s="8" t="s">
        <v>737</v>
      </c>
      <c r="E16" s="8"/>
      <c r="F16" s="8"/>
      <c r="G16" s="8"/>
      <c r="H16" s="20"/>
      <c r="I16" s="155" t="s">
        <v>162</v>
      </c>
      <c r="J16" s="155" t="s">
        <v>671</v>
      </c>
      <c r="K16" s="155" t="s">
        <v>8</v>
      </c>
      <c r="L16" s="155" t="s">
        <v>721</v>
      </c>
      <c r="M16" s="155" t="s">
        <v>7</v>
      </c>
      <c r="N16" s="155" t="s">
        <v>8</v>
      </c>
      <c r="O16" s="155" t="s">
        <v>8</v>
      </c>
      <c r="P16" s="155" t="s">
        <v>8</v>
      </c>
      <c r="Q16" s="8">
        <v>1</v>
      </c>
    </row>
    <row r="17" spans="1:17" x14ac:dyDescent="0.25">
      <c r="A17" s="160" t="b">
        <v>0</v>
      </c>
      <c r="B17" s="23" t="s">
        <v>105</v>
      </c>
      <c r="C17" s="7" t="str">
        <f t="shared" si="0"/>
        <v>15</v>
      </c>
      <c r="D17" s="8"/>
      <c r="E17" s="8"/>
      <c r="F17" s="8"/>
      <c r="G17" s="8"/>
      <c r="H17" s="20"/>
      <c r="I17" s="155"/>
      <c r="J17" s="155"/>
      <c r="K17" s="155"/>
      <c r="L17" s="155"/>
      <c r="M17" s="155"/>
      <c r="N17" s="155"/>
      <c r="O17" s="155"/>
      <c r="P17" s="155"/>
      <c r="Q17" s="8"/>
    </row>
    <row r="18" spans="1:17" x14ac:dyDescent="0.25">
      <c r="A18" s="160" t="b">
        <v>0</v>
      </c>
      <c r="B18" s="23" t="s">
        <v>106</v>
      </c>
      <c r="C18" s="7" t="str">
        <f t="shared" si="0"/>
        <v>16</v>
      </c>
      <c r="D18" s="8"/>
      <c r="E18" s="8"/>
      <c r="F18" s="8"/>
      <c r="G18" s="8"/>
      <c r="H18" s="20"/>
      <c r="I18" s="155"/>
      <c r="J18" s="155"/>
      <c r="K18" s="155"/>
      <c r="L18" s="155"/>
      <c r="M18" s="155"/>
      <c r="N18" s="155"/>
      <c r="O18" s="155"/>
      <c r="P18" s="155"/>
      <c r="Q18" s="8"/>
    </row>
    <row r="19" spans="1:17" x14ac:dyDescent="0.25">
      <c r="A19" s="160" t="b">
        <v>0</v>
      </c>
      <c r="B19" s="23" t="s">
        <v>107</v>
      </c>
      <c r="C19" s="7" t="str">
        <f t="shared" si="0"/>
        <v>17</v>
      </c>
      <c r="D19" s="8"/>
      <c r="E19" s="8"/>
      <c r="F19" s="8"/>
      <c r="G19" s="8"/>
      <c r="H19" s="20"/>
      <c r="I19" s="155"/>
      <c r="J19" s="155"/>
      <c r="K19" s="155"/>
      <c r="L19" s="155"/>
      <c r="M19" s="155"/>
      <c r="N19" s="155"/>
      <c r="O19" s="155"/>
      <c r="P19" s="155"/>
      <c r="Q19" s="8"/>
    </row>
    <row r="20" spans="1:17" x14ac:dyDescent="0.25">
      <c r="A20" s="160" t="b">
        <v>0</v>
      </c>
      <c r="B20" s="23" t="s">
        <v>108</v>
      </c>
      <c r="C20" s="7" t="str">
        <f t="shared" si="0"/>
        <v>18</v>
      </c>
      <c r="D20" s="8"/>
      <c r="E20" s="8"/>
      <c r="F20" s="8"/>
      <c r="G20" s="8"/>
      <c r="H20" s="20"/>
      <c r="I20" s="155"/>
      <c r="J20" s="155"/>
      <c r="K20" s="155"/>
      <c r="L20" s="155"/>
      <c r="M20" s="155"/>
      <c r="N20" s="155"/>
      <c r="O20" s="155"/>
      <c r="P20" s="155"/>
      <c r="Q20" s="8"/>
    </row>
    <row r="21" spans="1:17" x14ac:dyDescent="0.25">
      <c r="A21" s="160" t="b">
        <v>0</v>
      </c>
      <c r="B21" s="23" t="s">
        <v>109</v>
      </c>
      <c r="C21" s="7" t="str">
        <f t="shared" si="0"/>
        <v>19</v>
      </c>
      <c r="D21" s="8"/>
      <c r="E21" s="8"/>
      <c r="F21" s="8"/>
      <c r="G21" s="8"/>
      <c r="H21" s="20"/>
      <c r="I21" s="155"/>
      <c r="J21" s="155"/>
      <c r="K21" s="155"/>
      <c r="L21" s="155"/>
      <c r="M21" s="155"/>
      <c r="N21" s="155"/>
      <c r="O21" s="155"/>
      <c r="P21" s="155"/>
      <c r="Q21" s="8"/>
    </row>
    <row r="22" spans="1:17" x14ac:dyDescent="0.25">
      <c r="A22" s="160" t="b">
        <v>0</v>
      </c>
      <c r="B22" s="23" t="s">
        <v>110</v>
      </c>
      <c r="C22" s="7" t="str">
        <f t="shared" si="0"/>
        <v>20</v>
      </c>
      <c r="D22" s="8"/>
      <c r="E22" s="8"/>
      <c r="F22" s="8"/>
      <c r="G22" s="8"/>
      <c r="H22" s="20"/>
      <c r="I22" s="155"/>
      <c r="J22" s="155"/>
      <c r="K22" s="155"/>
      <c r="L22" s="155"/>
      <c r="M22" s="155"/>
      <c r="N22" s="155"/>
      <c r="O22" s="155"/>
      <c r="P22" s="155"/>
      <c r="Q22" s="8"/>
    </row>
    <row r="23" spans="1:17" x14ac:dyDescent="0.25">
      <c r="A23" s="160" t="b">
        <v>0</v>
      </c>
      <c r="B23" s="23" t="s">
        <v>111</v>
      </c>
      <c r="C23" s="7" t="str">
        <f t="shared" si="0"/>
        <v>21</v>
      </c>
      <c r="D23" s="8"/>
      <c r="E23" s="8"/>
      <c r="F23" s="8"/>
      <c r="G23" s="8"/>
      <c r="H23" s="20"/>
      <c r="I23" s="155"/>
      <c r="J23" s="155"/>
      <c r="K23" s="155"/>
      <c r="L23" s="155"/>
      <c r="M23" s="155"/>
      <c r="N23" s="155"/>
      <c r="O23" s="155"/>
      <c r="P23" s="155"/>
      <c r="Q23" s="8"/>
    </row>
    <row r="24" spans="1:17" x14ac:dyDescent="0.25">
      <c r="A24" s="160" t="b">
        <v>0</v>
      </c>
      <c r="B24" s="23" t="s">
        <v>112</v>
      </c>
      <c r="C24" s="7" t="str">
        <f t="shared" si="0"/>
        <v>22</v>
      </c>
      <c r="D24" s="8"/>
      <c r="E24" s="8"/>
      <c r="F24" s="8"/>
      <c r="G24" s="8"/>
      <c r="H24" s="20"/>
      <c r="I24" s="155"/>
      <c r="J24" s="155"/>
      <c r="K24" s="155"/>
      <c r="L24" s="155"/>
      <c r="M24" s="155"/>
      <c r="N24" s="155"/>
      <c r="O24" s="155"/>
      <c r="P24" s="155"/>
      <c r="Q24" s="8"/>
    </row>
    <row r="25" spans="1:17" x14ac:dyDescent="0.25">
      <c r="A25" s="160" t="b">
        <v>0</v>
      </c>
      <c r="B25" s="23" t="s">
        <v>113</v>
      </c>
      <c r="C25" s="7" t="str">
        <f t="shared" si="0"/>
        <v>23</v>
      </c>
      <c r="D25" s="8"/>
      <c r="E25" s="8"/>
      <c r="F25" s="8"/>
      <c r="G25" s="8"/>
      <c r="H25" s="20"/>
      <c r="I25" s="155"/>
      <c r="J25" s="155"/>
      <c r="K25" s="155"/>
      <c r="L25" s="155"/>
      <c r="M25" s="155"/>
      <c r="N25" s="155"/>
      <c r="O25" s="155"/>
      <c r="P25" s="155"/>
      <c r="Q25" s="8"/>
    </row>
    <row r="26" spans="1:17" x14ac:dyDescent="0.25">
      <c r="A26" s="160" t="b">
        <v>0</v>
      </c>
      <c r="B26" s="23" t="s">
        <v>114</v>
      </c>
      <c r="C26" s="7" t="str">
        <f t="shared" si="0"/>
        <v>24</v>
      </c>
      <c r="D26" s="8"/>
      <c r="E26" s="8"/>
      <c r="F26" s="8"/>
      <c r="G26" s="8"/>
      <c r="H26" s="20"/>
      <c r="I26" s="155"/>
      <c r="J26" s="155"/>
      <c r="K26" s="155"/>
      <c r="L26" s="155"/>
      <c r="M26" s="155"/>
      <c r="N26" s="155"/>
      <c r="O26" s="155"/>
      <c r="P26" s="155"/>
      <c r="Q26" s="8"/>
    </row>
    <row r="27" spans="1:17" x14ac:dyDescent="0.25">
      <c r="A27" s="160" t="b">
        <v>0</v>
      </c>
      <c r="B27" s="23" t="s">
        <v>115</v>
      </c>
      <c r="C27" s="7" t="str">
        <f t="shared" si="0"/>
        <v>25</v>
      </c>
      <c r="D27" s="8"/>
      <c r="E27" s="8"/>
      <c r="F27" s="8"/>
      <c r="G27" s="8"/>
      <c r="H27" s="20"/>
      <c r="I27" s="155"/>
      <c r="J27" s="155"/>
      <c r="K27" s="155"/>
      <c r="L27" s="155"/>
      <c r="M27" s="155"/>
      <c r="N27" s="155"/>
      <c r="O27" s="155"/>
      <c r="P27" s="155"/>
      <c r="Q27" s="8"/>
    </row>
    <row r="28" spans="1:17" x14ac:dyDescent="0.25">
      <c r="A28" s="160" t="b">
        <v>0</v>
      </c>
      <c r="B28" s="23" t="s">
        <v>116</v>
      </c>
      <c r="C28" s="7" t="str">
        <f t="shared" si="0"/>
        <v>26</v>
      </c>
      <c r="D28" s="8"/>
      <c r="E28" s="8"/>
      <c r="F28" s="8"/>
      <c r="G28" s="8"/>
      <c r="H28" s="20"/>
      <c r="I28" s="155"/>
      <c r="J28" s="155"/>
      <c r="K28" s="155"/>
      <c r="L28" s="155"/>
      <c r="M28" s="155"/>
      <c r="N28" s="155"/>
      <c r="O28" s="155"/>
      <c r="P28" s="155"/>
      <c r="Q28" s="8"/>
    </row>
    <row r="29" spans="1:17" x14ac:dyDescent="0.25">
      <c r="A29" s="160" t="b">
        <v>0</v>
      </c>
      <c r="B29" s="23" t="s">
        <v>117</v>
      </c>
      <c r="C29" s="7" t="str">
        <f t="shared" si="0"/>
        <v>27</v>
      </c>
      <c r="D29" s="8"/>
      <c r="E29" s="8"/>
      <c r="F29" s="8"/>
      <c r="G29" s="8"/>
      <c r="H29" s="20"/>
      <c r="I29" s="155"/>
      <c r="J29" s="155"/>
      <c r="K29" s="155"/>
      <c r="L29" s="155"/>
      <c r="M29" s="155"/>
      <c r="N29" s="155"/>
      <c r="O29" s="155"/>
      <c r="P29" s="155"/>
      <c r="Q29" s="8"/>
    </row>
    <row r="30" spans="1:17" x14ac:dyDescent="0.25">
      <c r="A30" s="160" t="b">
        <v>0</v>
      </c>
      <c r="B30" s="23" t="s">
        <v>118</v>
      </c>
      <c r="C30" s="7" t="str">
        <f t="shared" si="0"/>
        <v>28</v>
      </c>
      <c r="D30" s="8"/>
      <c r="E30" s="8"/>
      <c r="F30" s="8"/>
      <c r="G30" s="8"/>
      <c r="H30" s="20"/>
      <c r="I30" s="155"/>
      <c r="J30" s="155"/>
      <c r="K30" s="155"/>
      <c r="L30" s="155"/>
      <c r="M30" s="155"/>
      <c r="N30" s="155"/>
      <c r="O30" s="155"/>
      <c r="P30" s="155"/>
      <c r="Q30" s="8"/>
    </row>
    <row r="31" spans="1:17" x14ac:dyDescent="0.25">
      <c r="A31" s="160" t="b">
        <v>0</v>
      </c>
      <c r="B31" s="23" t="s">
        <v>119</v>
      </c>
      <c r="C31" s="7" t="str">
        <f t="shared" si="0"/>
        <v>29</v>
      </c>
      <c r="D31" s="8"/>
      <c r="E31" s="8"/>
      <c r="F31" s="8"/>
      <c r="G31" s="8"/>
      <c r="H31" s="20"/>
      <c r="I31" s="155"/>
      <c r="J31" s="155"/>
      <c r="K31" s="155"/>
      <c r="L31" s="155"/>
      <c r="M31" s="155"/>
      <c r="N31" s="155"/>
      <c r="O31" s="155"/>
      <c r="P31" s="155"/>
      <c r="Q31" s="8"/>
    </row>
    <row r="32" spans="1:17" x14ac:dyDescent="0.25">
      <c r="A32" s="160" t="b">
        <v>0</v>
      </c>
      <c r="B32" s="23" t="s">
        <v>120</v>
      </c>
      <c r="C32" s="7" t="str">
        <f t="shared" si="0"/>
        <v>30</v>
      </c>
      <c r="D32" s="8"/>
      <c r="E32" s="8"/>
      <c r="F32" s="8"/>
      <c r="G32" s="8"/>
      <c r="H32" s="20"/>
      <c r="I32" s="155"/>
      <c r="J32" s="155"/>
      <c r="K32" s="155"/>
      <c r="L32" s="155"/>
      <c r="M32" s="155"/>
      <c r="N32" s="155"/>
      <c r="O32" s="155"/>
      <c r="P32" s="155"/>
      <c r="Q32" s="8"/>
    </row>
    <row r="33" spans="1:17" x14ac:dyDescent="0.25">
      <c r="A33" s="160" t="b">
        <v>0</v>
      </c>
      <c r="B33" s="23" t="s">
        <v>121</v>
      </c>
      <c r="C33" s="7" t="str">
        <f t="shared" si="0"/>
        <v>31</v>
      </c>
      <c r="D33" s="8"/>
      <c r="E33" s="8"/>
      <c r="F33" s="8"/>
      <c r="G33" s="8"/>
      <c r="H33" s="20"/>
      <c r="I33" s="155"/>
      <c r="J33" s="155"/>
      <c r="K33" s="155"/>
      <c r="L33" s="155"/>
      <c r="M33" s="155"/>
      <c r="N33" s="155"/>
      <c r="O33" s="155"/>
      <c r="P33" s="155"/>
      <c r="Q33" s="8"/>
    </row>
    <row r="34" spans="1:17" x14ac:dyDescent="0.25">
      <c r="A34" s="160" t="b">
        <v>0</v>
      </c>
      <c r="B34" s="23" t="s">
        <v>122</v>
      </c>
      <c r="C34" s="7" t="str">
        <f t="shared" si="0"/>
        <v>32</v>
      </c>
      <c r="D34" s="8"/>
      <c r="E34" s="8"/>
      <c r="F34" s="8"/>
      <c r="G34" s="8"/>
      <c r="H34" s="20"/>
      <c r="I34" s="155"/>
      <c r="J34" s="155"/>
      <c r="K34" s="155"/>
      <c r="L34" s="155"/>
      <c r="M34" s="155"/>
      <c r="N34" s="155"/>
      <c r="O34" s="155"/>
      <c r="P34" s="155"/>
      <c r="Q34" s="8"/>
    </row>
    <row r="35" spans="1:17" x14ac:dyDescent="0.25">
      <c r="A35" s="160" t="b">
        <v>0</v>
      </c>
      <c r="B35" s="23" t="s">
        <v>123</v>
      </c>
      <c r="C35" s="7" t="str">
        <f t="shared" si="0"/>
        <v>33</v>
      </c>
      <c r="D35" s="8"/>
      <c r="E35" s="8"/>
      <c r="F35" s="8"/>
      <c r="G35" s="8"/>
      <c r="H35" s="20"/>
      <c r="I35" s="155"/>
      <c r="J35" s="155"/>
      <c r="K35" s="155"/>
      <c r="L35" s="155"/>
      <c r="M35" s="155"/>
      <c r="N35" s="155"/>
      <c r="O35" s="155"/>
      <c r="P35" s="155"/>
      <c r="Q35" s="8"/>
    </row>
    <row r="36" spans="1:17" x14ac:dyDescent="0.25">
      <c r="A36" s="160" t="b">
        <v>0</v>
      </c>
      <c r="B36" s="23" t="s">
        <v>124</v>
      </c>
      <c r="C36" s="7" t="str">
        <f t="shared" si="0"/>
        <v>34</v>
      </c>
      <c r="D36" s="8"/>
      <c r="E36" s="8"/>
      <c r="F36" s="8"/>
      <c r="G36" s="8"/>
      <c r="H36" s="20"/>
      <c r="I36" s="155"/>
      <c r="J36" s="155"/>
      <c r="K36" s="155"/>
      <c r="L36" s="155"/>
      <c r="M36" s="155"/>
      <c r="N36" s="155"/>
      <c r="O36" s="155"/>
      <c r="P36" s="155"/>
      <c r="Q36" s="8"/>
    </row>
    <row r="37" spans="1:17" x14ac:dyDescent="0.25">
      <c r="A37" s="160" t="b">
        <v>0</v>
      </c>
      <c r="B37" s="23" t="s">
        <v>125</v>
      </c>
      <c r="C37" s="7" t="str">
        <f t="shared" si="0"/>
        <v>35</v>
      </c>
      <c r="D37" s="8"/>
      <c r="E37" s="8"/>
      <c r="F37" s="8"/>
      <c r="G37" s="8"/>
      <c r="H37" s="20"/>
      <c r="I37" s="155"/>
      <c r="J37" s="155"/>
      <c r="K37" s="155"/>
      <c r="L37" s="155"/>
      <c r="M37" s="155"/>
      <c r="N37" s="155"/>
      <c r="O37" s="155"/>
      <c r="P37" s="155"/>
      <c r="Q37" s="8"/>
    </row>
    <row r="38" spans="1:17" x14ac:dyDescent="0.25">
      <c r="A38" s="160" t="b">
        <v>0</v>
      </c>
      <c r="B38" s="23" t="s">
        <v>126</v>
      </c>
      <c r="C38" s="7" t="str">
        <f t="shared" si="0"/>
        <v>36</v>
      </c>
      <c r="D38" s="8"/>
      <c r="E38" s="8"/>
      <c r="F38" s="8"/>
      <c r="G38" s="8"/>
      <c r="H38" s="20"/>
      <c r="I38" s="155"/>
      <c r="J38" s="155"/>
      <c r="K38" s="155"/>
      <c r="L38" s="155"/>
      <c r="M38" s="155"/>
      <c r="N38" s="155"/>
      <c r="O38" s="155"/>
      <c r="P38" s="155"/>
      <c r="Q38" s="8"/>
    </row>
    <row r="39" spans="1:17" x14ac:dyDescent="0.25">
      <c r="A39" s="160" t="b">
        <v>0</v>
      </c>
      <c r="B39" s="23" t="s">
        <v>127</v>
      </c>
      <c r="C39" s="7" t="str">
        <f t="shared" si="0"/>
        <v>37</v>
      </c>
      <c r="D39" s="8"/>
      <c r="E39" s="8"/>
      <c r="F39" s="8"/>
      <c r="G39" s="8"/>
      <c r="H39" s="20"/>
      <c r="I39" s="155"/>
      <c r="J39" s="155"/>
      <c r="K39" s="155"/>
      <c r="L39" s="155"/>
      <c r="M39" s="155"/>
      <c r="N39" s="155"/>
      <c r="O39" s="155"/>
      <c r="P39" s="155"/>
      <c r="Q39" s="8"/>
    </row>
    <row r="40" spans="1:17" x14ac:dyDescent="0.25">
      <c r="A40" s="160" t="b">
        <v>0</v>
      </c>
      <c r="B40" s="23" t="s">
        <v>128</v>
      </c>
      <c r="C40" s="7" t="str">
        <f t="shared" si="0"/>
        <v>38</v>
      </c>
      <c r="D40" s="8"/>
      <c r="E40" s="8"/>
      <c r="F40" s="8"/>
      <c r="G40" s="8"/>
      <c r="H40" s="20"/>
      <c r="I40" s="155"/>
      <c r="J40" s="155"/>
      <c r="K40" s="155"/>
      <c r="L40" s="155"/>
      <c r="M40" s="155"/>
      <c r="N40" s="155"/>
      <c r="O40" s="155"/>
      <c r="P40" s="155"/>
      <c r="Q40" s="8"/>
    </row>
    <row r="41" spans="1:17" x14ac:dyDescent="0.25">
      <c r="A41" s="160" t="b">
        <v>0</v>
      </c>
      <c r="B41" s="23" t="s">
        <v>129</v>
      </c>
      <c r="C41" s="7" t="str">
        <f t="shared" si="0"/>
        <v>39</v>
      </c>
      <c r="D41" s="8"/>
      <c r="E41" s="8"/>
      <c r="F41" s="8"/>
      <c r="G41" s="8"/>
      <c r="H41" s="20"/>
      <c r="I41" s="155"/>
      <c r="J41" s="155"/>
      <c r="K41" s="155"/>
      <c r="L41" s="155"/>
      <c r="M41" s="155"/>
      <c r="N41" s="155"/>
      <c r="O41" s="155"/>
      <c r="P41" s="155"/>
      <c r="Q41" s="8"/>
    </row>
    <row r="42" spans="1:17" x14ac:dyDescent="0.25">
      <c r="A42" s="160" t="b">
        <v>0</v>
      </c>
      <c r="B42" s="23" t="s">
        <v>130</v>
      </c>
      <c r="C42" s="7" t="str">
        <f t="shared" si="0"/>
        <v>40</v>
      </c>
      <c r="D42" s="8"/>
      <c r="E42" s="8"/>
      <c r="F42" s="8"/>
      <c r="G42" s="8"/>
      <c r="H42" s="20"/>
      <c r="I42" s="155"/>
      <c r="J42" s="155"/>
      <c r="K42" s="155"/>
      <c r="L42" s="155"/>
      <c r="M42" s="155"/>
      <c r="N42" s="155"/>
      <c r="O42" s="155"/>
      <c r="P42" s="155"/>
      <c r="Q42" s="8"/>
    </row>
    <row r="43" spans="1:17" x14ac:dyDescent="0.25">
      <c r="A43" s="160" t="b">
        <v>0</v>
      </c>
      <c r="B43" s="23" t="s">
        <v>131</v>
      </c>
      <c r="C43" s="7" t="str">
        <f t="shared" si="0"/>
        <v>41</v>
      </c>
      <c r="D43" s="8"/>
      <c r="E43" s="8"/>
      <c r="F43" s="8"/>
      <c r="G43" s="8"/>
      <c r="H43" s="20"/>
      <c r="I43" s="155"/>
      <c r="J43" s="155"/>
      <c r="K43" s="155"/>
      <c r="L43" s="155"/>
      <c r="M43" s="155"/>
      <c r="N43" s="155"/>
      <c r="O43" s="155"/>
      <c r="P43" s="155"/>
      <c r="Q43" s="8"/>
    </row>
    <row r="44" spans="1:17" x14ac:dyDescent="0.25">
      <c r="A44" s="160" t="b">
        <v>0</v>
      </c>
      <c r="B44" s="23" t="s">
        <v>132</v>
      </c>
      <c r="C44" s="7" t="str">
        <f t="shared" si="0"/>
        <v>42</v>
      </c>
      <c r="D44" s="8"/>
      <c r="E44" s="8"/>
      <c r="F44" s="8"/>
      <c r="G44" s="8"/>
      <c r="H44" s="20"/>
      <c r="I44" s="155"/>
      <c r="J44" s="155"/>
      <c r="K44" s="155"/>
      <c r="L44" s="155"/>
      <c r="M44" s="155"/>
      <c r="N44" s="155"/>
      <c r="O44" s="155"/>
      <c r="P44" s="155"/>
      <c r="Q44" s="8"/>
    </row>
    <row r="45" spans="1:17" x14ac:dyDescent="0.25">
      <c r="A45" s="160" t="b">
        <v>0</v>
      </c>
      <c r="B45" s="23" t="s">
        <v>133</v>
      </c>
      <c r="C45" s="7" t="str">
        <f t="shared" si="0"/>
        <v>43</v>
      </c>
      <c r="D45" s="8"/>
      <c r="E45" s="8"/>
      <c r="F45" s="8"/>
      <c r="G45" s="8"/>
      <c r="H45" s="20"/>
      <c r="I45" s="155"/>
      <c r="J45" s="155"/>
      <c r="K45" s="155"/>
      <c r="L45" s="155"/>
      <c r="M45" s="155"/>
      <c r="N45" s="155"/>
      <c r="O45" s="155"/>
      <c r="P45" s="155"/>
      <c r="Q45" s="8"/>
    </row>
    <row r="46" spans="1:17" x14ac:dyDescent="0.25">
      <c r="A46" s="160" t="b">
        <v>0</v>
      </c>
      <c r="B46" s="23" t="s">
        <v>134</v>
      </c>
      <c r="C46" s="7" t="str">
        <f t="shared" si="0"/>
        <v>44</v>
      </c>
      <c r="D46" s="8"/>
      <c r="E46" s="8"/>
      <c r="F46" s="8"/>
      <c r="G46" s="8"/>
      <c r="H46" s="20"/>
      <c r="I46" s="155"/>
      <c r="J46" s="155"/>
      <c r="K46" s="155"/>
      <c r="L46" s="155"/>
      <c r="M46" s="155"/>
      <c r="N46" s="155"/>
      <c r="O46" s="155"/>
      <c r="P46" s="155"/>
      <c r="Q46" s="8"/>
    </row>
    <row r="47" spans="1:17" x14ac:dyDescent="0.25">
      <c r="A47" s="160" t="b">
        <v>0</v>
      </c>
      <c r="B47" s="23" t="s">
        <v>135</v>
      </c>
      <c r="C47" s="7" t="str">
        <f t="shared" si="0"/>
        <v>45</v>
      </c>
      <c r="D47" s="8"/>
      <c r="E47" s="8"/>
      <c r="F47" s="8"/>
      <c r="G47" s="8"/>
      <c r="H47" s="20"/>
      <c r="I47" s="155"/>
      <c r="J47" s="155"/>
      <c r="K47" s="155"/>
      <c r="L47" s="155"/>
      <c r="M47" s="155"/>
      <c r="N47" s="155"/>
      <c r="O47" s="155"/>
      <c r="P47" s="155"/>
      <c r="Q47" s="152"/>
    </row>
  </sheetData>
  <phoneticPr fontId="2" type="noConversion"/>
  <dataValidations count="1">
    <dataValidation type="whole" allowBlank="1" showInputMessage="1" showErrorMessage="1" sqref="Q1:Q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M2:P47 K2:K47</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Codelists'!$J$3:$J$7</xm:f>
          </x14:formula1>
          <xm:sqref>J2:J47</xm:sqref>
        </x14:dataValidation>
        <x14:dataValidation type="list" allowBlank="1" showInputMessage="1" showErrorMessage="1" xr:uid="{93B21763-529F-49FC-8136-BFBE6C94B9ED}">
          <x14:formula1>
            <xm:f>'4_1 Codelists'!$F$53:$F$54</xm:f>
          </x14:formula1>
          <xm:sqref>L2:L47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B52"/>
  <sheetViews>
    <sheetView zoomScale="115" zoomScaleNormal="115" workbookViewId="0">
      <pane xSplit="4" topLeftCell="I1" activePane="topRight" state="frozen"/>
      <selection pane="topRight" activeCell="R19" sqref="R19:T19"/>
    </sheetView>
  </sheetViews>
  <sheetFormatPr defaultColWidth="10.85546875" defaultRowHeight="15" x14ac:dyDescent="0.25"/>
  <cols>
    <col min="2" max="2" width="7.140625" customWidth="1"/>
    <col min="3" max="3" width="12.7109375" style="26" customWidth="1"/>
    <col min="4" max="4" width="37.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9.5703125" customWidth="1"/>
    <col min="17" max="18" width="21.42578125" customWidth="1"/>
    <col min="19" max="20" width="16.42578125" customWidth="1"/>
    <col min="21" max="21" width="17.5703125" style="158" customWidth="1"/>
    <col min="22" max="22" width="16.140625" style="158" customWidth="1"/>
    <col min="23" max="23" width="16.42578125" style="158" customWidth="1"/>
  </cols>
  <sheetData>
    <row r="1" spans="1:28" x14ac:dyDescent="0.25">
      <c r="A1" s="159" t="s">
        <v>54</v>
      </c>
      <c r="B1" s="159" t="s">
        <v>28</v>
      </c>
      <c r="C1" s="159" t="s">
        <v>49</v>
      </c>
      <c r="D1" s="159" t="s">
        <v>713</v>
      </c>
      <c r="E1" s="159" t="s">
        <v>77</v>
      </c>
      <c r="F1" s="159" t="s">
        <v>670</v>
      </c>
      <c r="G1" s="159" t="s">
        <v>52</v>
      </c>
      <c r="H1" s="159" t="s">
        <v>719</v>
      </c>
      <c r="I1" s="159" t="s">
        <v>57</v>
      </c>
      <c r="J1" s="159" t="s">
        <v>224</v>
      </c>
      <c r="K1" s="159" t="s">
        <v>229</v>
      </c>
      <c r="L1" s="159" t="s">
        <v>230</v>
      </c>
      <c r="M1" s="159" t="s">
        <v>257</v>
      </c>
      <c r="N1" s="159" t="s">
        <v>222</v>
      </c>
      <c r="O1" s="159" t="s">
        <v>37</v>
      </c>
      <c r="P1" s="159" t="s">
        <v>683</v>
      </c>
      <c r="Q1" s="159" t="s">
        <v>678</v>
      </c>
      <c r="R1" s="159" t="s">
        <v>684</v>
      </c>
      <c r="S1" s="159" t="s">
        <v>673</v>
      </c>
      <c r="T1" s="159" t="s">
        <v>685</v>
      </c>
      <c r="U1" s="159" t="s">
        <v>674</v>
      </c>
      <c r="V1" s="159" t="s">
        <v>686</v>
      </c>
      <c r="W1" s="159" t="s">
        <v>675</v>
      </c>
      <c r="X1" s="159" t="s">
        <v>35</v>
      </c>
      <c r="Y1" s="159" t="s">
        <v>36</v>
      </c>
      <c r="Z1" s="159" t="s">
        <v>4</v>
      </c>
      <c r="AA1" s="159" t="s">
        <v>3</v>
      </c>
      <c r="AB1" s="159" t="s">
        <v>5</v>
      </c>
    </row>
    <row r="2" spans="1:28" x14ac:dyDescent="0.25">
      <c r="A2" s="160" t="b">
        <v>0</v>
      </c>
      <c r="B2" s="7">
        <f>ROW()-1</f>
        <v>1</v>
      </c>
      <c r="C2" s="27" t="str">
        <f>_xlfn.XLOOKUP($D2,Tab_Def_Processes[Process_Name],Tab_Def_Processes[ID],,0,)</f>
        <v>01</v>
      </c>
      <c r="D2" s="155" t="s">
        <v>726</v>
      </c>
      <c r="E2" s="7" t="str">
        <f>_xlfn.XLOOKUP($D2,Tab_Def_Processes[Process_Name],Tab_Def_Processes[Process_Type],,0,)</f>
        <v>Process</v>
      </c>
      <c r="F2" s="7" t="str">
        <f>_xlfn.XLOOKUP($D2,Tab_Def_Processes[Process_Name],Tab_Def_Processes[Process_Logic],,0,)</f>
        <v>Splitter</v>
      </c>
      <c r="G2" s="7" t="str">
        <f>_xlfn.XLOOKUP($D2,Tab_Def_Processes[Process_Name],Tab_Def_Processes[TC?],,0,)</f>
        <v>Yes</v>
      </c>
      <c r="H2" s="7" t="str">
        <f>_xlfn.XLOOKUP($D2,Tab_Def_Processes[Process_Name],Tab_Def_Processes[TC_Type],,0,)</f>
        <v>Static</v>
      </c>
      <c r="I2" s="7" t="str">
        <f>_xlfn.XLOOKUP($D2,Tab_Def_Processes[Process_Name],Tab_Def_Processes[Stock?],,0,)</f>
        <v>Yes</v>
      </c>
      <c r="J2" s="7" t="str">
        <f>_xlfn.XLOOKUP($D2,Tab_Def_Processes[Process_Name],Tab_Def_Processes[Initial_Stock?],,0,)</f>
        <v>Yes</v>
      </c>
      <c r="K2" s="7" t="str">
        <f>_xlfn.XLOOKUP($D2,Tab_Def_Processes[Process_Name],Tab_Def_Processes[DSM?],,0,)</f>
        <v>Yes</v>
      </c>
      <c r="L2" s="7" t="str">
        <f>_xlfn.XLOOKUP($D2,Tab_Def_Processes[Process_Name],Tab_Def_Processes[FOMP?],,0,)</f>
        <v>No</v>
      </c>
      <c r="M2" s="7">
        <f>_xlfn.XLOOKUP($D2,Tab_Def_Processes[Process_Name],Tab_Def_Processes[Nr. Outflows],,0,)</f>
        <v>2</v>
      </c>
      <c r="N2" s="155" t="s">
        <v>742</v>
      </c>
      <c r="O2" s="148" t="str">
        <f>_xlfn.XLOOKUP($N2,Tab_Def_Flows[Flow_Name],Tab_Def_Flows[Flow_ID],,0,)</f>
        <v>F_01_02</v>
      </c>
      <c r="P2" s="22" t="str">
        <f>"TC_material"&amp;"_"&amp;RIGHT(O2,5)</f>
        <v>TC_material_01_02</v>
      </c>
      <c r="Q2" s="158">
        <v>0.1</v>
      </c>
      <c r="R2" s="22" t="str">
        <f>"TC_WC"&amp;"_"&amp;RIGHT(O2,5)</f>
        <v>TC_WC_01_02</v>
      </c>
      <c r="S2" s="158"/>
      <c r="T2" s="22" t="str">
        <f>"TC_DM"&amp;"_"&amp;RIGHT(O2,5)</f>
        <v>TC_DM_01_02</v>
      </c>
      <c r="V2" s="22" t="str">
        <f>"TC_CC"&amp;"_"&amp;RIGHT(O2,5)</f>
        <v>TC_CC_01_02</v>
      </c>
      <c r="X2" s="20"/>
      <c r="Y2" s="20"/>
      <c r="Z2" s="20"/>
      <c r="AA2" s="20"/>
      <c r="AB2" s="20"/>
    </row>
    <row r="3" spans="1:28" x14ac:dyDescent="0.25">
      <c r="A3" s="160" t="b">
        <v>0</v>
      </c>
      <c r="B3" s="7">
        <f t="shared" ref="B3:B4" si="0">ROW()-1</f>
        <v>2</v>
      </c>
      <c r="C3" s="27" t="str">
        <f>_xlfn.XLOOKUP($D3,Tab_Def_Processes[Process_Name],Tab_Def_Processes[ID],,0,)</f>
        <v>01</v>
      </c>
      <c r="D3" s="155" t="s">
        <v>726</v>
      </c>
      <c r="E3" s="7" t="str">
        <f>_xlfn.XLOOKUP($D3,Tab_Def_Processes[Process_Name],Tab_Def_Processes[Process_Type],,0,)</f>
        <v>Process</v>
      </c>
      <c r="F3" s="7" t="str">
        <f>_xlfn.XLOOKUP($D3,Tab_Def_Processes[Process_Name],Tab_Def_Processes[Process_Logic],,0,)</f>
        <v>Splitter</v>
      </c>
      <c r="G3" s="7" t="str">
        <f>_xlfn.XLOOKUP($D3,Tab_Def_Processes[Process_Name],Tab_Def_Processes[TC?],,0,)</f>
        <v>Yes</v>
      </c>
      <c r="H3" s="7" t="str">
        <f>_xlfn.XLOOKUP($D3,Tab_Def_Processes[Process_Name],Tab_Def_Processes[TC_Type],,0,)</f>
        <v>Static</v>
      </c>
      <c r="I3" s="7" t="str">
        <f>_xlfn.XLOOKUP($D3,Tab_Def_Processes[Process_Name],Tab_Def_Processes[Stock?],,0,)</f>
        <v>Yes</v>
      </c>
      <c r="J3" s="9" t="str">
        <f>_xlfn.XLOOKUP($D3,Tab_Def_Processes[Process_Name],Tab_Def_Processes[Initial_Stock?],,0,)</f>
        <v>Yes</v>
      </c>
      <c r="K3" s="7" t="str">
        <f>_xlfn.XLOOKUP($D3,Tab_Def_Processes[Process_Name],Tab_Def_Processes[DSM?],,0,)</f>
        <v>Yes</v>
      </c>
      <c r="L3" s="7" t="str">
        <f>_xlfn.XLOOKUP($D3,Tab_Def_Processes[Process_Name],Tab_Def_Processes[FOMP?],,0,)</f>
        <v>No</v>
      </c>
      <c r="M3" s="7">
        <f>_xlfn.XLOOKUP($D3,Tab_Def_Processes[Process_Name],Tab_Def_Processes[Nr. Outflows],,0,)</f>
        <v>2</v>
      </c>
      <c r="N3" s="155" t="s">
        <v>743</v>
      </c>
      <c r="O3" s="148" t="str">
        <f>_xlfn.XLOOKUP($N3,Tab_Def_Flows[Flow_Name],Tab_Def_Flows[Flow_ID],,0,)</f>
        <v>F_01_03</v>
      </c>
      <c r="P3" s="22" t="str">
        <f t="shared" ref="P3:P4" si="1">"TC_material"&amp;"_"&amp;RIGHT(O3,5)</f>
        <v>TC_material_01_03</v>
      </c>
      <c r="Q3" s="158">
        <v>0.9</v>
      </c>
      <c r="R3" s="22" t="str">
        <f t="shared" ref="R3:R52" si="2">"TC_WC"&amp;"_"&amp;RIGHT(O3,5)</f>
        <v>TC_WC_01_03</v>
      </c>
      <c r="S3" s="158"/>
      <c r="T3" s="22" t="str">
        <f t="shared" ref="T3:T52" si="3">"TC_DM"&amp;"_"&amp;RIGHT(O3,5)</f>
        <v>TC_DM_01_03</v>
      </c>
      <c r="V3" s="22" t="str">
        <f t="shared" ref="V3:V52" si="4">"TC_CC"&amp;"_"&amp;RIGHT(O3,5)</f>
        <v>TC_CC_01_03</v>
      </c>
      <c r="X3" s="20"/>
      <c r="Y3" s="20"/>
      <c r="Z3" s="20"/>
      <c r="AA3" s="20"/>
      <c r="AB3" s="20"/>
    </row>
    <row r="4" spans="1:28" x14ac:dyDescent="0.25">
      <c r="A4" s="160" t="b">
        <v>0</v>
      </c>
      <c r="B4" s="7">
        <f t="shared" si="0"/>
        <v>3</v>
      </c>
      <c r="C4" s="27" t="str">
        <f>_xlfn.XLOOKUP($D4,Tab_Def_Processes[Process_Name],Tab_Def_Processes[ID],,0,)</f>
        <v>03</v>
      </c>
      <c r="D4" s="155" t="s">
        <v>728</v>
      </c>
      <c r="E4" s="7" t="str">
        <f>_xlfn.XLOOKUP($D4,Tab_Def_Processes[Process_Name],Tab_Def_Processes[Process_Type],,0,)</f>
        <v>Process</v>
      </c>
      <c r="F4" s="7" t="str">
        <f>_xlfn.XLOOKUP($D4,Tab_Def_Processes[Process_Name],Tab_Def_Processes[Process_Logic],,0,)</f>
        <v>Splitter</v>
      </c>
      <c r="G4" s="7" t="str">
        <f>_xlfn.XLOOKUP($D4,Tab_Def_Processes[Process_Name],Tab_Def_Processes[TC?],,0,)</f>
        <v>Yes</v>
      </c>
      <c r="H4" s="7" t="str">
        <f>_xlfn.XLOOKUP($D4,Tab_Def_Processes[Process_Name],Tab_Def_Processes[TC_Type],,0,)</f>
        <v>Static</v>
      </c>
      <c r="I4" s="7" t="str">
        <f>_xlfn.XLOOKUP($D4,Tab_Def_Processes[Process_Name],Tab_Def_Processes[Stock?],,0,)</f>
        <v>No</v>
      </c>
      <c r="J4" s="9" t="str">
        <f>_xlfn.XLOOKUP($D4,Tab_Def_Processes[Process_Name],Tab_Def_Processes[Initial_Stock?],,0,)</f>
        <v>No</v>
      </c>
      <c r="K4" s="7" t="str">
        <f>_xlfn.XLOOKUP($D4,Tab_Def_Processes[Process_Name],Tab_Def_Processes[DSM?],,0,)</f>
        <v>No</v>
      </c>
      <c r="L4" s="7" t="str">
        <f>_xlfn.XLOOKUP($D4,Tab_Def_Processes[Process_Name],Tab_Def_Processes[FOMP?],,0,)</f>
        <v>No</v>
      </c>
      <c r="M4" s="7">
        <f>_xlfn.XLOOKUP($D4,Tab_Def_Processes[Process_Name],Tab_Def_Processes[Nr. Outflows],,0,)</f>
        <v>4</v>
      </c>
      <c r="N4" s="155" t="s">
        <v>744</v>
      </c>
      <c r="O4" s="148" t="str">
        <f>_xlfn.XLOOKUP($N4,Tab_Def_Flows[Flow_Name],Tab_Def_Flows[Flow_ID],,0,)</f>
        <v>F_03_04</v>
      </c>
      <c r="P4" s="22" t="str">
        <f t="shared" si="1"/>
        <v>TC_material_03_04</v>
      </c>
      <c r="Q4" s="158">
        <v>0.25</v>
      </c>
      <c r="R4" s="22" t="str">
        <f t="shared" si="2"/>
        <v>TC_WC_03_04</v>
      </c>
      <c r="S4" s="158"/>
      <c r="T4" s="22" t="str">
        <f t="shared" si="3"/>
        <v>TC_DM_03_04</v>
      </c>
      <c r="V4" s="22" t="str">
        <f t="shared" si="4"/>
        <v>TC_CC_03_04</v>
      </c>
      <c r="X4" s="20"/>
      <c r="Y4" s="20"/>
      <c r="Z4" s="20"/>
      <c r="AA4" s="20"/>
      <c r="AB4" s="20"/>
    </row>
    <row r="5" spans="1:28" x14ac:dyDescent="0.25">
      <c r="A5" s="160" t="b">
        <v>0</v>
      </c>
      <c r="B5" s="7">
        <f t="shared" ref="B5:B52" si="5">ROW()-1</f>
        <v>4</v>
      </c>
      <c r="C5" s="27" t="str">
        <f>_xlfn.XLOOKUP($D5,Tab_Def_Processes[Process_Name],Tab_Def_Processes[ID],,0,)</f>
        <v>03</v>
      </c>
      <c r="D5" s="155" t="s">
        <v>728</v>
      </c>
      <c r="E5" s="7" t="str">
        <f>_xlfn.XLOOKUP($D5,Tab_Def_Processes[Process_Name],Tab_Def_Processes[Process_Type],,0,)</f>
        <v>Process</v>
      </c>
      <c r="F5" s="7" t="str">
        <f>_xlfn.XLOOKUP($D5,Tab_Def_Processes[Process_Name],Tab_Def_Processes[Process_Logic],,0,)</f>
        <v>Splitter</v>
      </c>
      <c r="G5" s="7" t="str">
        <f>_xlfn.XLOOKUP($D5,Tab_Def_Processes[Process_Name],Tab_Def_Processes[TC?],,0,)</f>
        <v>Yes</v>
      </c>
      <c r="H5" s="7" t="str">
        <f>_xlfn.XLOOKUP($D5,Tab_Def_Processes[Process_Name],Tab_Def_Processes[TC_Type],,0,)</f>
        <v>Static</v>
      </c>
      <c r="I5" s="7" t="str">
        <f>_xlfn.XLOOKUP($D5,Tab_Def_Processes[Process_Name],Tab_Def_Processes[Stock?],,0,)</f>
        <v>No</v>
      </c>
      <c r="J5" s="7" t="str">
        <f>_xlfn.XLOOKUP($D5,Tab_Def_Processes[Process_Name],Tab_Def_Processes[Initial_Stock?],,0,)</f>
        <v>No</v>
      </c>
      <c r="K5" s="7" t="str">
        <f>_xlfn.XLOOKUP($D5,Tab_Def_Processes[Process_Name],Tab_Def_Processes[DSM?],,0,)</f>
        <v>No</v>
      </c>
      <c r="L5" s="7" t="str">
        <f>_xlfn.XLOOKUP($D5,Tab_Def_Processes[Process_Name],Tab_Def_Processes[FOMP?],,0,)</f>
        <v>No</v>
      </c>
      <c r="M5" s="7">
        <f>_xlfn.XLOOKUP($D5,Tab_Def_Processes[Process_Name],Tab_Def_Processes[Nr. Outflows],,0,)</f>
        <v>4</v>
      </c>
      <c r="N5" s="155" t="s">
        <v>745</v>
      </c>
      <c r="O5" s="148" t="str">
        <f>_xlfn.XLOOKUP($N5,Tab_Def_Flows[Flow_Name],Tab_Def_Flows[Flow_ID],,0,)</f>
        <v>F_03_05</v>
      </c>
      <c r="P5" s="22" t="str">
        <f t="shared" ref="P5:P52" si="6">"TC_material"&amp;"_"&amp;RIGHT(O5,5)</f>
        <v>TC_material_03_05</v>
      </c>
      <c r="Q5" s="158">
        <v>0.25</v>
      </c>
      <c r="R5" s="22" t="str">
        <f t="shared" si="2"/>
        <v>TC_WC_03_05</v>
      </c>
      <c r="S5" s="158"/>
      <c r="T5" s="22" t="str">
        <f t="shared" si="3"/>
        <v>TC_DM_03_05</v>
      </c>
      <c r="V5" s="22" t="str">
        <f t="shared" si="4"/>
        <v>TC_CC_03_05</v>
      </c>
      <c r="X5" s="20"/>
      <c r="Y5" s="20"/>
      <c r="Z5" s="20"/>
      <c r="AA5" s="20"/>
      <c r="AB5" s="20"/>
    </row>
    <row r="6" spans="1:28" x14ac:dyDescent="0.25">
      <c r="A6" s="160" t="b">
        <v>0</v>
      </c>
      <c r="B6" s="7">
        <f t="shared" si="5"/>
        <v>5</v>
      </c>
      <c r="C6" s="27" t="str">
        <f>_xlfn.XLOOKUP($D6,Tab_Def_Processes[Process_Name],Tab_Def_Processes[ID],,0,)</f>
        <v>03</v>
      </c>
      <c r="D6" s="155" t="s">
        <v>728</v>
      </c>
      <c r="E6" s="7" t="str">
        <f>_xlfn.XLOOKUP($D6,Tab_Def_Processes[Process_Name],Tab_Def_Processes[Process_Type],,0,)</f>
        <v>Process</v>
      </c>
      <c r="F6" s="7" t="str">
        <f>_xlfn.XLOOKUP($D6,Tab_Def_Processes[Process_Name],Tab_Def_Processes[Process_Logic],,0,)</f>
        <v>Splitter</v>
      </c>
      <c r="G6" s="7" t="str">
        <f>_xlfn.XLOOKUP($D6,Tab_Def_Processes[Process_Name],Tab_Def_Processes[TC?],,0,)</f>
        <v>Yes</v>
      </c>
      <c r="H6" s="7" t="str">
        <f>_xlfn.XLOOKUP($D6,Tab_Def_Processes[Process_Name],Tab_Def_Processes[TC_Type],,0,)</f>
        <v>Static</v>
      </c>
      <c r="I6" s="7" t="str">
        <f>_xlfn.XLOOKUP($D6,Tab_Def_Processes[Process_Name],Tab_Def_Processes[Stock?],,0,)</f>
        <v>No</v>
      </c>
      <c r="J6" s="7" t="str">
        <f>_xlfn.XLOOKUP($D6,Tab_Def_Processes[Process_Name],Tab_Def_Processes[Initial_Stock?],,0,)</f>
        <v>No</v>
      </c>
      <c r="K6" s="7" t="str">
        <f>_xlfn.XLOOKUP($D6,Tab_Def_Processes[Process_Name],Tab_Def_Processes[DSM?],,0,)</f>
        <v>No</v>
      </c>
      <c r="L6" s="7" t="str">
        <f>_xlfn.XLOOKUP($D6,Tab_Def_Processes[Process_Name],Tab_Def_Processes[FOMP?],,0,)</f>
        <v>No</v>
      </c>
      <c r="M6" s="7">
        <f>_xlfn.XLOOKUP($D6,Tab_Def_Processes[Process_Name],Tab_Def_Processes[Nr. Outflows],,0,)</f>
        <v>4</v>
      </c>
      <c r="N6" s="155" t="s">
        <v>746</v>
      </c>
      <c r="O6" s="148" t="str">
        <f>_xlfn.XLOOKUP($N6,Tab_Def_Flows[Flow_Name],Tab_Def_Flows[Flow_ID],,0,)</f>
        <v>F_03_06</v>
      </c>
      <c r="P6" s="22" t="str">
        <f t="shared" si="6"/>
        <v>TC_material_03_06</v>
      </c>
      <c r="Q6" s="158">
        <v>0.25</v>
      </c>
      <c r="R6" s="22" t="str">
        <f t="shared" si="2"/>
        <v>TC_WC_03_06</v>
      </c>
      <c r="S6" s="158"/>
      <c r="T6" s="22" t="str">
        <f t="shared" si="3"/>
        <v>TC_DM_03_06</v>
      </c>
      <c r="V6" s="22" t="str">
        <f t="shared" si="4"/>
        <v>TC_CC_03_06</v>
      </c>
      <c r="X6" s="20"/>
      <c r="Y6" s="20"/>
      <c r="Z6" s="20"/>
      <c r="AA6" s="20"/>
      <c r="AB6" s="20"/>
    </row>
    <row r="7" spans="1:28" x14ac:dyDescent="0.25">
      <c r="A7" s="160" t="b">
        <v>0</v>
      </c>
      <c r="B7" s="7">
        <f>ROW()-1</f>
        <v>6</v>
      </c>
      <c r="C7" s="27" t="str">
        <f>_xlfn.XLOOKUP($D7,Tab_Def_Processes[Process_Name],Tab_Def_Processes[ID],,0,)</f>
        <v>03</v>
      </c>
      <c r="D7" s="155" t="s">
        <v>728</v>
      </c>
      <c r="E7" s="7" t="str">
        <f>_xlfn.XLOOKUP($D7,Tab_Def_Processes[Process_Name],Tab_Def_Processes[Process_Type],,0,)</f>
        <v>Process</v>
      </c>
      <c r="F7" s="7" t="str">
        <f>_xlfn.XLOOKUP($D7,Tab_Def_Processes[Process_Name],Tab_Def_Processes[Process_Logic],,0,)</f>
        <v>Splitter</v>
      </c>
      <c r="G7" s="7" t="str">
        <f>_xlfn.XLOOKUP($D7,Tab_Def_Processes[Process_Name],Tab_Def_Processes[TC?],,0,)</f>
        <v>Yes</v>
      </c>
      <c r="H7" s="7" t="str">
        <f>_xlfn.XLOOKUP($D7,Tab_Def_Processes[Process_Name],Tab_Def_Processes[TC_Type],,0,)</f>
        <v>Static</v>
      </c>
      <c r="I7" s="7" t="str">
        <f>_xlfn.XLOOKUP($D7,Tab_Def_Processes[Process_Name],Tab_Def_Processes[Stock?],,0,)</f>
        <v>No</v>
      </c>
      <c r="J7" s="9" t="str">
        <f>_xlfn.XLOOKUP($D7,Tab_Def_Processes[Process_Name],Tab_Def_Processes[Initial_Stock?],,0,)</f>
        <v>No</v>
      </c>
      <c r="K7" s="7" t="str">
        <f>_xlfn.XLOOKUP($D7,Tab_Def_Processes[Process_Name],Tab_Def_Processes[DSM?],,0,)</f>
        <v>No</v>
      </c>
      <c r="L7" s="7" t="str">
        <f>_xlfn.XLOOKUP($D7,Tab_Def_Processes[Process_Name],Tab_Def_Processes[FOMP?],,0,)</f>
        <v>No</v>
      </c>
      <c r="M7" s="7">
        <f>_xlfn.XLOOKUP($D7,Tab_Def_Processes[Process_Name],Tab_Def_Processes[Nr. Outflows],,0,)</f>
        <v>4</v>
      </c>
      <c r="N7" s="155" t="s">
        <v>747</v>
      </c>
      <c r="O7" s="148" t="str">
        <f>_xlfn.XLOOKUP($N7,Tab_Def_Flows[Flow_Name],Tab_Def_Flows[Flow_ID],,0,)</f>
        <v>F_03_07</v>
      </c>
      <c r="P7" s="22" t="str">
        <f>"TC_material"&amp;"_"&amp;RIGHT(O7,5)</f>
        <v>TC_material_03_07</v>
      </c>
      <c r="Q7" s="158">
        <v>0.25</v>
      </c>
      <c r="R7" s="22" t="str">
        <f t="shared" si="2"/>
        <v>TC_WC_03_07</v>
      </c>
      <c r="S7" s="158"/>
      <c r="T7" s="22" t="str">
        <f t="shared" si="3"/>
        <v>TC_DM_03_07</v>
      </c>
      <c r="V7" s="22" t="str">
        <f t="shared" si="4"/>
        <v>TC_CC_03_07</v>
      </c>
      <c r="X7" s="20"/>
      <c r="Y7" s="20"/>
      <c r="Z7" s="20"/>
      <c r="AA7" s="20"/>
      <c r="AB7" s="20"/>
    </row>
    <row r="8" spans="1:28" x14ac:dyDescent="0.25">
      <c r="A8" s="160" t="b">
        <v>0</v>
      </c>
      <c r="B8" s="7">
        <f t="shared" si="5"/>
        <v>7</v>
      </c>
      <c r="C8" s="27" t="str">
        <f>_xlfn.XLOOKUP($D8,Tab_Def_Processes[Process_Name],Tab_Def_Processes[ID],,0,)</f>
        <v>06</v>
      </c>
      <c r="D8" s="155" t="s">
        <v>731</v>
      </c>
      <c r="E8" s="7" t="str">
        <f>_xlfn.XLOOKUP($D8,Tab_Def_Processes[Process_Name],Tab_Def_Processes[Process_Type],,0,)</f>
        <v>Process</v>
      </c>
      <c r="F8" s="7" t="str">
        <f>_xlfn.XLOOKUP($D8,Tab_Def_Processes[Process_Name],Tab_Def_Processes[Process_Logic],,0,)</f>
        <v>Transformer</v>
      </c>
      <c r="G8" s="7" t="str">
        <f>_xlfn.XLOOKUP($D8,Tab_Def_Processes[Process_Name],Tab_Def_Processes[TC?],,0,)</f>
        <v>Yes</v>
      </c>
      <c r="H8" s="7" t="str">
        <f>_xlfn.XLOOKUP($D8,Tab_Def_Processes[Process_Name],Tab_Def_Processes[TC_Type],,0,)</f>
        <v>Static</v>
      </c>
      <c r="I8" s="7" t="str">
        <f>_xlfn.XLOOKUP($D8,Tab_Def_Processes[Process_Name],Tab_Def_Processes[Stock?],,0,)</f>
        <v>No</v>
      </c>
      <c r="J8" s="7" t="str">
        <f>_xlfn.XLOOKUP($D8,Tab_Def_Processes[Process_Name],Tab_Def_Processes[Initial_Stock?],,0,)</f>
        <v>No</v>
      </c>
      <c r="K8" s="7" t="str">
        <f>_xlfn.XLOOKUP($D8,Tab_Def_Processes[Process_Name],Tab_Def_Processes[DSM?],,0,)</f>
        <v>No</v>
      </c>
      <c r="L8" s="7" t="str">
        <f>_xlfn.XLOOKUP($D8,Tab_Def_Processes[Process_Name],Tab_Def_Processes[FOMP?],,0,)</f>
        <v>No</v>
      </c>
      <c r="M8" s="7">
        <f>_xlfn.XLOOKUP($D8,Tab_Def_Processes[Process_Name],Tab_Def_Processes[Nr. Outflows],,0,)</f>
        <v>2</v>
      </c>
      <c r="N8" s="155" t="s">
        <v>751</v>
      </c>
      <c r="O8" s="148" t="str">
        <f>_xlfn.XLOOKUP($N8,Tab_Def_Flows[Flow_Name],Tab_Def_Flows[Flow_ID],,0,)</f>
        <v>F_06_08</v>
      </c>
      <c r="P8" s="22" t="str">
        <f t="shared" si="6"/>
        <v>TC_material_06_08</v>
      </c>
      <c r="Q8" s="158"/>
      <c r="R8" s="22" t="str">
        <f t="shared" si="2"/>
        <v>TC_WC_06_08</v>
      </c>
      <c r="S8" s="158">
        <v>0.5</v>
      </c>
      <c r="T8" s="22" t="str">
        <f t="shared" si="3"/>
        <v>TC_DM_06_08</v>
      </c>
      <c r="U8" s="158">
        <v>0.5</v>
      </c>
      <c r="V8" s="22" t="str">
        <f t="shared" si="4"/>
        <v>TC_CC_06_08</v>
      </c>
      <c r="W8" s="158">
        <v>0</v>
      </c>
      <c r="X8" s="20"/>
      <c r="Y8" s="20"/>
      <c r="Z8" s="20"/>
      <c r="AA8" s="20"/>
      <c r="AB8" s="20"/>
    </row>
    <row r="9" spans="1:28" x14ac:dyDescent="0.25">
      <c r="A9" s="160" t="b">
        <v>0</v>
      </c>
      <c r="B9" s="7">
        <f t="shared" si="5"/>
        <v>8</v>
      </c>
      <c r="C9" s="27" t="str">
        <f>_xlfn.XLOOKUP($D9,Tab_Def_Processes[Process_Name],Tab_Def_Processes[ID],,0,)</f>
        <v>06</v>
      </c>
      <c r="D9" s="155" t="s">
        <v>731</v>
      </c>
      <c r="E9" s="7" t="str">
        <f>_xlfn.XLOOKUP($D9,Tab_Def_Processes[Process_Name],Tab_Def_Processes[Process_Type],,0,)</f>
        <v>Process</v>
      </c>
      <c r="F9" s="7" t="str">
        <f>_xlfn.XLOOKUP($D9,Tab_Def_Processes[Process_Name],Tab_Def_Processes[Process_Logic],,0,)</f>
        <v>Transformer</v>
      </c>
      <c r="G9" s="7" t="str">
        <f>_xlfn.XLOOKUP($D9,Tab_Def_Processes[Process_Name],Tab_Def_Processes[TC?],,0,)</f>
        <v>Yes</v>
      </c>
      <c r="H9" s="7" t="str">
        <f>_xlfn.XLOOKUP($D9,Tab_Def_Processes[Process_Name],Tab_Def_Processes[TC_Type],,0,)</f>
        <v>Static</v>
      </c>
      <c r="I9" s="7" t="str">
        <f>_xlfn.XLOOKUP($D9,Tab_Def_Processes[Process_Name],Tab_Def_Processes[Stock?],,0,)</f>
        <v>No</v>
      </c>
      <c r="J9" s="7" t="str">
        <f>_xlfn.XLOOKUP($D9,Tab_Def_Processes[Process_Name],Tab_Def_Processes[Initial_Stock?],,0,)</f>
        <v>No</v>
      </c>
      <c r="K9" s="7" t="str">
        <f>_xlfn.XLOOKUP($D9,Tab_Def_Processes[Process_Name],Tab_Def_Processes[DSM?],,0,)</f>
        <v>No</v>
      </c>
      <c r="L9" s="7" t="str">
        <f>_xlfn.XLOOKUP($D9,Tab_Def_Processes[Process_Name],Tab_Def_Processes[FOMP?],,0,)</f>
        <v>No</v>
      </c>
      <c r="M9" s="7">
        <f>_xlfn.XLOOKUP($D9,Tab_Def_Processes[Process_Name],Tab_Def_Processes[Nr. Outflows],,0,)</f>
        <v>2</v>
      </c>
      <c r="N9" s="155" t="s">
        <v>750</v>
      </c>
      <c r="O9" s="148" t="str">
        <f>_xlfn.XLOOKUP($N9,Tab_Def_Flows[Flow_Name],Tab_Def_Flows[Flow_ID],,0,)</f>
        <v>F_06_09</v>
      </c>
      <c r="P9" s="22" t="str">
        <f t="shared" si="6"/>
        <v>TC_material_06_09</v>
      </c>
      <c r="Q9" s="158"/>
      <c r="R9" s="22" t="str">
        <f t="shared" si="2"/>
        <v>TC_WC_06_09</v>
      </c>
      <c r="S9" s="158">
        <v>0.5</v>
      </c>
      <c r="T9" s="22" t="str">
        <f t="shared" si="3"/>
        <v>TC_DM_06_09</v>
      </c>
      <c r="U9" s="158">
        <v>0.5</v>
      </c>
      <c r="V9" s="22" t="str">
        <f t="shared" si="4"/>
        <v>TC_CC_06_09</v>
      </c>
      <c r="W9" s="158">
        <v>1</v>
      </c>
      <c r="X9" s="20"/>
      <c r="Y9" s="20"/>
      <c r="Z9" s="20"/>
      <c r="AA9" s="20"/>
      <c r="AB9" s="20"/>
    </row>
    <row r="10" spans="1:28" x14ac:dyDescent="0.25">
      <c r="A10" s="160" t="b">
        <v>0</v>
      </c>
      <c r="B10" s="7">
        <f t="shared" si="5"/>
        <v>9</v>
      </c>
      <c r="C10" s="27" t="str">
        <f>_xlfn.XLOOKUP($D10,Tab_Def_Processes[Process_Name],Tab_Def_Processes[ID],,0,)</f>
        <v>05</v>
      </c>
      <c r="D10" s="155" t="s">
        <v>730</v>
      </c>
      <c r="E10" s="7" t="str">
        <f>_xlfn.XLOOKUP($D10,Tab_Def_Processes[Process_Name],Tab_Def_Processes[Process_Type],,0,)</f>
        <v>Process</v>
      </c>
      <c r="F10" s="7" t="str">
        <f>_xlfn.XLOOKUP($D10,Tab_Def_Processes[Process_Name],Tab_Def_Processes[Process_Logic],,0,)</f>
        <v>Splitter</v>
      </c>
      <c r="G10" s="7" t="str">
        <f>_xlfn.XLOOKUP($D10,Tab_Def_Processes[Process_Name],Tab_Def_Processes[TC?],,0,)</f>
        <v>Yes</v>
      </c>
      <c r="H10" s="7" t="str">
        <f>_xlfn.XLOOKUP($D10,Tab_Def_Processes[Process_Name],Tab_Def_Processes[TC_Type],,0,)</f>
        <v>Static</v>
      </c>
      <c r="I10" s="7" t="str">
        <f>_xlfn.XLOOKUP($D10,Tab_Def_Processes[Process_Name],Tab_Def_Processes[Stock?],,0,)</f>
        <v>No</v>
      </c>
      <c r="J10" s="7" t="str">
        <f>_xlfn.XLOOKUP($D10,Tab_Def_Processes[Process_Name],Tab_Def_Processes[Initial_Stock?],,0,)</f>
        <v>No</v>
      </c>
      <c r="K10" s="7" t="str">
        <f>_xlfn.XLOOKUP($D10,Tab_Def_Processes[Process_Name],Tab_Def_Processes[DSM?],,0,)</f>
        <v>No</v>
      </c>
      <c r="L10" s="7" t="str">
        <f>_xlfn.XLOOKUP($D10,Tab_Def_Processes[Process_Name],Tab_Def_Processes[FOMP?],,0,)</f>
        <v>No</v>
      </c>
      <c r="M10" s="7">
        <f>_xlfn.XLOOKUP($D10,Tab_Def_Processes[Process_Name],Tab_Def_Processes[Nr. Outflows],,0,)</f>
        <v>2</v>
      </c>
      <c r="N10" s="155" t="s">
        <v>752</v>
      </c>
      <c r="O10" s="148" t="str">
        <f>_xlfn.XLOOKUP($N10,Tab_Def_Flows[Flow_Name],Tab_Def_Flows[Flow_ID],,0,)</f>
        <v>F_05_10</v>
      </c>
      <c r="P10" s="22" t="str">
        <f t="shared" si="6"/>
        <v>TC_material_05_10</v>
      </c>
      <c r="Q10" s="158">
        <v>0.1</v>
      </c>
      <c r="R10" s="22" t="str">
        <f t="shared" si="2"/>
        <v>TC_WC_05_10</v>
      </c>
      <c r="S10" s="158"/>
      <c r="T10" s="22" t="str">
        <f t="shared" si="3"/>
        <v>TC_DM_05_10</v>
      </c>
      <c r="V10" s="22" t="str">
        <f t="shared" si="4"/>
        <v>TC_CC_05_10</v>
      </c>
      <c r="X10" s="20"/>
      <c r="Y10" s="20"/>
      <c r="Z10" s="20"/>
      <c r="AA10" s="20"/>
      <c r="AB10" s="20"/>
    </row>
    <row r="11" spans="1:28" x14ac:dyDescent="0.25">
      <c r="A11" s="160" t="b">
        <v>0</v>
      </c>
      <c r="B11" s="7">
        <f t="shared" si="5"/>
        <v>10</v>
      </c>
      <c r="C11" s="27" t="str">
        <f>_xlfn.XLOOKUP($D11,Tab_Def_Processes[Process_Name],Tab_Def_Processes[ID],,0,)</f>
        <v>05</v>
      </c>
      <c r="D11" s="155" t="s">
        <v>730</v>
      </c>
      <c r="E11" s="7" t="str">
        <f>_xlfn.XLOOKUP($D11,Tab_Def_Processes[Process_Name],Tab_Def_Processes[Process_Type],,0,)</f>
        <v>Process</v>
      </c>
      <c r="F11" s="7" t="str">
        <f>_xlfn.XLOOKUP($D11,Tab_Def_Processes[Process_Name],Tab_Def_Processes[Process_Logic],,0,)</f>
        <v>Splitter</v>
      </c>
      <c r="G11" s="7" t="str">
        <f>_xlfn.XLOOKUP($D11,Tab_Def_Processes[Process_Name],Tab_Def_Processes[TC?],,0,)</f>
        <v>Yes</v>
      </c>
      <c r="H11" s="7" t="str">
        <f>_xlfn.XLOOKUP($D11,Tab_Def_Processes[Process_Name],Tab_Def_Processes[TC_Type],,0,)</f>
        <v>Static</v>
      </c>
      <c r="I11" s="7" t="str">
        <f>_xlfn.XLOOKUP($D11,Tab_Def_Processes[Process_Name],Tab_Def_Processes[Stock?],,0,)</f>
        <v>No</v>
      </c>
      <c r="J11" s="7" t="str">
        <f>_xlfn.XLOOKUP($D11,Tab_Def_Processes[Process_Name],Tab_Def_Processes[Initial_Stock?],,0,)</f>
        <v>No</v>
      </c>
      <c r="K11" s="7" t="str">
        <f>_xlfn.XLOOKUP($D11,Tab_Def_Processes[Process_Name],Tab_Def_Processes[DSM?],,0,)</f>
        <v>No</v>
      </c>
      <c r="L11" s="7" t="str">
        <f>_xlfn.XLOOKUP($D11,Tab_Def_Processes[Process_Name],Tab_Def_Processes[FOMP?],,0,)</f>
        <v>No</v>
      </c>
      <c r="M11" s="7">
        <f>_xlfn.XLOOKUP($D11,Tab_Def_Processes[Process_Name],Tab_Def_Processes[Nr. Outflows],,0,)</f>
        <v>2</v>
      </c>
      <c r="N11" s="155" t="s">
        <v>749</v>
      </c>
      <c r="O11" s="148" t="str">
        <f>_xlfn.XLOOKUP($N11,Tab_Def_Flows[Flow_Name],Tab_Def_Flows[Flow_ID],,0,)</f>
        <v>F_05_11</v>
      </c>
      <c r="P11" s="22" t="str">
        <f t="shared" si="6"/>
        <v>TC_material_05_11</v>
      </c>
      <c r="Q11" s="158">
        <v>0.9</v>
      </c>
      <c r="R11" s="22" t="str">
        <f t="shared" si="2"/>
        <v>TC_WC_05_11</v>
      </c>
      <c r="S11" s="158"/>
      <c r="T11" s="22" t="str">
        <f t="shared" si="3"/>
        <v>TC_DM_05_11</v>
      </c>
      <c r="V11" s="22" t="str">
        <f t="shared" si="4"/>
        <v>TC_CC_05_11</v>
      </c>
      <c r="X11" s="20"/>
      <c r="Y11" s="20"/>
      <c r="Z11" s="20"/>
      <c r="AA11" s="20"/>
      <c r="AB11" s="20"/>
    </row>
    <row r="12" spans="1:28" x14ac:dyDescent="0.25">
      <c r="A12" s="160" t="b">
        <v>0</v>
      </c>
      <c r="B12" s="7">
        <f t="shared" si="5"/>
        <v>11</v>
      </c>
      <c r="C12" s="27" t="str">
        <f>_xlfn.XLOOKUP($D12,Tab_Def_Processes[Process_Name],Tab_Def_Processes[ID],,0,)</f>
        <v>15</v>
      </c>
      <c r="D12" s="155"/>
      <c r="E12" s="7">
        <f>_xlfn.XLOOKUP($D12,Tab_Def_Processes[Process_Name],Tab_Def_Processes[Process_Type],,0,)</f>
        <v>0</v>
      </c>
      <c r="F12" s="7">
        <f>_xlfn.XLOOKUP($D12,Tab_Def_Processes[Process_Name],Tab_Def_Processes[Process_Logic],,0,)</f>
        <v>0</v>
      </c>
      <c r="G12" s="7">
        <f>_xlfn.XLOOKUP($D12,Tab_Def_Processes[Process_Name],Tab_Def_Processes[TC?],,0,)</f>
        <v>0</v>
      </c>
      <c r="H12" s="7">
        <f>_xlfn.XLOOKUP($D12,Tab_Def_Processes[Process_Name],Tab_Def_Processes[TC_Type],,0,)</f>
        <v>0</v>
      </c>
      <c r="I12" s="7">
        <f>_xlfn.XLOOKUP($D12,Tab_Def_Processes[Process_Name],Tab_Def_Processes[Stock?],,0,)</f>
        <v>0</v>
      </c>
      <c r="J12" s="7">
        <f>_xlfn.XLOOKUP($D12,Tab_Def_Processes[Process_Name],Tab_Def_Processes[Initial_Stock?],,0,)</f>
        <v>0</v>
      </c>
      <c r="K12" s="7">
        <f>_xlfn.XLOOKUP($D12,Tab_Def_Processes[Process_Name],Tab_Def_Processes[DSM?],,0,)</f>
        <v>0</v>
      </c>
      <c r="L12" s="7">
        <f>_xlfn.XLOOKUP($D12,Tab_Def_Processes[Process_Name],Tab_Def_Processes[FOMP?],,0,)</f>
        <v>0</v>
      </c>
      <c r="M12" s="7">
        <f>_xlfn.XLOOKUP($D12,Tab_Def_Processes[Process_Name],Tab_Def_Processes[Nr. Outflows],,0,)</f>
        <v>0</v>
      </c>
      <c r="N12" s="155"/>
      <c r="O12" s="148" t="str">
        <f>_xlfn.XLOOKUP($N12,Tab_Def_Flows[Flow_Name],Tab_Def_Flows[Flow_ID],,0,)</f>
        <v>F_15_15</v>
      </c>
      <c r="P12" s="22" t="str">
        <f t="shared" si="6"/>
        <v>TC_material_15_15</v>
      </c>
      <c r="Q12" s="158"/>
      <c r="R12" s="22" t="str">
        <f t="shared" si="2"/>
        <v>TC_WC_15_15</v>
      </c>
      <c r="S12" s="158"/>
      <c r="T12" s="22" t="str">
        <f t="shared" si="3"/>
        <v>TC_DM_15_15</v>
      </c>
      <c r="V12" s="22" t="str">
        <f t="shared" si="4"/>
        <v>TC_CC_15_15</v>
      </c>
      <c r="X12" s="20"/>
      <c r="Y12" s="20"/>
      <c r="Z12" s="20"/>
      <c r="AA12" s="20"/>
      <c r="AB12" s="20"/>
    </row>
    <row r="13" spans="1:28" x14ac:dyDescent="0.25">
      <c r="A13" s="160" t="b">
        <v>0</v>
      </c>
      <c r="B13" s="7">
        <f t="shared" si="5"/>
        <v>12</v>
      </c>
      <c r="C13" s="27" t="str">
        <f>_xlfn.XLOOKUP($D13,Tab_Def_Processes[Process_Name],Tab_Def_Processes[ID],,0,)</f>
        <v>15</v>
      </c>
      <c r="D13" s="155"/>
      <c r="E13" s="7">
        <f>_xlfn.XLOOKUP($D13,Tab_Def_Processes[Process_Name],Tab_Def_Processes[Process_Type],,0,)</f>
        <v>0</v>
      </c>
      <c r="F13" s="7">
        <f>_xlfn.XLOOKUP($D13,Tab_Def_Processes[Process_Name],Tab_Def_Processes[Process_Logic],,0,)</f>
        <v>0</v>
      </c>
      <c r="G13" s="7">
        <f>_xlfn.XLOOKUP($D13,Tab_Def_Processes[Process_Name],Tab_Def_Processes[TC?],,0,)</f>
        <v>0</v>
      </c>
      <c r="H13" s="7">
        <f>_xlfn.XLOOKUP($D13,Tab_Def_Processes[Process_Name],Tab_Def_Processes[TC_Type],,0,)</f>
        <v>0</v>
      </c>
      <c r="I13" s="7">
        <f>_xlfn.XLOOKUP($D13,Tab_Def_Processes[Process_Name],Tab_Def_Processes[Stock?],,0,)</f>
        <v>0</v>
      </c>
      <c r="J13" s="7">
        <f>_xlfn.XLOOKUP($D13,Tab_Def_Processes[Process_Name],Tab_Def_Processes[Initial_Stock?],,0,)</f>
        <v>0</v>
      </c>
      <c r="K13" s="7">
        <f>_xlfn.XLOOKUP($D13,Tab_Def_Processes[Process_Name],Tab_Def_Processes[DSM?],,0,)</f>
        <v>0</v>
      </c>
      <c r="L13" s="7">
        <f>_xlfn.XLOOKUP($D13,Tab_Def_Processes[Process_Name],Tab_Def_Processes[FOMP?],,0,)</f>
        <v>0</v>
      </c>
      <c r="M13" s="7">
        <f>_xlfn.XLOOKUP($D13,Tab_Def_Processes[Process_Name],Tab_Def_Processes[Nr. Outflows],,0,)</f>
        <v>0</v>
      </c>
      <c r="N13" s="155"/>
      <c r="O13" s="148" t="str">
        <f>_xlfn.XLOOKUP($N13,Tab_Def_Flows[Flow_Name],Tab_Def_Flows[Flow_ID],,0,)</f>
        <v>F_15_15</v>
      </c>
      <c r="P13" s="22" t="str">
        <f t="shared" si="6"/>
        <v>TC_material_15_15</v>
      </c>
      <c r="Q13" s="158"/>
      <c r="R13" s="22" t="str">
        <f t="shared" si="2"/>
        <v>TC_WC_15_15</v>
      </c>
      <c r="S13" s="158"/>
      <c r="T13" s="22" t="str">
        <f t="shared" si="3"/>
        <v>TC_DM_15_15</v>
      </c>
      <c r="V13" s="22" t="str">
        <f t="shared" si="4"/>
        <v>TC_CC_15_15</v>
      </c>
      <c r="X13" s="20"/>
      <c r="Y13" s="20"/>
      <c r="Z13" s="20"/>
      <c r="AA13" s="20"/>
      <c r="AB13" s="20"/>
    </row>
    <row r="14" spans="1:28" x14ac:dyDescent="0.25">
      <c r="A14" s="160" t="b">
        <v>0</v>
      </c>
      <c r="B14" s="7">
        <f t="shared" si="5"/>
        <v>13</v>
      </c>
      <c r="C14" s="27" t="str">
        <f>_xlfn.XLOOKUP($D14,Tab_Def_Processes[Process_Name],Tab_Def_Processes[ID],,0,)</f>
        <v>15</v>
      </c>
      <c r="D14" s="155"/>
      <c r="E14" s="7">
        <f>_xlfn.XLOOKUP($D14,Tab_Def_Processes[Process_Name],Tab_Def_Processes[Process_Type],,0,)</f>
        <v>0</v>
      </c>
      <c r="F14" s="7">
        <f>_xlfn.XLOOKUP($D14,Tab_Def_Processes[Process_Name],Tab_Def_Processes[Process_Logic],,0,)</f>
        <v>0</v>
      </c>
      <c r="G14" s="7">
        <f>_xlfn.XLOOKUP($D14,Tab_Def_Processes[Process_Name],Tab_Def_Processes[TC?],,0,)</f>
        <v>0</v>
      </c>
      <c r="H14" s="7">
        <f>_xlfn.XLOOKUP($D14,Tab_Def_Processes[Process_Name],Tab_Def_Processes[TC_Type],,0,)</f>
        <v>0</v>
      </c>
      <c r="I14" s="7">
        <f>_xlfn.XLOOKUP($D14,Tab_Def_Processes[Process_Name],Tab_Def_Processes[Stock?],,0,)</f>
        <v>0</v>
      </c>
      <c r="J14" s="7">
        <f>_xlfn.XLOOKUP($D14,Tab_Def_Processes[Process_Name],Tab_Def_Processes[Initial_Stock?],,0,)</f>
        <v>0</v>
      </c>
      <c r="K14" s="7">
        <f>_xlfn.XLOOKUP($D14,Tab_Def_Processes[Process_Name],Tab_Def_Processes[DSM?],,0,)</f>
        <v>0</v>
      </c>
      <c r="L14" s="7">
        <f>_xlfn.XLOOKUP($D14,Tab_Def_Processes[Process_Name],Tab_Def_Processes[FOMP?],,0,)</f>
        <v>0</v>
      </c>
      <c r="M14" s="7">
        <f>_xlfn.XLOOKUP($D14,Tab_Def_Processes[Process_Name],Tab_Def_Processes[Nr. Outflows],,0,)</f>
        <v>0</v>
      </c>
      <c r="N14" s="155"/>
      <c r="O14" s="148" t="str">
        <f>_xlfn.XLOOKUP($N14,Tab_Def_Flows[Flow_Name],Tab_Def_Flows[Flow_ID],,0,)</f>
        <v>F_15_15</v>
      </c>
      <c r="P14" s="22" t="str">
        <f t="shared" si="6"/>
        <v>TC_material_15_15</v>
      </c>
      <c r="Q14" s="158"/>
      <c r="R14" s="22" t="str">
        <f t="shared" si="2"/>
        <v>TC_WC_15_15</v>
      </c>
      <c r="S14" s="158"/>
      <c r="T14" s="22" t="str">
        <f t="shared" si="3"/>
        <v>TC_DM_15_15</v>
      </c>
      <c r="V14" s="22" t="str">
        <f t="shared" si="4"/>
        <v>TC_CC_15_15</v>
      </c>
      <c r="X14" s="20"/>
      <c r="Y14" s="20"/>
      <c r="Z14" s="20"/>
      <c r="AA14" s="20"/>
      <c r="AB14" s="20"/>
    </row>
    <row r="15" spans="1:28" x14ac:dyDescent="0.25">
      <c r="A15" s="160" t="b">
        <v>0</v>
      </c>
      <c r="B15" s="7">
        <f>ROW()-1</f>
        <v>14</v>
      </c>
      <c r="C15" s="27" t="str">
        <f>_xlfn.XLOOKUP($D15,Tab_Def_Processes[Process_Name],Tab_Def_Processes[ID],,0,)</f>
        <v>15</v>
      </c>
      <c r="D15" s="155"/>
      <c r="E15" s="7">
        <f>_xlfn.XLOOKUP($D15,Tab_Def_Processes[Process_Name],Tab_Def_Processes[Process_Type],,0,)</f>
        <v>0</v>
      </c>
      <c r="F15" s="7">
        <f>_xlfn.XLOOKUP($D15,Tab_Def_Processes[Process_Name],Tab_Def_Processes[Process_Logic],,0,)</f>
        <v>0</v>
      </c>
      <c r="G15" s="7">
        <f>_xlfn.XLOOKUP($D15,Tab_Def_Processes[Process_Name],Tab_Def_Processes[TC?],,0,)</f>
        <v>0</v>
      </c>
      <c r="H15" s="7">
        <f>_xlfn.XLOOKUP($D15,Tab_Def_Processes[Process_Name],Tab_Def_Processes[TC_Type],,0,)</f>
        <v>0</v>
      </c>
      <c r="I15" s="7">
        <f>_xlfn.XLOOKUP($D15,Tab_Def_Processes[Process_Name],Tab_Def_Processes[Stock?],,0,)</f>
        <v>0</v>
      </c>
      <c r="J15" s="9">
        <f>_xlfn.XLOOKUP($D15,Tab_Def_Processes[Process_Name],Tab_Def_Processes[Initial_Stock?],,0,)</f>
        <v>0</v>
      </c>
      <c r="K15" s="7">
        <f>_xlfn.XLOOKUP($D15,Tab_Def_Processes[Process_Name],Tab_Def_Processes[DSM?],,0,)</f>
        <v>0</v>
      </c>
      <c r="L15" s="7">
        <f>_xlfn.XLOOKUP($D15,Tab_Def_Processes[Process_Name],Tab_Def_Processes[FOMP?],,0,)</f>
        <v>0</v>
      </c>
      <c r="M15" s="7">
        <f>_xlfn.XLOOKUP($D15,Tab_Def_Processes[Process_Name],Tab_Def_Processes[Nr. Outflows],,0,)</f>
        <v>0</v>
      </c>
      <c r="N15" s="155"/>
      <c r="O15" s="148" t="str">
        <f>_xlfn.XLOOKUP($N15,Tab_Def_Flows[Flow_Name],Tab_Def_Flows[Flow_ID],,0,)</f>
        <v>F_15_15</v>
      </c>
      <c r="P15" s="22" t="str">
        <f>"TC_material"&amp;"_"&amp;RIGHT(O15,5)</f>
        <v>TC_material_15_15</v>
      </c>
      <c r="Q15" s="158"/>
      <c r="R15" s="22" t="str">
        <f t="shared" si="2"/>
        <v>TC_WC_15_15</v>
      </c>
      <c r="S15" s="158"/>
      <c r="T15" s="22" t="str">
        <f t="shared" si="3"/>
        <v>TC_DM_15_15</v>
      </c>
      <c r="V15" s="22" t="str">
        <f t="shared" si="4"/>
        <v>TC_CC_15_15</v>
      </c>
      <c r="X15" s="20"/>
      <c r="Y15" s="20"/>
      <c r="Z15" s="20"/>
      <c r="AA15" s="20"/>
      <c r="AB15" s="20"/>
    </row>
    <row r="16" spans="1:28" x14ac:dyDescent="0.25">
      <c r="A16" s="160" t="b">
        <v>0</v>
      </c>
      <c r="B16" s="7">
        <f t="shared" si="5"/>
        <v>15</v>
      </c>
      <c r="C16" s="27" t="str">
        <f>_xlfn.XLOOKUP($D16,Tab_Def_Processes[Process_Name],Tab_Def_Processes[ID],,0,)</f>
        <v>15</v>
      </c>
      <c r="D16" s="155"/>
      <c r="E16" s="7">
        <f>_xlfn.XLOOKUP($D16,Tab_Def_Processes[Process_Name],Tab_Def_Processes[Process_Type],,0,)</f>
        <v>0</v>
      </c>
      <c r="F16" s="7">
        <f>_xlfn.XLOOKUP($D16,Tab_Def_Processes[Process_Name],Tab_Def_Processes[Process_Logic],,0,)</f>
        <v>0</v>
      </c>
      <c r="G16" s="7">
        <f>_xlfn.XLOOKUP($D16,Tab_Def_Processes[Process_Name],Tab_Def_Processes[TC?],,0,)</f>
        <v>0</v>
      </c>
      <c r="H16" s="7">
        <f>_xlfn.XLOOKUP($D16,Tab_Def_Processes[Process_Name],Tab_Def_Processes[TC_Type],,0,)</f>
        <v>0</v>
      </c>
      <c r="I16" s="7">
        <f>_xlfn.XLOOKUP($D16,Tab_Def_Processes[Process_Name],Tab_Def_Processes[Stock?],,0,)</f>
        <v>0</v>
      </c>
      <c r="J16" s="7">
        <f>_xlfn.XLOOKUP($D16,Tab_Def_Processes[Process_Name],Tab_Def_Processes[Initial_Stock?],,0,)</f>
        <v>0</v>
      </c>
      <c r="K16" s="7">
        <f>_xlfn.XLOOKUP($D16,Tab_Def_Processes[Process_Name],Tab_Def_Processes[DSM?],,0,)</f>
        <v>0</v>
      </c>
      <c r="L16" s="7">
        <f>_xlfn.XLOOKUP($D16,Tab_Def_Processes[Process_Name],Tab_Def_Processes[FOMP?],,0,)</f>
        <v>0</v>
      </c>
      <c r="M16" s="7">
        <f>_xlfn.XLOOKUP($D16,Tab_Def_Processes[Process_Name],Tab_Def_Processes[Nr. Outflows],,0,)</f>
        <v>0</v>
      </c>
      <c r="N16" s="155"/>
      <c r="O16" s="148" t="str">
        <f>_xlfn.XLOOKUP($N16,Tab_Def_Flows[Flow_Name],Tab_Def_Flows[Flow_ID],,0,)</f>
        <v>F_15_15</v>
      </c>
      <c r="P16" s="22" t="str">
        <f t="shared" si="6"/>
        <v>TC_material_15_15</v>
      </c>
      <c r="Q16" s="158"/>
      <c r="R16" s="22" t="str">
        <f t="shared" si="2"/>
        <v>TC_WC_15_15</v>
      </c>
      <c r="S16" s="158"/>
      <c r="T16" s="22" t="str">
        <f t="shared" si="3"/>
        <v>TC_DM_15_15</v>
      </c>
      <c r="V16" s="22" t="str">
        <f t="shared" si="4"/>
        <v>TC_CC_15_15</v>
      </c>
      <c r="X16" s="20"/>
      <c r="Y16" s="20"/>
      <c r="Z16" s="20"/>
      <c r="AA16" s="20"/>
      <c r="AB16" s="20"/>
    </row>
    <row r="17" spans="1:28" x14ac:dyDescent="0.25">
      <c r="A17" s="160" t="b">
        <v>0</v>
      </c>
      <c r="B17" s="7">
        <f t="shared" si="5"/>
        <v>16</v>
      </c>
      <c r="C17" s="27" t="str">
        <f>_xlfn.XLOOKUP($D17,Tab_Def_Processes[Process_Name],Tab_Def_Processes[ID],,0,)</f>
        <v>15</v>
      </c>
      <c r="D17" s="155"/>
      <c r="E17" s="7">
        <f>_xlfn.XLOOKUP($D17,Tab_Def_Processes[Process_Name],Tab_Def_Processes[Process_Type],,0,)</f>
        <v>0</v>
      </c>
      <c r="F17" s="7">
        <f>_xlfn.XLOOKUP($D17,Tab_Def_Processes[Process_Name],Tab_Def_Processes[Process_Logic],,0,)</f>
        <v>0</v>
      </c>
      <c r="G17" s="7">
        <f>_xlfn.XLOOKUP($D17,Tab_Def_Processes[Process_Name],Tab_Def_Processes[TC?],,0,)</f>
        <v>0</v>
      </c>
      <c r="H17" s="7">
        <f>_xlfn.XLOOKUP($D17,Tab_Def_Processes[Process_Name],Tab_Def_Processes[TC_Type],,0,)</f>
        <v>0</v>
      </c>
      <c r="I17" s="7">
        <f>_xlfn.XLOOKUP($D17,Tab_Def_Processes[Process_Name],Tab_Def_Processes[Stock?],,0,)</f>
        <v>0</v>
      </c>
      <c r="J17" s="7">
        <f>_xlfn.XLOOKUP($D17,Tab_Def_Processes[Process_Name],Tab_Def_Processes[Initial_Stock?],,0,)</f>
        <v>0</v>
      </c>
      <c r="K17" s="7">
        <f>_xlfn.XLOOKUP($D17,Tab_Def_Processes[Process_Name],Tab_Def_Processes[DSM?],,0,)</f>
        <v>0</v>
      </c>
      <c r="L17" s="7">
        <f>_xlfn.XLOOKUP($D17,Tab_Def_Processes[Process_Name],Tab_Def_Processes[FOMP?],,0,)</f>
        <v>0</v>
      </c>
      <c r="M17" s="7">
        <f>_xlfn.XLOOKUP($D17,Tab_Def_Processes[Process_Name],Tab_Def_Processes[Nr. Outflows],,0,)</f>
        <v>0</v>
      </c>
      <c r="N17" s="155"/>
      <c r="O17" s="148" t="str">
        <f>_xlfn.XLOOKUP($N17,Tab_Def_Flows[Flow_Name],Tab_Def_Flows[Flow_ID],,0,)</f>
        <v>F_15_15</v>
      </c>
      <c r="P17" s="22" t="str">
        <f t="shared" si="6"/>
        <v>TC_material_15_15</v>
      </c>
      <c r="Q17" s="158"/>
      <c r="R17" s="22" t="str">
        <f t="shared" si="2"/>
        <v>TC_WC_15_15</v>
      </c>
      <c r="S17" s="158"/>
      <c r="T17" s="22" t="str">
        <f t="shared" si="3"/>
        <v>TC_DM_15_15</v>
      </c>
      <c r="V17" s="22" t="str">
        <f t="shared" si="4"/>
        <v>TC_CC_15_15</v>
      </c>
      <c r="X17" s="20"/>
      <c r="Y17" s="20"/>
      <c r="Z17" s="20"/>
      <c r="AA17" s="20"/>
      <c r="AB17" s="20"/>
    </row>
    <row r="18" spans="1:28" x14ac:dyDescent="0.25">
      <c r="A18" s="160" t="b">
        <v>0</v>
      </c>
      <c r="B18" s="7">
        <f t="shared" si="5"/>
        <v>17</v>
      </c>
      <c r="C18" s="27" t="str">
        <f>_xlfn.XLOOKUP($D18,Tab_Def_Processes[Process_Name],Tab_Def_Processes[ID],,0,)</f>
        <v>15</v>
      </c>
      <c r="D18" s="155"/>
      <c r="E18" s="7">
        <f>_xlfn.XLOOKUP($D18,Tab_Def_Processes[Process_Name],Tab_Def_Processes[Process_Type],,0,)</f>
        <v>0</v>
      </c>
      <c r="F18" s="7">
        <f>_xlfn.XLOOKUP($D18,Tab_Def_Processes[Process_Name],Tab_Def_Processes[Process_Logic],,0,)</f>
        <v>0</v>
      </c>
      <c r="G18" s="7">
        <f>_xlfn.XLOOKUP($D18,Tab_Def_Processes[Process_Name],Tab_Def_Processes[TC?],,0,)</f>
        <v>0</v>
      </c>
      <c r="H18" s="7">
        <f>_xlfn.XLOOKUP($D18,Tab_Def_Processes[Process_Name],Tab_Def_Processes[TC_Type],,0,)</f>
        <v>0</v>
      </c>
      <c r="I18" s="7">
        <f>_xlfn.XLOOKUP($D18,Tab_Def_Processes[Process_Name],Tab_Def_Processes[Stock?],,0,)</f>
        <v>0</v>
      </c>
      <c r="J18" s="7">
        <f>_xlfn.XLOOKUP($D18,Tab_Def_Processes[Process_Name],Tab_Def_Processes[Initial_Stock?],,0,)</f>
        <v>0</v>
      </c>
      <c r="K18" s="7">
        <f>_xlfn.XLOOKUP($D18,Tab_Def_Processes[Process_Name],Tab_Def_Processes[DSM?],,0,)</f>
        <v>0</v>
      </c>
      <c r="L18" s="7">
        <f>_xlfn.XLOOKUP($D18,Tab_Def_Processes[Process_Name],Tab_Def_Processes[FOMP?],,0,)</f>
        <v>0</v>
      </c>
      <c r="M18" s="7">
        <f>_xlfn.XLOOKUP($D18,Tab_Def_Processes[Process_Name],Tab_Def_Processes[Nr. Outflows],,0,)</f>
        <v>0</v>
      </c>
      <c r="N18" s="155"/>
      <c r="O18" s="148" t="str">
        <f>_xlfn.XLOOKUP($N18,Tab_Def_Flows[Flow_Name],Tab_Def_Flows[Flow_ID],,0,)</f>
        <v>F_15_15</v>
      </c>
      <c r="P18" s="22" t="str">
        <f t="shared" si="6"/>
        <v>TC_material_15_15</v>
      </c>
      <c r="Q18" s="158"/>
      <c r="R18" s="22" t="str">
        <f t="shared" si="2"/>
        <v>TC_WC_15_15</v>
      </c>
      <c r="S18" s="158"/>
      <c r="T18" s="22" t="str">
        <f t="shared" si="3"/>
        <v>TC_DM_15_15</v>
      </c>
      <c r="V18" s="22" t="str">
        <f t="shared" si="4"/>
        <v>TC_CC_15_15</v>
      </c>
      <c r="X18" s="20"/>
      <c r="Y18" s="20"/>
      <c r="Z18" s="20"/>
      <c r="AA18" s="20"/>
      <c r="AB18" s="20"/>
    </row>
    <row r="19" spans="1:28" x14ac:dyDescent="0.25">
      <c r="A19" s="160" t="b">
        <v>0</v>
      </c>
      <c r="B19" s="7">
        <f t="shared" si="5"/>
        <v>18</v>
      </c>
      <c r="C19" s="27" t="str">
        <f>_xlfn.XLOOKUP($D19,Tab_Def_Processes[Process_Name],Tab_Def_Processes[ID],,0,)</f>
        <v>15</v>
      </c>
      <c r="D19" s="155"/>
      <c r="E19" s="7">
        <f>_xlfn.XLOOKUP($D19,Tab_Def_Processes[Process_Name],Tab_Def_Processes[Process_Type],,0,)</f>
        <v>0</v>
      </c>
      <c r="F19" s="7">
        <f>_xlfn.XLOOKUP($D19,Tab_Def_Processes[Process_Name],Tab_Def_Processes[Process_Logic],,0,)</f>
        <v>0</v>
      </c>
      <c r="G19" s="7">
        <f>_xlfn.XLOOKUP($D19,Tab_Def_Processes[Process_Name],Tab_Def_Processes[TC?],,0,)</f>
        <v>0</v>
      </c>
      <c r="H19" s="7">
        <f>_xlfn.XLOOKUP($D19,Tab_Def_Processes[Process_Name],Tab_Def_Processes[TC_Type],,0,)</f>
        <v>0</v>
      </c>
      <c r="I19" s="7">
        <f>_xlfn.XLOOKUP($D19,Tab_Def_Processes[Process_Name],Tab_Def_Processes[Stock?],,0,)</f>
        <v>0</v>
      </c>
      <c r="J19" s="7">
        <f>_xlfn.XLOOKUP($D19,Tab_Def_Processes[Process_Name],Tab_Def_Processes[Initial_Stock?],,0,)</f>
        <v>0</v>
      </c>
      <c r="K19" s="7">
        <f>_xlfn.XLOOKUP($D19,Tab_Def_Processes[Process_Name],Tab_Def_Processes[DSM?],,0,)</f>
        <v>0</v>
      </c>
      <c r="L19" s="7">
        <f>_xlfn.XLOOKUP($D19,Tab_Def_Processes[Process_Name],Tab_Def_Processes[FOMP?],,0,)</f>
        <v>0</v>
      </c>
      <c r="M19" s="7">
        <f>_xlfn.XLOOKUP($D19,Tab_Def_Processes[Process_Name],Tab_Def_Processes[Nr. Outflows],,0,)</f>
        <v>0</v>
      </c>
      <c r="N19" s="155"/>
      <c r="O19" s="148" t="str">
        <f>_xlfn.XLOOKUP($N19,Tab_Def_Flows[Flow_Name],Tab_Def_Flows[Flow_ID],,0,)</f>
        <v>F_15_15</v>
      </c>
      <c r="P19" s="22" t="str">
        <f t="shared" si="6"/>
        <v>TC_material_15_15</v>
      </c>
      <c r="Q19" s="158"/>
      <c r="R19" s="22" t="str">
        <f t="shared" si="2"/>
        <v>TC_WC_15_15</v>
      </c>
      <c r="S19" s="158"/>
      <c r="T19" s="22" t="str">
        <f t="shared" si="3"/>
        <v>TC_DM_15_15</v>
      </c>
      <c r="V19" s="22" t="str">
        <f t="shared" si="4"/>
        <v>TC_CC_15_15</v>
      </c>
      <c r="X19" s="20"/>
      <c r="Y19" s="20"/>
      <c r="Z19" s="20"/>
      <c r="AA19" s="20"/>
      <c r="AB19" s="20"/>
    </row>
    <row r="20" spans="1:28" x14ac:dyDescent="0.25">
      <c r="A20" s="160" t="b">
        <v>0</v>
      </c>
      <c r="B20" s="7">
        <f t="shared" si="5"/>
        <v>19</v>
      </c>
      <c r="C20" s="27" t="str">
        <f>_xlfn.XLOOKUP($D20,Tab_Def_Processes[Process_Name],Tab_Def_Processes[ID],,0,)</f>
        <v>15</v>
      </c>
      <c r="D20" s="155"/>
      <c r="E20" s="7">
        <f>_xlfn.XLOOKUP($D20,Tab_Def_Processes[Process_Name],Tab_Def_Processes[Process_Type],,0,)</f>
        <v>0</v>
      </c>
      <c r="F20" s="7">
        <f>_xlfn.XLOOKUP($D20,Tab_Def_Processes[Process_Name],Tab_Def_Processes[Process_Logic],,0,)</f>
        <v>0</v>
      </c>
      <c r="G20" s="7">
        <f>_xlfn.XLOOKUP($D20,Tab_Def_Processes[Process_Name],Tab_Def_Processes[TC?],,0,)</f>
        <v>0</v>
      </c>
      <c r="H20" s="7">
        <f>_xlfn.XLOOKUP($D20,Tab_Def_Processes[Process_Name],Tab_Def_Processes[TC_Type],,0,)</f>
        <v>0</v>
      </c>
      <c r="I20" s="7">
        <f>_xlfn.XLOOKUP($D20,Tab_Def_Processes[Process_Name],Tab_Def_Processes[Stock?],,0,)</f>
        <v>0</v>
      </c>
      <c r="J20" s="7">
        <f>_xlfn.XLOOKUP($D20,Tab_Def_Processes[Process_Name],Tab_Def_Processes[Initial_Stock?],,0,)</f>
        <v>0</v>
      </c>
      <c r="K20" s="7">
        <f>_xlfn.XLOOKUP($D20,Tab_Def_Processes[Process_Name],Tab_Def_Processes[DSM?],,0,)</f>
        <v>0</v>
      </c>
      <c r="L20" s="7">
        <f>_xlfn.XLOOKUP($D20,Tab_Def_Processes[Process_Name],Tab_Def_Processes[FOMP?],,0,)</f>
        <v>0</v>
      </c>
      <c r="M20" s="7">
        <f>_xlfn.XLOOKUP($D20,Tab_Def_Processes[Process_Name],Tab_Def_Processes[Nr. Outflows],,0,)</f>
        <v>0</v>
      </c>
      <c r="N20" s="155"/>
      <c r="O20" s="148" t="str">
        <f>_xlfn.XLOOKUP($N20,Tab_Def_Flows[Flow_Name],Tab_Def_Flows[Flow_ID],,0,)</f>
        <v>F_15_15</v>
      </c>
      <c r="P20" s="22" t="str">
        <f t="shared" si="6"/>
        <v>TC_material_15_15</v>
      </c>
      <c r="Q20" s="158"/>
      <c r="R20" s="22" t="str">
        <f t="shared" si="2"/>
        <v>TC_WC_15_15</v>
      </c>
      <c r="S20" s="158"/>
      <c r="T20" s="22" t="str">
        <f t="shared" si="3"/>
        <v>TC_DM_15_15</v>
      </c>
      <c r="V20" s="22" t="str">
        <f t="shared" si="4"/>
        <v>TC_CC_15_15</v>
      </c>
      <c r="X20" s="20"/>
      <c r="Y20" s="20"/>
      <c r="Z20" s="20"/>
      <c r="AA20" s="20"/>
      <c r="AB20" s="20"/>
    </row>
    <row r="21" spans="1:28" x14ac:dyDescent="0.25">
      <c r="A21" s="160" t="b">
        <v>0</v>
      </c>
      <c r="B21" s="7">
        <f t="shared" si="5"/>
        <v>20</v>
      </c>
      <c r="C21" s="27" t="str">
        <f>_xlfn.XLOOKUP($D21,Tab_Def_Processes[Process_Name],Tab_Def_Processes[ID],,0,)</f>
        <v>15</v>
      </c>
      <c r="D21" s="155"/>
      <c r="E21" s="7">
        <f>_xlfn.XLOOKUP($D21,Tab_Def_Processes[Process_Name],Tab_Def_Processes[Process_Type],,0,)</f>
        <v>0</v>
      </c>
      <c r="F21" s="7">
        <f>_xlfn.XLOOKUP($D21,Tab_Def_Processes[Process_Name],Tab_Def_Processes[Process_Logic],,0,)</f>
        <v>0</v>
      </c>
      <c r="G21" s="7">
        <f>_xlfn.XLOOKUP($D21,Tab_Def_Processes[Process_Name],Tab_Def_Processes[TC?],,0,)</f>
        <v>0</v>
      </c>
      <c r="H21" s="7">
        <f>_xlfn.XLOOKUP($D21,Tab_Def_Processes[Process_Name],Tab_Def_Processes[TC_Type],,0,)</f>
        <v>0</v>
      </c>
      <c r="I21" s="7">
        <f>_xlfn.XLOOKUP($D21,Tab_Def_Processes[Process_Name],Tab_Def_Processes[Stock?],,0,)</f>
        <v>0</v>
      </c>
      <c r="J21" s="7">
        <f>_xlfn.XLOOKUP($D21,Tab_Def_Processes[Process_Name],Tab_Def_Processes[Initial_Stock?],,0,)</f>
        <v>0</v>
      </c>
      <c r="K21" s="7">
        <f>_xlfn.XLOOKUP($D21,Tab_Def_Processes[Process_Name],Tab_Def_Processes[DSM?],,0,)</f>
        <v>0</v>
      </c>
      <c r="L21" s="7">
        <f>_xlfn.XLOOKUP($D21,Tab_Def_Processes[Process_Name],Tab_Def_Processes[FOMP?],,0,)</f>
        <v>0</v>
      </c>
      <c r="M21" s="7">
        <f>_xlfn.XLOOKUP($D21,Tab_Def_Processes[Process_Name],Tab_Def_Processes[Nr. Outflows],,0,)</f>
        <v>0</v>
      </c>
      <c r="N21" s="155"/>
      <c r="O21" s="148" t="str">
        <f>_xlfn.XLOOKUP($N21,Tab_Def_Flows[Flow_Name],Tab_Def_Flows[Flow_ID],,0,)</f>
        <v>F_15_15</v>
      </c>
      <c r="P21" s="22" t="str">
        <f t="shared" si="6"/>
        <v>TC_material_15_15</v>
      </c>
      <c r="Q21" s="158"/>
      <c r="R21" s="22" t="str">
        <f t="shared" si="2"/>
        <v>TC_WC_15_15</v>
      </c>
      <c r="S21" s="158"/>
      <c r="T21" s="22" t="str">
        <f t="shared" si="3"/>
        <v>TC_DM_15_15</v>
      </c>
      <c r="V21" s="22" t="str">
        <f t="shared" si="4"/>
        <v>TC_CC_15_15</v>
      </c>
      <c r="X21" s="20"/>
      <c r="Y21" s="20"/>
      <c r="Z21" s="20"/>
      <c r="AA21" s="20"/>
      <c r="AB21" s="20"/>
    </row>
    <row r="22" spans="1:28" x14ac:dyDescent="0.25">
      <c r="A22" s="160" t="b">
        <v>0</v>
      </c>
      <c r="B22" s="7">
        <f t="shared" si="5"/>
        <v>21</v>
      </c>
      <c r="C22" s="27" t="str">
        <f>_xlfn.XLOOKUP($D22,Tab_Def_Processes[Process_Name],Tab_Def_Processes[ID],,0,)</f>
        <v>15</v>
      </c>
      <c r="D22" s="155"/>
      <c r="E22" s="7">
        <f>_xlfn.XLOOKUP($D22,Tab_Def_Processes[Process_Name],Tab_Def_Processes[Process_Type],,0,)</f>
        <v>0</v>
      </c>
      <c r="F22" s="7">
        <f>_xlfn.XLOOKUP($D22,Tab_Def_Processes[Process_Name],Tab_Def_Processes[Process_Logic],,0,)</f>
        <v>0</v>
      </c>
      <c r="G22" s="7">
        <f>_xlfn.XLOOKUP($D22,Tab_Def_Processes[Process_Name],Tab_Def_Processes[TC?],,0,)</f>
        <v>0</v>
      </c>
      <c r="H22" s="7">
        <f>_xlfn.XLOOKUP($D22,Tab_Def_Processes[Process_Name],Tab_Def_Processes[TC_Type],,0,)</f>
        <v>0</v>
      </c>
      <c r="I22" s="7">
        <f>_xlfn.XLOOKUP($D22,Tab_Def_Processes[Process_Name],Tab_Def_Processes[Stock?],,0,)</f>
        <v>0</v>
      </c>
      <c r="J22" s="7">
        <f>_xlfn.XLOOKUP($D22,Tab_Def_Processes[Process_Name],Tab_Def_Processes[Initial_Stock?],,0,)</f>
        <v>0</v>
      </c>
      <c r="K22" s="7">
        <f>_xlfn.XLOOKUP($D22,Tab_Def_Processes[Process_Name],Tab_Def_Processes[DSM?],,0,)</f>
        <v>0</v>
      </c>
      <c r="L22" s="7">
        <f>_xlfn.XLOOKUP($D22,Tab_Def_Processes[Process_Name],Tab_Def_Processes[FOMP?],,0,)</f>
        <v>0</v>
      </c>
      <c r="M22" s="7">
        <f>_xlfn.XLOOKUP($D22,Tab_Def_Processes[Process_Name],Tab_Def_Processes[Nr. Outflows],,0,)</f>
        <v>0</v>
      </c>
      <c r="N22" s="155"/>
      <c r="O22" s="148" t="str">
        <f>_xlfn.XLOOKUP($N22,Tab_Def_Flows[Flow_Name],Tab_Def_Flows[Flow_ID],,0,)</f>
        <v>F_15_15</v>
      </c>
      <c r="P22" s="22" t="str">
        <f t="shared" si="6"/>
        <v>TC_material_15_15</v>
      </c>
      <c r="Q22" s="158"/>
      <c r="R22" s="22" t="str">
        <f t="shared" si="2"/>
        <v>TC_WC_15_15</v>
      </c>
      <c r="S22" s="158"/>
      <c r="T22" s="22" t="str">
        <f t="shared" si="3"/>
        <v>TC_DM_15_15</v>
      </c>
      <c r="V22" s="22" t="str">
        <f t="shared" si="4"/>
        <v>TC_CC_15_15</v>
      </c>
      <c r="X22" s="20"/>
      <c r="Y22" s="20"/>
      <c r="Z22" s="20"/>
      <c r="AA22" s="20"/>
      <c r="AB22" s="20"/>
    </row>
    <row r="23" spans="1:28" x14ac:dyDescent="0.25">
      <c r="A23" s="160" t="b">
        <v>0</v>
      </c>
      <c r="B23" s="7">
        <f t="shared" si="5"/>
        <v>22</v>
      </c>
      <c r="C23" s="27" t="str">
        <f>_xlfn.XLOOKUP($D23,Tab_Def_Processes[Process_Name],Tab_Def_Processes[ID],,0,)</f>
        <v>15</v>
      </c>
      <c r="D23" s="155"/>
      <c r="E23" s="7">
        <f>_xlfn.XLOOKUP($D23,Tab_Def_Processes[Process_Name],Tab_Def_Processes[Process_Type],,0,)</f>
        <v>0</v>
      </c>
      <c r="F23" s="7">
        <f>_xlfn.XLOOKUP($D23,Tab_Def_Processes[Process_Name],Tab_Def_Processes[Process_Logic],,0,)</f>
        <v>0</v>
      </c>
      <c r="G23" s="7">
        <f>_xlfn.XLOOKUP($D23,Tab_Def_Processes[Process_Name],Tab_Def_Processes[TC?],,0,)</f>
        <v>0</v>
      </c>
      <c r="H23" s="7">
        <f>_xlfn.XLOOKUP($D23,Tab_Def_Processes[Process_Name],Tab_Def_Processes[TC_Type],,0,)</f>
        <v>0</v>
      </c>
      <c r="I23" s="7">
        <f>_xlfn.XLOOKUP($D23,Tab_Def_Processes[Process_Name],Tab_Def_Processes[Stock?],,0,)</f>
        <v>0</v>
      </c>
      <c r="J23" s="7">
        <f>_xlfn.XLOOKUP($D23,Tab_Def_Processes[Process_Name],Tab_Def_Processes[Initial_Stock?],,0,)</f>
        <v>0</v>
      </c>
      <c r="K23" s="7">
        <f>_xlfn.XLOOKUP($D23,Tab_Def_Processes[Process_Name],Tab_Def_Processes[DSM?],,0,)</f>
        <v>0</v>
      </c>
      <c r="L23" s="7">
        <f>_xlfn.XLOOKUP($D23,Tab_Def_Processes[Process_Name],Tab_Def_Processes[FOMP?],,0,)</f>
        <v>0</v>
      </c>
      <c r="M23" s="7">
        <f>_xlfn.XLOOKUP($D23,Tab_Def_Processes[Process_Name],Tab_Def_Processes[Nr. Outflows],,0,)</f>
        <v>0</v>
      </c>
      <c r="N23" s="155"/>
      <c r="O23" s="148" t="str">
        <f>_xlfn.XLOOKUP($N23,Tab_Def_Flows[Flow_Name],Tab_Def_Flows[Flow_ID],,0,)</f>
        <v>F_15_15</v>
      </c>
      <c r="P23" s="22" t="str">
        <f t="shared" si="6"/>
        <v>TC_material_15_15</v>
      </c>
      <c r="Q23" s="158"/>
      <c r="R23" s="22" t="str">
        <f t="shared" si="2"/>
        <v>TC_WC_15_15</v>
      </c>
      <c r="S23" s="158"/>
      <c r="T23" s="22" t="str">
        <f t="shared" si="3"/>
        <v>TC_DM_15_15</v>
      </c>
      <c r="V23" s="22" t="str">
        <f t="shared" si="4"/>
        <v>TC_CC_15_15</v>
      </c>
      <c r="X23" s="20"/>
      <c r="Y23" s="20"/>
      <c r="Z23" s="20"/>
      <c r="AA23" s="20"/>
      <c r="AB23" s="20"/>
    </row>
    <row r="24" spans="1:28" x14ac:dyDescent="0.25">
      <c r="A24" s="160" t="b">
        <v>0</v>
      </c>
      <c r="B24" s="7">
        <f t="shared" si="5"/>
        <v>23</v>
      </c>
      <c r="C24" s="27" t="str">
        <f>_xlfn.XLOOKUP($D24,Tab_Def_Processes[Process_Name],Tab_Def_Processes[ID],,0,)</f>
        <v>15</v>
      </c>
      <c r="D24" s="155"/>
      <c r="E24" s="7">
        <f>_xlfn.XLOOKUP($D24,Tab_Def_Processes[Process_Name],Tab_Def_Processes[Process_Type],,0,)</f>
        <v>0</v>
      </c>
      <c r="F24" s="7">
        <f>_xlfn.XLOOKUP($D24,Tab_Def_Processes[Process_Name],Tab_Def_Processes[Process_Logic],,0,)</f>
        <v>0</v>
      </c>
      <c r="G24" s="7">
        <f>_xlfn.XLOOKUP($D24,Tab_Def_Processes[Process_Name],Tab_Def_Processes[TC?],,0,)</f>
        <v>0</v>
      </c>
      <c r="H24" s="7">
        <f>_xlfn.XLOOKUP($D24,Tab_Def_Processes[Process_Name],Tab_Def_Processes[TC_Type],,0,)</f>
        <v>0</v>
      </c>
      <c r="I24" s="7">
        <f>_xlfn.XLOOKUP($D24,Tab_Def_Processes[Process_Name],Tab_Def_Processes[Stock?],,0,)</f>
        <v>0</v>
      </c>
      <c r="J24" s="7">
        <f>_xlfn.XLOOKUP($D24,Tab_Def_Processes[Process_Name],Tab_Def_Processes[Initial_Stock?],,0,)</f>
        <v>0</v>
      </c>
      <c r="K24" s="7">
        <f>_xlfn.XLOOKUP($D24,Tab_Def_Processes[Process_Name],Tab_Def_Processes[DSM?],,0,)</f>
        <v>0</v>
      </c>
      <c r="L24" s="7">
        <f>_xlfn.XLOOKUP($D24,Tab_Def_Processes[Process_Name],Tab_Def_Processes[FOMP?],,0,)</f>
        <v>0</v>
      </c>
      <c r="M24" s="7">
        <f>_xlfn.XLOOKUP($D24,Tab_Def_Processes[Process_Name],Tab_Def_Processes[Nr. Outflows],,0,)</f>
        <v>0</v>
      </c>
      <c r="N24" s="155"/>
      <c r="O24" s="148" t="str">
        <f>_xlfn.XLOOKUP($N24,Tab_Def_Flows[Flow_Name],Tab_Def_Flows[Flow_ID],,0,)</f>
        <v>F_15_15</v>
      </c>
      <c r="P24" s="22" t="str">
        <f t="shared" si="6"/>
        <v>TC_material_15_15</v>
      </c>
      <c r="Q24" s="158"/>
      <c r="R24" s="22" t="str">
        <f t="shared" si="2"/>
        <v>TC_WC_15_15</v>
      </c>
      <c r="S24" s="158"/>
      <c r="T24" s="22" t="str">
        <f t="shared" si="3"/>
        <v>TC_DM_15_15</v>
      </c>
      <c r="V24" s="22" t="str">
        <f t="shared" si="4"/>
        <v>TC_CC_15_15</v>
      </c>
      <c r="X24" s="20"/>
      <c r="Y24" s="20"/>
      <c r="Z24" s="20"/>
      <c r="AA24" s="20"/>
      <c r="AB24" s="20"/>
    </row>
    <row r="25" spans="1:28" x14ac:dyDescent="0.25">
      <c r="A25" s="160" t="b">
        <v>0</v>
      </c>
      <c r="B25" s="7">
        <f t="shared" si="5"/>
        <v>24</v>
      </c>
      <c r="C25" s="27" t="str">
        <f>_xlfn.XLOOKUP($D25,Tab_Def_Processes[Process_Name],Tab_Def_Processes[ID],,0,)</f>
        <v>15</v>
      </c>
      <c r="D25" s="155"/>
      <c r="E25" s="7">
        <f>_xlfn.XLOOKUP($D25,Tab_Def_Processes[Process_Name],Tab_Def_Processes[Process_Type],,0,)</f>
        <v>0</v>
      </c>
      <c r="F25" s="7">
        <f>_xlfn.XLOOKUP($D25,Tab_Def_Processes[Process_Name],Tab_Def_Processes[Process_Logic],,0,)</f>
        <v>0</v>
      </c>
      <c r="G25" s="7">
        <f>_xlfn.XLOOKUP($D25,Tab_Def_Processes[Process_Name],Tab_Def_Processes[TC?],,0,)</f>
        <v>0</v>
      </c>
      <c r="H25" s="7">
        <f>_xlfn.XLOOKUP($D25,Tab_Def_Processes[Process_Name],Tab_Def_Processes[TC_Type],,0,)</f>
        <v>0</v>
      </c>
      <c r="I25" s="7">
        <f>_xlfn.XLOOKUP($D25,Tab_Def_Processes[Process_Name],Tab_Def_Processes[Stock?],,0,)</f>
        <v>0</v>
      </c>
      <c r="J25" s="7">
        <f>_xlfn.XLOOKUP($D25,Tab_Def_Processes[Process_Name],Tab_Def_Processes[Initial_Stock?],,0,)</f>
        <v>0</v>
      </c>
      <c r="K25" s="7">
        <f>_xlfn.XLOOKUP($D25,Tab_Def_Processes[Process_Name],Tab_Def_Processes[DSM?],,0,)</f>
        <v>0</v>
      </c>
      <c r="L25" s="7">
        <f>_xlfn.XLOOKUP($D25,Tab_Def_Processes[Process_Name],Tab_Def_Processes[FOMP?],,0,)</f>
        <v>0</v>
      </c>
      <c r="M25" s="7">
        <f>_xlfn.XLOOKUP($D25,Tab_Def_Processes[Process_Name],Tab_Def_Processes[Nr. Outflows],,0,)</f>
        <v>0</v>
      </c>
      <c r="N25" s="155"/>
      <c r="O25" s="148" t="str">
        <f>_xlfn.XLOOKUP($N25,Tab_Def_Flows[Flow_Name],Tab_Def_Flows[Flow_ID],,0,)</f>
        <v>F_15_15</v>
      </c>
      <c r="P25" s="22" t="str">
        <f t="shared" si="6"/>
        <v>TC_material_15_15</v>
      </c>
      <c r="Q25" s="158"/>
      <c r="R25" s="22" t="str">
        <f t="shared" si="2"/>
        <v>TC_WC_15_15</v>
      </c>
      <c r="S25" s="158"/>
      <c r="T25" s="22" t="str">
        <f t="shared" si="3"/>
        <v>TC_DM_15_15</v>
      </c>
      <c r="V25" s="22" t="str">
        <f t="shared" si="4"/>
        <v>TC_CC_15_15</v>
      </c>
      <c r="X25" s="20"/>
      <c r="Y25" s="20"/>
      <c r="Z25" s="20"/>
      <c r="AA25" s="20"/>
      <c r="AB25" s="20"/>
    </row>
    <row r="26" spans="1:28" x14ac:dyDescent="0.25">
      <c r="A26" s="160" t="b">
        <v>0</v>
      </c>
      <c r="B26" s="7">
        <f t="shared" si="5"/>
        <v>25</v>
      </c>
      <c r="C26" s="27" t="str">
        <f>_xlfn.XLOOKUP($D26,Tab_Def_Processes[Process_Name],Tab_Def_Processes[ID],,0,)</f>
        <v>15</v>
      </c>
      <c r="D26" s="155"/>
      <c r="E26" s="7">
        <f>_xlfn.XLOOKUP($D26,Tab_Def_Processes[Process_Name],Tab_Def_Processes[Process_Type],,0,)</f>
        <v>0</v>
      </c>
      <c r="F26" s="7">
        <f>_xlfn.XLOOKUP($D26,Tab_Def_Processes[Process_Name],Tab_Def_Processes[Process_Logic],,0,)</f>
        <v>0</v>
      </c>
      <c r="G26" s="7">
        <f>_xlfn.XLOOKUP($D26,Tab_Def_Processes[Process_Name],Tab_Def_Processes[TC?],,0,)</f>
        <v>0</v>
      </c>
      <c r="H26" s="7">
        <f>_xlfn.XLOOKUP($D26,Tab_Def_Processes[Process_Name],Tab_Def_Processes[TC_Type],,0,)</f>
        <v>0</v>
      </c>
      <c r="I26" s="7">
        <f>_xlfn.XLOOKUP($D26,Tab_Def_Processes[Process_Name],Tab_Def_Processes[Stock?],,0,)</f>
        <v>0</v>
      </c>
      <c r="J26" s="7">
        <f>_xlfn.XLOOKUP($D26,Tab_Def_Processes[Process_Name],Tab_Def_Processes[Initial_Stock?],,0,)</f>
        <v>0</v>
      </c>
      <c r="K26" s="7">
        <f>_xlfn.XLOOKUP($D26,Tab_Def_Processes[Process_Name],Tab_Def_Processes[DSM?],,0,)</f>
        <v>0</v>
      </c>
      <c r="L26" s="7">
        <f>_xlfn.XLOOKUP($D26,Tab_Def_Processes[Process_Name],Tab_Def_Processes[FOMP?],,0,)</f>
        <v>0</v>
      </c>
      <c r="M26" s="7">
        <f>_xlfn.XLOOKUP($D26,Tab_Def_Processes[Process_Name],Tab_Def_Processes[Nr. Outflows],,0,)</f>
        <v>0</v>
      </c>
      <c r="N26" s="155"/>
      <c r="O26" s="148" t="str">
        <f>_xlfn.XLOOKUP($N26,Tab_Def_Flows[Flow_Name],Tab_Def_Flows[Flow_ID],,0,)</f>
        <v>F_15_15</v>
      </c>
      <c r="P26" s="22" t="str">
        <f t="shared" si="6"/>
        <v>TC_material_15_15</v>
      </c>
      <c r="Q26" s="158"/>
      <c r="R26" s="22" t="str">
        <f t="shared" si="2"/>
        <v>TC_WC_15_15</v>
      </c>
      <c r="S26" s="158"/>
      <c r="T26" s="22" t="str">
        <f t="shared" si="3"/>
        <v>TC_DM_15_15</v>
      </c>
      <c r="V26" s="22" t="str">
        <f t="shared" si="4"/>
        <v>TC_CC_15_15</v>
      </c>
      <c r="X26" s="20"/>
      <c r="Y26" s="20"/>
      <c r="Z26" s="20"/>
      <c r="AA26" s="20"/>
      <c r="AB26" s="20"/>
    </row>
    <row r="27" spans="1:28" x14ac:dyDescent="0.25">
      <c r="A27" s="160" t="b">
        <v>0</v>
      </c>
      <c r="B27" s="7">
        <f t="shared" si="5"/>
        <v>26</v>
      </c>
      <c r="C27" s="27" t="str">
        <f>_xlfn.XLOOKUP($D27,Tab_Def_Processes[Process_Name],Tab_Def_Processes[ID],,0,)</f>
        <v>15</v>
      </c>
      <c r="D27" s="155"/>
      <c r="E27" s="7">
        <f>_xlfn.XLOOKUP($D27,Tab_Def_Processes[Process_Name],Tab_Def_Processes[Process_Type],,0,)</f>
        <v>0</v>
      </c>
      <c r="F27" s="7">
        <f>_xlfn.XLOOKUP($D27,Tab_Def_Processes[Process_Name],Tab_Def_Processes[Process_Logic],,0,)</f>
        <v>0</v>
      </c>
      <c r="G27" s="7">
        <f>_xlfn.XLOOKUP($D27,Tab_Def_Processes[Process_Name],Tab_Def_Processes[TC?],,0,)</f>
        <v>0</v>
      </c>
      <c r="H27" s="7">
        <f>_xlfn.XLOOKUP($D27,Tab_Def_Processes[Process_Name],Tab_Def_Processes[TC_Type],,0,)</f>
        <v>0</v>
      </c>
      <c r="I27" s="7">
        <f>_xlfn.XLOOKUP($D27,Tab_Def_Processes[Process_Name],Tab_Def_Processes[Stock?],,0,)</f>
        <v>0</v>
      </c>
      <c r="J27" s="7">
        <f>_xlfn.XLOOKUP($D27,Tab_Def_Processes[Process_Name],Tab_Def_Processes[Initial_Stock?],,0,)</f>
        <v>0</v>
      </c>
      <c r="K27" s="7">
        <f>_xlfn.XLOOKUP($D27,Tab_Def_Processes[Process_Name],Tab_Def_Processes[DSM?],,0,)</f>
        <v>0</v>
      </c>
      <c r="L27" s="7">
        <f>_xlfn.XLOOKUP($D27,Tab_Def_Processes[Process_Name],Tab_Def_Processes[FOMP?],,0,)</f>
        <v>0</v>
      </c>
      <c r="M27" s="7">
        <f>_xlfn.XLOOKUP($D27,Tab_Def_Processes[Process_Name],Tab_Def_Processes[Nr. Outflows],,0,)</f>
        <v>0</v>
      </c>
      <c r="N27" s="155"/>
      <c r="O27" s="148" t="str">
        <f>_xlfn.XLOOKUP($N27,Tab_Def_Flows[Flow_Name],Tab_Def_Flows[Flow_ID],,0,)</f>
        <v>F_15_15</v>
      </c>
      <c r="P27" s="22" t="str">
        <f t="shared" si="6"/>
        <v>TC_material_15_15</v>
      </c>
      <c r="Q27" s="158"/>
      <c r="R27" s="22" t="str">
        <f t="shared" si="2"/>
        <v>TC_WC_15_15</v>
      </c>
      <c r="S27" s="158"/>
      <c r="T27" s="22" t="str">
        <f t="shared" si="3"/>
        <v>TC_DM_15_15</v>
      </c>
      <c r="V27" s="22" t="str">
        <f t="shared" si="4"/>
        <v>TC_CC_15_15</v>
      </c>
      <c r="X27" s="20"/>
      <c r="Y27" s="20"/>
      <c r="Z27" s="20"/>
      <c r="AA27" s="20"/>
      <c r="AB27" s="20"/>
    </row>
    <row r="28" spans="1:28" x14ac:dyDescent="0.25">
      <c r="A28" s="160" t="b">
        <v>0</v>
      </c>
      <c r="B28" s="7">
        <f t="shared" si="5"/>
        <v>27</v>
      </c>
      <c r="C28" s="27" t="str">
        <f>_xlfn.XLOOKUP($D28,Tab_Def_Processes[Process_Name],Tab_Def_Processes[ID],,0,)</f>
        <v>15</v>
      </c>
      <c r="D28" s="155"/>
      <c r="E28" s="7">
        <f>_xlfn.XLOOKUP($D28,Tab_Def_Processes[Process_Name],Tab_Def_Processes[Process_Type],,0,)</f>
        <v>0</v>
      </c>
      <c r="F28" s="7">
        <f>_xlfn.XLOOKUP($D28,Tab_Def_Processes[Process_Name],Tab_Def_Processes[Process_Logic],,0,)</f>
        <v>0</v>
      </c>
      <c r="G28" s="7">
        <f>_xlfn.XLOOKUP($D28,Tab_Def_Processes[Process_Name],Tab_Def_Processes[TC?],,0,)</f>
        <v>0</v>
      </c>
      <c r="H28" s="7">
        <f>_xlfn.XLOOKUP($D28,Tab_Def_Processes[Process_Name],Tab_Def_Processes[TC_Type],,0,)</f>
        <v>0</v>
      </c>
      <c r="I28" s="7">
        <f>_xlfn.XLOOKUP($D28,Tab_Def_Processes[Process_Name],Tab_Def_Processes[Stock?],,0,)</f>
        <v>0</v>
      </c>
      <c r="J28" s="7">
        <f>_xlfn.XLOOKUP($D28,Tab_Def_Processes[Process_Name],Tab_Def_Processes[Initial_Stock?],,0,)</f>
        <v>0</v>
      </c>
      <c r="K28" s="7">
        <f>_xlfn.XLOOKUP($D28,Tab_Def_Processes[Process_Name],Tab_Def_Processes[DSM?],,0,)</f>
        <v>0</v>
      </c>
      <c r="L28" s="7">
        <f>_xlfn.XLOOKUP($D28,Tab_Def_Processes[Process_Name],Tab_Def_Processes[FOMP?],,0,)</f>
        <v>0</v>
      </c>
      <c r="M28" s="7">
        <f>_xlfn.XLOOKUP($D28,Tab_Def_Processes[Process_Name],Tab_Def_Processes[Nr. Outflows],,0,)</f>
        <v>0</v>
      </c>
      <c r="N28" s="155"/>
      <c r="O28" s="148" t="str">
        <f>_xlfn.XLOOKUP($N28,Tab_Def_Flows[Flow_Name],Tab_Def_Flows[Flow_ID],,0,)</f>
        <v>F_15_15</v>
      </c>
      <c r="P28" s="22" t="str">
        <f t="shared" si="6"/>
        <v>TC_material_15_15</v>
      </c>
      <c r="Q28" s="158"/>
      <c r="R28" s="22" t="str">
        <f t="shared" si="2"/>
        <v>TC_WC_15_15</v>
      </c>
      <c r="S28" s="158"/>
      <c r="T28" s="22" t="str">
        <f t="shared" si="3"/>
        <v>TC_DM_15_15</v>
      </c>
      <c r="V28" s="22" t="str">
        <f t="shared" si="4"/>
        <v>TC_CC_15_15</v>
      </c>
      <c r="X28" s="20"/>
      <c r="Y28" s="20"/>
      <c r="Z28" s="20"/>
      <c r="AA28" s="20"/>
      <c r="AB28" s="20"/>
    </row>
    <row r="29" spans="1:28" x14ac:dyDescent="0.25">
      <c r="A29" s="160" t="b">
        <v>0</v>
      </c>
      <c r="B29" s="7">
        <f t="shared" si="5"/>
        <v>28</v>
      </c>
      <c r="C29" s="27" t="str">
        <f>_xlfn.XLOOKUP($D29,Tab_Def_Processes[Process_Name],Tab_Def_Processes[ID],,0,)</f>
        <v>15</v>
      </c>
      <c r="D29" s="155"/>
      <c r="E29" s="7">
        <f>_xlfn.XLOOKUP($D29,Tab_Def_Processes[Process_Name],Tab_Def_Processes[Process_Type],,0,)</f>
        <v>0</v>
      </c>
      <c r="F29" s="7">
        <f>_xlfn.XLOOKUP($D29,Tab_Def_Processes[Process_Name],Tab_Def_Processes[Process_Logic],,0,)</f>
        <v>0</v>
      </c>
      <c r="G29" s="7">
        <f>_xlfn.XLOOKUP($D29,Tab_Def_Processes[Process_Name],Tab_Def_Processes[TC?],,0,)</f>
        <v>0</v>
      </c>
      <c r="H29" s="7">
        <f>_xlfn.XLOOKUP($D29,Tab_Def_Processes[Process_Name],Tab_Def_Processes[TC_Type],,0,)</f>
        <v>0</v>
      </c>
      <c r="I29" s="7">
        <f>_xlfn.XLOOKUP($D29,Tab_Def_Processes[Process_Name],Tab_Def_Processes[Stock?],,0,)</f>
        <v>0</v>
      </c>
      <c r="J29" s="7">
        <f>_xlfn.XLOOKUP($D29,Tab_Def_Processes[Process_Name],Tab_Def_Processes[Initial_Stock?],,0,)</f>
        <v>0</v>
      </c>
      <c r="K29" s="7">
        <f>_xlfn.XLOOKUP($D29,Tab_Def_Processes[Process_Name],Tab_Def_Processes[DSM?],,0,)</f>
        <v>0</v>
      </c>
      <c r="L29" s="7">
        <f>_xlfn.XLOOKUP($D29,Tab_Def_Processes[Process_Name],Tab_Def_Processes[FOMP?],,0,)</f>
        <v>0</v>
      </c>
      <c r="M29" s="7">
        <f>_xlfn.XLOOKUP($D29,Tab_Def_Processes[Process_Name],Tab_Def_Processes[Nr. Outflows],,0,)</f>
        <v>0</v>
      </c>
      <c r="N29" s="155"/>
      <c r="O29" s="148" t="str">
        <f>_xlfn.XLOOKUP($N29,Tab_Def_Flows[Flow_Name],Tab_Def_Flows[Flow_ID],,0,)</f>
        <v>F_15_15</v>
      </c>
      <c r="P29" s="22" t="str">
        <f t="shared" si="6"/>
        <v>TC_material_15_15</v>
      </c>
      <c r="Q29" s="158"/>
      <c r="R29" s="22" t="str">
        <f t="shared" si="2"/>
        <v>TC_WC_15_15</v>
      </c>
      <c r="S29" s="158"/>
      <c r="T29" s="22" t="str">
        <f t="shared" si="3"/>
        <v>TC_DM_15_15</v>
      </c>
      <c r="V29" s="22" t="str">
        <f t="shared" si="4"/>
        <v>TC_CC_15_15</v>
      </c>
      <c r="X29" s="20"/>
      <c r="Y29" s="20"/>
      <c r="Z29" s="20"/>
      <c r="AA29" s="20"/>
      <c r="AB29" s="20"/>
    </row>
    <row r="30" spans="1:28" x14ac:dyDescent="0.25">
      <c r="A30" s="160" t="b">
        <v>0</v>
      </c>
      <c r="B30" s="7">
        <f t="shared" si="5"/>
        <v>29</v>
      </c>
      <c r="C30" s="27" t="str">
        <f>_xlfn.XLOOKUP($D30,Tab_Def_Processes[Process_Name],Tab_Def_Processes[ID],,0,)</f>
        <v>15</v>
      </c>
      <c r="D30" s="155"/>
      <c r="E30" s="7">
        <f>_xlfn.XLOOKUP($D30,Tab_Def_Processes[Process_Name],Tab_Def_Processes[Process_Type],,0,)</f>
        <v>0</v>
      </c>
      <c r="F30" s="7">
        <f>_xlfn.XLOOKUP($D30,Tab_Def_Processes[Process_Name],Tab_Def_Processes[Process_Logic],,0,)</f>
        <v>0</v>
      </c>
      <c r="G30" s="7">
        <f>_xlfn.XLOOKUP($D30,Tab_Def_Processes[Process_Name],Tab_Def_Processes[TC?],,0,)</f>
        <v>0</v>
      </c>
      <c r="H30" s="7">
        <f>_xlfn.XLOOKUP($D30,Tab_Def_Processes[Process_Name],Tab_Def_Processes[TC_Type],,0,)</f>
        <v>0</v>
      </c>
      <c r="I30" s="7">
        <f>_xlfn.XLOOKUP($D30,Tab_Def_Processes[Process_Name],Tab_Def_Processes[Stock?],,0,)</f>
        <v>0</v>
      </c>
      <c r="J30" s="7">
        <f>_xlfn.XLOOKUP($D30,Tab_Def_Processes[Process_Name],Tab_Def_Processes[Initial_Stock?],,0,)</f>
        <v>0</v>
      </c>
      <c r="K30" s="7">
        <f>_xlfn.XLOOKUP($D30,Tab_Def_Processes[Process_Name],Tab_Def_Processes[DSM?],,0,)</f>
        <v>0</v>
      </c>
      <c r="L30" s="7">
        <f>_xlfn.XLOOKUP($D30,Tab_Def_Processes[Process_Name],Tab_Def_Processes[FOMP?],,0,)</f>
        <v>0</v>
      </c>
      <c r="M30" s="7">
        <f>_xlfn.XLOOKUP($D30,Tab_Def_Processes[Process_Name],Tab_Def_Processes[Nr. Outflows],,0,)</f>
        <v>0</v>
      </c>
      <c r="N30" s="155"/>
      <c r="O30" s="148" t="str">
        <f>_xlfn.XLOOKUP($N30,Tab_Def_Flows[Flow_Name],Tab_Def_Flows[Flow_ID],,0,)</f>
        <v>F_15_15</v>
      </c>
      <c r="P30" s="22" t="str">
        <f t="shared" si="6"/>
        <v>TC_material_15_15</v>
      </c>
      <c r="Q30" s="158"/>
      <c r="R30" s="22" t="str">
        <f t="shared" si="2"/>
        <v>TC_WC_15_15</v>
      </c>
      <c r="S30" s="158"/>
      <c r="T30" s="22" t="str">
        <f t="shared" si="3"/>
        <v>TC_DM_15_15</v>
      </c>
      <c r="V30" s="22" t="str">
        <f t="shared" si="4"/>
        <v>TC_CC_15_15</v>
      </c>
      <c r="X30" s="20"/>
      <c r="Y30" s="20"/>
      <c r="Z30" s="20"/>
      <c r="AA30" s="20"/>
      <c r="AB30" s="20"/>
    </row>
    <row r="31" spans="1:28" x14ac:dyDescent="0.25">
      <c r="A31" s="160" t="b">
        <v>0</v>
      </c>
      <c r="B31" s="7">
        <f t="shared" si="5"/>
        <v>30</v>
      </c>
      <c r="C31" s="27" t="str">
        <f>_xlfn.XLOOKUP($D31,Tab_Def_Processes[Process_Name],Tab_Def_Processes[ID],,0,)</f>
        <v>15</v>
      </c>
      <c r="D31" s="155"/>
      <c r="E31" s="7">
        <f>_xlfn.XLOOKUP($D31,Tab_Def_Processes[Process_Name],Tab_Def_Processes[Process_Type],,0,)</f>
        <v>0</v>
      </c>
      <c r="F31" s="7">
        <f>_xlfn.XLOOKUP($D31,Tab_Def_Processes[Process_Name],Tab_Def_Processes[Process_Logic],,0,)</f>
        <v>0</v>
      </c>
      <c r="G31" s="7">
        <f>_xlfn.XLOOKUP($D31,Tab_Def_Processes[Process_Name],Tab_Def_Processes[TC?],,0,)</f>
        <v>0</v>
      </c>
      <c r="H31" s="7">
        <f>_xlfn.XLOOKUP($D31,Tab_Def_Processes[Process_Name],Tab_Def_Processes[TC_Type],,0,)</f>
        <v>0</v>
      </c>
      <c r="I31" s="7">
        <f>_xlfn.XLOOKUP($D31,Tab_Def_Processes[Process_Name],Tab_Def_Processes[Stock?],,0,)</f>
        <v>0</v>
      </c>
      <c r="J31" s="7">
        <f>_xlfn.XLOOKUP($D31,Tab_Def_Processes[Process_Name],Tab_Def_Processes[Initial_Stock?],,0,)</f>
        <v>0</v>
      </c>
      <c r="K31" s="7">
        <f>_xlfn.XLOOKUP($D31,Tab_Def_Processes[Process_Name],Tab_Def_Processes[DSM?],,0,)</f>
        <v>0</v>
      </c>
      <c r="L31" s="7">
        <f>_xlfn.XLOOKUP($D31,Tab_Def_Processes[Process_Name],Tab_Def_Processes[FOMP?],,0,)</f>
        <v>0</v>
      </c>
      <c r="M31" s="7">
        <f>_xlfn.XLOOKUP($D31,Tab_Def_Processes[Process_Name],Tab_Def_Processes[Nr. Outflows],,0,)</f>
        <v>0</v>
      </c>
      <c r="N31" s="155"/>
      <c r="O31" s="148" t="str">
        <f>_xlfn.XLOOKUP($N31,Tab_Def_Flows[Flow_Name],Tab_Def_Flows[Flow_ID],,0,)</f>
        <v>F_15_15</v>
      </c>
      <c r="P31" s="22" t="str">
        <f t="shared" si="6"/>
        <v>TC_material_15_15</v>
      </c>
      <c r="Q31" s="158"/>
      <c r="R31" s="22" t="str">
        <f t="shared" si="2"/>
        <v>TC_WC_15_15</v>
      </c>
      <c r="S31" s="158"/>
      <c r="T31" s="22" t="str">
        <f t="shared" si="3"/>
        <v>TC_DM_15_15</v>
      </c>
      <c r="V31" s="22" t="str">
        <f t="shared" si="4"/>
        <v>TC_CC_15_15</v>
      </c>
      <c r="X31" s="20"/>
      <c r="Y31" s="20"/>
      <c r="Z31" s="20"/>
      <c r="AA31" s="20"/>
      <c r="AB31" s="20"/>
    </row>
    <row r="32" spans="1:28" x14ac:dyDescent="0.25">
      <c r="A32" s="160" t="b">
        <v>0</v>
      </c>
      <c r="B32" s="7">
        <f t="shared" si="5"/>
        <v>31</v>
      </c>
      <c r="C32" s="27" t="str">
        <f>_xlfn.XLOOKUP($D32,Tab_Def_Processes[Process_Name],Tab_Def_Processes[ID],,0,)</f>
        <v>15</v>
      </c>
      <c r="D32" s="155"/>
      <c r="E32" s="7">
        <f>_xlfn.XLOOKUP($D32,Tab_Def_Processes[Process_Name],Tab_Def_Processes[Process_Type],,0,)</f>
        <v>0</v>
      </c>
      <c r="F32" s="7">
        <f>_xlfn.XLOOKUP($D32,Tab_Def_Processes[Process_Name],Tab_Def_Processes[Process_Logic],,0,)</f>
        <v>0</v>
      </c>
      <c r="G32" s="7">
        <f>_xlfn.XLOOKUP($D32,Tab_Def_Processes[Process_Name],Tab_Def_Processes[TC?],,0,)</f>
        <v>0</v>
      </c>
      <c r="H32" s="7">
        <f>_xlfn.XLOOKUP($D32,Tab_Def_Processes[Process_Name],Tab_Def_Processes[TC_Type],,0,)</f>
        <v>0</v>
      </c>
      <c r="I32" s="7">
        <f>_xlfn.XLOOKUP($D32,Tab_Def_Processes[Process_Name],Tab_Def_Processes[Stock?],,0,)</f>
        <v>0</v>
      </c>
      <c r="J32" s="7">
        <f>_xlfn.XLOOKUP($D32,Tab_Def_Processes[Process_Name],Tab_Def_Processes[Initial_Stock?],,0,)</f>
        <v>0</v>
      </c>
      <c r="K32" s="7">
        <f>_xlfn.XLOOKUP($D32,Tab_Def_Processes[Process_Name],Tab_Def_Processes[DSM?],,0,)</f>
        <v>0</v>
      </c>
      <c r="L32" s="7">
        <f>_xlfn.XLOOKUP($D32,Tab_Def_Processes[Process_Name],Tab_Def_Processes[FOMP?],,0,)</f>
        <v>0</v>
      </c>
      <c r="M32" s="7">
        <f>_xlfn.XLOOKUP($D32,Tab_Def_Processes[Process_Name],Tab_Def_Processes[Nr. Outflows],,0,)</f>
        <v>0</v>
      </c>
      <c r="N32" s="155"/>
      <c r="O32" s="148" t="str">
        <f>_xlfn.XLOOKUP($N32,Tab_Def_Flows[Flow_Name],Tab_Def_Flows[Flow_ID],,0,)</f>
        <v>F_15_15</v>
      </c>
      <c r="P32" s="22" t="str">
        <f t="shared" si="6"/>
        <v>TC_material_15_15</v>
      </c>
      <c r="Q32" s="158"/>
      <c r="R32" s="22" t="str">
        <f t="shared" si="2"/>
        <v>TC_WC_15_15</v>
      </c>
      <c r="S32" s="158"/>
      <c r="T32" s="22" t="str">
        <f t="shared" si="3"/>
        <v>TC_DM_15_15</v>
      </c>
      <c r="V32" s="22" t="str">
        <f t="shared" si="4"/>
        <v>TC_CC_15_15</v>
      </c>
      <c r="X32" s="20"/>
      <c r="Y32" s="20"/>
      <c r="Z32" s="20"/>
      <c r="AA32" s="20"/>
      <c r="AB32" s="20"/>
    </row>
    <row r="33" spans="1:28" x14ac:dyDescent="0.25">
      <c r="A33" s="160" t="b">
        <v>0</v>
      </c>
      <c r="B33" s="7">
        <f t="shared" si="5"/>
        <v>32</v>
      </c>
      <c r="C33" s="27" t="str">
        <f>_xlfn.XLOOKUP($D33,Tab_Def_Processes[Process_Name],Tab_Def_Processes[ID],,0,)</f>
        <v>15</v>
      </c>
      <c r="D33" s="155"/>
      <c r="E33" s="7">
        <f>_xlfn.XLOOKUP($D33,Tab_Def_Processes[Process_Name],Tab_Def_Processes[Process_Type],,0,)</f>
        <v>0</v>
      </c>
      <c r="F33" s="7">
        <f>_xlfn.XLOOKUP($D33,Tab_Def_Processes[Process_Name],Tab_Def_Processes[Process_Logic],,0,)</f>
        <v>0</v>
      </c>
      <c r="G33" s="7">
        <f>_xlfn.XLOOKUP($D33,Tab_Def_Processes[Process_Name],Tab_Def_Processes[TC?],,0,)</f>
        <v>0</v>
      </c>
      <c r="H33" s="7">
        <f>_xlfn.XLOOKUP($D33,Tab_Def_Processes[Process_Name],Tab_Def_Processes[TC_Type],,0,)</f>
        <v>0</v>
      </c>
      <c r="I33" s="7">
        <f>_xlfn.XLOOKUP($D33,Tab_Def_Processes[Process_Name],Tab_Def_Processes[Stock?],,0,)</f>
        <v>0</v>
      </c>
      <c r="J33" s="7">
        <f>_xlfn.XLOOKUP($D33,Tab_Def_Processes[Process_Name],Tab_Def_Processes[Initial_Stock?],,0,)</f>
        <v>0</v>
      </c>
      <c r="K33" s="7">
        <f>_xlfn.XLOOKUP($D33,Tab_Def_Processes[Process_Name],Tab_Def_Processes[DSM?],,0,)</f>
        <v>0</v>
      </c>
      <c r="L33" s="7">
        <f>_xlfn.XLOOKUP($D33,Tab_Def_Processes[Process_Name],Tab_Def_Processes[FOMP?],,0,)</f>
        <v>0</v>
      </c>
      <c r="M33" s="7">
        <f>_xlfn.XLOOKUP($D33,Tab_Def_Processes[Process_Name],Tab_Def_Processes[Nr. Outflows],,0,)</f>
        <v>0</v>
      </c>
      <c r="N33" s="155"/>
      <c r="O33" s="148" t="str">
        <f>_xlfn.XLOOKUP($N33,Tab_Def_Flows[Flow_Name],Tab_Def_Flows[Flow_ID],,0,)</f>
        <v>F_15_15</v>
      </c>
      <c r="P33" s="22" t="str">
        <f t="shared" si="6"/>
        <v>TC_material_15_15</v>
      </c>
      <c r="Q33" s="158"/>
      <c r="R33" s="22" t="str">
        <f t="shared" si="2"/>
        <v>TC_WC_15_15</v>
      </c>
      <c r="S33" s="158"/>
      <c r="T33" s="22" t="str">
        <f t="shared" si="3"/>
        <v>TC_DM_15_15</v>
      </c>
      <c r="V33" s="22" t="str">
        <f t="shared" si="4"/>
        <v>TC_CC_15_15</v>
      </c>
      <c r="X33" s="20"/>
      <c r="Y33" s="20"/>
      <c r="Z33" s="20"/>
      <c r="AA33" s="20"/>
      <c r="AB33" s="20"/>
    </row>
    <row r="34" spans="1:28" x14ac:dyDescent="0.25">
      <c r="A34" s="160" t="b">
        <v>0</v>
      </c>
      <c r="B34" s="7">
        <f t="shared" si="5"/>
        <v>33</v>
      </c>
      <c r="C34" s="27" t="str">
        <f>_xlfn.XLOOKUP($D34,Tab_Def_Processes[Process_Name],Tab_Def_Processes[ID],,0,)</f>
        <v>15</v>
      </c>
      <c r="D34" s="155"/>
      <c r="E34" s="7">
        <f>_xlfn.XLOOKUP($D34,Tab_Def_Processes[Process_Name],Tab_Def_Processes[Process_Type],,0,)</f>
        <v>0</v>
      </c>
      <c r="F34" s="7">
        <f>_xlfn.XLOOKUP($D34,Tab_Def_Processes[Process_Name],Tab_Def_Processes[Process_Logic],,0,)</f>
        <v>0</v>
      </c>
      <c r="G34" s="7">
        <f>_xlfn.XLOOKUP($D34,Tab_Def_Processes[Process_Name],Tab_Def_Processes[TC?],,0,)</f>
        <v>0</v>
      </c>
      <c r="H34" s="7">
        <f>_xlfn.XLOOKUP($D34,Tab_Def_Processes[Process_Name],Tab_Def_Processes[TC_Type],,0,)</f>
        <v>0</v>
      </c>
      <c r="I34" s="7">
        <f>_xlfn.XLOOKUP($D34,Tab_Def_Processes[Process_Name],Tab_Def_Processes[Stock?],,0,)</f>
        <v>0</v>
      </c>
      <c r="J34" s="7">
        <f>_xlfn.XLOOKUP($D34,Tab_Def_Processes[Process_Name],Tab_Def_Processes[Initial_Stock?],,0,)</f>
        <v>0</v>
      </c>
      <c r="K34" s="7">
        <f>_xlfn.XLOOKUP($D34,Tab_Def_Processes[Process_Name],Tab_Def_Processes[DSM?],,0,)</f>
        <v>0</v>
      </c>
      <c r="L34" s="7">
        <f>_xlfn.XLOOKUP($D34,Tab_Def_Processes[Process_Name],Tab_Def_Processes[FOMP?],,0,)</f>
        <v>0</v>
      </c>
      <c r="M34" s="7">
        <f>_xlfn.XLOOKUP($D34,Tab_Def_Processes[Process_Name],Tab_Def_Processes[Nr. Outflows],,0,)</f>
        <v>0</v>
      </c>
      <c r="N34" s="155"/>
      <c r="O34" s="148" t="str">
        <f>_xlfn.XLOOKUP($N34,Tab_Def_Flows[Flow_Name],Tab_Def_Flows[Flow_ID],,0,)</f>
        <v>F_15_15</v>
      </c>
      <c r="P34" s="22" t="str">
        <f t="shared" si="6"/>
        <v>TC_material_15_15</v>
      </c>
      <c r="Q34" s="158"/>
      <c r="R34" s="22" t="str">
        <f t="shared" si="2"/>
        <v>TC_WC_15_15</v>
      </c>
      <c r="S34" s="158"/>
      <c r="T34" s="22" t="str">
        <f t="shared" si="3"/>
        <v>TC_DM_15_15</v>
      </c>
      <c r="V34" s="22" t="str">
        <f t="shared" si="4"/>
        <v>TC_CC_15_15</v>
      </c>
      <c r="X34" s="20"/>
      <c r="Y34" s="20"/>
      <c r="Z34" s="20"/>
      <c r="AA34" s="20"/>
      <c r="AB34" s="20"/>
    </row>
    <row r="35" spans="1:28" x14ac:dyDescent="0.25">
      <c r="A35" s="160" t="b">
        <v>0</v>
      </c>
      <c r="B35" s="7">
        <f t="shared" si="5"/>
        <v>34</v>
      </c>
      <c r="C35" s="27" t="str">
        <f>_xlfn.XLOOKUP($D35,Tab_Def_Processes[Process_Name],Tab_Def_Processes[ID],,0,)</f>
        <v>15</v>
      </c>
      <c r="D35" s="155"/>
      <c r="E35" s="7">
        <f>_xlfn.XLOOKUP($D35,Tab_Def_Processes[Process_Name],Tab_Def_Processes[Process_Type],,0,)</f>
        <v>0</v>
      </c>
      <c r="F35" s="7">
        <f>_xlfn.XLOOKUP($D35,Tab_Def_Processes[Process_Name],Tab_Def_Processes[Process_Logic],,0,)</f>
        <v>0</v>
      </c>
      <c r="G35" s="7">
        <f>_xlfn.XLOOKUP($D35,Tab_Def_Processes[Process_Name],Tab_Def_Processes[TC?],,0,)</f>
        <v>0</v>
      </c>
      <c r="H35" s="7">
        <f>_xlfn.XLOOKUP($D35,Tab_Def_Processes[Process_Name],Tab_Def_Processes[TC_Type],,0,)</f>
        <v>0</v>
      </c>
      <c r="I35" s="7">
        <f>_xlfn.XLOOKUP($D35,Tab_Def_Processes[Process_Name],Tab_Def_Processes[Stock?],,0,)</f>
        <v>0</v>
      </c>
      <c r="J35" s="7">
        <f>_xlfn.XLOOKUP($D35,Tab_Def_Processes[Process_Name],Tab_Def_Processes[Initial_Stock?],,0,)</f>
        <v>0</v>
      </c>
      <c r="K35" s="7">
        <f>_xlfn.XLOOKUP($D35,Tab_Def_Processes[Process_Name],Tab_Def_Processes[DSM?],,0,)</f>
        <v>0</v>
      </c>
      <c r="L35" s="7">
        <f>_xlfn.XLOOKUP($D35,Tab_Def_Processes[Process_Name],Tab_Def_Processes[FOMP?],,0,)</f>
        <v>0</v>
      </c>
      <c r="M35" s="7">
        <f>_xlfn.XLOOKUP($D35,Tab_Def_Processes[Process_Name],Tab_Def_Processes[Nr. Outflows],,0,)</f>
        <v>0</v>
      </c>
      <c r="N35" s="155"/>
      <c r="O35" s="148" t="str">
        <f>_xlfn.XLOOKUP($N35,Tab_Def_Flows[Flow_Name],Tab_Def_Flows[Flow_ID],,0,)</f>
        <v>F_15_15</v>
      </c>
      <c r="P35" s="22" t="str">
        <f t="shared" si="6"/>
        <v>TC_material_15_15</v>
      </c>
      <c r="Q35" s="158"/>
      <c r="R35" s="22" t="str">
        <f t="shared" si="2"/>
        <v>TC_WC_15_15</v>
      </c>
      <c r="S35" s="158"/>
      <c r="T35" s="22" t="str">
        <f t="shared" si="3"/>
        <v>TC_DM_15_15</v>
      </c>
      <c r="V35" s="22" t="str">
        <f t="shared" si="4"/>
        <v>TC_CC_15_15</v>
      </c>
      <c r="X35" s="20"/>
      <c r="Y35" s="20"/>
      <c r="Z35" s="20"/>
      <c r="AA35" s="20"/>
      <c r="AB35" s="20"/>
    </row>
    <row r="36" spans="1:28" x14ac:dyDescent="0.25">
      <c r="A36" s="160" t="b">
        <v>0</v>
      </c>
      <c r="B36" s="7">
        <f t="shared" si="5"/>
        <v>35</v>
      </c>
      <c r="C36" s="27" t="str">
        <f>_xlfn.XLOOKUP($D36,Tab_Def_Processes[Process_Name],Tab_Def_Processes[ID],,0,)</f>
        <v>15</v>
      </c>
      <c r="D36" s="155"/>
      <c r="E36" s="7">
        <f>_xlfn.XLOOKUP($D36,Tab_Def_Processes[Process_Name],Tab_Def_Processes[Process_Type],,0,)</f>
        <v>0</v>
      </c>
      <c r="F36" s="7">
        <f>_xlfn.XLOOKUP($D36,Tab_Def_Processes[Process_Name],Tab_Def_Processes[Process_Logic],,0,)</f>
        <v>0</v>
      </c>
      <c r="G36" s="7">
        <f>_xlfn.XLOOKUP($D36,Tab_Def_Processes[Process_Name],Tab_Def_Processes[TC?],,0,)</f>
        <v>0</v>
      </c>
      <c r="H36" s="7">
        <f>_xlfn.XLOOKUP($D36,Tab_Def_Processes[Process_Name],Tab_Def_Processes[TC_Type],,0,)</f>
        <v>0</v>
      </c>
      <c r="I36" s="7">
        <f>_xlfn.XLOOKUP($D36,Tab_Def_Processes[Process_Name],Tab_Def_Processes[Stock?],,0,)</f>
        <v>0</v>
      </c>
      <c r="J36" s="7">
        <f>_xlfn.XLOOKUP($D36,Tab_Def_Processes[Process_Name],Tab_Def_Processes[Initial_Stock?],,0,)</f>
        <v>0</v>
      </c>
      <c r="K36" s="7">
        <f>_xlfn.XLOOKUP($D36,Tab_Def_Processes[Process_Name],Tab_Def_Processes[DSM?],,0,)</f>
        <v>0</v>
      </c>
      <c r="L36" s="7">
        <f>_xlfn.XLOOKUP($D36,Tab_Def_Processes[Process_Name],Tab_Def_Processes[FOMP?],,0,)</f>
        <v>0</v>
      </c>
      <c r="M36" s="7">
        <f>_xlfn.XLOOKUP($D36,Tab_Def_Processes[Process_Name],Tab_Def_Processes[Nr. Outflows],,0,)</f>
        <v>0</v>
      </c>
      <c r="N36" s="155"/>
      <c r="O36" s="148" t="str">
        <f>_xlfn.XLOOKUP($N36,Tab_Def_Flows[Flow_Name],Tab_Def_Flows[Flow_ID],,0,)</f>
        <v>F_15_15</v>
      </c>
      <c r="P36" s="22" t="str">
        <f t="shared" si="6"/>
        <v>TC_material_15_15</v>
      </c>
      <c r="Q36" s="158"/>
      <c r="R36" s="22" t="str">
        <f t="shared" si="2"/>
        <v>TC_WC_15_15</v>
      </c>
      <c r="S36" s="158"/>
      <c r="T36" s="22" t="str">
        <f t="shared" si="3"/>
        <v>TC_DM_15_15</v>
      </c>
      <c r="V36" s="22" t="str">
        <f t="shared" si="4"/>
        <v>TC_CC_15_15</v>
      </c>
      <c r="X36" s="20"/>
      <c r="Y36" s="20"/>
      <c r="Z36" s="20"/>
      <c r="AA36" s="20"/>
      <c r="AB36" s="20"/>
    </row>
    <row r="37" spans="1:28" x14ac:dyDescent="0.25">
      <c r="A37" s="160" t="b">
        <v>0</v>
      </c>
      <c r="B37" s="7">
        <f t="shared" si="5"/>
        <v>36</v>
      </c>
      <c r="C37" s="27" t="str">
        <f>_xlfn.XLOOKUP($D37,Tab_Def_Processes[Process_Name],Tab_Def_Processes[ID],,0,)</f>
        <v>15</v>
      </c>
      <c r="D37" s="155"/>
      <c r="E37" s="7">
        <f>_xlfn.XLOOKUP($D37,Tab_Def_Processes[Process_Name],Tab_Def_Processes[Process_Type],,0,)</f>
        <v>0</v>
      </c>
      <c r="F37" s="7">
        <f>_xlfn.XLOOKUP($D37,Tab_Def_Processes[Process_Name],Tab_Def_Processes[Process_Logic],,0,)</f>
        <v>0</v>
      </c>
      <c r="G37" s="7">
        <f>_xlfn.XLOOKUP($D37,Tab_Def_Processes[Process_Name],Tab_Def_Processes[TC?],,0,)</f>
        <v>0</v>
      </c>
      <c r="H37" s="7">
        <f>_xlfn.XLOOKUP($D37,Tab_Def_Processes[Process_Name],Tab_Def_Processes[TC_Type],,0,)</f>
        <v>0</v>
      </c>
      <c r="I37" s="7">
        <f>_xlfn.XLOOKUP($D37,Tab_Def_Processes[Process_Name],Tab_Def_Processes[Stock?],,0,)</f>
        <v>0</v>
      </c>
      <c r="J37" s="7">
        <f>_xlfn.XLOOKUP($D37,Tab_Def_Processes[Process_Name],Tab_Def_Processes[Initial_Stock?],,0,)</f>
        <v>0</v>
      </c>
      <c r="K37" s="7">
        <f>_xlfn.XLOOKUP($D37,Tab_Def_Processes[Process_Name],Tab_Def_Processes[DSM?],,0,)</f>
        <v>0</v>
      </c>
      <c r="L37" s="7">
        <f>_xlfn.XLOOKUP($D37,Tab_Def_Processes[Process_Name],Tab_Def_Processes[FOMP?],,0,)</f>
        <v>0</v>
      </c>
      <c r="M37" s="7">
        <f>_xlfn.XLOOKUP($D37,Tab_Def_Processes[Process_Name],Tab_Def_Processes[Nr. Outflows],,0,)</f>
        <v>0</v>
      </c>
      <c r="N37" s="155"/>
      <c r="O37" s="148" t="str">
        <f>_xlfn.XLOOKUP($N37,Tab_Def_Flows[Flow_Name],Tab_Def_Flows[Flow_ID],,0,)</f>
        <v>F_15_15</v>
      </c>
      <c r="P37" s="22" t="str">
        <f t="shared" si="6"/>
        <v>TC_material_15_15</v>
      </c>
      <c r="Q37" s="158"/>
      <c r="R37" s="22" t="str">
        <f t="shared" si="2"/>
        <v>TC_WC_15_15</v>
      </c>
      <c r="S37" s="158"/>
      <c r="T37" s="22" t="str">
        <f t="shared" si="3"/>
        <v>TC_DM_15_15</v>
      </c>
      <c r="V37" s="22" t="str">
        <f t="shared" si="4"/>
        <v>TC_CC_15_15</v>
      </c>
      <c r="X37" s="20"/>
      <c r="Y37" s="20"/>
      <c r="Z37" s="20"/>
      <c r="AA37" s="20"/>
      <c r="AB37" s="20"/>
    </row>
    <row r="38" spans="1:28" x14ac:dyDescent="0.25">
      <c r="A38" s="160" t="b">
        <v>0</v>
      </c>
      <c r="B38" s="7">
        <f t="shared" si="5"/>
        <v>37</v>
      </c>
      <c r="C38" s="27" t="str">
        <f>_xlfn.XLOOKUP($D38,Tab_Def_Processes[Process_Name],Tab_Def_Processes[ID],,0,)</f>
        <v>15</v>
      </c>
      <c r="D38" s="155"/>
      <c r="E38" s="7">
        <f>_xlfn.XLOOKUP($D38,Tab_Def_Processes[Process_Name],Tab_Def_Processes[Process_Type],,0,)</f>
        <v>0</v>
      </c>
      <c r="F38" s="7">
        <f>_xlfn.XLOOKUP($D38,Tab_Def_Processes[Process_Name],Tab_Def_Processes[Process_Logic],,0,)</f>
        <v>0</v>
      </c>
      <c r="G38" s="7">
        <f>_xlfn.XLOOKUP($D38,Tab_Def_Processes[Process_Name],Tab_Def_Processes[TC?],,0,)</f>
        <v>0</v>
      </c>
      <c r="H38" s="7">
        <f>_xlfn.XLOOKUP($D38,Tab_Def_Processes[Process_Name],Tab_Def_Processes[TC_Type],,0,)</f>
        <v>0</v>
      </c>
      <c r="I38" s="7">
        <f>_xlfn.XLOOKUP($D38,Tab_Def_Processes[Process_Name],Tab_Def_Processes[Stock?],,0,)</f>
        <v>0</v>
      </c>
      <c r="J38" s="7">
        <f>_xlfn.XLOOKUP($D38,Tab_Def_Processes[Process_Name],Tab_Def_Processes[Initial_Stock?],,0,)</f>
        <v>0</v>
      </c>
      <c r="K38" s="7">
        <f>_xlfn.XLOOKUP($D38,Tab_Def_Processes[Process_Name],Tab_Def_Processes[DSM?],,0,)</f>
        <v>0</v>
      </c>
      <c r="L38" s="7">
        <f>_xlfn.XLOOKUP($D38,Tab_Def_Processes[Process_Name],Tab_Def_Processes[FOMP?],,0,)</f>
        <v>0</v>
      </c>
      <c r="M38" s="7">
        <f>_xlfn.XLOOKUP($D38,Tab_Def_Processes[Process_Name],Tab_Def_Processes[Nr. Outflows],,0,)</f>
        <v>0</v>
      </c>
      <c r="N38" s="155"/>
      <c r="O38" s="148" t="str">
        <f>_xlfn.XLOOKUP($N38,Tab_Def_Flows[Flow_Name],Tab_Def_Flows[Flow_ID],,0,)</f>
        <v>F_15_15</v>
      </c>
      <c r="P38" s="22" t="str">
        <f t="shared" si="6"/>
        <v>TC_material_15_15</v>
      </c>
      <c r="Q38" s="158"/>
      <c r="R38" s="22" t="str">
        <f t="shared" si="2"/>
        <v>TC_WC_15_15</v>
      </c>
      <c r="S38" s="158"/>
      <c r="T38" s="22" t="str">
        <f t="shared" si="3"/>
        <v>TC_DM_15_15</v>
      </c>
      <c r="V38" s="22" t="str">
        <f t="shared" si="4"/>
        <v>TC_CC_15_15</v>
      </c>
      <c r="X38" s="20"/>
      <c r="Y38" s="20"/>
      <c r="Z38" s="20"/>
      <c r="AA38" s="20"/>
      <c r="AB38" s="20"/>
    </row>
    <row r="39" spans="1:28" x14ac:dyDescent="0.25">
      <c r="A39" s="160" t="b">
        <v>0</v>
      </c>
      <c r="B39" s="7">
        <f t="shared" si="5"/>
        <v>38</v>
      </c>
      <c r="C39" s="27" t="str">
        <f>_xlfn.XLOOKUP($D39,Tab_Def_Processes[Process_Name],Tab_Def_Processes[ID],,0,)</f>
        <v>15</v>
      </c>
      <c r="D39" s="155"/>
      <c r="E39" s="7">
        <f>_xlfn.XLOOKUP($D39,Tab_Def_Processes[Process_Name],Tab_Def_Processes[Process_Type],,0,)</f>
        <v>0</v>
      </c>
      <c r="F39" s="7">
        <f>_xlfn.XLOOKUP($D39,Tab_Def_Processes[Process_Name],Tab_Def_Processes[Process_Logic],,0,)</f>
        <v>0</v>
      </c>
      <c r="G39" s="7">
        <f>_xlfn.XLOOKUP($D39,Tab_Def_Processes[Process_Name],Tab_Def_Processes[TC?],,0,)</f>
        <v>0</v>
      </c>
      <c r="H39" s="7">
        <f>_xlfn.XLOOKUP($D39,Tab_Def_Processes[Process_Name],Tab_Def_Processes[TC_Type],,0,)</f>
        <v>0</v>
      </c>
      <c r="I39" s="7">
        <f>_xlfn.XLOOKUP($D39,Tab_Def_Processes[Process_Name],Tab_Def_Processes[Stock?],,0,)</f>
        <v>0</v>
      </c>
      <c r="J39" s="7">
        <f>_xlfn.XLOOKUP($D39,Tab_Def_Processes[Process_Name],Tab_Def_Processes[Initial_Stock?],,0,)</f>
        <v>0</v>
      </c>
      <c r="K39" s="7">
        <f>_xlfn.XLOOKUP($D39,Tab_Def_Processes[Process_Name],Tab_Def_Processes[DSM?],,0,)</f>
        <v>0</v>
      </c>
      <c r="L39" s="7">
        <f>_xlfn.XLOOKUP($D39,Tab_Def_Processes[Process_Name],Tab_Def_Processes[FOMP?],,0,)</f>
        <v>0</v>
      </c>
      <c r="M39" s="7">
        <f>_xlfn.XLOOKUP($D39,Tab_Def_Processes[Process_Name],Tab_Def_Processes[Nr. Outflows],,0,)</f>
        <v>0</v>
      </c>
      <c r="N39" s="155"/>
      <c r="O39" s="148" t="str">
        <f>_xlfn.XLOOKUP($N39,Tab_Def_Flows[Flow_Name],Tab_Def_Flows[Flow_ID],,0,)</f>
        <v>F_15_15</v>
      </c>
      <c r="P39" s="22" t="str">
        <f t="shared" si="6"/>
        <v>TC_material_15_15</v>
      </c>
      <c r="Q39" s="158"/>
      <c r="R39" s="22" t="str">
        <f t="shared" si="2"/>
        <v>TC_WC_15_15</v>
      </c>
      <c r="S39" s="158"/>
      <c r="T39" s="22" t="str">
        <f t="shared" si="3"/>
        <v>TC_DM_15_15</v>
      </c>
      <c r="V39" s="22" t="str">
        <f t="shared" si="4"/>
        <v>TC_CC_15_15</v>
      </c>
      <c r="X39" s="20"/>
      <c r="Y39" s="20"/>
      <c r="Z39" s="20"/>
      <c r="AA39" s="20"/>
      <c r="AB39" s="20"/>
    </row>
    <row r="40" spans="1:28" x14ac:dyDescent="0.25">
      <c r="A40" s="160" t="b">
        <v>0</v>
      </c>
      <c r="B40" s="7">
        <f t="shared" si="5"/>
        <v>39</v>
      </c>
      <c r="C40" s="27" t="str">
        <f>_xlfn.XLOOKUP($D40,Tab_Def_Processes[Process_Name],Tab_Def_Processes[ID],,0,)</f>
        <v>15</v>
      </c>
      <c r="D40" s="155"/>
      <c r="E40" s="7">
        <f>_xlfn.XLOOKUP($D40,Tab_Def_Processes[Process_Name],Tab_Def_Processes[Process_Type],,0,)</f>
        <v>0</v>
      </c>
      <c r="F40" s="7">
        <f>_xlfn.XLOOKUP($D40,Tab_Def_Processes[Process_Name],Tab_Def_Processes[Process_Logic],,0,)</f>
        <v>0</v>
      </c>
      <c r="G40" s="7">
        <f>_xlfn.XLOOKUP($D40,Tab_Def_Processes[Process_Name],Tab_Def_Processes[TC?],,0,)</f>
        <v>0</v>
      </c>
      <c r="H40" s="7">
        <f>_xlfn.XLOOKUP($D40,Tab_Def_Processes[Process_Name],Tab_Def_Processes[TC_Type],,0,)</f>
        <v>0</v>
      </c>
      <c r="I40" s="7">
        <f>_xlfn.XLOOKUP($D40,Tab_Def_Processes[Process_Name],Tab_Def_Processes[Stock?],,0,)</f>
        <v>0</v>
      </c>
      <c r="J40" s="7">
        <f>_xlfn.XLOOKUP($D40,Tab_Def_Processes[Process_Name],Tab_Def_Processes[Initial_Stock?],,0,)</f>
        <v>0</v>
      </c>
      <c r="K40" s="7">
        <f>_xlfn.XLOOKUP($D40,Tab_Def_Processes[Process_Name],Tab_Def_Processes[DSM?],,0,)</f>
        <v>0</v>
      </c>
      <c r="L40" s="7">
        <f>_xlfn.XLOOKUP($D40,Tab_Def_Processes[Process_Name],Tab_Def_Processes[FOMP?],,0,)</f>
        <v>0</v>
      </c>
      <c r="M40" s="7">
        <f>_xlfn.XLOOKUP($D40,Tab_Def_Processes[Process_Name],Tab_Def_Processes[Nr. Outflows],,0,)</f>
        <v>0</v>
      </c>
      <c r="N40" s="155"/>
      <c r="O40" s="148" t="str">
        <f>_xlfn.XLOOKUP($N40,Tab_Def_Flows[Flow_Name],Tab_Def_Flows[Flow_ID],,0,)</f>
        <v>F_15_15</v>
      </c>
      <c r="P40" s="22" t="str">
        <f t="shared" si="6"/>
        <v>TC_material_15_15</v>
      </c>
      <c r="Q40" s="158"/>
      <c r="R40" s="22" t="str">
        <f t="shared" si="2"/>
        <v>TC_WC_15_15</v>
      </c>
      <c r="S40" s="158"/>
      <c r="T40" s="22" t="str">
        <f t="shared" si="3"/>
        <v>TC_DM_15_15</v>
      </c>
      <c r="V40" s="22" t="str">
        <f t="shared" si="4"/>
        <v>TC_CC_15_15</v>
      </c>
      <c r="X40" s="20"/>
      <c r="Y40" s="20"/>
      <c r="Z40" s="20"/>
      <c r="AA40" s="20"/>
      <c r="AB40" s="20"/>
    </row>
    <row r="41" spans="1:28" x14ac:dyDescent="0.25">
      <c r="A41" s="160" t="b">
        <v>0</v>
      </c>
      <c r="B41" s="7">
        <f t="shared" si="5"/>
        <v>40</v>
      </c>
      <c r="C41" s="27" t="str">
        <f>_xlfn.XLOOKUP($D41,Tab_Def_Processes[Process_Name],Tab_Def_Processes[ID],,0,)</f>
        <v>15</v>
      </c>
      <c r="D41" s="155"/>
      <c r="E41" s="7">
        <f>_xlfn.XLOOKUP($D41,Tab_Def_Processes[Process_Name],Tab_Def_Processes[Process_Type],,0,)</f>
        <v>0</v>
      </c>
      <c r="F41" s="7">
        <f>_xlfn.XLOOKUP($D41,Tab_Def_Processes[Process_Name],Tab_Def_Processes[Process_Logic],,0,)</f>
        <v>0</v>
      </c>
      <c r="G41" s="7">
        <f>_xlfn.XLOOKUP($D41,Tab_Def_Processes[Process_Name],Tab_Def_Processes[TC?],,0,)</f>
        <v>0</v>
      </c>
      <c r="H41" s="7">
        <f>_xlfn.XLOOKUP($D41,Tab_Def_Processes[Process_Name],Tab_Def_Processes[TC_Type],,0,)</f>
        <v>0</v>
      </c>
      <c r="I41" s="7">
        <f>_xlfn.XLOOKUP($D41,Tab_Def_Processes[Process_Name],Tab_Def_Processes[Stock?],,0,)</f>
        <v>0</v>
      </c>
      <c r="J41" s="7">
        <f>_xlfn.XLOOKUP($D41,Tab_Def_Processes[Process_Name],Tab_Def_Processes[Initial_Stock?],,0,)</f>
        <v>0</v>
      </c>
      <c r="K41" s="7">
        <f>_xlfn.XLOOKUP($D41,Tab_Def_Processes[Process_Name],Tab_Def_Processes[DSM?],,0,)</f>
        <v>0</v>
      </c>
      <c r="L41" s="7">
        <f>_xlfn.XLOOKUP($D41,Tab_Def_Processes[Process_Name],Tab_Def_Processes[FOMP?],,0,)</f>
        <v>0</v>
      </c>
      <c r="M41" s="7">
        <f>_xlfn.XLOOKUP($D41,Tab_Def_Processes[Process_Name],Tab_Def_Processes[Nr. Outflows],,0,)</f>
        <v>0</v>
      </c>
      <c r="N41" s="155"/>
      <c r="O41" s="148" t="str">
        <f>_xlfn.XLOOKUP($N41,Tab_Def_Flows[Flow_Name],Tab_Def_Flows[Flow_ID],,0,)</f>
        <v>F_15_15</v>
      </c>
      <c r="P41" s="22" t="str">
        <f t="shared" si="6"/>
        <v>TC_material_15_15</v>
      </c>
      <c r="Q41" s="158"/>
      <c r="R41" s="22" t="str">
        <f t="shared" si="2"/>
        <v>TC_WC_15_15</v>
      </c>
      <c r="S41" s="158"/>
      <c r="T41" s="22" t="str">
        <f t="shared" si="3"/>
        <v>TC_DM_15_15</v>
      </c>
      <c r="V41" s="22" t="str">
        <f t="shared" si="4"/>
        <v>TC_CC_15_15</v>
      </c>
      <c r="X41" s="20"/>
      <c r="Y41" s="20"/>
      <c r="Z41" s="20"/>
      <c r="AA41" s="20"/>
      <c r="AB41" s="20"/>
    </row>
    <row r="42" spans="1:28" x14ac:dyDescent="0.25">
      <c r="A42" s="160" t="b">
        <v>0</v>
      </c>
      <c r="B42" s="7">
        <f t="shared" si="5"/>
        <v>41</v>
      </c>
      <c r="C42" s="27" t="str">
        <f>_xlfn.XLOOKUP($D42,Tab_Def_Processes[Process_Name],Tab_Def_Processes[ID],,0,)</f>
        <v>15</v>
      </c>
      <c r="D42" s="155"/>
      <c r="E42" s="7">
        <f>_xlfn.XLOOKUP($D42,Tab_Def_Processes[Process_Name],Tab_Def_Processes[Process_Type],,0,)</f>
        <v>0</v>
      </c>
      <c r="F42" s="7">
        <f>_xlfn.XLOOKUP($D42,Tab_Def_Processes[Process_Name],Tab_Def_Processes[Process_Logic],,0,)</f>
        <v>0</v>
      </c>
      <c r="G42" s="7">
        <f>_xlfn.XLOOKUP($D42,Tab_Def_Processes[Process_Name],Tab_Def_Processes[TC?],,0,)</f>
        <v>0</v>
      </c>
      <c r="H42" s="7">
        <f>_xlfn.XLOOKUP($D42,Tab_Def_Processes[Process_Name],Tab_Def_Processes[TC_Type],,0,)</f>
        <v>0</v>
      </c>
      <c r="I42" s="7">
        <f>_xlfn.XLOOKUP($D42,Tab_Def_Processes[Process_Name],Tab_Def_Processes[Stock?],,0,)</f>
        <v>0</v>
      </c>
      <c r="J42" s="7">
        <f>_xlfn.XLOOKUP($D42,Tab_Def_Processes[Process_Name],Tab_Def_Processes[Initial_Stock?],,0,)</f>
        <v>0</v>
      </c>
      <c r="K42" s="7">
        <f>_xlfn.XLOOKUP($D42,Tab_Def_Processes[Process_Name],Tab_Def_Processes[DSM?],,0,)</f>
        <v>0</v>
      </c>
      <c r="L42" s="7">
        <f>_xlfn.XLOOKUP($D42,Tab_Def_Processes[Process_Name],Tab_Def_Processes[FOMP?],,0,)</f>
        <v>0</v>
      </c>
      <c r="M42" s="7">
        <f>_xlfn.XLOOKUP($D42,Tab_Def_Processes[Process_Name],Tab_Def_Processes[Nr. Outflows],,0,)</f>
        <v>0</v>
      </c>
      <c r="N42" s="155"/>
      <c r="O42" s="148" t="str">
        <f>_xlfn.XLOOKUP($N42,Tab_Def_Flows[Flow_Name],Tab_Def_Flows[Flow_ID],,0,)</f>
        <v>F_15_15</v>
      </c>
      <c r="P42" s="22" t="str">
        <f t="shared" si="6"/>
        <v>TC_material_15_15</v>
      </c>
      <c r="Q42" s="158"/>
      <c r="R42" s="22" t="str">
        <f t="shared" si="2"/>
        <v>TC_WC_15_15</v>
      </c>
      <c r="S42" s="158"/>
      <c r="T42" s="22" t="str">
        <f t="shared" si="3"/>
        <v>TC_DM_15_15</v>
      </c>
      <c r="V42" s="22" t="str">
        <f t="shared" si="4"/>
        <v>TC_CC_15_15</v>
      </c>
      <c r="X42" s="20"/>
      <c r="Y42" s="20"/>
      <c r="Z42" s="20"/>
      <c r="AA42" s="20"/>
      <c r="AB42" s="20"/>
    </row>
    <row r="43" spans="1:28" x14ac:dyDescent="0.25">
      <c r="A43" s="160" t="b">
        <v>0</v>
      </c>
      <c r="B43" s="7">
        <f t="shared" si="5"/>
        <v>42</v>
      </c>
      <c r="C43" s="27" t="str">
        <f>_xlfn.XLOOKUP($D43,Tab_Def_Processes[Process_Name],Tab_Def_Processes[ID],,0,)</f>
        <v>15</v>
      </c>
      <c r="D43" s="155"/>
      <c r="E43" s="7">
        <f>_xlfn.XLOOKUP($D43,Tab_Def_Processes[Process_Name],Tab_Def_Processes[Process_Type],,0,)</f>
        <v>0</v>
      </c>
      <c r="F43" s="7">
        <f>_xlfn.XLOOKUP($D43,Tab_Def_Processes[Process_Name],Tab_Def_Processes[Process_Logic],,0,)</f>
        <v>0</v>
      </c>
      <c r="G43" s="7">
        <f>_xlfn.XLOOKUP($D43,Tab_Def_Processes[Process_Name],Tab_Def_Processes[TC?],,0,)</f>
        <v>0</v>
      </c>
      <c r="H43" s="7">
        <f>_xlfn.XLOOKUP($D43,Tab_Def_Processes[Process_Name],Tab_Def_Processes[TC_Type],,0,)</f>
        <v>0</v>
      </c>
      <c r="I43" s="7">
        <f>_xlfn.XLOOKUP($D43,Tab_Def_Processes[Process_Name],Tab_Def_Processes[Stock?],,0,)</f>
        <v>0</v>
      </c>
      <c r="J43" s="7">
        <f>_xlfn.XLOOKUP($D43,Tab_Def_Processes[Process_Name],Tab_Def_Processes[Initial_Stock?],,0,)</f>
        <v>0</v>
      </c>
      <c r="K43" s="7">
        <f>_xlfn.XLOOKUP($D43,Tab_Def_Processes[Process_Name],Tab_Def_Processes[DSM?],,0,)</f>
        <v>0</v>
      </c>
      <c r="L43" s="7">
        <f>_xlfn.XLOOKUP($D43,Tab_Def_Processes[Process_Name],Tab_Def_Processes[FOMP?],,0,)</f>
        <v>0</v>
      </c>
      <c r="M43" s="7">
        <f>_xlfn.XLOOKUP($D43,Tab_Def_Processes[Process_Name],Tab_Def_Processes[Nr. Outflows],,0,)</f>
        <v>0</v>
      </c>
      <c r="N43" s="155"/>
      <c r="O43" s="148" t="str">
        <f>_xlfn.XLOOKUP($N43,Tab_Def_Flows[Flow_Name],Tab_Def_Flows[Flow_ID],,0,)</f>
        <v>F_15_15</v>
      </c>
      <c r="P43" s="22" t="str">
        <f t="shared" si="6"/>
        <v>TC_material_15_15</v>
      </c>
      <c r="Q43" s="158"/>
      <c r="R43" s="22" t="str">
        <f t="shared" si="2"/>
        <v>TC_WC_15_15</v>
      </c>
      <c r="S43" s="158"/>
      <c r="T43" s="22" t="str">
        <f t="shared" si="3"/>
        <v>TC_DM_15_15</v>
      </c>
      <c r="V43" s="22" t="str">
        <f t="shared" si="4"/>
        <v>TC_CC_15_15</v>
      </c>
      <c r="X43" s="20"/>
      <c r="Y43" s="20"/>
      <c r="Z43" s="20"/>
      <c r="AA43" s="20"/>
      <c r="AB43" s="20"/>
    </row>
    <row r="44" spans="1:28" x14ac:dyDescent="0.25">
      <c r="A44" s="160" t="b">
        <v>0</v>
      </c>
      <c r="B44" s="7">
        <f t="shared" si="5"/>
        <v>43</v>
      </c>
      <c r="C44" s="27" t="str">
        <f>_xlfn.XLOOKUP($D44,Tab_Def_Processes[Process_Name],Tab_Def_Processes[ID],,0,)</f>
        <v>15</v>
      </c>
      <c r="D44" s="155"/>
      <c r="E44" s="7">
        <f>_xlfn.XLOOKUP($D44,Tab_Def_Processes[Process_Name],Tab_Def_Processes[Process_Type],,0,)</f>
        <v>0</v>
      </c>
      <c r="F44" s="7">
        <f>_xlfn.XLOOKUP($D44,Tab_Def_Processes[Process_Name],Tab_Def_Processes[Process_Logic],,0,)</f>
        <v>0</v>
      </c>
      <c r="G44" s="7">
        <f>_xlfn.XLOOKUP($D44,Tab_Def_Processes[Process_Name],Tab_Def_Processes[TC?],,0,)</f>
        <v>0</v>
      </c>
      <c r="H44" s="7">
        <f>_xlfn.XLOOKUP($D44,Tab_Def_Processes[Process_Name],Tab_Def_Processes[TC_Type],,0,)</f>
        <v>0</v>
      </c>
      <c r="I44" s="7">
        <f>_xlfn.XLOOKUP($D44,Tab_Def_Processes[Process_Name],Tab_Def_Processes[Stock?],,0,)</f>
        <v>0</v>
      </c>
      <c r="J44" s="7">
        <f>_xlfn.XLOOKUP($D44,Tab_Def_Processes[Process_Name],Tab_Def_Processes[Initial_Stock?],,0,)</f>
        <v>0</v>
      </c>
      <c r="K44" s="7">
        <f>_xlfn.XLOOKUP($D44,Tab_Def_Processes[Process_Name],Tab_Def_Processes[DSM?],,0,)</f>
        <v>0</v>
      </c>
      <c r="L44" s="7">
        <f>_xlfn.XLOOKUP($D44,Tab_Def_Processes[Process_Name],Tab_Def_Processes[FOMP?],,0,)</f>
        <v>0</v>
      </c>
      <c r="M44" s="7">
        <f>_xlfn.XLOOKUP($D44,Tab_Def_Processes[Process_Name],Tab_Def_Processes[Nr. Outflows],,0,)</f>
        <v>0</v>
      </c>
      <c r="N44" s="155"/>
      <c r="O44" s="148" t="str">
        <f>_xlfn.XLOOKUP($N44,Tab_Def_Flows[Flow_Name],Tab_Def_Flows[Flow_ID],,0,)</f>
        <v>F_15_15</v>
      </c>
      <c r="P44" s="22" t="str">
        <f t="shared" si="6"/>
        <v>TC_material_15_15</v>
      </c>
      <c r="Q44" s="158"/>
      <c r="R44" s="22" t="str">
        <f t="shared" si="2"/>
        <v>TC_WC_15_15</v>
      </c>
      <c r="S44" s="158"/>
      <c r="T44" s="22" t="str">
        <f t="shared" si="3"/>
        <v>TC_DM_15_15</v>
      </c>
      <c r="V44" s="22" t="str">
        <f t="shared" si="4"/>
        <v>TC_CC_15_15</v>
      </c>
      <c r="X44" s="20"/>
      <c r="Y44" s="20"/>
      <c r="Z44" s="20"/>
      <c r="AA44" s="20"/>
      <c r="AB44" s="20"/>
    </row>
    <row r="45" spans="1:28" x14ac:dyDescent="0.25">
      <c r="A45" s="160" t="b">
        <v>0</v>
      </c>
      <c r="B45" s="7">
        <f t="shared" si="5"/>
        <v>44</v>
      </c>
      <c r="C45" s="27" t="str">
        <f>_xlfn.XLOOKUP($D45,Tab_Def_Processes[Process_Name],Tab_Def_Processes[ID],,0,)</f>
        <v>15</v>
      </c>
      <c r="D45" s="155"/>
      <c r="E45" s="7">
        <f>_xlfn.XLOOKUP($D45,Tab_Def_Processes[Process_Name],Tab_Def_Processes[Process_Type],,0,)</f>
        <v>0</v>
      </c>
      <c r="F45" s="7">
        <f>_xlfn.XLOOKUP($D45,Tab_Def_Processes[Process_Name],Tab_Def_Processes[Process_Logic],,0,)</f>
        <v>0</v>
      </c>
      <c r="G45" s="7">
        <f>_xlfn.XLOOKUP($D45,Tab_Def_Processes[Process_Name],Tab_Def_Processes[TC?],,0,)</f>
        <v>0</v>
      </c>
      <c r="H45" s="7">
        <f>_xlfn.XLOOKUP($D45,Tab_Def_Processes[Process_Name],Tab_Def_Processes[TC_Type],,0,)</f>
        <v>0</v>
      </c>
      <c r="I45" s="7">
        <f>_xlfn.XLOOKUP($D45,Tab_Def_Processes[Process_Name],Tab_Def_Processes[Stock?],,0,)</f>
        <v>0</v>
      </c>
      <c r="J45" s="7">
        <f>_xlfn.XLOOKUP($D45,Tab_Def_Processes[Process_Name],Tab_Def_Processes[Initial_Stock?],,0,)</f>
        <v>0</v>
      </c>
      <c r="K45" s="7">
        <f>_xlfn.XLOOKUP($D45,Tab_Def_Processes[Process_Name],Tab_Def_Processes[DSM?],,0,)</f>
        <v>0</v>
      </c>
      <c r="L45" s="7">
        <f>_xlfn.XLOOKUP($D45,Tab_Def_Processes[Process_Name],Tab_Def_Processes[FOMP?],,0,)</f>
        <v>0</v>
      </c>
      <c r="M45" s="7">
        <f>_xlfn.XLOOKUP($D45,Tab_Def_Processes[Process_Name],Tab_Def_Processes[Nr. Outflows],,0,)</f>
        <v>0</v>
      </c>
      <c r="N45" s="155"/>
      <c r="O45" s="148" t="str">
        <f>_xlfn.XLOOKUP($N45,Tab_Def_Flows[Flow_Name],Tab_Def_Flows[Flow_ID],,0,)</f>
        <v>F_15_15</v>
      </c>
      <c r="P45" s="22" t="str">
        <f t="shared" si="6"/>
        <v>TC_material_15_15</v>
      </c>
      <c r="Q45" s="158"/>
      <c r="R45" s="22" t="str">
        <f t="shared" si="2"/>
        <v>TC_WC_15_15</v>
      </c>
      <c r="S45" s="158"/>
      <c r="T45" s="22" t="str">
        <f t="shared" si="3"/>
        <v>TC_DM_15_15</v>
      </c>
      <c r="V45" s="22" t="str">
        <f t="shared" si="4"/>
        <v>TC_CC_15_15</v>
      </c>
      <c r="X45" s="20"/>
      <c r="Y45" s="20"/>
      <c r="Z45" s="20"/>
      <c r="AA45" s="20"/>
      <c r="AB45" s="20"/>
    </row>
    <row r="46" spans="1:28" x14ac:dyDescent="0.25">
      <c r="A46" s="160" t="b">
        <v>0</v>
      </c>
      <c r="B46" s="7">
        <f t="shared" si="5"/>
        <v>45</v>
      </c>
      <c r="C46" s="27" t="str">
        <f>_xlfn.XLOOKUP($D46,Tab_Def_Processes[Process_Name],Tab_Def_Processes[ID],,0,)</f>
        <v>15</v>
      </c>
      <c r="D46" s="155"/>
      <c r="E46" s="7">
        <f>_xlfn.XLOOKUP($D46,Tab_Def_Processes[Process_Name],Tab_Def_Processes[Process_Type],,0,)</f>
        <v>0</v>
      </c>
      <c r="F46" s="7">
        <f>_xlfn.XLOOKUP($D46,Tab_Def_Processes[Process_Name],Tab_Def_Processes[Process_Logic],,0,)</f>
        <v>0</v>
      </c>
      <c r="G46" s="7">
        <f>_xlfn.XLOOKUP($D46,Tab_Def_Processes[Process_Name],Tab_Def_Processes[TC?],,0,)</f>
        <v>0</v>
      </c>
      <c r="H46" s="7">
        <f>_xlfn.XLOOKUP($D46,Tab_Def_Processes[Process_Name],Tab_Def_Processes[TC_Type],,0,)</f>
        <v>0</v>
      </c>
      <c r="I46" s="7">
        <f>_xlfn.XLOOKUP($D46,Tab_Def_Processes[Process_Name],Tab_Def_Processes[Stock?],,0,)</f>
        <v>0</v>
      </c>
      <c r="J46" s="7">
        <f>_xlfn.XLOOKUP($D46,Tab_Def_Processes[Process_Name],Tab_Def_Processes[Initial_Stock?],,0,)</f>
        <v>0</v>
      </c>
      <c r="K46" s="7">
        <f>_xlfn.XLOOKUP($D46,Tab_Def_Processes[Process_Name],Tab_Def_Processes[DSM?],,0,)</f>
        <v>0</v>
      </c>
      <c r="L46" s="7">
        <f>_xlfn.XLOOKUP($D46,Tab_Def_Processes[Process_Name],Tab_Def_Processes[FOMP?],,0,)</f>
        <v>0</v>
      </c>
      <c r="M46" s="7">
        <f>_xlfn.XLOOKUP($D46,Tab_Def_Processes[Process_Name],Tab_Def_Processes[Nr. Outflows],,0,)</f>
        <v>0</v>
      </c>
      <c r="N46" s="155"/>
      <c r="O46" s="148" t="str">
        <f>_xlfn.XLOOKUP($N46,Tab_Def_Flows[Flow_Name],Tab_Def_Flows[Flow_ID],,0,)</f>
        <v>F_15_15</v>
      </c>
      <c r="P46" s="22" t="str">
        <f t="shared" si="6"/>
        <v>TC_material_15_15</v>
      </c>
      <c r="Q46" s="158"/>
      <c r="R46" s="22" t="str">
        <f t="shared" si="2"/>
        <v>TC_WC_15_15</v>
      </c>
      <c r="S46" s="158"/>
      <c r="T46" s="22" t="str">
        <f t="shared" si="3"/>
        <v>TC_DM_15_15</v>
      </c>
      <c r="V46" s="22" t="str">
        <f t="shared" si="4"/>
        <v>TC_CC_15_15</v>
      </c>
      <c r="X46" s="20"/>
      <c r="Y46" s="20"/>
      <c r="Z46" s="20"/>
      <c r="AA46" s="20"/>
      <c r="AB46" s="20"/>
    </row>
    <row r="47" spans="1:28" x14ac:dyDescent="0.25">
      <c r="A47" s="160" t="b">
        <v>0</v>
      </c>
      <c r="B47" s="7">
        <f t="shared" si="5"/>
        <v>46</v>
      </c>
      <c r="C47" s="27" t="str">
        <f>_xlfn.XLOOKUP($D47,Tab_Def_Processes[Process_Name],Tab_Def_Processes[ID],,0,)</f>
        <v>15</v>
      </c>
      <c r="D47" s="155"/>
      <c r="E47" s="7">
        <f>_xlfn.XLOOKUP($D47,Tab_Def_Processes[Process_Name],Tab_Def_Processes[Process_Type],,0,)</f>
        <v>0</v>
      </c>
      <c r="F47" s="7">
        <f>_xlfn.XLOOKUP($D47,Tab_Def_Processes[Process_Name],Tab_Def_Processes[Process_Logic],,0,)</f>
        <v>0</v>
      </c>
      <c r="G47" s="7">
        <f>_xlfn.XLOOKUP($D47,Tab_Def_Processes[Process_Name],Tab_Def_Processes[TC?],,0,)</f>
        <v>0</v>
      </c>
      <c r="H47" s="7">
        <f>_xlfn.XLOOKUP($D47,Tab_Def_Processes[Process_Name],Tab_Def_Processes[TC_Type],,0,)</f>
        <v>0</v>
      </c>
      <c r="I47" s="7">
        <f>_xlfn.XLOOKUP($D47,Tab_Def_Processes[Process_Name],Tab_Def_Processes[Stock?],,0,)</f>
        <v>0</v>
      </c>
      <c r="J47" s="7">
        <f>_xlfn.XLOOKUP($D47,Tab_Def_Processes[Process_Name],Tab_Def_Processes[Initial_Stock?],,0,)</f>
        <v>0</v>
      </c>
      <c r="K47" s="7">
        <f>_xlfn.XLOOKUP($D47,Tab_Def_Processes[Process_Name],Tab_Def_Processes[DSM?],,0,)</f>
        <v>0</v>
      </c>
      <c r="L47" s="7">
        <f>_xlfn.XLOOKUP($D47,Tab_Def_Processes[Process_Name],Tab_Def_Processes[FOMP?],,0,)</f>
        <v>0</v>
      </c>
      <c r="M47" s="7">
        <f>_xlfn.XLOOKUP($D47,Tab_Def_Processes[Process_Name],Tab_Def_Processes[Nr. Outflows],,0,)</f>
        <v>0</v>
      </c>
      <c r="N47" s="155"/>
      <c r="O47" s="148" t="str">
        <f>_xlfn.XLOOKUP($N47,Tab_Def_Flows[Flow_Name],Tab_Def_Flows[Flow_ID],,0,)</f>
        <v>F_15_15</v>
      </c>
      <c r="P47" s="22" t="str">
        <f t="shared" si="6"/>
        <v>TC_material_15_15</v>
      </c>
      <c r="Q47" s="158"/>
      <c r="R47" s="22" t="str">
        <f t="shared" si="2"/>
        <v>TC_WC_15_15</v>
      </c>
      <c r="S47" s="158"/>
      <c r="T47" s="22" t="str">
        <f t="shared" si="3"/>
        <v>TC_DM_15_15</v>
      </c>
      <c r="V47" s="22" t="str">
        <f t="shared" si="4"/>
        <v>TC_CC_15_15</v>
      </c>
      <c r="X47" s="20"/>
      <c r="Y47" s="20"/>
      <c r="Z47" s="20"/>
      <c r="AA47" s="20"/>
      <c r="AB47" s="20"/>
    </row>
    <row r="48" spans="1:28" x14ac:dyDescent="0.25">
      <c r="A48" s="160" t="b">
        <v>0</v>
      </c>
      <c r="B48" s="7">
        <f t="shared" si="5"/>
        <v>47</v>
      </c>
      <c r="C48" s="27" t="str">
        <f>_xlfn.XLOOKUP($D48,Tab_Def_Processes[Process_Name],Tab_Def_Processes[ID],,0,)</f>
        <v>15</v>
      </c>
      <c r="D48" s="155"/>
      <c r="E48" s="7">
        <f>_xlfn.XLOOKUP($D48,Tab_Def_Processes[Process_Name],Tab_Def_Processes[Process_Type],,0,)</f>
        <v>0</v>
      </c>
      <c r="F48" s="7">
        <f>_xlfn.XLOOKUP($D48,Tab_Def_Processes[Process_Name],Tab_Def_Processes[Process_Logic],,0,)</f>
        <v>0</v>
      </c>
      <c r="G48" s="7">
        <f>_xlfn.XLOOKUP($D48,Tab_Def_Processes[Process_Name],Tab_Def_Processes[TC?],,0,)</f>
        <v>0</v>
      </c>
      <c r="H48" s="7">
        <f>_xlfn.XLOOKUP($D48,Tab_Def_Processes[Process_Name],Tab_Def_Processes[TC_Type],,0,)</f>
        <v>0</v>
      </c>
      <c r="I48" s="7">
        <f>_xlfn.XLOOKUP($D48,Tab_Def_Processes[Process_Name],Tab_Def_Processes[Stock?],,0,)</f>
        <v>0</v>
      </c>
      <c r="J48" s="7">
        <f>_xlfn.XLOOKUP($D48,Tab_Def_Processes[Process_Name],Tab_Def_Processes[Initial_Stock?],,0,)</f>
        <v>0</v>
      </c>
      <c r="K48" s="7">
        <f>_xlfn.XLOOKUP($D48,Tab_Def_Processes[Process_Name],Tab_Def_Processes[DSM?],,0,)</f>
        <v>0</v>
      </c>
      <c r="L48" s="7">
        <f>_xlfn.XLOOKUP($D48,Tab_Def_Processes[Process_Name],Tab_Def_Processes[FOMP?],,0,)</f>
        <v>0</v>
      </c>
      <c r="M48" s="7">
        <f>_xlfn.XLOOKUP($D48,Tab_Def_Processes[Process_Name],Tab_Def_Processes[Nr. Outflows],,0,)</f>
        <v>0</v>
      </c>
      <c r="N48" s="155"/>
      <c r="O48" s="148" t="str">
        <f>_xlfn.XLOOKUP($N48,Tab_Def_Flows[Flow_Name],Tab_Def_Flows[Flow_ID],,0,)</f>
        <v>F_15_15</v>
      </c>
      <c r="P48" s="22" t="str">
        <f t="shared" si="6"/>
        <v>TC_material_15_15</v>
      </c>
      <c r="Q48" s="158"/>
      <c r="R48" s="22" t="str">
        <f t="shared" si="2"/>
        <v>TC_WC_15_15</v>
      </c>
      <c r="S48" s="158"/>
      <c r="T48" s="22" t="str">
        <f t="shared" si="3"/>
        <v>TC_DM_15_15</v>
      </c>
      <c r="V48" s="22" t="str">
        <f t="shared" si="4"/>
        <v>TC_CC_15_15</v>
      </c>
      <c r="X48" s="20"/>
      <c r="Y48" s="20"/>
      <c r="Z48" s="20"/>
      <c r="AA48" s="20"/>
      <c r="AB48" s="20"/>
    </row>
    <row r="49" spans="1:28" x14ac:dyDescent="0.25">
      <c r="A49" s="160" t="b">
        <v>0</v>
      </c>
      <c r="B49" s="7">
        <f t="shared" si="5"/>
        <v>48</v>
      </c>
      <c r="C49" s="27" t="str">
        <f>_xlfn.XLOOKUP($D49,Tab_Def_Processes[Process_Name],Tab_Def_Processes[ID],,0,)</f>
        <v>15</v>
      </c>
      <c r="D49" s="155"/>
      <c r="E49" s="7">
        <f>_xlfn.XLOOKUP($D49,Tab_Def_Processes[Process_Name],Tab_Def_Processes[Process_Type],,0,)</f>
        <v>0</v>
      </c>
      <c r="F49" s="7">
        <f>_xlfn.XLOOKUP($D49,Tab_Def_Processes[Process_Name],Tab_Def_Processes[Process_Logic],,0,)</f>
        <v>0</v>
      </c>
      <c r="G49" s="7">
        <f>_xlfn.XLOOKUP($D49,Tab_Def_Processes[Process_Name],Tab_Def_Processes[TC?],,0,)</f>
        <v>0</v>
      </c>
      <c r="H49" s="7">
        <f>_xlfn.XLOOKUP($D49,Tab_Def_Processes[Process_Name],Tab_Def_Processes[TC_Type],,0,)</f>
        <v>0</v>
      </c>
      <c r="I49" s="7">
        <f>_xlfn.XLOOKUP($D49,Tab_Def_Processes[Process_Name],Tab_Def_Processes[Stock?],,0,)</f>
        <v>0</v>
      </c>
      <c r="J49" s="7">
        <f>_xlfn.XLOOKUP($D49,Tab_Def_Processes[Process_Name],Tab_Def_Processes[Initial_Stock?],,0,)</f>
        <v>0</v>
      </c>
      <c r="K49" s="7">
        <f>_xlfn.XLOOKUP($D49,Tab_Def_Processes[Process_Name],Tab_Def_Processes[DSM?],,0,)</f>
        <v>0</v>
      </c>
      <c r="L49" s="7">
        <f>_xlfn.XLOOKUP($D49,Tab_Def_Processes[Process_Name],Tab_Def_Processes[FOMP?],,0,)</f>
        <v>0</v>
      </c>
      <c r="M49" s="7">
        <f>_xlfn.XLOOKUP($D49,Tab_Def_Processes[Process_Name],Tab_Def_Processes[Nr. Outflows],,0,)</f>
        <v>0</v>
      </c>
      <c r="N49" s="155"/>
      <c r="O49" s="148" t="str">
        <f>_xlfn.XLOOKUP($N49,Tab_Def_Flows[Flow_Name],Tab_Def_Flows[Flow_ID],,0,)</f>
        <v>F_15_15</v>
      </c>
      <c r="P49" s="22" t="str">
        <f t="shared" si="6"/>
        <v>TC_material_15_15</v>
      </c>
      <c r="Q49" s="158"/>
      <c r="R49" s="22" t="str">
        <f t="shared" si="2"/>
        <v>TC_WC_15_15</v>
      </c>
      <c r="S49" s="158"/>
      <c r="T49" s="22" t="str">
        <f t="shared" si="3"/>
        <v>TC_DM_15_15</v>
      </c>
      <c r="V49" s="22" t="str">
        <f t="shared" si="4"/>
        <v>TC_CC_15_15</v>
      </c>
      <c r="X49" s="20"/>
      <c r="Y49" s="20"/>
      <c r="Z49" s="20"/>
      <c r="AA49" s="20"/>
      <c r="AB49" s="20"/>
    </row>
    <row r="50" spans="1:28" x14ac:dyDescent="0.25">
      <c r="A50" s="160" t="b">
        <v>0</v>
      </c>
      <c r="B50" s="7">
        <f t="shared" si="5"/>
        <v>49</v>
      </c>
      <c r="C50" s="27" t="str">
        <f>_xlfn.XLOOKUP($D50,Tab_Def_Processes[Process_Name],Tab_Def_Processes[ID],,0,)</f>
        <v>15</v>
      </c>
      <c r="D50" s="155"/>
      <c r="E50" s="7">
        <f>_xlfn.XLOOKUP($D50,Tab_Def_Processes[Process_Name],Tab_Def_Processes[Process_Type],,0,)</f>
        <v>0</v>
      </c>
      <c r="F50" s="7">
        <f>_xlfn.XLOOKUP($D50,Tab_Def_Processes[Process_Name],Tab_Def_Processes[Process_Logic],,0,)</f>
        <v>0</v>
      </c>
      <c r="G50" s="7">
        <f>_xlfn.XLOOKUP($D50,Tab_Def_Processes[Process_Name],Tab_Def_Processes[TC?],,0,)</f>
        <v>0</v>
      </c>
      <c r="H50" s="7">
        <f>_xlfn.XLOOKUP($D50,Tab_Def_Processes[Process_Name],Tab_Def_Processes[TC_Type],,0,)</f>
        <v>0</v>
      </c>
      <c r="I50" s="7">
        <f>_xlfn.XLOOKUP($D50,Tab_Def_Processes[Process_Name],Tab_Def_Processes[Stock?],,0,)</f>
        <v>0</v>
      </c>
      <c r="J50" s="7">
        <f>_xlfn.XLOOKUP($D50,Tab_Def_Processes[Process_Name],Tab_Def_Processes[Initial_Stock?],,0,)</f>
        <v>0</v>
      </c>
      <c r="K50" s="7">
        <f>_xlfn.XLOOKUP($D50,Tab_Def_Processes[Process_Name],Tab_Def_Processes[DSM?],,0,)</f>
        <v>0</v>
      </c>
      <c r="L50" s="7">
        <f>_xlfn.XLOOKUP($D50,Tab_Def_Processes[Process_Name],Tab_Def_Processes[FOMP?],,0,)</f>
        <v>0</v>
      </c>
      <c r="M50" s="7">
        <f>_xlfn.XLOOKUP($D50,Tab_Def_Processes[Process_Name],Tab_Def_Processes[Nr. Outflows],,0,)</f>
        <v>0</v>
      </c>
      <c r="N50" s="155"/>
      <c r="O50" s="148" t="str">
        <f>_xlfn.XLOOKUP($N50,Tab_Def_Flows[Flow_Name],Tab_Def_Flows[Flow_ID],,0,)</f>
        <v>F_15_15</v>
      </c>
      <c r="P50" s="22" t="str">
        <f t="shared" si="6"/>
        <v>TC_material_15_15</v>
      </c>
      <c r="Q50" s="158"/>
      <c r="R50" s="22" t="str">
        <f t="shared" si="2"/>
        <v>TC_WC_15_15</v>
      </c>
      <c r="S50" s="158"/>
      <c r="T50" s="22" t="str">
        <f t="shared" si="3"/>
        <v>TC_DM_15_15</v>
      </c>
      <c r="V50" s="22" t="str">
        <f t="shared" si="4"/>
        <v>TC_CC_15_15</v>
      </c>
      <c r="X50" s="20"/>
      <c r="Y50" s="20"/>
      <c r="Z50" s="20"/>
      <c r="AA50" s="20"/>
      <c r="AB50" s="20"/>
    </row>
    <row r="51" spans="1:28" x14ac:dyDescent="0.25">
      <c r="A51" s="160" t="b">
        <v>0</v>
      </c>
      <c r="B51" s="7">
        <f t="shared" si="5"/>
        <v>50</v>
      </c>
      <c r="C51" s="27" t="str">
        <f>_xlfn.XLOOKUP($D51,Tab_Def_Processes[Process_Name],Tab_Def_Processes[ID],,0,)</f>
        <v>15</v>
      </c>
      <c r="D51" s="155"/>
      <c r="E51" s="7">
        <f>_xlfn.XLOOKUP($D51,Tab_Def_Processes[Process_Name],Tab_Def_Processes[Process_Type],,0,)</f>
        <v>0</v>
      </c>
      <c r="F51" s="7">
        <f>_xlfn.XLOOKUP($D51,Tab_Def_Processes[Process_Name],Tab_Def_Processes[Process_Logic],,0,)</f>
        <v>0</v>
      </c>
      <c r="G51" s="7">
        <f>_xlfn.XLOOKUP($D51,Tab_Def_Processes[Process_Name],Tab_Def_Processes[TC?],,0,)</f>
        <v>0</v>
      </c>
      <c r="H51" s="7">
        <f>_xlfn.XLOOKUP($D51,Tab_Def_Processes[Process_Name],Tab_Def_Processes[TC_Type],,0,)</f>
        <v>0</v>
      </c>
      <c r="I51" s="7">
        <f>_xlfn.XLOOKUP($D51,Tab_Def_Processes[Process_Name],Tab_Def_Processes[Stock?],,0,)</f>
        <v>0</v>
      </c>
      <c r="J51" s="7">
        <f>_xlfn.XLOOKUP($D51,Tab_Def_Processes[Process_Name],Tab_Def_Processes[Initial_Stock?],,0,)</f>
        <v>0</v>
      </c>
      <c r="K51" s="7">
        <f>_xlfn.XLOOKUP($D51,Tab_Def_Processes[Process_Name],Tab_Def_Processes[DSM?],,0,)</f>
        <v>0</v>
      </c>
      <c r="L51" s="7">
        <f>_xlfn.XLOOKUP($D51,Tab_Def_Processes[Process_Name],Tab_Def_Processes[FOMP?],,0,)</f>
        <v>0</v>
      </c>
      <c r="M51" s="7">
        <f>_xlfn.XLOOKUP($D51,Tab_Def_Processes[Process_Name],Tab_Def_Processes[Nr. Outflows],,0,)</f>
        <v>0</v>
      </c>
      <c r="N51" s="155"/>
      <c r="O51" s="148" t="str">
        <f>_xlfn.XLOOKUP($N51,Tab_Def_Flows[Flow_Name],Tab_Def_Flows[Flow_ID],,0,)</f>
        <v>F_15_15</v>
      </c>
      <c r="P51" s="22" t="str">
        <f t="shared" si="6"/>
        <v>TC_material_15_15</v>
      </c>
      <c r="Q51" s="158"/>
      <c r="R51" s="22" t="str">
        <f t="shared" si="2"/>
        <v>TC_WC_15_15</v>
      </c>
      <c r="S51" s="158"/>
      <c r="T51" s="22" t="str">
        <f t="shared" si="3"/>
        <v>TC_DM_15_15</v>
      </c>
      <c r="V51" s="22" t="str">
        <f t="shared" si="4"/>
        <v>TC_CC_15_15</v>
      </c>
      <c r="X51" s="20"/>
      <c r="Y51" s="20"/>
      <c r="Z51" s="20"/>
      <c r="AA51" s="20"/>
      <c r="AB51" s="20"/>
    </row>
    <row r="52" spans="1:28" x14ac:dyDescent="0.25">
      <c r="A52" s="160" t="b">
        <v>0</v>
      </c>
      <c r="B52" s="7">
        <f t="shared" si="5"/>
        <v>51</v>
      </c>
      <c r="C52" s="27" t="str">
        <f>_xlfn.XLOOKUP($D52,Tab_Def_Processes[Process_Name],Tab_Def_Processes[ID],,0,)</f>
        <v>15</v>
      </c>
      <c r="D52" s="155"/>
      <c r="E52" s="7">
        <f>_xlfn.XLOOKUP($D52,Tab_Def_Processes[Process_Name],Tab_Def_Processes[Process_Type],,0,)</f>
        <v>0</v>
      </c>
      <c r="F52" s="7">
        <f>_xlfn.XLOOKUP($D52,Tab_Def_Processes[Process_Name],Tab_Def_Processes[Process_Logic],,0,)</f>
        <v>0</v>
      </c>
      <c r="G52" s="7">
        <f>_xlfn.XLOOKUP($D52,Tab_Def_Processes[Process_Name],Tab_Def_Processes[TC?],,0,)</f>
        <v>0</v>
      </c>
      <c r="H52" s="7">
        <f>_xlfn.XLOOKUP($D52,Tab_Def_Processes[Process_Name],Tab_Def_Processes[TC_Type],,0,)</f>
        <v>0</v>
      </c>
      <c r="I52" s="7">
        <f>_xlfn.XLOOKUP($D52,Tab_Def_Processes[Process_Name],Tab_Def_Processes[Stock?],,0,)</f>
        <v>0</v>
      </c>
      <c r="J52" s="7">
        <f>_xlfn.XLOOKUP($D52,Tab_Def_Processes[Process_Name],Tab_Def_Processes[Initial_Stock?],,0,)</f>
        <v>0</v>
      </c>
      <c r="K52" s="7">
        <f>_xlfn.XLOOKUP($D52,Tab_Def_Processes[Process_Name],Tab_Def_Processes[DSM?],,0,)</f>
        <v>0</v>
      </c>
      <c r="L52" s="7">
        <f>_xlfn.XLOOKUP($D52,Tab_Def_Processes[Process_Name],Tab_Def_Processes[FOMP?],,0,)</f>
        <v>0</v>
      </c>
      <c r="M52" s="7">
        <f>_xlfn.XLOOKUP($D52,Tab_Def_Processes[Process_Name],Tab_Def_Processes[Nr. Outflows],,0,)</f>
        <v>0</v>
      </c>
      <c r="N52" s="155"/>
      <c r="O52" s="148" t="str">
        <f>_xlfn.XLOOKUP($N52,Tab_Def_Flows[Flow_Name],Tab_Def_Flows[Flow_ID],,0,)</f>
        <v>F_15_15</v>
      </c>
      <c r="P52" s="22" t="str">
        <f t="shared" si="6"/>
        <v>TC_material_15_15</v>
      </c>
      <c r="Q52" s="158"/>
      <c r="R52" s="22" t="str">
        <f t="shared" si="2"/>
        <v>TC_WC_15_15</v>
      </c>
      <c r="S52" s="158"/>
      <c r="T52" s="22" t="str">
        <f t="shared" si="3"/>
        <v>TC_DM_15_15</v>
      </c>
      <c r="V52" s="22" t="str">
        <f t="shared" si="4"/>
        <v>TC_CC_15_15</v>
      </c>
      <c r="X52" s="20"/>
      <c r="Y52" s="20"/>
      <c r="Z52" s="20"/>
      <c r="AA52" s="20"/>
      <c r="AB52" s="20"/>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'2_1_Definition_Processes'!$D$2:$D$47</xm:f>
          </x14:formula1>
          <xm:sqref>D2:D1048576</xm:sqref>
        </x14:dataValidation>
        <x14:dataValidation type="list" allowBlank="1" showInputMessage="1" showErrorMessage="1" xr:uid="{8FE3D734-1C10-4EB8-BA5A-47B1ACC2BB98}">
          <x14:formula1>
            <xm:f>'1_1_Definition_Flows'!$D$2:$D$70</xm:f>
          </x14:formula1>
          <xm:sqref>N2:N52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AB149"/>
  <sheetViews>
    <sheetView zoomScaleNormal="100" workbookViewId="0">
      <pane xSplit="5" topLeftCell="H1" activePane="topRight" state="frozen"/>
      <selection pane="topRight" activeCell="N18" sqref="N18"/>
    </sheetView>
  </sheetViews>
  <sheetFormatPr defaultColWidth="10.85546875" defaultRowHeight="15" x14ac:dyDescent="0.25"/>
  <cols>
    <col min="2" max="2" width="16.5703125" customWidth="1"/>
    <col min="4" max="4" width="24" style="26" customWidth="1"/>
    <col min="5" max="5" width="30.5703125" customWidth="1"/>
    <col min="6" max="8" width="26.42578125" customWidth="1"/>
    <col min="9" max="10" width="16.5703125" customWidth="1"/>
    <col min="11" max="14" width="26.42578125" customWidth="1"/>
    <col min="15" max="15" width="20.28515625" customWidth="1"/>
    <col min="16" max="16" width="15.5703125" customWidth="1"/>
    <col min="17" max="17" width="18.85546875" customWidth="1"/>
    <col min="18" max="18" width="15.5703125" customWidth="1"/>
    <col min="19" max="19" width="17.85546875" style="33" hidden="1" customWidth="1"/>
    <col min="20" max="23" width="17.85546875" hidden="1" customWidth="1"/>
    <col min="24" max="29" width="0" hidden="1" customWidth="1"/>
  </cols>
  <sheetData>
    <row r="1" spans="1:28" x14ac:dyDescent="0.25">
      <c r="A1" s="159" t="s">
        <v>54</v>
      </c>
      <c r="B1" s="159" t="s">
        <v>28</v>
      </c>
      <c r="C1" s="159" t="s">
        <v>49</v>
      </c>
      <c r="D1" s="159" t="s">
        <v>713</v>
      </c>
      <c r="E1" s="159" t="s">
        <v>222</v>
      </c>
      <c r="F1" s="159" t="s">
        <v>52</v>
      </c>
      <c r="G1" s="159" t="s">
        <v>719</v>
      </c>
      <c r="H1" s="159" t="s">
        <v>670</v>
      </c>
      <c r="I1" s="159" t="s">
        <v>37</v>
      </c>
      <c r="J1" s="159" t="s">
        <v>1</v>
      </c>
      <c r="K1" s="159" t="s">
        <v>683</v>
      </c>
      <c r="L1" s="159" t="s">
        <v>678</v>
      </c>
      <c r="M1" s="159" t="s">
        <v>684</v>
      </c>
      <c r="N1" s="159" t="s">
        <v>673</v>
      </c>
      <c r="O1" s="159" t="s">
        <v>685</v>
      </c>
      <c r="P1" s="159" t="s">
        <v>674</v>
      </c>
      <c r="Q1" s="159" t="s">
        <v>686</v>
      </c>
      <c r="R1" s="159" t="s">
        <v>675</v>
      </c>
      <c r="S1" s="30" t="s">
        <v>53</v>
      </c>
      <c r="T1" s="30" t="s">
        <v>220</v>
      </c>
      <c r="U1" s="15" t="s">
        <v>219</v>
      </c>
      <c r="V1" s="30" t="s">
        <v>221</v>
      </c>
      <c r="W1" s="31" t="s">
        <v>58</v>
      </c>
      <c r="X1" s="19" t="s">
        <v>35</v>
      </c>
      <c r="Y1" s="146" t="s">
        <v>36</v>
      </c>
      <c r="Z1" s="146" t="s">
        <v>4</v>
      </c>
      <c r="AA1" s="146" t="s">
        <v>3</v>
      </c>
      <c r="AB1" s="147" t="s">
        <v>5</v>
      </c>
    </row>
    <row r="2" spans="1:28" x14ac:dyDescent="0.25">
      <c r="A2" s="160" t="b">
        <v>0</v>
      </c>
      <c r="B2" s="7">
        <f t="shared" ref="B2:B31" si="0">ROW()-1</f>
        <v>1</v>
      </c>
      <c r="C2" s="27" t="e">
        <f>_xlfn.XLOOKUP($D2,Tab_Process_TCs[Process_Name],Tab_Process_TCs[Process_ID],,0,)</f>
        <v>#N/A</v>
      </c>
      <c r="D2" s="155" t="s">
        <v>31</v>
      </c>
      <c r="E2" s="155" t="s">
        <v>31</v>
      </c>
      <c r="F2" s="27" t="e">
        <f>_xlfn.XLOOKUP($D2,Tab_Process_TCs[Process_Name],Tab_Process_TCs[TC?],,0,)</f>
        <v>#N/A</v>
      </c>
      <c r="G2" s="27" t="e">
        <f>_xlfn.XLOOKUP($D2,Tab_Process_TCs[Process_Name],Tab_Process_TCs[TC_Type],,0,)</f>
        <v>#N/A</v>
      </c>
      <c r="H2" s="27" t="e">
        <f>_xlfn.XLOOKUP($D2,Tab_Process_TCs[Process_Name],Tab_Process_TCs[Process_Logic],,0,)</f>
        <v>#N/A</v>
      </c>
      <c r="I2" s="7" t="str">
        <f>_xlfn.XLOOKUP($E2,Tab_Def_Flows[Flow_Name],Tab_Def_Flows[Flow_ID],,0,1)</f>
        <v>F__</v>
      </c>
      <c r="J2" s="8"/>
      <c r="K2" s="22" t="str">
        <f>"TC_material"&amp;"_"&amp;RIGHT(I2,5)</f>
        <v>TC_material_F__</v>
      </c>
      <c r="L2" s="158"/>
      <c r="M2" s="22" t="str">
        <f>"TC_WC"&amp;"_"&amp;RIGHT(I2,5)</f>
        <v>TC_WC_F__</v>
      </c>
      <c r="N2" s="158"/>
      <c r="O2" s="22" t="str">
        <f>"TC_DM"&amp;"_"&amp;RIGHT(I2,5)</f>
        <v>TC_DM_F__</v>
      </c>
      <c r="P2" s="158"/>
      <c r="Q2" s="22" t="str">
        <f>"TC_CC"&amp;"_"&amp;RIGHT(I2,5)</f>
        <v>TC_CC_F__</v>
      </c>
      <c r="R2" s="8"/>
      <c r="S2" s="7" t="e">
        <f>_xlfn.XLOOKUP($D2,#REF!,#REF!,,0,)</f>
        <v>#REF!</v>
      </c>
      <c r="T2" s="22" t="str">
        <f>Tab_Process_TCs2527[[#This Row],[Flow_ID]]</f>
        <v>F__</v>
      </c>
      <c r="U2" s="22" t="e">
        <f t="shared" ref="U2:U31" si="1">"TC"&amp;"_"&amp;RIGHT(S2,5)</f>
        <v>#REF!</v>
      </c>
      <c r="V2" s="29"/>
      <c r="W2" s="32" t="e">
        <f>Tab_Process_TCs2527[[#This Row],[TC O_6_'[%']]]+#REF!+#REF!+#REF!+#REF!+#REF!</f>
        <v>#REF!</v>
      </c>
      <c r="X2" s="8"/>
      <c r="Y2" s="8"/>
      <c r="Z2" s="8"/>
      <c r="AA2" s="8"/>
      <c r="AB2" s="8"/>
    </row>
    <row r="3" spans="1:28" x14ac:dyDescent="0.25">
      <c r="A3" s="160" t="b">
        <v>0</v>
      </c>
      <c r="B3" s="7">
        <f t="shared" si="0"/>
        <v>2</v>
      </c>
      <c r="C3" s="27" t="e">
        <f>_xlfn.XLOOKUP($D3,Tab_Process_TCs[Process_Name],Tab_Process_TCs[Process_ID],,0,)</f>
        <v>#N/A</v>
      </c>
      <c r="D3" s="155" t="s">
        <v>31</v>
      </c>
      <c r="E3" s="155" t="s">
        <v>31</v>
      </c>
      <c r="F3" s="27" t="e">
        <f>_xlfn.XLOOKUP($D3,Tab_Process_TCs[Process_Name],Tab_Process_TCs[TC?],,0,)</f>
        <v>#N/A</v>
      </c>
      <c r="G3" s="27" t="e">
        <f>_xlfn.XLOOKUP($D3,Tab_Process_TCs[Process_Name],Tab_Process_TCs[TC_Type],,0,)</f>
        <v>#N/A</v>
      </c>
      <c r="H3" s="27" t="e">
        <f>_xlfn.XLOOKUP($D3,Tab_Process_TCs[Process_Name],Tab_Process_TCs[Process_Logic],,0,)</f>
        <v>#N/A</v>
      </c>
      <c r="I3" s="7" t="str">
        <f>_xlfn.XLOOKUP($E3,Tab_Def_Flows[Flow_Name],Tab_Def_Flows[Flow_ID],,0,1)</f>
        <v>F__</v>
      </c>
      <c r="J3" s="8"/>
      <c r="K3" s="22" t="str">
        <f t="shared" ref="K3:K66" si="2">"TC_material"&amp;"_"&amp;RIGHT(I3,5)</f>
        <v>TC_material_F__</v>
      </c>
      <c r="L3" s="158"/>
      <c r="M3" s="22" t="str">
        <f t="shared" ref="M3:M66" si="3">"TC_WC"&amp;"_"&amp;RIGHT(I3,5)</f>
        <v>TC_WC_F__</v>
      </c>
      <c r="N3" s="158"/>
      <c r="O3" s="22" t="str">
        <f t="shared" ref="O3:O66" si="4">"TC_DM"&amp;"_"&amp;RIGHT(I3,5)</f>
        <v>TC_DM_F__</v>
      </c>
      <c r="P3" s="158"/>
      <c r="Q3" s="22" t="str">
        <f t="shared" ref="Q3:Q66" si="5">"TC_CC"&amp;"_"&amp;RIGHT(I3,5)</f>
        <v>TC_CC_F__</v>
      </c>
      <c r="R3" s="8"/>
      <c r="S3" s="7" t="e">
        <f>_xlfn.XLOOKUP($D3,#REF!,#REF!,,0,)</f>
        <v>#REF!</v>
      </c>
      <c r="T3" s="22" t="str">
        <f>Tab_Process_TCs2527[[#This Row],[Flow_ID]]</f>
        <v>F__</v>
      </c>
      <c r="U3" s="22" t="e">
        <f t="shared" si="1"/>
        <v>#REF!</v>
      </c>
      <c r="V3" s="29"/>
      <c r="W3" s="32" t="e">
        <f>Tab_Process_TCs2527[[#This Row],[TC O_6_'[%']]]+#REF!+#REF!+#REF!+#REF!+#REF!</f>
        <v>#REF!</v>
      </c>
      <c r="X3" s="8"/>
      <c r="Y3" s="8"/>
      <c r="Z3" s="8"/>
      <c r="AA3" s="8"/>
      <c r="AB3" s="8"/>
    </row>
    <row r="4" spans="1:28" x14ac:dyDescent="0.25">
      <c r="A4" s="160" t="b">
        <v>0</v>
      </c>
      <c r="B4" s="7">
        <f t="shared" si="0"/>
        <v>3</v>
      </c>
      <c r="C4" s="27" t="e">
        <f>_xlfn.XLOOKUP($D4,Tab_Process_TCs[Process_Name],Tab_Process_TCs[Process_ID],,0,)</f>
        <v>#N/A</v>
      </c>
      <c r="D4" s="155" t="s">
        <v>31</v>
      </c>
      <c r="E4" s="155" t="s">
        <v>31</v>
      </c>
      <c r="F4" s="27" t="e">
        <f>_xlfn.XLOOKUP($D4,Tab_Process_TCs[Process_Name],Tab_Process_TCs[TC?],,0,)</f>
        <v>#N/A</v>
      </c>
      <c r="G4" s="27" t="e">
        <f>_xlfn.XLOOKUP($D4,Tab_Process_TCs[Process_Name],Tab_Process_TCs[TC_Type],,0,)</f>
        <v>#N/A</v>
      </c>
      <c r="H4" s="27" t="e">
        <f>_xlfn.XLOOKUP($D4,Tab_Process_TCs[Process_Name],Tab_Process_TCs[Process_Logic],,0,)</f>
        <v>#N/A</v>
      </c>
      <c r="I4" s="7" t="str">
        <f>_xlfn.XLOOKUP($E4,Tab_Def_Flows[Flow_Name],Tab_Def_Flows[Flow_ID],,0,1)</f>
        <v>F__</v>
      </c>
      <c r="J4" s="8"/>
      <c r="K4" s="22" t="str">
        <f t="shared" si="2"/>
        <v>TC_material_F__</v>
      </c>
      <c r="L4" s="158"/>
      <c r="M4" s="22" t="str">
        <f t="shared" si="3"/>
        <v>TC_WC_F__</v>
      </c>
      <c r="N4" s="158"/>
      <c r="O4" s="22" t="str">
        <f t="shared" si="4"/>
        <v>TC_DM_F__</v>
      </c>
      <c r="P4" s="158"/>
      <c r="Q4" s="22" t="str">
        <f t="shared" si="5"/>
        <v>TC_CC_F__</v>
      </c>
      <c r="R4" s="8"/>
      <c r="S4" s="7" t="e">
        <f>_xlfn.XLOOKUP($D4,#REF!,#REF!,,0,)</f>
        <v>#REF!</v>
      </c>
      <c r="T4" s="22" t="str">
        <f>Tab_Process_TCs2527[[#This Row],[Flow_ID]]</f>
        <v>F__</v>
      </c>
      <c r="U4" s="22" t="e">
        <f t="shared" si="1"/>
        <v>#REF!</v>
      </c>
      <c r="V4" s="29"/>
      <c r="W4" s="32" t="e">
        <f>Tab_Process_TCs2527[[#This Row],[TC O_6_'[%']]]+#REF!+#REF!+#REF!+#REF!+#REF!</f>
        <v>#REF!</v>
      </c>
      <c r="X4" s="8"/>
      <c r="Y4" s="8"/>
      <c r="Z4" s="8"/>
      <c r="AA4" s="8"/>
      <c r="AB4" s="8"/>
    </row>
    <row r="5" spans="1:28" x14ac:dyDescent="0.25">
      <c r="A5" s="160" t="b">
        <v>0</v>
      </c>
      <c r="B5" s="7">
        <f t="shared" si="0"/>
        <v>4</v>
      </c>
      <c r="C5" s="27" t="e">
        <f>_xlfn.XLOOKUP($D5,Tab_Process_TCs[Process_Name],Tab_Process_TCs[Process_ID],,0,)</f>
        <v>#N/A</v>
      </c>
      <c r="D5" s="155" t="s">
        <v>31</v>
      </c>
      <c r="E5" s="155" t="s">
        <v>31</v>
      </c>
      <c r="F5" s="27" t="e">
        <f>_xlfn.XLOOKUP($D5,Tab_Process_TCs[Process_Name],Tab_Process_TCs[TC?],,0,)</f>
        <v>#N/A</v>
      </c>
      <c r="G5" s="27" t="e">
        <f>_xlfn.XLOOKUP($D5,Tab_Process_TCs[Process_Name],Tab_Process_TCs[TC_Type],,0,)</f>
        <v>#N/A</v>
      </c>
      <c r="H5" s="27" t="e">
        <f>_xlfn.XLOOKUP($D5,Tab_Process_TCs[Process_Name],Tab_Process_TCs[Process_Logic],,0,)</f>
        <v>#N/A</v>
      </c>
      <c r="I5" s="7" t="str">
        <f>_xlfn.XLOOKUP($E5,Tab_Def_Flows[Flow_Name],Tab_Def_Flows[Flow_ID],,0,1)</f>
        <v>F__</v>
      </c>
      <c r="J5" s="8"/>
      <c r="K5" s="22" t="str">
        <f t="shared" si="2"/>
        <v>TC_material_F__</v>
      </c>
      <c r="L5" s="158"/>
      <c r="M5" s="22" t="str">
        <f t="shared" si="3"/>
        <v>TC_WC_F__</v>
      </c>
      <c r="N5" s="158"/>
      <c r="O5" s="22" t="str">
        <f t="shared" si="4"/>
        <v>TC_DM_F__</v>
      </c>
      <c r="P5" s="158"/>
      <c r="Q5" s="22" t="str">
        <f t="shared" si="5"/>
        <v>TC_CC_F__</v>
      </c>
      <c r="R5" s="8"/>
      <c r="S5" s="7" t="e">
        <f>_xlfn.XLOOKUP($D5,#REF!,#REF!,,0,)</f>
        <v>#REF!</v>
      </c>
      <c r="T5" s="22" t="str">
        <f>Tab_Process_TCs2527[[#This Row],[Flow_ID]]</f>
        <v>F__</v>
      </c>
      <c r="U5" s="22" t="e">
        <f t="shared" si="1"/>
        <v>#REF!</v>
      </c>
      <c r="V5" s="29"/>
      <c r="W5" s="32" t="e">
        <f>Tab_Process_TCs2527[[#This Row],[TC O_6_'[%']]]+#REF!+#REF!+#REF!+#REF!+#REF!</f>
        <v>#REF!</v>
      </c>
      <c r="X5" s="8"/>
      <c r="Y5" s="8"/>
      <c r="Z5" s="8"/>
      <c r="AA5" s="8"/>
      <c r="AB5" s="8"/>
    </row>
    <row r="6" spans="1:28" x14ac:dyDescent="0.25">
      <c r="A6" s="160" t="b">
        <v>0</v>
      </c>
      <c r="B6" s="7">
        <f t="shared" si="0"/>
        <v>5</v>
      </c>
      <c r="C6" s="27" t="e">
        <f>_xlfn.XLOOKUP($D6,Tab_Process_TCs[Process_Name],Tab_Process_TCs[Process_ID],,0,)</f>
        <v>#N/A</v>
      </c>
      <c r="D6" s="155" t="s">
        <v>31</v>
      </c>
      <c r="E6" s="155" t="s">
        <v>31</v>
      </c>
      <c r="F6" s="27" t="e">
        <f>_xlfn.XLOOKUP($D6,Tab_Process_TCs[Process_Name],Tab_Process_TCs[TC?],,0,)</f>
        <v>#N/A</v>
      </c>
      <c r="G6" s="27" t="e">
        <f>_xlfn.XLOOKUP($D6,Tab_Process_TCs[Process_Name],Tab_Process_TCs[TC_Type],,0,)</f>
        <v>#N/A</v>
      </c>
      <c r="H6" s="27" t="e">
        <f>_xlfn.XLOOKUP($D6,Tab_Process_TCs[Process_Name],Tab_Process_TCs[Process_Logic],,0,)</f>
        <v>#N/A</v>
      </c>
      <c r="I6" s="7" t="str">
        <f>_xlfn.XLOOKUP($E6,Tab_Def_Flows[Flow_Name],Tab_Def_Flows[Flow_ID],,0,1)</f>
        <v>F__</v>
      </c>
      <c r="J6" s="8"/>
      <c r="K6" s="22" t="str">
        <f t="shared" si="2"/>
        <v>TC_material_F__</v>
      </c>
      <c r="L6" s="158"/>
      <c r="M6" s="22" t="str">
        <f t="shared" si="3"/>
        <v>TC_WC_F__</v>
      </c>
      <c r="N6" s="158"/>
      <c r="O6" s="22" t="str">
        <f t="shared" si="4"/>
        <v>TC_DM_F__</v>
      </c>
      <c r="P6" s="158"/>
      <c r="Q6" s="22" t="str">
        <f t="shared" si="5"/>
        <v>TC_CC_F__</v>
      </c>
      <c r="R6" s="8"/>
      <c r="S6" s="7" t="e">
        <f>_xlfn.XLOOKUP($D6,#REF!,#REF!,,0,)</f>
        <v>#REF!</v>
      </c>
      <c r="T6" s="22" t="str">
        <f>Tab_Process_TCs2527[[#This Row],[Flow_ID]]</f>
        <v>F__</v>
      </c>
      <c r="U6" s="22" t="e">
        <f t="shared" si="1"/>
        <v>#REF!</v>
      </c>
      <c r="V6" s="29"/>
      <c r="W6" s="32" t="e">
        <f>Tab_Process_TCs2527[[#This Row],[TC O_6_'[%']]]+#REF!+#REF!+#REF!+#REF!+#REF!</f>
        <v>#REF!</v>
      </c>
      <c r="X6" s="8"/>
      <c r="Y6" s="8"/>
      <c r="Z6" s="8"/>
      <c r="AA6" s="8"/>
      <c r="AB6" s="8"/>
    </row>
    <row r="7" spans="1:28" x14ac:dyDescent="0.25">
      <c r="A7" s="160" t="b">
        <v>0</v>
      </c>
      <c r="B7" s="7">
        <f t="shared" si="0"/>
        <v>6</v>
      </c>
      <c r="C7" s="27" t="e">
        <f>_xlfn.XLOOKUP($D7,Tab_Process_TCs[Process_Name],Tab_Process_TCs[Process_ID],,0,)</f>
        <v>#N/A</v>
      </c>
      <c r="D7" s="155" t="s">
        <v>31</v>
      </c>
      <c r="E7" s="155" t="s">
        <v>31</v>
      </c>
      <c r="F7" s="27" t="e">
        <f>_xlfn.XLOOKUP($D7,Tab_Process_TCs[Process_Name],Tab_Process_TCs[TC?],,0,)</f>
        <v>#N/A</v>
      </c>
      <c r="G7" s="27" t="e">
        <f>_xlfn.XLOOKUP($D7,Tab_Process_TCs[Process_Name],Tab_Process_TCs[TC_Type],,0,)</f>
        <v>#N/A</v>
      </c>
      <c r="H7" s="27" t="e">
        <f>_xlfn.XLOOKUP($D7,Tab_Process_TCs[Process_Name],Tab_Process_TCs[Process_Logic],,0,)</f>
        <v>#N/A</v>
      </c>
      <c r="I7" s="7" t="str">
        <f>_xlfn.XLOOKUP($E7,Tab_Def_Flows[Flow_Name],Tab_Def_Flows[Flow_ID],,0,1)</f>
        <v>F__</v>
      </c>
      <c r="J7" s="8"/>
      <c r="K7" s="22" t="str">
        <f t="shared" si="2"/>
        <v>TC_material_F__</v>
      </c>
      <c r="L7" s="158"/>
      <c r="M7" s="22" t="str">
        <f t="shared" si="3"/>
        <v>TC_WC_F__</v>
      </c>
      <c r="N7" s="158"/>
      <c r="O7" s="22" t="str">
        <f t="shared" si="4"/>
        <v>TC_DM_F__</v>
      </c>
      <c r="P7" s="158"/>
      <c r="Q7" s="22" t="str">
        <f t="shared" si="5"/>
        <v>TC_CC_F__</v>
      </c>
      <c r="R7" s="8"/>
      <c r="S7" s="7" t="e">
        <f>_xlfn.XLOOKUP($D7,#REF!,#REF!,,0,)</f>
        <v>#REF!</v>
      </c>
      <c r="T7" s="22" t="str">
        <f>Tab_Process_TCs2527[[#This Row],[Flow_ID]]</f>
        <v>F__</v>
      </c>
      <c r="U7" s="22" t="e">
        <f t="shared" si="1"/>
        <v>#REF!</v>
      </c>
      <c r="V7" s="29"/>
      <c r="W7" s="32" t="e">
        <f>Tab_Process_TCs2527[[#This Row],[TC O_6_'[%']]]+#REF!+#REF!+#REF!+#REF!+#REF!</f>
        <v>#REF!</v>
      </c>
      <c r="X7" s="8"/>
      <c r="Y7" s="8"/>
      <c r="Z7" s="8"/>
      <c r="AA7" s="8"/>
      <c r="AB7" s="8"/>
    </row>
    <row r="8" spans="1:28" x14ac:dyDescent="0.25">
      <c r="A8" s="160" t="b">
        <v>0</v>
      </c>
      <c r="B8" s="7">
        <f t="shared" si="0"/>
        <v>7</v>
      </c>
      <c r="C8" s="27" t="e">
        <f>_xlfn.XLOOKUP($D8,Tab_Process_TCs[Process_Name],Tab_Process_TCs[Process_ID],,0,)</f>
        <v>#N/A</v>
      </c>
      <c r="D8" s="155" t="s">
        <v>31</v>
      </c>
      <c r="E8" s="155" t="s">
        <v>31</v>
      </c>
      <c r="F8" s="27" t="e">
        <f>_xlfn.XLOOKUP($D8,Tab_Process_TCs[Process_Name],Tab_Process_TCs[TC?],,0,)</f>
        <v>#N/A</v>
      </c>
      <c r="G8" s="27" t="e">
        <f>_xlfn.XLOOKUP($D8,Tab_Process_TCs[Process_Name],Tab_Process_TCs[TC_Type],,0,)</f>
        <v>#N/A</v>
      </c>
      <c r="H8" s="27" t="e">
        <f>_xlfn.XLOOKUP($D8,Tab_Process_TCs[Process_Name],Tab_Process_TCs[Process_Logic],,0,)</f>
        <v>#N/A</v>
      </c>
      <c r="I8" s="7" t="str">
        <f>_xlfn.XLOOKUP($E8,Tab_Def_Flows[Flow_Name],Tab_Def_Flows[Flow_ID],,0,1)</f>
        <v>F__</v>
      </c>
      <c r="J8" s="8"/>
      <c r="K8" s="22" t="str">
        <f t="shared" si="2"/>
        <v>TC_material_F__</v>
      </c>
      <c r="L8" s="158"/>
      <c r="M8" s="22" t="str">
        <f t="shared" si="3"/>
        <v>TC_WC_F__</v>
      </c>
      <c r="N8" s="158"/>
      <c r="O8" s="22" t="str">
        <f t="shared" si="4"/>
        <v>TC_DM_F__</v>
      </c>
      <c r="P8" s="158"/>
      <c r="Q8" s="22" t="str">
        <f t="shared" si="5"/>
        <v>TC_CC_F__</v>
      </c>
      <c r="R8" s="8"/>
      <c r="S8" s="7" t="e">
        <f>_xlfn.XLOOKUP($D8,#REF!,#REF!,,0,)</f>
        <v>#REF!</v>
      </c>
      <c r="T8" s="22" t="str">
        <f>Tab_Process_TCs2527[[#This Row],[Flow_ID]]</f>
        <v>F__</v>
      </c>
      <c r="U8" s="22" t="e">
        <f t="shared" si="1"/>
        <v>#REF!</v>
      </c>
      <c r="V8" s="29"/>
      <c r="W8" s="32" t="e">
        <f>Tab_Process_TCs2527[[#This Row],[TC O_6_'[%']]]+#REF!+#REF!+#REF!+#REF!+#REF!</f>
        <v>#REF!</v>
      </c>
      <c r="X8" s="8"/>
      <c r="Y8" s="8"/>
      <c r="Z8" s="8"/>
      <c r="AA8" s="8"/>
      <c r="AB8" s="8"/>
    </row>
    <row r="9" spans="1:28" x14ac:dyDescent="0.25">
      <c r="A9" s="160" t="b">
        <v>0</v>
      </c>
      <c r="B9" s="7">
        <f t="shared" si="0"/>
        <v>8</v>
      </c>
      <c r="C9" s="27" t="e">
        <f>_xlfn.XLOOKUP($D9,Tab_Process_TCs[Process_Name],Tab_Process_TCs[Process_ID],,0,)</f>
        <v>#N/A</v>
      </c>
      <c r="D9" s="155" t="s">
        <v>31</v>
      </c>
      <c r="E9" s="155" t="s">
        <v>31</v>
      </c>
      <c r="F9" s="27" t="e">
        <f>_xlfn.XLOOKUP($D9,Tab_Process_TCs[Process_Name],Tab_Process_TCs[TC?],,0,)</f>
        <v>#N/A</v>
      </c>
      <c r="G9" s="27" t="e">
        <f>_xlfn.XLOOKUP($D9,Tab_Process_TCs[Process_Name],Tab_Process_TCs[TC_Type],,0,)</f>
        <v>#N/A</v>
      </c>
      <c r="H9" s="27" t="e">
        <f>_xlfn.XLOOKUP($D9,Tab_Process_TCs[Process_Name],Tab_Process_TCs[Process_Logic],,0,)</f>
        <v>#N/A</v>
      </c>
      <c r="I9" s="7" t="str">
        <f>_xlfn.XLOOKUP($E9,Tab_Def_Flows[Flow_Name],Tab_Def_Flows[Flow_ID],,0,1)</f>
        <v>F__</v>
      </c>
      <c r="J9" s="8"/>
      <c r="K9" s="22" t="str">
        <f t="shared" si="2"/>
        <v>TC_material_F__</v>
      </c>
      <c r="L9" s="158"/>
      <c r="M9" s="22" t="str">
        <f t="shared" si="3"/>
        <v>TC_WC_F__</v>
      </c>
      <c r="N9" s="158"/>
      <c r="O9" s="22" t="str">
        <f t="shared" si="4"/>
        <v>TC_DM_F__</v>
      </c>
      <c r="P9" s="158"/>
      <c r="Q9" s="22" t="str">
        <f t="shared" si="5"/>
        <v>TC_CC_F__</v>
      </c>
      <c r="R9" s="8"/>
      <c r="S9" s="7" t="e">
        <f>_xlfn.XLOOKUP($D9,#REF!,#REF!,,0,)</f>
        <v>#REF!</v>
      </c>
      <c r="T9" s="22" t="str">
        <f>Tab_Process_TCs2527[[#This Row],[Flow_ID]]</f>
        <v>F__</v>
      </c>
      <c r="U9" s="22" t="e">
        <f t="shared" si="1"/>
        <v>#REF!</v>
      </c>
      <c r="V9" s="29"/>
      <c r="W9" s="32" t="e">
        <f>Tab_Process_TCs2527[[#This Row],[TC O_6_'[%']]]+#REF!+#REF!+#REF!+#REF!+#REF!</f>
        <v>#REF!</v>
      </c>
      <c r="X9" s="8"/>
      <c r="Y9" s="8"/>
      <c r="Z9" s="8"/>
      <c r="AA9" s="8"/>
      <c r="AB9" s="8"/>
    </row>
    <row r="10" spans="1:28" x14ac:dyDescent="0.25">
      <c r="A10" s="160" t="b">
        <v>0</v>
      </c>
      <c r="B10" s="7">
        <f t="shared" si="0"/>
        <v>9</v>
      </c>
      <c r="C10" s="27" t="e">
        <f>_xlfn.XLOOKUP($D10,Tab_Process_TCs[Process_Name],Tab_Process_TCs[Process_ID],,0,)</f>
        <v>#N/A</v>
      </c>
      <c r="D10" s="155" t="s">
        <v>31</v>
      </c>
      <c r="E10" s="155" t="s">
        <v>31</v>
      </c>
      <c r="F10" s="27" t="e">
        <f>_xlfn.XLOOKUP($D10,Tab_Process_TCs[Process_Name],Tab_Process_TCs[TC?],,0,)</f>
        <v>#N/A</v>
      </c>
      <c r="G10" s="27" t="e">
        <f>_xlfn.XLOOKUP($D10,Tab_Process_TCs[Process_Name],Tab_Process_TCs[TC_Type],,0,)</f>
        <v>#N/A</v>
      </c>
      <c r="H10" s="27" t="e">
        <f>_xlfn.XLOOKUP($D10,Tab_Process_TCs[Process_Name],Tab_Process_TCs[Process_Logic],,0,)</f>
        <v>#N/A</v>
      </c>
      <c r="I10" s="7" t="str">
        <f>_xlfn.XLOOKUP($E10,Tab_Def_Flows[Flow_Name],Tab_Def_Flows[Flow_ID],,0,1)</f>
        <v>F__</v>
      </c>
      <c r="J10" s="8"/>
      <c r="K10" s="22" t="str">
        <f t="shared" si="2"/>
        <v>TC_material_F__</v>
      </c>
      <c r="L10" s="158"/>
      <c r="M10" s="22" t="str">
        <f t="shared" si="3"/>
        <v>TC_WC_F__</v>
      </c>
      <c r="N10" s="158"/>
      <c r="O10" s="22" t="str">
        <f t="shared" si="4"/>
        <v>TC_DM_F__</v>
      </c>
      <c r="P10" s="158"/>
      <c r="Q10" s="22" t="str">
        <f t="shared" si="5"/>
        <v>TC_CC_F__</v>
      </c>
      <c r="R10" s="8"/>
      <c r="S10" s="7" t="e">
        <f>_xlfn.XLOOKUP($D10,#REF!,#REF!,,0,)</f>
        <v>#REF!</v>
      </c>
      <c r="T10" s="22" t="str">
        <f>Tab_Process_TCs2527[[#This Row],[Flow_ID]]</f>
        <v>F__</v>
      </c>
      <c r="U10" s="22" t="e">
        <f t="shared" si="1"/>
        <v>#REF!</v>
      </c>
      <c r="V10" s="29"/>
      <c r="W10" s="32" t="e">
        <f>Tab_Process_TCs2527[[#This Row],[TC O_6_'[%']]]+#REF!+#REF!+#REF!+#REF!+#REF!</f>
        <v>#REF!</v>
      </c>
      <c r="X10" s="8"/>
      <c r="Y10" s="8"/>
      <c r="Z10" s="8"/>
      <c r="AA10" s="8"/>
      <c r="AB10" s="8"/>
    </row>
    <row r="11" spans="1:28" x14ac:dyDescent="0.25">
      <c r="A11" s="160" t="b">
        <v>0</v>
      </c>
      <c r="B11" s="7">
        <f t="shared" si="0"/>
        <v>10</v>
      </c>
      <c r="C11" s="27" t="e">
        <f>_xlfn.XLOOKUP($D11,Tab_Process_TCs[Process_Name],Tab_Process_TCs[Process_ID],,0,)</f>
        <v>#N/A</v>
      </c>
      <c r="D11" s="155" t="s">
        <v>31</v>
      </c>
      <c r="E11" s="155" t="s">
        <v>31</v>
      </c>
      <c r="F11" s="27" t="e">
        <f>_xlfn.XLOOKUP($D11,Tab_Process_TCs[Process_Name],Tab_Process_TCs[TC?],,0,)</f>
        <v>#N/A</v>
      </c>
      <c r="G11" s="27" t="e">
        <f>_xlfn.XLOOKUP($D11,Tab_Process_TCs[Process_Name],Tab_Process_TCs[TC_Type],,0,)</f>
        <v>#N/A</v>
      </c>
      <c r="H11" s="27" t="e">
        <f>_xlfn.XLOOKUP($D11,Tab_Process_TCs[Process_Name],Tab_Process_TCs[Process_Logic],,0,)</f>
        <v>#N/A</v>
      </c>
      <c r="I11" s="7" t="str">
        <f>_xlfn.XLOOKUP($E11,Tab_Def_Flows[Flow_Name],Tab_Def_Flows[Flow_ID],,0,1)</f>
        <v>F__</v>
      </c>
      <c r="J11" s="8"/>
      <c r="K11" s="22" t="str">
        <f t="shared" si="2"/>
        <v>TC_material_F__</v>
      </c>
      <c r="L11" s="158"/>
      <c r="M11" s="22" t="str">
        <f t="shared" si="3"/>
        <v>TC_WC_F__</v>
      </c>
      <c r="N11" s="158"/>
      <c r="O11" s="22" t="str">
        <f t="shared" si="4"/>
        <v>TC_DM_F__</v>
      </c>
      <c r="P11" s="158"/>
      <c r="Q11" s="22" t="str">
        <f t="shared" si="5"/>
        <v>TC_CC_F__</v>
      </c>
      <c r="R11" s="8"/>
      <c r="S11" s="7" t="e">
        <f>_xlfn.XLOOKUP($D11,#REF!,#REF!,,0,)</f>
        <v>#REF!</v>
      </c>
      <c r="T11" s="22" t="str">
        <f>Tab_Process_TCs2527[[#This Row],[Flow_ID]]</f>
        <v>F__</v>
      </c>
      <c r="U11" s="22" t="e">
        <f t="shared" si="1"/>
        <v>#REF!</v>
      </c>
      <c r="V11" s="29"/>
      <c r="W11" s="32" t="e">
        <f>Tab_Process_TCs2527[[#This Row],[TC O_6_'[%']]]+#REF!+#REF!+#REF!+#REF!+#REF!</f>
        <v>#REF!</v>
      </c>
      <c r="X11" s="8"/>
      <c r="Y11" s="8"/>
      <c r="Z11" s="8"/>
      <c r="AA11" s="8"/>
      <c r="AB11" s="8"/>
    </row>
    <row r="12" spans="1:28" x14ac:dyDescent="0.25">
      <c r="A12" s="160" t="b">
        <v>0</v>
      </c>
      <c r="B12" s="7">
        <f t="shared" si="0"/>
        <v>11</v>
      </c>
      <c r="C12" s="27" t="e">
        <f>_xlfn.XLOOKUP($D12,Tab_Process_TCs[Process_Name],Tab_Process_TCs[Process_ID],,0,)</f>
        <v>#N/A</v>
      </c>
      <c r="D12" s="155" t="s">
        <v>31</v>
      </c>
      <c r="E12" s="155" t="s">
        <v>31</v>
      </c>
      <c r="F12" s="27" t="e">
        <f>_xlfn.XLOOKUP($D12,Tab_Process_TCs[Process_Name],Tab_Process_TCs[TC?],,0,)</f>
        <v>#N/A</v>
      </c>
      <c r="G12" s="27" t="e">
        <f>_xlfn.XLOOKUP($D12,Tab_Process_TCs[Process_Name],Tab_Process_TCs[TC_Type],,0,)</f>
        <v>#N/A</v>
      </c>
      <c r="H12" s="27" t="e">
        <f>_xlfn.XLOOKUP($D12,Tab_Process_TCs[Process_Name],Tab_Process_TCs[Process_Logic],,0,)</f>
        <v>#N/A</v>
      </c>
      <c r="I12" s="7" t="str">
        <f>_xlfn.XLOOKUP($E12,Tab_Def_Flows[Flow_Name],Tab_Def_Flows[Flow_ID],,0,1)</f>
        <v>F__</v>
      </c>
      <c r="J12" s="8"/>
      <c r="K12" s="22" t="str">
        <f t="shared" si="2"/>
        <v>TC_material_F__</v>
      </c>
      <c r="L12" s="158"/>
      <c r="M12" s="22" t="str">
        <f t="shared" si="3"/>
        <v>TC_WC_F__</v>
      </c>
      <c r="N12" s="158"/>
      <c r="O12" s="22" t="str">
        <f t="shared" si="4"/>
        <v>TC_DM_F__</v>
      </c>
      <c r="P12" s="158"/>
      <c r="Q12" s="22" t="str">
        <f t="shared" si="5"/>
        <v>TC_CC_F__</v>
      </c>
      <c r="R12" s="8"/>
      <c r="S12" s="7" t="e">
        <f>_xlfn.XLOOKUP($D12,#REF!,#REF!,,0,)</f>
        <v>#REF!</v>
      </c>
      <c r="T12" s="22" t="str">
        <f>Tab_Process_TCs2527[[#This Row],[Flow_ID]]</f>
        <v>F__</v>
      </c>
      <c r="U12" s="22" t="e">
        <f t="shared" si="1"/>
        <v>#REF!</v>
      </c>
      <c r="V12" s="29"/>
      <c r="W12" s="32" t="e">
        <f>Tab_Process_TCs2527[[#This Row],[TC O_6_'[%']]]+#REF!+#REF!+#REF!+#REF!+#REF!</f>
        <v>#REF!</v>
      </c>
      <c r="X12" s="8"/>
      <c r="Y12" s="8"/>
      <c r="Z12" s="8"/>
      <c r="AA12" s="8"/>
      <c r="AB12" s="8"/>
    </row>
    <row r="13" spans="1:28" x14ac:dyDescent="0.25">
      <c r="A13" s="160" t="b">
        <v>0</v>
      </c>
      <c r="B13" s="7">
        <f t="shared" si="0"/>
        <v>12</v>
      </c>
      <c r="C13" s="27" t="e">
        <f>_xlfn.XLOOKUP($D13,Tab_Process_TCs[Process_Name],Tab_Process_TCs[Process_ID],,0,)</f>
        <v>#N/A</v>
      </c>
      <c r="D13" s="155" t="s">
        <v>31</v>
      </c>
      <c r="E13" s="155" t="s">
        <v>31</v>
      </c>
      <c r="F13" s="27" t="e">
        <f>_xlfn.XLOOKUP($D13,Tab_Process_TCs[Process_Name],Tab_Process_TCs[TC?],,0,)</f>
        <v>#N/A</v>
      </c>
      <c r="G13" s="27" t="e">
        <f>_xlfn.XLOOKUP($D13,Tab_Process_TCs[Process_Name],Tab_Process_TCs[TC_Type],,0,)</f>
        <v>#N/A</v>
      </c>
      <c r="H13" s="27" t="e">
        <f>_xlfn.XLOOKUP($D13,Tab_Process_TCs[Process_Name],Tab_Process_TCs[Process_Logic],,0,)</f>
        <v>#N/A</v>
      </c>
      <c r="I13" s="7" t="str">
        <f>_xlfn.XLOOKUP($E13,Tab_Def_Flows[Flow_Name],Tab_Def_Flows[Flow_ID],,0,1)</f>
        <v>F__</v>
      </c>
      <c r="J13" s="8"/>
      <c r="K13" s="22" t="str">
        <f>"TC_material"&amp;"_"&amp;RIGHT(I13,5)</f>
        <v>TC_material_F__</v>
      </c>
      <c r="L13" s="158"/>
      <c r="M13" s="22" t="str">
        <f t="shared" si="3"/>
        <v>TC_WC_F__</v>
      </c>
      <c r="N13" s="158"/>
      <c r="O13" s="22" t="str">
        <f t="shared" si="4"/>
        <v>TC_DM_F__</v>
      </c>
      <c r="P13" s="158"/>
      <c r="Q13" s="22" t="str">
        <f t="shared" si="5"/>
        <v>TC_CC_F__</v>
      </c>
      <c r="R13" s="8"/>
      <c r="S13" s="7" t="e">
        <f>_xlfn.XLOOKUP($D13,#REF!,#REF!,,0,)</f>
        <v>#REF!</v>
      </c>
      <c r="T13" s="22" t="str">
        <f>Tab_Process_TCs2527[[#This Row],[Flow_ID]]</f>
        <v>F__</v>
      </c>
      <c r="U13" s="22" t="e">
        <f t="shared" si="1"/>
        <v>#REF!</v>
      </c>
      <c r="V13" s="29"/>
      <c r="W13" s="32" t="e">
        <f>Tab_Process_TCs2527[[#This Row],[TC O_6_'[%']]]+#REF!+#REF!+#REF!+#REF!+#REF!</f>
        <v>#REF!</v>
      </c>
      <c r="X13" s="8"/>
      <c r="Y13" s="8"/>
      <c r="Z13" s="8"/>
      <c r="AA13" s="8"/>
      <c r="AB13" s="8"/>
    </row>
    <row r="14" spans="1:28" x14ac:dyDescent="0.25">
      <c r="A14" s="160" t="b">
        <v>0</v>
      </c>
      <c r="B14" s="7">
        <f t="shared" si="0"/>
        <v>13</v>
      </c>
      <c r="C14" s="27" t="e">
        <f>_xlfn.XLOOKUP($D14,Tab_Process_TCs[Process_Name],Tab_Process_TCs[Process_ID],,0,)</f>
        <v>#N/A</v>
      </c>
      <c r="D14" s="155" t="s">
        <v>31</v>
      </c>
      <c r="E14" s="155" t="s">
        <v>31</v>
      </c>
      <c r="F14" s="27" t="e">
        <f>_xlfn.XLOOKUP($D14,Tab_Process_TCs[Process_Name],Tab_Process_TCs[TC?],,0,)</f>
        <v>#N/A</v>
      </c>
      <c r="G14" s="27" t="e">
        <f>_xlfn.XLOOKUP($D14,Tab_Process_TCs[Process_Name],Tab_Process_TCs[TC_Type],,0,)</f>
        <v>#N/A</v>
      </c>
      <c r="H14" s="27" t="e">
        <f>_xlfn.XLOOKUP($D14,Tab_Process_TCs[Process_Name],Tab_Process_TCs[Process_Logic],,0,)</f>
        <v>#N/A</v>
      </c>
      <c r="I14" s="7" t="str">
        <f>_xlfn.XLOOKUP($E14,Tab_Def_Flows[Flow_Name],Tab_Def_Flows[Flow_ID],,0,1)</f>
        <v>F__</v>
      </c>
      <c r="J14" s="8"/>
      <c r="K14" s="22" t="str">
        <f t="shared" si="2"/>
        <v>TC_material_F__</v>
      </c>
      <c r="L14" s="158"/>
      <c r="M14" s="22" t="str">
        <f t="shared" si="3"/>
        <v>TC_WC_F__</v>
      </c>
      <c r="N14" s="158"/>
      <c r="O14" s="22" t="str">
        <f t="shared" si="4"/>
        <v>TC_DM_F__</v>
      </c>
      <c r="P14" s="158"/>
      <c r="Q14" s="22" t="str">
        <f t="shared" si="5"/>
        <v>TC_CC_F__</v>
      </c>
      <c r="R14" s="8"/>
      <c r="S14" s="7" t="e">
        <f>_xlfn.XLOOKUP($D14,#REF!,#REF!,,0,)</f>
        <v>#REF!</v>
      </c>
      <c r="T14" s="22" t="str">
        <f>Tab_Process_TCs2527[[#This Row],[Flow_ID]]</f>
        <v>F__</v>
      </c>
      <c r="U14" s="22" t="e">
        <f t="shared" si="1"/>
        <v>#REF!</v>
      </c>
      <c r="V14" s="29"/>
      <c r="W14" s="32" t="e">
        <f>Tab_Process_TCs2527[[#This Row],[TC O_6_'[%']]]+#REF!+#REF!+#REF!+#REF!+#REF!</f>
        <v>#REF!</v>
      </c>
      <c r="X14" s="8"/>
      <c r="Y14" s="8"/>
      <c r="Z14" s="8"/>
      <c r="AA14" s="8"/>
      <c r="AB14" s="8"/>
    </row>
    <row r="15" spans="1:28" x14ac:dyDescent="0.25">
      <c r="A15" s="160" t="b">
        <v>0</v>
      </c>
      <c r="B15" s="7">
        <f t="shared" si="0"/>
        <v>14</v>
      </c>
      <c r="C15" s="27" t="e">
        <f>_xlfn.XLOOKUP($D15,Tab_Process_TCs[Process_Name],Tab_Process_TCs[Process_ID],,0,)</f>
        <v>#N/A</v>
      </c>
      <c r="D15" s="155" t="s">
        <v>31</v>
      </c>
      <c r="E15" s="155" t="s">
        <v>31</v>
      </c>
      <c r="F15" s="27" t="e">
        <f>_xlfn.XLOOKUP($D15,Tab_Process_TCs[Process_Name],Tab_Process_TCs[TC?],,0,)</f>
        <v>#N/A</v>
      </c>
      <c r="G15" s="27" t="e">
        <f>_xlfn.XLOOKUP($D15,Tab_Process_TCs[Process_Name],Tab_Process_TCs[TC_Type],,0,)</f>
        <v>#N/A</v>
      </c>
      <c r="H15" s="27" t="e">
        <f>_xlfn.XLOOKUP($D15,Tab_Process_TCs[Process_Name],Tab_Process_TCs[Process_Logic],,0,)</f>
        <v>#N/A</v>
      </c>
      <c r="I15" s="7" t="str">
        <f>_xlfn.XLOOKUP($E15,Tab_Def_Flows[Flow_Name],Tab_Def_Flows[Flow_ID],,0,1)</f>
        <v>F__</v>
      </c>
      <c r="J15" s="8"/>
      <c r="K15" s="22" t="str">
        <f t="shared" si="2"/>
        <v>TC_material_F__</v>
      </c>
      <c r="L15" s="158"/>
      <c r="M15" s="22" t="str">
        <f t="shared" si="3"/>
        <v>TC_WC_F__</v>
      </c>
      <c r="N15" s="158"/>
      <c r="O15" s="22" t="str">
        <f t="shared" si="4"/>
        <v>TC_DM_F__</v>
      </c>
      <c r="P15" s="158"/>
      <c r="Q15" s="22" t="str">
        <f t="shared" si="5"/>
        <v>TC_CC_F__</v>
      </c>
      <c r="R15" s="8"/>
      <c r="S15" s="7" t="e">
        <f>_xlfn.XLOOKUP($D15,#REF!,#REF!,,0,)</f>
        <v>#REF!</v>
      </c>
      <c r="T15" s="22" t="str">
        <f>Tab_Process_TCs2527[[#This Row],[Flow_ID]]</f>
        <v>F__</v>
      </c>
      <c r="U15" s="22" t="e">
        <f t="shared" si="1"/>
        <v>#REF!</v>
      </c>
      <c r="V15" s="29"/>
      <c r="W15" s="32" t="e">
        <f>Tab_Process_TCs2527[[#This Row],[TC O_6_'[%']]]+#REF!+#REF!+#REF!+#REF!+#REF!</f>
        <v>#REF!</v>
      </c>
      <c r="X15" s="8"/>
      <c r="Y15" s="8"/>
      <c r="Z15" s="8"/>
      <c r="AA15" s="8"/>
      <c r="AB15" s="8"/>
    </row>
    <row r="16" spans="1:28" x14ac:dyDescent="0.25">
      <c r="A16" s="160" t="b">
        <v>0</v>
      </c>
      <c r="B16" s="7">
        <f t="shared" si="0"/>
        <v>15</v>
      </c>
      <c r="C16" s="27" t="e">
        <f>_xlfn.XLOOKUP($D16,Tab_Process_TCs[Process_Name],Tab_Process_TCs[Process_ID],,0,)</f>
        <v>#N/A</v>
      </c>
      <c r="D16" s="155" t="s">
        <v>31</v>
      </c>
      <c r="E16" s="155" t="s">
        <v>31</v>
      </c>
      <c r="F16" s="27" t="e">
        <f>_xlfn.XLOOKUP($D16,Tab_Process_TCs[Process_Name],Tab_Process_TCs[TC?],,0,)</f>
        <v>#N/A</v>
      </c>
      <c r="G16" s="27" t="e">
        <f>_xlfn.XLOOKUP($D16,Tab_Process_TCs[Process_Name],Tab_Process_TCs[TC_Type],,0,)</f>
        <v>#N/A</v>
      </c>
      <c r="H16" s="27" t="e">
        <f>_xlfn.XLOOKUP($D16,Tab_Process_TCs[Process_Name],Tab_Process_TCs[Process_Logic],,0,)</f>
        <v>#N/A</v>
      </c>
      <c r="I16" s="7" t="str">
        <f>_xlfn.XLOOKUP($E16,Tab_Def_Flows[Flow_Name],Tab_Def_Flows[Flow_ID],,0,1)</f>
        <v>F__</v>
      </c>
      <c r="J16" s="8"/>
      <c r="K16" s="22" t="str">
        <f t="shared" si="2"/>
        <v>TC_material_F__</v>
      </c>
      <c r="L16" s="158"/>
      <c r="M16" s="22" t="str">
        <f t="shared" si="3"/>
        <v>TC_WC_F__</v>
      </c>
      <c r="N16" s="158"/>
      <c r="O16" s="22" t="str">
        <f t="shared" si="4"/>
        <v>TC_DM_F__</v>
      </c>
      <c r="P16" s="158"/>
      <c r="Q16" s="22" t="str">
        <f t="shared" si="5"/>
        <v>TC_CC_F__</v>
      </c>
      <c r="R16" s="8"/>
      <c r="S16" s="7" t="e">
        <f>_xlfn.XLOOKUP($D16,#REF!,#REF!,,0,)</f>
        <v>#REF!</v>
      </c>
      <c r="T16" s="22" t="str">
        <f>Tab_Process_TCs2527[[#This Row],[Flow_ID]]</f>
        <v>F__</v>
      </c>
      <c r="U16" s="22" t="e">
        <f t="shared" si="1"/>
        <v>#REF!</v>
      </c>
      <c r="V16" s="29"/>
      <c r="W16" s="32" t="e">
        <f>Tab_Process_TCs2527[[#This Row],[TC O_6_'[%']]]+#REF!+#REF!+#REF!+#REF!+#REF!</f>
        <v>#REF!</v>
      </c>
      <c r="X16" s="8"/>
      <c r="Y16" s="8"/>
      <c r="Z16" s="8"/>
      <c r="AA16" s="8"/>
      <c r="AB16" s="8"/>
    </row>
    <row r="17" spans="1:28" x14ac:dyDescent="0.25">
      <c r="A17" s="160" t="b">
        <v>0</v>
      </c>
      <c r="B17" s="7">
        <f t="shared" si="0"/>
        <v>16</v>
      </c>
      <c r="C17" s="27" t="e">
        <f>_xlfn.XLOOKUP($D17,Tab_Process_TCs[Process_Name],Tab_Process_TCs[Process_ID],,0,)</f>
        <v>#N/A</v>
      </c>
      <c r="D17" s="155" t="s">
        <v>31</v>
      </c>
      <c r="E17" s="155" t="s">
        <v>31</v>
      </c>
      <c r="F17" s="27" t="e">
        <f>_xlfn.XLOOKUP($D17,Tab_Process_TCs[Process_Name],Tab_Process_TCs[TC?],,0,)</f>
        <v>#N/A</v>
      </c>
      <c r="G17" s="27" t="e">
        <f>_xlfn.XLOOKUP($D17,Tab_Process_TCs[Process_Name],Tab_Process_TCs[TC_Type],,0,)</f>
        <v>#N/A</v>
      </c>
      <c r="H17" s="27" t="e">
        <f>_xlfn.XLOOKUP($D17,Tab_Process_TCs[Process_Name],Tab_Process_TCs[Process_Logic],,0,)</f>
        <v>#N/A</v>
      </c>
      <c r="I17" s="7" t="str">
        <f>_xlfn.XLOOKUP($E17,Tab_Def_Flows[Flow_Name],Tab_Def_Flows[Flow_ID],,0,1)</f>
        <v>F__</v>
      </c>
      <c r="J17" s="8"/>
      <c r="K17" s="22" t="str">
        <f t="shared" si="2"/>
        <v>TC_material_F__</v>
      </c>
      <c r="L17" s="158"/>
      <c r="M17" s="22" t="str">
        <f t="shared" si="3"/>
        <v>TC_WC_F__</v>
      </c>
      <c r="N17" s="158"/>
      <c r="O17" s="22" t="str">
        <f t="shared" si="4"/>
        <v>TC_DM_F__</v>
      </c>
      <c r="P17" s="158"/>
      <c r="Q17" s="22" t="str">
        <f t="shared" si="5"/>
        <v>TC_CC_F__</v>
      </c>
      <c r="R17" s="8"/>
      <c r="S17" s="7" t="e">
        <f>_xlfn.XLOOKUP($D17,#REF!,#REF!,,0,)</f>
        <v>#REF!</v>
      </c>
      <c r="T17" s="22" t="str">
        <f>Tab_Process_TCs2527[[#This Row],[Flow_ID]]</f>
        <v>F__</v>
      </c>
      <c r="U17" s="22" t="e">
        <f t="shared" si="1"/>
        <v>#REF!</v>
      </c>
      <c r="V17" s="29"/>
      <c r="W17" s="32" t="e">
        <f>Tab_Process_TCs2527[[#This Row],[TC O_6_'[%']]]+#REF!+#REF!+#REF!+#REF!+#REF!</f>
        <v>#REF!</v>
      </c>
      <c r="X17" s="8"/>
      <c r="Y17" s="8"/>
      <c r="Z17" s="8"/>
      <c r="AA17" s="8"/>
      <c r="AB17" s="8"/>
    </row>
    <row r="18" spans="1:28" ht="16.5" customHeight="1" x14ac:dyDescent="0.25">
      <c r="A18" s="160" t="b">
        <v>0</v>
      </c>
      <c r="B18" s="7">
        <f t="shared" si="0"/>
        <v>17</v>
      </c>
      <c r="C18" s="27" t="e">
        <f>_xlfn.XLOOKUP($D18,Tab_Process_TCs[Process_Name],Tab_Process_TCs[Process_ID],,0,)</f>
        <v>#N/A</v>
      </c>
      <c r="D18" s="155" t="s">
        <v>31</v>
      </c>
      <c r="E18" s="155" t="s">
        <v>31</v>
      </c>
      <c r="F18" s="27" t="e">
        <f>_xlfn.XLOOKUP($D18,Tab_Process_TCs[Process_Name],Tab_Process_TCs[TC?],,0,)</f>
        <v>#N/A</v>
      </c>
      <c r="G18" s="27" t="e">
        <f>_xlfn.XLOOKUP($D18,Tab_Process_TCs[Process_Name],Tab_Process_TCs[TC_Type],,0,)</f>
        <v>#N/A</v>
      </c>
      <c r="H18" s="27" t="e">
        <f>_xlfn.XLOOKUP($D18,Tab_Process_TCs[Process_Name],Tab_Process_TCs[Process_Logic],,0,)</f>
        <v>#N/A</v>
      </c>
      <c r="I18" s="7" t="str">
        <f>_xlfn.XLOOKUP($E18,Tab_Def_Flows[Flow_Name],Tab_Def_Flows[Flow_ID],,0,1)</f>
        <v>F__</v>
      </c>
      <c r="J18" s="8"/>
      <c r="K18" s="22" t="str">
        <f t="shared" si="2"/>
        <v>TC_material_F__</v>
      </c>
      <c r="L18" s="158"/>
      <c r="M18" s="22" t="str">
        <f t="shared" si="3"/>
        <v>TC_WC_F__</v>
      </c>
      <c r="N18" s="158"/>
      <c r="O18" s="22" t="str">
        <f t="shared" si="4"/>
        <v>TC_DM_F__</v>
      </c>
      <c r="P18" s="158"/>
      <c r="Q18" s="22" t="str">
        <f t="shared" si="5"/>
        <v>TC_CC_F__</v>
      </c>
      <c r="R18" s="8"/>
      <c r="S18" s="7" t="e">
        <f>_xlfn.XLOOKUP($D18,#REF!,#REF!,,0,)</f>
        <v>#REF!</v>
      </c>
      <c r="T18" s="22" t="str">
        <f>Tab_Process_TCs2527[[#This Row],[Flow_ID]]</f>
        <v>F__</v>
      </c>
      <c r="U18" s="22" t="e">
        <f t="shared" si="1"/>
        <v>#REF!</v>
      </c>
      <c r="V18" s="29"/>
      <c r="W18" s="32" t="e">
        <f>Tab_Process_TCs2527[[#This Row],[TC O_6_'[%']]]+#REF!+#REF!+#REF!+#REF!+#REF!</f>
        <v>#REF!</v>
      </c>
      <c r="X18" s="8"/>
      <c r="Y18" s="8"/>
      <c r="Z18" s="8"/>
      <c r="AA18" s="8"/>
      <c r="AB18" s="8"/>
    </row>
    <row r="19" spans="1:28" ht="16.5" customHeight="1" x14ac:dyDescent="0.25">
      <c r="A19" s="160" t="b">
        <v>0</v>
      </c>
      <c r="B19" s="7">
        <f>ROW()-1</f>
        <v>18</v>
      </c>
      <c r="C19" s="27" t="e">
        <f>_xlfn.XLOOKUP($D19,Tab_Process_TCs[Process_Name],Tab_Process_TCs[Process_ID],,0,)</f>
        <v>#N/A</v>
      </c>
      <c r="D19" s="155" t="s">
        <v>31</v>
      </c>
      <c r="E19" s="155" t="s">
        <v>31</v>
      </c>
      <c r="F19" s="27" t="e">
        <f>_xlfn.XLOOKUP($D19,Tab_Process_TCs[Process_Name],Tab_Process_TCs[TC?],,0,)</f>
        <v>#N/A</v>
      </c>
      <c r="G19" s="27" t="e">
        <f>_xlfn.XLOOKUP($D19,Tab_Process_TCs[Process_Name],Tab_Process_TCs[TC_Type],,0,)</f>
        <v>#N/A</v>
      </c>
      <c r="H19" s="27" t="e">
        <f>_xlfn.XLOOKUP($D19,Tab_Process_TCs[Process_Name],Tab_Process_TCs[Process_Logic],,0,)</f>
        <v>#N/A</v>
      </c>
      <c r="I19" s="7" t="str">
        <f>_xlfn.XLOOKUP($E19,Tab_Def_Flows[Flow_Name],Tab_Def_Flows[Flow_ID],,0,1)</f>
        <v>F__</v>
      </c>
      <c r="J19" s="8"/>
      <c r="K19" s="22" t="str">
        <f>"TC_material"&amp;"_"&amp;RIGHT(I19,5)</f>
        <v>TC_material_F__</v>
      </c>
      <c r="L19" s="158"/>
      <c r="M19" s="22" t="str">
        <f>"TC_WC"&amp;"_"&amp;RIGHT(I19,5)</f>
        <v>TC_WC_F__</v>
      </c>
      <c r="N19" s="158"/>
      <c r="O19" s="22" t="str">
        <f t="shared" si="4"/>
        <v>TC_DM_F__</v>
      </c>
      <c r="P19" s="158"/>
      <c r="Q19" s="22" t="str">
        <f t="shared" si="5"/>
        <v>TC_CC_F__</v>
      </c>
      <c r="R19" s="8"/>
      <c r="S19" s="197" t="e">
        <f>_xlfn.XLOOKUP($D19,#REF!,#REF!,,0,)</f>
        <v>#REF!</v>
      </c>
      <c r="T19" s="22" t="str">
        <f>Tab_Process_TCs2527[[#This Row],[Flow_ID]]</f>
        <v>F__</v>
      </c>
      <c r="U19" s="198" t="e">
        <f>"TC"&amp;"_"&amp;RIGHT(S19,5)</f>
        <v>#REF!</v>
      </c>
      <c r="V19" s="29"/>
      <c r="W19" s="32" t="e">
        <f>Tab_Process_TCs2527[[#This Row],[TC O_6_'[%']]]+#REF!+#REF!+#REF!+#REF!+#REF!</f>
        <v>#REF!</v>
      </c>
      <c r="X19" s="8"/>
      <c r="Y19" s="8"/>
      <c r="Z19" s="8"/>
      <c r="AA19" s="8"/>
      <c r="AB19" s="8"/>
    </row>
    <row r="20" spans="1:28" ht="16.5" customHeight="1" x14ac:dyDescent="0.25">
      <c r="A20" s="160" t="b">
        <v>0</v>
      </c>
      <c r="B20" s="7">
        <f>ROW()-1</f>
        <v>19</v>
      </c>
      <c r="C20" s="27" t="e">
        <f>_xlfn.XLOOKUP($D20,Tab_Process_TCs[Process_Name],Tab_Process_TCs[Process_ID],,0,)</f>
        <v>#N/A</v>
      </c>
      <c r="D20" s="155" t="s">
        <v>31</v>
      </c>
      <c r="E20" s="155" t="s">
        <v>31</v>
      </c>
      <c r="F20" s="27" t="e">
        <f>_xlfn.XLOOKUP($D20,Tab_Process_TCs[Process_Name],Tab_Process_TCs[TC?],,0,)</f>
        <v>#N/A</v>
      </c>
      <c r="G20" s="27" t="e">
        <f>_xlfn.XLOOKUP($D20,Tab_Process_TCs[Process_Name],Tab_Process_TCs[TC_Type],,0,)</f>
        <v>#N/A</v>
      </c>
      <c r="H20" s="27" t="e">
        <f>_xlfn.XLOOKUP($D20,Tab_Process_TCs[Process_Name],Tab_Process_TCs[Process_Logic],,0,)</f>
        <v>#N/A</v>
      </c>
      <c r="I20" s="7" t="str">
        <f>_xlfn.XLOOKUP($E20,Tab_Def_Flows[Flow_Name],Tab_Def_Flows[Flow_ID],,0,1)</f>
        <v>F__</v>
      </c>
      <c r="J20" s="8"/>
      <c r="K20" s="22" t="str">
        <f>"TC_material"&amp;"_"&amp;RIGHT(I20,5)</f>
        <v>TC_material_F__</v>
      </c>
      <c r="L20" s="158"/>
      <c r="M20" s="22" t="str">
        <f>"TC_WC"&amp;"_"&amp;RIGHT(I20,5)</f>
        <v>TC_WC_F__</v>
      </c>
      <c r="N20" s="158"/>
      <c r="O20" s="22" t="str">
        <f t="shared" si="4"/>
        <v>TC_DM_F__</v>
      </c>
      <c r="P20" s="158"/>
      <c r="Q20" s="22" t="str">
        <f t="shared" si="5"/>
        <v>TC_CC_F__</v>
      </c>
      <c r="R20" s="8"/>
      <c r="S20" s="197" t="e">
        <f>_xlfn.XLOOKUP($D20,#REF!,#REF!,,0,)</f>
        <v>#REF!</v>
      </c>
      <c r="T20" s="22" t="str">
        <f>Tab_Process_TCs2527[[#This Row],[Flow_ID]]</f>
        <v>F__</v>
      </c>
      <c r="U20" s="198" t="e">
        <f>"TC"&amp;"_"&amp;RIGHT(S20,5)</f>
        <v>#REF!</v>
      </c>
      <c r="V20" s="29"/>
      <c r="W20" s="32" t="e">
        <f>Tab_Process_TCs2527[[#This Row],[TC O_6_'[%']]]+#REF!+#REF!+#REF!+#REF!+#REF!</f>
        <v>#REF!</v>
      </c>
      <c r="X20" s="8"/>
      <c r="Y20" s="8"/>
      <c r="Z20" s="8"/>
      <c r="AA20" s="8"/>
      <c r="AB20" s="8"/>
    </row>
    <row r="21" spans="1:28" x14ac:dyDescent="0.25">
      <c r="A21" s="160" t="b">
        <v>0</v>
      </c>
      <c r="B21" s="7">
        <f t="shared" si="0"/>
        <v>20</v>
      </c>
      <c r="C21" s="27" t="e">
        <f>_xlfn.XLOOKUP($D21,Tab_Process_TCs[Process_Name],Tab_Process_TCs[Process_ID],,0,)</f>
        <v>#N/A</v>
      </c>
      <c r="D21" s="155" t="s">
        <v>31</v>
      </c>
      <c r="E21" s="155" t="s">
        <v>31</v>
      </c>
      <c r="F21" s="27" t="e">
        <f>_xlfn.XLOOKUP($D21,Tab_Process_TCs[Process_Name],Tab_Process_TCs[TC?],,0,)</f>
        <v>#N/A</v>
      </c>
      <c r="G21" s="27" t="e">
        <f>_xlfn.XLOOKUP($D21,Tab_Process_TCs[Process_Name],Tab_Process_TCs[TC_Type],,0,)</f>
        <v>#N/A</v>
      </c>
      <c r="H21" s="27" t="e">
        <f>_xlfn.XLOOKUP($D21,Tab_Process_TCs[Process_Name],Tab_Process_TCs[Process_Logic],,0,)</f>
        <v>#N/A</v>
      </c>
      <c r="I21" s="7" t="str">
        <f>_xlfn.XLOOKUP($E21,Tab_Def_Flows[Flow_Name],Tab_Def_Flows[Flow_ID],,0,1)</f>
        <v>F__</v>
      </c>
      <c r="J21" s="8"/>
      <c r="K21" s="22" t="str">
        <f t="shared" si="2"/>
        <v>TC_material_F__</v>
      </c>
      <c r="L21" s="158"/>
      <c r="M21" s="22" t="str">
        <f t="shared" si="3"/>
        <v>TC_WC_F__</v>
      </c>
      <c r="N21" s="158"/>
      <c r="O21" s="22" t="str">
        <f t="shared" si="4"/>
        <v>TC_DM_F__</v>
      </c>
      <c r="P21" s="158"/>
      <c r="Q21" s="22" t="str">
        <f t="shared" si="5"/>
        <v>TC_CC_F__</v>
      </c>
      <c r="R21" s="8"/>
      <c r="S21" s="7" t="e">
        <f>_xlfn.XLOOKUP($D21,#REF!,#REF!,,0,)</f>
        <v>#REF!</v>
      </c>
      <c r="T21" s="22" t="str">
        <f>Tab_Process_TCs2527[[#This Row],[Flow_ID]]</f>
        <v>F__</v>
      </c>
      <c r="U21" s="22" t="e">
        <f t="shared" si="1"/>
        <v>#REF!</v>
      </c>
      <c r="V21" s="29"/>
      <c r="W21" s="32" t="e">
        <f>Tab_Process_TCs2527[[#This Row],[TC O_6_'[%']]]+#REF!+#REF!+#REF!+#REF!+#REF!</f>
        <v>#REF!</v>
      </c>
      <c r="X21" s="8"/>
      <c r="Y21" s="8"/>
      <c r="Z21" s="8"/>
      <c r="AA21" s="8"/>
      <c r="AB21" s="8"/>
    </row>
    <row r="22" spans="1:28" x14ac:dyDescent="0.25">
      <c r="A22" s="160" t="b">
        <v>0</v>
      </c>
      <c r="B22" s="7">
        <f t="shared" si="0"/>
        <v>21</v>
      </c>
      <c r="C22" s="27" t="e">
        <f>_xlfn.XLOOKUP($D22,Tab_Process_TCs[Process_Name],Tab_Process_TCs[Process_ID],,0,)</f>
        <v>#N/A</v>
      </c>
      <c r="D22" s="155" t="s">
        <v>31</v>
      </c>
      <c r="E22" s="155" t="s">
        <v>31</v>
      </c>
      <c r="F22" s="27" t="e">
        <f>_xlfn.XLOOKUP($D22,Tab_Process_TCs[Process_Name],Tab_Process_TCs[TC?],,0,)</f>
        <v>#N/A</v>
      </c>
      <c r="G22" s="27" t="e">
        <f>_xlfn.XLOOKUP($D22,Tab_Process_TCs[Process_Name],Tab_Process_TCs[TC_Type],,0,)</f>
        <v>#N/A</v>
      </c>
      <c r="H22" s="27" t="e">
        <f>_xlfn.XLOOKUP($D22,Tab_Process_TCs[Process_Name],Tab_Process_TCs[Process_Logic],,0,)</f>
        <v>#N/A</v>
      </c>
      <c r="I22" s="7" t="str">
        <f>_xlfn.XLOOKUP($E22,Tab_Def_Flows[Flow_Name],Tab_Def_Flows[Flow_ID],,0,1)</f>
        <v>F__</v>
      </c>
      <c r="J22" s="8"/>
      <c r="K22" s="22" t="str">
        <f t="shared" si="2"/>
        <v>TC_material_F__</v>
      </c>
      <c r="L22" s="158"/>
      <c r="M22" s="22" t="str">
        <f t="shared" si="3"/>
        <v>TC_WC_F__</v>
      </c>
      <c r="N22" s="158"/>
      <c r="O22" s="22" t="str">
        <f t="shared" si="4"/>
        <v>TC_DM_F__</v>
      </c>
      <c r="P22" s="158"/>
      <c r="Q22" s="22" t="str">
        <f t="shared" si="5"/>
        <v>TC_CC_F__</v>
      </c>
      <c r="R22" s="8"/>
      <c r="S22" s="7" t="e">
        <f>_xlfn.XLOOKUP($D22,#REF!,#REF!,,0,)</f>
        <v>#REF!</v>
      </c>
      <c r="T22" s="22" t="str">
        <f>Tab_Process_TCs2527[[#This Row],[Flow_ID]]</f>
        <v>F__</v>
      </c>
      <c r="U22" s="22" t="e">
        <f t="shared" si="1"/>
        <v>#REF!</v>
      </c>
      <c r="V22" s="29"/>
      <c r="W22" s="32" t="e">
        <f>Tab_Process_TCs2527[[#This Row],[TC O_6_'[%']]]+#REF!+#REF!+#REF!+#REF!+#REF!</f>
        <v>#REF!</v>
      </c>
      <c r="X22" s="8"/>
      <c r="Y22" s="8"/>
      <c r="Z22" s="8"/>
      <c r="AA22" s="8"/>
      <c r="AB22" s="8"/>
    </row>
    <row r="23" spans="1:28" x14ac:dyDescent="0.25">
      <c r="A23" s="160" t="b">
        <v>0</v>
      </c>
      <c r="B23" s="7">
        <f t="shared" si="0"/>
        <v>22</v>
      </c>
      <c r="C23" s="27" t="e">
        <f>_xlfn.XLOOKUP($D23,Tab_Process_TCs[Process_Name],Tab_Process_TCs[Process_ID],,0,)</f>
        <v>#N/A</v>
      </c>
      <c r="D23" s="155" t="s">
        <v>31</v>
      </c>
      <c r="E23" s="155" t="s">
        <v>31</v>
      </c>
      <c r="F23" s="27" t="e">
        <f>_xlfn.XLOOKUP($D23,Tab_Process_TCs[Process_Name],Tab_Process_TCs[TC?],,0,)</f>
        <v>#N/A</v>
      </c>
      <c r="G23" s="27" t="e">
        <f>_xlfn.XLOOKUP($D23,Tab_Process_TCs[Process_Name],Tab_Process_TCs[TC_Type],,0,)</f>
        <v>#N/A</v>
      </c>
      <c r="H23" s="27" t="e">
        <f>_xlfn.XLOOKUP($D23,Tab_Process_TCs[Process_Name],Tab_Process_TCs[Process_Logic],,0,)</f>
        <v>#N/A</v>
      </c>
      <c r="I23" s="7" t="str">
        <f>_xlfn.XLOOKUP($E23,Tab_Def_Flows[Flow_Name],Tab_Def_Flows[Flow_ID],,0,1)</f>
        <v>F__</v>
      </c>
      <c r="J23" s="8"/>
      <c r="K23" s="22" t="str">
        <f t="shared" si="2"/>
        <v>TC_material_F__</v>
      </c>
      <c r="L23" s="158"/>
      <c r="M23" s="22" t="str">
        <f t="shared" si="3"/>
        <v>TC_WC_F__</v>
      </c>
      <c r="N23" s="158"/>
      <c r="O23" s="22" t="str">
        <f t="shared" si="4"/>
        <v>TC_DM_F__</v>
      </c>
      <c r="P23" s="158"/>
      <c r="Q23" s="22" t="str">
        <f t="shared" si="5"/>
        <v>TC_CC_F__</v>
      </c>
      <c r="R23" s="8"/>
      <c r="S23" s="7" t="e">
        <f>_xlfn.XLOOKUP($D23,#REF!,#REF!,,0,)</f>
        <v>#REF!</v>
      </c>
      <c r="T23" s="22" t="str">
        <f>Tab_Process_TCs2527[[#This Row],[Flow_ID]]</f>
        <v>F__</v>
      </c>
      <c r="U23" s="22" t="e">
        <f t="shared" si="1"/>
        <v>#REF!</v>
      </c>
      <c r="V23" s="29"/>
      <c r="W23" s="32" t="e">
        <f>Tab_Process_TCs2527[[#This Row],[TC O_6_'[%']]]+#REF!+#REF!+#REF!+#REF!+#REF!</f>
        <v>#REF!</v>
      </c>
      <c r="X23" s="8"/>
      <c r="Y23" s="8"/>
      <c r="Z23" s="8"/>
      <c r="AA23" s="8"/>
      <c r="AB23" s="8"/>
    </row>
    <row r="24" spans="1:28" x14ac:dyDescent="0.25">
      <c r="A24" s="160" t="b">
        <v>0</v>
      </c>
      <c r="B24" s="7">
        <f t="shared" si="0"/>
        <v>23</v>
      </c>
      <c r="C24" s="27" t="e">
        <f>_xlfn.XLOOKUP($D24,Tab_Process_TCs[Process_Name],Tab_Process_TCs[Process_ID],,0,)</f>
        <v>#N/A</v>
      </c>
      <c r="D24" s="155" t="s">
        <v>31</v>
      </c>
      <c r="E24" s="155" t="s">
        <v>31</v>
      </c>
      <c r="F24" s="27" t="e">
        <f>_xlfn.XLOOKUP($D24,Tab_Process_TCs[Process_Name],Tab_Process_TCs[TC?],,0,)</f>
        <v>#N/A</v>
      </c>
      <c r="G24" s="27" t="e">
        <f>_xlfn.XLOOKUP($D24,Tab_Process_TCs[Process_Name],Tab_Process_TCs[TC_Type],,0,)</f>
        <v>#N/A</v>
      </c>
      <c r="H24" s="27" t="e">
        <f>_xlfn.XLOOKUP($D24,Tab_Process_TCs[Process_Name],Tab_Process_TCs[Process_Logic],,0,)</f>
        <v>#N/A</v>
      </c>
      <c r="I24" s="7" t="str">
        <f>_xlfn.XLOOKUP($E24,Tab_Def_Flows[Flow_Name],Tab_Def_Flows[Flow_ID],,0,1)</f>
        <v>F__</v>
      </c>
      <c r="J24" s="8"/>
      <c r="K24" s="22" t="str">
        <f t="shared" si="2"/>
        <v>TC_material_F__</v>
      </c>
      <c r="L24" s="158"/>
      <c r="M24" s="22" t="str">
        <f t="shared" si="3"/>
        <v>TC_WC_F__</v>
      </c>
      <c r="N24" s="158"/>
      <c r="O24" s="22" t="str">
        <f t="shared" si="4"/>
        <v>TC_DM_F__</v>
      </c>
      <c r="P24" s="158"/>
      <c r="Q24" s="22" t="str">
        <f t="shared" si="5"/>
        <v>TC_CC_F__</v>
      </c>
      <c r="R24" s="8"/>
      <c r="S24" s="7" t="e">
        <f>_xlfn.XLOOKUP($D24,#REF!,#REF!,,0,)</f>
        <v>#REF!</v>
      </c>
      <c r="T24" s="22" t="str">
        <f>Tab_Process_TCs2527[[#This Row],[Flow_ID]]</f>
        <v>F__</v>
      </c>
      <c r="U24" s="22" t="e">
        <f t="shared" si="1"/>
        <v>#REF!</v>
      </c>
      <c r="V24" s="29"/>
      <c r="W24" s="32" t="e">
        <f>Tab_Process_TCs2527[[#This Row],[TC O_6_'[%']]]+#REF!+#REF!+#REF!+#REF!+#REF!</f>
        <v>#REF!</v>
      </c>
      <c r="X24" s="8"/>
      <c r="Y24" s="8"/>
      <c r="Z24" s="8"/>
      <c r="AA24" s="8"/>
      <c r="AB24" s="8"/>
    </row>
    <row r="25" spans="1:28" x14ac:dyDescent="0.25">
      <c r="A25" s="160" t="b">
        <v>0</v>
      </c>
      <c r="B25" s="7">
        <f t="shared" si="0"/>
        <v>24</v>
      </c>
      <c r="C25" s="27" t="e">
        <f>_xlfn.XLOOKUP($D25,Tab_Process_TCs[Process_Name],Tab_Process_TCs[Process_ID],,0,)</f>
        <v>#N/A</v>
      </c>
      <c r="D25" s="155" t="s">
        <v>31</v>
      </c>
      <c r="E25" s="155" t="s">
        <v>31</v>
      </c>
      <c r="F25" s="27" t="e">
        <f>_xlfn.XLOOKUP($D25,Tab_Process_TCs[Process_Name],Tab_Process_TCs[TC?],,0,)</f>
        <v>#N/A</v>
      </c>
      <c r="G25" s="27" t="e">
        <f>_xlfn.XLOOKUP($D25,Tab_Process_TCs[Process_Name],Tab_Process_TCs[TC_Type],,0,)</f>
        <v>#N/A</v>
      </c>
      <c r="H25" s="27" t="e">
        <f>_xlfn.XLOOKUP($D25,Tab_Process_TCs[Process_Name],Tab_Process_TCs[Process_Logic],,0,)</f>
        <v>#N/A</v>
      </c>
      <c r="I25" s="7" t="str">
        <f>_xlfn.XLOOKUP($E25,Tab_Def_Flows[Flow_Name],Tab_Def_Flows[Flow_ID],,0,1)</f>
        <v>F__</v>
      </c>
      <c r="J25" s="8"/>
      <c r="K25" s="22" t="str">
        <f t="shared" si="2"/>
        <v>TC_material_F__</v>
      </c>
      <c r="L25" s="158"/>
      <c r="M25" s="22" t="str">
        <f t="shared" si="3"/>
        <v>TC_WC_F__</v>
      </c>
      <c r="N25" s="158"/>
      <c r="O25" s="22" t="str">
        <f t="shared" si="4"/>
        <v>TC_DM_F__</v>
      </c>
      <c r="P25" s="158"/>
      <c r="Q25" s="22" t="str">
        <f t="shared" si="5"/>
        <v>TC_CC_F__</v>
      </c>
      <c r="R25" s="8"/>
      <c r="S25" s="7" t="e">
        <f>_xlfn.XLOOKUP($D25,#REF!,#REF!,,0,)</f>
        <v>#REF!</v>
      </c>
      <c r="T25" s="22" t="str">
        <f>Tab_Process_TCs2527[[#This Row],[Flow_ID]]</f>
        <v>F__</v>
      </c>
      <c r="U25" s="22" t="e">
        <f t="shared" si="1"/>
        <v>#REF!</v>
      </c>
      <c r="V25" s="29"/>
      <c r="W25" s="32" t="e">
        <f>Tab_Process_TCs2527[[#This Row],[TC O_6_'[%']]]+#REF!+#REF!+#REF!+#REF!+#REF!</f>
        <v>#REF!</v>
      </c>
      <c r="X25" s="8"/>
      <c r="Y25" s="8"/>
      <c r="Z25" s="8"/>
      <c r="AA25" s="8"/>
      <c r="AB25" s="8"/>
    </row>
    <row r="26" spans="1:28" x14ac:dyDescent="0.25">
      <c r="A26" s="160" t="b">
        <v>0</v>
      </c>
      <c r="B26" s="7">
        <f t="shared" si="0"/>
        <v>25</v>
      </c>
      <c r="C26" s="27" t="e">
        <f>_xlfn.XLOOKUP($D26,Tab_Process_TCs[Process_Name],Tab_Process_TCs[Process_ID],,0,)</f>
        <v>#N/A</v>
      </c>
      <c r="D26" s="155" t="s">
        <v>31</v>
      </c>
      <c r="E26" s="155" t="s">
        <v>31</v>
      </c>
      <c r="F26" s="27" t="e">
        <f>_xlfn.XLOOKUP($D26,Tab_Process_TCs[Process_Name],Tab_Process_TCs[TC?],,0,)</f>
        <v>#N/A</v>
      </c>
      <c r="G26" s="27" t="e">
        <f>_xlfn.XLOOKUP($D26,Tab_Process_TCs[Process_Name],Tab_Process_TCs[TC_Type],,0,)</f>
        <v>#N/A</v>
      </c>
      <c r="H26" s="27" t="e">
        <f>_xlfn.XLOOKUP($D26,Tab_Process_TCs[Process_Name],Tab_Process_TCs[Process_Logic],,0,)</f>
        <v>#N/A</v>
      </c>
      <c r="I26" s="7" t="str">
        <f>_xlfn.XLOOKUP($E26,Tab_Def_Flows[Flow_Name],Tab_Def_Flows[Flow_ID],,0,1)</f>
        <v>F__</v>
      </c>
      <c r="J26" s="8"/>
      <c r="K26" s="22" t="str">
        <f t="shared" si="2"/>
        <v>TC_material_F__</v>
      </c>
      <c r="L26" s="158"/>
      <c r="M26" s="22" t="str">
        <f t="shared" si="3"/>
        <v>TC_WC_F__</v>
      </c>
      <c r="N26" s="158"/>
      <c r="O26" s="22" t="str">
        <f t="shared" si="4"/>
        <v>TC_DM_F__</v>
      </c>
      <c r="P26" s="158"/>
      <c r="Q26" s="22" t="str">
        <f t="shared" si="5"/>
        <v>TC_CC_F__</v>
      </c>
      <c r="R26" s="8"/>
      <c r="S26" s="7" t="e">
        <f>_xlfn.XLOOKUP($D26,#REF!,#REF!,,0,)</f>
        <v>#REF!</v>
      </c>
      <c r="T26" s="22" t="str">
        <f>Tab_Process_TCs2527[[#This Row],[Flow_ID]]</f>
        <v>F__</v>
      </c>
      <c r="U26" s="22" t="e">
        <f t="shared" si="1"/>
        <v>#REF!</v>
      </c>
      <c r="V26" s="29"/>
      <c r="W26" s="32" t="e">
        <f>Tab_Process_TCs2527[[#This Row],[TC O_6_'[%']]]+#REF!+#REF!+#REF!+#REF!+#REF!</f>
        <v>#REF!</v>
      </c>
      <c r="X26" s="8"/>
      <c r="Y26" s="8"/>
      <c r="Z26" s="8"/>
      <c r="AA26" s="8"/>
      <c r="AB26" s="8"/>
    </row>
    <row r="27" spans="1:28" x14ac:dyDescent="0.25">
      <c r="A27" s="160" t="b">
        <v>0</v>
      </c>
      <c r="B27" s="7">
        <f t="shared" si="0"/>
        <v>26</v>
      </c>
      <c r="C27" s="27" t="e">
        <f>_xlfn.XLOOKUP($D27,Tab_Process_TCs[Process_Name],Tab_Process_TCs[Process_ID],,0,)</f>
        <v>#N/A</v>
      </c>
      <c r="D27" s="155" t="s">
        <v>31</v>
      </c>
      <c r="E27" s="155" t="s">
        <v>31</v>
      </c>
      <c r="F27" s="27" t="e">
        <f>_xlfn.XLOOKUP($D27,Tab_Process_TCs[Process_Name],Tab_Process_TCs[TC?],,0,)</f>
        <v>#N/A</v>
      </c>
      <c r="G27" s="27" t="e">
        <f>_xlfn.XLOOKUP($D27,Tab_Process_TCs[Process_Name],Tab_Process_TCs[TC_Type],,0,)</f>
        <v>#N/A</v>
      </c>
      <c r="H27" s="27" t="e">
        <f>_xlfn.XLOOKUP($D27,Tab_Process_TCs[Process_Name],Tab_Process_TCs[Process_Logic],,0,)</f>
        <v>#N/A</v>
      </c>
      <c r="I27" s="7" t="str">
        <f>_xlfn.XLOOKUP($E27,Tab_Def_Flows[Flow_Name],Tab_Def_Flows[Flow_ID],,0,1)</f>
        <v>F__</v>
      </c>
      <c r="J27" s="8"/>
      <c r="K27" s="22" t="str">
        <f t="shared" si="2"/>
        <v>TC_material_F__</v>
      </c>
      <c r="L27" s="158"/>
      <c r="M27" s="22" t="str">
        <f t="shared" si="3"/>
        <v>TC_WC_F__</v>
      </c>
      <c r="N27" s="158"/>
      <c r="O27" s="22" t="str">
        <f t="shared" si="4"/>
        <v>TC_DM_F__</v>
      </c>
      <c r="P27" s="158"/>
      <c r="Q27" s="22" t="str">
        <f t="shared" si="5"/>
        <v>TC_CC_F__</v>
      </c>
      <c r="R27" s="8"/>
      <c r="S27" s="7" t="e">
        <f>_xlfn.XLOOKUP($D27,#REF!,#REF!,,0,)</f>
        <v>#REF!</v>
      </c>
      <c r="T27" s="22" t="str">
        <f>Tab_Process_TCs2527[[#This Row],[Flow_ID]]</f>
        <v>F__</v>
      </c>
      <c r="U27" s="22" t="e">
        <f t="shared" si="1"/>
        <v>#REF!</v>
      </c>
      <c r="V27" s="29"/>
      <c r="W27" s="32" t="e">
        <f>Tab_Process_TCs2527[[#This Row],[TC O_6_'[%']]]+#REF!+#REF!+#REF!+#REF!+#REF!</f>
        <v>#REF!</v>
      </c>
      <c r="X27" s="8"/>
      <c r="Y27" s="8"/>
      <c r="Z27" s="8"/>
      <c r="AA27" s="8"/>
      <c r="AB27" s="8"/>
    </row>
    <row r="28" spans="1:28" x14ac:dyDescent="0.25">
      <c r="A28" s="160" t="b">
        <v>0</v>
      </c>
      <c r="B28" s="7">
        <f t="shared" si="0"/>
        <v>27</v>
      </c>
      <c r="C28" s="27" t="e">
        <f>_xlfn.XLOOKUP($D28,Tab_Process_TCs[Process_Name],Tab_Process_TCs[Process_ID],,0,)</f>
        <v>#N/A</v>
      </c>
      <c r="D28" s="155" t="s">
        <v>31</v>
      </c>
      <c r="E28" s="155" t="s">
        <v>31</v>
      </c>
      <c r="F28" s="27" t="e">
        <f>_xlfn.XLOOKUP($D28,Tab_Process_TCs[Process_Name],Tab_Process_TCs[TC?],,0,)</f>
        <v>#N/A</v>
      </c>
      <c r="G28" s="27" t="e">
        <f>_xlfn.XLOOKUP($D28,Tab_Process_TCs[Process_Name],Tab_Process_TCs[TC_Type],,0,)</f>
        <v>#N/A</v>
      </c>
      <c r="H28" s="27" t="e">
        <f>_xlfn.XLOOKUP($D28,Tab_Process_TCs[Process_Name],Tab_Process_TCs[Process_Logic],,0,)</f>
        <v>#N/A</v>
      </c>
      <c r="I28" s="7" t="str">
        <f>_xlfn.XLOOKUP($E28,Tab_Def_Flows[Flow_Name],Tab_Def_Flows[Flow_ID],,0,1)</f>
        <v>F__</v>
      </c>
      <c r="J28" s="8"/>
      <c r="K28" s="22" t="str">
        <f t="shared" si="2"/>
        <v>TC_material_F__</v>
      </c>
      <c r="L28" s="158"/>
      <c r="M28" s="22" t="str">
        <f t="shared" si="3"/>
        <v>TC_WC_F__</v>
      </c>
      <c r="N28" s="158"/>
      <c r="O28" s="22" t="str">
        <f t="shared" si="4"/>
        <v>TC_DM_F__</v>
      </c>
      <c r="P28" s="158"/>
      <c r="Q28" s="22" t="str">
        <f t="shared" si="5"/>
        <v>TC_CC_F__</v>
      </c>
      <c r="R28" s="8"/>
      <c r="S28" s="7" t="e">
        <f>_xlfn.XLOOKUP($D28,#REF!,#REF!,,0,)</f>
        <v>#REF!</v>
      </c>
      <c r="T28" s="22" t="str">
        <f>Tab_Process_TCs2527[[#This Row],[Flow_ID]]</f>
        <v>F__</v>
      </c>
      <c r="U28" s="22" t="e">
        <f t="shared" si="1"/>
        <v>#REF!</v>
      </c>
      <c r="V28" s="29"/>
      <c r="W28" s="32" t="e">
        <f>Tab_Process_TCs2527[[#This Row],[TC O_6_'[%']]]+#REF!+#REF!+#REF!+#REF!+#REF!</f>
        <v>#REF!</v>
      </c>
      <c r="X28" s="8"/>
      <c r="Y28" s="8"/>
      <c r="Z28" s="8"/>
      <c r="AA28" s="8"/>
      <c r="AB28" s="8"/>
    </row>
    <row r="29" spans="1:28" x14ac:dyDescent="0.25">
      <c r="A29" s="160" t="b">
        <v>0</v>
      </c>
      <c r="B29" s="7">
        <f t="shared" si="0"/>
        <v>28</v>
      </c>
      <c r="C29" s="27" t="e">
        <f>_xlfn.XLOOKUP($D29,Tab_Process_TCs[Process_Name],Tab_Process_TCs[Process_ID],,0,)</f>
        <v>#N/A</v>
      </c>
      <c r="D29" s="155" t="s">
        <v>31</v>
      </c>
      <c r="E29" s="155" t="s">
        <v>31</v>
      </c>
      <c r="F29" s="27" t="e">
        <f>_xlfn.XLOOKUP($D29,Tab_Process_TCs[Process_Name],Tab_Process_TCs[TC?],,0,)</f>
        <v>#N/A</v>
      </c>
      <c r="G29" s="27" t="e">
        <f>_xlfn.XLOOKUP($D29,Tab_Process_TCs[Process_Name],Tab_Process_TCs[TC_Type],,0,)</f>
        <v>#N/A</v>
      </c>
      <c r="H29" s="27" t="e">
        <f>_xlfn.XLOOKUP($D29,Tab_Process_TCs[Process_Name],Tab_Process_TCs[Process_Logic],,0,)</f>
        <v>#N/A</v>
      </c>
      <c r="I29" s="7" t="str">
        <f>_xlfn.XLOOKUP($E29,Tab_Def_Flows[Flow_Name],Tab_Def_Flows[Flow_ID],,0,1)</f>
        <v>F__</v>
      </c>
      <c r="J29" s="8"/>
      <c r="K29" s="22" t="str">
        <f t="shared" si="2"/>
        <v>TC_material_F__</v>
      </c>
      <c r="L29" s="158"/>
      <c r="M29" s="22" t="str">
        <f t="shared" si="3"/>
        <v>TC_WC_F__</v>
      </c>
      <c r="N29" s="158"/>
      <c r="O29" s="22" t="str">
        <f t="shared" si="4"/>
        <v>TC_DM_F__</v>
      </c>
      <c r="P29" s="158"/>
      <c r="Q29" s="22" t="str">
        <f t="shared" si="5"/>
        <v>TC_CC_F__</v>
      </c>
      <c r="R29" s="8"/>
      <c r="S29" s="7" t="e">
        <f>_xlfn.XLOOKUP($D29,#REF!,#REF!,,0,)</f>
        <v>#REF!</v>
      </c>
      <c r="T29" s="22" t="str">
        <f>Tab_Process_TCs2527[[#This Row],[Flow_ID]]</f>
        <v>F__</v>
      </c>
      <c r="U29" s="22" t="e">
        <f t="shared" si="1"/>
        <v>#REF!</v>
      </c>
      <c r="V29" s="29"/>
      <c r="W29" s="32" t="e">
        <f>Tab_Process_TCs2527[[#This Row],[TC O_6_'[%']]]+#REF!+#REF!+#REF!+#REF!+#REF!</f>
        <v>#REF!</v>
      </c>
      <c r="X29" s="8"/>
      <c r="Y29" s="8"/>
      <c r="Z29" s="8"/>
      <c r="AA29" s="8"/>
      <c r="AB29" s="8"/>
    </row>
    <row r="30" spans="1:28" x14ac:dyDescent="0.25">
      <c r="A30" s="160" t="b">
        <v>0</v>
      </c>
      <c r="B30" s="7">
        <f t="shared" si="0"/>
        <v>29</v>
      </c>
      <c r="C30" s="27" t="e">
        <f>_xlfn.XLOOKUP($D30,Tab_Process_TCs[Process_Name],Tab_Process_TCs[Process_ID],,0,)</f>
        <v>#N/A</v>
      </c>
      <c r="D30" s="155" t="s">
        <v>31</v>
      </c>
      <c r="E30" s="155" t="s">
        <v>31</v>
      </c>
      <c r="F30" s="27" t="e">
        <f>_xlfn.XLOOKUP($D30,Tab_Process_TCs[Process_Name],Tab_Process_TCs[TC?],,0,)</f>
        <v>#N/A</v>
      </c>
      <c r="G30" s="27" t="e">
        <f>_xlfn.XLOOKUP($D30,Tab_Process_TCs[Process_Name],Tab_Process_TCs[TC_Type],,0,)</f>
        <v>#N/A</v>
      </c>
      <c r="H30" s="27" t="e">
        <f>_xlfn.XLOOKUP($D30,Tab_Process_TCs[Process_Name],Tab_Process_TCs[Process_Logic],,0,)</f>
        <v>#N/A</v>
      </c>
      <c r="I30" s="7" t="str">
        <f>_xlfn.XLOOKUP($E30,Tab_Def_Flows[Flow_Name],Tab_Def_Flows[Flow_ID],,0,1)</f>
        <v>F__</v>
      </c>
      <c r="J30" s="8"/>
      <c r="K30" s="22" t="str">
        <f t="shared" si="2"/>
        <v>TC_material_F__</v>
      </c>
      <c r="L30" s="158"/>
      <c r="M30" s="22" t="str">
        <f t="shared" si="3"/>
        <v>TC_WC_F__</v>
      </c>
      <c r="N30" s="158"/>
      <c r="O30" s="22" t="str">
        <f t="shared" si="4"/>
        <v>TC_DM_F__</v>
      </c>
      <c r="P30" s="158"/>
      <c r="Q30" s="22" t="str">
        <f t="shared" si="5"/>
        <v>TC_CC_F__</v>
      </c>
      <c r="R30" s="8"/>
      <c r="S30" s="7" t="e">
        <f>_xlfn.XLOOKUP($D30,#REF!,#REF!,,0,)</f>
        <v>#REF!</v>
      </c>
      <c r="T30" s="22" t="str">
        <f>Tab_Process_TCs2527[[#This Row],[Flow_ID]]</f>
        <v>F__</v>
      </c>
      <c r="U30" s="22" t="e">
        <f t="shared" si="1"/>
        <v>#REF!</v>
      </c>
      <c r="V30" s="29"/>
      <c r="W30" s="32" t="e">
        <f>Tab_Process_TCs2527[[#This Row],[TC O_6_'[%']]]+#REF!+#REF!+#REF!+#REF!+#REF!</f>
        <v>#REF!</v>
      </c>
      <c r="X30" s="8"/>
      <c r="Y30" s="8"/>
      <c r="Z30" s="8"/>
      <c r="AA30" s="8"/>
      <c r="AB30" s="8"/>
    </row>
    <row r="31" spans="1:28" x14ac:dyDescent="0.25">
      <c r="A31" s="160" t="b">
        <v>0</v>
      </c>
      <c r="B31" s="7">
        <f t="shared" si="0"/>
        <v>30</v>
      </c>
      <c r="C31" s="27" t="e">
        <f>_xlfn.XLOOKUP($D31,Tab_Process_TCs[Process_Name],Tab_Process_TCs[Process_ID],,0,)</f>
        <v>#N/A</v>
      </c>
      <c r="D31" s="155" t="s">
        <v>31</v>
      </c>
      <c r="E31" s="155" t="s">
        <v>31</v>
      </c>
      <c r="F31" s="27" t="e">
        <f>_xlfn.XLOOKUP($D31,Tab_Process_TCs[Process_Name],Tab_Process_TCs[TC?],,0,)</f>
        <v>#N/A</v>
      </c>
      <c r="G31" s="27" t="e">
        <f>_xlfn.XLOOKUP($D31,Tab_Process_TCs[Process_Name],Tab_Process_TCs[TC_Type],,0,)</f>
        <v>#N/A</v>
      </c>
      <c r="H31" s="27" t="e">
        <f>_xlfn.XLOOKUP($D31,Tab_Process_TCs[Process_Name],Tab_Process_TCs[Process_Logic],,0,)</f>
        <v>#N/A</v>
      </c>
      <c r="I31" s="7" t="str">
        <f>_xlfn.XLOOKUP($E31,Tab_Def_Flows[Flow_Name],Tab_Def_Flows[Flow_ID],,0,1)</f>
        <v>F__</v>
      </c>
      <c r="J31" s="8"/>
      <c r="K31" s="22" t="str">
        <f t="shared" si="2"/>
        <v>TC_material_F__</v>
      </c>
      <c r="L31" s="158"/>
      <c r="M31" s="22" t="str">
        <f t="shared" si="3"/>
        <v>TC_WC_F__</v>
      </c>
      <c r="N31" s="158"/>
      <c r="O31" s="22" t="str">
        <f t="shared" si="4"/>
        <v>TC_DM_F__</v>
      </c>
      <c r="P31" s="158"/>
      <c r="Q31" s="22" t="str">
        <f t="shared" si="5"/>
        <v>TC_CC_F__</v>
      </c>
      <c r="R31" s="8"/>
      <c r="S31" s="7" t="e">
        <f>_xlfn.XLOOKUP($D31,#REF!,#REF!,,0,)</f>
        <v>#REF!</v>
      </c>
      <c r="T31" s="22" t="str">
        <f>Tab_Process_TCs2527[[#This Row],[Flow_ID]]</f>
        <v>F__</v>
      </c>
      <c r="U31" s="22" t="e">
        <f t="shared" si="1"/>
        <v>#REF!</v>
      </c>
      <c r="V31" s="29"/>
      <c r="W31" s="32" t="e">
        <f>Tab_Process_TCs2527[[#This Row],[TC O_6_'[%']]]+#REF!+#REF!+#REF!+#REF!+#REF!</f>
        <v>#REF!</v>
      </c>
      <c r="X31" s="8"/>
      <c r="Y31" s="8"/>
      <c r="Z31" s="8"/>
      <c r="AA31" s="8"/>
      <c r="AB31" s="8"/>
    </row>
    <row r="32" spans="1:28" x14ac:dyDescent="0.25">
      <c r="A32" s="160" t="b">
        <v>0</v>
      </c>
      <c r="B32" s="7">
        <f t="shared" ref="B32:B63" si="6">ROW()-1</f>
        <v>31</v>
      </c>
      <c r="C32" s="27" t="e">
        <f>_xlfn.XLOOKUP($D32,Tab_Process_TCs[Process_Name],Tab_Process_TCs[Process_ID],,0,)</f>
        <v>#N/A</v>
      </c>
      <c r="D32" s="155" t="s">
        <v>31</v>
      </c>
      <c r="E32" s="155" t="s">
        <v>31</v>
      </c>
      <c r="F32" s="27" t="e">
        <f>_xlfn.XLOOKUP($D32,Tab_Process_TCs[Process_Name],Tab_Process_TCs[TC?],,0,)</f>
        <v>#N/A</v>
      </c>
      <c r="G32" s="27" t="e">
        <f>_xlfn.XLOOKUP($D32,Tab_Process_TCs[Process_Name],Tab_Process_TCs[TC_Type],,0,)</f>
        <v>#N/A</v>
      </c>
      <c r="H32" s="27" t="e">
        <f>_xlfn.XLOOKUP($D32,Tab_Process_TCs[Process_Name],Tab_Process_TCs[Process_Logic],,0,)</f>
        <v>#N/A</v>
      </c>
      <c r="I32" s="7" t="str">
        <f>_xlfn.XLOOKUP($E32,Tab_Def_Flows[Flow_Name],Tab_Def_Flows[Flow_ID],,0,1)</f>
        <v>F__</v>
      </c>
      <c r="J32" s="8"/>
      <c r="K32" s="22" t="str">
        <f t="shared" si="2"/>
        <v>TC_material_F__</v>
      </c>
      <c r="L32" s="158"/>
      <c r="M32" s="22" t="str">
        <f t="shared" si="3"/>
        <v>TC_WC_F__</v>
      </c>
      <c r="N32" s="158"/>
      <c r="O32" s="22" t="str">
        <f t="shared" si="4"/>
        <v>TC_DM_F__</v>
      </c>
      <c r="P32" s="158"/>
      <c r="Q32" s="22" t="str">
        <f t="shared" si="5"/>
        <v>TC_CC_F__</v>
      </c>
      <c r="R32" s="8"/>
      <c r="S32" s="7" t="e">
        <f>_xlfn.XLOOKUP($D32,#REF!,#REF!,,0,)</f>
        <v>#REF!</v>
      </c>
      <c r="T32" s="22" t="str">
        <f>Tab_Process_TCs2527[[#This Row],[Flow_ID]]</f>
        <v>F__</v>
      </c>
      <c r="U32" s="22" t="e">
        <f t="shared" ref="U32:U63" si="7">"TC"&amp;"_"&amp;RIGHT(S32,5)</f>
        <v>#REF!</v>
      </c>
      <c r="V32" s="29"/>
      <c r="W32" s="32" t="e">
        <f>Tab_Process_TCs2527[[#This Row],[TC O_6_'[%']]]+#REF!+#REF!+#REF!+#REF!+#REF!</f>
        <v>#REF!</v>
      </c>
      <c r="X32" s="8"/>
      <c r="Y32" s="8"/>
      <c r="Z32" s="8"/>
      <c r="AA32" s="8"/>
      <c r="AB32" s="8"/>
    </row>
    <row r="33" spans="1:28" x14ac:dyDescent="0.25">
      <c r="A33" s="160" t="b">
        <v>0</v>
      </c>
      <c r="B33" s="7">
        <f t="shared" si="6"/>
        <v>32</v>
      </c>
      <c r="C33" s="27" t="e">
        <f>_xlfn.XLOOKUP($D33,Tab_Process_TCs[Process_Name],Tab_Process_TCs[Process_ID],,0,)</f>
        <v>#N/A</v>
      </c>
      <c r="D33" s="155" t="s">
        <v>31</v>
      </c>
      <c r="E33" s="155" t="s">
        <v>31</v>
      </c>
      <c r="F33" s="27" t="e">
        <f>_xlfn.XLOOKUP($D33,Tab_Process_TCs[Process_Name],Tab_Process_TCs[TC?],,0,)</f>
        <v>#N/A</v>
      </c>
      <c r="G33" s="27" t="e">
        <f>_xlfn.XLOOKUP($D33,Tab_Process_TCs[Process_Name],Tab_Process_TCs[TC_Type],,0,)</f>
        <v>#N/A</v>
      </c>
      <c r="H33" s="27" t="e">
        <f>_xlfn.XLOOKUP($D33,Tab_Process_TCs[Process_Name],Tab_Process_TCs[Process_Logic],,0,)</f>
        <v>#N/A</v>
      </c>
      <c r="I33" s="7" t="str">
        <f>_xlfn.XLOOKUP($E33,Tab_Def_Flows[Flow_Name],Tab_Def_Flows[Flow_ID],,0,1)</f>
        <v>F__</v>
      </c>
      <c r="J33" s="8"/>
      <c r="K33" s="22" t="str">
        <f t="shared" si="2"/>
        <v>TC_material_F__</v>
      </c>
      <c r="L33" s="158"/>
      <c r="M33" s="22" t="str">
        <f t="shared" si="3"/>
        <v>TC_WC_F__</v>
      </c>
      <c r="N33" s="158"/>
      <c r="O33" s="22" t="str">
        <f t="shared" si="4"/>
        <v>TC_DM_F__</v>
      </c>
      <c r="P33" s="158"/>
      <c r="Q33" s="22" t="str">
        <f t="shared" si="5"/>
        <v>TC_CC_F__</v>
      </c>
      <c r="R33" s="8"/>
      <c r="S33" s="7" t="e">
        <f>_xlfn.XLOOKUP($D33,#REF!,#REF!,,0,)</f>
        <v>#REF!</v>
      </c>
      <c r="T33" s="22" t="str">
        <f>Tab_Process_TCs2527[[#This Row],[Flow_ID]]</f>
        <v>F__</v>
      </c>
      <c r="U33" s="22" t="e">
        <f t="shared" si="7"/>
        <v>#REF!</v>
      </c>
      <c r="V33" s="29"/>
      <c r="W33" s="32" t="e">
        <f>Tab_Process_TCs2527[[#This Row],[TC O_6_'[%']]]+#REF!+#REF!+#REF!+#REF!+#REF!</f>
        <v>#REF!</v>
      </c>
      <c r="X33" s="8"/>
      <c r="Y33" s="8"/>
      <c r="Z33" s="8"/>
      <c r="AA33" s="8"/>
      <c r="AB33" s="8"/>
    </row>
    <row r="34" spans="1:28" x14ac:dyDescent="0.25">
      <c r="A34" s="160" t="b">
        <v>0</v>
      </c>
      <c r="B34" s="7">
        <f t="shared" si="6"/>
        <v>33</v>
      </c>
      <c r="C34" s="27" t="e">
        <f>_xlfn.XLOOKUP($D34,Tab_Process_TCs[Process_Name],Tab_Process_TCs[Process_ID],,0,)</f>
        <v>#N/A</v>
      </c>
      <c r="D34" s="155" t="s">
        <v>31</v>
      </c>
      <c r="E34" s="155" t="s">
        <v>31</v>
      </c>
      <c r="F34" s="27" t="e">
        <f>_xlfn.XLOOKUP($D34,Tab_Process_TCs[Process_Name],Tab_Process_TCs[TC?],,0,)</f>
        <v>#N/A</v>
      </c>
      <c r="G34" s="27" t="e">
        <f>_xlfn.XLOOKUP($D34,Tab_Process_TCs[Process_Name],Tab_Process_TCs[TC_Type],,0,)</f>
        <v>#N/A</v>
      </c>
      <c r="H34" s="27" t="e">
        <f>_xlfn.XLOOKUP($D34,Tab_Process_TCs[Process_Name],Tab_Process_TCs[Process_Logic],,0,)</f>
        <v>#N/A</v>
      </c>
      <c r="I34" s="7" t="str">
        <f>_xlfn.XLOOKUP($E34,Tab_Def_Flows[Flow_Name],Tab_Def_Flows[Flow_ID],,0,1)</f>
        <v>F__</v>
      </c>
      <c r="J34" s="8"/>
      <c r="K34" s="22" t="str">
        <f t="shared" si="2"/>
        <v>TC_material_F__</v>
      </c>
      <c r="L34" s="158"/>
      <c r="M34" s="22" t="str">
        <f t="shared" si="3"/>
        <v>TC_WC_F__</v>
      </c>
      <c r="N34" s="158"/>
      <c r="O34" s="22" t="str">
        <f t="shared" si="4"/>
        <v>TC_DM_F__</v>
      </c>
      <c r="P34" s="158"/>
      <c r="Q34" s="22" t="str">
        <f t="shared" si="5"/>
        <v>TC_CC_F__</v>
      </c>
      <c r="R34" s="8"/>
      <c r="S34" s="7" t="e">
        <f>_xlfn.XLOOKUP($D34,#REF!,#REF!,,0,)</f>
        <v>#REF!</v>
      </c>
      <c r="T34" s="22" t="str">
        <f>Tab_Process_TCs2527[[#This Row],[Flow_ID]]</f>
        <v>F__</v>
      </c>
      <c r="U34" s="22" t="e">
        <f t="shared" si="7"/>
        <v>#REF!</v>
      </c>
      <c r="V34" s="29"/>
      <c r="W34" s="32" t="e">
        <f>Tab_Process_TCs2527[[#This Row],[TC O_6_'[%']]]+#REF!+#REF!+#REF!+#REF!+#REF!</f>
        <v>#REF!</v>
      </c>
      <c r="X34" s="8"/>
      <c r="Y34" s="8"/>
      <c r="Z34" s="8"/>
      <c r="AA34" s="8"/>
      <c r="AB34" s="8"/>
    </row>
    <row r="35" spans="1:28" x14ac:dyDescent="0.25">
      <c r="A35" s="160" t="b">
        <v>0</v>
      </c>
      <c r="B35" s="7">
        <f t="shared" si="6"/>
        <v>34</v>
      </c>
      <c r="C35" s="27" t="e">
        <f>_xlfn.XLOOKUP($D35,Tab_Process_TCs[Process_Name],Tab_Process_TCs[Process_ID],,0,)</f>
        <v>#N/A</v>
      </c>
      <c r="D35" s="155" t="s">
        <v>31</v>
      </c>
      <c r="E35" s="155" t="s">
        <v>31</v>
      </c>
      <c r="F35" s="27" t="e">
        <f>_xlfn.XLOOKUP($D35,Tab_Process_TCs[Process_Name],Tab_Process_TCs[TC?],,0,)</f>
        <v>#N/A</v>
      </c>
      <c r="G35" s="27" t="e">
        <f>_xlfn.XLOOKUP($D35,Tab_Process_TCs[Process_Name],Tab_Process_TCs[TC_Type],,0,)</f>
        <v>#N/A</v>
      </c>
      <c r="H35" s="27" t="e">
        <f>_xlfn.XLOOKUP($D35,Tab_Process_TCs[Process_Name],Tab_Process_TCs[Process_Logic],,0,)</f>
        <v>#N/A</v>
      </c>
      <c r="I35" s="7" t="str">
        <f>_xlfn.XLOOKUP($E35,Tab_Def_Flows[Flow_Name],Tab_Def_Flows[Flow_ID],,0,1)</f>
        <v>F__</v>
      </c>
      <c r="J35" s="8"/>
      <c r="K35" s="22" t="str">
        <f t="shared" si="2"/>
        <v>TC_material_F__</v>
      </c>
      <c r="L35" s="158"/>
      <c r="M35" s="22" t="str">
        <f t="shared" si="3"/>
        <v>TC_WC_F__</v>
      </c>
      <c r="N35" s="158"/>
      <c r="O35" s="22" t="str">
        <f t="shared" si="4"/>
        <v>TC_DM_F__</v>
      </c>
      <c r="P35" s="158"/>
      <c r="Q35" s="22" t="str">
        <f t="shared" si="5"/>
        <v>TC_CC_F__</v>
      </c>
      <c r="R35" s="8"/>
      <c r="S35" s="7" t="e">
        <f>_xlfn.XLOOKUP($D35,#REF!,#REF!,,0,)</f>
        <v>#REF!</v>
      </c>
      <c r="T35" s="22" t="str">
        <f>Tab_Process_TCs2527[[#This Row],[Flow_ID]]</f>
        <v>F__</v>
      </c>
      <c r="U35" s="22" t="e">
        <f t="shared" si="7"/>
        <v>#REF!</v>
      </c>
      <c r="V35" s="29"/>
      <c r="W35" s="32" t="e">
        <f>Tab_Process_TCs2527[[#This Row],[TC O_6_'[%']]]+#REF!+#REF!+#REF!+#REF!+#REF!</f>
        <v>#REF!</v>
      </c>
      <c r="X35" s="8"/>
      <c r="Y35" s="8"/>
      <c r="Z35" s="8"/>
      <c r="AA35" s="8"/>
      <c r="AB35" s="8"/>
    </row>
    <row r="36" spans="1:28" x14ac:dyDescent="0.25">
      <c r="A36" s="160" t="b">
        <v>0</v>
      </c>
      <c r="B36" s="7">
        <f t="shared" si="6"/>
        <v>35</v>
      </c>
      <c r="C36" s="27" t="e">
        <f>_xlfn.XLOOKUP($D36,Tab_Process_TCs[Process_Name],Tab_Process_TCs[Process_ID],,0,)</f>
        <v>#N/A</v>
      </c>
      <c r="D36" s="155" t="s">
        <v>31</v>
      </c>
      <c r="E36" s="155" t="s">
        <v>31</v>
      </c>
      <c r="F36" s="27" t="e">
        <f>_xlfn.XLOOKUP($D36,Tab_Process_TCs[Process_Name],Tab_Process_TCs[TC?],,0,)</f>
        <v>#N/A</v>
      </c>
      <c r="G36" s="27" t="e">
        <f>_xlfn.XLOOKUP($D36,Tab_Process_TCs[Process_Name],Tab_Process_TCs[TC_Type],,0,)</f>
        <v>#N/A</v>
      </c>
      <c r="H36" s="27" t="e">
        <f>_xlfn.XLOOKUP($D36,Tab_Process_TCs[Process_Name],Tab_Process_TCs[Process_Logic],,0,)</f>
        <v>#N/A</v>
      </c>
      <c r="I36" s="7" t="str">
        <f>_xlfn.XLOOKUP($E36,Tab_Def_Flows[Flow_Name],Tab_Def_Flows[Flow_ID],,0,1)</f>
        <v>F__</v>
      </c>
      <c r="J36" s="8"/>
      <c r="K36" s="22" t="str">
        <f t="shared" si="2"/>
        <v>TC_material_F__</v>
      </c>
      <c r="L36" s="158"/>
      <c r="M36" s="22" t="str">
        <f t="shared" si="3"/>
        <v>TC_WC_F__</v>
      </c>
      <c r="N36" s="158"/>
      <c r="O36" s="22" t="str">
        <f t="shared" si="4"/>
        <v>TC_DM_F__</v>
      </c>
      <c r="P36" s="158"/>
      <c r="Q36" s="22" t="str">
        <f t="shared" si="5"/>
        <v>TC_CC_F__</v>
      </c>
      <c r="R36" s="8"/>
      <c r="S36" s="7" t="e">
        <f>_xlfn.XLOOKUP($D36,#REF!,#REF!,,0,)</f>
        <v>#REF!</v>
      </c>
      <c r="T36" s="22" t="str">
        <f>Tab_Process_TCs2527[[#This Row],[Flow_ID]]</f>
        <v>F__</v>
      </c>
      <c r="U36" s="22" t="e">
        <f t="shared" si="7"/>
        <v>#REF!</v>
      </c>
      <c r="V36" s="29"/>
      <c r="W36" s="32" t="e">
        <f>Tab_Process_TCs2527[[#This Row],[TC O_6_'[%']]]+#REF!+#REF!+#REF!+#REF!+#REF!</f>
        <v>#REF!</v>
      </c>
      <c r="X36" s="8"/>
      <c r="Y36" s="8"/>
      <c r="Z36" s="8"/>
      <c r="AA36" s="8"/>
      <c r="AB36" s="8"/>
    </row>
    <row r="37" spans="1:28" x14ac:dyDescent="0.25">
      <c r="A37" s="160" t="b">
        <v>0</v>
      </c>
      <c r="B37" s="7">
        <f t="shared" si="6"/>
        <v>36</v>
      </c>
      <c r="C37" s="27" t="e">
        <f>_xlfn.XLOOKUP($D37,Tab_Process_TCs[Process_Name],Tab_Process_TCs[Process_ID],,0,)</f>
        <v>#N/A</v>
      </c>
      <c r="D37" s="155" t="s">
        <v>31</v>
      </c>
      <c r="E37" s="155" t="s">
        <v>31</v>
      </c>
      <c r="F37" s="27" t="e">
        <f>_xlfn.XLOOKUP($D37,Tab_Process_TCs[Process_Name],Tab_Process_TCs[TC?],,0,)</f>
        <v>#N/A</v>
      </c>
      <c r="G37" s="27" t="e">
        <f>_xlfn.XLOOKUP($D37,Tab_Process_TCs[Process_Name],Tab_Process_TCs[TC_Type],,0,)</f>
        <v>#N/A</v>
      </c>
      <c r="H37" s="27" t="e">
        <f>_xlfn.XLOOKUP($D37,Tab_Process_TCs[Process_Name],Tab_Process_TCs[Process_Logic],,0,)</f>
        <v>#N/A</v>
      </c>
      <c r="I37" s="7" t="str">
        <f>_xlfn.XLOOKUP($E37,Tab_Def_Flows[Flow_Name],Tab_Def_Flows[Flow_ID],,0,1)</f>
        <v>F__</v>
      </c>
      <c r="J37" s="8"/>
      <c r="K37" s="22" t="str">
        <f t="shared" si="2"/>
        <v>TC_material_F__</v>
      </c>
      <c r="L37" s="158"/>
      <c r="M37" s="22" t="str">
        <f t="shared" si="3"/>
        <v>TC_WC_F__</v>
      </c>
      <c r="N37" s="158"/>
      <c r="O37" s="22" t="str">
        <f t="shared" si="4"/>
        <v>TC_DM_F__</v>
      </c>
      <c r="P37" s="158"/>
      <c r="Q37" s="22" t="str">
        <f t="shared" si="5"/>
        <v>TC_CC_F__</v>
      </c>
      <c r="R37" s="8"/>
      <c r="S37" s="7" t="e">
        <f>_xlfn.XLOOKUP($D37,#REF!,#REF!,,0,)</f>
        <v>#REF!</v>
      </c>
      <c r="T37" s="22" t="str">
        <f>Tab_Process_TCs2527[[#This Row],[Flow_ID]]</f>
        <v>F__</v>
      </c>
      <c r="U37" s="22" t="e">
        <f t="shared" si="7"/>
        <v>#REF!</v>
      </c>
      <c r="V37" s="29"/>
      <c r="W37" s="32" t="e">
        <f>Tab_Process_TCs2527[[#This Row],[TC O_6_'[%']]]+#REF!+#REF!+#REF!+#REF!+#REF!</f>
        <v>#REF!</v>
      </c>
      <c r="X37" s="8"/>
      <c r="Y37" s="8"/>
      <c r="Z37" s="8"/>
      <c r="AA37" s="8"/>
      <c r="AB37" s="8"/>
    </row>
    <row r="38" spans="1:28" x14ac:dyDescent="0.25">
      <c r="A38" s="160" t="b">
        <v>0</v>
      </c>
      <c r="B38" s="7">
        <f t="shared" si="6"/>
        <v>37</v>
      </c>
      <c r="C38" s="27" t="e">
        <f>_xlfn.XLOOKUP($D38,Tab_Process_TCs[Process_Name],Tab_Process_TCs[Process_ID],,0,)</f>
        <v>#N/A</v>
      </c>
      <c r="D38" s="155" t="s">
        <v>31</v>
      </c>
      <c r="E38" s="155" t="s">
        <v>31</v>
      </c>
      <c r="F38" s="27" t="e">
        <f>_xlfn.XLOOKUP($D38,Tab_Process_TCs[Process_Name],Tab_Process_TCs[TC?],,0,)</f>
        <v>#N/A</v>
      </c>
      <c r="G38" s="27" t="e">
        <f>_xlfn.XLOOKUP($D38,Tab_Process_TCs[Process_Name],Tab_Process_TCs[TC_Type],,0,)</f>
        <v>#N/A</v>
      </c>
      <c r="H38" s="27" t="e">
        <f>_xlfn.XLOOKUP($D38,Tab_Process_TCs[Process_Name],Tab_Process_TCs[Process_Logic],,0,)</f>
        <v>#N/A</v>
      </c>
      <c r="I38" s="7" t="str">
        <f>_xlfn.XLOOKUP($E38,Tab_Def_Flows[Flow_Name],Tab_Def_Flows[Flow_ID],,0,1)</f>
        <v>F__</v>
      </c>
      <c r="J38" s="8"/>
      <c r="K38" s="22" t="str">
        <f t="shared" si="2"/>
        <v>TC_material_F__</v>
      </c>
      <c r="L38" s="158"/>
      <c r="M38" s="22" t="str">
        <f t="shared" si="3"/>
        <v>TC_WC_F__</v>
      </c>
      <c r="N38" s="158"/>
      <c r="O38" s="22" t="str">
        <f t="shared" si="4"/>
        <v>TC_DM_F__</v>
      </c>
      <c r="P38" s="158"/>
      <c r="Q38" s="22" t="str">
        <f t="shared" si="5"/>
        <v>TC_CC_F__</v>
      </c>
      <c r="R38" s="8"/>
      <c r="S38" s="7" t="e">
        <f>_xlfn.XLOOKUP($D38,#REF!,#REF!,,0,)</f>
        <v>#REF!</v>
      </c>
      <c r="T38" s="22" t="str">
        <f>Tab_Process_TCs2527[[#This Row],[Flow_ID]]</f>
        <v>F__</v>
      </c>
      <c r="U38" s="22" t="e">
        <f t="shared" si="7"/>
        <v>#REF!</v>
      </c>
      <c r="V38" s="29"/>
      <c r="W38" s="32" t="e">
        <f>Tab_Process_TCs2527[[#This Row],[TC O_6_'[%']]]+#REF!+#REF!+#REF!+#REF!+#REF!</f>
        <v>#REF!</v>
      </c>
      <c r="X38" s="8"/>
      <c r="Y38" s="8"/>
      <c r="Z38" s="8"/>
      <c r="AA38" s="8"/>
      <c r="AB38" s="8"/>
    </row>
    <row r="39" spans="1:28" x14ac:dyDescent="0.25">
      <c r="A39" s="160" t="b">
        <v>0</v>
      </c>
      <c r="B39" s="7">
        <f t="shared" si="6"/>
        <v>38</v>
      </c>
      <c r="C39" s="27" t="e">
        <f>_xlfn.XLOOKUP($D39,Tab_Process_TCs[Process_Name],Tab_Process_TCs[Process_ID],,0,)</f>
        <v>#N/A</v>
      </c>
      <c r="D39" s="155" t="s">
        <v>31</v>
      </c>
      <c r="E39" s="155" t="s">
        <v>31</v>
      </c>
      <c r="F39" s="27" t="e">
        <f>_xlfn.XLOOKUP($D39,Tab_Process_TCs[Process_Name],Tab_Process_TCs[TC?],,0,)</f>
        <v>#N/A</v>
      </c>
      <c r="G39" s="27" t="e">
        <f>_xlfn.XLOOKUP($D39,Tab_Process_TCs[Process_Name],Tab_Process_TCs[TC_Type],,0,)</f>
        <v>#N/A</v>
      </c>
      <c r="H39" s="27" t="e">
        <f>_xlfn.XLOOKUP($D39,Tab_Process_TCs[Process_Name],Tab_Process_TCs[Process_Logic],,0,)</f>
        <v>#N/A</v>
      </c>
      <c r="I39" s="7" t="str">
        <f>_xlfn.XLOOKUP($E39,Tab_Def_Flows[Flow_Name],Tab_Def_Flows[Flow_ID],,0,1)</f>
        <v>F__</v>
      </c>
      <c r="J39" s="8"/>
      <c r="K39" s="22" t="str">
        <f t="shared" si="2"/>
        <v>TC_material_F__</v>
      </c>
      <c r="L39" s="158"/>
      <c r="M39" s="22" t="str">
        <f t="shared" si="3"/>
        <v>TC_WC_F__</v>
      </c>
      <c r="N39" s="158"/>
      <c r="O39" s="22" t="str">
        <f t="shared" si="4"/>
        <v>TC_DM_F__</v>
      </c>
      <c r="P39" s="158"/>
      <c r="Q39" s="22" t="str">
        <f t="shared" si="5"/>
        <v>TC_CC_F__</v>
      </c>
      <c r="R39" s="8"/>
      <c r="S39" s="7" t="e">
        <f>_xlfn.XLOOKUP($D39,#REF!,#REF!,,0,)</f>
        <v>#REF!</v>
      </c>
      <c r="T39" s="22" t="str">
        <f>Tab_Process_TCs2527[[#This Row],[Flow_ID]]</f>
        <v>F__</v>
      </c>
      <c r="U39" s="22" t="e">
        <f t="shared" si="7"/>
        <v>#REF!</v>
      </c>
      <c r="V39" s="29"/>
      <c r="W39" s="32" t="e">
        <f>Tab_Process_TCs2527[[#This Row],[TC O_6_'[%']]]+#REF!+#REF!+#REF!+#REF!+#REF!</f>
        <v>#REF!</v>
      </c>
      <c r="X39" s="8"/>
      <c r="Y39" s="8"/>
      <c r="Z39" s="8"/>
      <c r="AA39" s="8"/>
      <c r="AB39" s="8"/>
    </row>
    <row r="40" spans="1:28" x14ac:dyDescent="0.25">
      <c r="A40" s="160" t="b">
        <v>0</v>
      </c>
      <c r="B40" s="7">
        <f t="shared" si="6"/>
        <v>39</v>
      </c>
      <c r="C40" s="27" t="e">
        <f>_xlfn.XLOOKUP($D40,Tab_Process_TCs[Process_Name],Tab_Process_TCs[Process_ID],,0,)</f>
        <v>#N/A</v>
      </c>
      <c r="D40" s="155" t="s">
        <v>31</v>
      </c>
      <c r="E40" s="155" t="s">
        <v>31</v>
      </c>
      <c r="F40" s="27" t="e">
        <f>_xlfn.XLOOKUP($D40,Tab_Process_TCs[Process_Name],Tab_Process_TCs[TC?],,0,)</f>
        <v>#N/A</v>
      </c>
      <c r="G40" s="27" t="e">
        <f>_xlfn.XLOOKUP($D40,Tab_Process_TCs[Process_Name],Tab_Process_TCs[TC_Type],,0,)</f>
        <v>#N/A</v>
      </c>
      <c r="H40" s="27" t="e">
        <f>_xlfn.XLOOKUP($D40,Tab_Process_TCs[Process_Name],Tab_Process_TCs[Process_Logic],,0,)</f>
        <v>#N/A</v>
      </c>
      <c r="I40" s="7" t="str">
        <f>_xlfn.XLOOKUP($E40,Tab_Def_Flows[Flow_Name],Tab_Def_Flows[Flow_ID],,0,1)</f>
        <v>F__</v>
      </c>
      <c r="J40" s="8"/>
      <c r="K40" s="22" t="str">
        <f t="shared" si="2"/>
        <v>TC_material_F__</v>
      </c>
      <c r="L40" s="158"/>
      <c r="M40" s="22" t="str">
        <f t="shared" si="3"/>
        <v>TC_WC_F__</v>
      </c>
      <c r="N40" s="158"/>
      <c r="O40" s="22" t="str">
        <f t="shared" si="4"/>
        <v>TC_DM_F__</v>
      </c>
      <c r="P40" s="158"/>
      <c r="Q40" s="22" t="str">
        <f t="shared" si="5"/>
        <v>TC_CC_F__</v>
      </c>
      <c r="R40" s="8"/>
      <c r="S40" s="7" t="e">
        <f>_xlfn.XLOOKUP($D40,#REF!,#REF!,,0,)</f>
        <v>#REF!</v>
      </c>
      <c r="T40" s="22" t="str">
        <f>Tab_Process_TCs2527[[#This Row],[Flow_ID]]</f>
        <v>F__</v>
      </c>
      <c r="U40" s="22" t="e">
        <f t="shared" si="7"/>
        <v>#REF!</v>
      </c>
      <c r="V40" s="29"/>
      <c r="W40" s="32" t="e">
        <f>Tab_Process_TCs2527[[#This Row],[TC O_6_'[%']]]+#REF!+#REF!+#REF!+#REF!+#REF!</f>
        <v>#REF!</v>
      </c>
      <c r="X40" s="8"/>
      <c r="Y40" s="8"/>
      <c r="Z40" s="8"/>
      <c r="AA40" s="8"/>
      <c r="AB40" s="8"/>
    </row>
    <row r="41" spans="1:28" x14ac:dyDescent="0.25">
      <c r="A41" s="160" t="b">
        <v>0</v>
      </c>
      <c r="B41" s="7">
        <f t="shared" si="6"/>
        <v>40</v>
      </c>
      <c r="C41" s="27" t="e">
        <f>_xlfn.XLOOKUP($D41,Tab_Process_TCs[Process_Name],Tab_Process_TCs[Process_ID],,0,)</f>
        <v>#N/A</v>
      </c>
      <c r="D41" s="155" t="s">
        <v>31</v>
      </c>
      <c r="E41" s="155" t="s">
        <v>31</v>
      </c>
      <c r="F41" s="27" t="e">
        <f>_xlfn.XLOOKUP($D41,Tab_Process_TCs[Process_Name],Tab_Process_TCs[TC?],,0,)</f>
        <v>#N/A</v>
      </c>
      <c r="G41" s="27" t="e">
        <f>_xlfn.XLOOKUP($D41,Tab_Process_TCs[Process_Name],Tab_Process_TCs[TC_Type],,0,)</f>
        <v>#N/A</v>
      </c>
      <c r="H41" s="27" t="e">
        <f>_xlfn.XLOOKUP($D41,Tab_Process_TCs[Process_Name],Tab_Process_TCs[Process_Logic],,0,)</f>
        <v>#N/A</v>
      </c>
      <c r="I41" s="7" t="str">
        <f>_xlfn.XLOOKUP($E41,Tab_Def_Flows[Flow_Name],Tab_Def_Flows[Flow_ID],,0,1)</f>
        <v>F__</v>
      </c>
      <c r="J41" s="8"/>
      <c r="K41" s="22" t="str">
        <f t="shared" si="2"/>
        <v>TC_material_F__</v>
      </c>
      <c r="L41" s="158"/>
      <c r="M41" s="22" t="str">
        <f t="shared" si="3"/>
        <v>TC_WC_F__</v>
      </c>
      <c r="N41" s="158"/>
      <c r="O41" s="22" t="str">
        <f t="shared" si="4"/>
        <v>TC_DM_F__</v>
      </c>
      <c r="P41" s="158"/>
      <c r="Q41" s="22" t="str">
        <f t="shared" si="5"/>
        <v>TC_CC_F__</v>
      </c>
      <c r="R41" s="8"/>
      <c r="S41" s="7" t="e">
        <f>_xlfn.XLOOKUP($D41,#REF!,#REF!,,0,)</f>
        <v>#REF!</v>
      </c>
      <c r="T41" s="22" t="str">
        <f>Tab_Process_TCs2527[[#This Row],[Flow_ID]]</f>
        <v>F__</v>
      </c>
      <c r="U41" s="22" t="e">
        <f t="shared" si="7"/>
        <v>#REF!</v>
      </c>
      <c r="V41" s="29"/>
      <c r="W41" s="32" t="e">
        <f>Tab_Process_TCs2527[[#This Row],[TC O_6_'[%']]]+#REF!+#REF!+#REF!+#REF!+#REF!</f>
        <v>#REF!</v>
      </c>
      <c r="X41" s="8"/>
      <c r="Y41" s="8"/>
      <c r="Z41" s="8"/>
      <c r="AA41" s="8"/>
      <c r="AB41" s="8"/>
    </row>
    <row r="42" spans="1:28" x14ac:dyDescent="0.25">
      <c r="A42" s="160" t="b">
        <v>0</v>
      </c>
      <c r="B42" s="7">
        <f t="shared" si="6"/>
        <v>41</v>
      </c>
      <c r="C42" s="27" t="e">
        <f>_xlfn.XLOOKUP($D42,Tab_Process_TCs[Process_Name],Tab_Process_TCs[Process_ID],,0,)</f>
        <v>#N/A</v>
      </c>
      <c r="D42" s="155" t="s">
        <v>31</v>
      </c>
      <c r="E42" s="155" t="s">
        <v>31</v>
      </c>
      <c r="F42" s="27" t="e">
        <f>_xlfn.XLOOKUP($D42,Tab_Process_TCs[Process_Name],Tab_Process_TCs[TC?],,0,)</f>
        <v>#N/A</v>
      </c>
      <c r="G42" s="27" t="e">
        <f>_xlfn.XLOOKUP($D42,Tab_Process_TCs[Process_Name],Tab_Process_TCs[TC_Type],,0,)</f>
        <v>#N/A</v>
      </c>
      <c r="H42" s="27" t="e">
        <f>_xlfn.XLOOKUP($D42,Tab_Process_TCs[Process_Name],Tab_Process_TCs[Process_Logic],,0,)</f>
        <v>#N/A</v>
      </c>
      <c r="I42" s="7" t="str">
        <f>_xlfn.XLOOKUP($E42,Tab_Def_Flows[Flow_Name],Tab_Def_Flows[Flow_ID],,0,1)</f>
        <v>F__</v>
      </c>
      <c r="J42" s="8"/>
      <c r="K42" s="22" t="str">
        <f t="shared" si="2"/>
        <v>TC_material_F__</v>
      </c>
      <c r="L42" s="158"/>
      <c r="M42" s="22" t="str">
        <f t="shared" si="3"/>
        <v>TC_WC_F__</v>
      </c>
      <c r="N42" s="158"/>
      <c r="O42" s="22" t="str">
        <f t="shared" si="4"/>
        <v>TC_DM_F__</v>
      </c>
      <c r="P42" s="158"/>
      <c r="Q42" s="22" t="str">
        <f t="shared" si="5"/>
        <v>TC_CC_F__</v>
      </c>
      <c r="R42" s="8"/>
      <c r="S42" s="7" t="e">
        <f>_xlfn.XLOOKUP($D42,#REF!,#REF!,,0,)</f>
        <v>#REF!</v>
      </c>
      <c r="T42" s="22" t="str">
        <f>Tab_Process_TCs2527[[#This Row],[Flow_ID]]</f>
        <v>F__</v>
      </c>
      <c r="U42" s="22" t="e">
        <f t="shared" si="7"/>
        <v>#REF!</v>
      </c>
      <c r="V42" s="29"/>
      <c r="W42" s="32" t="e">
        <f>Tab_Process_TCs2527[[#This Row],[TC O_6_'[%']]]+#REF!+#REF!+#REF!+#REF!+#REF!</f>
        <v>#REF!</v>
      </c>
      <c r="X42" s="8"/>
      <c r="Y42" s="8"/>
      <c r="Z42" s="8"/>
      <c r="AA42" s="8"/>
      <c r="AB42" s="8"/>
    </row>
    <row r="43" spans="1:28" x14ac:dyDescent="0.25">
      <c r="A43" s="160" t="b">
        <v>0</v>
      </c>
      <c r="B43" s="7">
        <f t="shared" si="6"/>
        <v>42</v>
      </c>
      <c r="C43" s="27" t="e">
        <f>_xlfn.XLOOKUP($D43,Tab_Process_TCs[Process_Name],Tab_Process_TCs[Process_ID],,0,)</f>
        <v>#N/A</v>
      </c>
      <c r="D43" s="155" t="s">
        <v>31</v>
      </c>
      <c r="E43" s="155" t="s">
        <v>31</v>
      </c>
      <c r="F43" s="27" t="e">
        <f>_xlfn.XLOOKUP($D43,Tab_Process_TCs[Process_Name],Tab_Process_TCs[TC?],,0,)</f>
        <v>#N/A</v>
      </c>
      <c r="G43" s="27" t="e">
        <f>_xlfn.XLOOKUP($D43,Tab_Process_TCs[Process_Name],Tab_Process_TCs[TC_Type],,0,)</f>
        <v>#N/A</v>
      </c>
      <c r="H43" s="27" t="e">
        <f>_xlfn.XLOOKUP($D43,Tab_Process_TCs[Process_Name],Tab_Process_TCs[Process_Logic],,0,)</f>
        <v>#N/A</v>
      </c>
      <c r="I43" s="7" t="str">
        <f>_xlfn.XLOOKUP($E43,Tab_Def_Flows[Flow_Name],Tab_Def_Flows[Flow_ID],,0,1)</f>
        <v>F__</v>
      </c>
      <c r="J43" s="8"/>
      <c r="K43" s="22" t="str">
        <f t="shared" si="2"/>
        <v>TC_material_F__</v>
      </c>
      <c r="L43" s="158"/>
      <c r="M43" s="22" t="str">
        <f t="shared" si="3"/>
        <v>TC_WC_F__</v>
      </c>
      <c r="N43" s="158"/>
      <c r="O43" s="22" t="str">
        <f t="shared" si="4"/>
        <v>TC_DM_F__</v>
      </c>
      <c r="P43" s="158"/>
      <c r="Q43" s="22" t="str">
        <f t="shared" si="5"/>
        <v>TC_CC_F__</v>
      </c>
      <c r="R43" s="8"/>
      <c r="S43" s="7" t="e">
        <f>_xlfn.XLOOKUP($D43,#REF!,#REF!,,0,)</f>
        <v>#REF!</v>
      </c>
      <c r="T43" s="22" t="str">
        <f>Tab_Process_TCs2527[[#This Row],[Flow_ID]]</f>
        <v>F__</v>
      </c>
      <c r="U43" s="22" t="e">
        <f t="shared" si="7"/>
        <v>#REF!</v>
      </c>
      <c r="V43" s="29"/>
      <c r="W43" s="32" t="e">
        <f>Tab_Process_TCs2527[[#This Row],[TC O_6_'[%']]]+#REF!+#REF!+#REF!+#REF!+#REF!</f>
        <v>#REF!</v>
      </c>
      <c r="X43" s="8"/>
      <c r="Y43" s="8"/>
      <c r="Z43" s="8"/>
      <c r="AA43" s="8"/>
      <c r="AB43" s="8"/>
    </row>
    <row r="44" spans="1:28" x14ac:dyDescent="0.25">
      <c r="A44" s="160" t="b">
        <v>0</v>
      </c>
      <c r="B44" s="7">
        <f t="shared" si="6"/>
        <v>43</v>
      </c>
      <c r="C44" s="27" t="e">
        <f>_xlfn.XLOOKUP($D44,Tab_Process_TCs[Process_Name],Tab_Process_TCs[Process_ID],,0,)</f>
        <v>#N/A</v>
      </c>
      <c r="D44" s="155" t="s">
        <v>31</v>
      </c>
      <c r="E44" s="155" t="s">
        <v>31</v>
      </c>
      <c r="F44" s="27" t="e">
        <f>_xlfn.XLOOKUP($D44,Tab_Process_TCs[Process_Name],Tab_Process_TCs[TC?],,0,)</f>
        <v>#N/A</v>
      </c>
      <c r="G44" s="27" t="e">
        <f>_xlfn.XLOOKUP($D44,Tab_Process_TCs[Process_Name],Tab_Process_TCs[TC_Type],,0,)</f>
        <v>#N/A</v>
      </c>
      <c r="H44" s="27" t="e">
        <f>_xlfn.XLOOKUP($D44,Tab_Process_TCs[Process_Name],Tab_Process_TCs[Process_Logic],,0,)</f>
        <v>#N/A</v>
      </c>
      <c r="I44" s="7" t="str">
        <f>_xlfn.XLOOKUP($E44,Tab_Def_Flows[Flow_Name],Tab_Def_Flows[Flow_ID],,0,1)</f>
        <v>F__</v>
      </c>
      <c r="J44" s="8"/>
      <c r="K44" s="22" t="str">
        <f t="shared" si="2"/>
        <v>TC_material_F__</v>
      </c>
      <c r="L44" s="158"/>
      <c r="M44" s="22" t="str">
        <f t="shared" si="3"/>
        <v>TC_WC_F__</v>
      </c>
      <c r="N44" s="158"/>
      <c r="O44" s="22" t="str">
        <f t="shared" si="4"/>
        <v>TC_DM_F__</v>
      </c>
      <c r="P44" s="158"/>
      <c r="Q44" s="22" t="str">
        <f t="shared" si="5"/>
        <v>TC_CC_F__</v>
      </c>
      <c r="R44" s="8"/>
      <c r="S44" s="7" t="e">
        <f>_xlfn.XLOOKUP($D44,#REF!,#REF!,,0,)</f>
        <v>#REF!</v>
      </c>
      <c r="T44" s="22" t="str">
        <f>Tab_Process_TCs2527[[#This Row],[Flow_ID]]</f>
        <v>F__</v>
      </c>
      <c r="U44" s="22" t="e">
        <f t="shared" si="7"/>
        <v>#REF!</v>
      </c>
      <c r="V44" s="29"/>
      <c r="W44" s="32" t="e">
        <f>Tab_Process_TCs2527[[#This Row],[TC O_6_'[%']]]+#REF!+#REF!+#REF!+#REF!+#REF!</f>
        <v>#REF!</v>
      </c>
      <c r="X44" s="8"/>
      <c r="Y44" s="8"/>
      <c r="Z44" s="8"/>
      <c r="AA44" s="8"/>
      <c r="AB44" s="8"/>
    </row>
    <row r="45" spans="1:28" x14ac:dyDescent="0.25">
      <c r="A45" s="160" t="b">
        <v>0</v>
      </c>
      <c r="B45" s="7">
        <f t="shared" si="6"/>
        <v>44</v>
      </c>
      <c r="C45" s="27" t="e">
        <f>_xlfn.XLOOKUP($D45,Tab_Process_TCs[Process_Name],Tab_Process_TCs[Process_ID],,0,)</f>
        <v>#N/A</v>
      </c>
      <c r="D45" s="155" t="s">
        <v>31</v>
      </c>
      <c r="E45" s="155" t="s">
        <v>31</v>
      </c>
      <c r="F45" s="27" t="e">
        <f>_xlfn.XLOOKUP($D45,Tab_Process_TCs[Process_Name],Tab_Process_TCs[TC?],,0,)</f>
        <v>#N/A</v>
      </c>
      <c r="G45" s="27" t="e">
        <f>_xlfn.XLOOKUP($D45,Tab_Process_TCs[Process_Name],Tab_Process_TCs[TC_Type],,0,)</f>
        <v>#N/A</v>
      </c>
      <c r="H45" s="27" t="e">
        <f>_xlfn.XLOOKUP($D45,Tab_Process_TCs[Process_Name],Tab_Process_TCs[Process_Logic],,0,)</f>
        <v>#N/A</v>
      </c>
      <c r="I45" s="7" t="str">
        <f>_xlfn.XLOOKUP($E45,Tab_Def_Flows[Flow_Name],Tab_Def_Flows[Flow_ID],,0,1)</f>
        <v>F__</v>
      </c>
      <c r="J45" s="8"/>
      <c r="K45" s="22" t="str">
        <f t="shared" si="2"/>
        <v>TC_material_F__</v>
      </c>
      <c r="L45" s="158"/>
      <c r="M45" s="22" t="str">
        <f t="shared" si="3"/>
        <v>TC_WC_F__</v>
      </c>
      <c r="N45" s="158"/>
      <c r="O45" s="22" t="str">
        <f t="shared" si="4"/>
        <v>TC_DM_F__</v>
      </c>
      <c r="P45" s="158"/>
      <c r="Q45" s="22" t="str">
        <f t="shared" si="5"/>
        <v>TC_CC_F__</v>
      </c>
      <c r="R45" s="8"/>
      <c r="S45" s="7" t="e">
        <f>_xlfn.XLOOKUP($D45,#REF!,#REF!,,0,)</f>
        <v>#REF!</v>
      </c>
      <c r="T45" s="22" t="str">
        <f>Tab_Process_TCs2527[[#This Row],[Flow_ID]]</f>
        <v>F__</v>
      </c>
      <c r="U45" s="22" t="e">
        <f t="shared" si="7"/>
        <v>#REF!</v>
      </c>
      <c r="V45" s="29"/>
      <c r="W45" s="32" t="e">
        <f>Tab_Process_TCs2527[[#This Row],[TC O_6_'[%']]]+#REF!+#REF!+#REF!+#REF!+#REF!</f>
        <v>#REF!</v>
      </c>
      <c r="X45" s="8"/>
      <c r="Y45" s="8"/>
      <c r="Z45" s="8"/>
      <c r="AA45" s="8"/>
      <c r="AB45" s="8"/>
    </row>
    <row r="46" spans="1:28" x14ac:dyDescent="0.25">
      <c r="A46" s="160" t="b">
        <v>0</v>
      </c>
      <c r="B46" s="7">
        <f t="shared" si="6"/>
        <v>45</v>
      </c>
      <c r="C46" s="27" t="e">
        <f>_xlfn.XLOOKUP($D46,Tab_Process_TCs[Process_Name],Tab_Process_TCs[Process_ID],,0,)</f>
        <v>#N/A</v>
      </c>
      <c r="D46" s="155" t="s">
        <v>31</v>
      </c>
      <c r="E46" s="155" t="s">
        <v>31</v>
      </c>
      <c r="F46" s="27" t="e">
        <f>_xlfn.XLOOKUP($D46,Tab_Process_TCs[Process_Name],Tab_Process_TCs[TC?],,0,)</f>
        <v>#N/A</v>
      </c>
      <c r="G46" s="27" t="e">
        <f>_xlfn.XLOOKUP($D46,Tab_Process_TCs[Process_Name],Tab_Process_TCs[TC_Type],,0,)</f>
        <v>#N/A</v>
      </c>
      <c r="H46" s="27" t="e">
        <f>_xlfn.XLOOKUP($D46,Tab_Process_TCs[Process_Name],Tab_Process_TCs[Process_Logic],,0,)</f>
        <v>#N/A</v>
      </c>
      <c r="I46" s="7" t="str">
        <f>_xlfn.XLOOKUP($E46,Tab_Def_Flows[Flow_Name],Tab_Def_Flows[Flow_ID],,0,1)</f>
        <v>F__</v>
      </c>
      <c r="J46" s="8"/>
      <c r="K46" s="22" t="str">
        <f t="shared" si="2"/>
        <v>TC_material_F__</v>
      </c>
      <c r="L46" s="158"/>
      <c r="M46" s="22" t="str">
        <f t="shared" si="3"/>
        <v>TC_WC_F__</v>
      </c>
      <c r="N46" s="158"/>
      <c r="O46" s="22" t="str">
        <f t="shared" si="4"/>
        <v>TC_DM_F__</v>
      </c>
      <c r="P46" s="158"/>
      <c r="Q46" s="22" t="str">
        <f t="shared" si="5"/>
        <v>TC_CC_F__</v>
      </c>
      <c r="R46" s="8"/>
      <c r="S46" s="7" t="e">
        <f>_xlfn.XLOOKUP($D46,#REF!,#REF!,,0,)</f>
        <v>#REF!</v>
      </c>
      <c r="T46" s="22" t="str">
        <f>Tab_Process_TCs2527[[#This Row],[Flow_ID]]</f>
        <v>F__</v>
      </c>
      <c r="U46" s="22" t="e">
        <f t="shared" si="7"/>
        <v>#REF!</v>
      </c>
      <c r="V46" s="29"/>
      <c r="W46" s="32" t="e">
        <f>Tab_Process_TCs2527[[#This Row],[TC O_6_'[%']]]+#REF!+#REF!+#REF!+#REF!+#REF!</f>
        <v>#REF!</v>
      </c>
      <c r="X46" s="8"/>
      <c r="Y46" s="8"/>
      <c r="Z46" s="8"/>
      <c r="AA46" s="8"/>
      <c r="AB46" s="8"/>
    </row>
    <row r="47" spans="1:28" x14ac:dyDescent="0.25">
      <c r="A47" s="160" t="b">
        <v>0</v>
      </c>
      <c r="B47" s="7">
        <f t="shared" si="6"/>
        <v>46</v>
      </c>
      <c r="C47" s="27" t="e">
        <f>_xlfn.XLOOKUP($D47,Tab_Process_TCs[Process_Name],Tab_Process_TCs[Process_ID],,0,)</f>
        <v>#N/A</v>
      </c>
      <c r="D47" s="155" t="s">
        <v>31</v>
      </c>
      <c r="E47" s="155" t="s">
        <v>31</v>
      </c>
      <c r="F47" s="27" t="e">
        <f>_xlfn.XLOOKUP($D47,Tab_Process_TCs[Process_Name],Tab_Process_TCs[TC?],,0,)</f>
        <v>#N/A</v>
      </c>
      <c r="G47" s="27" t="e">
        <f>_xlfn.XLOOKUP($D47,Tab_Process_TCs[Process_Name],Tab_Process_TCs[TC_Type],,0,)</f>
        <v>#N/A</v>
      </c>
      <c r="H47" s="27" t="e">
        <f>_xlfn.XLOOKUP($D47,Tab_Process_TCs[Process_Name],Tab_Process_TCs[Process_Logic],,0,)</f>
        <v>#N/A</v>
      </c>
      <c r="I47" s="7" t="str">
        <f>_xlfn.XLOOKUP($E47,Tab_Def_Flows[Flow_Name],Tab_Def_Flows[Flow_ID],,0,1)</f>
        <v>F__</v>
      </c>
      <c r="J47" s="8"/>
      <c r="K47" s="22" t="str">
        <f t="shared" si="2"/>
        <v>TC_material_F__</v>
      </c>
      <c r="L47" s="158"/>
      <c r="M47" s="22" t="str">
        <f t="shared" si="3"/>
        <v>TC_WC_F__</v>
      </c>
      <c r="N47" s="158"/>
      <c r="O47" s="22" t="str">
        <f t="shared" si="4"/>
        <v>TC_DM_F__</v>
      </c>
      <c r="P47" s="158"/>
      <c r="Q47" s="22" t="str">
        <f t="shared" si="5"/>
        <v>TC_CC_F__</v>
      </c>
      <c r="R47" s="8"/>
      <c r="S47" s="7" t="e">
        <f>_xlfn.XLOOKUP($D47,#REF!,#REF!,,0,)</f>
        <v>#REF!</v>
      </c>
      <c r="T47" s="22" t="str">
        <f>Tab_Process_TCs2527[[#This Row],[Flow_ID]]</f>
        <v>F__</v>
      </c>
      <c r="U47" s="22" t="e">
        <f t="shared" si="7"/>
        <v>#REF!</v>
      </c>
      <c r="V47" s="29"/>
      <c r="W47" s="32" t="e">
        <f>Tab_Process_TCs2527[[#This Row],[TC O_6_'[%']]]+#REF!+#REF!+#REF!+#REF!+#REF!</f>
        <v>#REF!</v>
      </c>
      <c r="X47" s="8"/>
      <c r="Y47" s="8"/>
      <c r="Z47" s="8"/>
      <c r="AA47" s="8"/>
      <c r="AB47" s="8"/>
    </row>
    <row r="48" spans="1:28" x14ac:dyDescent="0.25">
      <c r="A48" s="160" t="b">
        <v>0</v>
      </c>
      <c r="B48" s="7">
        <f t="shared" si="6"/>
        <v>47</v>
      </c>
      <c r="C48" s="27" t="e">
        <f>_xlfn.XLOOKUP($D48,Tab_Process_TCs[Process_Name],Tab_Process_TCs[Process_ID],,0,)</f>
        <v>#N/A</v>
      </c>
      <c r="D48" s="155" t="s">
        <v>31</v>
      </c>
      <c r="E48" s="155" t="s">
        <v>31</v>
      </c>
      <c r="F48" s="27" t="e">
        <f>_xlfn.XLOOKUP($D48,Tab_Process_TCs[Process_Name],Tab_Process_TCs[TC?],,0,)</f>
        <v>#N/A</v>
      </c>
      <c r="G48" s="27" t="e">
        <f>_xlfn.XLOOKUP($D48,Tab_Process_TCs[Process_Name],Tab_Process_TCs[TC_Type],,0,)</f>
        <v>#N/A</v>
      </c>
      <c r="H48" s="27" t="e">
        <f>_xlfn.XLOOKUP($D48,Tab_Process_TCs[Process_Name],Tab_Process_TCs[Process_Logic],,0,)</f>
        <v>#N/A</v>
      </c>
      <c r="I48" s="7" t="str">
        <f>_xlfn.XLOOKUP($E48,Tab_Def_Flows[Flow_Name],Tab_Def_Flows[Flow_ID],,0,1)</f>
        <v>F__</v>
      </c>
      <c r="J48" s="8"/>
      <c r="K48" s="22" t="str">
        <f t="shared" si="2"/>
        <v>TC_material_F__</v>
      </c>
      <c r="L48" s="158"/>
      <c r="M48" s="22" t="str">
        <f t="shared" si="3"/>
        <v>TC_WC_F__</v>
      </c>
      <c r="N48" s="158"/>
      <c r="O48" s="22" t="str">
        <f t="shared" si="4"/>
        <v>TC_DM_F__</v>
      </c>
      <c r="P48" s="158"/>
      <c r="Q48" s="22" t="str">
        <f t="shared" si="5"/>
        <v>TC_CC_F__</v>
      </c>
      <c r="R48" s="8"/>
      <c r="S48" s="7" t="e">
        <f>_xlfn.XLOOKUP($D48,#REF!,#REF!,,0,)</f>
        <v>#REF!</v>
      </c>
      <c r="T48" s="22" t="str">
        <f>Tab_Process_TCs2527[[#This Row],[Flow_ID]]</f>
        <v>F__</v>
      </c>
      <c r="U48" s="22" t="e">
        <f t="shared" si="7"/>
        <v>#REF!</v>
      </c>
      <c r="V48" s="29"/>
      <c r="W48" s="32" t="e">
        <f>Tab_Process_TCs2527[[#This Row],[TC O_6_'[%']]]+#REF!+#REF!+#REF!+#REF!+#REF!</f>
        <v>#REF!</v>
      </c>
      <c r="X48" s="8"/>
      <c r="Y48" s="8"/>
      <c r="Z48" s="8"/>
      <c r="AA48" s="8"/>
      <c r="AB48" s="8"/>
    </row>
    <row r="49" spans="1:28" x14ac:dyDescent="0.25">
      <c r="A49" s="160" t="b">
        <v>0</v>
      </c>
      <c r="B49" s="7">
        <f t="shared" si="6"/>
        <v>48</v>
      </c>
      <c r="C49" s="27" t="e">
        <f>_xlfn.XLOOKUP($D49,Tab_Process_TCs[Process_Name],Tab_Process_TCs[Process_ID],,0,)</f>
        <v>#N/A</v>
      </c>
      <c r="D49" s="155" t="s">
        <v>31</v>
      </c>
      <c r="E49" s="155" t="s">
        <v>31</v>
      </c>
      <c r="F49" s="27" t="e">
        <f>_xlfn.XLOOKUP($D49,Tab_Process_TCs[Process_Name],Tab_Process_TCs[TC?],,0,)</f>
        <v>#N/A</v>
      </c>
      <c r="G49" s="27" t="e">
        <f>_xlfn.XLOOKUP($D49,Tab_Process_TCs[Process_Name],Tab_Process_TCs[TC_Type],,0,)</f>
        <v>#N/A</v>
      </c>
      <c r="H49" s="27" t="e">
        <f>_xlfn.XLOOKUP($D49,Tab_Process_TCs[Process_Name],Tab_Process_TCs[Process_Logic],,0,)</f>
        <v>#N/A</v>
      </c>
      <c r="I49" s="7" t="str">
        <f>_xlfn.XLOOKUP($E49,Tab_Def_Flows[Flow_Name],Tab_Def_Flows[Flow_ID],,0,1)</f>
        <v>F__</v>
      </c>
      <c r="J49" s="8"/>
      <c r="K49" s="22" t="str">
        <f t="shared" si="2"/>
        <v>TC_material_F__</v>
      </c>
      <c r="L49" s="158"/>
      <c r="M49" s="22" t="str">
        <f t="shared" si="3"/>
        <v>TC_WC_F__</v>
      </c>
      <c r="N49" s="158"/>
      <c r="O49" s="22" t="str">
        <f t="shared" si="4"/>
        <v>TC_DM_F__</v>
      </c>
      <c r="P49" s="158"/>
      <c r="Q49" s="22" t="str">
        <f t="shared" si="5"/>
        <v>TC_CC_F__</v>
      </c>
      <c r="R49" s="8"/>
      <c r="S49" s="7" t="e">
        <f>_xlfn.XLOOKUP($D49,#REF!,#REF!,,0,)</f>
        <v>#REF!</v>
      </c>
      <c r="T49" s="22" t="str">
        <f>Tab_Process_TCs2527[[#This Row],[Flow_ID]]</f>
        <v>F__</v>
      </c>
      <c r="U49" s="22" t="e">
        <f t="shared" si="7"/>
        <v>#REF!</v>
      </c>
      <c r="V49" s="29"/>
      <c r="W49" s="32" t="e">
        <f>Tab_Process_TCs2527[[#This Row],[TC O_6_'[%']]]+#REF!+#REF!+#REF!+#REF!+#REF!</f>
        <v>#REF!</v>
      </c>
      <c r="X49" s="8"/>
      <c r="Y49" s="8"/>
      <c r="Z49" s="8"/>
      <c r="AA49" s="8"/>
      <c r="AB49" s="8"/>
    </row>
    <row r="50" spans="1:28" x14ac:dyDescent="0.25">
      <c r="A50" s="160" t="b">
        <v>0</v>
      </c>
      <c r="B50" s="7">
        <f t="shared" si="6"/>
        <v>49</v>
      </c>
      <c r="C50" s="27" t="e">
        <f>_xlfn.XLOOKUP($D50,Tab_Process_TCs[Process_Name],Tab_Process_TCs[Process_ID],,0,)</f>
        <v>#N/A</v>
      </c>
      <c r="D50" s="155" t="s">
        <v>31</v>
      </c>
      <c r="E50" s="155" t="s">
        <v>31</v>
      </c>
      <c r="F50" s="27" t="e">
        <f>_xlfn.XLOOKUP($D50,Tab_Process_TCs[Process_Name],Tab_Process_TCs[TC?],,0,)</f>
        <v>#N/A</v>
      </c>
      <c r="G50" s="27" t="e">
        <f>_xlfn.XLOOKUP($D50,Tab_Process_TCs[Process_Name],Tab_Process_TCs[TC_Type],,0,)</f>
        <v>#N/A</v>
      </c>
      <c r="H50" s="27" t="e">
        <f>_xlfn.XLOOKUP($D50,Tab_Process_TCs[Process_Name],Tab_Process_TCs[Process_Logic],,0,)</f>
        <v>#N/A</v>
      </c>
      <c r="I50" s="7" t="str">
        <f>_xlfn.XLOOKUP($E50,Tab_Def_Flows[Flow_Name],Tab_Def_Flows[Flow_ID],,0,1)</f>
        <v>F__</v>
      </c>
      <c r="J50" s="8"/>
      <c r="K50" s="22" t="str">
        <f t="shared" si="2"/>
        <v>TC_material_F__</v>
      </c>
      <c r="L50" s="158"/>
      <c r="M50" s="22" t="str">
        <f t="shared" si="3"/>
        <v>TC_WC_F__</v>
      </c>
      <c r="N50" s="158"/>
      <c r="O50" s="22" t="str">
        <f t="shared" si="4"/>
        <v>TC_DM_F__</v>
      </c>
      <c r="P50" s="158"/>
      <c r="Q50" s="22" t="str">
        <f t="shared" si="5"/>
        <v>TC_CC_F__</v>
      </c>
      <c r="R50" s="8"/>
      <c r="S50" s="7" t="e">
        <f>_xlfn.XLOOKUP($D50,#REF!,#REF!,,0,)</f>
        <v>#REF!</v>
      </c>
      <c r="T50" s="22" t="str">
        <f>Tab_Process_TCs2527[[#This Row],[Flow_ID]]</f>
        <v>F__</v>
      </c>
      <c r="U50" s="22" t="e">
        <f t="shared" si="7"/>
        <v>#REF!</v>
      </c>
      <c r="V50" s="29"/>
      <c r="W50" s="32" t="e">
        <f>Tab_Process_TCs2527[[#This Row],[TC O_6_'[%']]]+#REF!+#REF!+#REF!+#REF!+#REF!</f>
        <v>#REF!</v>
      </c>
      <c r="X50" s="8"/>
      <c r="Y50" s="8"/>
      <c r="Z50" s="8"/>
      <c r="AA50" s="8"/>
      <c r="AB50" s="8"/>
    </row>
    <row r="51" spans="1:28" x14ac:dyDescent="0.25">
      <c r="A51" s="160" t="b">
        <v>0</v>
      </c>
      <c r="B51" s="7">
        <f t="shared" si="6"/>
        <v>50</v>
      </c>
      <c r="C51" s="27" t="e">
        <f>_xlfn.XLOOKUP($D51,Tab_Process_TCs[Process_Name],Tab_Process_TCs[Process_ID],,0,)</f>
        <v>#N/A</v>
      </c>
      <c r="D51" s="155" t="s">
        <v>31</v>
      </c>
      <c r="E51" s="155" t="s">
        <v>31</v>
      </c>
      <c r="F51" s="27" t="e">
        <f>_xlfn.XLOOKUP($D51,Tab_Process_TCs[Process_Name],Tab_Process_TCs[TC?],,0,)</f>
        <v>#N/A</v>
      </c>
      <c r="G51" s="27" t="e">
        <f>_xlfn.XLOOKUP($D51,Tab_Process_TCs[Process_Name],Tab_Process_TCs[TC_Type],,0,)</f>
        <v>#N/A</v>
      </c>
      <c r="H51" s="27" t="e">
        <f>_xlfn.XLOOKUP($D51,Tab_Process_TCs[Process_Name],Tab_Process_TCs[Process_Logic],,0,)</f>
        <v>#N/A</v>
      </c>
      <c r="I51" s="7" t="str">
        <f>_xlfn.XLOOKUP($E51,Tab_Def_Flows[Flow_Name],Tab_Def_Flows[Flow_ID],,0,1)</f>
        <v>F__</v>
      </c>
      <c r="J51" s="8"/>
      <c r="K51" s="22" t="str">
        <f t="shared" si="2"/>
        <v>TC_material_F__</v>
      </c>
      <c r="L51" s="158"/>
      <c r="M51" s="22" t="str">
        <f t="shared" si="3"/>
        <v>TC_WC_F__</v>
      </c>
      <c r="N51" s="158"/>
      <c r="O51" s="22" t="str">
        <f t="shared" si="4"/>
        <v>TC_DM_F__</v>
      </c>
      <c r="P51" s="158"/>
      <c r="Q51" s="22" t="str">
        <f t="shared" si="5"/>
        <v>TC_CC_F__</v>
      </c>
      <c r="R51" s="8"/>
      <c r="S51" s="7" t="e">
        <f>_xlfn.XLOOKUP($D51,#REF!,#REF!,,0,)</f>
        <v>#REF!</v>
      </c>
      <c r="T51" s="22" t="str">
        <f>Tab_Process_TCs2527[[#This Row],[Flow_ID]]</f>
        <v>F__</v>
      </c>
      <c r="U51" s="22" t="e">
        <f t="shared" si="7"/>
        <v>#REF!</v>
      </c>
      <c r="V51" s="29"/>
      <c r="W51" s="32" t="e">
        <f>Tab_Process_TCs2527[[#This Row],[TC O_6_'[%']]]+#REF!+#REF!+#REF!+#REF!+#REF!</f>
        <v>#REF!</v>
      </c>
      <c r="X51" s="8"/>
      <c r="Y51" s="8"/>
      <c r="Z51" s="8"/>
      <c r="AA51" s="8"/>
      <c r="AB51" s="8"/>
    </row>
    <row r="52" spans="1:28" x14ac:dyDescent="0.25">
      <c r="A52" s="160" t="b">
        <v>0</v>
      </c>
      <c r="B52" s="7">
        <f t="shared" si="6"/>
        <v>51</v>
      </c>
      <c r="C52" s="27" t="e">
        <f>_xlfn.XLOOKUP($D52,Tab_Process_TCs[Process_Name],Tab_Process_TCs[Process_ID],,0,)</f>
        <v>#N/A</v>
      </c>
      <c r="D52" s="155" t="s">
        <v>31</v>
      </c>
      <c r="E52" s="155" t="s">
        <v>31</v>
      </c>
      <c r="F52" s="27" t="e">
        <f>_xlfn.XLOOKUP($D52,Tab_Process_TCs[Process_Name],Tab_Process_TCs[TC?],,0,)</f>
        <v>#N/A</v>
      </c>
      <c r="G52" s="27" t="e">
        <f>_xlfn.XLOOKUP($D52,Tab_Process_TCs[Process_Name],Tab_Process_TCs[TC_Type],,0,)</f>
        <v>#N/A</v>
      </c>
      <c r="H52" s="27" t="e">
        <f>_xlfn.XLOOKUP($D52,Tab_Process_TCs[Process_Name],Tab_Process_TCs[Process_Logic],,0,)</f>
        <v>#N/A</v>
      </c>
      <c r="I52" s="7" t="str">
        <f>_xlfn.XLOOKUP($E52,Tab_Def_Flows[Flow_Name],Tab_Def_Flows[Flow_ID],,0,1)</f>
        <v>F__</v>
      </c>
      <c r="J52" s="8"/>
      <c r="K52" s="22" t="str">
        <f t="shared" si="2"/>
        <v>TC_material_F__</v>
      </c>
      <c r="L52" s="158"/>
      <c r="M52" s="22" t="str">
        <f t="shared" si="3"/>
        <v>TC_WC_F__</v>
      </c>
      <c r="N52" s="158"/>
      <c r="O52" s="22" t="str">
        <f t="shared" si="4"/>
        <v>TC_DM_F__</v>
      </c>
      <c r="P52" s="158"/>
      <c r="Q52" s="22" t="str">
        <f t="shared" si="5"/>
        <v>TC_CC_F__</v>
      </c>
      <c r="R52" s="8"/>
      <c r="S52" s="7" t="e">
        <f>_xlfn.XLOOKUP($D52,#REF!,#REF!,,0,)</f>
        <v>#REF!</v>
      </c>
      <c r="T52" s="22" t="str">
        <f>Tab_Process_TCs2527[[#This Row],[Flow_ID]]</f>
        <v>F__</v>
      </c>
      <c r="U52" s="22" t="e">
        <f t="shared" si="7"/>
        <v>#REF!</v>
      </c>
      <c r="V52" s="29"/>
      <c r="W52" s="32" t="e">
        <f>Tab_Process_TCs2527[[#This Row],[TC O_6_'[%']]]+#REF!+#REF!+#REF!+#REF!+#REF!</f>
        <v>#REF!</v>
      </c>
      <c r="X52" s="8"/>
      <c r="Y52" s="8"/>
      <c r="Z52" s="8"/>
      <c r="AA52" s="8"/>
      <c r="AB52" s="8"/>
    </row>
    <row r="53" spans="1:28" x14ac:dyDescent="0.25">
      <c r="A53" s="160" t="b">
        <v>0</v>
      </c>
      <c r="B53" s="7">
        <f t="shared" si="6"/>
        <v>52</v>
      </c>
      <c r="C53" s="27" t="e">
        <f>_xlfn.XLOOKUP($D53,Tab_Process_TCs[Process_Name],Tab_Process_TCs[Process_ID],,0,)</f>
        <v>#N/A</v>
      </c>
      <c r="D53" s="155" t="s">
        <v>31</v>
      </c>
      <c r="E53" s="155" t="s">
        <v>31</v>
      </c>
      <c r="F53" s="27" t="e">
        <f>_xlfn.XLOOKUP($D53,Tab_Process_TCs[Process_Name],Tab_Process_TCs[TC?],,0,)</f>
        <v>#N/A</v>
      </c>
      <c r="G53" s="27" t="e">
        <f>_xlfn.XLOOKUP($D53,Tab_Process_TCs[Process_Name],Tab_Process_TCs[TC_Type],,0,)</f>
        <v>#N/A</v>
      </c>
      <c r="H53" s="27" t="e">
        <f>_xlfn.XLOOKUP($D53,Tab_Process_TCs[Process_Name],Tab_Process_TCs[Process_Logic],,0,)</f>
        <v>#N/A</v>
      </c>
      <c r="I53" s="7" t="str">
        <f>_xlfn.XLOOKUP($E53,Tab_Def_Flows[Flow_Name],Tab_Def_Flows[Flow_ID],,0,1)</f>
        <v>F__</v>
      </c>
      <c r="J53" s="8"/>
      <c r="K53" s="22" t="str">
        <f t="shared" si="2"/>
        <v>TC_material_F__</v>
      </c>
      <c r="L53" s="158"/>
      <c r="M53" s="22" t="str">
        <f t="shared" si="3"/>
        <v>TC_WC_F__</v>
      </c>
      <c r="N53" s="158"/>
      <c r="O53" s="22" t="str">
        <f t="shared" si="4"/>
        <v>TC_DM_F__</v>
      </c>
      <c r="P53" s="158"/>
      <c r="Q53" s="22" t="str">
        <f t="shared" si="5"/>
        <v>TC_CC_F__</v>
      </c>
      <c r="R53" s="8"/>
      <c r="S53" s="7" t="e">
        <f>_xlfn.XLOOKUP($D53,#REF!,#REF!,,0,)</f>
        <v>#REF!</v>
      </c>
      <c r="T53" s="22" t="str">
        <f>Tab_Process_TCs2527[[#This Row],[Flow_ID]]</f>
        <v>F__</v>
      </c>
      <c r="U53" s="22" t="e">
        <f t="shared" si="7"/>
        <v>#REF!</v>
      </c>
      <c r="V53" s="29"/>
      <c r="W53" s="32" t="e">
        <f>Tab_Process_TCs2527[[#This Row],[TC O_6_'[%']]]+#REF!+#REF!+#REF!+#REF!+#REF!</f>
        <v>#REF!</v>
      </c>
      <c r="X53" s="8"/>
      <c r="Y53" s="8"/>
      <c r="Z53" s="8"/>
      <c r="AA53" s="8"/>
      <c r="AB53" s="8"/>
    </row>
    <row r="54" spans="1:28" x14ac:dyDescent="0.25">
      <c r="A54" s="160" t="b">
        <v>0</v>
      </c>
      <c r="B54" s="7">
        <f t="shared" si="6"/>
        <v>53</v>
      </c>
      <c r="C54" s="27" t="e">
        <f>_xlfn.XLOOKUP($D54,Tab_Process_TCs[Process_Name],Tab_Process_TCs[Process_ID],,0,)</f>
        <v>#N/A</v>
      </c>
      <c r="D54" s="155" t="s">
        <v>31</v>
      </c>
      <c r="E54" s="155" t="s">
        <v>31</v>
      </c>
      <c r="F54" s="27" t="e">
        <f>_xlfn.XLOOKUP($D54,Tab_Process_TCs[Process_Name],Tab_Process_TCs[TC?],,0,)</f>
        <v>#N/A</v>
      </c>
      <c r="G54" s="27" t="e">
        <f>_xlfn.XLOOKUP($D54,Tab_Process_TCs[Process_Name],Tab_Process_TCs[TC_Type],,0,)</f>
        <v>#N/A</v>
      </c>
      <c r="H54" s="27" t="e">
        <f>_xlfn.XLOOKUP($D54,Tab_Process_TCs[Process_Name],Tab_Process_TCs[Process_Logic],,0,)</f>
        <v>#N/A</v>
      </c>
      <c r="I54" s="7" t="str">
        <f>_xlfn.XLOOKUP($E54,Tab_Def_Flows[Flow_Name],Tab_Def_Flows[Flow_ID],,0,1)</f>
        <v>F__</v>
      </c>
      <c r="J54" s="8"/>
      <c r="K54" s="22" t="str">
        <f t="shared" si="2"/>
        <v>TC_material_F__</v>
      </c>
      <c r="L54" s="158"/>
      <c r="M54" s="22" t="str">
        <f t="shared" si="3"/>
        <v>TC_WC_F__</v>
      </c>
      <c r="N54" s="158"/>
      <c r="O54" s="22" t="str">
        <f t="shared" si="4"/>
        <v>TC_DM_F__</v>
      </c>
      <c r="P54" s="158"/>
      <c r="Q54" s="22" t="str">
        <f t="shared" si="5"/>
        <v>TC_CC_F__</v>
      </c>
      <c r="R54" s="8"/>
      <c r="S54" s="7" t="e">
        <f>_xlfn.XLOOKUP($D54,#REF!,#REF!,,0,)</f>
        <v>#REF!</v>
      </c>
      <c r="T54" s="22" t="str">
        <f>Tab_Process_TCs2527[[#This Row],[Flow_ID]]</f>
        <v>F__</v>
      </c>
      <c r="U54" s="22" t="e">
        <f t="shared" si="7"/>
        <v>#REF!</v>
      </c>
      <c r="V54" s="29"/>
      <c r="W54" s="32" t="e">
        <f>Tab_Process_TCs2527[[#This Row],[TC O_6_'[%']]]+#REF!+#REF!+#REF!+#REF!+#REF!</f>
        <v>#REF!</v>
      </c>
      <c r="X54" s="8"/>
      <c r="Y54" s="8"/>
      <c r="Z54" s="8"/>
      <c r="AA54" s="8"/>
      <c r="AB54" s="8"/>
    </row>
    <row r="55" spans="1:28" x14ac:dyDescent="0.25">
      <c r="A55" s="160" t="b">
        <v>0</v>
      </c>
      <c r="B55" s="7">
        <f t="shared" si="6"/>
        <v>54</v>
      </c>
      <c r="C55" s="27" t="e">
        <f>_xlfn.XLOOKUP($D55,Tab_Process_TCs[Process_Name],Tab_Process_TCs[Process_ID],,0,)</f>
        <v>#N/A</v>
      </c>
      <c r="D55" s="155" t="s">
        <v>31</v>
      </c>
      <c r="E55" s="155" t="s">
        <v>31</v>
      </c>
      <c r="F55" s="27" t="e">
        <f>_xlfn.XLOOKUP($D55,Tab_Process_TCs[Process_Name],Tab_Process_TCs[TC?],,0,)</f>
        <v>#N/A</v>
      </c>
      <c r="G55" s="27" t="e">
        <f>_xlfn.XLOOKUP($D55,Tab_Process_TCs[Process_Name],Tab_Process_TCs[TC_Type],,0,)</f>
        <v>#N/A</v>
      </c>
      <c r="H55" s="27" t="e">
        <f>_xlfn.XLOOKUP($D55,Tab_Process_TCs[Process_Name],Tab_Process_TCs[Process_Logic],,0,)</f>
        <v>#N/A</v>
      </c>
      <c r="I55" s="7" t="str">
        <f>_xlfn.XLOOKUP($E55,Tab_Def_Flows[Flow_Name],Tab_Def_Flows[Flow_ID],,0,1)</f>
        <v>F__</v>
      </c>
      <c r="J55" s="8"/>
      <c r="K55" s="22" t="str">
        <f t="shared" si="2"/>
        <v>TC_material_F__</v>
      </c>
      <c r="L55" s="158"/>
      <c r="M55" s="22" t="str">
        <f t="shared" si="3"/>
        <v>TC_WC_F__</v>
      </c>
      <c r="N55" s="158"/>
      <c r="O55" s="22" t="str">
        <f t="shared" si="4"/>
        <v>TC_DM_F__</v>
      </c>
      <c r="P55" s="158"/>
      <c r="Q55" s="22" t="str">
        <f t="shared" si="5"/>
        <v>TC_CC_F__</v>
      </c>
      <c r="R55" s="8"/>
      <c r="S55" s="7" t="e">
        <f>_xlfn.XLOOKUP($D55,#REF!,#REF!,,0,)</f>
        <v>#REF!</v>
      </c>
      <c r="T55" s="22" t="str">
        <f>Tab_Process_TCs2527[[#This Row],[Flow_ID]]</f>
        <v>F__</v>
      </c>
      <c r="U55" s="22" t="e">
        <f t="shared" si="7"/>
        <v>#REF!</v>
      </c>
      <c r="V55" s="29"/>
      <c r="W55" s="32" t="e">
        <f>Tab_Process_TCs2527[[#This Row],[TC O_6_'[%']]]+#REF!+#REF!+#REF!+#REF!+#REF!</f>
        <v>#REF!</v>
      </c>
      <c r="X55" s="8"/>
      <c r="Y55" s="8"/>
      <c r="Z55" s="8"/>
      <c r="AA55" s="8"/>
      <c r="AB55" s="8"/>
    </row>
    <row r="56" spans="1:28" x14ac:dyDescent="0.25">
      <c r="A56" s="160" t="b">
        <v>0</v>
      </c>
      <c r="B56" s="7">
        <f t="shared" si="6"/>
        <v>55</v>
      </c>
      <c r="C56" s="27" t="e">
        <f>_xlfn.XLOOKUP($D56,Tab_Process_TCs[Process_Name],Tab_Process_TCs[Process_ID],,0,)</f>
        <v>#N/A</v>
      </c>
      <c r="D56" s="155" t="s">
        <v>31</v>
      </c>
      <c r="E56" s="155" t="s">
        <v>31</v>
      </c>
      <c r="F56" s="27" t="e">
        <f>_xlfn.XLOOKUP($D56,Tab_Process_TCs[Process_Name],Tab_Process_TCs[TC?],,0,)</f>
        <v>#N/A</v>
      </c>
      <c r="G56" s="27" t="e">
        <f>_xlfn.XLOOKUP($D56,Tab_Process_TCs[Process_Name],Tab_Process_TCs[TC_Type],,0,)</f>
        <v>#N/A</v>
      </c>
      <c r="H56" s="27" t="e">
        <f>_xlfn.XLOOKUP($D56,Tab_Process_TCs[Process_Name],Tab_Process_TCs[Process_Logic],,0,)</f>
        <v>#N/A</v>
      </c>
      <c r="I56" s="7" t="str">
        <f>_xlfn.XLOOKUP($E56,Tab_Def_Flows[Flow_Name],Tab_Def_Flows[Flow_ID],,0,1)</f>
        <v>F__</v>
      </c>
      <c r="J56" s="8"/>
      <c r="K56" s="22" t="str">
        <f t="shared" si="2"/>
        <v>TC_material_F__</v>
      </c>
      <c r="L56" s="158"/>
      <c r="M56" s="22" t="str">
        <f t="shared" si="3"/>
        <v>TC_WC_F__</v>
      </c>
      <c r="N56" s="158"/>
      <c r="O56" s="22" t="str">
        <f t="shared" si="4"/>
        <v>TC_DM_F__</v>
      </c>
      <c r="P56" s="158"/>
      <c r="Q56" s="22" t="str">
        <f t="shared" si="5"/>
        <v>TC_CC_F__</v>
      </c>
      <c r="R56" s="8"/>
      <c r="S56" s="7" t="e">
        <f>_xlfn.XLOOKUP($D56,#REF!,#REF!,,0,)</f>
        <v>#REF!</v>
      </c>
      <c r="T56" s="22" t="str">
        <f>Tab_Process_TCs2527[[#This Row],[Flow_ID]]</f>
        <v>F__</v>
      </c>
      <c r="U56" s="22" t="e">
        <f t="shared" si="7"/>
        <v>#REF!</v>
      </c>
      <c r="V56" s="29"/>
      <c r="W56" s="32" t="e">
        <f>Tab_Process_TCs2527[[#This Row],[TC O_6_'[%']]]+#REF!+#REF!+#REF!+#REF!+#REF!</f>
        <v>#REF!</v>
      </c>
      <c r="X56" s="8"/>
      <c r="Y56" s="8"/>
      <c r="Z56" s="8"/>
      <c r="AA56" s="8"/>
      <c r="AB56" s="8"/>
    </row>
    <row r="57" spans="1:28" x14ac:dyDescent="0.25">
      <c r="A57" s="160" t="b">
        <v>0</v>
      </c>
      <c r="B57" s="7">
        <f t="shared" si="6"/>
        <v>56</v>
      </c>
      <c r="C57" s="27" t="e">
        <f>_xlfn.XLOOKUP($D57,Tab_Process_TCs[Process_Name],Tab_Process_TCs[Process_ID],,0,)</f>
        <v>#N/A</v>
      </c>
      <c r="D57" s="155" t="s">
        <v>31</v>
      </c>
      <c r="E57" s="155" t="s">
        <v>31</v>
      </c>
      <c r="F57" s="27" t="e">
        <f>_xlfn.XLOOKUP($D57,Tab_Process_TCs[Process_Name],Tab_Process_TCs[TC?],,0,)</f>
        <v>#N/A</v>
      </c>
      <c r="G57" s="27" t="e">
        <f>_xlfn.XLOOKUP($D57,Tab_Process_TCs[Process_Name],Tab_Process_TCs[TC_Type],,0,)</f>
        <v>#N/A</v>
      </c>
      <c r="H57" s="27" t="e">
        <f>_xlfn.XLOOKUP($D57,Tab_Process_TCs[Process_Name],Tab_Process_TCs[Process_Logic],,0,)</f>
        <v>#N/A</v>
      </c>
      <c r="I57" s="7" t="str">
        <f>_xlfn.XLOOKUP($E57,Tab_Def_Flows[Flow_Name],Tab_Def_Flows[Flow_ID],,0,1)</f>
        <v>F__</v>
      </c>
      <c r="J57" s="8"/>
      <c r="K57" s="22" t="str">
        <f t="shared" si="2"/>
        <v>TC_material_F__</v>
      </c>
      <c r="L57" s="158"/>
      <c r="M57" s="22" t="str">
        <f t="shared" si="3"/>
        <v>TC_WC_F__</v>
      </c>
      <c r="N57" s="158"/>
      <c r="O57" s="22" t="str">
        <f t="shared" si="4"/>
        <v>TC_DM_F__</v>
      </c>
      <c r="P57" s="158"/>
      <c r="Q57" s="22" t="str">
        <f t="shared" si="5"/>
        <v>TC_CC_F__</v>
      </c>
      <c r="R57" s="8"/>
      <c r="S57" s="7" t="e">
        <f>_xlfn.XLOOKUP($D57,#REF!,#REF!,,0,)</f>
        <v>#REF!</v>
      </c>
      <c r="T57" s="22" t="str">
        <f>Tab_Process_TCs2527[[#This Row],[Flow_ID]]</f>
        <v>F__</v>
      </c>
      <c r="U57" s="22" t="e">
        <f t="shared" si="7"/>
        <v>#REF!</v>
      </c>
      <c r="V57" s="29"/>
      <c r="W57" s="32" t="e">
        <f>Tab_Process_TCs2527[[#This Row],[TC O_6_'[%']]]+#REF!+#REF!+#REF!+#REF!+#REF!</f>
        <v>#REF!</v>
      </c>
      <c r="X57" s="8"/>
      <c r="Y57" s="8"/>
      <c r="Z57" s="8"/>
      <c r="AA57" s="8"/>
      <c r="AB57" s="8"/>
    </row>
    <row r="58" spans="1:28" x14ac:dyDescent="0.25">
      <c r="A58" s="160" t="b">
        <v>0</v>
      </c>
      <c r="B58" s="7">
        <f t="shared" si="6"/>
        <v>57</v>
      </c>
      <c r="C58" s="27" t="e">
        <f>_xlfn.XLOOKUP($D58,Tab_Process_TCs[Process_Name],Tab_Process_TCs[Process_ID],,0,)</f>
        <v>#N/A</v>
      </c>
      <c r="D58" s="155" t="s">
        <v>31</v>
      </c>
      <c r="E58" s="155" t="s">
        <v>31</v>
      </c>
      <c r="F58" s="27" t="e">
        <f>_xlfn.XLOOKUP($D58,Tab_Process_TCs[Process_Name],Tab_Process_TCs[TC?],,0,)</f>
        <v>#N/A</v>
      </c>
      <c r="G58" s="27" t="e">
        <f>_xlfn.XLOOKUP($D58,Tab_Process_TCs[Process_Name],Tab_Process_TCs[TC_Type],,0,)</f>
        <v>#N/A</v>
      </c>
      <c r="H58" s="27" t="e">
        <f>_xlfn.XLOOKUP($D58,Tab_Process_TCs[Process_Name],Tab_Process_TCs[Process_Logic],,0,)</f>
        <v>#N/A</v>
      </c>
      <c r="I58" s="7" t="str">
        <f>_xlfn.XLOOKUP($E58,Tab_Def_Flows[Flow_Name],Tab_Def_Flows[Flow_ID],,0,1)</f>
        <v>F__</v>
      </c>
      <c r="J58" s="8"/>
      <c r="K58" s="22" t="str">
        <f t="shared" si="2"/>
        <v>TC_material_F__</v>
      </c>
      <c r="L58" s="158"/>
      <c r="M58" s="22" t="str">
        <f t="shared" si="3"/>
        <v>TC_WC_F__</v>
      </c>
      <c r="N58" s="158"/>
      <c r="O58" s="22" t="str">
        <f t="shared" si="4"/>
        <v>TC_DM_F__</v>
      </c>
      <c r="P58" s="158"/>
      <c r="Q58" s="22" t="str">
        <f t="shared" si="5"/>
        <v>TC_CC_F__</v>
      </c>
      <c r="R58" s="8"/>
      <c r="S58" s="7" t="e">
        <f>_xlfn.XLOOKUP($D58,#REF!,#REF!,,0,)</f>
        <v>#REF!</v>
      </c>
      <c r="T58" s="22" t="str">
        <f>Tab_Process_TCs2527[[#This Row],[Flow_ID]]</f>
        <v>F__</v>
      </c>
      <c r="U58" s="22" t="e">
        <f t="shared" si="7"/>
        <v>#REF!</v>
      </c>
      <c r="V58" s="29"/>
      <c r="W58" s="32" t="e">
        <f>Tab_Process_TCs2527[[#This Row],[TC O_6_'[%']]]+#REF!+#REF!+#REF!+#REF!+#REF!</f>
        <v>#REF!</v>
      </c>
      <c r="X58" s="8"/>
      <c r="Y58" s="8"/>
      <c r="Z58" s="8"/>
      <c r="AA58" s="8"/>
      <c r="AB58" s="8"/>
    </row>
    <row r="59" spans="1:28" x14ac:dyDescent="0.25">
      <c r="A59" s="160" t="b">
        <v>0</v>
      </c>
      <c r="B59" s="7">
        <f t="shared" si="6"/>
        <v>58</v>
      </c>
      <c r="C59" s="27" t="e">
        <f>_xlfn.XLOOKUP($D59,Tab_Process_TCs[Process_Name],Tab_Process_TCs[Process_ID],,0,)</f>
        <v>#N/A</v>
      </c>
      <c r="D59" s="155" t="s">
        <v>31</v>
      </c>
      <c r="E59" s="155" t="s">
        <v>31</v>
      </c>
      <c r="F59" s="27" t="e">
        <f>_xlfn.XLOOKUP($D59,Tab_Process_TCs[Process_Name],Tab_Process_TCs[TC?],,0,)</f>
        <v>#N/A</v>
      </c>
      <c r="G59" s="27" t="e">
        <f>_xlfn.XLOOKUP($D59,Tab_Process_TCs[Process_Name],Tab_Process_TCs[TC_Type],,0,)</f>
        <v>#N/A</v>
      </c>
      <c r="H59" s="27" t="e">
        <f>_xlfn.XLOOKUP($D59,Tab_Process_TCs[Process_Name],Tab_Process_TCs[Process_Logic],,0,)</f>
        <v>#N/A</v>
      </c>
      <c r="I59" s="7" t="str">
        <f>_xlfn.XLOOKUP($E59,Tab_Def_Flows[Flow_Name],Tab_Def_Flows[Flow_ID],,0,1)</f>
        <v>F__</v>
      </c>
      <c r="J59" s="8"/>
      <c r="K59" s="22" t="str">
        <f t="shared" si="2"/>
        <v>TC_material_F__</v>
      </c>
      <c r="L59" s="158"/>
      <c r="M59" s="22" t="str">
        <f t="shared" si="3"/>
        <v>TC_WC_F__</v>
      </c>
      <c r="N59" s="158"/>
      <c r="O59" s="22" t="str">
        <f t="shared" si="4"/>
        <v>TC_DM_F__</v>
      </c>
      <c r="P59" s="158"/>
      <c r="Q59" s="22" t="str">
        <f t="shared" si="5"/>
        <v>TC_CC_F__</v>
      </c>
      <c r="R59" s="8"/>
      <c r="S59" s="7" t="e">
        <f>_xlfn.XLOOKUP($D59,#REF!,#REF!,,0,)</f>
        <v>#REF!</v>
      </c>
      <c r="T59" s="22" t="str">
        <f>Tab_Process_TCs2527[[#This Row],[Flow_ID]]</f>
        <v>F__</v>
      </c>
      <c r="U59" s="22" t="e">
        <f t="shared" si="7"/>
        <v>#REF!</v>
      </c>
      <c r="V59" s="29"/>
      <c r="W59" s="32" t="e">
        <f>Tab_Process_TCs2527[[#This Row],[TC O_6_'[%']]]+#REF!+#REF!+#REF!+#REF!+#REF!</f>
        <v>#REF!</v>
      </c>
      <c r="X59" s="8"/>
      <c r="Y59" s="8"/>
      <c r="Z59" s="8"/>
      <c r="AA59" s="8"/>
      <c r="AB59" s="8"/>
    </row>
    <row r="60" spans="1:28" x14ac:dyDescent="0.25">
      <c r="A60" s="160" t="b">
        <v>0</v>
      </c>
      <c r="B60" s="7">
        <f t="shared" si="6"/>
        <v>59</v>
      </c>
      <c r="C60" s="27" t="e">
        <f>_xlfn.XLOOKUP($D60,Tab_Process_TCs[Process_Name],Tab_Process_TCs[Process_ID],,0,)</f>
        <v>#N/A</v>
      </c>
      <c r="D60" s="155" t="s">
        <v>31</v>
      </c>
      <c r="E60" s="155" t="s">
        <v>31</v>
      </c>
      <c r="F60" s="27" t="e">
        <f>_xlfn.XLOOKUP($D60,Tab_Process_TCs[Process_Name],Tab_Process_TCs[TC?],,0,)</f>
        <v>#N/A</v>
      </c>
      <c r="G60" s="27" t="e">
        <f>_xlfn.XLOOKUP($D60,Tab_Process_TCs[Process_Name],Tab_Process_TCs[TC_Type],,0,)</f>
        <v>#N/A</v>
      </c>
      <c r="H60" s="27" t="e">
        <f>_xlfn.XLOOKUP($D60,Tab_Process_TCs[Process_Name],Tab_Process_TCs[Process_Logic],,0,)</f>
        <v>#N/A</v>
      </c>
      <c r="I60" s="7" t="str">
        <f>_xlfn.XLOOKUP($E60,Tab_Def_Flows[Flow_Name],Tab_Def_Flows[Flow_ID],,0,1)</f>
        <v>F__</v>
      </c>
      <c r="J60" s="8"/>
      <c r="K60" s="22" t="str">
        <f t="shared" si="2"/>
        <v>TC_material_F__</v>
      </c>
      <c r="L60" s="158"/>
      <c r="M60" s="22" t="str">
        <f t="shared" si="3"/>
        <v>TC_WC_F__</v>
      </c>
      <c r="N60" s="158"/>
      <c r="O60" s="22" t="str">
        <f t="shared" si="4"/>
        <v>TC_DM_F__</v>
      </c>
      <c r="P60" s="158"/>
      <c r="Q60" s="22" t="str">
        <f t="shared" si="5"/>
        <v>TC_CC_F__</v>
      </c>
      <c r="R60" s="8"/>
      <c r="S60" s="7" t="e">
        <f>_xlfn.XLOOKUP($D60,#REF!,#REF!,,0,)</f>
        <v>#REF!</v>
      </c>
      <c r="T60" s="22" t="str">
        <f>Tab_Process_TCs2527[[#This Row],[Flow_ID]]</f>
        <v>F__</v>
      </c>
      <c r="U60" s="22" t="e">
        <f t="shared" si="7"/>
        <v>#REF!</v>
      </c>
      <c r="V60" s="29"/>
      <c r="W60" s="32" t="e">
        <f>Tab_Process_TCs2527[[#This Row],[TC O_6_'[%']]]+#REF!+#REF!+#REF!+#REF!+#REF!</f>
        <v>#REF!</v>
      </c>
      <c r="X60" s="8"/>
      <c r="Y60" s="8"/>
      <c r="Z60" s="8"/>
      <c r="AA60" s="8"/>
      <c r="AB60" s="8"/>
    </row>
    <row r="61" spans="1:28" x14ac:dyDescent="0.25">
      <c r="A61" s="160" t="b">
        <v>0</v>
      </c>
      <c r="B61" s="7">
        <f t="shared" si="6"/>
        <v>60</v>
      </c>
      <c r="C61" s="27" t="e">
        <f>_xlfn.XLOOKUP($D61,Tab_Process_TCs[Process_Name],Tab_Process_TCs[Process_ID],,0,)</f>
        <v>#N/A</v>
      </c>
      <c r="D61" s="155" t="s">
        <v>31</v>
      </c>
      <c r="E61" s="155" t="s">
        <v>31</v>
      </c>
      <c r="F61" s="27" t="e">
        <f>_xlfn.XLOOKUP($D61,Tab_Process_TCs[Process_Name],Tab_Process_TCs[TC?],,0,)</f>
        <v>#N/A</v>
      </c>
      <c r="G61" s="27" t="e">
        <f>_xlfn.XLOOKUP($D61,Tab_Process_TCs[Process_Name],Tab_Process_TCs[TC_Type],,0,)</f>
        <v>#N/A</v>
      </c>
      <c r="H61" s="27" t="e">
        <f>_xlfn.XLOOKUP($D61,Tab_Process_TCs[Process_Name],Tab_Process_TCs[Process_Logic],,0,)</f>
        <v>#N/A</v>
      </c>
      <c r="I61" s="7" t="str">
        <f>_xlfn.XLOOKUP($E61,Tab_Def_Flows[Flow_Name],Tab_Def_Flows[Flow_ID],,0,1)</f>
        <v>F__</v>
      </c>
      <c r="J61" s="8"/>
      <c r="K61" s="22" t="str">
        <f t="shared" si="2"/>
        <v>TC_material_F__</v>
      </c>
      <c r="L61" s="158"/>
      <c r="M61" s="22" t="str">
        <f t="shared" si="3"/>
        <v>TC_WC_F__</v>
      </c>
      <c r="N61" s="158"/>
      <c r="O61" s="22" t="str">
        <f t="shared" si="4"/>
        <v>TC_DM_F__</v>
      </c>
      <c r="P61" s="158"/>
      <c r="Q61" s="22" t="str">
        <f t="shared" si="5"/>
        <v>TC_CC_F__</v>
      </c>
      <c r="R61" s="8"/>
      <c r="S61" s="7" t="e">
        <f>_xlfn.XLOOKUP($D61,#REF!,#REF!,,0,)</f>
        <v>#REF!</v>
      </c>
      <c r="T61" s="22" t="str">
        <f>Tab_Process_TCs2527[[#This Row],[Flow_ID]]</f>
        <v>F__</v>
      </c>
      <c r="U61" s="22" t="e">
        <f t="shared" si="7"/>
        <v>#REF!</v>
      </c>
      <c r="V61" s="29"/>
      <c r="W61" s="32" t="e">
        <f>Tab_Process_TCs2527[[#This Row],[TC O_6_'[%']]]+#REF!+#REF!+#REF!+#REF!+#REF!</f>
        <v>#REF!</v>
      </c>
      <c r="X61" s="8"/>
      <c r="Y61" s="8"/>
      <c r="Z61" s="8"/>
      <c r="AA61" s="8"/>
      <c r="AB61" s="8"/>
    </row>
    <row r="62" spans="1:28" x14ac:dyDescent="0.25">
      <c r="A62" s="160" t="b">
        <v>0</v>
      </c>
      <c r="B62" s="7">
        <f t="shared" si="6"/>
        <v>61</v>
      </c>
      <c r="C62" s="27" t="e">
        <f>_xlfn.XLOOKUP($D62,Tab_Process_TCs[Process_Name],Tab_Process_TCs[Process_ID],,0,)</f>
        <v>#N/A</v>
      </c>
      <c r="D62" s="155" t="s">
        <v>31</v>
      </c>
      <c r="E62" s="155" t="s">
        <v>31</v>
      </c>
      <c r="F62" s="27" t="e">
        <f>_xlfn.XLOOKUP($D62,Tab_Process_TCs[Process_Name],Tab_Process_TCs[TC?],,0,)</f>
        <v>#N/A</v>
      </c>
      <c r="G62" s="27" t="e">
        <f>_xlfn.XLOOKUP($D62,Tab_Process_TCs[Process_Name],Tab_Process_TCs[TC_Type],,0,)</f>
        <v>#N/A</v>
      </c>
      <c r="H62" s="27" t="e">
        <f>_xlfn.XLOOKUP($D62,Tab_Process_TCs[Process_Name],Tab_Process_TCs[Process_Logic],,0,)</f>
        <v>#N/A</v>
      </c>
      <c r="I62" s="7" t="str">
        <f>_xlfn.XLOOKUP($E62,Tab_Def_Flows[Flow_Name],Tab_Def_Flows[Flow_ID],,0,1)</f>
        <v>F__</v>
      </c>
      <c r="J62" s="8"/>
      <c r="K62" s="22" t="str">
        <f t="shared" si="2"/>
        <v>TC_material_F__</v>
      </c>
      <c r="L62" s="158"/>
      <c r="M62" s="22" t="str">
        <f t="shared" si="3"/>
        <v>TC_WC_F__</v>
      </c>
      <c r="N62" s="158"/>
      <c r="O62" s="22" t="str">
        <f t="shared" si="4"/>
        <v>TC_DM_F__</v>
      </c>
      <c r="P62" s="158"/>
      <c r="Q62" s="22" t="str">
        <f t="shared" si="5"/>
        <v>TC_CC_F__</v>
      </c>
      <c r="R62" s="8"/>
      <c r="S62" s="7" t="e">
        <f>_xlfn.XLOOKUP($D62,#REF!,#REF!,,0,)</f>
        <v>#REF!</v>
      </c>
      <c r="T62" s="22" t="str">
        <f>Tab_Process_TCs2527[[#This Row],[Flow_ID]]</f>
        <v>F__</v>
      </c>
      <c r="U62" s="22" t="e">
        <f t="shared" si="7"/>
        <v>#REF!</v>
      </c>
      <c r="V62" s="29"/>
      <c r="W62" s="32" t="e">
        <f>Tab_Process_TCs2527[[#This Row],[TC O_6_'[%']]]+#REF!+#REF!+#REF!+#REF!+#REF!</f>
        <v>#REF!</v>
      </c>
      <c r="X62" s="8"/>
      <c r="Y62" s="8"/>
      <c r="Z62" s="8"/>
      <c r="AA62" s="8"/>
      <c r="AB62" s="8"/>
    </row>
    <row r="63" spans="1:28" x14ac:dyDescent="0.25">
      <c r="A63" s="160" t="b">
        <v>0</v>
      </c>
      <c r="B63" s="7">
        <f t="shared" si="6"/>
        <v>62</v>
      </c>
      <c r="C63" s="27" t="e">
        <f>_xlfn.XLOOKUP($D63,Tab_Process_TCs[Process_Name],Tab_Process_TCs[Process_ID],,0,)</f>
        <v>#N/A</v>
      </c>
      <c r="D63" s="155" t="s">
        <v>31</v>
      </c>
      <c r="E63" s="155" t="s">
        <v>31</v>
      </c>
      <c r="F63" s="27" t="e">
        <f>_xlfn.XLOOKUP($D63,Tab_Process_TCs[Process_Name],Tab_Process_TCs[TC?],,0,)</f>
        <v>#N/A</v>
      </c>
      <c r="G63" s="27" t="e">
        <f>_xlfn.XLOOKUP($D63,Tab_Process_TCs[Process_Name],Tab_Process_TCs[TC_Type],,0,)</f>
        <v>#N/A</v>
      </c>
      <c r="H63" s="27" t="e">
        <f>_xlfn.XLOOKUP($D63,Tab_Process_TCs[Process_Name],Tab_Process_TCs[Process_Logic],,0,)</f>
        <v>#N/A</v>
      </c>
      <c r="I63" s="7" t="str">
        <f>_xlfn.XLOOKUP($E63,Tab_Def_Flows[Flow_Name],Tab_Def_Flows[Flow_ID],,0,1)</f>
        <v>F__</v>
      </c>
      <c r="J63" s="8"/>
      <c r="K63" s="22" t="str">
        <f t="shared" si="2"/>
        <v>TC_material_F__</v>
      </c>
      <c r="L63" s="158"/>
      <c r="M63" s="22" t="str">
        <f t="shared" si="3"/>
        <v>TC_WC_F__</v>
      </c>
      <c r="N63" s="158"/>
      <c r="O63" s="22" t="str">
        <f t="shared" si="4"/>
        <v>TC_DM_F__</v>
      </c>
      <c r="P63" s="158"/>
      <c r="Q63" s="22" t="str">
        <f t="shared" si="5"/>
        <v>TC_CC_F__</v>
      </c>
      <c r="R63" s="8"/>
      <c r="S63" s="7" t="e">
        <f>_xlfn.XLOOKUP($D63,#REF!,#REF!,,0,)</f>
        <v>#REF!</v>
      </c>
      <c r="T63" s="22" t="str">
        <f>Tab_Process_TCs2527[[#This Row],[Flow_ID]]</f>
        <v>F__</v>
      </c>
      <c r="U63" s="22" t="e">
        <f t="shared" si="7"/>
        <v>#REF!</v>
      </c>
      <c r="V63" s="29"/>
      <c r="W63" s="32" t="e">
        <f>Tab_Process_TCs2527[[#This Row],[TC O_6_'[%']]]+#REF!+#REF!+#REF!+#REF!+#REF!</f>
        <v>#REF!</v>
      </c>
      <c r="X63" s="8"/>
      <c r="Y63" s="8"/>
      <c r="Z63" s="8"/>
      <c r="AA63" s="8"/>
      <c r="AB63" s="8"/>
    </row>
    <row r="64" spans="1:28" x14ac:dyDescent="0.25">
      <c r="A64" s="160" t="b">
        <v>0</v>
      </c>
      <c r="B64" s="7">
        <f t="shared" ref="B64:B95" si="8">ROW()-1</f>
        <v>63</v>
      </c>
      <c r="C64" s="27" t="e">
        <f>_xlfn.XLOOKUP($D64,Tab_Process_TCs[Process_Name],Tab_Process_TCs[Process_ID],,0,)</f>
        <v>#N/A</v>
      </c>
      <c r="D64" s="155" t="s">
        <v>31</v>
      </c>
      <c r="E64" s="155" t="s">
        <v>31</v>
      </c>
      <c r="F64" s="27" t="e">
        <f>_xlfn.XLOOKUP($D64,Tab_Process_TCs[Process_Name],Tab_Process_TCs[TC?],,0,)</f>
        <v>#N/A</v>
      </c>
      <c r="G64" s="27" t="e">
        <f>_xlfn.XLOOKUP($D64,Tab_Process_TCs[Process_Name],Tab_Process_TCs[TC_Type],,0,)</f>
        <v>#N/A</v>
      </c>
      <c r="H64" s="27" t="e">
        <f>_xlfn.XLOOKUP($D64,Tab_Process_TCs[Process_Name],Tab_Process_TCs[Process_Logic],,0,)</f>
        <v>#N/A</v>
      </c>
      <c r="I64" s="7" t="str">
        <f>_xlfn.XLOOKUP($E64,Tab_Def_Flows[Flow_Name],Tab_Def_Flows[Flow_ID],,0,1)</f>
        <v>F__</v>
      </c>
      <c r="J64" s="8"/>
      <c r="K64" s="22" t="str">
        <f t="shared" si="2"/>
        <v>TC_material_F__</v>
      </c>
      <c r="L64" s="158"/>
      <c r="M64" s="22" t="str">
        <f t="shared" si="3"/>
        <v>TC_WC_F__</v>
      </c>
      <c r="N64" s="158"/>
      <c r="O64" s="22" t="str">
        <f t="shared" si="4"/>
        <v>TC_DM_F__</v>
      </c>
      <c r="P64" s="158"/>
      <c r="Q64" s="22" t="str">
        <f t="shared" si="5"/>
        <v>TC_CC_F__</v>
      </c>
      <c r="R64" s="8"/>
      <c r="S64" s="7" t="e">
        <f>_xlfn.XLOOKUP($D64,#REF!,#REF!,,0,)</f>
        <v>#REF!</v>
      </c>
      <c r="T64" s="22" t="str">
        <f>Tab_Process_TCs2527[[#This Row],[Flow_ID]]</f>
        <v>F__</v>
      </c>
      <c r="U64" s="22" t="e">
        <f t="shared" ref="U64:U95" si="9">"TC"&amp;"_"&amp;RIGHT(S64,5)</f>
        <v>#REF!</v>
      </c>
      <c r="V64" s="29"/>
      <c r="W64" s="32" t="e">
        <f>Tab_Process_TCs2527[[#This Row],[TC O_6_'[%']]]+#REF!+#REF!+#REF!+#REF!+#REF!</f>
        <v>#REF!</v>
      </c>
      <c r="X64" s="8"/>
      <c r="Y64" s="8"/>
      <c r="Z64" s="8"/>
      <c r="AA64" s="8"/>
      <c r="AB64" s="8"/>
    </row>
    <row r="65" spans="1:28" x14ac:dyDescent="0.25">
      <c r="A65" s="160" t="b">
        <v>0</v>
      </c>
      <c r="B65" s="7">
        <f t="shared" si="8"/>
        <v>64</v>
      </c>
      <c r="C65" s="27" t="e">
        <f>_xlfn.XLOOKUP($D65,Tab_Process_TCs[Process_Name],Tab_Process_TCs[Process_ID],,0,)</f>
        <v>#N/A</v>
      </c>
      <c r="D65" s="155" t="s">
        <v>31</v>
      </c>
      <c r="E65" s="155" t="s">
        <v>31</v>
      </c>
      <c r="F65" s="27" t="e">
        <f>_xlfn.XLOOKUP($D65,Tab_Process_TCs[Process_Name],Tab_Process_TCs[TC?],,0,)</f>
        <v>#N/A</v>
      </c>
      <c r="G65" s="27" t="e">
        <f>_xlfn.XLOOKUP($D65,Tab_Process_TCs[Process_Name],Tab_Process_TCs[TC_Type],,0,)</f>
        <v>#N/A</v>
      </c>
      <c r="H65" s="27" t="e">
        <f>_xlfn.XLOOKUP($D65,Tab_Process_TCs[Process_Name],Tab_Process_TCs[Process_Logic],,0,)</f>
        <v>#N/A</v>
      </c>
      <c r="I65" s="7" t="str">
        <f>_xlfn.XLOOKUP($E65,Tab_Def_Flows[Flow_Name],Tab_Def_Flows[Flow_ID],,0,1)</f>
        <v>F__</v>
      </c>
      <c r="J65" s="8"/>
      <c r="K65" s="22" t="str">
        <f t="shared" si="2"/>
        <v>TC_material_F__</v>
      </c>
      <c r="L65" s="158"/>
      <c r="M65" s="22" t="str">
        <f t="shared" si="3"/>
        <v>TC_WC_F__</v>
      </c>
      <c r="N65" s="158"/>
      <c r="O65" s="22" t="str">
        <f t="shared" si="4"/>
        <v>TC_DM_F__</v>
      </c>
      <c r="P65" s="158"/>
      <c r="Q65" s="22" t="str">
        <f t="shared" si="5"/>
        <v>TC_CC_F__</v>
      </c>
      <c r="R65" s="8"/>
      <c r="S65" s="7" t="e">
        <f>_xlfn.XLOOKUP($D65,#REF!,#REF!,,0,)</f>
        <v>#REF!</v>
      </c>
      <c r="T65" s="22" t="str">
        <f>Tab_Process_TCs2527[[#This Row],[Flow_ID]]</f>
        <v>F__</v>
      </c>
      <c r="U65" s="22" t="e">
        <f t="shared" si="9"/>
        <v>#REF!</v>
      </c>
      <c r="V65" s="29"/>
      <c r="W65" s="32" t="e">
        <f>Tab_Process_TCs2527[[#This Row],[TC O_6_'[%']]]+#REF!+#REF!+#REF!+#REF!+#REF!</f>
        <v>#REF!</v>
      </c>
      <c r="X65" s="8"/>
      <c r="Y65" s="8"/>
      <c r="Z65" s="8"/>
      <c r="AA65" s="8"/>
      <c r="AB65" s="8"/>
    </row>
    <row r="66" spans="1:28" x14ac:dyDescent="0.25">
      <c r="A66" s="160" t="b">
        <v>0</v>
      </c>
      <c r="B66" s="7">
        <f t="shared" si="8"/>
        <v>65</v>
      </c>
      <c r="C66" s="27" t="e">
        <f>_xlfn.XLOOKUP($D66,Tab_Process_TCs[Process_Name],Tab_Process_TCs[Process_ID],,0,)</f>
        <v>#N/A</v>
      </c>
      <c r="D66" s="155" t="s">
        <v>31</v>
      </c>
      <c r="E66" s="155" t="s">
        <v>31</v>
      </c>
      <c r="F66" s="27" t="e">
        <f>_xlfn.XLOOKUP($D66,Tab_Process_TCs[Process_Name],Tab_Process_TCs[TC?],,0,)</f>
        <v>#N/A</v>
      </c>
      <c r="G66" s="27" t="e">
        <f>_xlfn.XLOOKUP($D66,Tab_Process_TCs[Process_Name],Tab_Process_TCs[TC_Type],,0,)</f>
        <v>#N/A</v>
      </c>
      <c r="H66" s="27" t="e">
        <f>_xlfn.XLOOKUP($D66,Tab_Process_TCs[Process_Name],Tab_Process_TCs[Process_Logic],,0,)</f>
        <v>#N/A</v>
      </c>
      <c r="I66" s="7" t="str">
        <f>_xlfn.XLOOKUP($E66,Tab_Def_Flows[Flow_Name],Tab_Def_Flows[Flow_ID],,0,1)</f>
        <v>F__</v>
      </c>
      <c r="J66" s="8"/>
      <c r="K66" s="22" t="str">
        <f t="shared" si="2"/>
        <v>TC_material_F__</v>
      </c>
      <c r="L66" s="158"/>
      <c r="M66" s="22" t="str">
        <f t="shared" si="3"/>
        <v>TC_WC_F__</v>
      </c>
      <c r="N66" s="158"/>
      <c r="O66" s="22" t="str">
        <f t="shared" si="4"/>
        <v>TC_DM_F__</v>
      </c>
      <c r="P66" s="158"/>
      <c r="Q66" s="22" t="str">
        <f t="shared" si="5"/>
        <v>TC_CC_F__</v>
      </c>
      <c r="R66" s="8"/>
      <c r="S66" s="7" t="e">
        <f>_xlfn.XLOOKUP($D66,#REF!,#REF!,,0,)</f>
        <v>#REF!</v>
      </c>
      <c r="T66" s="22" t="str">
        <f>Tab_Process_TCs2527[[#This Row],[Flow_ID]]</f>
        <v>F__</v>
      </c>
      <c r="U66" s="22" t="e">
        <f t="shared" si="9"/>
        <v>#REF!</v>
      </c>
      <c r="V66" s="29"/>
      <c r="W66" s="32" t="e">
        <f>Tab_Process_TCs2527[[#This Row],[TC O_6_'[%']]]+#REF!+#REF!+#REF!+#REF!+#REF!</f>
        <v>#REF!</v>
      </c>
      <c r="X66" s="8"/>
      <c r="Y66" s="8"/>
      <c r="Z66" s="8"/>
      <c r="AA66" s="8"/>
      <c r="AB66" s="8"/>
    </row>
    <row r="67" spans="1:28" x14ac:dyDescent="0.25">
      <c r="A67" s="160" t="b">
        <v>0</v>
      </c>
      <c r="B67" s="7">
        <f t="shared" si="8"/>
        <v>66</v>
      </c>
      <c r="C67" s="27" t="e">
        <f>_xlfn.XLOOKUP($D67,Tab_Process_TCs[Process_Name],Tab_Process_TCs[Process_ID],,0,)</f>
        <v>#N/A</v>
      </c>
      <c r="D67" s="155" t="s">
        <v>31</v>
      </c>
      <c r="E67" s="155" t="s">
        <v>31</v>
      </c>
      <c r="F67" s="27" t="e">
        <f>_xlfn.XLOOKUP($D67,Tab_Process_TCs[Process_Name],Tab_Process_TCs[TC?],,0,)</f>
        <v>#N/A</v>
      </c>
      <c r="G67" s="27" t="e">
        <f>_xlfn.XLOOKUP($D67,Tab_Process_TCs[Process_Name],Tab_Process_TCs[TC_Type],,0,)</f>
        <v>#N/A</v>
      </c>
      <c r="H67" s="27" t="e">
        <f>_xlfn.XLOOKUP($D67,Tab_Process_TCs[Process_Name],Tab_Process_TCs[Process_Logic],,0,)</f>
        <v>#N/A</v>
      </c>
      <c r="I67" s="7" t="str">
        <f>_xlfn.XLOOKUP($E67,Tab_Def_Flows[Flow_Name],Tab_Def_Flows[Flow_ID],,0,1)</f>
        <v>F__</v>
      </c>
      <c r="J67" s="8"/>
      <c r="K67" s="22" t="str">
        <f t="shared" ref="K67:K130" si="10">"TC_material"&amp;"_"&amp;RIGHT(I67,5)</f>
        <v>TC_material_F__</v>
      </c>
      <c r="L67" s="158"/>
      <c r="M67" s="22" t="str">
        <f t="shared" ref="M67:M130" si="11">"TC_WC"&amp;"_"&amp;RIGHT(I67,5)</f>
        <v>TC_WC_F__</v>
      </c>
      <c r="N67" s="158"/>
      <c r="O67" s="22" t="str">
        <f t="shared" ref="O67:O130" si="12">"TC_DM"&amp;"_"&amp;RIGHT(I67,5)</f>
        <v>TC_DM_F__</v>
      </c>
      <c r="P67" s="158"/>
      <c r="Q67" s="22" t="str">
        <f t="shared" ref="Q67:Q130" si="13">"TC_CC"&amp;"_"&amp;RIGHT(I67,5)</f>
        <v>TC_CC_F__</v>
      </c>
      <c r="R67" s="8"/>
      <c r="S67" s="7" t="e">
        <f>_xlfn.XLOOKUP($D67,#REF!,#REF!,,0,)</f>
        <v>#REF!</v>
      </c>
      <c r="T67" s="22" t="str">
        <f>Tab_Process_TCs2527[[#This Row],[Flow_ID]]</f>
        <v>F__</v>
      </c>
      <c r="U67" s="22" t="e">
        <f t="shared" si="9"/>
        <v>#REF!</v>
      </c>
      <c r="V67" s="29"/>
      <c r="W67" s="32" t="e">
        <f>Tab_Process_TCs2527[[#This Row],[TC O_6_'[%']]]+#REF!+#REF!+#REF!+#REF!+#REF!</f>
        <v>#REF!</v>
      </c>
      <c r="X67" s="8"/>
      <c r="Y67" s="8"/>
      <c r="Z67" s="8"/>
      <c r="AA67" s="8"/>
      <c r="AB67" s="8"/>
    </row>
    <row r="68" spans="1:28" x14ac:dyDescent="0.25">
      <c r="A68" s="160" t="b">
        <v>0</v>
      </c>
      <c r="B68" s="7">
        <f t="shared" si="8"/>
        <v>67</v>
      </c>
      <c r="C68" s="27" t="e">
        <f>_xlfn.XLOOKUP($D68,Tab_Process_TCs[Process_Name],Tab_Process_TCs[Process_ID],,0,)</f>
        <v>#N/A</v>
      </c>
      <c r="D68" s="155" t="s">
        <v>31</v>
      </c>
      <c r="E68" s="155" t="s">
        <v>31</v>
      </c>
      <c r="F68" s="27" t="e">
        <f>_xlfn.XLOOKUP($D68,Tab_Process_TCs[Process_Name],Tab_Process_TCs[TC?],,0,)</f>
        <v>#N/A</v>
      </c>
      <c r="G68" s="27" t="e">
        <f>_xlfn.XLOOKUP($D68,Tab_Process_TCs[Process_Name],Tab_Process_TCs[TC_Type],,0,)</f>
        <v>#N/A</v>
      </c>
      <c r="H68" s="27" t="e">
        <f>_xlfn.XLOOKUP($D68,Tab_Process_TCs[Process_Name],Tab_Process_TCs[Process_Logic],,0,)</f>
        <v>#N/A</v>
      </c>
      <c r="I68" s="7" t="str">
        <f>_xlfn.XLOOKUP($E68,Tab_Def_Flows[Flow_Name],Tab_Def_Flows[Flow_ID],,0,1)</f>
        <v>F__</v>
      </c>
      <c r="J68" s="8"/>
      <c r="K68" s="22" t="str">
        <f t="shared" si="10"/>
        <v>TC_material_F__</v>
      </c>
      <c r="L68" s="158"/>
      <c r="M68" s="22" t="str">
        <f t="shared" si="11"/>
        <v>TC_WC_F__</v>
      </c>
      <c r="N68" s="158"/>
      <c r="O68" s="22" t="str">
        <f t="shared" si="12"/>
        <v>TC_DM_F__</v>
      </c>
      <c r="P68" s="158"/>
      <c r="Q68" s="22" t="str">
        <f t="shared" si="13"/>
        <v>TC_CC_F__</v>
      </c>
      <c r="R68" s="8"/>
      <c r="S68" s="7" t="e">
        <f>_xlfn.XLOOKUP($D68,#REF!,#REF!,,0,)</f>
        <v>#REF!</v>
      </c>
      <c r="T68" s="22" t="str">
        <f>Tab_Process_TCs2527[[#This Row],[Flow_ID]]</f>
        <v>F__</v>
      </c>
      <c r="U68" s="22" t="e">
        <f t="shared" si="9"/>
        <v>#REF!</v>
      </c>
      <c r="V68" s="29"/>
      <c r="W68" s="32" t="e">
        <f>Tab_Process_TCs2527[[#This Row],[TC O_6_'[%']]]+#REF!+#REF!+#REF!+#REF!+#REF!</f>
        <v>#REF!</v>
      </c>
      <c r="X68" s="8"/>
      <c r="Y68" s="8"/>
      <c r="Z68" s="8"/>
      <c r="AA68" s="8"/>
      <c r="AB68" s="8"/>
    </row>
    <row r="69" spans="1:28" x14ac:dyDescent="0.25">
      <c r="A69" s="160" t="b">
        <v>0</v>
      </c>
      <c r="B69" s="7">
        <f t="shared" si="8"/>
        <v>68</v>
      </c>
      <c r="C69" s="27" t="e">
        <f>_xlfn.XLOOKUP($D69,Tab_Process_TCs[Process_Name],Tab_Process_TCs[Process_ID],,0,)</f>
        <v>#N/A</v>
      </c>
      <c r="D69" s="155" t="s">
        <v>31</v>
      </c>
      <c r="E69" s="155" t="s">
        <v>31</v>
      </c>
      <c r="F69" s="27" t="e">
        <f>_xlfn.XLOOKUP($D69,Tab_Process_TCs[Process_Name],Tab_Process_TCs[TC?],,0,)</f>
        <v>#N/A</v>
      </c>
      <c r="G69" s="27" t="e">
        <f>_xlfn.XLOOKUP($D69,Tab_Process_TCs[Process_Name],Tab_Process_TCs[TC_Type],,0,)</f>
        <v>#N/A</v>
      </c>
      <c r="H69" s="27" t="e">
        <f>_xlfn.XLOOKUP($D69,Tab_Process_TCs[Process_Name],Tab_Process_TCs[Process_Logic],,0,)</f>
        <v>#N/A</v>
      </c>
      <c r="I69" s="7" t="str">
        <f>_xlfn.XLOOKUP($E69,Tab_Def_Flows[Flow_Name],Tab_Def_Flows[Flow_ID],,0,1)</f>
        <v>F__</v>
      </c>
      <c r="J69" s="8"/>
      <c r="K69" s="22" t="str">
        <f t="shared" si="10"/>
        <v>TC_material_F__</v>
      </c>
      <c r="L69" s="158"/>
      <c r="M69" s="22" t="str">
        <f t="shared" si="11"/>
        <v>TC_WC_F__</v>
      </c>
      <c r="N69" s="158"/>
      <c r="O69" s="22" t="str">
        <f t="shared" si="12"/>
        <v>TC_DM_F__</v>
      </c>
      <c r="P69" s="158"/>
      <c r="Q69" s="22" t="str">
        <f t="shared" si="13"/>
        <v>TC_CC_F__</v>
      </c>
      <c r="R69" s="8"/>
      <c r="S69" s="7" t="e">
        <f>_xlfn.XLOOKUP($D69,#REF!,#REF!,,0,)</f>
        <v>#REF!</v>
      </c>
      <c r="T69" s="22" t="str">
        <f>Tab_Process_TCs2527[[#This Row],[Flow_ID]]</f>
        <v>F__</v>
      </c>
      <c r="U69" s="22" t="e">
        <f t="shared" si="9"/>
        <v>#REF!</v>
      </c>
      <c r="V69" s="29"/>
      <c r="W69" s="32" t="e">
        <f>Tab_Process_TCs2527[[#This Row],[TC O_6_'[%']]]+#REF!+#REF!+#REF!+#REF!+#REF!</f>
        <v>#REF!</v>
      </c>
      <c r="X69" s="8"/>
      <c r="Y69" s="8"/>
      <c r="Z69" s="8"/>
      <c r="AA69" s="8"/>
      <c r="AB69" s="8"/>
    </row>
    <row r="70" spans="1:28" x14ac:dyDescent="0.25">
      <c r="A70" s="160" t="b">
        <v>0</v>
      </c>
      <c r="B70" s="7">
        <f t="shared" si="8"/>
        <v>69</v>
      </c>
      <c r="C70" s="27" t="e">
        <f>_xlfn.XLOOKUP($D70,Tab_Process_TCs[Process_Name],Tab_Process_TCs[Process_ID],,0,)</f>
        <v>#N/A</v>
      </c>
      <c r="D70" s="155" t="s">
        <v>31</v>
      </c>
      <c r="E70" s="155" t="s">
        <v>31</v>
      </c>
      <c r="F70" s="27" t="e">
        <f>_xlfn.XLOOKUP($D70,Tab_Process_TCs[Process_Name],Tab_Process_TCs[TC?],,0,)</f>
        <v>#N/A</v>
      </c>
      <c r="G70" s="27" t="e">
        <f>_xlfn.XLOOKUP($D70,Tab_Process_TCs[Process_Name],Tab_Process_TCs[TC_Type],,0,)</f>
        <v>#N/A</v>
      </c>
      <c r="H70" s="27" t="e">
        <f>_xlfn.XLOOKUP($D70,Tab_Process_TCs[Process_Name],Tab_Process_TCs[Process_Logic],,0,)</f>
        <v>#N/A</v>
      </c>
      <c r="I70" s="7" t="str">
        <f>_xlfn.XLOOKUP($E70,Tab_Def_Flows[Flow_Name],Tab_Def_Flows[Flow_ID],,0,1)</f>
        <v>F__</v>
      </c>
      <c r="J70" s="8"/>
      <c r="K70" s="22" t="str">
        <f t="shared" si="10"/>
        <v>TC_material_F__</v>
      </c>
      <c r="L70" s="158"/>
      <c r="M70" s="22" t="str">
        <f t="shared" si="11"/>
        <v>TC_WC_F__</v>
      </c>
      <c r="N70" s="158"/>
      <c r="O70" s="22" t="str">
        <f t="shared" si="12"/>
        <v>TC_DM_F__</v>
      </c>
      <c r="P70" s="158"/>
      <c r="Q70" s="22" t="str">
        <f t="shared" si="13"/>
        <v>TC_CC_F__</v>
      </c>
      <c r="R70" s="8"/>
      <c r="S70" s="7" t="e">
        <f>_xlfn.XLOOKUP($D70,#REF!,#REF!,,0,)</f>
        <v>#REF!</v>
      </c>
      <c r="T70" s="22" t="str">
        <f>Tab_Process_TCs2527[[#This Row],[Flow_ID]]</f>
        <v>F__</v>
      </c>
      <c r="U70" s="22" t="e">
        <f t="shared" si="9"/>
        <v>#REF!</v>
      </c>
      <c r="V70" s="29"/>
      <c r="W70" s="32" t="e">
        <f>Tab_Process_TCs2527[[#This Row],[TC O_6_'[%']]]+#REF!+#REF!+#REF!+#REF!+#REF!</f>
        <v>#REF!</v>
      </c>
      <c r="X70" s="8"/>
      <c r="Y70" s="8"/>
      <c r="Z70" s="8"/>
      <c r="AA70" s="8"/>
      <c r="AB70" s="8"/>
    </row>
    <row r="71" spans="1:28" x14ac:dyDescent="0.25">
      <c r="A71" s="160" t="b">
        <v>0</v>
      </c>
      <c r="B71" s="7">
        <f t="shared" si="8"/>
        <v>70</v>
      </c>
      <c r="C71" s="27" t="e">
        <f>_xlfn.XLOOKUP($D71,Tab_Process_TCs[Process_Name],Tab_Process_TCs[Process_ID],,0,)</f>
        <v>#N/A</v>
      </c>
      <c r="D71" s="155" t="s">
        <v>31</v>
      </c>
      <c r="E71" s="155" t="s">
        <v>31</v>
      </c>
      <c r="F71" s="27" t="e">
        <f>_xlfn.XLOOKUP($D71,Tab_Process_TCs[Process_Name],Tab_Process_TCs[TC?],,0,)</f>
        <v>#N/A</v>
      </c>
      <c r="G71" s="27" t="e">
        <f>_xlfn.XLOOKUP($D71,Tab_Process_TCs[Process_Name],Tab_Process_TCs[TC_Type],,0,)</f>
        <v>#N/A</v>
      </c>
      <c r="H71" s="27" t="e">
        <f>_xlfn.XLOOKUP($D71,Tab_Process_TCs[Process_Name],Tab_Process_TCs[Process_Logic],,0,)</f>
        <v>#N/A</v>
      </c>
      <c r="I71" s="7" t="str">
        <f>_xlfn.XLOOKUP($E71,Tab_Def_Flows[Flow_Name],Tab_Def_Flows[Flow_ID],,0,1)</f>
        <v>F__</v>
      </c>
      <c r="J71" s="8"/>
      <c r="K71" s="22" t="str">
        <f t="shared" si="10"/>
        <v>TC_material_F__</v>
      </c>
      <c r="L71" s="158"/>
      <c r="M71" s="22" t="str">
        <f t="shared" si="11"/>
        <v>TC_WC_F__</v>
      </c>
      <c r="N71" s="158"/>
      <c r="O71" s="22" t="str">
        <f t="shared" si="12"/>
        <v>TC_DM_F__</v>
      </c>
      <c r="P71" s="158"/>
      <c r="Q71" s="22" t="str">
        <f t="shared" si="13"/>
        <v>TC_CC_F__</v>
      </c>
      <c r="R71" s="8"/>
      <c r="S71" s="7" t="e">
        <f>_xlfn.XLOOKUP($D71,#REF!,#REF!,,0,)</f>
        <v>#REF!</v>
      </c>
      <c r="T71" s="22" t="str">
        <f>Tab_Process_TCs2527[[#This Row],[Flow_ID]]</f>
        <v>F__</v>
      </c>
      <c r="U71" s="22" t="e">
        <f t="shared" si="9"/>
        <v>#REF!</v>
      </c>
      <c r="V71" s="29"/>
      <c r="W71" s="32" t="e">
        <f>Tab_Process_TCs2527[[#This Row],[TC O_6_'[%']]]+#REF!+#REF!+#REF!+#REF!+#REF!</f>
        <v>#REF!</v>
      </c>
      <c r="X71" s="8"/>
      <c r="Y71" s="8"/>
      <c r="Z71" s="8"/>
      <c r="AA71" s="8"/>
      <c r="AB71" s="8"/>
    </row>
    <row r="72" spans="1:28" x14ac:dyDescent="0.25">
      <c r="A72" s="160" t="b">
        <v>0</v>
      </c>
      <c r="B72" s="7">
        <f t="shared" si="8"/>
        <v>71</v>
      </c>
      <c r="C72" s="27" t="e">
        <f>_xlfn.XLOOKUP($D72,Tab_Process_TCs[Process_Name],Tab_Process_TCs[Process_ID],,0,)</f>
        <v>#N/A</v>
      </c>
      <c r="D72" s="155" t="s">
        <v>31</v>
      </c>
      <c r="E72" s="155" t="s">
        <v>31</v>
      </c>
      <c r="F72" s="27" t="e">
        <f>_xlfn.XLOOKUP($D72,Tab_Process_TCs[Process_Name],Tab_Process_TCs[TC?],,0,)</f>
        <v>#N/A</v>
      </c>
      <c r="G72" s="27" t="e">
        <f>_xlfn.XLOOKUP($D72,Tab_Process_TCs[Process_Name],Tab_Process_TCs[TC_Type],,0,)</f>
        <v>#N/A</v>
      </c>
      <c r="H72" s="27" t="e">
        <f>_xlfn.XLOOKUP($D72,Tab_Process_TCs[Process_Name],Tab_Process_TCs[Process_Logic],,0,)</f>
        <v>#N/A</v>
      </c>
      <c r="I72" s="7" t="str">
        <f>_xlfn.XLOOKUP($E72,Tab_Def_Flows[Flow_Name],Tab_Def_Flows[Flow_ID],,0,1)</f>
        <v>F__</v>
      </c>
      <c r="J72" s="8"/>
      <c r="K72" s="22" t="str">
        <f t="shared" si="10"/>
        <v>TC_material_F__</v>
      </c>
      <c r="L72" s="158"/>
      <c r="M72" s="22" t="str">
        <f t="shared" si="11"/>
        <v>TC_WC_F__</v>
      </c>
      <c r="N72" s="158"/>
      <c r="O72" s="22" t="str">
        <f t="shared" si="12"/>
        <v>TC_DM_F__</v>
      </c>
      <c r="P72" s="158"/>
      <c r="Q72" s="22" t="str">
        <f t="shared" si="13"/>
        <v>TC_CC_F__</v>
      </c>
      <c r="R72" s="8"/>
      <c r="S72" s="7" t="e">
        <f>_xlfn.XLOOKUP($D72,#REF!,#REF!,,0,)</f>
        <v>#REF!</v>
      </c>
      <c r="T72" s="22" t="str">
        <f>Tab_Process_TCs2527[[#This Row],[Flow_ID]]</f>
        <v>F__</v>
      </c>
      <c r="U72" s="22" t="e">
        <f t="shared" si="9"/>
        <v>#REF!</v>
      </c>
      <c r="V72" s="29"/>
      <c r="W72" s="32" t="e">
        <f>Tab_Process_TCs2527[[#This Row],[TC O_6_'[%']]]+#REF!+#REF!+#REF!+#REF!+#REF!</f>
        <v>#REF!</v>
      </c>
      <c r="X72" s="8"/>
      <c r="Y72" s="8"/>
      <c r="Z72" s="8"/>
      <c r="AA72" s="8"/>
      <c r="AB72" s="8"/>
    </row>
    <row r="73" spans="1:28" x14ac:dyDescent="0.25">
      <c r="A73" s="160" t="b">
        <v>0</v>
      </c>
      <c r="B73" s="7">
        <f t="shared" si="8"/>
        <v>72</v>
      </c>
      <c r="C73" s="27" t="e">
        <f>_xlfn.XLOOKUP($D73,Tab_Process_TCs[Process_Name],Tab_Process_TCs[Process_ID],,0,)</f>
        <v>#N/A</v>
      </c>
      <c r="D73" s="155" t="s">
        <v>31</v>
      </c>
      <c r="E73" s="155" t="s">
        <v>31</v>
      </c>
      <c r="F73" s="27" t="e">
        <f>_xlfn.XLOOKUP($D73,Tab_Process_TCs[Process_Name],Tab_Process_TCs[TC?],,0,)</f>
        <v>#N/A</v>
      </c>
      <c r="G73" s="27" t="e">
        <f>_xlfn.XLOOKUP($D73,Tab_Process_TCs[Process_Name],Tab_Process_TCs[TC_Type],,0,)</f>
        <v>#N/A</v>
      </c>
      <c r="H73" s="27" t="e">
        <f>_xlfn.XLOOKUP($D73,Tab_Process_TCs[Process_Name],Tab_Process_TCs[Process_Logic],,0,)</f>
        <v>#N/A</v>
      </c>
      <c r="I73" s="7" t="str">
        <f>_xlfn.XLOOKUP($E73,Tab_Def_Flows[Flow_Name],Tab_Def_Flows[Flow_ID],,0,1)</f>
        <v>F__</v>
      </c>
      <c r="J73" s="8"/>
      <c r="K73" s="22" t="str">
        <f t="shared" si="10"/>
        <v>TC_material_F__</v>
      </c>
      <c r="L73" s="158"/>
      <c r="M73" s="22" t="str">
        <f t="shared" si="11"/>
        <v>TC_WC_F__</v>
      </c>
      <c r="N73" s="158"/>
      <c r="O73" s="22" t="str">
        <f t="shared" si="12"/>
        <v>TC_DM_F__</v>
      </c>
      <c r="P73" s="158"/>
      <c r="Q73" s="22" t="str">
        <f t="shared" si="13"/>
        <v>TC_CC_F__</v>
      </c>
      <c r="R73" s="8"/>
      <c r="S73" s="7" t="e">
        <f>_xlfn.XLOOKUP($D73,#REF!,#REF!,,0,)</f>
        <v>#REF!</v>
      </c>
      <c r="T73" s="22" t="str">
        <f>Tab_Process_TCs2527[[#This Row],[Flow_ID]]</f>
        <v>F__</v>
      </c>
      <c r="U73" s="22" t="e">
        <f t="shared" si="9"/>
        <v>#REF!</v>
      </c>
      <c r="V73" s="29"/>
      <c r="W73" s="32" t="e">
        <f>Tab_Process_TCs2527[[#This Row],[TC O_6_'[%']]]+#REF!+#REF!+#REF!+#REF!+#REF!</f>
        <v>#REF!</v>
      </c>
      <c r="X73" s="8"/>
      <c r="Y73" s="8"/>
      <c r="Z73" s="8"/>
      <c r="AA73" s="8"/>
      <c r="AB73" s="8"/>
    </row>
    <row r="74" spans="1:28" x14ac:dyDescent="0.25">
      <c r="A74" s="160" t="b">
        <v>0</v>
      </c>
      <c r="B74" s="7">
        <f t="shared" si="8"/>
        <v>73</v>
      </c>
      <c r="C74" s="27" t="e">
        <f>_xlfn.XLOOKUP($D74,Tab_Process_TCs[Process_Name],Tab_Process_TCs[Process_ID],,0,)</f>
        <v>#N/A</v>
      </c>
      <c r="D74" s="155" t="s">
        <v>31</v>
      </c>
      <c r="E74" s="155" t="s">
        <v>31</v>
      </c>
      <c r="F74" s="27" t="e">
        <f>_xlfn.XLOOKUP($D74,Tab_Process_TCs[Process_Name],Tab_Process_TCs[TC?],,0,)</f>
        <v>#N/A</v>
      </c>
      <c r="G74" s="27" t="e">
        <f>_xlfn.XLOOKUP($D74,Tab_Process_TCs[Process_Name],Tab_Process_TCs[TC_Type],,0,)</f>
        <v>#N/A</v>
      </c>
      <c r="H74" s="27" t="e">
        <f>_xlfn.XLOOKUP($D74,Tab_Process_TCs[Process_Name],Tab_Process_TCs[Process_Logic],,0,)</f>
        <v>#N/A</v>
      </c>
      <c r="I74" s="7" t="str">
        <f>_xlfn.XLOOKUP($E74,Tab_Def_Flows[Flow_Name],Tab_Def_Flows[Flow_ID],,0,1)</f>
        <v>F__</v>
      </c>
      <c r="J74" s="8"/>
      <c r="K74" s="22" t="str">
        <f t="shared" si="10"/>
        <v>TC_material_F__</v>
      </c>
      <c r="L74" s="158"/>
      <c r="M74" s="22" t="str">
        <f t="shared" si="11"/>
        <v>TC_WC_F__</v>
      </c>
      <c r="N74" s="158"/>
      <c r="O74" s="22" t="str">
        <f t="shared" si="12"/>
        <v>TC_DM_F__</v>
      </c>
      <c r="P74" s="158"/>
      <c r="Q74" s="22" t="str">
        <f t="shared" si="13"/>
        <v>TC_CC_F__</v>
      </c>
      <c r="R74" s="8"/>
      <c r="S74" s="7" t="e">
        <f>_xlfn.XLOOKUP($D74,#REF!,#REF!,,0,)</f>
        <v>#REF!</v>
      </c>
      <c r="T74" s="22" t="str">
        <f>Tab_Process_TCs2527[[#This Row],[Flow_ID]]</f>
        <v>F__</v>
      </c>
      <c r="U74" s="22" t="e">
        <f t="shared" si="9"/>
        <v>#REF!</v>
      </c>
      <c r="V74" s="29"/>
      <c r="W74" s="32" t="e">
        <f>Tab_Process_TCs2527[[#This Row],[TC O_6_'[%']]]+#REF!+#REF!+#REF!+#REF!+#REF!</f>
        <v>#REF!</v>
      </c>
      <c r="X74" s="8"/>
      <c r="Y74" s="8"/>
      <c r="Z74" s="8"/>
      <c r="AA74" s="8"/>
      <c r="AB74" s="8"/>
    </row>
    <row r="75" spans="1:28" x14ac:dyDescent="0.25">
      <c r="A75" s="160" t="b">
        <v>0</v>
      </c>
      <c r="B75" s="7">
        <f t="shared" si="8"/>
        <v>74</v>
      </c>
      <c r="C75" s="27" t="e">
        <f>_xlfn.XLOOKUP($D75,Tab_Process_TCs[Process_Name],Tab_Process_TCs[Process_ID],,0,)</f>
        <v>#N/A</v>
      </c>
      <c r="D75" s="155" t="s">
        <v>31</v>
      </c>
      <c r="E75" s="155" t="s">
        <v>31</v>
      </c>
      <c r="F75" s="27" t="e">
        <f>_xlfn.XLOOKUP($D75,Tab_Process_TCs[Process_Name],Tab_Process_TCs[TC?],,0,)</f>
        <v>#N/A</v>
      </c>
      <c r="G75" s="27" t="e">
        <f>_xlfn.XLOOKUP($D75,Tab_Process_TCs[Process_Name],Tab_Process_TCs[TC_Type],,0,)</f>
        <v>#N/A</v>
      </c>
      <c r="H75" s="27" t="e">
        <f>_xlfn.XLOOKUP($D75,Tab_Process_TCs[Process_Name],Tab_Process_TCs[Process_Logic],,0,)</f>
        <v>#N/A</v>
      </c>
      <c r="I75" s="7" t="str">
        <f>_xlfn.XLOOKUP($E75,Tab_Def_Flows[Flow_Name],Tab_Def_Flows[Flow_ID],,0,1)</f>
        <v>F__</v>
      </c>
      <c r="J75" s="8"/>
      <c r="K75" s="22" t="str">
        <f t="shared" si="10"/>
        <v>TC_material_F__</v>
      </c>
      <c r="L75" s="158"/>
      <c r="M75" s="22" t="str">
        <f t="shared" si="11"/>
        <v>TC_WC_F__</v>
      </c>
      <c r="N75" s="158"/>
      <c r="O75" s="22" t="str">
        <f t="shared" si="12"/>
        <v>TC_DM_F__</v>
      </c>
      <c r="P75" s="158"/>
      <c r="Q75" s="22" t="str">
        <f t="shared" si="13"/>
        <v>TC_CC_F__</v>
      </c>
      <c r="R75" s="8"/>
      <c r="S75" s="7" t="e">
        <f>_xlfn.XLOOKUP($D75,#REF!,#REF!,,0,)</f>
        <v>#REF!</v>
      </c>
      <c r="T75" s="22" t="str">
        <f>Tab_Process_TCs2527[[#This Row],[Flow_ID]]</f>
        <v>F__</v>
      </c>
      <c r="U75" s="22" t="e">
        <f t="shared" si="9"/>
        <v>#REF!</v>
      </c>
      <c r="V75" s="29"/>
      <c r="W75" s="32" t="e">
        <f>Tab_Process_TCs2527[[#This Row],[TC O_6_'[%']]]+#REF!+#REF!+#REF!+#REF!+#REF!</f>
        <v>#REF!</v>
      </c>
      <c r="X75" s="8"/>
      <c r="Y75" s="8"/>
      <c r="Z75" s="8"/>
      <c r="AA75" s="8"/>
      <c r="AB75" s="8"/>
    </row>
    <row r="76" spans="1:28" x14ac:dyDescent="0.25">
      <c r="A76" s="160" t="b">
        <v>0</v>
      </c>
      <c r="B76" s="7">
        <f t="shared" si="8"/>
        <v>75</v>
      </c>
      <c r="C76" s="27" t="e">
        <f>_xlfn.XLOOKUP($D76,Tab_Process_TCs[Process_Name],Tab_Process_TCs[Process_ID],,0,)</f>
        <v>#N/A</v>
      </c>
      <c r="D76" s="155" t="s">
        <v>31</v>
      </c>
      <c r="E76" s="155" t="s">
        <v>31</v>
      </c>
      <c r="F76" s="27" t="e">
        <f>_xlfn.XLOOKUP($D76,Tab_Process_TCs[Process_Name],Tab_Process_TCs[TC?],,0,)</f>
        <v>#N/A</v>
      </c>
      <c r="G76" s="27" t="e">
        <f>_xlfn.XLOOKUP($D76,Tab_Process_TCs[Process_Name],Tab_Process_TCs[TC_Type],,0,)</f>
        <v>#N/A</v>
      </c>
      <c r="H76" s="27" t="e">
        <f>_xlfn.XLOOKUP($D76,Tab_Process_TCs[Process_Name],Tab_Process_TCs[Process_Logic],,0,)</f>
        <v>#N/A</v>
      </c>
      <c r="I76" s="7" t="str">
        <f>_xlfn.XLOOKUP($E76,Tab_Def_Flows[Flow_Name],Tab_Def_Flows[Flow_ID],,0,1)</f>
        <v>F__</v>
      </c>
      <c r="J76" s="8"/>
      <c r="K76" s="22" t="str">
        <f t="shared" si="10"/>
        <v>TC_material_F__</v>
      </c>
      <c r="L76" s="158"/>
      <c r="M76" s="22" t="str">
        <f t="shared" si="11"/>
        <v>TC_WC_F__</v>
      </c>
      <c r="N76" s="158"/>
      <c r="O76" s="22" t="str">
        <f t="shared" si="12"/>
        <v>TC_DM_F__</v>
      </c>
      <c r="P76" s="158"/>
      <c r="Q76" s="22" t="str">
        <f t="shared" si="13"/>
        <v>TC_CC_F__</v>
      </c>
      <c r="R76" s="8"/>
      <c r="S76" s="7" t="e">
        <f>_xlfn.XLOOKUP($D76,#REF!,#REF!,,0,)</f>
        <v>#REF!</v>
      </c>
      <c r="T76" s="22" t="str">
        <f>Tab_Process_TCs2527[[#This Row],[Flow_ID]]</f>
        <v>F__</v>
      </c>
      <c r="U76" s="22" t="e">
        <f t="shared" si="9"/>
        <v>#REF!</v>
      </c>
      <c r="V76" s="29"/>
      <c r="W76" s="32" t="e">
        <f>Tab_Process_TCs2527[[#This Row],[TC O_6_'[%']]]+#REF!+#REF!+#REF!+#REF!+#REF!</f>
        <v>#REF!</v>
      </c>
      <c r="X76" s="8"/>
      <c r="Y76" s="8"/>
      <c r="Z76" s="8"/>
      <c r="AA76" s="8"/>
      <c r="AB76" s="8"/>
    </row>
    <row r="77" spans="1:28" x14ac:dyDescent="0.25">
      <c r="A77" s="160" t="b">
        <v>0</v>
      </c>
      <c r="B77" s="7">
        <f t="shared" si="8"/>
        <v>76</v>
      </c>
      <c r="C77" s="27" t="e">
        <f>_xlfn.XLOOKUP($D77,Tab_Process_TCs[Process_Name],Tab_Process_TCs[Process_ID],,0,)</f>
        <v>#N/A</v>
      </c>
      <c r="D77" s="155" t="s">
        <v>31</v>
      </c>
      <c r="E77" s="155" t="s">
        <v>31</v>
      </c>
      <c r="F77" s="27" t="e">
        <f>_xlfn.XLOOKUP($D77,Tab_Process_TCs[Process_Name],Tab_Process_TCs[TC?],,0,)</f>
        <v>#N/A</v>
      </c>
      <c r="G77" s="27" t="e">
        <f>_xlfn.XLOOKUP($D77,Tab_Process_TCs[Process_Name],Tab_Process_TCs[TC_Type],,0,)</f>
        <v>#N/A</v>
      </c>
      <c r="H77" s="27" t="e">
        <f>_xlfn.XLOOKUP($D77,Tab_Process_TCs[Process_Name],Tab_Process_TCs[Process_Logic],,0,)</f>
        <v>#N/A</v>
      </c>
      <c r="I77" s="7" t="str">
        <f>_xlfn.XLOOKUP($E77,Tab_Def_Flows[Flow_Name],Tab_Def_Flows[Flow_ID],,0,1)</f>
        <v>F__</v>
      </c>
      <c r="J77" s="8"/>
      <c r="K77" s="22" t="str">
        <f t="shared" si="10"/>
        <v>TC_material_F__</v>
      </c>
      <c r="L77" s="158"/>
      <c r="M77" s="22" t="str">
        <f t="shared" si="11"/>
        <v>TC_WC_F__</v>
      </c>
      <c r="N77" s="158"/>
      <c r="O77" s="22" t="str">
        <f t="shared" si="12"/>
        <v>TC_DM_F__</v>
      </c>
      <c r="P77" s="158"/>
      <c r="Q77" s="22" t="str">
        <f t="shared" si="13"/>
        <v>TC_CC_F__</v>
      </c>
      <c r="R77" s="8"/>
      <c r="S77" s="7" t="e">
        <f>_xlfn.XLOOKUP($D77,#REF!,#REF!,,0,)</f>
        <v>#REF!</v>
      </c>
      <c r="T77" s="22" t="str">
        <f>Tab_Process_TCs2527[[#This Row],[Flow_ID]]</f>
        <v>F__</v>
      </c>
      <c r="U77" s="22" t="e">
        <f t="shared" si="9"/>
        <v>#REF!</v>
      </c>
      <c r="V77" s="29"/>
      <c r="W77" s="32" t="e">
        <f>Tab_Process_TCs2527[[#This Row],[TC O_6_'[%']]]+#REF!+#REF!+#REF!+#REF!+#REF!</f>
        <v>#REF!</v>
      </c>
      <c r="X77" s="8"/>
      <c r="Y77" s="8"/>
      <c r="Z77" s="8"/>
      <c r="AA77" s="8"/>
      <c r="AB77" s="8"/>
    </row>
    <row r="78" spans="1:28" x14ac:dyDescent="0.25">
      <c r="A78" s="160" t="b">
        <v>0</v>
      </c>
      <c r="B78" s="7">
        <f t="shared" si="8"/>
        <v>77</v>
      </c>
      <c r="C78" s="27" t="e">
        <f>_xlfn.XLOOKUP($D78,Tab_Process_TCs[Process_Name],Tab_Process_TCs[Process_ID],,0,)</f>
        <v>#N/A</v>
      </c>
      <c r="D78" s="155" t="s">
        <v>31</v>
      </c>
      <c r="E78" s="155" t="s">
        <v>31</v>
      </c>
      <c r="F78" s="27" t="e">
        <f>_xlfn.XLOOKUP($D78,Tab_Process_TCs[Process_Name],Tab_Process_TCs[TC?],,0,)</f>
        <v>#N/A</v>
      </c>
      <c r="G78" s="27" t="e">
        <f>_xlfn.XLOOKUP($D78,Tab_Process_TCs[Process_Name],Tab_Process_TCs[TC_Type],,0,)</f>
        <v>#N/A</v>
      </c>
      <c r="H78" s="27" t="e">
        <f>_xlfn.XLOOKUP($D78,Tab_Process_TCs[Process_Name],Tab_Process_TCs[Process_Logic],,0,)</f>
        <v>#N/A</v>
      </c>
      <c r="I78" s="7" t="str">
        <f>_xlfn.XLOOKUP($E78,Tab_Def_Flows[Flow_Name],Tab_Def_Flows[Flow_ID],,0,1)</f>
        <v>F__</v>
      </c>
      <c r="J78" s="8"/>
      <c r="K78" s="22" t="str">
        <f t="shared" si="10"/>
        <v>TC_material_F__</v>
      </c>
      <c r="L78" s="158"/>
      <c r="M78" s="22" t="str">
        <f t="shared" si="11"/>
        <v>TC_WC_F__</v>
      </c>
      <c r="N78" s="158"/>
      <c r="O78" s="22" t="str">
        <f t="shared" si="12"/>
        <v>TC_DM_F__</v>
      </c>
      <c r="P78" s="158"/>
      <c r="Q78" s="22" t="str">
        <f t="shared" si="13"/>
        <v>TC_CC_F__</v>
      </c>
      <c r="R78" s="8"/>
      <c r="S78" s="7" t="e">
        <f>_xlfn.XLOOKUP($D78,#REF!,#REF!,,0,)</f>
        <v>#REF!</v>
      </c>
      <c r="T78" s="22" t="str">
        <f>Tab_Process_TCs2527[[#This Row],[Flow_ID]]</f>
        <v>F__</v>
      </c>
      <c r="U78" s="22" t="e">
        <f t="shared" si="9"/>
        <v>#REF!</v>
      </c>
      <c r="V78" s="29"/>
      <c r="W78" s="32" t="e">
        <f>Tab_Process_TCs2527[[#This Row],[TC O_6_'[%']]]+#REF!+#REF!+#REF!+#REF!+#REF!</f>
        <v>#REF!</v>
      </c>
      <c r="X78" s="8"/>
      <c r="Y78" s="8"/>
      <c r="Z78" s="8"/>
      <c r="AA78" s="8"/>
      <c r="AB78" s="8"/>
    </row>
    <row r="79" spans="1:28" x14ac:dyDescent="0.25">
      <c r="A79" s="160" t="b">
        <v>0</v>
      </c>
      <c r="B79" s="7">
        <f t="shared" si="8"/>
        <v>78</v>
      </c>
      <c r="C79" s="27" t="e">
        <f>_xlfn.XLOOKUP($D79,Tab_Process_TCs[Process_Name],Tab_Process_TCs[Process_ID],,0,)</f>
        <v>#N/A</v>
      </c>
      <c r="D79" s="155" t="s">
        <v>31</v>
      </c>
      <c r="E79" s="155" t="s">
        <v>31</v>
      </c>
      <c r="F79" s="27" t="e">
        <f>_xlfn.XLOOKUP($D79,Tab_Process_TCs[Process_Name],Tab_Process_TCs[TC?],,0,)</f>
        <v>#N/A</v>
      </c>
      <c r="G79" s="27" t="e">
        <f>_xlfn.XLOOKUP($D79,Tab_Process_TCs[Process_Name],Tab_Process_TCs[TC_Type],,0,)</f>
        <v>#N/A</v>
      </c>
      <c r="H79" s="27" t="e">
        <f>_xlfn.XLOOKUP($D79,Tab_Process_TCs[Process_Name],Tab_Process_TCs[Process_Logic],,0,)</f>
        <v>#N/A</v>
      </c>
      <c r="I79" s="7" t="str">
        <f>_xlfn.XLOOKUP($E79,Tab_Def_Flows[Flow_Name],Tab_Def_Flows[Flow_ID],,0,1)</f>
        <v>F__</v>
      </c>
      <c r="J79" s="8"/>
      <c r="K79" s="22" t="str">
        <f t="shared" si="10"/>
        <v>TC_material_F__</v>
      </c>
      <c r="L79" s="158"/>
      <c r="M79" s="22" t="str">
        <f t="shared" si="11"/>
        <v>TC_WC_F__</v>
      </c>
      <c r="N79" s="158"/>
      <c r="O79" s="22" t="str">
        <f t="shared" si="12"/>
        <v>TC_DM_F__</v>
      </c>
      <c r="P79" s="158"/>
      <c r="Q79" s="22" t="str">
        <f t="shared" si="13"/>
        <v>TC_CC_F__</v>
      </c>
      <c r="R79" s="8"/>
      <c r="S79" s="7" t="e">
        <f>_xlfn.XLOOKUP($D79,#REF!,#REF!,,0,)</f>
        <v>#REF!</v>
      </c>
      <c r="T79" s="22" t="str">
        <f>Tab_Process_TCs2527[[#This Row],[Flow_ID]]</f>
        <v>F__</v>
      </c>
      <c r="U79" s="22" t="e">
        <f t="shared" si="9"/>
        <v>#REF!</v>
      </c>
      <c r="V79" s="29"/>
      <c r="W79" s="32" t="e">
        <f>Tab_Process_TCs2527[[#This Row],[TC O_6_'[%']]]+#REF!+#REF!+#REF!+#REF!+#REF!</f>
        <v>#REF!</v>
      </c>
      <c r="X79" s="8"/>
      <c r="Y79" s="8"/>
      <c r="Z79" s="8"/>
      <c r="AA79" s="8"/>
      <c r="AB79" s="8"/>
    </row>
    <row r="80" spans="1:28" x14ac:dyDescent="0.25">
      <c r="A80" s="160" t="b">
        <v>0</v>
      </c>
      <c r="B80" s="7">
        <f t="shared" si="8"/>
        <v>79</v>
      </c>
      <c r="C80" s="27" t="e">
        <f>_xlfn.XLOOKUP($D80,Tab_Process_TCs[Process_Name],Tab_Process_TCs[Process_ID],,0,)</f>
        <v>#N/A</v>
      </c>
      <c r="D80" s="155" t="s">
        <v>31</v>
      </c>
      <c r="E80" s="155" t="s">
        <v>31</v>
      </c>
      <c r="F80" s="27" t="e">
        <f>_xlfn.XLOOKUP($D80,Tab_Process_TCs[Process_Name],Tab_Process_TCs[TC?],,0,)</f>
        <v>#N/A</v>
      </c>
      <c r="G80" s="27" t="e">
        <f>_xlfn.XLOOKUP($D80,Tab_Process_TCs[Process_Name],Tab_Process_TCs[TC_Type],,0,)</f>
        <v>#N/A</v>
      </c>
      <c r="H80" s="27" t="e">
        <f>_xlfn.XLOOKUP($D80,Tab_Process_TCs[Process_Name],Tab_Process_TCs[Process_Logic],,0,)</f>
        <v>#N/A</v>
      </c>
      <c r="I80" s="7" t="str">
        <f>_xlfn.XLOOKUP($E80,Tab_Def_Flows[Flow_Name],Tab_Def_Flows[Flow_ID],,0,1)</f>
        <v>F__</v>
      </c>
      <c r="J80" s="8"/>
      <c r="K80" s="22" t="str">
        <f t="shared" si="10"/>
        <v>TC_material_F__</v>
      </c>
      <c r="L80" s="158"/>
      <c r="M80" s="22" t="str">
        <f t="shared" si="11"/>
        <v>TC_WC_F__</v>
      </c>
      <c r="N80" s="158"/>
      <c r="O80" s="22" t="str">
        <f t="shared" si="12"/>
        <v>TC_DM_F__</v>
      </c>
      <c r="P80" s="158"/>
      <c r="Q80" s="22" t="str">
        <f t="shared" si="13"/>
        <v>TC_CC_F__</v>
      </c>
      <c r="R80" s="8"/>
      <c r="S80" s="7" t="e">
        <f>_xlfn.XLOOKUP($D80,#REF!,#REF!,,0,)</f>
        <v>#REF!</v>
      </c>
      <c r="T80" s="22" t="str">
        <f>Tab_Process_TCs2527[[#This Row],[Flow_ID]]</f>
        <v>F__</v>
      </c>
      <c r="U80" s="22" t="e">
        <f t="shared" si="9"/>
        <v>#REF!</v>
      </c>
      <c r="V80" s="29"/>
      <c r="W80" s="32" t="e">
        <f>Tab_Process_TCs2527[[#This Row],[TC O_6_'[%']]]+#REF!+#REF!+#REF!+#REF!+#REF!</f>
        <v>#REF!</v>
      </c>
      <c r="X80" s="8"/>
      <c r="Y80" s="8"/>
      <c r="Z80" s="8"/>
      <c r="AA80" s="8"/>
      <c r="AB80" s="8"/>
    </row>
    <row r="81" spans="1:28" x14ac:dyDescent="0.25">
      <c r="A81" s="160" t="b">
        <v>0</v>
      </c>
      <c r="B81" s="7">
        <f t="shared" si="8"/>
        <v>80</v>
      </c>
      <c r="C81" s="27" t="e">
        <f>_xlfn.XLOOKUP($D81,Tab_Process_TCs[Process_Name],Tab_Process_TCs[Process_ID],,0,)</f>
        <v>#N/A</v>
      </c>
      <c r="D81" s="155" t="s">
        <v>31</v>
      </c>
      <c r="E81" s="155" t="s">
        <v>31</v>
      </c>
      <c r="F81" s="27" t="e">
        <f>_xlfn.XLOOKUP($D81,Tab_Process_TCs[Process_Name],Tab_Process_TCs[TC?],,0,)</f>
        <v>#N/A</v>
      </c>
      <c r="G81" s="27" t="e">
        <f>_xlfn.XLOOKUP($D81,Tab_Process_TCs[Process_Name],Tab_Process_TCs[TC_Type],,0,)</f>
        <v>#N/A</v>
      </c>
      <c r="H81" s="27" t="e">
        <f>_xlfn.XLOOKUP($D81,Tab_Process_TCs[Process_Name],Tab_Process_TCs[Process_Logic],,0,)</f>
        <v>#N/A</v>
      </c>
      <c r="I81" s="7" t="str">
        <f>_xlfn.XLOOKUP($E81,Tab_Def_Flows[Flow_Name],Tab_Def_Flows[Flow_ID],,0,1)</f>
        <v>F__</v>
      </c>
      <c r="J81" s="8"/>
      <c r="K81" s="22" t="str">
        <f t="shared" si="10"/>
        <v>TC_material_F__</v>
      </c>
      <c r="L81" s="158"/>
      <c r="M81" s="22" t="str">
        <f t="shared" si="11"/>
        <v>TC_WC_F__</v>
      </c>
      <c r="N81" s="158"/>
      <c r="O81" s="22" t="str">
        <f t="shared" si="12"/>
        <v>TC_DM_F__</v>
      </c>
      <c r="P81" s="158"/>
      <c r="Q81" s="22" t="str">
        <f t="shared" si="13"/>
        <v>TC_CC_F__</v>
      </c>
      <c r="R81" s="8"/>
      <c r="S81" s="7" t="e">
        <f>_xlfn.XLOOKUP($D81,#REF!,#REF!,,0,)</f>
        <v>#REF!</v>
      </c>
      <c r="T81" s="22" t="str">
        <f>Tab_Process_TCs2527[[#This Row],[Flow_ID]]</f>
        <v>F__</v>
      </c>
      <c r="U81" s="22" t="e">
        <f t="shared" si="9"/>
        <v>#REF!</v>
      </c>
      <c r="V81" s="29"/>
      <c r="W81" s="32" t="e">
        <f>Tab_Process_TCs2527[[#This Row],[TC O_6_'[%']]]+#REF!+#REF!+#REF!+#REF!+#REF!</f>
        <v>#REF!</v>
      </c>
      <c r="X81" s="8"/>
      <c r="Y81" s="8"/>
      <c r="Z81" s="8"/>
      <c r="AA81" s="8"/>
      <c r="AB81" s="8"/>
    </row>
    <row r="82" spans="1:28" x14ac:dyDescent="0.25">
      <c r="A82" s="160" t="b">
        <v>0</v>
      </c>
      <c r="B82" s="7">
        <f t="shared" si="8"/>
        <v>81</v>
      </c>
      <c r="C82" s="27" t="e">
        <f>_xlfn.XLOOKUP($D82,Tab_Process_TCs[Process_Name],Tab_Process_TCs[Process_ID],,0,)</f>
        <v>#N/A</v>
      </c>
      <c r="D82" s="155" t="s">
        <v>31</v>
      </c>
      <c r="E82" s="155" t="s">
        <v>31</v>
      </c>
      <c r="F82" s="27" t="e">
        <f>_xlfn.XLOOKUP($D82,Tab_Process_TCs[Process_Name],Tab_Process_TCs[TC?],,0,)</f>
        <v>#N/A</v>
      </c>
      <c r="G82" s="27" t="e">
        <f>_xlfn.XLOOKUP($D82,Tab_Process_TCs[Process_Name],Tab_Process_TCs[TC_Type],,0,)</f>
        <v>#N/A</v>
      </c>
      <c r="H82" s="27" t="e">
        <f>_xlfn.XLOOKUP($D82,Tab_Process_TCs[Process_Name],Tab_Process_TCs[Process_Logic],,0,)</f>
        <v>#N/A</v>
      </c>
      <c r="I82" s="7" t="str">
        <f>_xlfn.XLOOKUP($E82,Tab_Def_Flows[Flow_Name],Tab_Def_Flows[Flow_ID],,0,1)</f>
        <v>F__</v>
      </c>
      <c r="J82" s="8"/>
      <c r="K82" s="22" t="str">
        <f t="shared" si="10"/>
        <v>TC_material_F__</v>
      </c>
      <c r="L82" s="158"/>
      <c r="M82" s="22" t="str">
        <f t="shared" si="11"/>
        <v>TC_WC_F__</v>
      </c>
      <c r="N82" s="158"/>
      <c r="O82" s="22" t="str">
        <f t="shared" si="12"/>
        <v>TC_DM_F__</v>
      </c>
      <c r="P82" s="158"/>
      <c r="Q82" s="22" t="str">
        <f t="shared" si="13"/>
        <v>TC_CC_F__</v>
      </c>
      <c r="R82" s="8"/>
      <c r="S82" s="7" t="e">
        <f>_xlfn.XLOOKUP($D82,#REF!,#REF!,,0,)</f>
        <v>#REF!</v>
      </c>
      <c r="T82" s="22" t="str">
        <f>Tab_Process_TCs2527[[#This Row],[Flow_ID]]</f>
        <v>F__</v>
      </c>
      <c r="U82" s="22" t="e">
        <f t="shared" si="9"/>
        <v>#REF!</v>
      </c>
      <c r="V82" s="29"/>
      <c r="W82" s="32" t="e">
        <f>Tab_Process_TCs2527[[#This Row],[TC O_6_'[%']]]+#REF!+#REF!+#REF!+#REF!+#REF!</f>
        <v>#REF!</v>
      </c>
      <c r="X82" s="8"/>
      <c r="Y82" s="8"/>
      <c r="Z82" s="8"/>
      <c r="AA82" s="8"/>
      <c r="AB82" s="8"/>
    </row>
    <row r="83" spans="1:28" x14ac:dyDescent="0.25">
      <c r="A83" s="160" t="b">
        <v>0</v>
      </c>
      <c r="B83" s="7">
        <f t="shared" si="8"/>
        <v>82</v>
      </c>
      <c r="C83" s="27" t="e">
        <f>_xlfn.XLOOKUP($D83,Tab_Process_TCs[Process_Name],Tab_Process_TCs[Process_ID],,0,)</f>
        <v>#N/A</v>
      </c>
      <c r="D83" s="155" t="s">
        <v>31</v>
      </c>
      <c r="E83" s="155" t="s">
        <v>31</v>
      </c>
      <c r="F83" s="27" t="e">
        <f>_xlfn.XLOOKUP($D83,Tab_Process_TCs[Process_Name],Tab_Process_TCs[TC?],,0,)</f>
        <v>#N/A</v>
      </c>
      <c r="G83" s="27" t="e">
        <f>_xlfn.XLOOKUP($D83,Tab_Process_TCs[Process_Name],Tab_Process_TCs[TC_Type],,0,)</f>
        <v>#N/A</v>
      </c>
      <c r="H83" s="27" t="e">
        <f>_xlfn.XLOOKUP($D83,Tab_Process_TCs[Process_Name],Tab_Process_TCs[Process_Logic],,0,)</f>
        <v>#N/A</v>
      </c>
      <c r="I83" s="7" t="str">
        <f>_xlfn.XLOOKUP($E83,Tab_Def_Flows[Flow_Name],Tab_Def_Flows[Flow_ID],,0,1)</f>
        <v>F__</v>
      </c>
      <c r="J83" s="8"/>
      <c r="K83" s="22" t="str">
        <f t="shared" si="10"/>
        <v>TC_material_F__</v>
      </c>
      <c r="L83" s="158"/>
      <c r="M83" s="22" t="str">
        <f t="shared" si="11"/>
        <v>TC_WC_F__</v>
      </c>
      <c r="N83" s="158"/>
      <c r="O83" s="22" t="str">
        <f t="shared" si="12"/>
        <v>TC_DM_F__</v>
      </c>
      <c r="P83" s="158"/>
      <c r="Q83" s="22" t="str">
        <f t="shared" si="13"/>
        <v>TC_CC_F__</v>
      </c>
      <c r="R83" s="8"/>
      <c r="S83" s="7" t="e">
        <f>_xlfn.XLOOKUP($D83,#REF!,#REF!,,0,)</f>
        <v>#REF!</v>
      </c>
      <c r="T83" s="22" t="str">
        <f>Tab_Process_TCs2527[[#This Row],[Flow_ID]]</f>
        <v>F__</v>
      </c>
      <c r="U83" s="22" t="e">
        <f t="shared" si="9"/>
        <v>#REF!</v>
      </c>
      <c r="V83" s="29"/>
      <c r="W83" s="32" t="e">
        <f>Tab_Process_TCs2527[[#This Row],[TC O_6_'[%']]]+#REF!+#REF!+#REF!+#REF!+#REF!</f>
        <v>#REF!</v>
      </c>
      <c r="X83" s="8"/>
      <c r="Y83" s="8"/>
      <c r="Z83" s="8"/>
      <c r="AA83" s="8"/>
      <c r="AB83" s="8"/>
    </row>
    <row r="84" spans="1:28" x14ac:dyDescent="0.25">
      <c r="A84" s="160" t="b">
        <v>0</v>
      </c>
      <c r="B84" s="7">
        <f t="shared" si="8"/>
        <v>83</v>
      </c>
      <c r="C84" s="27" t="e">
        <f>_xlfn.XLOOKUP($D84,Tab_Process_TCs[Process_Name],Tab_Process_TCs[Process_ID],,0,)</f>
        <v>#N/A</v>
      </c>
      <c r="D84" s="155" t="s">
        <v>31</v>
      </c>
      <c r="E84" s="155" t="s">
        <v>31</v>
      </c>
      <c r="F84" s="27" t="e">
        <f>_xlfn.XLOOKUP($D84,Tab_Process_TCs[Process_Name],Tab_Process_TCs[TC?],,0,)</f>
        <v>#N/A</v>
      </c>
      <c r="G84" s="27" t="e">
        <f>_xlfn.XLOOKUP($D84,Tab_Process_TCs[Process_Name],Tab_Process_TCs[TC_Type],,0,)</f>
        <v>#N/A</v>
      </c>
      <c r="H84" s="27" t="e">
        <f>_xlfn.XLOOKUP($D84,Tab_Process_TCs[Process_Name],Tab_Process_TCs[Process_Logic],,0,)</f>
        <v>#N/A</v>
      </c>
      <c r="I84" s="7" t="str">
        <f>_xlfn.XLOOKUP($E84,Tab_Def_Flows[Flow_Name],Tab_Def_Flows[Flow_ID],,0,1)</f>
        <v>F__</v>
      </c>
      <c r="J84" s="8"/>
      <c r="K84" s="22" t="str">
        <f t="shared" si="10"/>
        <v>TC_material_F__</v>
      </c>
      <c r="L84" s="158"/>
      <c r="M84" s="22" t="str">
        <f t="shared" si="11"/>
        <v>TC_WC_F__</v>
      </c>
      <c r="N84" s="158"/>
      <c r="O84" s="22" t="str">
        <f t="shared" si="12"/>
        <v>TC_DM_F__</v>
      </c>
      <c r="P84" s="158"/>
      <c r="Q84" s="22" t="str">
        <f t="shared" si="13"/>
        <v>TC_CC_F__</v>
      </c>
      <c r="R84" s="8"/>
      <c r="S84" s="7" t="e">
        <f>_xlfn.XLOOKUP($D84,#REF!,#REF!,,0,)</f>
        <v>#REF!</v>
      </c>
      <c r="T84" s="22" t="str">
        <f>Tab_Process_TCs2527[[#This Row],[Flow_ID]]</f>
        <v>F__</v>
      </c>
      <c r="U84" s="22" t="e">
        <f t="shared" si="9"/>
        <v>#REF!</v>
      </c>
      <c r="V84" s="29"/>
      <c r="W84" s="32" t="e">
        <f>Tab_Process_TCs2527[[#This Row],[TC O_6_'[%']]]+#REF!+#REF!+#REF!+#REF!+#REF!</f>
        <v>#REF!</v>
      </c>
      <c r="X84" s="8"/>
      <c r="Y84" s="8"/>
      <c r="Z84" s="8"/>
      <c r="AA84" s="8"/>
      <c r="AB84" s="8"/>
    </row>
    <row r="85" spans="1:28" x14ac:dyDescent="0.25">
      <c r="A85" s="160" t="b">
        <v>0</v>
      </c>
      <c r="B85" s="7">
        <f t="shared" si="8"/>
        <v>84</v>
      </c>
      <c r="C85" s="27" t="e">
        <f>_xlfn.XLOOKUP($D85,Tab_Process_TCs[Process_Name],Tab_Process_TCs[Process_ID],,0,)</f>
        <v>#N/A</v>
      </c>
      <c r="D85" s="155" t="s">
        <v>31</v>
      </c>
      <c r="E85" s="155" t="s">
        <v>31</v>
      </c>
      <c r="F85" s="27" t="e">
        <f>_xlfn.XLOOKUP($D85,Tab_Process_TCs[Process_Name],Tab_Process_TCs[TC?],,0,)</f>
        <v>#N/A</v>
      </c>
      <c r="G85" s="27" t="e">
        <f>_xlfn.XLOOKUP($D85,Tab_Process_TCs[Process_Name],Tab_Process_TCs[TC_Type],,0,)</f>
        <v>#N/A</v>
      </c>
      <c r="H85" s="27" t="e">
        <f>_xlfn.XLOOKUP($D85,Tab_Process_TCs[Process_Name],Tab_Process_TCs[Process_Logic],,0,)</f>
        <v>#N/A</v>
      </c>
      <c r="I85" s="7" t="str">
        <f>_xlfn.XLOOKUP($E85,Tab_Def_Flows[Flow_Name],Tab_Def_Flows[Flow_ID],,0,1)</f>
        <v>F__</v>
      </c>
      <c r="J85" s="8"/>
      <c r="K85" s="22" t="str">
        <f t="shared" si="10"/>
        <v>TC_material_F__</v>
      </c>
      <c r="L85" s="158"/>
      <c r="M85" s="22" t="str">
        <f t="shared" si="11"/>
        <v>TC_WC_F__</v>
      </c>
      <c r="N85" s="158"/>
      <c r="O85" s="22" t="str">
        <f t="shared" si="12"/>
        <v>TC_DM_F__</v>
      </c>
      <c r="P85" s="158"/>
      <c r="Q85" s="22" t="str">
        <f t="shared" si="13"/>
        <v>TC_CC_F__</v>
      </c>
      <c r="R85" s="8"/>
      <c r="S85" s="7" t="e">
        <f>_xlfn.XLOOKUP($D85,#REF!,#REF!,,0,)</f>
        <v>#REF!</v>
      </c>
      <c r="T85" s="22" t="str">
        <f>Tab_Process_TCs2527[[#This Row],[Flow_ID]]</f>
        <v>F__</v>
      </c>
      <c r="U85" s="22" t="e">
        <f t="shared" si="9"/>
        <v>#REF!</v>
      </c>
      <c r="V85" s="29"/>
      <c r="W85" s="32" t="e">
        <f>Tab_Process_TCs2527[[#This Row],[TC O_6_'[%']]]+#REF!+#REF!+#REF!+#REF!+#REF!</f>
        <v>#REF!</v>
      </c>
      <c r="X85" s="8"/>
      <c r="Y85" s="8"/>
      <c r="Z85" s="8"/>
      <c r="AA85" s="8"/>
      <c r="AB85" s="8"/>
    </row>
    <row r="86" spans="1:28" x14ac:dyDescent="0.25">
      <c r="A86" s="160" t="b">
        <v>0</v>
      </c>
      <c r="B86" s="7">
        <f t="shared" si="8"/>
        <v>85</v>
      </c>
      <c r="C86" s="27" t="e">
        <f>_xlfn.XLOOKUP($D86,Tab_Process_TCs[Process_Name],Tab_Process_TCs[Process_ID],,0,)</f>
        <v>#N/A</v>
      </c>
      <c r="D86" s="155" t="s">
        <v>31</v>
      </c>
      <c r="E86" s="155" t="s">
        <v>31</v>
      </c>
      <c r="F86" s="27" t="e">
        <f>_xlfn.XLOOKUP($D86,Tab_Process_TCs[Process_Name],Tab_Process_TCs[TC?],,0,)</f>
        <v>#N/A</v>
      </c>
      <c r="G86" s="27" t="e">
        <f>_xlfn.XLOOKUP($D86,Tab_Process_TCs[Process_Name],Tab_Process_TCs[TC_Type],,0,)</f>
        <v>#N/A</v>
      </c>
      <c r="H86" s="27" t="e">
        <f>_xlfn.XLOOKUP($D86,Tab_Process_TCs[Process_Name],Tab_Process_TCs[Process_Logic],,0,)</f>
        <v>#N/A</v>
      </c>
      <c r="I86" s="7" t="str">
        <f>_xlfn.XLOOKUP($E86,Tab_Def_Flows[Flow_Name],Tab_Def_Flows[Flow_ID],,0,1)</f>
        <v>F__</v>
      </c>
      <c r="J86" s="8"/>
      <c r="K86" s="22" t="str">
        <f t="shared" si="10"/>
        <v>TC_material_F__</v>
      </c>
      <c r="L86" s="158"/>
      <c r="M86" s="22" t="str">
        <f t="shared" si="11"/>
        <v>TC_WC_F__</v>
      </c>
      <c r="N86" s="158"/>
      <c r="O86" s="22" t="str">
        <f t="shared" si="12"/>
        <v>TC_DM_F__</v>
      </c>
      <c r="P86" s="158"/>
      <c r="Q86" s="22" t="str">
        <f t="shared" si="13"/>
        <v>TC_CC_F__</v>
      </c>
      <c r="R86" s="8"/>
      <c r="S86" s="7" t="e">
        <f>_xlfn.XLOOKUP($D86,#REF!,#REF!,,0,)</f>
        <v>#REF!</v>
      </c>
      <c r="T86" s="22" t="str">
        <f>Tab_Process_TCs2527[[#This Row],[Flow_ID]]</f>
        <v>F__</v>
      </c>
      <c r="U86" s="22" t="e">
        <f t="shared" si="9"/>
        <v>#REF!</v>
      </c>
      <c r="V86" s="29"/>
      <c r="W86" s="32" t="e">
        <f>Tab_Process_TCs2527[[#This Row],[TC O_6_'[%']]]+#REF!+#REF!+#REF!+#REF!+#REF!</f>
        <v>#REF!</v>
      </c>
      <c r="X86" s="8"/>
      <c r="Y86" s="8"/>
      <c r="Z86" s="8"/>
      <c r="AA86" s="8"/>
      <c r="AB86" s="8"/>
    </row>
    <row r="87" spans="1:28" x14ac:dyDescent="0.25">
      <c r="A87" s="160" t="b">
        <v>0</v>
      </c>
      <c r="B87" s="7">
        <f t="shared" si="8"/>
        <v>86</v>
      </c>
      <c r="C87" s="27" t="e">
        <f>_xlfn.XLOOKUP($D87,Tab_Process_TCs[Process_Name],Tab_Process_TCs[Process_ID],,0,)</f>
        <v>#N/A</v>
      </c>
      <c r="D87" s="155" t="s">
        <v>31</v>
      </c>
      <c r="E87" s="155" t="s">
        <v>31</v>
      </c>
      <c r="F87" s="27" t="e">
        <f>_xlfn.XLOOKUP($D87,Tab_Process_TCs[Process_Name],Tab_Process_TCs[TC?],,0,)</f>
        <v>#N/A</v>
      </c>
      <c r="G87" s="27" t="e">
        <f>_xlfn.XLOOKUP($D87,Tab_Process_TCs[Process_Name],Tab_Process_TCs[TC_Type],,0,)</f>
        <v>#N/A</v>
      </c>
      <c r="H87" s="27" t="e">
        <f>_xlfn.XLOOKUP($D87,Tab_Process_TCs[Process_Name],Tab_Process_TCs[Process_Logic],,0,)</f>
        <v>#N/A</v>
      </c>
      <c r="I87" s="7" t="str">
        <f>_xlfn.XLOOKUP($E87,Tab_Def_Flows[Flow_Name],Tab_Def_Flows[Flow_ID],,0,1)</f>
        <v>F__</v>
      </c>
      <c r="J87" s="8"/>
      <c r="K87" s="22" t="str">
        <f t="shared" si="10"/>
        <v>TC_material_F__</v>
      </c>
      <c r="L87" s="158"/>
      <c r="M87" s="22" t="str">
        <f t="shared" si="11"/>
        <v>TC_WC_F__</v>
      </c>
      <c r="N87" s="158"/>
      <c r="O87" s="22" t="str">
        <f t="shared" si="12"/>
        <v>TC_DM_F__</v>
      </c>
      <c r="P87" s="158"/>
      <c r="Q87" s="22" t="str">
        <f t="shared" si="13"/>
        <v>TC_CC_F__</v>
      </c>
      <c r="R87" s="8"/>
      <c r="S87" s="7" t="e">
        <f>_xlfn.XLOOKUP($D87,#REF!,#REF!,,0,)</f>
        <v>#REF!</v>
      </c>
      <c r="T87" s="22" t="str">
        <f>Tab_Process_TCs2527[[#This Row],[Flow_ID]]</f>
        <v>F__</v>
      </c>
      <c r="U87" s="22" t="e">
        <f t="shared" si="9"/>
        <v>#REF!</v>
      </c>
      <c r="V87" s="29"/>
      <c r="W87" s="32" t="e">
        <f>Tab_Process_TCs2527[[#This Row],[TC O_6_'[%']]]+#REF!+#REF!+#REF!+#REF!+#REF!</f>
        <v>#REF!</v>
      </c>
      <c r="X87" s="8"/>
      <c r="Y87" s="8"/>
      <c r="Z87" s="8"/>
      <c r="AA87" s="8"/>
      <c r="AB87" s="8"/>
    </row>
    <row r="88" spans="1:28" x14ac:dyDescent="0.25">
      <c r="A88" s="160" t="b">
        <v>0</v>
      </c>
      <c r="B88" s="7">
        <f t="shared" si="8"/>
        <v>87</v>
      </c>
      <c r="C88" s="27" t="e">
        <f>_xlfn.XLOOKUP($D88,Tab_Process_TCs[Process_Name],Tab_Process_TCs[Process_ID],,0,)</f>
        <v>#N/A</v>
      </c>
      <c r="D88" s="155" t="s">
        <v>31</v>
      </c>
      <c r="E88" s="155" t="s">
        <v>31</v>
      </c>
      <c r="F88" s="27" t="e">
        <f>_xlfn.XLOOKUP($D88,Tab_Process_TCs[Process_Name],Tab_Process_TCs[TC?],,0,)</f>
        <v>#N/A</v>
      </c>
      <c r="G88" s="27" t="e">
        <f>_xlfn.XLOOKUP($D88,Tab_Process_TCs[Process_Name],Tab_Process_TCs[TC_Type],,0,)</f>
        <v>#N/A</v>
      </c>
      <c r="H88" s="27" t="e">
        <f>_xlfn.XLOOKUP($D88,Tab_Process_TCs[Process_Name],Tab_Process_TCs[Process_Logic],,0,)</f>
        <v>#N/A</v>
      </c>
      <c r="I88" s="7" t="str">
        <f>_xlfn.XLOOKUP($E88,Tab_Def_Flows[Flow_Name],Tab_Def_Flows[Flow_ID],,0,1)</f>
        <v>F__</v>
      </c>
      <c r="J88" s="8"/>
      <c r="K88" s="22" t="str">
        <f t="shared" si="10"/>
        <v>TC_material_F__</v>
      </c>
      <c r="L88" s="158"/>
      <c r="M88" s="22" t="str">
        <f t="shared" si="11"/>
        <v>TC_WC_F__</v>
      </c>
      <c r="N88" s="158"/>
      <c r="O88" s="22" t="str">
        <f t="shared" si="12"/>
        <v>TC_DM_F__</v>
      </c>
      <c r="P88" s="158"/>
      <c r="Q88" s="22" t="str">
        <f t="shared" si="13"/>
        <v>TC_CC_F__</v>
      </c>
      <c r="R88" s="8"/>
      <c r="S88" s="7" t="e">
        <f>_xlfn.XLOOKUP($D88,#REF!,#REF!,,0,)</f>
        <v>#REF!</v>
      </c>
      <c r="T88" s="22" t="str">
        <f>Tab_Process_TCs2527[[#This Row],[Flow_ID]]</f>
        <v>F__</v>
      </c>
      <c r="U88" s="22" t="e">
        <f t="shared" si="9"/>
        <v>#REF!</v>
      </c>
      <c r="V88" s="29"/>
      <c r="W88" s="32" t="e">
        <f>Tab_Process_TCs2527[[#This Row],[TC O_6_'[%']]]+#REF!+#REF!+#REF!+#REF!+#REF!</f>
        <v>#REF!</v>
      </c>
      <c r="X88" s="8"/>
      <c r="Y88" s="8"/>
      <c r="Z88" s="8"/>
      <c r="AA88" s="8"/>
      <c r="AB88" s="8"/>
    </row>
    <row r="89" spans="1:28" x14ac:dyDescent="0.25">
      <c r="A89" s="160" t="b">
        <v>0</v>
      </c>
      <c r="B89" s="7">
        <f t="shared" si="8"/>
        <v>88</v>
      </c>
      <c r="C89" s="27" t="e">
        <f>_xlfn.XLOOKUP($D89,Tab_Process_TCs[Process_Name],Tab_Process_TCs[Process_ID],,0,)</f>
        <v>#N/A</v>
      </c>
      <c r="D89" s="155" t="s">
        <v>31</v>
      </c>
      <c r="E89" s="155" t="s">
        <v>31</v>
      </c>
      <c r="F89" s="27" t="e">
        <f>_xlfn.XLOOKUP($D89,Tab_Process_TCs[Process_Name],Tab_Process_TCs[TC?],,0,)</f>
        <v>#N/A</v>
      </c>
      <c r="G89" s="27" t="e">
        <f>_xlfn.XLOOKUP($D89,Tab_Process_TCs[Process_Name],Tab_Process_TCs[TC_Type],,0,)</f>
        <v>#N/A</v>
      </c>
      <c r="H89" s="27" t="e">
        <f>_xlfn.XLOOKUP($D89,Tab_Process_TCs[Process_Name],Tab_Process_TCs[Process_Logic],,0,)</f>
        <v>#N/A</v>
      </c>
      <c r="I89" s="7" t="str">
        <f>_xlfn.XLOOKUP($E89,Tab_Def_Flows[Flow_Name],Tab_Def_Flows[Flow_ID],,0,1)</f>
        <v>F__</v>
      </c>
      <c r="J89" s="8"/>
      <c r="K89" s="22" t="str">
        <f t="shared" si="10"/>
        <v>TC_material_F__</v>
      </c>
      <c r="L89" s="158"/>
      <c r="M89" s="22" t="str">
        <f t="shared" si="11"/>
        <v>TC_WC_F__</v>
      </c>
      <c r="N89" s="158"/>
      <c r="O89" s="22" t="str">
        <f t="shared" si="12"/>
        <v>TC_DM_F__</v>
      </c>
      <c r="P89" s="158"/>
      <c r="Q89" s="22" t="str">
        <f t="shared" si="13"/>
        <v>TC_CC_F__</v>
      </c>
      <c r="R89" s="8"/>
      <c r="S89" s="7" t="e">
        <f>_xlfn.XLOOKUP($D89,#REF!,#REF!,,0,)</f>
        <v>#REF!</v>
      </c>
      <c r="T89" s="22" t="str">
        <f>Tab_Process_TCs2527[[#This Row],[Flow_ID]]</f>
        <v>F__</v>
      </c>
      <c r="U89" s="22" t="e">
        <f t="shared" si="9"/>
        <v>#REF!</v>
      </c>
      <c r="V89" s="29"/>
      <c r="W89" s="32" t="e">
        <f>Tab_Process_TCs2527[[#This Row],[TC O_6_'[%']]]+#REF!+#REF!+#REF!+#REF!+#REF!</f>
        <v>#REF!</v>
      </c>
      <c r="X89" s="8"/>
      <c r="Y89" s="8"/>
      <c r="Z89" s="8"/>
      <c r="AA89" s="8"/>
      <c r="AB89" s="8"/>
    </row>
    <row r="90" spans="1:28" x14ac:dyDescent="0.25">
      <c r="A90" s="160" t="b">
        <v>0</v>
      </c>
      <c r="B90" s="7">
        <f t="shared" si="8"/>
        <v>89</v>
      </c>
      <c r="C90" s="27" t="e">
        <f>_xlfn.XLOOKUP($D90,Tab_Process_TCs[Process_Name],Tab_Process_TCs[Process_ID],,0,)</f>
        <v>#N/A</v>
      </c>
      <c r="D90" s="155" t="s">
        <v>31</v>
      </c>
      <c r="E90" s="155" t="s">
        <v>31</v>
      </c>
      <c r="F90" s="27" t="e">
        <f>_xlfn.XLOOKUP($D90,Tab_Process_TCs[Process_Name],Tab_Process_TCs[TC?],,0,)</f>
        <v>#N/A</v>
      </c>
      <c r="G90" s="27" t="e">
        <f>_xlfn.XLOOKUP($D90,Tab_Process_TCs[Process_Name],Tab_Process_TCs[TC_Type],,0,)</f>
        <v>#N/A</v>
      </c>
      <c r="H90" s="27" t="e">
        <f>_xlfn.XLOOKUP($D90,Tab_Process_TCs[Process_Name],Tab_Process_TCs[Process_Logic],,0,)</f>
        <v>#N/A</v>
      </c>
      <c r="I90" s="7" t="str">
        <f>_xlfn.XLOOKUP($E90,Tab_Def_Flows[Flow_Name],Tab_Def_Flows[Flow_ID],,0,1)</f>
        <v>F__</v>
      </c>
      <c r="J90" s="8"/>
      <c r="K90" s="22" t="str">
        <f t="shared" si="10"/>
        <v>TC_material_F__</v>
      </c>
      <c r="L90" s="158"/>
      <c r="M90" s="22" t="str">
        <f t="shared" si="11"/>
        <v>TC_WC_F__</v>
      </c>
      <c r="N90" s="158"/>
      <c r="O90" s="22" t="str">
        <f t="shared" si="12"/>
        <v>TC_DM_F__</v>
      </c>
      <c r="P90" s="158"/>
      <c r="Q90" s="22" t="str">
        <f t="shared" si="13"/>
        <v>TC_CC_F__</v>
      </c>
      <c r="R90" s="8"/>
      <c r="S90" s="7" t="e">
        <f>_xlfn.XLOOKUP($D90,#REF!,#REF!,,0,)</f>
        <v>#REF!</v>
      </c>
      <c r="T90" s="22" t="str">
        <f>Tab_Process_TCs2527[[#This Row],[Flow_ID]]</f>
        <v>F__</v>
      </c>
      <c r="U90" s="22" t="e">
        <f t="shared" si="9"/>
        <v>#REF!</v>
      </c>
      <c r="V90" s="29"/>
      <c r="W90" s="32" t="e">
        <f>Tab_Process_TCs2527[[#This Row],[TC O_6_'[%']]]+#REF!+#REF!+#REF!+#REF!+#REF!</f>
        <v>#REF!</v>
      </c>
      <c r="X90" s="8"/>
      <c r="Y90" s="8"/>
      <c r="Z90" s="8"/>
      <c r="AA90" s="8"/>
      <c r="AB90" s="8"/>
    </row>
    <row r="91" spans="1:28" x14ac:dyDescent="0.25">
      <c r="A91" s="160" t="b">
        <v>0</v>
      </c>
      <c r="B91" s="7">
        <f t="shared" si="8"/>
        <v>90</v>
      </c>
      <c r="C91" s="27" t="e">
        <f>_xlfn.XLOOKUP($D91,Tab_Process_TCs[Process_Name],Tab_Process_TCs[Process_ID],,0,)</f>
        <v>#N/A</v>
      </c>
      <c r="D91" s="155" t="s">
        <v>31</v>
      </c>
      <c r="E91" s="155" t="s">
        <v>31</v>
      </c>
      <c r="F91" s="27" t="e">
        <f>_xlfn.XLOOKUP($D91,Tab_Process_TCs[Process_Name],Tab_Process_TCs[TC?],,0,)</f>
        <v>#N/A</v>
      </c>
      <c r="G91" s="27" t="e">
        <f>_xlfn.XLOOKUP($D91,Tab_Process_TCs[Process_Name],Tab_Process_TCs[TC_Type],,0,)</f>
        <v>#N/A</v>
      </c>
      <c r="H91" s="27" t="e">
        <f>_xlfn.XLOOKUP($D91,Tab_Process_TCs[Process_Name],Tab_Process_TCs[Process_Logic],,0,)</f>
        <v>#N/A</v>
      </c>
      <c r="I91" s="7" t="str">
        <f>_xlfn.XLOOKUP($E91,Tab_Def_Flows[Flow_Name],Tab_Def_Flows[Flow_ID],,0,1)</f>
        <v>F__</v>
      </c>
      <c r="J91" s="8"/>
      <c r="K91" s="22" t="str">
        <f t="shared" si="10"/>
        <v>TC_material_F__</v>
      </c>
      <c r="L91" s="158"/>
      <c r="M91" s="22" t="str">
        <f t="shared" si="11"/>
        <v>TC_WC_F__</v>
      </c>
      <c r="N91" s="158"/>
      <c r="O91" s="22" t="str">
        <f t="shared" si="12"/>
        <v>TC_DM_F__</v>
      </c>
      <c r="P91" s="158"/>
      <c r="Q91" s="22" t="str">
        <f t="shared" si="13"/>
        <v>TC_CC_F__</v>
      </c>
      <c r="R91" s="8"/>
      <c r="S91" s="7" t="e">
        <f>_xlfn.XLOOKUP($D91,#REF!,#REF!,,0,)</f>
        <v>#REF!</v>
      </c>
      <c r="T91" s="22" t="str">
        <f>Tab_Process_TCs2527[[#This Row],[Flow_ID]]</f>
        <v>F__</v>
      </c>
      <c r="U91" s="22" t="e">
        <f t="shared" si="9"/>
        <v>#REF!</v>
      </c>
      <c r="V91" s="29"/>
      <c r="W91" s="32" t="e">
        <f>Tab_Process_TCs2527[[#This Row],[TC O_6_'[%']]]+#REF!+#REF!+#REF!+#REF!+#REF!</f>
        <v>#REF!</v>
      </c>
      <c r="X91" s="8"/>
      <c r="Y91" s="8"/>
      <c r="Z91" s="8"/>
      <c r="AA91" s="8"/>
      <c r="AB91" s="8"/>
    </row>
    <row r="92" spans="1:28" x14ac:dyDescent="0.25">
      <c r="A92" s="160" t="b">
        <v>0</v>
      </c>
      <c r="B92" s="7">
        <f t="shared" si="8"/>
        <v>91</v>
      </c>
      <c r="C92" s="27" t="e">
        <f>_xlfn.XLOOKUP($D92,Tab_Process_TCs[Process_Name],Tab_Process_TCs[Process_ID],,0,)</f>
        <v>#N/A</v>
      </c>
      <c r="D92" s="155" t="s">
        <v>31</v>
      </c>
      <c r="E92" s="155" t="s">
        <v>31</v>
      </c>
      <c r="F92" s="27" t="e">
        <f>_xlfn.XLOOKUP($D92,Tab_Process_TCs[Process_Name],Tab_Process_TCs[TC?],,0,)</f>
        <v>#N/A</v>
      </c>
      <c r="G92" s="27" t="e">
        <f>_xlfn.XLOOKUP($D92,Tab_Process_TCs[Process_Name],Tab_Process_TCs[TC_Type],,0,)</f>
        <v>#N/A</v>
      </c>
      <c r="H92" s="27" t="e">
        <f>_xlfn.XLOOKUP($D92,Tab_Process_TCs[Process_Name],Tab_Process_TCs[Process_Logic],,0,)</f>
        <v>#N/A</v>
      </c>
      <c r="I92" s="7" t="str">
        <f>_xlfn.XLOOKUP($E92,Tab_Def_Flows[Flow_Name],Tab_Def_Flows[Flow_ID],,0,1)</f>
        <v>F__</v>
      </c>
      <c r="J92" s="8"/>
      <c r="K92" s="22" t="str">
        <f t="shared" si="10"/>
        <v>TC_material_F__</v>
      </c>
      <c r="L92" s="158"/>
      <c r="M92" s="22" t="str">
        <f t="shared" si="11"/>
        <v>TC_WC_F__</v>
      </c>
      <c r="N92" s="158"/>
      <c r="O92" s="22" t="str">
        <f t="shared" si="12"/>
        <v>TC_DM_F__</v>
      </c>
      <c r="P92" s="158"/>
      <c r="Q92" s="22" t="str">
        <f t="shared" si="13"/>
        <v>TC_CC_F__</v>
      </c>
      <c r="R92" s="8"/>
      <c r="S92" s="7" t="e">
        <f>_xlfn.XLOOKUP($D92,#REF!,#REF!,,0,)</f>
        <v>#REF!</v>
      </c>
      <c r="T92" s="22" t="str">
        <f>Tab_Process_TCs2527[[#This Row],[Flow_ID]]</f>
        <v>F__</v>
      </c>
      <c r="U92" s="22" t="e">
        <f t="shared" si="9"/>
        <v>#REF!</v>
      </c>
      <c r="V92" s="29"/>
      <c r="W92" s="32" t="e">
        <f>Tab_Process_TCs2527[[#This Row],[TC O_6_'[%']]]+#REF!+#REF!+#REF!+#REF!+#REF!</f>
        <v>#REF!</v>
      </c>
      <c r="X92" s="8"/>
      <c r="Y92" s="8"/>
      <c r="Z92" s="8"/>
      <c r="AA92" s="8"/>
      <c r="AB92" s="8"/>
    </row>
    <row r="93" spans="1:28" x14ac:dyDescent="0.25">
      <c r="A93" s="160" t="b">
        <v>0</v>
      </c>
      <c r="B93" s="7">
        <f t="shared" si="8"/>
        <v>92</v>
      </c>
      <c r="C93" s="27" t="e">
        <f>_xlfn.XLOOKUP($D93,Tab_Process_TCs[Process_Name],Tab_Process_TCs[Process_ID],,0,)</f>
        <v>#N/A</v>
      </c>
      <c r="D93" s="155" t="s">
        <v>31</v>
      </c>
      <c r="E93" s="155" t="s">
        <v>31</v>
      </c>
      <c r="F93" s="27" t="e">
        <f>_xlfn.XLOOKUP($D93,Tab_Process_TCs[Process_Name],Tab_Process_TCs[TC?],,0,)</f>
        <v>#N/A</v>
      </c>
      <c r="G93" s="27" t="e">
        <f>_xlfn.XLOOKUP($D93,Tab_Process_TCs[Process_Name],Tab_Process_TCs[TC_Type],,0,)</f>
        <v>#N/A</v>
      </c>
      <c r="H93" s="27" t="e">
        <f>_xlfn.XLOOKUP($D93,Tab_Process_TCs[Process_Name],Tab_Process_TCs[Process_Logic],,0,)</f>
        <v>#N/A</v>
      </c>
      <c r="I93" s="7" t="str">
        <f>_xlfn.XLOOKUP($E93,Tab_Def_Flows[Flow_Name],Tab_Def_Flows[Flow_ID],,0,1)</f>
        <v>F__</v>
      </c>
      <c r="J93" s="8"/>
      <c r="K93" s="22" t="str">
        <f t="shared" si="10"/>
        <v>TC_material_F__</v>
      </c>
      <c r="L93" s="158"/>
      <c r="M93" s="22" t="str">
        <f t="shared" si="11"/>
        <v>TC_WC_F__</v>
      </c>
      <c r="N93" s="158"/>
      <c r="O93" s="22" t="str">
        <f t="shared" si="12"/>
        <v>TC_DM_F__</v>
      </c>
      <c r="P93" s="158"/>
      <c r="Q93" s="22" t="str">
        <f t="shared" si="13"/>
        <v>TC_CC_F__</v>
      </c>
      <c r="R93" s="8"/>
      <c r="S93" s="7" t="e">
        <f>_xlfn.XLOOKUP($D93,#REF!,#REF!,,0,)</f>
        <v>#REF!</v>
      </c>
      <c r="T93" s="22" t="str">
        <f>Tab_Process_TCs2527[[#This Row],[Flow_ID]]</f>
        <v>F__</v>
      </c>
      <c r="U93" s="22" t="e">
        <f t="shared" si="9"/>
        <v>#REF!</v>
      </c>
      <c r="V93" s="29"/>
      <c r="W93" s="32" t="e">
        <f>Tab_Process_TCs2527[[#This Row],[TC O_6_'[%']]]+#REF!+#REF!+#REF!+#REF!+#REF!</f>
        <v>#REF!</v>
      </c>
      <c r="X93" s="8"/>
      <c r="Y93" s="8"/>
      <c r="Z93" s="8"/>
      <c r="AA93" s="8"/>
      <c r="AB93" s="8"/>
    </row>
    <row r="94" spans="1:28" x14ac:dyDescent="0.25">
      <c r="A94" s="160" t="b">
        <v>0</v>
      </c>
      <c r="B94" s="7">
        <f t="shared" si="8"/>
        <v>93</v>
      </c>
      <c r="C94" s="27" t="e">
        <f>_xlfn.XLOOKUP($D94,Tab_Process_TCs[Process_Name],Tab_Process_TCs[Process_ID],,0,)</f>
        <v>#N/A</v>
      </c>
      <c r="D94" s="155" t="s">
        <v>31</v>
      </c>
      <c r="E94" s="155" t="s">
        <v>31</v>
      </c>
      <c r="F94" s="27" t="e">
        <f>_xlfn.XLOOKUP($D94,Tab_Process_TCs[Process_Name],Tab_Process_TCs[TC?],,0,)</f>
        <v>#N/A</v>
      </c>
      <c r="G94" s="27" t="e">
        <f>_xlfn.XLOOKUP($D94,Tab_Process_TCs[Process_Name],Tab_Process_TCs[TC_Type],,0,)</f>
        <v>#N/A</v>
      </c>
      <c r="H94" s="27" t="e">
        <f>_xlfn.XLOOKUP($D94,Tab_Process_TCs[Process_Name],Tab_Process_TCs[Process_Logic],,0,)</f>
        <v>#N/A</v>
      </c>
      <c r="I94" s="7" t="str">
        <f>_xlfn.XLOOKUP($E94,Tab_Def_Flows[Flow_Name],Tab_Def_Flows[Flow_ID],,0,1)</f>
        <v>F__</v>
      </c>
      <c r="J94" s="8"/>
      <c r="K94" s="22" t="str">
        <f t="shared" si="10"/>
        <v>TC_material_F__</v>
      </c>
      <c r="L94" s="158"/>
      <c r="M94" s="22" t="str">
        <f t="shared" si="11"/>
        <v>TC_WC_F__</v>
      </c>
      <c r="N94" s="158"/>
      <c r="O94" s="22" t="str">
        <f t="shared" si="12"/>
        <v>TC_DM_F__</v>
      </c>
      <c r="P94" s="158"/>
      <c r="Q94" s="22" t="str">
        <f t="shared" si="13"/>
        <v>TC_CC_F__</v>
      </c>
      <c r="R94" s="8"/>
      <c r="S94" s="7" t="e">
        <f>_xlfn.XLOOKUP($D94,#REF!,#REF!,,0,)</f>
        <v>#REF!</v>
      </c>
      <c r="T94" s="22" t="str">
        <f>Tab_Process_TCs2527[[#This Row],[Flow_ID]]</f>
        <v>F__</v>
      </c>
      <c r="U94" s="22" t="e">
        <f t="shared" si="9"/>
        <v>#REF!</v>
      </c>
      <c r="V94" s="29"/>
      <c r="W94" s="32" t="e">
        <f>Tab_Process_TCs2527[[#This Row],[TC O_6_'[%']]]+#REF!+#REF!+#REF!+#REF!+#REF!</f>
        <v>#REF!</v>
      </c>
      <c r="X94" s="8"/>
      <c r="Y94" s="8"/>
      <c r="Z94" s="8"/>
      <c r="AA94" s="8"/>
      <c r="AB94" s="8"/>
    </row>
    <row r="95" spans="1:28" x14ac:dyDescent="0.25">
      <c r="A95" s="160" t="b">
        <v>0</v>
      </c>
      <c r="B95" s="7">
        <f t="shared" si="8"/>
        <v>94</v>
      </c>
      <c r="C95" s="27" t="e">
        <f>_xlfn.XLOOKUP($D95,Tab_Process_TCs[Process_Name],Tab_Process_TCs[Process_ID],,0,)</f>
        <v>#N/A</v>
      </c>
      <c r="D95" s="155" t="s">
        <v>31</v>
      </c>
      <c r="E95" s="155" t="s">
        <v>31</v>
      </c>
      <c r="F95" s="27" t="e">
        <f>_xlfn.XLOOKUP($D95,Tab_Process_TCs[Process_Name],Tab_Process_TCs[TC?],,0,)</f>
        <v>#N/A</v>
      </c>
      <c r="G95" s="27" t="e">
        <f>_xlfn.XLOOKUP($D95,Tab_Process_TCs[Process_Name],Tab_Process_TCs[TC_Type],,0,)</f>
        <v>#N/A</v>
      </c>
      <c r="H95" s="27" t="e">
        <f>_xlfn.XLOOKUP($D95,Tab_Process_TCs[Process_Name],Tab_Process_TCs[Process_Logic],,0,)</f>
        <v>#N/A</v>
      </c>
      <c r="I95" s="7" t="str">
        <f>_xlfn.XLOOKUP($E95,Tab_Def_Flows[Flow_Name],Tab_Def_Flows[Flow_ID],,0,1)</f>
        <v>F__</v>
      </c>
      <c r="J95" s="8"/>
      <c r="K95" s="22" t="str">
        <f t="shared" si="10"/>
        <v>TC_material_F__</v>
      </c>
      <c r="L95" s="158"/>
      <c r="M95" s="22" t="str">
        <f t="shared" si="11"/>
        <v>TC_WC_F__</v>
      </c>
      <c r="N95" s="158"/>
      <c r="O95" s="22" t="str">
        <f t="shared" si="12"/>
        <v>TC_DM_F__</v>
      </c>
      <c r="P95" s="158"/>
      <c r="Q95" s="22" t="str">
        <f t="shared" si="13"/>
        <v>TC_CC_F__</v>
      </c>
      <c r="R95" s="8"/>
      <c r="S95" s="7" t="e">
        <f>_xlfn.XLOOKUP($D95,#REF!,#REF!,,0,)</f>
        <v>#REF!</v>
      </c>
      <c r="T95" s="22" t="str">
        <f>Tab_Process_TCs2527[[#This Row],[Flow_ID]]</f>
        <v>F__</v>
      </c>
      <c r="U95" s="22" t="e">
        <f t="shared" si="9"/>
        <v>#REF!</v>
      </c>
      <c r="V95" s="29"/>
      <c r="W95" s="32" t="e">
        <f>Tab_Process_TCs2527[[#This Row],[TC O_6_'[%']]]+#REF!+#REF!+#REF!+#REF!+#REF!</f>
        <v>#REF!</v>
      </c>
      <c r="X95" s="8"/>
      <c r="Y95" s="8"/>
      <c r="Z95" s="8"/>
      <c r="AA95" s="8"/>
      <c r="AB95" s="8"/>
    </row>
    <row r="96" spans="1:28" x14ac:dyDescent="0.25">
      <c r="A96" s="160" t="b">
        <v>0</v>
      </c>
      <c r="B96" s="7">
        <f t="shared" ref="B96:B127" si="14">ROW()-1</f>
        <v>95</v>
      </c>
      <c r="C96" s="27" t="e">
        <f>_xlfn.XLOOKUP($D96,Tab_Process_TCs[Process_Name],Tab_Process_TCs[Process_ID],,0,)</f>
        <v>#N/A</v>
      </c>
      <c r="D96" s="155" t="s">
        <v>31</v>
      </c>
      <c r="E96" s="155" t="s">
        <v>31</v>
      </c>
      <c r="F96" s="27" t="e">
        <f>_xlfn.XLOOKUP($D96,Tab_Process_TCs[Process_Name],Tab_Process_TCs[TC?],,0,)</f>
        <v>#N/A</v>
      </c>
      <c r="G96" s="27" t="e">
        <f>_xlfn.XLOOKUP($D96,Tab_Process_TCs[Process_Name],Tab_Process_TCs[TC_Type],,0,)</f>
        <v>#N/A</v>
      </c>
      <c r="H96" s="27" t="e">
        <f>_xlfn.XLOOKUP($D96,Tab_Process_TCs[Process_Name],Tab_Process_TCs[Process_Logic],,0,)</f>
        <v>#N/A</v>
      </c>
      <c r="I96" s="7" t="str">
        <f>_xlfn.XLOOKUP($E96,Tab_Def_Flows[Flow_Name],Tab_Def_Flows[Flow_ID],,0,1)</f>
        <v>F__</v>
      </c>
      <c r="J96" s="8"/>
      <c r="K96" s="22" t="str">
        <f t="shared" si="10"/>
        <v>TC_material_F__</v>
      </c>
      <c r="L96" s="158"/>
      <c r="M96" s="22" t="str">
        <f t="shared" si="11"/>
        <v>TC_WC_F__</v>
      </c>
      <c r="N96" s="158"/>
      <c r="O96" s="22" t="str">
        <f t="shared" si="12"/>
        <v>TC_DM_F__</v>
      </c>
      <c r="P96" s="158"/>
      <c r="Q96" s="22" t="str">
        <f t="shared" si="13"/>
        <v>TC_CC_F__</v>
      </c>
      <c r="R96" s="8"/>
      <c r="S96" s="7" t="e">
        <f>_xlfn.XLOOKUP($D96,#REF!,#REF!,,0,)</f>
        <v>#REF!</v>
      </c>
      <c r="T96" s="22" t="str">
        <f>Tab_Process_TCs2527[[#This Row],[Flow_ID]]</f>
        <v>F__</v>
      </c>
      <c r="U96" s="22" t="e">
        <f t="shared" ref="U96:U127" si="15">"TC"&amp;"_"&amp;RIGHT(S96,5)</f>
        <v>#REF!</v>
      </c>
      <c r="V96" s="29"/>
      <c r="W96" s="32" t="e">
        <f>Tab_Process_TCs2527[[#This Row],[TC O_6_'[%']]]+#REF!+#REF!+#REF!+#REF!+#REF!</f>
        <v>#REF!</v>
      </c>
      <c r="X96" s="8"/>
      <c r="Y96" s="8"/>
      <c r="Z96" s="8"/>
      <c r="AA96" s="8"/>
      <c r="AB96" s="8"/>
    </row>
    <row r="97" spans="1:28" x14ac:dyDescent="0.25">
      <c r="A97" s="160" t="b">
        <v>0</v>
      </c>
      <c r="B97" s="7">
        <f t="shared" si="14"/>
        <v>96</v>
      </c>
      <c r="C97" s="27" t="e">
        <f>_xlfn.XLOOKUP($D97,Tab_Process_TCs[Process_Name],Tab_Process_TCs[Process_ID],,0,)</f>
        <v>#N/A</v>
      </c>
      <c r="D97" s="155" t="s">
        <v>31</v>
      </c>
      <c r="E97" s="155" t="s">
        <v>31</v>
      </c>
      <c r="F97" s="27" t="e">
        <f>_xlfn.XLOOKUP($D97,Tab_Process_TCs[Process_Name],Tab_Process_TCs[TC?],,0,)</f>
        <v>#N/A</v>
      </c>
      <c r="G97" s="27" t="e">
        <f>_xlfn.XLOOKUP($D97,Tab_Process_TCs[Process_Name],Tab_Process_TCs[TC_Type],,0,)</f>
        <v>#N/A</v>
      </c>
      <c r="H97" s="27" t="e">
        <f>_xlfn.XLOOKUP($D97,Tab_Process_TCs[Process_Name],Tab_Process_TCs[Process_Logic],,0,)</f>
        <v>#N/A</v>
      </c>
      <c r="I97" s="7" t="str">
        <f>_xlfn.XLOOKUP($E97,Tab_Def_Flows[Flow_Name],Tab_Def_Flows[Flow_ID],,0,1)</f>
        <v>F__</v>
      </c>
      <c r="J97" s="8"/>
      <c r="K97" s="22" t="str">
        <f t="shared" si="10"/>
        <v>TC_material_F__</v>
      </c>
      <c r="L97" s="158"/>
      <c r="M97" s="22" t="str">
        <f t="shared" si="11"/>
        <v>TC_WC_F__</v>
      </c>
      <c r="N97" s="158"/>
      <c r="O97" s="22" t="str">
        <f t="shared" si="12"/>
        <v>TC_DM_F__</v>
      </c>
      <c r="P97" s="158"/>
      <c r="Q97" s="22" t="str">
        <f t="shared" si="13"/>
        <v>TC_CC_F__</v>
      </c>
      <c r="R97" s="8"/>
      <c r="S97" s="7" t="e">
        <f>_xlfn.XLOOKUP($D97,#REF!,#REF!,,0,)</f>
        <v>#REF!</v>
      </c>
      <c r="T97" s="22" t="str">
        <f>Tab_Process_TCs2527[[#This Row],[Flow_ID]]</f>
        <v>F__</v>
      </c>
      <c r="U97" s="22" t="e">
        <f t="shared" si="15"/>
        <v>#REF!</v>
      </c>
      <c r="V97" s="29"/>
      <c r="W97" s="32" t="e">
        <f>Tab_Process_TCs2527[[#This Row],[TC O_6_'[%']]]+#REF!+#REF!+#REF!+#REF!+#REF!</f>
        <v>#REF!</v>
      </c>
      <c r="X97" s="8"/>
      <c r="Y97" s="8"/>
      <c r="Z97" s="8"/>
      <c r="AA97" s="8"/>
      <c r="AB97" s="8"/>
    </row>
    <row r="98" spans="1:28" x14ac:dyDescent="0.25">
      <c r="A98" s="160" t="b">
        <v>0</v>
      </c>
      <c r="B98" s="7">
        <f t="shared" si="14"/>
        <v>97</v>
      </c>
      <c r="C98" s="27" t="e">
        <f>_xlfn.XLOOKUP($D98,Tab_Process_TCs[Process_Name],Tab_Process_TCs[Process_ID],,0,)</f>
        <v>#N/A</v>
      </c>
      <c r="D98" s="155" t="s">
        <v>31</v>
      </c>
      <c r="E98" s="155" t="s">
        <v>31</v>
      </c>
      <c r="F98" s="27" t="e">
        <f>_xlfn.XLOOKUP($D98,Tab_Process_TCs[Process_Name],Tab_Process_TCs[TC?],,0,)</f>
        <v>#N/A</v>
      </c>
      <c r="G98" s="27" t="e">
        <f>_xlfn.XLOOKUP($D98,Tab_Process_TCs[Process_Name],Tab_Process_TCs[TC_Type],,0,)</f>
        <v>#N/A</v>
      </c>
      <c r="H98" s="27" t="e">
        <f>_xlfn.XLOOKUP($D98,Tab_Process_TCs[Process_Name],Tab_Process_TCs[Process_Logic],,0,)</f>
        <v>#N/A</v>
      </c>
      <c r="I98" s="7" t="str">
        <f>_xlfn.XLOOKUP($E98,Tab_Def_Flows[Flow_Name],Tab_Def_Flows[Flow_ID],,0,1)</f>
        <v>F__</v>
      </c>
      <c r="J98" s="8"/>
      <c r="K98" s="22" t="str">
        <f t="shared" si="10"/>
        <v>TC_material_F__</v>
      </c>
      <c r="L98" s="158"/>
      <c r="M98" s="22" t="str">
        <f t="shared" si="11"/>
        <v>TC_WC_F__</v>
      </c>
      <c r="N98" s="158"/>
      <c r="O98" s="22" t="str">
        <f t="shared" si="12"/>
        <v>TC_DM_F__</v>
      </c>
      <c r="P98" s="158"/>
      <c r="Q98" s="22" t="str">
        <f t="shared" si="13"/>
        <v>TC_CC_F__</v>
      </c>
      <c r="R98" s="8"/>
      <c r="S98" s="7" t="e">
        <f>_xlfn.XLOOKUP($D98,#REF!,#REF!,,0,)</f>
        <v>#REF!</v>
      </c>
      <c r="T98" s="22" t="str">
        <f>Tab_Process_TCs2527[[#This Row],[Flow_ID]]</f>
        <v>F__</v>
      </c>
      <c r="U98" s="22" t="e">
        <f t="shared" si="15"/>
        <v>#REF!</v>
      </c>
      <c r="V98" s="29"/>
      <c r="W98" s="32" t="e">
        <f>Tab_Process_TCs2527[[#This Row],[TC O_6_'[%']]]+#REF!+#REF!+#REF!+#REF!+#REF!</f>
        <v>#REF!</v>
      </c>
      <c r="X98" s="8"/>
      <c r="Y98" s="8"/>
      <c r="Z98" s="8"/>
      <c r="AA98" s="8"/>
      <c r="AB98" s="8"/>
    </row>
    <row r="99" spans="1:28" x14ac:dyDescent="0.25">
      <c r="A99" s="160" t="b">
        <v>0</v>
      </c>
      <c r="B99" s="7">
        <f t="shared" si="14"/>
        <v>98</v>
      </c>
      <c r="C99" s="27" t="e">
        <f>_xlfn.XLOOKUP($D99,Tab_Process_TCs[Process_Name],Tab_Process_TCs[Process_ID],,0,)</f>
        <v>#N/A</v>
      </c>
      <c r="D99" s="155" t="s">
        <v>31</v>
      </c>
      <c r="E99" s="155" t="s">
        <v>31</v>
      </c>
      <c r="F99" s="27" t="e">
        <f>_xlfn.XLOOKUP($D99,Tab_Process_TCs[Process_Name],Tab_Process_TCs[TC?],,0,)</f>
        <v>#N/A</v>
      </c>
      <c r="G99" s="27" t="e">
        <f>_xlfn.XLOOKUP($D99,Tab_Process_TCs[Process_Name],Tab_Process_TCs[TC_Type],,0,)</f>
        <v>#N/A</v>
      </c>
      <c r="H99" s="27" t="e">
        <f>_xlfn.XLOOKUP($D99,Tab_Process_TCs[Process_Name],Tab_Process_TCs[Process_Logic],,0,)</f>
        <v>#N/A</v>
      </c>
      <c r="I99" s="7" t="str">
        <f>_xlfn.XLOOKUP($E99,Tab_Def_Flows[Flow_Name],Tab_Def_Flows[Flow_ID],,0,1)</f>
        <v>F__</v>
      </c>
      <c r="J99" s="8"/>
      <c r="K99" s="22" t="str">
        <f t="shared" si="10"/>
        <v>TC_material_F__</v>
      </c>
      <c r="L99" s="158"/>
      <c r="M99" s="22" t="str">
        <f t="shared" si="11"/>
        <v>TC_WC_F__</v>
      </c>
      <c r="N99" s="158"/>
      <c r="O99" s="22" t="str">
        <f t="shared" si="12"/>
        <v>TC_DM_F__</v>
      </c>
      <c r="P99" s="158"/>
      <c r="Q99" s="22" t="str">
        <f t="shared" si="13"/>
        <v>TC_CC_F__</v>
      </c>
      <c r="R99" s="8"/>
      <c r="S99" s="7" t="e">
        <f>_xlfn.XLOOKUP($D99,#REF!,#REF!,,0,)</f>
        <v>#REF!</v>
      </c>
      <c r="T99" s="22" t="str">
        <f>Tab_Process_TCs2527[[#This Row],[Flow_ID]]</f>
        <v>F__</v>
      </c>
      <c r="U99" s="22" t="e">
        <f t="shared" si="15"/>
        <v>#REF!</v>
      </c>
      <c r="V99" s="29"/>
      <c r="W99" s="32" t="e">
        <f>Tab_Process_TCs2527[[#This Row],[TC O_6_'[%']]]+#REF!+#REF!+#REF!+#REF!+#REF!</f>
        <v>#REF!</v>
      </c>
      <c r="X99" s="8"/>
      <c r="Y99" s="8"/>
      <c r="Z99" s="8"/>
      <c r="AA99" s="8"/>
      <c r="AB99" s="8"/>
    </row>
    <row r="100" spans="1:28" x14ac:dyDescent="0.25">
      <c r="A100" s="160" t="b">
        <v>0</v>
      </c>
      <c r="B100" s="7">
        <f t="shared" si="14"/>
        <v>99</v>
      </c>
      <c r="C100" s="27" t="e">
        <f>_xlfn.XLOOKUP($D100,Tab_Process_TCs[Process_Name],Tab_Process_TCs[Process_ID],,0,)</f>
        <v>#N/A</v>
      </c>
      <c r="D100" s="155" t="s">
        <v>31</v>
      </c>
      <c r="E100" s="155" t="s">
        <v>31</v>
      </c>
      <c r="F100" s="27" t="e">
        <f>_xlfn.XLOOKUP($D100,Tab_Process_TCs[Process_Name],Tab_Process_TCs[TC?],,0,)</f>
        <v>#N/A</v>
      </c>
      <c r="G100" s="27" t="e">
        <f>_xlfn.XLOOKUP($D100,Tab_Process_TCs[Process_Name],Tab_Process_TCs[TC_Type],,0,)</f>
        <v>#N/A</v>
      </c>
      <c r="H100" s="27" t="e">
        <f>_xlfn.XLOOKUP($D100,Tab_Process_TCs[Process_Name],Tab_Process_TCs[Process_Logic],,0,)</f>
        <v>#N/A</v>
      </c>
      <c r="I100" s="7" t="str">
        <f>_xlfn.XLOOKUP($E100,Tab_Def_Flows[Flow_Name],Tab_Def_Flows[Flow_ID],,0,1)</f>
        <v>F__</v>
      </c>
      <c r="J100" s="8"/>
      <c r="K100" s="22" t="str">
        <f t="shared" si="10"/>
        <v>TC_material_F__</v>
      </c>
      <c r="L100" s="158"/>
      <c r="M100" s="22" t="str">
        <f t="shared" si="11"/>
        <v>TC_WC_F__</v>
      </c>
      <c r="N100" s="158"/>
      <c r="O100" s="22" t="str">
        <f t="shared" si="12"/>
        <v>TC_DM_F__</v>
      </c>
      <c r="P100" s="158"/>
      <c r="Q100" s="22" t="str">
        <f t="shared" si="13"/>
        <v>TC_CC_F__</v>
      </c>
      <c r="R100" s="8"/>
      <c r="S100" s="7" t="e">
        <f>_xlfn.XLOOKUP($D100,#REF!,#REF!,,0,)</f>
        <v>#REF!</v>
      </c>
      <c r="T100" s="22" t="str">
        <f>Tab_Process_TCs2527[[#This Row],[Flow_ID]]</f>
        <v>F__</v>
      </c>
      <c r="U100" s="22" t="e">
        <f t="shared" si="15"/>
        <v>#REF!</v>
      </c>
      <c r="V100" s="29"/>
      <c r="W100" s="32" t="e">
        <f>Tab_Process_TCs2527[[#This Row],[TC O_6_'[%']]]+#REF!+#REF!+#REF!+#REF!+#REF!</f>
        <v>#REF!</v>
      </c>
      <c r="X100" s="8"/>
      <c r="Y100" s="8"/>
      <c r="Z100" s="8"/>
      <c r="AA100" s="8"/>
      <c r="AB100" s="8"/>
    </row>
    <row r="101" spans="1:28" x14ac:dyDescent="0.25">
      <c r="A101" s="160" t="b">
        <v>0</v>
      </c>
      <c r="B101" s="7">
        <f t="shared" si="14"/>
        <v>100</v>
      </c>
      <c r="C101" s="27" t="e">
        <f>_xlfn.XLOOKUP($D101,Tab_Process_TCs[Process_Name],Tab_Process_TCs[Process_ID],,0,)</f>
        <v>#N/A</v>
      </c>
      <c r="D101" s="155" t="s">
        <v>31</v>
      </c>
      <c r="E101" s="155" t="s">
        <v>31</v>
      </c>
      <c r="F101" s="27" t="e">
        <f>_xlfn.XLOOKUP($D101,Tab_Process_TCs[Process_Name],Tab_Process_TCs[TC?],,0,)</f>
        <v>#N/A</v>
      </c>
      <c r="G101" s="27" t="e">
        <f>_xlfn.XLOOKUP($D101,Tab_Process_TCs[Process_Name],Tab_Process_TCs[TC_Type],,0,)</f>
        <v>#N/A</v>
      </c>
      <c r="H101" s="27" t="e">
        <f>_xlfn.XLOOKUP($D101,Tab_Process_TCs[Process_Name],Tab_Process_TCs[Process_Logic],,0,)</f>
        <v>#N/A</v>
      </c>
      <c r="I101" s="7" t="str">
        <f>_xlfn.XLOOKUP($E101,Tab_Def_Flows[Flow_Name],Tab_Def_Flows[Flow_ID],,0,1)</f>
        <v>F__</v>
      </c>
      <c r="J101" s="8"/>
      <c r="K101" s="22" t="str">
        <f t="shared" si="10"/>
        <v>TC_material_F__</v>
      </c>
      <c r="L101" s="158"/>
      <c r="M101" s="22" t="str">
        <f t="shared" si="11"/>
        <v>TC_WC_F__</v>
      </c>
      <c r="N101" s="158"/>
      <c r="O101" s="22" t="str">
        <f t="shared" si="12"/>
        <v>TC_DM_F__</v>
      </c>
      <c r="P101" s="158"/>
      <c r="Q101" s="22" t="str">
        <f t="shared" si="13"/>
        <v>TC_CC_F__</v>
      </c>
      <c r="R101" s="8"/>
      <c r="S101" s="7" t="e">
        <f>_xlfn.XLOOKUP($D101,#REF!,#REF!,,0,)</f>
        <v>#REF!</v>
      </c>
      <c r="T101" s="22" t="str">
        <f>Tab_Process_TCs2527[[#This Row],[Flow_ID]]</f>
        <v>F__</v>
      </c>
      <c r="U101" s="22" t="e">
        <f t="shared" si="15"/>
        <v>#REF!</v>
      </c>
      <c r="V101" s="29"/>
      <c r="W101" s="32" t="e">
        <f>Tab_Process_TCs2527[[#This Row],[TC O_6_'[%']]]+#REF!+#REF!+#REF!+#REF!+#REF!</f>
        <v>#REF!</v>
      </c>
      <c r="X101" s="8"/>
      <c r="Y101" s="8"/>
      <c r="Z101" s="8"/>
      <c r="AA101" s="8"/>
      <c r="AB101" s="8"/>
    </row>
    <row r="102" spans="1:28" x14ac:dyDescent="0.25">
      <c r="A102" s="160" t="b">
        <v>0</v>
      </c>
      <c r="B102" s="7">
        <f t="shared" si="14"/>
        <v>101</v>
      </c>
      <c r="C102" s="27" t="e">
        <f>_xlfn.XLOOKUP($D102,Tab_Process_TCs[Process_Name],Tab_Process_TCs[Process_ID],,0,)</f>
        <v>#N/A</v>
      </c>
      <c r="D102" s="155" t="s">
        <v>31</v>
      </c>
      <c r="E102" s="155" t="s">
        <v>31</v>
      </c>
      <c r="F102" s="27" t="e">
        <f>_xlfn.XLOOKUP($D102,Tab_Process_TCs[Process_Name],Tab_Process_TCs[TC?],,0,)</f>
        <v>#N/A</v>
      </c>
      <c r="G102" s="27" t="e">
        <f>_xlfn.XLOOKUP($D102,Tab_Process_TCs[Process_Name],Tab_Process_TCs[TC_Type],,0,)</f>
        <v>#N/A</v>
      </c>
      <c r="H102" s="27" t="e">
        <f>_xlfn.XLOOKUP($D102,Tab_Process_TCs[Process_Name],Tab_Process_TCs[Process_Logic],,0,)</f>
        <v>#N/A</v>
      </c>
      <c r="I102" s="7" t="str">
        <f>_xlfn.XLOOKUP($E102,Tab_Def_Flows[Flow_Name],Tab_Def_Flows[Flow_ID],,0,1)</f>
        <v>F__</v>
      </c>
      <c r="J102" s="8"/>
      <c r="K102" s="22" t="str">
        <f t="shared" si="10"/>
        <v>TC_material_F__</v>
      </c>
      <c r="L102" s="158"/>
      <c r="M102" s="22" t="str">
        <f t="shared" si="11"/>
        <v>TC_WC_F__</v>
      </c>
      <c r="N102" s="158"/>
      <c r="O102" s="22" t="str">
        <f t="shared" si="12"/>
        <v>TC_DM_F__</v>
      </c>
      <c r="P102" s="158"/>
      <c r="Q102" s="22" t="str">
        <f t="shared" si="13"/>
        <v>TC_CC_F__</v>
      </c>
      <c r="R102" s="8"/>
      <c r="S102" s="7" t="e">
        <f>_xlfn.XLOOKUP($D102,#REF!,#REF!,,0,)</f>
        <v>#REF!</v>
      </c>
      <c r="T102" s="22" t="str">
        <f>Tab_Process_TCs2527[[#This Row],[Flow_ID]]</f>
        <v>F__</v>
      </c>
      <c r="U102" s="22" t="e">
        <f t="shared" si="15"/>
        <v>#REF!</v>
      </c>
      <c r="V102" s="29"/>
      <c r="W102" s="32" t="e">
        <f>Tab_Process_TCs2527[[#This Row],[TC O_6_'[%']]]+#REF!+#REF!+#REF!+#REF!+#REF!</f>
        <v>#REF!</v>
      </c>
      <c r="X102" s="8"/>
      <c r="Y102" s="8"/>
      <c r="Z102" s="8"/>
      <c r="AA102" s="8"/>
      <c r="AB102" s="8"/>
    </row>
    <row r="103" spans="1:28" x14ac:dyDescent="0.25">
      <c r="A103" s="160" t="b">
        <v>0</v>
      </c>
      <c r="B103" s="7">
        <f t="shared" si="14"/>
        <v>102</v>
      </c>
      <c r="C103" s="27" t="e">
        <f>_xlfn.XLOOKUP($D103,Tab_Process_TCs[Process_Name],Tab_Process_TCs[Process_ID],,0,)</f>
        <v>#N/A</v>
      </c>
      <c r="D103" s="155" t="s">
        <v>31</v>
      </c>
      <c r="E103" s="155" t="s">
        <v>31</v>
      </c>
      <c r="F103" s="27" t="e">
        <f>_xlfn.XLOOKUP($D103,Tab_Process_TCs[Process_Name],Tab_Process_TCs[TC?],,0,)</f>
        <v>#N/A</v>
      </c>
      <c r="G103" s="27" t="e">
        <f>_xlfn.XLOOKUP($D103,Tab_Process_TCs[Process_Name],Tab_Process_TCs[TC_Type],,0,)</f>
        <v>#N/A</v>
      </c>
      <c r="H103" s="27" t="e">
        <f>_xlfn.XLOOKUP($D103,Tab_Process_TCs[Process_Name],Tab_Process_TCs[Process_Logic],,0,)</f>
        <v>#N/A</v>
      </c>
      <c r="I103" s="7" t="str">
        <f>_xlfn.XLOOKUP($E103,Tab_Def_Flows[Flow_Name],Tab_Def_Flows[Flow_ID],,0,1)</f>
        <v>F__</v>
      </c>
      <c r="J103" s="8"/>
      <c r="K103" s="22" t="str">
        <f t="shared" si="10"/>
        <v>TC_material_F__</v>
      </c>
      <c r="L103" s="158"/>
      <c r="M103" s="22" t="str">
        <f t="shared" si="11"/>
        <v>TC_WC_F__</v>
      </c>
      <c r="N103" s="158"/>
      <c r="O103" s="22" t="str">
        <f t="shared" si="12"/>
        <v>TC_DM_F__</v>
      </c>
      <c r="P103" s="158"/>
      <c r="Q103" s="22" t="str">
        <f t="shared" si="13"/>
        <v>TC_CC_F__</v>
      </c>
      <c r="R103" s="8"/>
      <c r="S103" s="7" t="e">
        <f>_xlfn.XLOOKUP($D103,#REF!,#REF!,,0,)</f>
        <v>#REF!</v>
      </c>
      <c r="T103" s="22" t="str">
        <f>Tab_Process_TCs2527[[#This Row],[Flow_ID]]</f>
        <v>F__</v>
      </c>
      <c r="U103" s="22" t="e">
        <f t="shared" si="15"/>
        <v>#REF!</v>
      </c>
      <c r="V103" s="29"/>
      <c r="W103" s="32" t="e">
        <f>Tab_Process_TCs2527[[#This Row],[TC O_6_'[%']]]+#REF!+#REF!+#REF!+#REF!+#REF!</f>
        <v>#REF!</v>
      </c>
      <c r="X103" s="8"/>
      <c r="Y103" s="8"/>
      <c r="Z103" s="8"/>
      <c r="AA103" s="8"/>
      <c r="AB103" s="8"/>
    </row>
    <row r="104" spans="1:28" x14ac:dyDescent="0.25">
      <c r="A104" s="160" t="b">
        <v>0</v>
      </c>
      <c r="B104" s="7">
        <f t="shared" si="14"/>
        <v>103</v>
      </c>
      <c r="C104" s="27" t="e">
        <f>_xlfn.XLOOKUP($D104,Tab_Process_TCs[Process_Name],Tab_Process_TCs[Process_ID],,0,)</f>
        <v>#N/A</v>
      </c>
      <c r="D104" s="155" t="s">
        <v>31</v>
      </c>
      <c r="E104" s="155" t="s">
        <v>31</v>
      </c>
      <c r="F104" s="27" t="e">
        <f>_xlfn.XLOOKUP($D104,Tab_Process_TCs[Process_Name],Tab_Process_TCs[TC?],,0,)</f>
        <v>#N/A</v>
      </c>
      <c r="G104" s="27" t="e">
        <f>_xlfn.XLOOKUP($D104,Tab_Process_TCs[Process_Name],Tab_Process_TCs[TC_Type],,0,)</f>
        <v>#N/A</v>
      </c>
      <c r="H104" s="27" t="e">
        <f>_xlfn.XLOOKUP($D104,Tab_Process_TCs[Process_Name],Tab_Process_TCs[Process_Logic],,0,)</f>
        <v>#N/A</v>
      </c>
      <c r="I104" s="7" t="str">
        <f>_xlfn.XLOOKUP($E104,Tab_Def_Flows[Flow_Name],Tab_Def_Flows[Flow_ID],,0,1)</f>
        <v>F__</v>
      </c>
      <c r="J104" s="8"/>
      <c r="K104" s="22" t="str">
        <f t="shared" si="10"/>
        <v>TC_material_F__</v>
      </c>
      <c r="L104" s="158"/>
      <c r="M104" s="22" t="str">
        <f t="shared" si="11"/>
        <v>TC_WC_F__</v>
      </c>
      <c r="N104" s="158"/>
      <c r="O104" s="22" t="str">
        <f t="shared" si="12"/>
        <v>TC_DM_F__</v>
      </c>
      <c r="P104" s="158"/>
      <c r="Q104" s="22" t="str">
        <f t="shared" si="13"/>
        <v>TC_CC_F__</v>
      </c>
      <c r="R104" s="8"/>
      <c r="S104" s="7" t="e">
        <f>_xlfn.XLOOKUP($D104,#REF!,#REF!,,0,)</f>
        <v>#REF!</v>
      </c>
      <c r="T104" s="22" t="str">
        <f>Tab_Process_TCs2527[[#This Row],[Flow_ID]]</f>
        <v>F__</v>
      </c>
      <c r="U104" s="22" t="e">
        <f t="shared" si="15"/>
        <v>#REF!</v>
      </c>
      <c r="V104" s="29"/>
      <c r="W104" s="32" t="e">
        <f>Tab_Process_TCs2527[[#This Row],[TC O_6_'[%']]]+#REF!+#REF!+#REF!+#REF!+#REF!</f>
        <v>#REF!</v>
      </c>
      <c r="X104" s="8"/>
      <c r="Y104" s="8"/>
      <c r="Z104" s="8"/>
      <c r="AA104" s="8"/>
      <c r="AB104" s="8"/>
    </row>
    <row r="105" spans="1:28" x14ac:dyDescent="0.25">
      <c r="A105" s="160" t="b">
        <v>0</v>
      </c>
      <c r="B105" s="7">
        <f t="shared" si="14"/>
        <v>104</v>
      </c>
      <c r="C105" s="27" t="e">
        <f>_xlfn.XLOOKUP($D105,Tab_Process_TCs[Process_Name],Tab_Process_TCs[Process_ID],,0,)</f>
        <v>#N/A</v>
      </c>
      <c r="D105" s="155" t="s">
        <v>31</v>
      </c>
      <c r="E105" s="155" t="s">
        <v>31</v>
      </c>
      <c r="F105" s="27" t="e">
        <f>_xlfn.XLOOKUP($D105,Tab_Process_TCs[Process_Name],Tab_Process_TCs[TC?],,0,)</f>
        <v>#N/A</v>
      </c>
      <c r="G105" s="27" t="e">
        <f>_xlfn.XLOOKUP($D105,Tab_Process_TCs[Process_Name],Tab_Process_TCs[TC_Type],,0,)</f>
        <v>#N/A</v>
      </c>
      <c r="H105" s="27" t="e">
        <f>_xlfn.XLOOKUP($D105,Tab_Process_TCs[Process_Name],Tab_Process_TCs[Process_Logic],,0,)</f>
        <v>#N/A</v>
      </c>
      <c r="I105" s="7" t="str">
        <f>_xlfn.XLOOKUP($E105,Tab_Def_Flows[Flow_Name],Tab_Def_Flows[Flow_ID],,0,1)</f>
        <v>F__</v>
      </c>
      <c r="J105" s="8"/>
      <c r="K105" s="22" t="str">
        <f t="shared" si="10"/>
        <v>TC_material_F__</v>
      </c>
      <c r="L105" s="158"/>
      <c r="M105" s="22" t="str">
        <f t="shared" si="11"/>
        <v>TC_WC_F__</v>
      </c>
      <c r="N105" s="158"/>
      <c r="O105" s="22" t="str">
        <f t="shared" si="12"/>
        <v>TC_DM_F__</v>
      </c>
      <c r="P105" s="158"/>
      <c r="Q105" s="22" t="str">
        <f t="shared" si="13"/>
        <v>TC_CC_F__</v>
      </c>
      <c r="R105" s="8"/>
      <c r="S105" s="7" t="e">
        <f>_xlfn.XLOOKUP($D105,#REF!,#REF!,,0,)</f>
        <v>#REF!</v>
      </c>
      <c r="T105" s="22" t="str">
        <f>Tab_Process_TCs2527[[#This Row],[Flow_ID]]</f>
        <v>F__</v>
      </c>
      <c r="U105" s="22" t="e">
        <f t="shared" si="15"/>
        <v>#REF!</v>
      </c>
      <c r="V105" s="29"/>
      <c r="W105" s="32" t="e">
        <f>Tab_Process_TCs2527[[#This Row],[TC O_6_'[%']]]+#REF!+#REF!+#REF!+#REF!+#REF!</f>
        <v>#REF!</v>
      </c>
      <c r="X105" s="8"/>
      <c r="Y105" s="8"/>
      <c r="Z105" s="8"/>
      <c r="AA105" s="8"/>
      <c r="AB105" s="8"/>
    </row>
    <row r="106" spans="1:28" x14ac:dyDescent="0.25">
      <c r="A106" s="160" t="b">
        <v>0</v>
      </c>
      <c r="B106" s="7">
        <f t="shared" si="14"/>
        <v>105</v>
      </c>
      <c r="C106" s="27" t="e">
        <f>_xlfn.XLOOKUP($D106,Tab_Process_TCs[Process_Name],Tab_Process_TCs[Process_ID],,0,)</f>
        <v>#N/A</v>
      </c>
      <c r="D106" s="155" t="s">
        <v>31</v>
      </c>
      <c r="E106" s="155" t="s">
        <v>31</v>
      </c>
      <c r="F106" s="27" t="e">
        <f>_xlfn.XLOOKUP($D106,Tab_Process_TCs[Process_Name],Tab_Process_TCs[TC?],,0,)</f>
        <v>#N/A</v>
      </c>
      <c r="G106" s="27" t="e">
        <f>_xlfn.XLOOKUP($D106,Tab_Process_TCs[Process_Name],Tab_Process_TCs[TC_Type],,0,)</f>
        <v>#N/A</v>
      </c>
      <c r="H106" s="27" t="e">
        <f>_xlfn.XLOOKUP($D106,Tab_Process_TCs[Process_Name],Tab_Process_TCs[Process_Logic],,0,)</f>
        <v>#N/A</v>
      </c>
      <c r="I106" s="7" t="str">
        <f>_xlfn.XLOOKUP($E106,Tab_Def_Flows[Flow_Name],Tab_Def_Flows[Flow_ID],,0,1)</f>
        <v>F__</v>
      </c>
      <c r="J106" s="8"/>
      <c r="K106" s="22" t="str">
        <f t="shared" si="10"/>
        <v>TC_material_F__</v>
      </c>
      <c r="L106" s="158"/>
      <c r="M106" s="22" t="str">
        <f t="shared" si="11"/>
        <v>TC_WC_F__</v>
      </c>
      <c r="N106" s="158"/>
      <c r="O106" s="22" t="str">
        <f t="shared" si="12"/>
        <v>TC_DM_F__</v>
      </c>
      <c r="P106" s="158"/>
      <c r="Q106" s="22" t="str">
        <f t="shared" si="13"/>
        <v>TC_CC_F__</v>
      </c>
      <c r="R106" s="8"/>
      <c r="S106" s="7" t="e">
        <f>_xlfn.XLOOKUP($D106,#REF!,#REF!,,0,)</f>
        <v>#REF!</v>
      </c>
      <c r="T106" s="22" t="str">
        <f>Tab_Process_TCs2527[[#This Row],[Flow_ID]]</f>
        <v>F__</v>
      </c>
      <c r="U106" s="22" t="e">
        <f t="shared" si="15"/>
        <v>#REF!</v>
      </c>
      <c r="V106" s="29"/>
      <c r="W106" s="32" t="e">
        <f>Tab_Process_TCs2527[[#This Row],[TC O_6_'[%']]]+#REF!+#REF!+#REF!+#REF!+#REF!</f>
        <v>#REF!</v>
      </c>
      <c r="X106" s="8"/>
      <c r="Y106" s="8"/>
      <c r="Z106" s="8"/>
      <c r="AA106" s="8"/>
      <c r="AB106" s="8"/>
    </row>
    <row r="107" spans="1:28" x14ac:dyDescent="0.25">
      <c r="A107" s="160" t="b">
        <v>0</v>
      </c>
      <c r="B107" s="7">
        <f t="shared" si="14"/>
        <v>106</v>
      </c>
      <c r="C107" s="27" t="e">
        <f>_xlfn.XLOOKUP($D107,Tab_Process_TCs[Process_Name],Tab_Process_TCs[Process_ID],,0,)</f>
        <v>#N/A</v>
      </c>
      <c r="D107" s="155" t="s">
        <v>31</v>
      </c>
      <c r="E107" s="155" t="s">
        <v>31</v>
      </c>
      <c r="F107" s="27" t="e">
        <f>_xlfn.XLOOKUP($D107,Tab_Process_TCs[Process_Name],Tab_Process_TCs[TC?],,0,)</f>
        <v>#N/A</v>
      </c>
      <c r="G107" s="27" t="e">
        <f>_xlfn.XLOOKUP($D107,Tab_Process_TCs[Process_Name],Tab_Process_TCs[TC_Type],,0,)</f>
        <v>#N/A</v>
      </c>
      <c r="H107" s="27" t="e">
        <f>_xlfn.XLOOKUP($D107,Tab_Process_TCs[Process_Name],Tab_Process_TCs[Process_Logic],,0,)</f>
        <v>#N/A</v>
      </c>
      <c r="I107" s="7" t="str">
        <f>_xlfn.XLOOKUP($E107,Tab_Def_Flows[Flow_Name],Tab_Def_Flows[Flow_ID],,0,1)</f>
        <v>F__</v>
      </c>
      <c r="J107" s="8"/>
      <c r="K107" s="22" t="str">
        <f t="shared" si="10"/>
        <v>TC_material_F__</v>
      </c>
      <c r="L107" s="158"/>
      <c r="M107" s="22" t="str">
        <f t="shared" si="11"/>
        <v>TC_WC_F__</v>
      </c>
      <c r="N107" s="158"/>
      <c r="O107" s="22" t="str">
        <f t="shared" si="12"/>
        <v>TC_DM_F__</v>
      </c>
      <c r="P107" s="158"/>
      <c r="Q107" s="22" t="str">
        <f t="shared" si="13"/>
        <v>TC_CC_F__</v>
      </c>
      <c r="R107" s="8"/>
      <c r="S107" s="7" t="e">
        <f>_xlfn.XLOOKUP($D107,#REF!,#REF!,,0,)</f>
        <v>#REF!</v>
      </c>
      <c r="T107" s="22" t="str">
        <f>Tab_Process_TCs2527[[#This Row],[Flow_ID]]</f>
        <v>F__</v>
      </c>
      <c r="U107" s="22" t="e">
        <f t="shared" si="15"/>
        <v>#REF!</v>
      </c>
      <c r="V107" s="29"/>
      <c r="W107" s="32" t="e">
        <f>Tab_Process_TCs2527[[#This Row],[TC O_6_'[%']]]+#REF!+#REF!+#REF!+#REF!+#REF!</f>
        <v>#REF!</v>
      </c>
      <c r="X107" s="8"/>
      <c r="Y107" s="8"/>
      <c r="Z107" s="8"/>
      <c r="AA107" s="8"/>
      <c r="AB107" s="8"/>
    </row>
    <row r="108" spans="1:28" x14ac:dyDescent="0.25">
      <c r="A108" s="160" t="b">
        <v>0</v>
      </c>
      <c r="B108" s="7">
        <f t="shared" si="14"/>
        <v>107</v>
      </c>
      <c r="C108" s="27" t="e">
        <f>_xlfn.XLOOKUP($D108,Tab_Process_TCs[Process_Name],Tab_Process_TCs[Process_ID],,0,)</f>
        <v>#N/A</v>
      </c>
      <c r="D108" s="155" t="s">
        <v>31</v>
      </c>
      <c r="E108" s="155" t="s">
        <v>31</v>
      </c>
      <c r="F108" s="27" t="e">
        <f>_xlfn.XLOOKUP($D108,Tab_Process_TCs[Process_Name],Tab_Process_TCs[TC?],,0,)</f>
        <v>#N/A</v>
      </c>
      <c r="G108" s="27" t="e">
        <f>_xlfn.XLOOKUP($D108,Tab_Process_TCs[Process_Name],Tab_Process_TCs[TC_Type],,0,)</f>
        <v>#N/A</v>
      </c>
      <c r="H108" s="27" t="e">
        <f>_xlfn.XLOOKUP($D108,Tab_Process_TCs[Process_Name],Tab_Process_TCs[Process_Logic],,0,)</f>
        <v>#N/A</v>
      </c>
      <c r="I108" s="7" t="str">
        <f>_xlfn.XLOOKUP($E108,Tab_Def_Flows[Flow_Name],Tab_Def_Flows[Flow_ID],,0,1)</f>
        <v>F__</v>
      </c>
      <c r="J108" s="8"/>
      <c r="K108" s="22" t="str">
        <f t="shared" si="10"/>
        <v>TC_material_F__</v>
      </c>
      <c r="L108" s="158"/>
      <c r="M108" s="22" t="str">
        <f t="shared" si="11"/>
        <v>TC_WC_F__</v>
      </c>
      <c r="N108" s="158"/>
      <c r="O108" s="22" t="str">
        <f t="shared" si="12"/>
        <v>TC_DM_F__</v>
      </c>
      <c r="P108" s="158"/>
      <c r="Q108" s="22" t="str">
        <f t="shared" si="13"/>
        <v>TC_CC_F__</v>
      </c>
      <c r="R108" s="8"/>
      <c r="S108" s="7" t="e">
        <f>_xlfn.XLOOKUP($D108,#REF!,#REF!,,0,)</f>
        <v>#REF!</v>
      </c>
      <c r="T108" s="22" t="str">
        <f>Tab_Process_TCs2527[[#This Row],[Flow_ID]]</f>
        <v>F__</v>
      </c>
      <c r="U108" s="22" t="e">
        <f t="shared" si="15"/>
        <v>#REF!</v>
      </c>
      <c r="V108" s="29"/>
      <c r="W108" s="32" t="e">
        <f>Tab_Process_TCs2527[[#This Row],[TC O_6_'[%']]]+#REF!+#REF!+#REF!+#REF!+#REF!</f>
        <v>#REF!</v>
      </c>
      <c r="X108" s="8"/>
      <c r="Y108" s="8"/>
      <c r="Z108" s="8"/>
      <c r="AA108" s="8"/>
      <c r="AB108" s="8"/>
    </row>
    <row r="109" spans="1:28" x14ac:dyDescent="0.25">
      <c r="A109" s="160" t="b">
        <v>0</v>
      </c>
      <c r="B109" s="7">
        <f t="shared" si="14"/>
        <v>108</v>
      </c>
      <c r="C109" s="27" t="e">
        <f>_xlfn.XLOOKUP($D109,Tab_Process_TCs[Process_Name],Tab_Process_TCs[Process_ID],,0,)</f>
        <v>#N/A</v>
      </c>
      <c r="D109" s="155" t="s">
        <v>31</v>
      </c>
      <c r="E109" s="155" t="s">
        <v>31</v>
      </c>
      <c r="F109" s="27" t="e">
        <f>_xlfn.XLOOKUP($D109,Tab_Process_TCs[Process_Name],Tab_Process_TCs[TC?],,0,)</f>
        <v>#N/A</v>
      </c>
      <c r="G109" s="27" t="e">
        <f>_xlfn.XLOOKUP($D109,Tab_Process_TCs[Process_Name],Tab_Process_TCs[TC_Type],,0,)</f>
        <v>#N/A</v>
      </c>
      <c r="H109" s="27" t="e">
        <f>_xlfn.XLOOKUP($D109,Tab_Process_TCs[Process_Name],Tab_Process_TCs[Process_Logic],,0,)</f>
        <v>#N/A</v>
      </c>
      <c r="I109" s="7" t="str">
        <f>_xlfn.XLOOKUP($E109,Tab_Def_Flows[Flow_Name],Tab_Def_Flows[Flow_ID],,0,1)</f>
        <v>F__</v>
      </c>
      <c r="J109" s="8"/>
      <c r="K109" s="22" t="str">
        <f t="shared" si="10"/>
        <v>TC_material_F__</v>
      </c>
      <c r="L109" s="158"/>
      <c r="M109" s="22" t="str">
        <f t="shared" si="11"/>
        <v>TC_WC_F__</v>
      </c>
      <c r="N109" s="158"/>
      <c r="O109" s="22" t="str">
        <f t="shared" si="12"/>
        <v>TC_DM_F__</v>
      </c>
      <c r="P109" s="158"/>
      <c r="Q109" s="22" t="str">
        <f t="shared" si="13"/>
        <v>TC_CC_F__</v>
      </c>
      <c r="R109" s="8"/>
      <c r="S109" s="7" t="e">
        <f>_xlfn.XLOOKUP($D109,#REF!,#REF!,,0,)</f>
        <v>#REF!</v>
      </c>
      <c r="T109" s="22" t="str">
        <f>Tab_Process_TCs2527[[#This Row],[Flow_ID]]</f>
        <v>F__</v>
      </c>
      <c r="U109" s="22" t="e">
        <f t="shared" si="15"/>
        <v>#REF!</v>
      </c>
      <c r="V109" s="29"/>
      <c r="W109" s="32" t="e">
        <f>Tab_Process_TCs2527[[#This Row],[TC O_6_'[%']]]+#REF!+#REF!+#REF!+#REF!+#REF!</f>
        <v>#REF!</v>
      </c>
      <c r="X109" s="8"/>
      <c r="Y109" s="8"/>
      <c r="Z109" s="8"/>
      <c r="AA109" s="8"/>
      <c r="AB109" s="8"/>
    </row>
    <row r="110" spans="1:28" x14ac:dyDescent="0.25">
      <c r="A110" s="160" t="b">
        <v>0</v>
      </c>
      <c r="B110" s="7">
        <f t="shared" si="14"/>
        <v>109</v>
      </c>
      <c r="C110" s="27" t="e">
        <f>_xlfn.XLOOKUP($D110,Tab_Process_TCs[Process_Name],Tab_Process_TCs[Process_ID],,0,)</f>
        <v>#N/A</v>
      </c>
      <c r="D110" s="155" t="s">
        <v>31</v>
      </c>
      <c r="E110" s="155" t="s">
        <v>31</v>
      </c>
      <c r="F110" s="27" t="e">
        <f>_xlfn.XLOOKUP($D110,Tab_Process_TCs[Process_Name],Tab_Process_TCs[TC?],,0,)</f>
        <v>#N/A</v>
      </c>
      <c r="G110" s="27" t="e">
        <f>_xlfn.XLOOKUP($D110,Tab_Process_TCs[Process_Name],Tab_Process_TCs[TC_Type],,0,)</f>
        <v>#N/A</v>
      </c>
      <c r="H110" s="27" t="e">
        <f>_xlfn.XLOOKUP($D110,Tab_Process_TCs[Process_Name],Tab_Process_TCs[Process_Logic],,0,)</f>
        <v>#N/A</v>
      </c>
      <c r="I110" s="7" t="str">
        <f>_xlfn.XLOOKUP($E110,Tab_Def_Flows[Flow_Name],Tab_Def_Flows[Flow_ID],,0,1)</f>
        <v>F__</v>
      </c>
      <c r="J110" s="8"/>
      <c r="K110" s="22" t="str">
        <f t="shared" si="10"/>
        <v>TC_material_F__</v>
      </c>
      <c r="L110" s="158"/>
      <c r="M110" s="22" t="str">
        <f t="shared" si="11"/>
        <v>TC_WC_F__</v>
      </c>
      <c r="N110" s="158"/>
      <c r="O110" s="22" t="str">
        <f t="shared" si="12"/>
        <v>TC_DM_F__</v>
      </c>
      <c r="P110" s="158"/>
      <c r="Q110" s="22" t="str">
        <f t="shared" si="13"/>
        <v>TC_CC_F__</v>
      </c>
      <c r="R110" s="8"/>
      <c r="S110" s="7" t="e">
        <f>_xlfn.XLOOKUP($D110,#REF!,#REF!,,0,)</f>
        <v>#REF!</v>
      </c>
      <c r="T110" s="22" t="str">
        <f>Tab_Process_TCs2527[[#This Row],[Flow_ID]]</f>
        <v>F__</v>
      </c>
      <c r="U110" s="22" t="e">
        <f t="shared" si="15"/>
        <v>#REF!</v>
      </c>
      <c r="V110" s="29"/>
      <c r="W110" s="32" t="e">
        <f>Tab_Process_TCs2527[[#This Row],[TC O_6_'[%']]]+#REF!+#REF!+#REF!+#REF!+#REF!</f>
        <v>#REF!</v>
      </c>
      <c r="X110" s="8"/>
      <c r="Y110" s="8"/>
      <c r="Z110" s="8"/>
      <c r="AA110" s="8"/>
      <c r="AB110" s="8"/>
    </row>
    <row r="111" spans="1:28" x14ac:dyDescent="0.25">
      <c r="A111" s="160" t="b">
        <v>0</v>
      </c>
      <c r="B111" s="7">
        <f t="shared" si="14"/>
        <v>110</v>
      </c>
      <c r="C111" s="27" t="e">
        <f>_xlfn.XLOOKUP($D111,Tab_Process_TCs[Process_Name],Tab_Process_TCs[Process_ID],,0,)</f>
        <v>#N/A</v>
      </c>
      <c r="D111" s="155" t="s">
        <v>31</v>
      </c>
      <c r="E111" s="155" t="s">
        <v>31</v>
      </c>
      <c r="F111" s="27" t="e">
        <f>_xlfn.XLOOKUP($D111,Tab_Process_TCs[Process_Name],Tab_Process_TCs[TC?],,0,)</f>
        <v>#N/A</v>
      </c>
      <c r="G111" s="27" t="e">
        <f>_xlfn.XLOOKUP($D111,Tab_Process_TCs[Process_Name],Tab_Process_TCs[TC_Type],,0,)</f>
        <v>#N/A</v>
      </c>
      <c r="H111" s="27" t="e">
        <f>_xlfn.XLOOKUP($D111,Tab_Process_TCs[Process_Name],Tab_Process_TCs[Process_Logic],,0,)</f>
        <v>#N/A</v>
      </c>
      <c r="I111" s="7" t="str">
        <f>_xlfn.XLOOKUP($E111,Tab_Def_Flows[Flow_Name],Tab_Def_Flows[Flow_ID],,0,1)</f>
        <v>F__</v>
      </c>
      <c r="J111" s="8"/>
      <c r="K111" s="22" t="str">
        <f t="shared" si="10"/>
        <v>TC_material_F__</v>
      </c>
      <c r="L111" s="158"/>
      <c r="M111" s="22" t="str">
        <f t="shared" si="11"/>
        <v>TC_WC_F__</v>
      </c>
      <c r="N111" s="158"/>
      <c r="O111" s="22" t="str">
        <f t="shared" si="12"/>
        <v>TC_DM_F__</v>
      </c>
      <c r="P111" s="158"/>
      <c r="Q111" s="22" t="str">
        <f t="shared" si="13"/>
        <v>TC_CC_F__</v>
      </c>
      <c r="R111" s="8"/>
      <c r="S111" s="7" t="e">
        <f>_xlfn.XLOOKUP($D111,#REF!,#REF!,,0,)</f>
        <v>#REF!</v>
      </c>
      <c r="T111" s="22" t="str">
        <f>Tab_Process_TCs2527[[#This Row],[Flow_ID]]</f>
        <v>F__</v>
      </c>
      <c r="U111" s="22" t="e">
        <f t="shared" si="15"/>
        <v>#REF!</v>
      </c>
      <c r="V111" s="29"/>
      <c r="W111" s="32" t="e">
        <f>Tab_Process_TCs2527[[#This Row],[TC O_6_'[%']]]+#REF!+#REF!+#REF!+#REF!+#REF!</f>
        <v>#REF!</v>
      </c>
      <c r="X111" s="8"/>
      <c r="Y111" s="8"/>
      <c r="Z111" s="8"/>
      <c r="AA111" s="8"/>
      <c r="AB111" s="8"/>
    </row>
    <row r="112" spans="1:28" x14ac:dyDescent="0.25">
      <c r="A112" s="160" t="b">
        <v>0</v>
      </c>
      <c r="B112" s="7">
        <f t="shared" si="14"/>
        <v>111</v>
      </c>
      <c r="C112" s="27" t="e">
        <f>_xlfn.XLOOKUP($D112,Tab_Process_TCs[Process_Name],Tab_Process_TCs[Process_ID],,0,)</f>
        <v>#N/A</v>
      </c>
      <c r="D112" s="155" t="s">
        <v>31</v>
      </c>
      <c r="E112" s="155" t="s">
        <v>31</v>
      </c>
      <c r="F112" s="27" t="e">
        <f>_xlfn.XLOOKUP($D112,Tab_Process_TCs[Process_Name],Tab_Process_TCs[TC?],,0,)</f>
        <v>#N/A</v>
      </c>
      <c r="G112" s="27" t="e">
        <f>_xlfn.XLOOKUP($D112,Tab_Process_TCs[Process_Name],Tab_Process_TCs[TC_Type],,0,)</f>
        <v>#N/A</v>
      </c>
      <c r="H112" s="27" t="e">
        <f>_xlfn.XLOOKUP($D112,Tab_Process_TCs[Process_Name],Tab_Process_TCs[Process_Logic],,0,)</f>
        <v>#N/A</v>
      </c>
      <c r="I112" s="7" t="str">
        <f>_xlfn.XLOOKUP($E112,Tab_Def_Flows[Flow_Name],Tab_Def_Flows[Flow_ID],,0,1)</f>
        <v>F__</v>
      </c>
      <c r="J112" s="8"/>
      <c r="K112" s="22" t="str">
        <f t="shared" si="10"/>
        <v>TC_material_F__</v>
      </c>
      <c r="L112" s="158"/>
      <c r="M112" s="22" t="str">
        <f t="shared" si="11"/>
        <v>TC_WC_F__</v>
      </c>
      <c r="N112" s="158"/>
      <c r="O112" s="22" t="str">
        <f t="shared" si="12"/>
        <v>TC_DM_F__</v>
      </c>
      <c r="P112" s="158"/>
      <c r="Q112" s="22" t="str">
        <f t="shared" si="13"/>
        <v>TC_CC_F__</v>
      </c>
      <c r="R112" s="8"/>
      <c r="S112" s="7" t="e">
        <f>_xlfn.XLOOKUP($D112,#REF!,#REF!,,0,)</f>
        <v>#REF!</v>
      </c>
      <c r="T112" s="22" t="str">
        <f>Tab_Process_TCs2527[[#This Row],[Flow_ID]]</f>
        <v>F__</v>
      </c>
      <c r="U112" s="22" t="e">
        <f t="shared" si="15"/>
        <v>#REF!</v>
      </c>
      <c r="V112" s="29"/>
      <c r="W112" s="32" t="e">
        <f>Tab_Process_TCs2527[[#This Row],[TC O_6_'[%']]]+#REF!+#REF!+#REF!+#REF!+#REF!</f>
        <v>#REF!</v>
      </c>
      <c r="X112" s="8"/>
      <c r="Y112" s="8"/>
      <c r="Z112" s="8"/>
      <c r="AA112" s="8"/>
      <c r="AB112" s="8"/>
    </row>
    <row r="113" spans="1:28" x14ac:dyDescent="0.25">
      <c r="A113" s="160" t="b">
        <v>0</v>
      </c>
      <c r="B113" s="7">
        <f t="shared" si="14"/>
        <v>112</v>
      </c>
      <c r="C113" s="27" t="e">
        <f>_xlfn.XLOOKUP($D113,Tab_Process_TCs[Process_Name],Tab_Process_TCs[Process_ID],,0,)</f>
        <v>#N/A</v>
      </c>
      <c r="D113" s="155" t="s">
        <v>31</v>
      </c>
      <c r="E113" s="155" t="s">
        <v>31</v>
      </c>
      <c r="F113" s="27" t="e">
        <f>_xlfn.XLOOKUP($D113,Tab_Process_TCs[Process_Name],Tab_Process_TCs[TC?],,0,)</f>
        <v>#N/A</v>
      </c>
      <c r="G113" s="27" t="e">
        <f>_xlfn.XLOOKUP($D113,Tab_Process_TCs[Process_Name],Tab_Process_TCs[TC_Type],,0,)</f>
        <v>#N/A</v>
      </c>
      <c r="H113" s="27" t="e">
        <f>_xlfn.XLOOKUP($D113,Tab_Process_TCs[Process_Name],Tab_Process_TCs[Process_Logic],,0,)</f>
        <v>#N/A</v>
      </c>
      <c r="I113" s="7" t="str">
        <f>_xlfn.XLOOKUP($E113,Tab_Def_Flows[Flow_Name],Tab_Def_Flows[Flow_ID],,0,1)</f>
        <v>F__</v>
      </c>
      <c r="J113" s="8"/>
      <c r="K113" s="22" t="str">
        <f t="shared" si="10"/>
        <v>TC_material_F__</v>
      </c>
      <c r="L113" s="158"/>
      <c r="M113" s="22" t="str">
        <f t="shared" si="11"/>
        <v>TC_WC_F__</v>
      </c>
      <c r="N113" s="158"/>
      <c r="O113" s="22" t="str">
        <f t="shared" si="12"/>
        <v>TC_DM_F__</v>
      </c>
      <c r="P113" s="158"/>
      <c r="Q113" s="22" t="str">
        <f t="shared" si="13"/>
        <v>TC_CC_F__</v>
      </c>
      <c r="R113" s="8"/>
      <c r="S113" s="7" t="e">
        <f>_xlfn.XLOOKUP($D113,#REF!,#REF!,,0,)</f>
        <v>#REF!</v>
      </c>
      <c r="T113" s="22" t="str">
        <f>Tab_Process_TCs2527[[#This Row],[Flow_ID]]</f>
        <v>F__</v>
      </c>
      <c r="U113" s="22" t="e">
        <f t="shared" si="15"/>
        <v>#REF!</v>
      </c>
      <c r="V113" s="29"/>
      <c r="W113" s="32" t="e">
        <f>Tab_Process_TCs2527[[#This Row],[TC O_6_'[%']]]+#REF!+#REF!+#REF!+#REF!+#REF!</f>
        <v>#REF!</v>
      </c>
      <c r="X113" s="8"/>
      <c r="Y113" s="8"/>
      <c r="Z113" s="8"/>
      <c r="AA113" s="8"/>
      <c r="AB113" s="8"/>
    </row>
    <row r="114" spans="1:28" x14ac:dyDescent="0.25">
      <c r="A114" s="160" t="b">
        <v>0</v>
      </c>
      <c r="B114" s="7">
        <f t="shared" si="14"/>
        <v>113</v>
      </c>
      <c r="C114" s="27" t="e">
        <f>_xlfn.XLOOKUP($D114,Tab_Process_TCs[Process_Name],Tab_Process_TCs[Process_ID],,0,)</f>
        <v>#N/A</v>
      </c>
      <c r="D114" s="155" t="s">
        <v>31</v>
      </c>
      <c r="E114" s="155" t="s">
        <v>31</v>
      </c>
      <c r="F114" s="27" t="e">
        <f>_xlfn.XLOOKUP($D114,Tab_Process_TCs[Process_Name],Tab_Process_TCs[TC?],,0,)</f>
        <v>#N/A</v>
      </c>
      <c r="G114" s="27" t="e">
        <f>_xlfn.XLOOKUP($D114,Tab_Process_TCs[Process_Name],Tab_Process_TCs[TC_Type],,0,)</f>
        <v>#N/A</v>
      </c>
      <c r="H114" s="27" t="e">
        <f>_xlfn.XLOOKUP($D114,Tab_Process_TCs[Process_Name],Tab_Process_TCs[Process_Logic],,0,)</f>
        <v>#N/A</v>
      </c>
      <c r="I114" s="7" t="str">
        <f>_xlfn.XLOOKUP($E114,Tab_Def_Flows[Flow_Name],Tab_Def_Flows[Flow_ID],,0,1)</f>
        <v>F__</v>
      </c>
      <c r="J114" s="8"/>
      <c r="K114" s="22" t="str">
        <f t="shared" si="10"/>
        <v>TC_material_F__</v>
      </c>
      <c r="L114" s="158"/>
      <c r="M114" s="22" t="str">
        <f t="shared" si="11"/>
        <v>TC_WC_F__</v>
      </c>
      <c r="N114" s="158"/>
      <c r="O114" s="22" t="str">
        <f t="shared" si="12"/>
        <v>TC_DM_F__</v>
      </c>
      <c r="P114" s="158"/>
      <c r="Q114" s="22" t="str">
        <f t="shared" si="13"/>
        <v>TC_CC_F__</v>
      </c>
      <c r="R114" s="8"/>
      <c r="S114" s="7" t="e">
        <f>_xlfn.XLOOKUP($D114,#REF!,#REF!,,0,)</f>
        <v>#REF!</v>
      </c>
      <c r="T114" s="22" t="str">
        <f>Tab_Process_TCs2527[[#This Row],[Flow_ID]]</f>
        <v>F__</v>
      </c>
      <c r="U114" s="22" t="e">
        <f t="shared" si="15"/>
        <v>#REF!</v>
      </c>
      <c r="V114" s="29"/>
      <c r="W114" s="32" t="e">
        <f>Tab_Process_TCs2527[[#This Row],[TC O_6_'[%']]]+#REF!+#REF!+#REF!+#REF!+#REF!</f>
        <v>#REF!</v>
      </c>
      <c r="X114" s="8"/>
      <c r="Y114" s="8"/>
      <c r="Z114" s="8"/>
      <c r="AA114" s="8"/>
      <c r="AB114" s="8"/>
    </row>
    <row r="115" spans="1:28" x14ac:dyDescent="0.25">
      <c r="A115" s="160" t="b">
        <v>0</v>
      </c>
      <c r="B115" s="7">
        <f t="shared" si="14"/>
        <v>114</v>
      </c>
      <c r="C115" s="27" t="e">
        <f>_xlfn.XLOOKUP($D115,Tab_Process_TCs[Process_Name],Tab_Process_TCs[Process_ID],,0,)</f>
        <v>#N/A</v>
      </c>
      <c r="D115" s="155" t="s">
        <v>31</v>
      </c>
      <c r="E115" s="155" t="s">
        <v>31</v>
      </c>
      <c r="F115" s="27" t="e">
        <f>_xlfn.XLOOKUP($D115,Tab_Process_TCs[Process_Name],Tab_Process_TCs[TC?],,0,)</f>
        <v>#N/A</v>
      </c>
      <c r="G115" s="27" t="e">
        <f>_xlfn.XLOOKUP($D115,Tab_Process_TCs[Process_Name],Tab_Process_TCs[TC_Type],,0,)</f>
        <v>#N/A</v>
      </c>
      <c r="H115" s="27" t="e">
        <f>_xlfn.XLOOKUP($D115,Tab_Process_TCs[Process_Name],Tab_Process_TCs[Process_Logic],,0,)</f>
        <v>#N/A</v>
      </c>
      <c r="I115" s="7" t="str">
        <f>_xlfn.XLOOKUP($E115,Tab_Def_Flows[Flow_Name],Tab_Def_Flows[Flow_ID],,0,1)</f>
        <v>F__</v>
      </c>
      <c r="J115" s="8"/>
      <c r="K115" s="22" t="str">
        <f t="shared" si="10"/>
        <v>TC_material_F__</v>
      </c>
      <c r="L115" s="158"/>
      <c r="M115" s="22" t="str">
        <f t="shared" si="11"/>
        <v>TC_WC_F__</v>
      </c>
      <c r="N115" s="158"/>
      <c r="O115" s="22" t="str">
        <f t="shared" si="12"/>
        <v>TC_DM_F__</v>
      </c>
      <c r="P115" s="158"/>
      <c r="Q115" s="22" t="str">
        <f t="shared" si="13"/>
        <v>TC_CC_F__</v>
      </c>
      <c r="R115" s="8"/>
      <c r="S115" s="7" t="e">
        <f>_xlfn.XLOOKUP($D115,#REF!,#REF!,,0,)</f>
        <v>#REF!</v>
      </c>
      <c r="T115" s="22" t="str">
        <f>Tab_Process_TCs2527[[#This Row],[Flow_ID]]</f>
        <v>F__</v>
      </c>
      <c r="U115" s="22" t="e">
        <f t="shared" si="15"/>
        <v>#REF!</v>
      </c>
      <c r="V115" s="29"/>
      <c r="W115" s="32" t="e">
        <f>Tab_Process_TCs2527[[#This Row],[TC O_6_'[%']]]+#REF!+#REF!+#REF!+#REF!+#REF!</f>
        <v>#REF!</v>
      </c>
      <c r="X115" s="8"/>
      <c r="Y115" s="8"/>
      <c r="Z115" s="8"/>
      <c r="AA115" s="8"/>
      <c r="AB115" s="8"/>
    </row>
    <row r="116" spans="1:28" x14ac:dyDescent="0.25">
      <c r="A116" s="160" t="b">
        <v>0</v>
      </c>
      <c r="B116" s="7">
        <f t="shared" si="14"/>
        <v>115</v>
      </c>
      <c r="C116" s="27" t="e">
        <f>_xlfn.XLOOKUP($D116,Tab_Process_TCs[Process_Name],Tab_Process_TCs[Process_ID],,0,)</f>
        <v>#N/A</v>
      </c>
      <c r="D116" s="155" t="s">
        <v>31</v>
      </c>
      <c r="E116" s="155" t="s">
        <v>31</v>
      </c>
      <c r="F116" s="27" t="e">
        <f>_xlfn.XLOOKUP($D116,Tab_Process_TCs[Process_Name],Tab_Process_TCs[TC?],,0,)</f>
        <v>#N/A</v>
      </c>
      <c r="G116" s="27" t="e">
        <f>_xlfn.XLOOKUP($D116,Tab_Process_TCs[Process_Name],Tab_Process_TCs[TC_Type],,0,)</f>
        <v>#N/A</v>
      </c>
      <c r="H116" s="27" t="e">
        <f>_xlfn.XLOOKUP($D116,Tab_Process_TCs[Process_Name],Tab_Process_TCs[Process_Logic],,0,)</f>
        <v>#N/A</v>
      </c>
      <c r="I116" s="7" t="str">
        <f>_xlfn.XLOOKUP($E116,Tab_Def_Flows[Flow_Name],Tab_Def_Flows[Flow_ID],,0,1)</f>
        <v>F__</v>
      </c>
      <c r="J116" s="8"/>
      <c r="K116" s="22" t="str">
        <f t="shared" si="10"/>
        <v>TC_material_F__</v>
      </c>
      <c r="L116" s="158"/>
      <c r="M116" s="22" t="str">
        <f t="shared" si="11"/>
        <v>TC_WC_F__</v>
      </c>
      <c r="N116" s="158"/>
      <c r="O116" s="22" t="str">
        <f t="shared" si="12"/>
        <v>TC_DM_F__</v>
      </c>
      <c r="P116" s="158"/>
      <c r="Q116" s="22" t="str">
        <f t="shared" si="13"/>
        <v>TC_CC_F__</v>
      </c>
      <c r="R116" s="8"/>
      <c r="S116" s="7" t="e">
        <f>_xlfn.XLOOKUP($D116,#REF!,#REF!,,0,)</f>
        <v>#REF!</v>
      </c>
      <c r="T116" s="22" t="str">
        <f>Tab_Process_TCs2527[[#This Row],[Flow_ID]]</f>
        <v>F__</v>
      </c>
      <c r="U116" s="22" t="e">
        <f t="shared" si="15"/>
        <v>#REF!</v>
      </c>
      <c r="V116" s="29"/>
      <c r="W116" s="32" t="e">
        <f>Tab_Process_TCs2527[[#This Row],[TC O_6_'[%']]]+#REF!+#REF!+#REF!+#REF!+#REF!</f>
        <v>#REF!</v>
      </c>
      <c r="X116" s="8"/>
      <c r="Y116" s="8"/>
      <c r="Z116" s="8"/>
      <c r="AA116" s="8"/>
      <c r="AB116" s="8"/>
    </row>
    <row r="117" spans="1:28" x14ac:dyDescent="0.25">
      <c r="A117" s="160" t="b">
        <v>0</v>
      </c>
      <c r="B117" s="7">
        <f t="shared" si="14"/>
        <v>116</v>
      </c>
      <c r="C117" s="27" t="e">
        <f>_xlfn.XLOOKUP($D117,Tab_Process_TCs[Process_Name],Tab_Process_TCs[Process_ID],,0,)</f>
        <v>#N/A</v>
      </c>
      <c r="D117" s="155" t="s">
        <v>31</v>
      </c>
      <c r="E117" s="155" t="s">
        <v>31</v>
      </c>
      <c r="F117" s="27" t="e">
        <f>_xlfn.XLOOKUP($D117,Tab_Process_TCs[Process_Name],Tab_Process_TCs[TC?],,0,)</f>
        <v>#N/A</v>
      </c>
      <c r="G117" s="27" t="e">
        <f>_xlfn.XLOOKUP($D117,Tab_Process_TCs[Process_Name],Tab_Process_TCs[TC_Type],,0,)</f>
        <v>#N/A</v>
      </c>
      <c r="H117" s="27" t="e">
        <f>_xlfn.XLOOKUP($D117,Tab_Process_TCs[Process_Name],Tab_Process_TCs[Process_Logic],,0,)</f>
        <v>#N/A</v>
      </c>
      <c r="I117" s="7" t="str">
        <f>_xlfn.XLOOKUP($E117,Tab_Def_Flows[Flow_Name],Tab_Def_Flows[Flow_ID],,0,1)</f>
        <v>F__</v>
      </c>
      <c r="J117" s="8"/>
      <c r="K117" s="22" t="str">
        <f t="shared" si="10"/>
        <v>TC_material_F__</v>
      </c>
      <c r="L117" s="158"/>
      <c r="M117" s="22" t="str">
        <f t="shared" si="11"/>
        <v>TC_WC_F__</v>
      </c>
      <c r="N117" s="158"/>
      <c r="O117" s="22" t="str">
        <f t="shared" si="12"/>
        <v>TC_DM_F__</v>
      </c>
      <c r="P117" s="158"/>
      <c r="Q117" s="22" t="str">
        <f t="shared" si="13"/>
        <v>TC_CC_F__</v>
      </c>
      <c r="R117" s="8"/>
      <c r="S117" s="7" t="e">
        <f>_xlfn.XLOOKUP($D117,#REF!,#REF!,,0,)</f>
        <v>#REF!</v>
      </c>
      <c r="T117" s="22" t="str">
        <f>Tab_Process_TCs2527[[#This Row],[Flow_ID]]</f>
        <v>F__</v>
      </c>
      <c r="U117" s="22" t="e">
        <f t="shared" si="15"/>
        <v>#REF!</v>
      </c>
      <c r="V117" s="29"/>
      <c r="W117" s="32" t="e">
        <f>Tab_Process_TCs2527[[#This Row],[TC O_6_'[%']]]+#REF!+#REF!+#REF!+#REF!+#REF!</f>
        <v>#REF!</v>
      </c>
      <c r="X117" s="8"/>
      <c r="Y117" s="8"/>
      <c r="Z117" s="8"/>
      <c r="AA117" s="8"/>
      <c r="AB117" s="8"/>
    </row>
    <row r="118" spans="1:28" x14ac:dyDescent="0.25">
      <c r="A118" s="160" t="b">
        <v>0</v>
      </c>
      <c r="B118" s="7">
        <f t="shared" si="14"/>
        <v>117</v>
      </c>
      <c r="C118" s="27" t="e">
        <f>_xlfn.XLOOKUP($D118,Tab_Process_TCs[Process_Name],Tab_Process_TCs[Process_ID],,0,)</f>
        <v>#N/A</v>
      </c>
      <c r="D118" s="155" t="s">
        <v>31</v>
      </c>
      <c r="E118" s="155" t="s">
        <v>31</v>
      </c>
      <c r="F118" s="27" t="e">
        <f>_xlfn.XLOOKUP($D118,Tab_Process_TCs[Process_Name],Tab_Process_TCs[TC?],,0,)</f>
        <v>#N/A</v>
      </c>
      <c r="G118" s="27" t="e">
        <f>_xlfn.XLOOKUP($D118,Tab_Process_TCs[Process_Name],Tab_Process_TCs[TC_Type],,0,)</f>
        <v>#N/A</v>
      </c>
      <c r="H118" s="27" t="e">
        <f>_xlfn.XLOOKUP($D118,Tab_Process_TCs[Process_Name],Tab_Process_TCs[Process_Logic],,0,)</f>
        <v>#N/A</v>
      </c>
      <c r="I118" s="7" t="str">
        <f>_xlfn.XLOOKUP($E118,Tab_Def_Flows[Flow_Name],Tab_Def_Flows[Flow_ID],,0,1)</f>
        <v>F__</v>
      </c>
      <c r="J118" s="8"/>
      <c r="K118" s="22" t="str">
        <f t="shared" si="10"/>
        <v>TC_material_F__</v>
      </c>
      <c r="L118" s="158"/>
      <c r="M118" s="22" t="str">
        <f t="shared" si="11"/>
        <v>TC_WC_F__</v>
      </c>
      <c r="N118" s="158"/>
      <c r="O118" s="22" t="str">
        <f t="shared" si="12"/>
        <v>TC_DM_F__</v>
      </c>
      <c r="P118" s="158"/>
      <c r="Q118" s="22" t="str">
        <f t="shared" si="13"/>
        <v>TC_CC_F__</v>
      </c>
      <c r="R118" s="8"/>
      <c r="S118" s="7" t="e">
        <f>_xlfn.XLOOKUP($D118,#REF!,#REF!,,0,)</f>
        <v>#REF!</v>
      </c>
      <c r="T118" s="22" t="str">
        <f>Tab_Process_TCs2527[[#This Row],[Flow_ID]]</f>
        <v>F__</v>
      </c>
      <c r="U118" s="22" t="e">
        <f t="shared" si="15"/>
        <v>#REF!</v>
      </c>
      <c r="V118" s="29"/>
      <c r="W118" s="32" t="e">
        <f>Tab_Process_TCs2527[[#This Row],[TC O_6_'[%']]]+#REF!+#REF!+#REF!+#REF!+#REF!</f>
        <v>#REF!</v>
      </c>
      <c r="X118" s="8"/>
      <c r="Y118" s="8"/>
      <c r="Z118" s="8"/>
      <c r="AA118" s="8"/>
      <c r="AB118" s="8"/>
    </row>
    <row r="119" spans="1:28" x14ac:dyDescent="0.25">
      <c r="A119" s="160" t="b">
        <v>0</v>
      </c>
      <c r="B119" s="7">
        <f t="shared" si="14"/>
        <v>118</v>
      </c>
      <c r="C119" s="27" t="e">
        <f>_xlfn.XLOOKUP($D119,Tab_Process_TCs[Process_Name],Tab_Process_TCs[Process_ID],,0,)</f>
        <v>#N/A</v>
      </c>
      <c r="D119" s="155" t="s">
        <v>31</v>
      </c>
      <c r="E119" s="155" t="s">
        <v>31</v>
      </c>
      <c r="F119" s="27" t="e">
        <f>_xlfn.XLOOKUP($D119,Tab_Process_TCs[Process_Name],Tab_Process_TCs[TC?],,0,)</f>
        <v>#N/A</v>
      </c>
      <c r="G119" s="27" t="e">
        <f>_xlfn.XLOOKUP($D119,Tab_Process_TCs[Process_Name],Tab_Process_TCs[TC_Type],,0,)</f>
        <v>#N/A</v>
      </c>
      <c r="H119" s="27" t="e">
        <f>_xlfn.XLOOKUP($D119,Tab_Process_TCs[Process_Name],Tab_Process_TCs[Process_Logic],,0,)</f>
        <v>#N/A</v>
      </c>
      <c r="I119" s="7" t="str">
        <f>_xlfn.XLOOKUP($E119,Tab_Def_Flows[Flow_Name],Tab_Def_Flows[Flow_ID],,0,1)</f>
        <v>F__</v>
      </c>
      <c r="J119" s="8"/>
      <c r="K119" s="22" t="str">
        <f t="shared" si="10"/>
        <v>TC_material_F__</v>
      </c>
      <c r="L119" s="158"/>
      <c r="M119" s="22" t="str">
        <f t="shared" si="11"/>
        <v>TC_WC_F__</v>
      </c>
      <c r="N119" s="158"/>
      <c r="O119" s="22" t="str">
        <f t="shared" si="12"/>
        <v>TC_DM_F__</v>
      </c>
      <c r="P119" s="158"/>
      <c r="Q119" s="22" t="str">
        <f t="shared" si="13"/>
        <v>TC_CC_F__</v>
      </c>
      <c r="R119" s="8"/>
      <c r="S119" s="7" t="e">
        <f>_xlfn.XLOOKUP($D119,#REF!,#REF!,,0,)</f>
        <v>#REF!</v>
      </c>
      <c r="T119" s="22" t="str">
        <f>Tab_Process_TCs2527[[#This Row],[Flow_ID]]</f>
        <v>F__</v>
      </c>
      <c r="U119" s="22" t="e">
        <f t="shared" si="15"/>
        <v>#REF!</v>
      </c>
      <c r="V119" s="29"/>
      <c r="W119" s="32" t="e">
        <f>Tab_Process_TCs2527[[#This Row],[TC O_6_'[%']]]+#REF!+#REF!+#REF!+#REF!+#REF!</f>
        <v>#REF!</v>
      </c>
      <c r="X119" s="8"/>
      <c r="Y119" s="8"/>
      <c r="Z119" s="8"/>
      <c r="AA119" s="8"/>
      <c r="AB119" s="8"/>
    </row>
    <row r="120" spans="1:28" x14ac:dyDescent="0.25">
      <c r="A120" s="160" t="b">
        <v>0</v>
      </c>
      <c r="B120" s="7">
        <f t="shared" si="14"/>
        <v>119</v>
      </c>
      <c r="C120" s="27" t="e">
        <f>_xlfn.XLOOKUP($D120,Tab_Process_TCs[Process_Name],Tab_Process_TCs[Process_ID],,0,)</f>
        <v>#N/A</v>
      </c>
      <c r="D120" s="155" t="s">
        <v>31</v>
      </c>
      <c r="E120" s="155" t="s">
        <v>31</v>
      </c>
      <c r="F120" s="27" t="e">
        <f>_xlfn.XLOOKUP($D120,Tab_Process_TCs[Process_Name],Tab_Process_TCs[TC?],,0,)</f>
        <v>#N/A</v>
      </c>
      <c r="G120" s="27" t="e">
        <f>_xlfn.XLOOKUP($D120,Tab_Process_TCs[Process_Name],Tab_Process_TCs[TC_Type],,0,)</f>
        <v>#N/A</v>
      </c>
      <c r="H120" s="27" t="e">
        <f>_xlfn.XLOOKUP($D120,Tab_Process_TCs[Process_Name],Tab_Process_TCs[Process_Logic],,0,)</f>
        <v>#N/A</v>
      </c>
      <c r="I120" s="7" t="str">
        <f>_xlfn.XLOOKUP($E120,Tab_Def_Flows[Flow_Name],Tab_Def_Flows[Flow_ID],,0,1)</f>
        <v>F__</v>
      </c>
      <c r="J120" s="8"/>
      <c r="K120" s="22" t="str">
        <f t="shared" si="10"/>
        <v>TC_material_F__</v>
      </c>
      <c r="L120" s="158"/>
      <c r="M120" s="22" t="str">
        <f t="shared" si="11"/>
        <v>TC_WC_F__</v>
      </c>
      <c r="N120" s="158"/>
      <c r="O120" s="22" t="str">
        <f t="shared" si="12"/>
        <v>TC_DM_F__</v>
      </c>
      <c r="P120" s="158"/>
      <c r="Q120" s="22" t="str">
        <f t="shared" si="13"/>
        <v>TC_CC_F__</v>
      </c>
      <c r="R120" s="8"/>
      <c r="S120" s="7" t="e">
        <f>_xlfn.XLOOKUP($D120,#REF!,#REF!,,0,)</f>
        <v>#REF!</v>
      </c>
      <c r="T120" s="22" t="str">
        <f>Tab_Process_TCs2527[[#This Row],[Flow_ID]]</f>
        <v>F__</v>
      </c>
      <c r="U120" s="22" t="e">
        <f t="shared" si="15"/>
        <v>#REF!</v>
      </c>
      <c r="V120" s="29"/>
      <c r="W120" s="32" t="e">
        <f>Tab_Process_TCs2527[[#This Row],[TC O_6_'[%']]]+#REF!+#REF!+#REF!+#REF!+#REF!</f>
        <v>#REF!</v>
      </c>
      <c r="X120" s="8"/>
      <c r="Y120" s="8"/>
      <c r="Z120" s="8"/>
      <c r="AA120" s="8"/>
      <c r="AB120" s="8"/>
    </row>
    <row r="121" spans="1:28" x14ac:dyDescent="0.25">
      <c r="A121" s="160" t="b">
        <v>0</v>
      </c>
      <c r="B121" s="7">
        <f t="shared" si="14"/>
        <v>120</v>
      </c>
      <c r="C121" s="27" t="e">
        <f>_xlfn.XLOOKUP($D121,Tab_Process_TCs[Process_Name],Tab_Process_TCs[Process_ID],,0,)</f>
        <v>#N/A</v>
      </c>
      <c r="D121" s="155" t="s">
        <v>31</v>
      </c>
      <c r="E121" s="155" t="s">
        <v>31</v>
      </c>
      <c r="F121" s="27" t="e">
        <f>_xlfn.XLOOKUP($D121,Tab_Process_TCs[Process_Name],Tab_Process_TCs[TC?],,0,)</f>
        <v>#N/A</v>
      </c>
      <c r="G121" s="27" t="e">
        <f>_xlfn.XLOOKUP($D121,Tab_Process_TCs[Process_Name],Tab_Process_TCs[TC_Type],,0,)</f>
        <v>#N/A</v>
      </c>
      <c r="H121" s="27" t="e">
        <f>_xlfn.XLOOKUP($D121,Tab_Process_TCs[Process_Name],Tab_Process_TCs[Process_Logic],,0,)</f>
        <v>#N/A</v>
      </c>
      <c r="I121" s="7" t="str">
        <f>_xlfn.XLOOKUP($E121,Tab_Def_Flows[Flow_Name],Tab_Def_Flows[Flow_ID],,0,1)</f>
        <v>F__</v>
      </c>
      <c r="J121" s="8"/>
      <c r="K121" s="22" t="str">
        <f t="shared" si="10"/>
        <v>TC_material_F__</v>
      </c>
      <c r="L121" s="158"/>
      <c r="M121" s="22" t="str">
        <f t="shared" si="11"/>
        <v>TC_WC_F__</v>
      </c>
      <c r="N121" s="158"/>
      <c r="O121" s="22" t="str">
        <f t="shared" si="12"/>
        <v>TC_DM_F__</v>
      </c>
      <c r="P121" s="158"/>
      <c r="Q121" s="22" t="str">
        <f t="shared" si="13"/>
        <v>TC_CC_F__</v>
      </c>
      <c r="R121" s="8"/>
      <c r="S121" s="7" t="e">
        <f>_xlfn.XLOOKUP($D121,#REF!,#REF!,,0,)</f>
        <v>#REF!</v>
      </c>
      <c r="T121" s="22" t="str">
        <f>Tab_Process_TCs2527[[#This Row],[Flow_ID]]</f>
        <v>F__</v>
      </c>
      <c r="U121" s="22" t="e">
        <f t="shared" si="15"/>
        <v>#REF!</v>
      </c>
      <c r="V121" s="29"/>
      <c r="W121" s="32" t="e">
        <f>Tab_Process_TCs2527[[#This Row],[TC O_6_'[%']]]+#REF!+#REF!+#REF!+#REF!+#REF!</f>
        <v>#REF!</v>
      </c>
      <c r="X121" s="8"/>
      <c r="Y121" s="8"/>
      <c r="Z121" s="8"/>
      <c r="AA121" s="8"/>
      <c r="AB121" s="8"/>
    </row>
    <row r="122" spans="1:28" x14ac:dyDescent="0.25">
      <c r="A122" s="160" t="b">
        <v>0</v>
      </c>
      <c r="B122" s="7">
        <f t="shared" si="14"/>
        <v>121</v>
      </c>
      <c r="C122" s="27" t="e">
        <f>_xlfn.XLOOKUP($D122,Tab_Process_TCs[Process_Name],Tab_Process_TCs[Process_ID],,0,)</f>
        <v>#N/A</v>
      </c>
      <c r="D122" s="155" t="s">
        <v>31</v>
      </c>
      <c r="E122" s="155" t="s">
        <v>31</v>
      </c>
      <c r="F122" s="27" t="e">
        <f>_xlfn.XLOOKUP($D122,Tab_Process_TCs[Process_Name],Tab_Process_TCs[TC?],,0,)</f>
        <v>#N/A</v>
      </c>
      <c r="G122" s="27" t="e">
        <f>_xlfn.XLOOKUP($D122,Tab_Process_TCs[Process_Name],Tab_Process_TCs[TC_Type],,0,)</f>
        <v>#N/A</v>
      </c>
      <c r="H122" s="27" t="e">
        <f>_xlfn.XLOOKUP($D122,Tab_Process_TCs[Process_Name],Tab_Process_TCs[Process_Logic],,0,)</f>
        <v>#N/A</v>
      </c>
      <c r="I122" s="7" t="str">
        <f>_xlfn.XLOOKUP($E122,Tab_Def_Flows[Flow_Name],Tab_Def_Flows[Flow_ID],,0,1)</f>
        <v>F__</v>
      </c>
      <c r="J122" s="8"/>
      <c r="K122" s="22" t="str">
        <f t="shared" si="10"/>
        <v>TC_material_F__</v>
      </c>
      <c r="L122" s="158"/>
      <c r="M122" s="22" t="str">
        <f t="shared" si="11"/>
        <v>TC_WC_F__</v>
      </c>
      <c r="N122" s="158"/>
      <c r="O122" s="22" t="str">
        <f t="shared" si="12"/>
        <v>TC_DM_F__</v>
      </c>
      <c r="P122" s="158"/>
      <c r="Q122" s="22" t="str">
        <f t="shared" si="13"/>
        <v>TC_CC_F__</v>
      </c>
      <c r="R122" s="8"/>
      <c r="S122" s="7" t="e">
        <f>_xlfn.XLOOKUP($D122,#REF!,#REF!,,0,)</f>
        <v>#REF!</v>
      </c>
      <c r="T122" s="22" t="str">
        <f>Tab_Process_TCs2527[[#This Row],[Flow_ID]]</f>
        <v>F__</v>
      </c>
      <c r="U122" s="22" t="e">
        <f t="shared" si="15"/>
        <v>#REF!</v>
      </c>
      <c r="V122" s="29"/>
      <c r="W122" s="32" t="e">
        <f>Tab_Process_TCs2527[[#This Row],[TC O_6_'[%']]]+#REF!+#REF!+#REF!+#REF!+#REF!</f>
        <v>#REF!</v>
      </c>
      <c r="X122" s="8"/>
      <c r="Y122" s="8"/>
      <c r="Z122" s="8"/>
      <c r="AA122" s="8"/>
      <c r="AB122" s="8"/>
    </row>
    <row r="123" spans="1:28" x14ac:dyDescent="0.25">
      <c r="A123" s="160" t="b">
        <v>0</v>
      </c>
      <c r="B123" s="7">
        <f t="shared" si="14"/>
        <v>122</v>
      </c>
      <c r="C123" s="27" t="e">
        <f>_xlfn.XLOOKUP($D123,Tab_Process_TCs[Process_Name],Tab_Process_TCs[Process_ID],,0,)</f>
        <v>#N/A</v>
      </c>
      <c r="D123" s="155" t="s">
        <v>31</v>
      </c>
      <c r="E123" s="155" t="s">
        <v>31</v>
      </c>
      <c r="F123" s="27" t="e">
        <f>_xlfn.XLOOKUP($D123,Tab_Process_TCs[Process_Name],Tab_Process_TCs[TC?],,0,)</f>
        <v>#N/A</v>
      </c>
      <c r="G123" s="27" t="e">
        <f>_xlfn.XLOOKUP($D123,Tab_Process_TCs[Process_Name],Tab_Process_TCs[TC_Type],,0,)</f>
        <v>#N/A</v>
      </c>
      <c r="H123" s="27" t="e">
        <f>_xlfn.XLOOKUP($D123,Tab_Process_TCs[Process_Name],Tab_Process_TCs[Process_Logic],,0,)</f>
        <v>#N/A</v>
      </c>
      <c r="I123" s="7" t="str">
        <f>_xlfn.XLOOKUP($E123,Tab_Def_Flows[Flow_Name],Tab_Def_Flows[Flow_ID],,0,1)</f>
        <v>F__</v>
      </c>
      <c r="J123" s="8"/>
      <c r="K123" s="22" t="str">
        <f t="shared" si="10"/>
        <v>TC_material_F__</v>
      </c>
      <c r="L123" s="158"/>
      <c r="M123" s="22" t="str">
        <f t="shared" si="11"/>
        <v>TC_WC_F__</v>
      </c>
      <c r="N123" s="158"/>
      <c r="O123" s="22" t="str">
        <f t="shared" si="12"/>
        <v>TC_DM_F__</v>
      </c>
      <c r="P123" s="158"/>
      <c r="Q123" s="22" t="str">
        <f t="shared" si="13"/>
        <v>TC_CC_F__</v>
      </c>
      <c r="R123" s="8"/>
      <c r="S123" s="7" t="e">
        <f>_xlfn.XLOOKUP($D123,#REF!,#REF!,,0,)</f>
        <v>#REF!</v>
      </c>
      <c r="T123" s="22" t="str">
        <f>Tab_Process_TCs2527[[#This Row],[Flow_ID]]</f>
        <v>F__</v>
      </c>
      <c r="U123" s="22" t="e">
        <f t="shared" si="15"/>
        <v>#REF!</v>
      </c>
      <c r="V123" s="29"/>
      <c r="W123" s="32" t="e">
        <f>Tab_Process_TCs2527[[#This Row],[TC O_6_'[%']]]+#REF!+#REF!+#REF!+#REF!+#REF!</f>
        <v>#REF!</v>
      </c>
      <c r="X123" s="8"/>
      <c r="Y123" s="8"/>
      <c r="Z123" s="8"/>
      <c r="AA123" s="8"/>
      <c r="AB123" s="8"/>
    </row>
    <row r="124" spans="1:28" x14ac:dyDescent="0.25">
      <c r="A124" s="160" t="b">
        <v>0</v>
      </c>
      <c r="B124" s="7">
        <f t="shared" si="14"/>
        <v>123</v>
      </c>
      <c r="C124" s="27" t="e">
        <f>_xlfn.XLOOKUP($D124,Tab_Process_TCs[Process_Name],Tab_Process_TCs[Process_ID],,0,)</f>
        <v>#N/A</v>
      </c>
      <c r="D124" s="155" t="s">
        <v>31</v>
      </c>
      <c r="E124" s="155" t="s">
        <v>31</v>
      </c>
      <c r="F124" s="27" t="e">
        <f>_xlfn.XLOOKUP($D124,Tab_Process_TCs[Process_Name],Tab_Process_TCs[TC?],,0,)</f>
        <v>#N/A</v>
      </c>
      <c r="G124" s="27" t="e">
        <f>_xlfn.XLOOKUP($D124,Tab_Process_TCs[Process_Name],Tab_Process_TCs[TC_Type],,0,)</f>
        <v>#N/A</v>
      </c>
      <c r="H124" s="27" t="e">
        <f>_xlfn.XLOOKUP($D124,Tab_Process_TCs[Process_Name],Tab_Process_TCs[Process_Logic],,0,)</f>
        <v>#N/A</v>
      </c>
      <c r="I124" s="7" t="str">
        <f>_xlfn.XLOOKUP($E124,Tab_Def_Flows[Flow_Name],Tab_Def_Flows[Flow_ID],,0,1)</f>
        <v>F__</v>
      </c>
      <c r="J124" s="8"/>
      <c r="K124" s="22" t="str">
        <f t="shared" si="10"/>
        <v>TC_material_F__</v>
      </c>
      <c r="L124" s="158"/>
      <c r="M124" s="22" t="str">
        <f t="shared" si="11"/>
        <v>TC_WC_F__</v>
      </c>
      <c r="N124" s="158"/>
      <c r="O124" s="22" t="str">
        <f t="shared" si="12"/>
        <v>TC_DM_F__</v>
      </c>
      <c r="P124" s="158"/>
      <c r="Q124" s="22" t="str">
        <f t="shared" si="13"/>
        <v>TC_CC_F__</v>
      </c>
      <c r="R124" s="8"/>
      <c r="S124" s="7" t="e">
        <f>_xlfn.XLOOKUP($D124,#REF!,#REF!,,0,)</f>
        <v>#REF!</v>
      </c>
      <c r="T124" s="22" t="str">
        <f>Tab_Process_TCs2527[[#This Row],[Flow_ID]]</f>
        <v>F__</v>
      </c>
      <c r="U124" s="22" t="e">
        <f t="shared" si="15"/>
        <v>#REF!</v>
      </c>
      <c r="V124" s="29"/>
      <c r="W124" s="32" t="e">
        <f>Tab_Process_TCs2527[[#This Row],[TC O_6_'[%']]]+#REF!+#REF!+#REF!+#REF!+#REF!</f>
        <v>#REF!</v>
      </c>
      <c r="X124" s="8"/>
      <c r="Y124" s="8"/>
      <c r="Z124" s="8"/>
      <c r="AA124" s="8"/>
      <c r="AB124" s="8"/>
    </row>
    <row r="125" spans="1:28" x14ac:dyDescent="0.25">
      <c r="A125" s="160" t="b">
        <v>0</v>
      </c>
      <c r="B125" s="7">
        <f t="shared" si="14"/>
        <v>124</v>
      </c>
      <c r="C125" s="27" t="e">
        <f>_xlfn.XLOOKUP($D125,Tab_Process_TCs[Process_Name],Tab_Process_TCs[Process_ID],,0,)</f>
        <v>#N/A</v>
      </c>
      <c r="D125" s="155" t="s">
        <v>31</v>
      </c>
      <c r="E125" s="155" t="s">
        <v>31</v>
      </c>
      <c r="F125" s="27" t="e">
        <f>_xlfn.XLOOKUP($D125,Tab_Process_TCs[Process_Name],Tab_Process_TCs[TC?],,0,)</f>
        <v>#N/A</v>
      </c>
      <c r="G125" s="27" t="e">
        <f>_xlfn.XLOOKUP($D125,Tab_Process_TCs[Process_Name],Tab_Process_TCs[TC_Type],,0,)</f>
        <v>#N/A</v>
      </c>
      <c r="H125" s="27" t="e">
        <f>_xlfn.XLOOKUP($D125,Tab_Process_TCs[Process_Name],Tab_Process_TCs[Process_Logic],,0,)</f>
        <v>#N/A</v>
      </c>
      <c r="I125" s="7" t="str">
        <f>_xlfn.XLOOKUP($E125,Tab_Def_Flows[Flow_Name],Tab_Def_Flows[Flow_ID],,0,1)</f>
        <v>F__</v>
      </c>
      <c r="J125" s="8"/>
      <c r="K125" s="22" t="str">
        <f t="shared" si="10"/>
        <v>TC_material_F__</v>
      </c>
      <c r="L125" s="158"/>
      <c r="M125" s="22" t="str">
        <f t="shared" si="11"/>
        <v>TC_WC_F__</v>
      </c>
      <c r="N125" s="158"/>
      <c r="O125" s="22" t="str">
        <f t="shared" si="12"/>
        <v>TC_DM_F__</v>
      </c>
      <c r="P125" s="158"/>
      <c r="Q125" s="22" t="str">
        <f t="shared" si="13"/>
        <v>TC_CC_F__</v>
      </c>
      <c r="R125" s="8"/>
      <c r="S125" s="7" t="e">
        <f>_xlfn.XLOOKUP($D125,#REF!,#REF!,,0,)</f>
        <v>#REF!</v>
      </c>
      <c r="T125" s="22" t="str">
        <f>Tab_Process_TCs2527[[#This Row],[Flow_ID]]</f>
        <v>F__</v>
      </c>
      <c r="U125" s="22" t="e">
        <f t="shared" si="15"/>
        <v>#REF!</v>
      </c>
      <c r="V125" s="29"/>
      <c r="W125" s="32" t="e">
        <f>Tab_Process_TCs2527[[#This Row],[TC O_6_'[%']]]+#REF!+#REF!+#REF!+#REF!+#REF!</f>
        <v>#REF!</v>
      </c>
      <c r="X125" s="8"/>
      <c r="Y125" s="8"/>
      <c r="Z125" s="8"/>
      <c r="AA125" s="8"/>
      <c r="AB125" s="8"/>
    </row>
    <row r="126" spans="1:28" x14ac:dyDescent="0.25">
      <c r="A126" s="160" t="b">
        <v>0</v>
      </c>
      <c r="B126" s="7">
        <f t="shared" si="14"/>
        <v>125</v>
      </c>
      <c r="C126" s="27" t="e">
        <f>_xlfn.XLOOKUP($D126,Tab_Process_TCs[Process_Name],Tab_Process_TCs[Process_ID],,0,)</f>
        <v>#N/A</v>
      </c>
      <c r="D126" s="155" t="s">
        <v>31</v>
      </c>
      <c r="E126" s="155" t="s">
        <v>31</v>
      </c>
      <c r="F126" s="27" t="e">
        <f>_xlfn.XLOOKUP($D126,Tab_Process_TCs[Process_Name],Tab_Process_TCs[TC?],,0,)</f>
        <v>#N/A</v>
      </c>
      <c r="G126" s="27" t="e">
        <f>_xlfn.XLOOKUP($D126,Tab_Process_TCs[Process_Name],Tab_Process_TCs[TC_Type],,0,)</f>
        <v>#N/A</v>
      </c>
      <c r="H126" s="27" t="e">
        <f>_xlfn.XLOOKUP($D126,Tab_Process_TCs[Process_Name],Tab_Process_TCs[Process_Logic],,0,)</f>
        <v>#N/A</v>
      </c>
      <c r="I126" s="7" t="str">
        <f>_xlfn.XLOOKUP($E126,Tab_Def_Flows[Flow_Name],Tab_Def_Flows[Flow_ID],,0,1)</f>
        <v>F__</v>
      </c>
      <c r="J126" s="8"/>
      <c r="K126" s="22" t="str">
        <f t="shared" si="10"/>
        <v>TC_material_F__</v>
      </c>
      <c r="L126" s="158"/>
      <c r="M126" s="22" t="str">
        <f t="shared" si="11"/>
        <v>TC_WC_F__</v>
      </c>
      <c r="N126" s="158"/>
      <c r="O126" s="22" t="str">
        <f t="shared" si="12"/>
        <v>TC_DM_F__</v>
      </c>
      <c r="P126" s="158"/>
      <c r="Q126" s="22" t="str">
        <f t="shared" si="13"/>
        <v>TC_CC_F__</v>
      </c>
      <c r="R126" s="8"/>
      <c r="S126" s="7" t="e">
        <f>_xlfn.XLOOKUP($D126,#REF!,#REF!,,0,)</f>
        <v>#REF!</v>
      </c>
      <c r="T126" s="22" t="str">
        <f>Tab_Process_TCs2527[[#This Row],[Flow_ID]]</f>
        <v>F__</v>
      </c>
      <c r="U126" s="22" t="e">
        <f t="shared" si="15"/>
        <v>#REF!</v>
      </c>
      <c r="V126" s="29"/>
      <c r="W126" s="32" t="e">
        <f>Tab_Process_TCs2527[[#This Row],[TC O_6_'[%']]]+#REF!+#REF!+#REF!+#REF!+#REF!</f>
        <v>#REF!</v>
      </c>
      <c r="X126" s="8"/>
      <c r="Y126" s="8"/>
      <c r="Z126" s="8"/>
      <c r="AA126" s="8"/>
      <c r="AB126" s="8"/>
    </row>
    <row r="127" spans="1:28" x14ac:dyDescent="0.25">
      <c r="A127" s="160" t="b">
        <v>0</v>
      </c>
      <c r="B127" s="7">
        <f t="shared" si="14"/>
        <v>126</v>
      </c>
      <c r="C127" s="27" t="e">
        <f>_xlfn.XLOOKUP($D127,Tab_Process_TCs[Process_Name],Tab_Process_TCs[Process_ID],,0,)</f>
        <v>#N/A</v>
      </c>
      <c r="D127" s="155" t="s">
        <v>31</v>
      </c>
      <c r="E127" s="155" t="s">
        <v>31</v>
      </c>
      <c r="F127" s="27" t="e">
        <f>_xlfn.XLOOKUP($D127,Tab_Process_TCs[Process_Name],Tab_Process_TCs[TC?],,0,)</f>
        <v>#N/A</v>
      </c>
      <c r="G127" s="27" t="e">
        <f>_xlfn.XLOOKUP($D127,Tab_Process_TCs[Process_Name],Tab_Process_TCs[TC_Type],,0,)</f>
        <v>#N/A</v>
      </c>
      <c r="H127" s="27" t="e">
        <f>_xlfn.XLOOKUP($D127,Tab_Process_TCs[Process_Name],Tab_Process_TCs[Process_Logic],,0,)</f>
        <v>#N/A</v>
      </c>
      <c r="I127" s="7" t="str">
        <f>_xlfn.XLOOKUP($E127,Tab_Def_Flows[Flow_Name],Tab_Def_Flows[Flow_ID],,0,1)</f>
        <v>F__</v>
      </c>
      <c r="J127" s="8"/>
      <c r="K127" s="22" t="str">
        <f t="shared" si="10"/>
        <v>TC_material_F__</v>
      </c>
      <c r="L127" s="158"/>
      <c r="M127" s="22" t="str">
        <f t="shared" si="11"/>
        <v>TC_WC_F__</v>
      </c>
      <c r="N127" s="158"/>
      <c r="O127" s="22" t="str">
        <f t="shared" si="12"/>
        <v>TC_DM_F__</v>
      </c>
      <c r="P127" s="158"/>
      <c r="Q127" s="22" t="str">
        <f t="shared" si="13"/>
        <v>TC_CC_F__</v>
      </c>
      <c r="R127" s="8"/>
      <c r="S127" s="7" t="e">
        <f>_xlfn.XLOOKUP($D127,#REF!,#REF!,,0,)</f>
        <v>#REF!</v>
      </c>
      <c r="T127" s="22" t="str">
        <f>Tab_Process_TCs2527[[#This Row],[Flow_ID]]</f>
        <v>F__</v>
      </c>
      <c r="U127" s="22" t="e">
        <f t="shared" si="15"/>
        <v>#REF!</v>
      </c>
      <c r="V127" s="29"/>
      <c r="W127" s="32" t="e">
        <f>Tab_Process_TCs2527[[#This Row],[TC O_6_'[%']]]+#REF!+#REF!+#REF!+#REF!+#REF!</f>
        <v>#REF!</v>
      </c>
      <c r="X127" s="8"/>
      <c r="Y127" s="8"/>
      <c r="Z127" s="8"/>
      <c r="AA127" s="8"/>
      <c r="AB127" s="8"/>
    </row>
    <row r="128" spans="1:28" x14ac:dyDescent="0.25">
      <c r="A128" s="160" t="b">
        <v>0</v>
      </c>
      <c r="B128" s="7">
        <f t="shared" ref="B128:B149" si="16">ROW()-1</f>
        <v>127</v>
      </c>
      <c r="C128" s="27" t="e">
        <f>_xlfn.XLOOKUP($D128,Tab_Process_TCs[Process_Name],Tab_Process_TCs[Process_ID],,0,)</f>
        <v>#N/A</v>
      </c>
      <c r="D128" s="155" t="s">
        <v>31</v>
      </c>
      <c r="E128" s="155" t="s">
        <v>31</v>
      </c>
      <c r="F128" s="27" t="e">
        <f>_xlfn.XLOOKUP($D128,Tab_Process_TCs[Process_Name],Tab_Process_TCs[TC?],,0,)</f>
        <v>#N/A</v>
      </c>
      <c r="G128" s="27" t="e">
        <f>_xlfn.XLOOKUP($D128,Tab_Process_TCs[Process_Name],Tab_Process_TCs[TC_Type],,0,)</f>
        <v>#N/A</v>
      </c>
      <c r="H128" s="27" t="e">
        <f>_xlfn.XLOOKUP($D128,Tab_Process_TCs[Process_Name],Tab_Process_TCs[Process_Logic],,0,)</f>
        <v>#N/A</v>
      </c>
      <c r="I128" s="7" t="str">
        <f>_xlfn.XLOOKUP($E128,Tab_Def_Flows[Flow_Name],Tab_Def_Flows[Flow_ID],,0,1)</f>
        <v>F__</v>
      </c>
      <c r="J128" s="8"/>
      <c r="K128" s="22" t="str">
        <f t="shared" si="10"/>
        <v>TC_material_F__</v>
      </c>
      <c r="L128" s="158"/>
      <c r="M128" s="22" t="str">
        <f t="shared" si="11"/>
        <v>TC_WC_F__</v>
      </c>
      <c r="N128" s="158"/>
      <c r="O128" s="22" t="str">
        <f t="shared" si="12"/>
        <v>TC_DM_F__</v>
      </c>
      <c r="P128" s="158"/>
      <c r="Q128" s="22" t="str">
        <f t="shared" si="13"/>
        <v>TC_CC_F__</v>
      </c>
      <c r="R128" s="8"/>
      <c r="S128" s="7" t="e">
        <f>_xlfn.XLOOKUP($D128,#REF!,#REF!,,0,)</f>
        <v>#REF!</v>
      </c>
      <c r="T128" s="22" t="str">
        <f>Tab_Process_TCs2527[[#This Row],[Flow_ID]]</f>
        <v>F__</v>
      </c>
      <c r="U128" s="22" t="e">
        <f t="shared" ref="U128:U149" si="17">"TC"&amp;"_"&amp;RIGHT(S128,5)</f>
        <v>#REF!</v>
      </c>
      <c r="V128" s="29"/>
      <c r="W128" s="32" t="e">
        <f>Tab_Process_TCs2527[[#This Row],[TC O_6_'[%']]]+#REF!+#REF!+#REF!+#REF!+#REF!</f>
        <v>#REF!</v>
      </c>
      <c r="X128" s="8"/>
      <c r="Y128" s="8"/>
      <c r="Z128" s="8"/>
      <c r="AA128" s="8"/>
      <c r="AB128" s="8"/>
    </row>
    <row r="129" spans="1:28" x14ac:dyDescent="0.25">
      <c r="A129" s="160" t="b">
        <v>0</v>
      </c>
      <c r="B129" s="7">
        <f t="shared" si="16"/>
        <v>128</v>
      </c>
      <c r="C129" s="27" t="e">
        <f>_xlfn.XLOOKUP($D129,Tab_Process_TCs[Process_Name],Tab_Process_TCs[Process_ID],,0,)</f>
        <v>#N/A</v>
      </c>
      <c r="D129" s="155" t="s">
        <v>31</v>
      </c>
      <c r="E129" s="155" t="s">
        <v>31</v>
      </c>
      <c r="F129" s="27" t="e">
        <f>_xlfn.XLOOKUP($D129,Tab_Process_TCs[Process_Name],Tab_Process_TCs[TC?],,0,)</f>
        <v>#N/A</v>
      </c>
      <c r="G129" s="27" t="e">
        <f>_xlfn.XLOOKUP($D129,Tab_Process_TCs[Process_Name],Tab_Process_TCs[TC_Type],,0,)</f>
        <v>#N/A</v>
      </c>
      <c r="H129" s="27" t="e">
        <f>_xlfn.XLOOKUP($D129,Tab_Process_TCs[Process_Name],Tab_Process_TCs[Process_Logic],,0,)</f>
        <v>#N/A</v>
      </c>
      <c r="I129" s="7" t="str">
        <f>_xlfn.XLOOKUP($E129,Tab_Def_Flows[Flow_Name],Tab_Def_Flows[Flow_ID],,0,1)</f>
        <v>F__</v>
      </c>
      <c r="J129" s="8"/>
      <c r="K129" s="22" t="str">
        <f t="shared" si="10"/>
        <v>TC_material_F__</v>
      </c>
      <c r="L129" s="158"/>
      <c r="M129" s="22" t="str">
        <f t="shared" si="11"/>
        <v>TC_WC_F__</v>
      </c>
      <c r="N129" s="158"/>
      <c r="O129" s="22" t="str">
        <f t="shared" si="12"/>
        <v>TC_DM_F__</v>
      </c>
      <c r="P129" s="158"/>
      <c r="Q129" s="22" t="str">
        <f t="shared" si="13"/>
        <v>TC_CC_F__</v>
      </c>
      <c r="R129" s="8"/>
      <c r="S129" s="7" t="e">
        <f>_xlfn.XLOOKUP($D129,#REF!,#REF!,,0,)</f>
        <v>#REF!</v>
      </c>
      <c r="T129" s="22" t="str">
        <f>Tab_Process_TCs2527[[#This Row],[Flow_ID]]</f>
        <v>F__</v>
      </c>
      <c r="U129" s="22" t="e">
        <f t="shared" si="17"/>
        <v>#REF!</v>
      </c>
      <c r="V129" s="29"/>
      <c r="W129" s="32" t="e">
        <f>Tab_Process_TCs2527[[#This Row],[TC O_6_'[%']]]+#REF!+#REF!+#REF!+#REF!+#REF!</f>
        <v>#REF!</v>
      </c>
      <c r="X129" s="8"/>
      <c r="Y129" s="8"/>
      <c r="Z129" s="8"/>
      <c r="AA129" s="8"/>
      <c r="AB129" s="8"/>
    </row>
    <row r="130" spans="1:28" x14ac:dyDescent="0.25">
      <c r="A130" s="160" t="b">
        <v>0</v>
      </c>
      <c r="B130" s="7">
        <f t="shared" si="16"/>
        <v>129</v>
      </c>
      <c r="C130" s="27" t="e">
        <f>_xlfn.XLOOKUP($D130,Tab_Process_TCs[Process_Name],Tab_Process_TCs[Process_ID],,0,)</f>
        <v>#N/A</v>
      </c>
      <c r="D130" s="155" t="s">
        <v>31</v>
      </c>
      <c r="E130" s="155" t="s">
        <v>31</v>
      </c>
      <c r="F130" s="27" t="e">
        <f>_xlfn.XLOOKUP($D130,Tab_Process_TCs[Process_Name],Tab_Process_TCs[TC?],,0,)</f>
        <v>#N/A</v>
      </c>
      <c r="G130" s="27" t="e">
        <f>_xlfn.XLOOKUP($D130,Tab_Process_TCs[Process_Name],Tab_Process_TCs[TC_Type],,0,)</f>
        <v>#N/A</v>
      </c>
      <c r="H130" s="27" t="e">
        <f>_xlfn.XLOOKUP($D130,Tab_Process_TCs[Process_Name],Tab_Process_TCs[Process_Logic],,0,)</f>
        <v>#N/A</v>
      </c>
      <c r="I130" s="7" t="str">
        <f>_xlfn.XLOOKUP($E130,Tab_Def_Flows[Flow_Name],Tab_Def_Flows[Flow_ID],,0,1)</f>
        <v>F__</v>
      </c>
      <c r="J130" s="8"/>
      <c r="K130" s="22" t="str">
        <f t="shared" si="10"/>
        <v>TC_material_F__</v>
      </c>
      <c r="L130" s="158"/>
      <c r="M130" s="22" t="str">
        <f t="shared" si="11"/>
        <v>TC_WC_F__</v>
      </c>
      <c r="N130" s="158"/>
      <c r="O130" s="22" t="str">
        <f t="shared" si="12"/>
        <v>TC_DM_F__</v>
      </c>
      <c r="P130" s="158"/>
      <c r="Q130" s="22" t="str">
        <f t="shared" si="13"/>
        <v>TC_CC_F__</v>
      </c>
      <c r="R130" s="8"/>
      <c r="S130" s="7" t="e">
        <f>_xlfn.XLOOKUP($D130,#REF!,#REF!,,0,)</f>
        <v>#REF!</v>
      </c>
      <c r="T130" s="22" t="str">
        <f>Tab_Process_TCs2527[[#This Row],[Flow_ID]]</f>
        <v>F__</v>
      </c>
      <c r="U130" s="22" t="e">
        <f t="shared" si="17"/>
        <v>#REF!</v>
      </c>
      <c r="V130" s="29"/>
      <c r="W130" s="32" t="e">
        <f>Tab_Process_TCs2527[[#This Row],[TC O_6_'[%']]]+#REF!+#REF!+#REF!+#REF!+#REF!</f>
        <v>#REF!</v>
      </c>
      <c r="X130" s="8"/>
      <c r="Y130" s="8"/>
      <c r="Z130" s="8"/>
      <c r="AA130" s="8"/>
      <c r="AB130" s="8"/>
    </row>
    <row r="131" spans="1:28" x14ac:dyDescent="0.25">
      <c r="A131" s="160" t="b">
        <v>0</v>
      </c>
      <c r="B131" s="7">
        <f t="shared" si="16"/>
        <v>130</v>
      </c>
      <c r="C131" s="27" t="e">
        <f>_xlfn.XLOOKUP($D131,Tab_Process_TCs[Process_Name],Tab_Process_TCs[Process_ID],,0,)</f>
        <v>#N/A</v>
      </c>
      <c r="D131" s="155" t="s">
        <v>31</v>
      </c>
      <c r="E131" s="155" t="s">
        <v>31</v>
      </c>
      <c r="F131" s="27" t="e">
        <f>_xlfn.XLOOKUP($D131,Tab_Process_TCs[Process_Name],Tab_Process_TCs[TC?],,0,)</f>
        <v>#N/A</v>
      </c>
      <c r="G131" s="27" t="e">
        <f>_xlfn.XLOOKUP($D131,Tab_Process_TCs[Process_Name],Tab_Process_TCs[TC_Type],,0,)</f>
        <v>#N/A</v>
      </c>
      <c r="H131" s="27" t="e">
        <f>_xlfn.XLOOKUP($D131,Tab_Process_TCs[Process_Name],Tab_Process_TCs[Process_Logic],,0,)</f>
        <v>#N/A</v>
      </c>
      <c r="I131" s="7" t="str">
        <f>_xlfn.XLOOKUP($E131,Tab_Def_Flows[Flow_Name],Tab_Def_Flows[Flow_ID],,0,1)</f>
        <v>F__</v>
      </c>
      <c r="J131" s="8"/>
      <c r="K131" s="22" t="str">
        <f t="shared" ref="K131:K149" si="18">"TC_material"&amp;"_"&amp;RIGHT(I131,5)</f>
        <v>TC_material_F__</v>
      </c>
      <c r="L131" s="158"/>
      <c r="M131" s="22" t="str">
        <f t="shared" ref="M131:M149" si="19">"TC_WC"&amp;"_"&amp;RIGHT(I131,5)</f>
        <v>TC_WC_F__</v>
      </c>
      <c r="N131" s="158"/>
      <c r="O131" s="22" t="str">
        <f t="shared" ref="O131:O149" si="20">"TC_DM"&amp;"_"&amp;RIGHT(I131,5)</f>
        <v>TC_DM_F__</v>
      </c>
      <c r="P131" s="158"/>
      <c r="Q131" s="22" t="str">
        <f t="shared" ref="Q131:Q149" si="21">"TC_CC"&amp;"_"&amp;RIGHT(I131,5)</f>
        <v>TC_CC_F__</v>
      </c>
      <c r="R131" s="8"/>
      <c r="S131" s="7" t="e">
        <f>_xlfn.XLOOKUP($D131,#REF!,#REF!,,0,)</f>
        <v>#REF!</v>
      </c>
      <c r="T131" s="22" t="str">
        <f>Tab_Process_TCs2527[[#This Row],[Flow_ID]]</f>
        <v>F__</v>
      </c>
      <c r="U131" s="22" t="e">
        <f t="shared" si="17"/>
        <v>#REF!</v>
      </c>
      <c r="V131" s="29"/>
      <c r="W131" s="32" t="e">
        <f>Tab_Process_TCs2527[[#This Row],[TC O_6_'[%']]]+#REF!+#REF!+#REF!+#REF!+#REF!</f>
        <v>#REF!</v>
      </c>
      <c r="X131" s="8"/>
      <c r="Y131" s="8"/>
      <c r="Z131" s="8"/>
      <c r="AA131" s="8"/>
      <c r="AB131" s="8"/>
    </row>
    <row r="132" spans="1:28" x14ac:dyDescent="0.25">
      <c r="A132" s="160" t="b">
        <v>0</v>
      </c>
      <c r="B132" s="7">
        <f t="shared" si="16"/>
        <v>131</v>
      </c>
      <c r="C132" s="27" t="e">
        <f>_xlfn.XLOOKUP($D132,Tab_Process_TCs[Process_Name],Tab_Process_TCs[Process_ID],,0,)</f>
        <v>#N/A</v>
      </c>
      <c r="D132" s="155" t="s">
        <v>31</v>
      </c>
      <c r="E132" s="155" t="s">
        <v>31</v>
      </c>
      <c r="F132" s="27" t="e">
        <f>_xlfn.XLOOKUP($D132,Tab_Process_TCs[Process_Name],Tab_Process_TCs[TC?],,0,)</f>
        <v>#N/A</v>
      </c>
      <c r="G132" s="27" t="e">
        <f>_xlfn.XLOOKUP($D132,Tab_Process_TCs[Process_Name],Tab_Process_TCs[TC_Type],,0,)</f>
        <v>#N/A</v>
      </c>
      <c r="H132" s="27" t="e">
        <f>_xlfn.XLOOKUP($D132,Tab_Process_TCs[Process_Name],Tab_Process_TCs[Process_Logic],,0,)</f>
        <v>#N/A</v>
      </c>
      <c r="I132" s="7" t="str">
        <f>_xlfn.XLOOKUP($E132,Tab_Def_Flows[Flow_Name],Tab_Def_Flows[Flow_ID],,0,1)</f>
        <v>F__</v>
      </c>
      <c r="J132" s="8"/>
      <c r="K132" s="22" t="str">
        <f t="shared" si="18"/>
        <v>TC_material_F__</v>
      </c>
      <c r="L132" s="158"/>
      <c r="M132" s="22" t="str">
        <f t="shared" si="19"/>
        <v>TC_WC_F__</v>
      </c>
      <c r="N132" s="158"/>
      <c r="O132" s="22" t="str">
        <f t="shared" si="20"/>
        <v>TC_DM_F__</v>
      </c>
      <c r="P132" s="158"/>
      <c r="Q132" s="22" t="str">
        <f t="shared" si="21"/>
        <v>TC_CC_F__</v>
      </c>
      <c r="R132" s="8"/>
      <c r="S132" s="7" t="e">
        <f>_xlfn.XLOOKUP($D132,#REF!,#REF!,,0,)</f>
        <v>#REF!</v>
      </c>
      <c r="T132" s="22" t="str">
        <f>Tab_Process_TCs2527[[#This Row],[Flow_ID]]</f>
        <v>F__</v>
      </c>
      <c r="U132" s="22" t="e">
        <f t="shared" si="17"/>
        <v>#REF!</v>
      </c>
      <c r="V132" s="29"/>
      <c r="W132" s="32" t="e">
        <f>Tab_Process_TCs2527[[#This Row],[TC O_6_'[%']]]+#REF!+#REF!+#REF!+#REF!+#REF!</f>
        <v>#REF!</v>
      </c>
      <c r="X132" s="8"/>
      <c r="Y132" s="8"/>
      <c r="Z132" s="8"/>
      <c r="AA132" s="8"/>
      <c r="AB132" s="8"/>
    </row>
    <row r="133" spans="1:28" x14ac:dyDescent="0.25">
      <c r="A133" s="160" t="b">
        <v>0</v>
      </c>
      <c r="B133" s="7">
        <f t="shared" si="16"/>
        <v>132</v>
      </c>
      <c r="C133" s="27" t="e">
        <f>_xlfn.XLOOKUP($D133,Tab_Process_TCs[Process_Name],Tab_Process_TCs[Process_ID],,0,)</f>
        <v>#N/A</v>
      </c>
      <c r="D133" s="155" t="s">
        <v>31</v>
      </c>
      <c r="E133" s="155" t="s">
        <v>31</v>
      </c>
      <c r="F133" s="27" t="e">
        <f>_xlfn.XLOOKUP($D133,Tab_Process_TCs[Process_Name],Tab_Process_TCs[TC?],,0,)</f>
        <v>#N/A</v>
      </c>
      <c r="G133" s="27" t="e">
        <f>_xlfn.XLOOKUP($D133,Tab_Process_TCs[Process_Name],Tab_Process_TCs[TC_Type],,0,)</f>
        <v>#N/A</v>
      </c>
      <c r="H133" s="27" t="e">
        <f>_xlfn.XLOOKUP($D133,Tab_Process_TCs[Process_Name],Tab_Process_TCs[Process_Logic],,0,)</f>
        <v>#N/A</v>
      </c>
      <c r="I133" s="7" t="str">
        <f>_xlfn.XLOOKUP($E133,Tab_Def_Flows[Flow_Name],Tab_Def_Flows[Flow_ID],,0,1)</f>
        <v>F__</v>
      </c>
      <c r="J133" s="8"/>
      <c r="K133" s="22" t="str">
        <f t="shared" si="18"/>
        <v>TC_material_F__</v>
      </c>
      <c r="L133" s="158"/>
      <c r="M133" s="22" t="str">
        <f t="shared" si="19"/>
        <v>TC_WC_F__</v>
      </c>
      <c r="N133" s="158"/>
      <c r="O133" s="22" t="str">
        <f t="shared" si="20"/>
        <v>TC_DM_F__</v>
      </c>
      <c r="P133" s="158"/>
      <c r="Q133" s="22" t="str">
        <f t="shared" si="21"/>
        <v>TC_CC_F__</v>
      </c>
      <c r="R133" s="8"/>
      <c r="S133" s="7" t="e">
        <f>_xlfn.XLOOKUP($D133,#REF!,#REF!,,0,)</f>
        <v>#REF!</v>
      </c>
      <c r="T133" s="22" t="str">
        <f>Tab_Process_TCs2527[[#This Row],[Flow_ID]]</f>
        <v>F__</v>
      </c>
      <c r="U133" s="22" t="e">
        <f t="shared" si="17"/>
        <v>#REF!</v>
      </c>
      <c r="V133" s="29"/>
      <c r="W133" s="32" t="e">
        <f>Tab_Process_TCs2527[[#This Row],[TC O_6_'[%']]]+#REF!+#REF!+#REF!+#REF!+#REF!</f>
        <v>#REF!</v>
      </c>
      <c r="X133" s="8"/>
      <c r="Y133" s="8"/>
      <c r="Z133" s="8"/>
      <c r="AA133" s="8"/>
      <c r="AB133" s="8"/>
    </row>
    <row r="134" spans="1:28" x14ac:dyDescent="0.25">
      <c r="A134" s="160" t="b">
        <v>0</v>
      </c>
      <c r="B134" s="7">
        <f t="shared" si="16"/>
        <v>133</v>
      </c>
      <c r="C134" s="27" t="e">
        <f>_xlfn.XLOOKUP($D134,Tab_Process_TCs[Process_Name],Tab_Process_TCs[Process_ID],,0,)</f>
        <v>#N/A</v>
      </c>
      <c r="D134" s="155" t="s">
        <v>31</v>
      </c>
      <c r="E134" s="155" t="s">
        <v>31</v>
      </c>
      <c r="F134" s="27" t="e">
        <f>_xlfn.XLOOKUP($D134,Tab_Process_TCs[Process_Name],Tab_Process_TCs[TC?],,0,)</f>
        <v>#N/A</v>
      </c>
      <c r="G134" s="27" t="e">
        <f>_xlfn.XLOOKUP($D134,Tab_Process_TCs[Process_Name],Tab_Process_TCs[TC_Type],,0,)</f>
        <v>#N/A</v>
      </c>
      <c r="H134" s="27" t="e">
        <f>_xlfn.XLOOKUP($D134,Tab_Process_TCs[Process_Name],Tab_Process_TCs[Process_Logic],,0,)</f>
        <v>#N/A</v>
      </c>
      <c r="I134" s="7" t="str">
        <f>_xlfn.XLOOKUP($E134,Tab_Def_Flows[Flow_Name],Tab_Def_Flows[Flow_ID],,0,1)</f>
        <v>F__</v>
      </c>
      <c r="J134" s="8"/>
      <c r="K134" s="22" t="str">
        <f t="shared" si="18"/>
        <v>TC_material_F__</v>
      </c>
      <c r="L134" s="158"/>
      <c r="M134" s="22" t="str">
        <f t="shared" si="19"/>
        <v>TC_WC_F__</v>
      </c>
      <c r="N134" s="158"/>
      <c r="O134" s="22" t="str">
        <f t="shared" si="20"/>
        <v>TC_DM_F__</v>
      </c>
      <c r="P134" s="158"/>
      <c r="Q134" s="22" t="str">
        <f t="shared" si="21"/>
        <v>TC_CC_F__</v>
      </c>
      <c r="R134" s="8"/>
      <c r="S134" s="7" t="e">
        <f>_xlfn.XLOOKUP($D134,#REF!,#REF!,,0,)</f>
        <v>#REF!</v>
      </c>
      <c r="T134" s="22" t="str">
        <f>Tab_Process_TCs2527[[#This Row],[Flow_ID]]</f>
        <v>F__</v>
      </c>
      <c r="U134" s="22" t="e">
        <f t="shared" si="17"/>
        <v>#REF!</v>
      </c>
      <c r="V134" s="29"/>
      <c r="W134" s="32" t="e">
        <f>Tab_Process_TCs2527[[#This Row],[TC O_6_'[%']]]+#REF!+#REF!+#REF!+#REF!+#REF!</f>
        <v>#REF!</v>
      </c>
      <c r="X134" s="8"/>
      <c r="Y134" s="8"/>
      <c r="Z134" s="8"/>
      <c r="AA134" s="8"/>
      <c r="AB134" s="8"/>
    </row>
    <row r="135" spans="1:28" x14ac:dyDescent="0.25">
      <c r="A135" s="160" t="b">
        <v>0</v>
      </c>
      <c r="B135" s="7">
        <f t="shared" si="16"/>
        <v>134</v>
      </c>
      <c r="C135" s="27" t="e">
        <f>_xlfn.XLOOKUP($D135,Tab_Process_TCs[Process_Name],Tab_Process_TCs[Process_ID],,0,)</f>
        <v>#N/A</v>
      </c>
      <c r="D135" s="155" t="s">
        <v>31</v>
      </c>
      <c r="E135" s="155" t="s">
        <v>31</v>
      </c>
      <c r="F135" s="27" t="e">
        <f>_xlfn.XLOOKUP($D135,Tab_Process_TCs[Process_Name],Tab_Process_TCs[TC?],,0,)</f>
        <v>#N/A</v>
      </c>
      <c r="G135" s="27" t="e">
        <f>_xlfn.XLOOKUP($D135,Tab_Process_TCs[Process_Name],Tab_Process_TCs[TC_Type],,0,)</f>
        <v>#N/A</v>
      </c>
      <c r="H135" s="27" t="e">
        <f>_xlfn.XLOOKUP($D135,Tab_Process_TCs[Process_Name],Tab_Process_TCs[Process_Logic],,0,)</f>
        <v>#N/A</v>
      </c>
      <c r="I135" s="7" t="str">
        <f>_xlfn.XLOOKUP($E135,Tab_Def_Flows[Flow_Name],Tab_Def_Flows[Flow_ID],,0,1)</f>
        <v>F__</v>
      </c>
      <c r="J135" s="8"/>
      <c r="K135" s="22" t="str">
        <f t="shared" si="18"/>
        <v>TC_material_F__</v>
      </c>
      <c r="L135" s="158"/>
      <c r="M135" s="22" t="str">
        <f t="shared" si="19"/>
        <v>TC_WC_F__</v>
      </c>
      <c r="N135" s="158"/>
      <c r="O135" s="22" t="str">
        <f t="shared" si="20"/>
        <v>TC_DM_F__</v>
      </c>
      <c r="P135" s="158"/>
      <c r="Q135" s="22" t="str">
        <f t="shared" si="21"/>
        <v>TC_CC_F__</v>
      </c>
      <c r="R135" s="8"/>
      <c r="S135" s="7" t="e">
        <f>_xlfn.XLOOKUP($D135,#REF!,#REF!,,0,)</f>
        <v>#REF!</v>
      </c>
      <c r="T135" s="22" t="str">
        <f>Tab_Process_TCs2527[[#This Row],[Flow_ID]]</f>
        <v>F__</v>
      </c>
      <c r="U135" s="22" t="e">
        <f t="shared" si="17"/>
        <v>#REF!</v>
      </c>
      <c r="V135" s="29"/>
      <c r="W135" s="32" t="e">
        <f>Tab_Process_TCs2527[[#This Row],[TC O_6_'[%']]]+#REF!+#REF!+#REF!+#REF!+#REF!</f>
        <v>#REF!</v>
      </c>
      <c r="X135" s="8"/>
      <c r="Y135" s="8"/>
      <c r="Z135" s="8"/>
      <c r="AA135" s="8"/>
      <c r="AB135" s="8"/>
    </row>
    <row r="136" spans="1:28" x14ac:dyDescent="0.25">
      <c r="A136" s="160" t="b">
        <v>0</v>
      </c>
      <c r="B136" s="7">
        <f t="shared" si="16"/>
        <v>135</v>
      </c>
      <c r="C136" s="27" t="e">
        <f>_xlfn.XLOOKUP($D136,Tab_Process_TCs[Process_Name],Tab_Process_TCs[Process_ID],,0,)</f>
        <v>#N/A</v>
      </c>
      <c r="D136" s="155" t="s">
        <v>31</v>
      </c>
      <c r="E136" s="155" t="s">
        <v>31</v>
      </c>
      <c r="F136" s="27" t="e">
        <f>_xlfn.XLOOKUP($D136,Tab_Process_TCs[Process_Name],Tab_Process_TCs[TC?],,0,)</f>
        <v>#N/A</v>
      </c>
      <c r="G136" s="27" t="e">
        <f>_xlfn.XLOOKUP($D136,Tab_Process_TCs[Process_Name],Tab_Process_TCs[TC_Type],,0,)</f>
        <v>#N/A</v>
      </c>
      <c r="H136" s="27" t="e">
        <f>_xlfn.XLOOKUP($D136,Tab_Process_TCs[Process_Name],Tab_Process_TCs[Process_Logic],,0,)</f>
        <v>#N/A</v>
      </c>
      <c r="I136" s="7" t="str">
        <f>_xlfn.XLOOKUP($E136,Tab_Def_Flows[Flow_Name],Tab_Def_Flows[Flow_ID],,0,1)</f>
        <v>F__</v>
      </c>
      <c r="J136" s="8"/>
      <c r="K136" s="22" t="str">
        <f t="shared" si="18"/>
        <v>TC_material_F__</v>
      </c>
      <c r="L136" s="158"/>
      <c r="M136" s="22" t="str">
        <f t="shared" si="19"/>
        <v>TC_WC_F__</v>
      </c>
      <c r="N136" s="158"/>
      <c r="O136" s="22" t="str">
        <f t="shared" si="20"/>
        <v>TC_DM_F__</v>
      </c>
      <c r="P136" s="158"/>
      <c r="Q136" s="22" t="str">
        <f t="shared" si="21"/>
        <v>TC_CC_F__</v>
      </c>
      <c r="R136" s="8"/>
      <c r="S136" s="7" t="e">
        <f>_xlfn.XLOOKUP($D136,#REF!,#REF!,,0,)</f>
        <v>#REF!</v>
      </c>
      <c r="T136" s="22" t="str">
        <f>Tab_Process_TCs2527[[#This Row],[Flow_ID]]</f>
        <v>F__</v>
      </c>
      <c r="U136" s="22" t="e">
        <f t="shared" si="17"/>
        <v>#REF!</v>
      </c>
      <c r="V136" s="29"/>
      <c r="W136" s="32" t="e">
        <f>Tab_Process_TCs2527[[#This Row],[TC O_6_'[%']]]+#REF!+#REF!+#REF!+#REF!+#REF!</f>
        <v>#REF!</v>
      </c>
      <c r="X136" s="8"/>
      <c r="Y136" s="8"/>
      <c r="Z136" s="8"/>
      <c r="AA136" s="8"/>
      <c r="AB136" s="8"/>
    </row>
    <row r="137" spans="1:28" x14ac:dyDescent="0.25">
      <c r="A137" s="160" t="b">
        <v>0</v>
      </c>
      <c r="B137" s="7">
        <f t="shared" si="16"/>
        <v>136</v>
      </c>
      <c r="C137" s="27" t="e">
        <f>_xlfn.XLOOKUP($D137,Tab_Process_TCs[Process_Name],Tab_Process_TCs[Process_ID],,0,)</f>
        <v>#N/A</v>
      </c>
      <c r="D137" s="155" t="s">
        <v>31</v>
      </c>
      <c r="E137" s="155" t="s">
        <v>31</v>
      </c>
      <c r="F137" s="27" t="e">
        <f>_xlfn.XLOOKUP($D137,Tab_Process_TCs[Process_Name],Tab_Process_TCs[TC?],,0,)</f>
        <v>#N/A</v>
      </c>
      <c r="G137" s="27" t="e">
        <f>_xlfn.XLOOKUP($D137,Tab_Process_TCs[Process_Name],Tab_Process_TCs[TC_Type],,0,)</f>
        <v>#N/A</v>
      </c>
      <c r="H137" s="27" t="e">
        <f>_xlfn.XLOOKUP($D137,Tab_Process_TCs[Process_Name],Tab_Process_TCs[Process_Logic],,0,)</f>
        <v>#N/A</v>
      </c>
      <c r="I137" s="7" t="str">
        <f>_xlfn.XLOOKUP($E137,Tab_Def_Flows[Flow_Name],Tab_Def_Flows[Flow_ID],,0,1)</f>
        <v>F__</v>
      </c>
      <c r="J137" s="8"/>
      <c r="K137" s="22" t="str">
        <f t="shared" si="18"/>
        <v>TC_material_F__</v>
      </c>
      <c r="L137" s="158"/>
      <c r="M137" s="22" t="str">
        <f t="shared" si="19"/>
        <v>TC_WC_F__</v>
      </c>
      <c r="N137" s="158"/>
      <c r="O137" s="22" t="str">
        <f t="shared" si="20"/>
        <v>TC_DM_F__</v>
      </c>
      <c r="P137" s="158"/>
      <c r="Q137" s="22" t="str">
        <f t="shared" si="21"/>
        <v>TC_CC_F__</v>
      </c>
      <c r="R137" s="8"/>
      <c r="S137" s="7" t="e">
        <f>_xlfn.XLOOKUP($D137,#REF!,#REF!,,0,)</f>
        <v>#REF!</v>
      </c>
      <c r="T137" s="22" t="str">
        <f>Tab_Process_TCs2527[[#This Row],[Flow_ID]]</f>
        <v>F__</v>
      </c>
      <c r="U137" s="22" t="e">
        <f t="shared" si="17"/>
        <v>#REF!</v>
      </c>
      <c r="V137" s="29"/>
      <c r="W137" s="32" t="e">
        <f>Tab_Process_TCs2527[[#This Row],[TC O_6_'[%']]]+#REF!+#REF!+#REF!+#REF!+#REF!</f>
        <v>#REF!</v>
      </c>
      <c r="X137" s="8"/>
      <c r="Y137" s="8"/>
      <c r="Z137" s="8"/>
      <c r="AA137" s="8"/>
      <c r="AB137" s="8"/>
    </row>
    <row r="138" spans="1:28" x14ac:dyDescent="0.25">
      <c r="A138" s="160" t="b">
        <v>0</v>
      </c>
      <c r="B138" s="7">
        <f t="shared" si="16"/>
        <v>137</v>
      </c>
      <c r="C138" s="27" t="e">
        <f>_xlfn.XLOOKUP($D138,Tab_Process_TCs[Process_Name],Tab_Process_TCs[Process_ID],,0,)</f>
        <v>#N/A</v>
      </c>
      <c r="D138" s="155" t="s">
        <v>31</v>
      </c>
      <c r="E138" s="155" t="s">
        <v>31</v>
      </c>
      <c r="F138" s="27" t="e">
        <f>_xlfn.XLOOKUP($D138,Tab_Process_TCs[Process_Name],Tab_Process_TCs[TC?],,0,)</f>
        <v>#N/A</v>
      </c>
      <c r="G138" s="27" t="e">
        <f>_xlfn.XLOOKUP($D138,Tab_Process_TCs[Process_Name],Tab_Process_TCs[TC_Type],,0,)</f>
        <v>#N/A</v>
      </c>
      <c r="H138" s="27" t="e">
        <f>_xlfn.XLOOKUP($D138,Tab_Process_TCs[Process_Name],Tab_Process_TCs[Process_Logic],,0,)</f>
        <v>#N/A</v>
      </c>
      <c r="I138" s="7" t="str">
        <f>_xlfn.XLOOKUP($E138,Tab_Def_Flows[Flow_Name],Tab_Def_Flows[Flow_ID],,0,1)</f>
        <v>F__</v>
      </c>
      <c r="J138" s="8"/>
      <c r="K138" s="22" t="str">
        <f t="shared" si="18"/>
        <v>TC_material_F__</v>
      </c>
      <c r="L138" s="158"/>
      <c r="M138" s="22" t="str">
        <f t="shared" si="19"/>
        <v>TC_WC_F__</v>
      </c>
      <c r="N138" s="158"/>
      <c r="O138" s="22" t="str">
        <f t="shared" si="20"/>
        <v>TC_DM_F__</v>
      </c>
      <c r="P138" s="158"/>
      <c r="Q138" s="22" t="str">
        <f t="shared" si="21"/>
        <v>TC_CC_F__</v>
      </c>
      <c r="R138" s="8"/>
      <c r="S138" s="7" t="e">
        <f>_xlfn.XLOOKUP($D138,#REF!,#REF!,,0,)</f>
        <v>#REF!</v>
      </c>
      <c r="T138" s="22" t="str">
        <f>Tab_Process_TCs2527[[#This Row],[Flow_ID]]</f>
        <v>F__</v>
      </c>
      <c r="U138" s="22" t="e">
        <f t="shared" si="17"/>
        <v>#REF!</v>
      </c>
      <c r="V138" s="29"/>
      <c r="W138" s="32" t="e">
        <f>Tab_Process_TCs2527[[#This Row],[TC O_6_'[%']]]+#REF!+#REF!+#REF!+#REF!+#REF!</f>
        <v>#REF!</v>
      </c>
      <c r="X138" s="8"/>
      <c r="Y138" s="8"/>
      <c r="Z138" s="8"/>
      <c r="AA138" s="8"/>
      <c r="AB138" s="8"/>
    </row>
    <row r="139" spans="1:28" x14ac:dyDescent="0.25">
      <c r="A139" s="160" t="b">
        <v>0</v>
      </c>
      <c r="B139" s="7">
        <f t="shared" si="16"/>
        <v>138</v>
      </c>
      <c r="C139" s="27" t="e">
        <f>_xlfn.XLOOKUP($D139,Tab_Process_TCs[Process_Name],Tab_Process_TCs[Process_ID],,0,)</f>
        <v>#N/A</v>
      </c>
      <c r="D139" s="155" t="s">
        <v>31</v>
      </c>
      <c r="E139" s="155" t="s">
        <v>31</v>
      </c>
      <c r="F139" s="27" t="e">
        <f>_xlfn.XLOOKUP($D139,Tab_Process_TCs[Process_Name],Tab_Process_TCs[TC?],,0,)</f>
        <v>#N/A</v>
      </c>
      <c r="G139" s="27" t="e">
        <f>_xlfn.XLOOKUP($D139,Tab_Process_TCs[Process_Name],Tab_Process_TCs[TC_Type],,0,)</f>
        <v>#N/A</v>
      </c>
      <c r="H139" s="27" t="e">
        <f>_xlfn.XLOOKUP($D139,Tab_Process_TCs[Process_Name],Tab_Process_TCs[Process_Logic],,0,)</f>
        <v>#N/A</v>
      </c>
      <c r="I139" s="7" t="str">
        <f>_xlfn.XLOOKUP($E139,Tab_Def_Flows[Flow_Name],Tab_Def_Flows[Flow_ID],,0,1)</f>
        <v>F__</v>
      </c>
      <c r="J139" s="8"/>
      <c r="K139" s="22" t="str">
        <f t="shared" si="18"/>
        <v>TC_material_F__</v>
      </c>
      <c r="L139" s="158"/>
      <c r="M139" s="22" t="str">
        <f t="shared" si="19"/>
        <v>TC_WC_F__</v>
      </c>
      <c r="N139" s="158"/>
      <c r="O139" s="22" t="str">
        <f t="shared" si="20"/>
        <v>TC_DM_F__</v>
      </c>
      <c r="P139" s="158"/>
      <c r="Q139" s="22" t="str">
        <f t="shared" si="21"/>
        <v>TC_CC_F__</v>
      </c>
      <c r="R139" s="8"/>
      <c r="S139" s="7" t="e">
        <f>_xlfn.XLOOKUP($D139,#REF!,#REF!,,0,)</f>
        <v>#REF!</v>
      </c>
      <c r="T139" s="22" t="str">
        <f>Tab_Process_TCs2527[[#This Row],[Flow_ID]]</f>
        <v>F__</v>
      </c>
      <c r="U139" s="22" t="e">
        <f t="shared" si="17"/>
        <v>#REF!</v>
      </c>
      <c r="V139" s="29"/>
      <c r="W139" s="32" t="e">
        <f>Tab_Process_TCs2527[[#This Row],[TC O_6_'[%']]]+#REF!+#REF!+#REF!+#REF!+#REF!</f>
        <v>#REF!</v>
      </c>
      <c r="X139" s="8"/>
      <c r="Y139" s="8"/>
      <c r="Z139" s="8"/>
      <c r="AA139" s="8"/>
      <c r="AB139" s="8"/>
    </row>
    <row r="140" spans="1:28" x14ac:dyDescent="0.25">
      <c r="A140" s="160" t="b">
        <v>0</v>
      </c>
      <c r="B140" s="7">
        <f t="shared" si="16"/>
        <v>139</v>
      </c>
      <c r="C140" s="27" t="e">
        <f>_xlfn.XLOOKUP($D140,Tab_Process_TCs[Process_Name],Tab_Process_TCs[Process_ID],,0,)</f>
        <v>#N/A</v>
      </c>
      <c r="D140" s="155" t="s">
        <v>31</v>
      </c>
      <c r="E140" s="155" t="s">
        <v>31</v>
      </c>
      <c r="F140" s="27" t="e">
        <f>_xlfn.XLOOKUP($D140,Tab_Process_TCs[Process_Name],Tab_Process_TCs[TC?],,0,)</f>
        <v>#N/A</v>
      </c>
      <c r="G140" s="27" t="e">
        <f>_xlfn.XLOOKUP($D140,Tab_Process_TCs[Process_Name],Tab_Process_TCs[TC_Type],,0,)</f>
        <v>#N/A</v>
      </c>
      <c r="H140" s="27" t="e">
        <f>_xlfn.XLOOKUP($D140,Tab_Process_TCs[Process_Name],Tab_Process_TCs[Process_Logic],,0,)</f>
        <v>#N/A</v>
      </c>
      <c r="I140" s="7" t="str">
        <f>_xlfn.XLOOKUP($E140,Tab_Def_Flows[Flow_Name],Tab_Def_Flows[Flow_ID],,0,1)</f>
        <v>F__</v>
      </c>
      <c r="J140" s="8"/>
      <c r="K140" s="22" t="str">
        <f t="shared" si="18"/>
        <v>TC_material_F__</v>
      </c>
      <c r="L140" s="158"/>
      <c r="M140" s="22" t="str">
        <f t="shared" si="19"/>
        <v>TC_WC_F__</v>
      </c>
      <c r="N140" s="158"/>
      <c r="O140" s="22" t="str">
        <f t="shared" si="20"/>
        <v>TC_DM_F__</v>
      </c>
      <c r="P140" s="158"/>
      <c r="Q140" s="22" t="str">
        <f t="shared" si="21"/>
        <v>TC_CC_F__</v>
      </c>
      <c r="R140" s="8"/>
      <c r="S140" s="7" t="e">
        <f>_xlfn.XLOOKUP($D140,#REF!,#REF!,,0,)</f>
        <v>#REF!</v>
      </c>
      <c r="T140" s="22" t="str">
        <f>Tab_Process_TCs2527[[#This Row],[Flow_ID]]</f>
        <v>F__</v>
      </c>
      <c r="U140" s="22" t="e">
        <f t="shared" si="17"/>
        <v>#REF!</v>
      </c>
      <c r="V140" s="29"/>
      <c r="W140" s="32" t="e">
        <f>Tab_Process_TCs2527[[#This Row],[TC O_6_'[%']]]+#REF!+#REF!+#REF!+#REF!+#REF!</f>
        <v>#REF!</v>
      </c>
      <c r="X140" s="8"/>
      <c r="Y140" s="8"/>
      <c r="Z140" s="8"/>
      <c r="AA140" s="8"/>
      <c r="AB140" s="8"/>
    </row>
    <row r="141" spans="1:28" x14ac:dyDescent="0.25">
      <c r="A141" s="160" t="b">
        <v>0</v>
      </c>
      <c r="B141" s="7">
        <f t="shared" si="16"/>
        <v>140</v>
      </c>
      <c r="C141" s="27" t="e">
        <f>_xlfn.XLOOKUP($D141,Tab_Process_TCs[Process_Name],Tab_Process_TCs[Process_ID],,0,)</f>
        <v>#N/A</v>
      </c>
      <c r="D141" s="155" t="s">
        <v>31</v>
      </c>
      <c r="E141" s="155" t="s">
        <v>31</v>
      </c>
      <c r="F141" s="27" t="e">
        <f>_xlfn.XLOOKUP($D141,Tab_Process_TCs[Process_Name],Tab_Process_TCs[TC?],,0,)</f>
        <v>#N/A</v>
      </c>
      <c r="G141" s="27" t="e">
        <f>_xlfn.XLOOKUP($D141,Tab_Process_TCs[Process_Name],Tab_Process_TCs[TC_Type],,0,)</f>
        <v>#N/A</v>
      </c>
      <c r="H141" s="27" t="e">
        <f>_xlfn.XLOOKUP($D141,Tab_Process_TCs[Process_Name],Tab_Process_TCs[Process_Logic],,0,)</f>
        <v>#N/A</v>
      </c>
      <c r="I141" s="7" t="str">
        <f>_xlfn.XLOOKUP($E141,Tab_Def_Flows[Flow_Name],Tab_Def_Flows[Flow_ID],,0,1)</f>
        <v>F__</v>
      </c>
      <c r="J141" s="8"/>
      <c r="K141" s="22" t="str">
        <f t="shared" si="18"/>
        <v>TC_material_F__</v>
      </c>
      <c r="L141" s="158"/>
      <c r="M141" s="22" t="str">
        <f t="shared" si="19"/>
        <v>TC_WC_F__</v>
      </c>
      <c r="N141" s="158"/>
      <c r="O141" s="22" t="str">
        <f t="shared" si="20"/>
        <v>TC_DM_F__</v>
      </c>
      <c r="P141" s="158"/>
      <c r="Q141" s="22" t="str">
        <f t="shared" si="21"/>
        <v>TC_CC_F__</v>
      </c>
      <c r="R141" s="8"/>
      <c r="S141" s="7" t="e">
        <f>_xlfn.XLOOKUP($D141,#REF!,#REF!,,0,)</f>
        <v>#REF!</v>
      </c>
      <c r="T141" s="22" t="str">
        <f>Tab_Process_TCs2527[[#This Row],[Flow_ID]]</f>
        <v>F__</v>
      </c>
      <c r="U141" s="22" t="e">
        <f t="shared" si="17"/>
        <v>#REF!</v>
      </c>
      <c r="V141" s="29"/>
      <c r="W141" s="32" t="e">
        <f>Tab_Process_TCs2527[[#This Row],[TC O_6_'[%']]]+#REF!+#REF!+#REF!+#REF!+#REF!</f>
        <v>#REF!</v>
      </c>
      <c r="X141" s="8"/>
      <c r="Y141" s="8"/>
      <c r="Z141" s="8"/>
      <c r="AA141" s="8"/>
      <c r="AB141" s="8"/>
    </row>
    <row r="142" spans="1:28" x14ac:dyDescent="0.25">
      <c r="A142" s="160" t="b">
        <v>0</v>
      </c>
      <c r="B142" s="7">
        <f t="shared" si="16"/>
        <v>141</v>
      </c>
      <c r="C142" s="27" t="e">
        <f>_xlfn.XLOOKUP($D142,Tab_Process_TCs[Process_Name],Tab_Process_TCs[Process_ID],,0,)</f>
        <v>#N/A</v>
      </c>
      <c r="D142" s="155" t="s">
        <v>31</v>
      </c>
      <c r="E142" s="155" t="s">
        <v>31</v>
      </c>
      <c r="F142" s="27" t="e">
        <f>_xlfn.XLOOKUP($D142,Tab_Process_TCs[Process_Name],Tab_Process_TCs[TC?],,0,)</f>
        <v>#N/A</v>
      </c>
      <c r="G142" s="27" t="e">
        <f>_xlfn.XLOOKUP($D142,Tab_Process_TCs[Process_Name],Tab_Process_TCs[TC_Type],,0,)</f>
        <v>#N/A</v>
      </c>
      <c r="H142" s="27" t="e">
        <f>_xlfn.XLOOKUP($D142,Tab_Process_TCs[Process_Name],Tab_Process_TCs[Process_Logic],,0,)</f>
        <v>#N/A</v>
      </c>
      <c r="I142" s="7" t="str">
        <f>_xlfn.XLOOKUP($E142,Tab_Def_Flows[Flow_Name],Tab_Def_Flows[Flow_ID],,0,1)</f>
        <v>F__</v>
      </c>
      <c r="J142" s="8"/>
      <c r="K142" s="22" t="str">
        <f t="shared" si="18"/>
        <v>TC_material_F__</v>
      </c>
      <c r="L142" s="158"/>
      <c r="M142" s="22" t="str">
        <f t="shared" si="19"/>
        <v>TC_WC_F__</v>
      </c>
      <c r="N142" s="158"/>
      <c r="O142" s="22" t="str">
        <f t="shared" si="20"/>
        <v>TC_DM_F__</v>
      </c>
      <c r="P142" s="158"/>
      <c r="Q142" s="22" t="str">
        <f t="shared" si="21"/>
        <v>TC_CC_F__</v>
      </c>
      <c r="R142" s="8"/>
      <c r="S142" s="7" t="e">
        <f>_xlfn.XLOOKUP($D142,#REF!,#REF!,,0,)</f>
        <v>#REF!</v>
      </c>
      <c r="T142" s="22" t="str">
        <f>Tab_Process_TCs2527[[#This Row],[Flow_ID]]</f>
        <v>F__</v>
      </c>
      <c r="U142" s="22" t="e">
        <f t="shared" si="17"/>
        <v>#REF!</v>
      </c>
      <c r="V142" s="29"/>
      <c r="W142" s="32" t="e">
        <f>Tab_Process_TCs2527[[#This Row],[TC O_6_'[%']]]+#REF!+#REF!+#REF!+#REF!+#REF!</f>
        <v>#REF!</v>
      </c>
      <c r="X142" s="8"/>
      <c r="Y142" s="8"/>
      <c r="Z142" s="8"/>
      <c r="AA142" s="8"/>
      <c r="AB142" s="8"/>
    </row>
    <row r="143" spans="1:28" x14ac:dyDescent="0.25">
      <c r="A143" s="160" t="b">
        <v>0</v>
      </c>
      <c r="B143" s="7">
        <f t="shared" si="16"/>
        <v>142</v>
      </c>
      <c r="C143" s="27" t="e">
        <f>_xlfn.XLOOKUP($D143,Tab_Process_TCs[Process_Name],Tab_Process_TCs[Process_ID],,0,)</f>
        <v>#N/A</v>
      </c>
      <c r="D143" s="155" t="s">
        <v>31</v>
      </c>
      <c r="E143" s="155" t="s">
        <v>31</v>
      </c>
      <c r="F143" s="27" t="e">
        <f>_xlfn.XLOOKUP($D143,Tab_Process_TCs[Process_Name],Tab_Process_TCs[TC?],,0,)</f>
        <v>#N/A</v>
      </c>
      <c r="G143" s="27" t="e">
        <f>_xlfn.XLOOKUP($D143,Tab_Process_TCs[Process_Name],Tab_Process_TCs[TC_Type],,0,)</f>
        <v>#N/A</v>
      </c>
      <c r="H143" s="27" t="e">
        <f>_xlfn.XLOOKUP($D143,Tab_Process_TCs[Process_Name],Tab_Process_TCs[Process_Logic],,0,)</f>
        <v>#N/A</v>
      </c>
      <c r="I143" s="7" t="str">
        <f>_xlfn.XLOOKUP($E143,Tab_Def_Flows[Flow_Name],Tab_Def_Flows[Flow_ID],,0,1)</f>
        <v>F__</v>
      </c>
      <c r="J143" s="8"/>
      <c r="K143" s="22" t="str">
        <f t="shared" si="18"/>
        <v>TC_material_F__</v>
      </c>
      <c r="L143" s="158"/>
      <c r="M143" s="22" t="str">
        <f t="shared" si="19"/>
        <v>TC_WC_F__</v>
      </c>
      <c r="N143" s="158"/>
      <c r="O143" s="22" t="str">
        <f t="shared" si="20"/>
        <v>TC_DM_F__</v>
      </c>
      <c r="P143" s="158"/>
      <c r="Q143" s="22" t="str">
        <f t="shared" si="21"/>
        <v>TC_CC_F__</v>
      </c>
      <c r="R143" s="8"/>
      <c r="S143" s="7" t="e">
        <f>_xlfn.XLOOKUP($D143,#REF!,#REF!,,0,)</f>
        <v>#REF!</v>
      </c>
      <c r="T143" s="22" t="str">
        <f>Tab_Process_TCs2527[[#This Row],[Flow_ID]]</f>
        <v>F__</v>
      </c>
      <c r="U143" s="22" t="e">
        <f t="shared" si="17"/>
        <v>#REF!</v>
      </c>
      <c r="V143" s="29"/>
      <c r="W143" s="32" t="e">
        <f>Tab_Process_TCs2527[[#This Row],[TC O_6_'[%']]]+#REF!+#REF!+#REF!+#REF!+#REF!</f>
        <v>#REF!</v>
      </c>
      <c r="X143" s="8"/>
      <c r="Y143" s="8"/>
      <c r="Z143" s="8"/>
      <c r="AA143" s="8"/>
      <c r="AB143" s="8"/>
    </row>
    <row r="144" spans="1:28" x14ac:dyDescent="0.25">
      <c r="A144" s="160" t="b">
        <v>0</v>
      </c>
      <c r="B144" s="7">
        <f t="shared" si="16"/>
        <v>143</v>
      </c>
      <c r="C144" s="27" t="e">
        <f>_xlfn.XLOOKUP($D144,Tab_Process_TCs[Process_Name],Tab_Process_TCs[Process_ID],,0,)</f>
        <v>#N/A</v>
      </c>
      <c r="D144" s="155" t="s">
        <v>31</v>
      </c>
      <c r="E144" s="155" t="s">
        <v>31</v>
      </c>
      <c r="F144" s="27" t="e">
        <f>_xlfn.XLOOKUP($D144,Tab_Process_TCs[Process_Name],Tab_Process_TCs[TC?],,0,)</f>
        <v>#N/A</v>
      </c>
      <c r="G144" s="27" t="e">
        <f>_xlfn.XLOOKUP($D144,Tab_Process_TCs[Process_Name],Tab_Process_TCs[TC_Type],,0,)</f>
        <v>#N/A</v>
      </c>
      <c r="H144" s="27" t="e">
        <f>_xlfn.XLOOKUP($D144,Tab_Process_TCs[Process_Name],Tab_Process_TCs[Process_Logic],,0,)</f>
        <v>#N/A</v>
      </c>
      <c r="I144" s="7" t="str">
        <f>_xlfn.XLOOKUP($E144,Tab_Def_Flows[Flow_Name],Tab_Def_Flows[Flow_ID],,0,1)</f>
        <v>F__</v>
      </c>
      <c r="J144" s="8"/>
      <c r="K144" s="22" t="str">
        <f t="shared" si="18"/>
        <v>TC_material_F__</v>
      </c>
      <c r="L144" s="158"/>
      <c r="M144" s="22" t="str">
        <f t="shared" si="19"/>
        <v>TC_WC_F__</v>
      </c>
      <c r="N144" s="158"/>
      <c r="O144" s="22" t="str">
        <f t="shared" si="20"/>
        <v>TC_DM_F__</v>
      </c>
      <c r="P144" s="158"/>
      <c r="Q144" s="22" t="str">
        <f t="shared" si="21"/>
        <v>TC_CC_F__</v>
      </c>
      <c r="R144" s="8"/>
      <c r="S144" s="7" t="e">
        <f>_xlfn.XLOOKUP($D144,#REF!,#REF!,,0,)</f>
        <v>#REF!</v>
      </c>
      <c r="T144" s="22" t="str">
        <f>Tab_Process_TCs2527[[#This Row],[Flow_ID]]</f>
        <v>F__</v>
      </c>
      <c r="U144" s="22" t="e">
        <f t="shared" si="17"/>
        <v>#REF!</v>
      </c>
      <c r="V144" s="29"/>
      <c r="W144" s="32" t="e">
        <f>Tab_Process_TCs2527[[#This Row],[TC O_6_'[%']]]+#REF!+#REF!+#REF!+#REF!+#REF!</f>
        <v>#REF!</v>
      </c>
      <c r="X144" s="8"/>
      <c r="Y144" s="8"/>
      <c r="Z144" s="8"/>
      <c r="AA144" s="8"/>
      <c r="AB144" s="8"/>
    </row>
    <row r="145" spans="1:28" x14ac:dyDescent="0.25">
      <c r="A145" s="160" t="b">
        <v>0</v>
      </c>
      <c r="B145" s="7">
        <f t="shared" si="16"/>
        <v>144</v>
      </c>
      <c r="C145" s="27" t="e">
        <f>_xlfn.XLOOKUP($D145,Tab_Process_TCs[Process_Name],Tab_Process_TCs[Process_ID],,0,)</f>
        <v>#N/A</v>
      </c>
      <c r="D145" s="155" t="s">
        <v>31</v>
      </c>
      <c r="E145" s="155" t="s">
        <v>31</v>
      </c>
      <c r="F145" s="27" t="e">
        <f>_xlfn.XLOOKUP($D145,Tab_Process_TCs[Process_Name],Tab_Process_TCs[TC?],,0,)</f>
        <v>#N/A</v>
      </c>
      <c r="G145" s="27" t="e">
        <f>_xlfn.XLOOKUP($D145,Tab_Process_TCs[Process_Name],Tab_Process_TCs[TC_Type],,0,)</f>
        <v>#N/A</v>
      </c>
      <c r="H145" s="27" t="e">
        <f>_xlfn.XLOOKUP($D145,Tab_Process_TCs[Process_Name],Tab_Process_TCs[Process_Logic],,0,)</f>
        <v>#N/A</v>
      </c>
      <c r="I145" s="7" t="str">
        <f>_xlfn.XLOOKUP($E145,Tab_Def_Flows[Flow_Name],Tab_Def_Flows[Flow_ID],,0,1)</f>
        <v>F__</v>
      </c>
      <c r="J145" s="8"/>
      <c r="K145" s="22" t="str">
        <f t="shared" si="18"/>
        <v>TC_material_F__</v>
      </c>
      <c r="L145" s="158"/>
      <c r="M145" s="22" t="str">
        <f t="shared" si="19"/>
        <v>TC_WC_F__</v>
      </c>
      <c r="N145" s="158"/>
      <c r="O145" s="22" t="str">
        <f t="shared" si="20"/>
        <v>TC_DM_F__</v>
      </c>
      <c r="P145" s="158"/>
      <c r="Q145" s="22" t="str">
        <f t="shared" si="21"/>
        <v>TC_CC_F__</v>
      </c>
      <c r="R145" s="8"/>
      <c r="S145" s="7" t="e">
        <f>_xlfn.XLOOKUP($D145,#REF!,#REF!,,0,)</f>
        <v>#REF!</v>
      </c>
      <c r="T145" s="22" t="str">
        <f>Tab_Process_TCs2527[[#This Row],[Flow_ID]]</f>
        <v>F__</v>
      </c>
      <c r="U145" s="22" t="e">
        <f t="shared" si="17"/>
        <v>#REF!</v>
      </c>
      <c r="V145" s="29"/>
      <c r="W145" s="32" t="e">
        <f>Tab_Process_TCs2527[[#This Row],[TC O_6_'[%']]]+#REF!+#REF!+#REF!+#REF!+#REF!</f>
        <v>#REF!</v>
      </c>
      <c r="X145" s="8"/>
      <c r="Y145" s="8"/>
      <c r="Z145" s="8"/>
      <c r="AA145" s="8"/>
      <c r="AB145" s="8"/>
    </row>
    <row r="146" spans="1:28" x14ac:dyDescent="0.25">
      <c r="A146" s="160" t="b">
        <v>0</v>
      </c>
      <c r="B146" s="7">
        <f t="shared" si="16"/>
        <v>145</v>
      </c>
      <c r="C146" s="27" t="e">
        <f>_xlfn.XLOOKUP($D146,Tab_Process_TCs[Process_Name],Tab_Process_TCs[Process_ID],,0,)</f>
        <v>#N/A</v>
      </c>
      <c r="D146" s="155" t="s">
        <v>31</v>
      </c>
      <c r="E146" s="155" t="s">
        <v>31</v>
      </c>
      <c r="F146" s="27" t="e">
        <f>_xlfn.XLOOKUP($D146,Tab_Process_TCs[Process_Name],Tab_Process_TCs[TC?],,0,)</f>
        <v>#N/A</v>
      </c>
      <c r="G146" s="27" t="e">
        <f>_xlfn.XLOOKUP($D146,Tab_Process_TCs[Process_Name],Tab_Process_TCs[TC_Type],,0,)</f>
        <v>#N/A</v>
      </c>
      <c r="H146" s="27" t="e">
        <f>_xlfn.XLOOKUP($D146,Tab_Process_TCs[Process_Name],Tab_Process_TCs[Process_Logic],,0,)</f>
        <v>#N/A</v>
      </c>
      <c r="I146" s="7" t="str">
        <f>_xlfn.XLOOKUP($E146,Tab_Def_Flows[Flow_Name],Tab_Def_Flows[Flow_ID],,0,1)</f>
        <v>F__</v>
      </c>
      <c r="J146" s="8"/>
      <c r="K146" s="22" t="str">
        <f t="shared" si="18"/>
        <v>TC_material_F__</v>
      </c>
      <c r="L146" s="158"/>
      <c r="M146" s="22" t="str">
        <f t="shared" si="19"/>
        <v>TC_WC_F__</v>
      </c>
      <c r="N146" s="158"/>
      <c r="O146" s="22" t="str">
        <f t="shared" si="20"/>
        <v>TC_DM_F__</v>
      </c>
      <c r="P146" s="158"/>
      <c r="Q146" s="22" t="str">
        <f t="shared" si="21"/>
        <v>TC_CC_F__</v>
      </c>
      <c r="R146" s="8"/>
      <c r="S146" s="7" t="e">
        <f>_xlfn.XLOOKUP($D146,#REF!,#REF!,,0,)</f>
        <v>#REF!</v>
      </c>
      <c r="T146" s="22" t="str">
        <f>Tab_Process_TCs2527[[#This Row],[Flow_ID]]</f>
        <v>F__</v>
      </c>
      <c r="U146" s="22" t="e">
        <f t="shared" si="17"/>
        <v>#REF!</v>
      </c>
      <c r="V146" s="29"/>
      <c r="W146" s="32" t="e">
        <f>Tab_Process_TCs2527[[#This Row],[TC O_6_'[%']]]+#REF!+#REF!+#REF!+#REF!+#REF!</f>
        <v>#REF!</v>
      </c>
      <c r="X146" s="8"/>
      <c r="Y146" s="8"/>
      <c r="Z146" s="8"/>
      <c r="AA146" s="8"/>
      <c r="AB146" s="8"/>
    </row>
    <row r="147" spans="1:28" x14ac:dyDescent="0.25">
      <c r="A147" s="160" t="b">
        <v>0</v>
      </c>
      <c r="B147" s="7">
        <f t="shared" si="16"/>
        <v>146</v>
      </c>
      <c r="C147" s="27" t="e">
        <f>_xlfn.XLOOKUP($D147,Tab_Process_TCs[Process_Name],Tab_Process_TCs[Process_ID],,0,)</f>
        <v>#N/A</v>
      </c>
      <c r="D147" s="155" t="s">
        <v>31</v>
      </c>
      <c r="E147" s="155" t="s">
        <v>31</v>
      </c>
      <c r="F147" s="27" t="e">
        <f>_xlfn.XLOOKUP($D147,Tab_Process_TCs[Process_Name],Tab_Process_TCs[TC?],,0,)</f>
        <v>#N/A</v>
      </c>
      <c r="G147" s="27" t="e">
        <f>_xlfn.XLOOKUP($D147,Tab_Process_TCs[Process_Name],Tab_Process_TCs[TC_Type],,0,)</f>
        <v>#N/A</v>
      </c>
      <c r="H147" s="27" t="e">
        <f>_xlfn.XLOOKUP($D147,Tab_Process_TCs[Process_Name],Tab_Process_TCs[Process_Logic],,0,)</f>
        <v>#N/A</v>
      </c>
      <c r="I147" s="7" t="str">
        <f>_xlfn.XLOOKUP($E147,Tab_Def_Flows[Flow_Name],Tab_Def_Flows[Flow_ID],,0,1)</f>
        <v>F__</v>
      </c>
      <c r="J147" s="8"/>
      <c r="K147" s="22" t="str">
        <f t="shared" si="18"/>
        <v>TC_material_F__</v>
      </c>
      <c r="L147" s="158"/>
      <c r="M147" s="22" t="str">
        <f t="shared" si="19"/>
        <v>TC_WC_F__</v>
      </c>
      <c r="N147" s="158"/>
      <c r="O147" s="22" t="str">
        <f t="shared" si="20"/>
        <v>TC_DM_F__</v>
      </c>
      <c r="P147" s="158"/>
      <c r="Q147" s="22" t="str">
        <f t="shared" si="21"/>
        <v>TC_CC_F__</v>
      </c>
      <c r="R147" s="8"/>
      <c r="S147" s="7" t="e">
        <f>_xlfn.XLOOKUP($D147,#REF!,#REF!,,0,)</f>
        <v>#REF!</v>
      </c>
      <c r="T147" s="22" t="str">
        <f>Tab_Process_TCs2527[[#This Row],[Flow_ID]]</f>
        <v>F__</v>
      </c>
      <c r="U147" s="22" t="e">
        <f t="shared" si="17"/>
        <v>#REF!</v>
      </c>
      <c r="V147" s="29"/>
      <c r="W147" s="32" t="e">
        <f>Tab_Process_TCs2527[[#This Row],[TC O_6_'[%']]]+#REF!+#REF!+#REF!+#REF!+#REF!</f>
        <v>#REF!</v>
      </c>
      <c r="X147" s="8"/>
      <c r="Y147" s="8"/>
      <c r="Z147" s="8"/>
      <c r="AA147" s="8"/>
      <c r="AB147" s="8"/>
    </row>
    <row r="148" spans="1:28" x14ac:dyDescent="0.25">
      <c r="A148" s="160" t="b">
        <v>0</v>
      </c>
      <c r="B148" s="7">
        <f t="shared" si="16"/>
        <v>147</v>
      </c>
      <c r="C148" s="27" t="e">
        <f>_xlfn.XLOOKUP($D148,Tab_Process_TCs[Process_Name],Tab_Process_TCs[Process_ID],,0,)</f>
        <v>#N/A</v>
      </c>
      <c r="D148" s="155" t="s">
        <v>31</v>
      </c>
      <c r="E148" s="155" t="s">
        <v>31</v>
      </c>
      <c r="F148" s="27" t="e">
        <f>_xlfn.XLOOKUP($D148,Tab_Process_TCs[Process_Name],Tab_Process_TCs[TC?],,0,)</f>
        <v>#N/A</v>
      </c>
      <c r="G148" s="27" t="e">
        <f>_xlfn.XLOOKUP($D148,Tab_Process_TCs[Process_Name],Tab_Process_TCs[TC_Type],,0,)</f>
        <v>#N/A</v>
      </c>
      <c r="H148" s="27" t="e">
        <f>_xlfn.XLOOKUP($D148,Tab_Process_TCs[Process_Name],Tab_Process_TCs[Process_Logic],,0,)</f>
        <v>#N/A</v>
      </c>
      <c r="I148" s="7" t="str">
        <f>_xlfn.XLOOKUP($E148,Tab_Def_Flows[Flow_Name],Tab_Def_Flows[Flow_ID],,0,1)</f>
        <v>F__</v>
      </c>
      <c r="J148" s="8"/>
      <c r="K148" s="22" t="str">
        <f t="shared" si="18"/>
        <v>TC_material_F__</v>
      </c>
      <c r="L148" s="158"/>
      <c r="M148" s="22" t="str">
        <f t="shared" si="19"/>
        <v>TC_WC_F__</v>
      </c>
      <c r="N148" s="158"/>
      <c r="O148" s="22" t="str">
        <f t="shared" si="20"/>
        <v>TC_DM_F__</v>
      </c>
      <c r="P148" s="158"/>
      <c r="Q148" s="22" t="str">
        <f t="shared" si="21"/>
        <v>TC_CC_F__</v>
      </c>
      <c r="R148" s="8"/>
      <c r="S148" s="7" t="e">
        <f>_xlfn.XLOOKUP($D148,#REF!,#REF!,,0,)</f>
        <v>#REF!</v>
      </c>
      <c r="T148" s="22" t="str">
        <f>Tab_Process_TCs2527[[#This Row],[Flow_ID]]</f>
        <v>F__</v>
      </c>
      <c r="U148" s="22" t="e">
        <f t="shared" si="17"/>
        <v>#REF!</v>
      </c>
      <c r="V148" s="29"/>
      <c r="W148" s="32" t="e">
        <f>Tab_Process_TCs2527[[#This Row],[TC O_6_'[%']]]+#REF!+#REF!+#REF!+#REF!+#REF!</f>
        <v>#REF!</v>
      </c>
      <c r="X148" s="8"/>
      <c r="Y148" s="8"/>
      <c r="Z148" s="8"/>
      <c r="AA148" s="8"/>
      <c r="AB148" s="8"/>
    </row>
    <row r="149" spans="1:28" x14ac:dyDescent="0.25">
      <c r="A149" s="160" t="b">
        <v>0</v>
      </c>
      <c r="B149" s="7">
        <f t="shared" si="16"/>
        <v>148</v>
      </c>
      <c r="C149" s="27" t="e">
        <f>_xlfn.XLOOKUP($D149,Tab_Process_TCs[Process_Name],Tab_Process_TCs[Process_ID],,0,)</f>
        <v>#N/A</v>
      </c>
      <c r="D149" s="155" t="s">
        <v>31</v>
      </c>
      <c r="E149" s="155" t="s">
        <v>31</v>
      </c>
      <c r="F149" s="27" t="e">
        <f>_xlfn.XLOOKUP($D149,Tab_Process_TCs[Process_Name],Tab_Process_TCs[TC?],,0,)</f>
        <v>#N/A</v>
      </c>
      <c r="G149" s="27" t="e">
        <f>_xlfn.XLOOKUP($D149,Tab_Process_TCs[Process_Name],Tab_Process_TCs[TC_Type],,0,)</f>
        <v>#N/A</v>
      </c>
      <c r="H149" s="27" t="e">
        <f>_xlfn.XLOOKUP($D149,Tab_Process_TCs[Process_Name],Tab_Process_TCs[Process_Logic],,0,)</f>
        <v>#N/A</v>
      </c>
      <c r="I149" s="7" t="str">
        <f>_xlfn.XLOOKUP($E149,Tab_Def_Flows[Flow_Name],Tab_Def_Flows[Flow_ID],,0,1)</f>
        <v>F__</v>
      </c>
      <c r="J149" s="8"/>
      <c r="K149" s="22" t="str">
        <f t="shared" si="18"/>
        <v>TC_material_F__</v>
      </c>
      <c r="L149" s="158"/>
      <c r="M149" s="22" t="str">
        <f t="shared" si="19"/>
        <v>TC_WC_F__</v>
      </c>
      <c r="N149" s="158"/>
      <c r="O149" s="22" t="str">
        <f t="shared" si="20"/>
        <v>TC_DM_F__</v>
      </c>
      <c r="P149" s="158"/>
      <c r="Q149" s="22" t="str">
        <f t="shared" si="21"/>
        <v>TC_CC_F__</v>
      </c>
      <c r="R149" s="8"/>
      <c r="S149" s="7" t="e">
        <f>_xlfn.XLOOKUP($D149,#REF!,#REF!,,0,)</f>
        <v>#REF!</v>
      </c>
      <c r="T149" s="22" t="str">
        <f>Tab_Process_TCs2527[[#This Row],[Flow_ID]]</f>
        <v>F__</v>
      </c>
      <c r="U149" s="22" t="e">
        <f t="shared" si="17"/>
        <v>#REF!</v>
      </c>
      <c r="V149" s="29"/>
      <c r="W149" s="32" t="e">
        <f>Tab_Process_TCs2527[[#This Row],[TC O_6_'[%']]]+#REF!+#REF!+#REF!+#REF!+#REF!</f>
        <v>#REF!</v>
      </c>
      <c r="X149" s="8"/>
      <c r="Y149" s="8"/>
      <c r="Z149" s="8"/>
      <c r="AA149" s="8"/>
      <c r="AB149" s="8"/>
    </row>
  </sheetData>
  <phoneticPr fontId="2" type="noConversion"/>
  <conditionalFormatting sqref="W2:W149">
    <cfRule type="iconSet" priority="44">
      <iconSet>
        <cfvo type="percent" val="0"/>
        <cfvo type="percent" val="33"/>
        <cfvo type="percent" val="100"/>
      </iconSet>
    </cfRule>
    <cfRule type="iconSet" priority="45">
      <iconSet>
        <cfvo type="percent" val="0"/>
        <cfvo type="percent" val="0"/>
        <cfvo type="percent" val="100"/>
      </iconSet>
    </cfRule>
    <cfRule type="iconSet" priority="46">
      <iconSet iconSet="3Symbols">
        <cfvo type="percent" val="0"/>
        <cfvo type="percent" val="0"/>
        <cfvo type="percent" val="100"/>
      </iconSet>
    </cfRule>
    <cfRule type="iconSet" priority="47">
      <iconSet iconSet="3Symbols">
        <cfvo type="percent" val="0"/>
        <cfvo type="percent" val="33"/>
        <cfvo type="percent" val="67"/>
      </iconSet>
    </cfRule>
  </conditionalFormatting>
  <conditionalFormatting sqref="X150:X1048576 W1:W149">
    <cfRule type="iconSet" priority="1">
      <iconSet>
        <cfvo type="percent" val="0"/>
        <cfvo type="percent" val="0.01"/>
        <cfvo type="percent" val="1"/>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CCCB0BA-60EF-4ADA-8E59-41B74CA55900}">
          <x14:formula1>
            <xm:f>'2_1_Definition_Processes'!$D$2:$D$47</xm:f>
          </x14:formula1>
          <xm:sqref>E150:N1048576</xm:sqref>
        </x14:dataValidation>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F4EFD03A-BDB8-4DE7-AC41-A9180EB54B38}">
          <x14:formula1>
            <xm:f>'2_3_static_TCs'!$D$2:$D$52</xm:f>
          </x14:formula1>
          <xm:sqref>D2:D149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topLeftCell="C1" zoomScaleNormal="100" workbookViewId="0">
      <selection activeCell="H1" sqref="H1"/>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23.710937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59" t="s">
        <v>54</v>
      </c>
      <c r="B1" s="159" t="s">
        <v>28</v>
      </c>
      <c r="C1" s="159" t="s">
        <v>55</v>
      </c>
      <c r="D1" s="159" t="s">
        <v>49</v>
      </c>
      <c r="E1" s="159" t="s">
        <v>713</v>
      </c>
      <c r="F1" s="159" t="s">
        <v>77</v>
      </c>
      <c r="G1" s="159" t="s">
        <v>52</v>
      </c>
      <c r="H1" s="159" t="s">
        <v>719</v>
      </c>
      <c r="I1" s="159" t="s">
        <v>57</v>
      </c>
      <c r="J1" s="159" t="s">
        <v>224</v>
      </c>
      <c r="K1" s="159" t="s">
        <v>225</v>
      </c>
      <c r="L1" s="159" t="s">
        <v>2</v>
      </c>
      <c r="M1" s="159" t="s">
        <v>226</v>
      </c>
      <c r="N1" s="159" t="s">
        <v>227</v>
      </c>
      <c r="O1" s="159" t="s">
        <v>228</v>
      </c>
      <c r="P1" s="159" t="s">
        <v>329</v>
      </c>
      <c r="Q1" s="159" t="s">
        <v>328</v>
      </c>
      <c r="R1" s="159" t="s">
        <v>327</v>
      </c>
      <c r="S1" s="159" t="s">
        <v>37</v>
      </c>
      <c r="T1" s="159" t="s">
        <v>325</v>
      </c>
      <c r="U1" s="159" t="s">
        <v>326</v>
      </c>
    </row>
    <row r="2" spans="1:21" x14ac:dyDescent="0.25">
      <c r="A2" s="160" t="b">
        <v>0</v>
      </c>
      <c r="B2" s="7">
        <f t="shared" ref="B2:B33" si="0">ROW()-1</f>
        <v>1</v>
      </c>
      <c r="C2" s="7" t="e">
        <f>"S"&amp;"_"&amp;LEFT(D2,2)</f>
        <v>#N/A</v>
      </c>
      <c r="D2" s="7" t="e">
        <f>_xlfn.XLOOKUP($E2,Tab_Def_Processes[Process_Name],Tab_Def_Processes[Process_ID],,0,)</f>
        <v>#N/A</v>
      </c>
      <c r="E2" s="8" t="s">
        <v>31</v>
      </c>
      <c r="F2" s="7" t="e">
        <f>_xlfn.XLOOKUP($E2,Tab_Def_Processes[Process_Name],Tab_Def_Processes[Process_Type],,0,)</f>
        <v>#N/A</v>
      </c>
      <c r="G2" s="7" t="e">
        <f>_xlfn.XLOOKUP($E2,Tab_Def_Processes[Process_Name],Tab_Def_Processes[TC?],,0,)</f>
        <v>#N/A</v>
      </c>
      <c r="H2" s="7" t="e">
        <f>_xlfn.XLOOKUP($E2,Tab_Def_Processes[Process_Name],Tab_Def_Processes[TC_Type],,0,)</f>
        <v>#N/A</v>
      </c>
      <c r="I2" s="7" t="e">
        <f>_xlfn.XLOOKUP($E2,Tab_Def_Processes[Process_Name],Tab_Def_Processes[Stock?],,0,)</f>
        <v>#N/A</v>
      </c>
      <c r="J2" s="7" t="e">
        <f>_xlfn.XLOOKUP($E2,Tab_Def_Processes[Process_Name],Tab_Def_Processes[Initial_Stock?],,0,)</f>
        <v>#N/A</v>
      </c>
      <c r="K2" s="153"/>
      <c r="L2" s="8"/>
      <c r="M2" s="16"/>
      <c r="N2" s="16"/>
      <c r="O2" s="16"/>
      <c r="P2" s="149"/>
      <c r="Q2" s="7"/>
      <c r="R2" s="8"/>
      <c r="S2" s="7" t="str">
        <f>_xlfn.XLOOKUP(R2,Tab_Def_Flows[Flow_Name],Tab_Def_Flows[Flow_ID],,0,)</f>
        <v>F_15_15</v>
      </c>
      <c r="T2" s="8"/>
      <c r="U2" s="164"/>
    </row>
    <row r="3" spans="1:21" x14ac:dyDescent="0.25">
      <c r="A3" s="160" t="b">
        <v>0</v>
      </c>
      <c r="B3" s="7">
        <f t="shared" si="0"/>
        <v>2</v>
      </c>
      <c r="C3" s="7" t="e">
        <f t="shared" ref="C3:C63" si="1">"S"&amp;"_"&amp;LEFT(D3,2)</f>
        <v>#N/A</v>
      </c>
      <c r="D3" s="7" t="e">
        <f>_xlfn.XLOOKUP($E3,Tab_Def_Processes[Process_Name],Tab_Def_Processes[Process_ID],,0,)</f>
        <v>#N/A</v>
      </c>
      <c r="E3" s="8" t="s">
        <v>31</v>
      </c>
      <c r="F3" s="7" t="e">
        <f>_xlfn.XLOOKUP($E3,Tab_Def_Processes[Process_Name],Tab_Def_Processes[Process_Type],,0,)</f>
        <v>#N/A</v>
      </c>
      <c r="G3" s="7" t="e">
        <f>_xlfn.XLOOKUP($E3,Tab_Def_Processes[Process_Name],Tab_Def_Processes[TC?],,0,)</f>
        <v>#N/A</v>
      </c>
      <c r="H3" s="7" t="e">
        <f>_xlfn.XLOOKUP($E3,Tab_Def_Processes[Process_Name],Tab_Def_Processes[TC_Type],,0,)</f>
        <v>#N/A</v>
      </c>
      <c r="I3" s="7" t="e">
        <f>_xlfn.XLOOKUP($E3,Tab_Def_Processes[Process_Name],Tab_Def_Processes[Stock?],,0,)</f>
        <v>#N/A</v>
      </c>
      <c r="J3" s="7" t="e">
        <f>_xlfn.XLOOKUP($E3,Tab_Def_Processes[Process_Name],Tab_Def_Processes[Initial_Stock?],,0,)</f>
        <v>#N/A</v>
      </c>
      <c r="K3" s="153"/>
      <c r="L3" s="8"/>
      <c r="M3" s="16"/>
      <c r="N3" s="16"/>
      <c r="O3" s="16"/>
      <c r="P3" s="149"/>
      <c r="Q3" s="7"/>
      <c r="R3" s="8"/>
      <c r="S3" s="7"/>
      <c r="T3" s="8"/>
      <c r="U3" s="164"/>
    </row>
    <row r="4" spans="1:21" x14ac:dyDescent="0.25">
      <c r="A4" s="160" t="b">
        <v>0</v>
      </c>
      <c r="B4" s="7">
        <f t="shared" si="0"/>
        <v>3</v>
      </c>
      <c r="C4" s="7" t="e">
        <f t="shared" si="1"/>
        <v>#N/A</v>
      </c>
      <c r="D4" s="7" t="e">
        <f>_xlfn.XLOOKUP($E4,Tab_Def_Processes[Process_Name],Tab_Def_Processes[Process_ID],,0,)</f>
        <v>#N/A</v>
      </c>
      <c r="E4" s="8" t="s">
        <v>31</v>
      </c>
      <c r="F4" s="7" t="e">
        <f>_xlfn.XLOOKUP($E4,Tab_Def_Processes[Process_Name],Tab_Def_Processes[Process_Type],,0,)</f>
        <v>#N/A</v>
      </c>
      <c r="G4" s="7" t="e">
        <f>_xlfn.XLOOKUP($E4,Tab_Def_Processes[Process_Name],Tab_Def_Processes[TC?],,0,)</f>
        <v>#N/A</v>
      </c>
      <c r="H4" s="7" t="e">
        <f>_xlfn.XLOOKUP($E4,Tab_Def_Processes[Process_Name],Tab_Def_Processes[TC_Type],,0,)</f>
        <v>#N/A</v>
      </c>
      <c r="I4" s="7" t="e">
        <f>_xlfn.XLOOKUP($E4,Tab_Def_Processes[Process_Name],Tab_Def_Processes[Stock?],,0,)</f>
        <v>#N/A</v>
      </c>
      <c r="J4" s="7" t="e">
        <f>_xlfn.XLOOKUP($E4,Tab_Def_Processes[Process_Name],Tab_Def_Processes[Initial_Stock?],,0,)</f>
        <v>#N/A</v>
      </c>
      <c r="K4" s="153"/>
      <c r="L4" s="8"/>
      <c r="M4" s="16"/>
      <c r="N4" s="16"/>
      <c r="O4" s="16"/>
      <c r="P4" s="149"/>
      <c r="Q4" s="7"/>
      <c r="R4" s="8"/>
      <c r="S4" s="7"/>
      <c r="T4" s="8"/>
      <c r="U4" s="164"/>
    </row>
    <row r="5" spans="1:21" x14ac:dyDescent="0.25">
      <c r="A5" s="160" t="b">
        <v>0</v>
      </c>
      <c r="B5" s="7">
        <f t="shared" si="0"/>
        <v>4</v>
      </c>
      <c r="C5" s="7" t="e">
        <f t="shared" si="1"/>
        <v>#N/A</v>
      </c>
      <c r="D5" s="7" t="e">
        <f>_xlfn.XLOOKUP($E5,Tab_Def_Processes[Process_Name],Tab_Def_Processes[Process_ID],,0,)</f>
        <v>#N/A</v>
      </c>
      <c r="E5" s="8" t="s">
        <v>31</v>
      </c>
      <c r="F5" s="7" t="e">
        <f>_xlfn.XLOOKUP($E5,Tab_Def_Processes[Process_Name],Tab_Def_Processes[Process_Type],,0,)</f>
        <v>#N/A</v>
      </c>
      <c r="G5" s="7" t="e">
        <f>_xlfn.XLOOKUP($E5,Tab_Def_Processes[Process_Name],Tab_Def_Processes[TC?],,0,)</f>
        <v>#N/A</v>
      </c>
      <c r="H5" s="7" t="e">
        <f>_xlfn.XLOOKUP($E5,Tab_Def_Processes[Process_Name],Tab_Def_Processes[TC_Type],,0,)</f>
        <v>#N/A</v>
      </c>
      <c r="I5" s="7" t="e">
        <f>_xlfn.XLOOKUP($E5,Tab_Def_Processes[Process_Name],Tab_Def_Processes[Stock?],,0,)</f>
        <v>#N/A</v>
      </c>
      <c r="J5" s="7" t="e">
        <f>_xlfn.XLOOKUP($E5,Tab_Def_Processes[Process_Name],Tab_Def_Processes[Initial_Stock?],,0,)</f>
        <v>#N/A</v>
      </c>
      <c r="K5" s="154"/>
      <c r="L5" s="8"/>
      <c r="M5" s="16"/>
      <c r="N5" s="16"/>
      <c r="O5" s="16"/>
      <c r="P5" s="149"/>
      <c r="Q5" s="7"/>
      <c r="R5" s="8"/>
      <c r="S5" s="7"/>
      <c r="T5" s="8"/>
      <c r="U5" s="164"/>
    </row>
    <row r="6" spans="1:21" x14ac:dyDescent="0.25">
      <c r="A6" s="160" t="b">
        <v>0</v>
      </c>
      <c r="B6" s="7">
        <f t="shared" si="0"/>
        <v>5</v>
      </c>
      <c r="C6" s="7" t="e">
        <f t="shared" si="1"/>
        <v>#N/A</v>
      </c>
      <c r="D6" s="7" t="e">
        <f>_xlfn.XLOOKUP($E6,Tab_Def_Processes[Process_Name],Tab_Def_Processes[Process_ID],,0,)</f>
        <v>#N/A</v>
      </c>
      <c r="E6" s="8" t="s">
        <v>31</v>
      </c>
      <c r="F6" s="7" t="e">
        <f>_xlfn.XLOOKUP($E6,Tab_Def_Processes[Process_Name],Tab_Def_Processes[Process_Type],,0,)</f>
        <v>#N/A</v>
      </c>
      <c r="G6" s="7" t="e">
        <f>_xlfn.XLOOKUP($E6,Tab_Def_Processes[Process_Name],Tab_Def_Processes[TC?],,0,)</f>
        <v>#N/A</v>
      </c>
      <c r="H6" s="7" t="e">
        <f>_xlfn.XLOOKUP($E6,Tab_Def_Processes[Process_Name],Tab_Def_Processes[TC_Type],,0,)</f>
        <v>#N/A</v>
      </c>
      <c r="I6" s="7" t="e">
        <f>_xlfn.XLOOKUP($E6,Tab_Def_Processes[Process_Name],Tab_Def_Processes[Stock?],,0,)</f>
        <v>#N/A</v>
      </c>
      <c r="J6" s="7" t="e">
        <f>_xlfn.XLOOKUP($E6,Tab_Def_Processes[Process_Name],Tab_Def_Processes[Initial_Stock?],,0,)</f>
        <v>#N/A</v>
      </c>
      <c r="K6" s="153"/>
      <c r="L6" s="8"/>
      <c r="M6" s="8"/>
      <c r="N6" s="8"/>
      <c r="O6" s="8"/>
      <c r="P6" s="8"/>
      <c r="Q6" s="7"/>
      <c r="R6" s="8"/>
      <c r="S6" s="7"/>
      <c r="T6" s="8"/>
      <c r="U6" s="164"/>
    </row>
    <row r="7" spans="1:21" x14ac:dyDescent="0.25">
      <c r="A7" s="160" t="b">
        <v>0</v>
      </c>
      <c r="B7" s="7">
        <f t="shared" si="0"/>
        <v>6</v>
      </c>
      <c r="C7" s="7" t="e">
        <f t="shared" si="1"/>
        <v>#N/A</v>
      </c>
      <c r="D7" s="7" t="e">
        <f>_xlfn.XLOOKUP($E7,Tab_Def_Processes[Process_Name],Tab_Def_Processes[Process_ID],,0,)</f>
        <v>#N/A</v>
      </c>
      <c r="E7" s="8" t="s">
        <v>31</v>
      </c>
      <c r="F7" s="7" t="e">
        <f>_xlfn.XLOOKUP($E7,Tab_Def_Processes[Process_Name],Tab_Def_Processes[Process_Type],,0,)</f>
        <v>#N/A</v>
      </c>
      <c r="G7" s="7" t="e">
        <f>_xlfn.XLOOKUP($E7,Tab_Def_Processes[Process_Name],Tab_Def_Processes[TC?],,0,)</f>
        <v>#N/A</v>
      </c>
      <c r="H7" s="7" t="e">
        <f>_xlfn.XLOOKUP($E7,Tab_Def_Processes[Process_Name],Tab_Def_Processes[TC_Type],,0,)</f>
        <v>#N/A</v>
      </c>
      <c r="I7" s="7" t="e">
        <f>_xlfn.XLOOKUP($E7,Tab_Def_Processes[Process_Name],Tab_Def_Processes[Stock?],,0,)</f>
        <v>#N/A</v>
      </c>
      <c r="J7" s="7" t="e">
        <f>_xlfn.XLOOKUP($E7,Tab_Def_Processes[Process_Name],Tab_Def_Processes[Initial_Stock?],,0,)</f>
        <v>#N/A</v>
      </c>
      <c r="K7" s="153"/>
      <c r="L7" s="8"/>
      <c r="M7" s="8"/>
      <c r="N7" s="8"/>
      <c r="O7" s="8"/>
      <c r="P7" s="8"/>
      <c r="Q7" s="7"/>
      <c r="R7" s="8"/>
      <c r="S7" s="7"/>
      <c r="T7" s="8"/>
      <c r="U7" s="164"/>
    </row>
    <row r="8" spans="1:21" x14ac:dyDescent="0.25">
      <c r="A8" s="160" t="b">
        <v>0</v>
      </c>
      <c r="B8" s="7">
        <f t="shared" si="0"/>
        <v>7</v>
      </c>
      <c r="C8" s="7" t="e">
        <f t="shared" si="1"/>
        <v>#N/A</v>
      </c>
      <c r="D8" s="7" t="e">
        <f>_xlfn.XLOOKUP($E8,Tab_Def_Processes[Process_Name],Tab_Def_Processes[Process_ID],,0,)</f>
        <v>#N/A</v>
      </c>
      <c r="E8" s="8" t="s">
        <v>31</v>
      </c>
      <c r="F8" s="7" t="e">
        <f>_xlfn.XLOOKUP($E8,Tab_Def_Processes[Process_Name],Tab_Def_Processes[Process_Type],,0,)</f>
        <v>#N/A</v>
      </c>
      <c r="G8" s="7" t="e">
        <f>_xlfn.XLOOKUP($E8,Tab_Def_Processes[Process_Name],Tab_Def_Processes[TC?],,0,)</f>
        <v>#N/A</v>
      </c>
      <c r="H8" s="7" t="e">
        <f>_xlfn.XLOOKUP($E8,Tab_Def_Processes[Process_Name],Tab_Def_Processes[TC_Type],,0,)</f>
        <v>#N/A</v>
      </c>
      <c r="I8" s="7" t="e">
        <f>_xlfn.XLOOKUP($E8,Tab_Def_Processes[Process_Name],Tab_Def_Processes[Stock?],,0,)</f>
        <v>#N/A</v>
      </c>
      <c r="J8" s="7" t="e">
        <f>_xlfn.XLOOKUP($E8,Tab_Def_Processes[Process_Name],Tab_Def_Processes[Initial_Stock?],,0,)</f>
        <v>#N/A</v>
      </c>
      <c r="K8" s="153"/>
      <c r="L8" s="8"/>
      <c r="M8" s="8"/>
      <c r="N8" s="8"/>
      <c r="O8" s="8"/>
      <c r="P8" s="8"/>
      <c r="Q8" s="7"/>
      <c r="R8" s="8"/>
      <c r="S8" s="7"/>
      <c r="T8" s="8"/>
      <c r="U8" s="164"/>
    </row>
    <row r="9" spans="1:21" x14ac:dyDescent="0.25">
      <c r="A9" s="160" t="b">
        <v>0</v>
      </c>
      <c r="B9" s="7">
        <f t="shared" si="0"/>
        <v>8</v>
      </c>
      <c r="C9" s="7" t="e">
        <f t="shared" si="1"/>
        <v>#N/A</v>
      </c>
      <c r="D9" s="7" t="e">
        <f>_xlfn.XLOOKUP($E9,Tab_Def_Processes[Process_Name],Tab_Def_Processes[Process_ID],,0,)</f>
        <v>#N/A</v>
      </c>
      <c r="E9" s="8" t="s">
        <v>31</v>
      </c>
      <c r="F9" s="7" t="e">
        <f>_xlfn.XLOOKUP($E9,Tab_Def_Processes[Process_Name],Tab_Def_Processes[Process_Type],,0,)</f>
        <v>#N/A</v>
      </c>
      <c r="G9" s="7" t="e">
        <f>_xlfn.XLOOKUP($E9,Tab_Def_Processes[Process_Name],Tab_Def_Processes[TC?],,0,)</f>
        <v>#N/A</v>
      </c>
      <c r="H9" s="7" t="e">
        <f>_xlfn.XLOOKUP($E9,Tab_Def_Processes[Process_Name],Tab_Def_Processes[TC_Type],,0,)</f>
        <v>#N/A</v>
      </c>
      <c r="I9" s="7" t="e">
        <f>_xlfn.XLOOKUP($E9,Tab_Def_Processes[Process_Name],Tab_Def_Processes[Stock?],,0,)</f>
        <v>#N/A</v>
      </c>
      <c r="J9" s="7" t="e">
        <f>_xlfn.XLOOKUP($E9,Tab_Def_Processes[Process_Name],Tab_Def_Processes[Initial_Stock?],,0,)</f>
        <v>#N/A</v>
      </c>
      <c r="K9" s="153"/>
      <c r="L9" s="8"/>
      <c r="M9" s="8"/>
      <c r="N9" s="8"/>
      <c r="O9" s="8"/>
      <c r="P9" s="8"/>
      <c r="Q9" s="7"/>
      <c r="R9" s="8"/>
      <c r="S9" s="7"/>
      <c r="T9" s="8"/>
      <c r="U9" s="164"/>
    </row>
    <row r="10" spans="1:21" x14ac:dyDescent="0.25">
      <c r="A10" s="160" t="b">
        <v>0</v>
      </c>
      <c r="B10" s="7">
        <f t="shared" si="0"/>
        <v>9</v>
      </c>
      <c r="C10" s="7" t="e">
        <f t="shared" si="1"/>
        <v>#N/A</v>
      </c>
      <c r="D10" s="7" t="e">
        <f>_xlfn.XLOOKUP($E10,Tab_Def_Processes[Process_Name],Tab_Def_Processes[Process_ID],,0,)</f>
        <v>#N/A</v>
      </c>
      <c r="E10" s="8" t="s">
        <v>31</v>
      </c>
      <c r="F10" s="7" t="e">
        <f>_xlfn.XLOOKUP($E10,Tab_Def_Processes[Process_Name],Tab_Def_Processes[Process_Type],,0,)</f>
        <v>#N/A</v>
      </c>
      <c r="G10" s="7" t="e">
        <f>_xlfn.XLOOKUP($E10,Tab_Def_Processes[Process_Name],Tab_Def_Processes[TC?],,0,)</f>
        <v>#N/A</v>
      </c>
      <c r="H10" s="7" t="e">
        <f>_xlfn.XLOOKUP($E10,Tab_Def_Processes[Process_Name],Tab_Def_Processes[TC_Type],,0,)</f>
        <v>#N/A</v>
      </c>
      <c r="I10" s="7" t="e">
        <f>_xlfn.XLOOKUP($E10,Tab_Def_Processes[Process_Name],Tab_Def_Processes[Stock?],,0,)</f>
        <v>#N/A</v>
      </c>
      <c r="J10" s="7" t="e">
        <f>_xlfn.XLOOKUP($E10,Tab_Def_Processes[Process_Name],Tab_Def_Processes[Initial_Stock?],,0,)</f>
        <v>#N/A</v>
      </c>
      <c r="K10" s="153"/>
      <c r="L10" s="8"/>
      <c r="M10" s="8"/>
      <c r="N10" s="8"/>
      <c r="O10" s="8"/>
      <c r="P10" s="8"/>
      <c r="Q10" s="7"/>
      <c r="R10" s="8"/>
      <c r="S10" s="7"/>
      <c r="T10" s="8"/>
      <c r="U10" s="164"/>
    </row>
    <row r="11" spans="1:21" x14ac:dyDescent="0.25">
      <c r="A11" s="160" t="b">
        <v>0</v>
      </c>
      <c r="B11" s="7">
        <f t="shared" si="0"/>
        <v>10</v>
      </c>
      <c r="C11" s="7" t="e">
        <f t="shared" si="1"/>
        <v>#N/A</v>
      </c>
      <c r="D11" s="7" t="e">
        <f>_xlfn.XLOOKUP($E11,Tab_Def_Processes[Process_Name],Tab_Def_Processes[Process_ID],,0,)</f>
        <v>#N/A</v>
      </c>
      <c r="E11" s="8" t="s">
        <v>31</v>
      </c>
      <c r="F11" s="7" t="e">
        <f>_xlfn.XLOOKUP($E11,Tab_Def_Processes[Process_Name],Tab_Def_Processes[Process_Type],,0,)</f>
        <v>#N/A</v>
      </c>
      <c r="G11" s="7" t="e">
        <f>_xlfn.XLOOKUP($E11,Tab_Def_Processes[Process_Name],Tab_Def_Processes[TC?],,0,)</f>
        <v>#N/A</v>
      </c>
      <c r="H11" s="7" t="e">
        <f>_xlfn.XLOOKUP($E11,Tab_Def_Processes[Process_Name],Tab_Def_Processes[TC_Type],,0,)</f>
        <v>#N/A</v>
      </c>
      <c r="I11" s="7" t="e">
        <f>_xlfn.XLOOKUP($E11,Tab_Def_Processes[Process_Name],Tab_Def_Processes[Stock?],,0,)</f>
        <v>#N/A</v>
      </c>
      <c r="J11" s="7" t="e">
        <f>_xlfn.XLOOKUP($E11,Tab_Def_Processes[Process_Name],Tab_Def_Processes[Initial_Stock?],,0,)</f>
        <v>#N/A</v>
      </c>
      <c r="K11" s="153"/>
      <c r="L11" s="8"/>
      <c r="M11" s="8"/>
      <c r="N11" s="8"/>
      <c r="O11" s="8"/>
      <c r="P11" s="8"/>
      <c r="Q11" s="7"/>
      <c r="R11" s="8"/>
      <c r="S11" s="7"/>
      <c r="T11" s="8"/>
      <c r="U11" s="164"/>
    </row>
    <row r="12" spans="1:21" x14ac:dyDescent="0.25">
      <c r="A12" s="160" t="b">
        <v>0</v>
      </c>
      <c r="B12" s="7">
        <f t="shared" si="0"/>
        <v>11</v>
      </c>
      <c r="C12" s="7" t="e">
        <f t="shared" si="1"/>
        <v>#N/A</v>
      </c>
      <c r="D12" s="7" t="e">
        <f>_xlfn.XLOOKUP($E12,Tab_Def_Processes[Process_Name],Tab_Def_Processes[Process_ID],,0,)</f>
        <v>#N/A</v>
      </c>
      <c r="E12" s="8" t="s">
        <v>31</v>
      </c>
      <c r="F12" s="7" t="e">
        <f>_xlfn.XLOOKUP($E12,Tab_Def_Processes[Process_Name],Tab_Def_Processes[Process_Type],,0,)</f>
        <v>#N/A</v>
      </c>
      <c r="G12" s="7" t="e">
        <f>_xlfn.XLOOKUP($E12,Tab_Def_Processes[Process_Name],Tab_Def_Processes[TC?],,0,)</f>
        <v>#N/A</v>
      </c>
      <c r="H12" s="7" t="e">
        <f>_xlfn.XLOOKUP($E12,Tab_Def_Processes[Process_Name],Tab_Def_Processes[TC_Type],,0,)</f>
        <v>#N/A</v>
      </c>
      <c r="I12" s="7" t="e">
        <f>_xlfn.XLOOKUP($E12,Tab_Def_Processes[Process_Name],Tab_Def_Processes[Stock?],,0,)</f>
        <v>#N/A</v>
      </c>
      <c r="J12" s="7" t="e">
        <f>_xlfn.XLOOKUP($E12,Tab_Def_Processes[Process_Name],Tab_Def_Processes[Initial_Stock?],,0,)</f>
        <v>#N/A</v>
      </c>
      <c r="K12" s="153"/>
      <c r="L12" s="8"/>
      <c r="M12" s="8"/>
      <c r="N12" s="8"/>
      <c r="O12" s="8"/>
      <c r="P12" s="8"/>
      <c r="Q12" s="7"/>
      <c r="R12" s="8"/>
      <c r="S12" s="7"/>
      <c r="T12" s="8"/>
      <c r="U12" s="164"/>
    </row>
    <row r="13" spans="1:21" x14ac:dyDescent="0.25">
      <c r="A13" s="160" t="b">
        <v>0</v>
      </c>
      <c r="B13" s="7">
        <f t="shared" si="0"/>
        <v>12</v>
      </c>
      <c r="C13" s="7" t="e">
        <f t="shared" si="1"/>
        <v>#N/A</v>
      </c>
      <c r="D13" s="7" t="e">
        <f>_xlfn.XLOOKUP($E13,Tab_Def_Processes[Process_Name],Tab_Def_Processes[Process_ID],,0,)</f>
        <v>#N/A</v>
      </c>
      <c r="E13" s="8" t="s">
        <v>31</v>
      </c>
      <c r="F13" s="7" t="e">
        <f>_xlfn.XLOOKUP($E13,Tab_Def_Processes[Process_Name],Tab_Def_Processes[Process_Type],,0,)</f>
        <v>#N/A</v>
      </c>
      <c r="G13" s="7" t="e">
        <f>_xlfn.XLOOKUP($E13,Tab_Def_Processes[Process_Name],Tab_Def_Processes[TC?],,0,)</f>
        <v>#N/A</v>
      </c>
      <c r="H13" s="7" t="e">
        <f>_xlfn.XLOOKUP($E13,Tab_Def_Processes[Process_Name],Tab_Def_Processes[TC_Type],,0,)</f>
        <v>#N/A</v>
      </c>
      <c r="I13" s="7" t="e">
        <f>_xlfn.XLOOKUP($E13,Tab_Def_Processes[Process_Name],Tab_Def_Processes[Stock?],,0,)</f>
        <v>#N/A</v>
      </c>
      <c r="J13" s="7" t="e">
        <f>_xlfn.XLOOKUP($E13,Tab_Def_Processes[Process_Name],Tab_Def_Processes[Initial_Stock?],,0,)</f>
        <v>#N/A</v>
      </c>
      <c r="K13" s="153"/>
      <c r="L13" s="8"/>
      <c r="M13" s="8"/>
      <c r="N13" s="8"/>
      <c r="O13" s="8"/>
      <c r="P13" s="8"/>
      <c r="Q13" s="7"/>
      <c r="R13" s="8"/>
      <c r="S13" s="7"/>
      <c r="T13" s="8"/>
      <c r="U13" s="164"/>
    </row>
    <row r="14" spans="1:21" x14ac:dyDescent="0.25">
      <c r="A14" s="160" t="b">
        <v>0</v>
      </c>
      <c r="B14" s="7">
        <f t="shared" si="0"/>
        <v>13</v>
      </c>
      <c r="C14" s="7" t="e">
        <f t="shared" si="1"/>
        <v>#N/A</v>
      </c>
      <c r="D14" s="7" t="e">
        <f>_xlfn.XLOOKUP($E14,Tab_Def_Processes[Process_Name],Tab_Def_Processes[Process_ID],,0,)</f>
        <v>#N/A</v>
      </c>
      <c r="E14" s="8" t="s">
        <v>31</v>
      </c>
      <c r="F14" s="7" t="e">
        <f>_xlfn.XLOOKUP($E14,Tab_Def_Processes[Process_Name],Tab_Def_Processes[Process_Type],,0,)</f>
        <v>#N/A</v>
      </c>
      <c r="G14" s="7" t="e">
        <f>_xlfn.XLOOKUP($E14,Tab_Def_Processes[Process_Name],Tab_Def_Processes[TC?],,0,)</f>
        <v>#N/A</v>
      </c>
      <c r="H14" s="7" t="e">
        <f>_xlfn.XLOOKUP($E14,Tab_Def_Processes[Process_Name],Tab_Def_Processes[TC_Type],,0,)</f>
        <v>#N/A</v>
      </c>
      <c r="I14" s="7" t="e">
        <f>_xlfn.XLOOKUP($E14,Tab_Def_Processes[Process_Name],Tab_Def_Processes[Stock?],,0,)</f>
        <v>#N/A</v>
      </c>
      <c r="J14" s="7" t="e">
        <f>_xlfn.XLOOKUP($E14,Tab_Def_Processes[Process_Name],Tab_Def_Processes[Initial_Stock?],,0,)</f>
        <v>#N/A</v>
      </c>
      <c r="K14" s="153"/>
      <c r="L14" s="8"/>
      <c r="M14" s="8"/>
      <c r="N14" s="8"/>
      <c r="O14" s="8"/>
      <c r="P14" s="8"/>
      <c r="Q14" s="7"/>
      <c r="R14" s="8"/>
      <c r="S14" s="7"/>
      <c r="T14" s="8"/>
      <c r="U14" s="164"/>
    </row>
    <row r="15" spans="1:21" x14ac:dyDescent="0.25">
      <c r="A15" s="160" t="b">
        <v>0</v>
      </c>
      <c r="B15" s="7">
        <f t="shared" si="0"/>
        <v>14</v>
      </c>
      <c r="C15" s="7" t="e">
        <f t="shared" si="1"/>
        <v>#N/A</v>
      </c>
      <c r="D15" s="7" t="e">
        <f>_xlfn.XLOOKUP($E15,Tab_Def_Processes[Process_Name],Tab_Def_Processes[Process_ID],,0,)</f>
        <v>#N/A</v>
      </c>
      <c r="E15" s="8" t="s">
        <v>31</v>
      </c>
      <c r="F15" s="7" t="e">
        <f>_xlfn.XLOOKUP($E15,Tab_Def_Processes[Process_Name],Tab_Def_Processes[Process_Type],,0,)</f>
        <v>#N/A</v>
      </c>
      <c r="G15" s="7" t="e">
        <f>_xlfn.XLOOKUP($E15,Tab_Def_Processes[Process_Name],Tab_Def_Processes[TC?],,0,)</f>
        <v>#N/A</v>
      </c>
      <c r="H15" s="7" t="e">
        <f>_xlfn.XLOOKUP($E15,Tab_Def_Processes[Process_Name],Tab_Def_Processes[TC_Type],,0,)</f>
        <v>#N/A</v>
      </c>
      <c r="I15" s="7" t="e">
        <f>_xlfn.XLOOKUP($E15,Tab_Def_Processes[Process_Name],Tab_Def_Processes[Stock?],,0,)</f>
        <v>#N/A</v>
      </c>
      <c r="J15" s="7" t="e">
        <f>_xlfn.XLOOKUP($E15,Tab_Def_Processes[Process_Name],Tab_Def_Processes[Initial_Stock?],,0,)</f>
        <v>#N/A</v>
      </c>
      <c r="K15" s="153"/>
      <c r="L15" s="8"/>
      <c r="M15" s="8"/>
      <c r="N15" s="8"/>
      <c r="O15" s="8"/>
      <c r="P15" s="8"/>
      <c r="Q15" s="7"/>
      <c r="R15" s="8"/>
      <c r="S15" s="7"/>
      <c r="T15" s="8"/>
      <c r="U15" s="164"/>
    </row>
    <row r="16" spans="1:21" x14ac:dyDescent="0.25">
      <c r="A16" s="160" t="b">
        <v>0</v>
      </c>
      <c r="B16" s="7">
        <f t="shared" si="0"/>
        <v>15</v>
      </c>
      <c r="C16" s="7" t="e">
        <f t="shared" si="1"/>
        <v>#N/A</v>
      </c>
      <c r="D16" s="7" t="e">
        <f>_xlfn.XLOOKUP($E16,Tab_Def_Processes[Process_Name],Tab_Def_Processes[Process_ID],,0,)</f>
        <v>#N/A</v>
      </c>
      <c r="E16" s="8" t="s">
        <v>31</v>
      </c>
      <c r="F16" s="7" t="e">
        <f>_xlfn.XLOOKUP($E16,Tab_Def_Processes[Process_Name],Tab_Def_Processes[Process_Type],,0,)</f>
        <v>#N/A</v>
      </c>
      <c r="G16" s="7" t="e">
        <f>_xlfn.XLOOKUP($E16,Tab_Def_Processes[Process_Name],Tab_Def_Processes[TC?],,0,)</f>
        <v>#N/A</v>
      </c>
      <c r="H16" s="7" t="e">
        <f>_xlfn.XLOOKUP($E16,Tab_Def_Processes[Process_Name],Tab_Def_Processes[TC_Type],,0,)</f>
        <v>#N/A</v>
      </c>
      <c r="I16" s="7" t="e">
        <f>_xlfn.XLOOKUP($E16,Tab_Def_Processes[Process_Name],Tab_Def_Processes[Stock?],,0,)</f>
        <v>#N/A</v>
      </c>
      <c r="J16" s="7" t="e">
        <f>_xlfn.XLOOKUP($E16,Tab_Def_Processes[Process_Name],Tab_Def_Processes[Initial_Stock?],,0,)</f>
        <v>#N/A</v>
      </c>
      <c r="K16" s="153"/>
      <c r="L16" s="8"/>
      <c r="M16" s="8"/>
      <c r="N16" s="8"/>
      <c r="O16" s="8"/>
      <c r="P16" s="8"/>
      <c r="Q16" s="7"/>
      <c r="R16" s="8"/>
      <c r="S16" s="7"/>
      <c r="T16" s="8"/>
      <c r="U16" s="164"/>
    </row>
    <row r="17" spans="1:21" x14ac:dyDescent="0.25">
      <c r="A17" s="160" t="b">
        <v>0</v>
      </c>
      <c r="B17" s="7">
        <f t="shared" si="0"/>
        <v>16</v>
      </c>
      <c r="C17" s="7" t="e">
        <f t="shared" si="1"/>
        <v>#N/A</v>
      </c>
      <c r="D17" s="7" t="e">
        <f>_xlfn.XLOOKUP($E17,Tab_Def_Processes[Process_Name],Tab_Def_Processes[Process_ID],,0,)</f>
        <v>#N/A</v>
      </c>
      <c r="E17" s="8" t="s">
        <v>31</v>
      </c>
      <c r="F17" s="7" t="e">
        <f>_xlfn.XLOOKUP($E17,Tab_Def_Processes[Process_Name],Tab_Def_Processes[Process_Type],,0,)</f>
        <v>#N/A</v>
      </c>
      <c r="G17" s="7" t="e">
        <f>_xlfn.XLOOKUP($E17,Tab_Def_Processes[Process_Name],Tab_Def_Processes[TC?],,0,)</f>
        <v>#N/A</v>
      </c>
      <c r="H17" s="7" t="e">
        <f>_xlfn.XLOOKUP($E17,Tab_Def_Processes[Process_Name],Tab_Def_Processes[TC_Type],,0,)</f>
        <v>#N/A</v>
      </c>
      <c r="I17" s="7" t="e">
        <f>_xlfn.XLOOKUP($E17,Tab_Def_Processes[Process_Name],Tab_Def_Processes[Stock?],,0,)</f>
        <v>#N/A</v>
      </c>
      <c r="J17" s="7" t="e">
        <f>_xlfn.XLOOKUP($E17,Tab_Def_Processes[Process_Name],Tab_Def_Processes[Initial_Stock?],,0,)</f>
        <v>#N/A</v>
      </c>
      <c r="K17" s="153"/>
      <c r="L17" s="8"/>
      <c r="M17" s="8"/>
      <c r="N17" s="8"/>
      <c r="O17" s="8"/>
      <c r="P17" s="8"/>
      <c r="Q17" s="7"/>
      <c r="R17" s="8"/>
      <c r="S17" s="7"/>
      <c r="T17" s="8"/>
      <c r="U17" s="164"/>
    </row>
    <row r="18" spans="1:21" x14ac:dyDescent="0.25">
      <c r="A18" s="160" t="b">
        <v>0</v>
      </c>
      <c r="B18" s="7">
        <f t="shared" si="0"/>
        <v>17</v>
      </c>
      <c r="C18" s="7" t="e">
        <f t="shared" si="1"/>
        <v>#N/A</v>
      </c>
      <c r="D18" s="7" t="e">
        <f>_xlfn.XLOOKUP($E18,Tab_Def_Processes[Process_Name],Tab_Def_Processes[Process_ID],,0,)</f>
        <v>#N/A</v>
      </c>
      <c r="E18" s="8" t="s">
        <v>31</v>
      </c>
      <c r="F18" s="7" t="e">
        <f>_xlfn.XLOOKUP($E18,Tab_Def_Processes[Process_Name],Tab_Def_Processes[Process_Type],,0,)</f>
        <v>#N/A</v>
      </c>
      <c r="G18" s="7" t="e">
        <f>_xlfn.XLOOKUP($E18,Tab_Def_Processes[Process_Name],Tab_Def_Processes[TC?],,0,)</f>
        <v>#N/A</v>
      </c>
      <c r="H18" s="7" t="e">
        <f>_xlfn.XLOOKUP($E18,Tab_Def_Processes[Process_Name],Tab_Def_Processes[TC_Type],,0,)</f>
        <v>#N/A</v>
      </c>
      <c r="I18" s="7" t="e">
        <f>_xlfn.XLOOKUP($E18,Tab_Def_Processes[Process_Name],Tab_Def_Processes[Stock?],,0,)</f>
        <v>#N/A</v>
      </c>
      <c r="J18" s="7" t="e">
        <f>_xlfn.XLOOKUP($E18,Tab_Def_Processes[Process_Name],Tab_Def_Processes[Initial_Stock?],,0,)</f>
        <v>#N/A</v>
      </c>
      <c r="K18" s="153"/>
      <c r="L18" s="8"/>
      <c r="M18" s="8"/>
      <c r="N18" s="8"/>
      <c r="O18" s="8"/>
      <c r="P18" s="8"/>
      <c r="Q18" s="7"/>
      <c r="R18" s="8"/>
      <c r="S18" s="7"/>
      <c r="T18" s="8"/>
      <c r="U18" s="164"/>
    </row>
    <row r="19" spans="1:21" x14ac:dyDescent="0.25">
      <c r="A19" s="160" t="b">
        <v>0</v>
      </c>
      <c r="B19" s="7">
        <f t="shared" si="0"/>
        <v>18</v>
      </c>
      <c r="C19" s="7" t="e">
        <f t="shared" si="1"/>
        <v>#N/A</v>
      </c>
      <c r="D19" s="7" t="e">
        <f>_xlfn.XLOOKUP($E19,Tab_Def_Processes[Process_Name],Tab_Def_Processes[Process_ID],,0,)</f>
        <v>#N/A</v>
      </c>
      <c r="E19" s="8" t="s">
        <v>31</v>
      </c>
      <c r="F19" s="7" t="e">
        <f>_xlfn.XLOOKUP($E19,Tab_Def_Processes[Process_Name],Tab_Def_Processes[Process_Type],,0,)</f>
        <v>#N/A</v>
      </c>
      <c r="G19" s="7" t="e">
        <f>_xlfn.XLOOKUP($E19,Tab_Def_Processes[Process_Name],Tab_Def_Processes[TC?],,0,)</f>
        <v>#N/A</v>
      </c>
      <c r="H19" s="7" t="e">
        <f>_xlfn.XLOOKUP($E19,Tab_Def_Processes[Process_Name],Tab_Def_Processes[TC_Type],,0,)</f>
        <v>#N/A</v>
      </c>
      <c r="I19" s="7" t="e">
        <f>_xlfn.XLOOKUP($E19,Tab_Def_Processes[Process_Name],Tab_Def_Processes[Stock?],,0,)</f>
        <v>#N/A</v>
      </c>
      <c r="J19" s="7" t="e">
        <f>_xlfn.XLOOKUP($E19,Tab_Def_Processes[Process_Name],Tab_Def_Processes[Initial_Stock?],,0,)</f>
        <v>#N/A</v>
      </c>
      <c r="K19" s="153"/>
      <c r="L19" s="8"/>
      <c r="M19" s="8"/>
      <c r="N19" s="8"/>
      <c r="O19" s="8"/>
      <c r="P19" s="8"/>
      <c r="Q19" s="7"/>
      <c r="R19" s="8"/>
      <c r="S19" s="7"/>
      <c r="T19" s="8"/>
      <c r="U19" s="164"/>
    </row>
    <row r="20" spans="1:21" x14ac:dyDescent="0.25">
      <c r="A20" s="160" t="b">
        <v>0</v>
      </c>
      <c r="B20" s="7">
        <f t="shared" si="0"/>
        <v>19</v>
      </c>
      <c r="C20" s="7" t="e">
        <f t="shared" si="1"/>
        <v>#N/A</v>
      </c>
      <c r="D20" s="7" t="e">
        <f>_xlfn.XLOOKUP($E20,Tab_Def_Processes[Process_Name],Tab_Def_Processes[Process_ID],,0,)</f>
        <v>#N/A</v>
      </c>
      <c r="E20" s="8" t="s">
        <v>31</v>
      </c>
      <c r="F20" s="7" t="e">
        <f>_xlfn.XLOOKUP($E20,Tab_Def_Processes[Process_Name],Tab_Def_Processes[Process_Type],,0,)</f>
        <v>#N/A</v>
      </c>
      <c r="G20" s="7" t="e">
        <f>_xlfn.XLOOKUP($E20,Tab_Def_Processes[Process_Name],Tab_Def_Processes[TC?],,0,)</f>
        <v>#N/A</v>
      </c>
      <c r="H20" s="7" t="e">
        <f>_xlfn.XLOOKUP($E20,Tab_Def_Processes[Process_Name],Tab_Def_Processes[TC_Type],,0,)</f>
        <v>#N/A</v>
      </c>
      <c r="I20" s="7" t="e">
        <f>_xlfn.XLOOKUP($E20,Tab_Def_Processes[Process_Name],Tab_Def_Processes[Stock?],,0,)</f>
        <v>#N/A</v>
      </c>
      <c r="J20" s="7" t="e">
        <f>_xlfn.XLOOKUP($E20,Tab_Def_Processes[Process_Name],Tab_Def_Processes[Initial_Stock?],,0,)</f>
        <v>#N/A</v>
      </c>
      <c r="K20" s="153"/>
      <c r="L20" s="8"/>
      <c r="M20" s="8"/>
      <c r="N20" s="8"/>
      <c r="O20" s="8"/>
      <c r="P20" s="8"/>
      <c r="Q20" s="7"/>
      <c r="R20" s="8"/>
      <c r="S20" s="7"/>
      <c r="T20" s="8"/>
      <c r="U20" s="164"/>
    </row>
    <row r="21" spans="1:21" x14ac:dyDescent="0.25">
      <c r="A21" s="160" t="b">
        <v>0</v>
      </c>
      <c r="B21" s="7">
        <f t="shared" si="0"/>
        <v>20</v>
      </c>
      <c r="C21" s="7" t="e">
        <f t="shared" si="1"/>
        <v>#N/A</v>
      </c>
      <c r="D21" s="7" t="e">
        <f>_xlfn.XLOOKUP($E21,Tab_Def_Processes[Process_Name],Tab_Def_Processes[Process_ID],,0,)</f>
        <v>#N/A</v>
      </c>
      <c r="E21" s="8" t="s">
        <v>31</v>
      </c>
      <c r="F21" s="7" t="e">
        <f>_xlfn.XLOOKUP($E21,Tab_Def_Processes[Process_Name],Tab_Def_Processes[Process_Type],,0,)</f>
        <v>#N/A</v>
      </c>
      <c r="G21" s="7" t="e">
        <f>_xlfn.XLOOKUP($E21,Tab_Def_Processes[Process_Name],Tab_Def_Processes[TC?],,0,)</f>
        <v>#N/A</v>
      </c>
      <c r="H21" s="7" t="e">
        <f>_xlfn.XLOOKUP($E21,Tab_Def_Processes[Process_Name],Tab_Def_Processes[TC_Type],,0,)</f>
        <v>#N/A</v>
      </c>
      <c r="I21" s="7" t="e">
        <f>_xlfn.XLOOKUP($E21,Tab_Def_Processes[Process_Name],Tab_Def_Processes[Stock?],,0,)</f>
        <v>#N/A</v>
      </c>
      <c r="J21" s="7" t="e">
        <f>_xlfn.XLOOKUP($E21,Tab_Def_Processes[Process_Name],Tab_Def_Processes[Initial_Stock?],,0,)</f>
        <v>#N/A</v>
      </c>
      <c r="K21" s="153"/>
      <c r="L21" s="8"/>
      <c r="M21" s="8"/>
      <c r="N21" s="8"/>
      <c r="O21" s="8"/>
      <c r="P21" s="8"/>
      <c r="Q21" s="7"/>
      <c r="R21" s="8"/>
      <c r="S21" s="7"/>
      <c r="T21" s="8"/>
      <c r="U21" s="164"/>
    </row>
    <row r="22" spans="1:21" x14ac:dyDescent="0.25">
      <c r="A22" s="160" t="b">
        <v>0</v>
      </c>
      <c r="B22" s="7">
        <f t="shared" si="0"/>
        <v>21</v>
      </c>
      <c r="C22" s="7" t="e">
        <f t="shared" si="1"/>
        <v>#N/A</v>
      </c>
      <c r="D22" s="7" t="e">
        <f>_xlfn.XLOOKUP($E22,Tab_Def_Processes[Process_Name],Tab_Def_Processes[Process_ID],,0,)</f>
        <v>#N/A</v>
      </c>
      <c r="E22" s="8" t="s">
        <v>31</v>
      </c>
      <c r="F22" s="7" t="e">
        <f>_xlfn.XLOOKUP($E22,Tab_Def_Processes[Process_Name],Tab_Def_Processes[Process_Type],,0,)</f>
        <v>#N/A</v>
      </c>
      <c r="G22" s="7" t="e">
        <f>_xlfn.XLOOKUP($E22,Tab_Def_Processes[Process_Name],Tab_Def_Processes[TC?],,0,)</f>
        <v>#N/A</v>
      </c>
      <c r="H22" s="7" t="e">
        <f>_xlfn.XLOOKUP($E22,Tab_Def_Processes[Process_Name],Tab_Def_Processes[TC_Type],,0,)</f>
        <v>#N/A</v>
      </c>
      <c r="I22" s="7" t="e">
        <f>_xlfn.XLOOKUP($E22,Tab_Def_Processes[Process_Name],Tab_Def_Processes[Stock?],,0,)</f>
        <v>#N/A</v>
      </c>
      <c r="J22" s="7" t="e">
        <f>_xlfn.XLOOKUP($E22,Tab_Def_Processes[Process_Name],Tab_Def_Processes[Initial_Stock?],,0,)</f>
        <v>#N/A</v>
      </c>
      <c r="K22" s="153"/>
      <c r="L22" s="8"/>
      <c r="M22" s="8"/>
      <c r="N22" s="8"/>
      <c r="O22" s="8"/>
      <c r="P22" s="8"/>
      <c r="Q22" s="7"/>
      <c r="R22" s="8"/>
      <c r="S22" s="7"/>
      <c r="T22" s="8"/>
      <c r="U22" s="164"/>
    </row>
    <row r="23" spans="1:21" x14ac:dyDescent="0.25">
      <c r="A23" s="160" t="b">
        <v>0</v>
      </c>
      <c r="B23" s="7">
        <f t="shared" si="0"/>
        <v>22</v>
      </c>
      <c r="C23" s="7" t="e">
        <f t="shared" si="1"/>
        <v>#N/A</v>
      </c>
      <c r="D23" s="7" t="e">
        <f>_xlfn.XLOOKUP($E23,Tab_Def_Processes[Process_Name],Tab_Def_Processes[Process_ID],,0,)</f>
        <v>#N/A</v>
      </c>
      <c r="E23" s="8" t="s">
        <v>31</v>
      </c>
      <c r="F23" s="7" t="e">
        <f>_xlfn.XLOOKUP($E23,Tab_Def_Processes[Process_Name],Tab_Def_Processes[Process_Type],,0,)</f>
        <v>#N/A</v>
      </c>
      <c r="G23" s="7" t="e">
        <f>_xlfn.XLOOKUP($E23,Tab_Def_Processes[Process_Name],Tab_Def_Processes[TC?],,0,)</f>
        <v>#N/A</v>
      </c>
      <c r="H23" s="7" t="e">
        <f>_xlfn.XLOOKUP($E23,Tab_Def_Processes[Process_Name],Tab_Def_Processes[TC_Type],,0,)</f>
        <v>#N/A</v>
      </c>
      <c r="I23" s="7" t="e">
        <f>_xlfn.XLOOKUP($E23,Tab_Def_Processes[Process_Name],Tab_Def_Processes[Stock?],,0,)</f>
        <v>#N/A</v>
      </c>
      <c r="J23" s="7" t="e">
        <f>_xlfn.XLOOKUP($E23,Tab_Def_Processes[Process_Name],Tab_Def_Processes[Initial_Stock?],,0,)</f>
        <v>#N/A</v>
      </c>
      <c r="K23" s="153"/>
      <c r="L23" s="8"/>
      <c r="M23" s="8"/>
      <c r="N23" s="8"/>
      <c r="O23" s="8"/>
      <c r="P23" s="8"/>
      <c r="Q23" s="7"/>
      <c r="R23" s="8"/>
      <c r="S23" s="7"/>
      <c r="T23" s="8"/>
      <c r="U23" s="164"/>
    </row>
    <row r="24" spans="1:21" x14ac:dyDescent="0.25">
      <c r="A24" s="160" t="b">
        <v>0</v>
      </c>
      <c r="B24" s="7">
        <f t="shared" si="0"/>
        <v>23</v>
      </c>
      <c r="C24" s="7" t="e">
        <f t="shared" si="1"/>
        <v>#N/A</v>
      </c>
      <c r="D24" s="7" t="e">
        <f>_xlfn.XLOOKUP($E24,Tab_Def_Processes[Process_Name],Tab_Def_Processes[Process_ID],,0,)</f>
        <v>#N/A</v>
      </c>
      <c r="E24" s="8" t="s">
        <v>31</v>
      </c>
      <c r="F24" s="7" t="e">
        <f>_xlfn.XLOOKUP($E24,Tab_Def_Processes[Process_Name],Tab_Def_Processes[Process_Type],,0,)</f>
        <v>#N/A</v>
      </c>
      <c r="G24" s="7" t="e">
        <f>_xlfn.XLOOKUP($E24,Tab_Def_Processes[Process_Name],Tab_Def_Processes[TC?],,0,)</f>
        <v>#N/A</v>
      </c>
      <c r="H24" s="7" t="e">
        <f>_xlfn.XLOOKUP($E24,Tab_Def_Processes[Process_Name],Tab_Def_Processes[TC_Type],,0,)</f>
        <v>#N/A</v>
      </c>
      <c r="I24" s="7" t="e">
        <f>_xlfn.XLOOKUP($E24,Tab_Def_Processes[Process_Name],Tab_Def_Processes[Stock?],,0,)</f>
        <v>#N/A</v>
      </c>
      <c r="J24" s="7" t="e">
        <f>_xlfn.XLOOKUP($E24,Tab_Def_Processes[Process_Name],Tab_Def_Processes[Initial_Stock?],,0,)</f>
        <v>#N/A</v>
      </c>
      <c r="K24" s="153"/>
      <c r="L24" s="8"/>
      <c r="M24" s="8"/>
      <c r="N24" s="8"/>
      <c r="O24" s="8"/>
      <c r="P24" s="8"/>
      <c r="Q24" s="7"/>
      <c r="R24" s="8"/>
      <c r="S24" s="7"/>
      <c r="T24" s="8"/>
      <c r="U24" s="164"/>
    </row>
    <row r="25" spans="1:21" x14ac:dyDescent="0.25">
      <c r="A25" s="160" t="b">
        <v>0</v>
      </c>
      <c r="B25" s="7">
        <f t="shared" si="0"/>
        <v>24</v>
      </c>
      <c r="C25" s="7" t="e">
        <f t="shared" si="1"/>
        <v>#N/A</v>
      </c>
      <c r="D25" s="7" t="e">
        <f>_xlfn.XLOOKUP($E25,Tab_Def_Processes[Process_Name],Tab_Def_Processes[Process_ID],,0,)</f>
        <v>#N/A</v>
      </c>
      <c r="E25" s="8" t="s">
        <v>31</v>
      </c>
      <c r="F25" s="7" t="e">
        <f>_xlfn.XLOOKUP($E25,Tab_Def_Processes[Process_Name],Tab_Def_Processes[Process_Type],,0,)</f>
        <v>#N/A</v>
      </c>
      <c r="G25" s="7" t="e">
        <f>_xlfn.XLOOKUP($E25,Tab_Def_Processes[Process_Name],Tab_Def_Processes[TC?],,0,)</f>
        <v>#N/A</v>
      </c>
      <c r="H25" s="7" t="e">
        <f>_xlfn.XLOOKUP($E25,Tab_Def_Processes[Process_Name],Tab_Def_Processes[TC_Type],,0,)</f>
        <v>#N/A</v>
      </c>
      <c r="I25" s="7" t="e">
        <f>_xlfn.XLOOKUP($E25,Tab_Def_Processes[Process_Name],Tab_Def_Processes[Stock?],,0,)</f>
        <v>#N/A</v>
      </c>
      <c r="J25" s="7" t="e">
        <f>_xlfn.XLOOKUP($E25,Tab_Def_Processes[Process_Name],Tab_Def_Processes[Initial_Stock?],,0,)</f>
        <v>#N/A</v>
      </c>
      <c r="K25" s="153"/>
      <c r="L25" s="8"/>
      <c r="M25" s="8"/>
      <c r="N25" s="8"/>
      <c r="O25" s="8"/>
      <c r="P25" s="8"/>
      <c r="Q25" s="7"/>
      <c r="R25" s="8"/>
      <c r="S25" s="7"/>
      <c r="T25" s="8"/>
      <c r="U25" s="164"/>
    </row>
    <row r="26" spans="1:21" x14ac:dyDescent="0.25">
      <c r="A26" s="160" t="b">
        <v>0</v>
      </c>
      <c r="B26" s="7">
        <f t="shared" si="0"/>
        <v>25</v>
      </c>
      <c r="C26" s="7" t="e">
        <f t="shared" si="1"/>
        <v>#N/A</v>
      </c>
      <c r="D26" s="7" t="e">
        <f>_xlfn.XLOOKUP($E26,Tab_Def_Processes[Process_Name],Tab_Def_Processes[Process_ID],,0,)</f>
        <v>#N/A</v>
      </c>
      <c r="E26" s="8" t="s">
        <v>31</v>
      </c>
      <c r="F26" s="7" t="e">
        <f>_xlfn.XLOOKUP($E26,Tab_Def_Processes[Process_Name],Tab_Def_Processes[Process_Type],,0,)</f>
        <v>#N/A</v>
      </c>
      <c r="G26" s="7" t="e">
        <f>_xlfn.XLOOKUP($E26,Tab_Def_Processes[Process_Name],Tab_Def_Processes[TC?],,0,)</f>
        <v>#N/A</v>
      </c>
      <c r="H26" s="7" t="e">
        <f>_xlfn.XLOOKUP($E26,Tab_Def_Processes[Process_Name],Tab_Def_Processes[TC_Type],,0,)</f>
        <v>#N/A</v>
      </c>
      <c r="I26" s="7" t="e">
        <f>_xlfn.XLOOKUP($E26,Tab_Def_Processes[Process_Name],Tab_Def_Processes[Stock?],,0,)</f>
        <v>#N/A</v>
      </c>
      <c r="J26" s="7" t="e">
        <f>_xlfn.XLOOKUP($E26,Tab_Def_Processes[Process_Name],Tab_Def_Processes[Initial_Stock?],,0,)</f>
        <v>#N/A</v>
      </c>
      <c r="K26" s="153"/>
      <c r="L26" s="8"/>
      <c r="M26" s="8"/>
      <c r="N26" s="8"/>
      <c r="O26" s="8"/>
      <c r="P26" s="8"/>
      <c r="Q26" s="7"/>
      <c r="R26" s="8"/>
      <c r="S26" s="7"/>
      <c r="T26" s="8"/>
      <c r="U26" s="164"/>
    </row>
    <row r="27" spans="1:21" x14ac:dyDescent="0.25">
      <c r="A27" s="160" t="b">
        <v>0</v>
      </c>
      <c r="B27" s="7">
        <f t="shared" si="0"/>
        <v>26</v>
      </c>
      <c r="C27" s="7" t="e">
        <f t="shared" si="1"/>
        <v>#N/A</v>
      </c>
      <c r="D27" s="7" t="e">
        <f>_xlfn.XLOOKUP($E27,Tab_Def_Processes[Process_Name],Tab_Def_Processes[Process_ID],,0,)</f>
        <v>#N/A</v>
      </c>
      <c r="E27" s="8" t="s">
        <v>31</v>
      </c>
      <c r="F27" s="7" t="e">
        <f>_xlfn.XLOOKUP($E27,Tab_Def_Processes[Process_Name],Tab_Def_Processes[Process_Type],,0,)</f>
        <v>#N/A</v>
      </c>
      <c r="G27" s="7" t="e">
        <f>_xlfn.XLOOKUP($E27,Tab_Def_Processes[Process_Name],Tab_Def_Processes[TC?],,0,)</f>
        <v>#N/A</v>
      </c>
      <c r="H27" s="7" t="e">
        <f>_xlfn.XLOOKUP($E27,Tab_Def_Processes[Process_Name],Tab_Def_Processes[TC_Type],,0,)</f>
        <v>#N/A</v>
      </c>
      <c r="I27" s="7" t="e">
        <f>_xlfn.XLOOKUP($E27,Tab_Def_Processes[Process_Name],Tab_Def_Processes[Stock?],,0,)</f>
        <v>#N/A</v>
      </c>
      <c r="J27" s="7" t="e">
        <f>_xlfn.XLOOKUP($E27,Tab_Def_Processes[Process_Name],Tab_Def_Processes[Initial_Stock?],,0,)</f>
        <v>#N/A</v>
      </c>
      <c r="K27" s="153"/>
      <c r="L27" s="8"/>
      <c r="M27" s="8"/>
      <c r="N27" s="8"/>
      <c r="O27" s="8"/>
      <c r="P27" s="8"/>
      <c r="Q27" s="7"/>
      <c r="R27" s="8"/>
      <c r="S27" s="7"/>
      <c r="T27" s="8"/>
      <c r="U27" s="164"/>
    </row>
    <row r="28" spans="1:21" x14ac:dyDescent="0.25">
      <c r="A28" s="160" t="b">
        <v>0</v>
      </c>
      <c r="B28" s="7">
        <f t="shared" si="0"/>
        <v>27</v>
      </c>
      <c r="C28" s="7" t="e">
        <f t="shared" si="1"/>
        <v>#N/A</v>
      </c>
      <c r="D28" s="7" t="e">
        <f>_xlfn.XLOOKUP($E28,Tab_Def_Processes[Process_Name],Tab_Def_Processes[Process_ID],,0,)</f>
        <v>#N/A</v>
      </c>
      <c r="E28" s="8" t="s">
        <v>31</v>
      </c>
      <c r="F28" s="7" t="e">
        <f>_xlfn.XLOOKUP($E28,Tab_Def_Processes[Process_Name],Tab_Def_Processes[Process_Type],,0,)</f>
        <v>#N/A</v>
      </c>
      <c r="G28" s="7" t="e">
        <f>_xlfn.XLOOKUP($E28,Tab_Def_Processes[Process_Name],Tab_Def_Processes[TC?],,0,)</f>
        <v>#N/A</v>
      </c>
      <c r="H28" s="7" t="e">
        <f>_xlfn.XLOOKUP($E28,Tab_Def_Processes[Process_Name],Tab_Def_Processes[TC_Type],,0,)</f>
        <v>#N/A</v>
      </c>
      <c r="I28" s="7" t="e">
        <f>_xlfn.XLOOKUP($E28,Tab_Def_Processes[Process_Name],Tab_Def_Processes[Stock?],,0,)</f>
        <v>#N/A</v>
      </c>
      <c r="J28" s="7" t="e">
        <f>_xlfn.XLOOKUP($E28,Tab_Def_Processes[Process_Name],Tab_Def_Processes[Initial_Stock?],,0,)</f>
        <v>#N/A</v>
      </c>
      <c r="K28" s="153"/>
      <c r="L28" s="8"/>
      <c r="M28" s="8"/>
      <c r="N28" s="8"/>
      <c r="O28" s="8"/>
      <c r="P28" s="8"/>
      <c r="Q28" s="7"/>
      <c r="R28" s="8"/>
      <c r="S28" s="7"/>
      <c r="T28" s="8"/>
      <c r="U28" s="164"/>
    </row>
    <row r="29" spans="1:21" x14ac:dyDescent="0.25">
      <c r="A29" s="160" t="b">
        <v>0</v>
      </c>
      <c r="B29" s="7">
        <f t="shared" si="0"/>
        <v>28</v>
      </c>
      <c r="C29" s="7" t="e">
        <f t="shared" si="1"/>
        <v>#N/A</v>
      </c>
      <c r="D29" s="7" t="e">
        <f>_xlfn.XLOOKUP($E29,Tab_Def_Processes[Process_Name],Tab_Def_Processes[Process_ID],,0,)</f>
        <v>#N/A</v>
      </c>
      <c r="E29" s="8" t="s">
        <v>31</v>
      </c>
      <c r="F29" s="7" t="e">
        <f>_xlfn.XLOOKUP($E29,Tab_Def_Processes[Process_Name],Tab_Def_Processes[Process_Type],,0,)</f>
        <v>#N/A</v>
      </c>
      <c r="G29" s="7" t="e">
        <f>_xlfn.XLOOKUP($E29,Tab_Def_Processes[Process_Name],Tab_Def_Processes[TC?],,0,)</f>
        <v>#N/A</v>
      </c>
      <c r="H29" s="7" t="e">
        <f>_xlfn.XLOOKUP($E29,Tab_Def_Processes[Process_Name],Tab_Def_Processes[TC_Type],,0,)</f>
        <v>#N/A</v>
      </c>
      <c r="I29" s="7" t="e">
        <f>_xlfn.XLOOKUP($E29,Tab_Def_Processes[Process_Name],Tab_Def_Processes[Stock?],,0,)</f>
        <v>#N/A</v>
      </c>
      <c r="J29" s="7" t="e">
        <f>_xlfn.XLOOKUP($E29,Tab_Def_Processes[Process_Name],Tab_Def_Processes[Initial_Stock?],,0,)</f>
        <v>#N/A</v>
      </c>
      <c r="K29" s="153"/>
      <c r="L29" s="8"/>
      <c r="M29" s="8"/>
      <c r="N29" s="8"/>
      <c r="O29" s="8"/>
      <c r="P29" s="8"/>
      <c r="Q29" s="7"/>
      <c r="R29" s="8"/>
      <c r="S29" s="7"/>
      <c r="T29" s="8"/>
      <c r="U29" s="164"/>
    </row>
    <row r="30" spans="1:21" x14ac:dyDescent="0.25">
      <c r="A30" s="160" t="b">
        <v>0</v>
      </c>
      <c r="B30" s="7">
        <f t="shared" si="0"/>
        <v>29</v>
      </c>
      <c r="C30" s="7" t="e">
        <f t="shared" si="1"/>
        <v>#N/A</v>
      </c>
      <c r="D30" s="7" t="e">
        <f>_xlfn.XLOOKUP($E30,Tab_Def_Processes[Process_Name],Tab_Def_Processes[Process_ID],,0,)</f>
        <v>#N/A</v>
      </c>
      <c r="E30" s="8" t="s">
        <v>31</v>
      </c>
      <c r="F30" s="7" t="e">
        <f>_xlfn.XLOOKUP($E30,Tab_Def_Processes[Process_Name],Tab_Def_Processes[Process_Type],,0,)</f>
        <v>#N/A</v>
      </c>
      <c r="G30" s="7" t="e">
        <f>_xlfn.XLOOKUP($E30,Tab_Def_Processes[Process_Name],Tab_Def_Processes[TC?],,0,)</f>
        <v>#N/A</v>
      </c>
      <c r="H30" s="7" t="e">
        <f>_xlfn.XLOOKUP($E30,Tab_Def_Processes[Process_Name],Tab_Def_Processes[TC_Type],,0,)</f>
        <v>#N/A</v>
      </c>
      <c r="I30" s="7" t="e">
        <f>_xlfn.XLOOKUP($E30,Tab_Def_Processes[Process_Name],Tab_Def_Processes[Stock?],,0,)</f>
        <v>#N/A</v>
      </c>
      <c r="J30" s="7" t="e">
        <f>_xlfn.XLOOKUP($E30,Tab_Def_Processes[Process_Name],Tab_Def_Processes[Initial_Stock?],,0,)</f>
        <v>#N/A</v>
      </c>
      <c r="K30" s="153"/>
      <c r="L30" s="8"/>
      <c r="M30" s="8"/>
      <c r="N30" s="8"/>
      <c r="O30" s="8"/>
      <c r="P30" s="8"/>
      <c r="Q30" s="7"/>
      <c r="R30" s="8"/>
      <c r="S30" s="7"/>
      <c r="T30" s="8"/>
      <c r="U30" s="164"/>
    </row>
    <row r="31" spans="1:21" x14ac:dyDescent="0.25">
      <c r="A31" s="160" t="b">
        <v>0</v>
      </c>
      <c r="B31" s="7">
        <f t="shared" si="0"/>
        <v>30</v>
      </c>
      <c r="C31" s="7" t="e">
        <f t="shared" si="1"/>
        <v>#N/A</v>
      </c>
      <c r="D31" s="7" t="e">
        <f>_xlfn.XLOOKUP($E31,Tab_Def_Processes[Process_Name],Tab_Def_Processes[Process_ID],,0,)</f>
        <v>#N/A</v>
      </c>
      <c r="E31" s="8" t="s">
        <v>31</v>
      </c>
      <c r="F31" s="7" t="e">
        <f>_xlfn.XLOOKUP($E31,Tab_Def_Processes[Process_Name],Tab_Def_Processes[Process_Type],,0,)</f>
        <v>#N/A</v>
      </c>
      <c r="G31" s="7" t="e">
        <f>_xlfn.XLOOKUP($E31,Tab_Def_Processes[Process_Name],Tab_Def_Processes[TC?],,0,)</f>
        <v>#N/A</v>
      </c>
      <c r="H31" s="7" t="e">
        <f>_xlfn.XLOOKUP($E31,Tab_Def_Processes[Process_Name],Tab_Def_Processes[TC_Type],,0,)</f>
        <v>#N/A</v>
      </c>
      <c r="I31" s="7" t="e">
        <f>_xlfn.XLOOKUP($E31,Tab_Def_Processes[Process_Name],Tab_Def_Processes[Stock?],,0,)</f>
        <v>#N/A</v>
      </c>
      <c r="J31" s="7" t="e">
        <f>_xlfn.XLOOKUP($E31,Tab_Def_Processes[Process_Name],Tab_Def_Processes[Initial_Stock?],,0,)</f>
        <v>#N/A</v>
      </c>
      <c r="K31" s="153"/>
      <c r="L31" s="8"/>
      <c r="M31" s="8"/>
      <c r="N31" s="8"/>
      <c r="O31" s="8"/>
      <c r="P31" s="8"/>
      <c r="Q31" s="7"/>
      <c r="R31" s="8"/>
      <c r="S31" s="7"/>
      <c r="T31" s="8"/>
      <c r="U31" s="164"/>
    </row>
    <row r="32" spans="1:21" x14ac:dyDescent="0.25">
      <c r="A32" s="160" t="b">
        <v>0</v>
      </c>
      <c r="B32" s="7">
        <f t="shared" si="0"/>
        <v>31</v>
      </c>
      <c r="C32" s="7" t="e">
        <f t="shared" si="1"/>
        <v>#N/A</v>
      </c>
      <c r="D32" s="7" t="e">
        <f>_xlfn.XLOOKUP($E32,Tab_Def_Processes[Process_Name],Tab_Def_Processes[Process_ID],,0,)</f>
        <v>#N/A</v>
      </c>
      <c r="E32" s="8" t="s">
        <v>31</v>
      </c>
      <c r="F32" s="7" t="e">
        <f>_xlfn.XLOOKUP($E32,Tab_Def_Processes[Process_Name],Tab_Def_Processes[Process_Type],,0,)</f>
        <v>#N/A</v>
      </c>
      <c r="G32" s="7" t="e">
        <f>_xlfn.XLOOKUP($E32,Tab_Def_Processes[Process_Name],Tab_Def_Processes[TC?],,0,)</f>
        <v>#N/A</v>
      </c>
      <c r="H32" s="7" t="e">
        <f>_xlfn.XLOOKUP($E32,Tab_Def_Processes[Process_Name],Tab_Def_Processes[TC_Type],,0,)</f>
        <v>#N/A</v>
      </c>
      <c r="I32" s="7" t="e">
        <f>_xlfn.XLOOKUP($E32,Tab_Def_Processes[Process_Name],Tab_Def_Processes[Stock?],,0,)</f>
        <v>#N/A</v>
      </c>
      <c r="J32" s="7" t="e">
        <f>_xlfn.XLOOKUP($E32,Tab_Def_Processes[Process_Name],Tab_Def_Processes[Initial_Stock?],,0,)</f>
        <v>#N/A</v>
      </c>
      <c r="K32" s="153"/>
      <c r="L32" s="8"/>
      <c r="M32" s="8"/>
      <c r="N32" s="8"/>
      <c r="O32" s="8"/>
      <c r="P32" s="8"/>
      <c r="Q32" s="7"/>
      <c r="R32" s="8"/>
      <c r="S32" s="7"/>
      <c r="T32" s="8"/>
      <c r="U32" s="164"/>
    </row>
    <row r="33" spans="1:21" x14ac:dyDescent="0.25">
      <c r="A33" s="160" t="b">
        <v>0</v>
      </c>
      <c r="B33" s="7">
        <f t="shared" si="0"/>
        <v>32</v>
      </c>
      <c r="C33" s="7" t="e">
        <f t="shared" si="1"/>
        <v>#N/A</v>
      </c>
      <c r="D33" s="7" t="e">
        <f>_xlfn.XLOOKUP($E33,Tab_Def_Processes[Process_Name],Tab_Def_Processes[Process_ID],,0,)</f>
        <v>#N/A</v>
      </c>
      <c r="E33" s="8" t="s">
        <v>31</v>
      </c>
      <c r="F33" s="7" t="e">
        <f>_xlfn.XLOOKUP($E33,Tab_Def_Processes[Process_Name],Tab_Def_Processes[Process_Type],,0,)</f>
        <v>#N/A</v>
      </c>
      <c r="G33" s="7" t="e">
        <f>_xlfn.XLOOKUP($E33,Tab_Def_Processes[Process_Name],Tab_Def_Processes[TC?],,0,)</f>
        <v>#N/A</v>
      </c>
      <c r="H33" s="7" t="e">
        <f>_xlfn.XLOOKUP($E33,Tab_Def_Processes[Process_Name],Tab_Def_Processes[TC_Type],,0,)</f>
        <v>#N/A</v>
      </c>
      <c r="I33" s="7" t="e">
        <f>_xlfn.XLOOKUP($E33,Tab_Def_Processes[Process_Name],Tab_Def_Processes[Stock?],,0,)</f>
        <v>#N/A</v>
      </c>
      <c r="J33" s="7" t="e">
        <f>_xlfn.XLOOKUP($E33,Tab_Def_Processes[Process_Name],Tab_Def_Processes[Initial_Stock?],,0,)</f>
        <v>#N/A</v>
      </c>
      <c r="K33" s="153"/>
      <c r="L33" s="8"/>
      <c r="M33" s="8"/>
      <c r="N33" s="8"/>
      <c r="O33" s="8"/>
      <c r="P33" s="8"/>
      <c r="Q33" s="7"/>
      <c r="R33" s="8"/>
      <c r="S33" s="7"/>
      <c r="T33" s="8"/>
      <c r="U33" s="164"/>
    </row>
    <row r="34" spans="1:21" x14ac:dyDescent="0.25">
      <c r="A34" s="160" t="b">
        <v>0</v>
      </c>
      <c r="B34" s="7">
        <f t="shared" ref="B34:B51" si="2">ROW()-1</f>
        <v>33</v>
      </c>
      <c r="C34" s="7" t="e">
        <f t="shared" si="1"/>
        <v>#N/A</v>
      </c>
      <c r="D34" s="7" t="e">
        <f>_xlfn.XLOOKUP($E34,Tab_Def_Processes[Process_Name],Tab_Def_Processes[Process_ID],,0,)</f>
        <v>#N/A</v>
      </c>
      <c r="E34" s="8" t="s">
        <v>31</v>
      </c>
      <c r="F34" s="7" t="e">
        <f>_xlfn.XLOOKUP($E34,Tab_Def_Processes[Process_Name],Tab_Def_Processes[Process_Type],,0,)</f>
        <v>#N/A</v>
      </c>
      <c r="G34" s="7" t="e">
        <f>_xlfn.XLOOKUP($E34,Tab_Def_Processes[Process_Name],Tab_Def_Processes[TC?],,0,)</f>
        <v>#N/A</v>
      </c>
      <c r="H34" s="7" t="e">
        <f>_xlfn.XLOOKUP($E34,Tab_Def_Processes[Process_Name],Tab_Def_Processes[TC_Type],,0,)</f>
        <v>#N/A</v>
      </c>
      <c r="I34" s="7" t="e">
        <f>_xlfn.XLOOKUP($E34,Tab_Def_Processes[Process_Name],Tab_Def_Processes[Stock?],,0,)</f>
        <v>#N/A</v>
      </c>
      <c r="J34" s="7" t="e">
        <f>_xlfn.XLOOKUP($E34,Tab_Def_Processes[Process_Name],Tab_Def_Processes[Initial_Stock?],,0,)</f>
        <v>#N/A</v>
      </c>
      <c r="K34" s="153"/>
      <c r="L34" s="8"/>
      <c r="M34" s="8"/>
      <c r="N34" s="8"/>
      <c r="O34" s="8"/>
      <c r="P34" s="8"/>
      <c r="Q34" s="7"/>
      <c r="R34" s="8"/>
      <c r="S34" s="7"/>
      <c r="T34" s="8"/>
      <c r="U34" s="164"/>
    </row>
    <row r="35" spans="1:21" x14ac:dyDescent="0.25">
      <c r="A35" s="160" t="b">
        <v>0</v>
      </c>
      <c r="B35" s="7">
        <f t="shared" si="2"/>
        <v>34</v>
      </c>
      <c r="C35" s="7" t="e">
        <f t="shared" si="1"/>
        <v>#N/A</v>
      </c>
      <c r="D35" s="7" t="e">
        <f>_xlfn.XLOOKUP($E35,Tab_Def_Processes[Process_Name],Tab_Def_Processes[Process_ID],,0,)</f>
        <v>#N/A</v>
      </c>
      <c r="E35" s="8" t="s">
        <v>31</v>
      </c>
      <c r="F35" s="7" t="e">
        <f>_xlfn.XLOOKUP($E35,Tab_Def_Processes[Process_Name],Tab_Def_Processes[Process_Type],,0,)</f>
        <v>#N/A</v>
      </c>
      <c r="G35" s="7" t="e">
        <f>_xlfn.XLOOKUP($E35,Tab_Def_Processes[Process_Name],Tab_Def_Processes[TC?],,0,)</f>
        <v>#N/A</v>
      </c>
      <c r="H35" s="7" t="e">
        <f>_xlfn.XLOOKUP($E35,Tab_Def_Processes[Process_Name],Tab_Def_Processes[TC_Type],,0,)</f>
        <v>#N/A</v>
      </c>
      <c r="I35" s="7" t="e">
        <f>_xlfn.XLOOKUP($E35,Tab_Def_Processes[Process_Name],Tab_Def_Processes[Stock?],,0,)</f>
        <v>#N/A</v>
      </c>
      <c r="J35" s="7" t="e">
        <f>_xlfn.XLOOKUP($E35,Tab_Def_Processes[Process_Name],Tab_Def_Processes[Initial_Stock?],,0,)</f>
        <v>#N/A</v>
      </c>
      <c r="K35" s="153"/>
      <c r="L35" s="8"/>
      <c r="M35" s="8"/>
      <c r="N35" s="8"/>
      <c r="O35" s="8"/>
      <c r="P35" s="8"/>
      <c r="Q35" s="7"/>
      <c r="R35" s="8"/>
      <c r="S35" s="7"/>
      <c r="T35" s="8"/>
      <c r="U35" s="164"/>
    </row>
    <row r="36" spans="1:21" x14ac:dyDescent="0.25">
      <c r="A36" s="160" t="b">
        <v>0</v>
      </c>
      <c r="B36" s="7">
        <f t="shared" si="2"/>
        <v>35</v>
      </c>
      <c r="C36" s="7" t="e">
        <f t="shared" si="1"/>
        <v>#N/A</v>
      </c>
      <c r="D36" s="7" t="e">
        <f>_xlfn.XLOOKUP($E36,Tab_Def_Processes[Process_Name],Tab_Def_Processes[Process_ID],,0,)</f>
        <v>#N/A</v>
      </c>
      <c r="E36" s="8" t="s">
        <v>31</v>
      </c>
      <c r="F36" s="7" t="e">
        <f>_xlfn.XLOOKUP($E36,Tab_Def_Processes[Process_Name],Tab_Def_Processes[Process_Type],,0,)</f>
        <v>#N/A</v>
      </c>
      <c r="G36" s="7" t="e">
        <f>_xlfn.XLOOKUP($E36,Tab_Def_Processes[Process_Name],Tab_Def_Processes[TC?],,0,)</f>
        <v>#N/A</v>
      </c>
      <c r="H36" s="7" t="e">
        <f>_xlfn.XLOOKUP($E36,Tab_Def_Processes[Process_Name],Tab_Def_Processes[TC_Type],,0,)</f>
        <v>#N/A</v>
      </c>
      <c r="I36" s="7" t="e">
        <f>_xlfn.XLOOKUP($E36,Tab_Def_Processes[Process_Name],Tab_Def_Processes[Stock?],,0,)</f>
        <v>#N/A</v>
      </c>
      <c r="J36" s="7" t="e">
        <f>_xlfn.XLOOKUP($E36,Tab_Def_Processes[Process_Name],Tab_Def_Processes[Initial_Stock?],,0,)</f>
        <v>#N/A</v>
      </c>
      <c r="K36" s="153"/>
      <c r="L36" s="8"/>
      <c r="M36" s="8"/>
      <c r="N36" s="8"/>
      <c r="O36" s="8"/>
      <c r="P36" s="8"/>
      <c r="Q36" s="7"/>
      <c r="R36" s="8"/>
      <c r="S36" s="7"/>
      <c r="T36" s="8"/>
      <c r="U36" s="164"/>
    </row>
    <row r="37" spans="1:21" x14ac:dyDescent="0.25">
      <c r="A37" s="160" t="b">
        <v>0</v>
      </c>
      <c r="B37" s="7">
        <f t="shared" si="2"/>
        <v>36</v>
      </c>
      <c r="C37" s="7" t="e">
        <f t="shared" si="1"/>
        <v>#N/A</v>
      </c>
      <c r="D37" s="7" t="e">
        <f>_xlfn.XLOOKUP($E37,Tab_Def_Processes[Process_Name],Tab_Def_Processes[Process_ID],,0,)</f>
        <v>#N/A</v>
      </c>
      <c r="E37" s="8" t="s">
        <v>31</v>
      </c>
      <c r="F37" s="7" t="e">
        <f>_xlfn.XLOOKUP($E37,Tab_Def_Processes[Process_Name],Tab_Def_Processes[Process_Type],,0,)</f>
        <v>#N/A</v>
      </c>
      <c r="G37" s="7" t="e">
        <f>_xlfn.XLOOKUP($E37,Tab_Def_Processes[Process_Name],Tab_Def_Processes[TC?],,0,)</f>
        <v>#N/A</v>
      </c>
      <c r="H37" s="7" t="e">
        <f>_xlfn.XLOOKUP($E37,Tab_Def_Processes[Process_Name],Tab_Def_Processes[TC_Type],,0,)</f>
        <v>#N/A</v>
      </c>
      <c r="I37" s="7" t="e">
        <f>_xlfn.XLOOKUP($E37,Tab_Def_Processes[Process_Name],Tab_Def_Processes[Stock?],,0,)</f>
        <v>#N/A</v>
      </c>
      <c r="J37" s="7" t="e">
        <f>_xlfn.XLOOKUP($E37,Tab_Def_Processes[Process_Name],Tab_Def_Processes[Initial_Stock?],,0,)</f>
        <v>#N/A</v>
      </c>
      <c r="K37" s="153"/>
      <c r="L37" s="8"/>
      <c r="M37" s="8"/>
      <c r="N37" s="8"/>
      <c r="O37" s="8"/>
      <c r="P37" s="8"/>
      <c r="Q37" s="7"/>
      <c r="R37" s="8"/>
      <c r="S37" s="7"/>
      <c r="T37" s="8"/>
      <c r="U37" s="164"/>
    </row>
    <row r="38" spans="1:21" x14ac:dyDescent="0.25">
      <c r="A38" s="160" t="b">
        <v>0</v>
      </c>
      <c r="B38" s="7">
        <f t="shared" si="2"/>
        <v>37</v>
      </c>
      <c r="C38" s="7" t="e">
        <f t="shared" si="1"/>
        <v>#N/A</v>
      </c>
      <c r="D38" s="7" t="e">
        <f>_xlfn.XLOOKUP($E38,Tab_Def_Processes[Process_Name],Tab_Def_Processes[Process_ID],,0,)</f>
        <v>#N/A</v>
      </c>
      <c r="E38" s="8" t="s">
        <v>31</v>
      </c>
      <c r="F38" s="7" t="e">
        <f>_xlfn.XLOOKUP($E38,Tab_Def_Processes[Process_Name],Tab_Def_Processes[Process_Type],,0,)</f>
        <v>#N/A</v>
      </c>
      <c r="G38" s="7" t="e">
        <f>_xlfn.XLOOKUP($E38,Tab_Def_Processes[Process_Name],Tab_Def_Processes[TC?],,0,)</f>
        <v>#N/A</v>
      </c>
      <c r="H38" s="7" t="e">
        <f>_xlfn.XLOOKUP($E38,Tab_Def_Processes[Process_Name],Tab_Def_Processes[TC_Type],,0,)</f>
        <v>#N/A</v>
      </c>
      <c r="I38" s="7" t="e">
        <f>_xlfn.XLOOKUP($E38,Tab_Def_Processes[Process_Name],Tab_Def_Processes[Stock?],,0,)</f>
        <v>#N/A</v>
      </c>
      <c r="J38" s="7" t="e">
        <f>_xlfn.XLOOKUP($E38,Tab_Def_Processes[Process_Name],Tab_Def_Processes[Initial_Stock?],,0,)</f>
        <v>#N/A</v>
      </c>
      <c r="K38" s="153"/>
      <c r="L38" s="8"/>
      <c r="M38" s="8"/>
      <c r="N38" s="8"/>
      <c r="O38" s="8"/>
      <c r="P38" s="8"/>
      <c r="Q38" s="7"/>
      <c r="R38" s="8"/>
      <c r="S38" s="7"/>
      <c r="T38" s="8"/>
      <c r="U38" s="164"/>
    </row>
    <row r="39" spans="1:21" x14ac:dyDescent="0.25">
      <c r="A39" s="160" t="b">
        <v>0</v>
      </c>
      <c r="B39" s="7">
        <f t="shared" si="2"/>
        <v>38</v>
      </c>
      <c r="C39" s="7" t="e">
        <f t="shared" si="1"/>
        <v>#N/A</v>
      </c>
      <c r="D39" s="7" t="e">
        <f>_xlfn.XLOOKUP($E39,Tab_Def_Processes[Process_Name],Tab_Def_Processes[Process_ID],,0,)</f>
        <v>#N/A</v>
      </c>
      <c r="E39" s="8" t="s">
        <v>31</v>
      </c>
      <c r="F39" s="7" t="e">
        <f>_xlfn.XLOOKUP($E39,Tab_Def_Processes[Process_Name],Tab_Def_Processes[Process_Type],,0,)</f>
        <v>#N/A</v>
      </c>
      <c r="G39" s="7" t="e">
        <f>_xlfn.XLOOKUP($E39,Tab_Def_Processes[Process_Name],Tab_Def_Processes[TC?],,0,)</f>
        <v>#N/A</v>
      </c>
      <c r="H39" s="7" t="e">
        <f>_xlfn.XLOOKUP($E39,Tab_Def_Processes[Process_Name],Tab_Def_Processes[TC_Type],,0,)</f>
        <v>#N/A</v>
      </c>
      <c r="I39" s="7" t="e">
        <f>_xlfn.XLOOKUP($E39,Tab_Def_Processes[Process_Name],Tab_Def_Processes[Stock?],,0,)</f>
        <v>#N/A</v>
      </c>
      <c r="J39" s="7" t="e">
        <f>_xlfn.XLOOKUP($E39,Tab_Def_Processes[Process_Name],Tab_Def_Processes[Initial_Stock?],,0,)</f>
        <v>#N/A</v>
      </c>
      <c r="K39" s="153"/>
      <c r="L39" s="8"/>
      <c r="M39" s="8"/>
      <c r="N39" s="8"/>
      <c r="O39" s="8"/>
      <c r="P39" s="8"/>
      <c r="Q39" s="7"/>
      <c r="R39" s="8"/>
      <c r="S39" s="7"/>
      <c r="T39" s="8"/>
      <c r="U39" s="164"/>
    </row>
    <row r="40" spans="1:21" x14ac:dyDescent="0.25">
      <c r="A40" s="160" t="b">
        <v>0</v>
      </c>
      <c r="B40" s="7">
        <f t="shared" si="2"/>
        <v>39</v>
      </c>
      <c r="C40" s="7" t="e">
        <f t="shared" si="1"/>
        <v>#N/A</v>
      </c>
      <c r="D40" s="7" t="e">
        <f>_xlfn.XLOOKUP($E40,Tab_Def_Processes[Process_Name],Tab_Def_Processes[Process_ID],,0,)</f>
        <v>#N/A</v>
      </c>
      <c r="E40" s="8" t="s">
        <v>31</v>
      </c>
      <c r="F40" s="7" t="e">
        <f>_xlfn.XLOOKUP($E40,Tab_Def_Processes[Process_Name],Tab_Def_Processes[Process_Type],,0,)</f>
        <v>#N/A</v>
      </c>
      <c r="G40" s="7" t="e">
        <f>_xlfn.XLOOKUP($E40,Tab_Def_Processes[Process_Name],Tab_Def_Processes[TC?],,0,)</f>
        <v>#N/A</v>
      </c>
      <c r="H40" s="7" t="e">
        <f>_xlfn.XLOOKUP($E40,Tab_Def_Processes[Process_Name],Tab_Def_Processes[TC_Type],,0,)</f>
        <v>#N/A</v>
      </c>
      <c r="I40" s="7" t="e">
        <f>_xlfn.XLOOKUP($E40,Tab_Def_Processes[Process_Name],Tab_Def_Processes[Stock?],,0,)</f>
        <v>#N/A</v>
      </c>
      <c r="J40" s="7" t="e">
        <f>_xlfn.XLOOKUP($E40,Tab_Def_Processes[Process_Name],Tab_Def_Processes[Initial_Stock?],,0,)</f>
        <v>#N/A</v>
      </c>
      <c r="K40" s="153"/>
      <c r="L40" s="8"/>
      <c r="M40" s="8"/>
      <c r="N40" s="8"/>
      <c r="O40" s="8"/>
      <c r="P40" s="8"/>
      <c r="Q40" s="7"/>
      <c r="R40" s="8"/>
      <c r="S40" s="7"/>
      <c r="T40" s="8"/>
      <c r="U40" s="164"/>
    </row>
    <row r="41" spans="1:21" x14ac:dyDescent="0.25">
      <c r="A41" s="160" t="b">
        <v>0</v>
      </c>
      <c r="B41" s="7">
        <f t="shared" si="2"/>
        <v>40</v>
      </c>
      <c r="C41" s="7" t="e">
        <f t="shared" si="1"/>
        <v>#N/A</v>
      </c>
      <c r="D41" s="7" t="e">
        <f>_xlfn.XLOOKUP($E41,Tab_Def_Processes[Process_Name],Tab_Def_Processes[Process_ID],,0,)</f>
        <v>#N/A</v>
      </c>
      <c r="E41" s="8" t="s">
        <v>31</v>
      </c>
      <c r="F41" s="7" t="e">
        <f>_xlfn.XLOOKUP($E41,Tab_Def_Processes[Process_Name],Tab_Def_Processes[Process_Type],,0,)</f>
        <v>#N/A</v>
      </c>
      <c r="G41" s="7" t="e">
        <f>_xlfn.XLOOKUP($E41,Tab_Def_Processes[Process_Name],Tab_Def_Processes[TC?],,0,)</f>
        <v>#N/A</v>
      </c>
      <c r="H41" s="7" t="e">
        <f>_xlfn.XLOOKUP($E41,Tab_Def_Processes[Process_Name],Tab_Def_Processes[TC_Type],,0,)</f>
        <v>#N/A</v>
      </c>
      <c r="I41" s="7" t="e">
        <f>_xlfn.XLOOKUP($E41,Tab_Def_Processes[Process_Name],Tab_Def_Processes[Stock?],,0,)</f>
        <v>#N/A</v>
      </c>
      <c r="J41" s="7" t="e">
        <f>_xlfn.XLOOKUP($E41,Tab_Def_Processes[Process_Name],Tab_Def_Processes[Initial_Stock?],,0,)</f>
        <v>#N/A</v>
      </c>
      <c r="K41" s="153"/>
      <c r="L41" s="8"/>
      <c r="M41" s="8"/>
      <c r="N41" s="8"/>
      <c r="O41" s="8"/>
      <c r="P41" s="8"/>
      <c r="Q41" s="7"/>
      <c r="R41" s="8"/>
      <c r="S41" s="7"/>
      <c r="T41" s="8"/>
      <c r="U41" s="164"/>
    </row>
    <row r="42" spans="1:21" x14ac:dyDescent="0.25">
      <c r="A42" s="160" t="b">
        <v>0</v>
      </c>
      <c r="B42" s="7">
        <f t="shared" si="2"/>
        <v>41</v>
      </c>
      <c r="C42" s="7" t="e">
        <f t="shared" si="1"/>
        <v>#N/A</v>
      </c>
      <c r="D42" s="7" t="e">
        <f>_xlfn.XLOOKUP($E42,Tab_Def_Processes[Process_Name],Tab_Def_Processes[Process_ID],,0,)</f>
        <v>#N/A</v>
      </c>
      <c r="E42" s="8" t="s">
        <v>31</v>
      </c>
      <c r="F42" s="7" t="e">
        <f>_xlfn.XLOOKUP($E42,Tab_Def_Processes[Process_Name],Tab_Def_Processes[Process_Type],,0,)</f>
        <v>#N/A</v>
      </c>
      <c r="G42" s="7" t="e">
        <f>_xlfn.XLOOKUP($E42,Tab_Def_Processes[Process_Name],Tab_Def_Processes[TC?],,0,)</f>
        <v>#N/A</v>
      </c>
      <c r="H42" s="7" t="e">
        <f>_xlfn.XLOOKUP($E42,Tab_Def_Processes[Process_Name],Tab_Def_Processes[TC_Type],,0,)</f>
        <v>#N/A</v>
      </c>
      <c r="I42" s="7" t="e">
        <f>_xlfn.XLOOKUP($E42,Tab_Def_Processes[Process_Name],Tab_Def_Processes[Stock?],,0,)</f>
        <v>#N/A</v>
      </c>
      <c r="J42" s="7" t="e">
        <f>_xlfn.XLOOKUP($E42,Tab_Def_Processes[Process_Name],Tab_Def_Processes[Initial_Stock?],,0,)</f>
        <v>#N/A</v>
      </c>
      <c r="K42" s="153"/>
      <c r="L42" s="8"/>
      <c r="M42" s="8"/>
      <c r="N42" s="8"/>
      <c r="O42" s="8"/>
      <c r="P42" s="8"/>
      <c r="Q42" s="7"/>
      <c r="R42" s="8"/>
      <c r="S42" s="7"/>
      <c r="T42" s="8"/>
      <c r="U42" s="164"/>
    </row>
    <row r="43" spans="1:21" x14ac:dyDescent="0.25">
      <c r="A43" s="160" t="b">
        <v>0</v>
      </c>
      <c r="B43" s="7">
        <f t="shared" si="2"/>
        <v>42</v>
      </c>
      <c r="C43" s="7" t="e">
        <f t="shared" si="1"/>
        <v>#N/A</v>
      </c>
      <c r="D43" s="7" t="e">
        <f>_xlfn.XLOOKUP($E43,Tab_Def_Processes[Process_Name],Tab_Def_Processes[Process_ID],,0,)</f>
        <v>#N/A</v>
      </c>
      <c r="E43" s="8" t="s">
        <v>31</v>
      </c>
      <c r="F43" s="7" t="e">
        <f>_xlfn.XLOOKUP($E43,Tab_Def_Processes[Process_Name],Tab_Def_Processes[Process_Type],,0,)</f>
        <v>#N/A</v>
      </c>
      <c r="G43" s="7" t="e">
        <f>_xlfn.XLOOKUP($E43,Tab_Def_Processes[Process_Name],Tab_Def_Processes[TC?],,0,)</f>
        <v>#N/A</v>
      </c>
      <c r="H43" s="7" t="e">
        <f>_xlfn.XLOOKUP($E43,Tab_Def_Processes[Process_Name],Tab_Def_Processes[TC_Type],,0,)</f>
        <v>#N/A</v>
      </c>
      <c r="I43" s="7" t="e">
        <f>_xlfn.XLOOKUP($E43,Tab_Def_Processes[Process_Name],Tab_Def_Processes[Stock?],,0,)</f>
        <v>#N/A</v>
      </c>
      <c r="J43" s="7" t="e">
        <f>_xlfn.XLOOKUP($E43,Tab_Def_Processes[Process_Name],Tab_Def_Processes[Initial_Stock?],,0,)</f>
        <v>#N/A</v>
      </c>
      <c r="K43" s="153"/>
      <c r="L43" s="8"/>
      <c r="M43" s="8"/>
      <c r="N43" s="8"/>
      <c r="O43" s="8"/>
      <c r="P43" s="8"/>
      <c r="Q43" s="7"/>
      <c r="R43" s="8"/>
      <c r="S43" s="7"/>
      <c r="T43" s="8"/>
      <c r="U43" s="164"/>
    </row>
    <row r="44" spans="1:21" x14ac:dyDescent="0.25">
      <c r="A44" s="160" t="b">
        <v>0</v>
      </c>
      <c r="B44" s="7">
        <f t="shared" si="2"/>
        <v>43</v>
      </c>
      <c r="C44" s="7" t="e">
        <f t="shared" si="1"/>
        <v>#N/A</v>
      </c>
      <c r="D44" s="7" t="e">
        <f>_xlfn.XLOOKUP($E44,Tab_Def_Processes[Process_Name],Tab_Def_Processes[Process_ID],,0,)</f>
        <v>#N/A</v>
      </c>
      <c r="E44" s="8" t="s">
        <v>31</v>
      </c>
      <c r="F44" s="7" t="e">
        <f>_xlfn.XLOOKUP($E44,Tab_Def_Processes[Process_Name],Tab_Def_Processes[Process_Type],,0,)</f>
        <v>#N/A</v>
      </c>
      <c r="G44" s="7" t="e">
        <f>_xlfn.XLOOKUP($E44,Tab_Def_Processes[Process_Name],Tab_Def_Processes[TC?],,0,)</f>
        <v>#N/A</v>
      </c>
      <c r="H44" s="7" t="e">
        <f>_xlfn.XLOOKUP($E44,Tab_Def_Processes[Process_Name],Tab_Def_Processes[TC_Type],,0,)</f>
        <v>#N/A</v>
      </c>
      <c r="I44" s="7" t="e">
        <f>_xlfn.XLOOKUP($E44,Tab_Def_Processes[Process_Name],Tab_Def_Processes[Stock?],,0,)</f>
        <v>#N/A</v>
      </c>
      <c r="J44" s="7" t="e">
        <f>_xlfn.XLOOKUP($E44,Tab_Def_Processes[Process_Name],Tab_Def_Processes[Initial_Stock?],,0,)</f>
        <v>#N/A</v>
      </c>
      <c r="K44" s="153"/>
      <c r="L44" s="8"/>
      <c r="M44" s="8"/>
      <c r="N44" s="8"/>
      <c r="O44" s="8"/>
      <c r="P44" s="8"/>
      <c r="Q44" s="7"/>
      <c r="R44" s="8"/>
      <c r="S44" s="7"/>
      <c r="T44" s="8"/>
      <c r="U44" s="164"/>
    </row>
    <row r="45" spans="1:21" x14ac:dyDescent="0.25">
      <c r="A45" s="160" t="b">
        <v>0</v>
      </c>
      <c r="B45" s="7">
        <f t="shared" si="2"/>
        <v>44</v>
      </c>
      <c r="C45" s="7" t="e">
        <f t="shared" si="1"/>
        <v>#N/A</v>
      </c>
      <c r="D45" s="7" t="e">
        <f>_xlfn.XLOOKUP($E45,Tab_Def_Processes[Process_Name],Tab_Def_Processes[Process_ID],,0,)</f>
        <v>#N/A</v>
      </c>
      <c r="E45" s="8" t="s">
        <v>31</v>
      </c>
      <c r="F45" s="7" t="e">
        <f>_xlfn.XLOOKUP($E45,Tab_Def_Processes[Process_Name],Tab_Def_Processes[Process_Type],,0,)</f>
        <v>#N/A</v>
      </c>
      <c r="G45" s="7" t="e">
        <f>_xlfn.XLOOKUP($E45,Tab_Def_Processes[Process_Name],Tab_Def_Processes[TC?],,0,)</f>
        <v>#N/A</v>
      </c>
      <c r="H45" s="7" t="e">
        <f>_xlfn.XLOOKUP($E45,Tab_Def_Processes[Process_Name],Tab_Def_Processes[TC_Type],,0,)</f>
        <v>#N/A</v>
      </c>
      <c r="I45" s="7" t="e">
        <f>_xlfn.XLOOKUP($E45,Tab_Def_Processes[Process_Name],Tab_Def_Processes[Stock?],,0,)</f>
        <v>#N/A</v>
      </c>
      <c r="J45" s="7" t="e">
        <f>_xlfn.XLOOKUP($E45,Tab_Def_Processes[Process_Name],Tab_Def_Processes[Initial_Stock?],,0,)</f>
        <v>#N/A</v>
      </c>
      <c r="K45" s="153"/>
      <c r="L45" s="8"/>
      <c r="M45" s="8"/>
      <c r="N45" s="8"/>
      <c r="O45" s="8"/>
      <c r="P45" s="8"/>
      <c r="Q45" s="7"/>
      <c r="R45" s="8"/>
      <c r="S45" s="7"/>
      <c r="T45" s="8"/>
      <c r="U45" s="164"/>
    </row>
    <row r="46" spans="1:21" x14ac:dyDescent="0.25">
      <c r="A46" s="160" t="b">
        <v>0</v>
      </c>
      <c r="B46" s="7">
        <f t="shared" si="2"/>
        <v>45</v>
      </c>
      <c r="C46" s="7" t="e">
        <f t="shared" si="1"/>
        <v>#N/A</v>
      </c>
      <c r="D46" s="7" t="e">
        <f>_xlfn.XLOOKUP($E46,Tab_Def_Processes[Process_Name],Tab_Def_Processes[Process_ID],,0,)</f>
        <v>#N/A</v>
      </c>
      <c r="E46" s="8" t="s">
        <v>31</v>
      </c>
      <c r="F46" s="7" t="e">
        <f>_xlfn.XLOOKUP($E46,Tab_Def_Processes[Process_Name],Tab_Def_Processes[Process_Type],,0,)</f>
        <v>#N/A</v>
      </c>
      <c r="G46" s="7" t="e">
        <f>_xlfn.XLOOKUP($E46,Tab_Def_Processes[Process_Name],Tab_Def_Processes[TC?],,0,)</f>
        <v>#N/A</v>
      </c>
      <c r="H46" s="7" t="e">
        <f>_xlfn.XLOOKUP($E46,Tab_Def_Processes[Process_Name],Tab_Def_Processes[TC_Type],,0,)</f>
        <v>#N/A</v>
      </c>
      <c r="I46" s="7" t="e">
        <f>_xlfn.XLOOKUP($E46,Tab_Def_Processes[Process_Name],Tab_Def_Processes[Stock?],,0,)</f>
        <v>#N/A</v>
      </c>
      <c r="J46" s="7" t="e">
        <f>_xlfn.XLOOKUP($E46,Tab_Def_Processes[Process_Name],Tab_Def_Processes[Initial_Stock?],,0,)</f>
        <v>#N/A</v>
      </c>
      <c r="K46" s="153"/>
      <c r="L46" s="8"/>
      <c r="M46" s="8"/>
      <c r="N46" s="8"/>
      <c r="O46" s="8"/>
      <c r="P46" s="8"/>
      <c r="Q46" s="7"/>
      <c r="R46" s="8"/>
      <c r="S46" s="7"/>
      <c r="T46" s="8"/>
      <c r="U46" s="164"/>
    </row>
    <row r="47" spans="1:21" x14ac:dyDescent="0.25">
      <c r="A47" s="160" t="b">
        <v>0</v>
      </c>
      <c r="B47" s="7">
        <f t="shared" si="2"/>
        <v>46</v>
      </c>
      <c r="C47" s="7" t="e">
        <f t="shared" si="1"/>
        <v>#N/A</v>
      </c>
      <c r="D47" s="7" t="e">
        <f>_xlfn.XLOOKUP($E47,Tab_Def_Processes[Process_Name],Tab_Def_Processes[Process_ID],,0,)</f>
        <v>#N/A</v>
      </c>
      <c r="E47" s="8" t="s">
        <v>31</v>
      </c>
      <c r="F47" s="7" t="e">
        <f>_xlfn.XLOOKUP($E47,Tab_Def_Processes[Process_Name],Tab_Def_Processes[Process_Type],,0,)</f>
        <v>#N/A</v>
      </c>
      <c r="G47" s="7" t="e">
        <f>_xlfn.XLOOKUP($E47,Tab_Def_Processes[Process_Name],Tab_Def_Processes[TC?],,0,)</f>
        <v>#N/A</v>
      </c>
      <c r="H47" s="7" t="e">
        <f>_xlfn.XLOOKUP($E47,Tab_Def_Processes[Process_Name],Tab_Def_Processes[TC_Type],,0,)</f>
        <v>#N/A</v>
      </c>
      <c r="I47" s="7" t="e">
        <f>_xlfn.XLOOKUP($E47,Tab_Def_Processes[Process_Name],Tab_Def_Processes[Stock?],,0,)</f>
        <v>#N/A</v>
      </c>
      <c r="J47" s="7" t="e">
        <f>_xlfn.XLOOKUP($E47,Tab_Def_Processes[Process_Name],Tab_Def_Processes[Initial_Stock?],,0,)</f>
        <v>#N/A</v>
      </c>
      <c r="K47" s="153"/>
      <c r="L47" s="8"/>
      <c r="M47" s="8"/>
      <c r="N47" s="8"/>
      <c r="O47" s="8"/>
      <c r="P47" s="8"/>
      <c r="Q47" s="7"/>
      <c r="R47" s="8"/>
      <c r="S47" s="7"/>
      <c r="T47" s="8"/>
      <c r="U47" s="164"/>
    </row>
    <row r="48" spans="1:21" x14ac:dyDescent="0.25">
      <c r="A48" s="160" t="b">
        <v>0</v>
      </c>
      <c r="B48" s="7">
        <f t="shared" si="2"/>
        <v>47</v>
      </c>
      <c r="C48" s="7" t="e">
        <f t="shared" si="1"/>
        <v>#N/A</v>
      </c>
      <c r="D48" s="7" t="e">
        <f>_xlfn.XLOOKUP($E48,Tab_Def_Processes[Process_Name],Tab_Def_Processes[Process_ID],,0,)</f>
        <v>#N/A</v>
      </c>
      <c r="E48" s="8" t="s">
        <v>31</v>
      </c>
      <c r="F48" s="7" t="e">
        <f>_xlfn.XLOOKUP($E48,Tab_Def_Processes[Process_Name],Tab_Def_Processes[Process_Type],,0,)</f>
        <v>#N/A</v>
      </c>
      <c r="G48" s="7" t="e">
        <f>_xlfn.XLOOKUP($E48,Tab_Def_Processes[Process_Name],Tab_Def_Processes[TC?],,0,)</f>
        <v>#N/A</v>
      </c>
      <c r="H48" s="7" t="e">
        <f>_xlfn.XLOOKUP($E48,Tab_Def_Processes[Process_Name],Tab_Def_Processes[TC_Type],,0,)</f>
        <v>#N/A</v>
      </c>
      <c r="I48" s="7" t="e">
        <f>_xlfn.XLOOKUP($E48,Tab_Def_Processes[Process_Name],Tab_Def_Processes[Stock?],,0,)</f>
        <v>#N/A</v>
      </c>
      <c r="J48" s="7" t="e">
        <f>_xlfn.XLOOKUP($E48,Tab_Def_Processes[Process_Name],Tab_Def_Processes[Initial_Stock?],,0,)</f>
        <v>#N/A</v>
      </c>
      <c r="K48" s="153"/>
      <c r="L48" s="8"/>
      <c r="M48" s="8"/>
      <c r="N48" s="8"/>
      <c r="O48" s="8"/>
      <c r="P48" s="8"/>
      <c r="Q48" s="7"/>
      <c r="R48" s="8"/>
      <c r="S48" s="7"/>
      <c r="T48" s="8"/>
      <c r="U48" s="164"/>
    </row>
    <row r="49" spans="1:21" x14ac:dyDescent="0.25">
      <c r="A49" s="160" t="b">
        <v>0</v>
      </c>
      <c r="B49" s="7">
        <f t="shared" si="2"/>
        <v>48</v>
      </c>
      <c r="C49" s="7" t="e">
        <f t="shared" si="1"/>
        <v>#N/A</v>
      </c>
      <c r="D49" s="7" t="e">
        <f>_xlfn.XLOOKUP($E49,Tab_Def_Processes[Process_Name],Tab_Def_Processes[Process_ID],,0,)</f>
        <v>#N/A</v>
      </c>
      <c r="E49" s="8" t="s">
        <v>31</v>
      </c>
      <c r="F49" s="7" t="e">
        <f>_xlfn.XLOOKUP($E49,Tab_Def_Processes[Process_Name],Tab_Def_Processes[Process_Type],,0,)</f>
        <v>#N/A</v>
      </c>
      <c r="G49" s="7" t="e">
        <f>_xlfn.XLOOKUP($E49,Tab_Def_Processes[Process_Name],Tab_Def_Processes[TC?],,0,)</f>
        <v>#N/A</v>
      </c>
      <c r="H49" s="7" t="e">
        <f>_xlfn.XLOOKUP($E49,Tab_Def_Processes[Process_Name],Tab_Def_Processes[TC_Type],,0,)</f>
        <v>#N/A</v>
      </c>
      <c r="I49" s="7" t="e">
        <f>_xlfn.XLOOKUP($E49,Tab_Def_Processes[Process_Name],Tab_Def_Processes[Stock?],,0,)</f>
        <v>#N/A</v>
      </c>
      <c r="J49" s="7" t="e">
        <f>_xlfn.XLOOKUP($E49,Tab_Def_Processes[Process_Name],Tab_Def_Processes[Initial_Stock?],,0,)</f>
        <v>#N/A</v>
      </c>
      <c r="K49" s="153"/>
      <c r="L49" s="8"/>
      <c r="M49" s="8"/>
      <c r="N49" s="8"/>
      <c r="O49" s="8"/>
      <c r="P49" s="8"/>
      <c r="Q49" s="7"/>
      <c r="R49" s="8"/>
      <c r="S49" s="7"/>
      <c r="T49" s="8"/>
      <c r="U49" s="164"/>
    </row>
    <row r="50" spans="1:21" x14ac:dyDescent="0.25">
      <c r="A50" s="160" t="b">
        <v>0</v>
      </c>
      <c r="B50" s="7">
        <f t="shared" si="2"/>
        <v>49</v>
      </c>
      <c r="C50" s="7" t="e">
        <f t="shared" si="1"/>
        <v>#N/A</v>
      </c>
      <c r="D50" s="7" t="e">
        <f>_xlfn.XLOOKUP($E50,Tab_Def_Processes[Process_Name],Tab_Def_Processes[Process_ID],,0,)</f>
        <v>#N/A</v>
      </c>
      <c r="E50" s="8" t="s">
        <v>31</v>
      </c>
      <c r="F50" s="7" t="e">
        <f>_xlfn.XLOOKUP($E50,Tab_Def_Processes[Process_Name],Tab_Def_Processes[Process_Type],,0,)</f>
        <v>#N/A</v>
      </c>
      <c r="G50" s="7" t="e">
        <f>_xlfn.XLOOKUP($E50,Tab_Def_Processes[Process_Name],Tab_Def_Processes[TC?],,0,)</f>
        <v>#N/A</v>
      </c>
      <c r="H50" s="7" t="e">
        <f>_xlfn.XLOOKUP($E50,Tab_Def_Processes[Process_Name],Tab_Def_Processes[TC_Type],,0,)</f>
        <v>#N/A</v>
      </c>
      <c r="I50" s="7" t="e">
        <f>_xlfn.XLOOKUP($E50,Tab_Def_Processes[Process_Name],Tab_Def_Processes[Stock?],,0,)</f>
        <v>#N/A</v>
      </c>
      <c r="J50" s="7" t="e">
        <f>_xlfn.XLOOKUP($E50,Tab_Def_Processes[Process_Name],Tab_Def_Processes[Initial_Stock?],,0,)</f>
        <v>#N/A</v>
      </c>
      <c r="K50" s="153"/>
      <c r="L50" s="8"/>
      <c r="M50" s="8"/>
      <c r="N50" s="8"/>
      <c r="O50" s="8"/>
      <c r="P50" s="8"/>
      <c r="Q50" s="7"/>
      <c r="R50" s="8"/>
      <c r="S50" s="7"/>
      <c r="T50" s="8"/>
      <c r="U50" s="164"/>
    </row>
    <row r="51" spans="1:21" x14ac:dyDescent="0.25">
      <c r="A51" s="160" t="b">
        <v>0</v>
      </c>
      <c r="B51" s="7">
        <f t="shared" si="2"/>
        <v>50</v>
      </c>
      <c r="C51" s="7" t="e">
        <f t="shared" si="1"/>
        <v>#N/A</v>
      </c>
      <c r="D51" s="7" t="e">
        <f>_xlfn.XLOOKUP($E51,Tab_Def_Processes[Process_Name],Tab_Def_Processes[Process_ID],,0,)</f>
        <v>#N/A</v>
      </c>
      <c r="E51" s="8" t="s">
        <v>31</v>
      </c>
      <c r="F51" s="7" t="e">
        <f>_xlfn.XLOOKUP($E51,Tab_Def_Processes[Process_Name],Tab_Def_Processes[Process_Type],,0,)</f>
        <v>#N/A</v>
      </c>
      <c r="G51" s="7" t="e">
        <f>_xlfn.XLOOKUP($E51,Tab_Def_Processes[Process_Name],Tab_Def_Processes[TC?],,0,)</f>
        <v>#N/A</v>
      </c>
      <c r="H51" s="7" t="e">
        <f>_xlfn.XLOOKUP($E51,Tab_Def_Processes[Process_Name],Tab_Def_Processes[TC_Type],,0,)</f>
        <v>#N/A</v>
      </c>
      <c r="I51" s="7" t="e">
        <f>_xlfn.XLOOKUP($E51,Tab_Def_Processes[Process_Name],Tab_Def_Processes[Stock?],,0,)</f>
        <v>#N/A</v>
      </c>
      <c r="J51" s="7" t="e">
        <f>_xlfn.XLOOKUP($E51,Tab_Def_Processes[Process_Name],Tab_Def_Processes[Initial_Stock?],,0,)</f>
        <v>#N/A</v>
      </c>
      <c r="K51" s="153"/>
      <c r="L51" s="8"/>
      <c r="M51" s="8"/>
      <c r="N51" s="8"/>
      <c r="O51" s="8"/>
      <c r="P51" s="8"/>
      <c r="Q51" s="7"/>
      <c r="R51" s="8"/>
      <c r="S51" s="7"/>
      <c r="T51" s="8"/>
      <c r="U51" s="164"/>
    </row>
    <row r="52" spans="1:21" x14ac:dyDescent="0.25">
      <c r="A52" s="160" t="b">
        <v>0</v>
      </c>
      <c r="B52" s="7">
        <f t="shared" ref="B52:B63" si="3">ROW()-1</f>
        <v>51</v>
      </c>
      <c r="C52" s="7" t="str">
        <f t="shared" si="1"/>
        <v>S_15</v>
      </c>
      <c r="D52" s="7" t="str">
        <f>_xlfn.XLOOKUP($E52,Tab_Def_Processes[Process_Name],Tab_Def_Processes[Process_ID],,0,)</f>
        <v>15</v>
      </c>
      <c r="E52" s="8"/>
      <c r="F52" s="7">
        <f>_xlfn.XLOOKUP($E52,Tab_Def_Processes[Process_Name],Tab_Def_Processes[Process_Type],,0,)</f>
        <v>0</v>
      </c>
      <c r="G52" s="7">
        <f>_xlfn.XLOOKUP($E52,Tab_Def_Processes[Process_Name],Tab_Def_Processes[TC?],,0,)</f>
        <v>0</v>
      </c>
      <c r="H52" s="7">
        <f>_xlfn.XLOOKUP($E52,Tab_Def_Processes[Process_Name],Tab_Def_Processes[TC_Type],,0,)</f>
        <v>0</v>
      </c>
      <c r="I52" s="7">
        <f>_xlfn.XLOOKUP($E52,Tab_Def_Processes[Process_Name],Tab_Def_Processes[Stock?],,0,)</f>
        <v>0</v>
      </c>
      <c r="J52" s="7">
        <f>_xlfn.XLOOKUP($E52,Tab_Def_Processes[Process_Name],Tab_Def_Processes[Initial_Stock?],,0,)</f>
        <v>0</v>
      </c>
      <c r="K52" s="153"/>
      <c r="L52" s="8"/>
      <c r="M52" s="8"/>
      <c r="N52" s="8"/>
      <c r="O52" s="8"/>
      <c r="P52" s="8"/>
      <c r="Q52" s="7"/>
      <c r="R52" s="8"/>
      <c r="S52" s="7"/>
      <c r="T52" s="8"/>
      <c r="U52" s="164"/>
    </row>
    <row r="53" spans="1:21" x14ac:dyDescent="0.25">
      <c r="A53" s="160" t="b">
        <v>0</v>
      </c>
      <c r="B53" s="7">
        <f t="shared" si="3"/>
        <v>52</v>
      </c>
      <c r="C53" s="7" t="str">
        <f t="shared" si="1"/>
        <v>S_15</v>
      </c>
      <c r="D53" s="7" t="str">
        <f>_xlfn.XLOOKUP($E53,Tab_Def_Processes[Process_Name],Tab_Def_Processes[Process_ID],,0,)</f>
        <v>15</v>
      </c>
      <c r="E53" s="8"/>
      <c r="F53" s="7">
        <f>_xlfn.XLOOKUP($E53,Tab_Def_Processes[Process_Name],Tab_Def_Processes[Process_Type],,0,)</f>
        <v>0</v>
      </c>
      <c r="G53" s="7">
        <f>_xlfn.XLOOKUP($E53,Tab_Def_Processes[Process_Name],Tab_Def_Processes[TC?],,0,)</f>
        <v>0</v>
      </c>
      <c r="H53" s="7">
        <f>_xlfn.XLOOKUP($E53,Tab_Def_Processes[Process_Name],Tab_Def_Processes[TC_Type],,0,)</f>
        <v>0</v>
      </c>
      <c r="I53" s="7">
        <f>_xlfn.XLOOKUP($E53,Tab_Def_Processes[Process_Name],Tab_Def_Processes[Stock?],,0,)</f>
        <v>0</v>
      </c>
      <c r="J53" s="7">
        <f>_xlfn.XLOOKUP($E53,Tab_Def_Processes[Process_Name],Tab_Def_Processes[Initial_Stock?],,0,)</f>
        <v>0</v>
      </c>
      <c r="K53" s="153"/>
      <c r="L53" s="8"/>
      <c r="M53" s="8"/>
      <c r="N53" s="8"/>
      <c r="O53" s="8"/>
      <c r="P53" s="8"/>
      <c r="Q53" s="7"/>
      <c r="R53" s="8"/>
      <c r="S53" s="7"/>
      <c r="T53" s="8"/>
      <c r="U53" s="164"/>
    </row>
    <row r="54" spans="1:21" x14ac:dyDescent="0.25">
      <c r="A54" s="160" t="b">
        <v>0</v>
      </c>
      <c r="B54" s="7">
        <f t="shared" si="3"/>
        <v>53</v>
      </c>
      <c r="C54" s="7" t="str">
        <f t="shared" si="1"/>
        <v>S_15</v>
      </c>
      <c r="D54" s="7" t="str">
        <f>_xlfn.XLOOKUP($E54,Tab_Def_Processes[Process_Name],Tab_Def_Processes[Process_ID],,0,)</f>
        <v>15</v>
      </c>
      <c r="E54" s="8"/>
      <c r="F54" s="7">
        <f>_xlfn.XLOOKUP($E54,Tab_Def_Processes[Process_Name],Tab_Def_Processes[Process_Type],,0,)</f>
        <v>0</v>
      </c>
      <c r="G54" s="7">
        <f>_xlfn.XLOOKUP($E54,Tab_Def_Processes[Process_Name],Tab_Def_Processes[TC?],,0,)</f>
        <v>0</v>
      </c>
      <c r="H54" s="7">
        <f>_xlfn.XLOOKUP($E54,Tab_Def_Processes[Process_Name],Tab_Def_Processes[TC_Type],,0,)</f>
        <v>0</v>
      </c>
      <c r="I54" s="7">
        <f>_xlfn.XLOOKUP($E54,Tab_Def_Processes[Process_Name],Tab_Def_Processes[Stock?],,0,)</f>
        <v>0</v>
      </c>
      <c r="J54" s="7">
        <f>_xlfn.XLOOKUP($E54,Tab_Def_Processes[Process_Name],Tab_Def_Processes[Initial_Stock?],,0,)</f>
        <v>0</v>
      </c>
      <c r="K54" s="153"/>
      <c r="L54" s="8"/>
      <c r="M54" s="8"/>
      <c r="N54" s="8"/>
      <c r="O54" s="8"/>
      <c r="P54" s="8"/>
      <c r="Q54" s="7"/>
      <c r="R54" s="8"/>
      <c r="S54" s="7"/>
      <c r="T54" s="8"/>
      <c r="U54" s="164"/>
    </row>
    <row r="55" spans="1:21" x14ac:dyDescent="0.25">
      <c r="A55" s="160" t="b">
        <v>0</v>
      </c>
      <c r="B55" s="7">
        <f t="shared" si="3"/>
        <v>54</v>
      </c>
      <c r="C55" s="7" t="str">
        <f t="shared" si="1"/>
        <v>S_15</v>
      </c>
      <c r="D55" s="7" t="str">
        <f>_xlfn.XLOOKUP($E55,Tab_Def_Processes[Process_Name],Tab_Def_Processes[Process_ID],,0,)</f>
        <v>15</v>
      </c>
      <c r="E55" s="8"/>
      <c r="F55" s="7">
        <f>_xlfn.XLOOKUP($E55,Tab_Def_Processes[Process_Name],Tab_Def_Processes[Process_Type],,0,)</f>
        <v>0</v>
      </c>
      <c r="G55" s="7">
        <f>_xlfn.XLOOKUP($E55,Tab_Def_Processes[Process_Name],Tab_Def_Processes[TC?],,0,)</f>
        <v>0</v>
      </c>
      <c r="H55" s="7">
        <f>_xlfn.XLOOKUP($E55,Tab_Def_Processes[Process_Name],Tab_Def_Processes[TC_Type],,0,)</f>
        <v>0</v>
      </c>
      <c r="I55" s="7">
        <f>_xlfn.XLOOKUP($E55,Tab_Def_Processes[Process_Name],Tab_Def_Processes[Stock?],,0,)</f>
        <v>0</v>
      </c>
      <c r="J55" s="7">
        <f>_xlfn.XLOOKUP($E55,Tab_Def_Processes[Process_Name],Tab_Def_Processes[Initial_Stock?],,0,)</f>
        <v>0</v>
      </c>
      <c r="K55" s="153"/>
      <c r="L55" s="8"/>
      <c r="M55" s="8"/>
      <c r="N55" s="8"/>
      <c r="O55" s="8"/>
      <c r="P55" s="8"/>
      <c r="Q55" s="7"/>
      <c r="R55" s="8"/>
      <c r="S55" s="7"/>
      <c r="T55" s="8"/>
      <c r="U55" s="164"/>
    </row>
    <row r="56" spans="1:21" x14ac:dyDescent="0.25">
      <c r="A56" s="160" t="b">
        <v>0</v>
      </c>
      <c r="B56" s="7">
        <f t="shared" si="3"/>
        <v>55</v>
      </c>
      <c r="C56" s="7" t="str">
        <f t="shared" si="1"/>
        <v>S_15</v>
      </c>
      <c r="D56" s="7" t="str">
        <f>_xlfn.XLOOKUP($E56,Tab_Def_Processes[Process_Name],Tab_Def_Processes[Process_ID],,0,)</f>
        <v>15</v>
      </c>
      <c r="E56" s="8"/>
      <c r="F56" s="7">
        <f>_xlfn.XLOOKUP($E56,Tab_Def_Processes[Process_Name],Tab_Def_Processes[Process_Type],,0,)</f>
        <v>0</v>
      </c>
      <c r="G56" s="7">
        <f>_xlfn.XLOOKUP($E56,Tab_Def_Processes[Process_Name],Tab_Def_Processes[TC?],,0,)</f>
        <v>0</v>
      </c>
      <c r="H56" s="7">
        <f>_xlfn.XLOOKUP($E56,Tab_Def_Processes[Process_Name],Tab_Def_Processes[TC_Type],,0,)</f>
        <v>0</v>
      </c>
      <c r="I56" s="7">
        <f>_xlfn.XLOOKUP($E56,Tab_Def_Processes[Process_Name],Tab_Def_Processes[Stock?],,0,)</f>
        <v>0</v>
      </c>
      <c r="J56" s="7">
        <f>_xlfn.XLOOKUP($E56,Tab_Def_Processes[Process_Name],Tab_Def_Processes[Initial_Stock?],,0,)</f>
        <v>0</v>
      </c>
      <c r="K56" s="153"/>
      <c r="L56" s="8"/>
      <c r="M56" s="8"/>
      <c r="N56" s="8"/>
      <c r="O56" s="8"/>
      <c r="P56" s="8"/>
      <c r="Q56" s="7"/>
      <c r="R56" s="8"/>
      <c r="S56" s="7"/>
      <c r="T56" s="8"/>
      <c r="U56" s="164"/>
    </row>
    <row r="57" spans="1:21" x14ac:dyDescent="0.25">
      <c r="A57" s="160" t="b">
        <v>0</v>
      </c>
      <c r="B57" s="7">
        <f t="shared" si="3"/>
        <v>56</v>
      </c>
      <c r="C57" s="7" t="str">
        <f t="shared" si="1"/>
        <v>S_15</v>
      </c>
      <c r="D57" s="7" t="str">
        <f>_xlfn.XLOOKUP($E57,Tab_Def_Processes[Process_Name],Tab_Def_Processes[Process_ID],,0,)</f>
        <v>15</v>
      </c>
      <c r="E57" s="8"/>
      <c r="F57" s="7">
        <f>_xlfn.XLOOKUP($E57,Tab_Def_Processes[Process_Name],Tab_Def_Processes[Process_Type],,0,)</f>
        <v>0</v>
      </c>
      <c r="G57" s="7">
        <f>_xlfn.XLOOKUP($E57,Tab_Def_Processes[Process_Name],Tab_Def_Processes[TC?],,0,)</f>
        <v>0</v>
      </c>
      <c r="H57" s="7">
        <f>_xlfn.XLOOKUP($E57,Tab_Def_Processes[Process_Name],Tab_Def_Processes[TC_Type],,0,)</f>
        <v>0</v>
      </c>
      <c r="I57" s="7">
        <f>_xlfn.XLOOKUP($E57,Tab_Def_Processes[Process_Name],Tab_Def_Processes[Stock?],,0,)</f>
        <v>0</v>
      </c>
      <c r="J57" s="7">
        <f>_xlfn.XLOOKUP($E57,Tab_Def_Processes[Process_Name],Tab_Def_Processes[Initial_Stock?],,0,)</f>
        <v>0</v>
      </c>
      <c r="K57" s="153"/>
      <c r="L57" s="8"/>
      <c r="M57" s="8"/>
      <c r="N57" s="8"/>
      <c r="O57" s="8"/>
      <c r="P57" s="8"/>
      <c r="Q57" s="7"/>
      <c r="R57" s="8"/>
      <c r="S57" s="7"/>
      <c r="T57" s="8"/>
      <c r="U57" s="164"/>
    </row>
    <row r="58" spans="1:21" x14ac:dyDescent="0.25">
      <c r="A58" s="160" t="b">
        <v>0</v>
      </c>
      <c r="B58" s="7">
        <f t="shared" si="3"/>
        <v>57</v>
      </c>
      <c r="C58" s="7" t="str">
        <f t="shared" si="1"/>
        <v>S_15</v>
      </c>
      <c r="D58" s="7" t="str">
        <f>_xlfn.XLOOKUP($E58,Tab_Def_Processes[Process_Name],Tab_Def_Processes[Process_ID],,0,)</f>
        <v>15</v>
      </c>
      <c r="E58" s="8"/>
      <c r="F58" s="7">
        <f>_xlfn.XLOOKUP($E58,Tab_Def_Processes[Process_Name],Tab_Def_Processes[Process_Type],,0,)</f>
        <v>0</v>
      </c>
      <c r="G58" s="7">
        <f>_xlfn.XLOOKUP($E58,Tab_Def_Processes[Process_Name],Tab_Def_Processes[TC?],,0,)</f>
        <v>0</v>
      </c>
      <c r="H58" s="7">
        <f>_xlfn.XLOOKUP($E58,Tab_Def_Processes[Process_Name],Tab_Def_Processes[TC_Type],,0,)</f>
        <v>0</v>
      </c>
      <c r="I58" s="7">
        <f>_xlfn.XLOOKUP($E58,Tab_Def_Processes[Process_Name],Tab_Def_Processes[Stock?],,0,)</f>
        <v>0</v>
      </c>
      <c r="J58" s="7">
        <f>_xlfn.XLOOKUP($E58,Tab_Def_Processes[Process_Name],Tab_Def_Processes[Initial_Stock?],,0,)</f>
        <v>0</v>
      </c>
      <c r="K58" s="153"/>
      <c r="L58" s="8"/>
      <c r="M58" s="8"/>
      <c r="N58" s="8"/>
      <c r="O58" s="8"/>
      <c r="P58" s="8"/>
      <c r="Q58" s="7"/>
      <c r="R58" s="8"/>
      <c r="S58" s="7"/>
      <c r="T58" s="8"/>
      <c r="U58" s="164"/>
    </row>
    <row r="59" spans="1:21" x14ac:dyDescent="0.25">
      <c r="A59" s="160" t="b">
        <v>0</v>
      </c>
      <c r="B59" s="7">
        <f t="shared" si="3"/>
        <v>58</v>
      </c>
      <c r="C59" s="7" t="str">
        <f t="shared" si="1"/>
        <v>S_15</v>
      </c>
      <c r="D59" s="7" t="str">
        <f>_xlfn.XLOOKUP($E59,Tab_Def_Processes[Process_Name],Tab_Def_Processes[Process_ID],,0,)</f>
        <v>15</v>
      </c>
      <c r="E59" s="8"/>
      <c r="F59" s="7">
        <f>_xlfn.XLOOKUP($E59,Tab_Def_Processes[Process_Name],Tab_Def_Processes[Process_Type],,0,)</f>
        <v>0</v>
      </c>
      <c r="G59" s="7">
        <f>_xlfn.XLOOKUP($E59,Tab_Def_Processes[Process_Name],Tab_Def_Processes[TC?],,0,)</f>
        <v>0</v>
      </c>
      <c r="H59" s="7">
        <f>_xlfn.XLOOKUP($E59,Tab_Def_Processes[Process_Name],Tab_Def_Processes[TC_Type],,0,)</f>
        <v>0</v>
      </c>
      <c r="I59" s="7">
        <f>_xlfn.XLOOKUP($E59,Tab_Def_Processes[Process_Name],Tab_Def_Processes[Stock?],,0,)</f>
        <v>0</v>
      </c>
      <c r="J59" s="7">
        <f>_xlfn.XLOOKUP($E59,Tab_Def_Processes[Process_Name],Tab_Def_Processes[Initial_Stock?],,0,)</f>
        <v>0</v>
      </c>
      <c r="K59" s="153"/>
      <c r="L59" s="8"/>
      <c r="M59" s="8"/>
      <c r="N59" s="8"/>
      <c r="O59" s="8"/>
      <c r="P59" s="8"/>
      <c r="Q59" s="7"/>
      <c r="R59" s="8"/>
      <c r="S59" s="7"/>
      <c r="T59" s="8"/>
      <c r="U59" s="164"/>
    </row>
    <row r="60" spans="1:21" x14ac:dyDescent="0.25">
      <c r="A60" s="160" t="b">
        <v>0</v>
      </c>
      <c r="B60" s="7">
        <f t="shared" si="3"/>
        <v>59</v>
      </c>
      <c r="C60" s="7" t="str">
        <f t="shared" si="1"/>
        <v>S_15</v>
      </c>
      <c r="D60" s="7" t="str">
        <f>_xlfn.XLOOKUP($E60,Tab_Def_Processes[Process_Name],Tab_Def_Processes[Process_ID],,0,)</f>
        <v>15</v>
      </c>
      <c r="E60" s="8"/>
      <c r="F60" s="7">
        <f>_xlfn.XLOOKUP($E60,Tab_Def_Processes[Process_Name],Tab_Def_Processes[Process_Type],,0,)</f>
        <v>0</v>
      </c>
      <c r="G60" s="7">
        <f>_xlfn.XLOOKUP($E60,Tab_Def_Processes[Process_Name],Tab_Def_Processes[TC?],,0,)</f>
        <v>0</v>
      </c>
      <c r="H60" s="7">
        <f>_xlfn.XLOOKUP($E60,Tab_Def_Processes[Process_Name],Tab_Def_Processes[TC_Type],,0,)</f>
        <v>0</v>
      </c>
      <c r="I60" s="7">
        <f>_xlfn.XLOOKUP($E60,Tab_Def_Processes[Process_Name],Tab_Def_Processes[Stock?],,0,)</f>
        <v>0</v>
      </c>
      <c r="J60" s="7">
        <f>_xlfn.XLOOKUP($E60,Tab_Def_Processes[Process_Name],Tab_Def_Processes[Initial_Stock?],,0,)</f>
        <v>0</v>
      </c>
      <c r="K60" s="153"/>
      <c r="L60" s="8"/>
      <c r="M60" s="8"/>
      <c r="N60" s="8"/>
      <c r="O60" s="8"/>
      <c r="P60" s="8"/>
      <c r="Q60" s="7"/>
      <c r="R60" s="8"/>
      <c r="S60" s="7"/>
      <c r="T60" s="8"/>
      <c r="U60" s="164"/>
    </row>
    <row r="61" spans="1:21" x14ac:dyDescent="0.25">
      <c r="A61" s="160" t="b">
        <v>0</v>
      </c>
      <c r="B61" s="7">
        <f t="shared" si="3"/>
        <v>60</v>
      </c>
      <c r="C61" s="7" t="str">
        <f t="shared" si="1"/>
        <v>S_15</v>
      </c>
      <c r="D61" s="7" t="str">
        <f>_xlfn.XLOOKUP($E61,Tab_Def_Processes[Process_Name],Tab_Def_Processes[Process_ID],,0,)</f>
        <v>15</v>
      </c>
      <c r="E61" s="8"/>
      <c r="F61" s="7">
        <f>_xlfn.XLOOKUP($E61,Tab_Def_Processes[Process_Name],Tab_Def_Processes[Process_Type],,0,)</f>
        <v>0</v>
      </c>
      <c r="G61" s="7">
        <f>_xlfn.XLOOKUP($E61,Tab_Def_Processes[Process_Name],Tab_Def_Processes[TC?],,0,)</f>
        <v>0</v>
      </c>
      <c r="H61" s="7">
        <f>_xlfn.XLOOKUP($E61,Tab_Def_Processes[Process_Name],Tab_Def_Processes[TC_Type],,0,)</f>
        <v>0</v>
      </c>
      <c r="I61" s="7">
        <f>_xlfn.XLOOKUP($E61,Tab_Def_Processes[Process_Name],Tab_Def_Processes[Stock?],,0,)</f>
        <v>0</v>
      </c>
      <c r="J61" s="7">
        <f>_xlfn.XLOOKUP($E61,Tab_Def_Processes[Process_Name],Tab_Def_Processes[Initial_Stock?],,0,)</f>
        <v>0</v>
      </c>
      <c r="K61" s="153"/>
      <c r="L61" s="8"/>
      <c r="M61" s="8"/>
      <c r="N61" s="8"/>
      <c r="O61" s="8"/>
      <c r="P61" s="8"/>
      <c r="Q61" s="7"/>
      <c r="R61" s="8"/>
      <c r="S61" s="7"/>
      <c r="T61" s="8"/>
      <c r="U61" s="164"/>
    </row>
    <row r="62" spans="1:21" x14ac:dyDescent="0.25">
      <c r="A62" s="160" t="b">
        <v>0</v>
      </c>
      <c r="B62" s="7">
        <f t="shared" si="3"/>
        <v>61</v>
      </c>
      <c r="C62" s="7" t="str">
        <f t="shared" si="1"/>
        <v>S_15</v>
      </c>
      <c r="D62" s="7" t="str">
        <f>_xlfn.XLOOKUP($E62,Tab_Def_Processes[Process_Name],Tab_Def_Processes[Process_ID],,0,)</f>
        <v>15</v>
      </c>
      <c r="E62" s="8"/>
      <c r="F62" s="7">
        <f>_xlfn.XLOOKUP($E62,Tab_Def_Processes[Process_Name],Tab_Def_Processes[Process_Type],,0,)</f>
        <v>0</v>
      </c>
      <c r="G62" s="7">
        <f>_xlfn.XLOOKUP($E62,Tab_Def_Processes[Process_Name],Tab_Def_Processes[TC?],,0,)</f>
        <v>0</v>
      </c>
      <c r="H62" s="7">
        <f>_xlfn.XLOOKUP($E62,Tab_Def_Processes[Process_Name],Tab_Def_Processes[TC_Type],,0,)</f>
        <v>0</v>
      </c>
      <c r="I62" s="7">
        <f>_xlfn.XLOOKUP($E62,Tab_Def_Processes[Process_Name],Tab_Def_Processes[Stock?],,0,)</f>
        <v>0</v>
      </c>
      <c r="J62" s="7">
        <f>_xlfn.XLOOKUP($E62,Tab_Def_Processes[Process_Name],Tab_Def_Processes[Initial_Stock?],,0,)</f>
        <v>0</v>
      </c>
      <c r="K62" s="153"/>
      <c r="L62" s="8"/>
      <c r="M62" s="8"/>
      <c r="N62" s="8"/>
      <c r="O62" s="8"/>
      <c r="P62" s="8"/>
      <c r="Q62" s="7"/>
      <c r="R62" s="8"/>
      <c r="S62" s="7"/>
      <c r="T62" s="8"/>
      <c r="U62" s="164"/>
    </row>
    <row r="63" spans="1:21" x14ac:dyDescent="0.25">
      <c r="A63" s="160" t="b">
        <v>0</v>
      </c>
      <c r="B63" s="7">
        <f t="shared" si="3"/>
        <v>62</v>
      </c>
      <c r="C63" s="7" t="str">
        <f t="shared" si="1"/>
        <v>S_15</v>
      </c>
      <c r="D63" s="7" t="str">
        <f>_xlfn.XLOOKUP($E63,Tab_Def_Processes[Process_Name],Tab_Def_Processes[Process_ID],,0,)</f>
        <v>15</v>
      </c>
      <c r="E63" s="8"/>
      <c r="F63" s="7">
        <f>_xlfn.XLOOKUP($E63,Tab_Def_Processes[Process_Name],Tab_Def_Processes[Process_Type],,0,)</f>
        <v>0</v>
      </c>
      <c r="G63" s="7">
        <f>_xlfn.XLOOKUP($E63,Tab_Def_Processes[Process_Name],Tab_Def_Processes[TC?],,0,)</f>
        <v>0</v>
      </c>
      <c r="H63" s="7">
        <f>_xlfn.XLOOKUP($E63,Tab_Def_Processes[Process_Name],Tab_Def_Processes[TC_Type],,0,)</f>
        <v>0</v>
      </c>
      <c r="I63" s="7">
        <f>_xlfn.XLOOKUP($E63,Tab_Def_Processes[Process_Name],Tab_Def_Processes[Stock?],,0,)</f>
        <v>0</v>
      </c>
      <c r="J63" s="7">
        <f>_xlfn.XLOOKUP($E63,Tab_Def_Processes[Process_Name],Tab_Def_Processes[Initial_Stock?],,0,)</f>
        <v>0</v>
      </c>
      <c r="K63" s="153"/>
      <c r="L63" s="8"/>
      <c r="M63" s="8"/>
      <c r="N63" s="8"/>
      <c r="O63" s="8"/>
      <c r="P63" s="8"/>
      <c r="Q63" s="7"/>
      <c r="R63" s="8"/>
      <c r="S63" s="7"/>
      <c r="T63" s="8"/>
      <c r="U63" s="164"/>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'2_1_Definition_Processes'!$D$2:$D$47</xm:f>
          </x14:formula1>
          <xm:sqref>P2:P63 E2:E63</xm:sqref>
        </x14:dataValidation>
        <x14:dataValidation type="list" allowBlank="1" showInputMessage="1" showErrorMessage="1" xr:uid="{24E4AF9F-342A-4F59-A041-F0845D1625A8}">
          <x14:formula1>
            <xm:f>'1_1_Definition_Flows'!$D$2:$D$70</xm:f>
          </x14:formula1>
          <xm:sqref>R2:R63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topLeftCell="E1" zoomScale="145" zoomScaleNormal="145" workbookViewId="0">
      <selection activeCell="Q15" sqref="Q15"/>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24.42578125" customWidth="1"/>
    <col min="15" max="15" width="18.140625" customWidth="1"/>
    <col min="16" max="16" width="16.140625" customWidth="1"/>
    <col min="17" max="17" width="20.140625" customWidth="1"/>
    <col min="18" max="18" width="17.7109375" customWidth="1"/>
  </cols>
  <sheetData>
    <row r="1" spans="1:18" x14ac:dyDescent="0.25">
      <c r="A1" s="159" t="s">
        <v>54</v>
      </c>
      <c r="B1" s="159" t="s">
        <v>28</v>
      </c>
      <c r="C1" s="159" t="s">
        <v>49</v>
      </c>
      <c r="D1" s="159" t="s">
        <v>713</v>
      </c>
      <c r="E1" s="159" t="s">
        <v>77</v>
      </c>
      <c r="F1" s="159" t="s">
        <v>52</v>
      </c>
      <c r="G1" s="159" t="s">
        <v>719</v>
      </c>
      <c r="H1" s="159" t="s">
        <v>57</v>
      </c>
      <c r="I1" s="159" t="s">
        <v>224</v>
      </c>
      <c r="J1" s="159" t="s">
        <v>229</v>
      </c>
      <c r="K1" s="159" t="s">
        <v>230</v>
      </c>
      <c r="L1" s="159" t="s">
        <v>231</v>
      </c>
      <c r="M1" s="159" t="s">
        <v>243</v>
      </c>
      <c r="N1" s="159" t="s">
        <v>249</v>
      </c>
      <c r="O1" s="159" t="s">
        <v>248</v>
      </c>
      <c r="P1" s="159" t="s">
        <v>232</v>
      </c>
      <c r="Q1" s="159" t="s">
        <v>233</v>
      </c>
      <c r="R1" s="159" t="s">
        <v>234</v>
      </c>
    </row>
    <row r="2" spans="1:18" x14ac:dyDescent="0.25">
      <c r="A2" s="160" t="b">
        <v>1</v>
      </c>
      <c r="B2" s="7">
        <f t="shared" ref="B2:B51" si="0">ROW()-1</f>
        <v>1</v>
      </c>
      <c r="C2" s="7" t="e">
        <f>_xlfn.XLOOKUP($D2,Tab_Def_Processes[Process_Name],Tab_Def_Processes[Process_ID],,0,)</f>
        <v>#N/A</v>
      </c>
      <c r="D2" s="8" t="s">
        <v>31</v>
      </c>
      <c r="E2" s="7" t="e">
        <f>_xlfn.XLOOKUP($D2,Tab_Def_Processes[Process_Name],Tab_Def_Processes[Process_Type],,0,)</f>
        <v>#N/A</v>
      </c>
      <c r="F2" s="7" t="e">
        <f>_xlfn.XLOOKUP($D2,Tab_Def_Processes[Process_Name],Tab_Def_Processes[TC?],,0,)</f>
        <v>#N/A</v>
      </c>
      <c r="G2" s="7" t="e">
        <f>_xlfn.XLOOKUP($D2,Tab_Def_Processes[Process_Name],Tab_Def_Processes[TC_Type],,0,)</f>
        <v>#N/A</v>
      </c>
      <c r="H2" s="7" t="e">
        <f>_xlfn.XLOOKUP($D2,Tab_Def_Processes[Process_Name],Tab_Def_Processes[Stock?],,0,)</f>
        <v>#N/A</v>
      </c>
      <c r="I2" s="7" t="e">
        <f>_xlfn.XLOOKUP($D2,Tab_Def_Processes[Process_Name],Tab_Def_Processes[Initial_Stock?],,0,)</f>
        <v>#N/A</v>
      </c>
      <c r="J2" s="7" t="e">
        <f>_xlfn.XLOOKUP($D2,Tab_Def_Processes[Process_Name],Tab_Def_Processes[DSM?],,0,)</f>
        <v>#N/A</v>
      </c>
      <c r="K2" s="7" t="e">
        <f>_xlfn.XLOOKUP($D2,Tab_Def_Processes[Process_Name],Tab_Def_Processes[FOMP?],,0,)</f>
        <v>#N/A</v>
      </c>
      <c r="L2" s="8"/>
      <c r="M2" s="7" t="e">
        <f>_xlfn.XLOOKUP($L2,Tab_DSM_Category_ID[Category ID],Tab_DSM_Category_ID[DSM Material],,0,)</f>
        <v>#N/A</v>
      </c>
      <c r="N2" s="8"/>
      <c r="O2" s="16"/>
      <c r="P2" s="8"/>
      <c r="Q2" s="8"/>
      <c r="R2" s="8"/>
    </row>
    <row r="3" spans="1:18" x14ac:dyDescent="0.25">
      <c r="A3" s="160" t="b">
        <v>0</v>
      </c>
      <c r="B3" s="7">
        <f t="shared" si="0"/>
        <v>2</v>
      </c>
      <c r="C3" s="7" t="e">
        <f>_xlfn.XLOOKUP($D3,Tab_Def_Processes[Process_Name],Tab_Def_Processes[Process_ID],,0,)</f>
        <v>#N/A</v>
      </c>
      <c r="D3" s="8" t="s">
        <v>31</v>
      </c>
      <c r="E3" s="7" t="e">
        <f>_xlfn.XLOOKUP($D3,Tab_Def_Processes[Process_Name],Tab_Def_Processes[Process_Type],,0,)</f>
        <v>#N/A</v>
      </c>
      <c r="F3" s="7" t="e">
        <f>_xlfn.XLOOKUP($D3,Tab_Def_Processes[Process_Name],Tab_Def_Processes[TC?],,0,)</f>
        <v>#N/A</v>
      </c>
      <c r="G3" s="7" t="e">
        <f>_xlfn.XLOOKUP($D3,Tab_Def_Processes[Process_Name],Tab_Def_Processes[TC_Type],,0,)</f>
        <v>#N/A</v>
      </c>
      <c r="H3" s="7" t="e">
        <f>_xlfn.XLOOKUP($D3,Tab_Def_Processes[Process_Name],Tab_Def_Processes[Stock?],,0,)</f>
        <v>#N/A</v>
      </c>
      <c r="I3" s="7" t="e">
        <f>_xlfn.XLOOKUP($D3,Tab_Def_Processes[Process_Name],Tab_Def_Processes[Initial_Stock?],,0,)</f>
        <v>#N/A</v>
      </c>
      <c r="J3" s="7" t="e">
        <f>_xlfn.XLOOKUP($D3,Tab_Def_Processes[Process_Name],Tab_Def_Processes[DSM?],,0,)</f>
        <v>#N/A</v>
      </c>
      <c r="K3" s="7" t="e">
        <f>_xlfn.XLOOKUP($D3,Tab_Def_Processes[Process_Name],Tab_Def_Processes[FOMP?],,0,)</f>
        <v>#N/A</v>
      </c>
      <c r="L3" s="8"/>
      <c r="M3" s="7" t="e">
        <f>_xlfn.XLOOKUP($L3,Tab_DSM_Category_ID[Category ID],Tab_DSM_Category_ID[DSM Material],,0,)</f>
        <v>#N/A</v>
      </c>
      <c r="N3" s="8"/>
      <c r="O3" s="16"/>
      <c r="P3" s="8"/>
      <c r="Q3" s="8"/>
      <c r="R3" s="8"/>
    </row>
    <row r="4" spans="1:18" x14ac:dyDescent="0.25">
      <c r="A4" s="160" t="b">
        <v>0</v>
      </c>
      <c r="B4" s="7">
        <f t="shared" si="0"/>
        <v>3</v>
      </c>
      <c r="C4" s="7" t="e">
        <f>_xlfn.XLOOKUP($D4,Tab_Def_Processes[Process_Name],Tab_Def_Processes[Process_ID],,0,)</f>
        <v>#N/A</v>
      </c>
      <c r="D4" s="8" t="s">
        <v>31</v>
      </c>
      <c r="E4" s="7" t="e">
        <f>_xlfn.XLOOKUP($D4,Tab_Def_Processes[Process_Name],Tab_Def_Processes[Process_Type],,0,)</f>
        <v>#N/A</v>
      </c>
      <c r="F4" s="7" t="e">
        <f>_xlfn.XLOOKUP($D4,Tab_Def_Processes[Process_Name],Tab_Def_Processes[TC?],,0,)</f>
        <v>#N/A</v>
      </c>
      <c r="G4" s="7" t="e">
        <f>_xlfn.XLOOKUP($D4,Tab_Def_Processes[Process_Name],Tab_Def_Processes[TC_Type],,0,)</f>
        <v>#N/A</v>
      </c>
      <c r="H4" s="7" t="e">
        <f>_xlfn.XLOOKUP($D4,Tab_Def_Processes[Process_Name],Tab_Def_Processes[Stock?],,0,)</f>
        <v>#N/A</v>
      </c>
      <c r="I4" s="7" t="e">
        <f>_xlfn.XLOOKUP($D4,Tab_Def_Processes[Process_Name],Tab_Def_Processes[Initial_Stock?],,0,)</f>
        <v>#N/A</v>
      </c>
      <c r="J4" s="7" t="e">
        <f>_xlfn.XLOOKUP($D4,Tab_Def_Processes[Process_Name],Tab_Def_Processes[DSM?],,0,)</f>
        <v>#N/A</v>
      </c>
      <c r="K4" s="7" t="e">
        <f>_xlfn.XLOOKUP($D4,Tab_Def_Processes[Process_Name],Tab_Def_Processes[FOMP?],,0,)</f>
        <v>#N/A</v>
      </c>
      <c r="L4" s="8"/>
      <c r="M4" s="7" t="e">
        <f>_xlfn.XLOOKUP($L4,Tab_DSM_Category_ID[Category ID],Tab_DSM_Category_ID[DSM Material],,0,)</f>
        <v>#N/A</v>
      </c>
      <c r="N4" s="8"/>
      <c r="O4" s="16"/>
      <c r="P4" s="8"/>
      <c r="Q4" s="8"/>
      <c r="R4" s="8"/>
    </row>
    <row r="5" spans="1:18" x14ac:dyDescent="0.25">
      <c r="A5" s="160" t="b">
        <v>0</v>
      </c>
      <c r="B5" s="7">
        <f t="shared" si="0"/>
        <v>4</v>
      </c>
      <c r="C5" s="7" t="e">
        <f>_xlfn.XLOOKUP($D5,Tab_Def_Processes[Process_Name],Tab_Def_Processes[Process_ID],,0,)</f>
        <v>#N/A</v>
      </c>
      <c r="D5" s="8" t="s">
        <v>31</v>
      </c>
      <c r="E5" s="7" t="e">
        <f>_xlfn.XLOOKUP($D5,Tab_Def_Processes[Process_Name],Tab_Def_Processes[Process_Type],,0,)</f>
        <v>#N/A</v>
      </c>
      <c r="F5" s="7" t="e">
        <f>_xlfn.XLOOKUP($D5,Tab_Def_Processes[Process_Name],Tab_Def_Processes[TC?],,0,)</f>
        <v>#N/A</v>
      </c>
      <c r="G5" s="7" t="e">
        <f>_xlfn.XLOOKUP($D5,Tab_Def_Processes[Process_Name],Tab_Def_Processes[TC_Type],,0,)</f>
        <v>#N/A</v>
      </c>
      <c r="H5" s="7" t="e">
        <f>_xlfn.XLOOKUP($D5,Tab_Def_Processes[Process_Name],Tab_Def_Processes[Stock?],,0,)</f>
        <v>#N/A</v>
      </c>
      <c r="I5" s="7" t="e">
        <f>_xlfn.XLOOKUP($D5,Tab_Def_Processes[Process_Name],Tab_Def_Processes[Initial_Stock?],,0,)</f>
        <v>#N/A</v>
      </c>
      <c r="J5" s="7" t="e">
        <f>_xlfn.XLOOKUP($D5,Tab_Def_Processes[Process_Name],Tab_Def_Processes[DSM?],,0,)</f>
        <v>#N/A</v>
      </c>
      <c r="K5" s="7" t="e">
        <f>_xlfn.XLOOKUP($D5,Tab_Def_Processes[Process_Name],Tab_Def_Processes[FOMP?],,0,)</f>
        <v>#N/A</v>
      </c>
      <c r="L5" s="8"/>
      <c r="M5" s="7" t="e">
        <f>_xlfn.XLOOKUP($L5,Tab_DSM_Category_ID[Category ID],Tab_DSM_Category_ID[DSM Material],,0,)</f>
        <v>#N/A</v>
      </c>
      <c r="N5" s="8"/>
      <c r="O5" s="16"/>
      <c r="P5" s="8"/>
      <c r="Q5" s="8"/>
      <c r="R5" s="8"/>
    </row>
    <row r="6" spans="1:18" x14ac:dyDescent="0.25">
      <c r="A6" s="160" t="b">
        <v>0</v>
      </c>
      <c r="B6" s="7">
        <f t="shared" si="0"/>
        <v>5</v>
      </c>
      <c r="C6" s="7" t="e">
        <f>_xlfn.XLOOKUP($D6,Tab_Def_Processes[Process_Name],Tab_Def_Processes[Process_ID],,0,)</f>
        <v>#N/A</v>
      </c>
      <c r="D6" s="8" t="s">
        <v>31</v>
      </c>
      <c r="E6" s="7" t="e">
        <f>_xlfn.XLOOKUP($D6,Tab_Def_Processes[Process_Name],Tab_Def_Processes[Process_Type],,0,)</f>
        <v>#N/A</v>
      </c>
      <c r="F6" s="7" t="e">
        <f>_xlfn.XLOOKUP($D6,Tab_Def_Processes[Process_Name],Tab_Def_Processes[TC?],,0,)</f>
        <v>#N/A</v>
      </c>
      <c r="G6" s="7" t="e">
        <f>_xlfn.XLOOKUP($D6,Tab_Def_Processes[Process_Name],Tab_Def_Processes[TC_Type],,0,)</f>
        <v>#N/A</v>
      </c>
      <c r="H6" s="7" t="e">
        <f>_xlfn.XLOOKUP($D6,Tab_Def_Processes[Process_Name],Tab_Def_Processes[Stock?],,0,)</f>
        <v>#N/A</v>
      </c>
      <c r="I6" s="7" t="e">
        <f>_xlfn.XLOOKUP($D6,Tab_Def_Processes[Process_Name],Tab_Def_Processes[Initial_Stock?],,0,)</f>
        <v>#N/A</v>
      </c>
      <c r="J6" s="7" t="e">
        <f>_xlfn.XLOOKUP($D6,Tab_Def_Processes[Process_Name],Tab_Def_Processes[DSM?],,0,)</f>
        <v>#N/A</v>
      </c>
      <c r="K6" s="7" t="e">
        <f>_xlfn.XLOOKUP($D6,Tab_Def_Processes[Process_Name],Tab_Def_Processes[FOMP?],,0,)</f>
        <v>#N/A</v>
      </c>
      <c r="L6" s="8"/>
      <c r="M6" s="7" t="e">
        <f>_xlfn.XLOOKUP($L6,Tab_DSM_Category_ID[Category ID],Tab_DSM_Category_ID[DSM Material],,0,)</f>
        <v>#N/A</v>
      </c>
      <c r="N6" s="8"/>
      <c r="O6" s="16"/>
      <c r="P6" s="8"/>
      <c r="Q6" s="8"/>
      <c r="R6" s="8"/>
    </row>
    <row r="7" spans="1:18" x14ac:dyDescent="0.25">
      <c r="A7" s="160" t="b">
        <v>0</v>
      </c>
      <c r="B7" s="7">
        <f t="shared" si="0"/>
        <v>6</v>
      </c>
      <c r="C7" s="7" t="e">
        <f>_xlfn.XLOOKUP($D7,Tab_Def_Processes[Process_Name],Tab_Def_Processes[Process_ID],,0,)</f>
        <v>#N/A</v>
      </c>
      <c r="D7" s="8" t="s">
        <v>31</v>
      </c>
      <c r="E7" s="7" t="e">
        <f>_xlfn.XLOOKUP($D7,Tab_Def_Processes[Process_Name],Tab_Def_Processes[Process_Type],,0,)</f>
        <v>#N/A</v>
      </c>
      <c r="F7" s="7" t="e">
        <f>_xlfn.XLOOKUP($D7,Tab_Def_Processes[Process_Name],Tab_Def_Processes[TC?],,0,)</f>
        <v>#N/A</v>
      </c>
      <c r="G7" s="7" t="e">
        <f>_xlfn.XLOOKUP($D7,Tab_Def_Processes[Process_Name],Tab_Def_Processes[TC_Type],,0,)</f>
        <v>#N/A</v>
      </c>
      <c r="H7" s="7" t="e">
        <f>_xlfn.XLOOKUP($D7,Tab_Def_Processes[Process_Name],Tab_Def_Processes[Stock?],,0,)</f>
        <v>#N/A</v>
      </c>
      <c r="I7" s="7" t="e">
        <f>_xlfn.XLOOKUP($D7,Tab_Def_Processes[Process_Name],Tab_Def_Processes[Initial_Stock?],,0,)</f>
        <v>#N/A</v>
      </c>
      <c r="J7" s="7" t="e">
        <f>_xlfn.XLOOKUP($D7,Tab_Def_Processes[Process_Name],Tab_Def_Processes[DSM?],,0,)</f>
        <v>#N/A</v>
      </c>
      <c r="K7" s="7" t="e">
        <f>_xlfn.XLOOKUP($D7,Tab_Def_Processes[Process_Name],Tab_Def_Processes[FOMP?],,0,)</f>
        <v>#N/A</v>
      </c>
      <c r="L7" s="8"/>
      <c r="M7" s="7" t="e">
        <f>_xlfn.XLOOKUP($L7,Tab_DSM_Category_ID[Category ID],Tab_DSM_Category_ID[DSM Material],,0,)</f>
        <v>#N/A</v>
      </c>
      <c r="N7" s="8"/>
      <c r="O7" s="16"/>
      <c r="P7" s="8"/>
      <c r="Q7" s="8"/>
      <c r="R7" s="8"/>
    </row>
    <row r="8" spans="1:18" x14ac:dyDescent="0.25">
      <c r="A8" s="160" t="b">
        <v>0</v>
      </c>
      <c r="B8" s="7">
        <f t="shared" si="0"/>
        <v>7</v>
      </c>
      <c r="C8" s="7" t="e">
        <f>_xlfn.XLOOKUP($D8,Tab_Def_Processes[Process_Name],Tab_Def_Processes[Process_ID],,0,)</f>
        <v>#N/A</v>
      </c>
      <c r="D8" s="8" t="s">
        <v>31</v>
      </c>
      <c r="E8" s="7" t="e">
        <f>_xlfn.XLOOKUP($D8,Tab_Def_Processes[Process_Name],Tab_Def_Processes[Process_Type],,0,)</f>
        <v>#N/A</v>
      </c>
      <c r="F8" s="7" t="e">
        <f>_xlfn.XLOOKUP($D8,Tab_Def_Processes[Process_Name],Tab_Def_Processes[TC?],,0,)</f>
        <v>#N/A</v>
      </c>
      <c r="G8" s="7" t="e">
        <f>_xlfn.XLOOKUP($D8,Tab_Def_Processes[Process_Name],Tab_Def_Processes[TC_Type],,0,)</f>
        <v>#N/A</v>
      </c>
      <c r="H8" s="7" t="e">
        <f>_xlfn.XLOOKUP($D8,Tab_Def_Processes[Process_Name],Tab_Def_Processes[Stock?],,0,)</f>
        <v>#N/A</v>
      </c>
      <c r="I8" s="7" t="e">
        <f>_xlfn.XLOOKUP($D8,Tab_Def_Processes[Process_Name],Tab_Def_Processes[Initial_Stock?],,0,)</f>
        <v>#N/A</v>
      </c>
      <c r="J8" s="7" t="e">
        <f>_xlfn.XLOOKUP($D8,Tab_Def_Processes[Process_Name],Tab_Def_Processes[DSM?],,0,)</f>
        <v>#N/A</v>
      </c>
      <c r="K8" s="7" t="e">
        <f>_xlfn.XLOOKUP($D8,Tab_Def_Processes[Process_Name],Tab_Def_Processes[FOMP?],,0,)</f>
        <v>#N/A</v>
      </c>
      <c r="L8" s="8"/>
      <c r="M8" s="7" t="e">
        <f>_xlfn.XLOOKUP($L8,Tab_DSM_Category_ID[Category ID],Tab_DSM_Category_ID[DSM Material],,0,)</f>
        <v>#N/A</v>
      </c>
      <c r="N8" s="8"/>
      <c r="O8" s="16"/>
      <c r="P8" s="8"/>
      <c r="Q8" s="8"/>
      <c r="R8" s="8"/>
    </row>
    <row r="9" spans="1:18" x14ac:dyDescent="0.25">
      <c r="A9" s="160" t="b">
        <v>0</v>
      </c>
      <c r="B9" s="7">
        <f t="shared" si="0"/>
        <v>8</v>
      </c>
      <c r="C9" s="7" t="e">
        <f>_xlfn.XLOOKUP($D9,Tab_Def_Processes[Process_Name],Tab_Def_Processes[Process_ID],,0,)</f>
        <v>#N/A</v>
      </c>
      <c r="D9" s="8" t="s">
        <v>31</v>
      </c>
      <c r="E9" s="7" t="e">
        <f>_xlfn.XLOOKUP($D9,Tab_Def_Processes[Process_Name],Tab_Def_Processes[Process_Type],,0,)</f>
        <v>#N/A</v>
      </c>
      <c r="F9" s="7" t="e">
        <f>_xlfn.XLOOKUP($D9,Tab_Def_Processes[Process_Name],Tab_Def_Processes[TC?],,0,)</f>
        <v>#N/A</v>
      </c>
      <c r="G9" s="7" t="e">
        <f>_xlfn.XLOOKUP($D9,Tab_Def_Processes[Process_Name],Tab_Def_Processes[TC_Type],,0,)</f>
        <v>#N/A</v>
      </c>
      <c r="H9" s="7" t="e">
        <f>_xlfn.XLOOKUP($D9,Tab_Def_Processes[Process_Name],Tab_Def_Processes[Stock?],,0,)</f>
        <v>#N/A</v>
      </c>
      <c r="I9" s="7" t="e">
        <f>_xlfn.XLOOKUP($D9,Tab_Def_Processes[Process_Name],Tab_Def_Processes[Initial_Stock?],,0,)</f>
        <v>#N/A</v>
      </c>
      <c r="J9" s="7" t="e">
        <f>_xlfn.XLOOKUP($D9,Tab_Def_Processes[Process_Name],Tab_Def_Processes[DSM?],,0,)</f>
        <v>#N/A</v>
      </c>
      <c r="K9" s="7" t="e">
        <f>_xlfn.XLOOKUP($D9,Tab_Def_Processes[Process_Name],Tab_Def_Processes[FOMP?],,0,)</f>
        <v>#N/A</v>
      </c>
      <c r="L9" s="8"/>
      <c r="M9" s="7" t="e">
        <f>_xlfn.XLOOKUP($L9,Tab_DSM_Category_ID[Category ID],Tab_DSM_Category_ID[DSM Material],,0,)</f>
        <v>#N/A</v>
      </c>
      <c r="N9" s="8"/>
      <c r="O9" s="16"/>
      <c r="P9" s="8"/>
      <c r="Q9" s="8"/>
      <c r="R9" s="8"/>
    </row>
    <row r="10" spans="1:18" x14ac:dyDescent="0.25">
      <c r="A10" s="160" t="b">
        <v>0</v>
      </c>
      <c r="B10" s="7">
        <f t="shared" si="0"/>
        <v>9</v>
      </c>
      <c r="C10" s="7" t="e">
        <f>_xlfn.XLOOKUP($D10,Tab_Def_Processes[Process_Name],Tab_Def_Processes[Process_ID],,0,)</f>
        <v>#N/A</v>
      </c>
      <c r="D10" s="8" t="s">
        <v>31</v>
      </c>
      <c r="E10" s="7" t="e">
        <f>_xlfn.XLOOKUP($D10,Tab_Def_Processes[Process_Name],Tab_Def_Processes[Process_Type],,0,)</f>
        <v>#N/A</v>
      </c>
      <c r="F10" s="7" t="e">
        <f>_xlfn.XLOOKUP($D10,Tab_Def_Processes[Process_Name],Tab_Def_Processes[TC?],,0,)</f>
        <v>#N/A</v>
      </c>
      <c r="G10" s="7" t="e">
        <f>_xlfn.XLOOKUP($D10,Tab_Def_Processes[Process_Name],Tab_Def_Processes[TC_Type],,0,)</f>
        <v>#N/A</v>
      </c>
      <c r="H10" s="7" t="e">
        <f>_xlfn.XLOOKUP($D10,Tab_Def_Processes[Process_Name],Tab_Def_Processes[Stock?],,0,)</f>
        <v>#N/A</v>
      </c>
      <c r="I10" s="7" t="e">
        <f>_xlfn.XLOOKUP($D10,Tab_Def_Processes[Process_Name],Tab_Def_Processes[Initial_Stock?],,0,)</f>
        <v>#N/A</v>
      </c>
      <c r="J10" s="7" t="e">
        <f>_xlfn.XLOOKUP($D10,Tab_Def_Processes[Process_Name],Tab_Def_Processes[DSM?],,0,)</f>
        <v>#N/A</v>
      </c>
      <c r="K10" s="7" t="e">
        <f>_xlfn.XLOOKUP($D10,Tab_Def_Processes[Process_Name],Tab_Def_Processes[FOMP?],,0,)</f>
        <v>#N/A</v>
      </c>
      <c r="L10" s="8"/>
      <c r="M10" s="7" t="e">
        <f>_xlfn.XLOOKUP($L10,Tab_DSM_Category_ID[Category ID],Tab_DSM_Category_ID[DSM Material],,0,)</f>
        <v>#N/A</v>
      </c>
      <c r="N10" s="8"/>
      <c r="O10" s="16"/>
      <c r="P10" s="8"/>
      <c r="Q10" s="8"/>
      <c r="R10" s="8"/>
    </row>
    <row r="11" spans="1:18" x14ac:dyDescent="0.25">
      <c r="A11" s="160" t="b">
        <v>0</v>
      </c>
      <c r="B11" s="7">
        <f t="shared" si="0"/>
        <v>10</v>
      </c>
      <c r="C11" s="7" t="e">
        <f>_xlfn.XLOOKUP($D11,Tab_Def_Processes[Process_Name],Tab_Def_Processes[Process_ID],,0,)</f>
        <v>#N/A</v>
      </c>
      <c r="D11" s="8" t="s">
        <v>31</v>
      </c>
      <c r="E11" s="7" t="e">
        <f>_xlfn.XLOOKUP($D11,Tab_Def_Processes[Process_Name],Tab_Def_Processes[Process_Type],,0,)</f>
        <v>#N/A</v>
      </c>
      <c r="F11" s="7" t="e">
        <f>_xlfn.XLOOKUP($D11,Tab_Def_Processes[Process_Name],Tab_Def_Processes[TC?],,0,)</f>
        <v>#N/A</v>
      </c>
      <c r="G11" s="7" t="e">
        <f>_xlfn.XLOOKUP($D11,Tab_Def_Processes[Process_Name],Tab_Def_Processes[TC_Type],,0,)</f>
        <v>#N/A</v>
      </c>
      <c r="H11" s="7" t="e">
        <f>_xlfn.XLOOKUP($D11,Tab_Def_Processes[Process_Name],Tab_Def_Processes[Stock?],,0,)</f>
        <v>#N/A</v>
      </c>
      <c r="I11" s="7" t="e">
        <f>_xlfn.XLOOKUP($D11,Tab_Def_Processes[Process_Name],Tab_Def_Processes[Initial_Stock?],,0,)</f>
        <v>#N/A</v>
      </c>
      <c r="J11" s="7" t="e">
        <f>_xlfn.XLOOKUP($D11,Tab_Def_Processes[Process_Name],Tab_Def_Processes[DSM?],,0,)</f>
        <v>#N/A</v>
      </c>
      <c r="K11" s="7" t="e">
        <f>_xlfn.XLOOKUP($D11,Tab_Def_Processes[Process_Name],Tab_Def_Processes[FOMP?],,0,)</f>
        <v>#N/A</v>
      </c>
      <c r="L11" s="8"/>
      <c r="M11" s="7" t="e">
        <f>_xlfn.XLOOKUP($L11,Tab_DSM_Category_ID[Category ID],Tab_DSM_Category_ID[DSM Material],,0,)</f>
        <v>#N/A</v>
      </c>
      <c r="N11" s="8"/>
      <c r="O11" s="16"/>
      <c r="P11" s="8"/>
      <c r="Q11" s="8"/>
      <c r="R11" s="8"/>
    </row>
    <row r="12" spans="1:18" x14ac:dyDescent="0.25">
      <c r="A12" s="160" t="b">
        <v>0</v>
      </c>
      <c r="B12" s="7">
        <f t="shared" si="0"/>
        <v>11</v>
      </c>
      <c r="C12" s="7" t="e">
        <f>_xlfn.XLOOKUP($D12,Tab_Def_Processes[Process_Name],Tab_Def_Processes[Process_ID],,0,)</f>
        <v>#N/A</v>
      </c>
      <c r="D12" s="8" t="s">
        <v>31</v>
      </c>
      <c r="E12" s="7" t="e">
        <f>_xlfn.XLOOKUP($D12,Tab_Def_Processes[Process_Name],Tab_Def_Processes[Process_Type],,0,)</f>
        <v>#N/A</v>
      </c>
      <c r="F12" s="7" t="e">
        <f>_xlfn.XLOOKUP($D12,Tab_Def_Processes[Process_Name],Tab_Def_Processes[TC?],,0,)</f>
        <v>#N/A</v>
      </c>
      <c r="G12" s="7" t="e">
        <f>_xlfn.XLOOKUP($D12,Tab_Def_Processes[Process_Name],Tab_Def_Processes[TC_Type],,0,)</f>
        <v>#N/A</v>
      </c>
      <c r="H12" s="7" t="e">
        <f>_xlfn.XLOOKUP($D12,Tab_Def_Processes[Process_Name],Tab_Def_Processes[Stock?],,0,)</f>
        <v>#N/A</v>
      </c>
      <c r="I12" s="7" t="e">
        <f>_xlfn.XLOOKUP($D12,Tab_Def_Processes[Process_Name],Tab_Def_Processes[Initial_Stock?],,0,)</f>
        <v>#N/A</v>
      </c>
      <c r="J12" s="7" t="e">
        <f>_xlfn.XLOOKUP($D12,Tab_Def_Processes[Process_Name],Tab_Def_Processes[DSM?],,0,)</f>
        <v>#N/A</v>
      </c>
      <c r="K12" s="7" t="e">
        <f>_xlfn.XLOOKUP($D12,Tab_Def_Processes[Process_Name],Tab_Def_Processes[FOMP?],,0,)</f>
        <v>#N/A</v>
      </c>
      <c r="L12" s="8"/>
      <c r="M12" s="7" t="e">
        <f>_xlfn.XLOOKUP($L12,Tab_DSM_Category_ID[Category ID],Tab_DSM_Category_ID[DSM Material],,0,)</f>
        <v>#N/A</v>
      </c>
      <c r="N12" s="8"/>
      <c r="O12" s="16"/>
      <c r="P12" s="8"/>
      <c r="Q12" s="8"/>
      <c r="R12" s="8"/>
    </row>
    <row r="13" spans="1:18" x14ac:dyDescent="0.25">
      <c r="A13" s="160" t="b">
        <v>0</v>
      </c>
      <c r="B13" s="7">
        <f t="shared" si="0"/>
        <v>12</v>
      </c>
      <c r="C13" s="7" t="e">
        <f>_xlfn.XLOOKUP($D13,Tab_Def_Processes[Process_Name],Tab_Def_Processes[Process_ID],,0,)</f>
        <v>#N/A</v>
      </c>
      <c r="D13" s="8" t="s">
        <v>31</v>
      </c>
      <c r="E13" s="7" t="e">
        <f>_xlfn.XLOOKUP($D13,Tab_Def_Processes[Process_Name],Tab_Def_Processes[Process_Type],,0,)</f>
        <v>#N/A</v>
      </c>
      <c r="F13" s="7" t="e">
        <f>_xlfn.XLOOKUP($D13,Tab_Def_Processes[Process_Name],Tab_Def_Processes[TC?],,0,)</f>
        <v>#N/A</v>
      </c>
      <c r="G13" s="7" t="e">
        <f>_xlfn.XLOOKUP($D13,Tab_Def_Processes[Process_Name],Tab_Def_Processes[TC_Type],,0,)</f>
        <v>#N/A</v>
      </c>
      <c r="H13" s="7" t="e">
        <f>_xlfn.XLOOKUP($D13,Tab_Def_Processes[Process_Name],Tab_Def_Processes[Stock?],,0,)</f>
        <v>#N/A</v>
      </c>
      <c r="I13" s="7" t="e">
        <f>_xlfn.XLOOKUP($D13,Tab_Def_Processes[Process_Name],Tab_Def_Processes[Initial_Stock?],,0,)</f>
        <v>#N/A</v>
      </c>
      <c r="J13" s="7" t="e">
        <f>_xlfn.XLOOKUP($D13,Tab_Def_Processes[Process_Name],Tab_Def_Processes[DSM?],,0,)</f>
        <v>#N/A</v>
      </c>
      <c r="K13" s="7" t="e">
        <f>_xlfn.XLOOKUP($D13,Tab_Def_Processes[Process_Name],Tab_Def_Processes[FOMP?],,0,)</f>
        <v>#N/A</v>
      </c>
      <c r="L13" s="8"/>
      <c r="M13" s="7" t="e">
        <f>_xlfn.XLOOKUP($L13,Tab_DSM_Category_ID[Category ID],Tab_DSM_Category_ID[DSM Material],,0,)</f>
        <v>#N/A</v>
      </c>
      <c r="N13" s="8"/>
      <c r="O13" s="16"/>
      <c r="P13" s="8"/>
      <c r="Q13" s="8"/>
      <c r="R13" s="8"/>
    </row>
    <row r="14" spans="1:18" x14ac:dyDescent="0.25">
      <c r="A14" s="160" t="b">
        <v>0</v>
      </c>
      <c r="B14" s="7">
        <f t="shared" si="0"/>
        <v>13</v>
      </c>
      <c r="C14" s="7" t="e">
        <f>_xlfn.XLOOKUP($D14,Tab_Def_Processes[Process_Name],Tab_Def_Processes[Process_ID],,0,)</f>
        <v>#N/A</v>
      </c>
      <c r="D14" s="8" t="s">
        <v>31</v>
      </c>
      <c r="E14" s="7" t="e">
        <f>_xlfn.XLOOKUP($D14,Tab_Def_Processes[Process_Name],Tab_Def_Processes[Process_Type],,0,)</f>
        <v>#N/A</v>
      </c>
      <c r="F14" s="7" t="e">
        <f>_xlfn.XLOOKUP($D14,Tab_Def_Processes[Process_Name],Tab_Def_Processes[TC?],,0,)</f>
        <v>#N/A</v>
      </c>
      <c r="G14" s="7" t="e">
        <f>_xlfn.XLOOKUP($D14,Tab_Def_Processes[Process_Name],Tab_Def_Processes[TC_Type],,0,)</f>
        <v>#N/A</v>
      </c>
      <c r="H14" s="7" t="e">
        <f>_xlfn.XLOOKUP($D14,Tab_Def_Processes[Process_Name],Tab_Def_Processes[Stock?],,0,)</f>
        <v>#N/A</v>
      </c>
      <c r="I14" s="7" t="e">
        <f>_xlfn.XLOOKUP($D14,Tab_Def_Processes[Process_Name],Tab_Def_Processes[Initial_Stock?],,0,)</f>
        <v>#N/A</v>
      </c>
      <c r="J14" s="7" t="e">
        <f>_xlfn.XLOOKUP($D14,Tab_Def_Processes[Process_Name],Tab_Def_Processes[DSM?],,0,)</f>
        <v>#N/A</v>
      </c>
      <c r="K14" s="7" t="e">
        <f>_xlfn.XLOOKUP($D14,Tab_Def_Processes[Process_Name],Tab_Def_Processes[FOMP?],,0,)</f>
        <v>#N/A</v>
      </c>
      <c r="L14" s="8"/>
      <c r="M14" s="7" t="e">
        <f>_xlfn.XLOOKUP($L14,Tab_DSM_Category_ID[Category ID],Tab_DSM_Category_ID[DSM Material],,0,)</f>
        <v>#N/A</v>
      </c>
      <c r="N14" s="8"/>
      <c r="O14" s="16"/>
      <c r="P14" s="8"/>
      <c r="Q14" s="8"/>
      <c r="R14" s="8"/>
    </row>
    <row r="15" spans="1:18" x14ac:dyDescent="0.25">
      <c r="A15" s="160" t="b">
        <v>0</v>
      </c>
      <c r="B15" s="7">
        <f t="shared" si="0"/>
        <v>14</v>
      </c>
      <c r="C15" s="7" t="e">
        <f>_xlfn.XLOOKUP($D15,Tab_Def_Processes[Process_Name],Tab_Def_Processes[Process_ID],,0,)</f>
        <v>#N/A</v>
      </c>
      <c r="D15" s="8" t="s">
        <v>31</v>
      </c>
      <c r="E15" s="7" t="e">
        <f>_xlfn.XLOOKUP($D15,Tab_Def_Processes[Process_Name],Tab_Def_Processes[Process_Type],,0,)</f>
        <v>#N/A</v>
      </c>
      <c r="F15" s="7" t="e">
        <f>_xlfn.XLOOKUP($D15,Tab_Def_Processes[Process_Name],Tab_Def_Processes[TC?],,0,)</f>
        <v>#N/A</v>
      </c>
      <c r="G15" s="7" t="e">
        <f>_xlfn.XLOOKUP($D15,Tab_Def_Processes[Process_Name],Tab_Def_Processes[TC_Type],,0,)</f>
        <v>#N/A</v>
      </c>
      <c r="H15" s="7" t="e">
        <f>_xlfn.XLOOKUP($D15,Tab_Def_Processes[Process_Name],Tab_Def_Processes[Stock?],,0,)</f>
        <v>#N/A</v>
      </c>
      <c r="I15" s="7" t="e">
        <f>_xlfn.XLOOKUP($D15,Tab_Def_Processes[Process_Name],Tab_Def_Processes[Initial_Stock?],,0,)</f>
        <v>#N/A</v>
      </c>
      <c r="J15" s="7" t="e">
        <f>_xlfn.XLOOKUP($D15,Tab_Def_Processes[Process_Name],Tab_Def_Processes[DSM?],,0,)</f>
        <v>#N/A</v>
      </c>
      <c r="K15" s="7" t="e">
        <f>_xlfn.XLOOKUP($D15,Tab_Def_Processes[Process_Name],Tab_Def_Processes[FOMP?],,0,)</f>
        <v>#N/A</v>
      </c>
      <c r="L15" s="8"/>
      <c r="M15" s="7" t="e">
        <f>_xlfn.XLOOKUP($L15,Tab_DSM_Category_ID[Category ID],Tab_DSM_Category_ID[DSM Material],,0,)</f>
        <v>#N/A</v>
      </c>
      <c r="N15" s="8"/>
      <c r="O15" s="16"/>
      <c r="P15" s="8"/>
      <c r="Q15" s="8"/>
      <c r="R15" s="8"/>
    </row>
    <row r="16" spans="1:18" x14ac:dyDescent="0.25">
      <c r="A16" s="160" t="b">
        <v>0</v>
      </c>
      <c r="B16" s="7">
        <f t="shared" si="0"/>
        <v>15</v>
      </c>
      <c r="C16" s="7" t="e">
        <f>_xlfn.XLOOKUP($D16,Tab_Def_Processes[Process_Name],Tab_Def_Processes[Process_ID],,0,)</f>
        <v>#N/A</v>
      </c>
      <c r="D16" s="8" t="s">
        <v>31</v>
      </c>
      <c r="E16" s="7" t="e">
        <f>_xlfn.XLOOKUP($D16,Tab_Def_Processes[Process_Name],Tab_Def_Processes[Process_Type],,0,)</f>
        <v>#N/A</v>
      </c>
      <c r="F16" s="7" t="e">
        <f>_xlfn.XLOOKUP($D16,Tab_Def_Processes[Process_Name],Tab_Def_Processes[TC?],,0,)</f>
        <v>#N/A</v>
      </c>
      <c r="G16" s="7" t="e">
        <f>_xlfn.XLOOKUP($D16,Tab_Def_Processes[Process_Name],Tab_Def_Processes[TC_Type],,0,)</f>
        <v>#N/A</v>
      </c>
      <c r="H16" s="7" t="e">
        <f>_xlfn.XLOOKUP($D16,Tab_Def_Processes[Process_Name],Tab_Def_Processes[Stock?],,0,)</f>
        <v>#N/A</v>
      </c>
      <c r="I16" s="7" t="e">
        <f>_xlfn.XLOOKUP($D16,Tab_Def_Processes[Process_Name],Tab_Def_Processes[Initial_Stock?],,0,)</f>
        <v>#N/A</v>
      </c>
      <c r="J16" s="7" t="e">
        <f>_xlfn.XLOOKUP($D16,Tab_Def_Processes[Process_Name],Tab_Def_Processes[DSM?],,0,)</f>
        <v>#N/A</v>
      </c>
      <c r="K16" s="7" t="e">
        <f>_xlfn.XLOOKUP($D16,Tab_Def_Processes[Process_Name],Tab_Def_Processes[FOMP?],,0,)</f>
        <v>#N/A</v>
      </c>
      <c r="L16" s="8"/>
      <c r="M16" s="7" t="e">
        <f>_xlfn.XLOOKUP($L16,Tab_DSM_Category_ID[Category ID],Tab_DSM_Category_ID[DSM Material],,0,)</f>
        <v>#N/A</v>
      </c>
      <c r="N16" s="8"/>
      <c r="O16" s="16"/>
      <c r="P16" s="8"/>
      <c r="Q16" s="8"/>
      <c r="R16" s="8"/>
    </row>
    <row r="17" spans="1:18" x14ac:dyDescent="0.25">
      <c r="A17" s="160" t="b">
        <v>0</v>
      </c>
      <c r="B17" s="7">
        <f t="shared" si="0"/>
        <v>16</v>
      </c>
      <c r="C17" s="7" t="e">
        <f>_xlfn.XLOOKUP($D17,Tab_Def_Processes[Process_Name],Tab_Def_Processes[Process_ID],,0,)</f>
        <v>#N/A</v>
      </c>
      <c r="D17" s="8" t="s">
        <v>31</v>
      </c>
      <c r="E17" s="7" t="e">
        <f>_xlfn.XLOOKUP($D17,Tab_Def_Processes[Process_Name],Tab_Def_Processes[Process_Type],,0,)</f>
        <v>#N/A</v>
      </c>
      <c r="F17" s="7" t="e">
        <f>_xlfn.XLOOKUP($D17,Tab_Def_Processes[Process_Name],Tab_Def_Processes[TC?],,0,)</f>
        <v>#N/A</v>
      </c>
      <c r="G17" s="7" t="e">
        <f>_xlfn.XLOOKUP($D17,Tab_Def_Processes[Process_Name],Tab_Def_Processes[TC_Type],,0,)</f>
        <v>#N/A</v>
      </c>
      <c r="H17" s="7" t="e">
        <f>_xlfn.XLOOKUP($D17,Tab_Def_Processes[Process_Name],Tab_Def_Processes[Stock?],,0,)</f>
        <v>#N/A</v>
      </c>
      <c r="I17" s="7" t="e">
        <f>_xlfn.XLOOKUP($D17,Tab_Def_Processes[Process_Name],Tab_Def_Processes[Initial_Stock?],,0,)</f>
        <v>#N/A</v>
      </c>
      <c r="J17" s="7" t="e">
        <f>_xlfn.XLOOKUP($D17,Tab_Def_Processes[Process_Name],Tab_Def_Processes[DSM?],,0,)</f>
        <v>#N/A</v>
      </c>
      <c r="K17" s="7" t="e">
        <f>_xlfn.XLOOKUP($D17,Tab_Def_Processes[Process_Name],Tab_Def_Processes[FOMP?],,0,)</f>
        <v>#N/A</v>
      </c>
      <c r="L17" s="8"/>
      <c r="M17" s="7" t="e">
        <f>_xlfn.XLOOKUP($L17,Tab_DSM_Category_ID[Category ID],Tab_DSM_Category_ID[DSM Material],,0,)</f>
        <v>#N/A</v>
      </c>
      <c r="N17" s="8"/>
      <c r="O17" s="16"/>
      <c r="P17" s="8"/>
      <c r="Q17" s="8"/>
      <c r="R17" s="8"/>
    </row>
    <row r="18" spans="1:18" x14ac:dyDescent="0.25">
      <c r="A18" s="160" t="b">
        <v>0</v>
      </c>
      <c r="B18" s="7">
        <f t="shared" si="0"/>
        <v>17</v>
      </c>
      <c r="C18" s="7" t="e">
        <f>_xlfn.XLOOKUP($D18,Tab_Def_Processes[Process_Name],Tab_Def_Processes[Process_ID],,0,)</f>
        <v>#N/A</v>
      </c>
      <c r="D18" s="8" t="s">
        <v>31</v>
      </c>
      <c r="E18" s="7" t="e">
        <f>_xlfn.XLOOKUP($D18,Tab_Def_Processes[Process_Name],Tab_Def_Processes[Process_Type],,0,)</f>
        <v>#N/A</v>
      </c>
      <c r="F18" s="7" t="e">
        <f>_xlfn.XLOOKUP($D18,Tab_Def_Processes[Process_Name],Tab_Def_Processes[TC?],,0,)</f>
        <v>#N/A</v>
      </c>
      <c r="G18" s="7" t="e">
        <f>_xlfn.XLOOKUP($D18,Tab_Def_Processes[Process_Name],Tab_Def_Processes[TC_Type],,0,)</f>
        <v>#N/A</v>
      </c>
      <c r="H18" s="7" t="e">
        <f>_xlfn.XLOOKUP($D18,Tab_Def_Processes[Process_Name],Tab_Def_Processes[Stock?],,0,)</f>
        <v>#N/A</v>
      </c>
      <c r="I18" s="7" t="e">
        <f>_xlfn.XLOOKUP($D18,Tab_Def_Processes[Process_Name],Tab_Def_Processes[Initial_Stock?],,0,)</f>
        <v>#N/A</v>
      </c>
      <c r="J18" s="7" t="e">
        <f>_xlfn.XLOOKUP($D18,Tab_Def_Processes[Process_Name],Tab_Def_Processes[DSM?],,0,)</f>
        <v>#N/A</v>
      </c>
      <c r="K18" s="7" t="e">
        <f>_xlfn.XLOOKUP($D18,Tab_Def_Processes[Process_Name],Tab_Def_Processes[FOMP?],,0,)</f>
        <v>#N/A</v>
      </c>
      <c r="L18" s="8"/>
      <c r="M18" s="7" t="e">
        <f>_xlfn.XLOOKUP($L18,Tab_DSM_Category_ID[Category ID],Tab_DSM_Category_ID[DSM Material],,0,)</f>
        <v>#N/A</v>
      </c>
      <c r="N18" s="8"/>
      <c r="O18" s="16"/>
      <c r="P18" s="8"/>
      <c r="Q18" s="8"/>
      <c r="R18" s="8"/>
    </row>
    <row r="19" spans="1:18" x14ac:dyDescent="0.25">
      <c r="A19" s="160" t="b">
        <v>0</v>
      </c>
      <c r="B19" s="7">
        <f t="shared" si="0"/>
        <v>18</v>
      </c>
      <c r="C19" s="7" t="e">
        <f>_xlfn.XLOOKUP($D19,Tab_Def_Processes[Process_Name],Tab_Def_Processes[Process_ID],,0,)</f>
        <v>#N/A</v>
      </c>
      <c r="D19" s="8" t="s">
        <v>31</v>
      </c>
      <c r="E19" s="7" t="e">
        <f>_xlfn.XLOOKUP($D19,Tab_Def_Processes[Process_Name],Tab_Def_Processes[Process_Type],,0,)</f>
        <v>#N/A</v>
      </c>
      <c r="F19" s="7" t="e">
        <f>_xlfn.XLOOKUP($D19,Tab_Def_Processes[Process_Name],Tab_Def_Processes[TC?],,0,)</f>
        <v>#N/A</v>
      </c>
      <c r="G19" s="7" t="e">
        <f>_xlfn.XLOOKUP($D19,Tab_Def_Processes[Process_Name],Tab_Def_Processes[TC_Type],,0,)</f>
        <v>#N/A</v>
      </c>
      <c r="H19" s="7" t="e">
        <f>_xlfn.XLOOKUP($D19,Tab_Def_Processes[Process_Name],Tab_Def_Processes[Stock?],,0,)</f>
        <v>#N/A</v>
      </c>
      <c r="I19" s="7" t="e">
        <f>_xlfn.XLOOKUP($D19,Tab_Def_Processes[Process_Name],Tab_Def_Processes[Initial_Stock?],,0,)</f>
        <v>#N/A</v>
      </c>
      <c r="J19" s="7" t="e">
        <f>_xlfn.XLOOKUP($D19,Tab_Def_Processes[Process_Name],Tab_Def_Processes[DSM?],,0,)</f>
        <v>#N/A</v>
      </c>
      <c r="K19" s="7" t="e">
        <f>_xlfn.XLOOKUP($D19,Tab_Def_Processes[Process_Name],Tab_Def_Processes[FOMP?],,0,)</f>
        <v>#N/A</v>
      </c>
      <c r="L19" s="8"/>
      <c r="M19" s="7" t="e">
        <f>_xlfn.XLOOKUP($L19,Tab_DSM_Category_ID[Category ID],Tab_DSM_Category_ID[DSM Material],,0,)</f>
        <v>#N/A</v>
      </c>
      <c r="N19" s="8"/>
      <c r="O19" s="16"/>
      <c r="P19" s="8"/>
      <c r="Q19" s="8"/>
      <c r="R19" s="8"/>
    </row>
    <row r="20" spans="1:18" x14ac:dyDescent="0.25">
      <c r="A20" s="160" t="b">
        <v>0</v>
      </c>
      <c r="B20" s="7">
        <f t="shared" si="0"/>
        <v>19</v>
      </c>
      <c r="C20" s="7" t="e">
        <f>_xlfn.XLOOKUP($D20,Tab_Def_Processes[Process_Name],Tab_Def_Processes[Process_ID],,0,)</f>
        <v>#N/A</v>
      </c>
      <c r="D20" s="8" t="s">
        <v>31</v>
      </c>
      <c r="E20" s="7" t="e">
        <f>_xlfn.XLOOKUP($D20,Tab_Def_Processes[Process_Name],Tab_Def_Processes[Process_Type],,0,)</f>
        <v>#N/A</v>
      </c>
      <c r="F20" s="7" t="e">
        <f>_xlfn.XLOOKUP($D20,Tab_Def_Processes[Process_Name],Tab_Def_Processes[TC?],,0,)</f>
        <v>#N/A</v>
      </c>
      <c r="G20" s="7" t="e">
        <f>_xlfn.XLOOKUP($D20,Tab_Def_Processes[Process_Name],Tab_Def_Processes[TC_Type],,0,)</f>
        <v>#N/A</v>
      </c>
      <c r="H20" s="7" t="e">
        <f>_xlfn.XLOOKUP($D20,Tab_Def_Processes[Process_Name],Tab_Def_Processes[Stock?],,0,)</f>
        <v>#N/A</v>
      </c>
      <c r="I20" s="7" t="e">
        <f>_xlfn.XLOOKUP($D20,Tab_Def_Processes[Process_Name],Tab_Def_Processes[Initial_Stock?],,0,)</f>
        <v>#N/A</v>
      </c>
      <c r="J20" s="7" t="e">
        <f>_xlfn.XLOOKUP($D20,Tab_Def_Processes[Process_Name],Tab_Def_Processes[DSM?],,0,)</f>
        <v>#N/A</v>
      </c>
      <c r="K20" s="7" t="e">
        <f>_xlfn.XLOOKUP($D20,Tab_Def_Processes[Process_Name],Tab_Def_Processes[FOMP?],,0,)</f>
        <v>#N/A</v>
      </c>
      <c r="L20" s="8"/>
      <c r="M20" s="7" t="e">
        <f>_xlfn.XLOOKUP($L20,Tab_DSM_Category_ID[Category ID],Tab_DSM_Category_ID[DSM Material],,0,)</f>
        <v>#N/A</v>
      </c>
      <c r="N20" s="8"/>
      <c r="O20" s="16"/>
      <c r="P20" s="8"/>
      <c r="Q20" s="8"/>
      <c r="R20" s="8"/>
    </row>
    <row r="21" spans="1:18" x14ac:dyDescent="0.25">
      <c r="A21" s="160" t="b">
        <v>0</v>
      </c>
      <c r="B21" s="7">
        <f t="shared" si="0"/>
        <v>20</v>
      </c>
      <c r="C21" s="7" t="e">
        <f>_xlfn.XLOOKUP($D21,Tab_Def_Processes[Process_Name],Tab_Def_Processes[Process_ID],,0,)</f>
        <v>#N/A</v>
      </c>
      <c r="D21" s="8" t="s">
        <v>31</v>
      </c>
      <c r="E21" s="7" t="e">
        <f>_xlfn.XLOOKUP($D21,Tab_Def_Processes[Process_Name],Tab_Def_Processes[Process_Type],,0,)</f>
        <v>#N/A</v>
      </c>
      <c r="F21" s="7" t="e">
        <f>_xlfn.XLOOKUP($D21,Tab_Def_Processes[Process_Name],Tab_Def_Processes[TC?],,0,)</f>
        <v>#N/A</v>
      </c>
      <c r="G21" s="7" t="e">
        <f>_xlfn.XLOOKUP($D21,Tab_Def_Processes[Process_Name],Tab_Def_Processes[TC_Type],,0,)</f>
        <v>#N/A</v>
      </c>
      <c r="H21" s="7" t="e">
        <f>_xlfn.XLOOKUP($D21,Tab_Def_Processes[Process_Name],Tab_Def_Processes[Stock?],,0,)</f>
        <v>#N/A</v>
      </c>
      <c r="I21" s="7" t="e">
        <f>_xlfn.XLOOKUP($D21,Tab_Def_Processes[Process_Name],Tab_Def_Processes[Initial_Stock?],,0,)</f>
        <v>#N/A</v>
      </c>
      <c r="J21" s="7" t="e">
        <f>_xlfn.XLOOKUP($D21,Tab_Def_Processes[Process_Name],Tab_Def_Processes[DSM?],,0,)</f>
        <v>#N/A</v>
      </c>
      <c r="K21" s="7" t="e">
        <f>_xlfn.XLOOKUP($D21,Tab_Def_Processes[Process_Name],Tab_Def_Processes[FOMP?],,0,)</f>
        <v>#N/A</v>
      </c>
      <c r="L21" s="8"/>
      <c r="M21" s="7" t="e">
        <f>_xlfn.XLOOKUP($L21,Tab_DSM_Category_ID[Category ID],Tab_DSM_Category_ID[DSM Material],,0,)</f>
        <v>#N/A</v>
      </c>
      <c r="N21" s="8"/>
      <c r="O21" s="16"/>
      <c r="P21" s="8"/>
      <c r="Q21" s="8"/>
      <c r="R21" s="8"/>
    </row>
    <row r="22" spans="1:18" x14ac:dyDescent="0.25">
      <c r="A22" s="160" t="b">
        <v>0</v>
      </c>
      <c r="B22" s="7">
        <f t="shared" si="0"/>
        <v>21</v>
      </c>
      <c r="C22" s="7" t="e">
        <f>_xlfn.XLOOKUP($D22,Tab_Def_Processes[Process_Name],Tab_Def_Processes[Process_ID],,0,)</f>
        <v>#N/A</v>
      </c>
      <c r="D22" s="8" t="s">
        <v>31</v>
      </c>
      <c r="E22" s="7" t="e">
        <f>_xlfn.XLOOKUP($D22,Tab_Def_Processes[Process_Name],Tab_Def_Processes[Process_Type],,0,)</f>
        <v>#N/A</v>
      </c>
      <c r="F22" s="7" t="e">
        <f>_xlfn.XLOOKUP($D22,Tab_Def_Processes[Process_Name],Tab_Def_Processes[TC?],,0,)</f>
        <v>#N/A</v>
      </c>
      <c r="G22" s="7" t="e">
        <f>_xlfn.XLOOKUP($D22,Tab_Def_Processes[Process_Name],Tab_Def_Processes[TC_Type],,0,)</f>
        <v>#N/A</v>
      </c>
      <c r="H22" s="7" t="e">
        <f>_xlfn.XLOOKUP($D22,Tab_Def_Processes[Process_Name],Tab_Def_Processes[Stock?],,0,)</f>
        <v>#N/A</v>
      </c>
      <c r="I22" s="7" t="e">
        <f>_xlfn.XLOOKUP($D22,Tab_Def_Processes[Process_Name],Tab_Def_Processes[Initial_Stock?],,0,)</f>
        <v>#N/A</v>
      </c>
      <c r="J22" s="7" t="e">
        <f>_xlfn.XLOOKUP($D22,Tab_Def_Processes[Process_Name],Tab_Def_Processes[DSM?],,0,)</f>
        <v>#N/A</v>
      </c>
      <c r="K22" s="7" t="e">
        <f>_xlfn.XLOOKUP($D22,Tab_Def_Processes[Process_Name],Tab_Def_Processes[FOMP?],,0,)</f>
        <v>#N/A</v>
      </c>
      <c r="L22" s="8"/>
      <c r="M22" s="7" t="e">
        <f>_xlfn.XLOOKUP($L22,Tab_DSM_Category_ID[Category ID],Tab_DSM_Category_ID[DSM Material],,0,)</f>
        <v>#N/A</v>
      </c>
      <c r="N22" s="8"/>
      <c r="O22" s="16"/>
      <c r="P22" s="8"/>
      <c r="Q22" s="8"/>
      <c r="R22" s="8"/>
    </row>
    <row r="23" spans="1:18" x14ac:dyDescent="0.25">
      <c r="A23" s="160" t="b">
        <v>0</v>
      </c>
      <c r="B23" s="7">
        <f t="shared" si="0"/>
        <v>22</v>
      </c>
      <c r="C23" s="7" t="e">
        <f>_xlfn.XLOOKUP($D23,Tab_Def_Processes[Process_Name],Tab_Def_Processes[Process_ID],,0,)</f>
        <v>#N/A</v>
      </c>
      <c r="D23" s="8" t="s">
        <v>31</v>
      </c>
      <c r="E23" s="7" t="e">
        <f>_xlfn.XLOOKUP($D23,Tab_Def_Processes[Process_Name],Tab_Def_Processes[Process_Type],,0,)</f>
        <v>#N/A</v>
      </c>
      <c r="F23" s="7" t="e">
        <f>_xlfn.XLOOKUP($D23,Tab_Def_Processes[Process_Name],Tab_Def_Processes[TC?],,0,)</f>
        <v>#N/A</v>
      </c>
      <c r="G23" s="7" t="e">
        <f>_xlfn.XLOOKUP($D23,Tab_Def_Processes[Process_Name],Tab_Def_Processes[TC_Type],,0,)</f>
        <v>#N/A</v>
      </c>
      <c r="H23" s="7" t="e">
        <f>_xlfn.XLOOKUP($D23,Tab_Def_Processes[Process_Name],Tab_Def_Processes[Stock?],,0,)</f>
        <v>#N/A</v>
      </c>
      <c r="I23" s="7" t="e">
        <f>_xlfn.XLOOKUP($D23,Tab_Def_Processes[Process_Name],Tab_Def_Processes[Initial_Stock?],,0,)</f>
        <v>#N/A</v>
      </c>
      <c r="J23" s="7" t="e">
        <f>_xlfn.XLOOKUP($D23,Tab_Def_Processes[Process_Name],Tab_Def_Processes[DSM?],,0,)</f>
        <v>#N/A</v>
      </c>
      <c r="K23" s="7" t="e">
        <f>_xlfn.XLOOKUP($D23,Tab_Def_Processes[Process_Name],Tab_Def_Processes[FOMP?],,0,)</f>
        <v>#N/A</v>
      </c>
      <c r="L23" s="8"/>
      <c r="M23" s="7" t="e">
        <f>_xlfn.XLOOKUP($L23,Tab_DSM_Category_ID[Category ID],Tab_DSM_Category_ID[DSM Material],,0,)</f>
        <v>#N/A</v>
      </c>
      <c r="N23" s="8"/>
      <c r="O23" s="16"/>
      <c r="P23" s="8"/>
      <c r="Q23" s="8"/>
      <c r="R23" s="8"/>
    </row>
    <row r="24" spans="1:18" x14ac:dyDescent="0.25">
      <c r="A24" s="160" t="b">
        <v>0</v>
      </c>
      <c r="B24" s="7">
        <f t="shared" si="0"/>
        <v>23</v>
      </c>
      <c r="C24" s="7" t="e">
        <f>_xlfn.XLOOKUP($D24,Tab_Def_Processes[Process_Name],Tab_Def_Processes[Process_ID],,0,)</f>
        <v>#N/A</v>
      </c>
      <c r="D24" s="8" t="s">
        <v>31</v>
      </c>
      <c r="E24" s="7" t="e">
        <f>_xlfn.XLOOKUP($D24,Tab_Def_Processes[Process_Name],Tab_Def_Processes[Process_Type],,0,)</f>
        <v>#N/A</v>
      </c>
      <c r="F24" s="7" t="e">
        <f>_xlfn.XLOOKUP($D24,Tab_Def_Processes[Process_Name],Tab_Def_Processes[TC?],,0,)</f>
        <v>#N/A</v>
      </c>
      <c r="G24" s="7" t="e">
        <f>_xlfn.XLOOKUP($D24,Tab_Def_Processes[Process_Name],Tab_Def_Processes[TC_Type],,0,)</f>
        <v>#N/A</v>
      </c>
      <c r="H24" s="7" t="e">
        <f>_xlfn.XLOOKUP($D24,Tab_Def_Processes[Process_Name],Tab_Def_Processes[Stock?],,0,)</f>
        <v>#N/A</v>
      </c>
      <c r="I24" s="7" t="e">
        <f>_xlfn.XLOOKUP($D24,Tab_Def_Processes[Process_Name],Tab_Def_Processes[Initial_Stock?],,0,)</f>
        <v>#N/A</v>
      </c>
      <c r="J24" s="7" t="e">
        <f>_xlfn.XLOOKUP($D24,Tab_Def_Processes[Process_Name],Tab_Def_Processes[DSM?],,0,)</f>
        <v>#N/A</v>
      </c>
      <c r="K24" s="7" t="e">
        <f>_xlfn.XLOOKUP($D24,Tab_Def_Processes[Process_Name],Tab_Def_Processes[FOMP?],,0,)</f>
        <v>#N/A</v>
      </c>
      <c r="L24" s="8"/>
      <c r="M24" s="7" t="e">
        <f>_xlfn.XLOOKUP($L24,Tab_DSM_Category_ID[Category ID],Tab_DSM_Category_ID[DSM Material],,0,)</f>
        <v>#N/A</v>
      </c>
      <c r="N24" s="8"/>
      <c r="O24" s="16"/>
      <c r="P24" s="8"/>
      <c r="Q24" s="8"/>
      <c r="R24" s="8"/>
    </row>
    <row r="25" spans="1:18" x14ac:dyDescent="0.25">
      <c r="A25" s="160" t="b">
        <v>0</v>
      </c>
      <c r="B25" s="7">
        <f t="shared" si="0"/>
        <v>24</v>
      </c>
      <c r="C25" s="7" t="e">
        <f>_xlfn.XLOOKUP($D25,Tab_Def_Processes[Process_Name],Tab_Def_Processes[Process_ID],,0,)</f>
        <v>#N/A</v>
      </c>
      <c r="D25" s="8" t="s">
        <v>31</v>
      </c>
      <c r="E25" s="7" t="e">
        <f>_xlfn.XLOOKUP($D25,Tab_Def_Processes[Process_Name],Tab_Def_Processes[Process_Type],,0,)</f>
        <v>#N/A</v>
      </c>
      <c r="F25" s="7" t="e">
        <f>_xlfn.XLOOKUP($D25,Tab_Def_Processes[Process_Name],Tab_Def_Processes[TC?],,0,)</f>
        <v>#N/A</v>
      </c>
      <c r="G25" s="7" t="e">
        <f>_xlfn.XLOOKUP($D25,Tab_Def_Processes[Process_Name],Tab_Def_Processes[TC_Type],,0,)</f>
        <v>#N/A</v>
      </c>
      <c r="H25" s="7" t="e">
        <f>_xlfn.XLOOKUP($D25,Tab_Def_Processes[Process_Name],Tab_Def_Processes[Stock?],,0,)</f>
        <v>#N/A</v>
      </c>
      <c r="I25" s="7" t="e">
        <f>_xlfn.XLOOKUP($D25,Tab_Def_Processes[Process_Name],Tab_Def_Processes[Initial_Stock?],,0,)</f>
        <v>#N/A</v>
      </c>
      <c r="J25" s="7" t="e">
        <f>_xlfn.XLOOKUP($D25,Tab_Def_Processes[Process_Name],Tab_Def_Processes[DSM?],,0,)</f>
        <v>#N/A</v>
      </c>
      <c r="K25" s="7" t="e">
        <f>_xlfn.XLOOKUP($D25,Tab_Def_Processes[Process_Name],Tab_Def_Processes[FOMP?],,0,)</f>
        <v>#N/A</v>
      </c>
      <c r="L25" s="8"/>
      <c r="M25" s="7" t="e">
        <f>_xlfn.XLOOKUP($L25,Tab_DSM_Category_ID[Category ID],Tab_DSM_Category_ID[DSM Material],,0,)</f>
        <v>#N/A</v>
      </c>
      <c r="N25" s="8"/>
      <c r="O25" s="16"/>
      <c r="P25" s="8"/>
      <c r="Q25" s="8"/>
      <c r="R25" s="8"/>
    </row>
    <row r="26" spans="1:18" x14ac:dyDescent="0.25">
      <c r="A26" s="160" t="b">
        <v>0</v>
      </c>
      <c r="B26" s="7">
        <f t="shared" si="0"/>
        <v>25</v>
      </c>
      <c r="C26" s="7" t="e">
        <f>_xlfn.XLOOKUP($D26,Tab_Def_Processes[Process_Name],Tab_Def_Processes[Process_ID],,0,)</f>
        <v>#N/A</v>
      </c>
      <c r="D26" s="8" t="s">
        <v>31</v>
      </c>
      <c r="E26" s="7" t="e">
        <f>_xlfn.XLOOKUP($D26,Tab_Def_Processes[Process_Name],Tab_Def_Processes[Process_Type],,0,)</f>
        <v>#N/A</v>
      </c>
      <c r="F26" s="7" t="e">
        <f>_xlfn.XLOOKUP($D26,Tab_Def_Processes[Process_Name],Tab_Def_Processes[TC?],,0,)</f>
        <v>#N/A</v>
      </c>
      <c r="G26" s="7" t="e">
        <f>_xlfn.XLOOKUP($D26,Tab_Def_Processes[Process_Name],Tab_Def_Processes[TC_Type],,0,)</f>
        <v>#N/A</v>
      </c>
      <c r="H26" s="7" t="e">
        <f>_xlfn.XLOOKUP($D26,Tab_Def_Processes[Process_Name],Tab_Def_Processes[Stock?],,0,)</f>
        <v>#N/A</v>
      </c>
      <c r="I26" s="7" t="e">
        <f>_xlfn.XLOOKUP($D26,Tab_Def_Processes[Process_Name],Tab_Def_Processes[Initial_Stock?],,0,)</f>
        <v>#N/A</v>
      </c>
      <c r="J26" s="7" t="e">
        <f>_xlfn.XLOOKUP($D26,Tab_Def_Processes[Process_Name],Tab_Def_Processes[DSM?],,0,)</f>
        <v>#N/A</v>
      </c>
      <c r="K26" s="7" t="e">
        <f>_xlfn.XLOOKUP($D26,Tab_Def_Processes[Process_Name],Tab_Def_Processes[FOMP?],,0,)</f>
        <v>#N/A</v>
      </c>
      <c r="L26" s="8"/>
      <c r="M26" s="7" t="e">
        <f>_xlfn.XLOOKUP($L26,Tab_DSM_Category_ID[Category ID],Tab_DSM_Category_ID[DSM Material],,0,)</f>
        <v>#N/A</v>
      </c>
      <c r="N26" s="8"/>
      <c r="O26" s="16"/>
      <c r="P26" s="8"/>
      <c r="Q26" s="8"/>
      <c r="R26" s="8"/>
    </row>
    <row r="27" spans="1:18" x14ac:dyDescent="0.25">
      <c r="A27" s="160" t="b">
        <v>0</v>
      </c>
      <c r="B27" s="7">
        <f t="shared" si="0"/>
        <v>26</v>
      </c>
      <c r="C27" s="7" t="e">
        <f>_xlfn.XLOOKUP($D27,Tab_Def_Processes[Process_Name],Tab_Def_Processes[Process_ID],,0,)</f>
        <v>#N/A</v>
      </c>
      <c r="D27" s="8" t="s">
        <v>31</v>
      </c>
      <c r="E27" s="7" t="e">
        <f>_xlfn.XLOOKUP($D27,Tab_Def_Processes[Process_Name],Tab_Def_Processes[Process_Type],,0,)</f>
        <v>#N/A</v>
      </c>
      <c r="F27" s="7" t="e">
        <f>_xlfn.XLOOKUP($D27,Tab_Def_Processes[Process_Name],Tab_Def_Processes[TC?],,0,)</f>
        <v>#N/A</v>
      </c>
      <c r="G27" s="7" t="e">
        <f>_xlfn.XLOOKUP($D27,Tab_Def_Processes[Process_Name],Tab_Def_Processes[TC_Type],,0,)</f>
        <v>#N/A</v>
      </c>
      <c r="H27" s="7" t="e">
        <f>_xlfn.XLOOKUP($D27,Tab_Def_Processes[Process_Name],Tab_Def_Processes[Stock?],,0,)</f>
        <v>#N/A</v>
      </c>
      <c r="I27" s="7" t="e">
        <f>_xlfn.XLOOKUP($D27,Tab_Def_Processes[Process_Name],Tab_Def_Processes[Initial_Stock?],,0,)</f>
        <v>#N/A</v>
      </c>
      <c r="J27" s="7" t="e">
        <f>_xlfn.XLOOKUP($D27,Tab_Def_Processes[Process_Name],Tab_Def_Processes[DSM?],,0,)</f>
        <v>#N/A</v>
      </c>
      <c r="K27" s="7" t="e">
        <f>_xlfn.XLOOKUP($D27,Tab_Def_Processes[Process_Name],Tab_Def_Processes[FOMP?],,0,)</f>
        <v>#N/A</v>
      </c>
      <c r="L27" s="8"/>
      <c r="M27" s="7" t="e">
        <f>_xlfn.XLOOKUP($L27,Tab_DSM_Category_ID[Category ID],Tab_DSM_Category_ID[DSM Material],,0,)</f>
        <v>#N/A</v>
      </c>
      <c r="N27" s="8"/>
      <c r="O27" s="16"/>
      <c r="P27" s="8"/>
      <c r="Q27" s="8"/>
      <c r="R27" s="8"/>
    </row>
    <row r="28" spans="1:18" x14ac:dyDescent="0.25">
      <c r="A28" s="160" t="b">
        <v>0</v>
      </c>
      <c r="B28" s="7">
        <f t="shared" si="0"/>
        <v>27</v>
      </c>
      <c r="C28" s="7" t="e">
        <f>_xlfn.XLOOKUP($D28,Tab_Def_Processes[Process_Name],Tab_Def_Processes[Process_ID],,0,)</f>
        <v>#N/A</v>
      </c>
      <c r="D28" s="8" t="s">
        <v>31</v>
      </c>
      <c r="E28" s="7" t="e">
        <f>_xlfn.XLOOKUP($D28,Tab_Def_Processes[Process_Name],Tab_Def_Processes[Process_Type],,0,)</f>
        <v>#N/A</v>
      </c>
      <c r="F28" s="7" t="e">
        <f>_xlfn.XLOOKUP($D28,Tab_Def_Processes[Process_Name],Tab_Def_Processes[TC?],,0,)</f>
        <v>#N/A</v>
      </c>
      <c r="G28" s="7" t="e">
        <f>_xlfn.XLOOKUP($D28,Tab_Def_Processes[Process_Name],Tab_Def_Processes[TC_Type],,0,)</f>
        <v>#N/A</v>
      </c>
      <c r="H28" s="7" t="e">
        <f>_xlfn.XLOOKUP($D28,Tab_Def_Processes[Process_Name],Tab_Def_Processes[Stock?],,0,)</f>
        <v>#N/A</v>
      </c>
      <c r="I28" s="7" t="e">
        <f>_xlfn.XLOOKUP($D28,Tab_Def_Processes[Process_Name],Tab_Def_Processes[Initial_Stock?],,0,)</f>
        <v>#N/A</v>
      </c>
      <c r="J28" s="7" t="e">
        <f>_xlfn.XLOOKUP($D28,Tab_Def_Processes[Process_Name],Tab_Def_Processes[DSM?],,0,)</f>
        <v>#N/A</v>
      </c>
      <c r="K28" s="7" t="e">
        <f>_xlfn.XLOOKUP($D28,Tab_Def_Processes[Process_Name],Tab_Def_Processes[FOMP?],,0,)</f>
        <v>#N/A</v>
      </c>
      <c r="L28" s="8"/>
      <c r="M28" s="7" t="e">
        <f>_xlfn.XLOOKUP($L28,Tab_DSM_Category_ID[Category ID],Tab_DSM_Category_ID[DSM Material],,0,)</f>
        <v>#N/A</v>
      </c>
      <c r="N28" s="8"/>
      <c r="O28" s="16"/>
      <c r="P28" s="8"/>
      <c r="Q28" s="8"/>
      <c r="R28" s="8"/>
    </row>
    <row r="29" spans="1:18" x14ac:dyDescent="0.25">
      <c r="A29" s="160" t="b">
        <v>0</v>
      </c>
      <c r="B29" s="7">
        <f t="shared" si="0"/>
        <v>28</v>
      </c>
      <c r="C29" s="7" t="e">
        <f>_xlfn.XLOOKUP($D29,Tab_Def_Processes[Process_Name],Tab_Def_Processes[Process_ID],,0,)</f>
        <v>#N/A</v>
      </c>
      <c r="D29" s="8" t="s">
        <v>31</v>
      </c>
      <c r="E29" s="7" t="e">
        <f>_xlfn.XLOOKUP($D29,Tab_Def_Processes[Process_Name],Tab_Def_Processes[Process_Type],,0,)</f>
        <v>#N/A</v>
      </c>
      <c r="F29" s="7" t="e">
        <f>_xlfn.XLOOKUP($D29,Tab_Def_Processes[Process_Name],Tab_Def_Processes[TC?],,0,)</f>
        <v>#N/A</v>
      </c>
      <c r="G29" s="7" t="e">
        <f>_xlfn.XLOOKUP($D29,Tab_Def_Processes[Process_Name],Tab_Def_Processes[TC_Type],,0,)</f>
        <v>#N/A</v>
      </c>
      <c r="H29" s="7" t="e">
        <f>_xlfn.XLOOKUP($D29,Tab_Def_Processes[Process_Name],Tab_Def_Processes[Stock?],,0,)</f>
        <v>#N/A</v>
      </c>
      <c r="I29" s="7" t="e">
        <f>_xlfn.XLOOKUP($D29,Tab_Def_Processes[Process_Name],Tab_Def_Processes[Initial_Stock?],,0,)</f>
        <v>#N/A</v>
      </c>
      <c r="J29" s="7" t="e">
        <f>_xlfn.XLOOKUP($D29,Tab_Def_Processes[Process_Name],Tab_Def_Processes[DSM?],,0,)</f>
        <v>#N/A</v>
      </c>
      <c r="K29" s="7" t="e">
        <f>_xlfn.XLOOKUP($D29,Tab_Def_Processes[Process_Name],Tab_Def_Processes[FOMP?],,0,)</f>
        <v>#N/A</v>
      </c>
      <c r="L29" s="8"/>
      <c r="M29" s="7" t="e">
        <f>_xlfn.XLOOKUP($L29,Tab_DSM_Category_ID[Category ID],Tab_DSM_Category_ID[DSM Material],,0,)</f>
        <v>#N/A</v>
      </c>
      <c r="N29" s="8"/>
      <c r="O29" s="16"/>
      <c r="P29" s="8"/>
      <c r="Q29" s="8"/>
      <c r="R29" s="8"/>
    </row>
    <row r="30" spans="1:18" x14ac:dyDescent="0.25">
      <c r="A30" s="160" t="b">
        <v>0</v>
      </c>
      <c r="B30" s="7">
        <f t="shared" si="0"/>
        <v>29</v>
      </c>
      <c r="C30" s="7" t="e">
        <f>_xlfn.XLOOKUP($D30,Tab_Def_Processes[Process_Name],Tab_Def_Processes[Process_ID],,0,)</f>
        <v>#N/A</v>
      </c>
      <c r="D30" s="8" t="s">
        <v>31</v>
      </c>
      <c r="E30" s="7" t="e">
        <f>_xlfn.XLOOKUP($D30,Tab_Def_Processes[Process_Name],Tab_Def_Processes[Process_Type],,0,)</f>
        <v>#N/A</v>
      </c>
      <c r="F30" s="7" t="e">
        <f>_xlfn.XLOOKUP($D30,Tab_Def_Processes[Process_Name],Tab_Def_Processes[TC?],,0,)</f>
        <v>#N/A</v>
      </c>
      <c r="G30" s="7" t="e">
        <f>_xlfn.XLOOKUP($D30,Tab_Def_Processes[Process_Name],Tab_Def_Processes[TC_Type],,0,)</f>
        <v>#N/A</v>
      </c>
      <c r="H30" s="7" t="e">
        <f>_xlfn.XLOOKUP($D30,Tab_Def_Processes[Process_Name],Tab_Def_Processes[Stock?],,0,)</f>
        <v>#N/A</v>
      </c>
      <c r="I30" s="7" t="e">
        <f>_xlfn.XLOOKUP($D30,Tab_Def_Processes[Process_Name],Tab_Def_Processes[Initial_Stock?],,0,)</f>
        <v>#N/A</v>
      </c>
      <c r="J30" s="7" t="e">
        <f>_xlfn.XLOOKUP($D30,Tab_Def_Processes[Process_Name],Tab_Def_Processes[DSM?],,0,)</f>
        <v>#N/A</v>
      </c>
      <c r="K30" s="7" t="e">
        <f>_xlfn.XLOOKUP($D30,Tab_Def_Processes[Process_Name],Tab_Def_Processes[FOMP?],,0,)</f>
        <v>#N/A</v>
      </c>
      <c r="L30" s="8"/>
      <c r="M30" s="7" t="e">
        <f>_xlfn.XLOOKUP($L30,Tab_DSM_Category_ID[Category ID],Tab_DSM_Category_ID[DSM Material],,0,)</f>
        <v>#N/A</v>
      </c>
      <c r="N30" s="8"/>
      <c r="O30" s="16"/>
      <c r="P30" s="8"/>
      <c r="Q30" s="8"/>
      <c r="R30" s="8"/>
    </row>
    <row r="31" spans="1:18" x14ac:dyDescent="0.25">
      <c r="A31" s="160" t="b">
        <v>0</v>
      </c>
      <c r="B31" s="7">
        <f t="shared" si="0"/>
        <v>30</v>
      </c>
      <c r="C31" s="7" t="e">
        <f>_xlfn.XLOOKUP($D31,Tab_Def_Processes[Process_Name],Tab_Def_Processes[Process_ID],,0,)</f>
        <v>#N/A</v>
      </c>
      <c r="D31" s="8" t="s">
        <v>31</v>
      </c>
      <c r="E31" s="7" t="e">
        <f>_xlfn.XLOOKUP($D31,Tab_Def_Processes[Process_Name],Tab_Def_Processes[Process_Type],,0,)</f>
        <v>#N/A</v>
      </c>
      <c r="F31" s="7" t="e">
        <f>_xlfn.XLOOKUP($D31,Tab_Def_Processes[Process_Name],Tab_Def_Processes[TC?],,0,)</f>
        <v>#N/A</v>
      </c>
      <c r="G31" s="7" t="e">
        <f>_xlfn.XLOOKUP($D31,Tab_Def_Processes[Process_Name],Tab_Def_Processes[TC_Type],,0,)</f>
        <v>#N/A</v>
      </c>
      <c r="H31" s="7" t="e">
        <f>_xlfn.XLOOKUP($D31,Tab_Def_Processes[Process_Name],Tab_Def_Processes[Stock?],,0,)</f>
        <v>#N/A</v>
      </c>
      <c r="I31" s="7" t="e">
        <f>_xlfn.XLOOKUP($D31,Tab_Def_Processes[Process_Name],Tab_Def_Processes[Initial_Stock?],,0,)</f>
        <v>#N/A</v>
      </c>
      <c r="J31" s="7" t="e">
        <f>_xlfn.XLOOKUP($D31,Tab_Def_Processes[Process_Name],Tab_Def_Processes[DSM?],,0,)</f>
        <v>#N/A</v>
      </c>
      <c r="K31" s="7" t="e">
        <f>_xlfn.XLOOKUP($D31,Tab_Def_Processes[Process_Name],Tab_Def_Processes[FOMP?],,0,)</f>
        <v>#N/A</v>
      </c>
      <c r="L31" s="8"/>
      <c r="M31" s="7" t="e">
        <f>_xlfn.XLOOKUP($L31,Tab_DSM_Category_ID[Category ID],Tab_DSM_Category_ID[DSM Material],,0,)</f>
        <v>#N/A</v>
      </c>
      <c r="N31" s="8"/>
      <c r="O31" s="16"/>
      <c r="P31" s="8"/>
      <c r="Q31" s="8"/>
      <c r="R31" s="8"/>
    </row>
    <row r="32" spans="1:18" x14ac:dyDescent="0.25">
      <c r="A32" s="160" t="b">
        <v>0</v>
      </c>
      <c r="B32" s="7">
        <f t="shared" si="0"/>
        <v>31</v>
      </c>
      <c r="C32" s="7" t="e">
        <f>_xlfn.XLOOKUP($D32,Tab_Def_Processes[Process_Name],Tab_Def_Processes[Process_ID],,0,)</f>
        <v>#N/A</v>
      </c>
      <c r="D32" s="8" t="s">
        <v>31</v>
      </c>
      <c r="E32" s="7" t="e">
        <f>_xlfn.XLOOKUP($D32,Tab_Def_Processes[Process_Name],Tab_Def_Processes[Process_Type],,0,)</f>
        <v>#N/A</v>
      </c>
      <c r="F32" s="7" t="e">
        <f>_xlfn.XLOOKUP($D32,Tab_Def_Processes[Process_Name],Tab_Def_Processes[TC?],,0,)</f>
        <v>#N/A</v>
      </c>
      <c r="G32" s="7" t="e">
        <f>_xlfn.XLOOKUP($D32,Tab_Def_Processes[Process_Name],Tab_Def_Processes[TC_Type],,0,)</f>
        <v>#N/A</v>
      </c>
      <c r="H32" s="7" t="e">
        <f>_xlfn.XLOOKUP($D32,Tab_Def_Processes[Process_Name],Tab_Def_Processes[Stock?],,0,)</f>
        <v>#N/A</v>
      </c>
      <c r="I32" s="7" t="e">
        <f>_xlfn.XLOOKUP($D32,Tab_Def_Processes[Process_Name],Tab_Def_Processes[Initial_Stock?],,0,)</f>
        <v>#N/A</v>
      </c>
      <c r="J32" s="7" t="e">
        <f>_xlfn.XLOOKUP($D32,Tab_Def_Processes[Process_Name],Tab_Def_Processes[DSM?],,0,)</f>
        <v>#N/A</v>
      </c>
      <c r="K32" s="7" t="e">
        <f>_xlfn.XLOOKUP($D32,Tab_Def_Processes[Process_Name],Tab_Def_Processes[FOMP?],,0,)</f>
        <v>#N/A</v>
      </c>
      <c r="L32" s="8"/>
      <c r="M32" s="7" t="e">
        <f>_xlfn.XLOOKUP($L32,Tab_DSM_Category_ID[Category ID],Tab_DSM_Category_ID[DSM Material],,0,)</f>
        <v>#N/A</v>
      </c>
      <c r="N32" s="8"/>
      <c r="O32" s="16"/>
      <c r="P32" s="8"/>
      <c r="Q32" s="8"/>
      <c r="R32" s="8"/>
    </row>
    <row r="33" spans="1:18" x14ac:dyDescent="0.25">
      <c r="A33" s="160" t="b">
        <v>0</v>
      </c>
      <c r="B33" s="7">
        <f t="shared" si="0"/>
        <v>32</v>
      </c>
      <c r="C33" s="7" t="e">
        <f>_xlfn.XLOOKUP($D33,Tab_Def_Processes[Process_Name],Tab_Def_Processes[Process_ID],,0,)</f>
        <v>#N/A</v>
      </c>
      <c r="D33" s="8" t="s">
        <v>31</v>
      </c>
      <c r="E33" s="7" t="e">
        <f>_xlfn.XLOOKUP($D33,Tab_Def_Processes[Process_Name],Tab_Def_Processes[Process_Type],,0,)</f>
        <v>#N/A</v>
      </c>
      <c r="F33" s="7" t="e">
        <f>_xlfn.XLOOKUP($D33,Tab_Def_Processes[Process_Name],Tab_Def_Processes[TC?],,0,)</f>
        <v>#N/A</v>
      </c>
      <c r="G33" s="7" t="e">
        <f>_xlfn.XLOOKUP($D33,Tab_Def_Processes[Process_Name],Tab_Def_Processes[TC_Type],,0,)</f>
        <v>#N/A</v>
      </c>
      <c r="H33" s="7" t="e">
        <f>_xlfn.XLOOKUP($D33,Tab_Def_Processes[Process_Name],Tab_Def_Processes[Stock?],,0,)</f>
        <v>#N/A</v>
      </c>
      <c r="I33" s="7" t="e">
        <f>_xlfn.XLOOKUP($D33,Tab_Def_Processes[Process_Name],Tab_Def_Processes[Initial_Stock?],,0,)</f>
        <v>#N/A</v>
      </c>
      <c r="J33" s="7" t="e">
        <f>_xlfn.XLOOKUP($D33,Tab_Def_Processes[Process_Name],Tab_Def_Processes[DSM?],,0,)</f>
        <v>#N/A</v>
      </c>
      <c r="K33" s="7" t="e">
        <f>_xlfn.XLOOKUP($D33,Tab_Def_Processes[Process_Name],Tab_Def_Processes[FOMP?],,0,)</f>
        <v>#N/A</v>
      </c>
      <c r="L33" s="8"/>
      <c r="M33" s="7" t="e">
        <f>_xlfn.XLOOKUP($L33,Tab_DSM_Category_ID[Category ID],Tab_DSM_Category_ID[DSM Material],,0,)</f>
        <v>#N/A</v>
      </c>
      <c r="N33" s="8"/>
      <c r="O33" s="16"/>
      <c r="P33" s="8"/>
      <c r="Q33" s="8"/>
      <c r="R33" s="8"/>
    </row>
    <row r="34" spans="1:18" x14ac:dyDescent="0.25">
      <c r="A34" s="160" t="b">
        <v>0</v>
      </c>
      <c r="B34" s="7">
        <f t="shared" si="0"/>
        <v>33</v>
      </c>
      <c r="C34" s="7" t="e">
        <f>_xlfn.XLOOKUP($D34,Tab_Def_Processes[Process_Name],Tab_Def_Processes[Process_ID],,0,)</f>
        <v>#N/A</v>
      </c>
      <c r="D34" s="8" t="s">
        <v>31</v>
      </c>
      <c r="E34" s="7" t="e">
        <f>_xlfn.XLOOKUP($D34,Tab_Def_Processes[Process_Name],Tab_Def_Processes[Process_Type],,0,)</f>
        <v>#N/A</v>
      </c>
      <c r="F34" s="7" t="e">
        <f>_xlfn.XLOOKUP($D34,Tab_Def_Processes[Process_Name],Tab_Def_Processes[TC?],,0,)</f>
        <v>#N/A</v>
      </c>
      <c r="G34" s="7" t="e">
        <f>_xlfn.XLOOKUP($D34,Tab_Def_Processes[Process_Name],Tab_Def_Processes[TC_Type],,0,)</f>
        <v>#N/A</v>
      </c>
      <c r="H34" s="7" t="e">
        <f>_xlfn.XLOOKUP($D34,Tab_Def_Processes[Process_Name],Tab_Def_Processes[Stock?],,0,)</f>
        <v>#N/A</v>
      </c>
      <c r="I34" s="7" t="e">
        <f>_xlfn.XLOOKUP($D34,Tab_Def_Processes[Process_Name],Tab_Def_Processes[Initial_Stock?],,0,)</f>
        <v>#N/A</v>
      </c>
      <c r="J34" s="7" t="e">
        <f>_xlfn.XLOOKUP($D34,Tab_Def_Processes[Process_Name],Tab_Def_Processes[DSM?],,0,)</f>
        <v>#N/A</v>
      </c>
      <c r="K34" s="7" t="e">
        <f>_xlfn.XLOOKUP($D34,Tab_Def_Processes[Process_Name],Tab_Def_Processes[FOMP?],,0,)</f>
        <v>#N/A</v>
      </c>
      <c r="L34" s="8"/>
      <c r="M34" s="7" t="e">
        <f>_xlfn.XLOOKUP($L34,Tab_DSM_Category_ID[Category ID],Tab_DSM_Category_ID[DSM Material],,0,)</f>
        <v>#N/A</v>
      </c>
      <c r="N34" s="8"/>
      <c r="O34" s="16"/>
      <c r="P34" s="8"/>
      <c r="Q34" s="8"/>
      <c r="R34" s="8"/>
    </row>
    <row r="35" spans="1:18" x14ac:dyDescent="0.25">
      <c r="A35" s="160" t="b">
        <v>0</v>
      </c>
      <c r="B35" s="7">
        <f t="shared" si="0"/>
        <v>34</v>
      </c>
      <c r="C35" s="7" t="e">
        <f>_xlfn.XLOOKUP($D35,Tab_Def_Processes[Process_Name],Tab_Def_Processes[Process_ID],,0,)</f>
        <v>#N/A</v>
      </c>
      <c r="D35" s="8" t="s">
        <v>31</v>
      </c>
      <c r="E35" s="7" t="e">
        <f>_xlfn.XLOOKUP($D35,Tab_Def_Processes[Process_Name],Tab_Def_Processes[Process_Type],,0,)</f>
        <v>#N/A</v>
      </c>
      <c r="F35" s="7" t="e">
        <f>_xlfn.XLOOKUP($D35,Tab_Def_Processes[Process_Name],Tab_Def_Processes[TC?],,0,)</f>
        <v>#N/A</v>
      </c>
      <c r="G35" s="7" t="e">
        <f>_xlfn.XLOOKUP($D35,Tab_Def_Processes[Process_Name],Tab_Def_Processes[TC_Type],,0,)</f>
        <v>#N/A</v>
      </c>
      <c r="H35" s="7" t="e">
        <f>_xlfn.XLOOKUP($D35,Tab_Def_Processes[Process_Name],Tab_Def_Processes[Stock?],,0,)</f>
        <v>#N/A</v>
      </c>
      <c r="I35" s="7" t="e">
        <f>_xlfn.XLOOKUP($D35,Tab_Def_Processes[Process_Name],Tab_Def_Processes[Initial_Stock?],,0,)</f>
        <v>#N/A</v>
      </c>
      <c r="J35" s="7" t="e">
        <f>_xlfn.XLOOKUP($D35,Tab_Def_Processes[Process_Name],Tab_Def_Processes[DSM?],,0,)</f>
        <v>#N/A</v>
      </c>
      <c r="K35" s="7" t="e">
        <f>_xlfn.XLOOKUP($D35,Tab_Def_Processes[Process_Name],Tab_Def_Processes[FOMP?],,0,)</f>
        <v>#N/A</v>
      </c>
      <c r="L35" s="8"/>
      <c r="M35" s="7" t="e">
        <f>_xlfn.XLOOKUP($L35,Tab_DSM_Category_ID[Category ID],Tab_DSM_Category_ID[DSM Material],,0,)</f>
        <v>#N/A</v>
      </c>
      <c r="N35" s="8"/>
      <c r="O35" s="16"/>
      <c r="P35" s="8"/>
      <c r="Q35" s="8"/>
      <c r="R35" s="8"/>
    </row>
    <row r="36" spans="1:18" x14ac:dyDescent="0.25">
      <c r="A36" s="160" t="b">
        <v>0</v>
      </c>
      <c r="B36" s="7">
        <f t="shared" si="0"/>
        <v>35</v>
      </c>
      <c r="C36" s="7" t="e">
        <f>_xlfn.XLOOKUP($D36,Tab_Def_Processes[Process_Name],Tab_Def_Processes[Process_ID],,0,)</f>
        <v>#N/A</v>
      </c>
      <c r="D36" s="8" t="s">
        <v>31</v>
      </c>
      <c r="E36" s="7" t="e">
        <f>_xlfn.XLOOKUP($D36,Tab_Def_Processes[Process_Name],Tab_Def_Processes[Process_Type],,0,)</f>
        <v>#N/A</v>
      </c>
      <c r="F36" s="7" t="e">
        <f>_xlfn.XLOOKUP($D36,Tab_Def_Processes[Process_Name],Tab_Def_Processes[TC?],,0,)</f>
        <v>#N/A</v>
      </c>
      <c r="G36" s="7" t="e">
        <f>_xlfn.XLOOKUP($D36,Tab_Def_Processes[Process_Name],Tab_Def_Processes[TC_Type],,0,)</f>
        <v>#N/A</v>
      </c>
      <c r="H36" s="7" t="e">
        <f>_xlfn.XLOOKUP($D36,Tab_Def_Processes[Process_Name],Tab_Def_Processes[Stock?],,0,)</f>
        <v>#N/A</v>
      </c>
      <c r="I36" s="7" t="e">
        <f>_xlfn.XLOOKUP($D36,Tab_Def_Processes[Process_Name],Tab_Def_Processes[Initial_Stock?],,0,)</f>
        <v>#N/A</v>
      </c>
      <c r="J36" s="7" t="e">
        <f>_xlfn.XLOOKUP($D36,Tab_Def_Processes[Process_Name],Tab_Def_Processes[DSM?],,0,)</f>
        <v>#N/A</v>
      </c>
      <c r="K36" s="7" t="e">
        <f>_xlfn.XLOOKUP($D36,Tab_Def_Processes[Process_Name],Tab_Def_Processes[FOMP?],,0,)</f>
        <v>#N/A</v>
      </c>
      <c r="L36" s="8"/>
      <c r="M36" s="7" t="e">
        <f>_xlfn.XLOOKUP($L36,Tab_DSM_Category_ID[Category ID],Tab_DSM_Category_ID[DSM Material],,0,)</f>
        <v>#N/A</v>
      </c>
      <c r="N36" s="8"/>
      <c r="O36" s="16"/>
      <c r="P36" s="8"/>
      <c r="Q36" s="8"/>
      <c r="R36" s="8"/>
    </row>
    <row r="37" spans="1:18" x14ac:dyDescent="0.25">
      <c r="A37" s="160" t="b">
        <v>0</v>
      </c>
      <c r="B37" s="7">
        <f t="shared" si="0"/>
        <v>36</v>
      </c>
      <c r="C37" s="7" t="e">
        <f>_xlfn.XLOOKUP($D37,Tab_Def_Processes[Process_Name],Tab_Def_Processes[Process_ID],,0,)</f>
        <v>#N/A</v>
      </c>
      <c r="D37" s="8" t="s">
        <v>31</v>
      </c>
      <c r="E37" s="7" t="e">
        <f>_xlfn.XLOOKUP($D37,Tab_Def_Processes[Process_Name],Tab_Def_Processes[Process_Type],,0,)</f>
        <v>#N/A</v>
      </c>
      <c r="F37" s="7" t="e">
        <f>_xlfn.XLOOKUP($D37,Tab_Def_Processes[Process_Name],Tab_Def_Processes[TC?],,0,)</f>
        <v>#N/A</v>
      </c>
      <c r="G37" s="7" t="e">
        <f>_xlfn.XLOOKUP($D37,Tab_Def_Processes[Process_Name],Tab_Def_Processes[TC_Type],,0,)</f>
        <v>#N/A</v>
      </c>
      <c r="H37" s="7" t="e">
        <f>_xlfn.XLOOKUP($D37,Tab_Def_Processes[Process_Name],Tab_Def_Processes[Stock?],,0,)</f>
        <v>#N/A</v>
      </c>
      <c r="I37" s="7" t="e">
        <f>_xlfn.XLOOKUP($D37,Tab_Def_Processes[Process_Name],Tab_Def_Processes[Initial_Stock?],,0,)</f>
        <v>#N/A</v>
      </c>
      <c r="J37" s="7" t="e">
        <f>_xlfn.XLOOKUP($D37,Tab_Def_Processes[Process_Name],Tab_Def_Processes[DSM?],,0,)</f>
        <v>#N/A</v>
      </c>
      <c r="K37" s="7" t="e">
        <f>_xlfn.XLOOKUP($D37,Tab_Def_Processes[Process_Name],Tab_Def_Processes[FOMP?],,0,)</f>
        <v>#N/A</v>
      </c>
      <c r="L37" s="8"/>
      <c r="M37" s="7" t="e">
        <f>_xlfn.XLOOKUP($L37,Tab_DSM_Category_ID[Category ID],Tab_DSM_Category_ID[DSM Material],,0,)</f>
        <v>#N/A</v>
      </c>
      <c r="N37" s="8"/>
      <c r="O37" s="16"/>
      <c r="P37" s="8"/>
      <c r="Q37" s="8"/>
      <c r="R37" s="8"/>
    </row>
    <row r="38" spans="1:18" x14ac:dyDescent="0.25">
      <c r="A38" s="160" t="b">
        <v>0</v>
      </c>
      <c r="B38" s="7">
        <f t="shared" si="0"/>
        <v>37</v>
      </c>
      <c r="C38" s="7" t="e">
        <f>_xlfn.XLOOKUP($D38,Tab_Def_Processes[Process_Name],Tab_Def_Processes[Process_ID],,0,)</f>
        <v>#N/A</v>
      </c>
      <c r="D38" s="8" t="s">
        <v>31</v>
      </c>
      <c r="E38" s="7" t="e">
        <f>_xlfn.XLOOKUP($D38,Tab_Def_Processes[Process_Name],Tab_Def_Processes[Process_Type],,0,)</f>
        <v>#N/A</v>
      </c>
      <c r="F38" s="7" t="e">
        <f>_xlfn.XLOOKUP($D38,Tab_Def_Processes[Process_Name],Tab_Def_Processes[TC?],,0,)</f>
        <v>#N/A</v>
      </c>
      <c r="G38" s="7" t="e">
        <f>_xlfn.XLOOKUP($D38,Tab_Def_Processes[Process_Name],Tab_Def_Processes[TC_Type],,0,)</f>
        <v>#N/A</v>
      </c>
      <c r="H38" s="7" t="e">
        <f>_xlfn.XLOOKUP($D38,Tab_Def_Processes[Process_Name],Tab_Def_Processes[Stock?],,0,)</f>
        <v>#N/A</v>
      </c>
      <c r="I38" s="7" t="e">
        <f>_xlfn.XLOOKUP($D38,Tab_Def_Processes[Process_Name],Tab_Def_Processes[Initial_Stock?],,0,)</f>
        <v>#N/A</v>
      </c>
      <c r="J38" s="7" t="e">
        <f>_xlfn.XLOOKUP($D38,Tab_Def_Processes[Process_Name],Tab_Def_Processes[DSM?],,0,)</f>
        <v>#N/A</v>
      </c>
      <c r="K38" s="7" t="e">
        <f>_xlfn.XLOOKUP($D38,Tab_Def_Processes[Process_Name],Tab_Def_Processes[FOMP?],,0,)</f>
        <v>#N/A</v>
      </c>
      <c r="L38" s="8"/>
      <c r="M38" s="7" t="e">
        <f>_xlfn.XLOOKUP($L38,Tab_DSM_Category_ID[Category ID],Tab_DSM_Category_ID[DSM Material],,0,)</f>
        <v>#N/A</v>
      </c>
      <c r="N38" s="8"/>
      <c r="O38" s="16"/>
      <c r="P38" s="8"/>
      <c r="Q38" s="8"/>
      <c r="R38" s="8"/>
    </row>
    <row r="39" spans="1:18" x14ac:dyDescent="0.25">
      <c r="A39" s="160" t="b">
        <v>0</v>
      </c>
      <c r="B39" s="7">
        <f t="shared" si="0"/>
        <v>38</v>
      </c>
      <c r="C39" s="7" t="e">
        <f>_xlfn.XLOOKUP($D39,Tab_Def_Processes[Process_Name],Tab_Def_Processes[Process_ID],,0,)</f>
        <v>#N/A</v>
      </c>
      <c r="D39" s="8" t="s">
        <v>31</v>
      </c>
      <c r="E39" s="7" t="e">
        <f>_xlfn.XLOOKUP($D39,Tab_Def_Processes[Process_Name],Tab_Def_Processes[Process_Type],,0,)</f>
        <v>#N/A</v>
      </c>
      <c r="F39" s="7" t="e">
        <f>_xlfn.XLOOKUP($D39,Tab_Def_Processes[Process_Name],Tab_Def_Processes[TC?],,0,)</f>
        <v>#N/A</v>
      </c>
      <c r="G39" s="7" t="e">
        <f>_xlfn.XLOOKUP($D39,Tab_Def_Processes[Process_Name],Tab_Def_Processes[TC_Type],,0,)</f>
        <v>#N/A</v>
      </c>
      <c r="H39" s="7" t="e">
        <f>_xlfn.XLOOKUP($D39,Tab_Def_Processes[Process_Name],Tab_Def_Processes[Stock?],,0,)</f>
        <v>#N/A</v>
      </c>
      <c r="I39" s="7" t="e">
        <f>_xlfn.XLOOKUP($D39,Tab_Def_Processes[Process_Name],Tab_Def_Processes[Initial_Stock?],,0,)</f>
        <v>#N/A</v>
      </c>
      <c r="J39" s="7" t="e">
        <f>_xlfn.XLOOKUP($D39,Tab_Def_Processes[Process_Name],Tab_Def_Processes[DSM?],,0,)</f>
        <v>#N/A</v>
      </c>
      <c r="K39" s="7" t="e">
        <f>_xlfn.XLOOKUP($D39,Tab_Def_Processes[Process_Name],Tab_Def_Processes[FOMP?],,0,)</f>
        <v>#N/A</v>
      </c>
      <c r="L39" s="8"/>
      <c r="M39" s="7" t="e">
        <f>_xlfn.XLOOKUP($L39,Tab_DSM_Category_ID[Category ID],Tab_DSM_Category_ID[DSM Material],,0,)</f>
        <v>#N/A</v>
      </c>
      <c r="N39" s="8"/>
      <c r="O39" s="16"/>
      <c r="P39" s="8"/>
      <c r="Q39" s="8"/>
      <c r="R39" s="8"/>
    </row>
    <row r="40" spans="1:18" x14ac:dyDescent="0.25">
      <c r="A40" s="160" t="b">
        <v>0</v>
      </c>
      <c r="B40" s="7">
        <f t="shared" si="0"/>
        <v>39</v>
      </c>
      <c r="C40" s="7" t="e">
        <f>_xlfn.XLOOKUP($D40,Tab_Def_Processes[Process_Name],Tab_Def_Processes[Process_ID],,0,)</f>
        <v>#N/A</v>
      </c>
      <c r="D40" s="8" t="s">
        <v>31</v>
      </c>
      <c r="E40" s="7" t="e">
        <f>_xlfn.XLOOKUP($D40,Tab_Def_Processes[Process_Name],Tab_Def_Processes[Process_Type],,0,)</f>
        <v>#N/A</v>
      </c>
      <c r="F40" s="7" t="e">
        <f>_xlfn.XLOOKUP($D40,Tab_Def_Processes[Process_Name],Tab_Def_Processes[TC?],,0,)</f>
        <v>#N/A</v>
      </c>
      <c r="G40" s="7" t="e">
        <f>_xlfn.XLOOKUP($D40,Tab_Def_Processes[Process_Name],Tab_Def_Processes[TC_Type],,0,)</f>
        <v>#N/A</v>
      </c>
      <c r="H40" s="7" t="e">
        <f>_xlfn.XLOOKUP($D40,Tab_Def_Processes[Process_Name],Tab_Def_Processes[Stock?],,0,)</f>
        <v>#N/A</v>
      </c>
      <c r="I40" s="7" t="e">
        <f>_xlfn.XLOOKUP($D40,Tab_Def_Processes[Process_Name],Tab_Def_Processes[Initial_Stock?],,0,)</f>
        <v>#N/A</v>
      </c>
      <c r="J40" s="7" t="e">
        <f>_xlfn.XLOOKUP($D40,Tab_Def_Processes[Process_Name],Tab_Def_Processes[DSM?],,0,)</f>
        <v>#N/A</v>
      </c>
      <c r="K40" s="7" t="e">
        <f>_xlfn.XLOOKUP($D40,Tab_Def_Processes[Process_Name],Tab_Def_Processes[FOMP?],,0,)</f>
        <v>#N/A</v>
      </c>
      <c r="L40" s="8"/>
      <c r="M40" s="7" t="e">
        <f>_xlfn.XLOOKUP($L40,Tab_DSM_Category_ID[Category ID],Tab_DSM_Category_ID[DSM Material],,0,)</f>
        <v>#N/A</v>
      </c>
      <c r="N40" s="8"/>
      <c r="O40" s="16"/>
      <c r="P40" s="8"/>
      <c r="Q40" s="8"/>
      <c r="R40" s="8"/>
    </row>
    <row r="41" spans="1:18" x14ac:dyDescent="0.25">
      <c r="A41" s="160" t="b">
        <v>0</v>
      </c>
      <c r="B41" s="7">
        <f t="shared" si="0"/>
        <v>40</v>
      </c>
      <c r="C41" s="7" t="e">
        <f>_xlfn.XLOOKUP($D41,Tab_Def_Processes[Process_Name],Tab_Def_Processes[Process_ID],,0,)</f>
        <v>#N/A</v>
      </c>
      <c r="D41" s="8" t="s">
        <v>31</v>
      </c>
      <c r="E41" s="7" t="e">
        <f>_xlfn.XLOOKUP($D41,Tab_Def_Processes[Process_Name],Tab_Def_Processes[Process_Type],,0,)</f>
        <v>#N/A</v>
      </c>
      <c r="F41" s="7" t="e">
        <f>_xlfn.XLOOKUP($D41,Tab_Def_Processes[Process_Name],Tab_Def_Processes[TC?],,0,)</f>
        <v>#N/A</v>
      </c>
      <c r="G41" s="7" t="e">
        <f>_xlfn.XLOOKUP($D41,Tab_Def_Processes[Process_Name],Tab_Def_Processes[TC_Type],,0,)</f>
        <v>#N/A</v>
      </c>
      <c r="H41" s="7" t="e">
        <f>_xlfn.XLOOKUP($D41,Tab_Def_Processes[Process_Name],Tab_Def_Processes[Stock?],,0,)</f>
        <v>#N/A</v>
      </c>
      <c r="I41" s="7" t="e">
        <f>_xlfn.XLOOKUP($D41,Tab_Def_Processes[Process_Name],Tab_Def_Processes[Initial_Stock?],,0,)</f>
        <v>#N/A</v>
      </c>
      <c r="J41" s="7" t="e">
        <f>_xlfn.XLOOKUP($D41,Tab_Def_Processes[Process_Name],Tab_Def_Processes[DSM?],,0,)</f>
        <v>#N/A</v>
      </c>
      <c r="K41" s="7" t="e">
        <f>_xlfn.XLOOKUP($D41,Tab_Def_Processes[Process_Name],Tab_Def_Processes[FOMP?],,0,)</f>
        <v>#N/A</v>
      </c>
      <c r="L41" s="8"/>
      <c r="M41" s="7" t="e">
        <f>_xlfn.XLOOKUP($L41,Tab_DSM_Category_ID[Category ID],Tab_DSM_Category_ID[DSM Material],,0,)</f>
        <v>#N/A</v>
      </c>
      <c r="N41" s="8"/>
      <c r="O41" s="16"/>
      <c r="P41" s="8"/>
      <c r="Q41" s="8"/>
      <c r="R41" s="8"/>
    </row>
    <row r="42" spans="1:18" x14ac:dyDescent="0.25">
      <c r="A42" s="160" t="b">
        <v>0</v>
      </c>
      <c r="B42" s="7">
        <f t="shared" si="0"/>
        <v>41</v>
      </c>
      <c r="C42" s="7" t="e">
        <f>_xlfn.XLOOKUP($D42,Tab_Def_Processes[Process_Name],Tab_Def_Processes[Process_ID],,0,)</f>
        <v>#N/A</v>
      </c>
      <c r="D42" s="8" t="s">
        <v>31</v>
      </c>
      <c r="E42" s="7" t="e">
        <f>_xlfn.XLOOKUP($D42,Tab_Def_Processes[Process_Name],Tab_Def_Processes[Process_Type],,0,)</f>
        <v>#N/A</v>
      </c>
      <c r="F42" s="7" t="e">
        <f>_xlfn.XLOOKUP($D42,Tab_Def_Processes[Process_Name],Tab_Def_Processes[TC?],,0,)</f>
        <v>#N/A</v>
      </c>
      <c r="G42" s="7" t="e">
        <f>_xlfn.XLOOKUP($D42,Tab_Def_Processes[Process_Name],Tab_Def_Processes[TC_Type],,0,)</f>
        <v>#N/A</v>
      </c>
      <c r="H42" s="7" t="e">
        <f>_xlfn.XLOOKUP($D42,Tab_Def_Processes[Process_Name],Tab_Def_Processes[Stock?],,0,)</f>
        <v>#N/A</v>
      </c>
      <c r="I42" s="7" t="e">
        <f>_xlfn.XLOOKUP($D42,Tab_Def_Processes[Process_Name],Tab_Def_Processes[Initial_Stock?],,0,)</f>
        <v>#N/A</v>
      </c>
      <c r="J42" s="7" t="e">
        <f>_xlfn.XLOOKUP($D42,Tab_Def_Processes[Process_Name],Tab_Def_Processes[DSM?],,0,)</f>
        <v>#N/A</v>
      </c>
      <c r="K42" s="7" t="e">
        <f>_xlfn.XLOOKUP($D42,Tab_Def_Processes[Process_Name],Tab_Def_Processes[FOMP?],,0,)</f>
        <v>#N/A</v>
      </c>
      <c r="L42" s="8"/>
      <c r="M42" s="7" t="e">
        <f>_xlfn.XLOOKUP($L42,Tab_DSM_Category_ID[Category ID],Tab_DSM_Category_ID[DSM Material],,0,)</f>
        <v>#N/A</v>
      </c>
      <c r="N42" s="8"/>
      <c r="O42" s="16"/>
      <c r="P42" s="8"/>
      <c r="Q42" s="8"/>
      <c r="R42" s="8"/>
    </row>
    <row r="43" spans="1:18" x14ac:dyDescent="0.25">
      <c r="A43" s="160" t="b">
        <v>0</v>
      </c>
      <c r="B43" s="7">
        <f t="shared" si="0"/>
        <v>42</v>
      </c>
      <c r="C43" s="7" t="e">
        <f>_xlfn.XLOOKUP($D43,Tab_Def_Processes[Process_Name],Tab_Def_Processes[Process_ID],,0,)</f>
        <v>#N/A</v>
      </c>
      <c r="D43" s="8" t="s">
        <v>31</v>
      </c>
      <c r="E43" s="7" t="e">
        <f>_xlfn.XLOOKUP($D43,Tab_Def_Processes[Process_Name],Tab_Def_Processes[Process_Type],,0,)</f>
        <v>#N/A</v>
      </c>
      <c r="F43" s="7" t="e">
        <f>_xlfn.XLOOKUP($D43,Tab_Def_Processes[Process_Name],Tab_Def_Processes[TC?],,0,)</f>
        <v>#N/A</v>
      </c>
      <c r="G43" s="7" t="e">
        <f>_xlfn.XLOOKUP($D43,Tab_Def_Processes[Process_Name],Tab_Def_Processes[TC_Type],,0,)</f>
        <v>#N/A</v>
      </c>
      <c r="H43" s="7" t="e">
        <f>_xlfn.XLOOKUP($D43,Tab_Def_Processes[Process_Name],Tab_Def_Processes[Stock?],,0,)</f>
        <v>#N/A</v>
      </c>
      <c r="I43" s="7" t="e">
        <f>_xlfn.XLOOKUP($D43,Tab_Def_Processes[Process_Name],Tab_Def_Processes[Initial_Stock?],,0,)</f>
        <v>#N/A</v>
      </c>
      <c r="J43" s="7" t="e">
        <f>_xlfn.XLOOKUP($D43,Tab_Def_Processes[Process_Name],Tab_Def_Processes[DSM?],,0,)</f>
        <v>#N/A</v>
      </c>
      <c r="K43" s="7" t="e">
        <f>_xlfn.XLOOKUP($D43,Tab_Def_Processes[Process_Name],Tab_Def_Processes[FOMP?],,0,)</f>
        <v>#N/A</v>
      </c>
      <c r="L43" s="8"/>
      <c r="M43" s="7" t="e">
        <f>_xlfn.XLOOKUP($L43,Tab_DSM_Category_ID[Category ID],Tab_DSM_Category_ID[DSM Material],,0,)</f>
        <v>#N/A</v>
      </c>
      <c r="N43" s="8"/>
      <c r="O43" s="16"/>
      <c r="P43" s="8"/>
      <c r="Q43" s="8"/>
      <c r="R43" s="8"/>
    </row>
    <row r="44" spans="1:18" x14ac:dyDescent="0.25">
      <c r="A44" s="160" t="b">
        <v>0</v>
      </c>
      <c r="B44" s="7">
        <f t="shared" si="0"/>
        <v>43</v>
      </c>
      <c r="C44" s="7" t="e">
        <f>_xlfn.XLOOKUP($D44,Tab_Def_Processes[Process_Name],Tab_Def_Processes[Process_ID],,0,)</f>
        <v>#N/A</v>
      </c>
      <c r="D44" s="8" t="s">
        <v>31</v>
      </c>
      <c r="E44" s="7" t="e">
        <f>_xlfn.XLOOKUP($D44,Tab_Def_Processes[Process_Name],Tab_Def_Processes[Process_Type],,0,)</f>
        <v>#N/A</v>
      </c>
      <c r="F44" s="7" t="e">
        <f>_xlfn.XLOOKUP($D44,Tab_Def_Processes[Process_Name],Tab_Def_Processes[TC?],,0,)</f>
        <v>#N/A</v>
      </c>
      <c r="G44" s="7" t="e">
        <f>_xlfn.XLOOKUP($D44,Tab_Def_Processes[Process_Name],Tab_Def_Processes[TC_Type],,0,)</f>
        <v>#N/A</v>
      </c>
      <c r="H44" s="7" t="e">
        <f>_xlfn.XLOOKUP($D44,Tab_Def_Processes[Process_Name],Tab_Def_Processes[Stock?],,0,)</f>
        <v>#N/A</v>
      </c>
      <c r="I44" s="7" t="e">
        <f>_xlfn.XLOOKUP($D44,Tab_Def_Processes[Process_Name],Tab_Def_Processes[Initial_Stock?],,0,)</f>
        <v>#N/A</v>
      </c>
      <c r="J44" s="7" t="e">
        <f>_xlfn.XLOOKUP($D44,Tab_Def_Processes[Process_Name],Tab_Def_Processes[DSM?],,0,)</f>
        <v>#N/A</v>
      </c>
      <c r="K44" s="7" t="e">
        <f>_xlfn.XLOOKUP($D44,Tab_Def_Processes[Process_Name],Tab_Def_Processes[FOMP?],,0,)</f>
        <v>#N/A</v>
      </c>
      <c r="L44" s="8"/>
      <c r="M44" s="7" t="e">
        <f>_xlfn.XLOOKUP($L44,Tab_DSM_Category_ID[Category ID],Tab_DSM_Category_ID[DSM Material],,0,)</f>
        <v>#N/A</v>
      </c>
      <c r="N44" s="8"/>
      <c r="O44" s="16"/>
      <c r="P44" s="8"/>
      <c r="Q44" s="8"/>
      <c r="R44" s="8"/>
    </row>
    <row r="45" spans="1:18" x14ac:dyDescent="0.25">
      <c r="A45" s="160" t="b">
        <v>0</v>
      </c>
      <c r="B45" s="7">
        <f t="shared" si="0"/>
        <v>44</v>
      </c>
      <c r="C45" s="7" t="e">
        <f>_xlfn.XLOOKUP($D45,Tab_Def_Processes[Process_Name],Tab_Def_Processes[Process_ID],,0,)</f>
        <v>#N/A</v>
      </c>
      <c r="D45" s="8" t="s">
        <v>31</v>
      </c>
      <c r="E45" s="7" t="e">
        <f>_xlfn.XLOOKUP($D45,Tab_Def_Processes[Process_Name],Tab_Def_Processes[Process_Type],,0,)</f>
        <v>#N/A</v>
      </c>
      <c r="F45" s="7" t="e">
        <f>_xlfn.XLOOKUP($D45,Tab_Def_Processes[Process_Name],Tab_Def_Processes[TC?],,0,)</f>
        <v>#N/A</v>
      </c>
      <c r="G45" s="7" t="e">
        <f>_xlfn.XLOOKUP($D45,Tab_Def_Processes[Process_Name],Tab_Def_Processes[TC_Type],,0,)</f>
        <v>#N/A</v>
      </c>
      <c r="H45" s="7" t="e">
        <f>_xlfn.XLOOKUP($D45,Tab_Def_Processes[Process_Name],Tab_Def_Processes[Stock?],,0,)</f>
        <v>#N/A</v>
      </c>
      <c r="I45" s="7" t="e">
        <f>_xlfn.XLOOKUP($D45,Tab_Def_Processes[Process_Name],Tab_Def_Processes[Initial_Stock?],,0,)</f>
        <v>#N/A</v>
      </c>
      <c r="J45" s="7" t="e">
        <f>_xlfn.XLOOKUP($D45,Tab_Def_Processes[Process_Name],Tab_Def_Processes[DSM?],,0,)</f>
        <v>#N/A</v>
      </c>
      <c r="K45" s="7" t="e">
        <f>_xlfn.XLOOKUP($D45,Tab_Def_Processes[Process_Name],Tab_Def_Processes[FOMP?],,0,)</f>
        <v>#N/A</v>
      </c>
      <c r="L45" s="8"/>
      <c r="M45" s="7" t="e">
        <f>_xlfn.XLOOKUP($L45,Tab_DSM_Category_ID[Category ID],Tab_DSM_Category_ID[DSM Material],,0,)</f>
        <v>#N/A</v>
      </c>
      <c r="N45" s="8"/>
      <c r="O45" s="16"/>
      <c r="P45" s="8"/>
      <c r="Q45" s="8"/>
      <c r="R45" s="8"/>
    </row>
    <row r="46" spans="1:18" x14ac:dyDescent="0.25">
      <c r="A46" s="160" t="b">
        <v>0</v>
      </c>
      <c r="B46" s="7">
        <f t="shared" si="0"/>
        <v>45</v>
      </c>
      <c r="C46" s="7" t="e">
        <f>_xlfn.XLOOKUP($D46,Tab_Def_Processes[Process_Name],Tab_Def_Processes[Process_ID],,0,)</f>
        <v>#N/A</v>
      </c>
      <c r="D46" s="8" t="s">
        <v>31</v>
      </c>
      <c r="E46" s="7" t="e">
        <f>_xlfn.XLOOKUP($D46,Tab_Def_Processes[Process_Name],Tab_Def_Processes[Process_Type],,0,)</f>
        <v>#N/A</v>
      </c>
      <c r="F46" s="7" t="e">
        <f>_xlfn.XLOOKUP($D46,Tab_Def_Processes[Process_Name],Tab_Def_Processes[TC?],,0,)</f>
        <v>#N/A</v>
      </c>
      <c r="G46" s="7" t="e">
        <f>_xlfn.XLOOKUP($D46,Tab_Def_Processes[Process_Name],Tab_Def_Processes[TC_Type],,0,)</f>
        <v>#N/A</v>
      </c>
      <c r="H46" s="7" t="e">
        <f>_xlfn.XLOOKUP($D46,Tab_Def_Processes[Process_Name],Tab_Def_Processes[Stock?],,0,)</f>
        <v>#N/A</v>
      </c>
      <c r="I46" s="7" t="e">
        <f>_xlfn.XLOOKUP($D46,Tab_Def_Processes[Process_Name],Tab_Def_Processes[Initial_Stock?],,0,)</f>
        <v>#N/A</v>
      </c>
      <c r="J46" s="7" t="e">
        <f>_xlfn.XLOOKUP($D46,Tab_Def_Processes[Process_Name],Tab_Def_Processes[DSM?],,0,)</f>
        <v>#N/A</v>
      </c>
      <c r="K46" s="7" t="e">
        <f>_xlfn.XLOOKUP($D46,Tab_Def_Processes[Process_Name],Tab_Def_Processes[FOMP?],,0,)</f>
        <v>#N/A</v>
      </c>
      <c r="L46" s="8"/>
      <c r="M46" s="7" t="e">
        <f>_xlfn.XLOOKUP($L46,Tab_DSM_Category_ID[Category ID],Tab_DSM_Category_ID[DSM Material],,0,)</f>
        <v>#N/A</v>
      </c>
      <c r="N46" s="8"/>
      <c r="O46" s="16"/>
      <c r="P46" s="8"/>
      <c r="Q46" s="8"/>
      <c r="R46" s="8"/>
    </row>
    <row r="47" spans="1:18" x14ac:dyDescent="0.25">
      <c r="A47" s="160" t="b">
        <v>0</v>
      </c>
      <c r="B47" s="7">
        <f t="shared" si="0"/>
        <v>46</v>
      </c>
      <c r="C47" s="7" t="e">
        <f>_xlfn.XLOOKUP($D47,Tab_Def_Processes[Process_Name],Tab_Def_Processes[Process_ID],,0,)</f>
        <v>#N/A</v>
      </c>
      <c r="D47" s="8" t="s">
        <v>31</v>
      </c>
      <c r="E47" s="7" t="e">
        <f>_xlfn.XLOOKUP($D47,Tab_Def_Processes[Process_Name],Tab_Def_Processes[Process_Type],,0,)</f>
        <v>#N/A</v>
      </c>
      <c r="F47" s="7" t="e">
        <f>_xlfn.XLOOKUP($D47,Tab_Def_Processes[Process_Name],Tab_Def_Processes[TC?],,0,)</f>
        <v>#N/A</v>
      </c>
      <c r="G47" s="7" t="e">
        <f>_xlfn.XLOOKUP($D47,Tab_Def_Processes[Process_Name],Tab_Def_Processes[TC_Type],,0,)</f>
        <v>#N/A</v>
      </c>
      <c r="H47" s="7" t="e">
        <f>_xlfn.XLOOKUP($D47,Tab_Def_Processes[Process_Name],Tab_Def_Processes[Stock?],,0,)</f>
        <v>#N/A</v>
      </c>
      <c r="I47" s="7" t="e">
        <f>_xlfn.XLOOKUP($D47,Tab_Def_Processes[Process_Name],Tab_Def_Processes[Initial_Stock?],,0,)</f>
        <v>#N/A</v>
      </c>
      <c r="J47" s="7" t="e">
        <f>_xlfn.XLOOKUP($D47,Tab_Def_Processes[Process_Name],Tab_Def_Processes[DSM?],,0,)</f>
        <v>#N/A</v>
      </c>
      <c r="K47" s="7" t="e">
        <f>_xlfn.XLOOKUP($D47,Tab_Def_Processes[Process_Name],Tab_Def_Processes[FOMP?],,0,)</f>
        <v>#N/A</v>
      </c>
      <c r="L47" s="8"/>
      <c r="M47" s="7" t="e">
        <f>_xlfn.XLOOKUP($L47,Tab_DSM_Category_ID[Category ID],Tab_DSM_Category_ID[DSM Material],,0,)</f>
        <v>#N/A</v>
      </c>
      <c r="N47" s="8"/>
      <c r="O47" s="16"/>
      <c r="P47" s="8"/>
      <c r="Q47" s="8"/>
      <c r="R47" s="8"/>
    </row>
    <row r="48" spans="1:18" x14ac:dyDescent="0.25">
      <c r="A48" s="160" t="b">
        <v>0</v>
      </c>
      <c r="B48" s="7">
        <f t="shared" si="0"/>
        <v>47</v>
      </c>
      <c r="C48" s="7" t="e">
        <f>_xlfn.XLOOKUP($D48,Tab_Def_Processes[Process_Name],Tab_Def_Processes[Process_ID],,0,)</f>
        <v>#N/A</v>
      </c>
      <c r="D48" s="8" t="s">
        <v>31</v>
      </c>
      <c r="E48" s="7" t="e">
        <f>_xlfn.XLOOKUP($D48,Tab_Def_Processes[Process_Name],Tab_Def_Processes[Process_Type],,0,)</f>
        <v>#N/A</v>
      </c>
      <c r="F48" s="7" t="e">
        <f>_xlfn.XLOOKUP($D48,Tab_Def_Processes[Process_Name],Tab_Def_Processes[TC?],,0,)</f>
        <v>#N/A</v>
      </c>
      <c r="G48" s="7" t="e">
        <f>_xlfn.XLOOKUP($D48,Tab_Def_Processes[Process_Name],Tab_Def_Processes[TC_Type],,0,)</f>
        <v>#N/A</v>
      </c>
      <c r="H48" s="7" t="e">
        <f>_xlfn.XLOOKUP($D48,Tab_Def_Processes[Process_Name],Tab_Def_Processes[Stock?],,0,)</f>
        <v>#N/A</v>
      </c>
      <c r="I48" s="7" t="e">
        <f>_xlfn.XLOOKUP($D48,Tab_Def_Processes[Process_Name],Tab_Def_Processes[Initial_Stock?],,0,)</f>
        <v>#N/A</v>
      </c>
      <c r="J48" s="7" t="e">
        <f>_xlfn.XLOOKUP($D48,Tab_Def_Processes[Process_Name],Tab_Def_Processes[DSM?],,0,)</f>
        <v>#N/A</v>
      </c>
      <c r="K48" s="7" t="e">
        <f>_xlfn.XLOOKUP($D48,Tab_Def_Processes[Process_Name],Tab_Def_Processes[FOMP?],,0,)</f>
        <v>#N/A</v>
      </c>
      <c r="L48" s="8"/>
      <c r="M48" s="7" t="e">
        <f>_xlfn.XLOOKUP($L48,Tab_DSM_Category_ID[Category ID],Tab_DSM_Category_ID[DSM Material],,0,)</f>
        <v>#N/A</v>
      </c>
      <c r="N48" s="8"/>
      <c r="O48" s="16"/>
      <c r="P48" s="8"/>
      <c r="Q48" s="8"/>
      <c r="R48" s="8"/>
    </row>
    <row r="49" spans="1:18" x14ac:dyDescent="0.25">
      <c r="A49" s="160" t="b">
        <v>0</v>
      </c>
      <c r="B49" s="7">
        <f t="shared" si="0"/>
        <v>48</v>
      </c>
      <c r="C49" s="7" t="e">
        <f>_xlfn.XLOOKUP($D49,Tab_Def_Processes[Process_Name],Tab_Def_Processes[Process_ID],,0,)</f>
        <v>#N/A</v>
      </c>
      <c r="D49" s="8" t="s">
        <v>31</v>
      </c>
      <c r="E49" s="7" t="e">
        <f>_xlfn.XLOOKUP($D49,Tab_Def_Processes[Process_Name],Tab_Def_Processes[Process_Type],,0,)</f>
        <v>#N/A</v>
      </c>
      <c r="F49" s="7" t="e">
        <f>_xlfn.XLOOKUP($D49,Tab_Def_Processes[Process_Name],Tab_Def_Processes[TC?],,0,)</f>
        <v>#N/A</v>
      </c>
      <c r="G49" s="7" t="e">
        <f>_xlfn.XLOOKUP($D49,Tab_Def_Processes[Process_Name],Tab_Def_Processes[TC_Type],,0,)</f>
        <v>#N/A</v>
      </c>
      <c r="H49" s="7" t="e">
        <f>_xlfn.XLOOKUP($D49,Tab_Def_Processes[Process_Name],Tab_Def_Processes[Stock?],,0,)</f>
        <v>#N/A</v>
      </c>
      <c r="I49" s="7" t="e">
        <f>_xlfn.XLOOKUP($D49,Tab_Def_Processes[Process_Name],Tab_Def_Processes[Initial_Stock?],,0,)</f>
        <v>#N/A</v>
      </c>
      <c r="J49" s="7" t="e">
        <f>_xlfn.XLOOKUP($D49,Tab_Def_Processes[Process_Name],Tab_Def_Processes[DSM?],,0,)</f>
        <v>#N/A</v>
      </c>
      <c r="K49" s="7" t="e">
        <f>_xlfn.XLOOKUP($D49,Tab_Def_Processes[Process_Name],Tab_Def_Processes[FOMP?],,0,)</f>
        <v>#N/A</v>
      </c>
      <c r="L49" s="8"/>
      <c r="M49" s="7" t="e">
        <f>_xlfn.XLOOKUP($L49,Tab_DSM_Category_ID[Category ID],Tab_DSM_Category_ID[DSM Material],,0,)</f>
        <v>#N/A</v>
      </c>
      <c r="N49" s="8"/>
      <c r="O49" s="16"/>
      <c r="P49" s="8"/>
      <c r="Q49" s="8"/>
      <c r="R49" s="8"/>
    </row>
    <row r="50" spans="1:18" x14ac:dyDescent="0.25">
      <c r="A50" s="160" t="b">
        <v>0</v>
      </c>
      <c r="B50" s="7">
        <f t="shared" si="0"/>
        <v>49</v>
      </c>
      <c r="C50" s="7" t="e">
        <f>_xlfn.XLOOKUP($D50,Tab_Def_Processes[Process_Name],Tab_Def_Processes[Process_ID],,0,)</f>
        <v>#N/A</v>
      </c>
      <c r="D50" s="8" t="s">
        <v>31</v>
      </c>
      <c r="E50" s="7" t="e">
        <f>_xlfn.XLOOKUP($D50,Tab_Def_Processes[Process_Name],Tab_Def_Processes[Process_Type],,0,)</f>
        <v>#N/A</v>
      </c>
      <c r="F50" s="7" t="e">
        <f>_xlfn.XLOOKUP($D50,Tab_Def_Processes[Process_Name],Tab_Def_Processes[TC?],,0,)</f>
        <v>#N/A</v>
      </c>
      <c r="G50" s="7" t="e">
        <f>_xlfn.XLOOKUP($D50,Tab_Def_Processes[Process_Name],Tab_Def_Processes[TC_Type],,0,)</f>
        <v>#N/A</v>
      </c>
      <c r="H50" s="7" t="e">
        <f>_xlfn.XLOOKUP($D50,Tab_Def_Processes[Process_Name],Tab_Def_Processes[Stock?],,0,)</f>
        <v>#N/A</v>
      </c>
      <c r="I50" s="7" t="e">
        <f>_xlfn.XLOOKUP($D50,Tab_Def_Processes[Process_Name],Tab_Def_Processes[Initial_Stock?],,0,)</f>
        <v>#N/A</v>
      </c>
      <c r="J50" s="7" t="e">
        <f>_xlfn.XLOOKUP($D50,Tab_Def_Processes[Process_Name],Tab_Def_Processes[DSM?],,0,)</f>
        <v>#N/A</v>
      </c>
      <c r="K50" s="7" t="e">
        <f>_xlfn.XLOOKUP($D50,Tab_Def_Processes[Process_Name],Tab_Def_Processes[FOMP?],,0,)</f>
        <v>#N/A</v>
      </c>
      <c r="L50" s="8"/>
      <c r="M50" s="7" t="e">
        <f>_xlfn.XLOOKUP($L50,Tab_DSM_Category_ID[Category ID],Tab_DSM_Category_ID[DSM Material],,0,)</f>
        <v>#N/A</v>
      </c>
      <c r="N50" s="8"/>
      <c r="O50" s="16"/>
      <c r="P50" s="8"/>
      <c r="Q50" s="8"/>
      <c r="R50" s="8"/>
    </row>
    <row r="51" spans="1:18" x14ac:dyDescent="0.25">
      <c r="A51" s="160" t="b">
        <v>0</v>
      </c>
      <c r="B51" s="151">
        <f t="shared" si="0"/>
        <v>50</v>
      </c>
      <c r="C51" s="151" t="e">
        <f>_xlfn.XLOOKUP($D51,Tab_Def_Processes[Process_Name],Tab_Def_Processes[Process_ID],,0,)</f>
        <v>#N/A</v>
      </c>
      <c r="D51" s="152" t="s">
        <v>31</v>
      </c>
      <c r="E51" s="151" t="e">
        <f>_xlfn.XLOOKUP($D51,Tab_Def_Processes[Process_Name],Tab_Def_Processes[Process_Type],,0,)</f>
        <v>#N/A</v>
      </c>
      <c r="F51" s="151" t="e">
        <f>_xlfn.XLOOKUP($D51,Tab_Def_Processes[Process_Name],Tab_Def_Processes[TC?],,0,)</f>
        <v>#N/A</v>
      </c>
      <c r="G51" s="151" t="e">
        <f>_xlfn.XLOOKUP($D51,Tab_Def_Processes[Process_Name],Tab_Def_Processes[TC_Type],,0,)</f>
        <v>#N/A</v>
      </c>
      <c r="H51" s="151" t="e">
        <f>_xlfn.XLOOKUP($D51,Tab_Def_Processes[Process_Name],Tab_Def_Processes[Stock?],,0,)</f>
        <v>#N/A</v>
      </c>
      <c r="I51" s="151" t="e">
        <f>_xlfn.XLOOKUP($D51,Tab_Def_Processes[Process_Name],Tab_Def_Processes[Initial_Stock?],,0,)</f>
        <v>#N/A</v>
      </c>
      <c r="J51" s="7" t="e">
        <f>_xlfn.XLOOKUP($D51,Tab_Def_Processes[Process_Name],Tab_Def_Processes[DSM?],,0,)</f>
        <v>#N/A</v>
      </c>
      <c r="K51" s="7" t="e">
        <f>_xlfn.XLOOKUP($D51,Tab_Def_Processes[Process_Name],Tab_Def_Processes[FOMP?],,0,)</f>
        <v>#N/A</v>
      </c>
      <c r="L51" s="8"/>
      <c r="M51" s="7" t="e">
        <f>_xlfn.XLOOKUP($L51,Tab_DSM_Category_ID[Category ID],Tab_DSM_Category_ID[DSM Material],,0,)</f>
        <v>#N/A</v>
      </c>
      <c r="N51" s="8"/>
      <c r="O51" s="16"/>
      <c r="P51" s="8"/>
      <c r="Q51" s="8"/>
      <c r="R51" s="8"/>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C1" zoomScaleNormal="100" workbookViewId="0">
      <selection activeCell="H24" sqref="H24"/>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4" width="24.28515625" customWidth="1"/>
    <col min="15" max="16" width="33.85546875" customWidth="1"/>
    <col min="17" max="17" width="19.42578125" customWidth="1"/>
  </cols>
  <sheetData>
    <row r="1" spans="1:17" x14ac:dyDescent="0.25">
      <c r="A1" s="159" t="s">
        <v>54</v>
      </c>
      <c r="B1" s="159" t="s">
        <v>28</v>
      </c>
      <c r="C1" s="159" t="s">
        <v>49</v>
      </c>
      <c r="D1" s="159" t="s">
        <v>713</v>
      </c>
      <c r="E1" s="159" t="s">
        <v>77</v>
      </c>
      <c r="F1" s="159" t="s">
        <v>52</v>
      </c>
      <c r="G1" s="159" t="s">
        <v>719</v>
      </c>
      <c r="H1" s="159" t="s">
        <v>57</v>
      </c>
      <c r="I1" s="159" t="s">
        <v>224</v>
      </c>
      <c r="J1" s="159" t="s">
        <v>229</v>
      </c>
      <c r="K1" s="159" t="s">
        <v>230</v>
      </c>
      <c r="L1" s="159" t="s">
        <v>256</v>
      </c>
      <c r="M1" s="159" t="s">
        <v>358</v>
      </c>
      <c r="N1" s="159" t="s">
        <v>367</v>
      </c>
      <c r="O1" s="159" t="s">
        <v>361</v>
      </c>
      <c r="P1" s="159" t="s">
        <v>247</v>
      </c>
      <c r="Q1" s="159" t="s">
        <v>223</v>
      </c>
    </row>
    <row r="2" spans="1:17" x14ac:dyDescent="0.25">
      <c r="A2" s="160" t="b">
        <v>0</v>
      </c>
      <c r="B2" s="7">
        <f t="shared" ref="B2:B41" si="0">ROW()-1</f>
        <v>1</v>
      </c>
      <c r="C2" s="7" t="e">
        <f>_xlfn.XLOOKUP($D2,Tab_Def_Processes[Process_Name],Tab_Def_Processes[Process_ID],,0,)</f>
        <v>#N/A</v>
      </c>
      <c r="D2" s="8" t="s">
        <v>31</v>
      </c>
      <c r="E2" s="7" t="e">
        <f>_xlfn.XLOOKUP($D2,Tab_Def_Processes[Process_Name],Tab_Def_Processes[Process_Type],,0,)</f>
        <v>#N/A</v>
      </c>
      <c r="F2" s="7" t="e">
        <f>_xlfn.XLOOKUP($D2,Tab_Def_Processes[Process_Name],Tab_Def_Processes[TC?],,0,)</f>
        <v>#N/A</v>
      </c>
      <c r="G2" s="7" t="e">
        <f>_xlfn.XLOOKUP($D2,Tab_Def_Processes[Process_Name],Tab_Def_Processes[TC_Type],,0,)</f>
        <v>#N/A</v>
      </c>
      <c r="H2" s="7" t="e">
        <f>_xlfn.XLOOKUP($D2,Tab_Def_Processes[Process_Name],Tab_Def_Processes[Stock?],,0,)</f>
        <v>#N/A</v>
      </c>
      <c r="I2" s="7" t="e">
        <f>_xlfn.XLOOKUP($D2,Tab_Def_Processes[Process_Name],Tab_Def_Processes[Initial_Stock?],,0,)</f>
        <v>#N/A</v>
      </c>
      <c r="J2" s="7" t="e">
        <f>_xlfn.XLOOKUP($D2,Tab_Def_Processes[Process_Name],Tab_Def_Processes[DSM?],,0,)</f>
        <v>#N/A</v>
      </c>
      <c r="K2" s="7" t="e">
        <f>_xlfn.XLOOKUP($D2,Tab_Def_Processes[Process_Name],Tab_Def_Processes[FOMP?],,0,)</f>
        <v>#N/A</v>
      </c>
      <c r="L2" s="7" t="e">
        <f>_xlfn.XLOOKUP(Tab_FOMP[[#This Row],[Process_Name]],Tab_Def_Processes[Process_Name],Tab_Def_Processes[Nr. Outflows],,0,)</f>
        <v>#N/A</v>
      </c>
      <c r="M2" s="8"/>
      <c r="N2" s="8"/>
      <c r="O2" s="7" t="e">
        <f>"P"&amp;Tab_FOMP[[#This Row],[Process_ID]]&amp;"_"&amp;_xlfn.XLOOKUP($N2,CL_3.1_FOMP_Parameters[Category ID],CL_3.1_FOMP_Parameters[Pool_ID],,0,)</f>
        <v>#N/A</v>
      </c>
      <c r="P2" s="8"/>
      <c r="Q2" s="8"/>
    </row>
    <row r="3" spans="1:17" x14ac:dyDescent="0.25">
      <c r="A3" s="160" t="b">
        <v>0</v>
      </c>
      <c r="B3" s="7">
        <f t="shared" si="0"/>
        <v>2</v>
      </c>
      <c r="C3" s="7" t="e">
        <f>_xlfn.XLOOKUP($D3,Tab_Def_Processes[Process_Name],Tab_Def_Processes[Process_ID],,0,)</f>
        <v>#N/A</v>
      </c>
      <c r="D3" s="8" t="s">
        <v>31</v>
      </c>
      <c r="E3" s="7" t="e">
        <f>_xlfn.XLOOKUP($D3,Tab_Def_Processes[Process_Name],Tab_Def_Processes[Process_Type],,0,)</f>
        <v>#N/A</v>
      </c>
      <c r="F3" s="7" t="e">
        <f>_xlfn.XLOOKUP($D3,Tab_Def_Processes[Process_Name],Tab_Def_Processes[TC?],,0,)</f>
        <v>#N/A</v>
      </c>
      <c r="G3" s="7" t="e">
        <f>_xlfn.XLOOKUP($D3,Tab_Def_Processes[Process_Name],Tab_Def_Processes[TC_Type],,0,)</f>
        <v>#N/A</v>
      </c>
      <c r="H3" s="7" t="e">
        <f>_xlfn.XLOOKUP($D3,Tab_Def_Processes[Process_Name],Tab_Def_Processes[Stock?],,0,)</f>
        <v>#N/A</v>
      </c>
      <c r="I3" s="7" t="e">
        <f>_xlfn.XLOOKUP($D3,Tab_Def_Processes[Process_Name],Tab_Def_Processes[Initial_Stock?],,0,)</f>
        <v>#N/A</v>
      </c>
      <c r="J3" s="7" t="e">
        <f>_xlfn.XLOOKUP($D3,Tab_Def_Processes[Process_Name],Tab_Def_Processes[DSM?],,0,)</f>
        <v>#N/A</v>
      </c>
      <c r="K3" s="7" t="e">
        <f>_xlfn.XLOOKUP($D3,Tab_Def_Processes[Process_Name],Tab_Def_Processes[FOMP?],,0,)</f>
        <v>#N/A</v>
      </c>
      <c r="L3" s="7" t="e">
        <f>_xlfn.XLOOKUP(Tab_FOMP[[#This Row],[Process_Name]],Tab_Def_Processes[Process_Name],Tab_Def_Processes[Nr. Outflows],,0,)</f>
        <v>#N/A</v>
      </c>
      <c r="M3" s="8"/>
      <c r="N3" s="8"/>
      <c r="O3" s="7" t="e">
        <f>"P"&amp;Tab_FOMP[[#This Row],[Process_ID]]&amp;"_"&amp;_xlfn.XLOOKUP($N3,CL_3.1_FOMP_Parameters[Category ID],CL_3.1_FOMP_Parameters[Pool_ID],,0,)</f>
        <v>#N/A</v>
      </c>
      <c r="P3" s="8"/>
      <c r="Q3" s="8"/>
    </row>
    <row r="4" spans="1:17" x14ac:dyDescent="0.25">
      <c r="A4" s="160" t="b">
        <v>0</v>
      </c>
      <c r="B4" s="7">
        <f t="shared" si="0"/>
        <v>3</v>
      </c>
      <c r="C4" s="7" t="e">
        <f>_xlfn.XLOOKUP($D4,Tab_Def_Processes[Process_Name],Tab_Def_Processes[Process_ID],,0,)</f>
        <v>#N/A</v>
      </c>
      <c r="D4" s="8" t="s">
        <v>31</v>
      </c>
      <c r="E4" s="7" t="e">
        <f>_xlfn.XLOOKUP($D4,Tab_Def_Processes[Process_Name],Tab_Def_Processes[Process_Type],,0,)</f>
        <v>#N/A</v>
      </c>
      <c r="F4" s="7" t="e">
        <f>_xlfn.XLOOKUP($D4,Tab_Def_Processes[Process_Name],Tab_Def_Processes[TC?],,0,)</f>
        <v>#N/A</v>
      </c>
      <c r="G4" s="7" t="e">
        <f>_xlfn.XLOOKUP($D4,Tab_Def_Processes[Process_Name],Tab_Def_Processes[TC_Type],,0,)</f>
        <v>#N/A</v>
      </c>
      <c r="H4" s="7" t="e">
        <f>_xlfn.XLOOKUP($D4,Tab_Def_Processes[Process_Name],Tab_Def_Processes[Stock?],,0,)</f>
        <v>#N/A</v>
      </c>
      <c r="I4" s="7" t="e">
        <f>_xlfn.XLOOKUP($D4,Tab_Def_Processes[Process_Name],Tab_Def_Processes[Initial_Stock?],,0,)</f>
        <v>#N/A</v>
      </c>
      <c r="J4" s="7" t="e">
        <f>_xlfn.XLOOKUP($D4,Tab_Def_Processes[Process_Name],Tab_Def_Processes[DSM?],,0,)</f>
        <v>#N/A</v>
      </c>
      <c r="K4" s="7" t="e">
        <f>_xlfn.XLOOKUP($D4,Tab_Def_Processes[Process_Name],Tab_Def_Processes[FOMP?],,0,)</f>
        <v>#N/A</v>
      </c>
      <c r="L4" s="7" t="e">
        <f>_xlfn.XLOOKUP(Tab_FOMP[[#This Row],[Process_Name]],Tab_Def_Processes[Process_Name],Tab_Def_Processes[Nr. Outflows],,0,)</f>
        <v>#N/A</v>
      </c>
      <c r="M4" s="8"/>
      <c r="N4" s="8"/>
      <c r="O4" s="7" t="e">
        <f>"P"&amp;Tab_FOMP[[#This Row],[Process_ID]]&amp;"_"&amp;_xlfn.XLOOKUP($N4,CL_3.1_FOMP_Parameters[Category ID],CL_3.1_FOMP_Parameters[Pool_ID],,0,)</f>
        <v>#N/A</v>
      </c>
      <c r="P4" s="8"/>
      <c r="Q4" s="8"/>
    </row>
    <row r="5" spans="1:17" x14ac:dyDescent="0.25">
      <c r="A5" s="160" t="b">
        <v>0</v>
      </c>
      <c r="B5" s="7">
        <f t="shared" si="0"/>
        <v>4</v>
      </c>
      <c r="C5" s="7" t="e">
        <f>_xlfn.XLOOKUP($D5,Tab_Def_Processes[Process_Name],Tab_Def_Processes[Process_ID],,0,)</f>
        <v>#N/A</v>
      </c>
      <c r="D5" s="8" t="s">
        <v>31</v>
      </c>
      <c r="E5" s="7" t="e">
        <f>_xlfn.XLOOKUP($D5,Tab_Def_Processes[Process_Name],Tab_Def_Processes[Process_Type],,0,)</f>
        <v>#N/A</v>
      </c>
      <c r="F5" s="7" t="e">
        <f>_xlfn.XLOOKUP($D5,Tab_Def_Processes[Process_Name],Tab_Def_Processes[TC?],,0,)</f>
        <v>#N/A</v>
      </c>
      <c r="G5" s="7" t="e">
        <f>_xlfn.XLOOKUP($D5,Tab_Def_Processes[Process_Name],Tab_Def_Processes[TC_Type],,0,)</f>
        <v>#N/A</v>
      </c>
      <c r="H5" s="7" t="e">
        <f>_xlfn.XLOOKUP($D5,Tab_Def_Processes[Process_Name],Tab_Def_Processes[Stock?],,0,)</f>
        <v>#N/A</v>
      </c>
      <c r="I5" s="7" t="e">
        <f>_xlfn.XLOOKUP($D5,Tab_Def_Processes[Process_Name],Tab_Def_Processes[Initial_Stock?],,0,)</f>
        <v>#N/A</v>
      </c>
      <c r="J5" s="7" t="e">
        <f>_xlfn.XLOOKUP($D5,Tab_Def_Processes[Process_Name],Tab_Def_Processes[DSM?],,0,)</f>
        <v>#N/A</v>
      </c>
      <c r="K5" s="7" t="e">
        <f>_xlfn.XLOOKUP($D5,Tab_Def_Processes[Process_Name],Tab_Def_Processes[FOMP?],,0,)</f>
        <v>#N/A</v>
      </c>
      <c r="L5" s="7" t="e">
        <f>_xlfn.XLOOKUP(Tab_FOMP[[#This Row],[Process_Name]],Tab_Def_Processes[Process_Name],Tab_Def_Processes[Nr. Outflows],,0,)</f>
        <v>#N/A</v>
      </c>
      <c r="M5" s="8"/>
      <c r="N5" s="8"/>
      <c r="O5" s="7" t="e">
        <f>"P"&amp;Tab_FOMP[[#This Row],[Process_ID]]&amp;"_"&amp;_xlfn.XLOOKUP($N5,CL_3.1_FOMP_Parameters[Category ID],CL_3.1_FOMP_Parameters[Pool_ID],,0,)</f>
        <v>#N/A</v>
      </c>
      <c r="P5" s="8"/>
      <c r="Q5" s="8"/>
    </row>
    <row r="6" spans="1:17" x14ac:dyDescent="0.25">
      <c r="A6" s="160" t="b">
        <v>0</v>
      </c>
      <c r="B6" s="7">
        <f t="shared" si="0"/>
        <v>5</v>
      </c>
      <c r="C6" s="7" t="e">
        <f>_xlfn.XLOOKUP($D6,Tab_Def_Processes[Process_Name],Tab_Def_Processes[Process_ID],,0,)</f>
        <v>#N/A</v>
      </c>
      <c r="D6" s="8" t="s">
        <v>31</v>
      </c>
      <c r="E6" s="7" t="e">
        <f>_xlfn.XLOOKUP($D6,Tab_Def_Processes[Process_Name],Tab_Def_Processes[Process_Type],,0,)</f>
        <v>#N/A</v>
      </c>
      <c r="F6" s="7" t="e">
        <f>_xlfn.XLOOKUP($D6,Tab_Def_Processes[Process_Name],Tab_Def_Processes[TC?],,0,)</f>
        <v>#N/A</v>
      </c>
      <c r="G6" s="7" t="e">
        <f>_xlfn.XLOOKUP($D6,Tab_Def_Processes[Process_Name],Tab_Def_Processes[TC_Type],,0,)</f>
        <v>#N/A</v>
      </c>
      <c r="H6" s="7" t="e">
        <f>_xlfn.XLOOKUP($D6,Tab_Def_Processes[Process_Name],Tab_Def_Processes[Stock?],,0,)</f>
        <v>#N/A</v>
      </c>
      <c r="I6" s="7" t="e">
        <f>_xlfn.XLOOKUP($D6,Tab_Def_Processes[Process_Name],Tab_Def_Processes[Initial_Stock?],,0,)</f>
        <v>#N/A</v>
      </c>
      <c r="J6" s="7" t="e">
        <f>_xlfn.XLOOKUP($D6,Tab_Def_Processes[Process_Name],Tab_Def_Processes[DSM?],,0,)</f>
        <v>#N/A</v>
      </c>
      <c r="K6" s="7" t="e">
        <f>_xlfn.XLOOKUP($D6,Tab_Def_Processes[Process_Name],Tab_Def_Processes[FOMP?],,0,)</f>
        <v>#N/A</v>
      </c>
      <c r="L6" s="7" t="e">
        <f>_xlfn.XLOOKUP(Tab_FOMP[[#This Row],[Process_Name]],Tab_Def_Processes[Process_Name],Tab_Def_Processes[Nr. Outflows],,0,)</f>
        <v>#N/A</v>
      </c>
      <c r="M6" s="8"/>
      <c r="N6" s="8"/>
      <c r="O6" s="7" t="e">
        <f>"P"&amp;Tab_FOMP[[#This Row],[Process_ID]]&amp;"_"&amp;_xlfn.XLOOKUP($N6,CL_3.1_FOMP_Parameters[Category ID],CL_3.1_FOMP_Parameters[Pool_ID],,0,)</f>
        <v>#N/A</v>
      </c>
      <c r="P6" s="8"/>
      <c r="Q6" s="8"/>
    </row>
    <row r="7" spans="1:17" x14ac:dyDescent="0.25">
      <c r="A7" s="160" t="b">
        <v>0</v>
      </c>
      <c r="B7" s="7">
        <f t="shared" si="0"/>
        <v>6</v>
      </c>
      <c r="C7" s="7" t="e">
        <f>_xlfn.XLOOKUP($D7,Tab_Def_Processes[Process_Name],Tab_Def_Processes[Process_ID],,0,)</f>
        <v>#N/A</v>
      </c>
      <c r="D7" s="8" t="s">
        <v>31</v>
      </c>
      <c r="E7" s="7" t="e">
        <f>_xlfn.XLOOKUP($D7,Tab_Def_Processes[Process_Name],Tab_Def_Processes[Process_Type],,0,)</f>
        <v>#N/A</v>
      </c>
      <c r="F7" s="7" t="e">
        <f>_xlfn.XLOOKUP($D7,Tab_Def_Processes[Process_Name],Tab_Def_Processes[TC?],,0,)</f>
        <v>#N/A</v>
      </c>
      <c r="G7" s="7" t="e">
        <f>_xlfn.XLOOKUP($D7,Tab_Def_Processes[Process_Name],Tab_Def_Processes[TC_Type],,0,)</f>
        <v>#N/A</v>
      </c>
      <c r="H7" s="7" t="e">
        <f>_xlfn.XLOOKUP($D7,Tab_Def_Processes[Process_Name],Tab_Def_Processes[Stock?],,0,)</f>
        <v>#N/A</v>
      </c>
      <c r="I7" s="7" t="e">
        <f>_xlfn.XLOOKUP($D7,Tab_Def_Processes[Process_Name],Tab_Def_Processes[Initial_Stock?],,0,)</f>
        <v>#N/A</v>
      </c>
      <c r="J7" s="7" t="e">
        <f>_xlfn.XLOOKUP($D7,Tab_Def_Processes[Process_Name],Tab_Def_Processes[DSM?],,0,)</f>
        <v>#N/A</v>
      </c>
      <c r="K7" s="7" t="e">
        <f>_xlfn.XLOOKUP($D7,Tab_Def_Processes[Process_Name],Tab_Def_Processes[FOMP?],,0,)</f>
        <v>#N/A</v>
      </c>
      <c r="L7" s="7" t="e">
        <f>_xlfn.XLOOKUP(Tab_FOMP[[#This Row],[Process_Name]],Tab_Def_Processes[Process_Name],Tab_Def_Processes[Nr. Outflows],,0,)</f>
        <v>#N/A</v>
      </c>
      <c r="M7" s="8"/>
      <c r="N7" s="8"/>
      <c r="O7" s="7" t="e">
        <f>"P"&amp;Tab_FOMP[[#This Row],[Process_ID]]&amp;"_"&amp;_xlfn.XLOOKUP($N7,CL_3.1_FOMP_Parameters[Category ID],CL_3.1_FOMP_Parameters[Pool_ID],,0,)</f>
        <v>#N/A</v>
      </c>
      <c r="P7" s="8"/>
      <c r="Q7" s="8"/>
    </row>
    <row r="8" spans="1:17" x14ac:dyDescent="0.25">
      <c r="A8" s="160" t="b">
        <v>0</v>
      </c>
      <c r="B8" s="7">
        <f t="shared" si="0"/>
        <v>7</v>
      </c>
      <c r="C8" s="7" t="e">
        <f>_xlfn.XLOOKUP($D8,Tab_Def_Processes[Process_Name],Tab_Def_Processes[Process_ID],,0,)</f>
        <v>#N/A</v>
      </c>
      <c r="D8" s="8" t="s">
        <v>31</v>
      </c>
      <c r="E8" s="7" t="e">
        <f>_xlfn.XLOOKUP($D8,Tab_Def_Processes[Process_Name],Tab_Def_Processes[Process_Type],,0,)</f>
        <v>#N/A</v>
      </c>
      <c r="F8" s="7" t="e">
        <f>_xlfn.XLOOKUP($D8,Tab_Def_Processes[Process_Name],Tab_Def_Processes[TC?],,0,)</f>
        <v>#N/A</v>
      </c>
      <c r="G8" s="7" t="e">
        <f>_xlfn.XLOOKUP($D8,Tab_Def_Processes[Process_Name],Tab_Def_Processes[TC_Type],,0,)</f>
        <v>#N/A</v>
      </c>
      <c r="H8" s="7" t="e">
        <f>_xlfn.XLOOKUP($D8,Tab_Def_Processes[Process_Name],Tab_Def_Processes[Stock?],,0,)</f>
        <v>#N/A</v>
      </c>
      <c r="I8" s="7" t="e">
        <f>_xlfn.XLOOKUP($D8,Tab_Def_Processes[Process_Name],Tab_Def_Processes[Initial_Stock?],,0,)</f>
        <v>#N/A</v>
      </c>
      <c r="J8" s="7" t="e">
        <f>_xlfn.XLOOKUP($D8,Tab_Def_Processes[Process_Name],Tab_Def_Processes[DSM?],,0,)</f>
        <v>#N/A</v>
      </c>
      <c r="K8" s="7" t="e">
        <f>_xlfn.XLOOKUP($D8,Tab_Def_Processes[Process_Name],Tab_Def_Processes[FOMP?],,0,)</f>
        <v>#N/A</v>
      </c>
      <c r="L8" s="7" t="e">
        <f>_xlfn.XLOOKUP(Tab_FOMP[[#This Row],[Process_Name]],Tab_Def_Processes[Process_Name],Tab_Def_Processes[Nr. Outflows],,0,)</f>
        <v>#N/A</v>
      </c>
      <c r="M8" s="8"/>
      <c r="N8" s="8"/>
      <c r="O8" s="7" t="e">
        <f>"P"&amp;Tab_FOMP[[#This Row],[Process_ID]]&amp;"_"&amp;_xlfn.XLOOKUP($N8,CL_3.1_FOMP_Parameters[Category ID],CL_3.1_FOMP_Parameters[Pool_ID],,0,)</f>
        <v>#N/A</v>
      </c>
      <c r="P8" s="8"/>
      <c r="Q8" s="8"/>
    </row>
    <row r="9" spans="1:17" x14ac:dyDescent="0.25">
      <c r="A9" s="160" t="b">
        <v>0</v>
      </c>
      <c r="B9" s="7">
        <f t="shared" si="0"/>
        <v>8</v>
      </c>
      <c r="C9" s="7" t="e">
        <f>_xlfn.XLOOKUP($D9,Tab_Def_Processes[Process_Name],Tab_Def_Processes[Process_ID],,0,)</f>
        <v>#N/A</v>
      </c>
      <c r="D9" s="8" t="s">
        <v>31</v>
      </c>
      <c r="E9" s="7" t="e">
        <f>_xlfn.XLOOKUP($D9,Tab_Def_Processes[Process_Name],Tab_Def_Processes[Process_Type],,0,)</f>
        <v>#N/A</v>
      </c>
      <c r="F9" s="7" t="e">
        <f>_xlfn.XLOOKUP($D9,Tab_Def_Processes[Process_Name],Tab_Def_Processes[TC?],,0,)</f>
        <v>#N/A</v>
      </c>
      <c r="G9" s="7" t="e">
        <f>_xlfn.XLOOKUP($D9,Tab_Def_Processes[Process_Name],Tab_Def_Processes[TC_Type],,0,)</f>
        <v>#N/A</v>
      </c>
      <c r="H9" s="7" t="e">
        <f>_xlfn.XLOOKUP($D9,Tab_Def_Processes[Process_Name],Tab_Def_Processes[Stock?],,0,)</f>
        <v>#N/A</v>
      </c>
      <c r="I9" s="7" t="e">
        <f>_xlfn.XLOOKUP($D9,Tab_Def_Processes[Process_Name],Tab_Def_Processes[Initial_Stock?],,0,)</f>
        <v>#N/A</v>
      </c>
      <c r="J9" s="7" t="e">
        <f>_xlfn.XLOOKUP($D9,Tab_Def_Processes[Process_Name],Tab_Def_Processes[DSM?],,0,)</f>
        <v>#N/A</v>
      </c>
      <c r="K9" s="7" t="e">
        <f>_xlfn.XLOOKUP($D9,Tab_Def_Processes[Process_Name],Tab_Def_Processes[FOMP?],,0,)</f>
        <v>#N/A</v>
      </c>
      <c r="L9" s="7" t="e">
        <f>_xlfn.XLOOKUP(Tab_FOMP[[#This Row],[Process_Name]],Tab_Def_Processes[Process_Name],Tab_Def_Processes[Nr. Outflows],,0,)</f>
        <v>#N/A</v>
      </c>
      <c r="M9" s="8"/>
      <c r="N9" s="8"/>
      <c r="O9" s="7" t="e">
        <f>"P"&amp;Tab_FOMP[[#This Row],[Process_ID]]&amp;"_"&amp;_xlfn.XLOOKUP($N9,CL_3.1_FOMP_Parameters[Category ID],CL_3.1_FOMP_Parameters[Pool_ID],,0,)</f>
        <v>#N/A</v>
      </c>
      <c r="P9" s="8"/>
      <c r="Q9" s="8"/>
    </row>
    <row r="10" spans="1:17" x14ac:dyDescent="0.25">
      <c r="A10" s="160" t="b">
        <v>0</v>
      </c>
      <c r="B10" s="7">
        <f t="shared" si="0"/>
        <v>9</v>
      </c>
      <c r="C10" s="7" t="e">
        <f>_xlfn.XLOOKUP($D10,Tab_Def_Processes[Process_Name],Tab_Def_Processes[Process_ID],,0,)</f>
        <v>#N/A</v>
      </c>
      <c r="D10" s="8" t="s">
        <v>31</v>
      </c>
      <c r="E10" s="7" t="e">
        <f>_xlfn.XLOOKUP($D10,Tab_Def_Processes[Process_Name],Tab_Def_Processes[Process_Type],,0,)</f>
        <v>#N/A</v>
      </c>
      <c r="F10" s="7" t="e">
        <f>_xlfn.XLOOKUP($D10,Tab_Def_Processes[Process_Name],Tab_Def_Processes[TC?],,0,)</f>
        <v>#N/A</v>
      </c>
      <c r="G10" s="7" t="e">
        <f>_xlfn.XLOOKUP($D10,Tab_Def_Processes[Process_Name],Tab_Def_Processes[TC_Type],,0,)</f>
        <v>#N/A</v>
      </c>
      <c r="H10" s="7" t="e">
        <f>_xlfn.XLOOKUP($D10,Tab_Def_Processes[Process_Name],Tab_Def_Processes[Stock?],,0,)</f>
        <v>#N/A</v>
      </c>
      <c r="I10" s="7" t="e">
        <f>_xlfn.XLOOKUP($D10,Tab_Def_Processes[Process_Name],Tab_Def_Processes[Initial_Stock?],,0,)</f>
        <v>#N/A</v>
      </c>
      <c r="J10" s="7" t="e">
        <f>_xlfn.XLOOKUP($D10,Tab_Def_Processes[Process_Name],Tab_Def_Processes[DSM?],,0,)</f>
        <v>#N/A</v>
      </c>
      <c r="K10" s="7" t="e">
        <f>_xlfn.XLOOKUP($D10,Tab_Def_Processes[Process_Name],Tab_Def_Processes[FOMP?],,0,)</f>
        <v>#N/A</v>
      </c>
      <c r="L10" s="7" t="e">
        <f>_xlfn.XLOOKUP(Tab_FOMP[[#This Row],[Process_Name]],Tab_Def_Processes[Process_Name],Tab_Def_Processes[Nr. Outflows],,0,)</f>
        <v>#N/A</v>
      </c>
      <c r="M10" s="8"/>
      <c r="N10" s="8"/>
      <c r="O10" s="7" t="e">
        <f>"P"&amp;Tab_FOMP[[#This Row],[Process_ID]]&amp;"_"&amp;_xlfn.XLOOKUP($N10,CL_3.1_FOMP_Parameters[Category ID],CL_3.1_FOMP_Parameters[Pool_ID],,0,)</f>
        <v>#N/A</v>
      </c>
      <c r="P10" s="8"/>
      <c r="Q10" s="8"/>
    </row>
    <row r="11" spans="1:17" x14ac:dyDescent="0.25">
      <c r="A11" s="160" t="b">
        <v>0</v>
      </c>
      <c r="B11" s="7">
        <f t="shared" si="0"/>
        <v>10</v>
      </c>
      <c r="C11" s="7" t="e">
        <f>_xlfn.XLOOKUP($D11,Tab_Def_Processes[Process_Name],Tab_Def_Processes[Process_ID],,0,)</f>
        <v>#N/A</v>
      </c>
      <c r="D11" s="8" t="s">
        <v>31</v>
      </c>
      <c r="E11" s="7" t="e">
        <f>_xlfn.XLOOKUP($D11,Tab_Def_Processes[Process_Name],Tab_Def_Processes[Process_Type],,0,)</f>
        <v>#N/A</v>
      </c>
      <c r="F11" s="7" t="e">
        <f>_xlfn.XLOOKUP($D11,Tab_Def_Processes[Process_Name],Tab_Def_Processes[TC?],,0,)</f>
        <v>#N/A</v>
      </c>
      <c r="G11" s="7" t="e">
        <f>_xlfn.XLOOKUP($D11,Tab_Def_Processes[Process_Name],Tab_Def_Processes[TC_Type],,0,)</f>
        <v>#N/A</v>
      </c>
      <c r="H11" s="7" t="e">
        <f>_xlfn.XLOOKUP($D11,Tab_Def_Processes[Process_Name],Tab_Def_Processes[Stock?],,0,)</f>
        <v>#N/A</v>
      </c>
      <c r="I11" s="7" t="e">
        <f>_xlfn.XLOOKUP($D11,Tab_Def_Processes[Process_Name],Tab_Def_Processes[Initial_Stock?],,0,)</f>
        <v>#N/A</v>
      </c>
      <c r="J11" s="7" t="e">
        <f>_xlfn.XLOOKUP($D11,Tab_Def_Processes[Process_Name],Tab_Def_Processes[DSM?],,0,)</f>
        <v>#N/A</v>
      </c>
      <c r="K11" s="7" t="e">
        <f>_xlfn.XLOOKUP($D11,Tab_Def_Processes[Process_Name],Tab_Def_Processes[FOMP?],,0,)</f>
        <v>#N/A</v>
      </c>
      <c r="L11" s="7" t="e">
        <f>_xlfn.XLOOKUP(Tab_FOMP[[#This Row],[Process_Name]],Tab_Def_Processes[Process_Name],Tab_Def_Processes[Nr. Outflows],,0,)</f>
        <v>#N/A</v>
      </c>
      <c r="M11" s="8"/>
      <c r="N11" s="8"/>
      <c r="O11" s="7" t="e">
        <f>"P"&amp;Tab_FOMP[[#This Row],[Process_ID]]&amp;"_"&amp;_xlfn.XLOOKUP($N11,CL_3.1_FOMP_Parameters[Category ID],CL_3.1_FOMP_Parameters[Pool_ID],,0,)</f>
        <v>#N/A</v>
      </c>
      <c r="P11" s="8"/>
      <c r="Q11" s="8"/>
    </row>
    <row r="12" spans="1:17" x14ac:dyDescent="0.25">
      <c r="A12" s="160" t="b">
        <v>0</v>
      </c>
      <c r="B12" s="7">
        <f t="shared" si="0"/>
        <v>11</v>
      </c>
      <c r="C12" s="7" t="e">
        <f>_xlfn.XLOOKUP($D12,Tab_Def_Processes[Process_Name],Tab_Def_Processes[Process_ID],,0,)</f>
        <v>#N/A</v>
      </c>
      <c r="D12" s="8" t="s">
        <v>31</v>
      </c>
      <c r="E12" s="7" t="e">
        <f>_xlfn.XLOOKUP($D12,Tab_Def_Processes[Process_Name],Tab_Def_Processes[Process_Type],,0,)</f>
        <v>#N/A</v>
      </c>
      <c r="F12" s="7" t="e">
        <f>_xlfn.XLOOKUP($D12,Tab_Def_Processes[Process_Name],Tab_Def_Processes[TC?],,0,)</f>
        <v>#N/A</v>
      </c>
      <c r="G12" s="7" t="e">
        <f>_xlfn.XLOOKUP($D12,Tab_Def_Processes[Process_Name],Tab_Def_Processes[TC_Type],,0,)</f>
        <v>#N/A</v>
      </c>
      <c r="H12" s="7" t="e">
        <f>_xlfn.XLOOKUP($D12,Tab_Def_Processes[Process_Name],Tab_Def_Processes[Stock?],,0,)</f>
        <v>#N/A</v>
      </c>
      <c r="I12" s="7" t="e">
        <f>_xlfn.XLOOKUP($D12,Tab_Def_Processes[Process_Name],Tab_Def_Processes[Initial_Stock?],,0,)</f>
        <v>#N/A</v>
      </c>
      <c r="J12" s="7" t="e">
        <f>_xlfn.XLOOKUP($D12,Tab_Def_Processes[Process_Name],Tab_Def_Processes[DSM?],,0,)</f>
        <v>#N/A</v>
      </c>
      <c r="K12" s="7" t="e">
        <f>_xlfn.XLOOKUP($D12,Tab_Def_Processes[Process_Name],Tab_Def_Processes[FOMP?],,0,)</f>
        <v>#N/A</v>
      </c>
      <c r="L12" s="7" t="e">
        <f>_xlfn.XLOOKUP(Tab_FOMP[[#This Row],[Process_Name]],Tab_Def_Processes[Process_Name],Tab_Def_Processes[Nr. Outflows],,0,)</f>
        <v>#N/A</v>
      </c>
      <c r="M12" s="8"/>
      <c r="N12" s="8"/>
      <c r="O12" s="7" t="e">
        <f>"P"&amp;Tab_FOMP[[#This Row],[Process_ID]]&amp;"_"&amp;_xlfn.XLOOKUP($N12,CL_3.1_FOMP_Parameters[Category ID],CL_3.1_FOMP_Parameters[Pool_ID],,0,)</f>
        <v>#N/A</v>
      </c>
      <c r="P12" s="8"/>
      <c r="Q12" s="8"/>
    </row>
    <row r="13" spans="1:17" x14ac:dyDescent="0.25">
      <c r="A13" s="160" t="b">
        <v>0</v>
      </c>
      <c r="B13" s="7">
        <f t="shared" si="0"/>
        <v>12</v>
      </c>
      <c r="C13" s="7" t="e">
        <f>_xlfn.XLOOKUP($D13,Tab_Def_Processes[Process_Name],Tab_Def_Processes[Process_ID],,0,)</f>
        <v>#N/A</v>
      </c>
      <c r="D13" s="8" t="s">
        <v>31</v>
      </c>
      <c r="E13" s="7" t="e">
        <f>_xlfn.XLOOKUP($D13,Tab_Def_Processes[Process_Name],Tab_Def_Processes[Process_Type],,0,)</f>
        <v>#N/A</v>
      </c>
      <c r="F13" s="7" t="e">
        <f>_xlfn.XLOOKUP($D13,Tab_Def_Processes[Process_Name],Tab_Def_Processes[TC?],,0,)</f>
        <v>#N/A</v>
      </c>
      <c r="G13" s="7" t="e">
        <f>_xlfn.XLOOKUP($D13,Tab_Def_Processes[Process_Name],Tab_Def_Processes[TC_Type],,0,)</f>
        <v>#N/A</v>
      </c>
      <c r="H13" s="7" t="e">
        <f>_xlfn.XLOOKUP($D13,Tab_Def_Processes[Process_Name],Tab_Def_Processes[Stock?],,0,)</f>
        <v>#N/A</v>
      </c>
      <c r="I13" s="7" t="e">
        <f>_xlfn.XLOOKUP($D13,Tab_Def_Processes[Process_Name],Tab_Def_Processes[Initial_Stock?],,0,)</f>
        <v>#N/A</v>
      </c>
      <c r="J13" s="7" t="e">
        <f>_xlfn.XLOOKUP($D13,Tab_Def_Processes[Process_Name],Tab_Def_Processes[DSM?],,0,)</f>
        <v>#N/A</v>
      </c>
      <c r="K13" s="7" t="e">
        <f>_xlfn.XLOOKUP($D13,Tab_Def_Processes[Process_Name],Tab_Def_Processes[FOMP?],,0,)</f>
        <v>#N/A</v>
      </c>
      <c r="L13" s="7" t="e">
        <f>_xlfn.XLOOKUP(Tab_FOMP[[#This Row],[Process_Name]],Tab_Def_Processes[Process_Name],Tab_Def_Processes[Nr. Outflows],,0,)</f>
        <v>#N/A</v>
      </c>
      <c r="M13" s="8"/>
      <c r="N13" s="8"/>
      <c r="O13" s="7" t="e">
        <f>"P"&amp;Tab_FOMP[[#This Row],[Process_ID]]&amp;"_"&amp;_xlfn.XLOOKUP($N13,CL_3.1_FOMP_Parameters[Category ID],CL_3.1_FOMP_Parameters[Pool_ID],,0,)</f>
        <v>#N/A</v>
      </c>
      <c r="P13" s="8"/>
      <c r="Q13" s="8"/>
    </row>
    <row r="14" spans="1:17" x14ac:dyDescent="0.25">
      <c r="A14" s="160" t="b">
        <v>0</v>
      </c>
      <c r="B14" s="7">
        <f t="shared" si="0"/>
        <v>13</v>
      </c>
      <c r="C14" s="7" t="e">
        <f>_xlfn.XLOOKUP($D14,Tab_Def_Processes[Process_Name],Tab_Def_Processes[Process_ID],,0,)</f>
        <v>#N/A</v>
      </c>
      <c r="D14" s="8" t="s">
        <v>31</v>
      </c>
      <c r="E14" s="7" t="e">
        <f>_xlfn.XLOOKUP($D14,Tab_Def_Processes[Process_Name],Tab_Def_Processes[Process_Type],,0,)</f>
        <v>#N/A</v>
      </c>
      <c r="F14" s="7" t="e">
        <f>_xlfn.XLOOKUP($D14,Tab_Def_Processes[Process_Name],Tab_Def_Processes[TC?],,0,)</f>
        <v>#N/A</v>
      </c>
      <c r="G14" s="7" t="e">
        <f>_xlfn.XLOOKUP($D14,Tab_Def_Processes[Process_Name],Tab_Def_Processes[TC_Type],,0,)</f>
        <v>#N/A</v>
      </c>
      <c r="H14" s="7" t="e">
        <f>_xlfn.XLOOKUP($D14,Tab_Def_Processes[Process_Name],Tab_Def_Processes[Stock?],,0,)</f>
        <v>#N/A</v>
      </c>
      <c r="I14" s="7" t="e">
        <f>_xlfn.XLOOKUP($D14,Tab_Def_Processes[Process_Name],Tab_Def_Processes[Initial_Stock?],,0,)</f>
        <v>#N/A</v>
      </c>
      <c r="J14" s="7" t="e">
        <f>_xlfn.XLOOKUP($D14,Tab_Def_Processes[Process_Name],Tab_Def_Processes[DSM?],,0,)</f>
        <v>#N/A</v>
      </c>
      <c r="K14" s="7" t="e">
        <f>_xlfn.XLOOKUP($D14,Tab_Def_Processes[Process_Name],Tab_Def_Processes[FOMP?],,0,)</f>
        <v>#N/A</v>
      </c>
      <c r="L14" s="7" t="e">
        <f>_xlfn.XLOOKUP(Tab_FOMP[[#This Row],[Process_Name]],Tab_Def_Processes[Process_Name],Tab_Def_Processes[Nr. Outflows],,0,)</f>
        <v>#N/A</v>
      </c>
      <c r="M14" s="8"/>
      <c r="N14" s="8"/>
      <c r="O14" s="7" t="e">
        <f>"P"&amp;Tab_FOMP[[#This Row],[Process_ID]]&amp;"_"&amp;_xlfn.XLOOKUP($N14,CL_3.1_FOMP_Parameters[Category ID],CL_3.1_FOMP_Parameters[Pool_ID],,0,)</f>
        <v>#N/A</v>
      </c>
      <c r="P14" s="8"/>
      <c r="Q14" s="8"/>
    </row>
    <row r="15" spans="1:17" x14ac:dyDescent="0.25">
      <c r="A15" s="160" t="b">
        <v>0</v>
      </c>
      <c r="B15" s="7">
        <f t="shared" si="0"/>
        <v>14</v>
      </c>
      <c r="C15" s="7" t="e">
        <f>_xlfn.XLOOKUP($D15,Tab_Def_Processes[Process_Name],Tab_Def_Processes[Process_ID],,0,)</f>
        <v>#N/A</v>
      </c>
      <c r="D15" s="8" t="s">
        <v>31</v>
      </c>
      <c r="E15" s="7" t="e">
        <f>_xlfn.XLOOKUP($D15,Tab_Def_Processes[Process_Name],Tab_Def_Processes[Process_Type],,0,)</f>
        <v>#N/A</v>
      </c>
      <c r="F15" s="7" t="e">
        <f>_xlfn.XLOOKUP($D15,Tab_Def_Processes[Process_Name],Tab_Def_Processes[TC?],,0,)</f>
        <v>#N/A</v>
      </c>
      <c r="G15" s="7" t="e">
        <f>_xlfn.XLOOKUP($D15,Tab_Def_Processes[Process_Name],Tab_Def_Processes[TC_Type],,0,)</f>
        <v>#N/A</v>
      </c>
      <c r="H15" s="7" t="e">
        <f>_xlfn.XLOOKUP($D15,Tab_Def_Processes[Process_Name],Tab_Def_Processes[Stock?],,0,)</f>
        <v>#N/A</v>
      </c>
      <c r="I15" s="7" t="e">
        <f>_xlfn.XLOOKUP($D15,Tab_Def_Processes[Process_Name],Tab_Def_Processes[Initial_Stock?],,0,)</f>
        <v>#N/A</v>
      </c>
      <c r="J15" s="7" t="e">
        <f>_xlfn.XLOOKUP($D15,Tab_Def_Processes[Process_Name],Tab_Def_Processes[DSM?],,0,)</f>
        <v>#N/A</v>
      </c>
      <c r="K15" s="7" t="e">
        <f>_xlfn.XLOOKUP($D15,Tab_Def_Processes[Process_Name],Tab_Def_Processes[FOMP?],,0,)</f>
        <v>#N/A</v>
      </c>
      <c r="L15" s="7" t="e">
        <f>_xlfn.XLOOKUP(Tab_FOMP[[#This Row],[Process_Name]],Tab_Def_Processes[Process_Name],Tab_Def_Processes[Nr. Outflows],,0,)</f>
        <v>#N/A</v>
      </c>
      <c r="M15" s="8"/>
      <c r="N15" s="8"/>
      <c r="O15" s="7" t="e">
        <f>"P"&amp;Tab_FOMP[[#This Row],[Process_ID]]&amp;"_"&amp;_xlfn.XLOOKUP($N15,CL_3.1_FOMP_Parameters[Category ID],CL_3.1_FOMP_Parameters[Pool_ID],,0,)</f>
        <v>#N/A</v>
      </c>
      <c r="P15" s="8"/>
      <c r="Q15" s="8"/>
    </row>
    <row r="16" spans="1:17" x14ac:dyDescent="0.25">
      <c r="A16" s="160" t="b">
        <v>0</v>
      </c>
      <c r="B16" s="7">
        <f t="shared" si="0"/>
        <v>15</v>
      </c>
      <c r="C16" s="7" t="e">
        <f>_xlfn.XLOOKUP($D16,Tab_Def_Processes[Process_Name],Tab_Def_Processes[Process_ID],,0,)</f>
        <v>#N/A</v>
      </c>
      <c r="D16" s="8" t="s">
        <v>31</v>
      </c>
      <c r="E16" s="7" t="e">
        <f>_xlfn.XLOOKUP($D16,Tab_Def_Processes[Process_Name],Tab_Def_Processes[Process_Type],,0,)</f>
        <v>#N/A</v>
      </c>
      <c r="F16" s="7" t="e">
        <f>_xlfn.XLOOKUP($D16,Tab_Def_Processes[Process_Name],Tab_Def_Processes[TC?],,0,)</f>
        <v>#N/A</v>
      </c>
      <c r="G16" s="7" t="e">
        <f>_xlfn.XLOOKUP($D16,Tab_Def_Processes[Process_Name],Tab_Def_Processes[TC_Type],,0,)</f>
        <v>#N/A</v>
      </c>
      <c r="H16" s="7" t="e">
        <f>_xlfn.XLOOKUP($D16,Tab_Def_Processes[Process_Name],Tab_Def_Processes[Stock?],,0,)</f>
        <v>#N/A</v>
      </c>
      <c r="I16" s="7" t="e">
        <f>_xlfn.XLOOKUP($D16,Tab_Def_Processes[Process_Name],Tab_Def_Processes[Initial_Stock?],,0,)</f>
        <v>#N/A</v>
      </c>
      <c r="J16" s="7" t="e">
        <f>_xlfn.XLOOKUP($D16,Tab_Def_Processes[Process_Name],Tab_Def_Processes[DSM?],,0,)</f>
        <v>#N/A</v>
      </c>
      <c r="K16" s="7" t="e">
        <f>_xlfn.XLOOKUP($D16,Tab_Def_Processes[Process_Name],Tab_Def_Processes[FOMP?],,0,)</f>
        <v>#N/A</v>
      </c>
      <c r="L16" s="7" t="e">
        <f>_xlfn.XLOOKUP(Tab_FOMP[[#This Row],[Process_Name]],Tab_Def_Processes[Process_Name],Tab_Def_Processes[Nr. Outflows],,0,)</f>
        <v>#N/A</v>
      </c>
      <c r="M16" s="8"/>
      <c r="N16" s="8"/>
      <c r="O16" s="7" t="e">
        <f>"P"&amp;Tab_FOMP[[#This Row],[Process_ID]]&amp;"_"&amp;_xlfn.XLOOKUP($N16,CL_3.1_FOMP_Parameters[Category ID],CL_3.1_FOMP_Parameters[Pool_ID],,0,)</f>
        <v>#N/A</v>
      </c>
      <c r="P16" s="8"/>
      <c r="Q16" s="8"/>
    </row>
    <row r="17" spans="1:17" x14ac:dyDescent="0.25">
      <c r="A17" s="160" t="b">
        <v>0</v>
      </c>
      <c r="B17" s="7">
        <f t="shared" si="0"/>
        <v>16</v>
      </c>
      <c r="C17" s="7" t="e">
        <f>_xlfn.XLOOKUP($D17,Tab_Def_Processes[Process_Name],Tab_Def_Processes[Process_ID],,0,)</f>
        <v>#N/A</v>
      </c>
      <c r="D17" s="8" t="s">
        <v>31</v>
      </c>
      <c r="E17" s="7" t="e">
        <f>_xlfn.XLOOKUP($D17,Tab_Def_Processes[Process_Name],Tab_Def_Processes[Process_Type],,0,)</f>
        <v>#N/A</v>
      </c>
      <c r="F17" s="7" t="e">
        <f>_xlfn.XLOOKUP($D17,Tab_Def_Processes[Process_Name],Tab_Def_Processes[TC?],,0,)</f>
        <v>#N/A</v>
      </c>
      <c r="G17" s="7" t="e">
        <f>_xlfn.XLOOKUP($D17,Tab_Def_Processes[Process_Name],Tab_Def_Processes[TC_Type],,0,)</f>
        <v>#N/A</v>
      </c>
      <c r="H17" s="7" t="e">
        <f>_xlfn.XLOOKUP($D17,Tab_Def_Processes[Process_Name],Tab_Def_Processes[Stock?],,0,)</f>
        <v>#N/A</v>
      </c>
      <c r="I17" s="7" t="e">
        <f>_xlfn.XLOOKUP($D17,Tab_Def_Processes[Process_Name],Tab_Def_Processes[Initial_Stock?],,0,)</f>
        <v>#N/A</v>
      </c>
      <c r="J17" s="7" t="e">
        <f>_xlfn.XLOOKUP($D17,Tab_Def_Processes[Process_Name],Tab_Def_Processes[DSM?],,0,)</f>
        <v>#N/A</v>
      </c>
      <c r="K17" s="7" t="e">
        <f>_xlfn.XLOOKUP($D17,Tab_Def_Processes[Process_Name],Tab_Def_Processes[FOMP?],,0,)</f>
        <v>#N/A</v>
      </c>
      <c r="L17" s="7" t="e">
        <f>_xlfn.XLOOKUP(Tab_FOMP[[#This Row],[Process_Name]],Tab_Def_Processes[Process_Name],Tab_Def_Processes[Nr. Outflows],,0,)</f>
        <v>#N/A</v>
      </c>
      <c r="M17" s="8"/>
      <c r="N17" s="8"/>
      <c r="O17" s="7" t="e">
        <f>"P"&amp;Tab_FOMP[[#This Row],[Process_ID]]&amp;"_"&amp;_xlfn.XLOOKUP($N17,CL_3.1_FOMP_Parameters[Category ID],CL_3.1_FOMP_Parameters[Pool_ID],,0,)</f>
        <v>#N/A</v>
      </c>
      <c r="P17" s="8"/>
      <c r="Q17" s="8"/>
    </row>
    <row r="18" spans="1:17" x14ac:dyDescent="0.25">
      <c r="A18" s="160" t="b">
        <v>0</v>
      </c>
      <c r="B18" s="7">
        <f t="shared" si="0"/>
        <v>17</v>
      </c>
      <c r="C18" s="7" t="e">
        <f>_xlfn.XLOOKUP($D18,Tab_Def_Processes[Process_Name],Tab_Def_Processes[Process_ID],,0,)</f>
        <v>#N/A</v>
      </c>
      <c r="D18" s="8" t="s">
        <v>31</v>
      </c>
      <c r="E18" s="7" t="e">
        <f>_xlfn.XLOOKUP($D18,Tab_Def_Processes[Process_Name],Tab_Def_Processes[Process_Type],,0,)</f>
        <v>#N/A</v>
      </c>
      <c r="F18" s="7" t="e">
        <f>_xlfn.XLOOKUP($D18,Tab_Def_Processes[Process_Name],Tab_Def_Processes[TC?],,0,)</f>
        <v>#N/A</v>
      </c>
      <c r="G18" s="7" t="e">
        <f>_xlfn.XLOOKUP($D18,Tab_Def_Processes[Process_Name],Tab_Def_Processes[TC_Type],,0,)</f>
        <v>#N/A</v>
      </c>
      <c r="H18" s="7" t="e">
        <f>_xlfn.XLOOKUP($D18,Tab_Def_Processes[Process_Name],Tab_Def_Processes[Stock?],,0,)</f>
        <v>#N/A</v>
      </c>
      <c r="I18" s="7" t="e">
        <f>_xlfn.XLOOKUP($D18,Tab_Def_Processes[Process_Name],Tab_Def_Processes[Initial_Stock?],,0,)</f>
        <v>#N/A</v>
      </c>
      <c r="J18" s="7" t="e">
        <f>_xlfn.XLOOKUP($D18,Tab_Def_Processes[Process_Name],Tab_Def_Processes[DSM?],,0,)</f>
        <v>#N/A</v>
      </c>
      <c r="K18" s="7" t="e">
        <f>_xlfn.XLOOKUP($D18,Tab_Def_Processes[Process_Name],Tab_Def_Processes[FOMP?],,0,)</f>
        <v>#N/A</v>
      </c>
      <c r="L18" s="7" t="e">
        <f>_xlfn.XLOOKUP(Tab_FOMP[[#This Row],[Process_Name]],Tab_Def_Processes[Process_Name],Tab_Def_Processes[Nr. Outflows],,0,)</f>
        <v>#N/A</v>
      </c>
      <c r="M18" s="8"/>
      <c r="N18" s="8"/>
      <c r="O18" s="7" t="e">
        <f>"P"&amp;Tab_FOMP[[#This Row],[Process_ID]]&amp;"_"&amp;_xlfn.XLOOKUP($N18,CL_3.1_FOMP_Parameters[Category ID],CL_3.1_FOMP_Parameters[Pool_ID],,0,)</f>
        <v>#N/A</v>
      </c>
      <c r="P18" s="8"/>
      <c r="Q18" s="8"/>
    </row>
    <row r="19" spans="1:17" x14ac:dyDescent="0.25">
      <c r="A19" s="160" t="b">
        <v>0</v>
      </c>
      <c r="B19" s="7">
        <f t="shared" si="0"/>
        <v>18</v>
      </c>
      <c r="C19" s="7" t="e">
        <f>_xlfn.XLOOKUP($D19,Tab_Def_Processes[Process_Name],Tab_Def_Processes[Process_ID],,0,)</f>
        <v>#N/A</v>
      </c>
      <c r="D19" s="8" t="s">
        <v>31</v>
      </c>
      <c r="E19" s="7" t="e">
        <f>_xlfn.XLOOKUP($D19,Tab_Def_Processes[Process_Name],Tab_Def_Processes[Process_Type],,0,)</f>
        <v>#N/A</v>
      </c>
      <c r="F19" s="7" t="e">
        <f>_xlfn.XLOOKUP($D19,Tab_Def_Processes[Process_Name],Tab_Def_Processes[TC?],,0,)</f>
        <v>#N/A</v>
      </c>
      <c r="G19" s="7" t="e">
        <f>_xlfn.XLOOKUP($D19,Tab_Def_Processes[Process_Name],Tab_Def_Processes[TC_Type],,0,)</f>
        <v>#N/A</v>
      </c>
      <c r="H19" s="7" t="e">
        <f>_xlfn.XLOOKUP($D19,Tab_Def_Processes[Process_Name],Tab_Def_Processes[Stock?],,0,)</f>
        <v>#N/A</v>
      </c>
      <c r="I19" s="7" t="e">
        <f>_xlfn.XLOOKUP($D19,Tab_Def_Processes[Process_Name],Tab_Def_Processes[Initial_Stock?],,0,)</f>
        <v>#N/A</v>
      </c>
      <c r="J19" s="7" t="e">
        <f>_xlfn.XLOOKUP($D19,Tab_Def_Processes[Process_Name],Tab_Def_Processes[DSM?],,0,)</f>
        <v>#N/A</v>
      </c>
      <c r="K19" s="7" t="e">
        <f>_xlfn.XLOOKUP($D19,Tab_Def_Processes[Process_Name],Tab_Def_Processes[FOMP?],,0,)</f>
        <v>#N/A</v>
      </c>
      <c r="L19" s="7" t="e">
        <f>_xlfn.XLOOKUP(Tab_FOMP[[#This Row],[Process_Name]],Tab_Def_Processes[Process_Name],Tab_Def_Processes[Nr. Outflows],,0,)</f>
        <v>#N/A</v>
      </c>
      <c r="M19" s="8"/>
      <c r="N19" s="8"/>
      <c r="O19" s="7" t="e">
        <f>"P"&amp;Tab_FOMP[[#This Row],[Process_ID]]&amp;"_"&amp;_xlfn.XLOOKUP($N19,CL_3.1_FOMP_Parameters[Category ID],CL_3.1_FOMP_Parameters[Pool_ID],,0,)</f>
        <v>#N/A</v>
      </c>
      <c r="P19" s="8"/>
      <c r="Q19" s="8"/>
    </row>
    <row r="20" spans="1:17" x14ac:dyDescent="0.25">
      <c r="A20" s="160" t="b">
        <v>0</v>
      </c>
      <c r="B20" s="7">
        <f t="shared" si="0"/>
        <v>19</v>
      </c>
      <c r="C20" s="7" t="e">
        <f>_xlfn.XLOOKUP($D20,Tab_Def_Processes[Process_Name],Tab_Def_Processes[Process_ID],,0,)</f>
        <v>#N/A</v>
      </c>
      <c r="D20" s="8" t="s">
        <v>31</v>
      </c>
      <c r="E20" s="7" t="e">
        <f>_xlfn.XLOOKUP($D20,Tab_Def_Processes[Process_Name],Tab_Def_Processes[Process_Type],,0,)</f>
        <v>#N/A</v>
      </c>
      <c r="F20" s="7" t="e">
        <f>_xlfn.XLOOKUP($D20,Tab_Def_Processes[Process_Name],Tab_Def_Processes[TC?],,0,)</f>
        <v>#N/A</v>
      </c>
      <c r="G20" s="7" t="e">
        <f>_xlfn.XLOOKUP($D20,Tab_Def_Processes[Process_Name],Tab_Def_Processes[TC_Type],,0,)</f>
        <v>#N/A</v>
      </c>
      <c r="H20" s="7" t="e">
        <f>_xlfn.XLOOKUP($D20,Tab_Def_Processes[Process_Name],Tab_Def_Processes[Stock?],,0,)</f>
        <v>#N/A</v>
      </c>
      <c r="I20" s="7" t="e">
        <f>_xlfn.XLOOKUP($D20,Tab_Def_Processes[Process_Name],Tab_Def_Processes[Initial_Stock?],,0,)</f>
        <v>#N/A</v>
      </c>
      <c r="J20" s="7" t="e">
        <f>_xlfn.XLOOKUP($D20,Tab_Def_Processes[Process_Name],Tab_Def_Processes[DSM?],,0,)</f>
        <v>#N/A</v>
      </c>
      <c r="K20" s="7" t="e">
        <f>_xlfn.XLOOKUP($D20,Tab_Def_Processes[Process_Name],Tab_Def_Processes[FOMP?],,0,)</f>
        <v>#N/A</v>
      </c>
      <c r="L20" s="7" t="e">
        <f>_xlfn.XLOOKUP(Tab_FOMP[[#This Row],[Process_Name]],Tab_Def_Processes[Process_Name],Tab_Def_Processes[Nr. Outflows],,0,)</f>
        <v>#N/A</v>
      </c>
      <c r="M20" s="8"/>
      <c r="N20" s="8"/>
      <c r="O20" s="7" t="e">
        <f>"P"&amp;Tab_FOMP[[#This Row],[Process_ID]]&amp;"_"&amp;_xlfn.XLOOKUP($N20,CL_3.1_FOMP_Parameters[Category ID],CL_3.1_FOMP_Parameters[Pool_ID],,0,)</f>
        <v>#N/A</v>
      </c>
      <c r="P20" s="8"/>
      <c r="Q20" s="8"/>
    </row>
    <row r="21" spans="1:17" x14ac:dyDescent="0.25">
      <c r="A21" s="160" t="b">
        <v>0</v>
      </c>
      <c r="B21" s="7">
        <f t="shared" si="0"/>
        <v>20</v>
      </c>
      <c r="C21" s="7" t="e">
        <f>_xlfn.XLOOKUP($D21,Tab_Def_Processes[Process_Name],Tab_Def_Processes[Process_ID],,0,)</f>
        <v>#N/A</v>
      </c>
      <c r="D21" s="8" t="s">
        <v>31</v>
      </c>
      <c r="E21" s="7" t="e">
        <f>_xlfn.XLOOKUP($D21,Tab_Def_Processes[Process_Name],Tab_Def_Processes[Process_Type],,0,)</f>
        <v>#N/A</v>
      </c>
      <c r="F21" s="7" t="e">
        <f>_xlfn.XLOOKUP($D21,Tab_Def_Processes[Process_Name],Tab_Def_Processes[TC?],,0,)</f>
        <v>#N/A</v>
      </c>
      <c r="G21" s="7" t="e">
        <f>_xlfn.XLOOKUP($D21,Tab_Def_Processes[Process_Name],Tab_Def_Processes[TC_Type],,0,)</f>
        <v>#N/A</v>
      </c>
      <c r="H21" s="7" t="e">
        <f>_xlfn.XLOOKUP($D21,Tab_Def_Processes[Process_Name],Tab_Def_Processes[Stock?],,0,)</f>
        <v>#N/A</v>
      </c>
      <c r="I21" s="7" t="e">
        <f>_xlfn.XLOOKUP($D21,Tab_Def_Processes[Process_Name],Tab_Def_Processes[Initial_Stock?],,0,)</f>
        <v>#N/A</v>
      </c>
      <c r="J21" s="7" t="e">
        <f>_xlfn.XLOOKUP($D21,Tab_Def_Processes[Process_Name],Tab_Def_Processes[DSM?],,0,)</f>
        <v>#N/A</v>
      </c>
      <c r="K21" s="7" t="e">
        <f>_xlfn.XLOOKUP($D21,Tab_Def_Processes[Process_Name],Tab_Def_Processes[FOMP?],,0,)</f>
        <v>#N/A</v>
      </c>
      <c r="L21" s="7" t="e">
        <f>_xlfn.XLOOKUP(Tab_FOMP[[#This Row],[Process_Name]],Tab_Def_Processes[Process_Name],Tab_Def_Processes[Nr. Outflows],,0,)</f>
        <v>#N/A</v>
      </c>
      <c r="M21" s="8"/>
      <c r="N21" s="8"/>
      <c r="O21" s="7" t="e">
        <f>"P"&amp;Tab_FOMP[[#This Row],[Process_ID]]&amp;"_"&amp;_xlfn.XLOOKUP($N21,CL_3.1_FOMP_Parameters[Category ID],CL_3.1_FOMP_Parameters[Pool_ID],,0,)</f>
        <v>#N/A</v>
      </c>
      <c r="P21" s="8"/>
      <c r="Q21" s="8"/>
    </row>
    <row r="22" spans="1:17" x14ac:dyDescent="0.25">
      <c r="A22" s="160" t="b">
        <v>0</v>
      </c>
      <c r="B22" s="7">
        <f t="shared" si="0"/>
        <v>21</v>
      </c>
      <c r="C22" s="7" t="e">
        <f>_xlfn.XLOOKUP($D22,Tab_Def_Processes[Process_Name],Tab_Def_Processes[Process_ID],,0,)</f>
        <v>#N/A</v>
      </c>
      <c r="D22" s="8" t="s">
        <v>31</v>
      </c>
      <c r="E22" s="7" t="e">
        <f>_xlfn.XLOOKUP($D22,Tab_Def_Processes[Process_Name],Tab_Def_Processes[Process_Type],,0,)</f>
        <v>#N/A</v>
      </c>
      <c r="F22" s="7" t="e">
        <f>_xlfn.XLOOKUP($D22,Tab_Def_Processes[Process_Name],Tab_Def_Processes[TC?],,0,)</f>
        <v>#N/A</v>
      </c>
      <c r="G22" s="7" t="e">
        <f>_xlfn.XLOOKUP($D22,Tab_Def_Processes[Process_Name],Tab_Def_Processes[TC_Type],,0,)</f>
        <v>#N/A</v>
      </c>
      <c r="H22" s="7" t="e">
        <f>_xlfn.XLOOKUP($D22,Tab_Def_Processes[Process_Name],Tab_Def_Processes[Stock?],,0,)</f>
        <v>#N/A</v>
      </c>
      <c r="I22" s="7" t="e">
        <f>_xlfn.XLOOKUP($D22,Tab_Def_Processes[Process_Name],Tab_Def_Processes[Initial_Stock?],,0,)</f>
        <v>#N/A</v>
      </c>
      <c r="J22" s="7" t="e">
        <f>_xlfn.XLOOKUP($D22,Tab_Def_Processes[Process_Name],Tab_Def_Processes[DSM?],,0,)</f>
        <v>#N/A</v>
      </c>
      <c r="K22" s="7" t="e">
        <f>_xlfn.XLOOKUP($D22,Tab_Def_Processes[Process_Name],Tab_Def_Processes[FOMP?],,0,)</f>
        <v>#N/A</v>
      </c>
      <c r="L22" s="7" t="e">
        <f>_xlfn.XLOOKUP(Tab_FOMP[[#This Row],[Process_Name]],Tab_Def_Processes[Process_Name],Tab_Def_Processes[Nr. Outflows],,0,)</f>
        <v>#N/A</v>
      </c>
      <c r="M22" s="8"/>
      <c r="N22" s="8"/>
      <c r="O22" s="7" t="e">
        <f>"P"&amp;Tab_FOMP[[#This Row],[Process_ID]]&amp;"_"&amp;_xlfn.XLOOKUP($N22,CL_3.1_FOMP_Parameters[Category ID],CL_3.1_FOMP_Parameters[Pool_ID],,0,)</f>
        <v>#N/A</v>
      </c>
      <c r="P22" s="8"/>
      <c r="Q22" s="8"/>
    </row>
    <row r="23" spans="1:17" x14ac:dyDescent="0.25">
      <c r="A23" s="160" t="b">
        <v>0</v>
      </c>
      <c r="B23" s="7">
        <f t="shared" si="0"/>
        <v>22</v>
      </c>
      <c r="C23" s="7" t="e">
        <f>_xlfn.XLOOKUP($D23,Tab_Def_Processes[Process_Name],Tab_Def_Processes[Process_ID],,0,)</f>
        <v>#N/A</v>
      </c>
      <c r="D23" s="8" t="s">
        <v>31</v>
      </c>
      <c r="E23" s="7" t="e">
        <f>_xlfn.XLOOKUP($D23,Tab_Def_Processes[Process_Name],Tab_Def_Processes[Process_Type],,0,)</f>
        <v>#N/A</v>
      </c>
      <c r="F23" s="7" t="e">
        <f>_xlfn.XLOOKUP($D23,Tab_Def_Processes[Process_Name],Tab_Def_Processes[TC?],,0,)</f>
        <v>#N/A</v>
      </c>
      <c r="G23" s="7" t="e">
        <f>_xlfn.XLOOKUP($D23,Tab_Def_Processes[Process_Name],Tab_Def_Processes[TC_Type],,0,)</f>
        <v>#N/A</v>
      </c>
      <c r="H23" s="7" t="e">
        <f>_xlfn.XLOOKUP($D23,Tab_Def_Processes[Process_Name],Tab_Def_Processes[Stock?],,0,)</f>
        <v>#N/A</v>
      </c>
      <c r="I23" s="7" t="e">
        <f>_xlfn.XLOOKUP($D23,Tab_Def_Processes[Process_Name],Tab_Def_Processes[Initial_Stock?],,0,)</f>
        <v>#N/A</v>
      </c>
      <c r="J23" s="7" t="e">
        <f>_xlfn.XLOOKUP($D23,Tab_Def_Processes[Process_Name],Tab_Def_Processes[DSM?],,0,)</f>
        <v>#N/A</v>
      </c>
      <c r="K23" s="7" t="e">
        <f>_xlfn.XLOOKUP($D23,Tab_Def_Processes[Process_Name],Tab_Def_Processes[FOMP?],,0,)</f>
        <v>#N/A</v>
      </c>
      <c r="L23" s="7" t="e">
        <f>_xlfn.XLOOKUP(Tab_FOMP[[#This Row],[Process_Name]],Tab_Def_Processes[Process_Name],Tab_Def_Processes[Nr. Outflows],,0,)</f>
        <v>#N/A</v>
      </c>
      <c r="M23" s="8"/>
      <c r="N23" s="8"/>
      <c r="O23" s="7" t="e">
        <f>"P"&amp;Tab_FOMP[[#This Row],[Process_ID]]&amp;"_"&amp;_xlfn.XLOOKUP($N23,CL_3.1_FOMP_Parameters[Category ID],CL_3.1_FOMP_Parameters[Pool_ID],,0,)</f>
        <v>#N/A</v>
      </c>
      <c r="P23" s="8"/>
      <c r="Q23" s="8"/>
    </row>
    <row r="24" spans="1:17" x14ac:dyDescent="0.25">
      <c r="A24" s="160" t="b">
        <v>0</v>
      </c>
      <c r="B24" s="7">
        <f t="shared" si="0"/>
        <v>23</v>
      </c>
      <c r="C24" s="7" t="e">
        <f>_xlfn.XLOOKUP($D24,Tab_Def_Processes[Process_Name],Tab_Def_Processes[Process_ID],,0,)</f>
        <v>#N/A</v>
      </c>
      <c r="D24" s="8" t="s">
        <v>31</v>
      </c>
      <c r="E24" s="7" t="e">
        <f>_xlfn.XLOOKUP($D24,Tab_Def_Processes[Process_Name],Tab_Def_Processes[Process_Type],,0,)</f>
        <v>#N/A</v>
      </c>
      <c r="F24" s="7" t="e">
        <f>_xlfn.XLOOKUP($D24,Tab_Def_Processes[Process_Name],Tab_Def_Processes[TC?],,0,)</f>
        <v>#N/A</v>
      </c>
      <c r="G24" s="7" t="e">
        <f>_xlfn.XLOOKUP($D24,Tab_Def_Processes[Process_Name],Tab_Def_Processes[TC_Type],,0,)</f>
        <v>#N/A</v>
      </c>
      <c r="H24" s="7" t="e">
        <f>_xlfn.XLOOKUP($D24,Tab_Def_Processes[Process_Name],Tab_Def_Processes[Stock?],,0,)</f>
        <v>#N/A</v>
      </c>
      <c r="I24" s="7" t="e">
        <f>_xlfn.XLOOKUP($D24,Tab_Def_Processes[Process_Name],Tab_Def_Processes[Initial_Stock?],,0,)</f>
        <v>#N/A</v>
      </c>
      <c r="J24" s="7" t="e">
        <f>_xlfn.XLOOKUP($D24,Tab_Def_Processes[Process_Name],Tab_Def_Processes[DSM?],,0,)</f>
        <v>#N/A</v>
      </c>
      <c r="K24" s="7" t="e">
        <f>_xlfn.XLOOKUP($D24,Tab_Def_Processes[Process_Name],Tab_Def_Processes[FOMP?],,0,)</f>
        <v>#N/A</v>
      </c>
      <c r="L24" s="7" t="e">
        <f>_xlfn.XLOOKUP(Tab_FOMP[[#This Row],[Process_Name]],Tab_Def_Processes[Process_Name],Tab_Def_Processes[Nr. Outflows],,0,)</f>
        <v>#N/A</v>
      </c>
      <c r="M24" s="8"/>
      <c r="N24" s="8"/>
      <c r="O24" s="7" t="e">
        <f>"P"&amp;Tab_FOMP[[#This Row],[Process_ID]]&amp;"_"&amp;_xlfn.XLOOKUP($N24,CL_3.1_FOMP_Parameters[Category ID],CL_3.1_FOMP_Parameters[Pool_ID],,0,)</f>
        <v>#N/A</v>
      </c>
      <c r="P24" s="8"/>
      <c r="Q24" s="8"/>
    </row>
    <row r="25" spans="1:17" x14ac:dyDescent="0.25">
      <c r="A25" s="160" t="b">
        <v>0</v>
      </c>
      <c r="B25" s="7">
        <f t="shared" si="0"/>
        <v>24</v>
      </c>
      <c r="C25" s="7" t="e">
        <f>_xlfn.XLOOKUP($D25,Tab_Def_Processes[Process_Name],Tab_Def_Processes[Process_ID],,0,)</f>
        <v>#N/A</v>
      </c>
      <c r="D25" s="8" t="s">
        <v>31</v>
      </c>
      <c r="E25" s="7" t="e">
        <f>_xlfn.XLOOKUP($D25,Tab_Def_Processes[Process_Name],Tab_Def_Processes[Process_Type],,0,)</f>
        <v>#N/A</v>
      </c>
      <c r="F25" s="7" t="e">
        <f>_xlfn.XLOOKUP($D25,Tab_Def_Processes[Process_Name],Tab_Def_Processes[TC?],,0,)</f>
        <v>#N/A</v>
      </c>
      <c r="G25" s="7" t="e">
        <f>_xlfn.XLOOKUP($D25,Tab_Def_Processes[Process_Name],Tab_Def_Processes[TC_Type],,0,)</f>
        <v>#N/A</v>
      </c>
      <c r="H25" s="7" t="e">
        <f>_xlfn.XLOOKUP($D25,Tab_Def_Processes[Process_Name],Tab_Def_Processes[Stock?],,0,)</f>
        <v>#N/A</v>
      </c>
      <c r="I25" s="7" t="e">
        <f>_xlfn.XLOOKUP($D25,Tab_Def_Processes[Process_Name],Tab_Def_Processes[Initial_Stock?],,0,)</f>
        <v>#N/A</v>
      </c>
      <c r="J25" s="7" t="e">
        <f>_xlfn.XLOOKUP($D25,Tab_Def_Processes[Process_Name],Tab_Def_Processes[DSM?],,0,)</f>
        <v>#N/A</v>
      </c>
      <c r="K25" s="7" t="e">
        <f>_xlfn.XLOOKUP($D25,Tab_Def_Processes[Process_Name],Tab_Def_Processes[FOMP?],,0,)</f>
        <v>#N/A</v>
      </c>
      <c r="L25" s="7" t="e">
        <f>_xlfn.XLOOKUP(Tab_FOMP[[#This Row],[Process_Name]],Tab_Def_Processes[Process_Name],Tab_Def_Processes[Nr. Outflows],,0,)</f>
        <v>#N/A</v>
      </c>
      <c r="M25" s="8"/>
      <c r="N25" s="8"/>
      <c r="O25" s="7" t="e">
        <f>"P"&amp;Tab_FOMP[[#This Row],[Process_ID]]&amp;"_"&amp;_xlfn.XLOOKUP($N25,CL_3.1_FOMP_Parameters[Category ID],CL_3.1_FOMP_Parameters[Pool_ID],,0,)</f>
        <v>#N/A</v>
      </c>
      <c r="P25" s="8"/>
      <c r="Q25" s="8"/>
    </row>
    <row r="26" spans="1:17" x14ac:dyDescent="0.25">
      <c r="A26" s="160" t="b">
        <v>0</v>
      </c>
      <c r="B26" s="7">
        <f t="shared" si="0"/>
        <v>25</v>
      </c>
      <c r="C26" s="7" t="e">
        <f>_xlfn.XLOOKUP($D26,Tab_Def_Processes[Process_Name],Tab_Def_Processes[Process_ID],,0,)</f>
        <v>#N/A</v>
      </c>
      <c r="D26" s="8" t="s">
        <v>31</v>
      </c>
      <c r="E26" s="7" t="e">
        <f>_xlfn.XLOOKUP($D26,Tab_Def_Processes[Process_Name],Tab_Def_Processes[Process_Type],,0,)</f>
        <v>#N/A</v>
      </c>
      <c r="F26" s="7" t="e">
        <f>_xlfn.XLOOKUP($D26,Tab_Def_Processes[Process_Name],Tab_Def_Processes[TC?],,0,)</f>
        <v>#N/A</v>
      </c>
      <c r="G26" s="7" t="e">
        <f>_xlfn.XLOOKUP($D26,Tab_Def_Processes[Process_Name],Tab_Def_Processes[TC_Type],,0,)</f>
        <v>#N/A</v>
      </c>
      <c r="H26" s="7" t="e">
        <f>_xlfn.XLOOKUP($D26,Tab_Def_Processes[Process_Name],Tab_Def_Processes[Stock?],,0,)</f>
        <v>#N/A</v>
      </c>
      <c r="I26" s="7" t="e">
        <f>_xlfn.XLOOKUP($D26,Tab_Def_Processes[Process_Name],Tab_Def_Processes[Initial_Stock?],,0,)</f>
        <v>#N/A</v>
      </c>
      <c r="J26" s="7" t="e">
        <f>_xlfn.XLOOKUP($D26,Tab_Def_Processes[Process_Name],Tab_Def_Processes[DSM?],,0,)</f>
        <v>#N/A</v>
      </c>
      <c r="K26" s="7" t="e">
        <f>_xlfn.XLOOKUP($D26,Tab_Def_Processes[Process_Name],Tab_Def_Processes[FOMP?],,0,)</f>
        <v>#N/A</v>
      </c>
      <c r="L26" s="7" t="e">
        <f>_xlfn.XLOOKUP(Tab_FOMP[[#This Row],[Process_Name]],Tab_Def_Processes[Process_Name],Tab_Def_Processes[Nr. Outflows],,0,)</f>
        <v>#N/A</v>
      </c>
      <c r="M26" s="8"/>
      <c r="N26" s="8"/>
      <c r="O26" s="7" t="e">
        <f>"P"&amp;Tab_FOMP[[#This Row],[Process_ID]]&amp;"_"&amp;_xlfn.XLOOKUP($N26,CL_3.1_FOMP_Parameters[Category ID],CL_3.1_FOMP_Parameters[Pool_ID],,0,)</f>
        <v>#N/A</v>
      </c>
      <c r="P26" s="8"/>
      <c r="Q26" s="8"/>
    </row>
    <row r="27" spans="1:17" x14ac:dyDescent="0.25">
      <c r="A27" s="160" t="b">
        <v>0</v>
      </c>
      <c r="B27" s="7">
        <f t="shared" si="0"/>
        <v>26</v>
      </c>
      <c r="C27" s="7" t="e">
        <f>_xlfn.XLOOKUP($D27,Tab_Def_Processes[Process_Name],Tab_Def_Processes[Process_ID],,0,)</f>
        <v>#N/A</v>
      </c>
      <c r="D27" s="8" t="s">
        <v>31</v>
      </c>
      <c r="E27" s="7" t="e">
        <f>_xlfn.XLOOKUP($D27,Tab_Def_Processes[Process_Name],Tab_Def_Processes[Process_Type],,0,)</f>
        <v>#N/A</v>
      </c>
      <c r="F27" s="7" t="e">
        <f>_xlfn.XLOOKUP($D27,Tab_Def_Processes[Process_Name],Tab_Def_Processes[TC?],,0,)</f>
        <v>#N/A</v>
      </c>
      <c r="G27" s="7" t="e">
        <f>_xlfn.XLOOKUP($D27,Tab_Def_Processes[Process_Name],Tab_Def_Processes[TC_Type],,0,)</f>
        <v>#N/A</v>
      </c>
      <c r="H27" s="7" t="e">
        <f>_xlfn.XLOOKUP($D27,Tab_Def_Processes[Process_Name],Tab_Def_Processes[Stock?],,0,)</f>
        <v>#N/A</v>
      </c>
      <c r="I27" s="7" t="e">
        <f>_xlfn.XLOOKUP($D27,Tab_Def_Processes[Process_Name],Tab_Def_Processes[Initial_Stock?],,0,)</f>
        <v>#N/A</v>
      </c>
      <c r="J27" s="7" t="e">
        <f>_xlfn.XLOOKUP($D27,Tab_Def_Processes[Process_Name],Tab_Def_Processes[DSM?],,0,)</f>
        <v>#N/A</v>
      </c>
      <c r="K27" s="7" t="e">
        <f>_xlfn.XLOOKUP($D27,Tab_Def_Processes[Process_Name],Tab_Def_Processes[FOMP?],,0,)</f>
        <v>#N/A</v>
      </c>
      <c r="L27" s="7" t="e">
        <f>_xlfn.XLOOKUP(Tab_FOMP[[#This Row],[Process_Name]],Tab_Def_Processes[Process_Name],Tab_Def_Processes[Nr. Outflows],,0,)</f>
        <v>#N/A</v>
      </c>
      <c r="M27" s="8"/>
      <c r="N27" s="8"/>
      <c r="O27" s="7" t="e">
        <f>"P"&amp;Tab_FOMP[[#This Row],[Process_ID]]&amp;"_"&amp;_xlfn.XLOOKUP($N27,CL_3.1_FOMP_Parameters[Category ID],CL_3.1_FOMP_Parameters[Pool_ID],,0,)</f>
        <v>#N/A</v>
      </c>
      <c r="P27" s="8"/>
      <c r="Q27" s="8"/>
    </row>
    <row r="28" spans="1:17" x14ac:dyDescent="0.25">
      <c r="A28" s="160" t="b">
        <v>0</v>
      </c>
      <c r="B28" s="7">
        <f t="shared" si="0"/>
        <v>27</v>
      </c>
      <c r="C28" s="7" t="e">
        <f>_xlfn.XLOOKUP($D28,Tab_Def_Processes[Process_Name],Tab_Def_Processes[Process_ID],,0,)</f>
        <v>#N/A</v>
      </c>
      <c r="D28" s="8" t="s">
        <v>31</v>
      </c>
      <c r="E28" s="7" t="e">
        <f>_xlfn.XLOOKUP($D28,Tab_Def_Processes[Process_Name],Tab_Def_Processes[Process_Type],,0,)</f>
        <v>#N/A</v>
      </c>
      <c r="F28" s="7" t="e">
        <f>_xlfn.XLOOKUP($D28,Tab_Def_Processes[Process_Name],Tab_Def_Processes[TC?],,0,)</f>
        <v>#N/A</v>
      </c>
      <c r="G28" s="7" t="e">
        <f>_xlfn.XLOOKUP($D28,Tab_Def_Processes[Process_Name],Tab_Def_Processes[TC_Type],,0,)</f>
        <v>#N/A</v>
      </c>
      <c r="H28" s="7" t="e">
        <f>_xlfn.XLOOKUP($D28,Tab_Def_Processes[Process_Name],Tab_Def_Processes[Stock?],,0,)</f>
        <v>#N/A</v>
      </c>
      <c r="I28" s="7" t="e">
        <f>_xlfn.XLOOKUP($D28,Tab_Def_Processes[Process_Name],Tab_Def_Processes[Initial_Stock?],,0,)</f>
        <v>#N/A</v>
      </c>
      <c r="J28" s="7" t="e">
        <f>_xlfn.XLOOKUP($D28,Tab_Def_Processes[Process_Name],Tab_Def_Processes[DSM?],,0,)</f>
        <v>#N/A</v>
      </c>
      <c r="K28" s="7" t="e">
        <f>_xlfn.XLOOKUP($D28,Tab_Def_Processes[Process_Name],Tab_Def_Processes[FOMP?],,0,)</f>
        <v>#N/A</v>
      </c>
      <c r="L28" s="7" t="e">
        <f>_xlfn.XLOOKUP(Tab_FOMP[[#This Row],[Process_Name]],Tab_Def_Processes[Process_Name],Tab_Def_Processes[Nr. Outflows],,0,)</f>
        <v>#N/A</v>
      </c>
      <c r="M28" s="8"/>
      <c r="N28" s="8"/>
      <c r="O28" s="7" t="e">
        <f>"P"&amp;Tab_FOMP[[#This Row],[Process_ID]]&amp;"_"&amp;_xlfn.XLOOKUP($N28,CL_3.1_FOMP_Parameters[Category ID],CL_3.1_FOMP_Parameters[Pool_ID],,0,)</f>
        <v>#N/A</v>
      </c>
      <c r="P28" s="8"/>
      <c r="Q28" s="8"/>
    </row>
    <row r="29" spans="1:17" x14ac:dyDescent="0.25">
      <c r="A29" s="160" t="b">
        <v>0</v>
      </c>
      <c r="B29" s="7">
        <f t="shared" si="0"/>
        <v>28</v>
      </c>
      <c r="C29" s="7" t="e">
        <f>_xlfn.XLOOKUP($D29,Tab_Def_Processes[Process_Name],Tab_Def_Processes[Process_ID],,0,)</f>
        <v>#N/A</v>
      </c>
      <c r="D29" s="8" t="s">
        <v>31</v>
      </c>
      <c r="E29" s="7" t="e">
        <f>_xlfn.XLOOKUP($D29,Tab_Def_Processes[Process_Name],Tab_Def_Processes[Process_Type],,0,)</f>
        <v>#N/A</v>
      </c>
      <c r="F29" s="7" t="e">
        <f>_xlfn.XLOOKUP($D29,Tab_Def_Processes[Process_Name],Tab_Def_Processes[TC?],,0,)</f>
        <v>#N/A</v>
      </c>
      <c r="G29" s="7" t="e">
        <f>_xlfn.XLOOKUP($D29,Tab_Def_Processes[Process_Name],Tab_Def_Processes[TC_Type],,0,)</f>
        <v>#N/A</v>
      </c>
      <c r="H29" s="7" t="e">
        <f>_xlfn.XLOOKUP($D29,Tab_Def_Processes[Process_Name],Tab_Def_Processes[Stock?],,0,)</f>
        <v>#N/A</v>
      </c>
      <c r="I29" s="7" t="e">
        <f>_xlfn.XLOOKUP($D29,Tab_Def_Processes[Process_Name],Tab_Def_Processes[Initial_Stock?],,0,)</f>
        <v>#N/A</v>
      </c>
      <c r="J29" s="7" t="e">
        <f>_xlfn.XLOOKUP($D29,Tab_Def_Processes[Process_Name],Tab_Def_Processes[DSM?],,0,)</f>
        <v>#N/A</v>
      </c>
      <c r="K29" s="7" t="e">
        <f>_xlfn.XLOOKUP($D29,Tab_Def_Processes[Process_Name],Tab_Def_Processes[FOMP?],,0,)</f>
        <v>#N/A</v>
      </c>
      <c r="L29" s="7" t="e">
        <f>_xlfn.XLOOKUP(Tab_FOMP[[#This Row],[Process_Name]],Tab_Def_Processes[Process_Name],Tab_Def_Processes[Nr. Outflows],,0,)</f>
        <v>#N/A</v>
      </c>
      <c r="M29" s="8"/>
      <c r="N29" s="8"/>
      <c r="O29" s="7" t="e">
        <f>"P"&amp;Tab_FOMP[[#This Row],[Process_ID]]&amp;"_"&amp;_xlfn.XLOOKUP($N29,CL_3.1_FOMP_Parameters[Category ID],CL_3.1_FOMP_Parameters[Pool_ID],,0,)</f>
        <v>#N/A</v>
      </c>
      <c r="P29" s="8"/>
      <c r="Q29" s="8"/>
    </row>
    <row r="30" spans="1:17" x14ac:dyDescent="0.25">
      <c r="A30" s="160" t="b">
        <v>0</v>
      </c>
      <c r="B30" s="7">
        <f t="shared" si="0"/>
        <v>29</v>
      </c>
      <c r="C30" s="7" t="e">
        <f>_xlfn.XLOOKUP($D30,Tab_Def_Processes[Process_Name],Tab_Def_Processes[Process_ID],,0,)</f>
        <v>#N/A</v>
      </c>
      <c r="D30" s="8" t="s">
        <v>31</v>
      </c>
      <c r="E30" s="7" t="e">
        <f>_xlfn.XLOOKUP($D30,Tab_Def_Processes[Process_Name],Tab_Def_Processes[Process_Type],,0,)</f>
        <v>#N/A</v>
      </c>
      <c r="F30" s="7" t="e">
        <f>_xlfn.XLOOKUP($D30,Tab_Def_Processes[Process_Name],Tab_Def_Processes[TC?],,0,)</f>
        <v>#N/A</v>
      </c>
      <c r="G30" s="7" t="e">
        <f>_xlfn.XLOOKUP($D30,Tab_Def_Processes[Process_Name],Tab_Def_Processes[TC_Type],,0,)</f>
        <v>#N/A</v>
      </c>
      <c r="H30" s="7" t="e">
        <f>_xlfn.XLOOKUP($D30,Tab_Def_Processes[Process_Name],Tab_Def_Processes[Stock?],,0,)</f>
        <v>#N/A</v>
      </c>
      <c r="I30" s="7" t="e">
        <f>_xlfn.XLOOKUP($D30,Tab_Def_Processes[Process_Name],Tab_Def_Processes[Initial_Stock?],,0,)</f>
        <v>#N/A</v>
      </c>
      <c r="J30" s="7" t="e">
        <f>_xlfn.XLOOKUP($D30,Tab_Def_Processes[Process_Name],Tab_Def_Processes[DSM?],,0,)</f>
        <v>#N/A</v>
      </c>
      <c r="K30" s="7" t="e">
        <f>_xlfn.XLOOKUP($D30,Tab_Def_Processes[Process_Name],Tab_Def_Processes[FOMP?],,0,)</f>
        <v>#N/A</v>
      </c>
      <c r="L30" s="7" t="e">
        <f>_xlfn.XLOOKUP(Tab_FOMP[[#This Row],[Process_Name]],Tab_Def_Processes[Process_Name],Tab_Def_Processes[Nr. Outflows],,0,)</f>
        <v>#N/A</v>
      </c>
      <c r="M30" s="8"/>
      <c r="N30" s="8"/>
      <c r="O30" s="7" t="e">
        <f>"P"&amp;Tab_FOMP[[#This Row],[Process_ID]]&amp;"_"&amp;_xlfn.XLOOKUP($N30,CL_3.1_FOMP_Parameters[Category ID],CL_3.1_FOMP_Parameters[Pool_ID],,0,)</f>
        <v>#N/A</v>
      </c>
      <c r="P30" s="8"/>
      <c r="Q30" s="8"/>
    </row>
    <row r="31" spans="1:17" x14ac:dyDescent="0.25">
      <c r="A31" s="160" t="b">
        <v>0</v>
      </c>
      <c r="B31" s="7">
        <f t="shared" si="0"/>
        <v>30</v>
      </c>
      <c r="C31" s="7" t="e">
        <f>_xlfn.XLOOKUP($D31,Tab_Def_Processes[Process_Name],Tab_Def_Processes[Process_ID],,0,)</f>
        <v>#N/A</v>
      </c>
      <c r="D31" s="8" t="s">
        <v>31</v>
      </c>
      <c r="E31" s="7" t="e">
        <f>_xlfn.XLOOKUP($D31,Tab_Def_Processes[Process_Name],Tab_Def_Processes[Process_Type],,0,)</f>
        <v>#N/A</v>
      </c>
      <c r="F31" s="7" t="e">
        <f>_xlfn.XLOOKUP($D31,Tab_Def_Processes[Process_Name],Tab_Def_Processes[TC?],,0,)</f>
        <v>#N/A</v>
      </c>
      <c r="G31" s="7" t="e">
        <f>_xlfn.XLOOKUP($D31,Tab_Def_Processes[Process_Name],Tab_Def_Processes[TC_Type],,0,)</f>
        <v>#N/A</v>
      </c>
      <c r="H31" s="7" t="e">
        <f>_xlfn.XLOOKUP($D31,Tab_Def_Processes[Process_Name],Tab_Def_Processes[Stock?],,0,)</f>
        <v>#N/A</v>
      </c>
      <c r="I31" s="7" t="e">
        <f>_xlfn.XLOOKUP($D31,Tab_Def_Processes[Process_Name],Tab_Def_Processes[Initial_Stock?],,0,)</f>
        <v>#N/A</v>
      </c>
      <c r="J31" s="7" t="e">
        <f>_xlfn.XLOOKUP($D31,Tab_Def_Processes[Process_Name],Tab_Def_Processes[DSM?],,0,)</f>
        <v>#N/A</v>
      </c>
      <c r="K31" s="7" t="e">
        <f>_xlfn.XLOOKUP($D31,Tab_Def_Processes[Process_Name],Tab_Def_Processes[FOMP?],,0,)</f>
        <v>#N/A</v>
      </c>
      <c r="L31" s="7" t="e">
        <f>_xlfn.XLOOKUP(Tab_FOMP[[#This Row],[Process_Name]],Tab_Def_Processes[Process_Name],Tab_Def_Processes[Nr. Outflows],,0,)</f>
        <v>#N/A</v>
      </c>
      <c r="M31" s="8"/>
      <c r="N31" s="8"/>
      <c r="O31" s="7" t="e">
        <f>"P"&amp;Tab_FOMP[[#This Row],[Process_ID]]&amp;"_"&amp;_xlfn.XLOOKUP($N31,CL_3.1_FOMP_Parameters[Category ID],CL_3.1_FOMP_Parameters[Pool_ID],,0,)</f>
        <v>#N/A</v>
      </c>
      <c r="P31" s="8"/>
      <c r="Q31" s="8"/>
    </row>
    <row r="32" spans="1:17" x14ac:dyDescent="0.25">
      <c r="A32" s="160" t="b">
        <v>0</v>
      </c>
      <c r="B32" s="7">
        <f t="shared" si="0"/>
        <v>31</v>
      </c>
      <c r="C32" s="7" t="e">
        <f>_xlfn.XLOOKUP($D32,Tab_Def_Processes[Process_Name],Tab_Def_Processes[Process_ID],,0,)</f>
        <v>#N/A</v>
      </c>
      <c r="D32" s="8" t="s">
        <v>31</v>
      </c>
      <c r="E32" s="7" t="e">
        <f>_xlfn.XLOOKUP($D32,Tab_Def_Processes[Process_Name],Tab_Def_Processes[Process_Type],,0,)</f>
        <v>#N/A</v>
      </c>
      <c r="F32" s="7" t="e">
        <f>_xlfn.XLOOKUP($D32,Tab_Def_Processes[Process_Name],Tab_Def_Processes[TC?],,0,)</f>
        <v>#N/A</v>
      </c>
      <c r="G32" s="7" t="e">
        <f>_xlfn.XLOOKUP($D32,Tab_Def_Processes[Process_Name],Tab_Def_Processes[TC_Type],,0,)</f>
        <v>#N/A</v>
      </c>
      <c r="H32" s="7" t="e">
        <f>_xlfn.XLOOKUP($D32,Tab_Def_Processes[Process_Name],Tab_Def_Processes[Stock?],,0,)</f>
        <v>#N/A</v>
      </c>
      <c r="I32" s="7" t="e">
        <f>_xlfn.XLOOKUP($D32,Tab_Def_Processes[Process_Name],Tab_Def_Processes[Initial_Stock?],,0,)</f>
        <v>#N/A</v>
      </c>
      <c r="J32" s="7" t="e">
        <f>_xlfn.XLOOKUP($D32,Tab_Def_Processes[Process_Name],Tab_Def_Processes[DSM?],,0,)</f>
        <v>#N/A</v>
      </c>
      <c r="K32" s="7" t="e">
        <f>_xlfn.XLOOKUP($D32,Tab_Def_Processes[Process_Name],Tab_Def_Processes[FOMP?],,0,)</f>
        <v>#N/A</v>
      </c>
      <c r="L32" s="7" t="e">
        <f>_xlfn.XLOOKUP(Tab_FOMP[[#This Row],[Process_Name]],Tab_Def_Processes[Process_Name],Tab_Def_Processes[Nr. Outflows],,0,)</f>
        <v>#N/A</v>
      </c>
      <c r="M32" s="8"/>
      <c r="N32" s="8"/>
      <c r="O32" s="7" t="e">
        <f>"P"&amp;Tab_FOMP[[#This Row],[Process_ID]]&amp;"_"&amp;_xlfn.XLOOKUP($N32,CL_3.1_FOMP_Parameters[Category ID],CL_3.1_FOMP_Parameters[Pool_ID],,0,)</f>
        <v>#N/A</v>
      </c>
      <c r="P32" s="8"/>
      <c r="Q32" s="8"/>
    </row>
    <row r="33" spans="1:17" x14ac:dyDescent="0.25">
      <c r="A33" s="160" t="b">
        <v>0</v>
      </c>
      <c r="B33" s="7">
        <f t="shared" si="0"/>
        <v>32</v>
      </c>
      <c r="C33" s="7" t="e">
        <f>_xlfn.XLOOKUP($D33,Tab_Def_Processes[Process_Name],Tab_Def_Processes[Process_ID],,0,)</f>
        <v>#N/A</v>
      </c>
      <c r="D33" s="8" t="s">
        <v>31</v>
      </c>
      <c r="E33" s="7" t="e">
        <f>_xlfn.XLOOKUP($D33,Tab_Def_Processes[Process_Name],Tab_Def_Processes[Process_Type],,0,)</f>
        <v>#N/A</v>
      </c>
      <c r="F33" s="7" t="e">
        <f>_xlfn.XLOOKUP($D33,Tab_Def_Processes[Process_Name],Tab_Def_Processes[TC?],,0,)</f>
        <v>#N/A</v>
      </c>
      <c r="G33" s="7" t="e">
        <f>_xlfn.XLOOKUP($D33,Tab_Def_Processes[Process_Name],Tab_Def_Processes[TC_Type],,0,)</f>
        <v>#N/A</v>
      </c>
      <c r="H33" s="7" t="e">
        <f>_xlfn.XLOOKUP($D33,Tab_Def_Processes[Process_Name],Tab_Def_Processes[Stock?],,0,)</f>
        <v>#N/A</v>
      </c>
      <c r="I33" s="7" t="e">
        <f>_xlfn.XLOOKUP($D33,Tab_Def_Processes[Process_Name],Tab_Def_Processes[Initial_Stock?],,0,)</f>
        <v>#N/A</v>
      </c>
      <c r="J33" s="7" t="e">
        <f>_xlfn.XLOOKUP($D33,Tab_Def_Processes[Process_Name],Tab_Def_Processes[DSM?],,0,)</f>
        <v>#N/A</v>
      </c>
      <c r="K33" s="7" t="e">
        <f>_xlfn.XLOOKUP($D33,Tab_Def_Processes[Process_Name],Tab_Def_Processes[FOMP?],,0,)</f>
        <v>#N/A</v>
      </c>
      <c r="L33" s="7" t="e">
        <f>_xlfn.XLOOKUP(Tab_FOMP[[#This Row],[Process_Name]],Tab_Def_Processes[Process_Name],Tab_Def_Processes[Nr. Outflows],,0,)</f>
        <v>#N/A</v>
      </c>
      <c r="M33" s="8"/>
      <c r="N33" s="8"/>
      <c r="O33" s="7" t="e">
        <f>"P"&amp;Tab_FOMP[[#This Row],[Process_ID]]&amp;"_"&amp;_xlfn.XLOOKUP($N33,CL_3.1_FOMP_Parameters[Category ID],CL_3.1_FOMP_Parameters[Pool_ID],,0,)</f>
        <v>#N/A</v>
      </c>
      <c r="P33" s="8"/>
      <c r="Q33" s="8"/>
    </row>
    <row r="34" spans="1:17" x14ac:dyDescent="0.25">
      <c r="A34" s="160" t="b">
        <v>0</v>
      </c>
      <c r="B34" s="7">
        <f t="shared" si="0"/>
        <v>33</v>
      </c>
      <c r="C34" s="7" t="e">
        <f>_xlfn.XLOOKUP($D34,Tab_Def_Processes[Process_Name],Tab_Def_Processes[Process_ID],,0,)</f>
        <v>#N/A</v>
      </c>
      <c r="D34" s="8" t="s">
        <v>31</v>
      </c>
      <c r="E34" s="7" t="e">
        <f>_xlfn.XLOOKUP($D34,Tab_Def_Processes[Process_Name],Tab_Def_Processes[Process_Type],,0,)</f>
        <v>#N/A</v>
      </c>
      <c r="F34" s="7" t="e">
        <f>_xlfn.XLOOKUP($D34,Tab_Def_Processes[Process_Name],Tab_Def_Processes[TC?],,0,)</f>
        <v>#N/A</v>
      </c>
      <c r="G34" s="7" t="e">
        <f>_xlfn.XLOOKUP($D34,Tab_Def_Processes[Process_Name],Tab_Def_Processes[TC_Type],,0,)</f>
        <v>#N/A</v>
      </c>
      <c r="H34" s="7" t="e">
        <f>_xlfn.XLOOKUP($D34,Tab_Def_Processes[Process_Name],Tab_Def_Processes[Stock?],,0,)</f>
        <v>#N/A</v>
      </c>
      <c r="I34" s="7" t="e">
        <f>_xlfn.XLOOKUP($D34,Tab_Def_Processes[Process_Name],Tab_Def_Processes[Initial_Stock?],,0,)</f>
        <v>#N/A</v>
      </c>
      <c r="J34" s="7" t="e">
        <f>_xlfn.XLOOKUP($D34,Tab_Def_Processes[Process_Name],Tab_Def_Processes[DSM?],,0,)</f>
        <v>#N/A</v>
      </c>
      <c r="K34" s="7" t="e">
        <f>_xlfn.XLOOKUP($D34,Tab_Def_Processes[Process_Name],Tab_Def_Processes[FOMP?],,0,)</f>
        <v>#N/A</v>
      </c>
      <c r="L34" s="7" t="e">
        <f>_xlfn.XLOOKUP(Tab_FOMP[[#This Row],[Process_Name]],Tab_Def_Processes[Process_Name],Tab_Def_Processes[Nr. Outflows],,0,)</f>
        <v>#N/A</v>
      </c>
      <c r="M34" s="8"/>
      <c r="N34" s="8"/>
      <c r="O34" s="7" t="e">
        <f>"P"&amp;Tab_FOMP[[#This Row],[Process_ID]]&amp;"_"&amp;_xlfn.XLOOKUP($N34,CL_3.1_FOMP_Parameters[Category ID],CL_3.1_FOMP_Parameters[Pool_ID],,0,)</f>
        <v>#N/A</v>
      </c>
      <c r="P34" s="8"/>
      <c r="Q34" s="8"/>
    </row>
    <row r="35" spans="1:17" x14ac:dyDescent="0.25">
      <c r="A35" s="160" t="b">
        <v>0</v>
      </c>
      <c r="B35" s="7">
        <f t="shared" si="0"/>
        <v>34</v>
      </c>
      <c r="C35" s="7" t="e">
        <f>_xlfn.XLOOKUP($D35,Tab_Def_Processes[Process_Name],Tab_Def_Processes[Process_ID],,0,)</f>
        <v>#N/A</v>
      </c>
      <c r="D35" s="8" t="s">
        <v>31</v>
      </c>
      <c r="E35" s="7" t="e">
        <f>_xlfn.XLOOKUP($D35,Tab_Def_Processes[Process_Name],Tab_Def_Processes[Process_Type],,0,)</f>
        <v>#N/A</v>
      </c>
      <c r="F35" s="7" t="e">
        <f>_xlfn.XLOOKUP($D35,Tab_Def_Processes[Process_Name],Tab_Def_Processes[TC?],,0,)</f>
        <v>#N/A</v>
      </c>
      <c r="G35" s="7" t="e">
        <f>_xlfn.XLOOKUP($D35,Tab_Def_Processes[Process_Name],Tab_Def_Processes[TC_Type],,0,)</f>
        <v>#N/A</v>
      </c>
      <c r="H35" s="7" t="e">
        <f>_xlfn.XLOOKUP($D35,Tab_Def_Processes[Process_Name],Tab_Def_Processes[Stock?],,0,)</f>
        <v>#N/A</v>
      </c>
      <c r="I35" s="7" t="e">
        <f>_xlfn.XLOOKUP($D35,Tab_Def_Processes[Process_Name],Tab_Def_Processes[Initial_Stock?],,0,)</f>
        <v>#N/A</v>
      </c>
      <c r="J35" s="7" t="e">
        <f>_xlfn.XLOOKUP($D35,Tab_Def_Processes[Process_Name],Tab_Def_Processes[DSM?],,0,)</f>
        <v>#N/A</v>
      </c>
      <c r="K35" s="7" t="e">
        <f>_xlfn.XLOOKUP($D35,Tab_Def_Processes[Process_Name],Tab_Def_Processes[FOMP?],,0,)</f>
        <v>#N/A</v>
      </c>
      <c r="L35" s="7" t="e">
        <f>_xlfn.XLOOKUP(Tab_FOMP[[#This Row],[Process_Name]],Tab_Def_Processes[Process_Name],Tab_Def_Processes[Nr. Outflows],,0,)</f>
        <v>#N/A</v>
      </c>
      <c r="M35" s="8"/>
      <c r="N35" s="8"/>
      <c r="O35" s="7" t="e">
        <f>"P"&amp;Tab_FOMP[[#This Row],[Process_ID]]&amp;"_"&amp;_xlfn.XLOOKUP($N35,CL_3.1_FOMP_Parameters[Category ID],CL_3.1_FOMP_Parameters[Pool_ID],,0,)</f>
        <v>#N/A</v>
      </c>
      <c r="P35" s="8"/>
      <c r="Q35" s="8"/>
    </row>
    <row r="36" spans="1:17" x14ac:dyDescent="0.25">
      <c r="A36" s="160" t="b">
        <v>0</v>
      </c>
      <c r="B36" s="7">
        <f t="shared" si="0"/>
        <v>35</v>
      </c>
      <c r="C36" s="7" t="e">
        <f>_xlfn.XLOOKUP($D36,Tab_Def_Processes[Process_Name],Tab_Def_Processes[Process_ID],,0,)</f>
        <v>#N/A</v>
      </c>
      <c r="D36" s="8" t="s">
        <v>31</v>
      </c>
      <c r="E36" s="7" t="e">
        <f>_xlfn.XLOOKUP($D36,Tab_Def_Processes[Process_Name],Tab_Def_Processes[Process_Type],,0,)</f>
        <v>#N/A</v>
      </c>
      <c r="F36" s="7" t="e">
        <f>_xlfn.XLOOKUP($D36,Tab_Def_Processes[Process_Name],Tab_Def_Processes[TC?],,0,)</f>
        <v>#N/A</v>
      </c>
      <c r="G36" s="7" t="e">
        <f>_xlfn.XLOOKUP($D36,Tab_Def_Processes[Process_Name],Tab_Def_Processes[TC_Type],,0,)</f>
        <v>#N/A</v>
      </c>
      <c r="H36" s="7" t="e">
        <f>_xlfn.XLOOKUP($D36,Tab_Def_Processes[Process_Name],Tab_Def_Processes[Stock?],,0,)</f>
        <v>#N/A</v>
      </c>
      <c r="I36" s="7" t="e">
        <f>_xlfn.XLOOKUP($D36,Tab_Def_Processes[Process_Name],Tab_Def_Processes[Initial_Stock?],,0,)</f>
        <v>#N/A</v>
      </c>
      <c r="J36" s="7" t="e">
        <f>_xlfn.XLOOKUP($D36,Tab_Def_Processes[Process_Name],Tab_Def_Processes[DSM?],,0,)</f>
        <v>#N/A</v>
      </c>
      <c r="K36" s="7" t="e">
        <f>_xlfn.XLOOKUP($D36,Tab_Def_Processes[Process_Name],Tab_Def_Processes[FOMP?],,0,)</f>
        <v>#N/A</v>
      </c>
      <c r="L36" s="7" t="e">
        <f>_xlfn.XLOOKUP(Tab_FOMP[[#This Row],[Process_Name]],Tab_Def_Processes[Process_Name],Tab_Def_Processes[Nr. Outflows],,0,)</f>
        <v>#N/A</v>
      </c>
      <c r="M36" s="8"/>
      <c r="N36" s="8"/>
      <c r="O36" s="7" t="e">
        <f>"P"&amp;Tab_FOMP[[#This Row],[Process_ID]]&amp;"_"&amp;_xlfn.XLOOKUP($N36,CL_3.1_FOMP_Parameters[Category ID],CL_3.1_FOMP_Parameters[Pool_ID],,0,)</f>
        <v>#N/A</v>
      </c>
      <c r="P36" s="8"/>
      <c r="Q36" s="8"/>
    </row>
    <row r="37" spans="1:17" x14ac:dyDescent="0.25">
      <c r="A37" s="160" t="b">
        <v>0</v>
      </c>
      <c r="B37" s="7">
        <f t="shared" si="0"/>
        <v>36</v>
      </c>
      <c r="C37" s="7" t="e">
        <f>_xlfn.XLOOKUP($D37,Tab_Def_Processes[Process_Name],Tab_Def_Processes[Process_ID],,0,)</f>
        <v>#N/A</v>
      </c>
      <c r="D37" s="8" t="s">
        <v>31</v>
      </c>
      <c r="E37" s="7" t="e">
        <f>_xlfn.XLOOKUP($D37,Tab_Def_Processes[Process_Name],Tab_Def_Processes[Process_Type],,0,)</f>
        <v>#N/A</v>
      </c>
      <c r="F37" s="7" t="e">
        <f>_xlfn.XLOOKUP($D37,Tab_Def_Processes[Process_Name],Tab_Def_Processes[TC?],,0,)</f>
        <v>#N/A</v>
      </c>
      <c r="G37" s="7" t="e">
        <f>_xlfn.XLOOKUP($D37,Tab_Def_Processes[Process_Name],Tab_Def_Processes[TC_Type],,0,)</f>
        <v>#N/A</v>
      </c>
      <c r="H37" s="7" t="e">
        <f>_xlfn.XLOOKUP($D37,Tab_Def_Processes[Process_Name],Tab_Def_Processes[Stock?],,0,)</f>
        <v>#N/A</v>
      </c>
      <c r="I37" s="7" t="e">
        <f>_xlfn.XLOOKUP($D37,Tab_Def_Processes[Process_Name],Tab_Def_Processes[Initial_Stock?],,0,)</f>
        <v>#N/A</v>
      </c>
      <c r="J37" s="7" t="e">
        <f>_xlfn.XLOOKUP($D37,Tab_Def_Processes[Process_Name],Tab_Def_Processes[DSM?],,0,)</f>
        <v>#N/A</v>
      </c>
      <c r="K37" s="7" t="e">
        <f>_xlfn.XLOOKUP($D37,Tab_Def_Processes[Process_Name],Tab_Def_Processes[FOMP?],,0,)</f>
        <v>#N/A</v>
      </c>
      <c r="L37" s="7" t="e">
        <f>_xlfn.XLOOKUP(Tab_FOMP[[#This Row],[Process_Name]],Tab_Def_Processes[Process_Name],Tab_Def_Processes[Nr. Outflows],,0,)</f>
        <v>#N/A</v>
      </c>
      <c r="M37" s="8"/>
      <c r="N37" s="8"/>
      <c r="O37" s="7" t="e">
        <f>"P"&amp;Tab_FOMP[[#This Row],[Process_ID]]&amp;"_"&amp;_xlfn.XLOOKUP($N37,CL_3.1_FOMP_Parameters[Category ID],CL_3.1_FOMP_Parameters[Pool_ID],,0,)</f>
        <v>#N/A</v>
      </c>
      <c r="P37" s="8"/>
      <c r="Q37" s="8"/>
    </row>
    <row r="38" spans="1:17" x14ac:dyDescent="0.25">
      <c r="A38" s="160" t="b">
        <v>0</v>
      </c>
      <c r="B38" s="7">
        <f t="shared" si="0"/>
        <v>37</v>
      </c>
      <c r="C38" s="7" t="e">
        <f>_xlfn.XLOOKUP($D38,Tab_Def_Processes[Process_Name],Tab_Def_Processes[Process_ID],,0,)</f>
        <v>#N/A</v>
      </c>
      <c r="D38" s="8" t="s">
        <v>31</v>
      </c>
      <c r="E38" s="7" t="e">
        <f>_xlfn.XLOOKUP($D38,Tab_Def_Processes[Process_Name],Tab_Def_Processes[Process_Type],,0,)</f>
        <v>#N/A</v>
      </c>
      <c r="F38" s="7" t="e">
        <f>_xlfn.XLOOKUP($D38,Tab_Def_Processes[Process_Name],Tab_Def_Processes[TC?],,0,)</f>
        <v>#N/A</v>
      </c>
      <c r="G38" s="7" t="e">
        <f>_xlfn.XLOOKUP($D38,Tab_Def_Processes[Process_Name],Tab_Def_Processes[TC_Type],,0,)</f>
        <v>#N/A</v>
      </c>
      <c r="H38" s="7" t="e">
        <f>_xlfn.XLOOKUP($D38,Tab_Def_Processes[Process_Name],Tab_Def_Processes[Stock?],,0,)</f>
        <v>#N/A</v>
      </c>
      <c r="I38" s="7" t="e">
        <f>_xlfn.XLOOKUP($D38,Tab_Def_Processes[Process_Name],Tab_Def_Processes[Initial_Stock?],,0,)</f>
        <v>#N/A</v>
      </c>
      <c r="J38" s="7" t="e">
        <f>_xlfn.XLOOKUP($D38,Tab_Def_Processes[Process_Name],Tab_Def_Processes[DSM?],,0,)</f>
        <v>#N/A</v>
      </c>
      <c r="K38" s="7" t="e">
        <f>_xlfn.XLOOKUP($D38,Tab_Def_Processes[Process_Name],Tab_Def_Processes[FOMP?],,0,)</f>
        <v>#N/A</v>
      </c>
      <c r="L38" s="7" t="e">
        <f>_xlfn.XLOOKUP(Tab_FOMP[[#This Row],[Process_Name]],Tab_Def_Processes[Process_Name],Tab_Def_Processes[Nr. Outflows],,0,)</f>
        <v>#N/A</v>
      </c>
      <c r="M38" s="8"/>
      <c r="N38" s="8"/>
      <c r="O38" s="7" t="e">
        <f>"P"&amp;Tab_FOMP[[#This Row],[Process_ID]]&amp;"_"&amp;_xlfn.XLOOKUP($N38,CL_3.1_FOMP_Parameters[Category ID],CL_3.1_FOMP_Parameters[Pool_ID],,0,)</f>
        <v>#N/A</v>
      </c>
      <c r="P38" s="8"/>
      <c r="Q38" s="8"/>
    </row>
    <row r="39" spans="1:17" x14ac:dyDescent="0.25">
      <c r="A39" s="160" t="b">
        <v>0</v>
      </c>
      <c r="B39" s="7">
        <f t="shared" si="0"/>
        <v>38</v>
      </c>
      <c r="C39" s="7" t="e">
        <f>_xlfn.XLOOKUP($D39,Tab_Def_Processes[Process_Name],Tab_Def_Processes[Process_ID],,0,)</f>
        <v>#N/A</v>
      </c>
      <c r="D39" s="8" t="s">
        <v>31</v>
      </c>
      <c r="E39" s="7" t="e">
        <f>_xlfn.XLOOKUP($D39,Tab_Def_Processes[Process_Name],Tab_Def_Processes[Process_Type],,0,)</f>
        <v>#N/A</v>
      </c>
      <c r="F39" s="7" t="e">
        <f>_xlfn.XLOOKUP($D39,Tab_Def_Processes[Process_Name],Tab_Def_Processes[TC?],,0,)</f>
        <v>#N/A</v>
      </c>
      <c r="G39" s="7" t="e">
        <f>_xlfn.XLOOKUP($D39,Tab_Def_Processes[Process_Name],Tab_Def_Processes[TC_Type],,0,)</f>
        <v>#N/A</v>
      </c>
      <c r="H39" s="7" t="e">
        <f>_xlfn.XLOOKUP($D39,Tab_Def_Processes[Process_Name],Tab_Def_Processes[Stock?],,0,)</f>
        <v>#N/A</v>
      </c>
      <c r="I39" s="7" t="e">
        <f>_xlfn.XLOOKUP($D39,Tab_Def_Processes[Process_Name],Tab_Def_Processes[Initial_Stock?],,0,)</f>
        <v>#N/A</v>
      </c>
      <c r="J39" s="7" t="e">
        <f>_xlfn.XLOOKUP($D39,Tab_Def_Processes[Process_Name],Tab_Def_Processes[DSM?],,0,)</f>
        <v>#N/A</v>
      </c>
      <c r="K39" s="7" t="e">
        <f>_xlfn.XLOOKUP($D39,Tab_Def_Processes[Process_Name],Tab_Def_Processes[FOMP?],,0,)</f>
        <v>#N/A</v>
      </c>
      <c r="L39" s="7" t="e">
        <f>_xlfn.XLOOKUP(Tab_FOMP[[#This Row],[Process_Name]],Tab_Def_Processes[Process_Name],Tab_Def_Processes[Nr. Outflows],,0,)</f>
        <v>#N/A</v>
      </c>
      <c r="M39" s="8"/>
      <c r="N39" s="8"/>
      <c r="O39" s="7" t="e">
        <f>"P"&amp;Tab_FOMP[[#This Row],[Process_ID]]&amp;"_"&amp;_xlfn.XLOOKUP($N39,CL_3.1_FOMP_Parameters[Category ID],CL_3.1_FOMP_Parameters[Pool_ID],,0,)</f>
        <v>#N/A</v>
      </c>
      <c r="P39" s="8"/>
      <c r="Q39" s="8"/>
    </row>
    <row r="40" spans="1:17" x14ac:dyDescent="0.25">
      <c r="A40" s="160" t="b">
        <v>0</v>
      </c>
      <c r="B40" s="7">
        <f t="shared" si="0"/>
        <v>39</v>
      </c>
      <c r="C40" s="7" t="e">
        <f>_xlfn.XLOOKUP($D40,Tab_Def_Processes[Process_Name],Tab_Def_Processes[Process_ID],,0,)</f>
        <v>#N/A</v>
      </c>
      <c r="D40" s="8" t="s">
        <v>31</v>
      </c>
      <c r="E40" s="7" t="e">
        <f>_xlfn.XLOOKUP($D40,Tab_Def_Processes[Process_Name],Tab_Def_Processes[Process_Type],,0,)</f>
        <v>#N/A</v>
      </c>
      <c r="F40" s="7" t="e">
        <f>_xlfn.XLOOKUP($D40,Tab_Def_Processes[Process_Name],Tab_Def_Processes[TC?],,0,)</f>
        <v>#N/A</v>
      </c>
      <c r="G40" s="7" t="e">
        <f>_xlfn.XLOOKUP($D40,Tab_Def_Processes[Process_Name],Tab_Def_Processes[TC_Type],,0,)</f>
        <v>#N/A</v>
      </c>
      <c r="H40" s="7" t="e">
        <f>_xlfn.XLOOKUP($D40,Tab_Def_Processes[Process_Name],Tab_Def_Processes[Stock?],,0,)</f>
        <v>#N/A</v>
      </c>
      <c r="I40" s="7" t="e">
        <f>_xlfn.XLOOKUP($D40,Tab_Def_Processes[Process_Name],Tab_Def_Processes[Initial_Stock?],,0,)</f>
        <v>#N/A</v>
      </c>
      <c r="J40" s="7" t="e">
        <f>_xlfn.XLOOKUP($D40,Tab_Def_Processes[Process_Name],Tab_Def_Processes[DSM?],,0,)</f>
        <v>#N/A</v>
      </c>
      <c r="K40" s="7" t="e">
        <f>_xlfn.XLOOKUP($D40,Tab_Def_Processes[Process_Name],Tab_Def_Processes[FOMP?],,0,)</f>
        <v>#N/A</v>
      </c>
      <c r="L40" s="7" t="e">
        <f>_xlfn.XLOOKUP(Tab_FOMP[[#This Row],[Process_Name]],Tab_Def_Processes[Process_Name],Tab_Def_Processes[Nr. Outflows],,0,)</f>
        <v>#N/A</v>
      </c>
      <c r="M40" s="8"/>
      <c r="N40" s="8"/>
      <c r="O40" s="7" t="e">
        <f>"P"&amp;Tab_FOMP[[#This Row],[Process_ID]]&amp;"_"&amp;_xlfn.XLOOKUP($N40,CL_3.1_FOMP_Parameters[Category ID],CL_3.1_FOMP_Parameters[Pool_ID],,0,)</f>
        <v>#N/A</v>
      </c>
      <c r="P40" s="8"/>
      <c r="Q40" s="8"/>
    </row>
    <row r="41" spans="1:17" x14ac:dyDescent="0.25">
      <c r="A41" s="160" t="b">
        <v>0</v>
      </c>
      <c r="B41" s="151">
        <f t="shared" si="0"/>
        <v>40</v>
      </c>
      <c r="C41" s="151" t="e">
        <f>_xlfn.XLOOKUP($D41,Tab_Def_Processes[Process_Name],Tab_Def_Processes[Process_ID],,0,)</f>
        <v>#N/A</v>
      </c>
      <c r="D41" s="152" t="s">
        <v>31</v>
      </c>
      <c r="E41" s="151" t="e">
        <f>_xlfn.XLOOKUP($D41,Tab_Def_Processes[Process_Name],Tab_Def_Processes[Process_Type],,0,)</f>
        <v>#N/A</v>
      </c>
      <c r="F41" s="151" t="e">
        <f>_xlfn.XLOOKUP($D41,Tab_Def_Processes[Process_Name],Tab_Def_Processes[TC?],,0,)</f>
        <v>#N/A</v>
      </c>
      <c r="G41" s="151" t="e">
        <f>_xlfn.XLOOKUP($D41,Tab_Def_Processes[Process_Name],Tab_Def_Processes[TC_Type],,0,)</f>
        <v>#N/A</v>
      </c>
      <c r="H41" s="151" t="e">
        <f>_xlfn.XLOOKUP($D41,Tab_Def_Processes[Process_Name],Tab_Def_Processes[Stock?],,0,)</f>
        <v>#N/A</v>
      </c>
      <c r="I41" s="151" t="e">
        <f>_xlfn.XLOOKUP($D41,Tab_Def_Processes[Process_Name],Tab_Def_Processes[Initial_Stock?],,0,)</f>
        <v>#N/A</v>
      </c>
      <c r="J41" s="7" t="e">
        <f>_xlfn.XLOOKUP($D41,Tab_Def_Processes[Process_Name],Tab_Def_Processes[DSM?],,0,)</f>
        <v>#N/A</v>
      </c>
      <c r="K41" s="7" t="e">
        <f>_xlfn.XLOOKUP($D41,Tab_Def_Processes[Process_Name],Tab_Def_Processes[FOMP?],,0,)</f>
        <v>#N/A</v>
      </c>
      <c r="L41" s="7" t="e">
        <f>_xlfn.XLOOKUP(Tab_FOMP[[#This Row],[Process_Name]],Tab_Def_Processes[Process_Name],Tab_Def_Processes[Nr. Outflows],,0,)</f>
        <v>#N/A</v>
      </c>
      <c r="M41" s="8"/>
      <c r="N41" s="8"/>
      <c r="O41" s="7" t="e">
        <f>"P"&amp;Tab_FOMP[[#This Row],[Process_ID]]&amp;"_"&amp;_xlfn.XLOOKUP($N41,CL_3.1_FOMP_Parameters[Category ID],CL_3.1_FOMP_Parameters[Pool_ID],,0,)</f>
        <v>#N/A</v>
      </c>
      <c r="P41" s="8"/>
      <c r="Q41" s="8"/>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0F74E799-D021-40E5-9FC7-FFB2E7126E7C}">
          <x14:formula1>
            <xm:f>'2_1_Definition_Processes'!$D$2:$D$47</xm:f>
          </x14:formula1>
          <xm:sqref>D2:D41</xm:sqref>
        </x14:dataValidation>
        <x14:dataValidation type="list" allowBlank="1" showInputMessage="1" showErrorMessage="1" xr:uid="{C677F543-7B55-48C7-9CC3-4F4642619EDE}">
          <x14:formula1>
            <xm:f>'4_1 Codelists'!$A$22:$A$27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zoomScale="205" zoomScaleNormal="205" workbookViewId="0">
      <selection activeCell="B9" sqref="B9"/>
    </sheetView>
  </sheetViews>
  <sheetFormatPr defaultRowHeight="15" x14ac:dyDescent="0.25"/>
  <cols>
    <col min="1" max="1" width="6.28515625" customWidth="1"/>
    <col min="2" max="3" width="25" customWidth="1"/>
    <col min="4" max="4" width="39.28515625" customWidth="1"/>
    <col min="5" max="5" width="17.28515625" customWidth="1"/>
    <col min="7" max="7" width="13.85546875" customWidth="1"/>
    <col min="10" max="10" width="9.140625" customWidth="1"/>
  </cols>
  <sheetData>
    <row r="1" spans="1:10" x14ac:dyDescent="0.25">
      <c r="A1" s="159" t="s">
        <v>28</v>
      </c>
      <c r="B1" s="159" t="s">
        <v>165</v>
      </c>
      <c r="C1" s="159" t="s">
        <v>343</v>
      </c>
      <c r="D1" s="159" t="s">
        <v>247</v>
      </c>
      <c r="E1" s="159" t="s">
        <v>250</v>
      </c>
      <c r="F1" s="159" t="s">
        <v>251</v>
      </c>
      <c r="G1" s="159" t="s">
        <v>252</v>
      </c>
      <c r="H1" s="159" t="s">
        <v>253</v>
      </c>
      <c r="I1" s="159" t="s">
        <v>254</v>
      </c>
      <c r="J1" s="159" t="s">
        <v>255</v>
      </c>
    </row>
    <row r="2" spans="1:10" x14ac:dyDescent="0.25">
      <c r="A2" s="7">
        <f>ROW()-1</f>
        <v>1</v>
      </c>
      <c r="B2" s="155"/>
      <c r="C2" s="155"/>
      <c r="D2" s="155"/>
      <c r="E2" s="155"/>
      <c r="F2" s="8"/>
      <c r="G2" s="8"/>
      <c r="H2" s="8"/>
      <c r="I2" s="8"/>
      <c r="J2" s="8"/>
    </row>
    <row r="3" spans="1:10" x14ac:dyDescent="0.25">
      <c r="A3" s="7">
        <f t="shared" ref="A3:A13" si="0">ROW()-1</f>
        <v>2</v>
      </c>
      <c r="B3" s="155"/>
      <c r="C3" s="155"/>
      <c r="D3" s="155"/>
      <c r="E3" s="155"/>
      <c r="F3" s="8"/>
      <c r="G3" s="8"/>
      <c r="H3" s="8"/>
      <c r="I3" s="8"/>
      <c r="J3" s="8"/>
    </row>
    <row r="4" spans="1:10" x14ac:dyDescent="0.25">
      <c r="A4" s="7">
        <f t="shared" si="0"/>
        <v>3</v>
      </c>
      <c r="B4" s="155"/>
      <c r="C4" s="155"/>
      <c r="D4" s="155"/>
      <c r="E4" s="155"/>
      <c r="F4" s="8"/>
      <c r="G4" s="8"/>
      <c r="H4" s="8"/>
      <c r="I4" s="8"/>
      <c r="J4" s="8"/>
    </row>
    <row r="5" spans="1:10" x14ac:dyDescent="0.25">
      <c r="A5" s="7">
        <f t="shared" si="0"/>
        <v>4</v>
      </c>
      <c r="B5" s="155"/>
      <c r="C5" s="155"/>
      <c r="D5" s="155"/>
      <c r="E5" s="155"/>
      <c r="F5" s="8"/>
      <c r="G5" s="8"/>
      <c r="H5" s="8"/>
      <c r="I5" s="8"/>
      <c r="J5" s="8"/>
    </row>
    <row r="6" spans="1:10" x14ac:dyDescent="0.25">
      <c r="A6" s="7">
        <f t="shared" si="0"/>
        <v>5</v>
      </c>
      <c r="B6" s="155"/>
      <c r="C6" s="155"/>
      <c r="D6" s="155"/>
      <c r="E6" s="155"/>
      <c r="F6" s="8"/>
      <c r="G6" s="8"/>
      <c r="H6" s="8"/>
      <c r="I6" s="8"/>
      <c r="J6" s="8"/>
    </row>
    <row r="7" spans="1:10" x14ac:dyDescent="0.25">
      <c r="A7" s="7">
        <f t="shared" si="0"/>
        <v>6</v>
      </c>
      <c r="B7" s="155"/>
      <c r="C7" s="155"/>
      <c r="D7" s="155"/>
      <c r="E7" s="155"/>
      <c r="F7" s="8"/>
      <c r="G7" s="8"/>
      <c r="H7" s="8"/>
      <c r="I7" s="8"/>
      <c r="J7" s="8"/>
    </row>
    <row r="8" spans="1:10" x14ac:dyDescent="0.25">
      <c r="A8" s="7">
        <f t="shared" si="0"/>
        <v>7</v>
      </c>
      <c r="B8" s="155"/>
      <c r="C8" s="155"/>
      <c r="D8" s="155"/>
      <c r="E8" s="155"/>
      <c r="F8" s="8"/>
      <c r="G8" s="8"/>
      <c r="H8" s="8"/>
      <c r="I8" s="8"/>
      <c r="J8" s="8"/>
    </row>
    <row r="9" spans="1:10" x14ac:dyDescent="0.25">
      <c r="A9" s="7">
        <f t="shared" si="0"/>
        <v>8</v>
      </c>
      <c r="B9" s="155"/>
      <c r="C9" s="155"/>
      <c r="D9" s="155"/>
      <c r="E9" s="155"/>
      <c r="F9" s="8"/>
      <c r="G9" s="8"/>
      <c r="H9" s="8"/>
      <c r="I9" s="8"/>
      <c r="J9" s="8"/>
    </row>
    <row r="10" spans="1:10" x14ac:dyDescent="0.25">
      <c r="A10" s="7">
        <f>ROW()-1</f>
        <v>9</v>
      </c>
      <c r="B10" s="155"/>
      <c r="C10" s="155"/>
      <c r="D10" s="155"/>
      <c r="E10" s="155"/>
      <c r="F10" s="8"/>
      <c r="G10" s="8"/>
      <c r="H10" s="8"/>
      <c r="I10" s="8"/>
      <c r="J10" s="8"/>
    </row>
    <row r="11" spans="1:10" x14ac:dyDescent="0.25">
      <c r="A11" s="7">
        <f t="shared" si="0"/>
        <v>10</v>
      </c>
      <c r="B11" s="155"/>
      <c r="C11" s="155"/>
      <c r="D11" s="155"/>
      <c r="E11" s="155"/>
      <c r="F11" s="8"/>
      <c r="G11" s="8"/>
      <c r="H11" s="8"/>
      <c r="I11" s="8"/>
      <c r="J11" s="8"/>
    </row>
    <row r="12" spans="1:10" x14ac:dyDescent="0.25">
      <c r="A12" s="7">
        <f t="shared" si="0"/>
        <v>11</v>
      </c>
      <c r="B12" s="155"/>
      <c r="C12" s="155"/>
      <c r="D12" s="155"/>
      <c r="E12" s="155"/>
      <c r="F12" s="8"/>
      <c r="G12" s="8"/>
      <c r="H12" s="8"/>
      <c r="I12" s="8"/>
      <c r="J12" s="8"/>
    </row>
    <row r="13" spans="1:10" x14ac:dyDescent="0.25">
      <c r="A13" s="7">
        <f t="shared" si="0"/>
        <v>12</v>
      </c>
      <c r="B13" s="155"/>
      <c r="C13" s="155"/>
      <c r="D13" s="155"/>
      <c r="E13" s="155"/>
      <c r="F13" s="8"/>
      <c r="G13" s="8"/>
      <c r="H13" s="8"/>
      <c r="I13" s="8"/>
      <c r="J13" s="8"/>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J18"/>
  <sheetViews>
    <sheetView zoomScaleNormal="100" workbookViewId="0">
      <selection activeCell="J7" sqref="J7"/>
    </sheetView>
  </sheetViews>
  <sheetFormatPr defaultRowHeight="15" x14ac:dyDescent="0.25"/>
  <cols>
    <col min="1" max="1" width="6.28515625" customWidth="1"/>
    <col min="2" max="2" width="37" customWidth="1"/>
    <col min="3" max="4" width="25" customWidth="1"/>
    <col min="5" max="6" width="25.28515625" customWidth="1"/>
    <col min="7" max="9" width="15.5703125" customWidth="1"/>
    <col min="10" max="10" width="23.28515625" customWidth="1"/>
  </cols>
  <sheetData>
    <row r="1" spans="1:10" x14ac:dyDescent="0.25">
      <c r="A1" s="159" t="s">
        <v>28</v>
      </c>
      <c r="B1" s="159" t="s">
        <v>383</v>
      </c>
      <c r="C1" s="159" t="s">
        <v>165</v>
      </c>
      <c r="D1" s="159" t="s">
        <v>343</v>
      </c>
      <c r="E1" s="159" t="s">
        <v>247</v>
      </c>
      <c r="F1" s="159" t="s">
        <v>377</v>
      </c>
      <c r="G1" s="159" t="s">
        <v>344</v>
      </c>
      <c r="H1" s="159" t="s">
        <v>714</v>
      </c>
      <c r="I1" s="159" t="s">
        <v>715</v>
      </c>
      <c r="J1" s="159" t="s">
        <v>38</v>
      </c>
    </row>
    <row r="2" spans="1:10" x14ac:dyDescent="0.25">
      <c r="A2" s="7">
        <f>ROW()-1</f>
        <v>1</v>
      </c>
      <c r="B2" s="155"/>
      <c r="C2" s="155"/>
      <c r="D2" s="155"/>
      <c r="E2" s="155"/>
      <c r="F2" s="155"/>
      <c r="G2" s="153"/>
      <c r="H2" s="153"/>
      <c r="I2" s="153"/>
      <c r="J2" s="20"/>
    </row>
    <row r="3" spans="1:10" ht="12" customHeight="1" x14ac:dyDescent="0.25">
      <c r="A3" s="7">
        <f t="shared" ref="A3:A18" si="0">ROW()-1</f>
        <v>2</v>
      </c>
      <c r="B3" s="155"/>
      <c r="C3" s="155"/>
      <c r="D3" s="155"/>
      <c r="E3" s="155"/>
      <c r="F3" s="155"/>
      <c r="G3" s="153"/>
      <c r="H3" s="153"/>
      <c r="I3" s="153"/>
      <c r="J3" s="20"/>
    </row>
    <row r="4" spans="1:10" x14ac:dyDescent="0.25">
      <c r="A4" s="7">
        <f t="shared" ref="A4:A17" si="1">ROW()-1</f>
        <v>3</v>
      </c>
      <c r="B4" s="155"/>
      <c r="C4" s="155"/>
      <c r="D4" s="155"/>
      <c r="E4" s="155"/>
      <c r="F4" s="155"/>
      <c r="G4" s="153"/>
      <c r="H4" s="153"/>
      <c r="I4" s="153"/>
      <c r="J4" s="20"/>
    </row>
    <row r="5" spans="1:10" x14ac:dyDescent="0.25">
      <c r="A5" s="7">
        <f t="shared" si="1"/>
        <v>4</v>
      </c>
      <c r="B5" s="155"/>
      <c r="C5" s="155"/>
      <c r="D5" s="155"/>
      <c r="E5" s="155"/>
      <c r="F5" s="155"/>
      <c r="G5" s="153"/>
      <c r="H5" s="153"/>
      <c r="I5" s="153"/>
      <c r="J5" s="20"/>
    </row>
    <row r="6" spans="1:10" x14ac:dyDescent="0.25">
      <c r="A6" s="7">
        <f t="shared" ref="A6:A15" si="2">ROW()-1</f>
        <v>5</v>
      </c>
      <c r="B6" s="155"/>
      <c r="C6" s="155"/>
      <c r="D6" s="155"/>
      <c r="E6" s="155"/>
      <c r="F6" s="155"/>
      <c r="G6" s="153"/>
      <c r="H6" s="153"/>
      <c r="I6" s="153"/>
      <c r="J6" s="20"/>
    </row>
    <row r="7" spans="1:10" x14ac:dyDescent="0.25">
      <c r="A7" s="7">
        <f t="shared" si="2"/>
        <v>6</v>
      </c>
      <c r="B7" s="155"/>
      <c r="C7" s="155"/>
      <c r="D7" s="155"/>
      <c r="E7" s="155"/>
      <c r="F7" s="155"/>
      <c r="G7" s="153"/>
      <c r="H7" s="153"/>
      <c r="I7" s="153"/>
      <c r="J7" s="20"/>
    </row>
    <row r="8" spans="1:10" x14ac:dyDescent="0.25">
      <c r="A8" s="7">
        <f t="shared" si="2"/>
        <v>7</v>
      </c>
      <c r="B8" s="155"/>
      <c r="C8" s="155"/>
      <c r="D8" s="155"/>
      <c r="E8" s="155"/>
      <c r="F8" s="155"/>
      <c r="G8" s="153"/>
      <c r="H8" s="153"/>
      <c r="I8" s="153"/>
      <c r="J8" s="20"/>
    </row>
    <row r="9" spans="1:10" x14ac:dyDescent="0.25">
      <c r="A9" s="7">
        <f t="shared" si="2"/>
        <v>8</v>
      </c>
      <c r="B9" s="155"/>
      <c r="C9" s="155"/>
      <c r="D9" s="155"/>
      <c r="E9" s="155"/>
      <c r="F9" s="155"/>
      <c r="G9" s="153"/>
      <c r="H9" s="153"/>
      <c r="I9" s="153"/>
      <c r="J9" s="20"/>
    </row>
    <row r="10" spans="1:10" x14ac:dyDescent="0.25">
      <c r="A10" s="7">
        <f t="shared" si="2"/>
        <v>9</v>
      </c>
      <c r="B10" s="155"/>
      <c r="C10" s="155"/>
      <c r="D10" s="155"/>
      <c r="E10" s="155"/>
      <c r="F10" s="155"/>
      <c r="G10" s="153"/>
      <c r="H10" s="153"/>
      <c r="I10" s="153"/>
      <c r="J10" s="20"/>
    </row>
    <row r="11" spans="1:10" x14ac:dyDescent="0.25">
      <c r="A11" s="7">
        <f t="shared" si="2"/>
        <v>10</v>
      </c>
      <c r="B11" s="155"/>
      <c r="C11" s="155"/>
      <c r="D11" s="155"/>
      <c r="E11" s="155"/>
      <c r="F11" s="155"/>
      <c r="G11" s="153"/>
      <c r="H11" s="153"/>
      <c r="I11" s="153"/>
      <c r="J11" s="20"/>
    </row>
    <row r="12" spans="1:10" x14ac:dyDescent="0.25">
      <c r="A12" s="7">
        <f t="shared" si="2"/>
        <v>11</v>
      </c>
      <c r="B12" s="155"/>
      <c r="C12" s="155"/>
      <c r="D12" s="155"/>
      <c r="E12" s="155"/>
      <c r="F12" s="155"/>
      <c r="G12" s="153"/>
      <c r="H12" s="153"/>
      <c r="I12" s="153"/>
      <c r="J12" s="20"/>
    </row>
    <row r="13" spans="1:10" x14ac:dyDescent="0.25">
      <c r="A13" s="7">
        <f t="shared" si="2"/>
        <v>12</v>
      </c>
      <c r="B13" s="155"/>
      <c r="C13" s="155"/>
      <c r="D13" s="155"/>
      <c r="E13" s="155"/>
      <c r="F13" s="155"/>
      <c r="G13" s="153"/>
      <c r="H13" s="153"/>
      <c r="I13" s="153"/>
      <c r="J13" s="20"/>
    </row>
    <row r="14" spans="1:10" x14ac:dyDescent="0.25">
      <c r="A14" s="7">
        <f t="shared" si="2"/>
        <v>13</v>
      </c>
      <c r="B14" s="155"/>
      <c r="C14" s="155"/>
      <c r="D14" s="155"/>
      <c r="E14" s="155"/>
      <c r="F14" s="155"/>
      <c r="G14" s="153"/>
      <c r="H14" s="153"/>
      <c r="I14" s="153"/>
      <c r="J14" s="20"/>
    </row>
    <row r="15" spans="1:10" x14ac:dyDescent="0.25">
      <c r="A15" s="7">
        <f t="shared" si="2"/>
        <v>14</v>
      </c>
      <c r="B15" s="155"/>
      <c r="C15" s="155"/>
      <c r="D15" s="155"/>
      <c r="E15" s="155"/>
      <c r="F15" s="155"/>
      <c r="G15" s="153"/>
      <c r="H15" s="153"/>
      <c r="I15" s="153"/>
      <c r="J15" s="20"/>
    </row>
    <row r="16" spans="1:10" x14ac:dyDescent="0.25">
      <c r="A16" s="7">
        <f t="shared" si="1"/>
        <v>15</v>
      </c>
      <c r="B16" s="155"/>
      <c r="C16" s="155"/>
      <c r="D16" s="155"/>
      <c r="E16" s="155"/>
      <c r="F16" s="155"/>
      <c r="G16" s="153"/>
      <c r="H16" s="153"/>
      <c r="I16" s="153"/>
      <c r="J16" s="20"/>
    </row>
    <row r="17" spans="1:10" x14ac:dyDescent="0.25">
      <c r="A17" s="7">
        <f t="shared" si="1"/>
        <v>16</v>
      </c>
      <c r="B17" s="155"/>
      <c r="C17" s="155"/>
      <c r="D17" s="155"/>
      <c r="E17" s="155"/>
      <c r="F17" s="155"/>
      <c r="G17" s="153"/>
      <c r="H17" s="153"/>
      <c r="I17" s="153"/>
      <c r="J17" s="20"/>
    </row>
    <row r="18" spans="1:10" x14ac:dyDescent="0.25">
      <c r="A18" s="7">
        <f t="shared" si="0"/>
        <v>17</v>
      </c>
      <c r="B18" s="155"/>
      <c r="C18" s="155"/>
      <c r="D18" s="155"/>
      <c r="E18" s="155"/>
      <c r="F18" s="155"/>
      <c r="G18" s="153"/>
      <c r="H18" s="153"/>
      <c r="I18" s="153"/>
      <c r="J18" s="20"/>
    </row>
  </sheetData>
  <dataConsolidate/>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780E4E15-5E2B-4003-8CEB-5E4D0C87A8F1}">
          <x14:formula1>
            <xm:f>'4_1 Codelists'!$F$69:$F$84</xm:f>
          </x14:formula1>
          <xm:sqref>D2:D17</xm:sqref>
        </x14:dataValidation>
        <x14:dataValidation type="list" allowBlank="1" showInputMessage="1" showErrorMessage="1" xr:uid="{FCD48FDF-40C0-4147-9B30-13A8562B48BC}">
          <x14:formula1>
            <xm:f>'4_1 Codelists'!$B$89:$B$96</xm:f>
          </x14:formula1>
          <xm:sqref>F2:F17</xm:sqref>
        </x14:dataValidation>
        <x14:dataValidation type="list" allowBlank="1" showInputMessage="1" showErrorMessage="1" xr:uid="{CB79E380-8011-411B-B735-1C7402DE23CA}">
          <x14:formula1>
            <xm:f>'0_Configuration'!$C$12:$C$15</xm:f>
          </x14:formula1>
          <xm:sqref>B2:B17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47"/>
  <sheetViews>
    <sheetView zoomScale="85" zoomScaleNormal="85" workbookViewId="0">
      <selection activeCell="F32" sqref="F32"/>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85" t="s">
        <v>54</v>
      </c>
      <c r="B1" s="185" t="s">
        <v>28</v>
      </c>
      <c r="C1" s="185" t="s">
        <v>49</v>
      </c>
      <c r="D1" s="185" t="s">
        <v>56</v>
      </c>
      <c r="E1" s="186" t="s">
        <v>638</v>
      </c>
      <c r="F1" s="186" t="s">
        <v>497</v>
      </c>
      <c r="G1" s="186" t="s">
        <v>500</v>
      </c>
      <c r="H1" s="186" t="s">
        <v>658</v>
      </c>
      <c r="I1" t="s">
        <v>659</v>
      </c>
      <c r="J1" s="186" t="s">
        <v>660</v>
      </c>
      <c r="K1" s="186" t="s">
        <v>663</v>
      </c>
      <c r="L1" s="186" t="s">
        <v>661</v>
      </c>
      <c r="M1" s="186" t="s">
        <v>664</v>
      </c>
      <c r="N1" s="186" t="s">
        <v>662</v>
      </c>
      <c r="O1" t="s">
        <v>665</v>
      </c>
      <c r="P1" t="s">
        <v>6</v>
      </c>
    </row>
    <row r="2" spans="1:16" x14ac:dyDescent="0.25">
      <c r="A2" s="187" t="b">
        <v>0</v>
      </c>
      <c r="B2" s="7">
        <f t="shared" ref="B2:B47" si="0">ROW()-1</f>
        <v>1</v>
      </c>
      <c r="C2" s="27" t="str">
        <f>_xlfn.XLOOKUP($D2,Tab_Def_Processes[Process_Name],Tab_Def_Processes[ID],,0,)</f>
        <v>00</v>
      </c>
      <c r="D2" s="7" t="str">
        <f>Tab_Def_Processes[[#This Row],[Process_Name]]</f>
        <v>Reifenherstellung</v>
      </c>
      <c r="E2" s="188" t="s">
        <v>549</v>
      </c>
      <c r="F2" s="188" t="s">
        <v>550</v>
      </c>
      <c r="G2" s="7" t="str">
        <f>_xlfn.XLOOKUP($F2,Table32[Color_Name],Table32[Hex_Code],,0,)</f>
        <v>#228B22</v>
      </c>
      <c r="H2" s="8">
        <v>0.01</v>
      </c>
      <c r="I2" s="8">
        <v>0.2</v>
      </c>
      <c r="J2" s="8">
        <v>0.1</v>
      </c>
      <c r="K2" s="8">
        <v>0.2</v>
      </c>
      <c r="L2" s="8">
        <v>0.1</v>
      </c>
      <c r="M2" s="8">
        <v>0.2</v>
      </c>
      <c r="N2" s="8">
        <v>0.1</v>
      </c>
      <c r="O2" s="8">
        <v>0.2</v>
      </c>
      <c r="P2" s="8"/>
    </row>
    <row r="3" spans="1:16" x14ac:dyDescent="0.25">
      <c r="A3" s="187" t="b">
        <v>0</v>
      </c>
      <c r="B3" s="7">
        <f t="shared" si="0"/>
        <v>2</v>
      </c>
      <c r="C3" s="27" t="str">
        <f>_xlfn.XLOOKUP($D3,Tab_Def_Processes[Process_Name],Tab_Def_Processes[ID],,0,)</f>
        <v>01</v>
      </c>
      <c r="D3" s="7" t="str">
        <f>Tab_Def_Processes[[#This Row],[Process_Name]]</f>
        <v>Reifennutzung</v>
      </c>
      <c r="E3" s="188" t="s">
        <v>549</v>
      </c>
      <c r="F3" s="188" t="s">
        <v>566</v>
      </c>
      <c r="G3" s="7" t="str">
        <f>_xlfn.XLOOKUP($F3,Table32[Color_Name],Table32[Hex_Code],,0,)</f>
        <v>#F5DEB3</v>
      </c>
      <c r="H3" s="8">
        <v>0.01</v>
      </c>
      <c r="I3" s="8">
        <v>0.2</v>
      </c>
      <c r="J3" s="8">
        <v>0.5</v>
      </c>
      <c r="K3" s="8">
        <v>0.2</v>
      </c>
      <c r="L3" s="8">
        <v>0.5</v>
      </c>
      <c r="M3" s="8">
        <v>0.2</v>
      </c>
      <c r="N3" s="8">
        <v>0.5</v>
      </c>
      <c r="O3" s="8">
        <v>0.2</v>
      </c>
      <c r="P3" s="8"/>
    </row>
    <row r="4" spans="1:16" x14ac:dyDescent="0.25">
      <c r="A4" s="187" t="b">
        <v>0</v>
      </c>
      <c r="B4" s="7">
        <f t="shared" si="0"/>
        <v>3</v>
      </c>
      <c r="C4" s="27" t="str">
        <f>_xlfn.XLOOKUP($D4,Tab_Def_Processes[Process_Name],Tab_Def_Processes[ID],,0,)</f>
        <v>02</v>
      </c>
      <c r="D4" s="7" t="str">
        <f>Tab_Def_Processes[[#This Row],[Process_Name]]</f>
        <v>Abrieb &amp; Akkumulation in der Umwelt</v>
      </c>
      <c r="E4" s="188" t="s">
        <v>549</v>
      </c>
      <c r="F4" s="188" t="s">
        <v>566</v>
      </c>
      <c r="G4" s="7" t="str">
        <f>_xlfn.XLOOKUP($F4,Table32[Color_Name],Table32[Hex_Code],,0,)</f>
        <v>#F5DEB3</v>
      </c>
      <c r="H4" s="8">
        <v>0.2</v>
      </c>
      <c r="I4" s="8">
        <v>0.2</v>
      </c>
      <c r="J4" s="8">
        <v>0.6</v>
      </c>
      <c r="K4" s="8">
        <v>0.4</v>
      </c>
      <c r="L4" s="8">
        <v>0.6</v>
      </c>
      <c r="M4" s="8">
        <v>0.4</v>
      </c>
      <c r="N4" s="8">
        <v>0.6</v>
      </c>
      <c r="O4" s="8">
        <v>0.4</v>
      </c>
      <c r="P4" s="8"/>
    </row>
    <row r="5" spans="1:16" x14ac:dyDescent="0.25">
      <c r="A5" s="187" t="b">
        <v>0</v>
      </c>
      <c r="B5" s="7">
        <f t="shared" si="0"/>
        <v>4</v>
      </c>
      <c r="C5" s="27" t="str">
        <f>_xlfn.XLOOKUP($D5,Tab_Def_Processes[Process_Name],Tab_Def_Processes[ID],,0,)</f>
        <v>03</v>
      </c>
      <c r="D5" s="7" t="str">
        <f>Tab_Def_Processes[[#This Row],[Process_Name]]</f>
        <v>Altreifensammlung</v>
      </c>
      <c r="E5" s="188" t="s">
        <v>549</v>
      </c>
      <c r="F5" s="188" t="s">
        <v>566</v>
      </c>
      <c r="G5" s="7" t="str">
        <f>_xlfn.XLOOKUP($F5,Table32[Color_Name],Table32[Hex_Code],,0,)</f>
        <v>#F5DEB3</v>
      </c>
      <c r="H5" s="8">
        <v>0.5</v>
      </c>
      <c r="I5" s="8">
        <v>0.2</v>
      </c>
      <c r="J5" s="8">
        <v>0.4</v>
      </c>
      <c r="K5" s="8">
        <v>0.2</v>
      </c>
      <c r="L5" s="8">
        <v>0.4</v>
      </c>
      <c r="M5" s="8">
        <v>0.2</v>
      </c>
      <c r="N5" s="8">
        <v>0.4</v>
      </c>
      <c r="O5" s="8">
        <v>0.2</v>
      </c>
      <c r="P5" s="8"/>
    </row>
    <row r="6" spans="1:16" x14ac:dyDescent="0.25">
      <c r="A6" s="187" t="b">
        <v>0</v>
      </c>
      <c r="B6" s="7">
        <f t="shared" si="0"/>
        <v>5</v>
      </c>
      <c r="C6" s="27" t="str">
        <f>_xlfn.XLOOKUP($D6,Tab_Def_Processes[Process_Name],Tab_Def_Processes[ID],,0,)</f>
        <v>04</v>
      </c>
      <c r="D6" s="7" t="str">
        <f>Tab_Def_Processes[[#This Row],[Process_Name]]</f>
        <v>Runderneuerung</v>
      </c>
      <c r="E6" s="188" t="s">
        <v>549</v>
      </c>
      <c r="F6" s="188" t="s">
        <v>566</v>
      </c>
      <c r="G6" s="7" t="str">
        <f>_xlfn.XLOOKUP($F6,Table32[Color_Name],Table32[Hex_Code],,0,)</f>
        <v>#F5DEB3</v>
      </c>
      <c r="H6" s="8">
        <v>0.1</v>
      </c>
      <c r="I6" s="8">
        <v>0.5</v>
      </c>
      <c r="J6" s="8">
        <v>0.2</v>
      </c>
      <c r="K6" s="8">
        <v>0.5</v>
      </c>
      <c r="L6" s="8">
        <v>0.2</v>
      </c>
      <c r="M6" s="8">
        <v>0.5</v>
      </c>
      <c r="N6" s="8">
        <v>0.2</v>
      </c>
      <c r="O6" s="8">
        <v>0.5</v>
      </c>
      <c r="P6" s="8"/>
    </row>
    <row r="7" spans="1:16" x14ac:dyDescent="0.25">
      <c r="A7" s="187" t="b">
        <v>0</v>
      </c>
      <c r="B7" s="7">
        <f t="shared" si="0"/>
        <v>6</v>
      </c>
      <c r="C7" s="27" t="str">
        <f>_xlfn.XLOOKUP($D7,Tab_Def_Processes[Process_Name],Tab_Def_Processes[ID],,0,)</f>
        <v>05</v>
      </c>
      <c r="D7" s="7" t="str">
        <f>Tab_Def_Processes[[#This Row],[Process_Name]]</f>
        <v>Werkstoffliche Verwertung</v>
      </c>
      <c r="E7" s="188" t="s">
        <v>549</v>
      </c>
      <c r="F7" s="188" t="s">
        <v>566</v>
      </c>
      <c r="G7" s="7" t="str">
        <f>_xlfn.XLOOKUP($F7,Table32[Color_Name],Table32[Hex_Code],,0,)</f>
        <v>#F5DEB3</v>
      </c>
      <c r="H7" s="8">
        <v>0.2</v>
      </c>
      <c r="I7" s="8">
        <v>0.5</v>
      </c>
      <c r="J7" s="8">
        <v>0.3</v>
      </c>
      <c r="K7" s="8">
        <v>0.5</v>
      </c>
      <c r="L7" s="8">
        <v>0.3</v>
      </c>
      <c r="M7" s="8">
        <v>0.5</v>
      </c>
      <c r="N7" s="8">
        <v>0.3</v>
      </c>
      <c r="O7" s="8">
        <v>0.5</v>
      </c>
      <c r="P7" s="8"/>
    </row>
    <row r="8" spans="1:16" x14ac:dyDescent="0.25">
      <c r="A8" s="187" t="b">
        <v>0</v>
      </c>
      <c r="B8" s="7">
        <f t="shared" si="0"/>
        <v>7</v>
      </c>
      <c r="C8" s="27" t="str">
        <f>_xlfn.XLOOKUP($D8,Tab_Def_Processes[Process_Name],Tab_Def_Processes[ID],,0,)</f>
        <v>06</v>
      </c>
      <c r="D8" s="7" t="str">
        <f>Tab_Def_Processes[[#This Row],[Process_Name]]</f>
        <v>Thermische Vwerwertung</v>
      </c>
      <c r="E8" s="188" t="s">
        <v>549</v>
      </c>
      <c r="F8" s="188" t="s">
        <v>566</v>
      </c>
      <c r="G8" s="7" t="str">
        <f>_xlfn.XLOOKUP($F8,Table32[Color_Name],Table32[Hex_Code],,0,)</f>
        <v>#F5DEB3</v>
      </c>
      <c r="H8" s="8">
        <v>0.5</v>
      </c>
      <c r="I8" s="8">
        <v>0.5</v>
      </c>
      <c r="J8" s="8">
        <v>0.4</v>
      </c>
      <c r="K8" s="8">
        <v>0.6</v>
      </c>
      <c r="L8" s="8">
        <v>0.4</v>
      </c>
      <c r="M8" s="8">
        <v>0.6</v>
      </c>
      <c r="N8" s="8">
        <v>0.4</v>
      </c>
      <c r="O8" s="8">
        <v>0.6</v>
      </c>
      <c r="P8" s="8"/>
    </row>
    <row r="9" spans="1:16" x14ac:dyDescent="0.25">
      <c r="A9" s="187" t="b">
        <v>0</v>
      </c>
      <c r="B9" s="7">
        <f t="shared" si="0"/>
        <v>8</v>
      </c>
      <c r="C9" s="27" t="str">
        <f>_xlfn.XLOOKUP($D9,Tab_Def_Processes[Process_Name],Tab_Def_Processes[ID],,0,)</f>
        <v>07</v>
      </c>
      <c r="D9" s="7" t="str">
        <f>Tab_Def_Processes[[#This Row],[Process_Name]]</f>
        <v>Export</v>
      </c>
      <c r="E9" s="188" t="s">
        <v>549</v>
      </c>
      <c r="F9" s="188" t="s">
        <v>562</v>
      </c>
      <c r="G9" s="7" t="str">
        <f>_xlfn.XLOOKUP($F9,Table32[Color_Name],Table32[Hex_Code],,0,)</f>
        <v>#8B4513</v>
      </c>
      <c r="H9" s="8">
        <v>0.7</v>
      </c>
      <c r="I9" s="8">
        <v>0.6</v>
      </c>
      <c r="J9" s="8">
        <v>0.9</v>
      </c>
      <c r="K9" s="8">
        <v>0.6</v>
      </c>
      <c r="L9" s="8">
        <v>0.9</v>
      </c>
      <c r="M9" s="8">
        <v>0.6</v>
      </c>
      <c r="N9" s="8">
        <v>0.9</v>
      </c>
      <c r="O9" s="8">
        <v>0.6</v>
      </c>
      <c r="P9" s="8"/>
    </row>
    <row r="10" spans="1:16" x14ac:dyDescent="0.25">
      <c r="A10" s="187" t="b">
        <v>0</v>
      </c>
      <c r="B10" s="7">
        <f t="shared" si="0"/>
        <v>9</v>
      </c>
      <c r="C10" s="27" t="str">
        <f>_xlfn.XLOOKUP($D10,Tab_Def_Processes[Process_Name],Tab_Def_Processes[ID],,0,)</f>
        <v>08</v>
      </c>
      <c r="D10" s="7" t="str">
        <f>Tab_Def_Processes[[#This Row],[Process_Name]]</f>
        <v>Zementmischung</v>
      </c>
      <c r="E10" s="188" t="s">
        <v>549</v>
      </c>
      <c r="F10" s="188" t="s">
        <v>566</v>
      </c>
      <c r="G10" s="7" t="str">
        <f>_xlfn.XLOOKUP($F10,Table32[Color_Name],Table32[Hex_Code],,0,)</f>
        <v>#F5DEB3</v>
      </c>
      <c r="H10" s="8">
        <v>0.7</v>
      </c>
      <c r="I10" s="8">
        <v>0.6</v>
      </c>
      <c r="J10" s="8">
        <v>0.6</v>
      </c>
      <c r="K10" s="8">
        <v>0.6</v>
      </c>
      <c r="L10" s="8">
        <v>0.6</v>
      </c>
      <c r="M10" s="8">
        <v>0.6</v>
      </c>
      <c r="N10" s="8">
        <v>0.6</v>
      </c>
      <c r="O10" s="8">
        <v>0.6</v>
      </c>
      <c r="P10" s="8"/>
    </row>
    <row r="11" spans="1:16" x14ac:dyDescent="0.25">
      <c r="A11" s="187" t="b">
        <v>0</v>
      </c>
      <c r="B11" s="7">
        <f t="shared" si="0"/>
        <v>10</v>
      </c>
      <c r="C11" s="27" t="str">
        <f>_xlfn.XLOOKUP($D11,Tab_Def_Processes[Process_Name],Tab_Def_Processes[ID],,0,)</f>
        <v>09</v>
      </c>
      <c r="D11" s="7" t="str">
        <f>Tab_Def_Processes[[#This Row],[Process_Name]]</f>
        <v>C-Emissionen</v>
      </c>
      <c r="E11" s="188" t="s">
        <v>549</v>
      </c>
      <c r="F11" s="188" t="s">
        <v>583</v>
      </c>
      <c r="G11" s="7" t="str">
        <f>_xlfn.XLOOKUP($F11,Table32[Color_Name],Table32[Hex_Code],,0,)</f>
        <v>#87CEEB</v>
      </c>
      <c r="H11" s="8">
        <v>0.01</v>
      </c>
      <c r="I11" s="8">
        <v>0.8</v>
      </c>
      <c r="J11" s="8">
        <v>0.1</v>
      </c>
      <c r="K11" s="8">
        <v>0.8</v>
      </c>
      <c r="L11" s="8">
        <v>0.1</v>
      </c>
      <c r="M11" s="8">
        <v>0.8</v>
      </c>
      <c r="N11" s="8">
        <v>0.1</v>
      </c>
      <c r="O11" s="8">
        <v>0.8</v>
      </c>
      <c r="P11" s="8"/>
    </row>
    <row r="12" spans="1:16" x14ac:dyDescent="0.25">
      <c r="A12" s="187" t="b">
        <v>0</v>
      </c>
      <c r="B12" s="7">
        <f t="shared" si="0"/>
        <v>11</v>
      </c>
      <c r="C12" s="27" t="str">
        <f>_xlfn.XLOOKUP($D12,Tab_Def_Processes[Process_Name],Tab_Def_Processes[ID],,0,)</f>
        <v>10</v>
      </c>
      <c r="D12" s="7" t="str">
        <f>Tab_Def_Processes[[#This Row],[Process_Name]]</f>
        <v>Stahlrecycling</v>
      </c>
      <c r="E12" s="188" t="s">
        <v>549</v>
      </c>
      <c r="F12" s="188" t="s">
        <v>562</v>
      </c>
      <c r="G12" s="7" t="str">
        <f>_xlfn.XLOOKUP($F12,Table32[Color_Name],Table32[Hex_Code],,0,)</f>
        <v>#8B4513</v>
      </c>
      <c r="H12" s="8">
        <v>0.9</v>
      </c>
      <c r="I12" s="8">
        <v>0.8</v>
      </c>
      <c r="J12" s="8">
        <v>0.9</v>
      </c>
      <c r="K12" s="8">
        <v>0.6</v>
      </c>
      <c r="L12" s="8">
        <v>0.9</v>
      </c>
      <c r="M12" s="8">
        <v>0.6</v>
      </c>
      <c r="N12" s="8">
        <v>0.9</v>
      </c>
      <c r="O12" s="8">
        <v>0.6</v>
      </c>
      <c r="P12" s="8"/>
    </row>
    <row r="13" spans="1:16" x14ac:dyDescent="0.25">
      <c r="A13" s="187" t="b">
        <v>0</v>
      </c>
      <c r="B13" s="7">
        <f t="shared" si="0"/>
        <v>12</v>
      </c>
      <c r="C13" s="27" t="str">
        <f>_xlfn.XLOOKUP($D13,Tab_Def_Processes[Process_Name],Tab_Def_Processes[ID],,0,)</f>
        <v>11</v>
      </c>
      <c r="D13" s="7" t="str">
        <f>Tab_Def_Processes[[#This Row],[Process_Name]]</f>
        <v>sonstige Verwendung als Füllstoff</v>
      </c>
      <c r="E13" s="188" t="s">
        <v>604</v>
      </c>
      <c r="F13" s="188" t="s">
        <v>562</v>
      </c>
      <c r="G13" s="7" t="str">
        <f>_xlfn.XLOOKUP($F13,Table32[Color_Name],Table32[Hex_Code],,0,)</f>
        <v>#8B4513</v>
      </c>
      <c r="H13" s="8"/>
      <c r="I13" s="8"/>
      <c r="J13" s="8"/>
      <c r="K13" s="8"/>
      <c r="L13" s="8"/>
      <c r="M13" s="8"/>
      <c r="N13" s="8"/>
      <c r="O13" s="8"/>
      <c r="P13" s="8"/>
    </row>
    <row r="14" spans="1:16" x14ac:dyDescent="0.25">
      <c r="A14" s="187" t="b">
        <v>0</v>
      </c>
      <c r="B14" s="7">
        <f t="shared" si="0"/>
        <v>13</v>
      </c>
      <c r="C14" s="27" t="str">
        <f>_xlfn.XLOOKUP($D14,Tab_Def_Processes[Process_Name],Tab_Def_Processes[ID],,0,)</f>
        <v>12</v>
      </c>
      <c r="D14" s="7" t="str">
        <f>Tab_Def_Processes[[#This Row],[Process_Name]]</f>
        <v>Natur-&amp; Synthesekautchouck</v>
      </c>
      <c r="E14" s="188" t="s">
        <v>604</v>
      </c>
      <c r="F14" s="188" t="s">
        <v>562</v>
      </c>
      <c r="G14" s="7" t="str">
        <f>_xlfn.XLOOKUP($F14,Table32[Color_Name],Table32[Hex_Code],,0,)</f>
        <v>#8B4513</v>
      </c>
      <c r="H14" s="8"/>
      <c r="I14" s="8"/>
      <c r="J14" s="8"/>
      <c r="K14" s="8"/>
      <c r="L14" s="8"/>
      <c r="M14" s="8"/>
      <c r="N14" s="8"/>
      <c r="O14" s="8"/>
      <c r="P14" s="8"/>
    </row>
    <row r="15" spans="1:16" x14ac:dyDescent="0.25">
      <c r="A15" s="187" t="b">
        <v>0</v>
      </c>
      <c r="B15" s="7">
        <f t="shared" si="0"/>
        <v>14</v>
      </c>
      <c r="C15" s="27" t="str">
        <f>_xlfn.XLOOKUP($D15,Tab_Def_Processes[Process_Name],Tab_Def_Processes[ID],,0,)</f>
        <v>13</v>
      </c>
      <c r="D15" s="7" t="str">
        <f>Tab_Def_Processes[[#This Row],[Process_Name]]</f>
        <v>Füllstoffe (Ruß &amp; Kieselgel)</v>
      </c>
      <c r="E15" s="188"/>
      <c r="F15" s="188"/>
      <c r="G15" s="7" t="e">
        <f>_xlfn.XLOOKUP($F15,Table32[Color_Name],Table32[Hex_Code],,0,)</f>
        <v>#N/A</v>
      </c>
      <c r="H15" s="8"/>
      <c r="I15" s="8"/>
      <c r="J15" s="8"/>
      <c r="K15" s="8"/>
      <c r="L15" s="8"/>
      <c r="M15" s="8"/>
      <c r="N15" s="8"/>
      <c r="O15" s="8"/>
      <c r="P15" s="8"/>
    </row>
    <row r="16" spans="1:16" x14ac:dyDescent="0.25">
      <c r="A16" s="187" t="b">
        <v>0</v>
      </c>
      <c r="B16" s="7">
        <f t="shared" si="0"/>
        <v>15</v>
      </c>
      <c r="C16" s="27" t="str">
        <f>_xlfn.XLOOKUP($D16,Tab_Def_Processes[Process_Name],Tab_Def_Processes[ID],,0,)</f>
        <v>14</v>
      </c>
      <c r="D16" s="7" t="str">
        <f>Tab_Def_Processes[[#This Row],[Process_Name]]</f>
        <v>Stahldraht + Textilfaser</v>
      </c>
      <c r="E16" s="188"/>
      <c r="F16" s="188"/>
      <c r="G16" s="7" t="e">
        <f>_xlfn.XLOOKUP($F16,Table32[Color_Name],Table32[Hex_Code],,0,)</f>
        <v>#N/A</v>
      </c>
      <c r="H16" s="8"/>
      <c r="I16" s="8"/>
      <c r="J16" s="8"/>
      <c r="K16" s="8"/>
      <c r="L16" s="8"/>
      <c r="M16" s="8"/>
      <c r="N16" s="8"/>
      <c r="O16" s="8"/>
      <c r="P16" s="8"/>
    </row>
    <row r="17" spans="1:16" x14ac:dyDescent="0.25">
      <c r="A17" s="187" t="b">
        <v>0</v>
      </c>
      <c r="B17" s="7">
        <f t="shared" si="0"/>
        <v>16</v>
      </c>
      <c r="C17" s="27" t="e">
        <f>_xlfn.XLOOKUP($D17,Tab_Def_Processes[Process_Name],Tab_Def_Processes[ID],,0,)</f>
        <v>#N/A</v>
      </c>
      <c r="D17" s="7">
        <f>Tab_Def_Processes[[#This Row],[Process_Name]]</f>
        <v>0</v>
      </c>
      <c r="E17" s="188"/>
      <c r="F17" s="188"/>
      <c r="G17" s="7" t="e">
        <f>_xlfn.XLOOKUP($F17,Table32[Color_Name],Table32[Hex_Code],,0,)</f>
        <v>#N/A</v>
      </c>
      <c r="H17" s="8"/>
      <c r="I17" s="8"/>
      <c r="J17" s="8"/>
      <c r="K17" s="8"/>
      <c r="L17" s="8"/>
      <c r="M17" s="8"/>
      <c r="N17" s="8"/>
      <c r="O17" s="8"/>
      <c r="P17" s="8"/>
    </row>
    <row r="18" spans="1:16" x14ac:dyDescent="0.25">
      <c r="A18" s="187" t="b">
        <v>0</v>
      </c>
      <c r="B18" s="7">
        <f t="shared" si="0"/>
        <v>17</v>
      </c>
      <c r="C18" s="27" t="e">
        <f>_xlfn.XLOOKUP($D18,Tab_Def_Processes[Process_Name],Tab_Def_Processes[ID],,0,)</f>
        <v>#N/A</v>
      </c>
      <c r="D18" s="7">
        <f>Tab_Def_Processes[[#This Row],[Process_Name]]</f>
        <v>0</v>
      </c>
      <c r="E18" s="188"/>
      <c r="F18" s="188"/>
      <c r="G18" s="7" t="e">
        <f>_xlfn.XLOOKUP($F18,Table32[Color_Name],Table32[Hex_Code],,0,)</f>
        <v>#N/A</v>
      </c>
      <c r="H18" s="8"/>
      <c r="I18" s="8"/>
      <c r="J18" s="8"/>
      <c r="K18" s="8"/>
      <c r="L18" s="8"/>
      <c r="M18" s="8"/>
      <c r="N18" s="8"/>
      <c r="O18" s="8"/>
      <c r="P18" s="8"/>
    </row>
    <row r="19" spans="1:16" x14ac:dyDescent="0.25">
      <c r="A19" s="187" t="b">
        <v>0</v>
      </c>
      <c r="B19" s="7">
        <f t="shared" si="0"/>
        <v>18</v>
      </c>
      <c r="C19" s="27" t="e">
        <f>_xlfn.XLOOKUP($D19,Tab_Def_Processes[Process_Name],Tab_Def_Processes[ID],,0,)</f>
        <v>#N/A</v>
      </c>
      <c r="D19" s="7">
        <f>Tab_Def_Processes[[#This Row],[Process_Name]]</f>
        <v>0</v>
      </c>
      <c r="E19" s="188"/>
      <c r="F19" s="188"/>
      <c r="G19" s="7" t="e">
        <f>_xlfn.XLOOKUP($F19,Table32[Color_Name],Table32[Hex_Code],,0,)</f>
        <v>#N/A</v>
      </c>
      <c r="H19" s="8"/>
      <c r="I19" s="8"/>
      <c r="J19" s="8"/>
      <c r="K19" s="8"/>
      <c r="L19" s="8"/>
      <c r="M19" s="8"/>
      <c r="N19" s="8"/>
      <c r="O19" s="8"/>
      <c r="P19" s="8"/>
    </row>
    <row r="20" spans="1:16" x14ac:dyDescent="0.25">
      <c r="A20" s="187" t="b">
        <v>0</v>
      </c>
      <c r="B20" s="7">
        <f t="shared" si="0"/>
        <v>19</v>
      </c>
      <c r="C20" s="27" t="e">
        <f>_xlfn.XLOOKUP($D20,Tab_Def_Processes[Process_Name],Tab_Def_Processes[ID],,0,)</f>
        <v>#N/A</v>
      </c>
      <c r="D20" s="7">
        <f>Tab_Def_Processes[[#This Row],[Process_Name]]</f>
        <v>0</v>
      </c>
      <c r="E20" s="188"/>
      <c r="F20" s="188"/>
      <c r="G20" s="7" t="e">
        <f>_xlfn.XLOOKUP($F20,Table32[Color_Name],Table32[Hex_Code],,0,)</f>
        <v>#N/A</v>
      </c>
      <c r="H20" s="8"/>
      <c r="I20" s="8"/>
      <c r="J20" s="8"/>
      <c r="K20" s="8"/>
      <c r="L20" s="8"/>
      <c r="M20" s="8"/>
      <c r="N20" s="8"/>
      <c r="O20" s="8"/>
      <c r="P20" s="8"/>
    </row>
    <row r="21" spans="1:16" x14ac:dyDescent="0.25">
      <c r="A21" s="187" t="b">
        <v>0</v>
      </c>
      <c r="B21" s="7">
        <f t="shared" si="0"/>
        <v>20</v>
      </c>
      <c r="C21" s="27" t="e">
        <f>_xlfn.XLOOKUP($D21,Tab_Def_Processes[Process_Name],Tab_Def_Processes[ID],,0,)</f>
        <v>#N/A</v>
      </c>
      <c r="D21" s="7">
        <f>Tab_Def_Processes[[#This Row],[Process_Name]]</f>
        <v>0</v>
      </c>
      <c r="E21" s="188"/>
      <c r="F21" s="188"/>
      <c r="G21" s="7" t="e">
        <f>_xlfn.XLOOKUP($F21,Table32[Color_Name],Table32[Hex_Code],,0,)</f>
        <v>#N/A</v>
      </c>
      <c r="H21" s="8"/>
      <c r="I21" s="8"/>
      <c r="J21" s="8"/>
      <c r="K21" s="8"/>
      <c r="L21" s="8"/>
      <c r="M21" s="8"/>
      <c r="N21" s="8"/>
      <c r="O21" s="8"/>
      <c r="P21" s="8"/>
    </row>
    <row r="22" spans="1:16" x14ac:dyDescent="0.25">
      <c r="A22" s="187" t="b">
        <v>0</v>
      </c>
      <c r="B22" s="7">
        <f t="shared" si="0"/>
        <v>21</v>
      </c>
      <c r="C22" s="27" t="e">
        <f>_xlfn.XLOOKUP($D22,Tab_Def_Processes[Process_Name],Tab_Def_Processes[ID],,0,)</f>
        <v>#N/A</v>
      </c>
      <c r="D22" s="7">
        <f>Tab_Def_Processes[[#This Row],[Process_Name]]</f>
        <v>0</v>
      </c>
      <c r="E22" s="188"/>
      <c r="F22" s="188"/>
      <c r="G22" s="7" t="e">
        <f>_xlfn.XLOOKUP($F22,Table32[Color_Name],Table32[Hex_Code],,0,)</f>
        <v>#N/A</v>
      </c>
      <c r="H22" s="8"/>
      <c r="I22" s="8"/>
      <c r="J22" s="8"/>
      <c r="K22" s="8"/>
      <c r="L22" s="8"/>
      <c r="M22" s="8"/>
      <c r="N22" s="8"/>
      <c r="O22" s="8"/>
      <c r="P22" s="8"/>
    </row>
    <row r="23" spans="1:16" x14ac:dyDescent="0.25">
      <c r="A23" s="187" t="b">
        <v>0</v>
      </c>
      <c r="B23" s="7">
        <f t="shared" si="0"/>
        <v>22</v>
      </c>
      <c r="C23" s="27" t="e">
        <f>_xlfn.XLOOKUP($D23,Tab_Def_Processes[Process_Name],Tab_Def_Processes[ID],,0,)</f>
        <v>#N/A</v>
      </c>
      <c r="D23" s="7">
        <f>Tab_Def_Processes[[#This Row],[Process_Name]]</f>
        <v>0</v>
      </c>
      <c r="E23" s="188"/>
      <c r="F23" s="188"/>
      <c r="G23" s="7" t="e">
        <f>_xlfn.XLOOKUP($F23,Table32[Color_Name],Table32[Hex_Code],,0,)</f>
        <v>#N/A</v>
      </c>
      <c r="H23" s="8"/>
      <c r="I23" s="8"/>
      <c r="J23" s="8"/>
      <c r="K23" s="8"/>
      <c r="L23" s="8"/>
      <c r="M23" s="8"/>
      <c r="N23" s="8"/>
      <c r="O23" s="8"/>
      <c r="P23" s="8"/>
    </row>
    <row r="24" spans="1:16" x14ac:dyDescent="0.25">
      <c r="A24" s="187" t="b">
        <v>0</v>
      </c>
      <c r="B24" s="7">
        <f t="shared" si="0"/>
        <v>23</v>
      </c>
      <c r="C24" s="27" t="e">
        <f>_xlfn.XLOOKUP($D24,Tab_Def_Processes[Process_Name],Tab_Def_Processes[ID],,0,)</f>
        <v>#N/A</v>
      </c>
      <c r="D24" s="7">
        <f>Tab_Def_Processes[[#This Row],[Process_Name]]</f>
        <v>0</v>
      </c>
      <c r="E24" s="188"/>
      <c r="F24" s="188"/>
      <c r="G24" s="7" t="e">
        <f>_xlfn.XLOOKUP($F24,Table32[Color_Name],Table32[Hex_Code],,0,)</f>
        <v>#N/A</v>
      </c>
      <c r="H24" s="8"/>
      <c r="I24" s="8"/>
      <c r="J24" s="8"/>
      <c r="K24" s="8"/>
      <c r="L24" s="8"/>
      <c r="M24" s="8"/>
      <c r="N24" s="8"/>
      <c r="O24" s="8"/>
      <c r="P24" s="8"/>
    </row>
    <row r="25" spans="1:16" x14ac:dyDescent="0.25">
      <c r="A25" s="187" t="b">
        <v>0</v>
      </c>
      <c r="B25" s="7">
        <f t="shared" si="0"/>
        <v>24</v>
      </c>
      <c r="C25" s="27" t="e">
        <f>_xlfn.XLOOKUP($D25,Tab_Def_Processes[Process_Name],Tab_Def_Processes[ID],,0,)</f>
        <v>#N/A</v>
      </c>
      <c r="D25" s="7">
        <f>Tab_Def_Processes[[#This Row],[Process_Name]]</f>
        <v>0</v>
      </c>
      <c r="E25" s="188"/>
      <c r="F25" s="188"/>
      <c r="G25" s="7" t="e">
        <f>_xlfn.XLOOKUP($F25,Table32[Color_Name],Table32[Hex_Code],,0,)</f>
        <v>#N/A</v>
      </c>
      <c r="H25" s="8"/>
      <c r="I25" s="8"/>
      <c r="J25" s="8"/>
      <c r="K25" s="8"/>
      <c r="L25" s="8"/>
      <c r="M25" s="8"/>
      <c r="N25" s="8"/>
      <c r="O25" s="8"/>
      <c r="P25" s="8"/>
    </row>
    <row r="26" spans="1:16" x14ac:dyDescent="0.25">
      <c r="A26" s="187" t="b">
        <v>0</v>
      </c>
      <c r="B26" s="7">
        <f t="shared" si="0"/>
        <v>25</v>
      </c>
      <c r="C26" s="27" t="e">
        <f>_xlfn.XLOOKUP($D26,Tab_Def_Processes[Process_Name],Tab_Def_Processes[ID],,0,)</f>
        <v>#N/A</v>
      </c>
      <c r="D26" s="7">
        <f>Tab_Def_Processes[[#This Row],[Process_Name]]</f>
        <v>0</v>
      </c>
      <c r="E26" s="188"/>
      <c r="F26" s="188"/>
      <c r="G26" s="7" t="e">
        <f>_xlfn.XLOOKUP($F26,Table32[Color_Name],Table32[Hex_Code],,0,)</f>
        <v>#N/A</v>
      </c>
      <c r="H26" s="8"/>
      <c r="I26" s="8"/>
      <c r="J26" s="8"/>
      <c r="K26" s="8"/>
      <c r="L26" s="8"/>
      <c r="M26" s="8"/>
      <c r="N26" s="8"/>
      <c r="O26" s="8"/>
      <c r="P26" s="8"/>
    </row>
    <row r="27" spans="1:16" x14ac:dyDescent="0.25">
      <c r="A27" s="187" t="b">
        <v>0</v>
      </c>
      <c r="B27" s="7">
        <f t="shared" si="0"/>
        <v>26</v>
      </c>
      <c r="C27" s="27" t="e">
        <f>_xlfn.XLOOKUP($D27,Tab_Def_Processes[Process_Name],Tab_Def_Processes[ID],,0,)</f>
        <v>#N/A</v>
      </c>
      <c r="D27" s="7">
        <f>Tab_Def_Processes[[#This Row],[Process_Name]]</f>
        <v>0</v>
      </c>
      <c r="E27" s="188"/>
      <c r="F27" s="188"/>
      <c r="G27" s="7" t="e">
        <f>_xlfn.XLOOKUP($F27,Table32[Color_Name],Table32[Hex_Code],,0,)</f>
        <v>#N/A</v>
      </c>
      <c r="H27" s="8"/>
      <c r="I27" s="8"/>
      <c r="J27" s="8"/>
      <c r="K27" s="8"/>
      <c r="L27" s="8"/>
      <c r="M27" s="8"/>
      <c r="N27" s="8"/>
      <c r="O27" s="8"/>
      <c r="P27" s="8"/>
    </row>
    <row r="28" spans="1:16" x14ac:dyDescent="0.25">
      <c r="A28" s="187" t="b">
        <v>0</v>
      </c>
      <c r="B28" s="7">
        <f t="shared" si="0"/>
        <v>27</v>
      </c>
      <c r="C28" s="27" t="e">
        <f>_xlfn.XLOOKUP($D28,Tab_Def_Processes[Process_Name],Tab_Def_Processes[ID],,0,)</f>
        <v>#N/A</v>
      </c>
      <c r="D28" s="7">
        <f>Tab_Def_Processes[[#This Row],[Process_Name]]</f>
        <v>0</v>
      </c>
      <c r="E28" s="188"/>
      <c r="F28" s="188"/>
      <c r="G28" s="7" t="e">
        <f>_xlfn.XLOOKUP($F28,Table32[Color_Name],Table32[Hex_Code],,0,)</f>
        <v>#N/A</v>
      </c>
      <c r="H28" s="8"/>
      <c r="I28" s="8"/>
      <c r="J28" s="8"/>
      <c r="K28" s="8"/>
      <c r="L28" s="8"/>
      <c r="M28" s="8"/>
      <c r="N28" s="8"/>
      <c r="O28" s="8"/>
      <c r="P28" s="8"/>
    </row>
    <row r="29" spans="1:16" x14ac:dyDescent="0.25">
      <c r="A29" s="187" t="b">
        <v>0</v>
      </c>
      <c r="B29" s="7">
        <f t="shared" si="0"/>
        <v>28</v>
      </c>
      <c r="C29" s="27" t="e">
        <f>_xlfn.XLOOKUP($D29,Tab_Def_Processes[Process_Name],Tab_Def_Processes[ID],,0,)</f>
        <v>#N/A</v>
      </c>
      <c r="D29" s="7">
        <f>Tab_Def_Processes[[#This Row],[Process_Name]]</f>
        <v>0</v>
      </c>
      <c r="E29" s="188"/>
      <c r="F29" s="188"/>
      <c r="G29" s="7" t="e">
        <f>_xlfn.XLOOKUP($F29,Table32[Color_Name],Table32[Hex_Code],,0,)</f>
        <v>#N/A</v>
      </c>
      <c r="H29" s="8"/>
      <c r="I29" s="8"/>
      <c r="J29" s="8"/>
      <c r="K29" s="8"/>
      <c r="L29" s="8"/>
      <c r="M29" s="8"/>
      <c r="N29" s="8"/>
      <c r="O29" s="8"/>
      <c r="P29" s="8"/>
    </row>
    <row r="30" spans="1:16" x14ac:dyDescent="0.25">
      <c r="A30" s="187" t="b">
        <v>0</v>
      </c>
      <c r="B30" s="7">
        <f t="shared" si="0"/>
        <v>29</v>
      </c>
      <c r="C30" s="27" t="e">
        <f>_xlfn.XLOOKUP($D30,Tab_Def_Processes[Process_Name],Tab_Def_Processes[ID],,0,)</f>
        <v>#N/A</v>
      </c>
      <c r="D30" s="7">
        <f>Tab_Def_Processes[[#This Row],[Process_Name]]</f>
        <v>0</v>
      </c>
      <c r="E30" s="188"/>
      <c r="F30" s="188"/>
      <c r="G30" s="7" t="e">
        <f>_xlfn.XLOOKUP($F30,Table32[Color_Name],Table32[Hex_Code],,0,)</f>
        <v>#N/A</v>
      </c>
      <c r="H30" s="8"/>
      <c r="I30" s="8"/>
      <c r="J30" s="8"/>
      <c r="K30" s="8"/>
      <c r="L30" s="8"/>
      <c r="M30" s="8"/>
      <c r="N30" s="8"/>
      <c r="O30" s="8"/>
      <c r="P30" s="8"/>
    </row>
    <row r="31" spans="1:16" x14ac:dyDescent="0.25">
      <c r="A31" s="187" t="b">
        <v>0</v>
      </c>
      <c r="B31" s="7">
        <f t="shared" si="0"/>
        <v>30</v>
      </c>
      <c r="C31" s="27" t="e">
        <f>_xlfn.XLOOKUP($D31,Tab_Def_Processes[Process_Name],Tab_Def_Processes[ID],,0,)</f>
        <v>#N/A</v>
      </c>
      <c r="D31" s="7">
        <f>Tab_Def_Processes[[#This Row],[Process_Name]]</f>
        <v>0</v>
      </c>
      <c r="E31" s="188"/>
      <c r="F31" s="188"/>
      <c r="G31" s="7" t="e">
        <f>_xlfn.XLOOKUP($F31,Table32[Color_Name],Table32[Hex_Code],,0,)</f>
        <v>#N/A</v>
      </c>
      <c r="H31" s="8"/>
      <c r="I31" s="8"/>
      <c r="J31" s="8"/>
      <c r="K31" s="8"/>
      <c r="L31" s="8"/>
      <c r="M31" s="8"/>
      <c r="N31" s="8"/>
      <c r="O31" s="8"/>
      <c r="P31" s="8"/>
    </row>
    <row r="32" spans="1:16" x14ac:dyDescent="0.25">
      <c r="A32" s="187" t="b">
        <v>0</v>
      </c>
      <c r="B32" s="7">
        <f t="shared" si="0"/>
        <v>31</v>
      </c>
      <c r="C32" s="27" t="e">
        <f>_xlfn.XLOOKUP($D32,Tab_Def_Processes[Process_Name],Tab_Def_Processes[ID],,0,)</f>
        <v>#N/A</v>
      </c>
      <c r="D32" s="7">
        <f>Tab_Def_Processes[[#This Row],[Process_Name]]</f>
        <v>0</v>
      </c>
      <c r="E32" s="188"/>
      <c r="F32" s="188"/>
      <c r="G32" s="7" t="e">
        <f>_xlfn.XLOOKUP($F32,Table32[Color_Name],Table32[Hex_Code],,0,)</f>
        <v>#N/A</v>
      </c>
      <c r="H32" s="8"/>
      <c r="I32" s="8"/>
      <c r="J32" s="8"/>
      <c r="K32" s="8"/>
      <c r="L32" s="8"/>
      <c r="M32" s="8"/>
      <c r="N32" s="8"/>
      <c r="O32" s="8"/>
      <c r="P32" s="8"/>
    </row>
    <row r="33" spans="1:16" x14ac:dyDescent="0.25">
      <c r="A33" s="187" t="b">
        <v>0</v>
      </c>
      <c r="B33" s="7">
        <f t="shared" si="0"/>
        <v>32</v>
      </c>
      <c r="C33" s="27" t="e">
        <f>_xlfn.XLOOKUP($D33,Tab_Def_Processes[Process_Name],Tab_Def_Processes[ID],,0,)</f>
        <v>#N/A</v>
      </c>
      <c r="D33" s="7">
        <f>Tab_Def_Processes[[#This Row],[Process_Name]]</f>
        <v>0</v>
      </c>
      <c r="E33" s="188"/>
      <c r="F33" s="188"/>
      <c r="G33" s="7" t="e">
        <f>_xlfn.XLOOKUP($F33,Table32[Color_Name],Table32[Hex_Code],,0,)</f>
        <v>#N/A</v>
      </c>
      <c r="H33" s="8"/>
      <c r="I33" s="8"/>
      <c r="J33" s="8"/>
      <c r="K33" s="8"/>
      <c r="L33" s="8"/>
      <c r="M33" s="8"/>
      <c r="N33" s="8"/>
      <c r="O33" s="8"/>
      <c r="P33" s="8"/>
    </row>
    <row r="34" spans="1:16" x14ac:dyDescent="0.25">
      <c r="A34" s="187" t="b">
        <v>0</v>
      </c>
      <c r="B34" s="7">
        <f t="shared" si="0"/>
        <v>33</v>
      </c>
      <c r="C34" s="27" t="e">
        <f>_xlfn.XLOOKUP($D34,Tab_Def_Processes[Process_Name],Tab_Def_Processes[ID],,0,)</f>
        <v>#N/A</v>
      </c>
      <c r="D34" s="7">
        <f>Tab_Def_Processes[[#This Row],[Process_Name]]</f>
        <v>0</v>
      </c>
      <c r="E34" s="188"/>
      <c r="F34" s="188"/>
      <c r="G34" s="7" t="e">
        <f>_xlfn.XLOOKUP($F34,Table32[Color_Name],Table32[Hex_Code],,0,)</f>
        <v>#N/A</v>
      </c>
      <c r="H34" s="8"/>
      <c r="I34" s="8"/>
      <c r="J34" s="8"/>
      <c r="K34" s="8"/>
      <c r="L34" s="8"/>
      <c r="M34" s="8"/>
      <c r="N34" s="8"/>
      <c r="O34" s="8"/>
      <c r="P34" s="8"/>
    </row>
    <row r="35" spans="1:16" x14ac:dyDescent="0.25">
      <c r="A35" s="187" t="b">
        <v>0</v>
      </c>
      <c r="B35" s="7">
        <f t="shared" si="0"/>
        <v>34</v>
      </c>
      <c r="C35" s="27" t="e">
        <f>_xlfn.XLOOKUP($D35,Tab_Def_Processes[Process_Name],Tab_Def_Processes[ID],,0,)</f>
        <v>#N/A</v>
      </c>
      <c r="D35" s="7">
        <f>Tab_Def_Processes[[#This Row],[Process_Name]]</f>
        <v>0</v>
      </c>
      <c r="E35" s="188"/>
      <c r="F35" s="188"/>
      <c r="G35" s="7" t="e">
        <f>_xlfn.XLOOKUP($F35,Table32[Color_Name],Table32[Hex_Code],,0,)</f>
        <v>#N/A</v>
      </c>
      <c r="H35" s="8"/>
      <c r="I35" s="8"/>
      <c r="J35" s="8"/>
      <c r="K35" s="8"/>
      <c r="L35" s="8"/>
      <c r="M35" s="8"/>
      <c r="N35" s="8"/>
      <c r="O35" s="8"/>
      <c r="P35" s="8"/>
    </row>
    <row r="36" spans="1:16" x14ac:dyDescent="0.25">
      <c r="A36" s="187" t="b">
        <v>0</v>
      </c>
      <c r="B36" s="7">
        <f t="shared" si="0"/>
        <v>35</v>
      </c>
      <c r="C36" s="27" t="e">
        <f>_xlfn.XLOOKUP($D36,Tab_Def_Processes[Process_Name],Tab_Def_Processes[ID],,0,)</f>
        <v>#N/A</v>
      </c>
      <c r="D36" s="7">
        <f>Tab_Def_Processes[[#This Row],[Process_Name]]</f>
        <v>0</v>
      </c>
      <c r="E36" s="188"/>
      <c r="F36" s="188"/>
      <c r="G36" s="7" t="e">
        <f>_xlfn.XLOOKUP($F36,Table32[Color_Name],Table32[Hex_Code],,0,)</f>
        <v>#N/A</v>
      </c>
      <c r="H36" s="8"/>
      <c r="I36" s="8"/>
      <c r="J36" s="8"/>
      <c r="K36" s="8"/>
      <c r="L36" s="8"/>
      <c r="M36" s="8"/>
      <c r="N36" s="8"/>
      <c r="O36" s="8"/>
      <c r="P36" s="8"/>
    </row>
    <row r="37" spans="1:16" x14ac:dyDescent="0.25">
      <c r="A37" s="187" t="b">
        <v>0</v>
      </c>
      <c r="B37" s="7">
        <f t="shared" si="0"/>
        <v>36</v>
      </c>
      <c r="C37" s="27" t="e">
        <f>_xlfn.XLOOKUP($D37,Tab_Def_Processes[Process_Name],Tab_Def_Processes[ID],,0,)</f>
        <v>#N/A</v>
      </c>
      <c r="D37" s="7">
        <f>Tab_Def_Processes[[#This Row],[Process_Name]]</f>
        <v>0</v>
      </c>
      <c r="E37" s="188"/>
      <c r="F37" s="188"/>
      <c r="G37" s="7" t="e">
        <f>_xlfn.XLOOKUP($F37,Table32[Color_Name],Table32[Hex_Code],,0,)</f>
        <v>#N/A</v>
      </c>
      <c r="H37" s="8"/>
      <c r="I37" s="8"/>
      <c r="J37" s="8"/>
      <c r="K37" s="8"/>
      <c r="L37" s="8"/>
      <c r="M37" s="8"/>
      <c r="N37" s="8"/>
      <c r="O37" s="8"/>
      <c r="P37" s="8"/>
    </row>
    <row r="38" spans="1:16" x14ac:dyDescent="0.25">
      <c r="A38" s="187" t="b">
        <v>0</v>
      </c>
      <c r="B38" s="7">
        <f t="shared" si="0"/>
        <v>37</v>
      </c>
      <c r="C38" s="27" t="e">
        <f>_xlfn.XLOOKUP($D38,Tab_Def_Processes[Process_Name],Tab_Def_Processes[ID],,0,)</f>
        <v>#N/A</v>
      </c>
      <c r="D38" s="7">
        <f>Tab_Def_Processes[[#This Row],[Process_Name]]</f>
        <v>0</v>
      </c>
      <c r="E38" s="188"/>
      <c r="F38" s="188"/>
      <c r="G38" s="7" t="e">
        <f>_xlfn.XLOOKUP($F38,Table32[Color_Name],Table32[Hex_Code],,0,)</f>
        <v>#N/A</v>
      </c>
      <c r="H38" s="8"/>
      <c r="I38" s="8"/>
      <c r="J38" s="8"/>
      <c r="K38" s="8"/>
      <c r="L38" s="8"/>
      <c r="M38" s="8"/>
      <c r="N38" s="8"/>
      <c r="O38" s="8"/>
      <c r="P38" s="8"/>
    </row>
    <row r="39" spans="1:16" x14ac:dyDescent="0.25">
      <c r="A39" s="187" t="b">
        <v>0</v>
      </c>
      <c r="B39" s="7">
        <f t="shared" si="0"/>
        <v>38</v>
      </c>
      <c r="C39" s="27" t="e">
        <f>_xlfn.XLOOKUP($D39,Tab_Def_Processes[Process_Name],Tab_Def_Processes[ID],,0,)</f>
        <v>#N/A</v>
      </c>
      <c r="D39" s="7">
        <f>Tab_Def_Processes[[#This Row],[Process_Name]]</f>
        <v>0</v>
      </c>
      <c r="E39" s="188"/>
      <c r="F39" s="188"/>
      <c r="G39" s="7" t="e">
        <f>_xlfn.XLOOKUP($F39,Table32[Color_Name],Table32[Hex_Code],,0,)</f>
        <v>#N/A</v>
      </c>
      <c r="H39" s="8"/>
      <c r="I39" s="8"/>
      <c r="J39" s="8"/>
      <c r="K39" s="8"/>
      <c r="L39" s="8"/>
      <c r="M39" s="8"/>
      <c r="N39" s="8"/>
      <c r="O39" s="8"/>
      <c r="P39" s="8"/>
    </row>
    <row r="40" spans="1:16" x14ac:dyDescent="0.25">
      <c r="A40" s="187" t="b">
        <v>0</v>
      </c>
      <c r="B40" s="7">
        <f t="shared" si="0"/>
        <v>39</v>
      </c>
      <c r="C40" s="27" t="e">
        <f>_xlfn.XLOOKUP($D40,Tab_Def_Processes[Process_Name],Tab_Def_Processes[ID],,0,)</f>
        <v>#N/A</v>
      </c>
      <c r="D40" s="7">
        <f>Tab_Def_Processes[[#This Row],[Process_Name]]</f>
        <v>0</v>
      </c>
      <c r="E40" s="188"/>
      <c r="F40" s="188"/>
      <c r="G40" s="7" t="e">
        <f>_xlfn.XLOOKUP($F40,Table32[Color_Name],Table32[Hex_Code],,0,)</f>
        <v>#N/A</v>
      </c>
      <c r="H40" s="8"/>
      <c r="I40" s="8"/>
      <c r="J40" s="8"/>
      <c r="K40" s="8"/>
      <c r="L40" s="8"/>
      <c r="M40" s="8"/>
      <c r="N40" s="8"/>
      <c r="O40" s="8"/>
      <c r="P40" s="8"/>
    </row>
    <row r="41" spans="1:16" x14ac:dyDescent="0.25">
      <c r="A41" s="187" t="b">
        <v>0</v>
      </c>
      <c r="B41" s="7">
        <f t="shared" si="0"/>
        <v>40</v>
      </c>
      <c r="C41" s="27" t="e">
        <f>_xlfn.XLOOKUP($D41,Tab_Def_Processes[Process_Name],Tab_Def_Processes[ID],,0,)</f>
        <v>#N/A</v>
      </c>
      <c r="D41" s="7">
        <f>Tab_Def_Processes[[#This Row],[Process_Name]]</f>
        <v>0</v>
      </c>
      <c r="E41" s="188"/>
      <c r="F41" s="188"/>
      <c r="G41" s="7" t="e">
        <f>_xlfn.XLOOKUP($F41,Table32[Color_Name],Table32[Hex_Code],,0,)</f>
        <v>#N/A</v>
      </c>
      <c r="H41" s="8"/>
      <c r="I41" s="8"/>
      <c r="J41" s="8"/>
      <c r="K41" s="8"/>
      <c r="L41" s="8"/>
      <c r="M41" s="8"/>
      <c r="N41" s="8"/>
      <c r="O41" s="8"/>
      <c r="P41" s="8"/>
    </row>
    <row r="42" spans="1:16" x14ac:dyDescent="0.25">
      <c r="A42" s="187" t="b">
        <v>0</v>
      </c>
      <c r="B42" s="7">
        <f t="shared" si="0"/>
        <v>41</v>
      </c>
      <c r="C42" s="27" t="e">
        <f>_xlfn.XLOOKUP($D42,Tab_Def_Processes[Process_Name],Tab_Def_Processes[ID],,0,)</f>
        <v>#N/A</v>
      </c>
      <c r="D42" s="7">
        <f>Tab_Def_Processes[[#This Row],[Process_Name]]</f>
        <v>0</v>
      </c>
      <c r="E42" s="188"/>
      <c r="F42" s="188"/>
      <c r="G42" s="7" t="e">
        <f>_xlfn.XLOOKUP($F42,Table32[Color_Name],Table32[Hex_Code],,0,)</f>
        <v>#N/A</v>
      </c>
      <c r="H42" s="8"/>
      <c r="I42" s="8"/>
      <c r="J42" s="8"/>
      <c r="K42" s="8"/>
      <c r="L42" s="8"/>
      <c r="M42" s="8"/>
      <c r="N42" s="8"/>
      <c r="O42" s="8"/>
      <c r="P42" s="8"/>
    </row>
    <row r="43" spans="1:16" x14ac:dyDescent="0.25">
      <c r="A43" s="187" t="b">
        <v>0</v>
      </c>
      <c r="B43" s="7">
        <f t="shared" si="0"/>
        <v>42</v>
      </c>
      <c r="C43" s="27" t="e">
        <f>_xlfn.XLOOKUP($D43,Tab_Def_Processes[Process_Name],Tab_Def_Processes[ID],,0,)</f>
        <v>#N/A</v>
      </c>
      <c r="D43" s="7">
        <f>Tab_Def_Processes[[#This Row],[Process_Name]]</f>
        <v>0</v>
      </c>
      <c r="E43" s="188"/>
      <c r="F43" s="188"/>
      <c r="G43" s="7" t="e">
        <f>_xlfn.XLOOKUP($F43,Table32[Color_Name],Table32[Hex_Code],,0,)</f>
        <v>#N/A</v>
      </c>
      <c r="H43" s="8"/>
      <c r="I43" s="8"/>
      <c r="J43" s="8"/>
      <c r="K43" s="8"/>
      <c r="L43" s="8"/>
      <c r="M43" s="8"/>
      <c r="N43" s="8"/>
      <c r="O43" s="8"/>
      <c r="P43" s="8"/>
    </row>
    <row r="44" spans="1:16" x14ac:dyDescent="0.25">
      <c r="A44" s="187" t="b">
        <v>0</v>
      </c>
      <c r="B44" s="7">
        <f t="shared" si="0"/>
        <v>43</v>
      </c>
      <c r="C44" s="27" t="e">
        <f>_xlfn.XLOOKUP($D44,Tab_Def_Processes[Process_Name],Tab_Def_Processes[ID],,0,)</f>
        <v>#N/A</v>
      </c>
      <c r="D44" s="7">
        <f>Tab_Def_Processes[[#This Row],[Process_Name]]</f>
        <v>0</v>
      </c>
      <c r="E44" s="188"/>
      <c r="F44" s="188"/>
      <c r="G44" s="7" t="e">
        <f>_xlfn.XLOOKUP($F44,Table32[Color_Name],Table32[Hex_Code],,0,)</f>
        <v>#N/A</v>
      </c>
      <c r="H44" s="8"/>
      <c r="I44" s="8"/>
      <c r="J44" s="8"/>
      <c r="K44" s="8"/>
      <c r="L44" s="8"/>
      <c r="M44" s="8"/>
      <c r="N44" s="8"/>
      <c r="O44" s="8"/>
      <c r="P44" s="8"/>
    </row>
    <row r="45" spans="1:16" x14ac:dyDescent="0.25">
      <c r="A45" s="187" t="b">
        <v>0</v>
      </c>
      <c r="B45" s="7">
        <f t="shared" si="0"/>
        <v>44</v>
      </c>
      <c r="C45" s="27" t="e">
        <f>_xlfn.XLOOKUP($D45,Tab_Def_Processes[Process_Name],Tab_Def_Processes[ID],,0,)</f>
        <v>#N/A</v>
      </c>
      <c r="D45" s="7">
        <f>Tab_Def_Processes[[#This Row],[Process_Name]]</f>
        <v>0</v>
      </c>
      <c r="E45" s="188"/>
      <c r="F45" s="188"/>
      <c r="G45" s="7" t="e">
        <f>_xlfn.XLOOKUP($F45,Table32[Color_Name],Table32[Hex_Code],,0,)</f>
        <v>#N/A</v>
      </c>
      <c r="H45" s="8"/>
      <c r="I45" s="8"/>
      <c r="J45" s="8"/>
      <c r="K45" s="8"/>
      <c r="L45" s="8"/>
      <c r="M45" s="8"/>
      <c r="N45" s="8"/>
      <c r="O45" s="8"/>
      <c r="P45" s="8"/>
    </row>
    <row r="46" spans="1:16" x14ac:dyDescent="0.25">
      <c r="A46" s="187" t="b">
        <v>0</v>
      </c>
      <c r="B46" s="7">
        <f t="shared" si="0"/>
        <v>45</v>
      </c>
      <c r="C46" s="27" t="e">
        <f>_xlfn.XLOOKUP($D46,Tab_Def_Processes[Process_Name],Tab_Def_Processes[ID],,0,)</f>
        <v>#N/A</v>
      </c>
      <c r="D46" s="7">
        <f>Tab_Def_Processes[[#This Row],[Process_Name]]</f>
        <v>0</v>
      </c>
      <c r="E46" s="188"/>
      <c r="F46" s="188"/>
      <c r="G46" s="7" t="e">
        <f>_xlfn.XLOOKUP($F46,Table32[Color_Name],Table32[Hex_Code],,0,)</f>
        <v>#N/A</v>
      </c>
      <c r="H46" s="8"/>
      <c r="I46" s="8"/>
      <c r="J46" s="8"/>
      <c r="K46" s="8"/>
      <c r="L46" s="8"/>
      <c r="M46" s="8"/>
      <c r="N46" s="8"/>
      <c r="O46" s="8"/>
      <c r="P46" s="8"/>
    </row>
    <row r="47" spans="1:16" x14ac:dyDescent="0.25">
      <c r="A47" s="187" t="b">
        <v>0</v>
      </c>
      <c r="B47" s="7">
        <f t="shared" si="0"/>
        <v>46</v>
      </c>
      <c r="C47" s="27" t="e">
        <f>_xlfn.XLOOKUP($D47,Tab_Def_Processes[Process_Name],Tab_Def_Processes[ID],,0,)</f>
        <v>#N/A</v>
      </c>
      <c r="D47" s="7">
        <f>Tab_Def_Processes[[#This Row],[Process_Name]]</f>
        <v>0</v>
      </c>
      <c r="E47" s="188"/>
      <c r="F47" s="188"/>
      <c r="G47" s="7" t="e">
        <f>_xlfn.XLOOKUP($F47,Table32[Color_Name],Table32[Hex_Code],,0,)</f>
        <v>#N/A</v>
      </c>
      <c r="H47" s="8"/>
      <c r="I47" s="8"/>
      <c r="J47" s="8"/>
      <c r="K47" s="8"/>
      <c r="L47" s="8"/>
      <c r="M47" s="8"/>
      <c r="N47" s="8"/>
      <c r="O47" s="8"/>
      <c r="P47" s="8"/>
    </row>
  </sheetData>
  <phoneticPr fontId="2" type="noConversion"/>
  <dataValidations count="2">
    <dataValidation type="decimal" allowBlank="1" showInputMessage="1" showErrorMessage="1" sqref="H27:H37 N15:N47" xr:uid="{FFD38C98-6D62-4B69-9EF7-23AF0A39097D}">
      <formula1>0.001</formula1>
      <formula2>1</formula2>
    </dataValidation>
    <dataValidation type="decimal" allowBlank="1" showInputMessage="1" showErrorMessage="1" sqref="O15:O47 I23:I33 H2:O14"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I15:I22 H15:H26 I34:I47 J15:M47</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J36" sqref="J36"/>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59" t="s">
        <v>28</v>
      </c>
      <c r="B1" s="159" t="s">
        <v>37</v>
      </c>
      <c r="C1" s="159" t="s">
        <v>56</v>
      </c>
      <c r="D1" s="189" t="s">
        <v>520</v>
      </c>
      <c r="E1" s="189" t="s">
        <v>639</v>
      </c>
      <c r="F1" s="189" t="s">
        <v>6</v>
      </c>
    </row>
    <row r="2" spans="1:6" x14ac:dyDescent="0.25">
      <c r="A2" s="9">
        <f>ROW()-1</f>
        <v>1</v>
      </c>
      <c r="B2" s="7" t="str">
        <f>_xlfn.XLOOKUP(C2,Tab_Def_Flows[Flow_Name],Tab_Def_Flows[Flow_ID],,0,)</f>
        <v>F_12_00</v>
      </c>
      <c r="C2" s="7" t="str">
        <f>Tab_Def_Flows[[#This Row],[Flow_Name]]</f>
        <v>Natur &amp; Synthese Kautchouk</v>
      </c>
      <c r="D2" s="155" t="s">
        <v>583</v>
      </c>
      <c r="E2" s="7" t="str">
        <f>_xlfn.XLOOKUP($D2,Table32[Color_Name],Table32[Hex_Code],,0,)</f>
        <v>#87CEEB</v>
      </c>
      <c r="F2" s="20"/>
    </row>
    <row r="3" spans="1:6" x14ac:dyDescent="0.25">
      <c r="A3" s="9">
        <f t="shared" ref="A3:A51" si="0">ROW()-1</f>
        <v>2</v>
      </c>
      <c r="B3" s="7" t="str">
        <f>_xlfn.XLOOKUP(C3,Tab_Def_Flows[Flow_Name],Tab_Def_Flows[Flow_ID],,0,)</f>
        <v>F_13_00</v>
      </c>
      <c r="C3" s="7" t="str">
        <f>Tab_Def_Flows[[#This Row],[Flow_Name]]</f>
        <v>Füllstoffe (Ruß &amp; Kieselgel)</v>
      </c>
      <c r="D3" s="155" t="s">
        <v>550</v>
      </c>
      <c r="E3" s="7" t="str">
        <f>_xlfn.XLOOKUP($D3,Table32[Color_Name],Table32[Hex_Code],,0,)</f>
        <v>#228B22</v>
      </c>
      <c r="F3" s="20"/>
    </row>
    <row r="4" spans="1:6" x14ac:dyDescent="0.25">
      <c r="A4" s="9">
        <f t="shared" si="0"/>
        <v>3</v>
      </c>
      <c r="B4" s="7" t="str">
        <f>_xlfn.XLOOKUP(C4,Tab_Def_Flows[Flow_Name],Tab_Def_Flows[Flow_ID],,0,)</f>
        <v>F_14_00</v>
      </c>
      <c r="C4" s="7" t="str">
        <f>Tab_Def_Flows[[#This Row],[Flow_Name]]</f>
        <v>Stahldraht &amp; Textilfaser</v>
      </c>
      <c r="D4" s="155" t="s">
        <v>566</v>
      </c>
      <c r="E4" s="7" t="str">
        <f>_xlfn.XLOOKUP($D4,Table32[Color_Name],Table32[Hex_Code],,0,)</f>
        <v>#F5DEB3</v>
      </c>
      <c r="F4" s="20"/>
    </row>
    <row r="5" spans="1:6" x14ac:dyDescent="0.25">
      <c r="A5" s="9">
        <f t="shared" si="0"/>
        <v>4</v>
      </c>
      <c r="B5" s="7" t="str">
        <f>_xlfn.XLOOKUP(C5,Tab_Def_Flows[Flow_Name],Tab_Def_Flows[Flow_ID],,0,)</f>
        <v>F_00_01</v>
      </c>
      <c r="C5" s="7" t="str">
        <f>Tab_Def_Flows[[#This Row],[Flow_Name]]</f>
        <v>Reifen</v>
      </c>
      <c r="D5" s="155" t="s">
        <v>566</v>
      </c>
      <c r="E5" s="7" t="str">
        <f>_xlfn.XLOOKUP($D5,Table32[Color_Name],Table32[Hex_Code],,0,)</f>
        <v>#F5DEB3</v>
      </c>
      <c r="F5" s="20"/>
    </row>
    <row r="6" spans="1:6" x14ac:dyDescent="0.25">
      <c r="A6" s="9">
        <f t="shared" si="0"/>
        <v>5</v>
      </c>
      <c r="B6" s="7" t="str">
        <f>_xlfn.XLOOKUP(C6,Tab_Def_Flows[Flow_Name],Tab_Def_Flows[Flow_ID],,0,)</f>
        <v>F_01_02</v>
      </c>
      <c r="C6" s="7" t="str">
        <f>Tab_Def_Flows[[#This Row],[Flow_Name]]</f>
        <v>Abrieb</v>
      </c>
      <c r="D6" s="155" t="s">
        <v>566</v>
      </c>
      <c r="E6" s="7" t="str">
        <f>_xlfn.XLOOKUP($D6,Table32[Color_Name],Table32[Hex_Code],,0,)</f>
        <v>#F5DEB3</v>
      </c>
      <c r="F6" s="20"/>
    </row>
    <row r="7" spans="1:6" x14ac:dyDescent="0.25">
      <c r="A7" s="9">
        <f t="shared" si="0"/>
        <v>6</v>
      </c>
      <c r="B7" s="7" t="str">
        <f>_xlfn.XLOOKUP(C7,Tab_Def_Flows[Flow_Name],Tab_Def_Flows[Flow_ID],,0,)</f>
        <v>F_01_03</v>
      </c>
      <c r="C7" s="7" t="str">
        <f>Tab_Def_Flows[[#This Row],[Flow_Name]]</f>
        <v>Altreifen</v>
      </c>
      <c r="D7" s="155" t="s">
        <v>583</v>
      </c>
      <c r="E7" s="7" t="str">
        <f>_xlfn.XLOOKUP($D7,Table32[Color_Name],Table32[Hex_Code],,0,)</f>
        <v>#87CEEB</v>
      </c>
      <c r="F7" s="20"/>
    </row>
    <row r="8" spans="1:6" x14ac:dyDescent="0.25">
      <c r="A8" s="9">
        <f t="shared" si="0"/>
        <v>7</v>
      </c>
      <c r="B8" s="7" t="str">
        <f>_xlfn.XLOOKUP(C8,Tab_Def_Flows[Flow_Name],Tab_Def_Flows[Flow_ID],,0,)</f>
        <v>F_03_04</v>
      </c>
      <c r="C8" s="7" t="str">
        <f>Tab_Def_Flows[[#This Row],[Flow_Name]]</f>
        <v>Altreifen_Erneuerung</v>
      </c>
      <c r="D8" s="155" t="s">
        <v>550</v>
      </c>
      <c r="E8" s="7" t="str">
        <f>_xlfn.XLOOKUP($D8,Table32[Color_Name],Table32[Hex_Code],,0,)</f>
        <v>#228B22</v>
      </c>
      <c r="F8" s="20"/>
    </row>
    <row r="9" spans="1:6" x14ac:dyDescent="0.25">
      <c r="A9" s="9">
        <f t="shared" si="0"/>
        <v>8</v>
      </c>
      <c r="B9" s="7" t="str">
        <f>_xlfn.XLOOKUP(C9,Tab_Def_Flows[Flow_Name],Tab_Def_Flows[Flow_ID],,0,)</f>
        <v>F_03_05</v>
      </c>
      <c r="C9" s="7" t="str">
        <f>Tab_Def_Flows[[#This Row],[Flow_Name]]</f>
        <v>Altreifen_Werkstofflich</v>
      </c>
      <c r="D9" s="155" t="s">
        <v>566</v>
      </c>
      <c r="E9" s="7" t="str">
        <f>_xlfn.XLOOKUP($D9,Table32[Color_Name],Table32[Hex_Code],,0,)</f>
        <v>#F5DEB3</v>
      </c>
      <c r="F9" s="20"/>
    </row>
    <row r="10" spans="1:6" x14ac:dyDescent="0.25">
      <c r="A10" s="9">
        <f t="shared" si="0"/>
        <v>9</v>
      </c>
      <c r="B10" s="7" t="str">
        <f>_xlfn.XLOOKUP(C10,Tab_Def_Flows[Flow_Name],Tab_Def_Flows[Flow_ID],,0,)</f>
        <v>F_03_06</v>
      </c>
      <c r="C10" s="7" t="str">
        <f>Tab_Def_Flows[[#This Row],[Flow_Name]]</f>
        <v>Altreifen_Thermisch</v>
      </c>
      <c r="D10" s="155" t="s">
        <v>566</v>
      </c>
      <c r="E10" s="7" t="str">
        <f>_xlfn.XLOOKUP($D10,Table32[Color_Name],Table32[Hex_Code],,0,)</f>
        <v>#F5DEB3</v>
      </c>
      <c r="F10" s="20"/>
    </row>
    <row r="11" spans="1:6" x14ac:dyDescent="0.25">
      <c r="A11" s="9">
        <f t="shared" si="0"/>
        <v>10</v>
      </c>
      <c r="B11" s="7" t="str">
        <f>_xlfn.XLOOKUP(C11,Tab_Def_Flows[Flow_Name],Tab_Def_Flows[Flow_ID],,0,)</f>
        <v>F_03_07</v>
      </c>
      <c r="C11" s="7" t="str">
        <f>Tab_Def_Flows[[#This Row],[Flow_Name]]</f>
        <v>Altreifen_export</v>
      </c>
      <c r="D11" s="155" t="s">
        <v>566</v>
      </c>
      <c r="E11" s="7" t="str">
        <f>_xlfn.XLOOKUP($D11,Table32[Color_Name],Table32[Hex_Code],,0,)</f>
        <v>#F5DEB3</v>
      </c>
      <c r="F11" s="20"/>
    </row>
    <row r="12" spans="1:6" x14ac:dyDescent="0.25">
      <c r="A12" s="9">
        <f t="shared" si="0"/>
        <v>11</v>
      </c>
      <c r="B12" s="7" t="str">
        <f>_xlfn.XLOOKUP(C12,Tab_Def_Flows[Flow_Name],Tab_Def_Flows[Flow_ID],,0,)</f>
        <v>F_04_01</v>
      </c>
      <c r="C12" s="7" t="str">
        <f>Tab_Def_Flows[[#This Row],[Flow_Name]]</f>
        <v>Reifen_runderneuert</v>
      </c>
      <c r="D12" s="155" t="s">
        <v>583</v>
      </c>
      <c r="E12" s="7" t="str">
        <f>_xlfn.XLOOKUP($D12,Table32[Color_Name],Table32[Hex_Code],,0,)</f>
        <v>#87CEEB</v>
      </c>
      <c r="F12" s="20"/>
    </row>
    <row r="13" spans="1:6" x14ac:dyDescent="0.25">
      <c r="A13" s="9">
        <f t="shared" si="0"/>
        <v>12</v>
      </c>
      <c r="B13" s="7" t="str">
        <f>_xlfn.XLOOKUP(C13,Tab_Def_Flows[Flow_Name],Tab_Def_Flows[Flow_ID],,0,)</f>
        <v>F_05_10</v>
      </c>
      <c r="C13" s="7" t="str">
        <f>Tab_Def_Flows[[#This Row],[Flow_Name]]</f>
        <v>Stahldraht</v>
      </c>
      <c r="D13" s="155" t="s">
        <v>550</v>
      </c>
      <c r="E13" s="7" t="str">
        <f>_xlfn.XLOOKUP($D13,Table32[Color_Name],Table32[Hex_Code],,0,)</f>
        <v>#228B22</v>
      </c>
      <c r="F13" s="20"/>
    </row>
    <row r="14" spans="1:6" x14ac:dyDescent="0.25">
      <c r="A14" s="9">
        <f t="shared" si="0"/>
        <v>13</v>
      </c>
      <c r="B14" s="7" t="str">
        <f>_xlfn.XLOOKUP(C14,Tab_Def_Flows[Flow_Name],Tab_Def_Flows[Flow_ID],,0,)</f>
        <v>F_05_11</v>
      </c>
      <c r="C14" s="7" t="str">
        <f>Tab_Def_Flows[[#This Row],[Flow_Name]]</f>
        <v>Kunststoffgranulat</v>
      </c>
      <c r="D14" s="155" t="s">
        <v>583</v>
      </c>
      <c r="E14" s="7" t="str">
        <f>_xlfn.XLOOKUP($D14,Table32[Color_Name],Table32[Hex_Code],,0,)</f>
        <v>#87CEEB</v>
      </c>
      <c r="F14" s="20"/>
    </row>
    <row r="15" spans="1:6" x14ac:dyDescent="0.25">
      <c r="A15" s="9">
        <f t="shared" si="0"/>
        <v>14</v>
      </c>
      <c r="B15" s="7" t="str">
        <f>_xlfn.XLOOKUP(C15,Tab_Def_Flows[Flow_Name],Tab_Def_Flows[Flow_ID],,0,)</f>
        <v>F_06_09</v>
      </c>
      <c r="C15" s="7" t="str">
        <f>Tab_Def_Flows[[#This Row],[Flow_Name]]</f>
        <v>Kohlenstoff</v>
      </c>
      <c r="D15" s="155" t="s">
        <v>550</v>
      </c>
      <c r="E15" s="7" t="str">
        <f>_xlfn.XLOOKUP($D15,Table32[Color_Name],Table32[Hex_Code],,0,)</f>
        <v>#228B22</v>
      </c>
      <c r="F15" s="20"/>
    </row>
    <row r="16" spans="1:6" x14ac:dyDescent="0.25">
      <c r="A16" s="9">
        <f t="shared" si="0"/>
        <v>15</v>
      </c>
      <c r="B16" s="7" t="str">
        <f>_xlfn.XLOOKUP(C16,Tab_Def_Flows[Flow_Name],Tab_Def_Flows[Flow_ID],,0,)</f>
        <v>F_06_08</v>
      </c>
      <c r="C16" s="7" t="str">
        <f>Tab_Def_Flows[[#This Row],[Flow_Name]]</f>
        <v>Stahldraht &amp; Textilfaser_Zement</v>
      </c>
      <c r="D16" s="155" t="s">
        <v>566</v>
      </c>
      <c r="E16" s="7" t="str">
        <f>_xlfn.XLOOKUP($D16,Table32[Color_Name],Table32[Hex_Code],,0,)</f>
        <v>#F5DEB3</v>
      </c>
      <c r="F16" s="20"/>
    </row>
    <row r="17" spans="1:6" x14ac:dyDescent="0.25">
      <c r="A17" s="9">
        <f t="shared" si="0"/>
        <v>16</v>
      </c>
      <c r="B17" s="7" t="e">
        <f>_xlfn.XLOOKUP(C17,Tab_Def_Flows[Flow_Name],Tab_Def_Flows[Flow_ID],,0,)</f>
        <v>#N/A</v>
      </c>
      <c r="C17" s="7">
        <f>Tab_Def_Flows[[#This Row],[Flow_Name]]</f>
        <v>0</v>
      </c>
      <c r="D17" s="155" t="s">
        <v>583</v>
      </c>
      <c r="E17" s="7" t="str">
        <f>_xlfn.XLOOKUP($D17,Table32[Color_Name],Table32[Hex_Code],,0,)</f>
        <v>#87CEEB</v>
      </c>
      <c r="F17" s="20"/>
    </row>
    <row r="18" spans="1:6" x14ac:dyDescent="0.25">
      <c r="A18" s="9">
        <f t="shared" si="0"/>
        <v>17</v>
      </c>
      <c r="B18" s="7" t="e">
        <f>_xlfn.XLOOKUP(C18,Tab_Def_Flows[Flow_Name],Tab_Def_Flows[Flow_ID],,0,)</f>
        <v>#N/A</v>
      </c>
      <c r="C18" s="7">
        <f>Tab_Def_Flows[[#This Row],[Flow_Name]]</f>
        <v>0</v>
      </c>
      <c r="D18" s="155" t="s">
        <v>550</v>
      </c>
      <c r="E18" s="7" t="str">
        <f>_xlfn.XLOOKUP($D18,Table32[Color_Name],Table32[Hex_Code],,0,)</f>
        <v>#228B22</v>
      </c>
      <c r="F18" s="20"/>
    </row>
    <row r="19" spans="1:6" x14ac:dyDescent="0.25">
      <c r="A19" s="9">
        <f t="shared" si="0"/>
        <v>18</v>
      </c>
      <c r="B19" s="7" t="e">
        <f>_xlfn.XLOOKUP(C19,Tab_Def_Flows[Flow_Name],Tab_Def_Flows[Flow_ID],,0,)</f>
        <v>#N/A</v>
      </c>
      <c r="C19" s="7">
        <f>Tab_Def_Flows[[#This Row],[Flow_Name]]</f>
        <v>0</v>
      </c>
      <c r="D19" s="155" t="s">
        <v>583</v>
      </c>
      <c r="E19" s="7" t="str">
        <f>_xlfn.XLOOKUP($D19,Table32[Color_Name],Table32[Hex_Code],,0,)</f>
        <v>#87CEEB</v>
      </c>
      <c r="F19" s="20"/>
    </row>
    <row r="20" spans="1:6" x14ac:dyDescent="0.25">
      <c r="A20" s="9">
        <f t="shared" si="0"/>
        <v>19</v>
      </c>
      <c r="B20" s="7" t="e">
        <f>_xlfn.XLOOKUP(C20,Tab_Def_Flows[Flow_Name],Tab_Def_Flows[Flow_ID],,0,)</f>
        <v>#N/A</v>
      </c>
      <c r="C20" s="7">
        <f>Tab_Def_Flows[[#This Row],[Flow_Name]]</f>
        <v>0</v>
      </c>
      <c r="D20" s="155" t="s">
        <v>550</v>
      </c>
      <c r="E20" s="7" t="str">
        <f>_xlfn.XLOOKUP($D20,Table32[Color_Name],Table32[Hex_Code],,0,)</f>
        <v>#228B22</v>
      </c>
      <c r="F20" s="20"/>
    </row>
    <row r="21" spans="1:6" x14ac:dyDescent="0.25">
      <c r="A21" s="9">
        <f t="shared" si="0"/>
        <v>20</v>
      </c>
      <c r="B21" s="7" t="e">
        <f>_xlfn.XLOOKUP(C21,Tab_Def_Flows[Flow_Name],Tab_Def_Flows[Flow_ID],,0,)</f>
        <v>#N/A</v>
      </c>
      <c r="C21" s="7">
        <f>Tab_Def_Flows[[#This Row],[Flow_Name]]</f>
        <v>0</v>
      </c>
      <c r="D21" s="155" t="s">
        <v>566</v>
      </c>
      <c r="E21" s="7" t="str">
        <f>_xlfn.XLOOKUP($D21,Table32[Color_Name],Table32[Hex_Code],,0,)</f>
        <v>#F5DEB3</v>
      </c>
      <c r="F21" s="20"/>
    </row>
    <row r="22" spans="1:6" x14ac:dyDescent="0.25">
      <c r="A22" s="9">
        <f t="shared" si="0"/>
        <v>21</v>
      </c>
      <c r="B22" s="7" t="e">
        <f>_xlfn.XLOOKUP(C22,Tab_Def_Flows[Flow_Name],Tab_Def_Flows[Flow_ID],,0,)</f>
        <v>#N/A</v>
      </c>
      <c r="C22" s="7">
        <f>Tab_Def_Flows[[#This Row],[Flow_Name]]</f>
        <v>0</v>
      </c>
      <c r="D22" s="155" t="s">
        <v>550</v>
      </c>
      <c r="E22" s="7" t="str">
        <f>_xlfn.XLOOKUP($D22,Table32[Color_Name],Table32[Hex_Code],,0,)</f>
        <v>#228B22</v>
      </c>
      <c r="F22" s="20"/>
    </row>
    <row r="23" spans="1:6" x14ac:dyDescent="0.25">
      <c r="A23" s="9">
        <f t="shared" si="0"/>
        <v>22</v>
      </c>
      <c r="B23" s="7" t="e">
        <f>_xlfn.XLOOKUP(C23,Tab_Def_Flows[Flow_Name],Tab_Def_Flows[Flow_ID],,0,)</f>
        <v>#N/A</v>
      </c>
      <c r="C23" s="7">
        <f>Tab_Def_Flows[[#This Row],[Flow_Name]]</f>
        <v>0</v>
      </c>
      <c r="D23" s="155" t="s">
        <v>550</v>
      </c>
      <c r="E23" s="7" t="str">
        <f>_xlfn.XLOOKUP($D23,Table32[Color_Name],Table32[Hex_Code],,0,)</f>
        <v>#228B22</v>
      </c>
      <c r="F23" s="20"/>
    </row>
    <row r="24" spans="1:6" x14ac:dyDescent="0.25">
      <c r="A24" s="9">
        <f t="shared" si="0"/>
        <v>23</v>
      </c>
      <c r="B24" s="7" t="e">
        <f>_xlfn.XLOOKUP(C24,Tab_Def_Flows[Flow_Name],Tab_Def_Flows[Flow_ID],,0,)</f>
        <v>#N/A</v>
      </c>
      <c r="C24" s="7">
        <f>Tab_Def_Flows[[#This Row],[Flow_Name]]</f>
        <v>0</v>
      </c>
      <c r="D24" s="155" t="s">
        <v>550</v>
      </c>
      <c r="E24" s="7" t="str">
        <f>_xlfn.XLOOKUP($D24,Table32[Color_Name],Table32[Hex_Code],,0,)</f>
        <v>#228B22</v>
      </c>
      <c r="F24" s="20"/>
    </row>
    <row r="25" spans="1:6" x14ac:dyDescent="0.25">
      <c r="A25" s="9">
        <f t="shared" si="0"/>
        <v>24</v>
      </c>
      <c r="B25" s="7" t="e">
        <f>_xlfn.XLOOKUP(C25,Tab_Def_Flows[Flow_Name],Tab_Def_Flows[Flow_ID],,0,)</f>
        <v>#N/A</v>
      </c>
      <c r="C25" s="7">
        <f>Tab_Def_Flows[[#This Row],[Flow_Name]]</f>
        <v>0</v>
      </c>
      <c r="D25" s="155" t="s">
        <v>550</v>
      </c>
      <c r="E25" s="7" t="str">
        <f>_xlfn.XLOOKUP($D25,Table32[Color_Name],Table32[Hex_Code],,0,)</f>
        <v>#228B22</v>
      </c>
      <c r="F25" s="20"/>
    </row>
    <row r="26" spans="1:6" x14ac:dyDescent="0.25">
      <c r="A26" s="9">
        <f t="shared" si="0"/>
        <v>25</v>
      </c>
      <c r="B26" s="7" t="e">
        <f>_xlfn.XLOOKUP(C26,Tab_Def_Flows[Flow_Name],Tab_Def_Flows[Flow_ID],,0,)</f>
        <v>#N/A</v>
      </c>
      <c r="C26" s="7">
        <f>Tab_Def_Flows[[#This Row],[Flow_Name]]</f>
        <v>0</v>
      </c>
      <c r="D26" s="155"/>
      <c r="E26" s="7" t="e">
        <f>_xlfn.XLOOKUP($D26,Table32[Color_Name],Table32[Hex_Code],,0,)</f>
        <v>#N/A</v>
      </c>
      <c r="F26" s="20"/>
    </row>
    <row r="27" spans="1:6" x14ac:dyDescent="0.25">
      <c r="A27" s="9">
        <f t="shared" si="0"/>
        <v>26</v>
      </c>
      <c r="B27" s="7" t="e">
        <f>_xlfn.XLOOKUP(C27,Tab_Def_Flows[Flow_Name],Tab_Def_Flows[Flow_ID],,0,)</f>
        <v>#N/A</v>
      </c>
      <c r="C27" s="7">
        <f>Tab_Def_Flows[[#This Row],[Flow_Name]]</f>
        <v>0</v>
      </c>
      <c r="D27" s="155"/>
      <c r="E27" s="7" t="e">
        <f>_xlfn.XLOOKUP($D27,Table32[Color_Name],Table32[Hex_Code],,0,)</f>
        <v>#N/A</v>
      </c>
      <c r="F27" s="20"/>
    </row>
    <row r="28" spans="1:6" x14ac:dyDescent="0.25">
      <c r="A28" s="9">
        <f t="shared" si="0"/>
        <v>27</v>
      </c>
      <c r="B28" s="7" t="e">
        <f>_xlfn.XLOOKUP(C28,Tab_Def_Flows[Flow_Name],Tab_Def_Flows[Flow_ID],,0,)</f>
        <v>#N/A</v>
      </c>
      <c r="C28" s="7">
        <f>Tab_Def_Flows[[#This Row],[Flow_Name]]</f>
        <v>0</v>
      </c>
      <c r="D28" s="155"/>
      <c r="E28" s="7" t="e">
        <f>_xlfn.XLOOKUP($D28,Table32[Color_Name],Table32[Hex_Code],,0,)</f>
        <v>#N/A</v>
      </c>
      <c r="F28" s="20"/>
    </row>
    <row r="29" spans="1:6" x14ac:dyDescent="0.25">
      <c r="A29" s="9">
        <f t="shared" si="0"/>
        <v>28</v>
      </c>
      <c r="B29" s="7" t="e">
        <f>_xlfn.XLOOKUP(C29,Tab_Def_Flows[Flow_Name],Tab_Def_Flows[Flow_ID],,0,)</f>
        <v>#N/A</v>
      </c>
      <c r="C29" s="7">
        <f>Tab_Def_Flows[[#This Row],[Flow_Name]]</f>
        <v>0</v>
      </c>
      <c r="D29" s="155"/>
      <c r="E29" s="7" t="e">
        <f>_xlfn.XLOOKUP($D29,Table32[Color_Name],Table32[Hex_Code],,0,)</f>
        <v>#N/A</v>
      </c>
      <c r="F29" s="20"/>
    </row>
    <row r="30" spans="1:6" x14ac:dyDescent="0.25">
      <c r="A30" s="9">
        <f t="shared" si="0"/>
        <v>29</v>
      </c>
      <c r="B30" s="7" t="e">
        <f>_xlfn.XLOOKUP(C30,Tab_Def_Flows[Flow_Name],Tab_Def_Flows[Flow_ID],,0,)</f>
        <v>#N/A</v>
      </c>
      <c r="C30" s="7">
        <f>Tab_Def_Flows[[#This Row],[Flow_Name]]</f>
        <v>0</v>
      </c>
      <c r="D30" s="155"/>
      <c r="E30" s="7" t="e">
        <f>_xlfn.XLOOKUP($D30,Table32[Color_Name],Table32[Hex_Code],,0,)</f>
        <v>#N/A</v>
      </c>
      <c r="F30" s="20"/>
    </row>
    <row r="31" spans="1:6" x14ac:dyDescent="0.25">
      <c r="A31" s="9">
        <f t="shared" si="0"/>
        <v>30</v>
      </c>
      <c r="B31" s="7" t="e">
        <f>_xlfn.XLOOKUP(C31,Tab_Def_Flows[Flow_Name],Tab_Def_Flows[Flow_ID],,0,)</f>
        <v>#N/A</v>
      </c>
      <c r="C31" s="7">
        <f>Tab_Def_Flows[[#This Row],[Flow_Name]]</f>
        <v>0</v>
      </c>
      <c r="D31" s="155"/>
      <c r="E31" s="7" t="e">
        <f>_xlfn.XLOOKUP($D31,Table32[Color_Name],Table32[Hex_Code],,0,)</f>
        <v>#N/A</v>
      </c>
      <c r="F31" s="20"/>
    </row>
    <row r="32" spans="1:6" x14ac:dyDescent="0.25">
      <c r="A32" s="9">
        <f t="shared" si="0"/>
        <v>31</v>
      </c>
      <c r="B32" s="7" t="e">
        <f>_xlfn.XLOOKUP(C32,Tab_Def_Flows[Flow_Name],Tab_Def_Flows[Flow_ID],,0,)</f>
        <v>#N/A</v>
      </c>
      <c r="C32" s="7">
        <f>Tab_Def_Flows[[#This Row],[Flow_Name]]</f>
        <v>0</v>
      </c>
      <c r="D32" s="155"/>
      <c r="E32" s="7" t="e">
        <f>_xlfn.XLOOKUP($D32,Table32[Color_Name],Table32[Hex_Code],,0,)</f>
        <v>#N/A</v>
      </c>
      <c r="F32" s="20"/>
    </row>
    <row r="33" spans="1:6" x14ac:dyDescent="0.25">
      <c r="A33" s="9">
        <f t="shared" si="0"/>
        <v>32</v>
      </c>
      <c r="B33" s="7" t="e">
        <f>_xlfn.XLOOKUP(C33,Tab_Def_Flows[Flow_Name],Tab_Def_Flows[Flow_ID],,0,)</f>
        <v>#N/A</v>
      </c>
      <c r="C33" s="7">
        <f>Tab_Def_Flows[[#This Row],[Flow_Name]]</f>
        <v>0</v>
      </c>
      <c r="D33" s="155"/>
      <c r="E33" s="7" t="e">
        <f>_xlfn.XLOOKUP($D33,Table32[Color_Name],Table32[Hex_Code],,0,)</f>
        <v>#N/A</v>
      </c>
      <c r="F33" s="20"/>
    </row>
    <row r="34" spans="1:6" x14ac:dyDescent="0.25">
      <c r="A34" s="9">
        <f t="shared" si="0"/>
        <v>33</v>
      </c>
      <c r="B34" s="7" t="e">
        <f>_xlfn.XLOOKUP(C34,Tab_Def_Flows[Flow_Name],Tab_Def_Flows[Flow_ID],,0,)</f>
        <v>#N/A</v>
      </c>
      <c r="C34" s="7">
        <f>Tab_Def_Flows[[#This Row],[Flow_Name]]</f>
        <v>0</v>
      </c>
      <c r="D34" s="155"/>
      <c r="E34" s="7" t="e">
        <f>_xlfn.XLOOKUP($D34,Table32[Color_Name],Table32[Hex_Code],,0,)</f>
        <v>#N/A</v>
      </c>
      <c r="F34" s="20"/>
    </row>
    <row r="35" spans="1:6" x14ac:dyDescent="0.25">
      <c r="A35" s="9">
        <f t="shared" si="0"/>
        <v>34</v>
      </c>
      <c r="B35" s="7" t="e">
        <f>_xlfn.XLOOKUP(C35,Tab_Def_Flows[Flow_Name],Tab_Def_Flows[Flow_ID],,0,)</f>
        <v>#N/A</v>
      </c>
      <c r="C35" s="7">
        <f>Tab_Def_Flows[[#This Row],[Flow_Name]]</f>
        <v>0</v>
      </c>
      <c r="D35" s="155"/>
      <c r="E35" s="7" t="e">
        <f>_xlfn.XLOOKUP($D35,Table32[Color_Name],Table32[Hex_Code],,0,)</f>
        <v>#N/A</v>
      </c>
      <c r="F35" s="20"/>
    </row>
    <row r="36" spans="1:6" x14ac:dyDescent="0.25">
      <c r="A36" s="9">
        <f t="shared" si="0"/>
        <v>35</v>
      </c>
      <c r="B36" s="7" t="e">
        <f>_xlfn.XLOOKUP(C36,Tab_Def_Flows[Flow_Name],Tab_Def_Flows[Flow_ID],,0,)</f>
        <v>#N/A</v>
      </c>
      <c r="C36" s="7">
        <f>Tab_Def_Flows[[#This Row],[Flow_Name]]</f>
        <v>0</v>
      </c>
      <c r="D36" s="155"/>
      <c r="E36" s="7" t="e">
        <f>_xlfn.XLOOKUP($D36,Table32[Color_Name],Table32[Hex_Code],,0,)</f>
        <v>#N/A</v>
      </c>
      <c r="F36" s="20"/>
    </row>
    <row r="37" spans="1:6" x14ac:dyDescent="0.25">
      <c r="A37" s="9">
        <f t="shared" si="0"/>
        <v>36</v>
      </c>
      <c r="B37" s="7" t="e">
        <f>_xlfn.XLOOKUP(C37,Tab_Def_Flows[Flow_Name],Tab_Def_Flows[Flow_ID],,0,)</f>
        <v>#N/A</v>
      </c>
      <c r="C37" s="7">
        <f>Tab_Def_Flows[[#This Row],[Flow_Name]]</f>
        <v>0</v>
      </c>
      <c r="D37" s="155"/>
      <c r="E37" s="7" t="e">
        <f>_xlfn.XLOOKUP($D37,Table32[Color_Name],Table32[Hex_Code],,0,)</f>
        <v>#N/A</v>
      </c>
      <c r="F37" s="20"/>
    </row>
    <row r="38" spans="1:6" x14ac:dyDescent="0.25">
      <c r="A38" s="9">
        <f t="shared" si="0"/>
        <v>37</v>
      </c>
      <c r="B38" s="7" t="e">
        <f>_xlfn.XLOOKUP(C38,Tab_Def_Flows[Flow_Name],Tab_Def_Flows[Flow_ID],,0,)</f>
        <v>#N/A</v>
      </c>
      <c r="C38" s="7">
        <f>Tab_Def_Flows[[#This Row],[Flow_Name]]</f>
        <v>0</v>
      </c>
      <c r="D38" s="155"/>
      <c r="E38" s="7" t="e">
        <f>_xlfn.XLOOKUP($D38,Table32[Color_Name],Table32[Hex_Code],,0,)</f>
        <v>#N/A</v>
      </c>
      <c r="F38" s="20"/>
    </row>
    <row r="39" spans="1:6" x14ac:dyDescent="0.25">
      <c r="A39" s="9">
        <f t="shared" si="0"/>
        <v>38</v>
      </c>
      <c r="B39" s="7" t="e">
        <f>_xlfn.XLOOKUP(C39,Tab_Def_Flows[Flow_Name],Tab_Def_Flows[Flow_ID],,0,)</f>
        <v>#N/A</v>
      </c>
      <c r="C39" s="7">
        <f>Tab_Def_Flows[[#This Row],[Flow_Name]]</f>
        <v>0</v>
      </c>
      <c r="D39" s="155"/>
      <c r="E39" s="7" t="e">
        <f>_xlfn.XLOOKUP($D39,Table32[Color_Name],Table32[Hex_Code],,0,)</f>
        <v>#N/A</v>
      </c>
      <c r="F39" s="20"/>
    </row>
    <row r="40" spans="1:6" x14ac:dyDescent="0.25">
      <c r="A40" s="9">
        <f t="shared" si="0"/>
        <v>39</v>
      </c>
      <c r="B40" s="7" t="e">
        <f>_xlfn.XLOOKUP(C40,Tab_Def_Flows[Flow_Name],Tab_Def_Flows[Flow_ID],,0,)</f>
        <v>#N/A</v>
      </c>
      <c r="C40" s="7">
        <f>Tab_Def_Flows[[#This Row],[Flow_Name]]</f>
        <v>0</v>
      </c>
      <c r="D40" s="155"/>
      <c r="E40" s="7" t="e">
        <f>_xlfn.XLOOKUP($D40,Table32[Color_Name],Table32[Hex_Code],,0,)</f>
        <v>#N/A</v>
      </c>
      <c r="F40" s="20"/>
    </row>
    <row r="41" spans="1:6" x14ac:dyDescent="0.25">
      <c r="A41" s="9">
        <f t="shared" si="0"/>
        <v>40</v>
      </c>
      <c r="B41" s="7" t="e">
        <f>_xlfn.XLOOKUP(C41,Tab_Def_Flows[Flow_Name],Tab_Def_Flows[Flow_ID],,0,)</f>
        <v>#N/A</v>
      </c>
      <c r="C41" s="7">
        <f>Tab_Def_Flows[[#This Row],[Flow_Name]]</f>
        <v>0</v>
      </c>
      <c r="D41" s="155"/>
      <c r="E41" s="7" t="e">
        <f>_xlfn.XLOOKUP($D41,Table32[Color_Name],Table32[Hex_Code],,0,)</f>
        <v>#N/A</v>
      </c>
      <c r="F41" s="20"/>
    </row>
    <row r="42" spans="1:6" x14ac:dyDescent="0.25">
      <c r="A42" s="9">
        <f t="shared" si="0"/>
        <v>41</v>
      </c>
      <c r="B42" s="7" t="e">
        <f>_xlfn.XLOOKUP(C42,Tab_Def_Flows[Flow_Name],Tab_Def_Flows[Flow_ID],,0,)</f>
        <v>#N/A</v>
      </c>
      <c r="C42" s="7">
        <f>Tab_Def_Flows[[#This Row],[Flow_Name]]</f>
        <v>0</v>
      </c>
      <c r="D42" s="155"/>
      <c r="E42" s="7" t="e">
        <f>_xlfn.XLOOKUP($D42,Table32[Color_Name],Table32[Hex_Code],,0,)</f>
        <v>#N/A</v>
      </c>
      <c r="F42" s="20"/>
    </row>
    <row r="43" spans="1:6" x14ac:dyDescent="0.25">
      <c r="A43" s="9">
        <f t="shared" si="0"/>
        <v>42</v>
      </c>
      <c r="B43" s="7" t="e">
        <f>_xlfn.XLOOKUP(C43,Tab_Def_Flows[Flow_Name],Tab_Def_Flows[Flow_ID],,0,)</f>
        <v>#N/A</v>
      </c>
      <c r="C43" s="7">
        <f>Tab_Def_Flows[[#This Row],[Flow_Name]]</f>
        <v>0</v>
      </c>
      <c r="D43" s="155"/>
      <c r="E43" s="7" t="e">
        <f>_xlfn.XLOOKUP($D43,Table32[Color_Name],Table32[Hex_Code],,0,)</f>
        <v>#N/A</v>
      </c>
      <c r="F43" s="20"/>
    </row>
    <row r="44" spans="1:6" x14ac:dyDescent="0.25">
      <c r="A44" s="9">
        <f t="shared" si="0"/>
        <v>43</v>
      </c>
      <c r="B44" s="7" t="e">
        <f>_xlfn.XLOOKUP(C44,Tab_Def_Flows[Flow_Name],Tab_Def_Flows[Flow_ID],,0,)</f>
        <v>#N/A</v>
      </c>
      <c r="C44" s="7">
        <f>Tab_Def_Flows[[#This Row],[Flow_Name]]</f>
        <v>0</v>
      </c>
      <c r="D44" s="155"/>
      <c r="E44" s="7" t="e">
        <f>_xlfn.XLOOKUP($D44,Table32[Color_Name],Table32[Hex_Code],,0,)</f>
        <v>#N/A</v>
      </c>
      <c r="F44" s="20"/>
    </row>
    <row r="45" spans="1:6" x14ac:dyDescent="0.25">
      <c r="A45" s="9">
        <f t="shared" si="0"/>
        <v>44</v>
      </c>
      <c r="B45" s="7" t="e">
        <f>_xlfn.XLOOKUP(C45,Tab_Def_Flows[Flow_Name],Tab_Def_Flows[Flow_ID],,0,)</f>
        <v>#N/A</v>
      </c>
      <c r="C45" s="7">
        <f>Tab_Def_Flows[[#This Row],[Flow_Name]]</f>
        <v>0</v>
      </c>
      <c r="D45" s="155"/>
      <c r="E45" s="7" t="e">
        <f>_xlfn.XLOOKUP($D45,Table32[Color_Name],Table32[Hex_Code],,0,)</f>
        <v>#N/A</v>
      </c>
      <c r="F45" s="20"/>
    </row>
    <row r="46" spans="1:6" x14ac:dyDescent="0.25">
      <c r="A46" s="9">
        <f t="shared" si="0"/>
        <v>45</v>
      </c>
      <c r="B46" s="7" t="e">
        <f>_xlfn.XLOOKUP(C46,Tab_Def_Flows[Flow_Name],Tab_Def_Flows[Flow_ID],,0,)</f>
        <v>#N/A</v>
      </c>
      <c r="C46" s="7">
        <f>Tab_Def_Flows[[#This Row],[Flow_Name]]</f>
        <v>0</v>
      </c>
      <c r="D46" s="155"/>
      <c r="E46" s="7" t="e">
        <f>_xlfn.XLOOKUP($D46,Table32[Color_Name],Table32[Hex_Code],,0,)</f>
        <v>#N/A</v>
      </c>
      <c r="F46" s="20"/>
    </row>
    <row r="47" spans="1:6" x14ac:dyDescent="0.25">
      <c r="A47" s="9">
        <f t="shared" si="0"/>
        <v>46</v>
      </c>
      <c r="B47" s="7" t="e">
        <f>_xlfn.XLOOKUP(C47,Tab_Def_Flows[Flow_Name],Tab_Def_Flows[Flow_ID],,0,)</f>
        <v>#N/A</v>
      </c>
      <c r="C47" s="7">
        <f>Tab_Def_Flows[[#This Row],[Flow_Name]]</f>
        <v>0</v>
      </c>
      <c r="D47" s="155"/>
      <c r="E47" s="7" t="e">
        <f>_xlfn.XLOOKUP($D47,Table32[Color_Name],Table32[Hex_Code],,0,)</f>
        <v>#N/A</v>
      </c>
      <c r="F47" s="20"/>
    </row>
    <row r="48" spans="1:6" x14ac:dyDescent="0.25">
      <c r="A48" s="9">
        <f t="shared" si="0"/>
        <v>47</v>
      </c>
      <c r="B48" s="7" t="e">
        <f>_xlfn.XLOOKUP(C48,Tab_Def_Flows[Flow_Name],Tab_Def_Flows[Flow_ID],,0,)</f>
        <v>#N/A</v>
      </c>
      <c r="C48" s="7">
        <f>Tab_Def_Flows[[#This Row],[Flow_Name]]</f>
        <v>0</v>
      </c>
      <c r="D48" s="155"/>
      <c r="E48" s="7" t="e">
        <f>_xlfn.XLOOKUP($D48,Table32[Color_Name],Table32[Hex_Code],,0,)</f>
        <v>#N/A</v>
      </c>
      <c r="F48" s="20"/>
    </row>
    <row r="49" spans="1:6" x14ac:dyDescent="0.25">
      <c r="A49" s="9">
        <f t="shared" si="0"/>
        <v>48</v>
      </c>
      <c r="B49" s="7" t="e">
        <f>_xlfn.XLOOKUP(C49,Tab_Def_Flows[Flow_Name],Tab_Def_Flows[Flow_ID],,0,)</f>
        <v>#N/A</v>
      </c>
      <c r="C49" s="7">
        <f>Tab_Def_Flows[[#This Row],[Flow_Name]]</f>
        <v>0</v>
      </c>
      <c r="D49" s="155"/>
      <c r="E49" s="7" t="e">
        <f>_xlfn.XLOOKUP($D49,Table32[Color_Name],Table32[Hex_Code],,0,)</f>
        <v>#N/A</v>
      </c>
      <c r="F49" s="20"/>
    </row>
    <row r="50" spans="1:6" x14ac:dyDescent="0.25">
      <c r="A50" s="9">
        <f t="shared" si="0"/>
        <v>49</v>
      </c>
      <c r="B50" s="7" t="e">
        <f>_xlfn.XLOOKUP(C50,Tab_Def_Flows[Flow_Name],Tab_Def_Flows[Flow_ID],,0,)</f>
        <v>#N/A</v>
      </c>
      <c r="C50" s="7">
        <f>Tab_Def_Flows[[#This Row],[Flow_Name]]</f>
        <v>0</v>
      </c>
      <c r="D50" s="155"/>
      <c r="E50" s="7" t="e">
        <f>_xlfn.XLOOKUP($D50,Table32[Color_Name],Table32[Hex_Code],,0,)</f>
        <v>#N/A</v>
      </c>
      <c r="F50" s="20"/>
    </row>
    <row r="51" spans="1:6" x14ac:dyDescent="0.25">
      <c r="A51" s="9">
        <f t="shared" si="0"/>
        <v>50</v>
      </c>
      <c r="B51" s="7" t="e">
        <f>_xlfn.XLOOKUP(C51,Tab_Def_Flows[Flow_Name],Tab_Def_Flows[Flow_ID],,0,)</f>
        <v>#N/A</v>
      </c>
      <c r="C51" s="7">
        <f>Tab_Def_Flows[[#This Row],[Flow_Name]]</f>
        <v>0</v>
      </c>
      <c r="D51" s="155"/>
      <c r="E51" s="7" t="e">
        <f>_xlfn.XLOOKUP($D51,Table32[Color_Name],Table32[Hex_Code],,0,)</f>
        <v>#N/A</v>
      </c>
      <c r="F51" s="20"/>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E15"/>
  <sheetViews>
    <sheetView zoomScale="85" zoomScaleNormal="85" workbookViewId="0">
      <selection activeCell="C51" sqref="C51"/>
    </sheetView>
  </sheetViews>
  <sheetFormatPr defaultRowHeight="15" x14ac:dyDescent="0.25"/>
  <cols>
    <col min="1" max="1" width="26" customWidth="1"/>
    <col min="2" max="2" width="17.28515625" customWidth="1"/>
    <col min="3" max="3" width="75" customWidth="1"/>
    <col min="4" max="4" width="16.85546875" customWidth="1"/>
  </cols>
  <sheetData>
    <row r="1" spans="1:5" x14ac:dyDescent="0.25">
      <c r="A1" s="190" t="s">
        <v>525</v>
      </c>
      <c r="B1" s="190" t="s">
        <v>223</v>
      </c>
      <c r="C1" s="190" t="s">
        <v>6</v>
      </c>
      <c r="D1" s="190" t="s">
        <v>526</v>
      </c>
      <c r="E1" s="190" t="s">
        <v>211</v>
      </c>
    </row>
    <row r="2" spans="1:5" x14ac:dyDescent="0.25">
      <c r="A2" s="7" t="s">
        <v>527</v>
      </c>
      <c r="B2" s="8">
        <v>0.5</v>
      </c>
      <c r="C2" s="20" t="s">
        <v>528</v>
      </c>
      <c r="D2" s="20" t="s">
        <v>529</v>
      </c>
      <c r="E2" s="20"/>
    </row>
    <row r="3" spans="1:5" x14ac:dyDescent="0.25">
      <c r="A3" s="7" t="s">
        <v>530</v>
      </c>
      <c r="B3" s="8">
        <v>0.5</v>
      </c>
      <c r="C3" s="20" t="s">
        <v>531</v>
      </c>
      <c r="D3" s="20" t="s">
        <v>529</v>
      </c>
      <c r="E3" s="20"/>
    </row>
    <row r="4" spans="1:5" x14ac:dyDescent="0.25">
      <c r="A4" s="7" t="s">
        <v>532</v>
      </c>
      <c r="B4" s="8">
        <v>0.3</v>
      </c>
      <c r="C4" s="20" t="s">
        <v>533</v>
      </c>
      <c r="D4" s="20" t="s">
        <v>534</v>
      </c>
      <c r="E4" s="20"/>
    </row>
    <row r="5" spans="1:5" x14ac:dyDescent="0.25">
      <c r="A5" s="7" t="s">
        <v>535</v>
      </c>
      <c r="B5" s="8" t="s">
        <v>666</v>
      </c>
      <c r="C5" s="20" t="s">
        <v>536</v>
      </c>
      <c r="D5" s="20" t="s">
        <v>537</v>
      </c>
      <c r="E5" s="20"/>
    </row>
    <row r="6" spans="1:5" x14ac:dyDescent="0.25">
      <c r="A6" s="7" t="s">
        <v>538</v>
      </c>
      <c r="B6" s="8" t="s">
        <v>539</v>
      </c>
      <c r="C6" s="20" t="s">
        <v>540</v>
      </c>
      <c r="D6" s="20" t="s">
        <v>541</v>
      </c>
      <c r="E6" s="20"/>
    </row>
    <row r="7" spans="1:5" x14ac:dyDescent="0.25">
      <c r="A7" s="7" t="s">
        <v>542</v>
      </c>
      <c r="B7" s="8" t="s">
        <v>543</v>
      </c>
      <c r="C7" s="20" t="s">
        <v>544</v>
      </c>
      <c r="D7" s="20" t="s">
        <v>541</v>
      </c>
      <c r="E7" s="20"/>
    </row>
    <row r="8" spans="1:5" x14ac:dyDescent="0.25">
      <c r="A8" s="7" t="s">
        <v>640</v>
      </c>
      <c r="B8" s="8">
        <v>1600</v>
      </c>
      <c r="C8" s="20" t="s">
        <v>641</v>
      </c>
      <c r="D8" s="20"/>
      <c r="E8" s="20"/>
    </row>
    <row r="9" spans="1:5" x14ac:dyDescent="0.25">
      <c r="A9" s="7" t="s">
        <v>643</v>
      </c>
      <c r="B9" s="8">
        <v>1200</v>
      </c>
      <c r="C9" s="20" t="s">
        <v>644</v>
      </c>
      <c r="D9" s="20"/>
      <c r="E9" s="20"/>
    </row>
    <row r="10" spans="1:5" x14ac:dyDescent="0.25">
      <c r="A10" s="7" t="s">
        <v>645</v>
      </c>
      <c r="B10" s="8">
        <v>1</v>
      </c>
      <c r="C10" s="20" t="s">
        <v>646</v>
      </c>
      <c r="D10" s="20" t="s">
        <v>647</v>
      </c>
      <c r="E10" s="20" t="s">
        <v>642</v>
      </c>
    </row>
    <row r="11" spans="1:5" x14ac:dyDescent="0.25">
      <c r="A11" s="7" t="s">
        <v>648</v>
      </c>
      <c r="B11" s="8">
        <v>1</v>
      </c>
      <c r="C11" s="20" t="s">
        <v>649</v>
      </c>
      <c r="D11" s="20" t="s">
        <v>647</v>
      </c>
      <c r="E11" s="20" t="s">
        <v>642</v>
      </c>
    </row>
    <row r="12" spans="1:5" x14ac:dyDescent="0.25">
      <c r="A12" s="7" t="s">
        <v>650</v>
      </c>
      <c r="B12" s="8" t="b">
        <v>1</v>
      </c>
      <c r="C12" s="20" t="s">
        <v>651</v>
      </c>
      <c r="D12" s="20" t="s">
        <v>647</v>
      </c>
      <c r="E12" s="20" t="s">
        <v>642</v>
      </c>
    </row>
    <row r="13" spans="1:5" x14ac:dyDescent="0.25">
      <c r="A13" s="7" t="s">
        <v>652</v>
      </c>
      <c r="B13" s="8">
        <v>0.3</v>
      </c>
      <c r="C13" s="20" t="s">
        <v>653</v>
      </c>
      <c r="D13" s="20" t="s">
        <v>647</v>
      </c>
      <c r="E13" s="20" t="s">
        <v>642</v>
      </c>
    </row>
    <row r="14" spans="1:5" x14ac:dyDescent="0.25">
      <c r="A14" s="7" t="s">
        <v>654</v>
      </c>
      <c r="B14" s="8">
        <v>3</v>
      </c>
      <c r="C14" s="20" t="s">
        <v>655</v>
      </c>
      <c r="D14" s="20" t="s">
        <v>647</v>
      </c>
      <c r="E14" s="20" t="s">
        <v>642</v>
      </c>
    </row>
    <row r="15" spans="1:5" x14ac:dyDescent="0.25">
      <c r="A15" s="7" t="s">
        <v>656</v>
      </c>
      <c r="B15" s="8" t="s">
        <v>666</v>
      </c>
      <c r="C15" s="20" t="s">
        <v>657</v>
      </c>
      <c r="D15" s="20" t="s">
        <v>647</v>
      </c>
      <c r="E15" s="20" t="s">
        <v>642</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K45" sqref="K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497</v>
      </c>
      <c r="C2" t="s">
        <v>498</v>
      </c>
      <c r="D2" t="s">
        <v>499</v>
      </c>
      <c r="E2" t="s">
        <v>521</v>
      </c>
      <c r="F2" t="s">
        <v>501</v>
      </c>
      <c r="G2" t="s">
        <v>502</v>
      </c>
      <c r="H2" t="s">
        <v>503</v>
      </c>
      <c r="I2" t="s">
        <v>504</v>
      </c>
      <c r="J2" t="s">
        <v>505</v>
      </c>
      <c r="K2" t="s">
        <v>506</v>
      </c>
      <c r="L2" t="s">
        <v>507</v>
      </c>
      <c r="M2" t="s">
        <v>508</v>
      </c>
      <c r="N2" t="s">
        <v>509</v>
      </c>
      <c r="O2" t="s">
        <v>510</v>
      </c>
      <c r="P2" t="s">
        <v>511</v>
      </c>
    </row>
    <row r="3" spans="2:16" x14ac:dyDescent="0.25">
      <c r="C3" t="s">
        <v>512</v>
      </c>
      <c r="D3" t="s">
        <v>515</v>
      </c>
      <c r="E3" t="s">
        <v>522</v>
      </c>
    </row>
    <row r="4" spans="2:16" x14ac:dyDescent="0.25">
      <c r="C4" t="s">
        <v>513</v>
      </c>
      <c r="D4" t="s">
        <v>516</v>
      </c>
      <c r="E4" t="s">
        <v>523</v>
      </c>
    </row>
    <row r="5" spans="2:16" x14ac:dyDescent="0.25">
      <c r="C5" t="s">
        <v>514</v>
      </c>
      <c r="D5" t="s">
        <v>517</v>
      </c>
      <c r="E5" t="s">
        <v>524</v>
      </c>
    </row>
    <row r="6" spans="2:16" x14ac:dyDescent="0.25">
      <c r="C6" t="s">
        <v>519</v>
      </c>
      <c r="D6" t="s">
        <v>518</v>
      </c>
    </row>
    <row r="20" spans="2:6" x14ac:dyDescent="0.25">
      <c r="B20" t="s">
        <v>497</v>
      </c>
      <c r="C20" t="s">
        <v>500</v>
      </c>
    </row>
    <row r="21" spans="2:6" x14ac:dyDescent="0.25">
      <c r="B21" s="190" t="s">
        <v>387</v>
      </c>
      <c r="C21" s="190" t="s">
        <v>545</v>
      </c>
      <c r="D21" s="190" t="s">
        <v>546</v>
      </c>
      <c r="E21" s="190" t="s">
        <v>547</v>
      </c>
      <c r="F21" s="190" t="s">
        <v>548</v>
      </c>
    </row>
    <row r="22" spans="2:6" x14ac:dyDescent="0.25">
      <c r="B22" t="s">
        <v>549</v>
      </c>
      <c r="C22" t="s">
        <v>550</v>
      </c>
      <c r="D22" t="s">
        <v>551</v>
      </c>
      <c r="E22" t="s">
        <v>552</v>
      </c>
      <c r="F22" t="s">
        <v>553</v>
      </c>
    </row>
    <row r="23" spans="2:6" x14ac:dyDescent="0.25">
      <c r="B23" t="s">
        <v>549</v>
      </c>
      <c r="C23" t="s">
        <v>554</v>
      </c>
      <c r="D23" t="s">
        <v>555</v>
      </c>
      <c r="E23" t="s">
        <v>556</v>
      </c>
      <c r="F23" t="s">
        <v>557</v>
      </c>
    </row>
    <row r="24" spans="2:6" x14ac:dyDescent="0.25">
      <c r="B24" t="s">
        <v>549</v>
      </c>
      <c r="C24" t="s">
        <v>558</v>
      </c>
      <c r="D24" t="s">
        <v>559</v>
      </c>
      <c r="E24" t="s">
        <v>560</v>
      </c>
      <c r="F24" t="s">
        <v>561</v>
      </c>
    </row>
    <row r="25" spans="2:6" x14ac:dyDescent="0.25">
      <c r="B25" t="s">
        <v>549</v>
      </c>
      <c r="C25" t="s">
        <v>562</v>
      </c>
      <c r="D25" t="s">
        <v>563</v>
      </c>
      <c r="E25" t="s">
        <v>564</v>
      </c>
      <c r="F25" t="s">
        <v>565</v>
      </c>
    </row>
    <row r="26" spans="2:6" x14ac:dyDescent="0.25">
      <c r="B26" t="s">
        <v>549</v>
      </c>
      <c r="C26" t="s">
        <v>566</v>
      </c>
      <c r="D26" t="s">
        <v>567</v>
      </c>
      <c r="E26" t="s">
        <v>568</v>
      </c>
      <c r="F26" t="s">
        <v>569</v>
      </c>
    </row>
    <row r="27" spans="2:6" x14ac:dyDescent="0.25">
      <c r="B27" t="s">
        <v>570</v>
      </c>
      <c r="C27" t="s">
        <v>571</v>
      </c>
      <c r="D27" t="s">
        <v>572</v>
      </c>
      <c r="E27" t="s">
        <v>573</v>
      </c>
      <c r="F27" t="s">
        <v>574</v>
      </c>
    </row>
    <row r="28" spans="2:6" x14ac:dyDescent="0.25">
      <c r="B28" t="s">
        <v>570</v>
      </c>
      <c r="C28" t="s">
        <v>575</v>
      </c>
      <c r="D28" t="s">
        <v>576</v>
      </c>
      <c r="E28" t="s">
        <v>577</v>
      </c>
      <c r="F28" t="s">
        <v>578</v>
      </c>
    </row>
    <row r="29" spans="2:6" x14ac:dyDescent="0.25">
      <c r="B29" t="s">
        <v>570</v>
      </c>
      <c r="C29" t="s">
        <v>579</v>
      </c>
      <c r="D29" t="s">
        <v>580</v>
      </c>
      <c r="E29" t="s">
        <v>581</v>
      </c>
      <c r="F29" t="s">
        <v>582</v>
      </c>
    </row>
    <row r="30" spans="2:6" x14ac:dyDescent="0.25">
      <c r="B30" t="s">
        <v>570</v>
      </c>
      <c r="C30" t="s">
        <v>583</v>
      </c>
      <c r="D30" t="s">
        <v>584</v>
      </c>
      <c r="E30" t="s">
        <v>585</v>
      </c>
      <c r="F30" t="s">
        <v>586</v>
      </c>
    </row>
    <row r="31" spans="2:6" x14ac:dyDescent="0.25">
      <c r="B31" t="s">
        <v>587</v>
      </c>
      <c r="C31" t="s">
        <v>588</v>
      </c>
      <c r="D31" t="s">
        <v>589</v>
      </c>
      <c r="E31" t="s">
        <v>590</v>
      </c>
      <c r="F31" t="s">
        <v>591</v>
      </c>
    </row>
    <row r="32" spans="2:6" x14ac:dyDescent="0.25">
      <c r="B32" t="s">
        <v>587</v>
      </c>
      <c r="C32" t="s">
        <v>592</v>
      </c>
      <c r="D32" t="s">
        <v>593</v>
      </c>
      <c r="E32" t="s">
        <v>594</v>
      </c>
      <c r="F32" t="s">
        <v>595</v>
      </c>
    </row>
    <row r="33" spans="2:6" x14ac:dyDescent="0.25">
      <c r="B33" t="s">
        <v>587</v>
      </c>
      <c r="C33" t="s">
        <v>596</v>
      </c>
      <c r="D33" t="s">
        <v>597</v>
      </c>
      <c r="E33" t="s">
        <v>598</v>
      </c>
      <c r="F33" t="s">
        <v>599</v>
      </c>
    </row>
    <row r="34" spans="2:6" x14ac:dyDescent="0.25">
      <c r="B34" t="s">
        <v>587</v>
      </c>
      <c r="C34" t="s">
        <v>600</v>
      </c>
      <c r="D34" t="s">
        <v>601</v>
      </c>
      <c r="E34" t="s">
        <v>602</v>
      </c>
      <c r="F34" t="s">
        <v>603</v>
      </c>
    </row>
    <row r="35" spans="2:6" x14ac:dyDescent="0.25">
      <c r="B35" t="s">
        <v>604</v>
      </c>
      <c r="C35" t="s">
        <v>605</v>
      </c>
      <c r="D35" t="s">
        <v>606</v>
      </c>
      <c r="E35" t="s">
        <v>607</v>
      </c>
      <c r="F35" t="s">
        <v>608</v>
      </c>
    </row>
    <row r="36" spans="2:6" x14ac:dyDescent="0.25">
      <c r="B36" t="s">
        <v>604</v>
      </c>
      <c r="C36" t="s">
        <v>609</v>
      </c>
      <c r="D36" t="s">
        <v>610</v>
      </c>
      <c r="E36" t="s">
        <v>611</v>
      </c>
      <c r="F36" t="s">
        <v>612</v>
      </c>
    </row>
    <row r="37" spans="2:6" x14ac:dyDescent="0.25">
      <c r="B37" t="s">
        <v>604</v>
      </c>
      <c r="C37" t="s">
        <v>613</v>
      </c>
      <c r="D37" t="s">
        <v>614</v>
      </c>
      <c r="E37" t="s">
        <v>615</v>
      </c>
      <c r="F37" t="s">
        <v>616</v>
      </c>
    </row>
    <row r="38" spans="2:6" x14ac:dyDescent="0.25">
      <c r="B38" t="s">
        <v>604</v>
      </c>
      <c r="C38" t="s">
        <v>617</v>
      </c>
      <c r="D38" t="s">
        <v>618</v>
      </c>
      <c r="E38" t="s">
        <v>619</v>
      </c>
      <c r="F38" t="s">
        <v>620</v>
      </c>
    </row>
    <row r="39" spans="2:6" x14ac:dyDescent="0.25">
      <c r="B39" t="s">
        <v>621</v>
      </c>
      <c r="C39" t="s">
        <v>622</v>
      </c>
      <c r="D39" t="s">
        <v>623</v>
      </c>
      <c r="E39" t="s">
        <v>624</v>
      </c>
      <c r="F39" t="s">
        <v>625</v>
      </c>
    </row>
    <row r="40" spans="2:6" x14ac:dyDescent="0.25">
      <c r="B40" t="s">
        <v>621</v>
      </c>
      <c r="C40" t="s">
        <v>626</v>
      </c>
      <c r="D40" t="s">
        <v>627</v>
      </c>
      <c r="E40" t="s">
        <v>628</v>
      </c>
      <c r="F40" t="s">
        <v>629</v>
      </c>
    </row>
    <row r="41" spans="2:6" x14ac:dyDescent="0.25">
      <c r="B41" t="s">
        <v>621</v>
      </c>
      <c r="C41" t="s">
        <v>630</v>
      </c>
      <c r="D41" t="s">
        <v>631</v>
      </c>
      <c r="E41" t="s">
        <v>632</v>
      </c>
      <c r="F41" t="s">
        <v>633</v>
      </c>
    </row>
    <row r="42" spans="2:6" x14ac:dyDescent="0.25">
      <c r="B42" t="s">
        <v>621</v>
      </c>
      <c r="C42" t="s">
        <v>634</v>
      </c>
      <c r="D42" t="s">
        <v>635</v>
      </c>
      <c r="E42" t="s">
        <v>636</v>
      </c>
      <c r="F42" t="s">
        <v>637</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P62" sqref="P62"/>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0" t="s">
        <v>209</v>
      </c>
      <c r="B1" s="201" t="str">
        <f>'2_1_Definition_Processes'!D2</f>
        <v>Reifenherstellung</v>
      </c>
      <c r="C1" s="201"/>
      <c r="D1" s="201"/>
      <c r="E1" s="201"/>
      <c r="F1" s="201"/>
      <c r="G1" s="201"/>
      <c r="H1" s="201"/>
      <c r="I1" s="130" t="s">
        <v>208</v>
      </c>
      <c r="J1" s="202" t="s">
        <v>89</v>
      </c>
      <c r="K1" s="202"/>
      <c r="L1" s="202"/>
      <c r="M1" s="202"/>
    </row>
    <row r="2" spans="1:22" ht="16.5" thickBot="1" x14ac:dyDescent="0.3">
      <c r="A2" s="203" t="s">
        <v>207</v>
      </c>
      <c r="B2" s="204"/>
      <c r="C2" s="204"/>
      <c r="D2" s="204"/>
      <c r="E2" s="204"/>
      <c r="F2" s="204"/>
      <c r="G2" s="204"/>
      <c r="H2" s="204"/>
      <c r="I2" s="204"/>
      <c r="J2" s="204"/>
      <c r="K2" s="204"/>
      <c r="L2" s="204"/>
      <c r="M2" s="205"/>
    </row>
    <row r="3" spans="1:22" ht="126.75" customHeight="1" thickBot="1" x14ac:dyDescent="0.3">
      <c r="A3" s="206"/>
      <c r="B3" s="207"/>
      <c r="C3" s="207"/>
      <c r="D3" s="207"/>
      <c r="E3" s="207"/>
      <c r="F3" s="207"/>
      <c r="G3" s="207"/>
      <c r="H3" s="207"/>
      <c r="I3" s="207"/>
      <c r="J3" s="207"/>
      <c r="K3" s="207"/>
      <c r="L3" s="207"/>
      <c r="M3" s="208"/>
    </row>
    <row r="4" spans="1:22" ht="31.5" customHeight="1" x14ac:dyDescent="0.25">
      <c r="A4" s="129" t="s">
        <v>206</v>
      </c>
      <c r="B4" s="209"/>
      <c r="C4" s="210"/>
      <c r="D4" s="211"/>
      <c r="E4" s="212" t="s">
        <v>205</v>
      </c>
      <c r="F4" s="213"/>
      <c r="G4" s="134"/>
      <c r="H4" s="134"/>
      <c r="I4" s="128"/>
      <c r="J4" s="128"/>
      <c r="K4" s="128"/>
      <c r="L4" s="128"/>
      <c r="M4" s="128"/>
    </row>
    <row r="5" spans="1:22" ht="16.5" customHeight="1" x14ac:dyDescent="0.25">
      <c r="A5" s="131" t="s">
        <v>204</v>
      </c>
      <c r="B5" s="214" t="s">
        <v>667</v>
      </c>
      <c r="C5" s="214"/>
      <c r="D5" s="215"/>
      <c r="E5" s="131" t="s">
        <v>204</v>
      </c>
      <c r="F5" s="216" t="s">
        <v>669</v>
      </c>
      <c r="G5" s="216"/>
      <c r="H5" s="217"/>
      <c r="I5" s="132"/>
      <c r="J5" s="127"/>
      <c r="K5" s="127"/>
      <c r="L5" s="127"/>
      <c r="M5" s="124"/>
    </row>
    <row r="6" spans="1:22" ht="16.5" customHeight="1" x14ac:dyDescent="0.25">
      <c r="A6" s="131" t="s">
        <v>203</v>
      </c>
      <c r="B6" s="216" t="s">
        <v>668</v>
      </c>
      <c r="C6" s="216"/>
      <c r="D6" s="217"/>
      <c r="E6" s="131" t="s">
        <v>203</v>
      </c>
      <c r="F6" s="216" t="s">
        <v>373</v>
      </c>
      <c r="G6" s="216"/>
      <c r="H6" s="217"/>
      <c r="I6" s="132"/>
      <c r="J6" s="127"/>
      <c r="K6" s="127"/>
      <c r="L6" s="127"/>
      <c r="M6" s="124"/>
    </row>
    <row r="7" spans="1:22" ht="16.5" customHeight="1" x14ac:dyDescent="0.25">
      <c r="A7" s="126" t="s">
        <v>202</v>
      </c>
      <c r="B7" s="216" t="e">
        <f>_xlfn.XLOOKUP(J1,Tab_Def_Processes[Process_ID],#REF!,"No_flow.",0,1)</f>
        <v>#REF!</v>
      </c>
      <c r="C7" s="216"/>
      <c r="D7" s="217"/>
      <c r="E7" s="126" t="s">
        <v>202</v>
      </c>
      <c r="F7" s="216" t="s">
        <v>374</v>
      </c>
      <c r="G7" s="216"/>
      <c r="H7" s="217"/>
      <c r="I7" s="133"/>
      <c r="J7" s="125"/>
      <c r="K7" s="125"/>
      <c r="L7" s="125"/>
      <c r="M7" s="124"/>
    </row>
    <row r="8" spans="1:22" ht="16.5" customHeight="1" x14ac:dyDescent="0.25">
      <c r="A8" s="126" t="s">
        <v>201</v>
      </c>
      <c r="B8" s="216" t="e">
        <f>_xlfn.XLOOKUP(J1,Tab_Def_Processes[Process_ID],#REF!,"No_flow.",0,1)</f>
        <v>#REF!</v>
      </c>
      <c r="C8" s="216"/>
      <c r="D8" s="217"/>
      <c r="E8" s="126" t="s">
        <v>201</v>
      </c>
      <c r="F8" s="216" t="e">
        <f>_xlfn.XLOOKUP(J1,Tab_Def_Processes[Process_ID],#REF!,"No_flow.",0,1)</f>
        <v>#REF!</v>
      </c>
      <c r="G8" s="216"/>
      <c r="H8" s="217"/>
      <c r="I8" s="133"/>
      <c r="J8" s="125"/>
      <c r="K8" s="125"/>
      <c r="L8" s="125"/>
      <c r="M8" s="124"/>
    </row>
    <row r="9" spans="1:22" ht="16.5" customHeight="1" x14ac:dyDescent="0.25">
      <c r="A9" s="126" t="s">
        <v>200</v>
      </c>
      <c r="B9" s="216" t="e">
        <f>_xlfn.XLOOKUP(J1,Tab_Def_Processes[Process_ID],#REF!,"No_flow.",0,1)</f>
        <v>#REF!</v>
      </c>
      <c r="C9" s="216"/>
      <c r="D9" s="217"/>
      <c r="E9" s="126" t="s">
        <v>200</v>
      </c>
      <c r="F9" s="216" t="e">
        <f>_xlfn.XLOOKUP(J1,Tab_Def_Processes[Process_ID],#REF!,"No_flow.",0,1)</f>
        <v>#REF!</v>
      </c>
      <c r="G9" s="216"/>
      <c r="H9" s="217"/>
      <c r="I9" s="133"/>
      <c r="J9" s="125"/>
      <c r="K9" s="125"/>
      <c r="L9" s="125"/>
      <c r="M9" s="124"/>
    </row>
    <row r="10" spans="1:22" ht="16.5" customHeight="1" thickBot="1" x14ac:dyDescent="0.3">
      <c r="A10" s="135" t="s">
        <v>199</v>
      </c>
      <c r="B10" s="224"/>
      <c r="C10" s="224"/>
      <c r="D10" s="225"/>
      <c r="E10" s="135" t="s">
        <v>199</v>
      </c>
      <c r="F10" s="224"/>
      <c r="G10" s="224"/>
      <c r="H10" s="225"/>
      <c r="I10" s="133"/>
      <c r="J10" s="125"/>
      <c r="K10" s="125"/>
      <c r="L10" s="125"/>
      <c r="M10" s="124"/>
    </row>
    <row r="11" spans="1:22" ht="16.5" thickBot="1" x14ac:dyDescent="0.3">
      <c r="A11" s="203" t="s">
        <v>198</v>
      </c>
      <c r="B11" s="204"/>
      <c r="C11" s="204"/>
      <c r="D11" s="204"/>
      <c r="E11" s="204"/>
      <c r="F11" s="204"/>
      <c r="G11" s="204"/>
      <c r="H11" s="204"/>
      <c r="I11" s="204"/>
      <c r="J11" s="204"/>
      <c r="K11" s="204"/>
      <c r="L11" s="204"/>
      <c r="M11" s="205"/>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26" t="s">
        <v>196</v>
      </c>
      <c r="B13" s="227"/>
      <c r="C13" s="227"/>
      <c r="D13" s="227"/>
      <c r="E13" s="227"/>
      <c r="F13" s="227"/>
      <c r="G13" s="227"/>
      <c r="H13" s="227"/>
      <c r="I13" s="227"/>
      <c r="J13" s="227"/>
      <c r="K13" s="227"/>
      <c r="L13" s="227"/>
      <c r="M13" s="228"/>
    </row>
    <row r="14" spans="1:22" ht="16.5" thickBot="1" x14ac:dyDescent="0.3">
      <c r="A14" s="81" t="s">
        <v>182</v>
      </c>
      <c r="B14" s="229" t="s">
        <v>194</v>
      </c>
      <c r="C14" s="230"/>
      <c r="D14" s="231"/>
      <c r="E14" s="232" t="s">
        <v>193</v>
      </c>
      <c r="F14" s="233"/>
      <c r="G14" s="233"/>
      <c r="H14" s="234"/>
      <c r="I14" s="235" t="s">
        <v>192</v>
      </c>
      <c r="J14" s="236"/>
      <c r="K14" s="236"/>
      <c r="L14" s="236"/>
      <c r="M14" s="237"/>
      <c r="P14" s="169">
        <v>0.2384</v>
      </c>
      <c r="Q14" s="34" t="s">
        <v>139</v>
      </c>
      <c r="R14" s="169">
        <v>0.76160000000000005</v>
      </c>
      <c r="S14" s="34" t="s">
        <v>139</v>
      </c>
      <c r="T14" s="169">
        <v>0</v>
      </c>
      <c r="U14" s="34" t="s">
        <v>139</v>
      </c>
      <c r="V14" s="156">
        <f>Tab_Def_Flows[[#This Row],[Flow_CC_DM'[%']]]*Tab_Def_Flows[[#This Row],[Flow_DM]]</f>
        <v>0</v>
      </c>
    </row>
    <row r="15" spans="1:22" ht="63.75" thickBot="1" x14ac:dyDescent="0.3">
      <c r="A15" s="42"/>
      <c r="B15" s="55" t="s">
        <v>191</v>
      </c>
      <c r="C15" s="108" t="s">
        <v>190</v>
      </c>
      <c r="D15" s="107" t="s">
        <v>183</v>
      </c>
      <c r="E15" s="106" t="s">
        <v>189</v>
      </c>
      <c r="F15" s="54" t="s">
        <v>188</v>
      </c>
      <c r="G15" s="54" t="s">
        <v>187</v>
      </c>
      <c r="H15" s="105" t="s">
        <v>183</v>
      </c>
      <c r="I15" s="104" t="s">
        <v>186</v>
      </c>
      <c r="J15" s="53" t="s">
        <v>185</v>
      </c>
      <c r="K15" s="53" t="s">
        <v>184</v>
      </c>
      <c r="L15" s="53" t="s">
        <v>183</v>
      </c>
      <c r="M15" s="103"/>
      <c r="P15" s="169">
        <v>0.14000000000000001</v>
      </c>
      <c r="Q15" s="34" t="s">
        <v>139</v>
      </c>
      <c r="R15" s="169">
        <v>0.86</v>
      </c>
      <c r="S15" s="34" t="s">
        <v>139</v>
      </c>
      <c r="T15" s="169">
        <v>0.48</v>
      </c>
      <c r="U15" s="34" t="s">
        <v>139</v>
      </c>
      <c r="V15" s="156">
        <f>Tab_Def_Flows[[#This Row],[Flow_CC_DM'[%']]]*Tab_Def_Flows[[#This Row],[Flow_DM]]</f>
        <v>0</v>
      </c>
    </row>
    <row r="16" spans="1:22" ht="23.25" customHeight="1" x14ac:dyDescent="0.25">
      <c r="A16" s="75" t="str">
        <f>B5</f>
        <v>Wheat Straw</v>
      </c>
      <c r="B16" s="51">
        <v>100</v>
      </c>
      <c r="C16" s="102">
        <f t="shared" ref="C16:C21" si="0">B16/$B$22</f>
        <v>0.77519379844961245</v>
      </c>
      <c r="D16" s="101" t="s">
        <v>155</v>
      </c>
      <c r="E16" s="100">
        <v>0.86</v>
      </c>
      <c r="F16" s="50">
        <f t="shared" ref="F16:F21" si="1">E16*B16</f>
        <v>86</v>
      </c>
      <c r="G16" s="99">
        <f t="shared" ref="G16:G21" si="2">F16/$F$22</f>
        <v>1</v>
      </c>
      <c r="H16" s="98" t="s">
        <v>155</v>
      </c>
      <c r="I16" s="97">
        <v>0.14000000000000001</v>
      </c>
      <c r="J16" s="49">
        <f t="shared" ref="J16:J21" si="3">I16*B16</f>
        <v>14.000000000000002</v>
      </c>
      <c r="K16" s="117">
        <f t="shared" ref="K16:K21" si="4">J16/$J$22</f>
        <v>0.32558139534883723</v>
      </c>
      <c r="L16" s="94" t="s">
        <v>155</v>
      </c>
      <c r="M16" s="94"/>
    </row>
    <row r="17" spans="1:23" ht="23.25" customHeight="1" x14ac:dyDescent="0.25">
      <c r="A17" s="75" t="str">
        <f t="shared" ref="A17:A21" si="5">B6</f>
        <v>Water</v>
      </c>
      <c r="B17" s="51">
        <v>29</v>
      </c>
      <c r="C17" s="102">
        <f t="shared" si="0"/>
        <v>0.22480620155038761</v>
      </c>
      <c r="D17" s="101" t="s">
        <v>155</v>
      </c>
      <c r="E17" s="100">
        <v>0</v>
      </c>
      <c r="F17" s="50">
        <f t="shared" si="1"/>
        <v>0</v>
      </c>
      <c r="G17" s="99">
        <f t="shared" si="2"/>
        <v>0</v>
      </c>
      <c r="H17" s="98" t="s">
        <v>155</v>
      </c>
      <c r="I17" s="97">
        <f>1-E17</f>
        <v>1</v>
      </c>
      <c r="J17" s="49">
        <f t="shared" si="3"/>
        <v>29</v>
      </c>
      <c r="K17" s="117">
        <f t="shared" si="4"/>
        <v>0.67441860465116277</v>
      </c>
      <c r="L17" s="94" t="s">
        <v>155</v>
      </c>
      <c r="M17" s="94"/>
    </row>
    <row r="18" spans="1:23" ht="23.25" customHeight="1" x14ac:dyDescent="0.25">
      <c r="A18" s="75" t="e">
        <f t="shared" si="5"/>
        <v>#REF!</v>
      </c>
      <c r="B18" s="51"/>
      <c r="C18" s="102">
        <f t="shared" si="0"/>
        <v>0</v>
      </c>
      <c r="D18" s="101"/>
      <c r="E18" s="100"/>
      <c r="F18" s="50">
        <f t="shared" si="1"/>
        <v>0</v>
      </c>
      <c r="G18" s="99">
        <f t="shared" si="2"/>
        <v>0</v>
      </c>
      <c r="H18" s="98"/>
      <c r="I18" s="97"/>
      <c r="J18" s="49">
        <f t="shared" si="3"/>
        <v>0</v>
      </c>
      <c r="K18" s="117">
        <f t="shared" si="4"/>
        <v>0</v>
      </c>
      <c r="L18" s="95"/>
      <c r="M18" s="94"/>
    </row>
    <row r="19" spans="1:23" ht="23.25" customHeight="1" x14ac:dyDescent="0.25">
      <c r="A19" s="75" t="e">
        <f t="shared" si="5"/>
        <v>#REF!</v>
      </c>
      <c r="B19" s="51"/>
      <c r="C19" s="102">
        <f t="shared" si="0"/>
        <v>0</v>
      </c>
      <c r="D19" s="101"/>
      <c r="E19" s="100"/>
      <c r="F19" s="50">
        <f t="shared" si="1"/>
        <v>0</v>
      </c>
      <c r="G19" s="99">
        <f t="shared" si="2"/>
        <v>0</v>
      </c>
      <c r="H19" s="119"/>
      <c r="I19" s="118"/>
      <c r="J19" s="49">
        <f t="shared" si="3"/>
        <v>0</v>
      </c>
      <c r="K19" s="117">
        <f t="shared" si="4"/>
        <v>0</v>
      </c>
      <c r="L19" s="95"/>
      <c r="M19" s="94"/>
    </row>
    <row r="20" spans="1:23" ht="23.25" customHeight="1" x14ac:dyDescent="0.25">
      <c r="A20" s="75" t="e">
        <f t="shared" si="5"/>
        <v>#REF!</v>
      </c>
      <c r="B20" s="51"/>
      <c r="C20" s="102">
        <f t="shared" si="0"/>
        <v>0</v>
      </c>
      <c r="D20" s="101"/>
      <c r="E20" s="100"/>
      <c r="F20" s="50">
        <f t="shared" si="1"/>
        <v>0</v>
      </c>
      <c r="G20" s="99">
        <f t="shared" si="2"/>
        <v>0</v>
      </c>
      <c r="H20" s="119"/>
      <c r="I20" s="118"/>
      <c r="J20" s="49">
        <f t="shared" si="3"/>
        <v>0</v>
      </c>
      <c r="K20" s="117">
        <f t="shared" si="4"/>
        <v>0</v>
      </c>
      <c r="L20" s="95"/>
      <c r="M20" s="94"/>
    </row>
    <row r="21" spans="1:23" ht="23.25" customHeight="1" thickBot="1" x14ac:dyDescent="0.3">
      <c r="A21" s="75">
        <f t="shared" si="5"/>
        <v>0</v>
      </c>
      <c r="B21" s="51"/>
      <c r="C21" s="102">
        <f t="shared" si="0"/>
        <v>0</v>
      </c>
      <c r="D21" s="101"/>
      <c r="E21" s="100"/>
      <c r="F21" s="50">
        <f t="shared" si="1"/>
        <v>0</v>
      </c>
      <c r="G21" s="99">
        <f t="shared" si="2"/>
        <v>0</v>
      </c>
      <c r="H21" s="119"/>
      <c r="I21" s="118"/>
      <c r="J21" s="49">
        <f t="shared" si="3"/>
        <v>0</v>
      </c>
      <c r="K21" s="117">
        <f t="shared" si="4"/>
        <v>0</v>
      </c>
      <c r="L21" s="95"/>
      <c r="M21" s="94"/>
    </row>
    <row r="22" spans="1:23" ht="16.5" thickBot="1" x14ac:dyDescent="0.3">
      <c r="A22" s="65" t="s">
        <v>157</v>
      </c>
      <c r="B22" s="93">
        <f>SUM(B16:B19)</f>
        <v>129</v>
      </c>
      <c r="C22" s="116">
        <f>C16+C17+C18</f>
        <v>1</v>
      </c>
      <c r="D22" s="91"/>
      <c r="E22" s="90">
        <f>F22/B22</f>
        <v>0.66666666666666663</v>
      </c>
      <c r="F22" s="89">
        <f>SUM(F16:F19)</f>
        <v>86</v>
      </c>
      <c r="G22" s="115">
        <f>SUM(G16:G19)</f>
        <v>1</v>
      </c>
      <c r="H22" s="87"/>
      <c r="I22" s="86">
        <f>J22/B22</f>
        <v>0.33333333333333331</v>
      </c>
      <c r="J22" s="85">
        <f>J16+J17+J18</f>
        <v>43</v>
      </c>
      <c r="K22" s="114">
        <f>SUM(K16:K19)</f>
        <v>1</v>
      </c>
      <c r="L22" s="83"/>
      <c r="M22" s="82"/>
    </row>
    <row r="23" spans="1:23" ht="16.5" customHeight="1" thickBot="1" x14ac:dyDescent="0.3">
      <c r="A23" s="145" t="s">
        <v>182</v>
      </c>
      <c r="B23" s="218" t="s">
        <v>181</v>
      </c>
      <c r="C23" s="219"/>
      <c r="D23" s="219"/>
      <c r="E23" s="219"/>
      <c r="F23" s="219"/>
      <c r="G23" s="219"/>
      <c r="H23" s="220"/>
      <c r="I23" s="221" t="s">
        <v>180</v>
      </c>
      <c r="J23" s="222"/>
      <c r="K23" s="222"/>
      <c r="L23" s="222"/>
      <c r="M23" s="223"/>
    </row>
    <row r="24" spans="1:23" ht="63.75" thickBot="1" x14ac:dyDescent="0.3">
      <c r="A24" s="6"/>
      <c r="B24" s="80" t="s">
        <v>179</v>
      </c>
      <c r="C24" s="79" t="s">
        <v>178</v>
      </c>
      <c r="D24" s="79" t="s">
        <v>177</v>
      </c>
      <c r="E24" s="79" t="s">
        <v>176</v>
      </c>
      <c r="F24" s="80" t="s">
        <v>175</v>
      </c>
      <c r="G24" s="79" t="s">
        <v>174</v>
      </c>
      <c r="H24" s="144" t="s">
        <v>173</v>
      </c>
      <c r="I24" s="78" t="s">
        <v>172</v>
      </c>
      <c r="J24" s="77" t="s">
        <v>171</v>
      </c>
      <c r="K24" s="77" t="s">
        <v>170</v>
      </c>
      <c r="L24" s="77" t="s">
        <v>169</v>
      </c>
      <c r="M24" s="76" t="s">
        <v>168</v>
      </c>
      <c r="P24" s="169">
        <v>0.14000000000000001</v>
      </c>
      <c r="Q24" s="34" t="s">
        <v>139</v>
      </c>
      <c r="R24" s="169">
        <v>0.86</v>
      </c>
      <c r="S24" s="34" t="s">
        <v>139</v>
      </c>
      <c r="T24" s="169">
        <v>0.48</v>
      </c>
      <c r="U24" s="34" t="s">
        <v>139</v>
      </c>
      <c r="V24" s="156">
        <f>Tab_Def_Flows[[#This Row],[Flow_CC_DM'[%']]]*Tab_Def_Flows[[#This Row],[Flow_DM]]</f>
        <v>0</v>
      </c>
      <c r="W24" s="170" t="s">
        <v>140</v>
      </c>
    </row>
    <row r="25" spans="1:23" ht="27" customHeight="1" x14ac:dyDescent="0.25">
      <c r="A25" s="75" t="str">
        <f t="shared" ref="A25:A30" si="6">B5</f>
        <v>Wheat Straw</v>
      </c>
      <c r="B25" s="74">
        <v>0.48</v>
      </c>
      <c r="C25" s="72">
        <f>F16*B25</f>
        <v>41.28</v>
      </c>
      <c r="D25" s="73">
        <f t="shared" ref="D25:D30" si="7">C25/$C$31</f>
        <v>1</v>
      </c>
      <c r="E25" s="72" t="s">
        <v>155</v>
      </c>
      <c r="F25" s="71">
        <f t="shared" ref="F25:F30" si="8">B25*E16</f>
        <v>0.4128</v>
      </c>
      <c r="G25" s="70">
        <f t="shared" ref="G25:G30" si="9">B25*E16*B16</f>
        <v>41.28</v>
      </c>
      <c r="H25" s="69">
        <f t="shared" ref="H25:H30" si="10">G25/$G$31</f>
        <v>1</v>
      </c>
      <c r="I25" s="113">
        <f t="shared" ref="I25:I30" si="11">$A$12*C16</f>
        <v>775.19379844961247</v>
      </c>
      <c r="J25" s="112">
        <f t="shared" ref="J25:J30" si="12">I25*E16</f>
        <v>666.66666666666674</v>
      </c>
      <c r="K25" s="112">
        <f t="shared" ref="K25:K30" si="13">I25*I16</f>
        <v>108.52713178294576</v>
      </c>
      <c r="L25" s="112">
        <f t="shared" ref="L25:L30" si="14">SUM(J25:K25)</f>
        <v>775.19379844961247</v>
      </c>
      <c r="M25" s="111">
        <f t="shared" ref="M25:M30" si="15">I25*F25</f>
        <v>320.00000000000006</v>
      </c>
    </row>
    <row r="26" spans="1:23" ht="31.5" x14ac:dyDescent="0.25">
      <c r="A26" s="75" t="str">
        <f t="shared" si="6"/>
        <v>Water</v>
      </c>
      <c r="B26" s="74">
        <v>0</v>
      </c>
      <c r="C26" s="72">
        <f>J17*B26</f>
        <v>0</v>
      </c>
      <c r="D26" s="73">
        <f t="shared" si="7"/>
        <v>0</v>
      </c>
      <c r="E26" s="72" t="s">
        <v>155</v>
      </c>
      <c r="F26" s="71">
        <f t="shared" si="8"/>
        <v>0</v>
      </c>
      <c r="G26" s="70">
        <f t="shared" si="9"/>
        <v>0</v>
      </c>
      <c r="H26" s="69">
        <f t="shared" si="10"/>
        <v>0</v>
      </c>
      <c r="I26" s="113">
        <f t="shared" si="11"/>
        <v>224.80620155038761</v>
      </c>
      <c r="J26" s="112">
        <f t="shared" si="12"/>
        <v>0</v>
      </c>
      <c r="K26" s="112">
        <f t="shared" si="13"/>
        <v>224.80620155038761</v>
      </c>
      <c r="L26" s="112">
        <f t="shared" si="14"/>
        <v>224.80620155038761</v>
      </c>
      <c r="M26" s="111">
        <f t="shared" si="15"/>
        <v>0</v>
      </c>
    </row>
    <row r="27" spans="1:23" ht="15.75" x14ac:dyDescent="0.25">
      <c r="A27" s="75" t="e">
        <f t="shared" si="6"/>
        <v>#REF!</v>
      </c>
      <c r="B27" s="74">
        <v>0</v>
      </c>
      <c r="C27" s="72">
        <f t="shared" ref="C27:C30" si="16">F18*B27</f>
        <v>0</v>
      </c>
      <c r="D27" s="73">
        <f t="shared" si="7"/>
        <v>0</v>
      </c>
      <c r="E27" s="72"/>
      <c r="F27" s="71">
        <f t="shared" si="8"/>
        <v>0</v>
      </c>
      <c r="G27" s="70">
        <f t="shared" si="9"/>
        <v>0</v>
      </c>
      <c r="H27" s="69">
        <f t="shared" si="10"/>
        <v>0</v>
      </c>
      <c r="I27" s="113">
        <f t="shared" si="11"/>
        <v>0</v>
      </c>
      <c r="J27" s="112">
        <f t="shared" si="12"/>
        <v>0</v>
      </c>
      <c r="K27" s="112">
        <f t="shared" si="13"/>
        <v>0</v>
      </c>
      <c r="L27" s="112">
        <f t="shared" si="14"/>
        <v>0</v>
      </c>
      <c r="M27" s="111">
        <f t="shared" si="15"/>
        <v>0</v>
      </c>
      <c r="Q27">
        <v>0.76158038205651879</v>
      </c>
    </row>
    <row r="28" spans="1:23" ht="15.75" x14ac:dyDescent="0.25">
      <c r="A28" s="75" t="e">
        <f t="shared" si="6"/>
        <v>#REF!</v>
      </c>
      <c r="B28" s="74">
        <v>0</v>
      </c>
      <c r="C28" s="72">
        <f t="shared" si="16"/>
        <v>0</v>
      </c>
      <c r="D28" s="73">
        <f t="shared" si="7"/>
        <v>0</v>
      </c>
      <c r="E28" s="72"/>
      <c r="F28" s="71">
        <f t="shared" si="8"/>
        <v>0</v>
      </c>
      <c r="G28" s="70">
        <f t="shared" si="9"/>
        <v>0</v>
      </c>
      <c r="H28" s="69">
        <f t="shared" si="10"/>
        <v>0</v>
      </c>
      <c r="I28" s="113">
        <f t="shared" si="11"/>
        <v>0</v>
      </c>
      <c r="J28" s="112">
        <f t="shared" si="12"/>
        <v>0</v>
      </c>
      <c r="K28" s="112">
        <f t="shared" si="13"/>
        <v>0</v>
      </c>
      <c r="L28" s="112">
        <f t="shared" si="14"/>
        <v>0</v>
      </c>
      <c r="M28" s="111">
        <f t="shared" si="15"/>
        <v>0</v>
      </c>
    </row>
    <row r="29" spans="1:23" ht="15.75" x14ac:dyDescent="0.25">
      <c r="A29" s="75" t="e">
        <f t="shared" si="6"/>
        <v>#REF!</v>
      </c>
      <c r="B29" s="74">
        <v>0</v>
      </c>
      <c r="C29" s="72">
        <f t="shared" si="16"/>
        <v>0</v>
      </c>
      <c r="D29" s="73">
        <f t="shared" si="7"/>
        <v>0</v>
      </c>
      <c r="E29" s="72"/>
      <c r="F29" s="71">
        <f t="shared" si="8"/>
        <v>0</v>
      </c>
      <c r="G29" s="70">
        <f t="shared" si="9"/>
        <v>0</v>
      </c>
      <c r="H29" s="69">
        <f t="shared" si="10"/>
        <v>0</v>
      </c>
      <c r="I29" s="113">
        <f t="shared" si="11"/>
        <v>0</v>
      </c>
      <c r="J29" s="112">
        <f t="shared" si="12"/>
        <v>0</v>
      </c>
      <c r="K29" s="112">
        <f t="shared" si="13"/>
        <v>0</v>
      </c>
      <c r="L29" s="112">
        <f t="shared" si="14"/>
        <v>0</v>
      </c>
      <c r="M29" s="111">
        <f t="shared" si="15"/>
        <v>0</v>
      </c>
    </row>
    <row r="30" spans="1:23" ht="16.5" thickBot="1" x14ac:dyDescent="0.3">
      <c r="A30" s="75">
        <f t="shared" si="6"/>
        <v>0</v>
      </c>
      <c r="B30" s="74">
        <v>0</v>
      </c>
      <c r="C30" s="72">
        <f t="shared" si="16"/>
        <v>0</v>
      </c>
      <c r="D30" s="73">
        <f t="shared" si="7"/>
        <v>0</v>
      </c>
      <c r="E30" s="72"/>
      <c r="F30" s="71">
        <f t="shared" si="8"/>
        <v>0</v>
      </c>
      <c r="G30" s="70">
        <f t="shared" si="9"/>
        <v>0</v>
      </c>
      <c r="H30" s="69">
        <f t="shared" si="10"/>
        <v>0</v>
      </c>
      <c r="I30" s="113">
        <f t="shared" si="11"/>
        <v>0</v>
      </c>
      <c r="J30" s="112">
        <f t="shared" si="12"/>
        <v>0</v>
      </c>
      <c r="K30" s="112">
        <f t="shared" si="13"/>
        <v>0</v>
      </c>
      <c r="L30" s="112">
        <f t="shared" si="14"/>
        <v>0</v>
      </c>
      <c r="M30" s="111">
        <f t="shared" si="15"/>
        <v>0</v>
      </c>
    </row>
    <row r="31" spans="1:23" ht="16.5" thickBot="1" x14ac:dyDescent="0.3">
      <c r="A31" s="65" t="s">
        <v>157</v>
      </c>
      <c r="B31" s="64">
        <f>C31/F22</f>
        <v>0.48000000000000004</v>
      </c>
      <c r="C31" s="62">
        <f>SUM(C25:C30)</f>
        <v>41.28</v>
      </c>
      <c r="D31" s="110">
        <f>SUM(D24:D30)</f>
        <v>1</v>
      </c>
      <c r="E31" s="62"/>
      <c r="F31" s="109">
        <f>G31/B22</f>
        <v>0.32</v>
      </c>
      <c r="G31" s="60">
        <f t="shared" ref="G31:M31" si="17">SUM(G25:G30)</f>
        <v>41.28</v>
      </c>
      <c r="H31" s="59">
        <f t="shared" si="17"/>
        <v>1</v>
      </c>
      <c r="I31" s="58">
        <f t="shared" si="17"/>
        <v>1000.0000000000001</v>
      </c>
      <c r="J31" s="57">
        <f t="shared" si="17"/>
        <v>666.66666666666674</v>
      </c>
      <c r="K31" s="57">
        <f t="shared" si="17"/>
        <v>333.33333333333337</v>
      </c>
      <c r="L31" s="57">
        <f t="shared" si="17"/>
        <v>1000.0000000000001</v>
      </c>
      <c r="M31" s="56">
        <f t="shared" si="17"/>
        <v>320.00000000000006</v>
      </c>
    </row>
    <row r="32" spans="1:23" ht="16.5" thickBot="1" x14ac:dyDescent="0.3">
      <c r="A32" s="238" t="s">
        <v>195</v>
      </c>
      <c r="B32" s="239"/>
      <c r="C32" s="239"/>
      <c r="D32" s="239"/>
      <c r="E32" s="239"/>
      <c r="F32" s="239"/>
      <c r="G32" s="239"/>
      <c r="H32" s="239"/>
      <c r="I32" s="239"/>
      <c r="J32" s="239"/>
      <c r="K32" s="239"/>
      <c r="L32" s="239"/>
      <c r="M32" s="240"/>
    </row>
    <row r="33" spans="1:18" ht="16.5" customHeight="1" thickBot="1" x14ac:dyDescent="0.3">
      <c r="A33" s="81" t="s">
        <v>182</v>
      </c>
      <c r="B33" s="241" t="s">
        <v>194</v>
      </c>
      <c r="C33" s="242"/>
      <c r="D33" s="243"/>
      <c r="E33" s="244" t="s">
        <v>193</v>
      </c>
      <c r="F33" s="245"/>
      <c r="G33" s="245"/>
      <c r="H33" s="246"/>
      <c r="I33" s="247" t="s">
        <v>192</v>
      </c>
      <c r="J33" s="248"/>
      <c r="K33" s="248"/>
      <c r="L33" s="248"/>
      <c r="M33" s="249"/>
    </row>
    <row r="34" spans="1:18" ht="62.25" customHeight="1" thickBot="1" x14ac:dyDescent="0.3">
      <c r="A34" s="42"/>
      <c r="B34" s="55" t="s">
        <v>191</v>
      </c>
      <c r="C34" s="108" t="s">
        <v>190</v>
      </c>
      <c r="D34" s="107" t="s">
        <v>183</v>
      </c>
      <c r="E34" s="106" t="s">
        <v>189</v>
      </c>
      <c r="F34" s="54" t="s">
        <v>188</v>
      </c>
      <c r="G34" s="54" t="s">
        <v>187</v>
      </c>
      <c r="H34" s="105" t="s">
        <v>183</v>
      </c>
      <c r="I34" s="104" t="s">
        <v>186</v>
      </c>
      <c r="J34" s="53" t="s">
        <v>185</v>
      </c>
      <c r="K34" s="53" t="s">
        <v>184</v>
      </c>
      <c r="L34" s="53" t="s">
        <v>183</v>
      </c>
      <c r="M34" s="103"/>
    </row>
    <row r="35" spans="1:18" ht="15.75" x14ac:dyDescent="0.25">
      <c r="A35" s="75" t="str">
        <f t="shared" ref="A35:A40" si="18">F5</f>
        <v>Compost</v>
      </c>
      <c r="B35" s="51">
        <v>86</v>
      </c>
      <c r="C35" s="102">
        <f t="shared" ref="C35:C40" si="19">B35/$B$41</f>
        <v>0.66666666666666663</v>
      </c>
      <c r="D35" s="101" t="s">
        <v>155</v>
      </c>
      <c r="E35" s="100">
        <v>0.5</v>
      </c>
      <c r="F35" s="50">
        <f>E35*B35</f>
        <v>43</v>
      </c>
      <c r="G35" s="99">
        <f t="shared" ref="G35:G40" si="20">F35/$F$41</f>
        <v>0.5</v>
      </c>
      <c r="H35" s="98" t="s">
        <v>155</v>
      </c>
      <c r="I35" s="97">
        <f>1-E35</f>
        <v>0.5</v>
      </c>
      <c r="J35" s="49">
        <f t="shared" ref="J35:J40" si="21">I35*B35</f>
        <v>43</v>
      </c>
      <c r="K35" s="96">
        <f>J35/$J$41</f>
        <v>1</v>
      </c>
      <c r="L35" s="95" t="s">
        <v>155</v>
      </c>
      <c r="M35" s="94"/>
      <c r="R35">
        <f>C54/B17</f>
        <v>2.9655172413793105</v>
      </c>
    </row>
    <row r="36" spans="1:18" ht="15.75" x14ac:dyDescent="0.25">
      <c r="A36" s="75" t="str">
        <f t="shared" si="18"/>
        <v>Compost_Emissions_C</v>
      </c>
      <c r="B36" s="51">
        <v>18.920000000000002</v>
      </c>
      <c r="C36" s="102">
        <f t="shared" si="19"/>
        <v>0.14666666666666667</v>
      </c>
      <c r="D36" s="101" t="s">
        <v>155</v>
      </c>
      <c r="E36" s="100">
        <v>1</v>
      </c>
      <c r="F36" s="50">
        <v>18.920000000000002</v>
      </c>
      <c r="G36" s="99">
        <f t="shared" si="20"/>
        <v>0.22000000000000003</v>
      </c>
      <c r="H36" s="98" t="s">
        <v>155</v>
      </c>
      <c r="I36" s="97">
        <f>1-E36</f>
        <v>0</v>
      </c>
      <c r="J36" s="49">
        <f t="shared" si="21"/>
        <v>0</v>
      </c>
      <c r="K36" s="96">
        <f>J36/$J$41</f>
        <v>0</v>
      </c>
      <c r="L36" s="95" t="s">
        <v>155</v>
      </c>
      <c r="M36" s="94"/>
    </row>
    <row r="37" spans="1:18" ht="15.75" x14ac:dyDescent="0.25">
      <c r="A37" s="75" t="str">
        <f t="shared" si="18"/>
        <v>Compost_Emissions_E</v>
      </c>
      <c r="B37" s="51">
        <v>24.08</v>
      </c>
      <c r="C37" s="102">
        <f t="shared" si="19"/>
        <v>0.18666666666666665</v>
      </c>
      <c r="D37" s="101"/>
      <c r="E37" s="100">
        <v>1</v>
      </c>
      <c r="F37" s="50">
        <f t="shared" ref="F37:F40" si="22">E37*B37</f>
        <v>24.08</v>
      </c>
      <c r="G37" s="99">
        <f t="shared" si="20"/>
        <v>0.27999999999999997</v>
      </c>
      <c r="H37" s="98"/>
      <c r="I37" s="97">
        <f>1-E37</f>
        <v>0</v>
      </c>
      <c r="J37" s="49">
        <f t="shared" si="21"/>
        <v>0</v>
      </c>
      <c r="K37" s="96">
        <f>J37/$J$41</f>
        <v>0</v>
      </c>
      <c r="L37" s="95"/>
      <c r="M37" s="94"/>
    </row>
    <row r="38" spans="1:18" ht="15.75" x14ac:dyDescent="0.25">
      <c r="A38" s="75" t="e">
        <f t="shared" si="18"/>
        <v>#REF!</v>
      </c>
      <c r="B38" s="51"/>
      <c r="C38" s="102">
        <f t="shared" si="19"/>
        <v>0</v>
      </c>
      <c r="D38" s="101"/>
      <c r="E38" s="100"/>
      <c r="F38" s="50">
        <f t="shared" si="22"/>
        <v>0</v>
      </c>
      <c r="G38" s="99">
        <f t="shared" si="20"/>
        <v>0</v>
      </c>
      <c r="H38" s="98"/>
      <c r="I38" s="97"/>
      <c r="J38" s="49">
        <f t="shared" si="21"/>
        <v>0</v>
      </c>
      <c r="K38" s="96">
        <f>J38/$J$41</f>
        <v>0</v>
      </c>
      <c r="L38" s="95"/>
      <c r="M38" s="94"/>
    </row>
    <row r="39" spans="1:18" ht="15.75" x14ac:dyDescent="0.25">
      <c r="A39" s="75" t="e">
        <f t="shared" si="18"/>
        <v>#REF!</v>
      </c>
      <c r="B39" s="51"/>
      <c r="C39" s="102">
        <f t="shared" si="19"/>
        <v>0</v>
      </c>
      <c r="D39" s="101"/>
      <c r="E39" s="100"/>
      <c r="F39" s="50">
        <f t="shared" si="22"/>
        <v>0</v>
      </c>
      <c r="G39" s="99">
        <f t="shared" si="20"/>
        <v>0</v>
      </c>
      <c r="H39" s="98"/>
      <c r="I39" s="97"/>
      <c r="J39" s="49">
        <f t="shared" si="21"/>
        <v>0</v>
      </c>
      <c r="K39" s="96">
        <f>J39/$J$41</f>
        <v>0</v>
      </c>
      <c r="L39" s="95"/>
      <c r="M39" s="94"/>
    </row>
    <row r="40" spans="1:18" ht="16.5" thickBot="1" x14ac:dyDescent="0.3">
      <c r="A40" s="75">
        <f t="shared" si="18"/>
        <v>0</v>
      </c>
      <c r="B40" s="51"/>
      <c r="C40" s="102">
        <f t="shared" si="19"/>
        <v>0</v>
      </c>
      <c r="D40" s="101"/>
      <c r="E40" s="100"/>
      <c r="F40" s="50">
        <f t="shared" si="22"/>
        <v>0</v>
      </c>
      <c r="G40" s="99">
        <f t="shared" si="20"/>
        <v>0</v>
      </c>
      <c r="H40" s="98"/>
      <c r="I40" s="97"/>
      <c r="J40" s="49">
        <f t="shared" si="21"/>
        <v>0</v>
      </c>
      <c r="K40" s="96">
        <f>J40/$J$22</f>
        <v>0</v>
      </c>
      <c r="L40" s="95"/>
      <c r="M40" s="94"/>
    </row>
    <row r="41" spans="1:18" ht="16.5" thickBot="1" x14ac:dyDescent="0.3">
      <c r="A41" s="65" t="s">
        <v>157</v>
      </c>
      <c r="B41" s="93">
        <f>SUM(B35:B40)</f>
        <v>129</v>
      </c>
      <c r="C41" s="92">
        <f>SUM(C35:C40)</f>
        <v>0.99999999999999989</v>
      </c>
      <c r="D41" s="91"/>
      <c r="E41" s="90">
        <f>F41/B41</f>
        <v>0.66666666666666663</v>
      </c>
      <c r="F41" s="89">
        <f>SUM(F35:F40)</f>
        <v>86</v>
      </c>
      <c r="G41" s="88">
        <f>SUM(G35:G40)</f>
        <v>1</v>
      </c>
      <c r="H41" s="87"/>
      <c r="I41" s="86">
        <f>J41/B41</f>
        <v>0.33333333333333331</v>
      </c>
      <c r="J41" s="85">
        <f>SUM(J35:J40)</f>
        <v>43</v>
      </c>
      <c r="K41" s="84">
        <f>SUM(K35:K40)</f>
        <v>1</v>
      </c>
      <c r="L41" s="83"/>
      <c r="M41" s="82"/>
    </row>
    <row r="42" spans="1:18" ht="16.5" customHeight="1" thickBot="1" x14ac:dyDescent="0.3">
      <c r="A42" s="145" t="s">
        <v>182</v>
      </c>
      <c r="B42" s="218" t="s">
        <v>181</v>
      </c>
      <c r="C42" s="219"/>
      <c r="D42" s="219"/>
      <c r="E42" s="219"/>
      <c r="F42" s="219"/>
      <c r="G42" s="219"/>
      <c r="H42" s="220"/>
      <c r="I42" s="221" t="s">
        <v>180</v>
      </c>
      <c r="J42" s="222"/>
      <c r="K42" s="222"/>
      <c r="L42" s="222"/>
      <c r="M42" s="223"/>
    </row>
    <row r="43" spans="1:18" ht="63.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18" ht="15.75" x14ac:dyDescent="0.25">
      <c r="A44" s="75" t="str">
        <f t="shared" ref="A44:A49" si="23">A35</f>
        <v>Compost</v>
      </c>
      <c r="B44" s="74">
        <v>0.52</v>
      </c>
      <c r="C44" s="72">
        <f>J35*B44</f>
        <v>22.36</v>
      </c>
      <c r="D44" s="73">
        <f t="shared" ref="D44:D49" si="24">C44/$C$50</f>
        <v>0.54166666666666663</v>
      </c>
      <c r="E44" s="72" t="s">
        <v>155</v>
      </c>
      <c r="F44" s="71">
        <f>B44*I35</f>
        <v>0.26</v>
      </c>
      <c r="G44" s="70">
        <f>B44*I35*B35</f>
        <v>22.36</v>
      </c>
      <c r="H44" s="69">
        <f t="shared" ref="H44:H49" si="25">G44/$G$50</f>
        <v>0.54166666666666663</v>
      </c>
      <c r="I44" s="68">
        <f t="shared" ref="I44:I49" si="26">$A$12*B58</f>
        <v>666.66666666666652</v>
      </c>
      <c r="J44" s="67">
        <f t="shared" ref="J44:J49" si="27">I44*E35</f>
        <v>333.33333333333326</v>
      </c>
      <c r="K44" s="67">
        <f t="shared" ref="K44:K49" si="28">I44*I35</f>
        <v>333.33333333333326</v>
      </c>
      <c r="L44" s="67">
        <f t="shared" ref="L44:L49" si="29">SUM(J44:K44)</f>
        <v>666.66666666666652</v>
      </c>
      <c r="M44" s="66">
        <f t="shared" ref="M44:M49" si="30">I44*F44</f>
        <v>173.33333333333329</v>
      </c>
    </row>
    <row r="45" spans="1:18" ht="15.75" x14ac:dyDescent="0.25">
      <c r="A45" s="75" t="str">
        <f t="shared" si="23"/>
        <v>Compost_Emissions_C</v>
      </c>
      <c r="B45" s="74">
        <v>1</v>
      </c>
      <c r="C45" s="72">
        <f>F36*B45</f>
        <v>18.920000000000002</v>
      </c>
      <c r="D45" s="73">
        <f t="shared" si="24"/>
        <v>0.45833333333333337</v>
      </c>
      <c r="E45" s="72" t="s">
        <v>155</v>
      </c>
      <c r="F45" s="71">
        <f t="shared" ref="F45:F49" si="31">B45*E36</f>
        <v>1</v>
      </c>
      <c r="G45" s="70">
        <f t="shared" ref="G45:G49" si="32">B45*E36*B36</f>
        <v>18.920000000000002</v>
      </c>
      <c r="H45" s="69">
        <f t="shared" si="25"/>
        <v>0.45833333333333337</v>
      </c>
      <c r="I45" s="68">
        <f t="shared" si="26"/>
        <v>146.66666666666663</v>
      </c>
      <c r="J45" s="67">
        <f t="shared" si="27"/>
        <v>146.66666666666663</v>
      </c>
      <c r="K45" s="67">
        <f t="shared" si="28"/>
        <v>0</v>
      </c>
      <c r="L45" s="67">
        <f t="shared" si="29"/>
        <v>146.66666666666663</v>
      </c>
      <c r="M45" s="66">
        <f t="shared" si="30"/>
        <v>146.66666666666663</v>
      </c>
      <c r="R45">
        <f>E53-E54</f>
        <v>0</v>
      </c>
    </row>
    <row r="46" spans="1:18" ht="15.75" x14ac:dyDescent="0.25">
      <c r="A46" s="75" t="str">
        <f t="shared" si="23"/>
        <v>Compost_Emissions_E</v>
      </c>
      <c r="B46" s="74">
        <v>0</v>
      </c>
      <c r="C46" s="72">
        <f t="shared" ref="C46" si="33">J37*B46</f>
        <v>0</v>
      </c>
      <c r="D46" s="73">
        <f t="shared" si="24"/>
        <v>0</v>
      </c>
      <c r="E46" s="72" t="s">
        <v>155</v>
      </c>
      <c r="F46" s="71">
        <f t="shared" si="31"/>
        <v>0</v>
      </c>
      <c r="G46" s="70">
        <f t="shared" si="32"/>
        <v>0</v>
      </c>
      <c r="H46" s="69">
        <f t="shared" si="25"/>
        <v>0</v>
      </c>
      <c r="I46" s="68">
        <f t="shared" si="26"/>
        <v>186.66666666666663</v>
      </c>
      <c r="J46" s="67">
        <f t="shared" si="27"/>
        <v>186.66666666666663</v>
      </c>
      <c r="K46" s="67">
        <f t="shared" si="28"/>
        <v>0</v>
      </c>
      <c r="L46" s="67">
        <f t="shared" si="29"/>
        <v>186.66666666666663</v>
      </c>
      <c r="M46" s="66">
        <f t="shared" si="30"/>
        <v>0</v>
      </c>
    </row>
    <row r="47" spans="1:18" ht="15.75" x14ac:dyDescent="0.25">
      <c r="A47" s="75" t="e">
        <f t="shared" si="23"/>
        <v>#REF!</v>
      </c>
      <c r="B47" s="74"/>
      <c r="C47" s="72">
        <f t="shared" ref="C47" si="34">F38*B47</f>
        <v>0</v>
      </c>
      <c r="D47" s="73">
        <f t="shared" si="24"/>
        <v>0</v>
      </c>
      <c r="E47" s="72"/>
      <c r="F47" s="71">
        <f t="shared" si="31"/>
        <v>0</v>
      </c>
      <c r="G47" s="70">
        <f t="shared" si="32"/>
        <v>0</v>
      </c>
      <c r="H47" s="69">
        <f t="shared" si="25"/>
        <v>0</v>
      </c>
      <c r="I47" s="68">
        <f t="shared" si="26"/>
        <v>0</v>
      </c>
      <c r="J47" s="67">
        <f t="shared" si="27"/>
        <v>0</v>
      </c>
      <c r="K47" s="67">
        <f t="shared" si="28"/>
        <v>0</v>
      </c>
      <c r="L47" s="67">
        <f t="shared" si="29"/>
        <v>0</v>
      </c>
      <c r="M47" s="66">
        <f t="shared" si="30"/>
        <v>0</v>
      </c>
    </row>
    <row r="48" spans="1:18" ht="15.75" x14ac:dyDescent="0.25">
      <c r="A48" s="75" t="e">
        <f t="shared" si="23"/>
        <v>#REF!</v>
      </c>
      <c r="B48" s="74"/>
      <c r="C48" s="72">
        <f t="shared" ref="C48" si="35">J39*B48</f>
        <v>0</v>
      </c>
      <c r="D48" s="73">
        <f t="shared" si="24"/>
        <v>0</v>
      </c>
      <c r="E48" s="72"/>
      <c r="F48" s="71">
        <f t="shared" si="31"/>
        <v>0</v>
      </c>
      <c r="G48" s="70">
        <f t="shared" si="32"/>
        <v>0</v>
      </c>
      <c r="H48" s="69">
        <f t="shared" si="25"/>
        <v>0</v>
      </c>
      <c r="I48" s="68">
        <f t="shared" si="26"/>
        <v>0</v>
      </c>
      <c r="J48" s="67">
        <f t="shared" si="27"/>
        <v>0</v>
      </c>
      <c r="K48" s="67">
        <f t="shared" si="28"/>
        <v>0</v>
      </c>
      <c r="L48" s="67">
        <f t="shared" si="29"/>
        <v>0</v>
      </c>
      <c r="M48" s="66">
        <f t="shared" si="30"/>
        <v>0</v>
      </c>
    </row>
    <row r="49" spans="1:18" ht="16.5" thickBot="1" x14ac:dyDescent="0.3">
      <c r="A49" s="75">
        <f t="shared" si="23"/>
        <v>0</v>
      </c>
      <c r="B49" s="74"/>
      <c r="C49" s="72">
        <f t="shared" ref="C49" si="36">F40*B49</f>
        <v>0</v>
      </c>
      <c r="D49" s="73">
        <f t="shared" si="24"/>
        <v>0</v>
      </c>
      <c r="E49" s="72"/>
      <c r="F49" s="71">
        <f t="shared" si="31"/>
        <v>0</v>
      </c>
      <c r="G49" s="70">
        <f t="shared" si="32"/>
        <v>0</v>
      </c>
      <c r="H49" s="69">
        <f t="shared" si="25"/>
        <v>0</v>
      </c>
      <c r="I49" s="68">
        <f t="shared" si="26"/>
        <v>0</v>
      </c>
      <c r="J49" s="67">
        <f t="shared" si="27"/>
        <v>0</v>
      </c>
      <c r="K49" s="67">
        <f t="shared" si="28"/>
        <v>0</v>
      </c>
      <c r="L49" s="67">
        <f t="shared" si="29"/>
        <v>0</v>
      </c>
      <c r="M49" s="66">
        <f t="shared" si="30"/>
        <v>0</v>
      </c>
      <c r="Q49" s="171"/>
    </row>
    <row r="50" spans="1:18" ht="16.5" thickBot="1" x14ac:dyDescent="0.3">
      <c r="A50" s="65" t="s">
        <v>157</v>
      </c>
      <c r="B50" s="64">
        <f>C50/F41</f>
        <v>0.48000000000000004</v>
      </c>
      <c r="C50" s="62">
        <f>SUM(C44:C49)</f>
        <v>41.28</v>
      </c>
      <c r="D50" s="63">
        <f>SUM(D44:D49)</f>
        <v>1</v>
      </c>
      <c r="E50" s="62"/>
      <c r="F50" s="61">
        <f>G50/B41</f>
        <v>0.32</v>
      </c>
      <c r="G50" s="60">
        <f t="shared" ref="G50:M50" si="37">SUM(G44:G49)</f>
        <v>41.28</v>
      </c>
      <c r="H50" s="59">
        <f t="shared" si="37"/>
        <v>1</v>
      </c>
      <c r="I50" s="58">
        <f t="shared" si="37"/>
        <v>999.99999999999977</v>
      </c>
      <c r="J50" s="57">
        <f t="shared" si="37"/>
        <v>666.66666666666652</v>
      </c>
      <c r="K50" s="57">
        <f t="shared" si="37"/>
        <v>333.33333333333326</v>
      </c>
      <c r="L50" s="57">
        <f t="shared" si="37"/>
        <v>999.99999999999977</v>
      </c>
      <c r="M50" s="56">
        <f t="shared" si="37"/>
        <v>319.99999999999989</v>
      </c>
      <c r="R50">
        <f>C53-C54</f>
        <v>0</v>
      </c>
    </row>
    <row r="51" spans="1:18" ht="15.75" thickBot="1" x14ac:dyDescent="0.3">
      <c r="A51" s="250" t="s">
        <v>167</v>
      </c>
      <c r="B51" s="251"/>
      <c r="C51" s="251"/>
      <c r="D51" s="251"/>
      <c r="E51" s="252"/>
      <c r="F51" s="253" t="s">
        <v>166</v>
      </c>
      <c r="G51" s="254"/>
      <c r="H51" s="254"/>
      <c r="I51" s="254"/>
      <c r="J51" s="254"/>
      <c r="K51" s="254"/>
      <c r="L51" s="254"/>
      <c r="M51" s="255"/>
    </row>
    <row r="52" spans="1:18" ht="16.5" thickBot="1" x14ac:dyDescent="0.3">
      <c r="A52" s="4" t="s">
        <v>165</v>
      </c>
      <c r="B52" s="55" t="s">
        <v>164</v>
      </c>
      <c r="C52" s="54" t="s">
        <v>137</v>
      </c>
      <c r="D52" s="53" t="s">
        <v>136</v>
      </c>
      <c r="E52" s="52" t="s">
        <v>163</v>
      </c>
      <c r="F52" s="200"/>
      <c r="G52" s="200"/>
      <c r="H52" s="200"/>
      <c r="I52" s="200"/>
      <c r="J52" s="200"/>
      <c r="K52" s="200"/>
      <c r="L52" s="200"/>
      <c r="M52" s="256"/>
    </row>
    <row r="53" spans="1:18" ht="15.75" x14ac:dyDescent="0.25">
      <c r="A53" s="5" t="s">
        <v>162</v>
      </c>
      <c r="B53" s="51">
        <f>B22</f>
        <v>129</v>
      </c>
      <c r="C53" s="50">
        <f>F22</f>
        <v>86</v>
      </c>
      <c r="D53" s="49">
        <f>J22</f>
        <v>43</v>
      </c>
      <c r="E53" s="48">
        <f>C31</f>
        <v>41.28</v>
      </c>
      <c r="F53" s="200"/>
      <c r="G53" s="200"/>
      <c r="H53" s="200"/>
      <c r="I53" s="200"/>
      <c r="J53" s="200"/>
      <c r="K53" s="200"/>
      <c r="L53" s="200"/>
      <c r="M53" s="256"/>
      <c r="P53">
        <f>C53-C54</f>
        <v>0</v>
      </c>
      <c r="R53">
        <f>R50-R45</f>
        <v>0</v>
      </c>
    </row>
    <row r="54" spans="1:18" ht="16.5" thickBot="1" x14ac:dyDescent="0.3">
      <c r="A54" s="5" t="s">
        <v>161</v>
      </c>
      <c r="B54" s="51">
        <f>B41</f>
        <v>129</v>
      </c>
      <c r="C54" s="50">
        <f>F41</f>
        <v>86</v>
      </c>
      <c r="D54" s="49">
        <f>J41</f>
        <v>43</v>
      </c>
      <c r="E54" s="48">
        <f>C50</f>
        <v>41.28</v>
      </c>
      <c r="F54" s="200"/>
      <c r="G54" s="200"/>
      <c r="H54" s="200"/>
      <c r="I54" s="200"/>
      <c r="J54" s="200"/>
      <c r="K54" s="200"/>
      <c r="L54" s="200"/>
      <c r="M54" s="256"/>
    </row>
    <row r="55" spans="1:18" ht="15.75" x14ac:dyDescent="0.25">
      <c r="A55" s="4" t="s">
        <v>160</v>
      </c>
      <c r="B55" s="140">
        <f>B53-B54</f>
        <v>0</v>
      </c>
      <c r="C55" s="141">
        <f>C53-C54</f>
        <v>0</v>
      </c>
      <c r="D55" s="142">
        <f>D53-D54</f>
        <v>0</v>
      </c>
      <c r="E55" s="143">
        <f>E53-E54</f>
        <v>0</v>
      </c>
      <c r="F55" s="200"/>
      <c r="G55" s="200"/>
      <c r="H55" s="200"/>
      <c r="I55" s="200"/>
      <c r="J55" s="200"/>
      <c r="K55" s="200"/>
      <c r="L55" s="200"/>
      <c r="M55" s="256"/>
    </row>
    <row r="56" spans="1:18" ht="16.5" thickBot="1" x14ac:dyDescent="0.3">
      <c r="A56" s="6" t="s">
        <v>159</v>
      </c>
      <c r="B56" s="47">
        <f>B53/B54</f>
        <v>1</v>
      </c>
      <c r="C56" s="45">
        <f>C53/C54</f>
        <v>1</v>
      </c>
      <c r="D56" s="44">
        <f>D53/D54</f>
        <v>1</v>
      </c>
      <c r="E56" s="43">
        <f>E53/E54</f>
        <v>1</v>
      </c>
      <c r="F56" s="200"/>
      <c r="G56" s="200"/>
      <c r="H56" s="200"/>
      <c r="I56" s="200"/>
      <c r="J56" s="200"/>
      <c r="K56" s="200"/>
      <c r="L56" s="200"/>
      <c r="M56" s="256"/>
    </row>
    <row r="57" spans="1:18" ht="15.75" thickBot="1" x14ac:dyDescent="0.3">
      <c r="A57" s="250" t="s">
        <v>158</v>
      </c>
      <c r="B57" s="251"/>
      <c r="C57" s="251"/>
      <c r="D57" s="251"/>
      <c r="E57" s="252"/>
      <c r="F57" s="200"/>
      <c r="G57" s="200"/>
      <c r="H57" s="200"/>
      <c r="I57" s="200"/>
      <c r="J57" s="200"/>
      <c r="K57" s="200"/>
      <c r="L57" s="200"/>
      <c r="M57" s="256"/>
      <c r="Q57" s="192">
        <f>B53-B54</f>
        <v>0</v>
      </c>
    </row>
    <row r="58" spans="1:18" ht="16.5" thickBot="1" x14ac:dyDescent="0.3">
      <c r="A58" s="42" t="str">
        <f t="shared" ref="A58:A63" si="38">A44</f>
        <v>Compost</v>
      </c>
      <c r="B58" s="41">
        <f t="shared" ref="B58:B63" si="39">(B35*$C$41)/($B$22*$C$22)</f>
        <v>0.66666666666666652</v>
      </c>
      <c r="C58" s="40">
        <f>(E35*B35)/($B$22*$E$22)</f>
        <v>0.5</v>
      </c>
      <c r="D58" s="39">
        <f t="shared" ref="D58:D63" si="40">(I35*B35)/($B$22*$I$22)</f>
        <v>1</v>
      </c>
      <c r="E58" s="38">
        <f t="shared" ref="E58:E63" si="41">(F44*B35)/($B$22*$F$31)</f>
        <v>0.54166666666666663</v>
      </c>
      <c r="F58" s="200"/>
      <c r="G58" s="200"/>
      <c r="H58" s="200"/>
      <c r="I58" s="200"/>
      <c r="J58" s="200"/>
      <c r="K58" s="200"/>
      <c r="L58" s="200"/>
      <c r="M58" s="256"/>
    </row>
    <row r="59" spans="1:18" ht="16.5" thickBot="1" x14ac:dyDescent="0.3">
      <c r="A59" s="6" t="str">
        <f t="shared" si="38"/>
        <v>Compost_Emissions_C</v>
      </c>
      <c r="B59" s="46">
        <f t="shared" si="39"/>
        <v>0.14666666666666664</v>
      </c>
      <c r="C59" s="45">
        <f>(E36*B36)/($B$22*$E$22)</f>
        <v>0.22000000000000003</v>
      </c>
      <c r="D59" s="44">
        <f t="shared" si="40"/>
        <v>0</v>
      </c>
      <c r="E59" s="43">
        <f t="shared" si="41"/>
        <v>0.45833333333333337</v>
      </c>
      <c r="F59" s="200"/>
      <c r="G59" s="200"/>
      <c r="H59" s="200"/>
      <c r="I59" s="200"/>
      <c r="J59" s="200"/>
      <c r="K59" s="200"/>
      <c r="L59" s="200"/>
      <c r="M59" s="256"/>
    </row>
    <row r="60" spans="1:18" ht="16.5" thickBot="1" x14ac:dyDescent="0.3">
      <c r="A60" s="6" t="str">
        <f t="shared" si="38"/>
        <v>Compost_Emissions_E</v>
      </c>
      <c r="B60" s="46">
        <f t="shared" si="39"/>
        <v>0.18666666666666662</v>
      </c>
      <c r="C60" s="45">
        <f>(E37*B37)/($B$22*$E$22)</f>
        <v>0.27999999999999997</v>
      </c>
      <c r="D60" s="44">
        <f t="shared" si="40"/>
        <v>0</v>
      </c>
      <c r="E60" s="43">
        <f t="shared" si="41"/>
        <v>0</v>
      </c>
      <c r="F60" s="200"/>
      <c r="G60" s="200"/>
      <c r="H60" s="200"/>
      <c r="I60" s="200"/>
      <c r="J60" s="200"/>
      <c r="K60" s="200"/>
      <c r="L60" s="200"/>
      <c r="M60" s="256"/>
    </row>
    <row r="61" spans="1:18" ht="16.5" thickBot="1" x14ac:dyDescent="0.3">
      <c r="A61" s="6" t="e">
        <f t="shared" si="38"/>
        <v>#REF!</v>
      </c>
      <c r="B61" s="46">
        <f t="shared" si="39"/>
        <v>0</v>
      </c>
      <c r="C61" s="45">
        <f>($G$41*F38)/($B$22*$E$22)</f>
        <v>0</v>
      </c>
      <c r="D61" s="44">
        <f t="shared" si="40"/>
        <v>0</v>
      </c>
      <c r="E61" s="43">
        <f t="shared" si="41"/>
        <v>0</v>
      </c>
      <c r="F61" s="200"/>
      <c r="G61" s="200"/>
      <c r="H61" s="200"/>
      <c r="I61" s="200"/>
      <c r="J61" s="200"/>
      <c r="K61" s="200"/>
      <c r="L61" s="200"/>
      <c r="M61" s="256"/>
    </row>
    <row r="62" spans="1:18" ht="16.5" thickBot="1" x14ac:dyDescent="0.3">
      <c r="A62" s="6" t="e">
        <f t="shared" si="38"/>
        <v>#REF!</v>
      </c>
      <c r="B62" s="46">
        <f t="shared" si="39"/>
        <v>0</v>
      </c>
      <c r="C62" s="45">
        <f>(B39*E39)/($B$22*$E$22)</f>
        <v>0</v>
      </c>
      <c r="D62" s="44">
        <f t="shared" si="40"/>
        <v>0</v>
      </c>
      <c r="E62" s="43">
        <f t="shared" si="41"/>
        <v>0</v>
      </c>
      <c r="F62" s="200"/>
      <c r="G62" s="200"/>
      <c r="H62" s="200"/>
      <c r="I62" s="200"/>
      <c r="J62" s="200"/>
      <c r="K62" s="200"/>
      <c r="L62" s="200"/>
      <c r="M62" s="256"/>
    </row>
    <row r="63" spans="1:18" ht="16.5" thickBot="1" x14ac:dyDescent="0.3">
      <c r="A63" s="6">
        <f t="shared" si="38"/>
        <v>0</v>
      </c>
      <c r="B63" s="46">
        <f t="shared" si="39"/>
        <v>0</v>
      </c>
      <c r="C63" s="45">
        <f>(B40*E40)/($B$22*$E$22)</f>
        <v>0</v>
      </c>
      <c r="D63" s="44">
        <f t="shared" si="40"/>
        <v>0</v>
      </c>
      <c r="E63" s="43">
        <f t="shared" si="41"/>
        <v>0</v>
      </c>
      <c r="F63" s="200"/>
      <c r="G63" s="200"/>
      <c r="H63" s="200"/>
      <c r="I63" s="200"/>
      <c r="J63" s="200"/>
      <c r="K63" s="200"/>
      <c r="L63" s="200"/>
      <c r="M63" s="256"/>
    </row>
    <row r="64" spans="1:18" ht="16.5" thickBot="1" x14ac:dyDescent="0.3">
      <c r="A64" s="4" t="s">
        <v>157</v>
      </c>
      <c r="B64" s="136">
        <f>SUM(B58:B63)</f>
        <v>0.99999999999999978</v>
      </c>
      <c r="C64" s="137">
        <f>SUM(C58:C63)</f>
        <v>1</v>
      </c>
      <c r="D64" s="138">
        <f>SUM(D58:D63)</f>
        <v>1</v>
      </c>
      <c r="E64" s="139">
        <f>SUM(E58:E63)</f>
        <v>1</v>
      </c>
      <c r="F64" s="200"/>
      <c r="G64" s="200"/>
      <c r="H64" s="200"/>
      <c r="I64" s="200"/>
      <c r="J64" s="200"/>
      <c r="K64" s="200"/>
      <c r="L64" s="200"/>
      <c r="M64" s="256"/>
    </row>
    <row r="65" spans="1:13" ht="16.5" thickBot="1" x14ac:dyDescent="0.3">
      <c r="A65" s="226" t="s">
        <v>156</v>
      </c>
      <c r="B65" s="227"/>
      <c r="C65" s="227"/>
      <c r="D65" s="227"/>
      <c r="E65" s="227"/>
      <c r="F65" s="227"/>
      <c r="G65" s="227"/>
      <c r="H65" s="227"/>
      <c r="I65" s="227"/>
      <c r="J65" s="227"/>
      <c r="K65" s="227"/>
      <c r="L65" s="227"/>
      <c r="M65" s="228"/>
    </row>
    <row r="66" spans="1:13" x14ac:dyDescent="0.25">
      <c r="A66" s="5" t="s">
        <v>155</v>
      </c>
      <c r="B66" s="257" t="s">
        <v>154</v>
      </c>
      <c r="C66" s="257"/>
      <c r="D66" s="257"/>
      <c r="E66" s="257"/>
      <c r="F66" s="257"/>
      <c r="G66" s="5" t="s">
        <v>153</v>
      </c>
      <c r="M66" s="37"/>
    </row>
    <row r="67" spans="1:13" ht="18.75" customHeight="1" x14ac:dyDescent="0.25">
      <c r="A67" s="5" t="s">
        <v>152</v>
      </c>
      <c r="B67" s="200" t="s">
        <v>139</v>
      </c>
      <c r="C67" s="200"/>
      <c r="D67" s="200"/>
      <c r="E67" s="200"/>
      <c r="F67" s="200"/>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C90A-8793-44EC-B9CF-7B033DE489F1}">
  <sheetPr>
    <tabColor theme="8" tint="0.79998168889431442"/>
  </sheetPr>
  <dimension ref="A1:W72"/>
  <sheetViews>
    <sheetView topLeftCell="A11" zoomScaleNormal="100" zoomScaleSheetLayoutView="145" zoomScalePageLayoutView="115" workbookViewId="0">
      <selection activeCell="R34" sqref="R34"/>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0" t="s">
        <v>209</v>
      </c>
      <c r="B1" s="201" t="str">
        <f>_xlfn.XLOOKUP(J1,Tab_Def_Processes[Process_ID],Tab_Def_Processes[Process_Name],"N.A.",0,1)</f>
        <v>Natur-&amp; Synthesekautchouck</v>
      </c>
      <c r="C1" s="201"/>
      <c r="D1" s="201"/>
      <c r="E1" s="201"/>
      <c r="F1" s="201"/>
      <c r="G1" s="201"/>
      <c r="H1" s="201"/>
      <c r="I1" s="130" t="s">
        <v>208</v>
      </c>
      <c r="J1" s="202" t="s">
        <v>102</v>
      </c>
      <c r="K1" s="202"/>
      <c r="L1" s="202"/>
      <c r="M1" s="202"/>
    </row>
    <row r="2" spans="1:22" ht="16.5" thickBot="1" x14ac:dyDescent="0.3">
      <c r="A2" s="203" t="s">
        <v>207</v>
      </c>
      <c r="B2" s="204"/>
      <c r="C2" s="204"/>
      <c r="D2" s="204"/>
      <c r="E2" s="204"/>
      <c r="F2" s="204"/>
      <c r="G2" s="204"/>
      <c r="H2" s="204"/>
      <c r="I2" s="204"/>
      <c r="J2" s="204"/>
      <c r="K2" s="204"/>
      <c r="L2" s="204"/>
      <c r="M2" s="205"/>
    </row>
    <row r="3" spans="1:22" ht="126.75" customHeight="1" thickBot="1" x14ac:dyDescent="0.3">
      <c r="A3" s="206"/>
      <c r="B3" s="207"/>
      <c r="C3" s="207"/>
      <c r="D3" s="207"/>
      <c r="E3" s="207"/>
      <c r="F3" s="207"/>
      <c r="G3" s="207"/>
      <c r="H3" s="207"/>
      <c r="I3" s="207"/>
      <c r="J3" s="207"/>
      <c r="K3" s="207"/>
      <c r="L3" s="207"/>
      <c r="M3" s="208"/>
    </row>
    <row r="4" spans="1:22" ht="31.5" customHeight="1" x14ac:dyDescent="0.25">
      <c r="A4" s="129" t="s">
        <v>206</v>
      </c>
      <c r="B4" s="209"/>
      <c r="C4" s="210"/>
      <c r="D4" s="211"/>
      <c r="E4" s="212" t="s">
        <v>205</v>
      </c>
      <c r="F4" s="213"/>
      <c r="G4" s="134"/>
      <c r="H4" s="134"/>
      <c r="I4" s="128"/>
      <c r="J4" s="128"/>
      <c r="K4" s="128"/>
      <c r="L4" s="128"/>
      <c r="M4" s="128"/>
    </row>
    <row r="5" spans="1:22" ht="16.5" customHeight="1" x14ac:dyDescent="0.25">
      <c r="A5" s="131" t="s">
        <v>204</v>
      </c>
      <c r="B5" s="260" t="s">
        <v>687</v>
      </c>
      <c r="C5" s="261"/>
      <c r="D5" s="262"/>
      <c r="E5" s="131" t="s">
        <v>204</v>
      </c>
      <c r="F5" s="258" t="s">
        <v>688</v>
      </c>
      <c r="G5" s="216"/>
      <c r="H5" s="217"/>
      <c r="I5" s="132"/>
      <c r="J5" s="127"/>
      <c r="K5" s="127"/>
      <c r="L5" s="127"/>
      <c r="M5" s="124"/>
    </row>
    <row r="6" spans="1:22" ht="16.5" customHeight="1" x14ac:dyDescent="0.25">
      <c r="A6" s="131" t="s">
        <v>203</v>
      </c>
      <c r="B6" s="258"/>
      <c r="C6" s="216"/>
      <c r="D6" s="217"/>
      <c r="E6" s="131" t="s">
        <v>203</v>
      </c>
      <c r="F6" s="258" t="s">
        <v>689</v>
      </c>
      <c r="G6" s="216"/>
      <c r="H6" s="217"/>
      <c r="I6" s="132"/>
      <c r="J6" s="127"/>
      <c r="K6" s="127"/>
      <c r="L6" s="127"/>
      <c r="M6" s="124"/>
    </row>
    <row r="7" spans="1:22" ht="16.5" customHeight="1" x14ac:dyDescent="0.25">
      <c r="A7" s="126" t="s">
        <v>202</v>
      </c>
      <c r="B7" s="258"/>
      <c r="C7" s="216"/>
      <c r="D7" s="217"/>
      <c r="E7" s="126" t="s">
        <v>202</v>
      </c>
      <c r="F7" s="258" t="s">
        <v>690</v>
      </c>
      <c r="G7" s="216"/>
      <c r="H7" s="217"/>
      <c r="I7" s="133"/>
      <c r="J7" s="125"/>
      <c r="K7" s="125"/>
      <c r="L7" s="125"/>
      <c r="M7" s="124"/>
    </row>
    <row r="8" spans="1:22" ht="16.5" customHeight="1" x14ac:dyDescent="0.25">
      <c r="A8" s="126" t="s">
        <v>201</v>
      </c>
      <c r="B8" s="258"/>
      <c r="C8" s="216"/>
      <c r="D8" s="217"/>
      <c r="E8" s="126" t="s">
        <v>201</v>
      </c>
      <c r="F8" s="258"/>
      <c r="G8" s="216"/>
      <c r="H8" s="217"/>
      <c r="I8" s="133"/>
      <c r="J8" s="125"/>
      <c r="K8" s="125"/>
      <c r="L8" s="125"/>
      <c r="M8" s="124"/>
    </row>
    <row r="9" spans="1:22" ht="16.5" customHeight="1" x14ac:dyDescent="0.25">
      <c r="A9" s="126" t="s">
        <v>200</v>
      </c>
      <c r="B9" s="258"/>
      <c r="C9" s="216"/>
      <c r="D9" s="217"/>
      <c r="E9" s="126" t="s">
        <v>200</v>
      </c>
      <c r="F9" s="258"/>
      <c r="G9" s="216"/>
      <c r="H9" s="217"/>
      <c r="I9" s="133"/>
      <c r="J9" s="125"/>
      <c r="K9" s="125"/>
      <c r="L9" s="125"/>
      <c r="M9" s="124"/>
    </row>
    <row r="10" spans="1:22" ht="16.5" customHeight="1" thickBot="1" x14ac:dyDescent="0.3">
      <c r="A10" s="135" t="s">
        <v>199</v>
      </c>
      <c r="B10" s="258"/>
      <c r="C10" s="216"/>
      <c r="D10" s="217"/>
      <c r="E10" s="135" t="s">
        <v>199</v>
      </c>
      <c r="F10" s="259"/>
      <c r="G10" s="224"/>
      <c r="H10" s="225"/>
      <c r="I10" s="133"/>
      <c r="J10" s="125"/>
      <c r="K10" s="125"/>
      <c r="L10" s="125"/>
      <c r="M10" s="124"/>
    </row>
    <row r="11" spans="1:22" ht="16.5" thickBot="1" x14ac:dyDescent="0.3">
      <c r="A11" s="203" t="s">
        <v>198</v>
      </c>
      <c r="B11" s="204"/>
      <c r="C11" s="204"/>
      <c r="D11" s="204"/>
      <c r="E11" s="204"/>
      <c r="F11" s="204"/>
      <c r="G11" s="204"/>
      <c r="H11" s="204"/>
      <c r="I11" s="204"/>
      <c r="J11" s="204"/>
      <c r="K11" s="204"/>
      <c r="L11" s="204"/>
      <c r="M11" s="205"/>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26" t="s">
        <v>196</v>
      </c>
      <c r="B13" s="227"/>
      <c r="C13" s="227"/>
      <c r="D13" s="227"/>
      <c r="E13" s="227"/>
      <c r="F13" s="227"/>
      <c r="G13" s="227"/>
      <c r="H13" s="227"/>
      <c r="I13" s="227"/>
      <c r="J13" s="227"/>
      <c r="K13" s="227"/>
      <c r="L13" s="227"/>
      <c r="M13" s="228"/>
    </row>
    <row r="14" spans="1:22" ht="16.5" thickBot="1" x14ac:dyDescent="0.3">
      <c r="A14" s="81" t="s">
        <v>182</v>
      </c>
      <c r="B14" s="229" t="s">
        <v>194</v>
      </c>
      <c r="C14" s="230"/>
      <c r="D14" s="231"/>
      <c r="E14" s="232" t="s">
        <v>193</v>
      </c>
      <c r="F14" s="233"/>
      <c r="G14" s="233"/>
      <c r="H14" s="234"/>
      <c r="I14" s="235" t="s">
        <v>193</v>
      </c>
      <c r="J14" s="236"/>
      <c r="K14" s="236"/>
      <c r="L14" s="236"/>
      <c r="M14" s="237"/>
      <c r="P14" s="169">
        <v>0.2384</v>
      </c>
      <c r="Q14" s="34" t="s">
        <v>139</v>
      </c>
      <c r="R14" s="169">
        <v>0.76160000000000005</v>
      </c>
      <c r="S14" s="34" t="s">
        <v>139</v>
      </c>
      <c r="T14" s="169">
        <v>0</v>
      </c>
      <c r="U14" s="34" t="s">
        <v>139</v>
      </c>
      <c r="V14" s="156">
        <f>Tab_Def_Flows[[#This Row],[Flow_CC_DM'[%']]]*Tab_Def_Flows[[#This Row],[Flow_DM]]</f>
        <v>0</v>
      </c>
    </row>
    <row r="15" spans="1:22" ht="63.75" thickBot="1" x14ac:dyDescent="0.3">
      <c r="A15" s="42"/>
      <c r="B15" s="55" t="s">
        <v>191</v>
      </c>
      <c r="C15" s="108" t="s">
        <v>190</v>
      </c>
      <c r="D15" s="107" t="s">
        <v>183</v>
      </c>
      <c r="E15" s="106" t="s">
        <v>186</v>
      </c>
      <c r="F15" s="54" t="s">
        <v>185</v>
      </c>
      <c r="G15" s="54" t="s">
        <v>184</v>
      </c>
      <c r="H15" s="105" t="s">
        <v>183</v>
      </c>
      <c r="I15" s="104" t="s">
        <v>189</v>
      </c>
      <c r="J15" s="53" t="s">
        <v>188</v>
      </c>
      <c r="K15" s="53" t="s">
        <v>187</v>
      </c>
      <c r="L15" s="53" t="s">
        <v>183</v>
      </c>
      <c r="M15" s="103"/>
      <c r="P15" s="169">
        <v>0.14000000000000001</v>
      </c>
      <c r="Q15" s="34" t="s">
        <v>139</v>
      </c>
      <c r="R15" s="169">
        <v>0.86</v>
      </c>
      <c r="S15" s="34" t="s">
        <v>139</v>
      </c>
      <c r="T15" s="169">
        <v>0.48</v>
      </c>
      <c r="U15" s="34" t="s">
        <v>139</v>
      </c>
      <c r="V15" s="156">
        <f>Tab_Def_Flows[[#This Row],[Flow_CC_DM'[%']]]*Tab_Def_Flows[[#This Row],[Flow_DM]]</f>
        <v>0</v>
      </c>
    </row>
    <row r="16" spans="1:22" ht="23.25" customHeight="1" x14ac:dyDescent="0.25">
      <c r="A16" s="75" t="str">
        <f t="shared" ref="A16:A21" si="0">B5</f>
        <v>Straw_Pyrolisis</v>
      </c>
      <c r="B16" s="51">
        <v>1000</v>
      </c>
      <c r="C16" s="102">
        <f t="shared" ref="C16:C21" si="1">B16/$B$22</f>
        <v>1</v>
      </c>
      <c r="D16" s="101" t="s">
        <v>155</v>
      </c>
      <c r="E16" s="100">
        <v>0.14000000000000001</v>
      </c>
      <c r="F16" s="50">
        <f t="shared" ref="F16:F21" si="2">E16*B16</f>
        <v>140</v>
      </c>
      <c r="G16" s="99">
        <f t="shared" ref="G16:G21" si="3">F16/$F$22</f>
        <v>1</v>
      </c>
      <c r="H16" s="98" t="s">
        <v>155</v>
      </c>
      <c r="I16" s="97">
        <f>1-E16</f>
        <v>0.86</v>
      </c>
      <c r="J16" s="49">
        <f t="shared" ref="J16:J21" si="4">I16*B16</f>
        <v>860</v>
      </c>
      <c r="K16" s="117">
        <f t="shared" ref="K16:K21" si="5">J16/$J$22</f>
        <v>1</v>
      </c>
      <c r="L16" s="94" t="s">
        <v>155</v>
      </c>
      <c r="M16" s="94"/>
    </row>
    <row r="17" spans="1:23" ht="23.25" customHeight="1" x14ac:dyDescent="0.25">
      <c r="A17" s="75">
        <f t="shared" si="0"/>
        <v>0</v>
      </c>
      <c r="B17" s="51"/>
      <c r="C17" s="102">
        <f t="shared" si="1"/>
        <v>0</v>
      </c>
      <c r="D17" s="101" t="s">
        <v>155</v>
      </c>
      <c r="E17" s="100"/>
      <c r="F17" s="50">
        <f t="shared" si="2"/>
        <v>0</v>
      </c>
      <c r="G17" s="99">
        <f t="shared" si="3"/>
        <v>0</v>
      </c>
      <c r="H17" s="98" t="s">
        <v>155</v>
      </c>
      <c r="I17" s="97"/>
      <c r="J17" s="49">
        <f t="shared" si="4"/>
        <v>0</v>
      </c>
      <c r="K17" s="117">
        <f t="shared" si="5"/>
        <v>0</v>
      </c>
      <c r="L17" s="94" t="s">
        <v>155</v>
      </c>
      <c r="M17" s="94"/>
    </row>
    <row r="18" spans="1:23" ht="23.25" customHeight="1" x14ac:dyDescent="0.25">
      <c r="A18" s="75">
        <f t="shared" si="0"/>
        <v>0</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f t="shared" si="0"/>
        <v>0</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f t="shared" si="0"/>
        <v>0</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1000</v>
      </c>
      <c r="C22" s="116">
        <f>C16+C17+C18</f>
        <v>1</v>
      </c>
      <c r="D22" s="91"/>
      <c r="E22" s="90">
        <f>F22/B22</f>
        <v>0.14000000000000001</v>
      </c>
      <c r="F22" s="89">
        <f>SUM(F16:F19)</f>
        <v>140</v>
      </c>
      <c r="G22" s="115">
        <f>SUM(G16:G19)</f>
        <v>1</v>
      </c>
      <c r="H22" s="87"/>
      <c r="I22" s="86">
        <f>J22/B22</f>
        <v>0.86</v>
      </c>
      <c r="J22" s="85">
        <f>J16+J17+J18</f>
        <v>860</v>
      </c>
      <c r="K22" s="114">
        <f>SUM(K16:K19)</f>
        <v>1</v>
      </c>
      <c r="L22" s="83"/>
      <c r="M22" s="82"/>
    </row>
    <row r="23" spans="1:23" ht="16.5" customHeight="1" thickBot="1" x14ac:dyDescent="0.3">
      <c r="A23" s="145" t="s">
        <v>182</v>
      </c>
      <c r="B23" s="218" t="s">
        <v>181</v>
      </c>
      <c r="C23" s="219"/>
      <c r="D23" s="219"/>
      <c r="E23" s="219"/>
      <c r="F23" s="219"/>
      <c r="G23" s="219"/>
      <c r="H23" s="220"/>
      <c r="I23" s="221" t="s">
        <v>180</v>
      </c>
      <c r="J23" s="222"/>
      <c r="K23" s="222"/>
      <c r="L23" s="222"/>
      <c r="M23" s="223"/>
    </row>
    <row r="24" spans="1:23" ht="75.75" thickBot="1" x14ac:dyDescent="0.3">
      <c r="A24" s="6"/>
      <c r="B24" s="80" t="s">
        <v>179</v>
      </c>
      <c r="C24" s="79" t="s">
        <v>178</v>
      </c>
      <c r="D24" s="79" t="s">
        <v>177</v>
      </c>
      <c r="E24" s="79" t="s">
        <v>176</v>
      </c>
      <c r="F24" s="80" t="s">
        <v>175</v>
      </c>
      <c r="G24" s="79" t="s">
        <v>174</v>
      </c>
      <c r="H24" s="144" t="s">
        <v>173</v>
      </c>
      <c r="I24" s="78" t="s">
        <v>172</v>
      </c>
      <c r="J24" s="77" t="s">
        <v>170</v>
      </c>
      <c r="K24" s="77" t="s">
        <v>692</v>
      </c>
      <c r="L24" s="77" t="s">
        <v>169</v>
      </c>
      <c r="M24" s="76" t="s">
        <v>168</v>
      </c>
      <c r="P24" s="169">
        <v>0.14000000000000001</v>
      </c>
      <c r="Q24" s="34" t="s">
        <v>139</v>
      </c>
      <c r="R24" s="169">
        <v>0.86</v>
      </c>
      <c r="S24" s="34" t="s">
        <v>139</v>
      </c>
      <c r="T24" s="169">
        <v>0.48</v>
      </c>
      <c r="U24" s="34" t="s">
        <v>139</v>
      </c>
      <c r="V24" s="156">
        <f>Tab_Def_Flows[[#This Row],[Flow_CC_DM'[%']]]*Tab_Def_Flows[[#This Row],[Flow_DM]]</f>
        <v>0</v>
      </c>
      <c r="W24" s="170" t="s">
        <v>140</v>
      </c>
    </row>
    <row r="25" spans="1:23" ht="27" customHeight="1" x14ac:dyDescent="0.25">
      <c r="A25" s="75" t="str">
        <f t="shared" ref="A25:A30" si="6">B5</f>
        <v>Straw_Pyrolisis</v>
      </c>
      <c r="B25" s="74">
        <v>0.48</v>
      </c>
      <c r="C25" s="72">
        <f>J16*B25</f>
        <v>412.8</v>
      </c>
      <c r="D25" s="73">
        <f t="shared" ref="D25:D30" si="7">C25/$C$31</f>
        <v>1</v>
      </c>
      <c r="E25" s="72" t="s">
        <v>155</v>
      </c>
      <c r="F25" s="71">
        <f>B25*I16</f>
        <v>0.4128</v>
      </c>
      <c r="G25" s="70">
        <f>B25*I16*B16</f>
        <v>412.8</v>
      </c>
      <c r="H25" s="69">
        <f t="shared" ref="H25:H30" si="8">G25/$G$31</f>
        <v>1</v>
      </c>
      <c r="I25" s="113">
        <f t="shared" ref="I25:I30" si="9">$A$12*C16</f>
        <v>1000</v>
      </c>
      <c r="J25" s="112">
        <f t="shared" ref="J25:J30" si="10">I25*E16</f>
        <v>140</v>
      </c>
      <c r="K25" s="112">
        <f t="shared" ref="K25:K30" si="11">I25*I16</f>
        <v>860</v>
      </c>
      <c r="L25" s="112">
        <f t="shared" ref="L25:L30" si="12">SUM(J25:K25)</f>
        <v>1000</v>
      </c>
      <c r="M25" s="111">
        <f t="shared" ref="M25:M30" si="13">I25*F25</f>
        <v>412.8</v>
      </c>
    </row>
    <row r="26" spans="1:23" ht="15.75" x14ac:dyDescent="0.25">
      <c r="A26" s="75">
        <f t="shared" si="6"/>
        <v>0</v>
      </c>
      <c r="B26" s="74">
        <v>0</v>
      </c>
      <c r="C26" s="72">
        <f t="shared" ref="C26:C30" si="14">J17*B26</f>
        <v>0</v>
      </c>
      <c r="D26" s="73">
        <f t="shared" si="7"/>
        <v>0</v>
      </c>
      <c r="E26" s="72" t="s">
        <v>155</v>
      </c>
      <c r="F26" s="71">
        <f t="shared" ref="F26:F30" si="15">B26*I17</f>
        <v>0</v>
      </c>
      <c r="G26" s="70">
        <f t="shared" ref="G26:G30" si="16">B26*E17*B17</f>
        <v>0</v>
      </c>
      <c r="H26" s="69">
        <f t="shared" si="8"/>
        <v>0</v>
      </c>
      <c r="I26" s="113">
        <f t="shared" si="9"/>
        <v>0</v>
      </c>
      <c r="J26" s="112">
        <f t="shared" si="10"/>
        <v>0</v>
      </c>
      <c r="K26" s="112">
        <f t="shared" si="11"/>
        <v>0</v>
      </c>
      <c r="L26" s="112">
        <f t="shared" si="12"/>
        <v>0</v>
      </c>
      <c r="M26" s="111">
        <f t="shared" si="13"/>
        <v>0</v>
      </c>
    </row>
    <row r="27" spans="1:23" ht="15.75" x14ac:dyDescent="0.25">
      <c r="A27" s="75">
        <f t="shared" si="6"/>
        <v>0</v>
      </c>
      <c r="B27" s="74">
        <v>0</v>
      </c>
      <c r="C27" s="72">
        <f t="shared" si="14"/>
        <v>0</v>
      </c>
      <c r="D27" s="73">
        <f t="shared" si="7"/>
        <v>0</v>
      </c>
      <c r="E27" s="72"/>
      <c r="F27" s="71">
        <f t="shared" si="15"/>
        <v>0</v>
      </c>
      <c r="G27" s="70">
        <f t="shared" si="16"/>
        <v>0</v>
      </c>
      <c r="H27" s="69">
        <f t="shared" si="8"/>
        <v>0</v>
      </c>
      <c r="I27" s="113">
        <f t="shared" si="9"/>
        <v>0</v>
      </c>
      <c r="J27" s="112">
        <f t="shared" si="10"/>
        <v>0</v>
      </c>
      <c r="K27" s="112">
        <f t="shared" si="11"/>
        <v>0</v>
      </c>
      <c r="L27" s="112">
        <f t="shared" si="12"/>
        <v>0</v>
      </c>
      <c r="M27" s="111">
        <f t="shared" si="13"/>
        <v>0</v>
      </c>
      <c r="Q27">
        <v>0.76158038205651879</v>
      </c>
    </row>
    <row r="28" spans="1:23" ht="15.75" x14ac:dyDescent="0.25">
      <c r="A28" s="75">
        <f t="shared" si="6"/>
        <v>0</v>
      </c>
      <c r="B28" s="74">
        <v>0</v>
      </c>
      <c r="C28" s="72">
        <f t="shared" si="14"/>
        <v>0</v>
      </c>
      <c r="D28" s="73">
        <f t="shared" si="7"/>
        <v>0</v>
      </c>
      <c r="E28" s="72"/>
      <c r="F28" s="71">
        <f t="shared" si="15"/>
        <v>0</v>
      </c>
      <c r="G28" s="70">
        <f t="shared" si="16"/>
        <v>0</v>
      </c>
      <c r="H28" s="69">
        <f t="shared" si="8"/>
        <v>0</v>
      </c>
      <c r="I28" s="113">
        <f t="shared" si="9"/>
        <v>0</v>
      </c>
      <c r="J28" s="112">
        <f t="shared" si="10"/>
        <v>0</v>
      </c>
      <c r="K28" s="112">
        <f t="shared" si="11"/>
        <v>0</v>
      </c>
      <c r="L28" s="112">
        <f t="shared" si="12"/>
        <v>0</v>
      </c>
      <c r="M28" s="111">
        <f t="shared" si="13"/>
        <v>0</v>
      </c>
    </row>
    <row r="29" spans="1:23" ht="15.75" x14ac:dyDescent="0.25">
      <c r="A29" s="75">
        <f t="shared" si="6"/>
        <v>0</v>
      </c>
      <c r="B29" s="74">
        <v>0</v>
      </c>
      <c r="C29" s="72">
        <f t="shared" si="14"/>
        <v>0</v>
      </c>
      <c r="D29" s="73">
        <f t="shared" si="7"/>
        <v>0</v>
      </c>
      <c r="E29" s="72"/>
      <c r="F29" s="71">
        <f t="shared" si="15"/>
        <v>0</v>
      </c>
      <c r="G29" s="70">
        <f t="shared" si="16"/>
        <v>0</v>
      </c>
      <c r="H29" s="69">
        <f t="shared" si="8"/>
        <v>0</v>
      </c>
      <c r="I29" s="113">
        <f t="shared" si="9"/>
        <v>0</v>
      </c>
      <c r="J29" s="112">
        <f t="shared" si="10"/>
        <v>0</v>
      </c>
      <c r="K29" s="112">
        <f t="shared" si="11"/>
        <v>0</v>
      </c>
      <c r="L29" s="112">
        <f t="shared" si="12"/>
        <v>0</v>
      </c>
      <c r="M29" s="111">
        <f t="shared" si="13"/>
        <v>0</v>
      </c>
    </row>
    <row r="30" spans="1:23" ht="16.5" thickBot="1" x14ac:dyDescent="0.3">
      <c r="A30" s="75">
        <f t="shared" si="6"/>
        <v>0</v>
      </c>
      <c r="B30" s="74">
        <v>0</v>
      </c>
      <c r="C30" s="72">
        <f t="shared" si="14"/>
        <v>0</v>
      </c>
      <c r="D30" s="73">
        <f t="shared" si="7"/>
        <v>0</v>
      </c>
      <c r="E30" s="72"/>
      <c r="F30" s="71">
        <f t="shared" si="15"/>
        <v>0</v>
      </c>
      <c r="G30" s="70">
        <f t="shared" si="16"/>
        <v>0</v>
      </c>
      <c r="H30" s="69">
        <f t="shared" si="8"/>
        <v>0</v>
      </c>
      <c r="I30" s="113">
        <f t="shared" si="9"/>
        <v>0</v>
      </c>
      <c r="J30" s="112">
        <f t="shared" si="10"/>
        <v>0</v>
      </c>
      <c r="K30" s="112">
        <f t="shared" si="11"/>
        <v>0</v>
      </c>
      <c r="L30" s="112">
        <f t="shared" si="12"/>
        <v>0</v>
      </c>
      <c r="M30" s="111">
        <f t="shared" si="13"/>
        <v>0</v>
      </c>
    </row>
    <row r="31" spans="1:23" ht="16.5" thickBot="1" x14ac:dyDescent="0.3">
      <c r="A31" s="65" t="s">
        <v>157</v>
      </c>
      <c r="B31" s="64">
        <f>C31/F22</f>
        <v>2.9485714285714288</v>
      </c>
      <c r="C31" s="62">
        <f>SUM(C25:C30)</f>
        <v>412.8</v>
      </c>
      <c r="D31" s="110">
        <f>SUM(D24:D30)</f>
        <v>1</v>
      </c>
      <c r="E31" s="62"/>
      <c r="F31" s="109">
        <f>G31/B22</f>
        <v>0.4128</v>
      </c>
      <c r="G31" s="60">
        <f t="shared" ref="G31:M31" si="17">SUM(G25:G30)</f>
        <v>412.8</v>
      </c>
      <c r="H31" s="59">
        <f t="shared" si="17"/>
        <v>1</v>
      </c>
      <c r="I31" s="58">
        <f t="shared" si="17"/>
        <v>1000</v>
      </c>
      <c r="J31" s="57">
        <f t="shared" si="17"/>
        <v>140</v>
      </c>
      <c r="K31" s="57">
        <f t="shared" si="17"/>
        <v>860</v>
      </c>
      <c r="L31" s="57">
        <f t="shared" si="17"/>
        <v>1000</v>
      </c>
      <c r="M31" s="56">
        <f t="shared" si="17"/>
        <v>412.8</v>
      </c>
    </row>
    <row r="32" spans="1:23" ht="16.5" thickBot="1" x14ac:dyDescent="0.3">
      <c r="A32" s="238" t="s">
        <v>195</v>
      </c>
      <c r="B32" s="239"/>
      <c r="C32" s="239"/>
      <c r="D32" s="239"/>
      <c r="E32" s="239"/>
      <c r="F32" s="239"/>
      <c r="G32" s="239"/>
      <c r="H32" s="239"/>
      <c r="I32" s="239"/>
      <c r="J32" s="239"/>
      <c r="K32" s="239"/>
      <c r="L32" s="239"/>
      <c r="M32" s="240"/>
    </row>
    <row r="33" spans="1:20" ht="16.5" customHeight="1" thickBot="1" x14ac:dyDescent="0.3">
      <c r="A33" s="81" t="s">
        <v>182</v>
      </c>
      <c r="B33" s="241" t="s">
        <v>194</v>
      </c>
      <c r="C33" s="242"/>
      <c r="D33" s="243"/>
      <c r="E33" s="244" t="s">
        <v>193</v>
      </c>
      <c r="F33" s="245"/>
      <c r="G33" s="245"/>
      <c r="H33" s="246"/>
      <c r="I33" s="247" t="s">
        <v>193</v>
      </c>
      <c r="J33" s="248"/>
      <c r="K33" s="248"/>
      <c r="L33" s="248"/>
      <c r="M33" s="249"/>
    </row>
    <row r="34" spans="1:20" ht="62.25" customHeight="1" thickBot="1" x14ac:dyDescent="0.3">
      <c r="A34" s="42"/>
      <c r="B34" s="55" t="s">
        <v>191</v>
      </c>
      <c r="C34" s="108" t="s">
        <v>190</v>
      </c>
      <c r="D34" s="107" t="s">
        <v>183</v>
      </c>
      <c r="E34" s="106" t="s">
        <v>186</v>
      </c>
      <c r="F34" s="54" t="s">
        <v>185</v>
      </c>
      <c r="G34" s="54" t="s">
        <v>184</v>
      </c>
      <c r="H34" s="105" t="s">
        <v>183</v>
      </c>
      <c r="I34" s="104" t="s">
        <v>189</v>
      </c>
      <c r="J34" s="53" t="s">
        <v>188</v>
      </c>
      <c r="K34" s="53" t="s">
        <v>691</v>
      </c>
      <c r="L34" s="53" t="s">
        <v>183</v>
      </c>
      <c r="M34" s="103"/>
    </row>
    <row r="35" spans="1:20" ht="15.75" x14ac:dyDescent="0.25">
      <c r="A35" s="75" t="str">
        <f t="shared" ref="A35:A40" si="18">F5</f>
        <v>Pyrolisis_Emissions_C</v>
      </c>
      <c r="B35" s="51">
        <v>268.3</v>
      </c>
      <c r="C35" s="102">
        <f t="shared" ref="C35:C40" si="19">B35/$B$41</f>
        <v>0.26830000000000004</v>
      </c>
      <c r="D35" s="101" t="s">
        <v>155</v>
      </c>
      <c r="E35" s="100">
        <v>0</v>
      </c>
      <c r="F35" s="50">
        <f>E35*B35</f>
        <v>0</v>
      </c>
      <c r="G35" s="99">
        <f t="shared" ref="G35:G40" si="20">F35/$F$41</f>
        <v>0</v>
      </c>
      <c r="H35" s="98" t="s">
        <v>155</v>
      </c>
      <c r="I35" s="97">
        <f>1-E35</f>
        <v>1</v>
      </c>
      <c r="J35" s="49">
        <f>I35*B35</f>
        <v>268.3</v>
      </c>
      <c r="K35" s="96">
        <f>J35/$J$41</f>
        <v>0.31197674418604648</v>
      </c>
      <c r="L35" s="95" t="s">
        <v>155</v>
      </c>
      <c r="M35" s="94"/>
      <c r="R35" t="e">
        <f>C54/B17</f>
        <v>#DIV/0!</v>
      </c>
    </row>
    <row r="36" spans="1:20" ht="15.75" x14ac:dyDescent="0.25">
      <c r="A36" s="75" t="str">
        <f t="shared" si="18"/>
        <v>Pyrolisis_Emissions_E</v>
      </c>
      <c r="B36" s="51">
        <v>587.20000000000005</v>
      </c>
      <c r="C36" s="102">
        <f t="shared" si="19"/>
        <v>0.58720000000000006</v>
      </c>
      <c r="D36" s="101" t="s">
        <v>155</v>
      </c>
      <c r="E36" s="100">
        <v>0.23841961852861027</v>
      </c>
      <c r="F36" s="50">
        <f t="shared" ref="F36:F40" si="21">E36*B36</f>
        <v>139.99999999999997</v>
      </c>
      <c r="G36" s="99">
        <f t="shared" si="20"/>
        <v>1</v>
      </c>
      <c r="H36" s="98" t="s">
        <v>155</v>
      </c>
      <c r="I36" s="97">
        <f>1-E36</f>
        <v>0.76158038147138973</v>
      </c>
      <c r="J36" s="49">
        <f>I36*B36</f>
        <v>447.2000000000001</v>
      </c>
      <c r="K36" s="96">
        <f>J36/$J$41</f>
        <v>0.52</v>
      </c>
      <c r="L36" s="95" t="s">
        <v>155</v>
      </c>
      <c r="M36" s="94"/>
    </row>
    <row r="37" spans="1:20" ht="15.75" x14ac:dyDescent="0.25">
      <c r="A37" s="75" t="str">
        <f t="shared" si="18"/>
        <v>Pyrochar</v>
      </c>
      <c r="B37" s="51">
        <v>144.5</v>
      </c>
      <c r="C37" s="102">
        <f t="shared" si="19"/>
        <v>0.14449999999999999</v>
      </c>
      <c r="D37" s="101"/>
      <c r="E37" s="100">
        <v>0</v>
      </c>
      <c r="F37" s="50">
        <f t="shared" si="21"/>
        <v>0</v>
      </c>
      <c r="G37" s="99">
        <f t="shared" si="20"/>
        <v>0</v>
      </c>
      <c r="H37" s="98"/>
      <c r="I37" s="97">
        <f>1-E37</f>
        <v>1</v>
      </c>
      <c r="J37" s="49">
        <f t="shared" ref="J37:J40" si="22">I37*B37</f>
        <v>144.5</v>
      </c>
      <c r="K37" s="96">
        <f>J37/$J$41</f>
        <v>0.16802325581395347</v>
      </c>
      <c r="L37" s="95"/>
      <c r="M37" s="94"/>
    </row>
    <row r="38" spans="1:20" ht="15.75" x14ac:dyDescent="0.25">
      <c r="A38" s="75">
        <f t="shared" si="18"/>
        <v>0</v>
      </c>
      <c r="B38" s="51"/>
      <c r="C38" s="102">
        <f t="shared" si="19"/>
        <v>0</v>
      </c>
      <c r="D38" s="101"/>
      <c r="E38" s="100"/>
      <c r="F38" s="50">
        <f t="shared" si="21"/>
        <v>0</v>
      </c>
      <c r="G38" s="99">
        <f t="shared" si="20"/>
        <v>0</v>
      </c>
      <c r="H38" s="98"/>
      <c r="I38" s="97"/>
      <c r="J38" s="49">
        <f t="shared" si="22"/>
        <v>0</v>
      </c>
      <c r="K38" s="96">
        <f>J38/$J$41</f>
        <v>0</v>
      </c>
      <c r="L38" s="95"/>
      <c r="M38" s="94"/>
    </row>
    <row r="39" spans="1:20" ht="15.75" x14ac:dyDescent="0.25">
      <c r="A39" s="75">
        <f t="shared" si="18"/>
        <v>0</v>
      </c>
      <c r="B39" s="51"/>
      <c r="C39" s="102">
        <f t="shared" si="19"/>
        <v>0</v>
      </c>
      <c r="D39" s="101"/>
      <c r="E39" s="100"/>
      <c r="F39" s="50">
        <f t="shared" si="21"/>
        <v>0</v>
      </c>
      <c r="G39" s="99">
        <f t="shared" si="20"/>
        <v>0</v>
      </c>
      <c r="H39" s="98"/>
      <c r="I39" s="97"/>
      <c r="J39" s="49">
        <f t="shared" si="22"/>
        <v>0</v>
      </c>
      <c r="K39" s="96">
        <f>J39/$J$41</f>
        <v>0</v>
      </c>
      <c r="L39" s="95"/>
      <c r="M39" s="94"/>
    </row>
    <row r="40" spans="1:20" ht="16.5" thickBot="1" x14ac:dyDescent="0.3">
      <c r="A40" s="75">
        <f t="shared" si="18"/>
        <v>0</v>
      </c>
      <c r="B40" s="51"/>
      <c r="C40" s="102">
        <f t="shared" si="19"/>
        <v>0</v>
      </c>
      <c r="D40" s="101"/>
      <c r="E40" s="100"/>
      <c r="F40" s="50">
        <f t="shared" si="21"/>
        <v>0</v>
      </c>
      <c r="G40" s="99">
        <f t="shared" si="20"/>
        <v>0</v>
      </c>
      <c r="H40" s="98"/>
      <c r="I40" s="97"/>
      <c r="J40" s="49">
        <f t="shared" si="22"/>
        <v>0</v>
      </c>
      <c r="K40" s="96">
        <f>J40/$J$22</f>
        <v>0</v>
      </c>
      <c r="L40" s="95"/>
      <c r="M40" s="94"/>
    </row>
    <row r="41" spans="1:20" ht="16.5" thickBot="1" x14ac:dyDescent="0.3">
      <c r="A41" s="65" t="s">
        <v>157</v>
      </c>
      <c r="B41" s="93">
        <f>SUM(B35:B40)</f>
        <v>1000</v>
      </c>
      <c r="C41" s="92">
        <f>SUM(C35:C40)</f>
        <v>1.0000000000000002</v>
      </c>
      <c r="D41" s="91"/>
      <c r="E41" s="90">
        <f>F41/B41</f>
        <v>0.13999999999999996</v>
      </c>
      <c r="F41" s="89">
        <f>SUM(F35:F40)</f>
        <v>139.99999999999997</v>
      </c>
      <c r="G41" s="88">
        <f>SUM(G35:G40)</f>
        <v>1</v>
      </c>
      <c r="H41" s="87"/>
      <c r="I41" s="86">
        <f>J41/B41</f>
        <v>0.8600000000000001</v>
      </c>
      <c r="J41" s="85">
        <f>SUM(J35:J40)</f>
        <v>860.00000000000011</v>
      </c>
      <c r="K41" s="84">
        <f>SUM(K35:K40)</f>
        <v>1</v>
      </c>
      <c r="L41" s="83"/>
      <c r="M41" s="82"/>
    </row>
    <row r="42" spans="1:20" ht="16.5" customHeight="1" thickBot="1" x14ac:dyDescent="0.3">
      <c r="A42" s="145" t="s">
        <v>182</v>
      </c>
      <c r="B42" s="218" t="s">
        <v>181</v>
      </c>
      <c r="C42" s="219"/>
      <c r="D42" s="219"/>
      <c r="E42" s="219"/>
      <c r="F42" s="219"/>
      <c r="G42" s="219"/>
      <c r="H42" s="220"/>
      <c r="I42" s="221" t="s">
        <v>180</v>
      </c>
      <c r="J42" s="222"/>
      <c r="K42" s="222"/>
      <c r="L42" s="222"/>
      <c r="M42" s="223"/>
    </row>
    <row r="43" spans="1:20" ht="75.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20" ht="15.75" x14ac:dyDescent="0.25">
      <c r="A44" s="75" t="str">
        <f t="shared" ref="A44:A49" si="23">A35</f>
        <v>Pyrolisis_Emissions_C</v>
      </c>
      <c r="B44" s="74">
        <v>1</v>
      </c>
      <c r="C44" s="194">
        <f>J35*B44</f>
        <v>268.3</v>
      </c>
      <c r="D44" s="73">
        <f t="shared" ref="D44:D49" si="24">C44/$C$50</f>
        <v>0.64995155038759689</v>
      </c>
      <c r="E44" s="72" t="s">
        <v>155</v>
      </c>
      <c r="F44" s="71">
        <f>B44*I35</f>
        <v>1</v>
      </c>
      <c r="G44" s="70">
        <f>B44*I35*B35</f>
        <v>268.3</v>
      </c>
      <c r="H44" s="69">
        <f>G44/$G$50</f>
        <v>0.64995155038759689</v>
      </c>
      <c r="I44" s="68">
        <f t="shared" ref="I44:I49" si="25">$A$12*B58</f>
        <v>268.30000000000007</v>
      </c>
      <c r="J44" s="67">
        <f t="shared" ref="J44:J49" si="26">I44*E35</f>
        <v>0</v>
      </c>
      <c r="K44" s="67">
        <f t="shared" ref="K44:K49" si="27">I44*I35</f>
        <v>268.30000000000007</v>
      </c>
      <c r="L44" s="67">
        <f t="shared" ref="L44:L49" si="28">SUM(J44:K44)</f>
        <v>268.30000000000007</v>
      </c>
      <c r="M44" s="66">
        <f t="shared" ref="M44:M49" si="29">I44*F44</f>
        <v>268.30000000000007</v>
      </c>
      <c r="T44">
        <f>C53-E53</f>
        <v>-272.8</v>
      </c>
    </row>
    <row r="45" spans="1:20" ht="15.75" x14ac:dyDescent="0.25">
      <c r="A45" s="75" t="str">
        <f t="shared" si="23"/>
        <v>Pyrolisis_Emissions_E</v>
      </c>
      <c r="B45" s="74">
        <v>0</v>
      </c>
      <c r="C45" s="194">
        <f t="shared" ref="C45:C49" si="30">J36*B45</f>
        <v>0</v>
      </c>
      <c r="D45" s="73">
        <f t="shared" si="24"/>
        <v>0</v>
      </c>
      <c r="E45" s="72" t="s">
        <v>155</v>
      </c>
      <c r="F45" s="71">
        <f t="shared" ref="F45:F49" si="31">B45*I36</f>
        <v>0</v>
      </c>
      <c r="G45" s="70">
        <f t="shared" ref="G45:G49" si="32">B45*I36*B36</f>
        <v>0</v>
      </c>
      <c r="H45" s="69">
        <f t="shared" ref="H45:H49" si="33">G45/$G$50</f>
        <v>0</v>
      </c>
      <c r="I45" s="68">
        <f t="shared" si="25"/>
        <v>587.20000000000016</v>
      </c>
      <c r="J45" s="67">
        <f t="shared" si="26"/>
        <v>140</v>
      </c>
      <c r="K45" s="67">
        <f t="shared" si="27"/>
        <v>447.20000000000016</v>
      </c>
      <c r="L45" s="67">
        <f t="shared" si="28"/>
        <v>587.20000000000016</v>
      </c>
      <c r="M45" s="66">
        <f t="shared" si="29"/>
        <v>0</v>
      </c>
      <c r="T45">
        <f>T44+D53</f>
        <v>587.20000000000005</v>
      </c>
    </row>
    <row r="46" spans="1:20" ht="15.75" x14ac:dyDescent="0.25">
      <c r="A46" s="75" t="str">
        <f t="shared" si="23"/>
        <v>Pyrochar</v>
      </c>
      <c r="B46" s="74">
        <v>1</v>
      </c>
      <c r="C46" s="194">
        <f t="shared" si="30"/>
        <v>144.5</v>
      </c>
      <c r="D46" s="73">
        <f t="shared" si="24"/>
        <v>0.35004844961240311</v>
      </c>
      <c r="E46" s="72" t="s">
        <v>155</v>
      </c>
      <c r="F46" s="71">
        <f t="shared" si="31"/>
        <v>1</v>
      </c>
      <c r="G46" s="70">
        <f t="shared" si="32"/>
        <v>144.5</v>
      </c>
      <c r="H46" s="69">
        <f t="shared" si="33"/>
        <v>0.35004844961240311</v>
      </c>
      <c r="I46" s="68">
        <f t="shared" si="25"/>
        <v>144.50000000000003</v>
      </c>
      <c r="J46" s="67">
        <f t="shared" si="26"/>
        <v>0</v>
      </c>
      <c r="K46" s="67">
        <f t="shared" si="27"/>
        <v>144.50000000000003</v>
      </c>
      <c r="L46" s="67">
        <f t="shared" si="28"/>
        <v>144.50000000000003</v>
      </c>
      <c r="M46" s="66">
        <f t="shared" si="29"/>
        <v>144.50000000000003</v>
      </c>
    </row>
    <row r="47" spans="1:20" ht="15.75" x14ac:dyDescent="0.25">
      <c r="A47" s="75">
        <f t="shared" si="23"/>
        <v>0</v>
      </c>
      <c r="B47" s="74"/>
      <c r="C47" s="194">
        <f t="shared" si="30"/>
        <v>0</v>
      </c>
      <c r="D47" s="73">
        <f t="shared" si="24"/>
        <v>0</v>
      </c>
      <c r="E47" s="72"/>
      <c r="F47" s="71">
        <f t="shared" si="31"/>
        <v>0</v>
      </c>
      <c r="G47" s="70">
        <f t="shared" si="32"/>
        <v>0</v>
      </c>
      <c r="H47" s="69">
        <f t="shared" si="33"/>
        <v>0</v>
      </c>
      <c r="I47" s="68">
        <f t="shared" si="25"/>
        <v>0</v>
      </c>
      <c r="J47" s="67">
        <f t="shared" si="26"/>
        <v>0</v>
      </c>
      <c r="K47" s="67">
        <f t="shared" si="27"/>
        <v>0</v>
      </c>
      <c r="L47" s="67">
        <f t="shared" si="28"/>
        <v>0</v>
      </c>
      <c r="M47" s="66">
        <f t="shared" si="29"/>
        <v>0</v>
      </c>
      <c r="R47">
        <f>1-T47</f>
        <v>-0.46457765667574913</v>
      </c>
      <c r="T47">
        <f>D53/T45</f>
        <v>1.4645776566757491</v>
      </c>
    </row>
    <row r="48" spans="1:20" ht="15.75" x14ac:dyDescent="0.25">
      <c r="A48" s="75">
        <f t="shared" si="23"/>
        <v>0</v>
      </c>
      <c r="B48" s="74"/>
      <c r="C48" s="194">
        <f t="shared" si="30"/>
        <v>0</v>
      </c>
      <c r="D48" s="73">
        <f t="shared" si="24"/>
        <v>0</v>
      </c>
      <c r="E48" s="72"/>
      <c r="F48" s="71">
        <f t="shared" si="31"/>
        <v>0</v>
      </c>
      <c r="G48" s="70">
        <f t="shared" si="32"/>
        <v>0</v>
      </c>
      <c r="H48" s="69">
        <f t="shared" si="33"/>
        <v>0</v>
      </c>
      <c r="I48" s="68">
        <f t="shared" si="25"/>
        <v>0</v>
      </c>
      <c r="J48" s="67">
        <f t="shared" si="26"/>
        <v>0</v>
      </c>
      <c r="K48" s="67">
        <f t="shared" si="27"/>
        <v>0</v>
      </c>
      <c r="L48" s="67">
        <f t="shared" si="28"/>
        <v>0</v>
      </c>
      <c r="M48" s="66">
        <f t="shared" si="29"/>
        <v>0</v>
      </c>
    </row>
    <row r="49" spans="1:18" ht="16.5" thickBot="1" x14ac:dyDescent="0.3">
      <c r="A49" s="75">
        <f t="shared" si="23"/>
        <v>0</v>
      </c>
      <c r="B49" s="74"/>
      <c r="C49" s="194">
        <f t="shared" si="30"/>
        <v>0</v>
      </c>
      <c r="D49" s="73">
        <f t="shared" si="24"/>
        <v>0</v>
      </c>
      <c r="E49" s="72"/>
      <c r="F49" s="71">
        <f t="shared" si="31"/>
        <v>0</v>
      </c>
      <c r="G49" s="70">
        <f t="shared" si="32"/>
        <v>0</v>
      </c>
      <c r="H49" s="69">
        <f t="shared" si="33"/>
        <v>0</v>
      </c>
      <c r="I49" s="68">
        <f t="shared" si="25"/>
        <v>0</v>
      </c>
      <c r="J49" s="67">
        <f t="shared" si="26"/>
        <v>0</v>
      </c>
      <c r="K49" s="67">
        <f t="shared" si="27"/>
        <v>0</v>
      </c>
      <c r="L49" s="67">
        <f t="shared" si="28"/>
        <v>0</v>
      </c>
      <c r="M49" s="66">
        <f t="shared" si="29"/>
        <v>0</v>
      </c>
      <c r="Q49" s="171"/>
    </row>
    <row r="50" spans="1:18" ht="16.5" thickBot="1" x14ac:dyDescent="0.3">
      <c r="A50" s="65" t="s">
        <v>157</v>
      </c>
      <c r="B50" s="64">
        <f>C50/F41</f>
        <v>2.9485714285714293</v>
      </c>
      <c r="C50" s="62">
        <f>SUM(C44:C49)</f>
        <v>412.8</v>
      </c>
      <c r="D50" s="63">
        <f>SUM(D44:D49)</f>
        <v>1</v>
      </c>
      <c r="E50" s="62"/>
      <c r="F50" s="61">
        <f>G50/B41</f>
        <v>0.4128</v>
      </c>
      <c r="G50" s="60">
        <f t="shared" ref="G50:M50" si="34">SUM(G44:G49)</f>
        <v>412.8</v>
      </c>
      <c r="H50" s="59">
        <f t="shared" si="34"/>
        <v>1</v>
      </c>
      <c r="I50" s="58">
        <f t="shared" si="34"/>
        <v>1000.0000000000002</v>
      </c>
      <c r="J50" s="57">
        <f t="shared" si="34"/>
        <v>140</v>
      </c>
      <c r="K50" s="57">
        <f t="shared" si="34"/>
        <v>860.00000000000023</v>
      </c>
      <c r="L50" s="57">
        <f t="shared" si="34"/>
        <v>1000.0000000000002</v>
      </c>
      <c r="M50" s="56">
        <f t="shared" si="34"/>
        <v>412.80000000000007</v>
      </c>
      <c r="Q50" s="195">
        <f>G31-R52</f>
        <v>268.32000000000005</v>
      </c>
    </row>
    <row r="51" spans="1:18" ht="15.75" thickBot="1" x14ac:dyDescent="0.3">
      <c r="A51" s="250" t="s">
        <v>167</v>
      </c>
      <c r="B51" s="251"/>
      <c r="C51" s="251"/>
      <c r="D51" s="251"/>
      <c r="E51" s="252"/>
      <c r="F51" s="253" t="s">
        <v>166</v>
      </c>
      <c r="G51" s="254"/>
      <c r="H51" s="254"/>
      <c r="I51" s="254"/>
      <c r="J51" s="254"/>
      <c r="K51" s="254"/>
      <c r="L51" s="254"/>
      <c r="M51" s="255"/>
    </row>
    <row r="52" spans="1:18" ht="16.5" thickBot="1" x14ac:dyDescent="0.3">
      <c r="A52" s="4" t="s">
        <v>165</v>
      </c>
      <c r="B52" s="55" t="s">
        <v>164</v>
      </c>
      <c r="C52" s="54" t="s">
        <v>136</v>
      </c>
      <c r="D52" s="53" t="s">
        <v>137</v>
      </c>
      <c r="E52" s="52" t="s">
        <v>163</v>
      </c>
      <c r="F52" s="200"/>
      <c r="G52" s="200"/>
      <c r="H52" s="200"/>
      <c r="I52" s="200"/>
      <c r="J52" s="200"/>
      <c r="K52" s="200"/>
      <c r="L52" s="200"/>
      <c r="M52" s="256"/>
      <c r="R52">
        <f>G31*0.35</f>
        <v>144.47999999999999</v>
      </c>
    </row>
    <row r="53" spans="1:18" ht="15.75" x14ac:dyDescent="0.25">
      <c r="A53" s="5" t="s">
        <v>162</v>
      </c>
      <c r="B53" s="51">
        <f>B22</f>
        <v>1000</v>
      </c>
      <c r="C53" s="50">
        <f>F22</f>
        <v>140</v>
      </c>
      <c r="D53" s="49">
        <f>J22</f>
        <v>860</v>
      </c>
      <c r="E53" s="48">
        <f>C31</f>
        <v>412.8</v>
      </c>
      <c r="F53" s="200"/>
      <c r="G53" s="200"/>
      <c r="H53" s="200"/>
      <c r="I53" s="200"/>
      <c r="J53" s="200"/>
      <c r="K53" s="200"/>
      <c r="L53" s="200"/>
      <c r="M53" s="256"/>
    </row>
    <row r="54" spans="1:18" ht="16.5" thickBot="1" x14ac:dyDescent="0.3">
      <c r="A54" s="5" t="s">
        <v>161</v>
      </c>
      <c r="B54" s="51">
        <f>B41</f>
        <v>1000</v>
      </c>
      <c r="C54" s="50">
        <f>F41</f>
        <v>139.99999999999997</v>
      </c>
      <c r="D54" s="49">
        <f>J41</f>
        <v>860.00000000000011</v>
      </c>
      <c r="E54" s="48">
        <f>C50</f>
        <v>412.8</v>
      </c>
      <c r="F54" s="200"/>
      <c r="G54" s="200"/>
      <c r="H54" s="200"/>
      <c r="I54" s="200"/>
      <c r="J54" s="200"/>
      <c r="K54" s="200"/>
      <c r="L54" s="200"/>
      <c r="M54" s="256"/>
    </row>
    <row r="55" spans="1:18" ht="15.75" x14ac:dyDescent="0.25">
      <c r="A55" s="4" t="s">
        <v>160</v>
      </c>
      <c r="B55" s="140">
        <f>B53-B54</f>
        <v>0</v>
      </c>
      <c r="C55" s="141">
        <f>C53-C54</f>
        <v>0</v>
      </c>
      <c r="D55" s="142">
        <f>D53-D54</f>
        <v>0</v>
      </c>
      <c r="E55" s="143">
        <f>E53-E54</f>
        <v>0</v>
      </c>
      <c r="F55" s="200"/>
      <c r="G55" s="200"/>
      <c r="H55" s="200"/>
      <c r="I55" s="200"/>
      <c r="J55" s="200"/>
      <c r="K55" s="200"/>
      <c r="L55" s="200"/>
      <c r="M55" s="256"/>
    </row>
    <row r="56" spans="1:18" ht="16.5" thickBot="1" x14ac:dyDescent="0.3">
      <c r="A56" s="6" t="s">
        <v>159</v>
      </c>
      <c r="B56" s="47">
        <f>B53/B54</f>
        <v>1</v>
      </c>
      <c r="C56" s="45">
        <f>C53/C54</f>
        <v>1.0000000000000002</v>
      </c>
      <c r="D56" s="44">
        <f>D53/D54</f>
        <v>0.99999999999999989</v>
      </c>
      <c r="E56" s="43">
        <f>E53/E54</f>
        <v>1</v>
      </c>
      <c r="F56" s="200"/>
      <c r="G56" s="200"/>
      <c r="H56" s="200"/>
      <c r="I56" s="200"/>
      <c r="J56" s="200"/>
      <c r="K56" s="200"/>
      <c r="L56" s="200"/>
      <c r="M56" s="256"/>
    </row>
    <row r="57" spans="1:18" ht="15.75" thickBot="1" x14ac:dyDescent="0.3">
      <c r="A57" s="250" t="s">
        <v>158</v>
      </c>
      <c r="B57" s="251"/>
      <c r="C57" s="251"/>
      <c r="D57" s="251"/>
      <c r="E57" s="252"/>
      <c r="F57" s="200"/>
      <c r="G57" s="200"/>
      <c r="H57" s="200"/>
      <c r="I57" s="200"/>
      <c r="J57" s="200"/>
      <c r="K57" s="200"/>
      <c r="L57" s="200"/>
      <c r="M57" s="256"/>
    </row>
    <row r="58" spans="1:18" ht="16.5" thickBot="1" x14ac:dyDescent="0.3">
      <c r="A58" s="42" t="str">
        <f t="shared" ref="A58:A63" si="35">A44</f>
        <v>Pyrolisis_Emissions_C</v>
      </c>
      <c r="B58" s="41">
        <f t="shared" ref="B58:B63" si="36">(B35*$C$41)/($B$22*$C$22)</f>
        <v>0.26830000000000009</v>
      </c>
      <c r="C58" s="40">
        <f>(E35*B35)/($B$22*$E$22)</f>
        <v>0</v>
      </c>
      <c r="D58" s="39">
        <f t="shared" ref="D58:D63" si="37">(I35*B35)/($B$22*$I$22)</f>
        <v>0.31197674418604654</v>
      </c>
      <c r="E58" s="38">
        <f>(F44*B35)/($B$22*$F$31)</f>
        <v>0.64995155038759689</v>
      </c>
      <c r="F58" s="200"/>
      <c r="G58" s="200"/>
      <c r="H58" s="200"/>
      <c r="I58" s="200"/>
      <c r="J58" s="200"/>
      <c r="K58" s="200"/>
      <c r="L58" s="200"/>
      <c r="M58" s="256"/>
    </row>
    <row r="59" spans="1:18" ht="16.5" thickBot="1" x14ac:dyDescent="0.3">
      <c r="A59" s="6" t="str">
        <f t="shared" si="35"/>
        <v>Pyrolisis_Emissions_E</v>
      </c>
      <c r="B59" s="46">
        <f t="shared" si="36"/>
        <v>0.58720000000000017</v>
      </c>
      <c r="C59" s="45">
        <f>(E36*B36)/($B$22*$E$22)</f>
        <v>0.99999999999999978</v>
      </c>
      <c r="D59" s="44">
        <f>(I36*B36)/($B$22*$I$22)</f>
        <v>0.52000000000000013</v>
      </c>
      <c r="E59" s="38">
        <f t="shared" ref="E59:E63" si="38">(F45*B36)/($B$22*$F$31)</f>
        <v>0</v>
      </c>
      <c r="F59" s="200"/>
      <c r="G59" s="200"/>
      <c r="H59" s="200"/>
      <c r="I59" s="200"/>
      <c r="J59" s="200"/>
      <c r="K59" s="200"/>
      <c r="L59" s="200"/>
      <c r="M59" s="256"/>
    </row>
    <row r="60" spans="1:18" ht="16.5" thickBot="1" x14ac:dyDescent="0.3">
      <c r="A60" s="6" t="str">
        <f t="shared" si="35"/>
        <v>Pyrochar</v>
      </c>
      <c r="B60" s="46">
        <f t="shared" si="36"/>
        <v>0.14450000000000002</v>
      </c>
      <c r="C60" s="45">
        <f>(E37*B37)/($B$22*$E$22)</f>
        <v>0</v>
      </c>
      <c r="D60" s="44">
        <f t="shared" si="37"/>
        <v>0.1680232558139535</v>
      </c>
      <c r="E60" s="38">
        <f t="shared" si="38"/>
        <v>0.35004844961240311</v>
      </c>
      <c r="F60" s="200"/>
      <c r="G60" s="200"/>
      <c r="H60" s="200"/>
      <c r="I60" s="200"/>
      <c r="J60" s="200"/>
      <c r="K60" s="200"/>
      <c r="L60" s="200"/>
      <c r="M60" s="256"/>
    </row>
    <row r="61" spans="1:18" ht="16.5" thickBot="1" x14ac:dyDescent="0.3">
      <c r="A61" s="6">
        <f t="shared" si="35"/>
        <v>0</v>
      </c>
      <c r="B61" s="46">
        <f t="shared" si="36"/>
        <v>0</v>
      </c>
      <c r="C61" s="45">
        <f>($G$41*F38)/($B$22*$E$22)</f>
        <v>0</v>
      </c>
      <c r="D61" s="44">
        <f t="shared" si="37"/>
        <v>0</v>
      </c>
      <c r="E61" s="38">
        <f t="shared" si="38"/>
        <v>0</v>
      </c>
      <c r="F61" s="200"/>
      <c r="G61" s="200"/>
      <c r="H61" s="200"/>
      <c r="I61" s="200"/>
      <c r="J61" s="200"/>
      <c r="K61" s="200"/>
      <c r="L61" s="200"/>
      <c r="M61" s="256"/>
    </row>
    <row r="62" spans="1:18" ht="16.5" thickBot="1" x14ac:dyDescent="0.3">
      <c r="A62" s="6">
        <f t="shared" si="35"/>
        <v>0</v>
      </c>
      <c r="B62" s="46">
        <f t="shared" si="36"/>
        <v>0</v>
      </c>
      <c r="C62" s="45">
        <f>(B39*E39)/($B$22*$E$22)</f>
        <v>0</v>
      </c>
      <c r="D62" s="44">
        <f t="shared" si="37"/>
        <v>0</v>
      </c>
      <c r="E62" s="38">
        <f t="shared" si="38"/>
        <v>0</v>
      </c>
      <c r="F62" s="200"/>
      <c r="G62" s="200"/>
      <c r="H62" s="200"/>
      <c r="I62" s="200"/>
      <c r="J62" s="200"/>
      <c r="K62" s="200"/>
      <c r="L62" s="200"/>
      <c r="M62" s="256"/>
    </row>
    <row r="63" spans="1:18" ht="16.5" thickBot="1" x14ac:dyDescent="0.3">
      <c r="A63" s="6">
        <f t="shared" si="35"/>
        <v>0</v>
      </c>
      <c r="B63" s="46">
        <f t="shared" si="36"/>
        <v>0</v>
      </c>
      <c r="C63" s="45">
        <f>(B40*E40)/($B$22*$E$22)</f>
        <v>0</v>
      </c>
      <c r="D63" s="44">
        <f t="shared" si="37"/>
        <v>0</v>
      </c>
      <c r="E63" s="38">
        <f t="shared" si="38"/>
        <v>0</v>
      </c>
      <c r="F63" s="200"/>
      <c r="G63" s="200"/>
      <c r="H63" s="200"/>
      <c r="I63" s="200"/>
      <c r="J63" s="200"/>
      <c r="K63" s="200"/>
      <c r="L63" s="200"/>
      <c r="M63" s="256"/>
    </row>
    <row r="64" spans="1:18" ht="16.5" thickBot="1" x14ac:dyDescent="0.3">
      <c r="A64" s="4" t="s">
        <v>157</v>
      </c>
      <c r="B64" s="136">
        <f>SUM(B58:B63)</f>
        <v>1.0000000000000002</v>
      </c>
      <c r="C64" s="137">
        <f>SUM(C58:C63)</f>
        <v>0.99999999999999978</v>
      </c>
      <c r="D64" s="138">
        <f>SUM(D58:D63)</f>
        <v>1</v>
      </c>
      <c r="E64" s="139">
        <f>SUM(E58:E63)</f>
        <v>1</v>
      </c>
      <c r="F64" s="200"/>
      <c r="G64" s="200"/>
      <c r="H64" s="200"/>
      <c r="I64" s="200"/>
      <c r="J64" s="200"/>
      <c r="K64" s="200"/>
      <c r="L64" s="200"/>
      <c r="M64" s="256"/>
    </row>
    <row r="65" spans="1:13" ht="16.5" thickBot="1" x14ac:dyDescent="0.3">
      <c r="A65" s="226" t="s">
        <v>156</v>
      </c>
      <c r="B65" s="227"/>
      <c r="C65" s="227"/>
      <c r="D65" s="227"/>
      <c r="E65" s="227"/>
      <c r="F65" s="227"/>
      <c r="G65" s="227"/>
      <c r="H65" s="227"/>
      <c r="I65" s="227"/>
      <c r="J65" s="227"/>
      <c r="K65" s="227"/>
      <c r="L65" s="227"/>
      <c r="M65" s="228"/>
    </row>
    <row r="66" spans="1:13" x14ac:dyDescent="0.25">
      <c r="A66" s="5" t="s">
        <v>155</v>
      </c>
      <c r="B66" s="257" t="s">
        <v>154</v>
      </c>
      <c r="C66" s="257"/>
      <c r="D66" s="257"/>
      <c r="E66" s="257"/>
      <c r="F66" s="257"/>
      <c r="G66" s="5" t="s">
        <v>153</v>
      </c>
      <c r="M66" s="37"/>
    </row>
    <row r="67" spans="1:13" ht="18.75" customHeight="1" x14ac:dyDescent="0.25">
      <c r="A67" s="5" t="s">
        <v>152</v>
      </c>
      <c r="B67" s="200" t="s">
        <v>139</v>
      </c>
      <c r="C67" s="200"/>
      <c r="D67" s="200"/>
      <c r="E67" s="200"/>
      <c r="F67" s="200"/>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402D7F34-66B2-4BC2-B1FA-A3956A272DBC}">
          <x14:formula1>
            <xm:f>'2_1_Definition_Processes'!$C$2:$C$47</xm:f>
          </x14:formula1>
          <xm:sqref>J1:M1</xm:sqref>
        </x14:dataValidation>
        <x14:dataValidation type="list" allowBlank="1" showInputMessage="1" showErrorMessage="1" xr:uid="{9CCF5539-F679-440F-8B25-32409BE2DED9}">
          <x14:formula1>
            <xm:f>'1_1_Definition_Flows'!$D$2:$D$70</xm:f>
          </x14:formula1>
          <xm:sqref>B5:D10 F5:H10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F52A-B94A-4113-83D9-D2F7B66C0F76}">
  <sheetPr>
    <tabColor theme="8" tint="0.79998168889431442"/>
  </sheetPr>
  <dimension ref="A1:W72"/>
  <sheetViews>
    <sheetView topLeftCell="A25" zoomScaleNormal="100" zoomScaleSheetLayoutView="145" zoomScalePageLayoutView="115" workbookViewId="0">
      <selection activeCell="V68" sqref="V68"/>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0" t="s">
        <v>209</v>
      </c>
      <c r="B1" s="201" t="str">
        <f>_xlfn.XLOOKUP(J1,Tab_Def_Processes[Process_ID],Tab_Def_Processes[Process_Name],"N.A.",0,1)</f>
        <v>Runderneuerung</v>
      </c>
      <c r="C1" s="201"/>
      <c r="D1" s="201"/>
      <c r="E1" s="201"/>
      <c r="F1" s="201"/>
      <c r="G1" s="201"/>
      <c r="H1" s="201"/>
      <c r="I1" s="130" t="s">
        <v>208</v>
      </c>
      <c r="J1" s="202" t="s">
        <v>91</v>
      </c>
      <c r="K1" s="202"/>
      <c r="L1" s="202"/>
      <c r="M1" s="202"/>
    </row>
    <row r="2" spans="1:22" ht="16.5" thickBot="1" x14ac:dyDescent="0.3">
      <c r="A2" s="203" t="s">
        <v>207</v>
      </c>
      <c r="B2" s="204"/>
      <c r="C2" s="204"/>
      <c r="D2" s="204"/>
      <c r="E2" s="204"/>
      <c r="F2" s="204"/>
      <c r="G2" s="204"/>
      <c r="H2" s="204"/>
      <c r="I2" s="204"/>
      <c r="J2" s="204"/>
      <c r="K2" s="204"/>
      <c r="L2" s="204"/>
      <c r="M2" s="205"/>
    </row>
    <row r="3" spans="1:22" ht="126.75" customHeight="1" thickBot="1" x14ac:dyDescent="0.3">
      <c r="A3" s="206"/>
      <c r="B3" s="207"/>
      <c r="C3" s="207"/>
      <c r="D3" s="207"/>
      <c r="E3" s="207"/>
      <c r="F3" s="207"/>
      <c r="G3" s="207"/>
      <c r="H3" s="207"/>
      <c r="I3" s="207"/>
      <c r="J3" s="207"/>
      <c r="K3" s="207"/>
      <c r="L3" s="207"/>
      <c r="M3" s="208"/>
    </row>
    <row r="4" spans="1:22" ht="31.5" customHeight="1" x14ac:dyDescent="0.25">
      <c r="A4" s="129" t="s">
        <v>206</v>
      </c>
      <c r="B4" s="209"/>
      <c r="C4" s="210"/>
      <c r="D4" s="211"/>
      <c r="E4" s="212" t="s">
        <v>205</v>
      </c>
      <c r="F4" s="213"/>
      <c r="G4" s="134"/>
      <c r="H4" s="134"/>
      <c r="I4" s="128"/>
      <c r="J4" s="128"/>
      <c r="K4" s="128"/>
      <c r="L4" s="128"/>
      <c r="M4" s="128"/>
    </row>
    <row r="5" spans="1:22" ht="16.5" customHeight="1" x14ac:dyDescent="0.25">
      <c r="A5" s="131" t="s">
        <v>204</v>
      </c>
      <c r="B5" s="260" t="s">
        <v>215</v>
      </c>
      <c r="C5" s="261"/>
      <c r="D5" s="262"/>
      <c r="E5" s="131" t="s">
        <v>204</v>
      </c>
      <c r="F5" s="258" t="s">
        <v>216</v>
      </c>
      <c r="G5" s="216"/>
      <c r="H5" s="217"/>
      <c r="I5" s="132"/>
      <c r="J5" s="127"/>
      <c r="K5" s="127"/>
      <c r="L5" s="127"/>
      <c r="M5" s="124"/>
    </row>
    <row r="6" spans="1:22" ht="16.5" customHeight="1" x14ac:dyDescent="0.25">
      <c r="A6" s="131" t="s">
        <v>203</v>
      </c>
      <c r="B6" s="258"/>
      <c r="C6" s="216"/>
      <c r="D6" s="217"/>
      <c r="E6" s="131" t="s">
        <v>203</v>
      </c>
      <c r="F6" s="258" t="s">
        <v>217</v>
      </c>
      <c r="G6" s="216"/>
      <c r="H6" s="217"/>
      <c r="I6" s="132"/>
      <c r="J6" s="127"/>
      <c r="K6" s="127"/>
      <c r="L6" s="127"/>
      <c r="M6" s="124"/>
    </row>
    <row r="7" spans="1:22" ht="16.5" customHeight="1" x14ac:dyDescent="0.25">
      <c r="A7" s="126" t="s">
        <v>202</v>
      </c>
      <c r="B7" s="258"/>
      <c r="C7" s="216"/>
      <c r="D7" s="217"/>
      <c r="E7" s="126" t="s">
        <v>202</v>
      </c>
      <c r="F7" s="258"/>
      <c r="G7" s="216"/>
      <c r="H7" s="217"/>
      <c r="I7" s="133"/>
      <c r="J7" s="125"/>
      <c r="K7" s="125"/>
      <c r="L7" s="125"/>
      <c r="M7" s="124"/>
    </row>
    <row r="8" spans="1:22" ht="16.5" customHeight="1" x14ac:dyDescent="0.25">
      <c r="A8" s="126" t="s">
        <v>201</v>
      </c>
      <c r="B8" s="258"/>
      <c r="C8" s="216"/>
      <c r="D8" s="217"/>
      <c r="E8" s="126" t="s">
        <v>201</v>
      </c>
      <c r="F8" s="258"/>
      <c r="G8" s="216"/>
      <c r="H8" s="217"/>
      <c r="I8" s="133"/>
      <c r="J8" s="125"/>
      <c r="K8" s="125"/>
      <c r="L8" s="125"/>
      <c r="M8" s="124"/>
    </row>
    <row r="9" spans="1:22" ht="16.5" customHeight="1" x14ac:dyDescent="0.25">
      <c r="A9" s="126" t="s">
        <v>200</v>
      </c>
      <c r="B9" s="258"/>
      <c r="C9" s="216"/>
      <c r="D9" s="217"/>
      <c r="E9" s="126" t="s">
        <v>200</v>
      </c>
      <c r="F9" s="258"/>
      <c r="G9" s="216"/>
      <c r="H9" s="217"/>
      <c r="I9" s="133"/>
      <c r="J9" s="125"/>
      <c r="K9" s="125"/>
      <c r="L9" s="125"/>
      <c r="M9" s="124"/>
    </row>
    <row r="10" spans="1:22" ht="16.5" customHeight="1" thickBot="1" x14ac:dyDescent="0.3">
      <c r="A10" s="135" t="s">
        <v>199</v>
      </c>
      <c r="B10" s="258"/>
      <c r="C10" s="216"/>
      <c r="D10" s="217"/>
      <c r="E10" s="135" t="s">
        <v>199</v>
      </c>
      <c r="F10" s="259"/>
      <c r="G10" s="224"/>
      <c r="H10" s="225"/>
      <c r="I10" s="133"/>
      <c r="J10" s="125"/>
      <c r="K10" s="125"/>
      <c r="L10" s="125"/>
      <c r="M10" s="124"/>
    </row>
    <row r="11" spans="1:22" ht="16.5" thickBot="1" x14ac:dyDescent="0.3">
      <c r="A11" s="203" t="s">
        <v>198</v>
      </c>
      <c r="B11" s="204"/>
      <c r="C11" s="204"/>
      <c r="D11" s="204"/>
      <c r="E11" s="204"/>
      <c r="F11" s="204"/>
      <c r="G11" s="204"/>
      <c r="H11" s="204"/>
      <c r="I11" s="204"/>
      <c r="J11" s="204"/>
      <c r="K11" s="204"/>
      <c r="L11" s="204"/>
      <c r="M11" s="205"/>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26" t="s">
        <v>196</v>
      </c>
      <c r="B13" s="227"/>
      <c r="C13" s="227"/>
      <c r="D13" s="227"/>
      <c r="E13" s="227"/>
      <c r="F13" s="227"/>
      <c r="G13" s="227"/>
      <c r="H13" s="227"/>
      <c r="I13" s="227"/>
      <c r="J13" s="227"/>
      <c r="K13" s="227"/>
      <c r="L13" s="227"/>
      <c r="M13" s="228"/>
    </row>
    <row r="14" spans="1:22" ht="16.5" thickBot="1" x14ac:dyDescent="0.3">
      <c r="A14" s="81" t="s">
        <v>182</v>
      </c>
      <c r="B14" s="229" t="s">
        <v>194</v>
      </c>
      <c r="C14" s="230"/>
      <c r="D14" s="231"/>
      <c r="E14" s="232" t="s">
        <v>193</v>
      </c>
      <c r="F14" s="233"/>
      <c r="G14" s="233"/>
      <c r="H14" s="234"/>
      <c r="I14" s="235" t="s">
        <v>193</v>
      </c>
      <c r="J14" s="236"/>
      <c r="K14" s="236"/>
      <c r="L14" s="236"/>
      <c r="M14" s="237"/>
      <c r="P14" s="169">
        <v>0.2384</v>
      </c>
      <c r="Q14" s="34" t="s">
        <v>139</v>
      </c>
      <c r="R14" s="169">
        <v>0.76160000000000005</v>
      </c>
      <c r="S14" s="34" t="s">
        <v>139</v>
      </c>
      <c r="T14" s="169">
        <v>0</v>
      </c>
      <c r="U14" s="34" t="s">
        <v>139</v>
      </c>
      <c r="V14" s="156">
        <f>Tab_Def_Flows[[#This Row],[Flow_CC_DM'[%']]]*Tab_Def_Flows[[#This Row],[Flow_DM]]</f>
        <v>0</v>
      </c>
    </row>
    <row r="15" spans="1:22" ht="63.75" thickBot="1" x14ac:dyDescent="0.3">
      <c r="A15" s="42"/>
      <c r="B15" s="55" t="s">
        <v>191</v>
      </c>
      <c r="C15" s="108" t="s">
        <v>190</v>
      </c>
      <c r="D15" s="107" t="s">
        <v>183</v>
      </c>
      <c r="E15" s="106" t="s">
        <v>186</v>
      </c>
      <c r="F15" s="54" t="s">
        <v>185</v>
      </c>
      <c r="G15" s="54" t="s">
        <v>184</v>
      </c>
      <c r="H15" s="105" t="s">
        <v>183</v>
      </c>
      <c r="I15" s="104" t="s">
        <v>189</v>
      </c>
      <c r="J15" s="53" t="s">
        <v>188</v>
      </c>
      <c r="K15" s="53" t="s">
        <v>187</v>
      </c>
      <c r="L15" s="53" t="s">
        <v>183</v>
      </c>
      <c r="M15" s="103"/>
      <c r="P15" s="169">
        <v>0.14000000000000001</v>
      </c>
      <c r="Q15" s="34" t="s">
        <v>139</v>
      </c>
      <c r="R15" s="169">
        <v>0.86</v>
      </c>
      <c r="S15" s="34" t="s">
        <v>139</v>
      </c>
      <c r="T15" s="169">
        <v>0.48</v>
      </c>
      <c r="U15" s="34" t="s">
        <v>139</v>
      </c>
      <c r="V15" s="156">
        <f>Tab_Def_Flows[[#This Row],[Flow_CC_DM'[%']]]*Tab_Def_Flows[[#This Row],[Flow_DM]]</f>
        <v>0</v>
      </c>
    </row>
    <row r="16" spans="1:22" ht="23.25" customHeight="1" x14ac:dyDescent="0.25">
      <c r="A16" s="75" t="str">
        <f t="shared" ref="A16:A21" si="0">B5</f>
        <v>Grain</v>
      </c>
      <c r="B16" s="51">
        <v>1000</v>
      </c>
      <c r="C16" s="102">
        <f t="shared" ref="C16:C21" si="1">B16/$B$22</f>
        <v>1</v>
      </c>
      <c r="D16" s="101" t="s">
        <v>155</v>
      </c>
      <c r="E16" s="100">
        <v>0.14000000000000001</v>
      </c>
      <c r="F16" s="50">
        <f t="shared" ref="F16:F21" si="2">E16*B16</f>
        <v>140</v>
      </c>
      <c r="G16" s="99">
        <f t="shared" ref="G16:G21" si="3">F16/$F$22</f>
        <v>1</v>
      </c>
      <c r="H16" s="98" t="s">
        <v>155</v>
      </c>
      <c r="I16" s="97">
        <f>1-E16</f>
        <v>0.86</v>
      </c>
      <c r="J16" s="49">
        <f t="shared" ref="J16:J21" si="4">I16*B16</f>
        <v>860</v>
      </c>
      <c r="K16" s="117">
        <f t="shared" ref="K16:K21" si="5">J16/$J$22</f>
        <v>1</v>
      </c>
      <c r="L16" s="94" t="s">
        <v>155</v>
      </c>
      <c r="M16" s="94"/>
    </row>
    <row r="17" spans="1:23" ht="23.25" customHeight="1" x14ac:dyDescent="0.25">
      <c r="A17" s="75">
        <f t="shared" si="0"/>
        <v>0</v>
      </c>
      <c r="B17" s="51"/>
      <c r="C17" s="102">
        <f t="shared" si="1"/>
        <v>0</v>
      </c>
      <c r="D17" s="101" t="s">
        <v>155</v>
      </c>
      <c r="E17" s="100"/>
      <c r="F17" s="50">
        <f t="shared" si="2"/>
        <v>0</v>
      </c>
      <c r="G17" s="99">
        <f t="shared" si="3"/>
        <v>0</v>
      </c>
      <c r="H17" s="98" t="s">
        <v>155</v>
      </c>
      <c r="I17" s="97"/>
      <c r="J17" s="49">
        <f t="shared" si="4"/>
        <v>0</v>
      </c>
      <c r="K17" s="117">
        <f t="shared" si="5"/>
        <v>0</v>
      </c>
      <c r="L17" s="94" t="s">
        <v>155</v>
      </c>
      <c r="M17" s="94"/>
    </row>
    <row r="18" spans="1:23" ht="23.25" customHeight="1" x14ac:dyDescent="0.25">
      <c r="A18" s="75">
        <f t="shared" si="0"/>
        <v>0</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f t="shared" si="0"/>
        <v>0</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f t="shared" si="0"/>
        <v>0</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1000</v>
      </c>
      <c r="C22" s="116">
        <f>C16+C17+C18</f>
        <v>1</v>
      </c>
      <c r="D22" s="91"/>
      <c r="E22" s="90">
        <f>F22/B22</f>
        <v>0.14000000000000001</v>
      </c>
      <c r="F22" s="89">
        <f>SUM(F16:F19)</f>
        <v>140</v>
      </c>
      <c r="G22" s="115">
        <f>SUM(G16:G19)</f>
        <v>1</v>
      </c>
      <c r="H22" s="87"/>
      <c r="I22" s="86">
        <f>J22/B22</f>
        <v>0.86</v>
      </c>
      <c r="J22" s="85">
        <f>J16+J17+J18</f>
        <v>860</v>
      </c>
      <c r="K22" s="114">
        <f>SUM(K16:K19)</f>
        <v>1</v>
      </c>
      <c r="L22" s="83"/>
      <c r="M22" s="82"/>
    </row>
    <row r="23" spans="1:23" ht="16.5" customHeight="1" thickBot="1" x14ac:dyDescent="0.3">
      <c r="A23" s="145" t="s">
        <v>182</v>
      </c>
      <c r="B23" s="218" t="s">
        <v>181</v>
      </c>
      <c r="C23" s="219"/>
      <c r="D23" s="219"/>
      <c r="E23" s="219"/>
      <c r="F23" s="219"/>
      <c r="G23" s="219"/>
      <c r="H23" s="220"/>
      <c r="I23" s="221" t="s">
        <v>180</v>
      </c>
      <c r="J23" s="222"/>
      <c r="K23" s="222"/>
      <c r="L23" s="222"/>
      <c r="M23" s="223"/>
    </row>
    <row r="24" spans="1:23" ht="75.75" thickBot="1" x14ac:dyDescent="0.3">
      <c r="A24" s="6"/>
      <c r="B24" s="80" t="s">
        <v>179</v>
      </c>
      <c r="C24" s="79" t="s">
        <v>178</v>
      </c>
      <c r="D24" s="79" t="s">
        <v>177</v>
      </c>
      <c r="E24" s="79" t="s">
        <v>176</v>
      </c>
      <c r="F24" s="80" t="s">
        <v>175</v>
      </c>
      <c r="G24" s="79" t="s">
        <v>174</v>
      </c>
      <c r="H24" s="144" t="s">
        <v>173</v>
      </c>
      <c r="I24" s="78" t="s">
        <v>172</v>
      </c>
      <c r="J24" s="77" t="s">
        <v>170</v>
      </c>
      <c r="K24" s="77" t="s">
        <v>692</v>
      </c>
      <c r="L24" s="77" t="s">
        <v>169</v>
      </c>
      <c r="M24" s="76" t="s">
        <v>168</v>
      </c>
      <c r="P24" s="169">
        <v>0.14000000000000001</v>
      </c>
      <c r="Q24" s="34" t="s">
        <v>139</v>
      </c>
      <c r="R24" s="169">
        <v>0.86</v>
      </c>
      <c r="S24" s="34" t="s">
        <v>139</v>
      </c>
      <c r="T24" s="169">
        <v>0.48</v>
      </c>
      <c r="U24" s="34" t="s">
        <v>139</v>
      </c>
      <c r="V24" s="156">
        <f>Tab_Def_Flows[[#This Row],[Flow_CC_DM'[%']]]*Tab_Def_Flows[[#This Row],[Flow_DM]]</f>
        <v>0</v>
      </c>
      <c r="W24" s="170" t="s">
        <v>140</v>
      </c>
    </row>
    <row r="25" spans="1:23" ht="27" customHeight="1" x14ac:dyDescent="0.25">
      <c r="A25" s="75" t="str">
        <f t="shared" ref="A25:A30" si="6">B5</f>
        <v>Grain</v>
      </c>
      <c r="B25" s="74">
        <v>0.48</v>
      </c>
      <c r="C25" s="72">
        <f>J16*B25</f>
        <v>412.8</v>
      </c>
      <c r="D25" s="73">
        <f t="shared" ref="D25:D30" si="7">C25/$C$31</f>
        <v>1</v>
      </c>
      <c r="E25" s="72" t="s">
        <v>155</v>
      </c>
      <c r="F25" s="71">
        <f>B25*I16</f>
        <v>0.4128</v>
      </c>
      <c r="G25" s="70">
        <f>B25*I16*B16</f>
        <v>412.8</v>
      </c>
      <c r="H25" s="69">
        <f t="shared" ref="H25:H30" si="8">G25/$G$31</f>
        <v>1</v>
      </c>
      <c r="I25" s="113">
        <f t="shared" ref="I25:I30" si="9">$A$12*C16</f>
        <v>1000</v>
      </c>
      <c r="J25" s="112">
        <f t="shared" ref="J25:J30" si="10">I25*E16</f>
        <v>140</v>
      </c>
      <c r="K25" s="112">
        <f t="shared" ref="K25:K30" si="11">I25*I16</f>
        <v>860</v>
      </c>
      <c r="L25" s="112">
        <f t="shared" ref="L25:L30" si="12">SUM(J25:K25)</f>
        <v>1000</v>
      </c>
      <c r="M25" s="111">
        <f t="shared" ref="M25:M30" si="13">I25*F25</f>
        <v>412.8</v>
      </c>
    </row>
    <row r="26" spans="1:23" ht="15.75" x14ac:dyDescent="0.25">
      <c r="A26" s="75">
        <f t="shared" si="6"/>
        <v>0</v>
      </c>
      <c r="B26" s="74">
        <v>0</v>
      </c>
      <c r="C26" s="72">
        <f t="shared" ref="C26:C30" si="14">J17*B26</f>
        <v>0</v>
      </c>
      <c r="D26" s="73">
        <f t="shared" si="7"/>
        <v>0</v>
      </c>
      <c r="E26" s="72" t="s">
        <v>155</v>
      </c>
      <c r="F26" s="71">
        <f t="shared" ref="F26:F30" si="15">B26*I17</f>
        <v>0</v>
      </c>
      <c r="G26" s="70">
        <f t="shared" ref="G26:G30" si="16">B26*E17*B17</f>
        <v>0</v>
      </c>
      <c r="H26" s="69">
        <f t="shared" si="8"/>
        <v>0</v>
      </c>
      <c r="I26" s="113">
        <f t="shared" si="9"/>
        <v>0</v>
      </c>
      <c r="J26" s="112">
        <f t="shared" si="10"/>
        <v>0</v>
      </c>
      <c r="K26" s="112">
        <f t="shared" si="11"/>
        <v>0</v>
      </c>
      <c r="L26" s="112">
        <f t="shared" si="12"/>
        <v>0</v>
      </c>
      <c r="M26" s="111">
        <f t="shared" si="13"/>
        <v>0</v>
      </c>
    </row>
    <row r="27" spans="1:23" ht="15.75" x14ac:dyDescent="0.25">
      <c r="A27" s="75">
        <f t="shared" si="6"/>
        <v>0</v>
      </c>
      <c r="B27" s="74">
        <v>0</v>
      </c>
      <c r="C27" s="72">
        <f t="shared" si="14"/>
        <v>0</v>
      </c>
      <c r="D27" s="73">
        <f t="shared" si="7"/>
        <v>0</v>
      </c>
      <c r="E27" s="72"/>
      <c r="F27" s="71">
        <f t="shared" si="15"/>
        <v>0</v>
      </c>
      <c r="G27" s="70">
        <f t="shared" si="16"/>
        <v>0</v>
      </c>
      <c r="H27" s="69">
        <f t="shared" si="8"/>
        <v>0</v>
      </c>
      <c r="I27" s="113">
        <f t="shared" si="9"/>
        <v>0</v>
      </c>
      <c r="J27" s="112">
        <f t="shared" si="10"/>
        <v>0</v>
      </c>
      <c r="K27" s="112">
        <f t="shared" si="11"/>
        <v>0</v>
      </c>
      <c r="L27" s="112">
        <f t="shared" si="12"/>
        <v>0</v>
      </c>
      <c r="M27" s="111">
        <f t="shared" si="13"/>
        <v>0</v>
      </c>
      <c r="Q27">
        <v>0.76158038205651879</v>
      </c>
    </row>
    <row r="28" spans="1:23" ht="15.75" x14ac:dyDescent="0.25">
      <c r="A28" s="75">
        <f t="shared" si="6"/>
        <v>0</v>
      </c>
      <c r="B28" s="74">
        <v>0</v>
      </c>
      <c r="C28" s="72">
        <f t="shared" si="14"/>
        <v>0</v>
      </c>
      <c r="D28" s="73">
        <f t="shared" si="7"/>
        <v>0</v>
      </c>
      <c r="E28" s="72"/>
      <c r="F28" s="71">
        <f t="shared" si="15"/>
        <v>0</v>
      </c>
      <c r="G28" s="70">
        <f t="shared" si="16"/>
        <v>0</v>
      </c>
      <c r="H28" s="69">
        <f t="shared" si="8"/>
        <v>0</v>
      </c>
      <c r="I28" s="113">
        <f t="shared" si="9"/>
        <v>0</v>
      </c>
      <c r="J28" s="112">
        <f t="shared" si="10"/>
        <v>0</v>
      </c>
      <c r="K28" s="112">
        <f t="shared" si="11"/>
        <v>0</v>
      </c>
      <c r="L28" s="112">
        <f t="shared" si="12"/>
        <v>0</v>
      </c>
      <c r="M28" s="111">
        <f t="shared" si="13"/>
        <v>0</v>
      </c>
    </row>
    <row r="29" spans="1:23" ht="15.75" x14ac:dyDescent="0.25">
      <c r="A29" s="75">
        <f t="shared" si="6"/>
        <v>0</v>
      </c>
      <c r="B29" s="74">
        <v>0</v>
      </c>
      <c r="C29" s="72">
        <f t="shared" si="14"/>
        <v>0</v>
      </c>
      <c r="D29" s="73">
        <f t="shared" si="7"/>
        <v>0</v>
      </c>
      <c r="E29" s="72"/>
      <c r="F29" s="71">
        <f t="shared" si="15"/>
        <v>0</v>
      </c>
      <c r="G29" s="70">
        <f t="shared" si="16"/>
        <v>0</v>
      </c>
      <c r="H29" s="69">
        <f t="shared" si="8"/>
        <v>0</v>
      </c>
      <c r="I29" s="113">
        <f t="shared" si="9"/>
        <v>0</v>
      </c>
      <c r="J29" s="112">
        <f t="shared" si="10"/>
        <v>0</v>
      </c>
      <c r="K29" s="112">
        <f t="shared" si="11"/>
        <v>0</v>
      </c>
      <c r="L29" s="112">
        <f t="shared" si="12"/>
        <v>0</v>
      </c>
      <c r="M29" s="111">
        <f t="shared" si="13"/>
        <v>0</v>
      </c>
    </row>
    <row r="30" spans="1:23" ht="16.5" thickBot="1" x14ac:dyDescent="0.3">
      <c r="A30" s="75">
        <f t="shared" si="6"/>
        <v>0</v>
      </c>
      <c r="B30" s="74">
        <v>0</v>
      </c>
      <c r="C30" s="72">
        <f t="shared" si="14"/>
        <v>0</v>
      </c>
      <c r="D30" s="73">
        <f t="shared" si="7"/>
        <v>0</v>
      </c>
      <c r="E30" s="72"/>
      <c r="F30" s="71">
        <f t="shared" si="15"/>
        <v>0</v>
      </c>
      <c r="G30" s="70">
        <f t="shared" si="16"/>
        <v>0</v>
      </c>
      <c r="H30" s="69">
        <f t="shared" si="8"/>
        <v>0</v>
      </c>
      <c r="I30" s="113">
        <f t="shared" si="9"/>
        <v>0</v>
      </c>
      <c r="J30" s="112">
        <f t="shared" si="10"/>
        <v>0</v>
      </c>
      <c r="K30" s="112">
        <f t="shared" si="11"/>
        <v>0</v>
      </c>
      <c r="L30" s="112">
        <f t="shared" si="12"/>
        <v>0</v>
      </c>
      <c r="M30" s="111">
        <f t="shared" si="13"/>
        <v>0</v>
      </c>
    </row>
    <row r="31" spans="1:23" ht="16.5" thickBot="1" x14ac:dyDescent="0.3">
      <c r="A31" s="65" t="s">
        <v>157</v>
      </c>
      <c r="B31" s="64">
        <f>C31/F22</f>
        <v>2.9485714285714288</v>
      </c>
      <c r="C31" s="62">
        <f>SUM(C25:C30)</f>
        <v>412.8</v>
      </c>
      <c r="D31" s="110">
        <f>SUM(D24:D30)</f>
        <v>1</v>
      </c>
      <c r="E31" s="62"/>
      <c r="F31" s="109">
        <f>G31/B22</f>
        <v>0.4128</v>
      </c>
      <c r="G31" s="60">
        <f t="shared" ref="G31:M31" si="17">SUM(G25:G30)</f>
        <v>412.8</v>
      </c>
      <c r="H31" s="59">
        <f t="shared" si="17"/>
        <v>1</v>
      </c>
      <c r="I31" s="58">
        <f t="shared" si="17"/>
        <v>1000</v>
      </c>
      <c r="J31" s="57">
        <f t="shared" si="17"/>
        <v>140</v>
      </c>
      <c r="K31" s="57">
        <f t="shared" si="17"/>
        <v>860</v>
      </c>
      <c r="L31" s="57">
        <f t="shared" si="17"/>
        <v>1000</v>
      </c>
      <c r="M31" s="56">
        <f t="shared" si="17"/>
        <v>412.8</v>
      </c>
    </row>
    <row r="32" spans="1:23" ht="16.5" thickBot="1" x14ac:dyDescent="0.3">
      <c r="A32" s="238" t="s">
        <v>195</v>
      </c>
      <c r="B32" s="239"/>
      <c r="C32" s="239"/>
      <c r="D32" s="239"/>
      <c r="E32" s="239"/>
      <c r="F32" s="239"/>
      <c r="G32" s="239"/>
      <c r="H32" s="239"/>
      <c r="I32" s="239"/>
      <c r="J32" s="239"/>
      <c r="K32" s="239"/>
      <c r="L32" s="239"/>
      <c r="M32" s="240"/>
    </row>
    <row r="33" spans="1:20" ht="16.5" customHeight="1" thickBot="1" x14ac:dyDescent="0.3">
      <c r="A33" s="81" t="s">
        <v>182</v>
      </c>
      <c r="B33" s="241" t="s">
        <v>194</v>
      </c>
      <c r="C33" s="242"/>
      <c r="D33" s="243"/>
      <c r="E33" s="244" t="s">
        <v>193</v>
      </c>
      <c r="F33" s="245"/>
      <c r="G33" s="245"/>
      <c r="H33" s="246"/>
      <c r="I33" s="247" t="s">
        <v>193</v>
      </c>
      <c r="J33" s="248"/>
      <c r="K33" s="248"/>
      <c r="L33" s="248"/>
      <c r="M33" s="249"/>
    </row>
    <row r="34" spans="1:20" ht="62.25" customHeight="1" thickBot="1" x14ac:dyDescent="0.3">
      <c r="A34" s="42"/>
      <c r="B34" s="55" t="s">
        <v>191</v>
      </c>
      <c r="C34" s="108" t="s">
        <v>190</v>
      </c>
      <c r="D34" s="107" t="s">
        <v>183</v>
      </c>
      <c r="E34" s="106" t="s">
        <v>186</v>
      </c>
      <c r="F34" s="54" t="s">
        <v>185</v>
      </c>
      <c r="G34" s="54" t="s">
        <v>184</v>
      </c>
      <c r="H34" s="105" t="s">
        <v>183</v>
      </c>
      <c r="I34" s="104" t="s">
        <v>189</v>
      </c>
      <c r="J34" s="53" t="s">
        <v>188</v>
      </c>
      <c r="K34" s="53" t="s">
        <v>691</v>
      </c>
      <c r="L34" s="53" t="s">
        <v>183</v>
      </c>
      <c r="M34" s="103"/>
    </row>
    <row r="35" spans="1:20" ht="15.75" x14ac:dyDescent="0.25">
      <c r="A35" s="75" t="str">
        <f t="shared" ref="A35:A40" si="18">F5</f>
        <v>Food_Emissions_C</v>
      </c>
      <c r="B35" s="51">
        <v>412.8</v>
      </c>
      <c r="C35" s="102">
        <f t="shared" ref="C35:C40" si="19">B35/$B$41</f>
        <v>0.4128</v>
      </c>
      <c r="D35" s="101" t="s">
        <v>155</v>
      </c>
      <c r="E35" s="100">
        <v>0</v>
      </c>
      <c r="F35" s="50">
        <f>E35*B35</f>
        <v>0</v>
      </c>
      <c r="G35" s="99">
        <f t="shared" ref="G35:G40" si="20">F35/$F$41</f>
        <v>0</v>
      </c>
      <c r="H35" s="98" t="s">
        <v>155</v>
      </c>
      <c r="I35" s="97">
        <f>1-E35</f>
        <v>1</v>
      </c>
      <c r="J35" s="49">
        <f>I35*B35</f>
        <v>412.8</v>
      </c>
      <c r="K35" s="96">
        <f>J35/$J$41</f>
        <v>0.47999999999999993</v>
      </c>
      <c r="L35" s="95" t="s">
        <v>155</v>
      </c>
      <c r="M35" s="94"/>
      <c r="R35" t="e">
        <f>C54/B17</f>
        <v>#DIV/0!</v>
      </c>
    </row>
    <row r="36" spans="1:20" ht="15.75" x14ac:dyDescent="0.25">
      <c r="A36" s="75" t="str">
        <f t="shared" si="18"/>
        <v>Food_Emissions_E</v>
      </c>
      <c r="B36" s="51">
        <v>587.20000000000005</v>
      </c>
      <c r="C36" s="102">
        <f t="shared" si="19"/>
        <v>0.58720000000000006</v>
      </c>
      <c r="D36" s="101" t="s">
        <v>155</v>
      </c>
      <c r="E36" s="100">
        <v>0.23841961852861027</v>
      </c>
      <c r="F36" s="50">
        <f t="shared" ref="F36:F40" si="21">E36*B36</f>
        <v>139.99999999999997</v>
      </c>
      <c r="G36" s="99">
        <f t="shared" si="20"/>
        <v>1</v>
      </c>
      <c r="H36" s="98" t="s">
        <v>155</v>
      </c>
      <c r="I36" s="97">
        <f>1-E36</f>
        <v>0.76158038147138973</v>
      </c>
      <c r="J36" s="49">
        <f>I36*B36</f>
        <v>447.2000000000001</v>
      </c>
      <c r="K36" s="96">
        <f>J36/$J$41</f>
        <v>0.52</v>
      </c>
      <c r="L36" s="95" t="s">
        <v>155</v>
      </c>
      <c r="M36" s="94"/>
    </row>
    <row r="37" spans="1:20" ht="15.75" x14ac:dyDescent="0.25">
      <c r="A37" s="75">
        <f t="shared" si="18"/>
        <v>0</v>
      </c>
      <c r="B37" s="51">
        <v>0</v>
      </c>
      <c r="C37" s="102">
        <f t="shared" si="19"/>
        <v>0</v>
      </c>
      <c r="D37" s="101"/>
      <c r="E37" s="100">
        <v>0</v>
      </c>
      <c r="F37" s="50">
        <f t="shared" si="21"/>
        <v>0</v>
      </c>
      <c r="G37" s="99">
        <f t="shared" si="20"/>
        <v>0</v>
      </c>
      <c r="H37" s="98"/>
      <c r="I37" s="97"/>
      <c r="J37" s="49">
        <f t="shared" ref="J37:J40" si="22">I37*B37</f>
        <v>0</v>
      </c>
      <c r="K37" s="96">
        <f>J37/$J$41</f>
        <v>0</v>
      </c>
      <c r="L37" s="95"/>
      <c r="M37" s="94"/>
    </row>
    <row r="38" spans="1:20" ht="15.75" x14ac:dyDescent="0.25">
      <c r="A38" s="75">
        <f t="shared" si="18"/>
        <v>0</v>
      </c>
      <c r="B38" s="51"/>
      <c r="C38" s="102">
        <f t="shared" si="19"/>
        <v>0</v>
      </c>
      <c r="D38" s="101"/>
      <c r="E38" s="100"/>
      <c r="F38" s="50">
        <f t="shared" si="21"/>
        <v>0</v>
      </c>
      <c r="G38" s="99">
        <f t="shared" si="20"/>
        <v>0</v>
      </c>
      <c r="H38" s="98"/>
      <c r="I38" s="97"/>
      <c r="J38" s="49">
        <f t="shared" si="22"/>
        <v>0</v>
      </c>
      <c r="K38" s="96">
        <f>J38/$J$41</f>
        <v>0</v>
      </c>
      <c r="L38" s="95"/>
      <c r="M38" s="94"/>
    </row>
    <row r="39" spans="1:20" ht="15.75" x14ac:dyDescent="0.25">
      <c r="A39" s="75">
        <f t="shared" si="18"/>
        <v>0</v>
      </c>
      <c r="B39" s="51"/>
      <c r="C39" s="102">
        <f t="shared" si="19"/>
        <v>0</v>
      </c>
      <c r="D39" s="101"/>
      <c r="E39" s="100"/>
      <c r="F39" s="50">
        <f t="shared" si="21"/>
        <v>0</v>
      </c>
      <c r="G39" s="99">
        <f t="shared" si="20"/>
        <v>0</v>
      </c>
      <c r="H39" s="98"/>
      <c r="I39" s="97"/>
      <c r="J39" s="49">
        <f t="shared" si="22"/>
        <v>0</v>
      </c>
      <c r="K39" s="96">
        <f>J39/$J$41</f>
        <v>0</v>
      </c>
      <c r="L39" s="95"/>
      <c r="M39" s="94"/>
    </row>
    <row r="40" spans="1:20" ht="16.5" thickBot="1" x14ac:dyDescent="0.3">
      <c r="A40" s="75">
        <f t="shared" si="18"/>
        <v>0</v>
      </c>
      <c r="B40" s="51"/>
      <c r="C40" s="102">
        <f t="shared" si="19"/>
        <v>0</v>
      </c>
      <c r="D40" s="101"/>
      <c r="E40" s="100"/>
      <c r="F40" s="50">
        <f t="shared" si="21"/>
        <v>0</v>
      </c>
      <c r="G40" s="99">
        <f t="shared" si="20"/>
        <v>0</v>
      </c>
      <c r="H40" s="98"/>
      <c r="I40" s="97"/>
      <c r="J40" s="49">
        <f t="shared" si="22"/>
        <v>0</v>
      </c>
      <c r="K40" s="96">
        <f>J40/$J$22</f>
        <v>0</v>
      </c>
      <c r="L40" s="95"/>
      <c r="M40" s="94"/>
    </row>
    <row r="41" spans="1:20" ht="16.5" thickBot="1" x14ac:dyDescent="0.3">
      <c r="A41" s="65" t="s">
        <v>157</v>
      </c>
      <c r="B41" s="93">
        <f>SUM(B35:B40)</f>
        <v>1000</v>
      </c>
      <c r="C41" s="92">
        <f>SUM(C35:C40)</f>
        <v>1</v>
      </c>
      <c r="D41" s="91"/>
      <c r="E41" s="90">
        <f>F41/B41</f>
        <v>0.13999999999999996</v>
      </c>
      <c r="F41" s="89">
        <f>SUM(F35:F40)</f>
        <v>139.99999999999997</v>
      </c>
      <c r="G41" s="88">
        <f>SUM(G35:G40)</f>
        <v>1</v>
      </c>
      <c r="H41" s="87"/>
      <c r="I41" s="86">
        <f>J41/B41</f>
        <v>0.8600000000000001</v>
      </c>
      <c r="J41" s="85">
        <f>SUM(J35:J40)</f>
        <v>860.00000000000011</v>
      </c>
      <c r="K41" s="84">
        <f>SUM(K35:K40)</f>
        <v>1</v>
      </c>
      <c r="L41" s="83"/>
      <c r="M41" s="82"/>
    </row>
    <row r="42" spans="1:20" ht="16.5" customHeight="1" thickBot="1" x14ac:dyDescent="0.3">
      <c r="A42" s="145" t="s">
        <v>182</v>
      </c>
      <c r="B42" s="218" t="s">
        <v>181</v>
      </c>
      <c r="C42" s="219"/>
      <c r="D42" s="219"/>
      <c r="E42" s="219"/>
      <c r="F42" s="219"/>
      <c r="G42" s="219"/>
      <c r="H42" s="220"/>
      <c r="I42" s="221" t="s">
        <v>180</v>
      </c>
      <c r="J42" s="222"/>
      <c r="K42" s="222"/>
      <c r="L42" s="222"/>
      <c r="M42" s="223"/>
    </row>
    <row r="43" spans="1:20" ht="75.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20" ht="15.75" x14ac:dyDescent="0.25">
      <c r="A44" s="75" t="str">
        <f t="shared" ref="A44:A49" si="23">A35</f>
        <v>Food_Emissions_C</v>
      </c>
      <c r="B44" s="74">
        <v>1</v>
      </c>
      <c r="C44" s="194">
        <f>J35*B44</f>
        <v>412.8</v>
      </c>
      <c r="D44" s="73">
        <f t="shared" ref="D44:D49" si="24">C44/$C$50</f>
        <v>1</v>
      </c>
      <c r="E44" s="72" t="s">
        <v>155</v>
      </c>
      <c r="F44" s="71">
        <f>B44*I35</f>
        <v>1</v>
      </c>
      <c r="G44" s="70">
        <f>B44*I35*B35</f>
        <v>412.8</v>
      </c>
      <c r="H44" s="69">
        <f>G44/$G$50</f>
        <v>1</v>
      </c>
      <c r="I44" s="68">
        <f t="shared" ref="I44:I49" si="25">$A$12*B58</f>
        <v>412.8</v>
      </c>
      <c r="J44" s="67">
        <f t="shared" ref="J44:J49" si="26">I44*E35</f>
        <v>0</v>
      </c>
      <c r="K44" s="67">
        <f t="shared" ref="K44:K49" si="27">I44*I35</f>
        <v>412.8</v>
      </c>
      <c r="L44" s="67">
        <f t="shared" ref="L44:L49" si="28">SUM(J44:K44)</f>
        <v>412.8</v>
      </c>
      <c r="M44" s="66">
        <f t="shared" ref="M44:M49" si="29">I44*F44</f>
        <v>412.8</v>
      </c>
      <c r="T44">
        <f>C53-E53</f>
        <v>-272.8</v>
      </c>
    </row>
    <row r="45" spans="1:20" ht="15.75" x14ac:dyDescent="0.25">
      <c r="A45" s="75" t="str">
        <f t="shared" si="23"/>
        <v>Food_Emissions_E</v>
      </c>
      <c r="B45" s="74">
        <v>0</v>
      </c>
      <c r="C45" s="194">
        <f t="shared" ref="C45:C49" si="30">J36*B45</f>
        <v>0</v>
      </c>
      <c r="D45" s="73">
        <f t="shared" si="24"/>
        <v>0</v>
      </c>
      <c r="E45" s="72" t="s">
        <v>155</v>
      </c>
      <c r="F45" s="71">
        <f t="shared" ref="F45:F49" si="31">B45*I36</f>
        <v>0</v>
      </c>
      <c r="G45" s="70">
        <f t="shared" ref="G45:G49" si="32">B45*I36*B36</f>
        <v>0</v>
      </c>
      <c r="H45" s="69">
        <f t="shared" ref="H45:H49" si="33">G45/$G$50</f>
        <v>0</v>
      </c>
      <c r="I45" s="68">
        <f t="shared" si="25"/>
        <v>587.20000000000005</v>
      </c>
      <c r="J45" s="67">
        <f t="shared" si="26"/>
        <v>139.99999999999997</v>
      </c>
      <c r="K45" s="67">
        <f t="shared" si="27"/>
        <v>447.2000000000001</v>
      </c>
      <c r="L45" s="67">
        <f t="shared" si="28"/>
        <v>587.20000000000005</v>
      </c>
      <c r="M45" s="66">
        <f t="shared" si="29"/>
        <v>0</v>
      </c>
      <c r="T45">
        <f>T44+D53</f>
        <v>587.20000000000005</v>
      </c>
    </row>
    <row r="46" spans="1:20" ht="15.75" x14ac:dyDescent="0.25">
      <c r="A46" s="75">
        <f t="shared" si="23"/>
        <v>0</v>
      </c>
      <c r="B46" s="74">
        <v>0</v>
      </c>
      <c r="C46" s="194">
        <f t="shared" si="30"/>
        <v>0</v>
      </c>
      <c r="D46" s="73">
        <f t="shared" si="24"/>
        <v>0</v>
      </c>
      <c r="E46" s="72" t="s">
        <v>155</v>
      </c>
      <c r="F46" s="71">
        <f t="shared" si="31"/>
        <v>0</v>
      </c>
      <c r="G46" s="70">
        <f t="shared" si="32"/>
        <v>0</v>
      </c>
      <c r="H46" s="69">
        <f t="shared" si="33"/>
        <v>0</v>
      </c>
      <c r="I46" s="68">
        <f t="shared" si="25"/>
        <v>0</v>
      </c>
      <c r="J46" s="67">
        <f t="shared" si="26"/>
        <v>0</v>
      </c>
      <c r="K46" s="67">
        <f t="shared" si="27"/>
        <v>0</v>
      </c>
      <c r="L46" s="67">
        <f t="shared" si="28"/>
        <v>0</v>
      </c>
      <c r="M46" s="66">
        <f t="shared" si="29"/>
        <v>0</v>
      </c>
    </row>
    <row r="47" spans="1:20" ht="15.75" x14ac:dyDescent="0.25">
      <c r="A47" s="75">
        <f t="shared" si="23"/>
        <v>0</v>
      </c>
      <c r="B47" s="74"/>
      <c r="C47" s="194">
        <f t="shared" si="30"/>
        <v>0</v>
      </c>
      <c r="D47" s="73">
        <f t="shared" si="24"/>
        <v>0</v>
      </c>
      <c r="E47" s="72"/>
      <c r="F47" s="71">
        <f t="shared" si="31"/>
        <v>0</v>
      </c>
      <c r="G47" s="70">
        <f t="shared" si="32"/>
        <v>0</v>
      </c>
      <c r="H47" s="69">
        <f t="shared" si="33"/>
        <v>0</v>
      </c>
      <c r="I47" s="68">
        <f t="shared" si="25"/>
        <v>0</v>
      </c>
      <c r="J47" s="67">
        <f t="shared" si="26"/>
        <v>0</v>
      </c>
      <c r="K47" s="67">
        <f t="shared" si="27"/>
        <v>0</v>
      </c>
      <c r="L47" s="67">
        <f t="shared" si="28"/>
        <v>0</v>
      </c>
      <c r="M47" s="66">
        <f t="shared" si="29"/>
        <v>0</v>
      </c>
      <c r="R47">
        <f>1-T47</f>
        <v>-0.46457765667574913</v>
      </c>
      <c r="T47">
        <f>D53/T45</f>
        <v>1.4645776566757491</v>
      </c>
    </row>
    <row r="48" spans="1:20" ht="15.75" x14ac:dyDescent="0.25">
      <c r="A48" s="75">
        <f t="shared" si="23"/>
        <v>0</v>
      </c>
      <c r="B48" s="74"/>
      <c r="C48" s="194">
        <f t="shared" si="30"/>
        <v>0</v>
      </c>
      <c r="D48" s="73">
        <f t="shared" si="24"/>
        <v>0</v>
      </c>
      <c r="E48" s="72"/>
      <c r="F48" s="71">
        <f t="shared" si="31"/>
        <v>0</v>
      </c>
      <c r="G48" s="70">
        <f t="shared" si="32"/>
        <v>0</v>
      </c>
      <c r="H48" s="69">
        <f t="shared" si="33"/>
        <v>0</v>
      </c>
      <c r="I48" s="68">
        <f t="shared" si="25"/>
        <v>0</v>
      </c>
      <c r="J48" s="67">
        <f t="shared" si="26"/>
        <v>0</v>
      </c>
      <c r="K48" s="67">
        <f t="shared" si="27"/>
        <v>0</v>
      </c>
      <c r="L48" s="67">
        <f t="shared" si="28"/>
        <v>0</v>
      </c>
      <c r="M48" s="66">
        <f t="shared" si="29"/>
        <v>0</v>
      </c>
    </row>
    <row r="49" spans="1:17" ht="16.5" thickBot="1" x14ac:dyDescent="0.3">
      <c r="A49" s="75">
        <f t="shared" si="23"/>
        <v>0</v>
      </c>
      <c r="B49" s="74"/>
      <c r="C49" s="194">
        <f t="shared" si="30"/>
        <v>0</v>
      </c>
      <c r="D49" s="73">
        <f t="shared" si="24"/>
        <v>0</v>
      </c>
      <c r="E49" s="72"/>
      <c r="F49" s="71">
        <f t="shared" si="31"/>
        <v>0</v>
      </c>
      <c r="G49" s="70">
        <f t="shared" si="32"/>
        <v>0</v>
      </c>
      <c r="H49" s="69">
        <f t="shared" si="33"/>
        <v>0</v>
      </c>
      <c r="I49" s="68">
        <f t="shared" si="25"/>
        <v>0</v>
      </c>
      <c r="J49" s="67">
        <f t="shared" si="26"/>
        <v>0</v>
      </c>
      <c r="K49" s="67">
        <f t="shared" si="27"/>
        <v>0</v>
      </c>
      <c r="L49" s="67">
        <f t="shared" si="28"/>
        <v>0</v>
      </c>
      <c r="M49" s="66">
        <f t="shared" si="29"/>
        <v>0</v>
      </c>
      <c r="Q49" s="171"/>
    </row>
    <row r="50" spans="1:17" ht="16.5" thickBot="1" x14ac:dyDescent="0.3">
      <c r="A50" s="65" t="s">
        <v>157</v>
      </c>
      <c r="B50" s="64">
        <f>C50/F41</f>
        <v>2.9485714285714293</v>
      </c>
      <c r="C50" s="62">
        <f>SUM(C44:C49)</f>
        <v>412.8</v>
      </c>
      <c r="D50" s="63">
        <f>SUM(D44:D49)</f>
        <v>1</v>
      </c>
      <c r="E50" s="62"/>
      <c r="F50" s="61">
        <f>G50/B41</f>
        <v>0.4128</v>
      </c>
      <c r="G50" s="60">
        <f t="shared" ref="G50:M50" si="34">SUM(G44:G49)</f>
        <v>412.8</v>
      </c>
      <c r="H50" s="59">
        <f t="shared" si="34"/>
        <v>1</v>
      </c>
      <c r="I50" s="58">
        <f t="shared" si="34"/>
        <v>1000</v>
      </c>
      <c r="J50" s="57">
        <f t="shared" si="34"/>
        <v>139.99999999999997</v>
      </c>
      <c r="K50" s="57">
        <f t="shared" si="34"/>
        <v>860.00000000000011</v>
      </c>
      <c r="L50" s="57">
        <f t="shared" si="34"/>
        <v>1000</v>
      </c>
      <c r="M50" s="56">
        <f t="shared" si="34"/>
        <v>412.8</v>
      </c>
    </row>
    <row r="51" spans="1:17" ht="15.75" thickBot="1" x14ac:dyDescent="0.3">
      <c r="A51" s="250" t="s">
        <v>167</v>
      </c>
      <c r="B51" s="251"/>
      <c r="C51" s="251"/>
      <c r="D51" s="251"/>
      <c r="E51" s="252"/>
      <c r="F51" s="253" t="s">
        <v>166</v>
      </c>
      <c r="G51" s="254"/>
      <c r="H51" s="254"/>
      <c r="I51" s="254"/>
      <c r="J51" s="254"/>
      <c r="K51" s="254"/>
      <c r="L51" s="254"/>
      <c r="M51" s="255"/>
    </row>
    <row r="52" spans="1:17" ht="16.5" thickBot="1" x14ac:dyDescent="0.3">
      <c r="A52" s="4" t="s">
        <v>165</v>
      </c>
      <c r="B52" s="55" t="s">
        <v>164</v>
      </c>
      <c r="C52" s="54" t="s">
        <v>136</v>
      </c>
      <c r="D52" s="53" t="s">
        <v>137</v>
      </c>
      <c r="E52" s="52" t="s">
        <v>163</v>
      </c>
      <c r="F52" s="200"/>
      <c r="G52" s="200"/>
      <c r="H52" s="200"/>
      <c r="I52" s="200"/>
      <c r="J52" s="200"/>
      <c r="K52" s="200"/>
      <c r="L52" s="200"/>
      <c r="M52" s="256"/>
    </row>
    <row r="53" spans="1:17" ht="15.75" x14ac:dyDescent="0.25">
      <c r="A53" s="5" t="s">
        <v>162</v>
      </c>
      <c r="B53" s="51">
        <f>B22</f>
        <v>1000</v>
      </c>
      <c r="C53" s="50">
        <f>F22</f>
        <v>140</v>
      </c>
      <c r="D53" s="49">
        <f>J22</f>
        <v>860</v>
      </c>
      <c r="E53" s="48">
        <f>C31</f>
        <v>412.8</v>
      </c>
      <c r="F53" s="200"/>
      <c r="G53" s="200"/>
      <c r="H53" s="200"/>
      <c r="I53" s="200"/>
      <c r="J53" s="200"/>
      <c r="K53" s="200"/>
      <c r="L53" s="200"/>
      <c r="M53" s="256"/>
    </row>
    <row r="54" spans="1:17" ht="16.5" thickBot="1" x14ac:dyDescent="0.3">
      <c r="A54" s="5" t="s">
        <v>161</v>
      </c>
      <c r="B54" s="51">
        <f>B41</f>
        <v>1000</v>
      </c>
      <c r="C54" s="50">
        <f>F41</f>
        <v>139.99999999999997</v>
      </c>
      <c r="D54" s="49">
        <f>J41</f>
        <v>860.00000000000011</v>
      </c>
      <c r="E54" s="48">
        <f>C50</f>
        <v>412.8</v>
      </c>
      <c r="F54" s="200"/>
      <c r="G54" s="200"/>
      <c r="H54" s="200"/>
      <c r="I54" s="200"/>
      <c r="J54" s="200"/>
      <c r="K54" s="200"/>
      <c r="L54" s="200"/>
      <c r="M54" s="256"/>
    </row>
    <row r="55" spans="1:17" ht="15.75" x14ac:dyDescent="0.25">
      <c r="A55" s="4" t="s">
        <v>160</v>
      </c>
      <c r="B55" s="140">
        <f>B53-B54</f>
        <v>0</v>
      </c>
      <c r="C55" s="141">
        <f>C53-C54</f>
        <v>0</v>
      </c>
      <c r="D55" s="142">
        <f>D53-D54</f>
        <v>0</v>
      </c>
      <c r="E55" s="143">
        <f>E53-E54</f>
        <v>0</v>
      </c>
      <c r="F55" s="200"/>
      <c r="G55" s="200"/>
      <c r="H55" s="200"/>
      <c r="I55" s="200"/>
      <c r="J55" s="200"/>
      <c r="K55" s="200"/>
      <c r="L55" s="200"/>
      <c r="M55" s="256"/>
    </row>
    <row r="56" spans="1:17" ht="16.5" thickBot="1" x14ac:dyDescent="0.3">
      <c r="A56" s="6" t="s">
        <v>159</v>
      </c>
      <c r="B56" s="47">
        <f>B53/B54</f>
        <v>1</v>
      </c>
      <c r="C56" s="45">
        <f>C53/C54</f>
        <v>1.0000000000000002</v>
      </c>
      <c r="D56" s="44">
        <f>D53/D54</f>
        <v>0.99999999999999989</v>
      </c>
      <c r="E56" s="43">
        <f>E53/E54</f>
        <v>1</v>
      </c>
      <c r="F56" s="200"/>
      <c r="G56" s="200"/>
      <c r="H56" s="200"/>
      <c r="I56" s="200"/>
      <c r="J56" s="200"/>
      <c r="K56" s="200"/>
      <c r="L56" s="200"/>
      <c r="M56" s="256"/>
    </row>
    <row r="57" spans="1:17" ht="15.75" thickBot="1" x14ac:dyDescent="0.3">
      <c r="A57" s="250" t="s">
        <v>158</v>
      </c>
      <c r="B57" s="251"/>
      <c r="C57" s="251"/>
      <c r="D57" s="251"/>
      <c r="E57" s="252"/>
      <c r="F57" s="200"/>
      <c r="G57" s="200"/>
      <c r="H57" s="200"/>
      <c r="I57" s="200"/>
      <c r="J57" s="200"/>
      <c r="K57" s="200"/>
      <c r="L57" s="200"/>
      <c r="M57" s="256"/>
    </row>
    <row r="58" spans="1:17" ht="16.5" thickBot="1" x14ac:dyDescent="0.3">
      <c r="A58" s="42" t="str">
        <f t="shared" ref="A58:A63" si="35">A44</f>
        <v>Food_Emissions_C</v>
      </c>
      <c r="B58" s="41">
        <f t="shared" ref="B58:B63" si="36">(B35*$C$41)/($B$22*$C$22)</f>
        <v>0.4128</v>
      </c>
      <c r="C58" s="40">
        <f>(E35*B35)/($B$22*$E$22)</f>
        <v>0</v>
      </c>
      <c r="D58" s="39">
        <f t="shared" ref="D58:D63" si="37">(I35*B35)/($B$22*$I$22)</f>
        <v>0.48000000000000004</v>
      </c>
      <c r="E58" s="38">
        <f>(F44*B35)/($B$22*$F$31)</f>
        <v>1</v>
      </c>
      <c r="F58" s="200"/>
      <c r="G58" s="200"/>
      <c r="H58" s="200"/>
      <c r="I58" s="200"/>
      <c r="J58" s="200"/>
      <c r="K58" s="200"/>
      <c r="L58" s="200"/>
      <c r="M58" s="256"/>
    </row>
    <row r="59" spans="1:17" ht="16.5" thickBot="1" x14ac:dyDescent="0.3">
      <c r="A59" s="6" t="str">
        <f t="shared" si="35"/>
        <v>Food_Emissions_E</v>
      </c>
      <c r="B59" s="46">
        <f t="shared" si="36"/>
        <v>0.58720000000000006</v>
      </c>
      <c r="C59" s="45">
        <f>(E36*B36)/($B$22*$E$22)</f>
        <v>0.99999999999999978</v>
      </c>
      <c r="D59" s="44">
        <f>(I36*B36)/($B$22*$I$22)</f>
        <v>0.52000000000000013</v>
      </c>
      <c r="E59" s="38">
        <f t="shared" ref="E59:E63" si="38">(F45*B36)/($B$22*$F$31)</f>
        <v>0</v>
      </c>
      <c r="F59" s="200"/>
      <c r="G59" s="200"/>
      <c r="H59" s="200"/>
      <c r="I59" s="200"/>
      <c r="J59" s="200"/>
      <c r="K59" s="200"/>
      <c r="L59" s="200"/>
      <c r="M59" s="256"/>
    </row>
    <row r="60" spans="1:17" ht="16.5" thickBot="1" x14ac:dyDescent="0.3">
      <c r="A60" s="6">
        <f t="shared" si="35"/>
        <v>0</v>
      </c>
      <c r="B60" s="46">
        <f t="shared" si="36"/>
        <v>0</v>
      </c>
      <c r="C60" s="45">
        <f>(E37*B37)/($B$22*$E$22)</f>
        <v>0</v>
      </c>
      <c r="D60" s="44">
        <f t="shared" si="37"/>
        <v>0</v>
      </c>
      <c r="E60" s="38">
        <f t="shared" si="38"/>
        <v>0</v>
      </c>
      <c r="F60" s="200"/>
      <c r="G60" s="200"/>
      <c r="H60" s="200"/>
      <c r="I60" s="200"/>
      <c r="J60" s="200"/>
      <c r="K60" s="200"/>
      <c r="L60" s="200"/>
      <c r="M60" s="256"/>
    </row>
    <row r="61" spans="1:17" ht="16.5" thickBot="1" x14ac:dyDescent="0.3">
      <c r="A61" s="6">
        <f t="shared" si="35"/>
        <v>0</v>
      </c>
      <c r="B61" s="46">
        <f t="shared" si="36"/>
        <v>0</v>
      </c>
      <c r="C61" s="45">
        <f>($G$41*F38)/($B$22*$E$22)</f>
        <v>0</v>
      </c>
      <c r="D61" s="44">
        <f t="shared" si="37"/>
        <v>0</v>
      </c>
      <c r="E61" s="38">
        <f t="shared" si="38"/>
        <v>0</v>
      </c>
      <c r="F61" s="200"/>
      <c r="G61" s="200"/>
      <c r="H61" s="200"/>
      <c r="I61" s="200"/>
      <c r="J61" s="200"/>
      <c r="K61" s="200"/>
      <c r="L61" s="200"/>
      <c r="M61" s="256"/>
    </row>
    <row r="62" spans="1:17" ht="16.5" thickBot="1" x14ac:dyDescent="0.3">
      <c r="A62" s="6">
        <f t="shared" si="35"/>
        <v>0</v>
      </c>
      <c r="B62" s="46">
        <f t="shared" si="36"/>
        <v>0</v>
      </c>
      <c r="C62" s="45">
        <f>(B39*E39)/($B$22*$E$22)</f>
        <v>0</v>
      </c>
      <c r="D62" s="44">
        <f t="shared" si="37"/>
        <v>0</v>
      </c>
      <c r="E62" s="38">
        <f t="shared" si="38"/>
        <v>0</v>
      </c>
      <c r="F62" s="200"/>
      <c r="G62" s="200"/>
      <c r="H62" s="200"/>
      <c r="I62" s="200"/>
      <c r="J62" s="200"/>
      <c r="K62" s="200"/>
      <c r="L62" s="200"/>
      <c r="M62" s="256"/>
    </row>
    <row r="63" spans="1:17" ht="16.5" thickBot="1" x14ac:dyDescent="0.3">
      <c r="A63" s="6">
        <f t="shared" si="35"/>
        <v>0</v>
      </c>
      <c r="B63" s="46">
        <f t="shared" si="36"/>
        <v>0</v>
      </c>
      <c r="C63" s="45">
        <f>(B40*E40)/($B$22*$E$22)</f>
        <v>0</v>
      </c>
      <c r="D63" s="44">
        <f t="shared" si="37"/>
        <v>0</v>
      </c>
      <c r="E63" s="38">
        <f t="shared" si="38"/>
        <v>0</v>
      </c>
      <c r="F63" s="200"/>
      <c r="G63" s="200"/>
      <c r="H63" s="200"/>
      <c r="I63" s="200"/>
      <c r="J63" s="200"/>
      <c r="K63" s="200"/>
      <c r="L63" s="200"/>
      <c r="M63" s="256"/>
    </row>
    <row r="64" spans="1:17" ht="16.5" thickBot="1" x14ac:dyDescent="0.3">
      <c r="A64" s="4" t="s">
        <v>157</v>
      </c>
      <c r="B64" s="136">
        <f>SUM(B58:B63)</f>
        <v>1</v>
      </c>
      <c r="C64" s="137">
        <f>SUM(C58:C63)</f>
        <v>0.99999999999999978</v>
      </c>
      <c r="D64" s="138">
        <f>SUM(D58:D63)</f>
        <v>1.0000000000000002</v>
      </c>
      <c r="E64" s="139">
        <f>SUM(E58:E63)</f>
        <v>1</v>
      </c>
      <c r="F64" s="200"/>
      <c r="G64" s="200"/>
      <c r="H64" s="200"/>
      <c r="I64" s="200"/>
      <c r="J64" s="200"/>
      <c r="K64" s="200"/>
      <c r="L64" s="200"/>
      <c r="M64" s="256"/>
    </row>
    <row r="65" spans="1:13" ht="16.5" thickBot="1" x14ac:dyDescent="0.3">
      <c r="A65" s="226" t="s">
        <v>156</v>
      </c>
      <c r="B65" s="227"/>
      <c r="C65" s="227"/>
      <c r="D65" s="227"/>
      <c r="E65" s="227"/>
      <c r="F65" s="227"/>
      <c r="G65" s="227"/>
      <c r="H65" s="227"/>
      <c r="I65" s="227"/>
      <c r="J65" s="227"/>
      <c r="K65" s="227"/>
      <c r="L65" s="227"/>
      <c r="M65" s="228"/>
    </row>
    <row r="66" spans="1:13" x14ac:dyDescent="0.25">
      <c r="A66" s="5" t="s">
        <v>155</v>
      </c>
      <c r="B66" s="257" t="s">
        <v>154</v>
      </c>
      <c r="C66" s="257"/>
      <c r="D66" s="257"/>
      <c r="E66" s="257"/>
      <c r="F66" s="257"/>
      <c r="G66" s="5" t="s">
        <v>153</v>
      </c>
      <c r="M66" s="37"/>
    </row>
    <row r="67" spans="1:13" ht="18.75" customHeight="1" x14ac:dyDescent="0.25">
      <c r="A67" s="5" t="s">
        <v>152</v>
      </c>
      <c r="B67" s="200" t="s">
        <v>139</v>
      </c>
      <c r="C67" s="200"/>
      <c r="D67" s="200"/>
      <c r="E67" s="200"/>
      <c r="F67" s="200"/>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2">
        <x14:dataValidation type="list" allowBlank="1" showInputMessage="1" showErrorMessage="1" xr:uid="{85A64ADB-D543-442E-8F6B-365EAAA73BD2}">
          <x14:formula1>
            <xm:f>'2_1_Definition_Processes'!$C$2:$C$47</xm:f>
          </x14:formula1>
          <xm:sqref>J1:M1</xm:sqref>
        </x14:dataValidation>
        <x14:dataValidation type="list" allowBlank="1" showInputMessage="1" showErrorMessage="1" xr:uid="{59C03098-442D-4EF5-ACF8-3C44FE7FA638}">
          <x14:formula1>
            <xm:f>'1_1_Definition_Flows'!$D$2:$D$70</xm:f>
          </x14:formula1>
          <xm:sqref>B5:D10 F5:H10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24" zoomScaleNormal="100" zoomScaleSheetLayoutView="145" zoomScalePageLayoutView="115" workbookViewId="0">
      <selection activeCell="N42" sqref="N42"/>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0" t="s">
        <v>209</v>
      </c>
      <c r="B1" s="201" t="str">
        <f>'2_1_Definition_Processes'!D2</f>
        <v>Reifenherstellung</v>
      </c>
      <c r="C1" s="201"/>
      <c r="D1" s="201"/>
      <c r="E1" s="201"/>
      <c r="F1" s="201"/>
      <c r="G1" s="201"/>
      <c r="H1" s="201"/>
      <c r="I1" s="130" t="s">
        <v>208</v>
      </c>
      <c r="J1" s="202" t="s">
        <v>89</v>
      </c>
      <c r="K1" s="202"/>
      <c r="L1" s="202"/>
      <c r="M1" s="202"/>
    </row>
    <row r="2" spans="1:22" ht="16.5" thickBot="1" x14ac:dyDescent="0.3">
      <c r="A2" s="203" t="s">
        <v>207</v>
      </c>
      <c r="B2" s="204"/>
      <c r="C2" s="204"/>
      <c r="D2" s="204"/>
      <c r="E2" s="204"/>
      <c r="F2" s="204"/>
      <c r="G2" s="204"/>
      <c r="H2" s="204"/>
      <c r="I2" s="204"/>
      <c r="J2" s="204"/>
      <c r="K2" s="204"/>
      <c r="L2" s="204"/>
      <c r="M2" s="205"/>
    </row>
    <row r="3" spans="1:22" ht="126.75" customHeight="1" thickBot="1" x14ac:dyDescent="0.3">
      <c r="A3" s="206"/>
      <c r="B3" s="207"/>
      <c r="C3" s="207"/>
      <c r="D3" s="207"/>
      <c r="E3" s="207"/>
      <c r="F3" s="207"/>
      <c r="G3" s="207"/>
      <c r="H3" s="207"/>
      <c r="I3" s="207"/>
      <c r="J3" s="207"/>
      <c r="K3" s="207"/>
      <c r="L3" s="207"/>
      <c r="M3" s="208"/>
    </row>
    <row r="4" spans="1:22" ht="31.5" customHeight="1" x14ac:dyDescent="0.25">
      <c r="A4" s="129" t="s">
        <v>206</v>
      </c>
      <c r="B4" s="209"/>
      <c r="C4" s="210"/>
      <c r="D4" s="211"/>
      <c r="E4" s="212" t="s">
        <v>205</v>
      </c>
      <c r="F4" s="213"/>
      <c r="G4" s="134"/>
      <c r="H4" s="134"/>
      <c r="I4" s="128"/>
      <c r="J4" s="128"/>
      <c r="K4" s="128"/>
      <c r="L4" s="128"/>
      <c r="M4" s="128"/>
    </row>
    <row r="5" spans="1:22" ht="16.5" customHeight="1" x14ac:dyDescent="0.25">
      <c r="A5" s="131" t="s">
        <v>204</v>
      </c>
      <c r="B5" s="214" t="s">
        <v>356</v>
      </c>
      <c r="C5" s="214"/>
      <c r="D5" s="215"/>
      <c r="E5" s="131" t="s">
        <v>204</v>
      </c>
      <c r="F5" s="216" t="e">
        <f>_xlfn.XLOOKUP(J1,Tab_Def_Processes[Process_ID],#REF!,"No_flow.",0,1)</f>
        <v>#REF!</v>
      </c>
      <c r="G5" s="216"/>
      <c r="H5" s="217"/>
      <c r="I5" s="132"/>
      <c r="J5" s="127"/>
      <c r="K5" s="127"/>
      <c r="L5" s="127"/>
      <c r="M5" s="124"/>
    </row>
    <row r="6" spans="1:22" ht="16.5" customHeight="1" x14ac:dyDescent="0.25">
      <c r="A6" s="131" t="s">
        <v>203</v>
      </c>
      <c r="B6" s="216" t="s">
        <v>357</v>
      </c>
      <c r="C6" s="216"/>
      <c r="D6" s="217"/>
      <c r="E6" s="131" t="s">
        <v>203</v>
      </c>
      <c r="F6" s="216" t="e">
        <f>_xlfn.XLOOKUP(J1,Tab_Def_Processes[Process_ID],#REF!,"No_flow.",0,1)</f>
        <v>#REF!</v>
      </c>
      <c r="G6" s="216"/>
      <c r="H6" s="217"/>
      <c r="I6" s="132"/>
      <c r="J6" s="127"/>
      <c r="K6" s="127"/>
      <c r="L6" s="127"/>
      <c r="M6" s="124"/>
    </row>
    <row r="7" spans="1:22" ht="16.5" customHeight="1" x14ac:dyDescent="0.25">
      <c r="A7" s="126" t="s">
        <v>202</v>
      </c>
      <c r="B7" s="216" t="e">
        <f>_xlfn.XLOOKUP(J1,Tab_Def_Processes[Process_ID],#REF!,"No_flow.",0,1)</f>
        <v>#REF!</v>
      </c>
      <c r="C7" s="216"/>
      <c r="D7" s="217"/>
      <c r="E7" s="126" t="s">
        <v>202</v>
      </c>
      <c r="F7" s="216" t="e">
        <f>_xlfn.XLOOKUP(J1,Tab_Def_Processes[Process_ID],#REF!,"No_flow.",0,1)</f>
        <v>#REF!</v>
      </c>
      <c r="G7" s="216"/>
      <c r="H7" s="217"/>
      <c r="I7" s="133"/>
      <c r="J7" s="125"/>
      <c r="K7" s="125"/>
      <c r="L7" s="125"/>
      <c r="M7" s="124"/>
    </row>
    <row r="8" spans="1:22" ht="16.5" customHeight="1" x14ac:dyDescent="0.25">
      <c r="A8" s="126" t="s">
        <v>201</v>
      </c>
      <c r="B8" s="216" t="e">
        <f>_xlfn.XLOOKUP(J1,Tab_Def_Processes[Process_ID],#REF!,"No_flow.",0,1)</f>
        <v>#REF!</v>
      </c>
      <c r="C8" s="216"/>
      <c r="D8" s="217"/>
      <c r="E8" s="126" t="s">
        <v>201</v>
      </c>
      <c r="F8" s="216" t="e">
        <f>_xlfn.XLOOKUP(J1,Tab_Def_Processes[Process_ID],#REF!,"No_flow.",0,1)</f>
        <v>#REF!</v>
      </c>
      <c r="G8" s="216"/>
      <c r="H8" s="217"/>
      <c r="I8" s="133"/>
      <c r="J8" s="125"/>
      <c r="K8" s="125"/>
      <c r="L8" s="125"/>
      <c r="M8" s="124"/>
    </row>
    <row r="9" spans="1:22" ht="16.5" customHeight="1" x14ac:dyDescent="0.25">
      <c r="A9" s="126" t="s">
        <v>200</v>
      </c>
      <c r="B9" s="216" t="e">
        <f>_xlfn.XLOOKUP(J1,Tab_Def_Processes[Process_ID],#REF!,"No_flow.",0,1)</f>
        <v>#REF!</v>
      </c>
      <c r="C9" s="216"/>
      <c r="D9" s="217"/>
      <c r="E9" s="126" t="s">
        <v>200</v>
      </c>
      <c r="F9" s="216" t="e">
        <f>_xlfn.XLOOKUP(J1,Tab_Def_Processes[Process_ID],#REF!,"No_flow.",0,1)</f>
        <v>#REF!</v>
      </c>
      <c r="G9" s="216"/>
      <c r="H9" s="217"/>
      <c r="I9" s="133"/>
      <c r="J9" s="125"/>
      <c r="K9" s="125"/>
      <c r="L9" s="125"/>
      <c r="M9" s="124"/>
    </row>
    <row r="10" spans="1:22" ht="16.5" customHeight="1" thickBot="1" x14ac:dyDescent="0.3">
      <c r="A10" s="135" t="s">
        <v>199</v>
      </c>
      <c r="B10" s="224"/>
      <c r="C10" s="224"/>
      <c r="D10" s="225"/>
      <c r="E10" s="135" t="s">
        <v>199</v>
      </c>
      <c r="F10" s="224"/>
      <c r="G10" s="224"/>
      <c r="H10" s="225"/>
      <c r="I10" s="133"/>
      <c r="J10" s="125"/>
      <c r="K10" s="125"/>
      <c r="L10" s="125"/>
      <c r="M10" s="124"/>
    </row>
    <row r="11" spans="1:22" ht="16.5" thickBot="1" x14ac:dyDescent="0.3">
      <c r="A11" s="203" t="s">
        <v>198</v>
      </c>
      <c r="B11" s="204"/>
      <c r="C11" s="204"/>
      <c r="D11" s="204"/>
      <c r="E11" s="204"/>
      <c r="F11" s="204"/>
      <c r="G11" s="204"/>
      <c r="H11" s="204"/>
      <c r="I11" s="204"/>
      <c r="J11" s="204"/>
      <c r="K11" s="204"/>
      <c r="L11" s="204"/>
      <c r="M11" s="205"/>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26" t="s">
        <v>196</v>
      </c>
      <c r="B13" s="227"/>
      <c r="C13" s="227"/>
      <c r="D13" s="227"/>
      <c r="E13" s="227"/>
      <c r="F13" s="227"/>
      <c r="G13" s="227"/>
      <c r="H13" s="227"/>
      <c r="I13" s="227"/>
      <c r="J13" s="227"/>
      <c r="K13" s="227"/>
      <c r="L13" s="227"/>
      <c r="M13" s="228"/>
    </row>
    <row r="14" spans="1:22" ht="16.5" thickBot="1" x14ac:dyDescent="0.3">
      <c r="A14" s="81" t="s">
        <v>182</v>
      </c>
      <c r="B14" s="229" t="s">
        <v>194</v>
      </c>
      <c r="C14" s="230"/>
      <c r="D14" s="231"/>
      <c r="E14" s="232" t="s">
        <v>193</v>
      </c>
      <c r="F14" s="233"/>
      <c r="G14" s="233"/>
      <c r="H14" s="234"/>
      <c r="I14" s="235" t="s">
        <v>192</v>
      </c>
      <c r="J14" s="236"/>
      <c r="K14" s="236"/>
      <c r="L14" s="236"/>
      <c r="M14" s="237"/>
      <c r="P14" s="169">
        <v>0.2384</v>
      </c>
      <c r="Q14" s="34" t="s">
        <v>139</v>
      </c>
      <c r="R14" s="169">
        <v>0.76160000000000005</v>
      </c>
      <c r="S14" s="34" t="s">
        <v>139</v>
      </c>
      <c r="T14" s="169">
        <v>0</v>
      </c>
      <c r="U14" s="34" t="s">
        <v>139</v>
      </c>
      <c r="V14" s="156">
        <f>Tab_Def_Flows[[#This Row],[Flow_CC_DM'[%']]]*Tab_Def_Flows[[#This Row],[Flow_DM]]</f>
        <v>0</v>
      </c>
    </row>
    <row r="15" spans="1:22" ht="63.75" thickBot="1" x14ac:dyDescent="0.3">
      <c r="A15" s="42"/>
      <c r="B15" s="55" t="s">
        <v>191</v>
      </c>
      <c r="C15" s="108" t="s">
        <v>190</v>
      </c>
      <c r="D15" s="107" t="s">
        <v>183</v>
      </c>
      <c r="E15" s="106" t="s">
        <v>189</v>
      </c>
      <c r="F15" s="54" t="s">
        <v>188</v>
      </c>
      <c r="G15" s="54" t="s">
        <v>187</v>
      </c>
      <c r="H15" s="105" t="s">
        <v>183</v>
      </c>
      <c r="I15" s="104" t="s">
        <v>186</v>
      </c>
      <c r="J15" s="53" t="s">
        <v>185</v>
      </c>
      <c r="K15" s="53" t="s">
        <v>184</v>
      </c>
      <c r="L15" s="53" t="s">
        <v>183</v>
      </c>
      <c r="M15" s="103"/>
      <c r="P15" s="169">
        <v>0.14000000000000001</v>
      </c>
      <c r="Q15" s="34" t="s">
        <v>139</v>
      </c>
      <c r="R15" s="169">
        <v>0.86</v>
      </c>
      <c r="S15" s="34" t="s">
        <v>139</v>
      </c>
      <c r="T15" s="169">
        <v>0.48</v>
      </c>
      <c r="U15" s="34" t="s">
        <v>139</v>
      </c>
      <c r="V15" s="156">
        <f>Tab_Def_Flows[[#This Row],[Flow_CC_DM'[%']]]*Tab_Def_Flows[[#This Row],[Flow_DM]]</f>
        <v>0</v>
      </c>
    </row>
    <row r="16" spans="1:22" ht="23.25" customHeight="1" x14ac:dyDescent="0.25">
      <c r="A16" s="75" t="str">
        <f t="shared" ref="A16:A21" si="0">B5</f>
        <v>Atmosphere input</v>
      </c>
      <c r="B16" s="51">
        <v>297904.57</v>
      </c>
      <c r="C16" s="102">
        <f t="shared" ref="C16:C21" si="1">B16/$B$22</f>
        <v>0.41279999855889421</v>
      </c>
      <c r="D16" s="101" t="s">
        <v>155</v>
      </c>
      <c r="E16" s="100">
        <v>0</v>
      </c>
      <c r="F16" s="50">
        <f t="shared" ref="F16:F21" si="2">E16*B16</f>
        <v>0</v>
      </c>
      <c r="G16" s="99">
        <f t="shared" ref="G16:G21" si="3">F16/$F$22</f>
        <v>0</v>
      </c>
      <c r="H16" s="98" t="s">
        <v>155</v>
      </c>
      <c r="I16" s="97">
        <f>1-E16</f>
        <v>1</v>
      </c>
      <c r="J16" s="49">
        <f t="shared" ref="J16:J21" si="4">I16*B16</f>
        <v>297904.57</v>
      </c>
      <c r="K16" s="117">
        <f t="shared" ref="K16:K21" si="5">J16/$J$22</f>
        <v>0.47999999832429568</v>
      </c>
      <c r="L16" s="94" t="s">
        <v>155</v>
      </c>
      <c r="M16" s="94"/>
    </row>
    <row r="17" spans="1:23" ht="23.25" customHeight="1" x14ac:dyDescent="0.25">
      <c r="A17" s="75" t="str">
        <f t="shared" si="0"/>
        <v>Environment Input</v>
      </c>
      <c r="B17" s="51">
        <v>423763.48</v>
      </c>
      <c r="C17" s="102">
        <f t="shared" si="1"/>
        <v>0.58720000144110573</v>
      </c>
      <c r="D17" s="101" t="s">
        <v>155</v>
      </c>
      <c r="E17" s="100">
        <v>0.23841961794348115</v>
      </c>
      <c r="F17" s="50">
        <f t="shared" si="2"/>
        <v>101033.52700000002</v>
      </c>
      <c r="G17" s="99">
        <f t="shared" si="3"/>
        <v>1</v>
      </c>
      <c r="H17" s="98" t="s">
        <v>155</v>
      </c>
      <c r="I17" s="97">
        <f>1-E17</f>
        <v>0.76158038205651879</v>
      </c>
      <c r="J17" s="49">
        <f t="shared" si="4"/>
        <v>322729.95299999992</v>
      </c>
      <c r="K17" s="117">
        <f t="shared" si="5"/>
        <v>0.52000000167570437</v>
      </c>
      <c r="L17" s="94" t="s">
        <v>155</v>
      </c>
      <c r="M17" s="94"/>
    </row>
    <row r="18" spans="1:23" ht="23.25" customHeight="1" x14ac:dyDescent="0.25">
      <c r="A18" s="75" t="e">
        <f t="shared" si="0"/>
        <v>#REF!</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t="e">
        <f t="shared" si="0"/>
        <v>#REF!</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t="e">
        <f t="shared" si="0"/>
        <v>#REF!</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721668.05</v>
      </c>
      <c r="C22" s="116">
        <f>C16+C17+C18</f>
        <v>1</v>
      </c>
      <c r="D22" s="91"/>
      <c r="E22" s="90">
        <f>F22/B22</f>
        <v>0.14000000000000001</v>
      </c>
      <c r="F22" s="89">
        <f>SUM(F16:F19)</f>
        <v>101033.52700000002</v>
      </c>
      <c r="G22" s="115">
        <f>SUM(G16:G19)</f>
        <v>1</v>
      </c>
      <c r="H22" s="87"/>
      <c r="I22" s="86">
        <f>J22/B22</f>
        <v>0.85999999999999988</v>
      </c>
      <c r="J22" s="85">
        <f>J16+J17+J18</f>
        <v>620634.52299999993</v>
      </c>
      <c r="K22" s="114">
        <f>SUM(K16:K19)</f>
        <v>1</v>
      </c>
      <c r="L22" s="83"/>
      <c r="M22" s="82"/>
    </row>
    <row r="23" spans="1:23" ht="16.5" customHeight="1" thickBot="1" x14ac:dyDescent="0.3">
      <c r="A23" s="145" t="s">
        <v>182</v>
      </c>
      <c r="B23" s="218" t="s">
        <v>181</v>
      </c>
      <c r="C23" s="219"/>
      <c r="D23" s="219"/>
      <c r="E23" s="219"/>
      <c r="F23" s="219"/>
      <c r="G23" s="219"/>
      <c r="H23" s="220"/>
      <c r="I23" s="221" t="s">
        <v>180</v>
      </c>
      <c r="J23" s="222"/>
      <c r="K23" s="222"/>
      <c r="L23" s="222"/>
      <c r="M23" s="223"/>
    </row>
    <row r="24" spans="1:23" ht="63.75" thickBot="1" x14ac:dyDescent="0.3">
      <c r="A24" s="6"/>
      <c r="B24" s="80" t="s">
        <v>179</v>
      </c>
      <c r="C24" s="79" t="s">
        <v>178</v>
      </c>
      <c r="D24" s="79" t="s">
        <v>177</v>
      </c>
      <c r="E24" s="79" t="s">
        <v>176</v>
      </c>
      <c r="F24" s="80" t="s">
        <v>175</v>
      </c>
      <c r="G24" s="79" t="s">
        <v>174</v>
      </c>
      <c r="H24" s="144" t="s">
        <v>173</v>
      </c>
      <c r="I24" s="78" t="s">
        <v>172</v>
      </c>
      <c r="J24" s="77" t="s">
        <v>171</v>
      </c>
      <c r="K24" s="77" t="s">
        <v>170</v>
      </c>
      <c r="L24" s="77" t="s">
        <v>169</v>
      </c>
      <c r="M24" s="76" t="s">
        <v>168</v>
      </c>
      <c r="P24" s="169">
        <v>0.14000000000000001</v>
      </c>
      <c r="Q24" s="34" t="s">
        <v>139</v>
      </c>
      <c r="R24" s="169">
        <v>0.86</v>
      </c>
      <c r="S24" s="34" t="s">
        <v>139</v>
      </c>
      <c r="T24" s="169">
        <v>0.48</v>
      </c>
      <c r="U24" s="34" t="s">
        <v>139</v>
      </c>
      <c r="V24" s="156">
        <f>Tab_Def_Flows[[#This Row],[Flow_CC_DM'[%']]]*Tab_Def_Flows[[#This Row],[Flow_DM]]</f>
        <v>0</v>
      </c>
      <c r="W24" s="170" t="s">
        <v>140</v>
      </c>
    </row>
    <row r="25" spans="1:23" ht="27" customHeight="1" x14ac:dyDescent="0.25">
      <c r="A25" s="75" t="str">
        <f t="shared" ref="A25:A30" si="6">B5</f>
        <v>Atmosphere input</v>
      </c>
      <c r="B25" s="74">
        <v>1</v>
      </c>
      <c r="C25" s="72">
        <f>J16*B25</f>
        <v>297904.57</v>
      </c>
      <c r="D25" s="73">
        <f t="shared" ref="D25:D30" si="7">C25/$C$31</f>
        <v>1</v>
      </c>
      <c r="E25" s="72" t="s">
        <v>155</v>
      </c>
      <c r="F25" s="71">
        <f t="shared" ref="F25:F30" si="8">B25*E16</f>
        <v>0</v>
      </c>
      <c r="G25" s="70">
        <f t="shared" ref="G25:G30" si="9">B25*E16*B16</f>
        <v>0</v>
      </c>
      <c r="H25" s="69" t="e">
        <f t="shared" ref="H25:H30" si="10">G25/$G$31</f>
        <v>#DIV/0!</v>
      </c>
      <c r="I25" s="113">
        <f t="shared" ref="I25:I30" si="11">$A$12*C16</f>
        <v>412.79999855889423</v>
      </c>
      <c r="J25" s="112">
        <f t="shared" ref="J25:J30" si="12">I25*E16</f>
        <v>0</v>
      </c>
      <c r="K25" s="112">
        <f t="shared" ref="K25:K30" si="13">I25*I16</f>
        <v>412.79999855889423</v>
      </c>
      <c r="L25" s="112">
        <f t="shared" ref="L25:L30" si="14">SUM(J25:K25)</f>
        <v>412.79999855889423</v>
      </c>
      <c r="M25" s="111">
        <f t="shared" ref="M25:M30" si="15">I25*F25</f>
        <v>0</v>
      </c>
    </row>
    <row r="26" spans="1:23" ht="31.5" x14ac:dyDescent="0.25">
      <c r="A26" s="75" t="str">
        <f t="shared" si="6"/>
        <v>Environment Input</v>
      </c>
      <c r="B26" s="74">
        <v>0</v>
      </c>
      <c r="C26" s="72">
        <f>J17*B26</f>
        <v>0</v>
      </c>
      <c r="D26" s="73">
        <f t="shared" si="7"/>
        <v>0</v>
      </c>
      <c r="E26" s="72" t="s">
        <v>155</v>
      </c>
      <c r="F26" s="71">
        <f t="shared" si="8"/>
        <v>0</v>
      </c>
      <c r="G26" s="70">
        <f t="shared" si="9"/>
        <v>0</v>
      </c>
      <c r="H26" s="69" t="e">
        <f t="shared" si="10"/>
        <v>#DIV/0!</v>
      </c>
      <c r="I26" s="113">
        <f t="shared" si="11"/>
        <v>587.20000144110577</v>
      </c>
      <c r="J26" s="112">
        <f t="shared" si="12"/>
        <v>140.00000000000003</v>
      </c>
      <c r="K26" s="112">
        <f t="shared" si="13"/>
        <v>447.20000144110571</v>
      </c>
      <c r="L26" s="112">
        <f t="shared" si="14"/>
        <v>587.20000144110577</v>
      </c>
      <c r="M26" s="111">
        <f t="shared" si="15"/>
        <v>0</v>
      </c>
    </row>
    <row r="27" spans="1:23" ht="15.75" x14ac:dyDescent="0.25">
      <c r="A27" s="75" t="e">
        <f t="shared" si="6"/>
        <v>#REF!</v>
      </c>
      <c r="B27" s="74">
        <v>0</v>
      </c>
      <c r="C27" s="72">
        <f t="shared" ref="C27:C30" si="16">F18*B27</f>
        <v>0</v>
      </c>
      <c r="D27" s="73">
        <f t="shared" si="7"/>
        <v>0</v>
      </c>
      <c r="E27" s="72"/>
      <c r="F27" s="71">
        <f t="shared" si="8"/>
        <v>0</v>
      </c>
      <c r="G27" s="70">
        <f t="shared" si="9"/>
        <v>0</v>
      </c>
      <c r="H27" s="69" t="e">
        <f t="shared" si="10"/>
        <v>#DIV/0!</v>
      </c>
      <c r="I27" s="113">
        <f t="shared" si="11"/>
        <v>0</v>
      </c>
      <c r="J27" s="112">
        <f t="shared" si="12"/>
        <v>0</v>
      </c>
      <c r="K27" s="112">
        <f t="shared" si="13"/>
        <v>0</v>
      </c>
      <c r="L27" s="112">
        <f t="shared" si="14"/>
        <v>0</v>
      </c>
      <c r="M27" s="111">
        <f t="shared" si="15"/>
        <v>0</v>
      </c>
      <c r="Q27">
        <v>0.76158038205651879</v>
      </c>
    </row>
    <row r="28" spans="1:23" ht="15.75" x14ac:dyDescent="0.25">
      <c r="A28" s="75" t="e">
        <f t="shared" si="6"/>
        <v>#REF!</v>
      </c>
      <c r="B28" s="74">
        <v>0</v>
      </c>
      <c r="C28" s="72">
        <f t="shared" si="16"/>
        <v>0</v>
      </c>
      <c r="D28" s="73">
        <f t="shared" si="7"/>
        <v>0</v>
      </c>
      <c r="E28" s="72"/>
      <c r="F28" s="71">
        <f t="shared" si="8"/>
        <v>0</v>
      </c>
      <c r="G28" s="70">
        <f t="shared" si="9"/>
        <v>0</v>
      </c>
      <c r="H28" s="69" t="e">
        <f t="shared" si="10"/>
        <v>#DIV/0!</v>
      </c>
      <c r="I28" s="113">
        <f t="shared" si="11"/>
        <v>0</v>
      </c>
      <c r="J28" s="112">
        <f t="shared" si="12"/>
        <v>0</v>
      </c>
      <c r="K28" s="112">
        <f t="shared" si="13"/>
        <v>0</v>
      </c>
      <c r="L28" s="112">
        <f t="shared" si="14"/>
        <v>0</v>
      </c>
      <c r="M28" s="111">
        <f t="shared" si="15"/>
        <v>0</v>
      </c>
    </row>
    <row r="29" spans="1:23" ht="15.75" x14ac:dyDescent="0.25">
      <c r="A29" s="75" t="e">
        <f t="shared" si="6"/>
        <v>#REF!</v>
      </c>
      <c r="B29" s="74">
        <v>0</v>
      </c>
      <c r="C29" s="72">
        <f t="shared" si="16"/>
        <v>0</v>
      </c>
      <c r="D29" s="73">
        <f t="shared" si="7"/>
        <v>0</v>
      </c>
      <c r="E29" s="72"/>
      <c r="F29" s="71">
        <f t="shared" si="8"/>
        <v>0</v>
      </c>
      <c r="G29" s="70">
        <f t="shared" si="9"/>
        <v>0</v>
      </c>
      <c r="H29" s="69" t="e">
        <f t="shared" si="10"/>
        <v>#DIV/0!</v>
      </c>
      <c r="I29" s="113">
        <f t="shared" si="11"/>
        <v>0</v>
      </c>
      <c r="J29" s="112">
        <f t="shared" si="12"/>
        <v>0</v>
      </c>
      <c r="K29" s="112">
        <f t="shared" si="13"/>
        <v>0</v>
      </c>
      <c r="L29" s="112">
        <f t="shared" si="14"/>
        <v>0</v>
      </c>
      <c r="M29" s="111">
        <f t="shared" si="15"/>
        <v>0</v>
      </c>
    </row>
    <row r="30" spans="1:23" ht="16.5" thickBot="1" x14ac:dyDescent="0.3">
      <c r="A30" s="75">
        <f t="shared" si="6"/>
        <v>0</v>
      </c>
      <c r="B30" s="74">
        <v>0</v>
      </c>
      <c r="C30" s="72">
        <f t="shared" si="16"/>
        <v>0</v>
      </c>
      <c r="D30" s="73">
        <f t="shared" si="7"/>
        <v>0</v>
      </c>
      <c r="E30" s="72"/>
      <c r="F30" s="71">
        <f t="shared" si="8"/>
        <v>0</v>
      </c>
      <c r="G30" s="70">
        <f t="shared" si="9"/>
        <v>0</v>
      </c>
      <c r="H30" s="69" t="e">
        <f t="shared" si="10"/>
        <v>#DIV/0!</v>
      </c>
      <c r="I30" s="113">
        <f t="shared" si="11"/>
        <v>0</v>
      </c>
      <c r="J30" s="112">
        <f t="shared" si="12"/>
        <v>0</v>
      </c>
      <c r="K30" s="112">
        <f t="shared" si="13"/>
        <v>0</v>
      </c>
      <c r="L30" s="112">
        <f t="shared" si="14"/>
        <v>0</v>
      </c>
      <c r="M30" s="111">
        <f t="shared" si="15"/>
        <v>0</v>
      </c>
    </row>
    <row r="31" spans="1:23" ht="16.5" thickBot="1" x14ac:dyDescent="0.3">
      <c r="A31" s="65" t="s">
        <v>157</v>
      </c>
      <c r="B31" s="64">
        <f>C31/F22</f>
        <v>2.9485714182778153</v>
      </c>
      <c r="C31" s="62">
        <f>SUM(C25:C30)</f>
        <v>297904.57</v>
      </c>
      <c r="D31" s="110">
        <f>SUM(D24:D30)</f>
        <v>1</v>
      </c>
      <c r="E31" s="62"/>
      <c r="F31" s="109">
        <f>G31/B22</f>
        <v>0</v>
      </c>
      <c r="G31" s="60">
        <f t="shared" ref="G31:M31" si="17">SUM(G25:G30)</f>
        <v>0</v>
      </c>
      <c r="H31" s="59" t="e">
        <f t="shared" si="17"/>
        <v>#DIV/0!</v>
      </c>
      <c r="I31" s="58">
        <f t="shared" si="17"/>
        <v>1000</v>
      </c>
      <c r="J31" s="57">
        <f t="shared" si="17"/>
        <v>140.00000000000003</v>
      </c>
      <c r="K31" s="57">
        <f t="shared" si="17"/>
        <v>860</v>
      </c>
      <c r="L31" s="57">
        <f t="shared" si="17"/>
        <v>1000</v>
      </c>
      <c r="M31" s="56">
        <f t="shared" si="17"/>
        <v>0</v>
      </c>
    </row>
    <row r="32" spans="1:23" ht="16.5" thickBot="1" x14ac:dyDescent="0.3">
      <c r="A32" s="238" t="s">
        <v>195</v>
      </c>
      <c r="B32" s="239"/>
      <c r="C32" s="239"/>
      <c r="D32" s="239"/>
      <c r="E32" s="239"/>
      <c r="F32" s="239"/>
      <c r="G32" s="239"/>
      <c r="H32" s="239"/>
      <c r="I32" s="239"/>
      <c r="J32" s="239"/>
      <c r="K32" s="239"/>
      <c r="L32" s="239"/>
      <c r="M32" s="240"/>
    </row>
    <row r="33" spans="1:18" ht="16.5" customHeight="1" thickBot="1" x14ac:dyDescent="0.3">
      <c r="A33" s="81" t="s">
        <v>182</v>
      </c>
      <c r="B33" s="241" t="s">
        <v>194</v>
      </c>
      <c r="C33" s="242"/>
      <c r="D33" s="243"/>
      <c r="E33" s="244" t="s">
        <v>193</v>
      </c>
      <c r="F33" s="245"/>
      <c r="G33" s="245"/>
      <c r="H33" s="246"/>
      <c r="I33" s="247" t="s">
        <v>192</v>
      </c>
      <c r="J33" s="248"/>
      <c r="K33" s="248"/>
      <c r="L33" s="248"/>
      <c r="M33" s="249"/>
    </row>
    <row r="34" spans="1:18" ht="62.25" customHeight="1" thickBot="1" x14ac:dyDescent="0.3">
      <c r="A34" s="42"/>
      <c r="B34" s="55" t="s">
        <v>191</v>
      </c>
      <c r="C34" s="108" t="s">
        <v>190</v>
      </c>
      <c r="D34" s="107" t="s">
        <v>183</v>
      </c>
      <c r="E34" s="106" t="s">
        <v>189</v>
      </c>
      <c r="F34" s="54" t="s">
        <v>188</v>
      </c>
      <c r="G34" s="54" t="s">
        <v>187</v>
      </c>
      <c r="H34" s="105" t="s">
        <v>183</v>
      </c>
      <c r="I34" s="104" t="s">
        <v>186</v>
      </c>
      <c r="J34" s="53" t="s">
        <v>185</v>
      </c>
      <c r="K34" s="53" t="s">
        <v>184</v>
      </c>
      <c r="L34" s="53" t="s">
        <v>183</v>
      </c>
      <c r="M34" s="103"/>
    </row>
    <row r="35" spans="1:18" ht="15.75" x14ac:dyDescent="0.25">
      <c r="A35" s="75" t="e">
        <f t="shared" ref="A35:A40" si="18">F5</f>
        <v>#REF!</v>
      </c>
      <c r="B35" s="51">
        <f>B22</f>
        <v>721668.05</v>
      </c>
      <c r="C35" s="102">
        <f t="shared" ref="C35:C40" si="19">B35/$B$41</f>
        <v>1</v>
      </c>
      <c r="D35" s="101" t="s">
        <v>155</v>
      </c>
      <c r="E35" s="100">
        <v>0.14000000000000001</v>
      </c>
      <c r="F35" s="50">
        <f>E35*B35</f>
        <v>101033.52700000002</v>
      </c>
      <c r="G35" s="99">
        <f t="shared" ref="G35:G40" si="20">F35/$F$41</f>
        <v>1</v>
      </c>
      <c r="H35" s="98" t="s">
        <v>155</v>
      </c>
      <c r="I35" s="97">
        <f>1-E35</f>
        <v>0.86</v>
      </c>
      <c r="J35" s="49">
        <f t="shared" ref="J35:J40" si="21">I35*B35</f>
        <v>620634.52300000004</v>
      </c>
      <c r="K35" s="96">
        <f>J35/$J$41</f>
        <v>1</v>
      </c>
      <c r="L35" s="95" t="s">
        <v>155</v>
      </c>
      <c r="M35" s="94"/>
      <c r="R35">
        <f>C54/B17</f>
        <v>0.23841961794348115</v>
      </c>
    </row>
    <row r="36" spans="1:18" ht="15.75" x14ac:dyDescent="0.25">
      <c r="A36" s="75" t="e">
        <f t="shared" si="18"/>
        <v>#REF!</v>
      </c>
      <c r="B36" s="51">
        <v>0</v>
      </c>
      <c r="C36" s="102">
        <f t="shared" si="19"/>
        <v>0</v>
      </c>
      <c r="D36" s="101" t="s">
        <v>155</v>
      </c>
      <c r="E36" s="100">
        <v>0</v>
      </c>
      <c r="F36" s="50">
        <f t="shared" ref="F36:F40" si="22">E36*B36</f>
        <v>0</v>
      </c>
      <c r="G36" s="99">
        <f t="shared" si="20"/>
        <v>0</v>
      </c>
      <c r="H36" s="98" t="s">
        <v>155</v>
      </c>
      <c r="I36" s="97">
        <f>1-E36</f>
        <v>1</v>
      </c>
      <c r="J36" s="49">
        <f t="shared" si="21"/>
        <v>0</v>
      </c>
      <c r="K36" s="96">
        <f>J36/$J$41</f>
        <v>0</v>
      </c>
      <c r="L36" s="95" t="s">
        <v>155</v>
      </c>
      <c r="M36" s="94"/>
    </row>
    <row r="37" spans="1:18" ht="15.75" x14ac:dyDescent="0.25">
      <c r="A37" s="75" t="e">
        <f t="shared" si="18"/>
        <v>#REF!</v>
      </c>
      <c r="B37" s="51">
        <v>0</v>
      </c>
      <c r="C37" s="102">
        <f t="shared" si="19"/>
        <v>0</v>
      </c>
      <c r="D37" s="101"/>
      <c r="E37" s="100">
        <v>0</v>
      </c>
      <c r="F37" s="50">
        <f t="shared" si="22"/>
        <v>0</v>
      </c>
      <c r="G37" s="99">
        <f t="shared" si="20"/>
        <v>0</v>
      </c>
      <c r="H37" s="98"/>
      <c r="I37" s="97">
        <f>1-E37</f>
        <v>1</v>
      </c>
      <c r="J37" s="49">
        <f t="shared" si="21"/>
        <v>0</v>
      </c>
      <c r="K37" s="96">
        <f>J37/$J$41</f>
        <v>0</v>
      </c>
      <c r="L37" s="95"/>
      <c r="M37" s="94"/>
    </row>
    <row r="38" spans="1:18" ht="15.75" x14ac:dyDescent="0.25">
      <c r="A38" s="75" t="e">
        <f t="shared" si="18"/>
        <v>#REF!</v>
      </c>
      <c r="B38" s="51"/>
      <c r="C38" s="102">
        <f t="shared" si="19"/>
        <v>0</v>
      </c>
      <c r="D38" s="101"/>
      <c r="E38" s="100"/>
      <c r="F38" s="50">
        <f t="shared" si="22"/>
        <v>0</v>
      </c>
      <c r="G38" s="99">
        <f t="shared" si="20"/>
        <v>0</v>
      </c>
      <c r="H38" s="98"/>
      <c r="I38" s="97"/>
      <c r="J38" s="49">
        <f t="shared" si="21"/>
        <v>0</v>
      </c>
      <c r="K38" s="96">
        <f>J38/$J$41</f>
        <v>0</v>
      </c>
      <c r="L38" s="95"/>
      <c r="M38" s="94"/>
    </row>
    <row r="39" spans="1:18" ht="15.75" x14ac:dyDescent="0.25">
      <c r="A39" s="75" t="e">
        <f t="shared" si="18"/>
        <v>#REF!</v>
      </c>
      <c r="B39" s="51"/>
      <c r="C39" s="102">
        <f t="shared" si="19"/>
        <v>0</v>
      </c>
      <c r="D39" s="101"/>
      <c r="E39" s="100"/>
      <c r="F39" s="50">
        <f t="shared" si="22"/>
        <v>0</v>
      </c>
      <c r="G39" s="99">
        <f t="shared" si="20"/>
        <v>0</v>
      </c>
      <c r="H39" s="98"/>
      <c r="I39" s="97"/>
      <c r="J39" s="49">
        <f t="shared" si="21"/>
        <v>0</v>
      </c>
      <c r="K39" s="96">
        <f>J39/$J$41</f>
        <v>0</v>
      </c>
      <c r="L39" s="95"/>
      <c r="M39" s="94"/>
    </row>
    <row r="40" spans="1:18" ht="16.5" thickBot="1" x14ac:dyDescent="0.3">
      <c r="A40" s="75">
        <f t="shared" si="18"/>
        <v>0</v>
      </c>
      <c r="B40" s="51"/>
      <c r="C40" s="102">
        <f t="shared" si="19"/>
        <v>0</v>
      </c>
      <c r="D40" s="101"/>
      <c r="E40" s="100"/>
      <c r="F40" s="50">
        <f t="shared" si="22"/>
        <v>0</v>
      </c>
      <c r="G40" s="99">
        <f t="shared" si="20"/>
        <v>0</v>
      </c>
      <c r="H40" s="98"/>
      <c r="I40" s="97"/>
      <c r="J40" s="49">
        <f t="shared" si="21"/>
        <v>0</v>
      </c>
      <c r="K40" s="96">
        <f>J40/$J$22</f>
        <v>0</v>
      </c>
      <c r="L40" s="95"/>
      <c r="M40" s="94"/>
    </row>
    <row r="41" spans="1:18" ht="16.5" thickBot="1" x14ac:dyDescent="0.3">
      <c r="A41" s="65" t="s">
        <v>157</v>
      </c>
      <c r="B41" s="93">
        <f>SUM(B35:B40)</f>
        <v>721668.05</v>
      </c>
      <c r="C41" s="92">
        <f>SUM(C35:C40)</f>
        <v>1</v>
      </c>
      <c r="D41" s="91"/>
      <c r="E41" s="90">
        <f>F41/B41</f>
        <v>0.14000000000000001</v>
      </c>
      <c r="F41" s="89">
        <f>SUM(F35:F40)</f>
        <v>101033.52700000002</v>
      </c>
      <c r="G41" s="88">
        <f>SUM(G35:G40)</f>
        <v>1</v>
      </c>
      <c r="H41" s="87"/>
      <c r="I41" s="86">
        <f>J41/B41</f>
        <v>0.86</v>
      </c>
      <c r="J41" s="85">
        <f>SUM(J35:J40)</f>
        <v>620634.52300000004</v>
      </c>
      <c r="K41" s="84">
        <f>SUM(K35:K40)</f>
        <v>1</v>
      </c>
      <c r="L41" s="83"/>
      <c r="M41" s="82"/>
    </row>
    <row r="42" spans="1:18" ht="16.5" customHeight="1" thickBot="1" x14ac:dyDescent="0.3">
      <c r="A42" s="145" t="s">
        <v>182</v>
      </c>
      <c r="B42" s="218" t="s">
        <v>181</v>
      </c>
      <c r="C42" s="219"/>
      <c r="D42" s="219"/>
      <c r="E42" s="219"/>
      <c r="F42" s="219"/>
      <c r="G42" s="219"/>
      <c r="H42" s="220"/>
      <c r="I42" s="221" t="s">
        <v>180</v>
      </c>
      <c r="J42" s="222"/>
      <c r="K42" s="222"/>
      <c r="L42" s="222"/>
      <c r="M42" s="223"/>
    </row>
    <row r="43" spans="1:18" ht="63.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18" ht="15.75" x14ac:dyDescent="0.25">
      <c r="A44" s="75" t="e">
        <f t="shared" ref="A44:A49" si="23">A35</f>
        <v>#REF!</v>
      </c>
      <c r="B44" s="74">
        <v>0.48</v>
      </c>
      <c r="C44" s="72">
        <f>J35*B44</f>
        <v>297904.57104000001</v>
      </c>
      <c r="D44" s="73">
        <f t="shared" ref="D44:D49" si="24">C44/$C$50</f>
        <v>1</v>
      </c>
      <c r="E44" s="72" t="s">
        <v>155</v>
      </c>
      <c r="F44" s="71">
        <f>B44*I35</f>
        <v>0.4128</v>
      </c>
      <c r="G44" s="70">
        <f>B44*I35*B35</f>
        <v>297904.57104000001</v>
      </c>
      <c r="H44" s="69">
        <f t="shared" ref="H44:H49" si="25">G44/$G$50</f>
        <v>1</v>
      </c>
      <c r="I44" s="68">
        <f t="shared" ref="I44:I49" si="26">$A$12*B58</f>
        <v>1000</v>
      </c>
      <c r="J44" s="67">
        <f t="shared" ref="J44:J49" si="27">I44*E35</f>
        <v>140</v>
      </c>
      <c r="K44" s="67">
        <f t="shared" ref="K44:K49" si="28">I44*I35</f>
        <v>860</v>
      </c>
      <c r="L44" s="67">
        <f t="shared" ref="L44:L49" si="29">SUM(J44:K44)</f>
        <v>1000</v>
      </c>
      <c r="M44" s="66">
        <f t="shared" ref="M44:M49" si="30">I44*F44</f>
        <v>412.8</v>
      </c>
    </row>
    <row r="45" spans="1:18" ht="15.75" x14ac:dyDescent="0.25">
      <c r="A45" s="75" t="e">
        <f t="shared" si="23"/>
        <v>#REF!</v>
      </c>
      <c r="B45" s="74">
        <v>0</v>
      </c>
      <c r="C45" s="72">
        <f t="shared" ref="C45:C49" si="31">F36*B45</f>
        <v>0</v>
      </c>
      <c r="D45" s="73">
        <f t="shared" si="24"/>
        <v>0</v>
      </c>
      <c r="E45" s="72" t="s">
        <v>155</v>
      </c>
      <c r="F45" s="71">
        <f t="shared" ref="F45:F49" si="32">B45*E36</f>
        <v>0</v>
      </c>
      <c r="G45" s="70">
        <f t="shared" ref="G45:G49" si="33">B45*E36*B36</f>
        <v>0</v>
      </c>
      <c r="H45" s="69">
        <f t="shared" si="25"/>
        <v>0</v>
      </c>
      <c r="I45" s="68">
        <f t="shared" si="26"/>
        <v>0</v>
      </c>
      <c r="J45" s="67">
        <f t="shared" si="27"/>
        <v>0</v>
      </c>
      <c r="K45" s="67">
        <f t="shared" si="28"/>
        <v>0</v>
      </c>
      <c r="L45" s="67">
        <f t="shared" si="29"/>
        <v>0</v>
      </c>
      <c r="M45" s="66">
        <f t="shared" si="30"/>
        <v>0</v>
      </c>
    </row>
    <row r="46" spans="1:18" ht="15.75" x14ac:dyDescent="0.25">
      <c r="A46" s="75" t="e">
        <f t="shared" si="23"/>
        <v>#REF!</v>
      </c>
      <c r="B46" s="74">
        <v>0</v>
      </c>
      <c r="C46" s="72">
        <f t="shared" si="31"/>
        <v>0</v>
      </c>
      <c r="D46" s="73">
        <f t="shared" si="24"/>
        <v>0</v>
      </c>
      <c r="E46" s="72" t="s">
        <v>155</v>
      </c>
      <c r="F46" s="71">
        <f t="shared" si="32"/>
        <v>0</v>
      </c>
      <c r="G46" s="70">
        <f t="shared" si="33"/>
        <v>0</v>
      </c>
      <c r="H46" s="69">
        <f t="shared" si="25"/>
        <v>0</v>
      </c>
      <c r="I46" s="68">
        <f t="shared" si="26"/>
        <v>0</v>
      </c>
      <c r="J46" s="67">
        <f t="shared" si="27"/>
        <v>0</v>
      </c>
      <c r="K46" s="67">
        <f t="shared" si="28"/>
        <v>0</v>
      </c>
      <c r="L46" s="67">
        <f t="shared" si="29"/>
        <v>0</v>
      </c>
      <c r="M46" s="66">
        <f t="shared" si="30"/>
        <v>0</v>
      </c>
    </row>
    <row r="47" spans="1:18" ht="15.75" x14ac:dyDescent="0.25">
      <c r="A47" s="75" t="e">
        <f t="shared" si="23"/>
        <v>#REF!</v>
      </c>
      <c r="B47" s="74"/>
      <c r="C47" s="72">
        <f t="shared" si="31"/>
        <v>0</v>
      </c>
      <c r="D47" s="73">
        <f t="shared" si="24"/>
        <v>0</v>
      </c>
      <c r="E47" s="72"/>
      <c r="F47" s="71">
        <f t="shared" si="32"/>
        <v>0</v>
      </c>
      <c r="G47" s="70">
        <f t="shared" si="33"/>
        <v>0</v>
      </c>
      <c r="H47" s="69">
        <f t="shared" si="25"/>
        <v>0</v>
      </c>
      <c r="I47" s="68">
        <f t="shared" si="26"/>
        <v>0</v>
      </c>
      <c r="J47" s="67">
        <f t="shared" si="27"/>
        <v>0</v>
      </c>
      <c r="K47" s="67">
        <f t="shared" si="28"/>
        <v>0</v>
      </c>
      <c r="L47" s="67">
        <f t="shared" si="29"/>
        <v>0</v>
      </c>
      <c r="M47" s="66">
        <f t="shared" si="30"/>
        <v>0</v>
      </c>
    </row>
    <row r="48" spans="1:18" ht="15.75" x14ac:dyDescent="0.25">
      <c r="A48" s="75" t="e">
        <f t="shared" si="23"/>
        <v>#REF!</v>
      </c>
      <c r="B48" s="74"/>
      <c r="C48" s="72">
        <f t="shared" si="31"/>
        <v>0</v>
      </c>
      <c r="D48" s="73">
        <f t="shared" si="24"/>
        <v>0</v>
      </c>
      <c r="E48" s="72"/>
      <c r="F48" s="71">
        <f t="shared" si="32"/>
        <v>0</v>
      </c>
      <c r="G48" s="70">
        <f t="shared" si="33"/>
        <v>0</v>
      </c>
      <c r="H48" s="69">
        <f t="shared" si="25"/>
        <v>0</v>
      </c>
      <c r="I48" s="68">
        <f t="shared" si="26"/>
        <v>0</v>
      </c>
      <c r="J48" s="67">
        <f t="shared" si="27"/>
        <v>0</v>
      </c>
      <c r="K48" s="67">
        <f t="shared" si="28"/>
        <v>0</v>
      </c>
      <c r="L48" s="67">
        <f t="shared" si="29"/>
        <v>0</v>
      </c>
      <c r="M48" s="66">
        <f t="shared" si="30"/>
        <v>0</v>
      </c>
    </row>
    <row r="49" spans="1:17" ht="16.5" thickBot="1" x14ac:dyDescent="0.3">
      <c r="A49" s="75">
        <f t="shared" si="23"/>
        <v>0</v>
      </c>
      <c r="B49" s="74"/>
      <c r="C49" s="72">
        <f t="shared" si="31"/>
        <v>0</v>
      </c>
      <c r="D49" s="73">
        <f t="shared" si="24"/>
        <v>0</v>
      </c>
      <c r="E49" s="72"/>
      <c r="F49" s="71">
        <f t="shared" si="32"/>
        <v>0</v>
      </c>
      <c r="G49" s="70">
        <f t="shared" si="33"/>
        <v>0</v>
      </c>
      <c r="H49" s="69">
        <f t="shared" si="25"/>
        <v>0</v>
      </c>
      <c r="I49" s="68">
        <f t="shared" si="26"/>
        <v>0</v>
      </c>
      <c r="J49" s="67">
        <f t="shared" si="27"/>
        <v>0</v>
      </c>
      <c r="K49" s="67">
        <f t="shared" si="28"/>
        <v>0</v>
      </c>
      <c r="L49" s="67">
        <f t="shared" si="29"/>
        <v>0</v>
      </c>
      <c r="M49" s="66">
        <f t="shared" si="30"/>
        <v>0</v>
      </c>
      <c r="Q49" s="171"/>
    </row>
    <row r="50" spans="1:17" ht="16.5" thickBot="1" x14ac:dyDescent="0.3">
      <c r="A50" s="65" t="s">
        <v>157</v>
      </c>
      <c r="B50" s="64">
        <f>C50/F41</f>
        <v>2.9485714285714284</v>
      </c>
      <c r="C50" s="62">
        <f>SUM(C44:C49)</f>
        <v>297904.57104000001</v>
      </c>
      <c r="D50" s="63">
        <f>SUM(D44:D49)</f>
        <v>1</v>
      </c>
      <c r="E50" s="62"/>
      <c r="F50" s="61">
        <f>G50/B41</f>
        <v>0.4128</v>
      </c>
      <c r="G50" s="60">
        <f t="shared" ref="G50:M50" si="34">SUM(G44:G49)</f>
        <v>297904.57104000001</v>
      </c>
      <c r="H50" s="59">
        <f t="shared" si="34"/>
        <v>1</v>
      </c>
      <c r="I50" s="58">
        <f t="shared" si="34"/>
        <v>1000</v>
      </c>
      <c r="J50" s="57">
        <f t="shared" si="34"/>
        <v>140</v>
      </c>
      <c r="K50" s="57">
        <f t="shared" si="34"/>
        <v>860</v>
      </c>
      <c r="L50" s="57">
        <f t="shared" si="34"/>
        <v>1000</v>
      </c>
      <c r="M50" s="56">
        <f t="shared" si="34"/>
        <v>412.8</v>
      </c>
    </row>
    <row r="51" spans="1:17" ht="15.75" thickBot="1" x14ac:dyDescent="0.3">
      <c r="A51" s="250" t="s">
        <v>167</v>
      </c>
      <c r="B51" s="251"/>
      <c r="C51" s="251"/>
      <c r="D51" s="251"/>
      <c r="E51" s="252"/>
      <c r="F51" s="253" t="s">
        <v>166</v>
      </c>
      <c r="G51" s="254"/>
      <c r="H51" s="254"/>
      <c r="I51" s="254"/>
      <c r="J51" s="254"/>
      <c r="K51" s="254"/>
      <c r="L51" s="254"/>
      <c r="M51" s="255"/>
    </row>
    <row r="52" spans="1:17" ht="16.5" thickBot="1" x14ac:dyDescent="0.3">
      <c r="A52" s="4" t="s">
        <v>165</v>
      </c>
      <c r="B52" s="55" t="s">
        <v>164</v>
      </c>
      <c r="C52" s="54" t="s">
        <v>137</v>
      </c>
      <c r="D52" s="53" t="s">
        <v>136</v>
      </c>
      <c r="E52" s="52" t="s">
        <v>163</v>
      </c>
      <c r="F52" s="200"/>
      <c r="G52" s="200"/>
      <c r="H52" s="200"/>
      <c r="I52" s="200"/>
      <c r="J52" s="200"/>
      <c r="K52" s="200"/>
      <c r="L52" s="200"/>
      <c r="M52" s="256"/>
    </row>
    <row r="53" spans="1:17" ht="15.75" x14ac:dyDescent="0.25">
      <c r="A53" s="5" t="s">
        <v>162</v>
      </c>
      <c r="B53" s="51">
        <f>B22</f>
        <v>721668.05</v>
      </c>
      <c r="C53" s="50">
        <f>F22</f>
        <v>101033.52700000002</v>
      </c>
      <c r="D53" s="49">
        <f>J22</f>
        <v>620634.52299999993</v>
      </c>
      <c r="E53" s="48">
        <f>C31</f>
        <v>297904.57</v>
      </c>
      <c r="F53" s="200"/>
      <c r="G53" s="200"/>
      <c r="H53" s="200"/>
      <c r="I53" s="200"/>
      <c r="J53" s="200"/>
      <c r="K53" s="200"/>
      <c r="L53" s="200"/>
      <c r="M53" s="256"/>
    </row>
    <row r="54" spans="1:17" ht="16.5" thickBot="1" x14ac:dyDescent="0.3">
      <c r="A54" s="5" t="s">
        <v>161</v>
      </c>
      <c r="B54" s="51">
        <f>B41</f>
        <v>721668.05</v>
      </c>
      <c r="C54" s="50">
        <f>F41</f>
        <v>101033.52700000002</v>
      </c>
      <c r="D54" s="49">
        <f>J41</f>
        <v>620634.52300000004</v>
      </c>
      <c r="E54" s="48">
        <f>C50</f>
        <v>297904.57104000001</v>
      </c>
      <c r="F54" s="200"/>
      <c r="G54" s="200"/>
      <c r="H54" s="200"/>
      <c r="I54" s="200"/>
      <c r="J54" s="200"/>
      <c r="K54" s="200"/>
      <c r="L54" s="200"/>
      <c r="M54" s="256"/>
    </row>
    <row r="55" spans="1:17" ht="15.75" x14ac:dyDescent="0.25">
      <c r="A55" s="4" t="s">
        <v>160</v>
      </c>
      <c r="B55" s="140">
        <f>B53-B54</f>
        <v>0</v>
      </c>
      <c r="C55" s="141">
        <f>C53-C54</f>
        <v>0</v>
      </c>
      <c r="D55" s="142">
        <f>D53-D54</f>
        <v>0</v>
      </c>
      <c r="E55" s="143">
        <f>E53-E54</f>
        <v>-1.0400000028312206E-3</v>
      </c>
      <c r="F55" s="200"/>
      <c r="G55" s="200"/>
      <c r="H55" s="200"/>
      <c r="I55" s="200"/>
      <c r="J55" s="200"/>
      <c r="K55" s="200"/>
      <c r="L55" s="200"/>
      <c r="M55" s="256"/>
    </row>
    <row r="56" spans="1:17" ht="16.5" thickBot="1" x14ac:dyDescent="0.3">
      <c r="A56" s="6" t="s">
        <v>159</v>
      </c>
      <c r="B56" s="47">
        <f>B53/B54</f>
        <v>1</v>
      </c>
      <c r="C56" s="45">
        <f>C53/C54</f>
        <v>1</v>
      </c>
      <c r="D56" s="44">
        <f>D53/D54</f>
        <v>0.99999999999999978</v>
      </c>
      <c r="E56" s="43">
        <f>E53/E54</f>
        <v>0.99999999650894911</v>
      </c>
      <c r="F56" s="200"/>
      <c r="G56" s="200"/>
      <c r="H56" s="200"/>
      <c r="I56" s="200"/>
      <c r="J56" s="200"/>
      <c r="K56" s="200"/>
      <c r="L56" s="200"/>
      <c r="M56" s="256"/>
    </row>
    <row r="57" spans="1:17" ht="15.75" thickBot="1" x14ac:dyDescent="0.3">
      <c r="A57" s="250" t="s">
        <v>158</v>
      </c>
      <c r="B57" s="251"/>
      <c r="C57" s="251"/>
      <c r="D57" s="251"/>
      <c r="E57" s="252"/>
      <c r="F57" s="200"/>
      <c r="G57" s="200"/>
      <c r="H57" s="200"/>
      <c r="I57" s="200"/>
      <c r="J57" s="200"/>
      <c r="K57" s="200"/>
      <c r="L57" s="200"/>
      <c r="M57" s="256"/>
    </row>
    <row r="58" spans="1:17" ht="16.5" thickBot="1" x14ac:dyDescent="0.3">
      <c r="A58" s="42" t="e">
        <f t="shared" ref="A58:A63" si="35">A44</f>
        <v>#REF!</v>
      </c>
      <c r="B58" s="41">
        <f t="shared" ref="B58:B63" si="36">(B35*$C$41)/($B$22*$C$22)</f>
        <v>1</v>
      </c>
      <c r="C58" s="40">
        <f>(E35*B35)/($B$22*$E$22)</f>
        <v>1</v>
      </c>
      <c r="D58" s="39">
        <f t="shared" ref="D58:D63" si="37">(I35*B35)/($B$22*$I$22)</f>
        <v>1.0000000000000002</v>
      </c>
      <c r="E58" s="38" t="e">
        <f t="shared" ref="E58:E63" si="38">(F44*B35)/($B$22*$F$31)</f>
        <v>#DIV/0!</v>
      </c>
      <c r="F58" s="200"/>
      <c r="G58" s="200"/>
      <c r="H58" s="200"/>
      <c r="I58" s="200"/>
      <c r="J58" s="200"/>
      <c r="K58" s="200"/>
      <c r="L58" s="200"/>
      <c r="M58" s="256"/>
    </row>
    <row r="59" spans="1:17" ht="16.5" thickBot="1" x14ac:dyDescent="0.3">
      <c r="A59" s="6" t="e">
        <f t="shared" si="35"/>
        <v>#REF!</v>
      </c>
      <c r="B59" s="46">
        <f t="shared" si="36"/>
        <v>0</v>
      </c>
      <c r="C59" s="45">
        <f>(E36*B36)/($B$22*$E$22)</f>
        <v>0</v>
      </c>
      <c r="D59" s="44">
        <f t="shared" si="37"/>
        <v>0</v>
      </c>
      <c r="E59" s="43" t="e">
        <f t="shared" si="38"/>
        <v>#DIV/0!</v>
      </c>
      <c r="F59" s="200"/>
      <c r="G59" s="200"/>
      <c r="H59" s="200"/>
      <c r="I59" s="200"/>
      <c r="J59" s="200"/>
      <c r="K59" s="200"/>
      <c r="L59" s="200"/>
      <c r="M59" s="256"/>
    </row>
    <row r="60" spans="1:17" ht="16.5" thickBot="1" x14ac:dyDescent="0.3">
      <c r="A60" s="6" t="e">
        <f t="shared" si="35"/>
        <v>#REF!</v>
      </c>
      <c r="B60" s="46">
        <f t="shared" si="36"/>
        <v>0</v>
      </c>
      <c r="C60" s="45">
        <f>(E37*B37)/($B$22*$E$22)</f>
        <v>0</v>
      </c>
      <c r="D60" s="44">
        <f t="shared" si="37"/>
        <v>0</v>
      </c>
      <c r="E60" s="43" t="e">
        <f t="shared" si="38"/>
        <v>#DIV/0!</v>
      </c>
      <c r="F60" s="200"/>
      <c r="G60" s="200"/>
      <c r="H60" s="200"/>
      <c r="I60" s="200"/>
      <c r="J60" s="200"/>
      <c r="K60" s="200"/>
      <c r="L60" s="200"/>
      <c r="M60" s="256"/>
    </row>
    <row r="61" spans="1:17" ht="16.5" thickBot="1" x14ac:dyDescent="0.3">
      <c r="A61" s="6" t="e">
        <f t="shared" si="35"/>
        <v>#REF!</v>
      </c>
      <c r="B61" s="46">
        <f t="shared" si="36"/>
        <v>0</v>
      </c>
      <c r="C61" s="45">
        <f>($G$41*F38)/($B$22*$E$22)</f>
        <v>0</v>
      </c>
      <c r="D61" s="44">
        <f t="shared" si="37"/>
        <v>0</v>
      </c>
      <c r="E61" s="43" t="e">
        <f t="shared" si="38"/>
        <v>#DIV/0!</v>
      </c>
      <c r="F61" s="200"/>
      <c r="G61" s="200"/>
      <c r="H61" s="200"/>
      <c r="I61" s="200"/>
      <c r="J61" s="200"/>
      <c r="K61" s="200"/>
      <c r="L61" s="200"/>
      <c r="M61" s="256"/>
    </row>
    <row r="62" spans="1:17" ht="16.5" thickBot="1" x14ac:dyDescent="0.3">
      <c r="A62" s="6" t="e">
        <f t="shared" si="35"/>
        <v>#REF!</v>
      </c>
      <c r="B62" s="46">
        <f t="shared" si="36"/>
        <v>0</v>
      </c>
      <c r="C62" s="45">
        <f>(B39*E39)/($B$22*$E$22)</f>
        <v>0</v>
      </c>
      <c r="D62" s="44">
        <f t="shared" si="37"/>
        <v>0</v>
      </c>
      <c r="E62" s="43" t="e">
        <f t="shared" si="38"/>
        <v>#DIV/0!</v>
      </c>
      <c r="F62" s="200"/>
      <c r="G62" s="200"/>
      <c r="H62" s="200"/>
      <c r="I62" s="200"/>
      <c r="J62" s="200"/>
      <c r="K62" s="200"/>
      <c r="L62" s="200"/>
      <c r="M62" s="256"/>
    </row>
    <row r="63" spans="1:17" ht="16.5" thickBot="1" x14ac:dyDescent="0.3">
      <c r="A63" s="6">
        <f t="shared" si="35"/>
        <v>0</v>
      </c>
      <c r="B63" s="46">
        <f t="shared" si="36"/>
        <v>0</v>
      </c>
      <c r="C63" s="45">
        <f>(B40*E40)/($B$22*$E$22)</f>
        <v>0</v>
      </c>
      <c r="D63" s="44">
        <f t="shared" si="37"/>
        <v>0</v>
      </c>
      <c r="E63" s="43" t="e">
        <f t="shared" si="38"/>
        <v>#DIV/0!</v>
      </c>
      <c r="F63" s="200"/>
      <c r="G63" s="200"/>
      <c r="H63" s="200"/>
      <c r="I63" s="200"/>
      <c r="J63" s="200"/>
      <c r="K63" s="200"/>
      <c r="L63" s="200"/>
      <c r="M63" s="256"/>
    </row>
    <row r="64" spans="1:17" ht="16.5" thickBot="1" x14ac:dyDescent="0.3">
      <c r="A64" s="4" t="s">
        <v>157</v>
      </c>
      <c r="B64" s="136">
        <f>SUM(B58:B63)</f>
        <v>1</v>
      </c>
      <c r="C64" s="137">
        <f>SUM(C58:C63)</f>
        <v>1</v>
      </c>
      <c r="D64" s="138">
        <f>SUM(D58:D63)</f>
        <v>1.0000000000000002</v>
      </c>
      <c r="E64" s="139" t="e">
        <f>SUM(E58:E63)</f>
        <v>#DIV/0!</v>
      </c>
      <c r="F64" s="200"/>
      <c r="G64" s="200"/>
      <c r="H64" s="200"/>
      <c r="I64" s="200"/>
      <c r="J64" s="200"/>
      <c r="K64" s="200"/>
      <c r="L64" s="200"/>
      <c r="M64" s="256"/>
    </row>
    <row r="65" spans="1:13" ht="16.5" thickBot="1" x14ac:dyDescent="0.3">
      <c r="A65" s="226" t="s">
        <v>156</v>
      </c>
      <c r="B65" s="227"/>
      <c r="C65" s="227"/>
      <c r="D65" s="227"/>
      <c r="E65" s="227"/>
      <c r="F65" s="227"/>
      <c r="G65" s="227"/>
      <c r="H65" s="227"/>
      <c r="I65" s="227"/>
      <c r="J65" s="227"/>
      <c r="K65" s="227"/>
      <c r="L65" s="227"/>
      <c r="M65" s="228"/>
    </row>
    <row r="66" spans="1:13" x14ac:dyDescent="0.25">
      <c r="A66" s="5" t="s">
        <v>155</v>
      </c>
      <c r="B66" s="257" t="s">
        <v>154</v>
      </c>
      <c r="C66" s="257"/>
      <c r="D66" s="257"/>
      <c r="E66" s="257"/>
      <c r="F66" s="257"/>
      <c r="G66" s="5" t="s">
        <v>153</v>
      </c>
      <c r="M66" s="37"/>
    </row>
    <row r="67" spans="1:13" ht="18.75" customHeight="1" x14ac:dyDescent="0.25">
      <c r="A67" s="5" t="s">
        <v>152</v>
      </c>
      <c r="B67" s="200" t="s">
        <v>139</v>
      </c>
      <c r="C67" s="200"/>
      <c r="D67" s="200"/>
      <c r="E67" s="200"/>
      <c r="F67" s="200"/>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1:H1"/>
    <mergeCell ref="J1:M1"/>
    <mergeCell ref="A2:M2"/>
    <mergeCell ref="A3:M3"/>
    <mergeCell ref="B4:D4"/>
    <mergeCell ref="E4:F4"/>
    <mergeCell ref="A11:M11"/>
    <mergeCell ref="A13:M13"/>
    <mergeCell ref="B5:D5"/>
    <mergeCell ref="F5:H5"/>
    <mergeCell ref="B6:D6"/>
    <mergeCell ref="F6:H6"/>
    <mergeCell ref="B7:D7"/>
    <mergeCell ref="F7:H7"/>
    <mergeCell ref="B8:D8"/>
    <mergeCell ref="F8:H8"/>
    <mergeCell ref="B9:D9"/>
    <mergeCell ref="F9:H9"/>
    <mergeCell ref="B10:D10"/>
    <mergeCell ref="F10:H10"/>
    <mergeCell ref="B14:D14"/>
    <mergeCell ref="E14:H14"/>
    <mergeCell ref="I14:M14"/>
    <mergeCell ref="A32:M32"/>
    <mergeCell ref="B33:D33"/>
    <mergeCell ref="E33:H33"/>
    <mergeCell ref="I33:M33"/>
    <mergeCell ref="B23:H23"/>
    <mergeCell ref="I23:M2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65" t="s">
        <v>31</v>
      </c>
    </row>
    <row r="7" spans="2:5" x14ac:dyDescent="0.25">
      <c r="B7" t="s">
        <v>352</v>
      </c>
      <c r="D7">
        <v>0.47399999999999998</v>
      </c>
      <c r="E7" s="166">
        <v>0.47399999999999998</v>
      </c>
    </row>
    <row r="8" spans="2:5" x14ac:dyDescent="0.25">
      <c r="B8" t="s">
        <v>353</v>
      </c>
      <c r="D8">
        <v>7.3850399999999941E-2</v>
      </c>
      <c r="E8" s="166">
        <v>7.3850399999999941E-2</v>
      </c>
    </row>
    <row r="9" spans="2:5" x14ac:dyDescent="0.25">
      <c r="B9" t="s">
        <v>354</v>
      </c>
      <c r="D9">
        <v>0.38923999999999964</v>
      </c>
      <c r="E9" s="166">
        <v>0.38923999999999964</v>
      </c>
    </row>
    <row r="10" spans="2:5" x14ac:dyDescent="0.25">
      <c r="B10" t="s">
        <v>355</v>
      </c>
      <c r="D10">
        <v>6.2909599999999954E-2</v>
      </c>
      <c r="E10" s="166">
        <v>6.2909599999999954E-2</v>
      </c>
    </row>
    <row r="11" spans="2:5" x14ac:dyDescent="0.25">
      <c r="D11">
        <f>SUM(D7:D10)</f>
        <v>0.99999999999999956</v>
      </c>
      <c r="E11" s="17">
        <f>SUM(E7:E10)</f>
        <v>0.99999999999999956</v>
      </c>
    </row>
    <row r="13" spans="2:5" x14ac:dyDescent="0.25">
      <c r="B13" t="s">
        <v>353</v>
      </c>
      <c r="D13">
        <v>7.3850399999999941E-2</v>
      </c>
      <c r="E13" s="166">
        <f>D13/$D$16</f>
        <v>0.1404</v>
      </c>
    </row>
    <row r="14" spans="2:5" x14ac:dyDescent="0.25">
      <c r="B14" t="s">
        <v>354</v>
      </c>
      <c r="D14">
        <v>0.38923999999999964</v>
      </c>
      <c r="E14" s="166">
        <f t="shared" ref="E14:E15" si="0">D14/$D$16</f>
        <v>0.73999999999999988</v>
      </c>
    </row>
    <row r="15" spans="2:5" x14ac:dyDescent="0.25">
      <c r="B15" t="s">
        <v>355</v>
      </c>
      <c r="D15">
        <v>6.2909599999999954E-2</v>
      </c>
      <c r="E15" s="166">
        <f t="shared" si="0"/>
        <v>0.11960000000000001</v>
      </c>
    </row>
    <row r="16" spans="2:5" x14ac:dyDescent="0.25">
      <c r="D16">
        <f>SUM(D13:D15)</f>
        <v>0.52599999999999958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50" zoomScaleNormal="100" workbookViewId="0">
      <selection activeCell="E56" sqref="E56"/>
    </sheetView>
  </sheetViews>
  <sheetFormatPr defaultColWidth="10.85546875" defaultRowHeight="15" x14ac:dyDescent="0.25"/>
  <cols>
    <col min="1" max="1" width="33.8554687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63" t="s">
        <v>263</v>
      </c>
      <c r="B1" s="263"/>
      <c r="C1" s="263"/>
      <c r="E1" s="263" t="s">
        <v>264</v>
      </c>
      <c r="F1" s="263"/>
      <c r="G1" s="263"/>
    </row>
    <row r="2" spans="1:12" x14ac:dyDescent="0.25">
      <c r="A2" s="13" t="s">
        <v>28</v>
      </c>
      <c r="B2" s="13" t="s">
        <v>29</v>
      </c>
      <c r="C2" s="13" t="s">
        <v>6</v>
      </c>
      <c r="E2" s="13" t="s">
        <v>28</v>
      </c>
      <c r="F2" s="13" t="s">
        <v>29</v>
      </c>
      <c r="G2" s="13" t="s">
        <v>6</v>
      </c>
      <c r="I2" s="13" t="s">
        <v>28</v>
      </c>
      <c r="J2" s="13" t="s">
        <v>29</v>
      </c>
      <c r="K2" s="13" t="s">
        <v>6</v>
      </c>
      <c r="L2" s="191"/>
    </row>
    <row r="3" spans="1:12" ht="105" x14ac:dyDescent="0.25">
      <c r="A3" s="3">
        <v>1</v>
      </c>
      <c r="B3" s="3" t="s">
        <v>162</v>
      </c>
      <c r="C3" s="3"/>
      <c r="E3" s="3">
        <v>1</v>
      </c>
      <c r="F3" s="3" t="s">
        <v>81</v>
      </c>
      <c r="G3" s="3" t="s">
        <v>83</v>
      </c>
      <c r="I3" s="3">
        <v>1</v>
      </c>
      <c r="J3" s="3" t="s">
        <v>671</v>
      </c>
      <c r="K3" s="193" t="s">
        <v>676</v>
      </c>
    </row>
    <row r="4" spans="1:12" ht="90" x14ac:dyDescent="0.25">
      <c r="A4" s="3">
        <v>2</v>
      </c>
      <c r="B4" s="3" t="s">
        <v>161</v>
      </c>
      <c r="C4" s="3"/>
      <c r="E4" s="3">
        <v>2</v>
      </c>
      <c r="F4" s="3" t="s">
        <v>82</v>
      </c>
      <c r="G4" s="3" t="s">
        <v>84</v>
      </c>
      <c r="I4">
        <v>2</v>
      </c>
      <c r="J4" t="s">
        <v>672</v>
      </c>
      <c r="K4" s="1" t="s">
        <v>677</v>
      </c>
    </row>
    <row r="5" spans="1:12" x14ac:dyDescent="0.25">
      <c r="A5">
        <v>3</v>
      </c>
      <c r="B5" t="s">
        <v>78</v>
      </c>
      <c r="E5" s="3">
        <v>3</v>
      </c>
      <c r="F5" s="3" t="s">
        <v>86</v>
      </c>
      <c r="G5" s="3" t="s">
        <v>87</v>
      </c>
      <c r="I5" s="3">
        <v>3</v>
      </c>
      <c r="J5" s="3"/>
      <c r="K5" s="3"/>
    </row>
    <row r="6" spans="1:12" x14ac:dyDescent="0.25">
      <c r="E6" s="3">
        <v>4</v>
      </c>
      <c r="F6" s="3" t="s">
        <v>80</v>
      </c>
      <c r="G6" s="3" t="s">
        <v>85</v>
      </c>
      <c r="I6">
        <v>4</v>
      </c>
    </row>
    <row r="7" spans="1:12" x14ac:dyDescent="0.25">
      <c r="I7" s="3">
        <v>5</v>
      </c>
      <c r="J7" s="3"/>
      <c r="K7" s="3"/>
    </row>
    <row r="9" spans="1:12" x14ac:dyDescent="0.25">
      <c r="A9" s="263" t="s">
        <v>265</v>
      </c>
      <c r="B9" s="263"/>
      <c r="C9" s="263"/>
    </row>
    <row r="10" spans="1:12" x14ac:dyDescent="0.25">
      <c r="A10" t="s">
        <v>28</v>
      </c>
      <c r="B10" t="s">
        <v>165</v>
      </c>
      <c r="C10" t="s">
        <v>6</v>
      </c>
      <c r="E10" s="263"/>
      <c r="F10" s="263"/>
      <c r="G10" s="263"/>
    </row>
    <row r="11" spans="1:12" x14ac:dyDescent="0.25">
      <c r="B11" t="s">
        <v>359</v>
      </c>
      <c r="E11" s="167"/>
      <c r="F11" s="167"/>
      <c r="G11" s="167"/>
    </row>
    <row r="12" spans="1:12" x14ac:dyDescent="0.25">
      <c r="B12" t="s">
        <v>369</v>
      </c>
      <c r="E12" s="167"/>
      <c r="F12" s="167"/>
      <c r="G12" s="167"/>
    </row>
    <row r="13" spans="1:12" x14ac:dyDescent="0.25">
      <c r="B13" t="s">
        <v>371</v>
      </c>
      <c r="E13" s="167"/>
      <c r="F13" s="167"/>
      <c r="G13" s="167"/>
    </row>
    <row r="14" spans="1:12" x14ac:dyDescent="0.25">
      <c r="B14" t="s">
        <v>370</v>
      </c>
      <c r="C14" t="s">
        <v>360</v>
      </c>
      <c r="E14" s="167"/>
      <c r="F14" s="167"/>
      <c r="G14" s="167"/>
    </row>
    <row r="15" spans="1:12" x14ac:dyDescent="0.25">
      <c r="B15" t="s">
        <v>372</v>
      </c>
      <c r="E15" s="167"/>
      <c r="F15" s="167"/>
      <c r="G15" s="167"/>
    </row>
    <row r="16" spans="1:12" x14ac:dyDescent="0.25">
      <c r="B16" t="s">
        <v>362</v>
      </c>
      <c r="E16" s="167"/>
      <c r="F16" s="167"/>
      <c r="G16" s="167"/>
    </row>
    <row r="17" spans="1:12" x14ac:dyDescent="0.25">
      <c r="B17" t="s">
        <v>368</v>
      </c>
      <c r="E17" s="167"/>
      <c r="F17" s="167"/>
      <c r="G17" s="167"/>
    </row>
    <row r="18" spans="1:12" x14ac:dyDescent="0.25">
      <c r="B18" t="s">
        <v>363</v>
      </c>
      <c r="E18" s="167"/>
      <c r="F18" s="167"/>
      <c r="G18" s="167"/>
    </row>
    <row r="19" spans="1:12" x14ac:dyDescent="0.25">
      <c r="E19" s="167"/>
      <c r="F19" s="167"/>
      <c r="G19" s="167"/>
    </row>
    <row r="20" spans="1:12" x14ac:dyDescent="0.25">
      <c r="A20" s="263" t="s">
        <v>366</v>
      </c>
      <c r="B20" s="263"/>
      <c r="C20" s="263"/>
    </row>
    <row r="21" spans="1:12" x14ac:dyDescent="0.25">
      <c r="A21" t="s">
        <v>235</v>
      </c>
      <c r="B21" t="s">
        <v>361</v>
      </c>
      <c r="C21" t="s">
        <v>6</v>
      </c>
    </row>
    <row r="22" spans="1:12" x14ac:dyDescent="0.25">
      <c r="A22" t="s">
        <v>370</v>
      </c>
      <c r="B22" t="s">
        <v>370</v>
      </c>
    </row>
    <row r="23" spans="1:12" x14ac:dyDescent="0.25">
      <c r="A23" t="s">
        <v>369</v>
      </c>
      <c r="B23" t="s">
        <v>369</v>
      </c>
    </row>
    <row r="24" spans="1:12" x14ac:dyDescent="0.25">
      <c r="A24" t="s">
        <v>372</v>
      </c>
      <c r="B24" t="s">
        <v>372</v>
      </c>
    </row>
    <row r="25" spans="1:12" x14ac:dyDescent="0.25">
      <c r="A25" t="s">
        <v>371</v>
      </c>
      <c r="B25" t="s">
        <v>371</v>
      </c>
    </row>
    <row r="26" spans="1:12" x14ac:dyDescent="0.25">
      <c r="A26" t="s">
        <v>364</v>
      </c>
      <c r="B26" t="s">
        <v>364</v>
      </c>
    </row>
    <row r="27" spans="1:12" x14ac:dyDescent="0.25">
      <c r="A27" t="s">
        <v>365</v>
      </c>
      <c r="B27" t="s">
        <v>365</v>
      </c>
    </row>
    <row r="28" spans="1:12" x14ac:dyDescent="0.25">
      <c r="J28" s="264" t="s">
        <v>50</v>
      </c>
      <c r="K28" s="264"/>
      <c r="L28" s="264"/>
    </row>
    <row r="29" spans="1:12" x14ac:dyDescent="0.25">
      <c r="J29" s="2" t="s">
        <v>28</v>
      </c>
      <c r="K29" s="2" t="s">
        <v>29</v>
      </c>
      <c r="L29" s="2" t="s">
        <v>6</v>
      </c>
    </row>
    <row r="30" spans="1:12" x14ac:dyDescent="0.25">
      <c r="J30" s="3">
        <v>1</v>
      </c>
      <c r="K30" s="3" t="s">
        <v>59</v>
      </c>
      <c r="L30" s="3" t="s">
        <v>59</v>
      </c>
    </row>
    <row r="31" spans="1:12" x14ac:dyDescent="0.25">
      <c r="A31" s="263" t="s">
        <v>266</v>
      </c>
      <c r="B31" s="263"/>
      <c r="C31" s="263"/>
      <c r="J31">
        <v>2</v>
      </c>
      <c r="K31" t="s">
        <v>13</v>
      </c>
      <c r="L31" t="s">
        <v>13</v>
      </c>
    </row>
    <row r="32" spans="1:12" x14ac:dyDescent="0.25">
      <c r="A32" t="s">
        <v>28</v>
      </c>
      <c r="B32" t="s">
        <v>267</v>
      </c>
      <c r="C32" t="s">
        <v>6</v>
      </c>
      <c r="J32" s="3">
        <v>3</v>
      </c>
      <c r="K32" s="3" t="s">
        <v>60</v>
      </c>
      <c r="L32" s="3" t="s">
        <v>60</v>
      </c>
    </row>
    <row r="33" spans="1:12" x14ac:dyDescent="0.25">
      <c r="A33">
        <v>1</v>
      </c>
      <c r="B33" t="s">
        <v>244</v>
      </c>
      <c r="C33" t="s">
        <v>268</v>
      </c>
      <c r="J33">
        <v>4</v>
      </c>
      <c r="K33" t="s">
        <v>61</v>
      </c>
      <c r="L33" t="s">
        <v>61</v>
      </c>
    </row>
    <row r="34" spans="1:12" x14ac:dyDescent="0.25">
      <c r="A34">
        <v>2</v>
      </c>
      <c r="B34" t="s">
        <v>245</v>
      </c>
      <c r="C34" t="s">
        <v>269</v>
      </c>
      <c r="J34" s="3">
        <v>5</v>
      </c>
      <c r="K34" s="3" t="s">
        <v>62</v>
      </c>
      <c r="L34" s="3" t="s">
        <v>62</v>
      </c>
    </row>
    <row r="35" spans="1:12" x14ac:dyDescent="0.25">
      <c r="A35">
        <v>3</v>
      </c>
      <c r="B35" t="s">
        <v>246</v>
      </c>
      <c r="C35" t="s">
        <v>270</v>
      </c>
    </row>
    <row r="36" spans="1:12" x14ac:dyDescent="0.25">
      <c r="A36">
        <v>4</v>
      </c>
    </row>
    <row r="38" spans="1:12" x14ac:dyDescent="0.25">
      <c r="A38" s="263" t="s">
        <v>271</v>
      </c>
      <c r="B38" s="263"/>
      <c r="C38" s="263"/>
    </row>
    <row r="39" spans="1:12" x14ac:dyDescent="0.25">
      <c r="A39" t="s">
        <v>235</v>
      </c>
      <c r="B39" t="s">
        <v>272</v>
      </c>
      <c r="C39" t="s">
        <v>6</v>
      </c>
    </row>
    <row r="40" spans="1:12" x14ac:dyDescent="0.25">
      <c r="A40">
        <v>1</v>
      </c>
      <c r="B40" t="s">
        <v>236</v>
      </c>
      <c r="F40" s="263" t="s">
        <v>51</v>
      </c>
      <c r="G40" s="263"/>
      <c r="H40" s="263"/>
    </row>
    <row r="41" spans="1:12" x14ac:dyDescent="0.25">
      <c r="A41">
        <v>2</v>
      </c>
      <c r="B41" t="s">
        <v>237</v>
      </c>
      <c r="F41" t="s">
        <v>28</v>
      </c>
      <c r="G41" t="s">
        <v>29</v>
      </c>
      <c r="H41" t="s">
        <v>6</v>
      </c>
    </row>
    <row r="42" spans="1:12" x14ac:dyDescent="0.25">
      <c r="A42">
        <v>3</v>
      </c>
      <c r="B42" t="s">
        <v>238</v>
      </c>
      <c r="F42">
        <v>1</v>
      </c>
      <c r="G42" t="s">
        <v>30</v>
      </c>
      <c r="H42" t="s">
        <v>30</v>
      </c>
    </row>
    <row r="43" spans="1:12" x14ac:dyDescent="0.25">
      <c r="A43">
        <v>4</v>
      </c>
      <c r="B43" t="s">
        <v>239</v>
      </c>
      <c r="F43">
        <v>2</v>
      </c>
      <c r="G43" t="s">
        <v>11</v>
      </c>
      <c r="H43" t="s">
        <v>11</v>
      </c>
    </row>
    <row r="44" spans="1:12" x14ac:dyDescent="0.25">
      <c r="A44">
        <v>5</v>
      </c>
      <c r="B44" t="s">
        <v>240</v>
      </c>
      <c r="F44">
        <v>3</v>
      </c>
      <c r="G44" t="s">
        <v>12</v>
      </c>
      <c r="H44" t="s">
        <v>12</v>
      </c>
    </row>
    <row r="45" spans="1:12" x14ac:dyDescent="0.25">
      <c r="A45">
        <v>6</v>
      </c>
      <c r="B45" t="s">
        <v>241</v>
      </c>
      <c r="F45">
        <v>4</v>
      </c>
      <c r="G45" t="s">
        <v>63</v>
      </c>
      <c r="H45" t="s">
        <v>63</v>
      </c>
    </row>
    <row r="46" spans="1:12" x14ac:dyDescent="0.25">
      <c r="A46">
        <v>7</v>
      </c>
      <c r="B46" t="s">
        <v>242</v>
      </c>
      <c r="F46">
        <v>5</v>
      </c>
    </row>
    <row r="47" spans="1:12" x14ac:dyDescent="0.25">
      <c r="A47">
        <v>8</v>
      </c>
      <c r="F47">
        <v>6</v>
      </c>
    </row>
    <row r="48" spans="1:12" x14ac:dyDescent="0.25">
      <c r="A48">
        <v>9</v>
      </c>
      <c r="F48">
        <v>7</v>
      </c>
    </row>
    <row r="49" spans="1:6" x14ac:dyDescent="0.25">
      <c r="F49">
        <v>8</v>
      </c>
    </row>
    <row r="51" spans="1:6" x14ac:dyDescent="0.25">
      <c r="A51" s="263" t="s">
        <v>723</v>
      </c>
      <c r="B51" s="263"/>
      <c r="E51" s="263" t="s">
        <v>722</v>
      </c>
      <c r="F51" s="263"/>
    </row>
    <row r="52" spans="1:6" x14ac:dyDescent="0.25">
      <c r="A52" t="s">
        <v>28</v>
      </c>
      <c r="B52" t="s">
        <v>32</v>
      </c>
      <c r="E52" t="s">
        <v>28</v>
      </c>
      <c r="F52" t="s">
        <v>719</v>
      </c>
    </row>
    <row r="53" spans="1:6" x14ac:dyDescent="0.25">
      <c r="A53">
        <v>1</v>
      </c>
      <c r="B53" t="s">
        <v>7</v>
      </c>
      <c r="E53">
        <v>1</v>
      </c>
      <c r="F53" t="s">
        <v>721</v>
      </c>
    </row>
    <row r="54" spans="1:6" x14ac:dyDescent="0.25">
      <c r="A54">
        <v>2</v>
      </c>
      <c r="B54" t="s">
        <v>8</v>
      </c>
      <c r="E54">
        <v>2</v>
      </c>
      <c r="F54" t="s">
        <v>720</v>
      </c>
    </row>
    <row r="55" spans="1:6" x14ac:dyDescent="0.25">
      <c r="E55">
        <v>3</v>
      </c>
      <c r="F55" t="s">
        <v>724</v>
      </c>
    </row>
    <row r="56" spans="1:6" x14ac:dyDescent="0.25">
      <c r="A56" t="s">
        <v>235</v>
      </c>
      <c r="B56" t="s">
        <v>272</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235</v>
      </c>
      <c r="B68" t="s">
        <v>345</v>
      </c>
      <c r="C68" t="s">
        <v>6</v>
      </c>
      <c r="E68" t="s">
        <v>235</v>
      </c>
      <c r="F68" t="s">
        <v>339</v>
      </c>
      <c r="G68" t="s">
        <v>6</v>
      </c>
      <c r="I68" t="s">
        <v>235</v>
      </c>
      <c r="J68" t="s">
        <v>340</v>
      </c>
      <c r="K68" t="s">
        <v>6</v>
      </c>
      <c r="M68" t="s">
        <v>235</v>
      </c>
      <c r="N68" t="s">
        <v>341</v>
      </c>
      <c r="O68" t="s">
        <v>6</v>
      </c>
      <c r="Q68" t="s">
        <v>235</v>
      </c>
      <c r="R68" t="s">
        <v>342</v>
      </c>
      <c r="S68" t="s">
        <v>6</v>
      </c>
      <c r="U68" t="s">
        <v>235</v>
      </c>
      <c r="V68" t="s">
        <v>346</v>
      </c>
      <c r="W68" t="s">
        <v>6</v>
      </c>
    </row>
    <row r="69" spans="1:23" x14ac:dyDescent="0.25">
      <c r="A69">
        <v>1</v>
      </c>
      <c r="B69" t="s">
        <v>347</v>
      </c>
      <c r="E69">
        <v>1</v>
      </c>
      <c r="F69" t="s">
        <v>330</v>
      </c>
      <c r="I69">
        <v>1</v>
      </c>
      <c r="J69" t="s">
        <v>332</v>
      </c>
      <c r="M69">
        <v>1</v>
      </c>
      <c r="N69" t="s">
        <v>334</v>
      </c>
      <c r="Q69">
        <v>1</v>
      </c>
      <c r="R69" t="s">
        <v>336</v>
      </c>
      <c r="U69">
        <v>1</v>
      </c>
      <c r="V69" t="s">
        <v>330</v>
      </c>
    </row>
    <row r="70" spans="1:23" x14ac:dyDescent="0.25">
      <c r="A70">
        <v>2</v>
      </c>
      <c r="B70" t="s">
        <v>350</v>
      </c>
      <c r="E70">
        <v>2</v>
      </c>
      <c r="F70" t="s">
        <v>331</v>
      </c>
      <c r="I70">
        <v>2</v>
      </c>
      <c r="J70" t="s">
        <v>333</v>
      </c>
      <c r="M70">
        <v>2</v>
      </c>
      <c r="N70" t="s">
        <v>335</v>
      </c>
      <c r="Q70">
        <v>2</v>
      </c>
      <c r="R70" t="s">
        <v>337</v>
      </c>
      <c r="U70">
        <v>2</v>
      </c>
      <c r="V70" t="s">
        <v>331</v>
      </c>
    </row>
    <row r="71" spans="1:23" x14ac:dyDescent="0.25">
      <c r="A71">
        <v>3</v>
      </c>
      <c r="B71" t="s">
        <v>348</v>
      </c>
      <c r="E71">
        <v>3</v>
      </c>
      <c r="I71">
        <v>3</v>
      </c>
      <c r="M71">
        <v>3</v>
      </c>
      <c r="Q71">
        <v>3</v>
      </c>
      <c r="R71" t="s">
        <v>338</v>
      </c>
      <c r="U71">
        <v>3</v>
      </c>
      <c r="V71" t="s">
        <v>332</v>
      </c>
    </row>
    <row r="72" spans="1:23" x14ac:dyDescent="0.25">
      <c r="A72">
        <v>4</v>
      </c>
      <c r="B72" t="s">
        <v>349</v>
      </c>
      <c r="E72">
        <v>4</v>
      </c>
      <c r="I72">
        <v>4</v>
      </c>
      <c r="M72">
        <v>4</v>
      </c>
      <c r="Q72">
        <v>4</v>
      </c>
      <c r="U72">
        <v>4</v>
      </c>
      <c r="V72" t="s">
        <v>333</v>
      </c>
    </row>
    <row r="73" spans="1:23" x14ac:dyDescent="0.25">
      <c r="A73">
        <v>5</v>
      </c>
      <c r="B73" t="s">
        <v>351</v>
      </c>
      <c r="E73">
        <v>5</v>
      </c>
      <c r="I73">
        <v>5</v>
      </c>
      <c r="M73">
        <v>5</v>
      </c>
      <c r="Q73">
        <v>5</v>
      </c>
      <c r="U73">
        <v>5</v>
      </c>
      <c r="V73" t="s">
        <v>334</v>
      </c>
    </row>
    <row r="74" spans="1:23" x14ac:dyDescent="0.25">
      <c r="A74">
        <v>6</v>
      </c>
      <c r="E74">
        <v>6</v>
      </c>
      <c r="I74">
        <v>6</v>
      </c>
      <c r="M74">
        <v>6</v>
      </c>
      <c r="Q74">
        <v>6</v>
      </c>
      <c r="U74">
        <v>6</v>
      </c>
      <c r="V74" t="s">
        <v>335</v>
      </c>
    </row>
    <row r="75" spans="1:23" x14ac:dyDescent="0.25">
      <c r="A75">
        <v>7</v>
      </c>
      <c r="E75">
        <v>7</v>
      </c>
      <c r="I75">
        <v>7</v>
      </c>
      <c r="M75">
        <v>7</v>
      </c>
      <c r="Q75">
        <v>7</v>
      </c>
      <c r="U75">
        <v>7</v>
      </c>
      <c r="V75" t="s">
        <v>336</v>
      </c>
    </row>
    <row r="76" spans="1:23" x14ac:dyDescent="0.25">
      <c r="A76">
        <v>8</v>
      </c>
      <c r="E76">
        <v>8</v>
      </c>
      <c r="I76">
        <v>8</v>
      </c>
      <c r="M76">
        <v>8</v>
      </c>
      <c r="Q76">
        <v>8</v>
      </c>
      <c r="U76">
        <v>8</v>
      </c>
      <c r="V76" t="s">
        <v>337</v>
      </c>
    </row>
    <row r="77" spans="1:23" x14ac:dyDescent="0.25">
      <c r="A77">
        <v>9</v>
      </c>
      <c r="E77">
        <v>9</v>
      </c>
      <c r="I77">
        <v>9</v>
      </c>
      <c r="M77">
        <v>9</v>
      </c>
      <c r="Q77">
        <v>9</v>
      </c>
      <c r="U77">
        <v>9</v>
      </c>
      <c r="V77" t="s">
        <v>338</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235</v>
      </c>
      <c r="B88" t="s">
        <v>378</v>
      </c>
      <c r="C88" t="s">
        <v>6</v>
      </c>
    </row>
    <row r="89" spans="1:21" x14ac:dyDescent="0.25">
      <c r="A89">
        <v>1</v>
      </c>
      <c r="B89" t="s">
        <v>375</v>
      </c>
      <c r="C89" t="s">
        <v>379</v>
      </c>
    </row>
    <row r="90" spans="1:21" ht="135" x14ac:dyDescent="0.25">
      <c r="A90">
        <v>2</v>
      </c>
      <c r="B90" t="s">
        <v>381</v>
      </c>
      <c r="C90" s="1" t="s">
        <v>380</v>
      </c>
    </row>
    <row r="91" spans="1:21" ht="75" x14ac:dyDescent="0.25">
      <c r="A91">
        <v>3</v>
      </c>
      <c r="B91" t="s">
        <v>376</v>
      </c>
      <c r="C91" s="1" t="s">
        <v>382</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8:L28"/>
    <mergeCell ref="A1:C1"/>
    <mergeCell ref="A38:C38"/>
    <mergeCell ref="A31:C31"/>
    <mergeCell ref="A9:C9"/>
    <mergeCell ref="E10:G10"/>
    <mergeCell ref="A20:C20"/>
    <mergeCell ref="E51:F51"/>
  </mergeCells>
  <phoneticPr fontId="2" type="noConversion"/>
  <pageMargins left="0.7" right="0.7" top="0.78740157499999996" bottom="0.78740157499999996" header="0.3" footer="0.3"/>
  <pageSetup orientation="portrait" r:id="rId1"/>
  <tableParts count="18">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25</vt:i4>
      </vt:variant>
    </vt:vector>
  </HeadingPairs>
  <TitlesOfParts>
    <vt:vector size="52" baseType="lpstr">
      <vt:lpstr>Version_CS1_12.09.</vt:lpstr>
      <vt:lpstr>0_ReadMe</vt:lpstr>
      <vt:lpstr>Table of Content</vt:lpstr>
      <vt:lpstr>0_Configuration</vt:lpstr>
      <vt:lpstr>1_1_Definition_Flows</vt:lpstr>
      <vt:lpstr>1_2_Data_Flows</vt:lpstr>
      <vt:lpstr>2_1_Definition_Processes</vt:lpstr>
      <vt:lpstr>2_3_static_TCs</vt:lpstr>
      <vt:lpstr>2_4_dynamic_TCs</vt:lpstr>
      <vt:lpstr>2_5_Initial_Stock</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P4 - Template (2)</vt:lpstr>
      <vt:lpstr>P4 - Template</vt:lpstr>
      <vt:lpstr>PX - Template</vt:lpstr>
      <vt:lpstr>4. Calculation_factors&gt;&gt;&gt;&gt;</vt:lpstr>
      <vt:lpstr>Sheet2</vt:lpstr>
      <vt:lpstr>4. Codelists&gt;&gt;&gt;&gt;</vt:lpstr>
      <vt:lpstr>4_1 Codelists</vt:lpstr>
      <vt:lpstr>'P4 - Template'!List_DSM_Parameters</vt:lpstr>
      <vt:lpstr>'P4 - Template (2)'!List_DSM_Parameters</vt:lpstr>
      <vt:lpstr>'PX - Template (2)'!List_DSM_Parameters</vt:lpstr>
      <vt:lpstr>List_DSM_Parameters</vt:lpstr>
      <vt:lpstr>'P4 - Template'!List_Flow_Parameters</vt:lpstr>
      <vt:lpstr>'P4 - Template (2)'!List_Flow_Parameters</vt:lpstr>
      <vt:lpstr>'PX - Template (2)'!List_Flow_Parameters</vt:lpstr>
      <vt:lpstr>List_Flow_Parameters</vt:lpstr>
      <vt:lpstr>'P4 - Template'!List_FOMP_Parameters</vt:lpstr>
      <vt:lpstr>'P4 - Template (2)'!List_FOMP_Parameters</vt:lpstr>
      <vt:lpstr>'PX - Template (2)'!List_FOMP_Parameters</vt:lpstr>
      <vt:lpstr>List_FOMP_Parameters</vt:lpstr>
      <vt:lpstr>'P4 - Template'!List_Initial_Stock_Parameters</vt:lpstr>
      <vt:lpstr>'P4 - Template (2)'!List_Initial_Stock_Parameters</vt:lpstr>
      <vt:lpstr>'PX - Template (2)'!List_Initial_Stock_Parameters</vt:lpstr>
      <vt:lpstr>List_Initial_Stock_Parameters</vt:lpstr>
      <vt:lpstr>'P4 - Template'!List_Transfer_Coefficients</vt:lpstr>
      <vt:lpstr>'P4 - Template (2)'!List_Transfer_Coefficients</vt:lpstr>
      <vt:lpstr>'PX - Template (2)'!List_Transfer_Coefficients</vt:lpstr>
      <vt:lpstr>List_Transfer_Coefficients</vt:lpstr>
      <vt:lpstr>'P4 - Template'!List_Uncertainty_Parameters</vt:lpstr>
      <vt:lpstr>'P4 - Template (2)'!List_Uncertainty_Parameters</vt:lpstr>
      <vt:lpstr>'PX - Template (2)'!List_Uncertainty_Parameters</vt:lpstr>
      <vt:lpstr>List_Uncertainty_Parameters</vt:lpstr>
      <vt:lpstr>'2_4_dynamic_TCs'!Tab_Process_TCs_dyn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2025-10-09T08:18:07Z</dcterms:modified>
</cp:coreProperties>
</file>