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annes\Nextcloud\BioDYM\bioDYM-CERT-edit-main\studies\Casestudy_2_Wood\"/>
    </mc:Choice>
  </mc:AlternateContent>
  <xr:revisionPtr revIDLastSave="0" documentId="13_ncr:1_{4BAE6116-70C5-4799-97C6-CA4E925286E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Historical_Data" sheetId="1" r:id="rId1"/>
    <sheet name="Scaled_Data" sheetId="2" r:id="rId2"/>
    <sheet name="Scenario_BAU" sheetId="3" r:id="rId3"/>
    <sheet name="Scenario_Reduced_Yield" sheetId="4" r:id="rId4"/>
    <sheet name="Scenario_High_Yield" sheetId="5" r:id="rId5"/>
    <sheet name="Scenario_Low_Yield" sheetId="6" r:id="rId6"/>
    <sheet name="All_Scenarios" sheetId="7" r:id="rId7"/>
    <sheet name="Scenario_Comparison" sheetId="8" r:id="rId8"/>
    <sheet name="Meta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Q7" i="2" l="1"/>
  <c r="P7" i="2" s="1"/>
  <c r="Q12" i="2"/>
  <c r="P12" i="2" s="1"/>
  <c r="Q16" i="2"/>
  <c r="P16" i="2" s="1"/>
  <c r="Q30" i="2"/>
  <c r="P30" i="2" s="1"/>
  <c r="P31" i="2"/>
  <c r="Q46" i="2"/>
  <c r="P46" i="2" s="1"/>
  <c r="Q47" i="2"/>
  <c r="P47" i="2" s="1"/>
  <c r="Q48" i="2"/>
  <c r="P48" i="2" s="1"/>
  <c r="Q50" i="2"/>
  <c r="P50" i="2" s="1"/>
  <c r="Q54" i="2"/>
  <c r="P54" i="2" s="1"/>
  <c r="P55" i="2"/>
  <c r="Q55" i="2"/>
  <c r="Q60" i="2"/>
  <c r="P60" i="2" s="1"/>
  <c r="Q67" i="2"/>
  <c r="P67" i="2" s="1"/>
  <c r="Q69" i="2"/>
  <c r="P69" i="2" s="1"/>
  <c r="Q72" i="2"/>
  <c r="P72" i="2" s="1"/>
  <c r="Q74" i="2"/>
  <c r="P74" i="2" s="1"/>
  <c r="Q78" i="2"/>
  <c r="P78" i="2" s="1"/>
  <c r="Q79" i="2"/>
  <c r="P79" i="2" s="1"/>
  <c r="Q81" i="2"/>
  <c r="P81" i="2" s="1"/>
  <c r="Q84" i="2"/>
  <c r="P84" i="2" s="1"/>
  <c r="Q91" i="2"/>
  <c r="P91" i="2" s="1"/>
  <c r="Q96" i="2"/>
  <c r="P96" i="2" s="1"/>
  <c r="Q102" i="2"/>
  <c r="P102" i="2" s="1"/>
  <c r="Q103" i="2"/>
  <c r="P103" i="2" s="1"/>
  <c r="Q104" i="2"/>
  <c r="P104" i="2" s="1"/>
  <c r="Q108" i="2"/>
  <c r="P108" i="2" s="1"/>
  <c r="Q115" i="2"/>
  <c r="P115" i="2" s="1"/>
  <c r="Q119" i="2"/>
  <c r="P119" i="2" s="1"/>
  <c r="Q120" i="2"/>
  <c r="P120" i="2" s="1"/>
  <c r="Q126" i="2"/>
  <c r="P126" i="2" s="1"/>
  <c r="Q127" i="2"/>
  <c r="P127" i="2" s="1"/>
  <c r="Q128" i="2"/>
  <c r="P128" i="2" s="1"/>
  <c r="Q139" i="2"/>
  <c r="P139" i="2" s="1"/>
  <c r="Q143" i="2"/>
  <c r="P143" i="2" s="1"/>
  <c r="Q144" i="2"/>
  <c r="P144" i="2" s="1"/>
  <c r="Q150" i="2"/>
  <c r="P150" i="2" s="1"/>
  <c r="P151" i="2"/>
  <c r="Q151" i="2"/>
  <c r="D5" i="2"/>
  <c r="E5" i="2" s="1"/>
  <c r="F5" i="2" s="1"/>
  <c r="G5" i="2" s="1"/>
  <c r="H5" i="2" s="1"/>
  <c r="D6" i="2"/>
  <c r="E6" i="2" s="1"/>
  <c r="F6" i="2" s="1"/>
  <c r="G6" i="2" s="1"/>
  <c r="H6" i="2" s="1"/>
  <c r="I6" i="2" s="1"/>
  <c r="L6" i="2" s="1"/>
  <c r="Q6" i="2" s="1"/>
  <c r="P6" i="2" s="1"/>
  <c r="D7" i="2"/>
  <c r="E7" i="2" s="1"/>
  <c r="F7" i="2" s="1"/>
  <c r="G7" i="2" s="1"/>
  <c r="H7" i="2" s="1"/>
  <c r="I7" i="2" s="1"/>
  <c r="L7" i="2" s="1"/>
  <c r="D8" i="2"/>
  <c r="E8" i="2" s="1"/>
  <c r="F8" i="2" s="1"/>
  <c r="G8" i="2" s="1"/>
  <c r="H8" i="2" s="1"/>
  <c r="I8" i="2" s="1"/>
  <c r="L8" i="2" s="1"/>
  <c r="Q8" i="2" s="1"/>
  <c r="P8" i="2" s="1"/>
  <c r="D9" i="2"/>
  <c r="E9" i="2" s="1"/>
  <c r="F9" i="2" s="1"/>
  <c r="G9" i="2" s="1"/>
  <c r="H9" i="2" s="1"/>
  <c r="I9" i="2" s="1"/>
  <c r="L9" i="2" s="1"/>
  <c r="Q9" i="2" s="1"/>
  <c r="P9" i="2" s="1"/>
  <c r="D10" i="2"/>
  <c r="E10" i="2" s="1"/>
  <c r="F10" i="2" s="1"/>
  <c r="G10" i="2" s="1"/>
  <c r="H10" i="2" s="1"/>
  <c r="I10" i="2" s="1"/>
  <c r="L10" i="2" s="1"/>
  <c r="Q10" i="2" s="1"/>
  <c r="P10" i="2" s="1"/>
  <c r="D11" i="2"/>
  <c r="E11" i="2" s="1"/>
  <c r="F11" i="2" s="1"/>
  <c r="G11" i="2" s="1"/>
  <c r="H11" i="2" s="1"/>
  <c r="I11" i="2" s="1"/>
  <c r="L11" i="2" s="1"/>
  <c r="Q11" i="2" s="1"/>
  <c r="P11" i="2" s="1"/>
  <c r="D12" i="2"/>
  <c r="E12" i="2" s="1"/>
  <c r="F12" i="2" s="1"/>
  <c r="G12" i="2" s="1"/>
  <c r="H12" i="2" s="1"/>
  <c r="I12" i="2" s="1"/>
  <c r="L12" i="2" s="1"/>
  <c r="D13" i="2"/>
  <c r="E13" i="2" s="1"/>
  <c r="F13" i="2" s="1"/>
  <c r="G13" i="2" s="1"/>
  <c r="H13" i="2" s="1"/>
  <c r="D14" i="2"/>
  <c r="E14" i="2" s="1"/>
  <c r="F14" i="2" s="1"/>
  <c r="G14" i="2" s="1"/>
  <c r="H14" i="2" s="1"/>
  <c r="D15" i="2"/>
  <c r="E15" i="2" s="1"/>
  <c r="F15" i="2" s="1"/>
  <c r="G15" i="2" s="1"/>
  <c r="H15" i="2" s="1"/>
  <c r="D16" i="2"/>
  <c r="E16" i="2" s="1"/>
  <c r="F16" i="2" s="1"/>
  <c r="G16" i="2" s="1"/>
  <c r="H16" i="2" s="1"/>
  <c r="I16" i="2" s="1"/>
  <c r="L16" i="2" s="1"/>
  <c r="D17" i="2"/>
  <c r="E17" i="2" s="1"/>
  <c r="F17" i="2" s="1"/>
  <c r="G17" i="2" s="1"/>
  <c r="H17" i="2" s="1"/>
  <c r="D18" i="2"/>
  <c r="E18" i="2" s="1"/>
  <c r="F18" i="2" s="1"/>
  <c r="G18" i="2" s="1"/>
  <c r="H18" i="2" s="1"/>
  <c r="D19" i="2"/>
  <c r="E19" i="2" s="1"/>
  <c r="F19" i="2" s="1"/>
  <c r="G19" i="2" s="1"/>
  <c r="H19" i="2" s="1"/>
  <c r="I19" i="2" s="1"/>
  <c r="L19" i="2" s="1"/>
  <c r="Q19" i="2" s="1"/>
  <c r="P19" i="2" s="1"/>
  <c r="D20" i="2"/>
  <c r="E20" i="2" s="1"/>
  <c r="F20" i="2" s="1"/>
  <c r="G20" i="2" s="1"/>
  <c r="H20" i="2" s="1"/>
  <c r="I20" i="2" s="1"/>
  <c r="L20" i="2" s="1"/>
  <c r="Q20" i="2" s="1"/>
  <c r="P20" i="2" s="1"/>
  <c r="D21" i="2"/>
  <c r="E21" i="2" s="1"/>
  <c r="F21" i="2" s="1"/>
  <c r="G21" i="2" s="1"/>
  <c r="H21" i="2" s="1"/>
  <c r="I21" i="2" s="1"/>
  <c r="L21" i="2" s="1"/>
  <c r="Q21" i="2" s="1"/>
  <c r="P21" i="2" s="1"/>
  <c r="D22" i="2"/>
  <c r="E22" i="2" s="1"/>
  <c r="F22" i="2" s="1"/>
  <c r="G22" i="2" s="1"/>
  <c r="H22" i="2" s="1"/>
  <c r="I22" i="2" s="1"/>
  <c r="L22" i="2" s="1"/>
  <c r="Q22" i="2" s="1"/>
  <c r="P22" i="2" s="1"/>
  <c r="D23" i="2"/>
  <c r="E23" i="2" s="1"/>
  <c r="F23" i="2" s="1"/>
  <c r="G23" i="2" s="1"/>
  <c r="H23" i="2" s="1"/>
  <c r="I23" i="2" s="1"/>
  <c r="L23" i="2" s="1"/>
  <c r="Q23" i="2" s="1"/>
  <c r="P23" i="2" s="1"/>
  <c r="D24" i="2"/>
  <c r="E24" i="2" s="1"/>
  <c r="F24" i="2" s="1"/>
  <c r="G24" i="2" s="1"/>
  <c r="H24" i="2" s="1"/>
  <c r="D25" i="2"/>
  <c r="E25" i="2" s="1"/>
  <c r="F25" i="2" s="1"/>
  <c r="G25" i="2" s="1"/>
  <c r="H25" i="2" s="1"/>
  <c r="D26" i="2"/>
  <c r="E26" i="2" s="1"/>
  <c r="F26" i="2" s="1"/>
  <c r="G26" i="2" s="1"/>
  <c r="H26" i="2" s="1"/>
  <c r="I26" i="2" s="1"/>
  <c r="L26" i="2" s="1"/>
  <c r="Q26" i="2" s="1"/>
  <c r="P26" i="2" s="1"/>
  <c r="D27" i="2"/>
  <c r="E27" i="2" s="1"/>
  <c r="F27" i="2" s="1"/>
  <c r="G27" i="2" s="1"/>
  <c r="H27" i="2" s="1"/>
  <c r="D28" i="2"/>
  <c r="E28" i="2" s="1"/>
  <c r="F28" i="2" s="1"/>
  <c r="G28" i="2" s="1"/>
  <c r="H28" i="2" s="1"/>
  <c r="D29" i="2"/>
  <c r="E29" i="2" s="1"/>
  <c r="F29" i="2" s="1"/>
  <c r="G29" i="2" s="1"/>
  <c r="H29" i="2" s="1"/>
  <c r="D30" i="2"/>
  <c r="E30" i="2" s="1"/>
  <c r="F30" i="2" s="1"/>
  <c r="G30" i="2" s="1"/>
  <c r="H30" i="2" s="1"/>
  <c r="I30" i="2" s="1"/>
  <c r="L30" i="2" s="1"/>
  <c r="D31" i="2"/>
  <c r="E31" i="2" s="1"/>
  <c r="F31" i="2" s="1"/>
  <c r="G31" i="2" s="1"/>
  <c r="H31" i="2" s="1"/>
  <c r="I31" i="2" s="1"/>
  <c r="L31" i="2" s="1"/>
  <c r="Q31" i="2" s="1"/>
  <c r="D32" i="2"/>
  <c r="E32" i="2" s="1"/>
  <c r="F32" i="2" s="1"/>
  <c r="G32" i="2" s="1"/>
  <c r="H32" i="2" s="1"/>
  <c r="I32" i="2" s="1"/>
  <c r="L32" i="2" s="1"/>
  <c r="Q32" i="2" s="1"/>
  <c r="P32" i="2" s="1"/>
  <c r="D33" i="2"/>
  <c r="E33" i="2" s="1"/>
  <c r="F33" i="2" s="1"/>
  <c r="G33" i="2" s="1"/>
  <c r="H33" i="2" s="1"/>
  <c r="I33" i="2" s="1"/>
  <c r="L33" i="2" s="1"/>
  <c r="Q33" i="2" s="1"/>
  <c r="P33" i="2" s="1"/>
  <c r="D34" i="2"/>
  <c r="E34" i="2" s="1"/>
  <c r="F34" i="2" s="1"/>
  <c r="G34" i="2" s="1"/>
  <c r="H34" i="2" s="1"/>
  <c r="I34" i="2" s="1"/>
  <c r="L34" i="2" s="1"/>
  <c r="Q34" i="2" s="1"/>
  <c r="P34" i="2" s="1"/>
  <c r="D35" i="2"/>
  <c r="E35" i="2" s="1"/>
  <c r="F35" i="2" s="1"/>
  <c r="G35" i="2" s="1"/>
  <c r="H35" i="2" s="1"/>
  <c r="D36" i="2"/>
  <c r="E36" i="2" s="1"/>
  <c r="F36" i="2" s="1"/>
  <c r="G36" i="2" s="1"/>
  <c r="H36" i="2" s="1"/>
  <c r="I36" i="2" s="1"/>
  <c r="L36" i="2" s="1"/>
  <c r="Q36" i="2" s="1"/>
  <c r="P36" i="2" s="1"/>
  <c r="D37" i="2"/>
  <c r="E37" i="2" s="1"/>
  <c r="F37" i="2" s="1"/>
  <c r="G37" i="2" s="1"/>
  <c r="H37" i="2" s="1"/>
  <c r="D38" i="2"/>
  <c r="E38" i="2" s="1"/>
  <c r="F38" i="2" s="1"/>
  <c r="G38" i="2" s="1"/>
  <c r="H38" i="2" s="1"/>
  <c r="D39" i="2"/>
  <c r="E39" i="2" s="1"/>
  <c r="F39" i="2" s="1"/>
  <c r="G39" i="2" s="1"/>
  <c r="H39" i="2" s="1"/>
  <c r="D40" i="2"/>
  <c r="E40" i="2" s="1"/>
  <c r="F40" i="2" s="1"/>
  <c r="G40" i="2" s="1"/>
  <c r="H40" i="2" s="1"/>
  <c r="D41" i="2"/>
  <c r="E41" i="2" s="1"/>
  <c r="F41" i="2" s="1"/>
  <c r="G41" i="2" s="1"/>
  <c r="H41" i="2" s="1"/>
  <c r="D42" i="2"/>
  <c r="E42" i="2" s="1"/>
  <c r="F42" i="2" s="1"/>
  <c r="G42" i="2" s="1"/>
  <c r="H42" i="2" s="1"/>
  <c r="D43" i="2"/>
  <c r="E43" i="2" s="1"/>
  <c r="F43" i="2" s="1"/>
  <c r="D44" i="2"/>
  <c r="E44" i="2" s="1"/>
  <c r="F44" i="2" s="1"/>
  <c r="G44" i="2" s="1"/>
  <c r="H44" i="2" s="1"/>
  <c r="I44" i="2" s="1"/>
  <c r="L44" i="2" s="1"/>
  <c r="Q44" i="2" s="1"/>
  <c r="P44" i="2" s="1"/>
  <c r="D45" i="2"/>
  <c r="E45" i="2" s="1"/>
  <c r="F45" i="2" s="1"/>
  <c r="G45" i="2" s="1"/>
  <c r="H45" i="2" s="1"/>
  <c r="I45" i="2" s="1"/>
  <c r="L45" i="2" s="1"/>
  <c r="Q45" i="2" s="1"/>
  <c r="P45" i="2" s="1"/>
  <c r="D46" i="2"/>
  <c r="E46" i="2" s="1"/>
  <c r="F46" i="2" s="1"/>
  <c r="G46" i="2" s="1"/>
  <c r="H46" i="2" s="1"/>
  <c r="I46" i="2" s="1"/>
  <c r="L46" i="2" s="1"/>
  <c r="D47" i="2"/>
  <c r="E47" i="2" s="1"/>
  <c r="F47" i="2" s="1"/>
  <c r="G47" i="2" s="1"/>
  <c r="H47" i="2" s="1"/>
  <c r="I47" i="2" s="1"/>
  <c r="L47" i="2" s="1"/>
  <c r="D48" i="2"/>
  <c r="E48" i="2" s="1"/>
  <c r="F48" i="2" s="1"/>
  <c r="G48" i="2" s="1"/>
  <c r="H48" i="2" s="1"/>
  <c r="I48" i="2" s="1"/>
  <c r="L48" i="2" s="1"/>
  <c r="D49" i="2"/>
  <c r="E49" i="2" s="1"/>
  <c r="F49" i="2" s="1"/>
  <c r="G49" i="2" s="1"/>
  <c r="H49" i="2" s="1"/>
  <c r="D50" i="2"/>
  <c r="E50" i="2" s="1"/>
  <c r="F50" i="2" s="1"/>
  <c r="G50" i="2" s="1"/>
  <c r="H50" i="2" s="1"/>
  <c r="I50" i="2" s="1"/>
  <c r="L50" i="2" s="1"/>
  <c r="D51" i="2"/>
  <c r="E51" i="2" s="1"/>
  <c r="F51" i="2" s="1"/>
  <c r="G51" i="2" s="1"/>
  <c r="H51" i="2" s="1"/>
  <c r="D52" i="2"/>
  <c r="E52" i="2" s="1"/>
  <c r="F52" i="2" s="1"/>
  <c r="G52" i="2" s="1"/>
  <c r="H52" i="2" s="1"/>
  <c r="D53" i="2"/>
  <c r="E53" i="2" s="1"/>
  <c r="F53" i="2" s="1"/>
  <c r="G53" i="2" s="1"/>
  <c r="H53" i="2" s="1"/>
  <c r="D54" i="2"/>
  <c r="E54" i="2" s="1"/>
  <c r="F54" i="2" s="1"/>
  <c r="G54" i="2" s="1"/>
  <c r="H54" i="2" s="1"/>
  <c r="I54" i="2" s="1"/>
  <c r="L54" i="2" s="1"/>
  <c r="M54" i="2" s="1"/>
  <c r="D55" i="2"/>
  <c r="E55" i="2" s="1"/>
  <c r="F55" i="2" s="1"/>
  <c r="G55" i="2" s="1"/>
  <c r="H55" i="2" s="1"/>
  <c r="I55" i="2" s="1"/>
  <c r="L55" i="2" s="1"/>
  <c r="D56" i="2"/>
  <c r="E56" i="2" s="1"/>
  <c r="F56" i="2" s="1"/>
  <c r="G56" i="2" s="1"/>
  <c r="H56" i="2" s="1"/>
  <c r="I56" i="2" s="1"/>
  <c r="L56" i="2" s="1"/>
  <c r="Q56" i="2" s="1"/>
  <c r="P56" i="2" s="1"/>
  <c r="D57" i="2"/>
  <c r="E57" i="2" s="1"/>
  <c r="F57" i="2" s="1"/>
  <c r="G57" i="2" s="1"/>
  <c r="H57" i="2" s="1"/>
  <c r="I57" i="2" s="1"/>
  <c r="L57" i="2" s="1"/>
  <c r="Q57" i="2" s="1"/>
  <c r="P57" i="2" s="1"/>
  <c r="D58" i="2"/>
  <c r="E58" i="2" s="1"/>
  <c r="F58" i="2" s="1"/>
  <c r="G58" i="2" s="1"/>
  <c r="H58" i="2" s="1"/>
  <c r="I58" i="2" s="1"/>
  <c r="L58" i="2" s="1"/>
  <c r="Q58" i="2" s="1"/>
  <c r="P58" i="2" s="1"/>
  <c r="D59" i="2"/>
  <c r="E59" i="2" s="1"/>
  <c r="F59" i="2" s="1"/>
  <c r="G59" i="2" s="1"/>
  <c r="H59" i="2" s="1"/>
  <c r="I59" i="2" s="1"/>
  <c r="L59" i="2" s="1"/>
  <c r="Q59" i="2" s="1"/>
  <c r="P59" i="2" s="1"/>
  <c r="D60" i="2"/>
  <c r="E60" i="2" s="1"/>
  <c r="F60" i="2" s="1"/>
  <c r="G60" i="2" s="1"/>
  <c r="H60" i="2" s="1"/>
  <c r="I60" i="2" s="1"/>
  <c r="L60" i="2" s="1"/>
  <c r="D61" i="2"/>
  <c r="E61" i="2" s="1"/>
  <c r="F61" i="2" s="1"/>
  <c r="G61" i="2" s="1"/>
  <c r="H61" i="2" s="1"/>
  <c r="D62" i="2"/>
  <c r="E62" i="2" s="1"/>
  <c r="F62" i="2" s="1"/>
  <c r="G62" i="2" s="1"/>
  <c r="H62" i="2" s="1"/>
  <c r="D63" i="2"/>
  <c r="E63" i="2" s="1"/>
  <c r="F63" i="2" s="1"/>
  <c r="G63" i="2" s="1"/>
  <c r="H63" i="2" s="1"/>
  <c r="D64" i="2"/>
  <c r="E64" i="2" s="1"/>
  <c r="F64" i="2" s="1"/>
  <c r="G64" i="2" s="1"/>
  <c r="H64" i="2" s="1"/>
  <c r="D65" i="2"/>
  <c r="E65" i="2" s="1"/>
  <c r="F65" i="2" s="1"/>
  <c r="G65" i="2" s="1"/>
  <c r="H65" i="2" s="1"/>
  <c r="D66" i="2"/>
  <c r="E66" i="2" s="1"/>
  <c r="F66" i="2" s="1"/>
  <c r="G66" i="2" s="1"/>
  <c r="H66" i="2" s="1"/>
  <c r="D67" i="2"/>
  <c r="E67" i="2" s="1"/>
  <c r="F67" i="2" s="1"/>
  <c r="G67" i="2" s="1"/>
  <c r="H67" i="2" s="1"/>
  <c r="I67" i="2" s="1"/>
  <c r="L67" i="2" s="1"/>
  <c r="D68" i="2"/>
  <c r="E68" i="2" s="1"/>
  <c r="F68" i="2" s="1"/>
  <c r="G68" i="2" s="1"/>
  <c r="H68" i="2" s="1"/>
  <c r="I68" i="2" s="1"/>
  <c r="L68" i="2" s="1"/>
  <c r="Q68" i="2" s="1"/>
  <c r="P68" i="2" s="1"/>
  <c r="D69" i="2"/>
  <c r="E69" i="2" s="1"/>
  <c r="F69" i="2" s="1"/>
  <c r="G69" i="2" s="1"/>
  <c r="H69" i="2" s="1"/>
  <c r="I69" i="2" s="1"/>
  <c r="L69" i="2" s="1"/>
  <c r="D70" i="2"/>
  <c r="E70" i="2" s="1"/>
  <c r="F70" i="2" s="1"/>
  <c r="G70" i="2" s="1"/>
  <c r="H70" i="2" s="1"/>
  <c r="I70" i="2" s="1"/>
  <c r="L70" i="2" s="1"/>
  <c r="Q70" i="2" s="1"/>
  <c r="P70" i="2" s="1"/>
  <c r="D71" i="2"/>
  <c r="E71" i="2" s="1"/>
  <c r="F71" i="2" s="1"/>
  <c r="G71" i="2" s="1"/>
  <c r="H71" i="2" s="1"/>
  <c r="I71" i="2" s="1"/>
  <c r="L71" i="2" s="1"/>
  <c r="Q71" i="2" s="1"/>
  <c r="P71" i="2" s="1"/>
  <c r="D72" i="2"/>
  <c r="E72" i="2" s="1"/>
  <c r="F72" i="2" s="1"/>
  <c r="G72" i="2" s="1"/>
  <c r="H72" i="2" s="1"/>
  <c r="I72" i="2" s="1"/>
  <c r="L72" i="2" s="1"/>
  <c r="D73" i="2"/>
  <c r="E73" i="2" s="1"/>
  <c r="F73" i="2" s="1"/>
  <c r="G73" i="2" s="1"/>
  <c r="H73" i="2" s="1"/>
  <c r="D74" i="2"/>
  <c r="E74" i="2" s="1"/>
  <c r="F74" i="2" s="1"/>
  <c r="G74" i="2" s="1"/>
  <c r="H74" i="2" s="1"/>
  <c r="I74" i="2" s="1"/>
  <c r="L74" i="2" s="1"/>
  <c r="D75" i="2"/>
  <c r="E75" i="2" s="1"/>
  <c r="F75" i="2" s="1"/>
  <c r="G75" i="2" s="1"/>
  <c r="H75" i="2" s="1"/>
  <c r="D76" i="2"/>
  <c r="E76" i="2" s="1"/>
  <c r="F76" i="2" s="1"/>
  <c r="G76" i="2" s="1"/>
  <c r="H76" i="2" s="1"/>
  <c r="D77" i="2"/>
  <c r="E77" i="2" s="1"/>
  <c r="F77" i="2" s="1"/>
  <c r="G77" i="2" s="1"/>
  <c r="H77" i="2" s="1"/>
  <c r="D78" i="2"/>
  <c r="E78" i="2" s="1"/>
  <c r="F78" i="2" s="1"/>
  <c r="G78" i="2" s="1"/>
  <c r="H78" i="2" s="1"/>
  <c r="I78" i="2" s="1"/>
  <c r="L78" i="2" s="1"/>
  <c r="D79" i="2"/>
  <c r="E79" i="2" s="1"/>
  <c r="F79" i="2" s="1"/>
  <c r="G79" i="2" s="1"/>
  <c r="H79" i="2" s="1"/>
  <c r="I79" i="2" s="1"/>
  <c r="L79" i="2" s="1"/>
  <c r="D80" i="2"/>
  <c r="E80" i="2" s="1"/>
  <c r="F80" i="2" s="1"/>
  <c r="G80" i="2" s="1"/>
  <c r="H80" i="2" s="1"/>
  <c r="I80" i="2" s="1"/>
  <c r="L80" i="2" s="1"/>
  <c r="Q80" i="2" s="1"/>
  <c r="P80" i="2" s="1"/>
  <c r="D81" i="2"/>
  <c r="E81" i="2" s="1"/>
  <c r="F81" i="2" s="1"/>
  <c r="G81" i="2" s="1"/>
  <c r="H81" i="2" s="1"/>
  <c r="I81" i="2" s="1"/>
  <c r="L81" i="2" s="1"/>
  <c r="D82" i="2"/>
  <c r="E82" i="2" s="1"/>
  <c r="F82" i="2" s="1"/>
  <c r="G82" i="2" s="1"/>
  <c r="H82" i="2" s="1"/>
  <c r="I82" i="2" s="1"/>
  <c r="L82" i="2" s="1"/>
  <c r="Q82" i="2" s="1"/>
  <c r="P82" i="2" s="1"/>
  <c r="D83" i="2"/>
  <c r="E83" i="2" s="1"/>
  <c r="F83" i="2" s="1"/>
  <c r="G83" i="2" s="1"/>
  <c r="H83" i="2" s="1"/>
  <c r="I83" i="2" s="1"/>
  <c r="L83" i="2" s="1"/>
  <c r="Q83" i="2" s="1"/>
  <c r="P83" i="2" s="1"/>
  <c r="D84" i="2"/>
  <c r="E84" i="2" s="1"/>
  <c r="F84" i="2" s="1"/>
  <c r="G84" i="2" s="1"/>
  <c r="H84" i="2" s="1"/>
  <c r="I84" i="2" s="1"/>
  <c r="L84" i="2" s="1"/>
  <c r="D85" i="2"/>
  <c r="E85" i="2" s="1"/>
  <c r="F85" i="2" s="1"/>
  <c r="G85" i="2" s="1"/>
  <c r="H85" i="2" s="1"/>
  <c r="D86" i="2"/>
  <c r="E86" i="2" s="1"/>
  <c r="F86" i="2" s="1"/>
  <c r="G86" i="2" s="1"/>
  <c r="H86" i="2" s="1"/>
  <c r="D87" i="2"/>
  <c r="E87" i="2" s="1"/>
  <c r="F87" i="2" s="1"/>
  <c r="G87" i="2" s="1"/>
  <c r="H87" i="2" s="1"/>
  <c r="D88" i="2"/>
  <c r="E88" i="2" s="1"/>
  <c r="F88" i="2" s="1"/>
  <c r="G88" i="2" s="1"/>
  <c r="H88" i="2" s="1"/>
  <c r="D89" i="2"/>
  <c r="E89" i="2" s="1"/>
  <c r="F89" i="2" s="1"/>
  <c r="G89" i="2" s="1"/>
  <c r="H89" i="2" s="1"/>
  <c r="D90" i="2"/>
  <c r="E90" i="2" s="1"/>
  <c r="F90" i="2" s="1"/>
  <c r="G90" i="2" s="1"/>
  <c r="H90" i="2" s="1"/>
  <c r="D91" i="2"/>
  <c r="E91" i="2" s="1"/>
  <c r="F91" i="2" s="1"/>
  <c r="G91" i="2" s="1"/>
  <c r="H91" i="2" s="1"/>
  <c r="I91" i="2" s="1"/>
  <c r="L91" i="2" s="1"/>
  <c r="D92" i="2"/>
  <c r="E92" i="2" s="1"/>
  <c r="F92" i="2" s="1"/>
  <c r="G92" i="2" s="1"/>
  <c r="H92" i="2" s="1"/>
  <c r="I92" i="2" s="1"/>
  <c r="L92" i="2" s="1"/>
  <c r="Q92" i="2" s="1"/>
  <c r="P92" i="2" s="1"/>
  <c r="D93" i="2"/>
  <c r="E93" i="2" s="1"/>
  <c r="F93" i="2" s="1"/>
  <c r="G93" i="2" s="1"/>
  <c r="H93" i="2" s="1"/>
  <c r="I93" i="2" s="1"/>
  <c r="L93" i="2" s="1"/>
  <c r="Q93" i="2" s="1"/>
  <c r="P93" i="2" s="1"/>
  <c r="D94" i="2"/>
  <c r="E94" i="2" s="1"/>
  <c r="F94" i="2" s="1"/>
  <c r="G94" i="2" s="1"/>
  <c r="H94" i="2" s="1"/>
  <c r="I94" i="2" s="1"/>
  <c r="L94" i="2" s="1"/>
  <c r="Q94" i="2" s="1"/>
  <c r="P94" i="2" s="1"/>
  <c r="D95" i="2"/>
  <c r="E95" i="2" s="1"/>
  <c r="F95" i="2" s="1"/>
  <c r="G95" i="2" s="1"/>
  <c r="H95" i="2" s="1"/>
  <c r="I95" i="2" s="1"/>
  <c r="L95" i="2" s="1"/>
  <c r="Q95" i="2" s="1"/>
  <c r="P95" i="2" s="1"/>
  <c r="D96" i="2"/>
  <c r="E96" i="2" s="1"/>
  <c r="F96" i="2" s="1"/>
  <c r="G96" i="2" s="1"/>
  <c r="H96" i="2" s="1"/>
  <c r="I96" i="2" s="1"/>
  <c r="L96" i="2" s="1"/>
  <c r="D97" i="2"/>
  <c r="E97" i="2" s="1"/>
  <c r="F97" i="2" s="1"/>
  <c r="G97" i="2" s="1"/>
  <c r="H97" i="2" s="1"/>
  <c r="D98" i="2"/>
  <c r="E98" i="2" s="1"/>
  <c r="F98" i="2" s="1"/>
  <c r="G98" i="2" s="1"/>
  <c r="H98" i="2" s="1"/>
  <c r="D99" i="2"/>
  <c r="E99" i="2" s="1"/>
  <c r="F99" i="2" s="1"/>
  <c r="G99" i="2" s="1"/>
  <c r="H99" i="2" s="1"/>
  <c r="D100" i="2"/>
  <c r="E100" i="2" s="1"/>
  <c r="F100" i="2" s="1"/>
  <c r="G100" i="2" s="1"/>
  <c r="H100" i="2" s="1"/>
  <c r="D101" i="2"/>
  <c r="E101" i="2" s="1"/>
  <c r="F101" i="2" s="1"/>
  <c r="G101" i="2" s="1"/>
  <c r="H101" i="2" s="1"/>
  <c r="D102" i="2"/>
  <c r="E102" i="2" s="1"/>
  <c r="F102" i="2" s="1"/>
  <c r="G102" i="2" s="1"/>
  <c r="H102" i="2" s="1"/>
  <c r="I102" i="2" s="1"/>
  <c r="L102" i="2" s="1"/>
  <c r="D103" i="2"/>
  <c r="E103" i="2" s="1"/>
  <c r="F103" i="2" s="1"/>
  <c r="G103" i="2" s="1"/>
  <c r="H103" i="2" s="1"/>
  <c r="I103" i="2" s="1"/>
  <c r="L103" i="2" s="1"/>
  <c r="D104" i="2"/>
  <c r="E104" i="2" s="1"/>
  <c r="F104" i="2" s="1"/>
  <c r="G104" i="2" s="1"/>
  <c r="H104" i="2" s="1"/>
  <c r="I104" i="2" s="1"/>
  <c r="L104" i="2" s="1"/>
  <c r="D105" i="2"/>
  <c r="E105" i="2" s="1"/>
  <c r="F105" i="2" s="1"/>
  <c r="G105" i="2" s="1"/>
  <c r="H105" i="2" s="1"/>
  <c r="I105" i="2" s="1"/>
  <c r="L105" i="2" s="1"/>
  <c r="Q105" i="2" s="1"/>
  <c r="P105" i="2" s="1"/>
  <c r="D106" i="2"/>
  <c r="E106" i="2" s="1"/>
  <c r="F106" i="2" s="1"/>
  <c r="G106" i="2" s="1"/>
  <c r="H106" i="2" s="1"/>
  <c r="I106" i="2" s="1"/>
  <c r="L106" i="2" s="1"/>
  <c r="Q106" i="2" s="1"/>
  <c r="P106" i="2" s="1"/>
  <c r="D107" i="2"/>
  <c r="E107" i="2" s="1"/>
  <c r="F107" i="2" s="1"/>
  <c r="G107" i="2" s="1"/>
  <c r="H107" i="2" s="1"/>
  <c r="I107" i="2" s="1"/>
  <c r="L107" i="2" s="1"/>
  <c r="Q107" i="2" s="1"/>
  <c r="P107" i="2" s="1"/>
  <c r="D108" i="2"/>
  <c r="E108" i="2" s="1"/>
  <c r="F108" i="2" s="1"/>
  <c r="G108" i="2" s="1"/>
  <c r="H108" i="2" s="1"/>
  <c r="I108" i="2" s="1"/>
  <c r="L108" i="2" s="1"/>
  <c r="D109" i="2"/>
  <c r="E109" i="2" s="1"/>
  <c r="F109" i="2" s="1"/>
  <c r="G109" i="2" s="1"/>
  <c r="H109" i="2" s="1"/>
  <c r="D110" i="2"/>
  <c r="E110" i="2" s="1"/>
  <c r="F110" i="2" s="1"/>
  <c r="G110" i="2" s="1"/>
  <c r="H110" i="2" s="1"/>
  <c r="D111" i="2"/>
  <c r="E111" i="2" s="1"/>
  <c r="F111" i="2" s="1"/>
  <c r="G111" i="2" s="1"/>
  <c r="H111" i="2" s="1"/>
  <c r="D112" i="2"/>
  <c r="E112" i="2" s="1"/>
  <c r="F112" i="2" s="1"/>
  <c r="G112" i="2" s="1"/>
  <c r="H112" i="2" s="1"/>
  <c r="D113" i="2"/>
  <c r="E113" i="2" s="1"/>
  <c r="F113" i="2" s="1"/>
  <c r="G113" i="2" s="1"/>
  <c r="H113" i="2" s="1"/>
  <c r="D114" i="2"/>
  <c r="E114" i="2" s="1"/>
  <c r="F114" i="2" s="1"/>
  <c r="G114" i="2" s="1"/>
  <c r="H114" i="2" s="1"/>
  <c r="D115" i="2"/>
  <c r="E115" i="2" s="1"/>
  <c r="F115" i="2" s="1"/>
  <c r="G115" i="2" s="1"/>
  <c r="H115" i="2" s="1"/>
  <c r="I115" i="2" s="1"/>
  <c r="L115" i="2" s="1"/>
  <c r="D116" i="2"/>
  <c r="E116" i="2" s="1"/>
  <c r="F116" i="2" s="1"/>
  <c r="G116" i="2" s="1"/>
  <c r="H116" i="2" s="1"/>
  <c r="I116" i="2" s="1"/>
  <c r="L116" i="2" s="1"/>
  <c r="Q116" i="2" s="1"/>
  <c r="P116" i="2" s="1"/>
  <c r="D117" i="2"/>
  <c r="E117" i="2" s="1"/>
  <c r="F117" i="2" s="1"/>
  <c r="G117" i="2" s="1"/>
  <c r="H117" i="2" s="1"/>
  <c r="I117" i="2" s="1"/>
  <c r="L117" i="2" s="1"/>
  <c r="Q117" i="2" s="1"/>
  <c r="P117" i="2" s="1"/>
  <c r="D118" i="2"/>
  <c r="E118" i="2" s="1"/>
  <c r="F118" i="2" s="1"/>
  <c r="G118" i="2" s="1"/>
  <c r="H118" i="2" s="1"/>
  <c r="I118" i="2" s="1"/>
  <c r="L118" i="2" s="1"/>
  <c r="Q118" i="2" s="1"/>
  <c r="P118" i="2" s="1"/>
  <c r="D119" i="2"/>
  <c r="E119" i="2" s="1"/>
  <c r="F119" i="2" s="1"/>
  <c r="G119" i="2" s="1"/>
  <c r="H119" i="2" s="1"/>
  <c r="I119" i="2" s="1"/>
  <c r="L119" i="2" s="1"/>
  <c r="D120" i="2"/>
  <c r="E120" i="2" s="1"/>
  <c r="F120" i="2" s="1"/>
  <c r="G120" i="2" s="1"/>
  <c r="H120" i="2" s="1"/>
  <c r="I120" i="2" s="1"/>
  <c r="L120" i="2" s="1"/>
  <c r="D121" i="2"/>
  <c r="E121" i="2" s="1"/>
  <c r="F121" i="2" s="1"/>
  <c r="G121" i="2" s="1"/>
  <c r="H121" i="2" s="1"/>
  <c r="D122" i="2"/>
  <c r="E122" i="2" s="1"/>
  <c r="F122" i="2" s="1"/>
  <c r="G122" i="2" s="1"/>
  <c r="H122" i="2" s="1"/>
  <c r="D123" i="2"/>
  <c r="E123" i="2" s="1"/>
  <c r="F123" i="2" s="1"/>
  <c r="G123" i="2" s="1"/>
  <c r="H123" i="2" s="1"/>
  <c r="D124" i="2"/>
  <c r="E124" i="2" s="1"/>
  <c r="F124" i="2" s="1"/>
  <c r="G124" i="2" s="1"/>
  <c r="H124" i="2" s="1"/>
  <c r="D125" i="2"/>
  <c r="E125" i="2" s="1"/>
  <c r="F125" i="2" s="1"/>
  <c r="G125" i="2" s="1"/>
  <c r="H125" i="2" s="1"/>
  <c r="D126" i="2"/>
  <c r="E126" i="2" s="1"/>
  <c r="F126" i="2" s="1"/>
  <c r="G126" i="2" s="1"/>
  <c r="H126" i="2" s="1"/>
  <c r="I126" i="2" s="1"/>
  <c r="L126" i="2" s="1"/>
  <c r="D127" i="2"/>
  <c r="E127" i="2" s="1"/>
  <c r="F127" i="2" s="1"/>
  <c r="G127" i="2" s="1"/>
  <c r="H127" i="2" s="1"/>
  <c r="I127" i="2" s="1"/>
  <c r="L127" i="2" s="1"/>
  <c r="D128" i="2"/>
  <c r="E128" i="2" s="1"/>
  <c r="F128" i="2" s="1"/>
  <c r="G128" i="2" s="1"/>
  <c r="H128" i="2" s="1"/>
  <c r="I128" i="2" s="1"/>
  <c r="L128" i="2" s="1"/>
  <c r="D129" i="2"/>
  <c r="E129" i="2" s="1"/>
  <c r="F129" i="2" s="1"/>
  <c r="G129" i="2" s="1"/>
  <c r="H129" i="2" s="1"/>
  <c r="I129" i="2" s="1"/>
  <c r="L129" i="2" s="1"/>
  <c r="Q129" i="2" s="1"/>
  <c r="P129" i="2" s="1"/>
  <c r="D130" i="2"/>
  <c r="E130" i="2" s="1"/>
  <c r="F130" i="2" s="1"/>
  <c r="G130" i="2" s="1"/>
  <c r="H130" i="2" s="1"/>
  <c r="I130" i="2" s="1"/>
  <c r="L130" i="2" s="1"/>
  <c r="Q130" i="2" s="1"/>
  <c r="P130" i="2" s="1"/>
  <c r="D131" i="2"/>
  <c r="E131" i="2" s="1"/>
  <c r="F131" i="2" s="1"/>
  <c r="G131" i="2" s="1"/>
  <c r="H131" i="2" s="1"/>
  <c r="I131" i="2" s="1"/>
  <c r="L131" i="2" s="1"/>
  <c r="Q131" i="2" s="1"/>
  <c r="P131" i="2" s="1"/>
  <c r="D132" i="2"/>
  <c r="E132" i="2" s="1"/>
  <c r="F132" i="2" s="1"/>
  <c r="G132" i="2" s="1"/>
  <c r="H132" i="2" s="1"/>
  <c r="D133" i="2"/>
  <c r="E133" i="2" s="1"/>
  <c r="F133" i="2" s="1"/>
  <c r="G133" i="2" s="1"/>
  <c r="H133" i="2" s="1"/>
  <c r="I133" i="2" s="1"/>
  <c r="L133" i="2" s="1"/>
  <c r="Q133" i="2" s="1"/>
  <c r="P133" i="2" s="1"/>
  <c r="D134" i="2"/>
  <c r="E134" i="2" s="1"/>
  <c r="F134" i="2" s="1"/>
  <c r="G134" i="2" s="1"/>
  <c r="H134" i="2" s="1"/>
  <c r="D135" i="2"/>
  <c r="E135" i="2" s="1"/>
  <c r="F135" i="2" s="1"/>
  <c r="G135" i="2" s="1"/>
  <c r="H135" i="2" s="1"/>
  <c r="D136" i="2"/>
  <c r="E136" i="2" s="1"/>
  <c r="F136" i="2" s="1"/>
  <c r="G136" i="2" s="1"/>
  <c r="H136" i="2" s="1"/>
  <c r="D137" i="2"/>
  <c r="E137" i="2" s="1"/>
  <c r="F137" i="2" s="1"/>
  <c r="G137" i="2" s="1"/>
  <c r="H137" i="2" s="1"/>
  <c r="D138" i="2"/>
  <c r="E138" i="2" s="1"/>
  <c r="F138" i="2" s="1"/>
  <c r="G138" i="2" s="1"/>
  <c r="H138" i="2" s="1"/>
  <c r="D139" i="2"/>
  <c r="E139" i="2" s="1"/>
  <c r="F139" i="2" s="1"/>
  <c r="G139" i="2" s="1"/>
  <c r="H139" i="2" s="1"/>
  <c r="I139" i="2" s="1"/>
  <c r="L139" i="2" s="1"/>
  <c r="D140" i="2"/>
  <c r="E140" i="2" s="1"/>
  <c r="F140" i="2" s="1"/>
  <c r="G140" i="2" s="1"/>
  <c r="H140" i="2" s="1"/>
  <c r="I140" i="2" s="1"/>
  <c r="L140" i="2" s="1"/>
  <c r="Q140" i="2" s="1"/>
  <c r="P140" i="2" s="1"/>
  <c r="D141" i="2"/>
  <c r="E141" i="2" s="1"/>
  <c r="F141" i="2" s="1"/>
  <c r="G141" i="2" s="1"/>
  <c r="H141" i="2" s="1"/>
  <c r="I141" i="2" s="1"/>
  <c r="L141" i="2" s="1"/>
  <c r="Q141" i="2" s="1"/>
  <c r="P141" i="2" s="1"/>
  <c r="D142" i="2"/>
  <c r="E142" i="2" s="1"/>
  <c r="F142" i="2" s="1"/>
  <c r="G142" i="2" s="1"/>
  <c r="H142" i="2" s="1"/>
  <c r="I142" i="2" s="1"/>
  <c r="L142" i="2" s="1"/>
  <c r="Q142" i="2" s="1"/>
  <c r="P142" i="2" s="1"/>
  <c r="D143" i="2"/>
  <c r="E143" i="2" s="1"/>
  <c r="F143" i="2" s="1"/>
  <c r="G143" i="2" s="1"/>
  <c r="H143" i="2" s="1"/>
  <c r="I143" i="2" s="1"/>
  <c r="L143" i="2" s="1"/>
  <c r="D144" i="2"/>
  <c r="E144" i="2" s="1"/>
  <c r="F144" i="2" s="1"/>
  <c r="G144" i="2" s="1"/>
  <c r="H144" i="2" s="1"/>
  <c r="I144" i="2" s="1"/>
  <c r="L144" i="2" s="1"/>
  <c r="D145" i="2"/>
  <c r="E145" i="2" s="1"/>
  <c r="F145" i="2" s="1"/>
  <c r="G145" i="2" s="1"/>
  <c r="H145" i="2" s="1"/>
  <c r="D146" i="2"/>
  <c r="E146" i="2" s="1"/>
  <c r="F146" i="2" s="1"/>
  <c r="G146" i="2" s="1"/>
  <c r="H146" i="2" s="1"/>
  <c r="D147" i="2"/>
  <c r="E147" i="2" s="1"/>
  <c r="F147" i="2" s="1"/>
  <c r="G147" i="2" s="1"/>
  <c r="H147" i="2" s="1"/>
  <c r="D148" i="2"/>
  <c r="E148" i="2" s="1"/>
  <c r="F148" i="2" s="1"/>
  <c r="G148" i="2" s="1"/>
  <c r="H148" i="2" s="1"/>
  <c r="D149" i="2"/>
  <c r="E149" i="2" s="1"/>
  <c r="F149" i="2" s="1"/>
  <c r="D150" i="2"/>
  <c r="E150" i="2" s="1"/>
  <c r="F150" i="2" s="1"/>
  <c r="G150" i="2" s="1"/>
  <c r="H150" i="2" s="1"/>
  <c r="I150" i="2" s="1"/>
  <c r="L150" i="2" s="1"/>
  <c r="D151" i="2"/>
  <c r="E151" i="2" s="1"/>
  <c r="F151" i="2" s="1"/>
  <c r="G151" i="2" s="1"/>
  <c r="H151" i="2" s="1"/>
  <c r="I151" i="2" s="1"/>
  <c r="L151" i="2" s="1"/>
  <c r="D152" i="2"/>
  <c r="E152" i="2" s="1"/>
  <c r="F152" i="2" s="1"/>
  <c r="G152" i="2" s="1"/>
  <c r="H152" i="2" s="1"/>
  <c r="I152" i="2" s="1"/>
  <c r="L152" i="2" s="1"/>
  <c r="Q152" i="2" s="1"/>
  <c r="P152" i="2" s="1"/>
  <c r="D153" i="2"/>
  <c r="E153" i="2" s="1"/>
  <c r="F153" i="2" s="1"/>
  <c r="G153" i="2" s="1"/>
  <c r="H153" i="2" s="1"/>
  <c r="I153" i="2" s="1"/>
  <c r="L153" i="2" s="1"/>
  <c r="Q153" i="2" s="1"/>
  <c r="P153" i="2" s="1"/>
  <c r="D154" i="2"/>
  <c r="E154" i="2" s="1"/>
  <c r="F154" i="2" s="1"/>
  <c r="G154" i="2" s="1"/>
  <c r="H154" i="2" s="1"/>
  <c r="I154" i="2" s="1"/>
  <c r="L154" i="2" s="1"/>
  <c r="Q154" i="2" s="1"/>
  <c r="P154" i="2" s="1"/>
  <c r="D4" i="2"/>
  <c r="F4" i="2" s="1"/>
  <c r="M74" i="2" l="1"/>
  <c r="M50" i="2"/>
  <c r="M30" i="2"/>
  <c r="M26" i="2"/>
  <c r="M6" i="2"/>
  <c r="M133" i="2"/>
  <c r="M144" i="2"/>
  <c r="M120" i="2"/>
  <c r="M108" i="2"/>
  <c r="M96" i="2"/>
  <c r="M84" i="2"/>
  <c r="M72" i="2"/>
  <c r="M60" i="2"/>
  <c r="M48" i="2"/>
  <c r="M36" i="2"/>
  <c r="M12" i="2"/>
  <c r="M143" i="2"/>
  <c r="M131" i="2"/>
  <c r="M119" i="2"/>
  <c r="M107" i="2"/>
  <c r="M95" i="2"/>
  <c r="M83" i="2"/>
  <c r="M71" i="2"/>
  <c r="M59" i="2"/>
  <c r="M47" i="2"/>
  <c r="M23" i="2"/>
  <c r="M11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153" i="2"/>
  <c r="M141" i="2"/>
  <c r="M129" i="2"/>
  <c r="M117" i="2"/>
  <c r="M105" i="2"/>
  <c r="M93" i="2"/>
  <c r="M81" i="2"/>
  <c r="M69" i="2"/>
  <c r="M57" i="2"/>
  <c r="M45" i="2"/>
  <c r="M33" i="2"/>
  <c r="M21" i="2"/>
  <c r="M9" i="2"/>
  <c r="M152" i="2"/>
  <c r="M140" i="2"/>
  <c r="M128" i="2"/>
  <c r="M116" i="2"/>
  <c r="M104" i="2"/>
  <c r="M92" i="2"/>
  <c r="M80" i="2"/>
  <c r="M68" i="2"/>
  <c r="M56" i="2"/>
  <c r="M44" i="2"/>
  <c r="M32" i="2"/>
  <c r="M20" i="2"/>
  <c r="M8" i="2"/>
  <c r="M151" i="2"/>
  <c r="M139" i="2"/>
  <c r="M127" i="2"/>
  <c r="M115" i="2"/>
  <c r="M103" i="2"/>
  <c r="M91" i="2"/>
  <c r="M79" i="2"/>
  <c r="M67" i="2"/>
  <c r="M55" i="2"/>
  <c r="M31" i="2"/>
  <c r="M19" i="2"/>
  <c r="M7" i="2"/>
  <c r="M150" i="2"/>
  <c r="M126" i="2"/>
  <c r="M102" i="2"/>
  <c r="M78" i="2"/>
  <c r="M16" i="2"/>
  <c r="I37" i="2"/>
  <c r="L37" i="2" s="1"/>
  <c r="I25" i="2"/>
  <c r="L25" i="2" s="1"/>
  <c r="K74" i="2"/>
  <c r="K26" i="2"/>
  <c r="T26" i="2" s="1"/>
  <c r="K50" i="2"/>
  <c r="I35" i="2"/>
  <c r="L35" i="2" s="1"/>
  <c r="I73" i="2"/>
  <c r="L73" i="2" s="1"/>
  <c r="I132" i="2"/>
  <c r="L132" i="2" s="1"/>
  <c r="K132" i="2"/>
  <c r="G43" i="2"/>
  <c r="H43" i="2" s="1"/>
  <c r="I97" i="2"/>
  <c r="L97" i="2" s="1"/>
  <c r="I138" i="2"/>
  <c r="L138" i="2" s="1"/>
  <c r="I114" i="2"/>
  <c r="L114" i="2" s="1"/>
  <c r="I90" i="2"/>
  <c r="L90" i="2" s="1"/>
  <c r="I66" i="2"/>
  <c r="L66" i="2" s="1"/>
  <c r="I42" i="2"/>
  <c r="L42" i="2" s="1"/>
  <c r="I18" i="2"/>
  <c r="L18" i="2" s="1"/>
  <c r="I145" i="2"/>
  <c r="L145" i="2" s="1"/>
  <c r="I121" i="2"/>
  <c r="L121" i="2" s="1"/>
  <c r="G149" i="2"/>
  <c r="H149" i="2" s="1"/>
  <c r="I137" i="2"/>
  <c r="L137" i="2" s="1"/>
  <c r="I125" i="2"/>
  <c r="L125" i="2" s="1"/>
  <c r="I113" i="2"/>
  <c r="L113" i="2" s="1"/>
  <c r="I101" i="2"/>
  <c r="L101" i="2" s="1"/>
  <c r="I89" i="2"/>
  <c r="L89" i="2" s="1"/>
  <c r="I77" i="2"/>
  <c r="L77" i="2" s="1"/>
  <c r="I65" i="2"/>
  <c r="L65" i="2" s="1"/>
  <c r="I53" i="2"/>
  <c r="L53" i="2" s="1"/>
  <c r="K53" i="2"/>
  <c r="I41" i="2"/>
  <c r="L41" i="2" s="1"/>
  <c r="K41" i="2"/>
  <c r="I29" i="2"/>
  <c r="L29" i="2" s="1"/>
  <c r="I17" i="2"/>
  <c r="L17" i="2" s="1"/>
  <c r="I5" i="2"/>
  <c r="L5" i="2" s="1"/>
  <c r="K5" i="2"/>
  <c r="I24" i="2"/>
  <c r="L24" i="2" s="1"/>
  <c r="I148" i="2"/>
  <c r="L148" i="2" s="1"/>
  <c r="Q148" i="2" s="1"/>
  <c r="P148" i="2" s="1"/>
  <c r="I136" i="2"/>
  <c r="L136" i="2" s="1"/>
  <c r="Q136" i="2" s="1"/>
  <c r="P136" i="2" s="1"/>
  <c r="I124" i="2"/>
  <c r="L124" i="2" s="1"/>
  <c r="I112" i="2"/>
  <c r="L112" i="2" s="1"/>
  <c r="I100" i="2"/>
  <c r="L100" i="2" s="1"/>
  <c r="I88" i="2"/>
  <c r="L88" i="2" s="1"/>
  <c r="I76" i="2"/>
  <c r="L76" i="2" s="1"/>
  <c r="I64" i="2"/>
  <c r="L64" i="2" s="1"/>
  <c r="K64" i="2"/>
  <c r="I52" i="2"/>
  <c r="L52" i="2" s="1"/>
  <c r="I40" i="2"/>
  <c r="L40" i="2" s="1"/>
  <c r="Q40" i="2" s="1"/>
  <c r="P40" i="2" s="1"/>
  <c r="I28" i="2"/>
  <c r="L28" i="2" s="1"/>
  <c r="Q28" i="2" s="1"/>
  <c r="P28" i="2" s="1"/>
  <c r="I147" i="2"/>
  <c r="L147" i="2" s="1"/>
  <c r="I135" i="2"/>
  <c r="L135" i="2" s="1"/>
  <c r="I123" i="2"/>
  <c r="L123" i="2" s="1"/>
  <c r="I111" i="2"/>
  <c r="L111" i="2" s="1"/>
  <c r="K111" i="2"/>
  <c r="I99" i="2"/>
  <c r="L99" i="2" s="1"/>
  <c r="I87" i="2"/>
  <c r="L87" i="2" s="1"/>
  <c r="I75" i="2"/>
  <c r="L75" i="2" s="1"/>
  <c r="I63" i="2"/>
  <c r="L63" i="2" s="1"/>
  <c r="I51" i="2"/>
  <c r="L51" i="2" s="1"/>
  <c r="I39" i="2"/>
  <c r="L39" i="2" s="1"/>
  <c r="I27" i="2"/>
  <c r="L27" i="2" s="1"/>
  <c r="I15" i="2"/>
  <c r="L15" i="2" s="1"/>
  <c r="I146" i="2"/>
  <c r="L146" i="2" s="1"/>
  <c r="I134" i="2"/>
  <c r="L134" i="2" s="1"/>
  <c r="I122" i="2"/>
  <c r="L122" i="2" s="1"/>
  <c r="I110" i="2"/>
  <c r="L110" i="2" s="1"/>
  <c r="K110" i="2"/>
  <c r="I98" i="2"/>
  <c r="L98" i="2" s="1"/>
  <c r="I86" i="2"/>
  <c r="L86" i="2" s="1"/>
  <c r="I62" i="2"/>
  <c r="L62" i="2" s="1"/>
  <c r="I38" i="2"/>
  <c r="L38" i="2" s="1"/>
  <c r="I14" i="2"/>
  <c r="L14" i="2" s="1"/>
  <c r="K154" i="2"/>
  <c r="K142" i="2"/>
  <c r="K130" i="2"/>
  <c r="K118" i="2"/>
  <c r="K106" i="2"/>
  <c r="K94" i="2"/>
  <c r="K82" i="2"/>
  <c r="K70" i="2"/>
  <c r="K58" i="2"/>
  <c r="K46" i="2"/>
  <c r="K34" i="2"/>
  <c r="K22" i="2"/>
  <c r="K10" i="2"/>
  <c r="I109" i="2"/>
  <c r="L109" i="2" s="1"/>
  <c r="K153" i="2"/>
  <c r="K141" i="2"/>
  <c r="K129" i="2"/>
  <c r="K117" i="2"/>
  <c r="K105" i="2"/>
  <c r="K93" i="2"/>
  <c r="K81" i="2"/>
  <c r="K69" i="2"/>
  <c r="K57" i="2"/>
  <c r="K45" i="2"/>
  <c r="T45" i="2" s="1"/>
  <c r="K33" i="2"/>
  <c r="K21" i="2"/>
  <c r="K9" i="2"/>
  <c r="K152" i="2"/>
  <c r="K140" i="2"/>
  <c r="T140" i="2" s="1"/>
  <c r="K128" i="2"/>
  <c r="K116" i="2"/>
  <c r="K104" i="2"/>
  <c r="K92" i="2"/>
  <c r="T92" i="2" s="1"/>
  <c r="K80" i="2"/>
  <c r="T80" i="2" s="1"/>
  <c r="K68" i="2"/>
  <c r="K56" i="2"/>
  <c r="K44" i="2"/>
  <c r="K32" i="2"/>
  <c r="K20" i="2"/>
  <c r="K8" i="2"/>
  <c r="I85" i="2"/>
  <c r="L85" i="2" s="1"/>
  <c r="J55" i="2"/>
  <c r="S55" i="2" s="1"/>
  <c r="K151" i="2"/>
  <c r="K139" i="2"/>
  <c r="K127" i="2"/>
  <c r="T127" i="2" s="1"/>
  <c r="K115" i="2"/>
  <c r="T115" i="2" s="1"/>
  <c r="K103" i="2"/>
  <c r="K91" i="2"/>
  <c r="K79" i="2"/>
  <c r="K67" i="2"/>
  <c r="K55" i="2"/>
  <c r="T55" i="2" s="1"/>
  <c r="K31" i="2"/>
  <c r="K19" i="2"/>
  <c r="K7" i="2"/>
  <c r="K150" i="2"/>
  <c r="K126" i="2"/>
  <c r="K102" i="2"/>
  <c r="K78" i="2"/>
  <c r="K54" i="2"/>
  <c r="K30" i="2"/>
  <c r="K6" i="2"/>
  <c r="I61" i="2"/>
  <c r="L61" i="2" s="1"/>
  <c r="I49" i="2"/>
  <c r="L49" i="2" s="1"/>
  <c r="J140" i="2"/>
  <c r="S140" i="2" s="1"/>
  <c r="K16" i="2"/>
  <c r="J80" i="2"/>
  <c r="S80" i="2" s="1"/>
  <c r="I13" i="2"/>
  <c r="L13" i="2" s="1"/>
  <c r="K133" i="2"/>
  <c r="K144" i="2"/>
  <c r="K120" i="2"/>
  <c r="K108" i="2"/>
  <c r="K96" i="2"/>
  <c r="K84" i="2"/>
  <c r="K72" i="2"/>
  <c r="K60" i="2"/>
  <c r="K48" i="2"/>
  <c r="K36" i="2"/>
  <c r="K12" i="2"/>
  <c r="J127" i="2"/>
  <c r="S127" i="2" s="1"/>
  <c r="J92" i="2"/>
  <c r="S92" i="2" s="1"/>
  <c r="K143" i="2"/>
  <c r="K131" i="2"/>
  <c r="K119" i="2"/>
  <c r="K107" i="2"/>
  <c r="K95" i="2"/>
  <c r="K83" i="2"/>
  <c r="K71" i="2"/>
  <c r="K59" i="2"/>
  <c r="K47" i="2"/>
  <c r="K23" i="2"/>
  <c r="K11" i="2"/>
  <c r="G4" i="2"/>
  <c r="H4" i="2" s="1"/>
  <c r="W3" i="2" s="1"/>
  <c r="J96" i="2" l="1"/>
  <c r="S96" i="2" s="1"/>
  <c r="T96" i="2"/>
  <c r="M42" i="2"/>
  <c r="Q42" i="2"/>
  <c r="P42" i="2" s="1"/>
  <c r="M147" i="2"/>
  <c r="Q147" i="2"/>
  <c r="P147" i="2" s="1"/>
  <c r="J142" i="2"/>
  <c r="S142" i="2" s="1"/>
  <c r="T142" i="2"/>
  <c r="J91" i="2"/>
  <c r="S91" i="2" s="1"/>
  <c r="T91" i="2"/>
  <c r="M89" i="2"/>
  <c r="Q89" i="2"/>
  <c r="P89" i="2" s="1"/>
  <c r="J56" i="2"/>
  <c r="S56" i="2" s="1"/>
  <c r="R56" i="2" s="1"/>
  <c r="T56" i="2"/>
  <c r="J22" i="2"/>
  <c r="S22" i="2" s="1"/>
  <c r="T22" i="2"/>
  <c r="M14" i="2"/>
  <c r="Q14" i="2"/>
  <c r="P14" i="2" s="1"/>
  <c r="M39" i="2"/>
  <c r="Q39" i="2"/>
  <c r="P39" i="2" s="1"/>
  <c r="M24" i="2"/>
  <c r="Q24" i="2"/>
  <c r="P24" i="2" s="1"/>
  <c r="M101" i="2"/>
  <c r="Q101" i="2"/>
  <c r="P101" i="2" s="1"/>
  <c r="M90" i="2"/>
  <c r="Q90" i="2"/>
  <c r="P90" i="2" s="1"/>
  <c r="M25" i="2"/>
  <c r="Q25" i="2"/>
  <c r="P25" i="2" s="1"/>
  <c r="J32" i="2"/>
  <c r="S32" i="2" s="1"/>
  <c r="T32" i="2"/>
  <c r="R32" i="2" s="1"/>
  <c r="M27" i="2"/>
  <c r="Q27" i="2"/>
  <c r="P27" i="2" s="1"/>
  <c r="J144" i="2"/>
  <c r="S144" i="2" s="1"/>
  <c r="T144" i="2"/>
  <c r="R144" i="2" s="1"/>
  <c r="J78" i="2"/>
  <c r="S78" i="2" s="1"/>
  <c r="R78" i="2" s="1"/>
  <c r="T78" i="2"/>
  <c r="J68" i="2"/>
  <c r="S68" i="2" s="1"/>
  <c r="R68" i="2" s="1"/>
  <c r="T68" i="2"/>
  <c r="J57" i="2"/>
  <c r="S57" i="2" s="1"/>
  <c r="T57" i="2"/>
  <c r="J34" i="2"/>
  <c r="S34" i="2" s="1"/>
  <c r="T34" i="2"/>
  <c r="M38" i="2"/>
  <c r="Q38" i="2"/>
  <c r="P38" i="2" s="1"/>
  <c r="M51" i="2"/>
  <c r="Q51" i="2"/>
  <c r="P51" i="2" s="1"/>
  <c r="J5" i="2"/>
  <c r="T5" i="2"/>
  <c r="M113" i="2"/>
  <c r="Q113" i="2"/>
  <c r="P113" i="2" s="1"/>
  <c r="M114" i="2"/>
  <c r="Q114" i="2"/>
  <c r="P114" i="2" s="1"/>
  <c r="M37" i="2"/>
  <c r="Q37" i="2"/>
  <c r="P37" i="2" s="1"/>
  <c r="J119" i="2"/>
  <c r="S119" i="2" s="1"/>
  <c r="T119" i="2"/>
  <c r="R119" i="2" s="1"/>
  <c r="M15" i="2"/>
  <c r="Q15" i="2"/>
  <c r="P15" i="2" s="1"/>
  <c r="J54" i="2"/>
  <c r="S54" i="2" s="1"/>
  <c r="R54" i="2" s="1"/>
  <c r="T54" i="2"/>
  <c r="J11" i="2"/>
  <c r="S11" i="2" s="1"/>
  <c r="T11" i="2"/>
  <c r="J26" i="2"/>
  <c r="S26" i="2" s="1"/>
  <c r="R26" i="2" s="1"/>
  <c r="J102" i="2"/>
  <c r="S102" i="2" s="1"/>
  <c r="T102" i="2"/>
  <c r="R127" i="2"/>
  <c r="R80" i="2"/>
  <c r="J69" i="2"/>
  <c r="S69" i="2" s="1"/>
  <c r="R69" i="2" s="1"/>
  <c r="T69" i="2"/>
  <c r="J46" i="2"/>
  <c r="S46" i="2" s="1"/>
  <c r="T46" i="2"/>
  <c r="M62" i="2"/>
  <c r="Q62" i="2"/>
  <c r="P62" i="2" s="1"/>
  <c r="M63" i="2"/>
  <c r="Q63" i="2"/>
  <c r="P63" i="2" s="1"/>
  <c r="M52" i="2"/>
  <c r="Q52" i="2"/>
  <c r="P52" i="2" s="1"/>
  <c r="M5" i="2"/>
  <c r="Q5" i="2"/>
  <c r="P5" i="2" s="1"/>
  <c r="K125" i="2"/>
  <c r="M138" i="2"/>
  <c r="Q138" i="2"/>
  <c r="P138" i="2" s="1"/>
  <c r="J79" i="2"/>
  <c r="S79" i="2" s="1"/>
  <c r="T79" i="2"/>
  <c r="J108" i="2"/>
  <c r="S108" i="2" s="1"/>
  <c r="R108" i="2" s="1"/>
  <c r="T108" i="2"/>
  <c r="J45" i="2"/>
  <c r="S45" i="2" s="1"/>
  <c r="R45" i="2" s="1"/>
  <c r="J126" i="2"/>
  <c r="S126" i="2" s="1"/>
  <c r="T126" i="2"/>
  <c r="R92" i="2"/>
  <c r="J81" i="2"/>
  <c r="S81" i="2" s="1"/>
  <c r="R81" i="2" s="1"/>
  <c r="T81" i="2"/>
  <c r="J58" i="2"/>
  <c r="S58" i="2" s="1"/>
  <c r="T58" i="2"/>
  <c r="M86" i="2"/>
  <c r="Q86" i="2"/>
  <c r="P86" i="2" s="1"/>
  <c r="M75" i="2"/>
  <c r="Q75" i="2"/>
  <c r="P75" i="2" s="1"/>
  <c r="J64" i="2"/>
  <c r="S64" i="2" s="1"/>
  <c r="T64" i="2"/>
  <c r="M17" i="2"/>
  <c r="Q17" i="2"/>
  <c r="P17" i="2" s="1"/>
  <c r="M125" i="2"/>
  <c r="Q125" i="2"/>
  <c r="P125" i="2" s="1"/>
  <c r="M97" i="2"/>
  <c r="Q97" i="2"/>
  <c r="P97" i="2" s="1"/>
  <c r="M28" i="2"/>
  <c r="J23" i="2"/>
  <c r="S23" i="2" s="1"/>
  <c r="T23" i="2"/>
  <c r="J133" i="2"/>
  <c r="S133" i="2" s="1"/>
  <c r="R133" i="2" s="1"/>
  <c r="T133" i="2"/>
  <c r="J139" i="2"/>
  <c r="S139" i="2" s="1"/>
  <c r="T139" i="2"/>
  <c r="R139" i="2" s="1"/>
  <c r="J47" i="2"/>
  <c r="S47" i="2" s="1"/>
  <c r="T47" i="2"/>
  <c r="J12" i="2"/>
  <c r="S12" i="2" s="1"/>
  <c r="T12" i="2"/>
  <c r="M13" i="2"/>
  <c r="Q13" i="2"/>
  <c r="P13" i="2" s="1"/>
  <c r="J150" i="2"/>
  <c r="S150" i="2" s="1"/>
  <c r="T150" i="2"/>
  <c r="J151" i="2"/>
  <c r="S151" i="2" s="1"/>
  <c r="R151" i="2" s="1"/>
  <c r="T151" i="2"/>
  <c r="J104" i="2"/>
  <c r="S104" i="2" s="1"/>
  <c r="T104" i="2"/>
  <c r="J93" i="2"/>
  <c r="S93" i="2" s="1"/>
  <c r="T93" i="2"/>
  <c r="R93" i="2" s="1"/>
  <c r="J70" i="2"/>
  <c r="S70" i="2" s="1"/>
  <c r="R70" i="2" s="1"/>
  <c r="T70" i="2"/>
  <c r="M98" i="2"/>
  <c r="Q98" i="2"/>
  <c r="P98" i="2" s="1"/>
  <c r="M87" i="2"/>
  <c r="Q87" i="2"/>
  <c r="P87" i="2" s="1"/>
  <c r="M64" i="2"/>
  <c r="Q64" i="2"/>
  <c r="P64" i="2" s="1"/>
  <c r="M29" i="2"/>
  <c r="Q29" i="2"/>
  <c r="P29" i="2" s="1"/>
  <c r="M137" i="2"/>
  <c r="Q137" i="2"/>
  <c r="P137" i="2" s="1"/>
  <c r="M40" i="2"/>
  <c r="J21" i="2"/>
  <c r="S21" i="2" s="1"/>
  <c r="T21" i="2"/>
  <c r="R21" i="2" s="1"/>
  <c r="J30" i="2"/>
  <c r="S30" i="2" s="1"/>
  <c r="R30" i="2" s="1"/>
  <c r="T30" i="2"/>
  <c r="J10" i="2"/>
  <c r="T10" i="2"/>
  <c r="J74" i="2"/>
  <c r="S74" i="2" s="1"/>
  <c r="T74" i="2"/>
  <c r="R74" i="2" s="1"/>
  <c r="J120" i="2"/>
  <c r="S120" i="2" s="1"/>
  <c r="T120" i="2"/>
  <c r="J82" i="2"/>
  <c r="S82" i="2" s="1"/>
  <c r="R82" i="2" s="1"/>
  <c r="T82" i="2"/>
  <c r="J48" i="2"/>
  <c r="S48" i="2" s="1"/>
  <c r="T48" i="2"/>
  <c r="J115" i="2"/>
  <c r="S115" i="2" s="1"/>
  <c r="R115" i="2" s="1"/>
  <c r="M110" i="2"/>
  <c r="Q110" i="2"/>
  <c r="P110" i="2" s="1"/>
  <c r="M41" i="2"/>
  <c r="Q41" i="2"/>
  <c r="P41" i="2" s="1"/>
  <c r="M148" i="2"/>
  <c r="M109" i="2"/>
  <c r="Q109" i="2"/>
  <c r="P109" i="2" s="1"/>
  <c r="J33" i="2"/>
  <c r="S33" i="2" s="1"/>
  <c r="R33" i="2" s="1"/>
  <c r="T33" i="2"/>
  <c r="J143" i="2"/>
  <c r="S143" i="2" s="1"/>
  <c r="T143" i="2"/>
  <c r="J36" i="2"/>
  <c r="S36" i="2" s="1"/>
  <c r="T36" i="2"/>
  <c r="J116" i="2"/>
  <c r="S116" i="2" s="1"/>
  <c r="R116" i="2" s="1"/>
  <c r="T116" i="2"/>
  <c r="M76" i="2"/>
  <c r="Q76" i="2"/>
  <c r="P76" i="2" s="1"/>
  <c r="M136" i="2"/>
  <c r="J71" i="2"/>
  <c r="S71" i="2" s="1"/>
  <c r="T71" i="2"/>
  <c r="R71" i="2" s="1"/>
  <c r="J94" i="2"/>
  <c r="S94" i="2" s="1"/>
  <c r="T94" i="2"/>
  <c r="M132" i="2"/>
  <c r="Q132" i="2"/>
  <c r="P132" i="2" s="1"/>
  <c r="J83" i="2"/>
  <c r="S83" i="2" s="1"/>
  <c r="T83" i="2"/>
  <c r="J60" i="2"/>
  <c r="S60" i="2" s="1"/>
  <c r="T60" i="2"/>
  <c r="J31" i="2"/>
  <c r="S31" i="2" s="1"/>
  <c r="T31" i="2"/>
  <c r="R31" i="2" s="1"/>
  <c r="M85" i="2"/>
  <c r="Q85" i="2"/>
  <c r="P85" i="2" s="1"/>
  <c r="R140" i="2"/>
  <c r="J129" i="2"/>
  <c r="S129" i="2" s="1"/>
  <c r="T129" i="2"/>
  <c r="J106" i="2"/>
  <c r="S106" i="2" s="1"/>
  <c r="R106" i="2" s="1"/>
  <c r="T106" i="2"/>
  <c r="M122" i="2"/>
  <c r="Q122" i="2"/>
  <c r="P122" i="2" s="1"/>
  <c r="M111" i="2"/>
  <c r="Q111" i="2"/>
  <c r="P111" i="2" s="1"/>
  <c r="M100" i="2"/>
  <c r="Q100" i="2"/>
  <c r="P100" i="2" s="1"/>
  <c r="J53" i="2"/>
  <c r="S53" i="2" s="1"/>
  <c r="R53" i="2" s="1"/>
  <c r="T53" i="2"/>
  <c r="M145" i="2"/>
  <c r="Q145" i="2"/>
  <c r="P145" i="2" s="1"/>
  <c r="M73" i="2"/>
  <c r="Q73" i="2"/>
  <c r="P73" i="2" s="1"/>
  <c r="M135" i="2"/>
  <c r="Q135" i="2"/>
  <c r="P135" i="2" s="1"/>
  <c r="J131" i="2"/>
  <c r="S131" i="2" s="1"/>
  <c r="T131" i="2"/>
  <c r="R131" i="2" s="1"/>
  <c r="J154" i="2"/>
  <c r="S154" i="2" s="1"/>
  <c r="T154" i="2"/>
  <c r="M66" i="2"/>
  <c r="Q66" i="2"/>
  <c r="P66" i="2" s="1"/>
  <c r="J103" i="2"/>
  <c r="S103" i="2" s="1"/>
  <c r="T103" i="2"/>
  <c r="J105" i="2"/>
  <c r="S105" i="2" s="1"/>
  <c r="T105" i="2"/>
  <c r="M99" i="2"/>
  <c r="Q99" i="2"/>
  <c r="P99" i="2" s="1"/>
  <c r="J41" i="2"/>
  <c r="S41" i="2" s="1"/>
  <c r="T41" i="2"/>
  <c r="J19" i="2"/>
  <c r="S19" i="2" s="1"/>
  <c r="T19" i="2"/>
  <c r="J128" i="2"/>
  <c r="S128" i="2" s="1"/>
  <c r="R128" i="2" s="1"/>
  <c r="T128" i="2"/>
  <c r="J111" i="2"/>
  <c r="S111" i="2" s="1"/>
  <c r="T111" i="2"/>
  <c r="R111" i="2" s="1"/>
  <c r="M121" i="2"/>
  <c r="Q121" i="2"/>
  <c r="P121" i="2" s="1"/>
  <c r="J95" i="2"/>
  <c r="S95" i="2" s="1"/>
  <c r="T95" i="2"/>
  <c r="J72" i="2"/>
  <c r="S72" i="2" s="1"/>
  <c r="T72" i="2"/>
  <c r="M49" i="2"/>
  <c r="Q49" i="2"/>
  <c r="P49" i="2" s="1"/>
  <c r="R55" i="2"/>
  <c r="J8" i="2"/>
  <c r="T8" i="2"/>
  <c r="J152" i="2"/>
  <c r="S152" i="2" s="1"/>
  <c r="T152" i="2"/>
  <c r="R152" i="2" s="1"/>
  <c r="J141" i="2"/>
  <c r="S141" i="2" s="1"/>
  <c r="R141" i="2" s="1"/>
  <c r="T141" i="2"/>
  <c r="J118" i="2"/>
  <c r="S118" i="2" s="1"/>
  <c r="R118" i="2" s="1"/>
  <c r="T118" i="2"/>
  <c r="M134" i="2"/>
  <c r="Q134" i="2"/>
  <c r="P134" i="2" s="1"/>
  <c r="M123" i="2"/>
  <c r="Q123" i="2"/>
  <c r="P123" i="2" s="1"/>
  <c r="M112" i="2"/>
  <c r="Q112" i="2"/>
  <c r="P112" i="2" s="1"/>
  <c r="M53" i="2"/>
  <c r="Q53" i="2"/>
  <c r="P53" i="2" s="1"/>
  <c r="M18" i="2"/>
  <c r="Q18" i="2"/>
  <c r="P18" i="2" s="1"/>
  <c r="M35" i="2"/>
  <c r="Q35" i="2"/>
  <c r="P35" i="2" s="1"/>
  <c r="J6" i="2"/>
  <c r="T6" i="2"/>
  <c r="M77" i="2"/>
  <c r="Q77" i="2"/>
  <c r="P77" i="2" s="1"/>
  <c r="J44" i="2"/>
  <c r="S44" i="2" s="1"/>
  <c r="T44" i="2"/>
  <c r="J59" i="2"/>
  <c r="S59" i="2" s="1"/>
  <c r="T59" i="2"/>
  <c r="R59" i="2" s="1"/>
  <c r="J7" i="2"/>
  <c r="T7" i="2"/>
  <c r="J110" i="2"/>
  <c r="S110" i="2" s="1"/>
  <c r="T110" i="2"/>
  <c r="J132" i="2"/>
  <c r="S132" i="2" s="1"/>
  <c r="T132" i="2"/>
  <c r="J16" i="2"/>
  <c r="S16" i="2" s="1"/>
  <c r="T16" i="2"/>
  <c r="J117" i="2"/>
  <c r="S117" i="2" s="1"/>
  <c r="T117" i="2"/>
  <c r="M88" i="2"/>
  <c r="Q88" i="2"/>
  <c r="P88" i="2" s="1"/>
  <c r="J107" i="2"/>
  <c r="S107" i="2" s="1"/>
  <c r="R107" i="2" s="1"/>
  <c r="T107" i="2"/>
  <c r="J84" i="2"/>
  <c r="S84" i="2" s="1"/>
  <c r="T84" i="2"/>
  <c r="M61" i="2"/>
  <c r="Q61" i="2"/>
  <c r="P61" i="2" s="1"/>
  <c r="J67" i="2"/>
  <c r="S67" i="2" s="1"/>
  <c r="T67" i="2"/>
  <c r="R67" i="2" s="1"/>
  <c r="J20" i="2"/>
  <c r="S20" i="2" s="1"/>
  <c r="T20" i="2"/>
  <c r="R20" i="2" s="1"/>
  <c r="J9" i="2"/>
  <c r="S9" i="2" s="1"/>
  <c r="T9" i="2"/>
  <c r="J153" i="2"/>
  <c r="S153" i="2" s="1"/>
  <c r="T153" i="2"/>
  <c r="J130" i="2"/>
  <c r="S130" i="2" s="1"/>
  <c r="R130" i="2" s="1"/>
  <c r="T130" i="2"/>
  <c r="M146" i="2"/>
  <c r="Q146" i="2"/>
  <c r="P146" i="2" s="1"/>
  <c r="K135" i="2"/>
  <c r="M124" i="2"/>
  <c r="Q124" i="2"/>
  <c r="P124" i="2" s="1"/>
  <c r="M65" i="2"/>
  <c r="Q65" i="2"/>
  <c r="P65" i="2" s="1"/>
  <c r="K42" i="2"/>
  <c r="J50" i="2"/>
  <c r="S50" i="2" s="1"/>
  <c r="R50" i="2" s="1"/>
  <c r="T50" i="2"/>
  <c r="K122" i="2"/>
  <c r="K136" i="2"/>
  <c r="K148" i="2"/>
  <c r="K51" i="2"/>
  <c r="K63" i="2"/>
  <c r="K89" i="2"/>
  <c r="K147" i="2"/>
  <c r="K77" i="2"/>
  <c r="K123" i="2"/>
  <c r="K17" i="2"/>
  <c r="K62" i="2"/>
  <c r="K39" i="2"/>
  <c r="K100" i="2"/>
  <c r="K109" i="2"/>
  <c r="K113" i="2"/>
  <c r="K14" i="2"/>
  <c r="K134" i="2"/>
  <c r="K75" i="2"/>
  <c r="K28" i="2"/>
  <c r="K112" i="2"/>
  <c r="K90" i="2"/>
  <c r="K38" i="2"/>
  <c r="K146" i="2"/>
  <c r="K40" i="2"/>
  <c r="K114" i="2"/>
  <c r="K25" i="2"/>
  <c r="K76" i="2"/>
  <c r="K18" i="2"/>
  <c r="K37" i="2"/>
  <c r="K121" i="2"/>
  <c r="K52" i="2"/>
  <c r="K124" i="2"/>
  <c r="K29" i="2"/>
  <c r="K101" i="2"/>
  <c r="K145" i="2"/>
  <c r="K138" i="2"/>
  <c r="K73" i="2"/>
  <c r="K13" i="2"/>
  <c r="T13" i="2" s="1"/>
  <c r="J13" i="2"/>
  <c r="S13" i="2" s="1"/>
  <c r="R13" i="2" s="1"/>
  <c r="K85" i="2"/>
  <c r="K97" i="2"/>
  <c r="K61" i="2"/>
  <c r="K88" i="2"/>
  <c r="K24" i="2"/>
  <c r="K65" i="2"/>
  <c r="K137" i="2"/>
  <c r="K66" i="2"/>
  <c r="K86" i="2"/>
  <c r="K15" i="2"/>
  <c r="K87" i="2"/>
  <c r="K49" i="2"/>
  <c r="I43" i="2"/>
  <c r="L43" i="2" s="1"/>
  <c r="K35" i="2"/>
  <c r="K98" i="2"/>
  <c r="K27" i="2"/>
  <c r="K99" i="2"/>
  <c r="I149" i="2"/>
  <c r="L149" i="2" s="1"/>
  <c r="I4" i="2"/>
  <c r="L4" i="2" s="1"/>
  <c r="Q4" i="2" s="1"/>
  <c r="P4" i="2" s="1"/>
  <c r="U45" i="2" l="1"/>
  <c r="V45" i="2"/>
  <c r="J98" i="2"/>
  <c r="S98" i="2" s="1"/>
  <c r="R98" i="2" s="1"/>
  <c r="T98" i="2"/>
  <c r="J121" i="2"/>
  <c r="S121" i="2" s="1"/>
  <c r="T121" i="2"/>
  <c r="J89" i="2"/>
  <c r="S89" i="2" s="1"/>
  <c r="R89" i="2" s="1"/>
  <c r="T89" i="2"/>
  <c r="U20" i="2"/>
  <c r="V20" i="2"/>
  <c r="R103" i="2"/>
  <c r="R129" i="2"/>
  <c r="R143" i="2"/>
  <c r="R48" i="2"/>
  <c r="R58" i="2"/>
  <c r="U152" i="2"/>
  <c r="V152" i="2"/>
  <c r="V54" i="2"/>
  <c r="U54" i="2"/>
  <c r="J52" i="2"/>
  <c r="S52" i="2" s="1"/>
  <c r="T52" i="2"/>
  <c r="U21" i="2"/>
  <c r="V21" i="2"/>
  <c r="J61" i="2"/>
  <c r="S61" i="2" s="1"/>
  <c r="R61" i="2" s="1"/>
  <c r="T61" i="2"/>
  <c r="J75" i="2"/>
  <c r="S75" i="2" s="1"/>
  <c r="T75" i="2"/>
  <c r="R75" i="2" s="1"/>
  <c r="J35" i="2"/>
  <c r="S35" i="2" s="1"/>
  <c r="T35" i="2"/>
  <c r="J97" i="2"/>
  <c r="S97" i="2" s="1"/>
  <c r="T97" i="2"/>
  <c r="J37" i="2"/>
  <c r="S37" i="2" s="1"/>
  <c r="R37" i="2" s="1"/>
  <c r="T37" i="2"/>
  <c r="J134" i="2"/>
  <c r="S134" i="2" s="1"/>
  <c r="T134" i="2"/>
  <c r="J63" i="2"/>
  <c r="S63" i="2" s="1"/>
  <c r="T63" i="2"/>
  <c r="R117" i="2"/>
  <c r="R44" i="2"/>
  <c r="S8" i="2"/>
  <c r="R8" i="2" s="1"/>
  <c r="U140" i="2"/>
  <c r="V140" i="2"/>
  <c r="R94" i="2"/>
  <c r="U70" i="2"/>
  <c r="V70" i="2"/>
  <c r="R12" i="2"/>
  <c r="J125" i="2"/>
  <c r="S125" i="2" s="1"/>
  <c r="R125" i="2" s="1"/>
  <c r="T125" i="2"/>
  <c r="V69" i="2"/>
  <c r="U69" i="2"/>
  <c r="U119" i="2"/>
  <c r="V119" i="2"/>
  <c r="R91" i="2"/>
  <c r="J99" i="2"/>
  <c r="S99" i="2" s="1"/>
  <c r="T99" i="2"/>
  <c r="R99" i="2" s="1"/>
  <c r="J27" i="2"/>
  <c r="S27" i="2" s="1"/>
  <c r="T27" i="2"/>
  <c r="R27" i="2" s="1"/>
  <c r="U55" i="2"/>
  <c r="V55" i="2"/>
  <c r="U33" i="2"/>
  <c r="V33" i="2"/>
  <c r="U82" i="2"/>
  <c r="V82" i="2"/>
  <c r="U93" i="2"/>
  <c r="V93" i="2"/>
  <c r="V81" i="2"/>
  <c r="U81" i="2"/>
  <c r="U80" i="2"/>
  <c r="V80" i="2"/>
  <c r="J49" i="2"/>
  <c r="S49" i="2" s="1"/>
  <c r="R49" i="2" s="1"/>
  <c r="T49" i="2"/>
  <c r="R47" i="2"/>
  <c r="U92" i="2"/>
  <c r="V92" i="2"/>
  <c r="U127" i="2"/>
  <c r="V127" i="2"/>
  <c r="U32" i="2"/>
  <c r="V32" i="2"/>
  <c r="R142" i="2"/>
  <c r="J77" i="2"/>
  <c r="S77" i="2" s="1"/>
  <c r="T77" i="2"/>
  <c r="U106" i="2"/>
  <c r="V106" i="2"/>
  <c r="V78" i="2"/>
  <c r="U78" i="2"/>
  <c r="J147" i="2"/>
  <c r="S147" i="2" s="1"/>
  <c r="T147" i="2"/>
  <c r="R147" i="2" s="1"/>
  <c r="V111" i="2"/>
  <c r="U111" i="2"/>
  <c r="J51" i="2"/>
  <c r="S51" i="2" s="1"/>
  <c r="T51" i="2"/>
  <c r="R51" i="2" s="1"/>
  <c r="U71" i="2"/>
  <c r="V71" i="2"/>
  <c r="J113" i="2"/>
  <c r="S113" i="2" s="1"/>
  <c r="R113" i="2" s="1"/>
  <c r="T113" i="2"/>
  <c r="J109" i="2"/>
  <c r="S109" i="2" s="1"/>
  <c r="T109" i="2"/>
  <c r="R154" i="2"/>
  <c r="U31" i="2"/>
  <c r="V31" i="2"/>
  <c r="R120" i="2"/>
  <c r="U139" i="2"/>
  <c r="V139" i="2"/>
  <c r="R34" i="2"/>
  <c r="J112" i="2"/>
  <c r="S112" i="2" s="1"/>
  <c r="T112" i="2"/>
  <c r="J28" i="2"/>
  <c r="S28" i="2" s="1"/>
  <c r="T28" i="2"/>
  <c r="V144" i="2"/>
  <c r="U144" i="2"/>
  <c r="J18" i="2"/>
  <c r="S18" i="2" s="1"/>
  <c r="T18" i="2"/>
  <c r="V13" i="2"/>
  <c r="U13" i="2"/>
  <c r="J135" i="2"/>
  <c r="S135" i="2" s="1"/>
  <c r="T135" i="2"/>
  <c r="R135" i="2" s="1"/>
  <c r="J87" i="2"/>
  <c r="S87" i="2" s="1"/>
  <c r="T87" i="2"/>
  <c r="R87" i="2" s="1"/>
  <c r="J25" i="2"/>
  <c r="S25" i="2" s="1"/>
  <c r="T25" i="2"/>
  <c r="J136" i="2"/>
  <c r="S136" i="2" s="1"/>
  <c r="R136" i="2" s="1"/>
  <c r="T136" i="2"/>
  <c r="J73" i="2"/>
  <c r="S73" i="2" s="1"/>
  <c r="T73" i="2"/>
  <c r="J100" i="2"/>
  <c r="S100" i="2" s="1"/>
  <c r="T100" i="2"/>
  <c r="J122" i="2"/>
  <c r="S122" i="2" s="1"/>
  <c r="T122" i="2"/>
  <c r="R132" i="2"/>
  <c r="S6" i="2"/>
  <c r="R6" i="2" s="1"/>
  <c r="U131" i="2"/>
  <c r="V131" i="2"/>
  <c r="V74" i="2"/>
  <c r="U74" i="2"/>
  <c r="R104" i="2"/>
  <c r="R126" i="2"/>
  <c r="R102" i="2"/>
  <c r="R57" i="2"/>
  <c r="J24" i="2"/>
  <c r="S24" i="2" s="1"/>
  <c r="T24" i="2"/>
  <c r="J42" i="2"/>
  <c r="S42" i="2" s="1"/>
  <c r="R42" i="2" s="1"/>
  <c r="T42" i="2"/>
  <c r="V30" i="2"/>
  <c r="U30" i="2"/>
  <c r="J88" i="2"/>
  <c r="S88" i="2" s="1"/>
  <c r="T88" i="2"/>
  <c r="J85" i="2"/>
  <c r="S85" i="2" s="1"/>
  <c r="T85" i="2"/>
  <c r="U67" i="2"/>
  <c r="V67" i="2"/>
  <c r="V53" i="2"/>
  <c r="U53" i="2"/>
  <c r="J148" i="2"/>
  <c r="S148" i="2" s="1"/>
  <c r="R148" i="2" s="1"/>
  <c r="T148" i="2"/>
  <c r="R16" i="2"/>
  <c r="R19" i="2"/>
  <c r="J15" i="2"/>
  <c r="S15" i="2" s="1"/>
  <c r="T15" i="2"/>
  <c r="R15" i="2" s="1"/>
  <c r="J114" i="2"/>
  <c r="S114" i="2" s="1"/>
  <c r="T114" i="2"/>
  <c r="R114" i="2" s="1"/>
  <c r="J86" i="2"/>
  <c r="S86" i="2" s="1"/>
  <c r="T86" i="2"/>
  <c r="J138" i="2"/>
  <c r="S138" i="2" s="1"/>
  <c r="T138" i="2"/>
  <c r="J40" i="2"/>
  <c r="S40" i="2" s="1"/>
  <c r="R40" i="2" s="1"/>
  <c r="T40" i="2"/>
  <c r="J39" i="2"/>
  <c r="S39" i="2" s="1"/>
  <c r="T39" i="2"/>
  <c r="R84" i="2"/>
  <c r="R110" i="2"/>
  <c r="R72" i="2"/>
  <c r="R41" i="2"/>
  <c r="R60" i="2"/>
  <c r="R64" i="2"/>
  <c r="V26" i="2"/>
  <c r="U26" i="2"/>
  <c r="R22" i="2"/>
  <c r="J124" i="2"/>
  <c r="S124" i="2" s="1"/>
  <c r="T124" i="2"/>
  <c r="U128" i="2"/>
  <c r="V128" i="2"/>
  <c r="J145" i="2"/>
  <c r="S145" i="2" s="1"/>
  <c r="T145" i="2"/>
  <c r="U130" i="2"/>
  <c r="V130" i="2"/>
  <c r="U118" i="2"/>
  <c r="V118" i="2"/>
  <c r="U151" i="2"/>
  <c r="V151" i="2"/>
  <c r="V133" i="2"/>
  <c r="U133" i="2"/>
  <c r="R11" i="2"/>
  <c r="U59" i="2"/>
  <c r="V59" i="2"/>
  <c r="U115" i="2"/>
  <c r="V115" i="2"/>
  <c r="S5" i="2"/>
  <c r="R5" i="2" s="1"/>
  <c r="R9" i="2"/>
  <c r="R46" i="2"/>
  <c r="M43" i="2"/>
  <c r="Q43" i="2"/>
  <c r="P43" i="2" s="1"/>
  <c r="J14" i="2"/>
  <c r="S14" i="2" s="1"/>
  <c r="T14" i="2"/>
  <c r="J76" i="2"/>
  <c r="S76" i="2" s="1"/>
  <c r="T76" i="2"/>
  <c r="J66" i="2"/>
  <c r="S66" i="2" s="1"/>
  <c r="T66" i="2"/>
  <c r="R66" i="2" s="1"/>
  <c r="J146" i="2"/>
  <c r="S146" i="2" s="1"/>
  <c r="T146" i="2"/>
  <c r="J62" i="2"/>
  <c r="S62" i="2" s="1"/>
  <c r="T62" i="2"/>
  <c r="J137" i="2"/>
  <c r="S137" i="2" s="1"/>
  <c r="R137" i="2" s="1"/>
  <c r="T137" i="2"/>
  <c r="J101" i="2"/>
  <c r="S101" i="2" s="1"/>
  <c r="T101" i="2"/>
  <c r="J38" i="2"/>
  <c r="S38" i="2" s="1"/>
  <c r="T38" i="2"/>
  <c r="J17" i="2"/>
  <c r="S17" i="2" s="1"/>
  <c r="T17" i="2"/>
  <c r="R153" i="2"/>
  <c r="R95" i="2"/>
  <c r="U116" i="2"/>
  <c r="V116" i="2"/>
  <c r="S10" i="2"/>
  <c r="R10" i="2" s="1"/>
  <c r="U108" i="2"/>
  <c r="V108" i="2"/>
  <c r="U68" i="2"/>
  <c r="V68" i="2"/>
  <c r="M149" i="2"/>
  <c r="Q149" i="2"/>
  <c r="P149" i="2" s="1"/>
  <c r="J65" i="2"/>
  <c r="S65" i="2" s="1"/>
  <c r="T65" i="2"/>
  <c r="J29" i="2"/>
  <c r="S29" i="2" s="1"/>
  <c r="T29" i="2"/>
  <c r="J90" i="2"/>
  <c r="S90" i="2" s="1"/>
  <c r="R90" i="2" s="1"/>
  <c r="T90" i="2"/>
  <c r="J123" i="2"/>
  <c r="S123" i="2" s="1"/>
  <c r="T123" i="2"/>
  <c r="R123" i="2" s="1"/>
  <c r="V50" i="2"/>
  <c r="U50" i="2"/>
  <c r="U107" i="2"/>
  <c r="V107" i="2"/>
  <c r="S7" i="2"/>
  <c r="R7" i="2" s="1"/>
  <c r="V141" i="2"/>
  <c r="U141" i="2"/>
  <c r="R105" i="2"/>
  <c r="R83" i="2"/>
  <c r="R36" i="2"/>
  <c r="R150" i="2"/>
  <c r="R23" i="2"/>
  <c r="R79" i="2"/>
  <c r="U56" i="2"/>
  <c r="V56" i="2"/>
  <c r="R96" i="2"/>
  <c r="X3" i="2"/>
  <c r="M4" i="2"/>
  <c r="K43" i="2"/>
  <c r="K149" i="2"/>
  <c r="K4" i="2"/>
  <c r="V137" i="2" l="1"/>
  <c r="U137" i="2"/>
  <c r="V113" i="2"/>
  <c r="U113" i="2"/>
  <c r="V132" i="2"/>
  <c r="U132" i="2"/>
  <c r="V135" i="2"/>
  <c r="U135" i="2"/>
  <c r="R77" i="2"/>
  <c r="V27" i="2"/>
  <c r="U27" i="2"/>
  <c r="R134" i="2"/>
  <c r="U105" i="2"/>
  <c r="V105" i="2"/>
  <c r="V61" i="2"/>
  <c r="U61" i="2"/>
  <c r="R29" i="2"/>
  <c r="R122" i="2"/>
  <c r="V51" i="2"/>
  <c r="U51" i="2"/>
  <c r="U142" i="2"/>
  <c r="V142" i="2"/>
  <c r="U10" i="2"/>
  <c r="V10" i="2"/>
  <c r="V87" i="2"/>
  <c r="U87" i="2"/>
  <c r="U103" i="2"/>
  <c r="V103" i="2"/>
  <c r="U9" i="2"/>
  <c r="V9" i="2"/>
  <c r="V102" i="2"/>
  <c r="U102" i="2"/>
  <c r="V99" i="2"/>
  <c r="U99" i="2"/>
  <c r="U94" i="2"/>
  <c r="V94" i="2"/>
  <c r="V37" i="2"/>
  <c r="U37" i="2"/>
  <c r="R52" i="2"/>
  <c r="V125" i="2"/>
  <c r="U125" i="2"/>
  <c r="R138" i="2"/>
  <c r="U95" i="2"/>
  <c r="V95" i="2"/>
  <c r="U57" i="2"/>
  <c r="V57" i="2"/>
  <c r="V66" i="2"/>
  <c r="U66" i="2"/>
  <c r="R100" i="2"/>
  <c r="V120" i="2"/>
  <c r="U120" i="2"/>
  <c r="V89" i="2"/>
  <c r="U89" i="2"/>
  <c r="R112" i="2"/>
  <c r="R62" i="2"/>
  <c r="V5" i="2"/>
  <c r="U5" i="2"/>
  <c r="U7" i="2"/>
  <c r="V7" i="2"/>
  <c r="U60" i="2"/>
  <c r="V60" i="2"/>
  <c r="R85" i="2"/>
  <c r="U104" i="2"/>
  <c r="V104" i="2"/>
  <c r="U91" i="2"/>
  <c r="V91" i="2"/>
  <c r="R97" i="2"/>
  <c r="V148" i="2"/>
  <c r="U148" i="2"/>
  <c r="V49" i="2"/>
  <c r="U49" i="2"/>
  <c r="U46" i="2"/>
  <c r="V46" i="2"/>
  <c r="R24" i="2"/>
  <c r="R146" i="2"/>
  <c r="V126" i="2"/>
  <c r="U126" i="2"/>
  <c r="R145" i="2"/>
  <c r="V110" i="2"/>
  <c r="U110" i="2"/>
  <c r="V15" i="2"/>
  <c r="U15" i="2"/>
  <c r="R73" i="2"/>
  <c r="R18" i="2"/>
  <c r="V147" i="2"/>
  <c r="U147" i="2"/>
  <c r="R121" i="2"/>
  <c r="V72" i="2"/>
  <c r="U72" i="2"/>
  <c r="U79" i="2"/>
  <c r="V79" i="2"/>
  <c r="U23" i="2"/>
  <c r="V23" i="2"/>
  <c r="R38" i="2"/>
  <c r="R76" i="2"/>
  <c r="V84" i="2"/>
  <c r="U84" i="2"/>
  <c r="R88" i="2"/>
  <c r="U154" i="2"/>
  <c r="V154" i="2"/>
  <c r="U8" i="2"/>
  <c r="V8" i="2"/>
  <c r="R35" i="2"/>
  <c r="V40" i="2"/>
  <c r="U40" i="2"/>
  <c r="U34" i="2"/>
  <c r="V34" i="2"/>
  <c r="R86" i="2"/>
  <c r="R17" i="2"/>
  <c r="T3" i="2"/>
  <c r="T4" i="2"/>
  <c r="J4" i="2"/>
  <c r="S4" i="2" s="1"/>
  <c r="R4" i="2" s="1"/>
  <c r="U11" i="2"/>
  <c r="V11" i="2"/>
  <c r="R39" i="2"/>
  <c r="U19" i="2"/>
  <c r="V19" i="2"/>
  <c r="V136" i="2"/>
  <c r="U136" i="2"/>
  <c r="U44" i="2"/>
  <c r="V44" i="2"/>
  <c r="V75" i="2"/>
  <c r="U75" i="2"/>
  <c r="U58" i="2"/>
  <c r="V58" i="2"/>
  <c r="V98" i="2"/>
  <c r="U98" i="2"/>
  <c r="V90" i="2"/>
  <c r="U90" i="2"/>
  <c r="U22" i="2"/>
  <c r="V22" i="2"/>
  <c r="U12" i="2"/>
  <c r="V12" i="2"/>
  <c r="V64" i="2"/>
  <c r="U64" i="2"/>
  <c r="R65" i="2"/>
  <c r="V41" i="2"/>
  <c r="U41" i="2"/>
  <c r="V150" i="2"/>
  <c r="U150" i="2"/>
  <c r="R101" i="2"/>
  <c r="R109" i="2"/>
  <c r="U47" i="2"/>
  <c r="V47" i="2"/>
  <c r="V117" i="2"/>
  <c r="U117" i="2"/>
  <c r="U48" i="2"/>
  <c r="V48" i="2"/>
  <c r="V42" i="2"/>
  <c r="U42" i="2"/>
  <c r="V129" i="2"/>
  <c r="U129" i="2"/>
  <c r="U96" i="2"/>
  <c r="V96" i="2"/>
  <c r="V153" i="2"/>
  <c r="U153" i="2"/>
  <c r="V114" i="2"/>
  <c r="U114" i="2"/>
  <c r="V123" i="2"/>
  <c r="U123" i="2"/>
  <c r="J149" i="2"/>
  <c r="S149" i="2" s="1"/>
  <c r="T149" i="2"/>
  <c r="U36" i="2"/>
  <c r="V36" i="2"/>
  <c r="R14" i="2"/>
  <c r="V16" i="2"/>
  <c r="U16" i="2"/>
  <c r="J43" i="2"/>
  <c r="S43" i="2" s="1"/>
  <c r="T43" i="2"/>
  <c r="U83" i="2"/>
  <c r="V83" i="2"/>
  <c r="R124" i="2"/>
  <c r="V6" i="2"/>
  <c r="U6" i="2"/>
  <c r="R25" i="2"/>
  <c r="R28" i="2"/>
  <c r="R63" i="2"/>
  <c r="U143" i="2"/>
  <c r="V143" i="2"/>
  <c r="V76" i="2" l="1"/>
  <c r="U76" i="2"/>
  <c r="V86" i="2"/>
  <c r="U86" i="2"/>
  <c r="V77" i="2"/>
  <c r="U77" i="2"/>
  <c r="V134" i="2"/>
  <c r="U134" i="2"/>
  <c r="V109" i="2"/>
  <c r="U109" i="2"/>
  <c r="V138" i="2"/>
  <c r="U138" i="2"/>
  <c r="V122" i="2"/>
  <c r="U122" i="2"/>
  <c r="V14" i="2"/>
  <c r="U14" i="2"/>
  <c r="U35" i="2"/>
  <c r="V35" i="2"/>
  <c r="V62" i="2"/>
  <c r="U62" i="2"/>
  <c r="V112" i="2"/>
  <c r="U112" i="2"/>
  <c r="R149" i="2"/>
  <c r="V29" i="2"/>
  <c r="U29" i="2"/>
  <c r="V101" i="2"/>
  <c r="U101" i="2"/>
  <c r="V28" i="2"/>
  <c r="U28" i="2"/>
  <c r="V124" i="2"/>
  <c r="U124" i="2"/>
  <c r="V65" i="2"/>
  <c r="U65" i="2"/>
  <c r="V4" i="2"/>
  <c r="U4" i="2"/>
  <c r="V63" i="2"/>
  <c r="U63" i="2"/>
  <c r="V39" i="2"/>
  <c r="U39" i="2"/>
  <c r="V97" i="2"/>
  <c r="U97" i="2"/>
  <c r="V121" i="2"/>
  <c r="U121" i="2"/>
  <c r="V146" i="2"/>
  <c r="U146" i="2"/>
  <c r="V52" i="2"/>
  <c r="U52" i="2"/>
  <c r="V18" i="2"/>
  <c r="U18" i="2"/>
  <c r="V73" i="2"/>
  <c r="U73" i="2"/>
  <c r="V25" i="2"/>
  <c r="U25" i="2"/>
  <c r="V145" i="2"/>
  <c r="U145" i="2"/>
  <c r="V88" i="2"/>
  <c r="U88" i="2"/>
  <c r="U24" i="2"/>
  <c r="V24" i="2"/>
  <c r="V85" i="2"/>
  <c r="U85" i="2"/>
  <c r="V38" i="2"/>
  <c r="U38" i="2"/>
  <c r="R43" i="2"/>
  <c r="V17" i="2"/>
  <c r="U17" i="2"/>
  <c r="V100" i="2"/>
  <c r="U100" i="2"/>
  <c r="S3" i="2"/>
  <c r="O4" i="2"/>
  <c r="V3" i="2"/>
  <c r="N4" i="2" l="1"/>
  <c r="O5" i="2"/>
  <c r="U43" i="2"/>
  <c r="V43" i="2"/>
  <c r="V149" i="2"/>
  <c r="U149" i="2"/>
  <c r="O6" i="2" l="1"/>
  <c r="N5" i="2"/>
  <c r="N6" i="2" l="1"/>
  <c r="O7" i="2"/>
  <c r="N7" i="2" l="1"/>
  <c r="O8" i="2"/>
  <c r="O9" i="2" l="1"/>
  <c r="N8" i="2"/>
  <c r="N9" i="2" l="1"/>
  <c r="O10" i="2"/>
  <c r="O11" i="2" l="1"/>
  <c r="N10" i="2"/>
  <c r="N11" i="2" l="1"/>
  <c r="O12" i="2"/>
  <c r="O13" i="2" l="1"/>
  <c r="N12" i="2"/>
  <c r="O14" i="2" l="1"/>
  <c r="N13" i="2"/>
  <c r="N14" i="2" l="1"/>
  <c r="O15" i="2"/>
  <c r="O16" i="2" l="1"/>
  <c r="N15" i="2"/>
  <c r="O17" i="2" l="1"/>
  <c r="N16" i="2"/>
  <c r="N17" i="2" l="1"/>
  <c r="O18" i="2"/>
  <c r="N18" i="2" l="1"/>
  <c r="O19" i="2"/>
  <c r="N19" i="2" l="1"/>
  <c r="O20" i="2"/>
  <c r="N20" i="2" l="1"/>
  <c r="O21" i="2"/>
  <c r="O22" i="2" l="1"/>
  <c r="N21" i="2"/>
  <c r="O23" i="2" l="1"/>
  <c r="N22" i="2"/>
  <c r="O24" i="2" l="1"/>
  <c r="N23" i="2"/>
  <c r="O25" i="2" l="1"/>
  <c r="N24" i="2"/>
  <c r="N25" i="2" l="1"/>
  <c r="O26" i="2"/>
  <c r="N26" i="2" l="1"/>
  <c r="O27" i="2"/>
  <c r="O28" i="2" l="1"/>
  <c r="N27" i="2"/>
  <c r="O29" i="2" l="1"/>
  <c r="N28" i="2"/>
  <c r="N29" i="2" l="1"/>
  <c r="O30" i="2"/>
  <c r="N30" i="2" l="1"/>
  <c r="O31" i="2"/>
  <c r="O32" i="2" l="1"/>
  <c r="N31" i="2"/>
  <c r="O33" i="2" l="1"/>
  <c r="N32" i="2"/>
  <c r="O34" i="2" l="1"/>
  <c r="N33" i="2"/>
  <c r="O35" i="2" l="1"/>
  <c r="N34" i="2"/>
  <c r="N35" i="2" l="1"/>
  <c r="O36" i="2"/>
  <c r="N36" i="2" l="1"/>
  <c r="O37" i="2"/>
  <c r="O38" i="2" l="1"/>
  <c r="N37" i="2"/>
  <c r="N38" i="2" l="1"/>
  <c r="O39" i="2"/>
  <c r="O40" i="2" l="1"/>
  <c r="N39" i="2"/>
  <c r="O41" i="2" l="1"/>
  <c r="N40" i="2"/>
  <c r="O42" i="2" l="1"/>
  <c r="N41" i="2"/>
  <c r="O43" i="2" l="1"/>
  <c r="N42" i="2"/>
  <c r="N43" i="2" l="1"/>
  <c r="O44" i="2"/>
  <c r="O45" i="2" l="1"/>
  <c r="N44" i="2"/>
  <c r="O46" i="2" l="1"/>
  <c r="N45" i="2"/>
  <c r="O47" i="2" l="1"/>
  <c r="N46" i="2"/>
  <c r="O48" i="2" l="1"/>
  <c r="N47" i="2"/>
  <c r="O49" i="2" l="1"/>
  <c r="N48" i="2"/>
  <c r="O50" i="2" l="1"/>
  <c r="N49" i="2"/>
  <c r="N50" i="2" l="1"/>
  <c r="O51" i="2"/>
  <c r="N51" i="2" l="1"/>
  <c r="O52" i="2"/>
  <c r="N52" i="2" l="1"/>
  <c r="O53" i="2"/>
  <c r="N53" i="2" l="1"/>
  <c r="O54" i="2"/>
  <c r="O55" i="2" l="1"/>
  <c r="N54" i="2"/>
  <c r="N55" i="2" l="1"/>
  <c r="O56" i="2"/>
  <c r="N56" i="2" l="1"/>
  <c r="O57" i="2"/>
  <c r="O58" i="2" l="1"/>
  <c r="N57" i="2"/>
  <c r="O59" i="2" l="1"/>
  <c r="N58" i="2"/>
  <c r="N59" i="2" l="1"/>
  <c r="O60" i="2"/>
  <c r="O61" i="2" l="1"/>
  <c r="N60" i="2"/>
  <c r="N61" i="2" l="1"/>
  <c r="O62" i="2"/>
  <c r="N62" i="2" l="1"/>
  <c r="O63" i="2"/>
  <c r="N63" i="2" l="1"/>
  <c r="O64" i="2"/>
  <c r="O65" i="2" l="1"/>
  <c r="N64" i="2"/>
  <c r="N65" i="2" l="1"/>
  <c r="O66" i="2"/>
  <c r="O67" i="2" l="1"/>
  <c r="N66" i="2"/>
  <c r="N67" i="2" l="1"/>
  <c r="O68" i="2"/>
  <c r="N68" i="2" l="1"/>
  <c r="O69" i="2"/>
  <c r="N69" i="2" l="1"/>
  <c r="O70" i="2"/>
  <c r="N70" i="2" l="1"/>
  <c r="O71" i="2"/>
  <c r="O72" i="2" l="1"/>
  <c r="N71" i="2"/>
  <c r="O73" i="2" l="1"/>
  <c r="N72" i="2"/>
  <c r="N73" i="2" l="1"/>
  <c r="O74" i="2"/>
  <c r="N74" i="2" l="1"/>
  <c r="O75" i="2"/>
  <c r="O76" i="2" l="1"/>
  <c r="N75" i="2"/>
  <c r="O77" i="2" l="1"/>
  <c r="N76" i="2"/>
  <c r="N77" i="2" l="1"/>
  <c r="O78" i="2"/>
  <c r="O79" i="2" l="1"/>
  <c r="N78" i="2"/>
  <c r="O80" i="2" l="1"/>
  <c r="N79" i="2"/>
  <c r="O81" i="2" l="1"/>
  <c r="N80" i="2"/>
  <c r="O82" i="2" l="1"/>
  <c r="N81" i="2"/>
  <c r="O83" i="2" l="1"/>
  <c r="N82" i="2"/>
  <c r="N83" i="2" l="1"/>
  <c r="O84" i="2"/>
  <c r="N84" i="2" l="1"/>
  <c r="O85" i="2"/>
  <c r="N85" i="2" l="1"/>
  <c r="O86" i="2"/>
  <c r="N86" i="2" l="1"/>
  <c r="O87" i="2"/>
  <c r="N87" i="2" l="1"/>
  <c r="O88" i="2"/>
  <c r="O89" i="2" l="1"/>
  <c r="N88" i="2"/>
  <c r="N89" i="2" l="1"/>
  <c r="O90" i="2"/>
  <c r="O91" i="2" l="1"/>
  <c r="N90" i="2"/>
  <c r="N91" i="2" l="1"/>
  <c r="O92" i="2"/>
  <c r="N92" i="2" l="1"/>
  <c r="O93" i="2"/>
  <c r="O94" i="2" l="1"/>
  <c r="N93" i="2"/>
  <c r="N94" i="2" l="1"/>
  <c r="O95" i="2"/>
  <c r="O96" i="2" l="1"/>
  <c r="N95" i="2"/>
  <c r="N96" i="2" l="1"/>
  <c r="O97" i="2"/>
  <c r="N97" i="2" l="1"/>
  <c r="O98" i="2"/>
  <c r="O99" i="2" l="1"/>
  <c r="N98" i="2"/>
  <c r="O100" i="2" l="1"/>
  <c r="N99" i="2"/>
  <c r="N100" i="2" l="1"/>
  <c r="O101" i="2"/>
  <c r="N101" i="2" l="1"/>
  <c r="O102" i="2"/>
  <c r="O103" i="2" l="1"/>
  <c r="N102" i="2"/>
  <c r="O104" i="2" l="1"/>
  <c r="N103" i="2"/>
  <c r="O105" i="2" l="1"/>
  <c r="N104" i="2"/>
  <c r="O106" i="2" l="1"/>
  <c r="N105" i="2"/>
  <c r="N106" i="2" l="1"/>
  <c r="O107" i="2"/>
  <c r="O108" i="2" l="1"/>
  <c r="N107" i="2"/>
  <c r="N108" i="2" l="1"/>
  <c r="O109" i="2"/>
  <c r="O110" i="2" l="1"/>
  <c r="N109" i="2"/>
  <c r="N110" i="2" l="1"/>
  <c r="O111" i="2"/>
  <c r="O112" i="2" l="1"/>
  <c r="N111" i="2"/>
  <c r="N112" i="2" l="1"/>
  <c r="O113" i="2"/>
  <c r="N113" i="2" l="1"/>
  <c r="O114" i="2"/>
  <c r="O115" i="2" l="1"/>
  <c r="N114" i="2"/>
  <c r="N115" i="2" l="1"/>
  <c r="O116" i="2"/>
  <c r="O117" i="2" l="1"/>
  <c r="N116" i="2"/>
  <c r="O118" i="2" l="1"/>
  <c r="N117" i="2"/>
  <c r="O119" i="2" l="1"/>
  <c r="N118" i="2"/>
  <c r="O120" i="2" l="1"/>
  <c r="N119" i="2"/>
  <c r="N120" i="2" l="1"/>
  <c r="O121" i="2"/>
  <c r="N121" i="2" l="1"/>
  <c r="O122" i="2"/>
  <c r="N122" i="2" l="1"/>
  <c r="O123" i="2"/>
  <c r="O124" i="2" l="1"/>
  <c r="N123" i="2"/>
  <c r="O125" i="2" l="1"/>
  <c r="N124" i="2"/>
  <c r="N125" i="2" l="1"/>
  <c r="O126" i="2"/>
  <c r="O127" i="2" l="1"/>
  <c r="N126" i="2"/>
  <c r="N127" i="2" l="1"/>
  <c r="O128" i="2"/>
  <c r="N128" i="2" l="1"/>
  <c r="O129" i="2"/>
  <c r="O130" i="2" l="1"/>
  <c r="N129" i="2"/>
  <c r="O131" i="2" l="1"/>
  <c r="N130" i="2"/>
  <c r="N131" i="2" l="1"/>
  <c r="O132" i="2"/>
  <c r="O133" i="2" l="1"/>
  <c r="N132" i="2"/>
  <c r="O134" i="2" l="1"/>
  <c r="N133" i="2"/>
  <c r="O135" i="2" l="1"/>
  <c r="N134" i="2"/>
  <c r="N135" i="2" l="1"/>
  <c r="O136" i="2"/>
  <c r="O137" i="2" l="1"/>
  <c r="N136" i="2"/>
  <c r="O138" i="2" l="1"/>
  <c r="N137" i="2"/>
  <c r="O139" i="2" l="1"/>
  <c r="N138" i="2"/>
  <c r="O140" i="2" l="1"/>
  <c r="N139" i="2"/>
  <c r="N140" i="2" l="1"/>
  <c r="O141" i="2"/>
  <c r="O142" i="2" l="1"/>
  <c r="N141" i="2"/>
  <c r="O143" i="2" l="1"/>
  <c r="N142" i="2"/>
  <c r="O144" i="2" l="1"/>
  <c r="N143" i="2"/>
  <c r="O145" i="2" l="1"/>
  <c r="N144" i="2"/>
  <c r="O146" i="2" l="1"/>
  <c r="N145" i="2"/>
  <c r="O147" i="2" l="1"/>
  <c r="N146" i="2"/>
  <c r="N147" i="2" l="1"/>
  <c r="O148" i="2"/>
  <c r="O149" i="2" l="1"/>
  <c r="N148" i="2"/>
  <c r="O150" i="2" l="1"/>
  <c r="N149" i="2"/>
  <c r="N150" i="2" l="1"/>
  <c r="O151" i="2"/>
  <c r="N151" i="2" l="1"/>
  <c r="O152" i="2"/>
  <c r="N152" i="2" l="1"/>
  <c r="O153" i="2"/>
  <c r="N153" i="2" l="1"/>
  <c r="O154" i="2"/>
  <c r="N154" i="2" s="1"/>
</calcChain>
</file>

<file path=xl/sharedStrings.xml><?xml version="1.0" encoding="utf-8"?>
<sst xmlns="http://schemas.openxmlformats.org/spreadsheetml/2006/main" count="703" uniqueCount="46">
  <si>
    <t>Year</t>
  </si>
  <si>
    <t>Harvest_Mm3_Germany</t>
  </si>
  <si>
    <t>Scaled_Harvest_Mm3</t>
  </si>
  <si>
    <t>Baseline</t>
  </si>
  <si>
    <t>Fluctuation</t>
  </si>
  <si>
    <t>Total_Forecast</t>
  </si>
  <si>
    <t>Scenario</t>
  </si>
  <si>
    <t>BAU</t>
  </si>
  <si>
    <t>Factor</t>
  </si>
  <si>
    <t>Reduced_Yield</t>
  </si>
  <si>
    <t>High_Yield</t>
  </si>
  <si>
    <t>Low_Yield</t>
  </si>
  <si>
    <t>BAU_Forecast</t>
  </si>
  <si>
    <t>Reduced_Yield_Forecast</t>
  </si>
  <si>
    <t>High_Yield_Forecast</t>
  </si>
  <si>
    <t>Low_Yield_Forecast</t>
  </si>
  <si>
    <t>Parameter</t>
  </si>
  <si>
    <t>Value</t>
  </si>
  <si>
    <t>Study Area (km²)</t>
  </si>
  <si>
    <t>Germany West Area (km²)</t>
  </si>
  <si>
    <t>Germany Unified Area (km²)</t>
  </si>
  <si>
    <t>West Scaling Factor</t>
  </si>
  <si>
    <t>Unified Scaling Factor</t>
  </si>
  <si>
    <t>Baseline Start Year</t>
  </si>
  <si>
    <t>Baseline Average (Mm³)</t>
  </si>
  <si>
    <t>Baseline Std Deviation (Mm³)</t>
  </si>
  <si>
    <t>Baseline Min Value (Mm³)</t>
  </si>
  <si>
    <t>Baseline Max Value (Mm³)</t>
  </si>
  <si>
    <t>Baseline Median Value (Mm³)</t>
  </si>
  <si>
    <t>Baseline Period Years</t>
  </si>
  <si>
    <t>Forecast Start Year</t>
  </si>
  <si>
    <t>Forecast End Year</t>
  </si>
  <si>
    <t>Number of Scenarios</t>
  </si>
  <si>
    <t>Calculation Date</t>
  </si>
  <si>
    <t>2025-10-06 20:17:15</t>
  </si>
  <si>
    <t>Scaled Harvest m³</t>
  </si>
  <si>
    <t>Scaled Harvest kg</t>
  </si>
  <si>
    <t>Scaled Harvest Mg</t>
  </si>
  <si>
    <t>Scaled Harvest Mg air dry</t>
  </si>
  <si>
    <t>CC</t>
  </si>
  <si>
    <t>DM</t>
  </si>
  <si>
    <t>WC</t>
  </si>
  <si>
    <t>Atmosphere</t>
  </si>
  <si>
    <t>Environment</t>
  </si>
  <si>
    <t>Wood+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</si>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</sst>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1950</v>
      </c>
      <c r="B2">
        <v>29.21</v>
      </c>
    </row>
    <row r="3" spans="1:2" x14ac:dyDescent="0.25">
      <c r="A3">
        <v>1951</v>
      </c>
      <c r="B3">
        <v>27.57</v>
      </c>
    </row>
    <row r="4" spans="1:2" x14ac:dyDescent="0.25">
      <c r="A4">
        <v>1952</v>
      </c>
      <c r="B4">
        <v>24.54</v>
      </c>
    </row>
    <row r="5" spans="1:2" x14ac:dyDescent="0.25">
      <c r="A5">
        <v>1953</v>
      </c>
      <c r="B5">
        <v>24.34</v>
      </c>
    </row>
    <row r="6" spans="1:2" x14ac:dyDescent="0.25">
      <c r="A6">
        <v>1954</v>
      </c>
      <c r="B6">
        <v>22.8</v>
      </c>
    </row>
    <row r="7" spans="1:2" x14ac:dyDescent="0.25">
      <c r="A7">
        <v>1955</v>
      </c>
      <c r="B7">
        <v>25.44</v>
      </c>
    </row>
    <row r="8" spans="1:2" x14ac:dyDescent="0.25">
      <c r="A8">
        <v>1956</v>
      </c>
      <c r="B8">
        <v>21.61</v>
      </c>
    </row>
    <row r="9" spans="1:2" x14ac:dyDescent="0.25">
      <c r="A9">
        <v>1957</v>
      </c>
      <c r="B9">
        <v>23.78</v>
      </c>
    </row>
    <row r="10" spans="1:2" x14ac:dyDescent="0.25">
      <c r="A10">
        <v>1958</v>
      </c>
      <c r="B10">
        <v>24.03</v>
      </c>
    </row>
    <row r="11" spans="1:2" x14ac:dyDescent="0.25">
      <c r="A11">
        <v>1959</v>
      </c>
      <c r="B11">
        <v>23.65</v>
      </c>
    </row>
    <row r="12" spans="1:2" x14ac:dyDescent="0.25">
      <c r="A12">
        <v>1960</v>
      </c>
      <c r="B12">
        <v>24.68</v>
      </c>
    </row>
    <row r="13" spans="1:2" x14ac:dyDescent="0.25">
      <c r="A13">
        <v>1961</v>
      </c>
      <c r="B13">
        <v>24.97</v>
      </c>
    </row>
    <row r="14" spans="1:2" x14ac:dyDescent="0.25">
      <c r="A14">
        <v>1962</v>
      </c>
      <c r="B14">
        <v>25.08</v>
      </c>
    </row>
    <row r="15" spans="1:2" x14ac:dyDescent="0.25">
      <c r="A15">
        <v>1963</v>
      </c>
      <c r="B15">
        <v>24.09</v>
      </c>
    </row>
    <row r="16" spans="1:2" x14ac:dyDescent="0.25">
      <c r="A16">
        <v>1964</v>
      </c>
      <c r="B16">
        <v>26.66</v>
      </c>
    </row>
    <row r="17" spans="1:2" x14ac:dyDescent="0.25">
      <c r="A17">
        <v>1965</v>
      </c>
      <c r="B17">
        <v>25.72</v>
      </c>
    </row>
    <row r="18" spans="1:2" x14ac:dyDescent="0.25">
      <c r="A18">
        <v>1966</v>
      </c>
      <c r="B18">
        <v>27.4</v>
      </c>
    </row>
    <row r="19" spans="1:2" x14ac:dyDescent="0.25">
      <c r="A19">
        <v>1967</v>
      </c>
      <c r="B19">
        <v>26.18</v>
      </c>
    </row>
    <row r="20" spans="1:2" x14ac:dyDescent="0.25">
      <c r="A20">
        <v>1968</v>
      </c>
      <c r="B20">
        <v>24.9</v>
      </c>
    </row>
    <row r="21" spans="1:2" x14ac:dyDescent="0.25">
      <c r="A21">
        <v>1969</v>
      </c>
      <c r="B21">
        <v>26.96</v>
      </c>
    </row>
    <row r="22" spans="1:2" x14ac:dyDescent="0.25">
      <c r="A22">
        <v>1970</v>
      </c>
      <c r="B22">
        <v>28.01</v>
      </c>
    </row>
    <row r="23" spans="1:2" x14ac:dyDescent="0.25">
      <c r="A23">
        <v>1971</v>
      </c>
      <c r="B23">
        <v>27.87</v>
      </c>
    </row>
    <row r="24" spans="1:2" x14ac:dyDescent="0.25">
      <c r="A24">
        <v>1972</v>
      </c>
      <c r="B24">
        <v>29.74</v>
      </c>
    </row>
    <row r="25" spans="1:2" x14ac:dyDescent="0.25">
      <c r="A25">
        <v>1973</v>
      </c>
      <c r="B25">
        <v>31</v>
      </c>
    </row>
    <row r="26" spans="1:2" x14ac:dyDescent="0.25">
      <c r="A26">
        <v>1974</v>
      </c>
      <c r="B26">
        <v>31.59</v>
      </c>
    </row>
    <row r="27" spans="1:2" x14ac:dyDescent="0.25">
      <c r="A27">
        <v>1975</v>
      </c>
      <c r="B27">
        <v>30.13</v>
      </c>
    </row>
    <row r="28" spans="1:2" x14ac:dyDescent="0.25">
      <c r="A28">
        <v>1976</v>
      </c>
      <c r="B28">
        <v>28.89</v>
      </c>
    </row>
    <row r="29" spans="1:2" x14ac:dyDescent="0.25">
      <c r="A29">
        <v>1977</v>
      </c>
      <c r="B29">
        <v>29.34</v>
      </c>
    </row>
    <row r="30" spans="1:2" x14ac:dyDescent="0.25">
      <c r="A30">
        <v>1978</v>
      </c>
      <c r="B30">
        <v>28.61</v>
      </c>
    </row>
    <row r="31" spans="1:2" x14ac:dyDescent="0.25">
      <c r="A31">
        <v>1979</v>
      </c>
      <c r="B31">
        <v>27.45</v>
      </c>
    </row>
    <row r="32" spans="1:2" x14ac:dyDescent="0.25">
      <c r="A32">
        <v>1980</v>
      </c>
      <c r="B32">
        <v>30.11</v>
      </c>
    </row>
    <row r="33" spans="1:2" x14ac:dyDescent="0.25">
      <c r="A33">
        <v>1981</v>
      </c>
      <c r="B33">
        <v>29.2</v>
      </c>
    </row>
    <row r="34" spans="1:2" x14ac:dyDescent="0.25">
      <c r="A34">
        <v>1982</v>
      </c>
      <c r="B34">
        <v>28.88</v>
      </c>
    </row>
    <row r="35" spans="1:2" x14ac:dyDescent="0.25">
      <c r="A35">
        <v>1983</v>
      </c>
      <c r="B35">
        <v>29.46</v>
      </c>
    </row>
    <row r="36" spans="1:2" x14ac:dyDescent="0.25">
      <c r="A36">
        <v>1984</v>
      </c>
      <c r="B36">
        <v>28.41</v>
      </c>
    </row>
    <row r="37" spans="1:2" x14ac:dyDescent="0.25">
      <c r="A37">
        <v>1985</v>
      </c>
      <c r="B37">
        <v>31.45</v>
      </c>
    </row>
    <row r="38" spans="1:2" x14ac:dyDescent="0.25">
      <c r="A38">
        <v>1986</v>
      </c>
      <c r="B38">
        <v>29.49</v>
      </c>
    </row>
    <row r="39" spans="1:2" x14ac:dyDescent="0.25">
      <c r="A39">
        <v>1987</v>
      </c>
      <c r="B39">
        <v>29.4</v>
      </c>
    </row>
    <row r="40" spans="1:2" x14ac:dyDescent="0.25">
      <c r="A40">
        <v>1988</v>
      </c>
      <c r="B40">
        <v>29.27</v>
      </c>
    </row>
    <row r="41" spans="1:2" x14ac:dyDescent="0.25">
      <c r="A41">
        <v>1989</v>
      </c>
      <c r="B41">
        <v>31.09</v>
      </c>
    </row>
    <row r="42" spans="1:2" x14ac:dyDescent="0.25">
      <c r="A42">
        <v>1990</v>
      </c>
      <c r="B42">
        <v>68.98</v>
      </c>
    </row>
    <row r="43" spans="1:2" x14ac:dyDescent="0.25">
      <c r="A43">
        <v>1991</v>
      </c>
      <c r="B43">
        <v>52.09</v>
      </c>
    </row>
    <row r="44" spans="1:2" x14ac:dyDescent="0.25">
      <c r="A44">
        <v>1992</v>
      </c>
      <c r="B44">
        <v>27.56</v>
      </c>
    </row>
    <row r="45" spans="1:2" x14ac:dyDescent="0.25">
      <c r="A45">
        <v>1993</v>
      </c>
      <c r="B45">
        <v>29.15</v>
      </c>
    </row>
    <row r="46" spans="1:2" x14ac:dyDescent="0.25">
      <c r="A46">
        <v>1994</v>
      </c>
      <c r="B46">
        <v>31.95</v>
      </c>
    </row>
    <row r="47" spans="1:2" x14ac:dyDescent="0.25">
      <c r="A47">
        <v>1995</v>
      </c>
      <c r="B47">
        <v>45.04</v>
      </c>
    </row>
    <row r="48" spans="1:2" x14ac:dyDescent="0.25">
      <c r="A48">
        <v>1996</v>
      </c>
      <c r="B48">
        <v>50.69</v>
      </c>
    </row>
    <row r="49" spans="1:2" x14ac:dyDescent="0.25">
      <c r="A49">
        <v>1997</v>
      </c>
      <c r="B49">
        <v>51.41</v>
      </c>
    </row>
    <row r="50" spans="1:2" x14ac:dyDescent="0.25">
      <c r="A50">
        <v>1998</v>
      </c>
      <c r="B50">
        <v>50.86</v>
      </c>
    </row>
    <row r="51" spans="1:2" x14ac:dyDescent="0.25">
      <c r="A51">
        <v>1999</v>
      </c>
      <c r="B51">
        <v>50.28</v>
      </c>
    </row>
    <row r="52" spans="1:2" x14ac:dyDescent="0.25">
      <c r="A52">
        <v>2000</v>
      </c>
      <c r="B52">
        <v>53.55</v>
      </c>
    </row>
    <row r="53" spans="1:2" x14ac:dyDescent="0.25">
      <c r="A53">
        <v>2001</v>
      </c>
      <c r="B53">
        <v>56.43</v>
      </c>
    </row>
    <row r="54" spans="1:2" x14ac:dyDescent="0.25">
      <c r="A54">
        <v>2002</v>
      </c>
      <c r="B54">
        <v>60.06</v>
      </c>
    </row>
    <row r="55" spans="1:2" x14ac:dyDescent="0.25">
      <c r="A55">
        <v>2003</v>
      </c>
      <c r="B55">
        <v>60.96</v>
      </c>
    </row>
    <row r="56" spans="1:2" x14ac:dyDescent="0.25">
      <c r="A56">
        <v>2004</v>
      </c>
      <c r="B56">
        <v>67.12</v>
      </c>
    </row>
    <row r="57" spans="1:2" x14ac:dyDescent="0.25">
      <c r="A57">
        <v>2005</v>
      </c>
      <c r="B57">
        <v>57.53</v>
      </c>
    </row>
    <row r="58" spans="1:2" x14ac:dyDescent="0.25">
      <c r="A58">
        <v>2006</v>
      </c>
      <c r="B58">
        <v>79.05</v>
      </c>
    </row>
    <row r="59" spans="1:2" x14ac:dyDescent="0.25">
      <c r="A59">
        <v>2007</v>
      </c>
      <c r="B59">
        <v>98.07</v>
      </c>
    </row>
    <row r="60" spans="1:2" x14ac:dyDescent="0.25">
      <c r="A60">
        <v>2008</v>
      </c>
      <c r="B60">
        <v>75.87</v>
      </c>
    </row>
    <row r="61" spans="1:2" x14ac:dyDescent="0.25">
      <c r="A61">
        <v>2009</v>
      </c>
      <c r="B61">
        <v>64.25</v>
      </c>
    </row>
    <row r="62" spans="1:2" x14ac:dyDescent="0.25">
      <c r="A62">
        <v>2010</v>
      </c>
      <c r="B62">
        <v>79.790000000000006</v>
      </c>
    </row>
    <row r="63" spans="1:2" x14ac:dyDescent="0.25">
      <c r="A63">
        <v>2011</v>
      </c>
      <c r="B63">
        <v>74.7</v>
      </c>
    </row>
    <row r="64" spans="1:2" x14ac:dyDescent="0.25">
      <c r="A64">
        <v>2012</v>
      </c>
      <c r="B64">
        <v>74.7</v>
      </c>
    </row>
    <row r="65" spans="1:2" x14ac:dyDescent="0.25">
      <c r="A65">
        <v>2013</v>
      </c>
      <c r="B65">
        <v>63.63</v>
      </c>
    </row>
    <row r="66" spans="1:2" x14ac:dyDescent="0.25">
      <c r="A66">
        <v>2014</v>
      </c>
      <c r="B66">
        <v>68.78</v>
      </c>
    </row>
    <row r="67" spans="1:2" x14ac:dyDescent="0.25">
      <c r="A67">
        <v>2015</v>
      </c>
      <c r="B67">
        <v>70.8</v>
      </c>
    </row>
    <row r="68" spans="1:2" x14ac:dyDescent="0.25">
      <c r="A68">
        <v>2016</v>
      </c>
      <c r="B68">
        <v>72.86</v>
      </c>
    </row>
    <row r="69" spans="1:2" x14ac:dyDescent="0.25">
      <c r="A69">
        <v>2017</v>
      </c>
      <c r="B69">
        <v>68.31</v>
      </c>
    </row>
    <row r="70" spans="1:2" x14ac:dyDescent="0.25">
      <c r="A70">
        <v>2018</v>
      </c>
      <c r="B70">
        <v>75.150000000000006</v>
      </c>
    </row>
    <row r="71" spans="1:2" x14ac:dyDescent="0.25">
      <c r="A71">
        <v>2019</v>
      </c>
      <c r="B71">
        <v>76.16</v>
      </c>
    </row>
    <row r="72" spans="1:2" x14ac:dyDescent="0.25">
      <c r="A72">
        <v>2020</v>
      </c>
      <c r="B72">
        <v>80.5</v>
      </c>
    </row>
    <row r="73" spans="1:2" x14ac:dyDescent="0.25">
      <c r="A73">
        <v>2021</v>
      </c>
      <c r="B73">
        <v>80.459999999999994</v>
      </c>
    </row>
    <row r="74" spans="1:2" x14ac:dyDescent="0.25">
      <c r="A74">
        <v>2022</v>
      </c>
      <c r="B74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4"/>
  <sheetViews>
    <sheetView tabSelected="1" topLeftCell="D1" workbookViewId="0">
      <selection activeCell="G57" sqref="E57:G57"/>
    </sheetView>
  </sheetViews>
  <sheetFormatPr defaultRowHeight="15" x14ac:dyDescent="0.25"/>
  <cols>
    <col min="3" max="3" width="19.28515625" customWidth="1"/>
    <col min="4" max="4" width="20.42578125" customWidth="1"/>
    <col min="5" max="6" width="22.42578125" customWidth="1"/>
    <col min="7" max="7" width="25.85546875" customWidth="1"/>
  </cols>
  <sheetData>
    <row r="1" spans="1:24" x14ac:dyDescent="0.25">
      <c r="O1" s="5" t="s">
        <v>42</v>
      </c>
      <c r="P1" s="5"/>
      <c r="Q1" s="5"/>
      <c r="R1" s="4"/>
      <c r="S1" s="5" t="s">
        <v>43</v>
      </c>
      <c r="T1" s="5"/>
      <c r="U1" s="5"/>
      <c r="V1" t="s">
        <v>44</v>
      </c>
    </row>
    <row r="2" spans="1:24" x14ac:dyDescent="0.25">
      <c r="N2" t="s">
        <v>45</v>
      </c>
      <c r="O2" t="s">
        <v>41</v>
      </c>
      <c r="P2" t="s">
        <v>40</v>
      </c>
      <c r="Q2" t="s">
        <v>39</v>
      </c>
      <c r="R2" t="s">
        <v>45</v>
      </c>
      <c r="S2" t="s">
        <v>41</v>
      </c>
      <c r="T2" t="s">
        <v>40</v>
      </c>
      <c r="U2" t="s">
        <v>39</v>
      </c>
      <c r="V2" t="s">
        <v>41</v>
      </c>
      <c r="W2" t="s">
        <v>40</v>
      </c>
      <c r="X2" t="s">
        <v>39</v>
      </c>
    </row>
    <row r="3" spans="1:24" x14ac:dyDescent="0.25">
      <c r="A3" s="1" t="s">
        <v>0</v>
      </c>
      <c r="B3" s="1" t="s">
        <v>1</v>
      </c>
      <c r="C3" s="1" t="s">
        <v>2</v>
      </c>
      <c r="D3" s="2" t="s">
        <v>35</v>
      </c>
      <c r="E3" s="2" t="s">
        <v>36</v>
      </c>
      <c r="F3" s="2" t="s">
        <v>37</v>
      </c>
      <c r="G3" s="2" t="s">
        <v>38</v>
      </c>
      <c r="J3" t="s">
        <v>41</v>
      </c>
      <c r="K3" t="s">
        <v>40</v>
      </c>
      <c r="L3" t="s">
        <v>39</v>
      </c>
      <c r="O3" s="3">
        <v>0</v>
      </c>
      <c r="P3" s="3">
        <v>1</v>
      </c>
      <c r="Q3" s="3">
        <v>1</v>
      </c>
      <c r="R3" s="3"/>
      <c r="S3" s="3">
        <f>J4/M4</f>
        <v>0.59943977591036413</v>
      </c>
      <c r="T3" s="3">
        <f>K4/M4</f>
        <v>0.40056022408963582</v>
      </c>
      <c r="U3" s="3">
        <v>0</v>
      </c>
      <c r="V3">
        <f>J4/F4</f>
        <v>0.42799999999999999</v>
      </c>
      <c r="W3">
        <f>H4/F4</f>
        <v>0.57199999999999995</v>
      </c>
      <c r="X3">
        <f>L4/F4</f>
        <v>0.28599999999999998</v>
      </c>
    </row>
    <row r="4" spans="1:24" x14ac:dyDescent="0.25">
      <c r="A4">
        <v>1950</v>
      </c>
      <c r="B4">
        <v>29.21</v>
      </c>
      <c r="C4">
        <v>0.35082191780821909</v>
      </c>
      <c r="D4">
        <f>C4*1000000</f>
        <v>350821.91780821909</v>
      </c>
      <c r="E4">
        <f>D4*800</f>
        <v>280657534.2465753</v>
      </c>
      <c r="F4">
        <f>E4/1000</f>
        <v>280657.53424657532</v>
      </c>
      <c r="G4">
        <f>F4*0.65</f>
        <v>182427.39726027395</v>
      </c>
      <c r="H4">
        <f>G4*0.88</f>
        <v>160536.10958904107</v>
      </c>
      <c r="I4">
        <f>H4*0.5</f>
        <v>80268.054794520533</v>
      </c>
      <c r="J4">
        <f>F4-K4-L4</f>
        <v>120121.42465753424</v>
      </c>
      <c r="K4">
        <f>H4-I4</f>
        <v>80268.054794520533</v>
      </c>
      <c r="L4">
        <f>I4</f>
        <v>80268.054794520533</v>
      </c>
      <c r="M4">
        <f>F4-L4</f>
        <v>200389.47945205477</v>
      </c>
      <c r="N4">
        <f>SUM(O4:P4)</f>
        <v>80268.054794520533</v>
      </c>
      <c r="O4">
        <f>J4*O3</f>
        <v>0</v>
      </c>
      <c r="P4">
        <f>Q4</f>
        <v>80268.054794520533</v>
      </c>
      <c r="Q4">
        <f>$Q$3*L4</f>
        <v>80268.054794520533</v>
      </c>
      <c r="R4">
        <f>S4+T4</f>
        <v>200389.47945205477</v>
      </c>
      <c r="S4">
        <f>J4</f>
        <v>120121.42465753424</v>
      </c>
      <c r="T4">
        <f>K4</f>
        <v>80268.054794520533</v>
      </c>
      <c r="U4">
        <f>R4*0.6</f>
        <v>120233.68767123285</v>
      </c>
      <c r="V4">
        <f>R4+P4</f>
        <v>280657.53424657532</v>
      </c>
    </row>
    <row r="5" spans="1:24" x14ac:dyDescent="0.25">
      <c r="A5">
        <v>1951</v>
      </c>
      <c r="B5">
        <v>27.57</v>
      </c>
      <c r="C5">
        <v>0.37630136986301371</v>
      </c>
      <c r="D5">
        <f t="shared" ref="D5:D68" si="0">C5*1000000</f>
        <v>376301.36986301374</v>
      </c>
      <c r="E5">
        <f t="shared" ref="E5:E68" si="1">D5*800</f>
        <v>301041095.89041102</v>
      </c>
      <c r="F5">
        <f t="shared" ref="F5:F68" si="2">E5/1000</f>
        <v>301041.095890411</v>
      </c>
      <c r="G5">
        <f t="shared" ref="G5:G68" si="3">F5*0.65</f>
        <v>195676.71232876717</v>
      </c>
      <c r="H5">
        <f t="shared" ref="H5:H68" si="4">G5*0.88</f>
        <v>172195.5068493151</v>
      </c>
      <c r="I5">
        <f t="shared" ref="I5:I68" si="5">H5*0.5</f>
        <v>86097.753424657552</v>
      </c>
      <c r="J5">
        <f t="shared" ref="J5:J68" si="6">F5-K5-L5</f>
        <v>128845.58904109588</v>
      </c>
      <c r="K5">
        <f t="shared" ref="K5:K68" si="7">H5-I5</f>
        <v>86097.753424657552</v>
      </c>
      <c r="L5">
        <f t="shared" ref="L5:L68" si="8">I5</f>
        <v>86097.753424657552</v>
      </c>
      <c r="M5">
        <f t="shared" ref="M5:M68" si="9">F5-L5</f>
        <v>214943.34246575343</v>
      </c>
      <c r="N5">
        <f t="shared" ref="N5:N68" si="10">SUM(O5:P5)</f>
        <v>86097.753424657552</v>
      </c>
      <c r="O5">
        <f t="shared" ref="O5:O68" si="11">J5*O4</f>
        <v>0</v>
      </c>
      <c r="P5">
        <f t="shared" ref="P5:P68" si="12">Q5</f>
        <v>86097.753424657552</v>
      </c>
      <c r="Q5">
        <f t="shared" ref="Q5:Q68" si="13">$Q$3*L5</f>
        <v>86097.753424657552</v>
      </c>
      <c r="R5">
        <f t="shared" ref="R5:R68" si="14">S5+T5</f>
        <v>214943.34246575343</v>
      </c>
      <c r="S5">
        <f t="shared" ref="S5:S68" si="15">J5</f>
        <v>128845.58904109588</v>
      </c>
      <c r="T5">
        <f t="shared" ref="T5:T68" si="16">K5</f>
        <v>86097.753424657552</v>
      </c>
      <c r="U5">
        <f t="shared" ref="U5:U68" si="17">R5*0.6</f>
        <v>128966.00547945205</v>
      </c>
      <c r="V5">
        <f t="shared" ref="V5:V68" si="18">R5+P5</f>
        <v>301041.095890411</v>
      </c>
    </row>
    <row r="6" spans="1:24" x14ac:dyDescent="0.25">
      <c r="A6">
        <v>1952</v>
      </c>
      <c r="B6">
        <v>24.54</v>
      </c>
      <c r="C6">
        <v>0.3361643835616438</v>
      </c>
      <c r="D6">
        <f t="shared" si="0"/>
        <v>336164.38356164377</v>
      </c>
      <c r="E6">
        <f t="shared" si="1"/>
        <v>268931506.84931505</v>
      </c>
      <c r="F6">
        <f t="shared" si="2"/>
        <v>268931.50684931508</v>
      </c>
      <c r="G6">
        <f t="shared" si="3"/>
        <v>174805.4794520548</v>
      </c>
      <c r="H6">
        <f t="shared" si="4"/>
        <v>153828.82191780824</v>
      </c>
      <c r="I6">
        <f t="shared" si="5"/>
        <v>76914.410958904118</v>
      </c>
      <c r="J6">
        <f t="shared" si="6"/>
        <v>115102.68493150682</v>
      </c>
      <c r="K6">
        <f t="shared" si="7"/>
        <v>76914.410958904118</v>
      </c>
      <c r="L6">
        <f t="shared" si="8"/>
        <v>76914.410958904118</v>
      </c>
      <c r="M6">
        <f t="shared" si="9"/>
        <v>192017.09589041094</v>
      </c>
      <c r="N6">
        <f t="shared" si="10"/>
        <v>76914.410958904118</v>
      </c>
      <c r="O6">
        <f t="shared" si="11"/>
        <v>0</v>
      </c>
      <c r="P6">
        <f t="shared" si="12"/>
        <v>76914.410958904118</v>
      </c>
      <c r="Q6">
        <f t="shared" si="13"/>
        <v>76914.410958904118</v>
      </c>
      <c r="R6">
        <f t="shared" si="14"/>
        <v>192017.09589041094</v>
      </c>
      <c r="S6">
        <f t="shared" si="15"/>
        <v>115102.68493150682</v>
      </c>
      <c r="T6">
        <f t="shared" si="16"/>
        <v>76914.410958904118</v>
      </c>
      <c r="U6">
        <f t="shared" si="17"/>
        <v>115210.25753424656</v>
      </c>
      <c r="V6">
        <f t="shared" si="18"/>
        <v>268931.50684931508</v>
      </c>
    </row>
    <row r="7" spans="1:24" x14ac:dyDescent="0.25">
      <c r="A7">
        <v>1953</v>
      </c>
      <c r="B7">
        <v>24.34</v>
      </c>
      <c r="C7">
        <v>0.323972602739726</v>
      </c>
      <c r="D7">
        <f t="shared" si="0"/>
        <v>323972.60273972602</v>
      </c>
      <c r="E7">
        <f t="shared" si="1"/>
        <v>259178082.19178081</v>
      </c>
      <c r="F7">
        <f t="shared" si="2"/>
        <v>259178.08219178079</v>
      </c>
      <c r="G7">
        <f t="shared" si="3"/>
        <v>168465.75342465751</v>
      </c>
      <c r="H7">
        <f t="shared" si="4"/>
        <v>148249.8630136986</v>
      </c>
      <c r="I7">
        <f t="shared" si="5"/>
        <v>74124.931506849302</v>
      </c>
      <c r="J7">
        <f t="shared" si="6"/>
        <v>110928.21917808219</v>
      </c>
      <c r="K7">
        <f t="shared" si="7"/>
        <v>74124.931506849302</v>
      </c>
      <c r="L7">
        <f t="shared" si="8"/>
        <v>74124.931506849302</v>
      </c>
      <c r="M7">
        <f t="shared" si="9"/>
        <v>185053.15068493149</v>
      </c>
      <c r="N7">
        <f t="shared" si="10"/>
        <v>74124.931506849302</v>
      </c>
      <c r="O7">
        <f t="shared" si="11"/>
        <v>0</v>
      </c>
      <c r="P7">
        <f t="shared" si="12"/>
        <v>74124.931506849302</v>
      </c>
      <c r="Q7">
        <f t="shared" si="13"/>
        <v>74124.931506849302</v>
      </c>
      <c r="R7">
        <f t="shared" si="14"/>
        <v>185053.15068493149</v>
      </c>
      <c r="S7">
        <f t="shared" si="15"/>
        <v>110928.21917808219</v>
      </c>
      <c r="T7">
        <f t="shared" si="16"/>
        <v>74124.931506849302</v>
      </c>
      <c r="U7">
        <f t="shared" si="17"/>
        <v>111031.89041095889</v>
      </c>
      <c r="V7">
        <f t="shared" si="18"/>
        <v>259178.08219178079</v>
      </c>
    </row>
    <row r="8" spans="1:24" x14ac:dyDescent="0.25">
      <c r="A8">
        <v>1954</v>
      </c>
      <c r="B8">
        <v>22.8</v>
      </c>
      <c r="C8">
        <v>0.31232876712328772</v>
      </c>
      <c r="D8">
        <f t="shared" si="0"/>
        <v>312328.76712328772</v>
      </c>
      <c r="E8">
        <f t="shared" si="1"/>
        <v>249863013.69863018</v>
      </c>
      <c r="F8">
        <f t="shared" si="2"/>
        <v>249863.01369863018</v>
      </c>
      <c r="G8">
        <f t="shared" si="3"/>
        <v>162410.95890410963</v>
      </c>
      <c r="H8">
        <f t="shared" si="4"/>
        <v>142921.64383561647</v>
      </c>
      <c r="I8">
        <f t="shared" si="5"/>
        <v>71460.821917808236</v>
      </c>
      <c r="J8">
        <f t="shared" si="6"/>
        <v>106941.36986301371</v>
      </c>
      <c r="K8">
        <f t="shared" si="7"/>
        <v>71460.821917808236</v>
      </c>
      <c r="L8">
        <f t="shared" si="8"/>
        <v>71460.821917808236</v>
      </c>
      <c r="M8">
        <f t="shared" si="9"/>
        <v>178402.19178082194</v>
      </c>
      <c r="N8">
        <f t="shared" si="10"/>
        <v>71460.821917808236</v>
      </c>
      <c r="O8">
        <f t="shared" si="11"/>
        <v>0</v>
      </c>
      <c r="P8">
        <f t="shared" si="12"/>
        <v>71460.821917808236</v>
      </c>
      <c r="Q8">
        <f t="shared" si="13"/>
        <v>71460.821917808236</v>
      </c>
      <c r="R8">
        <f t="shared" si="14"/>
        <v>178402.19178082194</v>
      </c>
      <c r="S8">
        <f t="shared" si="15"/>
        <v>106941.36986301371</v>
      </c>
      <c r="T8">
        <f t="shared" si="16"/>
        <v>71460.821917808236</v>
      </c>
      <c r="U8">
        <f t="shared" si="17"/>
        <v>107041.31506849316</v>
      </c>
      <c r="V8">
        <f t="shared" si="18"/>
        <v>249863.01369863018</v>
      </c>
    </row>
    <row r="9" spans="1:24" x14ac:dyDescent="0.25">
      <c r="A9">
        <v>1955</v>
      </c>
      <c r="B9">
        <v>25.44</v>
      </c>
      <c r="C9">
        <v>0.34849315068493147</v>
      </c>
      <c r="D9">
        <f t="shared" si="0"/>
        <v>348493.15068493149</v>
      </c>
      <c r="E9">
        <f t="shared" si="1"/>
        <v>278794520.5479452</v>
      </c>
      <c r="F9">
        <f t="shared" si="2"/>
        <v>278794.52054794523</v>
      </c>
      <c r="G9">
        <f t="shared" si="3"/>
        <v>181216.43835616441</v>
      </c>
      <c r="H9">
        <f t="shared" si="4"/>
        <v>159470.46575342468</v>
      </c>
      <c r="I9">
        <f t="shared" si="5"/>
        <v>79735.23287671234</v>
      </c>
      <c r="J9">
        <f t="shared" si="6"/>
        <v>119324.05479452055</v>
      </c>
      <c r="K9">
        <f t="shared" si="7"/>
        <v>79735.23287671234</v>
      </c>
      <c r="L9">
        <f t="shared" si="8"/>
        <v>79735.23287671234</v>
      </c>
      <c r="M9">
        <f t="shared" si="9"/>
        <v>199059.28767123289</v>
      </c>
      <c r="N9">
        <f t="shared" si="10"/>
        <v>79735.23287671234</v>
      </c>
      <c r="O9">
        <f t="shared" si="11"/>
        <v>0</v>
      </c>
      <c r="P9">
        <f t="shared" si="12"/>
        <v>79735.23287671234</v>
      </c>
      <c r="Q9">
        <f t="shared" si="13"/>
        <v>79735.23287671234</v>
      </c>
      <c r="R9">
        <f t="shared" si="14"/>
        <v>199059.28767123289</v>
      </c>
      <c r="S9">
        <f t="shared" si="15"/>
        <v>119324.05479452055</v>
      </c>
      <c r="T9">
        <f t="shared" si="16"/>
        <v>79735.23287671234</v>
      </c>
      <c r="U9">
        <f t="shared" si="17"/>
        <v>119435.57260273973</v>
      </c>
      <c r="V9">
        <f t="shared" si="18"/>
        <v>278794.52054794523</v>
      </c>
    </row>
    <row r="10" spans="1:24" x14ac:dyDescent="0.25">
      <c r="A10">
        <v>1956</v>
      </c>
      <c r="B10">
        <v>21.61</v>
      </c>
      <c r="C10">
        <v>0.29684931506849321</v>
      </c>
      <c r="D10">
        <f t="shared" si="0"/>
        <v>296849.31506849319</v>
      </c>
      <c r="E10">
        <f t="shared" si="1"/>
        <v>237479452.05479455</v>
      </c>
      <c r="F10">
        <f t="shared" si="2"/>
        <v>237479.45205479456</v>
      </c>
      <c r="G10">
        <f t="shared" si="3"/>
        <v>154361.64383561647</v>
      </c>
      <c r="H10">
        <f t="shared" si="4"/>
        <v>135838.24657534249</v>
      </c>
      <c r="I10">
        <f t="shared" si="5"/>
        <v>67919.123287671246</v>
      </c>
      <c r="J10">
        <f t="shared" si="6"/>
        <v>101641.20547945207</v>
      </c>
      <c r="K10">
        <f t="shared" si="7"/>
        <v>67919.123287671246</v>
      </c>
      <c r="L10">
        <f t="shared" si="8"/>
        <v>67919.123287671246</v>
      </c>
      <c r="M10">
        <f t="shared" si="9"/>
        <v>169560.32876712331</v>
      </c>
      <c r="N10">
        <f t="shared" si="10"/>
        <v>67919.123287671246</v>
      </c>
      <c r="O10">
        <f t="shared" si="11"/>
        <v>0</v>
      </c>
      <c r="P10">
        <f t="shared" si="12"/>
        <v>67919.123287671246</v>
      </c>
      <c r="Q10">
        <f t="shared" si="13"/>
        <v>67919.123287671246</v>
      </c>
      <c r="R10">
        <f t="shared" si="14"/>
        <v>169560.32876712331</v>
      </c>
      <c r="S10">
        <f t="shared" si="15"/>
        <v>101641.20547945207</v>
      </c>
      <c r="T10">
        <f t="shared" si="16"/>
        <v>67919.123287671246</v>
      </c>
      <c r="U10">
        <f t="shared" si="17"/>
        <v>101736.19726027398</v>
      </c>
      <c r="V10">
        <f t="shared" si="18"/>
        <v>237479.45205479456</v>
      </c>
    </row>
    <row r="11" spans="1:24" x14ac:dyDescent="0.25">
      <c r="A11">
        <v>1957</v>
      </c>
      <c r="B11">
        <v>23.78</v>
      </c>
      <c r="C11">
        <v>0.32575342465753432</v>
      </c>
      <c r="D11">
        <f t="shared" si="0"/>
        <v>325753.42465753434</v>
      </c>
      <c r="E11">
        <f t="shared" si="1"/>
        <v>260602739.72602749</v>
      </c>
      <c r="F11">
        <f t="shared" si="2"/>
        <v>260602.7397260275</v>
      </c>
      <c r="G11">
        <f t="shared" si="3"/>
        <v>169391.78082191787</v>
      </c>
      <c r="H11">
        <f t="shared" si="4"/>
        <v>149064.76712328772</v>
      </c>
      <c r="I11">
        <f t="shared" si="5"/>
        <v>74532.383561643859</v>
      </c>
      <c r="J11">
        <f t="shared" si="6"/>
        <v>111537.97260273978</v>
      </c>
      <c r="K11">
        <f t="shared" si="7"/>
        <v>74532.383561643859</v>
      </c>
      <c r="L11">
        <f t="shared" si="8"/>
        <v>74532.383561643859</v>
      </c>
      <c r="M11">
        <f t="shared" si="9"/>
        <v>186070.35616438364</v>
      </c>
      <c r="N11">
        <f t="shared" si="10"/>
        <v>74532.383561643859</v>
      </c>
      <c r="O11">
        <f t="shared" si="11"/>
        <v>0</v>
      </c>
      <c r="P11">
        <f t="shared" si="12"/>
        <v>74532.383561643859</v>
      </c>
      <c r="Q11">
        <f t="shared" si="13"/>
        <v>74532.383561643859</v>
      </c>
      <c r="R11">
        <f t="shared" si="14"/>
        <v>186070.35616438364</v>
      </c>
      <c r="S11">
        <f t="shared" si="15"/>
        <v>111537.97260273978</v>
      </c>
      <c r="T11">
        <f t="shared" si="16"/>
        <v>74532.383561643859</v>
      </c>
      <c r="U11">
        <f t="shared" si="17"/>
        <v>111642.21369863018</v>
      </c>
      <c r="V11">
        <f t="shared" si="18"/>
        <v>260602.7397260275</v>
      </c>
    </row>
    <row r="12" spans="1:24" x14ac:dyDescent="0.25">
      <c r="A12">
        <v>1958</v>
      </c>
      <c r="B12">
        <v>24.03</v>
      </c>
      <c r="C12">
        <v>0.3291780821917808</v>
      </c>
      <c r="D12">
        <f t="shared" si="0"/>
        <v>329178.08219178079</v>
      </c>
      <c r="E12">
        <f t="shared" si="1"/>
        <v>263342465.75342464</v>
      </c>
      <c r="F12">
        <f t="shared" si="2"/>
        <v>263342.46575342462</v>
      </c>
      <c r="G12">
        <f t="shared" si="3"/>
        <v>171172.60273972602</v>
      </c>
      <c r="H12">
        <f t="shared" si="4"/>
        <v>150631.89041095891</v>
      </c>
      <c r="I12">
        <f t="shared" si="5"/>
        <v>75315.945205479453</v>
      </c>
      <c r="J12">
        <f t="shared" si="6"/>
        <v>112710.57534246572</v>
      </c>
      <c r="K12">
        <f t="shared" si="7"/>
        <v>75315.945205479453</v>
      </c>
      <c r="L12">
        <f t="shared" si="8"/>
        <v>75315.945205479453</v>
      </c>
      <c r="M12">
        <f t="shared" si="9"/>
        <v>188026.52054794517</v>
      </c>
      <c r="N12">
        <f t="shared" si="10"/>
        <v>75315.945205479453</v>
      </c>
      <c r="O12">
        <f t="shared" si="11"/>
        <v>0</v>
      </c>
      <c r="P12">
        <f t="shared" si="12"/>
        <v>75315.945205479453</v>
      </c>
      <c r="Q12">
        <f t="shared" si="13"/>
        <v>75315.945205479453</v>
      </c>
      <c r="R12">
        <f t="shared" si="14"/>
        <v>188026.52054794517</v>
      </c>
      <c r="S12">
        <f t="shared" si="15"/>
        <v>112710.57534246572</v>
      </c>
      <c r="T12">
        <f t="shared" si="16"/>
        <v>75315.945205479453</v>
      </c>
      <c r="U12">
        <f t="shared" si="17"/>
        <v>112815.9123287671</v>
      </c>
      <c r="V12">
        <f t="shared" si="18"/>
        <v>263342.46575342462</v>
      </c>
    </row>
    <row r="13" spans="1:24" x14ac:dyDescent="0.25">
      <c r="A13">
        <v>1959</v>
      </c>
      <c r="B13">
        <v>23.65</v>
      </c>
      <c r="C13">
        <v>0.323972602739726</v>
      </c>
      <c r="D13">
        <f t="shared" si="0"/>
        <v>323972.60273972602</v>
      </c>
      <c r="E13">
        <f t="shared" si="1"/>
        <v>259178082.19178081</v>
      </c>
      <c r="F13">
        <f t="shared" si="2"/>
        <v>259178.08219178079</v>
      </c>
      <c r="G13">
        <f t="shared" si="3"/>
        <v>168465.75342465751</v>
      </c>
      <c r="H13">
        <f t="shared" si="4"/>
        <v>148249.8630136986</v>
      </c>
      <c r="I13">
        <f t="shared" si="5"/>
        <v>74124.931506849302</v>
      </c>
      <c r="J13">
        <f t="shared" si="6"/>
        <v>110928.21917808219</v>
      </c>
      <c r="K13">
        <f t="shared" si="7"/>
        <v>74124.931506849302</v>
      </c>
      <c r="L13">
        <f t="shared" si="8"/>
        <v>74124.931506849302</v>
      </c>
      <c r="M13">
        <f t="shared" si="9"/>
        <v>185053.15068493149</v>
      </c>
      <c r="N13">
        <f t="shared" si="10"/>
        <v>74124.931506849302</v>
      </c>
      <c r="O13">
        <f t="shared" si="11"/>
        <v>0</v>
      </c>
      <c r="P13">
        <f t="shared" si="12"/>
        <v>74124.931506849302</v>
      </c>
      <c r="Q13">
        <f t="shared" si="13"/>
        <v>74124.931506849302</v>
      </c>
      <c r="R13">
        <f t="shared" si="14"/>
        <v>185053.15068493149</v>
      </c>
      <c r="S13">
        <f t="shared" si="15"/>
        <v>110928.21917808219</v>
      </c>
      <c r="T13">
        <f t="shared" si="16"/>
        <v>74124.931506849302</v>
      </c>
      <c r="U13">
        <f t="shared" si="17"/>
        <v>111031.89041095889</v>
      </c>
      <c r="V13">
        <f t="shared" si="18"/>
        <v>259178.08219178079</v>
      </c>
    </row>
    <row r="14" spans="1:24" x14ac:dyDescent="0.25">
      <c r="A14">
        <v>1960</v>
      </c>
      <c r="B14">
        <v>24.68</v>
      </c>
      <c r="C14">
        <v>0.33808219178082188</v>
      </c>
      <c r="D14">
        <f t="shared" si="0"/>
        <v>338082.19178082189</v>
      </c>
      <c r="E14">
        <f t="shared" si="1"/>
        <v>270465753.42465752</v>
      </c>
      <c r="F14">
        <f t="shared" si="2"/>
        <v>270465.75342465751</v>
      </c>
      <c r="G14">
        <f t="shared" si="3"/>
        <v>175802.73972602739</v>
      </c>
      <c r="H14">
        <f t="shared" si="4"/>
        <v>154706.4109589041</v>
      </c>
      <c r="I14">
        <f t="shared" si="5"/>
        <v>77353.205479452052</v>
      </c>
      <c r="J14">
        <f t="shared" si="6"/>
        <v>115759.34246575342</v>
      </c>
      <c r="K14">
        <f t="shared" si="7"/>
        <v>77353.205479452052</v>
      </c>
      <c r="L14">
        <f t="shared" si="8"/>
        <v>77353.205479452052</v>
      </c>
      <c r="M14">
        <f t="shared" si="9"/>
        <v>193112.54794520547</v>
      </c>
      <c r="N14">
        <f t="shared" si="10"/>
        <v>77353.205479452052</v>
      </c>
      <c r="O14">
        <f t="shared" si="11"/>
        <v>0</v>
      </c>
      <c r="P14">
        <f t="shared" si="12"/>
        <v>77353.205479452052</v>
      </c>
      <c r="Q14">
        <f t="shared" si="13"/>
        <v>77353.205479452052</v>
      </c>
      <c r="R14">
        <f t="shared" si="14"/>
        <v>193112.54794520547</v>
      </c>
      <c r="S14">
        <f t="shared" si="15"/>
        <v>115759.34246575342</v>
      </c>
      <c r="T14">
        <f t="shared" si="16"/>
        <v>77353.205479452052</v>
      </c>
      <c r="U14">
        <f t="shared" si="17"/>
        <v>115867.52876712328</v>
      </c>
      <c r="V14">
        <f t="shared" si="18"/>
        <v>270465.75342465751</v>
      </c>
    </row>
    <row r="15" spans="1:24" x14ac:dyDescent="0.25">
      <c r="A15">
        <v>1961</v>
      </c>
      <c r="B15">
        <v>24.97</v>
      </c>
      <c r="C15">
        <v>0.35931506849315059</v>
      </c>
      <c r="D15">
        <f t="shared" si="0"/>
        <v>359315.06849315058</v>
      </c>
      <c r="E15">
        <f t="shared" si="1"/>
        <v>287452054.79452044</v>
      </c>
      <c r="F15">
        <f t="shared" si="2"/>
        <v>287452.05479452043</v>
      </c>
      <c r="G15">
        <f t="shared" si="3"/>
        <v>186843.8356164383</v>
      </c>
      <c r="H15">
        <f t="shared" si="4"/>
        <v>164422.57534246572</v>
      </c>
      <c r="I15">
        <f t="shared" si="5"/>
        <v>82211.287671232858</v>
      </c>
      <c r="J15">
        <f t="shared" si="6"/>
        <v>123029.47945205471</v>
      </c>
      <c r="K15">
        <f t="shared" si="7"/>
        <v>82211.287671232858</v>
      </c>
      <c r="L15">
        <f t="shared" si="8"/>
        <v>82211.287671232858</v>
      </c>
      <c r="M15">
        <f t="shared" si="9"/>
        <v>205240.76712328757</v>
      </c>
      <c r="N15">
        <f t="shared" si="10"/>
        <v>82211.287671232858</v>
      </c>
      <c r="O15">
        <f t="shared" si="11"/>
        <v>0</v>
      </c>
      <c r="P15">
        <f t="shared" si="12"/>
        <v>82211.287671232858</v>
      </c>
      <c r="Q15">
        <f t="shared" si="13"/>
        <v>82211.287671232858</v>
      </c>
      <c r="R15">
        <f t="shared" si="14"/>
        <v>205240.76712328757</v>
      </c>
      <c r="S15">
        <f t="shared" si="15"/>
        <v>123029.47945205471</v>
      </c>
      <c r="T15">
        <f t="shared" si="16"/>
        <v>82211.287671232858</v>
      </c>
      <c r="U15">
        <f t="shared" si="17"/>
        <v>123144.46027397254</v>
      </c>
      <c r="V15">
        <f t="shared" si="18"/>
        <v>287452.05479452043</v>
      </c>
    </row>
    <row r="16" spans="1:24" x14ac:dyDescent="0.25">
      <c r="A16">
        <v>1962</v>
      </c>
      <c r="B16">
        <v>25.08</v>
      </c>
      <c r="C16">
        <v>0.36958904109589041</v>
      </c>
      <c r="D16">
        <f t="shared" si="0"/>
        <v>369589.0410958904</v>
      </c>
      <c r="E16">
        <f t="shared" si="1"/>
        <v>295671232.87671232</v>
      </c>
      <c r="F16">
        <f t="shared" si="2"/>
        <v>295671.23287671234</v>
      </c>
      <c r="G16">
        <f t="shared" si="3"/>
        <v>192186.30136986304</v>
      </c>
      <c r="H16">
        <f t="shared" si="4"/>
        <v>169123.94520547948</v>
      </c>
      <c r="I16">
        <f t="shared" si="5"/>
        <v>84561.972602739741</v>
      </c>
      <c r="J16">
        <f t="shared" si="6"/>
        <v>126547.28767123284</v>
      </c>
      <c r="K16">
        <f t="shared" si="7"/>
        <v>84561.972602739741</v>
      </c>
      <c r="L16">
        <f t="shared" si="8"/>
        <v>84561.972602739741</v>
      </c>
      <c r="M16">
        <f t="shared" si="9"/>
        <v>211109.26027397258</v>
      </c>
      <c r="N16">
        <f t="shared" si="10"/>
        <v>84561.972602739741</v>
      </c>
      <c r="O16">
        <f t="shared" si="11"/>
        <v>0</v>
      </c>
      <c r="P16">
        <f t="shared" si="12"/>
        <v>84561.972602739741</v>
      </c>
      <c r="Q16">
        <f t="shared" si="13"/>
        <v>84561.972602739741</v>
      </c>
      <c r="R16">
        <f t="shared" si="14"/>
        <v>211109.26027397258</v>
      </c>
      <c r="S16">
        <f t="shared" si="15"/>
        <v>126547.28767123284</v>
      </c>
      <c r="T16">
        <f t="shared" si="16"/>
        <v>84561.972602739741</v>
      </c>
      <c r="U16">
        <f t="shared" si="17"/>
        <v>126665.55616438354</v>
      </c>
      <c r="V16">
        <f t="shared" si="18"/>
        <v>295671.23287671234</v>
      </c>
    </row>
    <row r="17" spans="1:22" x14ac:dyDescent="0.25">
      <c r="A17">
        <v>1963</v>
      </c>
      <c r="B17">
        <v>24.09</v>
      </c>
      <c r="C17">
        <v>0.33</v>
      </c>
      <c r="D17">
        <f t="shared" si="0"/>
        <v>330000</v>
      </c>
      <c r="E17">
        <f t="shared" si="1"/>
        <v>264000000</v>
      </c>
      <c r="F17">
        <f t="shared" si="2"/>
        <v>264000</v>
      </c>
      <c r="G17">
        <f t="shared" si="3"/>
        <v>171600</v>
      </c>
      <c r="H17">
        <f t="shared" si="4"/>
        <v>151008</v>
      </c>
      <c r="I17">
        <f t="shared" si="5"/>
        <v>75504</v>
      </c>
      <c r="J17">
        <f t="shared" si="6"/>
        <v>112992</v>
      </c>
      <c r="K17">
        <f t="shared" si="7"/>
        <v>75504</v>
      </c>
      <c r="L17">
        <f t="shared" si="8"/>
        <v>75504</v>
      </c>
      <c r="M17">
        <f t="shared" si="9"/>
        <v>188496</v>
      </c>
      <c r="N17">
        <f t="shared" si="10"/>
        <v>75504</v>
      </c>
      <c r="O17">
        <f t="shared" si="11"/>
        <v>0</v>
      </c>
      <c r="P17">
        <f t="shared" si="12"/>
        <v>75504</v>
      </c>
      <c r="Q17">
        <f t="shared" si="13"/>
        <v>75504</v>
      </c>
      <c r="R17">
        <f t="shared" si="14"/>
        <v>188496</v>
      </c>
      <c r="S17">
        <f t="shared" si="15"/>
        <v>112992</v>
      </c>
      <c r="T17">
        <f t="shared" si="16"/>
        <v>75504</v>
      </c>
      <c r="U17">
        <f t="shared" si="17"/>
        <v>113097.59999999999</v>
      </c>
      <c r="V17">
        <f t="shared" si="18"/>
        <v>264000</v>
      </c>
    </row>
    <row r="18" spans="1:22" x14ac:dyDescent="0.25">
      <c r="A18">
        <v>1964</v>
      </c>
      <c r="B18">
        <v>26.66</v>
      </c>
      <c r="C18">
        <v>0.36890410958904107</v>
      </c>
      <c r="D18">
        <f t="shared" si="0"/>
        <v>368904.10958904109</v>
      </c>
      <c r="E18">
        <f t="shared" si="1"/>
        <v>295123287.67123288</v>
      </c>
      <c r="F18">
        <f t="shared" si="2"/>
        <v>295123.28767123289</v>
      </c>
      <c r="G18">
        <f t="shared" si="3"/>
        <v>191830.1369863014</v>
      </c>
      <c r="H18">
        <f t="shared" si="4"/>
        <v>168810.52054794523</v>
      </c>
      <c r="I18">
        <f t="shared" si="5"/>
        <v>84405.260273972614</v>
      </c>
      <c r="J18">
        <f t="shared" si="6"/>
        <v>126312.76712328766</v>
      </c>
      <c r="K18">
        <f t="shared" si="7"/>
        <v>84405.260273972614</v>
      </c>
      <c r="L18">
        <f t="shared" si="8"/>
        <v>84405.260273972614</v>
      </c>
      <c r="M18">
        <f t="shared" si="9"/>
        <v>210718.02739726027</v>
      </c>
      <c r="N18">
        <f t="shared" si="10"/>
        <v>84405.260273972614</v>
      </c>
      <c r="O18">
        <f t="shared" si="11"/>
        <v>0</v>
      </c>
      <c r="P18">
        <f t="shared" si="12"/>
        <v>84405.260273972614</v>
      </c>
      <c r="Q18">
        <f t="shared" si="13"/>
        <v>84405.260273972614</v>
      </c>
      <c r="R18">
        <f t="shared" si="14"/>
        <v>210718.02739726027</v>
      </c>
      <c r="S18">
        <f t="shared" si="15"/>
        <v>126312.76712328766</v>
      </c>
      <c r="T18">
        <f t="shared" si="16"/>
        <v>84405.260273972614</v>
      </c>
      <c r="U18">
        <f t="shared" si="17"/>
        <v>126430.81643835615</v>
      </c>
      <c r="V18">
        <f t="shared" si="18"/>
        <v>295123.28767123289</v>
      </c>
    </row>
    <row r="19" spans="1:22" x14ac:dyDescent="0.25">
      <c r="A19">
        <v>1965</v>
      </c>
      <c r="B19">
        <v>25.72</v>
      </c>
      <c r="C19">
        <v>0.35232876712328759</v>
      </c>
      <c r="D19">
        <f t="shared" si="0"/>
        <v>352328.7671232876</v>
      </c>
      <c r="E19">
        <f t="shared" si="1"/>
        <v>281863013.69863009</v>
      </c>
      <c r="F19">
        <f t="shared" si="2"/>
        <v>281863.01369863009</v>
      </c>
      <c r="G19">
        <f t="shared" si="3"/>
        <v>183210.95890410958</v>
      </c>
      <c r="H19">
        <f t="shared" si="4"/>
        <v>161225.64383561641</v>
      </c>
      <c r="I19">
        <f t="shared" si="5"/>
        <v>80612.821917808207</v>
      </c>
      <c r="J19">
        <f t="shared" si="6"/>
        <v>120637.36986301368</v>
      </c>
      <c r="K19">
        <f t="shared" si="7"/>
        <v>80612.821917808207</v>
      </c>
      <c r="L19">
        <f t="shared" si="8"/>
        <v>80612.821917808207</v>
      </c>
      <c r="M19">
        <f t="shared" si="9"/>
        <v>201250.19178082189</v>
      </c>
      <c r="N19">
        <f t="shared" si="10"/>
        <v>80612.821917808207</v>
      </c>
      <c r="O19">
        <f t="shared" si="11"/>
        <v>0</v>
      </c>
      <c r="P19">
        <f t="shared" si="12"/>
        <v>80612.821917808207</v>
      </c>
      <c r="Q19">
        <f t="shared" si="13"/>
        <v>80612.821917808207</v>
      </c>
      <c r="R19">
        <f t="shared" si="14"/>
        <v>201250.19178082189</v>
      </c>
      <c r="S19">
        <f t="shared" si="15"/>
        <v>120637.36986301368</v>
      </c>
      <c r="T19">
        <f t="shared" si="16"/>
        <v>80612.821917808207</v>
      </c>
      <c r="U19">
        <f t="shared" si="17"/>
        <v>120750.11506849312</v>
      </c>
      <c r="V19">
        <f t="shared" si="18"/>
        <v>281863.01369863009</v>
      </c>
    </row>
    <row r="20" spans="1:22" x14ac:dyDescent="0.25">
      <c r="A20">
        <v>1966</v>
      </c>
      <c r="B20">
        <v>27.4</v>
      </c>
      <c r="C20">
        <v>0.37260273972602742</v>
      </c>
      <c r="D20">
        <f t="shared" si="0"/>
        <v>372602.73972602742</v>
      </c>
      <c r="E20">
        <f t="shared" si="1"/>
        <v>298082191.78082192</v>
      </c>
      <c r="F20">
        <f t="shared" si="2"/>
        <v>298082.19178082194</v>
      </c>
      <c r="G20">
        <f t="shared" si="3"/>
        <v>193753.42465753428</v>
      </c>
      <c r="H20">
        <f t="shared" si="4"/>
        <v>170503.01369863018</v>
      </c>
      <c r="I20">
        <f t="shared" si="5"/>
        <v>85251.50684931509</v>
      </c>
      <c r="J20">
        <f t="shared" si="6"/>
        <v>127579.17808219178</v>
      </c>
      <c r="K20">
        <f t="shared" si="7"/>
        <v>85251.50684931509</v>
      </c>
      <c r="L20">
        <f t="shared" si="8"/>
        <v>85251.50684931509</v>
      </c>
      <c r="M20">
        <f t="shared" si="9"/>
        <v>212830.68493150687</v>
      </c>
      <c r="N20">
        <f t="shared" si="10"/>
        <v>85251.50684931509</v>
      </c>
      <c r="O20">
        <f t="shared" si="11"/>
        <v>0</v>
      </c>
      <c r="P20">
        <f t="shared" si="12"/>
        <v>85251.50684931509</v>
      </c>
      <c r="Q20">
        <f t="shared" si="13"/>
        <v>85251.50684931509</v>
      </c>
      <c r="R20">
        <f t="shared" si="14"/>
        <v>212830.68493150687</v>
      </c>
      <c r="S20">
        <f t="shared" si="15"/>
        <v>127579.17808219178</v>
      </c>
      <c r="T20">
        <f t="shared" si="16"/>
        <v>85251.50684931509</v>
      </c>
      <c r="U20">
        <f t="shared" si="17"/>
        <v>127698.41095890412</v>
      </c>
      <c r="V20">
        <f t="shared" si="18"/>
        <v>298082.19178082194</v>
      </c>
    </row>
    <row r="21" spans="1:22" x14ac:dyDescent="0.25">
      <c r="A21">
        <v>1967</v>
      </c>
      <c r="B21">
        <v>26.18</v>
      </c>
      <c r="C21">
        <v>0.35863013698630142</v>
      </c>
      <c r="D21">
        <f t="shared" si="0"/>
        <v>358630.1369863014</v>
      </c>
      <c r="E21">
        <f t="shared" si="1"/>
        <v>286904109.58904111</v>
      </c>
      <c r="F21">
        <f t="shared" si="2"/>
        <v>286904.10958904109</v>
      </c>
      <c r="G21">
        <f t="shared" si="3"/>
        <v>186487.67123287672</v>
      </c>
      <c r="H21">
        <f t="shared" si="4"/>
        <v>164109.15068493152</v>
      </c>
      <c r="I21">
        <f t="shared" si="5"/>
        <v>82054.57534246576</v>
      </c>
      <c r="J21">
        <f t="shared" si="6"/>
        <v>122794.95890410956</v>
      </c>
      <c r="K21">
        <f t="shared" si="7"/>
        <v>82054.57534246576</v>
      </c>
      <c r="L21">
        <f t="shared" si="8"/>
        <v>82054.57534246576</v>
      </c>
      <c r="M21">
        <f t="shared" si="9"/>
        <v>204849.53424657532</v>
      </c>
      <c r="N21">
        <f t="shared" si="10"/>
        <v>82054.57534246576</v>
      </c>
      <c r="O21">
        <f t="shared" si="11"/>
        <v>0</v>
      </c>
      <c r="P21">
        <f t="shared" si="12"/>
        <v>82054.57534246576</v>
      </c>
      <c r="Q21">
        <f t="shared" si="13"/>
        <v>82054.57534246576</v>
      </c>
      <c r="R21">
        <f t="shared" si="14"/>
        <v>204849.53424657532</v>
      </c>
      <c r="S21">
        <f t="shared" si="15"/>
        <v>122794.95890410956</v>
      </c>
      <c r="T21">
        <f t="shared" si="16"/>
        <v>82054.57534246576</v>
      </c>
      <c r="U21">
        <f t="shared" si="17"/>
        <v>122909.72054794518</v>
      </c>
      <c r="V21">
        <f t="shared" si="18"/>
        <v>286904.10958904109</v>
      </c>
    </row>
    <row r="22" spans="1:22" x14ac:dyDescent="0.25">
      <c r="A22">
        <v>1968</v>
      </c>
      <c r="B22">
        <v>24.9</v>
      </c>
      <c r="C22">
        <v>0.34109589041095889</v>
      </c>
      <c r="D22">
        <f t="shared" si="0"/>
        <v>341095.89041095891</v>
      </c>
      <c r="E22">
        <f t="shared" si="1"/>
        <v>272876712.32876712</v>
      </c>
      <c r="F22">
        <f t="shared" si="2"/>
        <v>272876.71232876711</v>
      </c>
      <c r="G22">
        <f t="shared" si="3"/>
        <v>177369.86301369863</v>
      </c>
      <c r="H22">
        <f t="shared" si="4"/>
        <v>156085.4794520548</v>
      </c>
      <c r="I22">
        <f t="shared" si="5"/>
        <v>78042.739726027401</v>
      </c>
      <c r="J22">
        <f t="shared" si="6"/>
        <v>116791.2328767123</v>
      </c>
      <c r="K22">
        <f t="shared" si="7"/>
        <v>78042.739726027401</v>
      </c>
      <c r="L22">
        <f t="shared" si="8"/>
        <v>78042.739726027401</v>
      </c>
      <c r="M22">
        <f t="shared" si="9"/>
        <v>194833.9726027397</v>
      </c>
      <c r="N22">
        <f t="shared" si="10"/>
        <v>78042.739726027401</v>
      </c>
      <c r="O22">
        <f t="shared" si="11"/>
        <v>0</v>
      </c>
      <c r="P22">
        <f t="shared" si="12"/>
        <v>78042.739726027401</v>
      </c>
      <c r="Q22">
        <f t="shared" si="13"/>
        <v>78042.739726027401</v>
      </c>
      <c r="R22">
        <f t="shared" si="14"/>
        <v>194833.9726027397</v>
      </c>
      <c r="S22">
        <f t="shared" si="15"/>
        <v>116791.2328767123</v>
      </c>
      <c r="T22">
        <f t="shared" si="16"/>
        <v>78042.739726027401</v>
      </c>
      <c r="U22">
        <f t="shared" si="17"/>
        <v>116900.38356164382</v>
      </c>
      <c r="V22">
        <f t="shared" si="18"/>
        <v>272876.71232876711</v>
      </c>
    </row>
    <row r="23" spans="1:22" x14ac:dyDescent="0.25">
      <c r="A23">
        <v>1969</v>
      </c>
      <c r="B23">
        <v>26.96</v>
      </c>
      <c r="C23">
        <v>0.36410958904109592</v>
      </c>
      <c r="D23">
        <f t="shared" si="0"/>
        <v>364109.58904109593</v>
      </c>
      <c r="E23">
        <f t="shared" si="1"/>
        <v>291287671.23287672</v>
      </c>
      <c r="F23">
        <f t="shared" si="2"/>
        <v>291287.67123287672</v>
      </c>
      <c r="G23">
        <f t="shared" si="3"/>
        <v>189336.98630136988</v>
      </c>
      <c r="H23">
        <f t="shared" si="4"/>
        <v>166616.5479452055</v>
      </c>
      <c r="I23">
        <f t="shared" si="5"/>
        <v>83308.27397260275</v>
      </c>
      <c r="J23">
        <f t="shared" si="6"/>
        <v>124671.12328767123</v>
      </c>
      <c r="K23">
        <f t="shared" si="7"/>
        <v>83308.27397260275</v>
      </c>
      <c r="L23">
        <f t="shared" si="8"/>
        <v>83308.27397260275</v>
      </c>
      <c r="M23">
        <f t="shared" si="9"/>
        <v>207979.39726027398</v>
      </c>
      <c r="N23">
        <f t="shared" si="10"/>
        <v>83308.27397260275</v>
      </c>
      <c r="O23">
        <f t="shared" si="11"/>
        <v>0</v>
      </c>
      <c r="P23">
        <f t="shared" si="12"/>
        <v>83308.27397260275</v>
      </c>
      <c r="Q23">
        <f t="shared" si="13"/>
        <v>83308.27397260275</v>
      </c>
      <c r="R23">
        <f t="shared" si="14"/>
        <v>207979.39726027398</v>
      </c>
      <c r="S23">
        <f t="shared" si="15"/>
        <v>124671.12328767123</v>
      </c>
      <c r="T23">
        <f t="shared" si="16"/>
        <v>83308.27397260275</v>
      </c>
      <c r="U23">
        <f t="shared" si="17"/>
        <v>124787.63835616439</v>
      </c>
      <c r="V23">
        <f t="shared" si="18"/>
        <v>291287.67123287672</v>
      </c>
    </row>
    <row r="24" spans="1:22" x14ac:dyDescent="0.25">
      <c r="A24">
        <v>1970</v>
      </c>
      <c r="B24">
        <v>28.01</v>
      </c>
      <c r="C24">
        <v>0.38410958904109588</v>
      </c>
      <c r="D24">
        <f t="shared" si="0"/>
        <v>384109.58904109587</v>
      </c>
      <c r="E24">
        <f t="shared" si="1"/>
        <v>307287671.23287672</v>
      </c>
      <c r="F24">
        <f t="shared" si="2"/>
        <v>307287.67123287672</v>
      </c>
      <c r="G24">
        <f t="shared" si="3"/>
        <v>199736.98630136988</v>
      </c>
      <c r="H24">
        <f t="shared" si="4"/>
        <v>175768.5479452055</v>
      </c>
      <c r="I24">
        <f t="shared" si="5"/>
        <v>87884.27397260275</v>
      </c>
      <c r="J24">
        <f t="shared" si="6"/>
        <v>131519.12328767125</v>
      </c>
      <c r="K24">
        <f t="shared" si="7"/>
        <v>87884.27397260275</v>
      </c>
      <c r="L24">
        <f t="shared" si="8"/>
        <v>87884.27397260275</v>
      </c>
      <c r="M24">
        <f t="shared" si="9"/>
        <v>219403.39726027398</v>
      </c>
      <c r="N24">
        <f t="shared" si="10"/>
        <v>87884.27397260275</v>
      </c>
      <c r="O24">
        <f t="shared" si="11"/>
        <v>0</v>
      </c>
      <c r="P24">
        <f t="shared" si="12"/>
        <v>87884.27397260275</v>
      </c>
      <c r="Q24">
        <f t="shared" si="13"/>
        <v>87884.27397260275</v>
      </c>
      <c r="R24">
        <f t="shared" si="14"/>
        <v>219403.39726027398</v>
      </c>
      <c r="S24">
        <f t="shared" si="15"/>
        <v>131519.12328767125</v>
      </c>
      <c r="T24">
        <f t="shared" si="16"/>
        <v>87884.27397260275</v>
      </c>
      <c r="U24">
        <f t="shared" si="17"/>
        <v>131642.03835616438</v>
      </c>
      <c r="V24">
        <f t="shared" si="18"/>
        <v>307287.67123287672</v>
      </c>
    </row>
    <row r="25" spans="1:22" x14ac:dyDescent="0.25">
      <c r="A25">
        <v>1971</v>
      </c>
      <c r="B25">
        <v>27.87</v>
      </c>
      <c r="C25">
        <v>0.38178082191780821</v>
      </c>
      <c r="D25">
        <f t="shared" si="0"/>
        <v>381780.82191780821</v>
      </c>
      <c r="E25">
        <f t="shared" si="1"/>
        <v>305424657.53424656</v>
      </c>
      <c r="F25">
        <f t="shared" si="2"/>
        <v>305424.65753424657</v>
      </c>
      <c r="G25">
        <f t="shared" si="3"/>
        <v>198526.02739726027</v>
      </c>
      <c r="H25">
        <f t="shared" si="4"/>
        <v>174702.90410958903</v>
      </c>
      <c r="I25">
        <f t="shared" si="5"/>
        <v>87351.452054794514</v>
      </c>
      <c r="J25">
        <f t="shared" si="6"/>
        <v>130721.75342465752</v>
      </c>
      <c r="K25">
        <f t="shared" si="7"/>
        <v>87351.452054794514</v>
      </c>
      <c r="L25">
        <f t="shared" si="8"/>
        <v>87351.452054794514</v>
      </c>
      <c r="M25">
        <f t="shared" si="9"/>
        <v>218073.20547945204</v>
      </c>
      <c r="N25">
        <f t="shared" si="10"/>
        <v>87351.452054794514</v>
      </c>
      <c r="O25">
        <f t="shared" si="11"/>
        <v>0</v>
      </c>
      <c r="P25">
        <f t="shared" si="12"/>
        <v>87351.452054794514</v>
      </c>
      <c r="Q25">
        <f t="shared" si="13"/>
        <v>87351.452054794514</v>
      </c>
      <c r="R25">
        <f t="shared" si="14"/>
        <v>218073.20547945204</v>
      </c>
      <c r="S25">
        <f t="shared" si="15"/>
        <v>130721.75342465752</v>
      </c>
      <c r="T25">
        <f t="shared" si="16"/>
        <v>87351.452054794514</v>
      </c>
      <c r="U25">
        <f t="shared" si="17"/>
        <v>130843.92328767122</v>
      </c>
      <c r="V25">
        <f t="shared" si="18"/>
        <v>305424.65753424657</v>
      </c>
    </row>
    <row r="26" spans="1:22" x14ac:dyDescent="0.25">
      <c r="A26">
        <v>1972</v>
      </c>
      <c r="B26">
        <v>29.74</v>
      </c>
      <c r="C26">
        <v>0.32465753424657529</v>
      </c>
      <c r="D26">
        <f t="shared" si="0"/>
        <v>324657.53424657526</v>
      </c>
      <c r="E26">
        <f t="shared" si="1"/>
        <v>259726027.39726022</v>
      </c>
      <c r="F26">
        <f t="shared" si="2"/>
        <v>259726.02739726022</v>
      </c>
      <c r="G26">
        <f t="shared" si="3"/>
        <v>168821.91780821915</v>
      </c>
      <c r="H26">
        <f t="shared" si="4"/>
        <v>148563.28767123286</v>
      </c>
      <c r="I26">
        <f t="shared" si="5"/>
        <v>74281.643835616429</v>
      </c>
      <c r="J26">
        <f t="shared" si="6"/>
        <v>111162.73972602734</v>
      </c>
      <c r="K26">
        <f t="shared" si="7"/>
        <v>74281.643835616429</v>
      </c>
      <c r="L26">
        <f t="shared" si="8"/>
        <v>74281.643835616429</v>
      </c>
      <c r="M26">
        <f t="shared" si="9"/>
        <v>185444.38356164377</v>
      </c>
      <c r="N26">
        <f t="shared" si="10"/>
        <v>74281.643835616429</v>
      </c>
      <c r="O26">
        <f t="shared" si="11"/>
        <v>0</v>
      </c>
      <c r="P26">
        <f t="shared" si="12"/>
        <v>74281.643835616429</v>
      </c>
      <c r="Q26">
        <f t="shared" si="13"/>
        <v>74281.643835616429</v>
      </c>
      <c r="R26">
        <f t="shared" si="14"/>
        <v>185444.38356164377</v>
      </c>
      <c r="S26">
        <f t="shared" si="15"/>
        <v>111162.73972602734</v>
      </c>
      <c r="T26">
        <f t="shared" si="16"/>
        <v>74281.643835616429</v>
      </c>
      <c r="U26">
        <f t="shared" si="17"/>
        <v>111266.63013698626</v>
      </c>
      <c r="V26">
        <f t="shared" si="18"/>
        <v>259726.02739726019</v>
      </c>
    </row>
    <row r="27" spans="1:22" x14ac:dyDescent="0.25">
      <c r="A27">
        <v>1973</v>
      </c>
      <c r="B27">
        <v>31</v>
      </c>
      <c r="C27">
        <v>0.42465753424657532</v>
      </c>
      <c r="D27">
        <f t="shared" si="0"/>
        <v>424657.53424657532</v>
      </c>
      <c r="E27">
        <f t="shared" si="1"/>
        <v>339726027.39726025</v>
      </c>
      <c r="F27">
        <f t="shared" si="2"/>
        <v>339726.02739726024</v>
      </c>
      <c r="G27">
        <f t="shared" si="3"/>
        <v>220821.91780821918</v>
      </c>
      <c r="H27">
        <f t="shared" si="4"/>
        <v>194323.28767123289</v>
      </c>
      <c r="I27">
        <f t="shared" si="5"/>
        <v>97161.643835616444</v>
      </c>
      <c r="J27">
        <f t="shared" si="6"/>
        <v>145402.73972602736</v>
      </c>
      <c r="K27">
        <f t="shared" si="7"/>
        <v>97161.643835616444</v>
      </c>
      <c r="L27">
        <f t="shared" si="8"/>
        <v>97161.643835616444</v>
      </c>
      <c r="M27">
        <f t="shared" si="9"/>
        <v>242564.3835616438</v>
      </c>
      <c r="N27">
        <f t="shared" si="10"/>
        <v>97161.643835616444</v>
      </c>
      <c r="O27">
        <f t="shared" si="11"/>
        <v>0</v>
      </c>
      <c r="P27">
        <f t="shared" si="12"/>
        <v>97161.643835616444</v>
      </c>
      <c r="Q27">
        <f t="shared" si="13"/>
        <v>97161.643835616444</v>
      </c>
      <c r="R27">
        <f t="shared" si="14"/>
        <v>242564.3835616438</v>
      </c>
      <c r="S27">
        <f t="shared" si="15"/>
        <v>145402.73972602736</v>
      </c>
      <c r="T27">
        <f t="shared" si="16"/>
        <v>97161.643835616444</v>
      </c>
      <c r="U27">
        <f t="shared" si="17"/>
        <v>145538.63013698626</v>
      </c>
      <c r="V27">
        <f t="shared" si="18"/>
        <v>339726.02739726024</v>
      </c>
    </row>
    <row r="28" spans="1:22" x14ac:dyDescent="0.25">
      <c r="A28">
        <v>1974</v>
      </c>
      <c r="B28">
        <v>31.59</v>
      </c>
      <c r="C28">
        <v>0.43273972602739719</v>
      </c>
      <c r="D28">
        <f t="shared" si="0"/>
        <v>432739.72602739721</v>
      </c>
      <c r="E28">
        <f t="shared" si="1"/>
        <v>346191780.82191777</v>
      </c>
      <c r="F28">
        <f t="shared" si="2"/>
        <v>346191.78082191775</v>
      </c>
      <c r="G28">
        <f t="shared" si="3"/>
        <v>225024.65753424654</v>
      </c>
      <c r="H28">
        <f t="shared" si="4"/>
        <v>198021.69863013696</v>
      </c>
      <c r="I28">
        <f t="shared" si="5"/>
        <v>99010.849315068481</v>
      </c>
      <c r="J28">
        <f t="shared" si="6"/>
        <v>148170.08219178079</v>
      </c>
      <c r="K28">
        <f t="shared" si="7"/>
        <v>99010.849315068481</v>
      </c>
      <c r="L28">
        <f t="shared" si="8"/>
        <v>99010.849315068481</v>
      </c>
      <c r="M28">
        <f t="shared" si="9"/>
        <v>247180.93150684927</v>
      </c>
      <c r="N28">
        <f t="shared" si="10"/>
        <v>99010.849315068481</v>
      </c>
      <c r="O28">
        <f t="shared" si="11"/>
        <v>0</v>
      </c>
      <c r="P28">
        <f t="shared" si="12"/>
        <v>99010.849315068481</v>
      </c>
      <c r="Q28">
        <f t="shared" si="13"/>
        <v>99010.849315068481</v>
      </c>
      <c r="R28">
        <f t="shared" si="14"/>
        <v>247180.93150684927</v>
      </c>
      <c r="S28">
        <f t="shared" si="15"/>
        <v>148170.08219178079</v>
      </c>
      <c r="T28">
        <f t="shared" si="16"/>
        <v>99010.849315068481</v>
      </c>
      <c r="U28">
        <f t="shared" si="17"/>
        <v>148308.55890410955</v>
      </c>
      <c r="V28">
        <f t="shared" si="18"/>
        <v>346191.78082191775</v>
      </c>
    </row>
    <row r="29" spans="1:22" x14ac:dyDescent="0.25">
      <c r="A29">
        <v>1975</v>
      </c>
      <c r="B29">
        <v>30.13</v>
      </c>
      <c r="C29">
        <v>0.35767123287671232</v>
      </c>
      <c r="D29">
        <f t="shared" si="0"/>
        <v>357671.23287671234</v>
      </c>
      <c r="E29">
        <f t="shared" si="1"/>
        <v>286136986.30136985</v>
      </c>
      <c r="F29">
        <f t="shared" si="2"/>
        <v>286136.98630136985</v>
      </c>
      <c r="G29">
        <f t="shared" si="3"/>
        <v>185989.0410958904</v>
      </c>
      <c r="H29">
        <f t="shared" si="4"/>
        <v>163670.35616438356</v>
      </c>
      <c r="I29">
        <f t="shared" si="5"/>
        <v>81835.178082191778</v>
      </c>
      <c r="J29">
        <f t="shared" si="6"/>
        <v>122466.63013698628</v>
      </c>
      <c r="K29">
        <f t="shared" si="7"/>
        <v>81835.178082191778</v>
      </c>
      <c r="L29">
        <f t="shared" si="8"/>
        <v>81835.178082191778</v>
      </c>
      <c r="M29">
        <f t="shared" si="9"/>
        <v>204301.80821917806</v>
      </c>
      <c r="N29">
        <f t="shared" si="10"/>
        <v>81835.178082191778</v>
      </c>
      <c r="O29">
        <f t="shared" si="11"/>
        <v>0</v>
      </c>
      <c r="P29">
        <f t="shared" si="12"/>
        <v>81835.178082191778</v>
      </c>
      <c r="Q29">
        <f t="shared" si="13"/>
        <v>81835.178082191778</v>
      </c>
      <c r="R29">
        <f t="shared" si="14"/>
        <v>204301.80821917806</v>
      </c>
      <c r="S29">
        <f t="shared" si="15"/>
        <v>122466.63013698628</v>
      </c>
      <c r="T29">
        <f t="shared" si="16"/>
        <v>81835.178082191778</v>
      </c>
      <c r="U29">
        <f t="shared" si="17"/>
        <v>122581.08493150683</v>
      </c>
      <c r="V29">
        <f t="shared" si="18"/>
        <v>286136.98630136985</v>
      </c>
    </row>
    <row r="30" spans="1:22" x14ac:dyDescent="0.25">
      <c r="A30">
        <v>1976</v>
      </c>
      <c r="B30">
        <v>28.89</v>
      </c>
      <c r="C30">
        <v>0.39575342465753421</v>
      </c>
      <c r="D30">
        <f t="shared" si="0"/>
        <v>395753.42465753423</v>
      </c>
      <c r="E30">
        <f t="shared" si="1"/>
        <v>316602739.72602737</v>
      </c>
      <c r="F30">
        <f t="shared" si="2"/>
        <v>316602.73972602736</v>
      </c>
      <c r="G30">
        <f t="shared" si="3"/>
        <v>205791.78082191778</v>
      </c>
      <c r="H30">
        <f t="shared" si="4"/>
        <v>181096.76712328766</v>
      </c>
      <c r="I30">
        <f t="shared" si="5"/>
        <v>90548.38356164383</v>
      </c>
      <c r="J30">
        <f t="shared" si="6"/>
        <v>135505.9726027397</v>
      </c>
      <c r="K30">
        <f t="shared" si="7"/>
        <v>90548.38356164383</v>
      </c>
      <c r="L30">
        <f t="shared" si="8"/>
        <v>90548.38356164383</v>
      </c>
      <c r="M30">
        <f t="shared" si="9"/>
        <v>226054.35616438353</v>
      </c>
      <c r="N30">
        <f t="shared" si="10"/>
        <v>90548.38356164383</v>
      </c>
      <c r="O30">
        <f t="shared" si="11"/>
        <v>0</v>
      </c>
      <c r="P30">
        <f t="shared" si="12"/>
        <v>90548.38356164383</v>
      </c>
      <c r="Q30">
        <f t="shared" si="13"/>
        <v>90548.38356164383</v>
      </c>
      <c r="R30">
        <f t="shared" si="14"/>
        <v>226054.35616438353</v>
      </c>
      <c r="S30">
        <f t="shared" si="15"/>
        <v>135505.9726027397</v>
      </c>
      <c r="T30">
        <f t="shared" si="16"/>
        <v>90548.38356164383</v>
      </c>
      <c r="U30">
        <f t="shared" si="17"/>
        <v>135632.6136986301</v>
      </c>
      <c r="V30">
        <f t="shared" si="18"/>
        <v>316602.73972602736</v>
      </c>
    </row>
    <row r="31" spans="1:22" x14ac:dyDescent="0.25">
      <c r="A31">
        <v>1977</v>
      </c>
      <c r="B31">
        <v>29.34</v>
      </c>
      <c r="C31">
        <v>0.40191780821917811</v>
      </c>
      <c r="D31">
        <f t="shared" si="0"/>
        <v>401917.80821917811</v>
      </c>
      <c r="E31">
        <f t="shared" si="1"/>
        <v>321534246.57534248</v>
      </c>
      <c r="F31">
        <f t="shared" si="2"/>
        <v>321534.24657534249</v>
      </c>
      <c r="G31">
        <f t="shared" si="3"/>
        <v>208997.26027397261</v>
      </c>
      <c r="H31">
        <f t="shared" si="4"/>
        <v>183917.5890410959</v>
      </c>
      <c r="I31">
        <f t="shared" si="5"/>
        <v>91958.794520547948</v>
      </c>
      <c r="J31">
        <f t="shared" si="6"/>
        <v>137616.65753424657</v>
      </c>
      <c r="K31">
        <f t="shared" si="7"/>
        <v>91958.794520547948</v>
      </c>
      <c r="L31">
        <f t="shared" si="8"/>
        <v>91958.794520547948</v>
      </c>
      <c r="M31">
        <f t="shared" si="9"/>
        <v>229575.45205479453</v>
      </c>
      <c r="N31">
        <f t="shared" si="10"/>
        <v>91958.794520547948</v>
      </c>
      <c r="O31">
        <f t="shared" si="11"/>
        <v>0</v>
      </c>
      <c r="P31">
        <f t="shared" si="12"/>
        <v>91958.794520547948</v>
      </c>
      <c r="Q31">
        <f t="shared" si="13"/>
        <v>91958.794520547948</v>
      </c>
      <c r="R31">
        <f t="shared" si="14"/>
        <v>229575.45205479453</v>
      </c>
      <c r="S31">
        <f t="shared" si="15"/>
        <v>137616.65753424657</v>
      </c>
      <c r="T31">
        <f t="shared" si="16"/>
        <v>91958.794520547948</v>
      </c>
      <c r="U31">
        <f t="shared" si="17"/>
        <v>137745.27123287672</v>
      </c>
      <c r="V31">
        <f t="shared" si="18"/>
        <v>321534.24657534249</v>
      </c>
    </row>
    <row r="32" spans="1:22" x14ac:dyDescent="0.25">
      <c r="A32">
        <v>1978</v>
      </c>
      <c r="B32">
        <v>28.61</v>
      </c>
      <c r="C32">
        <v>0.39232876712328768</v>
      </c>
      <c r="D32">
        <f t="shared" si="0"/>
        <v>392328.76712328766</v>
      </c>
      <c r="E32">
        <f t="shared" si="1"/>
        <v>313863013.69863015</v>
      </c>
      <c r="F32">
        <f t="shared" si="2"/>
        <v>313863.01369863015</v>
      </c>
      <c r="G32">
        <f t="shared" si="3"/>
        <v>204010.9589041096</v>
      </c>
      <c r="H32">
        <f t="shared" si="4"/>
        <v>179529.64383561644</v>
      </c>
      <c r="I32">
        <f t="shared" si="5"/>
        <v>89764.821917808222</v>
      </c>
      <c r="J32">
        <f t="shared" si="6"/>
        <v>134333.36986301374</v>
      </c>
      <c r="K32">
        <f t="shared" si="7"/>
        <v>89764.821917808222</v>
      </c>
      <c r="L32">
        <f t="shared" si="8"/>
        <v>89764.821917808222</v>
      </c>
      <c r="M32">
        <f t="shared" si="9"/>
        <v>224098.19178082194</v>
      </c>
      <c r="N32">
        <f t="shared" si="10"/>
        <v>89764.821917808222</v>
      </c>
      <c r="O32">
        <f t="shared" si="11"/>
        <v>0</v>
      </c>
      <c r="P32">
        <f t="shared" si="12"/>
        <v>89764.821917808222</v>
      </c>
      <c r="Q32">
        <f t="shared" si="13"/>
        <v>89764.821917808222</v>
      </c>
      <c r="R32">
        <f t="shared" si="14"/>
        <v>224098.19178082194</v>
      </c>
      <c r="S32">
        <f t="shared" si="15"/>
        <v>134333.36986301374</v>
      </c>
      <c r="T32">
        <f t="shared" si="16"/>
        <v>89764.821917808222</v>
      </c>
      <c r="U32">
        <f t="shared" si="17"/>
        <v>134458.91506849317</v>
      </c>
      <c r="V32">
        <f t="shared" si="18"/>
        <v>313863.01369863015</v>
      </c>
    </row>
    <row r="33" spans="1:22" x14ac:dyDescent="0.25">
      <c r="A33">
        <v>1979</v>
      </c>
      <c r="B33">
        <v>27.45</v>
      </c>
      <c r="C33">
        <v>0.37602739726027401</v>
      </c>
      <c r="D33">
        <f t="shared" si="0"/>
        <v>376027.39726027398</v>
      </c>
      <c r="E33">
        <f t="shared" si="1"/>
        <v>300821917.80821919</v>
      </c>
      <c r="F33">
        <f t="shared" si="2"/>
        <v>300821.91780821921</v>
      </c>
      <c r="G33">
        <f t="shared" si="3"/>
        <v>195534.24657534249</v>
      </c>
      <c r="H33">
        <f t="shared" si="4"/>
        <v>172070.1369863014</v>
      </c>
      <c r="I33">
        <f t="shared" si="5"/>
        <v>86035.068493150698</v>
      </c>
      <c r="J33">
        <f t="shared" si="6"/>
        <v>128751.78082191781</v>
      </c>
      <c r="K33">
        <f t="shared" si="7"/>
        <v>86035.068493150698</v>
      </c>
      <c r="L33">
        <f t="shared" si="8"/>
        <v>86035.068493150698</v>
      </c>
      <c r="M33">
        <f t="shared" si="9"/>
        <v>214786.84931506851</v>
      </c>
      <c r="N33">
        <f t="shared" si="10"/>
        <v>86035.068493150698</v>
      </c>
      <c r="O33">
        <f t="shared" si="11"/>
        <v>0</v>
      </c>
      <c r="P33">
        <f t="shared" si="12"/>
        <v>86035.068493150698</v>
      </c>
      <c r="Q33">
        <f t="shared" si="13"/>
        <v>86035.068493150698</v>
      </c>
      <c r="R33">
        <f t="shared" si="14"/>
        <v>214786.84931506851</v>
      </c>
      <c r="S33">
        <f t="shared" si="15"/>
        <v>128751.78082191781</v>
      </c>
      <c r="T33">
        <f t="shared" si="16"/>
        <v>86035.068493150698</v>
      </c>
      <c r="U33">
        <f t="shared" si="17"/>
        <v>128872.10958904109</v>
      </c>
      <c r="V33">
        <f t="shared" si="18"/>
        <v>300821.91780821921</v>
      </c>
    </row>
    <row r="34" spans="1:22" x14ac:dyDescent="0.25">
      <c r="A34">
        <v>1980</v>
      </c>
      <c r="B34">
        <v>30.11</v>
      </c>
      <c r="C34">
        <v>0.41246575342465752</v>
      </c>
      <c r="D34">
        <f t="shared" si="0"/>
        <v>412465.75342465751</v>
      </c>
      <c r="E34">
        <f t="shared" si="1"/>
        <v>329972602.73972601</v>
      </c>
      <c r="F34">
        <f t="shared" si="2"/>
        <v>329972.60273972602</v>
      </c>
      <c r="G34">
        <f t="shared" si="3"/>
        <v>214482.19178082192</v>
      </c>
      <c r="H34">
        <f t="shared" si="4"/>
        <v>188744.32876712328</v>
      </c>
      <c r="I34">
        <f t="shared" si="5"/>
        <v>94372.164383561641</v>
      </c>
      <c r="J34">
        <f t="shared" si="6"/>
        <v>141228.27397260274</v>
      </c>
      <c r="K34">
        <f t="shared" si="7"/>
        <v>94372.164383561641</v>
      </c>
      <c r="L34">
        <f t="shared" si="8"/>
        <v>94372.164383561641</v>
      </c>
      <c r="M34">
        <f t="shared" si="9"/>
        <v>235600.43835616438</v>
      </c>
      <c r="N34">
        <f t="shared" si="10"/>
        <v>94372.164383561641</v>
      </c>
      <c r="O34">
        <f t="shared" si="11"/>
        <v>0</v>
      </c>
      <c r="P34">
        <f t="shared" si="12"/>
        <v>94372.164383561641</v>
      </c>
      <c r="Q34">
        <f t="shared" si="13"/>
        <v>94372.164383561641</v>
      </c>
      <c r="R34">
        <f t="shared" si="14"/>
        <v>235600.43835616438</v>
      </c>
      <c r="S34">
        <f t="shared" si="15"/>
        <v>141228.27397260274</v>
      </c>
      <c r="T34">
        <f t="shared" si="16"/>
        <v>94372.164383561641</v>
      </c>
      <c r="U34">
        <f t="shared" si="17"/>
        <v>141360.26301369863</v>
      </c>
      <c r="V34">
        <f t="shared" si="18"/>
        <v>329972.60273972602</v>
      </c>
    </row>
    <row r="35" spans="1:22" x14ac:dyDescent="0.25">
      <c r="A35">
        <v>1981</v>
      </c>
      <c r="B35">
        <v>29.2</v>
      </c>
      <c r="C35">
        <v>0.4</v>
      </c>
      <c r="D35">
        <f t="shared" si="0"/>
        <v>400000</v>
      </c>
      <c r="E35">
        <f t="shared" si="1"/>
        <v>320000000</v>
      </c>
      <c r="F35">
        <f t="shared" si="2"/>
        <v>320000</v>
      </c>
      <c r="G35">
        <f t="shared" si="3"/>
        <v>208000</v>
      </c>
      <c r="H35">
        <f t="shared" si="4"/>
        <v>183040</v>
      </c>
      <c r="I35">
        <f t="shared" si="5"/>
        <v>91520</v>
      </c>
      <c r="J35">
        <f t="shared" si="6"/>
        <v>136960</v>
      </c>
      <c r="K35">
        <f t="shared" si="7"/>
        <v>91520</v>
      </c>
      <c r="L35">
        <f t="shared" si="8"/>
        <v>91520</v>
      </c>
      <c r="M35">
        <f t="shared" si="9"/>
        <v>228480</v>
      </c>
      <c r="N35">
        <f t="shared" si="10"/>
        <v>91520</v>
      </c>
      <c r="O35">
        <f t="shared" si="11"/>
        <v>0</v>
      </c>
      <c r="P35">
        <f t="shared" si="12"/>
        <v>91520</v>
      </c>
      <c r="Q35">
        <f t="shared" si="13"/>
        <v>91520</v>
      </c>
      <c r="R35">
        <f t="shared" si="14"/>
        <v>228480</v>
      </c>
      <c r="S35">
        <f t="shared" si="15"/>
        <v>136960</v>
      </c>
      <c r="T35">
        <f t="shared" si="16"/>
        <v>91520</v>
      </c>
      <c r="U35">
        <f t="shared" si="17"/>
        <v>137088</v>
      </c>
      <c r="V35">
        <f t="shared" si="18"/>
        <v>320000</v>
      </c>
    </row>
    <row r="36" spans="1:22" x14ac:dyDescent="0.25">
      <c r="A36">
        <v>1982</v>
      </c>
      <c r="B36">
        <v>28.88</v>
      </c>
      <c r="C36">
        <v>0.39561643835616428</v>
      </c>
      <c r="D36">
        <f t="shared" si="0"/>
        <v>395616.43835616426</v>
      </c>
      <c r="E36">
        <f t="shared" si="1"/>
        <v>316493150.6849314</v>
      </c>
      <c r="F36">
        <f t="shared" si="2"/>
        <v>316493.15068493137</v>
      </c>
      <c r="G36">
        <f t="shared" si="3"/>
        <v>205720.54794520541</v>
      </c>
      <c r="H36">
        <f t="shared" si="4"/>
        <v>181034.08219178076</v>
      </c>
      <c r="I36">
        <f t="shared" si="5"/>
        <v>90517.041095890381</v>
      </c>
      <c r="J36">
        <f t="shared" si="6"/>
        <v>135459.06849315058</v>
      </c>
      <c r="K36">
        <f t="shared" si="7"/>
        <v>90517.041095890381</v>
      </c>
      <c r="L36">
        <f t="shared" si="8"/>
        <v>90517.041095890381</v>
      </c>
      <c r="M36">
        <f t="shared" si="9"/>
        <v>225976.10958904098</v>
      </c>
      <c r="N36">
        <f t="shared" si="10"/>
        <v>90517.041095890381</v>
      </c>
      <c r="O36">
        <f t="shared" si="11"/>
        <v>0</v>
      </c>
      <c r="P36">
        <f t="shared" si="12"/>
        <v>90517.041095890381</v>
      </c>
      <c r="Q36">
        <f t="shared" si="13"/>
        <v>90517.041095890381</v>
      </c>
      <c r="R36">
        <f t="shared" si="14"/>
        <v>225976.10958904098</v>
      </c>
      <c r="S36">
        <f t="shared" si="15"/>
        <v>135459.06849315058</v>
      </c>
      <c r="T36">
        <f t="shared" si="16"/>
        <v>90517.041095890381</v>
      </c>
      <c r="U36">
        <f t="shared" si="17"/>
        <v>135585.66575342458</v>
      </c>
      <c r="V36">
        <f t="shared" si="18"/>
        <v>316493.15068493137</v>
      </c>
    </row>
    <row r="37" spans="1:22" x14ac:dyDescent="0.25">
      <c r="A37">
        <v>1983</v>
      </c>
      <c r="B37">
        <v>29.46</v>
      </c>
      <c r="C37">
        <v>0.376986301369863</v>
      </c>
      <c r="D37">
        <f t="shared" si="0"/>
        <v>376986.30136986298</v>
      </c>
      <c r="E37">
        <f t="shared" si="1"/>
        <v>301589041.0958904</v>
      </c>
      <c r="F37">
        <f t="shared" si="2"/>
        <v>301589.0410958904</v>
      </c>
      <c r="G37">
        <f t="shared" si="3"/>
        <v>196032.87671232875</v>
      </c>
      <c r="H37">
        <f t="shared" si="4"/>
        <v>172508.9315068493</v>
      </c>
      <c r="I37">
        <f t="shared" si="5"/>
        <v>86254.465753424651</v>
      </c>
      <c r="J37">
        <f t="shared" si="6"/>
        <v>129080.10958904109</v>
      </c>
      <c r="K37">
        <f t="shared" si="7"/>
        <v>86254.465753424651</v>
      </c>
      <c r="L37">
        <f t="shared" si="8"/>
        <v>86254.465753424651</v>
      </c>
      <c r="M37">
        <f t="shared" si="9"/>
        <v>215334.57534246575</v>
      </c>
      <c r="N37">
        <f t="shared" si="10"/>
        <v>86254.465753424651</v>
      </c>
      <c r="O37">
        <f t="shared" si="11"/>
        <v>0</v>
      </c>
      <c r="P37">
        <f t="shared" si="12"/>
        <v>86254.465753424651</v>
      </c>
      <c r="Q37">
        <f t="shared" si="13"/>
        <v>86254.465753424651</v>
      </c>
      <c r="R37">
        <f t="shared" si="14"/>
        <v>215334.57534246575</v>
      </c>
      <c r="S37">
        <f t="shared" si="15"/>
        <v>129080.10958904109</v>
      </c>
      <c r="T37">
        <f t="shared" si="16"/>
        <v>86254.465753424651</v>
      </c>
      <c r="U37">
        <f t="shared" si="17"/>
        <v>129200.74520547944</v>
      </c>
      <c r="V37">
        <f t="shared" si="18"/>
        <v>301589.0410958904</v>
      </c>
    </row>
    <row r="38" spans="1:22" x14ac:dyDescent="0.25">
      <c r="A38">
        <v>1984</v>
      </c>
      <c r="B38">
        <v>28.41</v>
      </c>
      <c r="C38">
        <v>0.38917808219178079</v>
      </c>
      <c r="D38">
        <f t="shared" si="0"/>
        <v>389178.08219178079</v>
      </c>
      <c r="E38">
        <f t="shared" si="1"/>
        <v>311342465.75342464</v>
      </c>
      <c r="F38">
        <f t="shared" si="2"/>
        <v>311342.46575342462</v>
      </c>
      <c r="G38">
        <f t="shared" si="3"/>
        <v>202372.60273972602</v>
      </c>
      <c r="H38">
        <f t="shared" si="4"/>
        <v>178087.89041095891</v>
      </c>
      <c r="I38">
        <f t="shared" si="5"/>
        <v>89043.945205479453</v>
      </c>
      <c r="J38">
        <f t="shared" si="6"/>
        <v>133254.57534246572</v>
      </c>
      <c r="K38">
        <f t="shared" si="7"/>
        <v>89043.945205479453</v>
      </c>
      <c r="L38">
        <f t="shared" si="8"/>
        <v>89043.945205479453</v>
      </c>
      <c r="M38">
        <f t="shared" si="9"/>
        <v>222298.52054794517</v>
      </c>
      <c r="N38">
        <f t="shared" si="10"/>
        <v>89043.945205479453</v>
      </c>
      <c r="O38">
        <f t="shared" si="11"/>
        <v>0</v>
      </c>
      <c r="P38">
        <f t="shared" si="12"/>
        <v>89043.945205479453</v>
      </c>
      <c r="Q38">
        <f t="shared" si="13"/>
        <v>89043.945205479453</v>
      </c>
      <c r="R38">
        <f t="shared" si="14"/>
        <v>222298.52054794517</v>
      </c>
      <c r="S38">
        <f t="shared" si="15"/>
        <v>133254.57534246572</v>
      </c>
      <c r="T38">
        <f t="shared" si="16"/>
        <v>89043.945205479453</v>
      </c>
      <c r="U38">
        <f t="shared" si="17"/>
        <v>133379.11232876711</v>
      </c>
      <c r="V38">
        <f t="shared" si="18"/>
        <v>311342.46575342462</v>
      </c>
    </row>
    <row r="39" spans="1:22" x14ac:dyDescent="0.25">
      <c r="A39">
        <v>1985</v>
      </c>
      <c r="B39">
        <v>31.45</v>
      </c>
      <c r="C39">
        <v>0.43082191780821921</v>
      </c>
      <c r="D39">
        <f t="shared" si="0"/>
        <v>430821.91780821921</v>
      </c>
      <c r="E39">
        <f t="shared" si="1"/>
        <v>344657534.24657536</v>
      </c>
      <c r="F39">
        <f t="shared" si="2"/>
        <v>344657.53424657538</v>
      </c>
      <c r="G39">
        <f t="shared" si="3"/>
        <v>224027.39726027401</v>
      </c>
      <c r="H39">
        <f t="shared" si="4"/>
        <v>197144.10958904112</v>
      </c>
      <c r="I39">
        <f t="shared" si="5"/>
        <v>98572.054794520562</v>
      </c>
      <c r="J39">
        <f t="shared" si="6"/>
        <v>147513.42465753428</v>
      </c>
      <c r="K39">
        <f t="shared" si="7"/>
        <v>98572.054794520562</v>
      </c>
      <c r="L39">
        <f t="shared" si="8"/>
        <v>98572.054794520562</v>
      </c>
      <c r="M39">
        <f t="shared" si="9"/>
        <v>246085.47945205483</v>
      </c>
      <c r="N39">
        <f t="shared" si="10"/>
        <v>98572.054794520562</v>
      </c>
      <c r="O39">
        <f t="shared" si="11"/>
        <v>0</v>
      </c>
      <c r="P39">
        <f t="shared" si="12"/>
        <v>98572.054794520562</v>
      </c>
      <c r="Q39">
        <f t="shared" si="13"/>
        <v>98572.054794520562</v>
      </c>
      <c r="R39">
        <f t="shared" si="14"/>
        <v>246085.47945205483</v>
      </c>
      <c r="S39">
        <f t="shared" si="15"/>
        <v>147513.42465753428</v>
      </c>
      <c r="T39">
        <f t="shared" si="16"/>
        <v>98572.054794520562</v>
      </c>
      <c r="U39">
        <f t="shared" si="17"/>
        <v>147651.28767123289</v>
      </c>
      <c r="V39">
        <f t="shared" si="18"/>
        <v>344657.53424657538</v>
      </c>
    </row>
    <row r="40" spans="1:22" x14ac:dyDescent="0.25">
      <c r="A40">
        <v>1986</v>
      </c>
      <c r="B40">
        <v>29.49</v>
      </c>
      <c r="C40">
        <v>0.40397260273972602</v>
      </c>
      <c r="D40">
        <f t="shared" si="0"/>
        <v>403972.60273972602</v>
      </c>
      <c r="E40">
        <f t="shared" si="1"/>
        <v>323178082.19178081</v>
      </c>
      <c r="F40">
        <f t="shared" si="2"/>
        <v>323178.08219178079</v>
      </c>
      <c r="G40">
        <f t="shared" si="3"/>
        <v>210065.75342465751</v>
      </c>
      <c r="H40">
        <f t="shared" si="4"/>
        <v>184857.8630136986</v>
      </c>
      <c r="I40">
        <f t="shared" si="5"/>
        <v>92428.931506849302</v>
      </c>
      <c r="J40">
        <f t="shared" si="6"/>
        <v>138320.21917808219</v>
      </c>
      <c r="K40">
        <f t="shared" si="7"/>
        <v>92428.931506849302</v>
      </c>
      <c r="L40">
        <f t="shared" si="8"/>
        <v>92428.931506849302</v>
      </c>
      <c r="M40">
        <f t="shared" si="9"/>
        <v>230749.15068493149</v>
      </c>
      <c r="N40">
        <f t="shared" si="10"/>
        <v>92428.931506849302</v>
      </c>
      <c r="O40">
        <f t="shared" si="11"/>
        <v>0</v>
      </c>
      <c r="P40">
        <f t="shared" si="12"/>
        <v>92428.931506849302</v>
      </c>
      <c r="Q40">
        <f t="shared" si="13"/>
        <v>92428.931506849302</v>
      </c>
      <c r="R40">
        <f t="shared" si="14"/>
        <v>230749.15068493149</v>
      </c>
      <c r="S40">
        <f t="shared" si="15"/>
        <v>138320.21917808219</v>
      </c>
      <c r="T40">
        <f t="shared" si="16"/>
        <v>92428.931506849302</v>
      </c>
      <c r="U40">
        <f t="shared" si="17"/>
        <v>138449.49041095888</v>
      </c>
      <c r="V40">
        <f t="shared" si="18"/>
        <v>323178.08219178079</v>
      </c>
    </row>
    <row r="41" spans="1:22" x14ac:dyDescent="0.25">
      <c r="A41">
        <v>1987</v>
      </c>
      <c r="B41">
        <v>29.4</v>
      </c>
      <c r="C41">
        <v>0.40273972602739722</v>
      </c>
      <c r="D41">
        <f t="shared" si="0"/>
        <v>402739.72602739721</v>
      </c>
      <c r="E41">
        <f t="shared" si="1"/>
        <v>322191780.82191777</v>
      </c>
      <c r="F41">
        <f t="shared" si="2"/>
        <v>322191.78082191775</v>
      </c>
      <c r="G41">
        <f t="shared" si="3"/>
        <v>209424.65753424654</v>
      </c>
      <c r="H41">
        <f t="shared" si="4"/>
        <v>184293.69863013696</v>
      </c>
      <c r="I41">
        <f t="shared" si="5"/>
        <v>92146.849315068481</v>
      </c>
      <c r="J41">
        <f t="shared" si="6"/>
        <v>137898.08219178079</v>
      </c>
      <c r="K41">
        <f t="shared" si="7"/>
        <v>92146.849315068481</v>
      </c>
      <c r="L41">
        <f t="shared" si="8"/>
        <v>92146.849315068481</v>
      </c>
      <c r="M41">
        <f t="shared" si="9"/>
        <v>230044.93150684927</v>
      </c>
      <c r="N41">
        <f t="shared" si="10"/>
        <v>92146.849315068481</v>
      </c>
      <c r="O41">
        <f t="shared" si="11"/>
        <v>0</v>
      </c>
      <c r="P41">
        <f t="shared" si="12"/>
        <v>92146.849315068481</v>
      </c>
      <c r="Q41">
        <f t="shared" si="13"/>
        <v>92146.849315068481</v>
      </c>
      <c r="R41">
        <f t="shared" si="14"/>
        <v>230044.93150684927</v>
      </c>
      <c r="S41">
        <f t="shared" si="15"/>
        <v>137898.08219178079</v>
      </c>
      <c r="T41">
        <f t="shared" si="16"/>
        <v>92146.849315068481</v>
      </c>
      <c r="U41">
        <f t="shared" si="17"/>
        <v>138026.95890410955</v>
      </c>
      <c r="V41">
        <f t="shared" si="18"/>
        <v>322191.78082191775</v>
      </c>
    </row>
    <row r="42" spans="1:22" x14ac:dyDescent="0.25">
      <c r="A42">
        <v>1988</v>
      </c>
      <c r="B42">
        <v>29.27</v>
      </c>
      <c r="C42">
        <v>0.40095890410958901</v>
      </c>
      <c r="D42">
        <f t="shared" si="0"/>
        <v>400958.904109589</v>
      </c>
      <c r="E42">
        <f t="shared" si="1"/>
        <v>320767123.28767121</v>
      </c>
      <c r="F42">
        <f t="shared" si="2"/>
        <v>320767.12328767119</v>
      </c>
      <c r="G42">
        <f t="shared" si="3"/>
        <v>208498.63013698629</v>
      </c>
      <c r="H42">
        <f t="shared" si="4"/>
        <v>183478.79452054793</v>
      </c>
      <c r="I42">
        <f t="shared" si="5"/>
        <v>91739.397260273967</v>
      </c>
      <c r="J42">
        <f t="shared" si="6"/>
        <v>137288.32876712322</v>
      </c>
      <c r="K42">
        <f t="shared" si="7"/>
        <v>91739.397260273967</v>
      </c>
      <c r="L42">
        <f t="shared" si="8"/>
        <v>91739.397260273967</v>
      </c>
      <c r="M42">
        <f t="shared" si="9"/>
        <v>229027.72602739721</v>
      </c>
      <c r="N42">
        <f t="shared" si="10"/>
        <v>91739.397260273967</v>
      </c>
      <c r="O42">
        <f t="shared" si="11"/>
        <v>0</v>
      </c>
      <c r="P42">
        <f t="shared" si="12"/>
        <v>91739.397260273967</v>
      </c>
      <c r="Q42">
        <f t="shared" si="13"/>
        <v>91739.397260273967</v>
      </c>
      <c r="R42">
        <f t="shared" si="14"/>
        <v>229027.72602739721</v>
      </c>
      <c r="S42">
        <f t="shared" si="15"/>
        <v>137288.32876712322</v>
      </c>
      <c r="T42">
        <f t="shared" si="16"/>
        <v>91739.397260273967</v>
      </c>
      <c r="U42">
        <f t="shared" si="17"/>
        <v>137416.63561643832</v>
      </c>
      <c r="V42">
        <f t="shared" si="18"/>
        <v>320767.12328767119</v>
      </c>
    </row>
    <row r="43" spans="1:22" x14ac:dyDescent="0.25">
      <c r="A43">
        <v>1989</v>
      </c>
      <c r="B43">
        <v>31.09</v>
      </c>
      <c r="C43">
        <v>0.43698630136986299</v>
      </c>
      <c r="D43">
        <f t="shared" si="0"/>
        <v>436986.30136986298</v>
      </c>
      <c r="E43">
        <f t="shared" si="1"/>
        <v>349589041.0958904</v>
      </c>
      <c r="F43">
        <f t="shared" si="2"/>
        <v>349589.0410958904</v>
      </c>
      <c r="G43">
        <f t="shared" si="3"/>
        <v>227232.87671232875</v>
      </c>
      <c r="H43">
        <f t="shared" si="4"/>
        <v>199964.9315068493</v>
      </c>
      <c r="I43">
        <f t="shared" si="5"/>
        <v>99982.465753424651</v>
      </c>
      <c r="J43">
        <f t="shared" si="6"/>
        <v>149624.10958904109</v>
      </c>
      <c r="K43">
        <f t="shared" si="7"/>
        <v>99982.465753424651</v>
      </c>
      <c r="L43">
        <f t="shared" si="8"/>
        <v>99982.465753424651</v>
      </c>
      <c r="M43">
        <f t="shared" si="9"/>
        <v>249606.57534246575</v>
      </c>
      <c r="N43">
        <f t="shared" si="10"/>
        <v>99982.465753424651</v>
      </c>
      <c r="O43">
        <f t="shared" si="11"/>
        <v>0</v>
      </c>
      <c r="P43">
        <f t="shared" si="12"/>
        <v>99982.465753424651</v>
      </c>
      <c r="Q43">
        <f t="shared" si="13"/>
        <v>99982.465753424651</v>
      </c>
      <c r="R43">
        <f t="shared" si="14"/>
        <v>249606.57534246575</v>
      </c>
      <c r="S43">
        <f t="shared" si="15"/>
        <v>149624.10958904109</v>
      </c>
      <c r="T43">
        <f t="shared" si="16"/>
        <v>99982.465753424651</v>
      </c>
      <c r="U43">
        <f t="shared" si="17"/>
        <v>149763.94520547945</v>
      </c>
      <c r="V43">
        <f t="shared" si="18"/>
        <v>349589.0410958904</v>
      </c>
    </row>
    <row r="44" spans="1:22" x14ac:dyDescent="0.25">
      <c r="A44">
        <v>1990</v>
      </c>
      <c r="B44">
        <v>68.98</v>
      </c>
      <c r="C44">
        <v>0.60508771929824556</v>
      </c>
      <c r="D44">
        <f t="shared" si="0"/>
        <v>605087.71929824562</v>
      </c>
      <c r="E44">
        <f t="shared" si="1"/>
        <v>484070175.43859649</v>
      </c>
      <c r="F44">
        <f t="shared" si="2"/>
        <v>484070.17543859646</v>
      </c>
      <c r="G44">
        <f t="shared" si="3"/>
        <v>314645.6140350877</v>
      </c>
      <c r="H44">
        <f t="shared" si="4"/>
        <v>276888.14035087719</v>
      </c>
      <c r="I44">
        <f t="shared" si="5"/>
        <v>138444.0701754386</v>
      </c>
      <c r="J44">
        <f t="shared" si="6"/>
        <v>207182.03508771927</v>
      </c>
      <c r="K44">
        <f t="shared" si="7"/>
        <v>138444.0701754386</v>
      </c>
      <c r="L44">
        <f t="shared" si="8"/>
        <v>138444.0701754386</v>
      </c>
      <c r="M44">
        <f t="shared" si="9"/>
        <v>345626.10526315786</v>
      </c>
      <c r="N44">
        <f t="shared" si="10"/>
        <v>138444.0701754386</v>
      </c>
      <c r="O44">
        <f t="shared" si="11"/>
        <v>0</v>
      </c>
      <c r="P44">
        <f t="shared" si="12"/>
        <v>138444.0701754386</v>
      </c>
      <c r="Q44">
        <f t="shared" si="13"/>
        <v>138444.0701754386</v>
      </c>
      <c r="R44">
        <f t="shared" si="14"/>
        <v>345626.10526315786</v>
      </c>
      <c r="S44">
        <f t="shared" si="15"/>
        <v>207182.03508771927</v>
      </c>
      <c r="T44">
        <f t="shared" si="16"/>
        <v>138444.0701754386</v>
      </c>
      <c r="U44">
        <f t="shared" si="17"/>
        <v>207375.66315789471</v>
      </c>
      <c r="V44">
        <f t="shared" si="18"/>
        <v>484070.17543859646</v>
      </c>
    </row>
    <row r="45" spans="1:22" x14ac:dyDescent="0.25">
      <c r="A45">
        <v>1991</v>
      </c>
      <c r="B45">
        <v>52.09</v>
      </c>
      <c r="C45">
        <v>0.28149122807017551</v>
      </c>
      <c r="D45">
        <f t="shared" si="0"/>
        <v>281491.22807017551</v>
      </c>
      <c r="E45">
        <f t="shared" si="1"/>
        <v>225192982.4561404</v>
      </c>
      <c r="F45">
        <f t="shared" si="2"/>
        <v>225192.98245614039</v>
      </c>
      <c r="G45">
        <f t="shared" si="3"/>
        <v>146375.43859649127</v>
      </c>
      <c r="H45">
        <f t="shared" si="4"/>
        <v>128810.38596491232</v>
      </c>
      <c r="I45">
        <f t="shared" si="5"/>
        <v>64405.192982456159</v>
      </c>
      <c r="J45">
        <f t="shared" si="6"/>
        <v>96382.596491228091</v>
      </c>
      <c r="K45">
        <f t="shared" si="7"/>
        <v>64405.192982456159</v>
      </c>
      <c r="L45">
        <f t="shared" si="8"/>
        <v>64405.192982456159</v>
      </c>
      <c r="M45">
        <f t="shared" si="9"/>
        <v>160787.78947368424</v>
      </c>
      <c r="N45">
        <f t="shared" si="10"/>
        <v>64405.192982456159</v>
      </c>
      <c r="O45">
        <f t="shared" si="11"/>
        <v>0</v>
      </c>
      <c r="P45">
        <f t="shared" si="12"/>
        <v>64405.192982456159</v>
      </c>
      <c r="Q45">
        <f t="shared" si="13"/>
        <v>64405.192982456159</v>
      </c>
      <c r="R45">
        <f t="shared" si="14"/>
        <v>160787.78947368424</v>
      </c>
      <c r="S45">
        <f t="shared" si="15"/>
        <v>96382.596491228091</v>
      </c>
      <c r="T45">
        <f t="shared" si="16"/>
        <v>64405.192982456159</v>
      </c>
      <c r="U45">
        <f t="shared" si="17"/>
        <v>96472.673684210546</v>
      </c>
      <c r="V45">
        <f t="shared" si="18"/>
        <v>225192.98245614039</v>
      </c>
    </row>
    <row r="46" spans="1:22" x14ac:dyDescent="0.25">
      <c r="A46">
        <v>1992</v>
      </c>
      <c r="B46">
        <v>27.56</v>
      </c>
      <c r="C46">
        <v>0.24263157894736839</v>
      </c>
      <c r="D46">
        <f t="shared" si="0"/>
        <v>242631.5789473684</v>
      </c>
      <c r="E46">
        <f t="shared" si="1"/>
        <v>194105263.15789473</v>
      </c>
      <c r="F46">
        <f t="shared" si="2"/>
        <v>194105.26315789472</v>
      </c>
      <c r="G46">
        <f t="shared" si="3"/>
        <v>126168.42105263157</v>
      </c>
      <c r="H46">
        <f t="shared" si="4"/>
        <v>111028.21052631579</v>
      </c>
      <c r="I46">
        <f t="shared" si="5"/>
        <v>55514.105263157893</v>
      </c>
      <c r="J46">
        <f t="shared" si="6"/>
        <v>83077.052631578932</v>
      </c>
      <c r="K46">
        <f t="shared" si="7"/>
        <v>55514.105263157893</v>
      </c>
      <c r="L46">
        <f t="shared" si="8"/>
        <v>55514.105263157893</v>
      </c>
      <c r="M46">
        <f t="shared" si="9"/>
        <v>138591.15789473683</v>
      </c>
      <c r="N46">
        <f t="shared" si="10"/>
        <v>55514.105263157893</v>
      </c>
      <c r="O46">
        <f t="shared" si="11"/>
        <v>0</v>
      </c>
      <c r="P46">
        <f t="shared" si="12"/>
        <v>55514.105263157893</v>
      </c>
      <c r="Q46">
        <f t="shared" si="13"/>
        <v>55514.105263157893</v>
      </c>
      <c r="R46">
        <f t="shared" si="14"/>
        <v>138591.15789473683</v>
      </c>
      <c r="S46">
        <f t="shared" si="15"/>
        <v>83077.052631578932</v>
      </c>
      <c r="T46">
        <f t="shared" si="16"/>
        <v>55514.105263157893</v>
      </c>
      <c r="U46">
        <f t="shared" si="17"/>
        <v>83154.694736842095</v>
      </c>
      <c r="V46">
        <f t="shared" si="18"/>
        <v>194105.26315789472</v>
      </c>
    </row>
    <row r="47" spans="1:22" x14ac:dyDescent="0.25">
      <c r="A47">
        <v>1993</v>
      </c>
      <c r="B47">
        <v>29.15</v>
      </c>
      <c r="C47">
        <v>0.25570175438596487</v>
      </c>
      <c r="D47">
        <f t="shared" si="0"/>
        <v>255701.75438596489</v>
      </c>
      <c r="E47">
        <f t="shared" si="1"/>
        <v>204561403.5087719</v>
      </c>
      <c r="F47">
        <f t="shared" si="2"/>
        <v>204561.40350877191</v>
      </c>
      <c r="G47">
        <f t="shared" si="3"/>
        <v>132964.91228070174</v>
      </c>
      <c r="H47">
        <f t="shared" si="4"/>
        <v>117009.12280701753</v>
      </c>
      <c r="I47">
        <f t="shared" si="5"/>
        <v>58504.561403508764</v>
      </c>
      <c r="J47">
        <f t="shared" si="6"/>
        <v>87552.280701754382</v>
      </c>
      <c r="K47">
        <f t="shared" si="7"/>
        <v>58504.561403508764</v>
      </c>
      <c r="L47">
        <f t="shared" si="8"/>
        <v>58504.561403508764</v>
      </c>
      <c r="M47">
        <f t="shared" si="9"/>
        <v>146056.84210526315</v>
      </c>
      <c r="N47">
        <f t="shared" si="10"/>
        <v>58504.561403508764</v>
      </c>
      <c r="O47">
        <f t="shared" si="11"/>
        <v>0</v>
      </c>
      <c r="P47">
        <f t="shared" si="12"/>
        <v>58504.561403508764</v>
      </c>
      <c r="Q47">
        <f t="shared" si="13"/>
        <v>58504.561403508764</v>
      </c>
      <c r="R47">
        <f t="shared" si="14"/>
        <v>146056.84210526315</v>
      </c>
      <c r="S47">
        <f t="shared" si="15"/>
        <v>87552.280701754382</v>
      </c>
      <c r="T47">
        <f t="shared" si="16"/>
        <v>58504.561403508764</v>
      </c>
      <c r="U47">
        <f t="shared" si="17"/>
        <v>87634.105263157879</v>
      </c>
      <c r="V47">
        <f t="shared" si="18"/>
        <v>204561.40350877191</v>
      </c>
    </row>
    <row r="48" spans="1:22" x14ac:dyDescent="0.25">
      <c r="A48">
        <v>1994</v>
      </c>
      <c r="B48">
        <v>31.95</v>
      </c>
      <c r="C48">
        <v>0.32543859649122808</v>
      </c>
      <c r="D48">
        <f t="shared" si="0"/>
        <v>325438.59649122809</v>
      </c>
      <c r="E48">
        <f t="shared" si="1"/>
        <v>260350877.19298247</v>
      </c>
      <c r="F48">
        <f t="shared" si="2"/>
        <v>260350.87719298247</v>
      </c>
      <c r="G48">
        <f t="shared" si="3"/>
        <v>169228.07017543862</v>
      </c>
      <c r="H48">
        <f t="shared" si="4"/>
        <v>148920.70175438598</v>
      </c>
      <c r="I48">
        <f t="shared" si="5"/>
        <v>74460.350877192992</v>
      </c>
      <c r="J48">
        <f t="shared" si="6"/>
        <v>111430.1754385965</v>
      </c>
      <c r="K48">
        <f t="shared" si="7"/>
        <v>74460.350877192992</v>
      </c>
      <c r="L48">
        <f t="shared" si="8"/>
        <v>74460.350877192992</v>
      </c>
      <c r="M48">
        <f t="shared" si="9"/>
        <v>185890.5263157895</v>
      </c>
      <c r="N48">
        <f t="shared" si="10"/>
        <v>74460.350877192992</v>
      </c>
      <c r="O48">
        <f t="shared" si="11"/>
        <v>0</v>
      </c>
      <c r="P48">
        <f t="shared" si="12"/>
        <v>74460.350877192992</v>
      </c>
      <c r="Q48">
        <f t="shared" si="13"/>
        <v>74460.350877192992</v>
      </c>
      <c r="R48">
        <f t="shared" si="14"/>
        <v>185890.5263157895</v>
      </c>
      <c r="S48">
        <f t="shared" si="15"/>
        <v>111430.1754385965</v>
      </c>
      <c r="T48">
        <f t="shared" si="16"/>
        <v>74460.350877192992</v>
      </c>
      <c r="U48">
        <f t="shared" si="17"/>
        <v>111534.31578947369</v>
      </c>
      <c r="V48">
        <f t="shared" si="18"/>
        <v>260350.87719298247</v>
      </c>
    </row>
    <row r="49" spans="1:22" x14ac:dyDescent="0.25">
      <c r="A49">
        <v>1995</v>
      </c>
      <c r="B49">
        <v>45.04</v>
      </c>
      <c r="C49">
        <v>0.3950877192982456</v>
      </c>
      <c r="D49">
        <f t="shared" si="0"/>
        <v>395087.71929824562</v>
      </c>
      <c r="E49">
        <f t="shared" si="1"/>
        <v>316070175.43859649</v>
      </c>
      <c r="F49">
        <f t="shared" si="2"/>
        <v>316070.17543859646</v>
      </c>
      <c r="G49">
        <f t="shared" si="3"/>
        <v>205445.6140350877</v>
      </c>
      <c r="H49">
        <f t="shared" si="4"/>
        <v>180792.14035087716</v>
      </c>
      <c r="I49">
        <f t="shared" si="5"/>
        <v>90396.070175438581</v>
      </c>
      <c r="J49">
        <f t="shared" si="6"/>
        <v>135278.03508771927</v>
      </c>
      <c r="K49">
        <f t="shared" si="7"/>
        <v>90396.070175438581</v>
      </c>
      <c r="L49">
        <f t="shared" si="8"/>
        <v>90396.070175438581</v>
      </c>
      <c r="M49">
        <f t="shared" si="9"/>
        <v>225674.10526315786</v>
      </c>
      <c r="N49">
        <f t="shared" si="10"/>
        <v>90396.070175438581</v>
      </c>
      <c r="O49">
        <f t="shared" si="11"/>
        <v>0</v>
      </c>
      <c r="P49">
        <f t="shared" si="12"/>
        <v>90396.070175438581</v>
      </c>
      <c r="Q49">
        <f t="shared" si="13"/>
        <v>90396.070175438581</v>
      </c>
      <c r="R49">
        <f t="shared" si="14"/>
        <v>225674.10526315786</v>
      </c>
      <c r="S49">
        <f t="shared" si="15"/>
        <v>135278.03508771927</v>
      </c>
      <c r="T49">
        <f t="shared" si="16"/>
        <v>90396.070175438581</v>
      </c>
      <c r="U49">
        <f t="shared" si="17"/>
        <v>135404.4631578947</v>
      </c>
      <c r="V49">
        <f t="shared" si="18"/>
        <v>316070.17543859646</v>
      </c>
    </row>
    <row r="50" spans="1:22" x14ac:dyDescent="0.25">
      <c r="A50">
        <v>1996</v>
      </c>
      <c r="B50">
        <v>50.69</v>
      </c>
      <c r="C50">
        <v>0.44464912280701752</v>
      </c>
      <c r="D50">
        <f t="shared" si="0"/>
        <v>444649.12280701753</v>
      </c>
      <c r="E50">
        <f t="shared" si="1"/>
        <v>355719298.24561405</v>
      </c>
      <c r="F50">
        <f t="shared" si="2"/>
        <v>355719.29824561405</v>
      </c>
      <c r="G50">
        <f t="shared" si="3"/>
        <v>231217.54385964913</v>
      </c>
      <c r="H50">
        <f t="shared" si="4"/>
        <v>203471.43859649124</v>
      </c>
      <c r="I50">
        <f t="shared" si="5"/>
        <v>101735.71929824562</v>
      </c>
      <c r="J50">
        <f t="shared" si="6"/>
        <v>152247.85964912281</v>
      </c>
      <c r="K50">
        <f t="shared" si="7"/>
        <v>101735.71929824562</v>
      </c>
      <c r="L50">
        <f t="shared" si="8"/>
        <v>101735.71929824562</v>
      </c>
      <c r="M50">
        <f t="shared" si="9"/>
        <v>253983.57894736843</v>
      </c>
      <c r="N50">
        <f t="shared" si="10"/>
        <v>101735.71929824562</v>
      </c>
      <c r="O50">
        <f t="shared" si="11"/>
        <v>0</v>
      </c>
      <c r="P50">
        <f t="shared" si="12"/>
        <v>101735.71929824562</v>
      </c>
      <c r="Q50">
        <f t="shared" si="13"/>
        <v>101735.71929824562</v>
      </c>
      <c r="R50">
        <f t="shared" si="14"/>
        <v>253983.57894736843</v>
      </c>
      <c r="S50">
        <f t="shared" si="15"/>
        <v>152247.85964912281</v>
      </c>
      <c r="T50">
        <f t="shared" si="16"/>
        <v>101735.71929824562</v>
      </c>
      <c r="U50">
        <f t="shared" si="17"/>
        <v>152390.14736842105</v>
      </c>
      <c r="V50">
        <f t="shared" si="18"/>
        <v>355719.29824561405</v>
      </c>
    </row>
    <row r="51" spans="1:22" x14ac:dyDescent="0.25">
      <c r="A51">
        <v>1997</v>
      </c>
      <c r="B51">
        <v>51.41</v>
      </c>
      <c r="C51">
        <v>0.45096491228070168</v>
      </c>
      <c r="D51">
        <f t="shared" si="0"/>
        <v>450964.91228070168</v>
      </c>
      <c r="E51">
        <f t="shared" si="1"/>
        <v>360771929.82456136</v>
      </c>
      <c r="F51">
        <f t="shared" si="2"/>
        <v>360771.92982456135</v>
      </c>
      <c r="G51">
        <f t="shared" si="3"/>
        <v>234501.75438596489</v>
      </c>
      <c r="H51">
        <f t="shared" si="4"/>
        <v>206361.5438596491</v>
      </c>
      <c r="I51">
        <f t="shared" si="5"/>
        <v>103180.77192982455</v>
      </c>
      <c r="J51">
        <f t="shared" si="6"/>
        <v>154410.38596491225</v>
      </c>
      <c r="K51">
        <f t="shared" si="7"/>
        <v>103180.77192982455</v>
      </c>
      <c r="L51">
        <f t="shared" si="8"/>
        <v>103180.77192982455</v>
      </c>
      <c r="M51">
        <f t="shared" si="9"/>
        <v>257591.1578947368</v>
      </c>
      <c r="N51">
        <f t="shared" si="10"/>
        <v>103180.77192982455</v>
      </c>
      <c r="O51">
        <f t="shared" si="11"/>
        <v>0</v>
      </c>
      <c r="P51">
        <f t="shared" si="12"/>
        <v>103180.77192982455</v>
      </c>
      <c r="Q51">
        <f t="shared" si="13"/>
        <v>103180.77192982455</v>
      </c>
      <c r="R51">
        <f t="shared" si="14"/>
        <v>257591.1578947368</v>
      </c>
      <c r="S51">
        <f t="shared" si="15"/>
        <v>154410.38596491225</v>
      </c>
      <c r="T51">
        <f t="shared" si="16"/>
        <v>103180.77192982455</v>
      </c>
      <c r="U51">
        <f t="shared" si="17"/>
        <v>154554.69473684207</v>
      </c>
      <c r="V51">
        <f t="shared" si="18"/>
        <v>360771.92982456135</v>
      </c>
    </row>
    <row r="52" spans="1:22" x14ac:dyDescent="0.25">
      <c r="A52">
        <v>1998</v>
      </c>
      <c r="B52">
        <v>50.86</v>
      </c>
      <c r="C52">
        <v>0.44614035087719289</v>
      </c>
      <c r="D52">
        <f t="shared" si="0"/>
        <v>446140.35087719292</v>
      </c>
      <c r="E52">
        <f t="shared" si="1"/>
        <v>356912280.70175433</v>
      </c>
      <c r="F52">
        <f t="shared" si="2"/>
        <v>356912.28070175432</v>
      </c>
      <c r="G52">
        <f t="shared" si="3"/>
        <v>231992.98245614031</v>
      </c>
      <c r="H52">
        <f t="shared" si="4"/>
        <v>204153.82456140348</v>
      </c>
      <c r="I52">
        <f t="shared" si="5"/>
        <v>102076.91228070174</v>
      </c>
      <c r="J52">
        <f t="shared" si="6"/>
        <v>152758.45614035084</v>
      </c>
      <c r="K52">
        <f t="shared" si="7"/>
        <v>102076.91228070174</v>
      </c>
      <c r="L52">
        <f t="shared" si="8"/>
        <v>102076.91228070174</v>
      </c>
      <c r="M52">
        <f t="shared" si="9"/>
        <v>254835.36842105258</v>
      </c>
      <c r="N52">
        <f t="shared" si="10"/>
        <v>102076.91228070174</v>
      </c>
      <c r="O52">
        <f t="shared" si="11"/>
        <v>0</v>
      </c>
      <c r="P52">
        <f t="shared" si="12"/>
        <v>102076.91228070174</v>
      </c>
      <c r="Q52">
        <f t="shared" si="13"/>
        <v>102076.91228070174</v>
      </c>
      <c r="R52">
        <f t="shared" si="14"/>
        <v>254835.36842105258</v>
      </c>
      <c r="S52">
        <f t="shared" si="15"/>
        <v>152758.45614035084</v>
      </c>
      <c r="T52">
        <f t="shared" si="16"/>
        <v>102076.91228070174</v>
      </c>
      <c r="U52">
        <f t="shared" si="17"/>
        <v>152901.22105263153</v>
      </c>
      <c r="V52">
        <f t="shared" si="18"/>
        <v>356912.28070175432</v>
      </c>
    </row>
    <row r="53" spans="1:22" x14ac:dyDescent="0.25">
      <c r="A53">
        <v>1999</v>
      </c>
      <c r="B53">
        <v>50.28</v>
      </c>
      <c r="C53">
        <v>0.44105263157894742</v>
      </c>
      <c r="D53">
        <f t="shared" si="0"/>
        <v>441052.63157894742</v>
      </c>
      <c r="E53">
        <f t="shared" si="1"/>
        <v>352842105.26315796</v>
      </c>
      <c r="F53">
        <f t="shared" si="2"/>
        <v>352842.10526315798</v>
      </c>
      <c r="G53">
        <f t="shared" si="3"/>
        <v>229347.3684210527</v>
      </c>
      <c r="H53">
        <f t="shared" si="4"/>
        <v>201825.68421052638</v>
      </c>
      <c r="I53">
        <f t="shared" si="5"/>
        <v>100912.84210526319</v>
      </c>
      <c r="J53">
        <f t="shared" si="6"/>
        <v>151016.42105263157</v>
      </c>
      <c r="K53">
        <f t="shared" si="7"/>
        <v>100912.84210526319</v>
      </c>
      <c r="L53">
        <f t="shared" si="8"/>
        <v>100912.84210526319</v>
      </c>
      <c r="M53">
        <f t="shared" si="9"/>
        <v>251929.26315789478</v>
      </c>
      <c r="N53">
        <f t="shared" si="10"/>
        <v>100912.84210526319</v>
      </c>
      <c r="O53">
        <f t="shared" si="11"/>
        <v>0</v>
      </c>
      <c r="P53">
        <f t="shared" si="12"/>
        <v>100912.84210526319</v>
      </c>
      <c r="Q53">
        <f t="shared" si="13"/>
        <v>100912.84210526319</v>
      </c>
      <c r="R53">
        <f t="shared" si="14"/>
        <v>251929.26315789478</v>
      </c>
      <c r="S53">
        <f t="shared" si="15"/>
        <v>151016.42105263157</v>
      </c>
      <c r="T53">
        <f t="shared" si="16"/>
        <v>100912.84210526319</v>
      </c>
      <c r="U53">
        <f t="shared" si="17"/>
        <v>151157.55789473685</v>
      </c>
      <c r="V53">
        <f t="shared" si="18"/>
        <v>352842.10526315798</v>
      </c>
    </row>
    <row r="54" spans="1:22" x14ac:dyDescent="0.25">
      <c r="A54">
        <v>2000</v>
      </c>
      <c r="B54">
        <v>53.55</v>
      </c>
      <c r="C54">
        <v>0.54868421052631577</v>
      </c>
      <c r="D54">
        <f t="shared" si="0"/>
        <v>548684.21052631573</v>
      </c>
      <c r="E54">
        <f t="shared" si="1"/>
        <v>438947368.42105258</v>
      </c>
      <c r="F54">
        <f t="shared" si="2"/>
        <v>438947.36842105258</v>
      </c>
      <c r="G54">
        <f t="shared" si="3"/>
        <v>285315.78947368421</v>
      </c>
      <c r="H54">
        <f t="shared" si="4"/>
        <v>251077.89473684211</v>
      </c>
      <c r="I54">
        <f t="shared" si="5"/>
        <v>125538.94736842105</v>
      </c>
      <c r="J54">
        <f t="shared" si="6"/>
        <v>187869.47368421045</v>
      </c>
      <c r="K54">
        <f t="shared" si="7"/>
        <v>125538.94736842105</v>
      </c>
      <c r="L54">
        <f t="shared" si="8"/>
        <v>125538.94736842105</v>
      </c>
      <c r="M54">
        <f t="shared" si="9"/>
        <v>313408.42105263151</v>
      </c>
      <c r="N54">
        <f t="shared" si="10"/>
        <v>125538.94736842105</v>
      </c>
      <c r="O54">
        <f t="shared" si="11"/>
        <v>0</v>
      </c>
      <c r="P54">
        <f t="shared" si="12"/>
        <v>125538.94736842105</v>
      </c>
      <c r="Q54">
        <f t="shared" si="13"/>
        <v>125538.94736842105</v>
      </c>
      <c r="R54">
        <f t="shared" si="14"/>
        <v>313408.42105263151</v>
      </c>
      <c r="S54">
        <f t="shared" si="15"/>
        <v>187869.47368421045</v>
      </c>
      <c r="T54">
        <f t="shared" si="16"/>
        <v>125538.94736842105</v>
      </c>
      <c r="U54">
        <f t="shared" si="17"/>
        <v>188045.0526315789</v>
      </c>
      <c r="V54">
        <f t="shared" si="18"/>
        <v>438947.36842105258</v>
      </c>
    </row>
    <row r="55" spans="1:22" x14ac:dyDescent="0.25">
      <c r="A55">
        <v>2001</v>
      </c>
      <c r="B55">
        <v>56.43</v>
      </c>
      <c r="C55">
        <v>0.495</v>
      </c>
      <c r="D55">
        <f t="shared" si="0"/>
        <v>495000</v>
      </c>
      <c r="E55">
        <f t="shared" si="1"/>
        <v>396000000</v>
      </c>
      <c r="F55">
        <f t="shared" si="2"/>
        <v>396000</v>
      </c>
      <c r="G55">
        <f t="shared" si="3"/>
        <v>257400</v>
      </c>
      <c r="H55">
        <f t="shared" si="4"/>
        <v>226512</v>
      </c>
      <c r="I55">
        <f t="shared" si="5"/>
        <v>113256</v>
      </c>
      <c r="J55">
        <f t="shared" si="6"/>
        <v>169488</v>
      </c>
      <c r="K55">
        <f t="shared" si="7"/>
        <v>113256</v>
      </c>
      <c r="L55">
        <f t="shared" si="8"/>
        <v>113256</v>
      </c>
      <c r="M55">
        <f t="shared" si="9"/>
        <v>282744</v>
      </c>
      <c r="N55">
        <f t="shared" si="10"/>
        <v>113256</v>
      </c>
      <c r="O55">
        <f t="shared" si="11"/>
        <v>0</v>
      </c>
      <c r="P55">
        <f t="shared" si="12"/>
        <v>113256</v>
      </c>
      <c r="Q55">
        <f t="shared" si="13"/>
        <v>113256</v>
      </c>
      <c r="R55">
        <f t="shared" si="14"/>
        <v>282744</v>
      </c>
      <c r="S55">
        <f t="shared" si="15"/>
        <v>169488</v>
      </c>
      <c r="T55">
        <f t="shared" si="16"/>
        <v>113256</v>
      </c>
      <c r="U55">
        <f t="shared" si="17"/>
        <v>169646.4</v>
      </c>
      <c r="V55">
        <f t="shared" si="18"/>
        <v>396000</v>
      </c>
    </row>
    <row r="56" spans="1:22" x14ac:dyDescent="0.25">
      <c r="A56">
        <v>2002</v>
      </c>
      <c r="B56">
        <v>60.06</v>
      </c>
      <c r="C56">
        <v>0.52684210526315789</v>
      </c>
      <c r="D56">
        <f t="shared" si="0"/>
        <v>526842.10526315786</v>
      </c>
      <c r="E56">
        <f t="shared" si="1"/>
        <v>421473684.21052629</v>
      </c>
      <c r="F56">
        <f t="shared" si="2"/>
        <v>421473.68421052629</v>
      </c>
      <c r="G56">
        <f t="shared" si="3"/>
        <v>273957.89473684208</v>
      </c>
      <c r="H56">
        <f t="shared" si="4"/>
        <v>241082.94736842104</v>
      </c>
      <c r="I56">
        <f t="shared" si="5"/>
        <v>120541.47368421052</v>
      </c>
      <c r="J56">
        <f t="shared" si="6"/>
        <v>180390.73684210528</v>
      </c>
      <c r="K56">
        <f t="shared" si="7"/>
        <v>120541.47368421052</v>
      </c>
      <c r="L56">
        <f t="shared" si="8"/>
        <v>120541.47368421052</v>
      </c>
      <c r="M56">
        <f t="shared" si="9"/>
        <v>300932.21052631579</v>
      </c>
      <c r="N56">
        <f t="shared" si="10"/>
        <v>120541.47368421052</v>
      </c>
      <c r="O56">
        <f t="shared" si="11"/>
        <v>0</v>
      </c>
      <c r="P56">
        <f t="shared" si="12"/>
        <v>120541.47368421052</v>
      </c>
      <c r="Q56">
        <f t="shared" si="13"/>
        <v>120541.47368421052</v>
      </c>
      <c r="R56">
        <f t="shared" si="14"/>
        <v>300932.21052631579</v>
      </c>
      <c r="S56">
        <f t="shared" si="15"/>
        <v>180390.73684210528</v>
      </c>
      <c r="T56">
        <f t="shared" si="16"/>
        <v>120541.47368421052</v>
      </c>
      <c r="U56">
        <f t="shared" si="17"/>
        <v>180559.32631578945</v>
      </c>
      <c r="V56">
        <f t="shared" si="18"/>
        <v>421473.68421052629</v>
      </c>
    </row>
    <row r="57" spans="1:22" x14ac:dyDescent="0.25">
      <c r="A57">
        <v>2003</v>
      </c>
      <c r="B57">
        <v>60.96</v>
      </c>
      <c r="C57">
        <v>0.53473684210526318</v>
      </c>
      <c r="D57">
        <f t="shared" si="0"/>
        <v>534736.84210526315</v>
      </c>
      <c r="E57">
        <f t="shared" si="1"/>
        <v>427789473.68421054</v>
      </c>
      <c r="F57">
        <f t="shared" si="2"/>
        <v>427789.47368421056</v>
      </c>
      <c r="G57">
        <f t="shared" si="3"/>
        <v>278063.15789473685</v>
      </c>
      <c r="H57">
        <f t="shared" si="4"/>
        <v>244695.57894736843</v>
      </c>
      <c r="I57">
        <f t="shared" si="5"/>
        <v>122347.78947368421</v>
      </c>
      <c r="J57">
        <f t="shared" si="6"/>
        <v>183093.89473684214</v>
      </c>
      <c r="K57">
        <f t="shared" si="7"/>
        <v>122347.78947368421</v>
      </c>
      <c r="L57">
        <f t="shared" si="8"/>
        <v>122347.78947368421</v>
      </c>
      <c r="M57">
        <f t="shared" si="9"/>
        <v>305441.68421052635</v>
      </c>
      <c r="N57">
        <f t="shared" si="10"/>
        <v>122347.78947368421</v>
      </c>
      <c r="O57">
        <f t="shared" si="11"/>
        <v>0</v>
      </c>
      <c r="P57">
        <f t="shared" si="12"/>
        <v>122347.78947368421</v>
      </c>
      <c r="Q57">
        <f t="shared" si="13"/>
        <v>122347.78947368421</v>
      </c>
      <c r="R57">
        <f t="shared" si="14"/>
        <v>305441.68421052635</v>
      </c>
      <c r="S57">
        <f t="shared" si="15"/>
        <v>183093.89473684214</v>
      </c>
      <c r="T57">
        <f t="shared" si="16"/>
        <v>122347.78947368421</v>
      </c>
      <c r="U57">
        <f t="shared" si="17"/>
        <v>183265.0105263158</v>
      </c>
      <c r="V57">
        <f t="shared" si="18"/>
        <v>427789.47368421056</v>
      </c>
    </row>
    <row r="58" spans="1:22" x14ac:dyDescent="0.25">
      <c r="A58">
        <v>2004</v>
      </c>
      <c r="B58">
        <v>67.12</v>
      </c>
      <c r="C58">
        <v>0.58877192982456139</v>
      </c>
      <c r="D58">
        <f t="shared" si="0"/>
        <v>588771.92982456135</v>
      </c>
      <c r="E58">
        <f t="shared" si="1"/>
        <v>471017543.85964906</v>
      </c>
      <c r="F58">
        <f t="shared" si="2"/>
        <v>471017.54385964904</v>
      </c>
      <c r="G58">
        <f t="shared" si="3"/>
        <v>306161.40350877191</v>
      </c>
      <c r="H58">
        <f t="shared" si="4"/>
        <v>269422.03508771927</v>
      </c>
      <c r="I58">
        <f t="shared" si="5"/>
        <v>134711.01754385963</v>
      </c>
      <c r="J58">
        <f t="shared" si="6"/>
        <v>201595.5087719298</v>
      </c>
      <c r="K58">
        <f t="shared" si="7"/>
        <v>134711.01754385963</v>
      </c>
      <c r="L58">
        <f t="shared" si="8"/>
        <v>134711.01754385963</v>
      </c>
      <c r="M58">
        <f t="shared" si="9"/>
        <v>336306.52631578944</v>
      </c>
      <c r="N58">
        <f t="shared" si="10"/>
        <v>134711.01754385963</v>
      </c>
      <c r="O58">
        <f t="shared" si="11"/>
        <v>0</v>
      </c>
      <c r="P58">
        <f t="shared" si="12"/>
        <v>134711.01754385963</v>
      </c>
      <c r="Q58">
        <f t="shared" si="13"/>
        <v>134711.01754385963</v>
      </c>
      <c r="R58">
        <f t="shared" si="14"/>
        <v>336306.52631578944</v>
      </c>
      <c r="S58">
        <f t="shared" si="15"/>
        <v>201595.5087719298</v>
      </c>
      <c r="T58">
        <f t="shared" si="16"/>
        <v>134711.01754385963</v>
      </c>
      <c r="U58">
        <f t="shared" si="17"/>
        <v>201783.91578947366</v>
      </c>
      <c r="V58">
        <f t="shared" si="18"/>
        <v>471017.5438596491</v>
      </c>
    </row>
    <row r="59" spans="1:22" x14ac:dyDescent="0.25">
      <c r="A59">
        <v>2005</v>
      </c>
      <c r="B59">
        <v>57.53</v>
      </c>
      <c r="C59">
        <v>0.50464912280701757</v>
      </c>
      <c r="D59">
        <f t="shared" si="0"/>
        <v>504649.12280701759</v>
      </c>
      <c r="E59">
        <f t="shared" si="1"/>
        <v>403719298.24561405</v>
      </c>
      <c r="F59">
        <f t="shared" si="2"/>
        <v>403719.29824561405</v>
      </c>
      <c r="G59">
        <f t="shared" si="3"/>
        <v>262417.54385964916</v>
      </c>
      <c r="H59">
        <f t="shared" si="4"/>
        <v>230927.43859649127</v>
      </c>
      <c r="I59">
        <f t="shared" si="5"/>
        <v>115463.71929824563</v>
      </c>
      <c r="J59">
        <f t="shared" si="6"/>
        <v>172791.85964912281</v>
      </c>
      <c r="K59">
        <f t="shared" si="7"/>
        <v>115463.71929824563</v>
      </c>
      <c r="L59">
        <f t="shared" si="8"/>
        <v>115463.71929824563</v>
      </c>
      <c r="M59">
        <f t="shared" si="9"/>
        <v>288255.57894736843</v>
      </c>
      <c r="N59">
        <f t="shared" si="10"/>
        <v>115463.71929824563</v>
      </c>
      <c r="O59">
        <f t="shared" si="11"/>
        <v>0</v>
      </c>
      <c r="P59">
        <f t="shared" si="12"/>
        <v>115463.71929824563</v>
      </c>
      <c r="Q59">
        <f t="shared" si="13"/>
        <v>115463.71929824563</v>
      </c>
      <c r="R59">
        <f t="shared" si="14"/>
        <v>288255.57894736843</v>
      </c>
      <c r="S59">
        <f t="shared" si="15"/>
        <v>172791.85964912281</v>
      </c>
      <c r="T59">
        <f t="shared" si="16"/>
        <v>115463.71929824563</v>
      </c>
      <c r="U59">
        <f t="shared" si="17"/>
        <v>172953.34736842106</v>
      </c>
      <c r="V59">
        <f t="shared" si="18"/>
        <v>403719.29824561405</v>
      </c>
    </row>
    <row r="60" spans="1:22" x14ac:dyDescent="0.25">
      <c r="A60">
        <v>2006</v>
      </c>
      <c r="B60">
        <v>79.05</v>
      </c>
      <c r="C60">
        <v>0.69342105263157894</v>
      </c>
      <c r="D60">
        <f t="shared" si="0"/>
        <v>693421.05263157899</v>
      </c>
      <c r="E60">
        <f t="shared" si="1"/>
        <v>554736842.10526323</v>
      </c>
      <c r="F60">
        <f t="shared" si="2"/>
        <v>554736.84210526326</v>
      </c>
      <c r="G60">
        <f t="shared" si="3"/>
        <v>360578.94736842113</v>
      </c>
      <c r="H60">
        <f t="shared" si="4"/>
        <v>317309.47368421062</v>
      </c>
      <c r="I60">
        <f t="shared" si="5"/>
        <v>158654.73684210531</v>
      </c>
      <c r="J60">
        <f t="shared" si="6"/>
        <v>237427.36842105267</v>
      </c>
      <c r="K60">
        <f t="shared" si="7"/>
        <v>158654.73684210531</v>
      </c>
      <c r="L60">
        <f t="shared" si="8"/>
        <v>158654.73684210531</v>
      </c>
      <c r="M60">
        <f t="shared" si="9"/>
        <v>396082.10526315798</v>
      </c>
      <c r="N60">
        <f t="shared" si="10"/>
        <v>158654.73684210531</v>
      </c>
      <c r="O60">
        <f t="shared" si="11"/>
        <v>0</v>
      </c>
      <c r="P60">
        <f t="shared" si="12"/>
        <v>158654.73684210531</v>
      </c>
      <c r="Q60">
        <f t="shared" si="13"/>
        <v>158654.73684210531</v>
      </c>
      <c r="R60">
        <f t="shared" si="14"/>
        <v>396082.10526315798</v>
      </c>
      <c r="S60">
        <f t="shared" si="15"/>
        <v>237427.36842105267</v>
      </c>
      <c r="T60">
        <f t="shared" si="16"/>
        <v>158654.73684210531</v>
      </c>
      <c r="U60">
        <f t="shared" si="17"/>
        <v>237649.26315789478</v>
      </c>
      <c r="V60">
        <f t="shared" si="18"/>
        <v>554736.84210526326</v>
      </c>
    </row>
    <row r="61" spans="1:22" x14ac:dyDescent="0.25">
      <c r="A61">
        <v>2007</v>
      </c>
      <c r="B61">
        <v>98.07</v>
      </c>
      <c r="C61">
        <v>0.86026315789473673</v>
      </c>
      <c r="D61">
        <f t="shared" si="0"/>
        <v>860263.15789473674</v>
      </c>
      <c r="E61">
        <f t="shared" si="1"/>
        <v>688210526.31578934</v>
      </c>
      <c r="F61">
        <f t="shared" si="2"/>
        <v>688210.52631578932</v>
      </c>
      <c r="G61">
        <f t="shared" si="3"/>
        <v>447336.84210526309</v>
      </c>
      <c r="H61">
        <f t="shared" si="4"/>
        <v>393656.42105263151</v>
      </c>
      <c r="I61">
        <f t="shared" si="5"/>
        <v>196828.21052631576</v>
      </c>
      <c r="J61">
        <f t="shared" si="6"/>
        <v>294554.10526315786</v>
      </c>
      <c r="K61">
        <f t="shared" si="7"/>
        <v>196828.21052631576</v>
      </c>
      <c r="L61">
        <f t="shared" si="8"/>
        <v>196828.21052631576</v>
      </c>
      <c r="M61">
        <f t="shared" si="9"/>
        <v>491382.31578947359</v>
      </c>
      <c r="N61">
        <f t="shared" si="10"/>
        <v>196828.21052631576</v>
      </c>
      <c r="O61">
        <f t="shared" si="11"/>
        <v>0</v>
      </c>
      <c r="P61">
        <f t="shared" si="12"/>
        <v>196828.21052631576</v>
      </c>
      <c r="Q61">
        <f t="shared" si="13"/>
        <v>196828.21052631576</v>
      </c>
      <c r="R61">
        <f t="shared" si="14"/>
        <v>491382.31578947359</v>
      </c>
      <c r="S61">
        <f t="shared" si="15"/>
        <v>294554.10526315786</v>
      </c>
      <c r="T61">
        <f t="shared" si="16"/>
        <v>196828.21052631576</v>
      </c>
      <c r="U61">
        <f t="shared" si="17"/>
        <v>294829.38947368413</v>
      </c>
      <c r="V61">
        <f t="shared" si="18"/>
        <v>688210.52631578932</v>
      </c>
    </row>
    <row r="62" spans="1:22" x14ac:dyDescent="0.25">
      <c r="A62">
        <v>2008</v>
      </c>
      <c r="B62">
        <v>75.87</v>
      </c>
      <c r="C62">
        <v>0.66552631578947363</v>
      </c>
      <c r="D62">
        <f t="shared" si="0"/>
        <v>665526.31578947359</v>
      </c>
      <c r="E62">
        <f t="shared" si="1"/>
        <v>532421052.63157886</v>
      </c>
      <c r="F62">
        <f t="shared" si="2"/>
        <v>532421.05263157887</v>
      </c>
      <c r="G62">
        <f t="shared" si="3"/>
        <v>346073.68421052629</v>
      </c>
      <c r="H62">
        <f t="shared" si="4"/>
        <v>304544.84210526315</v>
      </c>
      <c r="I62">
        <f t="shared" si="5"/>
        <v>152272.42105263157</v>
      </c>
      <c r="J62">
        <f t="shared" si="6"/>
        <v>227876.21052631573</v>
      </c>
      <c r="K62">
        <f t="shared" si="7"/>
        <v>152272.42105263157</v>
      </c>
      <c r="L62">
        <f t="shared" si="8"/>
        <v>152272.42105263157</v>
      </c>
      <c r="M62">
        <f t="shared" si="9"/>
        <v>380148.6315789473</v>
      </c>
      <c r="N62">
        <f t="shared" si="10"/>
        <v>152272.42105263157</v>
      </c>
      <c r="O62">
        <f t="shared" si="11"/>
        <v>0</v>
      </c>
      <c r="P62">
        <f t="shared" si="12"/>
        <v>152272.42105263157</v>
      </c>
      <c r="Q62">
        <f t="shared" si="13"/>
        <v>152272.42105263157</v>
      </c>
      <c r="R62">
        <f t="shared" si="14"/>
        <v>380148.6315789473</v>
      </c>
      <c r="S62">
        <f t="shared" si="15"/>
        <v>227876.21052631573</v>
      </c>
      <c r="T62">
        <f t="shared" si="16"/>
        <v>152272.42105263157</v>
      </c>
      <c r="U62">
        <f t="shared" si="17"/>
        <v>228089.17894736837</v>
      </c>
      <c r="V62">
        <f t="shared" si="18"/>
        <v>532421.05263157887</v>
      </c>
    </row>
    <row r="63" spans="1:22" x14ac:dyDescent="0.25">
      <c r="A63">
        <v>2009</v>
      </c>
      <c r="B63">
        <v>64.25</v>
      </c>
      <c r="C63">
        <v>0.5635964912280701</v>
      </c>
      <c r="D63">
        <f t="shared" si="0"/>
        <v>563596.49122807011</v>
      </c>
      <c r="E63">
        <f t="shared" si="1"/>
        <v>450877192.98245609</v>
      </c>
      <c r="F63">
        <f t="shared" si="2"/>
        <v>450877.19298245606</v>
      </c>
      <c r="G63">
        <f t="shared" si="3"/>
        <v>293070.17543859646</v>
      </c>
      <c r="H63">
        <f t="shared" si="4"/>
        <v>257901.75438596489</v>
      </c>
      <c r="I63">
        <f t="shared" si="5"/>
        <v>128950.87719298244</v>
      </c>
      <c r="J63">
        <f t="shared" si="6"/>
        <v>192975.43859649115</v>
      </c>
      <c r="K63">
        <f t="shared" si="7"/>
        <v>128950.87719298244</v>
      </c>
      <c r="L63">
        <f t="shared" si="8"/>
        <v>128950.87719298244</v>
      </c>
      <c r="M63">
        <f t="shared" si="9"/>
        <v>321926.31578947359</v>
      </c>
      <c r="N63">
        <f t="shared" si="10"/>
        <v>128950.87719298244</v>
      </c>
      <c r="O63">
        <f t="shared" si="11"/>
        <v>0</v>
      </c>
      <c r="P63">
        <f t="shared" si="12"/>
        <v>128950.87719298244</v>
      </c>
      <c r="Q63">
        <f t="shared" si="13"/>
        <v>128950.87719298244</v>
      </c>
      <c r="R63">
        <f t="shared" si="14"/>
        <v>321926.31578947359</v>
      </c>
      <c r="S63">
        <f t="shared" si="15"/>
        <v>192975.43859649115</v>
      </c>
      <c r="T63">
        <f t="shared" si="16"/>
        <v>128950.87719298244</v>
      </c>
      <c r="U63">
        <f t="shared" si="17"/>
        <v>193155.78947368416</v>
      </c>
      <c r="V63">
        <f t="shared" si="18"/>
        <v>450877.19298245606</v>
      </c>
    </row>
    <row r="64" spans="1:22" x14ac:dyDescent="0.25">
      <c r="A64">
        <v>2010</v>
      </c>
      <c r="B64">
        <v>79.790000000000006</v>
      </c>
      <c r="C64">
        <v>0.69991228070175437</v>
      </c>
      <c r="D64">
        <f t="shared" si="0"/>
        <v>699912.28070175438</v>
      </c>
      <c r="E64">
        <f t="shared" si="1"/>
        <v>559929824.56140351</v>
      </c>
      <c r="F64">
        <f t="shared" si="2"/>
        <v>559929.82456140348</v>
      </c>
      <c r="G64">
        <f t="shared" si="3"/>
        <v>363954.3859649123</v>
      </c>
      <c r="H64">
        <f t="shared" si="4"/>
        <v>320279.85964912281</v>
      </c>
      <c r="I64">
        <f t="shared" si="5"/>
        <v>160139.9298245614</v>
      </c>
      <c r="J64">
        <f t="shared" si="6"/>
        <v>239649.96491228067</v>
      </c>
      <c r="K64">
        <f t="shared" si="7"/>
        <v>160139.9298245614</v>
      </c>
      <c r="L64">
        <f t="shared" si="8"/>
        <v>160139.9298245614</v>
      </c>
      <c r="M64">
        <f t="shared" si="9"/>
        <v>399789.89473684208</v>
      </c>
      <c r="N64">
        <f t="shared" si="10"/>
        <v>160139.9298245614</v>
      </c>
      <c r="O64">
        <f t="shared" si="11"/>
        <v>0</v>
      </c>
      <c r="P64">
        <f t="shared" si="12"/>
        <v>160139.9298245614</v>
      </c>
      <c r="Q64">
        <f t="shared" si="13"/>
        <v>160139.9298245614</v>
      </c>
      <c r="R64">
        <f t="shared" si="14"/>
        <v>399789.89473684208</v>
      </c>
      <c r="S64">
        <f t="shared" si="15"/>
        <v>239649.96491228067</v>
      </c>
      <c r="T64">
        <f t="shared" si="16"/>
        <v>160139.9298245614</v>
      </c>
      <c r="U64">
        <f t="shared" si="17"/>
        <v>239873.93684210523</v>
      </c>
      <c r="V64">
        <f t="shared" si="18"/>
        <v>559929.82456140348</v>
      </c>
    </row>
    <row r="65" spans="1:22" x14ac:dyDescent="0.25">
      <c r="A65">
        <v>2011</v>
      </c>
      <c r="B65">
        <v>74.7</v>
      </c>
      <c r="C65">
        <v>0.65526315789473688</v>
      </c>
      <c r="D65">
        <f t="shared" si="0"/>
        <v>655263.15789473685</v>
      </c>
      <c r="E65">
        <f t="shared" si="1"/>
        <v>524210526.31578946</v>
      </c>
      <c r="F65">
        <f t="shared" si="2"/>
        <v>524210.52631578944</v>
      </c>
      <c r="G65">
        <f t="shared" si="3"/>
        <v>340736.84210526315</v>
      </c>
      <c r="H65">
        <f t="shared" si="4"/>
        <v>299848.42105263157</v>
      </c>
      <c r="I65">
        <f t="shared" si="5"/>
        <v>149924.21052631579</v>
      </c>
      <c r="J65">
        <f t="shared" si="6"/>
        <v>224362.10526315786</v>
      </c>
      <c r="K65">
        <f t="shared" si="7"/>
        <v>149924.21052631579</v>
      </c>
      <c r="L65">
        <f t="shared" si="8"/>
        <v>149924.21052631579</v>
      </c>
      <c r="M65">
        <f t="shared" si="9"/>
        <v>374286.31578947365</v>
      </c>
      <c r="N65">
        <f t="shared" si="10"/>
        <v>149924.21052631579</v>
      </c>
      <c r="O65">
        <f t="shared" si="11"/>
        <v>0</v>
      </c>
      <c r="P65">
        <f t="shared" si="12"/>
        <v>149924.21052631579</v>
      </c>
      <c r="Q65">
        <f t="shared" si="13"/>
        <v>149924.21052631579</v>
      </c>
      <c r="R65">
        <f t="shared" si="14"/>
        <v>374286.31578947365</v>
      </c>
      <c r="S65">
        <f t="shared" si="15"/>
        <v>224362.10526315786</v>
      </c>
      <c r="T65">
        <f t="shared" si="16"/>
        <v>149924.21052631579</v>
      </c>
      <c r="U65">
        <f t="shared" si="17"/>
        <v>224571.78947368418</v>
      </c>
      <c r="V65">
        <f t="shared" si="18"/>
        <v>524210.52631578944</v>
      </c>
    </row>
    <row r="66" spans="1:22" x14ac:dyDescent="0.25">
      <c r="A66">
        <v>2012</v>
      </c>
      <c r="B66">
        <v>74.7</v>
      </c>
      <c r="C66">
        <v>0.65526315789473688</v>
      </c>
      <c r="D66">
        <f t="shared" si="0"/>
        <v>655263.15789473685</v>
      </c>
      <c r="E66">
        <f t="shared" si="1"/>
        <v>524210526.31578946</v>
      </c>
      <c r="F66">
        <f t="shared" si="2"/>
        <v>524210.52631578944</v>
      </c>
      <c r="G66">
        <f t="shared" si="3"/>
        <v>340736.84210526315</v>
      </c>
      <c r="H66">
        <f t="shared" si="4"/>
        <v>299848.42105263157</v>
      </c>
      <c r="I66">
        <f t="shared" si="5"/>
        <v>149924.21052631579</v>
      </c>
      <c r="J66">
        <f t="shared" si="6"/>
        <v>224362.10526315786</v>
      </c>
      <c r="K66">
        <f t="shared" si="7"/>
        <v>149924.21052631579</v>
      </c>
      <c r="L66">
        <f t="shared" si="8"/>
        <v>149924.21052631579</v>
      </c>
      <c r="M66">
        <f t="shared" si="9"/>
        <v>374286.31578947365</v>
      </c>
      <c r="N66">
        <f t="shared" si="10"/>
        <v>149924.21052631579</v>
      </c>
      <c r="O66">
        <f t="shared" si="11"/>
        <v>0</v>
      </c>
      <c r="P66">
        <f t="shared" si="12"/>
        <v>149924.21052631579</v>
      </c>
      <c r="Q66">
        <f t="shared" si="13"/>
        <v>149924.21052631579</v>
      </c>
      <c r="R66">
        <f t="shared" si="14"/>
        <v>374286.31578947365</v>
      </c>
      <c r="S66">
        <f t="shared" si="15"/>
        <v>224362.10526315786</v>
      </c>
      <c r="T66">
        <f t="shared" si="16"/>
        <v>149924.21052631579</v>
      </c>
      <c r="U66">
        <f t="shared" si="17"/>
        <v>224571.78947368418</v>
      </c>
      <c r="V66">
        <f t="shared" si="18"/>
        <v>524210.52631578944</v>
      </c>
    </row>
    <row r="67" spans="1:22" x14ac:dyDescent="0.25">
      <c r="A67">
        <v>2013</v>
      </c>
      <c r="B67">
        <v>63.63</v>
      </c>
      <c r="C67">
        <v>0.55815789473684208</v>
      </c>
      <c r="D67">
        <f t="shared" si="0"/>
        <v>558157.89473684202</v>
      </c>
      <c r="E67">
        <f t="shared" si="1"/>
        <v>446526315.78947359</v>
      </c>
      <c r="F67">
        <f t="shared" si="2"/>
        <v>446526.31578947359</v>
      </c>
      <c r="G67">
        <f t="shared" si="3"/>
        <v>290242.10526315786</v>
      </c>
      <c r="H67">
        <f t="shared" si="4"/>
        <v>255413.05263157893</v>
      </c>
      <c r="I67">
        <f t="shared" si="5"/>
        <v>127706.52631578947</v>
      </c>
      <c r="J67">
        <f t="shared" si="6"/>
        <v>191113.26315789469</v>
      </c>
      <c r="K67">
        <f t="shared" si="7"/>
        <v>127706.52631578947</v>
      </c>
      <c r="L67">
        <f t="shared" si="8"/>
        <v>127706.52631578947</v>
      </c>
      <c r="M67">
        <f t="shared" si="9"/>
        <v>318819.78947368416</v>
      </c>
      <c r="N67">
        <f t="shared" si="10"/>
        <v>127706.52631578947</v>
      </c>
      <c r="O67">
        <f t="shared" si="11"/>
        <v>0</v>
      </c>
      <c r="P67">
        <f t="shared" si="12"/>
        <v>127706.52631578947</v>
      </c>
      <c r="Q67">
        <f t="shared" si="13"/>
        <v>127706.52631578947</v>
      </c>
      <c r="R67">
        <f t="shared" si="14"/>
        <v>318819.78947368416</v>
      </c>
      <c r="S67">
        <f t="shared" si="15"/>
        <v>191113.26315789469</v>
      </c>
      <c r="T67">
        <f t="shared" si="16"/>
        <v>127706.52631578947</v>
      </c>
      <c r="U67">
        <f t="shared" si="17"/>
        <v>191291.8736842105</v>
      </c>
      <c r="V67">
        <f t="shared" si="18"/>
        <v>446526.31578947359</v>
      </c>
    </row>
    <row r="68" spans="1:22" x14ac:dyDescent="0.25">
      <c r="A68">
        <v>2014</v>
      </c>
      <c r="B68">
        <v>68.78</v>
      </c>
      <c r="C68">
        <v>0.60333333333333328</v>
      </c>
      <c r="D68">
        <f t="shared" si="0"/>
        <v>603333.33333333326</v>
      </c>
      <c r="E68">
        <f t="shared" si="1"/>
        <v>482666666.66666663</v>
      </c>
      <c r="F68">
        <f t="shared" si="2"/>
        <v>482666.66666666663</v>
      </c>
      <c r="G68">
        <f t="shared" si="3"/>
        <v>313733.33333333331</v>
      </c>
      <c r="H68">
        <f t="shared" si="4"/>
        <v>276085.33333333331</v>
      </c>
      <c r="I68">
        <f t="shared" si="5"/>
        <v>138042.66666666666</v>
      </c>
      <c r="J68">
        <f t="shared" si="6"/>
        <v>206581.33333333334</v>
      </c>
      <c r="K68">
        <f t="shared" si="7"/>
        <v>138042.66666666666</v>
      </c>
      <c r="L68">
        <f t="shared" si="8"/>
        <v>138042.66666666666</v>
      </c>
      <c r="M68">
        <f t="shared" si="9"/>
        <v>344624</v>
      </c>
      <c r="N68">
        <f t="shared" si="10"/>
        <v>138042.66666666666</v>
      </c>
      <c r="O68">
        <f t="shared" si="11"/>
        <v>0</v>
      </c>
      <c r="P68">
        <f t="shared" si="12"/>
        <v>138042.66666666666</v>
      </c>
      <c r="Q68">
        <f t="shared" si="13"/>
        <v>138042.66666666666</v>
      </c>
      <c r="R68">
        <f t="shared" si="14"/>
        <v>344624</v>
      </c>
      <c r="S68">
        <f t="shared" si="15"/>
        <v>206581.33333333334</v>
      </c>
      <c r="T68">
        <f t="shared" si="16"/>
        <v>138042.66666666666</v>
      </c>
      <c r="U68">
        <f t="shared" si="17"/>
        <v>206774.39999999999</v>
      </c>
      <c r="V68">
        <f t="shared" si="18"/>
        <v>482666.66666666663</v>
      </c>
    </row>
    <row r="69" spans="1:22" x14ac:dyDescent="0.25">
      <c r="A69">
        <v>2015</v>
      </c>
      <c r="B69">
        <v>70.8</v>
      </c>
      <c r="C69">
        <v>0.6210526315789473</v>
      </c>
      <c r="D69">
        <f t="shared" ref="D69:D132" si="19">C69*1000000</f>
        <v>621052.6315789473</v>
      </c>
      <c r="E69">
        <f t="shared" ref="E69:E132" si="20">D69*800</f>
        <v>496842105.26315784</v>
      </c>
      <c r="F69">
        <f t="shared" ref="F69:F132" si="21">E69/1000</f>
        <v>496842.10526315786</v>
      </c>
      <c r="G69">
        <f t="shared" ref="G69:G132" si="22">F69*0.65</f>
        <v>322947.36842105264</v>
      </c>
      <c r="H69">
        <f t="shared" ref="H69:H132" si="23">G69*0.88</f>
        <v>284193.68421052635</v>
      </c>
      <c r="I69">
        <f t="shared" ref="I69:I132" si="24">H69*0.5</f>
        <v>142096.84210526317</v>
      </c>
      <c r="J69">
        <f t="shared" ref="J69:J132" si="25">F69-K69-L69</f>
        <v>212648.42105263154</v>
      </c>
      <c r="K69">
        <f t="shared" ref="K69:K132" si="26">H69-I69</f>
        <v>142096.84210526317</v>
      </c>
      <c r="L69">
        <f t="shared" ref="L69:L132" si="27">I69</f>
        <v>142096.84210526317</v>
      </c>
      <c r="M69">
        <f t="shared" ref="M69:M132" si="28">F69-L69</f>
        <v>354745.26315789472</v>
      </c>
      <c r="N69">
        <f t="shared" ref="N69:N132" si="29">SUM(O69:P69)</f>
        <v>142096.84210526317</v>
      </c>
      <c r="O69">
        <f t="shared" ref="O69:O132" si="30">J69*O68</f>
        <v>0</v>
      </c>
      <c r="P69">
        <f t="shared" ref="P69:P132" si="31">Q69</f>
        <v>142096.84210526317</v>
      </c>
      <c r="Q69">
        <f t="shared" ref="Q69:Q132" si="32">$Q$3*L69</f>
        <v>142096.84210526317</v>
      </c>
      <c r="R69">
        <f t="shared" ref="R69:R132" si="33">S69+T69</f>
        <v>354745.26315789472</v>
      </c>
      <c r="S69">
        <f t="shared" ref="S69:S132" si="34">J69</f>
        <v>212648.42105263154</v>
      </c>
      <c r="T69">
        <f t="shared" ref="T69:T132" si="35">K69</f>
        <v>142096.84210526317</v>
      </c>
      <c r="U69">
        <f t="shared" ref="U69:U132" si="36">R69*0.6</f>
        <v>212847.15789473683</v>
      </c>
      <c r="V69">
        <f t="shared" ref="V69:V132" si="37">R69+P69</f>
        <v>496842.10526315786</v>
      </c>
    </row>
    <row r="70" spans="1:22" x14ac:dyDescent="0.25">
      <c r="A70">
        <v>2016</v>
      </c>
      <c r="B70">
        <v>72.86</v>
      </c>
      <c r="C70">
        <v>0.63912280701754387</v>
      </c>
      <c r="D70">
        <f t="shared" si="19"/>
        <v>639122.80701754382</v>
      </c>
      <c r="E70">
        <f t="shared" si="20"/>
        <v>511298245.61403507</v>
      </c>
      <c r="F70">
        <f t="shared" si="21"/>
        <v>511298.24561403506</v>
      </c>
      <c r="G70">
        <f t="shared" si="22"/>
        <v>332343.85964912281</v>
      </c>
      <c r="H70">
        <f t="shared" si="23"/>
        <v>292462.59649122809</v>
      </c>
      <c r="I70">
        <f t="shared" si="24"/>
        <v>146231.29824561405</v>
      </c>
      <c r="J70">
        <f t="shared" si="25"/>
        <v>218835.64912280696</v>
      </c>
      <c r="K70">
        <f t="shared" si="26"/>
        <v>146231.29824561405</v>
      </c>
      <c r="L70">
        <f t="shared" si="27"/>
        <v>146231.29824561405</v>
      </c>
      <c r="M70">
        <f t="shared" si="28"/>
        <v>365066.94736842101</v>
      </c>
      <c r="N70">
        <f t="shared" si="29"/>
        <v>146231.29824561405</v>
      </c>
      <c r="O70">
        <f t="shared" si="30"/>
        <v>0</v>
      </c>
      <c r="P70">
        <f t="shared" si="31"/>
        <v>146231.29824561405</v>
      </c>
      <c r="Q70">
        <f t="shared" si="32"/>
        <v>146231.29824561405</v>
      </c>
      <c r="R70">
        <f t="shared" si="33"/>
        <v>365066.94736842101</v>
      </c>
      <c r="S70">
        <f t="shared" si="34"/>
        <v>218835.64912280696</v>
      </c>
      <c r="T70">
        <f t="shared" si="35"/>
        <v>146231.29824561405</v>
      </c>
      <c r="U70">
        <f t="shared" si="36"/>
        <v>219040.1684210526</v>
      </c>
      <c r="V70">
        <f t="shared" si="37"/>
        <v>511298.24561403506</v>
      </c>
    </row>
    <row r="71" spans="1:22" x14ac:dyDescent="0.25">
      <c r="A71">
        <v>2017</v>
      </c>
      <c r="B71">
        <v>68.31</v>
      </c>
      <c r="C71">
        <v>0.59921052631578942</v>
      </c>
      <c r="D71">
        <f t="shared" si="19"/>
        <v>599210.52631578944</v>
      </c>
      <c r="E71">
        <f t="shared" si="20"/>
        <v>479368421.05263156</v>
      </c>
      <c r="F71">
        <f t="shared" si="21"/>
        <v>479368.42105263157</v>
      </c>
      <c r="G71">
        <f t="shared" si="22"/>
        <v>311589.4736842105</v>
      </c>
      <c r="H71">
        <f t="shared" si="23"/>
        <v>274198.73684210522</v>
      </c>
      <c r="I71">
        <f t="shared" si="24"/>
        <v>137099.36842105261</v>
      </c>
      <c r="J71">
        <f t="shared" si="25"/>
        <v>205169.68421052638</v>
      </c>
      <c r="K71">
        <f t="shared" si="26"/>
        <v>137099.36842105261</v>
      </c>
      <c r="L71">
        <f t="shared" si="27"/>
        <v>137099.36842105261</v>
      </c>
      <c r="M71">
        <f t="shared" si="28"/>
        <v>342269.05263157899</v>
      </c>
      <c r="N71">
        <f t="shared" si="29"/>
        <v>137099.36842105261</v>
      </c>
      <c r="O71">
        <f t="shared" si="30"/>
        <v>0</v>
      </c>
      <c r="P71">
        <f t="shared" si="31"/>
        <v>137099.36842105261</v>
      </c>
      <c r="Q71">
        <f t="shared" si="32"/>
        <v>137099.36842105261</v>
      </c>
      <c r="R71">
        <f t="shared" si="33"/>
        <v>342269.05263157899</v>
      </c>
      <c r="S71">
        <f t="shared" si="34"/>
        <v>205169.68421052638</v>
      </c>
      <c r="T71">
        <f t="shared" si="35"/>
        <v>137099.36842105261</v>
      </c>
      <c r="U71">
        <f t="shared" si="36"/>
        <v>205361.43157894738</v>
      </c>
      <c r="V71">
        <f t="shared" si="37"/>
        <v>479368.42105263157</v>
      </c>
    </row>
    <row r="72" spans="1:22" x14ac:dyDescent="0.25">
      <c r="A72">
        <v>2018</v>
      </c>
      <c r="B72">
        <v>75.150000000000006</v>
      </c>
      <c r="C72">
        <v>0.65921052631578947</v>
      </c>
      <c r="D72">
        <f t="shared" si="19"/>
        <v>659210.52631578944</v>
      </c>
      <c r="E72">
        <f t="shared" si="20"/>
        <v>527368421.05263156</v>
      </c>
      <c r="F72">
        <f t="shared" si="21"/>
        <v>527368.42105263157</v>
      </c>
      <c r="G72">
        <f t="shared" si="22"/>
        <v>342789.47368421056</v>
      </c>
      <c r="H72">
        <f t="shared" si="23"/>
        <v>301654.73684210528</v>
      </c>
      <c r="I72">
        <f t="shared" si="24"/>
        <v>150827.36842105264</v>
      </c>
      <c r="J72">
        <f t="shared" si="25"/>
        <v>225713.68421052629</v>
      </c>
      <c r="K72">
        <f t="shared" si="26"/>
        <v>150827.36842105264</v>
      </c>
      <c r="L72">
        <f t="shared" si="27"/>
        <v>150827.36842105264</v>
      </c>
      <c r="M72">
        <f t="shared" si="28"/>
        <v>376541.05263157893</v>
      </c>
      <c r="N72">
        <f t="shared" si="29"/>
        <v>150827.36842105264</v>
      </c>
      <c r="O72">
        <f t="shared" si="30"/>
        <v>0</v>
      </c>
      <c r="P72">
        <f t="shared" si="31"/>
        <v>150827.36842105264</v>
      </c>
      <c r="Q72">
        <f t="shared" si="32"/>
        <v>150827.36842105264</v>
      </c>
      <c r="R72">
        <f t="shared" si="33"/>
        <v>376541.05263157893</v>
      </c>
      <c r="S72">
        <f t="shared" si="34"/>
        <v>225713.68421052629</v>
      </c>
      <c r="T72">
        <f t="shared" si="35"/>
        <v>150827.36842105264</v>
      </c>
      <c r="U72">
        <f t="shared" si="36"/>
        <v>225924.63157894736</v>
      </c>
      <c r="V72">
        <f t="shared" si="37"/>
        <v>527368.42105263157</v>
      </c>
    </row>
    <row r="73" spans="1:22" x14ac:dyDescent="0.25">
      <c r="A73">
        <v>2019</v>
      </c>
      <c r="B73">
        <v>76.16</v>
      </c>
      <c r="C73">
        <v>0.66807017543859637</v>
      </c>
      <c r="D73">
        <f t="shared" si="19"/>
        <v>668070.1754385964</v>
      </c>
      <c r="E73">
        <f t="shared" si="20"/>
        <v>534456140.35087711</v>
      </c>
      <c r="F73">
        <f t="shared" si="21"/>
        <v>534456.14035087707</v>
      </c>
      <c r="G73">
        <f t="shared" si="22"/>
        <v>347396.49122807011</v>
      </c>
      <c r="H73">
        <f t="shared" si="23"/>
        <v>305708.91228070168</v>
      </c>
      <c r="I73">
        <f t="shared" si="24"/>
        <v>152854.45614035084</v>
      </c>
      <c r="J73">
        <f t="shared" si="25"/>
        <v>228747.22807017539</v>
      </c>
      <c r="K73">
        <f t="shared" si="26"/>
        <v>152854.45614035084</v>
      </c>
      <c r="L73">
        <f t="shared" si="27"/>
        <v>152854.45614035084</v>
      </c>
      <c r="M73">
        <f t="shared" si="28"/>
        <v>381601.68421052623</v>
      </c>
      <c r="N73">
        <f t="shared" si="29"/>
        <v>152854.45614035084</v>
      </c>
      <c r="O73">
        <f t="shared" si="30"/>
        <v>0</v>
      </c>
      <c r="P73">
        <f t="shared" si="31"/>
        <v>152854.45614035084</v>
      </c>
      <c r="Q73">
        <f t="shared" si="32"/>
        <v>152854.45614035084</v>
      </c>
      <c r="R73">
        <f t="shared" si="33"/>
        <v>381601.68421052623</v>
      </c>
      <c r="S73">
        <f t="shared" si="34"/>
        <v>228747.22807017539</v>
      </c>
      <c r="T73">
        <f t="shared" si="35"/>
        <v>152854.45614035084</v>
      </c>
      <c r="U73">
        <f t="shared" si="36"/>
        <v>228961.01052631575</v>
      </c>
      <c r="V73">
        <f t="shared" si="37"/>
        <v>534456.14035087707</v>
      </c>
    </row>
    <row r="74" spans="1:22" x14ac:dyDescent="0.25">
      <c r="A74">
        <v>2020</v>
      </c>
      <c r="B74">
        <v>80.5</v>
      </c>
      <c r="C74">
        <v>0.70614035087719296</v>
      </c>
      <c r="D74">
        <f t="shared" si="19"/>
        <v>706140.35087719292</v>
      </c>
      <c r="E74">
        <f t="shared" si="20"/>
        <v>564912280.70175433</v>
      </c>
      <c r="F74">
        <f t="shared" si="21"/>
        <v>564912.28070175438</v>
      </c>
      <c r="G74">
        <f t="shared" si="22"/>
        <v>367192.98245614034</v>
      </c>
      <c r="H74">
        <f t="shared" si="23"/>
        <v>323129.82456140348</v>
      </c>
      <c r="I74">
        <f t="shared" si="24"/>
        <v>161564.91228070174</v>
      </c>
      <c r="J74">
        <f t="shared" si="25"/>
        <v>241782.4561403509</v>
      </c>
      <c r="K74">
        <f t="shared" si="26"/>
        <v>161564.91228070174</v>
      </c>
      <c r="L74">
        <f t="shared" si="27"/>
        <v>161564.91228070174</v>
      </c>
      <c r="M74">
        <f t="shared" si="28"/>
        <v>403347.36842105264</v>
      </c>
      <c r="N74">
        <f t="shared" si="29"/>
        <v>161564.91228070174</v>
      </c>
      <c r="O74">
        <f t="shared" si="30"/>
        <v>0</v>
      </c>
      <c r="P74">
        <f t="shared" si="31"/>
        <v>161564.91228070174</v>
      </c>
      <c r="Q74">
        <f t="shared" si="32"/>
        <v>161564.91228070174</v>
      </c>
      <c r="R74">
        <f t="shared" si="33"/>
        <v>403347.36842105264</v>
      </c>
      <c r="S74">
        <f t="shared" si="34"/>
        <v>241782.4561403509</v>
      </c>
      <c r="T74">
        <f t="shared" si="35"/>
        <v>161564.91228070174</v>
      </c>
      <c r="U74">
        <f t="shared" si="36"/>
        <v>242008.42105263157</v>
      </c>
      <c r="V74">
        <f t="shared" si="37"/>
        <v>564912.28070175438</v>
      </c>
    </row>
    <row r="75" spans="1:22" x14ac:dyDescent="0.25">
      <c r="A75">
        <v>2021</v>
      </c>
      <c r="B75">
        <v>80.459999999999994</v>
      </c>
      <c r="C75">
        <v>0.70578947368421041</v>
      </c>
      <c r="D75">
        <f t="shared" si="19"/>
        <v>705789.47368421045</v>
      </c>
      <c r="E75">
        <f t="shared" si="20"/>
        <v>564631578.94736838</v>
      </c>
      <c r="F75">
        <f t="shared" si="21"/>
        <v>564631.57894736843</v>
      </c>
      <c r="G75">
        <f t="shared" si="22"/>
        <v>367010.5263157895</v>
      </c>
      <c r="H75">
        <f t="shared" si="23"/>
        <v>322969.26315789478</v>
      </c>
      <c r="I75">
        <f t="shared" si="24"/>
        <v>161484.63157894739</v>
      </c>
      <c r="J75">
        <f t="shared" si="25"/>
        <v>241662.31578947362</v>
      </c>
      <c r="K75">
        <f t="shared" si="26"/>
        <v>161484.63157894739</v>
      </c>
      <c r="L75">
        <f t="shared" si="27"/>
        <v>161484.63157894739</v>
      </c>
      <c r="M75">
        <f t="shared" si="28"/>
        <v>403146.94736842101</v>
      </c>
      <c r="N75">
        <f t="shared" si="29"/>
        <v>161484.63157894739</v>
      </c>
      <c r="O75">
        <f t="shared" si="30"/>
        <v>0</v>
      </c>
      <c r="P75">
        <f t="shared" si="31"/>
        <v>161484.63157894739</v>
      </c>
      <c r="Q75">
        <f t="shared" si="32"/>
        <v>161484.63157894739</v>
      </c>
      <c r="R75">
        <f t="shared" si="33"/>
        <v>403146.94736842101</v>
      </c>
      <c r="S75">
        <f t="shared" si="34"/>
        <v>241662.31578947362</v>
      </c>
      <c r="T75">
        <f t="shared" si="35"/>
        <v>161484.63157894739</v>
      </c>
      <c r="U75">
        <f t="shared" si="36"/>
        <v>241888.1684210526</v>
      </c>
      <c r="V75">
        <f t="shared" si="37"/>
        <v>564631.57894736843</v>
      </c>
    </row>
    <row r="76" spans="1:22" x14ac:dyDescent="0.25">
      <c r="A76">
        <v>2022</v>
      </c>
      <c r="B76">
        <v>80.67</v>
      </c>
      <c r="C76">
        <v>0.70763157894736839</v>
      </c>
      <c r="D76">
        <f t="shared" si="19"/>
        <v>707631.57894736843</v>
      </c>
      <c r="E76">
        <f t="shared" si="20"/>
        <v>566105263.15789473</v>
      </c>
      <c r="F76">
        <f t="shared" si="21"/>
        <v>566105.26315789472</v>
      </c>
      <c r="G76">
        <f t="shared" si="22"/>
        <v>367968.42105263157</v>
      </c>
      <c r="H76">
        <f t="shared" si="23"/>
        <v>323812.21052631579</v>
      </c>
      <c r="I76">
        <f t="shared" si="24"/>
        <v>161906.10526315789</v>
      </c>
      <c r="J76">
        <f t="shared" si="25"/>
        <v>242293.05263157896</v>
      </c>
      <c r="K76">
        <f t="shared" si="26"/>
        <v>161906.10526315789</v>
      </c>
      <c r="L76">
        <f t="shared" si="27"/>
        <v>161906.10526315789</v>
      </c>
      <c r="M76">
        <f t="shared" si="28"/>
        <v>404199.15789473685</v>
      </c>
      <c r="N76">
        <f t="shared" si="29"/>
        <v>161906.10526315789</v>
      </c>
      <c r="O76">
        <f t="shared" si="30"/>
        <v>0</v>
      </c>
      <c r="P76">
        <f t="shared" si="31"/>
        <v>161906.10526315789</v>
      </c>
      <c r="Q76">
        <f t="shared" si="32"/>
        <v>161906.10526315789</v>
      </c>
      <c r="R76">
        <f t="shared" si="33"/>
        <v>404199.15789473685</v>
      </c>
      <c r="S76">
        <f t="shared" si="34"/>
        <v>242293.05263157896</v>
      </c>
      <c r="T76">
        <f t="shared" si="35"/>
        <v>161906.10526315789</v>
      </c>
      <c r="U76">
        <f t="shared" si="36"/>
        <v>242519.49473684211</v>
      </c>
      <c r="V76">
        <f t="shared" si="37"/>
        <v>566105.26315789472</v>
      </c>
    </row>
    <row r="77" spans="1:22" x14ac:dyDescent="0.25">
      <c r="A77">
        <v>2023</v>
      </c>
      <c r="C77">
        <v>0.67827849031617793</v>
      </c>
      <c r="D77">
        <f t="shared" si="19"/>
        <v>678278.49031617795</v>
      </c>
      <c r="E77">
        <f t="shared" si="20"/>
        <v>542622792.25294232</v>
      </c>
      <c r="F77">
        <f t="shared" si="21"/>
        <v>542622.79225294234</v>
      </c>
      <c r="G77">
        <f t="shared" si="22"/>
        <v>352704.81496441254</v>
      </c>
      <c r="H77">
        <f t="shared" si="23"/>
        <v>310380.23716868303</v>
      </c>
      <c r="I77">
        <f t="shared" si="24"/>
        <v>155190.11858434152</v>
      </c>
      <c r="J77">
        <f t="shared" si="25"/>
        <v>232242.55508425934</v>
      </c>
      <c r="K77">
        <f t="shared" si="26"/>
        <v>155190.11858434152</v>
      </c>
      <c r="L77">
        <f t="shared" si="27"/>
        <v>155190.11858434152</v>
      </c>
      <c r="M77">
        <f t="shared" si="28"/>
        <v>387432.67366860085</v>
      </c>
      <c r="N77">
        <f t="shared" si="29"/>
        <v>155190.11858434152</v>
      </c>
      <c r="O77">
        <f t="shared" si="30"/>
        <v>0</v>
      </c>
      <c r="P77">
        <f t="shared" si="31"/>
        <v>155190.11858434152</v>
      </c>
      <c r="Q77">
        <f t="shared" si="32"/>
        <v>155190.11858434152</v>
      </c>
      <c r="R77">
        <f t="shared" si="33"/>
        <v>387432.67366860085</v>
      </c>
      <c r="S77">
        <f t="shared" si="34"/>
        <v>232242.55508425934</v>
      </c>
      <c r="T77">
        <f t="shared" si="35"/>
        <v>155190.11858434152</v>
      </c>
      <c r="U77">
        <f t="shared" si="36"/>
        <v>232459.60420116052</v>
      </c>
      <c r="V77">
        <f t="shared" si="37"/>
        <v>542622.79225294234</v>
      </c>
    </row>
    <row r="78" spans="1:22" x14ac:dyDescent="0.25">
      <c r="A78">
        <v>2024</v>
      </c>
      <c r="C78">
        <v>0.49068514856242851</v>
      </c>
      <c r="D78">
        <f t="shared" si="19"/>
        <v>490685.14856242848</v>
      </c>
      <c r="E78">
        <f t="shared" si="20"/>
        <v>392548118.8499428</v>
      </c>
      <c r="F78">
        <f t="shared" si="21"/>
        <v>392548.11884994281</v>
      </c>
      <c r="G78">
        <f t="shared" si="22"/>
        <v>255156.27725246284</v>
      </c>
      <c r="H78">
        <f t="shared" si="23"/>
        <v>224537.5239821673</v>
      </c>
      <c r="I78">
        <f t="shared" si="24"/>
        <v>112268.76199108365</v>
      </c>
      <c r="J78">
        <f t="shared" si="25"/>
        <v>168010.59486777554</v>
      </c>
      <c r="K78">
        <f t="shared" si="26"/>
        <v>112268.76199108365</v>
      </c>
      <c r="L78">
        <f t="shared" si="27"/>
        <v>112268.76199108365</v>
      </c>
      <c r="M78">
        <f t="shared" si="28"/>
        <v>280279.35685885919</v>
      </c>
      <c r="N78">
        <f t="shared" si="29"/>
        <v>112268.76199108365</v>
      </c>
      <c r="O78">
        <f t="shared" si="30"/>
        <v>0</v>
      </c>
      <c r="P78">
        <f t="shared" si="31"/>
        <v>112268.76199108365</v>
      </c>
      <c r="Q78">
        <f t="shared" si="32"/>
        <v>112268.76199108365</v>
      </c>
      <c r="R78">
        <f t="shared" si="33"/>
        <v>280279.35685885919</v>
      </c>
      <c r="S78">
        <f t="shared" si="34"/>
        <v>168010.59486777554</v>
      </c>
      <c r="T78">
        <f t="shared" si="35"/>
        <v>112268.76199108365</v>
      </c>
      <c r="U78">
        <f t="shared" si="36"/>
        <v>168167.61411531552</v>
      </c>
      <c r="V78">
        <f t="shared" si="37"/>
        <v>392548.11884994281</v>
      </c>
    </row>
    <row r="79" spans="1:22" x14ac:dyDescent="0.25">
      <c r="A79">
        <v>2025</v>
      </c>
      <c r="C79">
        <v>0.65018160193428864</v>
      </c>
      <c r="D79">
        <f t="shared" si="19"/>
        <v>650181.60193428863</v>
      </c>
      <c r="E79">
        <f t="shared" si="20"/>
        <v>520145281.54743087</v>
      </c>
      <c r="F79">
        <f t="shared" si="21"/>
        <v>520145.28154743084</v>
      </c>
      <c r="G79">
        <f t="shared" si="22"/>
        <v>338094.43300583004</v>
      </c>
      <c r="H79">
        <f t="shared" si="23"/>
        <v>297523.10104513046</v>
      </c>
      <c r="I79">
        <f t="shared" si="24"/>
        <v>148761.55052256523</v>
      </c>
      <c r="J79">
        <f t="shared" si="25"/>
        <v>222622.18050230041</v>
      </c>
      <c r="K79">
        <f t="shared" si="26"/>
        <v>148761.55052256523</v>
      </c>
      <c r="L79">
        <f t="shared" si="27"/>
        <v>148761.55052256523</v>
      </c>
      <c r="M79">
        <f t="shared" si="28"/>
        <v>371383.73102486564</v>
      </c>
      <c r="N79">
        <f t="shared" si="29"/>
        <v>148761.55052256523</v>
      </c>
      <c r="O79">
        <f t="shared" si="30"/>
        <v>0</v>
      </c>
      <c r="P79">
        <f t="shared" si="31"/>
        <v>148761.55052256523</v>
      </c>
      <c r="Q79">
        <f t="shared" si="32"/>
        <v>148761.55052256523</v>
      </c>
      <c r="R79">
        <f t="shared" si="33"/>
        <v>371383.73102486564</v>
      </c>
      <c r="S79">
        <f t="shared" si="34"/>
        <v>222622.18050230041</v>
      </c>
      <c r="T79">
        <f t="shared" si="35"/>
        <v>148761.55052256523</v>
      </c>
      <c r="U79">
        <f t="shared" si="36"/>
        <v>222830.23861491939</v>
      </c>
      <c r="V79">
        <f t="shared" si="37"/>
        <v>520145.2815474309</v>
      </c>
    </row>
    <row r="80" spans="1:22" x14ac:dyDescent="0.25">
      <c r="A80">
        <v>2026</v>
      </c>
      <c r="C80">
        <v>0.70221804649725894</v>
      </c>
      <c r="D80">
        <f t="shared" si="19"/>
        <v>702218.04649725894</v>
      </c>
      <c r="E80">
        <f t="shared" si="20"/>
        <v>561774437.19780719</v>
      </c>
      <c r="F80">
        <f t="shared" si="21"/>
        <v>561774.43719780724</v>
      </c>
      <c r="G80">
        <f t="shared" si="22"/>
        <v>365153.38417857472</v>
      </c>
      <c r="H80">
        <f t="shared" si="23"/>
        <v>321334.97807714576</v>
      </c>
      <c r="I80">
        <f t="shared" si="24"/>
        <v>160667.48903857288</v>
      </c>
      <c r="J80">
        <f t="shared" si="25"/>
        <v>240439.45912066149</v>
      </c>
      <c r="K80">
        <f t="shared" si="26"/>
        <v>160667.48903857288</v>
      </c>
      <c r="L80">
        <f t="shared" si="27"/>
        <v>160667.48903857288</v>
      </c>
      <c r="M80">
        <f t="shared" si="28"/>
        <v>401106.94815923437</v>
      </c>
      <c r="N80">
        <f t="shared" si="29"/>
        <v>160667.48903857288</v>
      </c>
      <c r="O80">
        <f t="shared" si="30"/>
        <v>0</v>
      </c>
      <c r="P80">
        <f t="shared" si="31"/>
        <v>160667.48903857288</v>
      </c>
      <c r="Q80">
        <f t="shared" si="32"/>
        <v>160667.48903857288</v>
      </c>
      <c r="R80">
        <f t="shared" si="33"/>
        <v>401106.94815923437</v>
      </c>
      <c r="S80">
        <f t="shared" si="34"/>
        <v>240439.45912066149</v>
      </c>
      <c r="T80">
        <f t="shared" si="35"/>
        <v>160667.48903857288</v>
      </c>
      <c r="U80">
        <f t="shared" si="36"/>
        <v>240664.16889554061</v>
      </c>
      <c r="V80">
        <f t="shared" si="37"/>
        <v>561774.43719780724</v>
      </c>
    </row>
    <row r="81" spans="1:22" x14ac:dyDescent="0.25">
      <c r="A81">
        <v>2027</v>
      </c>
      <c r="C81">
        <v>0.80333291194409262</v>
      </c>
      <c r="D81">
        <f t="shared" si="19"/>
        <v>803332.9119440926</v>
      </c>
      <c r="E81">
        <f t="shared" si="20"/>
        <v>642666329.55527413</v>
      </c>
      <c r="F81">
        <f t="shared" si="21"/>
        <v>642666.3295552741</v>
      </c>
      <c r="G81">
        <f t="shared" si="22"/>
        <v>417733.11421092821</v>
      </c>
      <c r="H81">
        <f t="shared" si="23"/>
        <v>367605.14050561684</v>
      </c>
      <c r="I81">
        <f t="shared" si="24"/>
        <v>183802.57025280842</v>
      </c>
      <c r="J81">
        <f t="shared" si="25"/>
        <v>275061.18904965732</v>
      </c>
      <c r="K81">
        <f t="shared" si="26"/>
        <v>183802.57025280842</v>
      </c>
      <c r="L81">
        <f t="shared" si="27"/>
        <v>183802.57025280842</v>
      </c>
      <c r="M81">
        <f t="shared" si="28"/>
        <v>458863.75930246571</v>
      </c>
      <c r="N81">
        <f t="shared" si="29"/>
        <v>183802.57025280842</v>
      </c>
      <c r="O81">
        <f t="shared" si="30"/>
        <v>0</v>
      </c>
      <c r="P81">
        <f t="shared" si="31"/>
        <v>183802.57025280842</v>
      </c>
      <c r="Q81">
        <f t="shared" si="32"/>
        <v>183802.57025280842</v>
      </c>
      <c r="R81">
        <f t="shared" si="33"/>
        <v>458863.75930246571</v>
      </c>
      <c r="S81">
        <f t="shared" si="34"/>
        <v>275061.18904965732</v>
      </c>
      <c r="T81">
        <f t="shared" si="35"/>
        <v>183802.57025280842</v>
      </c>
      <c r="U81">
        <f t="shared" si="36"/>
        <v>275318.2555814794</v>
      </c>
      <c r="V81">
        <f t="shared" si="37"/>
        <v>642666.3295552741</v>
      </c>
    </row>
    <row r="82" spans="1:22" x14ac:dyDescent="0.25">
      <c r="A82">
        <v>2028</v>
      </c>
      <c r="C82">
        <v>0.62324260381033481</v>
      </c>
      <c r="D82">
        <f t="shared" si="19"/>
        <v>623242.60381033481</v>
      </c>
      <c r="E82">
        <f t="shared" si="20"/>
        <v>498594083.04826784</v>
      </c>
      <c r="F82">
        <f t="shared" si="21"/>
        <v>498594.08304826781</v>
      </c>
      <c r="G82">
        <f t="shared" si="22"/>
        <v>324086.15398137411</v>
      </c>
      <c r="H82">
        <f t="shared" si="23"/>
        <v>285195.81550360919</v>
      </c>
      <c r="I82">
        <f t="shared" si="24"/>
        <v>142597.9077518046</v>
      </c>
      <c r="J82">
        <f t="shared" si="25"/>
        <v>213398.26754465859</v>
      </c>
      <c r="K82">
        <f t="shared" si="26"/>
        <v>142597.9077518046</v>
      </c>
      <c r="L82">
        <f t="shared" si="27"/>
        <v>142597.9077518046</v>
      </c>
      <c r="M82">
        <f t="shared" si="28"/>
        <v>355996.17529646319</v>
      </c>
      <c r="N82">
        <f t="shared" si="29"/>
        <v>142597.9077518046</v>
      </c>
      <c r="O82">
        <f t="shared" si="30"/>
        <v>0</v>
      </c>
      <c r="P82">
        <f t="shared" si="31"/>
        <v>142597.9077518046</v>
      </c>
      <c r="Q82">
        <f t="shared" si="32"/>
        <v>142597.9077518046</v>
      </c>
      <c r="R82">
        <f t="shared" si="33"/>
        <v>355996.17529646319</v>
      </c>
      <c r="S82">
        <f t="shared" si="34"/>
        <v>213398.26754465859</v>
      </c>
      <c r="T82">
        <f t="shared" si="35"/>
        <v>142597.9077518046</v>
      </c>
      <c r="U82">
        <f t="shared" si="36"/>
        <v>213597.70517787791</v>
      </c>
      <c r="V82">
        <f t="shared" si="37"/>
        <v>498594.08304826776</v>
      </c>
    </row>
    <row r="83" spans="1:22" x14ac:dyDescent="0.25">
      <c r="A83">
        <v>2029</v>
      </c>
      <c r="C83">
        <v>0.59705917806118936</v>
      </c>
      <c r="D83">
        <f t="shared" si="19"/>
        <v>597059.17806118936</v>
      </c>
      <c r="E83">
        <f t="shared" si="20"/>
        <v>477647342.44895148</v>
      </c>
      <c r="F83">
        <f t="shared" si="21"/>
        <v>477647.3424489515</v>
      </c>
      <c r="G83">
        <f t="shared" si="22"/>
        <v>310470.77259181847</v>
      </c>
      <c r="H83">
        <f t="shared" si="23"/>
        <v>273214.27988080028</v>
      </c>
      <c r="I83">
        <f t="shared" si="24"/>
        <v>136607.13994040014</v>
      </c>
      <c r="J83">
        <f t="shared" si="25"/>
        <v>204433.06256815122</v>
      </c>
      <c r="K83">
        <f t="shared" si="26"/>
        <v>136607.13994040014</v>
      </c>
      <c r="L83">
        <f t="shared" si="27"/>
        <v>136607.13994040014</v>
      </c>
      <c r="M83">
        <f t="shared" si="28"/>
        <v>341040.20250855136</v>
      </c>
      <c r="N83">
        <f t="shared" si="29"/>
        <v>136607.13994040014</v>
      </c>
      <c r="O83">
        <f t="shared" si="30"/>
        <v>0</v>
      </c>
      <c r="P83">
        <f t="shared" si="31"/>
        <v>136607.13994040014</v>
      </c>
      <c r="Q83">
        <f t="shared" si="32"/>
        <v>136607.13994040014</v>
      </c>
      <c r="R83">
        <f t="shared" si="33"/>
        <v>341040.20250855136</v>
      </c>
      <c r="S83">
        <f t="shared" si="34"/>
        <v>204433.06256815122</v>
      </c>
      <c r="T83">
        <f t="shared" si="35"/>
        <v>136607.13994040014</v>
      </c>
      <c r="U83">
        <f t="shared" si="36"/>
        <v>204624.12150513081</v>
      </c>
      <c r="V83">
        <f t="shared" si="37"/>
        <v>477647.3424489515</v>
      </c>
    </row>
    <row r="84" spans="1:22" x14ac:dyDescent="0.25">
      <c r="A84">
        <v>2030</v>
      </c>
      <c r="C84">
        <v>0.62473239238792244</v>
      </c>
      <c r="D84">
        <f t="shared" si="19"/>
        <v>624732.39238792239</v>
      </c>
      <c r="E84">
        <f t="shared" si="20"/>
        <v>499785913.91033792</v>
      </c>
      <c r="F84">
        <f t="shared" si="21"/>
        <v>499785.9139103379</v>
      </c>
      <c r="G84">
        <f t="shared" si="22"/>
        <v>324860.84404171963</v>
      </c>
      <c r="H84">
        <f t="shared" si="23"/>
        <v>285877.54275671329</v>
      </c>
      <c r="I84">
        <f t="shared" si="24"/>
        <v>142938.77137835664</v>
      </c>
      <c r="J84">
        <f t="shared" si="25"/>
        <v>213908.37115362458</v>
      </c>
      <c r="K84">
        <f t="shared" si="26"/>
        <v>142938.77137835664</v>
      </c>
      <c r="L84">
        <f t="shared" si="27"/>
        <v>142938.77137835664</v>
      </c>
      <c r="M84">
        <f t="shared" si="28"/>
        <v>356847.14253198123</v>
      </c>
      <c r="N84">
        <f t="shared" si="29"/>
        <v>142938.77137835664</v>
      </c>
      <c r="O84">
        <f t="shared" si="30"/>
        <v>0</v>
      </c>
      <c r="P84">
        <f t="shared" si="31"/>
        <v>142938.77137835664</v>
      </c>
      <c r="Q84">
        <f t="shared" si="32"/>
        <v>142938.77137835664</v>
      </c>
      <c r="R84">
        <f t="shared" si="33"/>
        <v>356847.14253198123</v>
      </c>
      <c r="S84">
        <f t="shared" si="34"/>
        <v>213908.37115362458</v>
      </c>
      <c r="T84">
        <f t="shared" si="35"/>
        <v>142938.77137835664</v>
      </c>
      <c r="U84">
        <f t="shared" si="36"/>
        <v>214108.28551918874</v>
      </c>
      <c r="V84">
        <f t="shared" si="37"/>
        <v>499785.91391033784</v>
      </c>
    </row>
    <row r="85" spans="1:22" x14ac:dyDescent="0.25">
      <c r="A85">
        <v>2031</v>
      </c>
      <c r="C85">
        <v>0.75258591364332461</v>
      </c>
      <c r="D85">
        <f t="shared" si="19"/>
        <v>752585.91364332463</v>
      </c>
      <c r="E85">
        <f t="shared" si="20"/>
        <v>602068730.91465974</v>
      </c>
      <c r="F85">
        <f t="shared" si="21"/>
        <v>602068.73091465968</v>
      </c>
      <c r="G85">
        <f t="shared" si="22"/>
        <v>391344.67509452882</v>
      </c>
      <c r="H85">
        <f t="shared" si="23"/>
        <v>344383.31408318534</v>
      </c>
      <c r="I85">
        <f t="shared" si="24"/>
        <v>172191.65704159267</v>
      </c>
      <c r="J85">
        <f t="shared" si="25"/>
        <v>257685.41683147437</v>
      </c>
      <c r="K85">
        <f t="shared" si="26"/>
        <v>172191.65704159267</v>
      </c>
      <c r="L85">
        <f t="shared" si="27"/>
        <v>172191.65704159267</v>
      </c>
      <c r="M85">
        <f t="shared" si="28"/>
        <v>429877.07387306704</v>
      </c>
      <c r="N85">
        <f t="shared" si="29"/>
        <v>172191.65704159267</v>
      </c>
      <c r="O85">
        <f t="shared" si="30"/>
        <v>0</v>
      </c>
      <c r="P85">
        <f t="shared" si="31"/>
        <v>172191.65704159267</v>
      </c>
      <c r="Q85">
        <f t="shared" si="32"/>
        <v>172191.65704159267</v>
      </c>
      <c r="R85">
        <f t="shared" si="33"/>
        <v>429877.07387306704</v>
      </c>
      <c r="S85">
        <f t="shared" si="34"/>
        <v>257685.41683147437</v>
      </c>
      <c r="T85">
        <f t="shared" si="35"/>
        <v>172191.65704159267</v>
      </c>
      <c r="U85">
        <f t="shared" si="36"/>
        <v>257926.24432384022</v>
      </c>
      <c r="V85">
        <f t="shared" si="37"/>
        <v>602068.73091465968</v>
      </c>
    </row>
    <row r="86" spans="1:22" x14ac:dyDescent="0.25">
      <c r="A86">
        <v>2032</v>
      </c>
      <c r="C86">
        <v>0.69965932700773825</v>
      </c>
      <c r="D86">
        <f t="shared" si="19"/>
        <v>699659.32700773829</v>
      </c>
      <c r="E86">
        <f t="shared" si="20"/>
        <v>559727461.60619068</v>
      </c>
      <c r="F86">
        <f t="shared" si="21"/>
        <v>559727.46160619066</v>
      </c>
      <c r="G86">
        <f t="shared" si="22"/>
        <v>363822.85004402394</v>
      </c>
      <c r="H86">
        <f t="shared" si="23"/>
        <v>320164.10803874105</v>
      </c>
      <c r="I86">
        <f t="shared" si="24"/>
        <v>160082.05401937052</v>
      </c>
      <c r="J86">
        <f t="shared" si="25"/>
        <v>239563.35356744961</v>
      </c>
      <c r="K86">
        <f t="shared" si="26"/>
        <v>160082.05401937052</v>
      </c>
      <c r="L86">
        <f t="shared" si="27"/>
        <v>160082.05401937052</v>
      </c>
      <c r="M86">
        <f t="shared" si="28"/>
        <v>399645.40758682013</v>
      </c>
      <c r="N86">
        <f t="shared" si="29"/>
        <v>160082.05401937052</v>
      </c>
      <c r="O86">
        <f t="shared" si="30"/>
        <v>0</v>
      </c>
      <c r="P86">
        <f t="shared" si="31"/>
        <v>160082.05401937052</v>
      </c>
      <c r="Q86">
        <f t="shared" si="32"/>
        <v>160082.05401937052</v>
      </c>
      <c r="R86">
        <f t="shared" si="33"/>
        <v>399645.40758682013</v>
      </c>
      <c r="S86">
        <f t="shared" si="34"/>
        <v>239563.35356744961</v>
      </c>
      <c r="T86">
        <f t="shared" si="35"/>
        <v>160082.05401937052</v>
      </c>
      <c r="U86">
        <f t="shared" si="36"/>
        <v>239787.24455209207</v>
      </c>
      <c r="V86">
        <f t="shared" si="37"/>
        <v>559727.46160619066</v>
      </c>
    </row>
    <row r="87" spans="1:22" x14ac:dyDescent="0.25">
      <c r="A87">
        <v>2033</v>
      </c>
      <c r="C87">
        <v>0.62220599822316147</v>
      </c>
      <c r="D87">
        <f t="shared" si="19"/>
        <v>622205.99822316144</v>
      </c>
      <c r="E87">
        <f t="shared" si="20"/>
        <v>497764798.57852918</v>
      </c>
      <c r="F87">
        <f t="shared" si="21"/>
        <v>497764.79857852915</v>
      </c>
      <c r="G87">
        <f t="shared" si="22"/>
        <v>323547.11907604395</v>
      </c>
      <c r="H87">
        <f t="shared" si="23"/>
        <v>284721.46478691866</v>
      </c>
      <c r="I87">
        <f t="shared" si="24"/>
        <v>142360.73239345933</v>
      </c>
      <c r="J87">
        <f t="shared" si="25"/>
        <v>213043.33379161052</v>
      </c>
      <c r="K87">
        <f t="shared" si="26"/>
        <v>142360.73239345933</v>
      </c>
      <c r="L87">
        <f t="shared" si="27"/>
        <v>142360.73239345933</v>
      </c>
      <c r="M87">
        <f t="shared" si="28"/>
        <v>355404.06618506985</v>
      </c>
      <c r="N87">
        <f t="shared" si="29"/>
        <v>142360.73239345933</v>
      </c>
      <c r="O87">
        <f t="shared" si="30"/>
        <v>0</v>
      </c>
      <c r="P87">
        <f t="shared" si="31"/>
        <v>142360.73239345933</v>
      </c>
      <c r="Q87">
        <f t="shared" si="32"/>
        <v>142360.73239345933</v>
      </c>
      <c r="R87">
        <f t="shared" si="33"/>
        <v>355404.06618506985</v>
      </c>
      <c r="S87">
        <f t="shared" si="34"/>
        <v>213043.33379161052</v>
      </c>
      <c r="T87">
        <f t="shared" si="35"/>
        <v>142360.73239345933</v>
      </c>
      <c r="U87">
        <f t="shared" si="36"/>
        <v>213242.43971104189</v>
      </c>
      <c r="V87">
        <f t="shared" si="37"/>
        <v>497764.79857852915</v>
      </c>
    </row>
    <row r="88" spans="1:22" x14ac:dyDescent="0.25">
      <c r="A88">
        <v>2034</v>
      </c>
      <c r="C88">
        <v>0.71630605401420577</v>
      </c>
      <c r="D88">
        <f t="shared" si="19"/>
        <v>716306.05401420582</v>
      </c>
      <c r="E88">
        <f t="shared" si="20"/>
        <v>573044843.21136463</v>
      </c>
      <c r="F88">
        <f t="shared" si="21"/>
        <v>573044.84321136458</v>
      </c>
      <c r="G88">
        <f t="shared" si="22"/>
        <v>372479.14808738697</v>
      </c>
      <c r="H88">
        <f t="shared" si="23"/>
        <v>327781.65031690052</v>
      </c>
      <c r="I88">
        <f t="shared" si="24"/>
        <v>163890.82515845026</v>
      </c>
      <c r="J88">
        <f t="shared" si="25"/>
        <v>245263.19289446404</v>
      </c>
      <c r="K88">
        <f t="shared" si="26"/>
        <v>163890.82515845026</v>
      </c>
      <c r="L88">
        <f t="shared" si="27"/>
        <v>163890.82515845026</v>
      </c>
      <c r="M88">
        <f t="shared" si="28"/>
        <v>409154.0180529143</v>
      </c>
      <c r="N88">
        <f t="shared" si="29"/>
        <v>163890.82515845026</v>
      </c>
      <c r="O88">
        <f t="shared" si="30"/>
        <v>0</v>
      </c>
      <c r="P88">
        <f t="shared" si="31"/>
        <v>163890.82515845026</v>
      </c>
      <c r="Q88">
        <f t="shared" si="32"/>
        <v>163890.82515845026</v>
      </c>
      <c r="R88">
        <f t="shared" si="33"/>
        <v>409154.0180529143</v>
      </c>
      <c r="S88">
        <f t="shared" si="34"/>
        <v>245263.19289446404</v>
      </c>
      <c r="T88">
        <f t="shared" si="35"/>
        <v>163890.82515845026</v>
      </c>
      <c r="U88">
        <f t="shared" si="36"/>
        <v>245492.41083174857</v>
      </c>
      <c r="V88">
        <f t="shared" si="37"/>
        <v>573044.84321136458</v>
      </c>
    </row>
    <row r="89" spans="1:22" x14ac:dyDescent="0.25">
      <c r="A89">
        <v>2035</v>
      </c>
      <c r="C89">
        <v>0.678758159886377</v>
      </c>
      <c r="D89">
        <f t="shared" si="19"/>
        <v>678758.15988637705</v>
      </c>
      <c r="E89">
        <f t="shared" si="20"/>
        <v>543006527.90910161</v>
      </c>
      <c r="F89">
        <f t="shared" si="21"/>
        <v>543006.52790910157</v>
      </c>
      <c r="G89">
        <f t="shared" si="22"/>
        <v>352954.24314091605</v>
      </c>
      <c r="H89">
        <f t="shared" si="23"/>
        <v>310599.73396400613</v>
      </c>
      <c r="I89">
        <f t="shared" si="24"/>
        <v>155299.86698200306</v>
      </c>
      <c r="J89">
        <f t="shared" si="25"/>
        <v>232406.79394509541</v>
      </c>
      <c r="K89">
        <f t="shared" si="26"/>
        <v>155299.86698200306</v>
      </c>
      <c r="L89">
        <f t="shared" si="27"/>
        <v>155299.86698200306</v>
      </c>
      <c r="M89">
        <f t="shared" si="28"/>
        <v>387706.66092709848</v>
      </c>
      <c r="N89">
        <f t="shared" si="29"/>
        <v>155299.86698200306</v>
      </c>
      <c r="O89">
        <f t="shared" si="30"/>
        <v>0</v>
      </c>
      <c r="P89">
        <f t="shared" si="31"/>
        <v>155299.86698200306</v>
      </c>
      <c r="Q89">
        <f t="shared" si="32"/>
        <v>155299.86698200306</v>
      </c>
      <c r="R89">
        <f t="shared" si="33"/>
        <v>387706.66092709848</v>
      </c>
      <c r="S89">
        <f t="shared" si="34"/>
        <v>232406.79394509541</v>
      </c>
      <c r="T89">
        <f t="shared" si="35"/>
        <v>155299.86698200306</v>
      </c>
      <c r="U89">
        <f t="shared" si="36"/>
        <v>232623.99655625908</v>
      </c>
      <c r="V89">
        <f t="shared" si="37"/>
        <v>543006.52790910157</v>
      </c>
    </row>
    <row r="90" spans="1:22" x14ac:dyDescent="0.25">
      <c r="A90">
        <v>2036</v>
      </c>
      <c r="C90">
        <v>0.75738938876392659</v>
      </c>
      <c r="D90">
        <f t="shared" si="19"/>
        <v>757389.38876392657</v>
      </c>
      <c r="E90">
        <f t="shared" si="20"/>
        <v>605911511.0111413</v>
      </c>
      <c r="F90">
        <f t="shared" si="21"/>
        <v>605911.51101114135</v>
      </c>
      <c r="G90">
        <f t="shared" si="22"/>
        <v>393842.4821572419</v>
      </c>
      <c r="H90">
        <f t="shared" si="23"/>
        <v>346581.3842983729</v>
      </c>
      <c r="I90">
        <f t="shared" si="24"/>
        <v>173290.69214918645</v>
      </c>
      <c r="J90">
        <f t="shared" si="25"/>
        <v>259330.12671276846</v>
      </c>
      <c r="K90">
        <f t="shared" si="26"/>
        <v>173290.69214918645</v>
      </c>
      <c r="L90">
        <f t="shared" si="27"/>
        <v>173290.69214918645</v>
      </c>
      <c r="M90">
        <f t="shared" si="28"/>
        <v>432620.8188619549</v>
      </c>
      <c r="N90">
        <f t="shared" si="29"/>
        <v>173290.69214918645</v>
      </c>
      <c r="O90">
        <f t="shared" si="30"/>
        <v>0</v>
      </c>
      <c r="P90">
        <f t="shared" si="31"/>
        <v>173290.69214918645</v>
      </c>
      <c r="Q90">
        <f t="shared" si="32"/>
        <v>173290.69214918645</v>
      </c>
      <c r="R90">
        <f t="shared" si="33"/>
        <v>432620.8188619549</v>
      </c>
      <c r="S90">
        <f t="shared" si="34"/>
        <v>259330.12671276846</v>
      </c>
      <c r="T90">
        <f t="shared" si="35"/>
        <v>173290.69214918645</v>
      </c>
      <c r="U90">
        <f t="shared" si="36"/>
        <v>259572.49131717294</v>
      </c>
      <c r="V90">
        <f t="shared" si="37"/>
        <v>605911.51101114135</v>
      </c>
    </row>
    <row r="91" spans="1:22" x14ac:dyDescent="0.25">
      <c r="A91">
        <v>2037</v>
      </c>
      <c r="C91">
        <v>0.60666204713450989</v>
      </c>
      <c r="D91">
        <f t="shared" si="19"/>
        <v>606662.04713450989</v>
      </c>
      <c r="E91">
        <f t="shared" si="20"/>
        <v>485329637.70760792</v>
      </c>
      <c r="F91">
        <f t="shared" si="21"/>
        <v>485329.63770760794</v>
      </c>
      <c r="G91">
        <f t="shared" si="22"/>
        <v>315464.26450994518</v>
      </c>
      <c r="H91">
        <f t="shared" si="23"/>
        <v>277608.55276875175</v>
      </c>
      <c r="I91">
        <f t="shared" si="24"/>
        <v>138804.27638437587</v>
      </c>
      <c r="J91">
        <f t="shared" si="25"/>
        <v>207721.08493885619</v>
      </c>
      <c r="K91">
        <f t="shared" si="26"/>
        <v>138804.27638437587</v>
      </c>
      <c r="L91">
        <f t="shared" si="27"/>
        <v>138804.27638437587</v>
      </c>
      <c r="M91">
        <f t="shared" si="28"/>
        <v>346525.36132323206</v>
      </c>
      <c r="N91">
        <f t="shared" si="29"/>
        <v>138804.27638437587</v>
      </c>
      <c r="O91">
        <f t="shared" si="30"/>
        <v>0</v>
      </c>
      <c r="P91">
        <f t="shared" si="31"/>
        <v>138804.27638437587</v>
      </c>
      <c r="Q91">
        <f t="shared" si="32"/>
        <v>138804.27638437587</v>
      </c>
      <c r="R91">
        <f t="shared" si="33"/>
        <v>346525.36132323206</v>
      </c>
      <c r="S91">
        <f t="shared" si="34"/>
        <v>207721.08493885619</v>
      </c>
      <c r="T91">
        <f t="shared" si="35"/>
        <v>138804.27638437587</v>
      </c>
      <c r="U91">
        <f t="shared" si="36"/>
        <v>207915.21679393924</v>
      </c>
      <c r="V91">
        <f t="shared" si="37"/>
        <v>485329.63770760794</v>
      </c>
    </row>
    <row r="92" spans="1:22" x14ac:dyDescent="0.25">
      <c r="A92">
        <v>2038</v>
      </c>
      <c r="C92">
        <v>0.64043891725852808</v>
      </c>
      <c r="D92">
        <f t="shared" si="19"/>
        <v>640438.91725852806</v>
      </c>
      <c r="E92">
        <f t="shared" si="20"/>
        <v>512351133.80682242</v>
      </c>
      <c r="F92">
        <f t="shared" si="21"/>
        <v>512351.13380682241</v>
      </c>
      <c r="G92">
        <f t="shared" si="22"/>
        <v>333028.23697443458</v>
      </c>
      <c r="H92">
        <f t="shared" si="23"/>
        <v>293064.8485375024</v>
      </c>
      <c r="I92">
        <f t="shared" si="24"/>
        <v>146532.4242687512</v>
      </c>
      <c r="J92">
        <f t="shared" si="25"/>
        <v>219286.28526931998</v>
      </c>
      <c r="K92">
        <f t="shared" si="26"/>
        <v>146532.4242687512</v>
      </c>
      <c r="L92">
        <f t="shared" si="27"/>
        <v>146532.4242687512</v>
      </c>
      <c r="M92">
        <f t="shared" si="28"/>
        <v>365818.70953807118</v>
      </c>
      <c r="N92">
        <f t="shared" si="29"/>
        <v>146532.4242687512</v>
      </c>
      <c r="O92">
        <f t="shared" si="30"/>
        <v>0</v>
      </c>
      <c r="P92">
        <f t="shared" si="31"/>
        <v>146532.4242687512</v>
      </c>
      <c r="Q92">
        <f t="shared" si="32"/>
        <v>146532.4242687512</v>
      </c>
      <c r="R92">
        <f t="shared" si="33"/>
        <v>365818.70953807118</v>
      </c>
      <c r="S92">
        <f t="shared" si="34"/>
        <v>219286.28526931998</v>
      </c>
      <c r="T92">
        <f t="shared" si="35"/>
        <v>146532.4242687512</v>
      </c>
      <c r="U92">
        <f t="shared" si="36"/>
        <v>219491.2257228427</v>
      </c>
      <c r="V92">
        <f t="shared" si="37"/>
        <v>512351.13380682236</v>
      </c>
    </row>
    <row r="93" spans="1:22" x14ac:dyDescent="0.25">
      <c r="A93">
        <v>2039</v>
      </c>
      <c r="C93">
        <v>0.63462471579735291</v>
      </c>
      <c r="D93">
        <f t="shared" si="19"/>
        <v>634624.71579735295</v>
      </c>
      <c r="E93">
        <f t="shared" si="20"/>
        <v>507699772.63788235</v>
      </c>
      <c r="F93">
        <f t="shared" si="21"/>
        <v>507699.77263788233</v>
      </c>
      <c r="G93">
        <f t="shared" si="22"/>
        <v>330004.85221462353</v>
      </c>
      <c r="H93">
        <f t="shared" si="23"/>
        <v>290404.26994886872</v>
      </c>
      <c r="I93">
        <f t="shared" si="24"/>
        <v>145202.13497443436</v>
      </c>
      <c r="J93">
        <f t="shared" si="25"/>
        <v>217295.50268901364</v>
      </c>
      <c r="K93">
        <f t="shared" si="26"/>
        <v>145202.13497443436</v>
      </c>
      <c r="L93">
        <f t="shared" si="27"/>
        <v>145202.13497443436</v>
      </c>
      <c r="M93">
        <f t="shared" si="28"/>
        <v>362497.637663448</v>
      </c>
      <c r="N93">
        <f t="shared" si="29"/>
        <v>145202.13497443436</v>
      </c>
      <c r="O93">
        <f t="shared" si="30"/>
        <v>0</v>
      </c>
      <c r="P93">
        <f t="shared" si="31"/>
        <v>145202.13497443436</v>
      </c>
      <c r="Q93">
        <f t="shared" si="32"/>
        <v>145202.13497443436</v>
      </c>
      <c r="R93">
        <f t="shared" si="33"/>
        <v>362497.637663448</v>
      </c>
      <c r="S93">
        <f t="shared" si="34"/>
        <v>217295.50268901364</v>
      </c>
      <c r="T93">
        <f t="shared" si="35"/>
        <v>145202.13497443436</v>
      </c>
      <c r="U93">
        <f t="shared" si="36"/>
        <v>217498.58259806878</v>
      </c>
      <c r="V93">
        <f t="shared" si="37"/>
        <v>507699.77263788239</v>
      </c>
    </row>
    <row r="94" spans="1:22" x14ac:dyDescent="0.25">
      <c r="A94">
        <v>2040</v>
      </c>
      <c r="C94">
        <v>0.53796434399172899</v>
      </c>
      <c r="D94">
        <f t="shared" si="19"/>
        <v>537964.34399172897</v>
      </c>
      <c r="E94">
        <f t="shared" si="20"/>
        <v>430371475.19338316</v>
      </c>
      <c r="F94">
        <f t="shared" si="21"/>
        <v>430371.47519338317</v>
      </c>
      <c r="G94">
        <f t="shared" si="22"/>
        <v>279741.45887569909</v>
      </c>
      <c r="H94">
        <f t="shared" si="23"/>
        <v>246172.4838106152</v>
      </c>
      <c r="I94">
        <f t="shared" si="24"/>
        <v>123086.2419053076</v>
      </c>
      <c r="J94">
        <f t="shared" si="25"/>
        <v>184198.99138276794</v>
      </c>
      <c r="K94">
        <f t="shared" si="26"/>
        <v>123086.2419053076</v>
      </c>
      <c r="L94">
        <f t="shared" si="27"/>
        <v>123086.2419053076</v>
      </c>
      <c r="M94">
        <f t="shared" si="28"/>
        <v>307285.23328807554</v>
      </c>
      <c r="N94">
        <f t="shared" si="29"/>
        <v>123086.2419053076</v>
      </c>
      <c r="O94">
        <f t="shared" si="30"/>
        <v>0</v>
      </c>
      <c r="P94">
        <f t="shared" si="31"/>
        <v>123086.2419053076</v>
      </c>
      <c r="Q94">
        <f t="shared" si="32"/>
        <v>123086.2419053076</v>
      </c>
      <c r="R94">
        <f t="shared" si="33"/>
        <v>307285.23328807554</v>
      </c>
      <c r="S94">
        <f t="shared" si="34"/>
        <v>184198.99138276794</v>
      </c>
      <c r="T94">
        <f t="shared" si="35"/>
        <v>123086.2419053076</v>
      </c>
      <c r="U94">
        <f t="shared" si="36"/>
        <v>184371.13997284533</v>
      </c>
      <c r="V94">
        <f t="shared" si="37"/>
        <v>430371.47519338317</v>
      </c>
    </row>
    <row r="95" spans="1:22" x14ac:dyDescent="0.25">
      <c r="A95">
        <v>2041</v>
      </c>
      <c r="C95">
        <v>0.69671543265716118</v>
      </c>
      <c r="D95">
        <f t="shared" si="19"/>
        <v>696715.43265716115</v>
      </c>
      <c r="E95">
        <f t="shared" si="20"/>
        <v>557372346.12572896</v>
      </c>
      <c r="F95">
        <f t="shared" si="21"/>
        <v>557372.34612572892</v>
      </c>
      <c r="G95">
        <f t="shared" si="22"/>
        <v>362292.02498172381</v>
      </c>
      <c r="H95">
        <f t="shared" si="23"/>
        <v>318816.98198391695</v>
      </c>
      <c r="I95">
        <f t="shared" si="24"/>
        <v>159408.49099195848</v>
      </c>
      <c r="J95">
        <f t="shared" si="25"/>
        <v>238555.36414181197</v>
      </c>
      <c r="K95">
        <f t="shared" si="26"/>
        <v>159408.49099195848</v>
      </c>
      <c r="L95">
        <f t="shared" si="27"/>
        <v>159408.49099195848</v>
      </c>
      <c r="M95">
        <f t="shared" si="28"/>
        <v>397963.85513377044</v>
      </c>
      <c r="N95">
        <f t="shared" si="29"/>
        <v>159408.49099195848</v>
      </c>
      <c r="O95">
        <f t="shared" si="30"/>
        <v>0</v>
      </c>
      <c r="P95">
        <f t="shared" si="31"/>
        <v>159408.49099195848</v>
      </c>
      <c r="Q95">
        <f t="shared" si="32"/>
        <v>159408.49099195848</v>
      </c>
      <c r="R95">
        <f t="shared" si="33"/>
        <v>397963.85513377044</v>
      </c>
      <c r="S95">
        <f t="shared" si="34"/>
        <v>238555.36414181197</v>
      </c>
      <c r="T95">
        <f t="shared" si="35"/>
        <v>159408.49099195848</v>
      </c>
      <c r="U95">
        <f t="shared" si="36"/>
        <v>238778.31308026225</v>
      </c>
      <c r="V95">
        <f t="shared" si="37"/>
        <v>557372.34612572892</v>
      </c>
    </row>
    <row r="96" spans="1:22" x14ac:dyDescent="0.25">
      <c r="A96">
        <v>2042</v>
      </c>
      <c r="C96">
        <v>0.69355193171117369</v>
      </c>
      <c r="D96">
        <f t="shared" si="19"/>
        <v>693551.93171117373</v>
      </c>
      <c r="E96">
        <f t="shared" si="20"/>
        <v>554841545.36893904</v>
      </c>
      <c r="F96">
        <f t="shared" si="21"/>
        <v>554841.54536893906</v>
      </c>
      <c r="G96">
        <f t="shared" si="22"/>
        <v>360647.00448981038</v>
      </c>
      <c r="H96">
        <f t="shared" si="23"/>
        <v>317369.36395103316</v>
      </c>
      <c r="I96">
        <f t="shared" si="24"/>
        <v>158684.68197551658</v>
      </c>
      <c r="J96">
        <f t="shared" si="25"/>
        <v>237472.18141790587</v>
      </c>
      <c r="K96">
        <f t="shared" si="26"/>
        <v>158684.68197551658</v>
      </c>
      <c r="L96">
        <f t="shared" si="27"/>
        <v>158684.68197551658</v>
      </c>
      <c r="M96">
        <f t="shared" si="28"/>
        <v>396156.86339342245</v>
      </c>
      <c r="N96">
        <f t="shared" si="29"/>
        <v>158684.68197551658</v>
      </c>
      <c r="O96">
        <f t="shared" si="30"/>
        <v>0</v>
      </c>
      <c r="P96">
        <f t="shared" si="31"/>
        <v>158684.68197551658</v>
      </c>
      <c r="Q96">
        <f t="shared" si="32"/>
        <v>158684.68197551658</v>
      </c>
      <c r="R96">
        <f t="shared" si="33"/>
        <v>396156.86339342245</v>
      </c>
      <c r="S96">
        <f t="shared" si="34"/>
        <v>237472.18141790587</v>
      </c>
      <c r="T96">
        <f t="shared" si="35"/>
        <v>158684.68197551658</v>
      </c>
      <c r="U96">
        <f t="shared" si="36"/>
        <v>237694.11803605346</v>
      </c>
      <c r="V96">
        <f t="shared" si="37"/>
        <v>554841.54536893906</v>
      </c>
    </row>
    <row r="97" spans="1:22" x14ac:dyDescent="0.25">
      <c r="A97">
        <v>2043</v>
      </c>
      <c r="C97">
        <v>0.67046132675523329</v>
      </c>
      <c r="D97">
        <f t="shared" si="19"/>
        <v>670461.32675523334</v>
      </c>
      <c r="E97">
        <f t="shared" si="20"/>
        <v>536369061.40418667</v>
      </c>
      <c r="F97">
        <f t="shared" si="21"/>
        <v>536369.06140418665</v>
      </c>
      <c r="G97">
        <f t="shared" si="22"/>
        <v>348639.88991272135</v>
      </c>
      <c r="H97">
        <f t="shared" si="23"/>
        <v>306803.10312319477</v>
      </c>
      <c r="I97">
        <f t="shared" si="24"/>
        <v>153401.55156159739</v>
      </c>
      <c r="J97">
        <f t="shared" si="25"/>
        <v>229565.95828099188</v>
      </c>
      <c r="K97">
        <f t="shared" si="26"/>
        <v>153401.55156159739</v>
      </c>
      <c r="L97">
        <f t="shared" si="27"/>
        <v>153401.55156159739</v>
      </c>
      <c r="M97">
        <f t="shared" si="28"/>
        <v>382967.50984258926</v>
      </c>
      <c r="N97">
        <f t="shared" si="29"/>
        <v>153401.55156159739</v>
      </c>
      <c r="O97">
        <f t="shared" si="30"/>
        <v>0</v>
      </c>
      <c r="P97">
        <f t="shared" si="31"/>
        <v>153401.55156159739</v>
      </c>
      <c r="Q97">
        <f t="shared" si="32"/>
        <v>153401.55156159739</v>
      </c>
      <c r="R97">
        <f t="shared" si="33"/>
        <v>382967.50984258926</v>
      </c>
      <c r="S97">
        <f t="shared" si="34"/>
        <v>229565.95828099188</v>
      </c>
      <c r="T97">
        <f t="shared" si="35"/>
        <v>153401.55156159739</v>
      </c>
      <c r="U97">
        <f t="shared" si="36"/>
        <v>229780.50590555355</v>
      </c>
      <c r="V97">
        <f t="shared" si="37"/>
        <v>536369.06140418665</v>
      </c>
    </row>
    <row r="98" spans="1:22" x14ac:dyDescent="0.25">
      <c r="A98">
        <v>2044</v>
      </c>
      <c r="C98">
        <v>0.64883597561759165</v>
      </c>
      <c r="D98">
        <f t="shared" si="19"/>
        <v>648835.97561759164</v>
      </c>
      <c r="E98">
        <f t="shared" si="20"/>
        <v>519068780.49407333</v>
      </c>
      <c r="F98">
        <f t="shared" si="21"/>
        <v>519068.78049407335</v>
      </c>
      <c r="G98">
        <f t="shared" si="22"/>
        <v>337394.70732114767</v>
      </c>
      <c r="H98">
        <f t="shared" si="23"/>
        <v>296907.34244260995</v>
      </c>
      <c r="I98">
        <f t="shared" si="24"/>
        <v>148453.67122130498</v>
      </c>
      <c r="J98">
        <f t="shared" si="25"/>
        <v>222161.4380514634</v>
      </c>
      <c r="K98">
        <f t="shared" si="26"/>
        <v>148453.67122130498</v>
      </c>
      <c r="L98">
        <f t="shared" si="27"/>
        <v>148453.67122130498</v>
      </c>
      <c r="M98">
        <f t="shared" si="28"/>
        <v>370615.10927276837</v>
      </c>
      <c r="N98">
        <f t="shared" si="29"/>
        <v>148453.67122130498</v>
      </c>
      <c r="O98">
        <f t="shared" si="30"/>
        <v>0</v>
      </c>
      <c r="P98">
        <f t="shared" si="31"/>
        <v>148453.67122130498</v>
      </c>
      <c r="Q98">
        <f t="shared" si="32"/>
        <v>148453.67122130498</v>
      </c>
      <c r="R98">
        <f t="shared" si="33"/>
        <v>370615.10927276837</v>
      </c>
      <c r="S98">
        <f t="shared" si="34"/>
        <v>222161.4380514634</v>
      </c>
      <c r="T98">
        <f t="shared" si="35"/>
        <v>148453.67122130498</v>
      </c>
      <c r="U98">
        <f t="shared" si="36"/>
        <v>222369.06556366102</v>
      </c>
      <c r="V98">
        <f t="shared" si="37"/>
        <v>519068.78049407335</v>
      </c>
    </row>
    <row r="99" spans="1:22" x14ac:dyDescent="0.25">
      <c r="A99">
        <v>2045</v>
      </c>
      <c r="C99">
        <v>0.54230782667436805</v>
      </c>
      <c r="D99">
        <f t="shared" si="19"/>
        <v>542307.826674368</v>
      </c>
      <c r="E99">
        <f t="shared" si="20"/>
        <v>433846261.33949441</v>
      </c>
      <c r="F99">
        <f t="shared" si="21"/>
        <v>433846.26133949443</v>
      </c>
      <c r="G99">
        <f t="shared" si="22"/>
        <v>282000.06987067137</v>
      </c>
      <c r="H99">
        <f t="shared" si="23"/>
        <v>248160.0614861908</v>
      </c>
      <c r="I99">
        <f t="shared" si="24"/>
        <v>124080.0307430954</v>
      </c>
      <c r="J99">
        <f t="shared" si="25"/>
        <v>185686.19985330367</v>
      </c>
      <c r="K99">
        <f t="shared" si="26"/>
        <v>124080.0307430954</v>
      </c>
      <c r="L99">
        <f t="shared" si="27"/>
        <v>124080.0307430954</v>
      </c>
      <c r="M99">
        <f t="shared" si="28"/>
        <v>309766.23059639905</v>
      </c>
      <c r="N99">
        <f t="shared" si="29"/>
        <v>124080.0307430954</v>
      </c>
      <c r="O99">
        <f t="shared" si="30"/>
        <v>0</v>
      </c>
      <c r="P99">
        <f t="shared" si="31"/>
        <v>124080.0307430954</v>
      </c>
      <c r="Q99">
        <f t="shared" si="32"/>
        <v>124080.0307430954</v>
      </c>
      <c r="R99">
        <f t="shared" si="33"/>
        <v>309766.23059639905</v>
      </c>
      <c r="S99">
        <f t="shared" si="34"/>
        <v>185686.19985330367</v>
      </c>
      <c r="T99">
        <f t="shared" si="35"/>
        <v>124080.0307430954</v>
      </c>
      <c r="U99">
        <f t="shared" si="36"/>
        <v>185859.73835783944</v>
      </c>
      <c r="V99">
        <f t="shared" si="37"/>
        <v>433846.26133949443</v>
      </c>
    </row>
    <row r="100" spans="1:22" x14ac:dyDescent="0.25">
      <c r="A100">
        <v>2046</v>
      </c>
      <c r="C100">
        <v>0.63205014427148776</v>
      </c>
      <c r="D100">
        <f t="shared" si="19"/>
        <v>632050.14427148772</v>
      </c>
      <c r="E100">
        <f t="shared" si="20"/>
        <v>505640115.41719019</v>
      </c>
      <c r="F100">
        <f t="shared" si="21"/>
        <v>505640.11541719019</v>
      </c>
      <c r="G100">
        <f t="shared" si="22"/>
        <v>328666.07502117363</v>
      </c>
      <c r="H100">
        <f t="shared" si="23"/>
        <v>289226.1460186328</v>
      </c>
      <c r="I100">
        <f t="shared" si="24"/>
        <v>144613.0730093164</v>
      </c>
      <c r="J100">
        <f t="shared" si="25"/>
        <v>216413.96939855738</v>
      </c>
      <c r="K100">
        <f t="shared" si="26"/>
        <v>144613.0730093164</v>
      </c>
      <c r="L100">
        <f t="shared" si="27"/>
        <v>144613.0730093164</v>
      </c>
      <c r="M100">
        <f t="shared" si="28"/>
        <v>361027.04240787379</v>
      </c>
      <c r="N100">
        <f t="shared" si="29"/>
        <v>144613.0730093164</v>
      </c>
      <c r="O100">
        <f t="shared" si="30"/>
        <v>0</v>
      </c>
      <c r="P100">
        <f t="shared" si="31"/>
        <v>144613.0730093164</v>
      </c>
      <c r="Q100">
        <f t="shared" si="32"/>
        <v>144613.0730093164</v>
      </c>
      <c r="R100">
        <f t="shared" si="33"/>
        <v>361027.04240787379</v>
      </c>
      <c r="S100">
        <f t="shared" si="34"/>
        <v>216413.96939855738</v>
      </c>
      <c r="T100">
        <f t="shared" si="35"/>
        <v>144613.0730093164</v>
      </c>
      <c r="U100">
        <f t="shared" si="36"/>
        <v>216616.22544472426</v>
      </c>
      <c r="V100">
        <f t="shared" si="37"/>
        <v>505640.11541719019</v>
      </c>
    </row>
    <row r="101" spans="1:22" x14ac:dyDescent="0.25">
      <c r="A101">
        <v>2047</v>
      </c>
      <c r="C101">
        <v>0.63908091982871607</v>
      </c>
      <c r="D101">
        <f t="shared" si="19"/>
        <v>639080.91982871608</v>
      </c>
      <c r="E101">
        <f t="shared" si="20"/>
        <v>511264735.86297286</v>
      </c>
      <c r="F101">
        <f t="shared" si="21"/>
        <v>511264.73586297286</v>
      </c>
      <c r="G101">
        <f t="shared" si="22"/>
        <v>332322.07831093238</v>
      </c>
      <c r="H101">
        <f t="shared" si="23"/>
        <v>292443.42891362048</v>
      </c>
      <c r="I101">
        <f t="shared" si="24"/>
        <v>146221.71445681024</v>
      </c>
      <c r="J101">
        <f t="shared" si="25"/>
        <v>218821.30694935241</v>
      </c>
      <c r="K101">
        <f t="shared" si="26"/>
        <v>146221.71445681024</v>
      </c>
      <c r="L101">
        <f t="shared" si="27"/>
        <v>146221.71445681024</v>
      </c>
      <c r="M101">
        <f t="shared" si="28"/>
        <v>365043.02140616265</v>
      </c>
      <c r="N101">
        <f t="shared" si="29"/>
        <v>146221.71445681024</v>
      </c>
      <c r="O101">
        <f t="shared" si="30"/>
        <v>0</v>
      </c>
      <c r="P101">
        <f t="shared" si="31"/>
        <v>146221.71445681024</v>
      </c>
      <c r="Q101">
        <f t="shared" si="32"/>
        <v>146221.71445681024</v>
      </c>
      <c r="R101">
        <f t="shared" si="33"/>
        <v>365043.02140616265</v>
      </c>
      <c r="S101">
        <f t="shared" si="34"/>
        <v>218821.30694935241</v>
      </c>
      <c r="T101">
        <f t="shared" si="35"/>
        <v>146221.71445681024</v>
      </c>
      <c r="U101">
        <f t="shared" si="36"/>
        <v>219025.81284369758</v>
      </c>
      <c r="V101">
        <f t="shared" si="37"/>
        <v>511264.73586297291</v>
      </c>
    </row>
    <row r="102" spans="1:22" x14ac:dyDescent="0.25">
      <c r="A102">
        <v>2048</v>
      </c>
      <c r="C102">
        <v>0.5976200043754949</v>
      </c>
      <c r="D102">
        <f t="shared" si="19"/>
        <v>597620.0043754949</v>
      </c>
      <c r="E102">
        <f t="shared" si="20"/>
        <v>478096003.50039589</v>
      </c>
      <c r="F102">
        <f t="shared" si="21"/>
        <v>478096.00350039592</v>
      </c>
      <c r="G102">
        <f t="shared" si="22"/>
        <v>310762.40227525734</v>
      </c>
      <c r="H102">
        <f t="shared" si="23"/>
        <v>273470.91400222643</v>
      </c>
      <c r="I102">
        <f t="shared" si="24"/>
        <v>136735.45700111322</v>
      </c>
      <c r="J102">
        <f t="shared" si="25"/>
        <v>204625.08949816949</v>
      </c>
      <c r="K102">
        <f t="shared" si="26"/>
        <v>136735.45700111322</v>
      </c>
      <c r="L102">
        <f t="shared" si="27"/>
        <v>136735.45700111322</v>
      </c>
      <c r="M102">
        <f t="shared" si="28"/>
        <v>341360.5464992827</v>
      </c>
      <c r="N102">
        <f t="shared" si="29"/>
        <v>136735.45700111322</v>
      </c>
      <c r="O102">
        <f t="shared" si="30"/>
        <v>0</v>
      </c>
      <c r="P102">
        <f t="shared" si="31"/>
        <v>136735.45700111322</v>
      </c>
      <c r="Q102">
        <f t="shared" si="32"/>
        <v>136735.45700111322</v>
      </c>
      <c r="R102">
        <f t="shared" si="33"/>
        <v>341360.5464992827</v>
      </c>
      <c r="S102">
        <f t="shared" si="34"/>
        <v>204625.08949816949</v>
      </c>
      <c r="T102">
        <f t="shared" si="35"/>
        <v>136735.45700111322</v>
      </c>
      <c r="U102">
        <f t="shared" si="36"/>
        <v>204816.32789956962</v>
      </c>
      <c r="V102">
        <f t="shared" si="37"/>
        <v>478096.00350039592</v>
      </c>
    </row>
    <row r="103" spans="1:22" x14ac:dyDescent="0.25">
      <c r="A103">
        <v>2049</v>
      </c>
      <c r="C103">
        <v>0.65544909652493699</v>
      </c>
      <c r="D103">
        <f t="shared" si="19"/>
        <v>655449.09652493696</v>
      </c>
      <c r="E103">
        <f t="shared" si="20"/>
        <v>524359277.21994954</v>
      </c>
      <c r="F103">
        <f t="shared" si="21"/>
        <v>524359.27721994952</v>
      </c>
      <c r="G103">
        <f t="shared" si="22"/>
        <v>340833.53019296721</v>
      </c>
      <c r="H103">
        <f t="shared" si="23"/>
        <v>299933.50656981114</v>
      </c>
      <c r="I103">
        <f t="shared" si="24"/>
        <v>149966.75328490557</v>
      </c>
      <c r="J103">
        <f t="shared" si="25"/>
        <v>224425.77065013838</v>
      </c>
      <c r="K103">
        <f t="shared" si="26"/>
        <v>149966.75328490557</v>
      </c>
      <c r="L103">
        <f t="shared" si="27"/>
        <v>149966.75328490557</v>
      </c>
      <c r="M103">
        <f t="shared" si="28"/>
        <v>374392.52393504395</v>
      </c>
      <c r="N103">
        <f t="shared" si="29"/>
        <v>149966.75328490557</v>
      </c>
      <c r="O103">
        <f t="shared" si="30"/>
        <v>0</v>
      </c>
      <c r="P103">
        <f t="shared" si="31"/>
        <v>149966.75328490557</v>
      </c>
      <c r="Q103">
        <f t="shared" si="32"/>
        <v>149966.75328490557</v>
      </c>
      <c r="R103">
        <f t="shared" si="33"/>
        <v>374392.52393504395</v>
      </c>
      <c r="S103">
        <f t="shared" si="34"/>
        <v>224425.77065013838</v>
      </c>
      <c r="T103">
        <f t="shared" si="35"/>
        <v>149966.75328490557</v>
      </c>
      <c r="U103">
        <f t="shared" si="36"/>
        <v>224635.51436102638</v>
      </c>
      <c r="V103">
        <f t="shared" si="37"/>
        <v>524359.27721994952</v>
      </c>
    </row>
    <row r="104" spans="1:22" x14ac:dyDescent="0.25">
      <c r="A104">
        <v>2050</v>
      </c>
      <c r="C104">
        <v>0.70645273320118873</v>
      </c>
      <c r="D104">
        <f t="shared" si="19"/>
        <v>706452.73320118873</v>
      </c>
      <c r="E104">
        <f t="shared" si="20"/>
        <v>565162186.56095099</v>
      </c>
      <c r="F104">
        <f t="shared" si="21"/>
        <v>565162.18656095094</v>
      </c>
      <c r="G104">
        <f t="shared" si="22"/>
        <v>367355.42126461811</v>
      </c>
      <c r="H104">
        <f t="shared" si="23"/>
        <v>323272.77071286394</v>
      </c>
      <c r="I104">
        <f t="shared" si="24"/>
        <v>161636.38535643197</v>
      </c>
      <c r="J104">
        <f t="shared" si="25"/>
        <v>241889.41584808702</v>
      </c>
      <c r="K104">
        <f t="shared" si="26"/>
        <v>161636.38535643197</v>
      </c>
      <c r="L104">
        <f t="shared" si="27"/>
        <v>161636.38535643197</v>
      </c>
      <c r="M104">
        <f t="shared" si="28"/>
        <v>403525.801204519</v>
      </c>
      <c r="N104">
        <f t="shared" si="29"/>
        <v>161636.38535643197</v>
      </c>
      <c r="O104">
        <f t="shared" si="30"/>
        <v>0</v>
      </c>
      <c r="P104">
        <f t="shared" si="31"/>
        <v>161636.38535643197</v>
      </c>
      <c r="Q104">
        <f t="shared" si="32"/>
        <v>161636.38535643197</v>
      </c>
      <c r="R104">
        <f t="shared" si="33"/>
        <v>403525.801204519</v>
      </c>
      <c r="S104">
        <f t="shared" si="34"/>
        <v>241889.41584808702</v>
      </c>
      <c r="T104">
        <f t="shared" si="35"/>
        <v>161636.38535643197</v>
      </c>
      <c r="U104">
        <f t="shared" si="36"/>
        <v>242115.48072271139</v>
      </c>
      <c r="V104">
        <f t="shared" si="37"/>
        <v>565162.18656095094</v>
      </c>
    </row>
    <row r="105" spans="1:22" x14ac:dyDescent="0.25">
      <c r="A105">
        <v>2051</v>
      </c>
      <c r="C105">
        <v>0.84016826041834314</v>
      </c>
      <c r="D105">
        <f t="shared" si="19"/>
        <v>840168.26041834312</v>
      </c>
      <c r="E105">
        <f t="shared" si="20"/>
        <v>672134608.33467448</v>
      </c>
      <c r="F105">
        <f t="shared" si="21"/>
        <v>672134.6083346745</v>
      </c>
      <c r="G105">
        <f t="shared" si="22"/>
        <v>436887.49541753845</v>
      </c>
      <c r="H105">
        <f t="shared" si="23"/>
        <v>384460.99596743385</v>
      </c>
      <c r="I105">
        <f t="shared" si="24"/>
        <v>192230.49798371692</v>
      </c>
      <c r="J105">
        <f t="shared" si="25"/>
        <v>287673.61236724071</v>
      </c>
      <c r="K105">
        <f t="shared" si="26"/>
        <v>192230.49798371692</v>
      </c>
      <c r="L105">
        <f t="shared" si="27"/>
        <v>192230.49798371692</v>
      </c>
      <c r="M105">
        <f t="shared" si="28"/>
        <v>479904.11035095761</v>
      </c>
      <c r="N105">
        <f t="shared" si="29"/>
        <v>192230.49798371692</v>
      </c>
      <c r="O105">
        <f t="shared" si="30"/>
        <v>0</v>
      </c>
      <c r="P105">
        <f t="shared" si="31"/>
        <v>192230.49798371692</v>
      </c>
      <c r="Q105">
        <f t="shared" si="32"/>
        <v>192230.49798371692</v>
      </c>
      <c r="R105">
        <f t="shared" si="33"/>
        <v>479904.11035095761</v>
      </c>
      <c r="S105">
        <f t="shared" si="34"/>
        <v>287673.61236724071</v>
      </c>
      <c r="T105">
        <f t="shared" si="35"/>
        <v>192230.49798371692</v>
      </c>
      <c r="U105">
        <f t="shared" si="36"/>
        <v>287942.46621057455</v>
      </c>
      <c r="V105">
        <f t="shared" si="37"/>
        <v>672134.6083346745</v>
      </c>
    </row>
    <row r="106" spans="1:22" x14ac:dyDescent="0.25">
      <c r="A106">
        <v>2052</v>
      </c>
      <c r="C106">
        <v>0.68575009265956621</v>
      </c>
      <c r="D106">
        <f t="shared" si="19"/>
        <v>685750.0926595662</v>
      </c>
      <c r="E106">
        <f t="shared" si="20"/>
        <v>548600074.127653</v>
      </c>
      <c r="F106">
        <f t="shared" si="21"/>
        <v>548600.07412765303</v>
      </c>
      <c r="G106">
        <f t="shared" si="22"/>
        <v>356590.04818297451</v>
      </c>
      <c r="H106">
        <f t="shared" si="23"/>
        <v>313799.24240101757</v>
      </c>
      <c r="I106">
        <f t="shared" si="24"/>
        <v>156899.62120050879</v>
      </c>
      <c r="J106">
        <f t="shared" si="25"/>
        <v>234800.83172663546</v>
      </c>
      <c r="K106">
        <f t="shared" si="26"/>
        <v>156899.62120050879</v>
      </c>
      <c r="L106">
        <f t="shared" si="27"/>
        <v>156899.62120050879</v>
      </c>
      <c r="M106">
        <f t="shared" si="28"/>
        <v>391700.45292714424</v>
      </c>
      <c r="N106">
        <f t="shared" si="29"/>
        <v>156899.62120050879</v>
      </c>
      <c r="O106">
        <f t="shared" si="30"/>
        <v>0</v>
      </c>
      <c r="P106">
        <f t="shared" si="31"/>
        <v>156899.62120050879</v>
      </c>
      <c r="Q106">
        <f t="shared" si="32"/>
        <v>156899.62120050879</v>
      </c>
      <c r="R106">
        <f t="shared" si="33"/>
        <v>391700.45292714424</v>
      </c>
      <c r="S106">
        <f t="shared" si="34"/>
        <v>234800.83172663546</v>
      </c>
      <c r="T106">
        <f t="shared" si="35"/>
        <v>156899.62120050879</v>
      </c>
      <c r="U106">
        <f t="shared" si="36"/>
        <v>235020.27175628653</v>
      </c>
      <c r="V106">
        <f t="shared" si="37"/>
        <v>548600.07412765303</v>
      </c>
    </row>
    <row r="107" spans="1:22" x14ac:dyDescent="0.25">
      <c r="A107">
        <v>2053</v>
      </c>
      <c r="C107">
        <v>0.69323572768263719</v>
      </c>
      <c r="D107">
        <f t="shared" si="19"/>
        <v>693235.72768263717</v>
      </c>
      <c r="E107">
        <f t="shared" si="20"/>
        <v>554588582.1461097</v>
      </c>
      <c r="F107">
        <f t="shared" si="21"/>
        <v>554588.58214610966</v>
      </c>
      <c r="G107">
        <f t="shared" si="22"/>
        <v>360482.57839497132</v>
      </c>
      <c r="H107">
        <f t="shared" si="23"/>
        <v>317224.66898757475</v>
      </c>
      <c r="I107">
        <f t="shared" si="24"/>
        <v>158612.33449378738</v>
      </c>
      <c r="J107">
        <f t="shared" si="25"/>
        <v>237363.91315853491</v>
      </c>
      <c r="K107">
        <f t="shared" si="26"/>
        <v>158612.33449378738</v>
      </c>
      <c r="L107">
        <f t="shared" si="27"/>
        <v>158612.33449378738</v>
      </c>
      <c r="M107">
        <f t="shared" si="28"/>
        <v>395976.24765232229</v>
      </c>
      <c r="N107">
        <f t="shared" si="29"/>
        <v>158612.33449378738</v>
      </c>
      <c r="O107">
        <f t="shared" si="30"/>
        <v>0</v>
      </c>
      <c r="P107">
        <f t="shared" si="31"/>
        <v>158612.33449378738</v>
      </c>
      <c r="Q107">
        <f t="shared" si="32"/>
        <v>158612.33449378738</v>
      </c>
      <c r="R107">
        <f t="shared" si="33"/>
        <v>395976.24765232229</v>
      </c>
      <c r="S107">
        <f t="shared" si="34"/>
        <v>237363.91315853491</v>
      </c>
      <c r="T107">
        <f t="shared" si="35"/>
        <v>158612.33449378738</v>
      </c>
      <c r="U107">
        <f t="shared" si="36"/>
        <v>237585.74859139335</v>
      </c>
      <c r="V107">
        <f t="shared" si="37"/>
        <v>554588.58214610966</v>
      </c>
    </row>
    <row r="108" spans="1:22" x14ac:dyDescent="0.25">
      <c r="A108">
        <v>2054</v>
      </c>
      <c r="C108">
        <v>0.66328362492103843</v>
      </c>
      <c r="D108">
        <f t="shared" si="19"/>
        <v>663283.6249210384</v>
      </c>
      <c r="E108">
        <f t="shared" si="20"/>
        <v>530626899.9368307</v>
      </c>
      <c r="F108">
        <f t="shared" si="21"/>
        <v>530626.89993683074</v>
      </c>
      <c r="G108">
        <f t="shared" si="22"/>
        <v>344907.48495894001</v>
      </c>
      <c r="H108">
        <f t="shared" si="23"/>
        <v>303518.58676386724</v>
      </c>
      <c r="I108">
        <f t="shared" si="24"/>
        <v>151759.29338193362</v>
      </c>
      <c r="J108">
        <f t="shared" si="25"/>
        <v>227108.31317296354</v>
      </c>
      <c r="K108">
        <f t="shared" si="26"/>
        <v>151759.29338193362</v>
      </c>
      <c r="L108">
        <f t="shared" si="27"/>
        <v>151759.29338193362</v>
      </c>
      <c r="M108">
        <f t="shared" si="28"/>
        <v>378867.60655489715</v>
      </c>
      <c r="N108">
        <f t="shared" si="29"/>
        <v>151759.29338193362</v>
      </c>
      <c r="O108">
        <f t="shared" si="30"/>
        <v>0</v>
      </c>
      <c r="P108">
        <f t="shared" si="31"/>
        <v>151759.29338193362</v>
      </c>
      <c r="Q108">
        <f t="shared" si="32"/>
        <v>151759.29338193362</v>
      </c>
      <c r="R108">
        <f t="shared" si="33"/>
        <v>378867.60655489715</v>
      </c>
      <c r="S108">
        <f t="shared" si="34"/>
        <v>227108.31317296354</v>
      </c>
      <c r="T108">
        <f t="shared" si="35"/>
        <v>151759.29338193362</v>
      </c>
      <c r="U108">
        <f t="shared" si="36"/>
        <v>227320.5639329383</v>
      </c>
      <c r="V108">
        <f t="shared" si="37"/>
        <v>530626.89993683074</v>
      </c>
    </row>
    <row r="109" spans="1:22" x14ac:dyDescent="0.25">
      <c r="A109">
        <v>2055</v>
      </c>
      <c r="C109">
        <v>0.49689195182793211</v>
      </c>
      <c r="D109">
        <f t="shared" si="19"/>
        <v>496891.95182793209</v>
      </c>
      <c r="E109">
        <f t="shared" si="20"/>
        <v>397513561.46234566</v>
      </c>
      <c r="F109">
        <f t="shared" si="21"/>
        <v>397513.56146234565</v>
      </c>
      <c r="G109">
        <f t="shared" si="22"/>
        <v>258383.81495052468</v>
      </c>
      <c r="H109">
        <f t="shared" si="23"/>
        <v>227377.75715646171</v>
      </c>
      <c r="I109">
        <f t="shared" si="24"/>
        <v>113688.87857823086</v>
      </c>
      <c r="J109">
        <f t="shared" si="25"/>
        <v>170135.80430588394</v>
      </c>
      <c r="K109">
        <f t="shared" si="26"/>
        <v>113688.87857823086</v>
      </c>
      <c r="L109">
        <f t="shared" si="27"/>
        <v>113688.87857823086</v>
      </c>
      <c r="M109">
        <f t="shared" si="28"/>
        <v>283824.68288411479</v>
      </c>
      <c r="N109">
        <f t="shared" si="29"/>
        <v>113688.87857823086</v>
      </c>
      <c r="O109">
        <f t="shared" si="30"/>
        <v>0</v>
      </c>
      <c r="P109">
        <f t="shared" si="31"/>
        <v>113688.87857823086</v>
      </c>
      <c r="Q109">
        <f t="shared" si="32"/>
        <v>113688.87857823086</v>
      </c>
      <c r="R109">
        <f t="shared" si="33"/>
        <v>283824.68288411479</v>
      </c>
      <c r="S109">
        <f t="shared" si="34"/>
        <v>170135.80430588394</v>
      </c>
      <c r="T109">
        <f t="shared" si="35"/>
        <v>113688.87857823086</v>
      </c>
      <c r="U109">
        <f t="shared" si="36"/>
        <v>170294.80973046887</v>
      </c>
      <c r="V109">
        <f t="shared" si="37"/>
        <v>397513.56146234565</v>
      </c>
    </row>
    <row r="110" spans="1:22" x14ac:dyDescent="0.25">
      <c r="A110">
        <v>2056</v>
      </c>
      <c r="C110">
        <v>0.66760796639438025</v>
      </c>
      <c r="D110">
        <f t="shared" si="19"/>
        <v>667607.9663943802</v>
      </c>
      <c r="E110">
        <f t="shared" si="20"/>
        <v>534086373.11550415</v>
      </c>
      <c r="F110">
        <f t="shared" si="21"/>
        <v>534086.37311550416</v>
      </c>
      <c r="G110">
        <f t="shared" si="22"/>
        <v>347156.14252507774</v>
      </c>
      <c r="H110">
        <f t="shared" si="23"/>
        <v>305497.40542206843</v>
      </c>
      <c r="I110">
        <f t="shared" si="24"/>
        <v>152748.70271103422</v>
      </c>
      <c r="J110">
        <f t="shared" si="25"/>
        <v>228588.96769343573</v>
      </c>
      <c r="K110">
        <f t="shared" si="26"/>
        <v>152748.70271103422</v>
      </c>
      <c r="L110">
        <f t="shared" si="27"/>
        <v>152748.70271103422</v>
      </c>
      <c r="M110">
        <f t="shared" si="28"/>
        <v>381337.67040446994</v>
      </c>
      <c r="N110">
        <f t="shared" si="29"/>
        <v>152748.70271103422</v>
      </c>
      <c r="O110">
        <f t="shared" si="30"/>
        <v>0</v>
      </c>
      <c r="P110">
        <f t="shared" si="31"/>
        <v>152748.70271103422</v>
      </c>
      <c r="Q110">
        <f t="shared" si="32"/>
        <v>152748.70271103422</v>
      </c>
      <c r="R110">
        <f t="shared" si="33"/>
        <v>381337.67040446994</v>
      </c>
      <c r="S110">
        <f t="shared" si="34"/>
        <v>228588.96769343573</v>
      </c>
      <c r="T110">
        <f t="shared" si="35"/>
        <v>152748.70271103422</v>
      </c>
      <c r="U110">
        <f t="shared" si="36"/>
        <v>228802.60224268195</v>
      </c>
      <c r="V110">
        <f t="shared" si="37"/>
        <v>534086.37311550416</v>
      </c>
    </row>
    <row r="111" spans="1:22" x14ac:dyDescent="0.25">
      <c r="A111">
        <v>2057</v>
      </c>
      <c r="C111">
        <v>0.67543385996243444</v>
      </c>
      <c r="D111">
        <f t="shared" si="19"/>
        <v>675433.85996243439</v>
      </c>
      <c r="E111">
        <f t="shared" si="20"/>
        <v>540347087.96994746</v>
      </c>
      <c r="F111">
        <f t="shared" si="21"/>
        <v>540347.08796994749</v>
      </c>
      <c r="G111">
        <f t="shared" si="22"/>
        <v>351225.60718046589</v>
      </c>
      <c r="H111">
        <f t="shared" si="23"/>
        <v>309078.53431880998</v>
      </c>
      <c r="I111">
        <f t="shared" si="24"/>
        <v>154539.26715940499</v>
      </c>
      <c r="J111">
        <f t="shared" si="25"/>
        <v>231268.55365113751</v>
      </c>
      <c r="K111">
        <f t="shared" si="26"/>
        <v>154539.26715940499</v>
      </c>
      <c r="L111">
        <f t="shared" si="27"/>
        <v>154539.26715940499</v>
      </c>
      <c r="M111">
        <f t="shared" si="28"/>
        <v>385807.8208105425</v>
      </c>
      <c r="N111">
        <f t="shared" si="29"/>
        <v>154539.26715940499</v>
      </c>
      <c r="O111">
        <f t="shared" si="30"/>
        <v>0</v>
      </c>
      <c r="P111">
        <f t="shared" si="31"/>
        <v>154539.26715940499</v>
      </c>
      <c r="Q111">
        <f t="shared" si="32"/>
        <v>154539.26715940499</v>
      </c>
      <c r="R111">
        <f t="shared" si="33"/>
        <v>385807.8208105425</v>
      </c>
      <c r="S111">
        <f t="shared" si="34"/>
        <v>231268.55365113751</v>
      </c>
      <c r="T111">
        <f t="shared" si="35"/>
        <v>154539.26715940499</v>
      </c>
      <c r="U111">
        <f t="shared" si="36"/>
        <v>231484.69248632548</v>
      </c>
      <c r="V111">
        <f t="shared" si="37"/>
        <v>540347.08796994749</v>
      </c>
    </row>
    <row r="112" spans="1:22" x14ac:dyDescent="0.25">
      <c r="A112">
        <v>2058</v>
      </c>
      <c r="C112">
        <v>0.89222922194562615</v>
      </c>
      <c r="D112">
        <f t="shared" si="19"/>
        <v>892229.2219456262</v>
      </c>
      <c r="E112">
        <f t="shared" si="20"/>
        <v>713783377.55650091</v>
      </c>
      <c r="F112">
        <f t="shared" si="21"/>
        <v>713783.37755650096</v>
      </c>
      <c r="G112">
        <f t="shared" si="22"/>
        <v>463959.19541172561</v>
      </c>
      <c r="H112">
        <f t="shared" si="23"/>
        <v>408284.09196231852</v>
      </c>
      <c r="I112">
        <f t="shared" si="24"/>
        <v>204142.04598115926</v>
      </c>
      <c r="J112">
        <f t="shared" si="25"/>
        <v>305499.28559418244</v>
      </c>
      <c r="K112">
        <f t="shared" si="26"/>
        <v>204142.04598115926</v>
      </c>
      <c r="L112">
        <f t="shared" si="27"/>
        <v>204142.04598115926</v>
      </c>
      <c r="M112">
        <f t="shared" si="28"/>
        <v>509641.3315753417</v>
      </c>
      <c r="N112">
        <f t="shared" si="29"/>
        <v>204142.04598115926</v>
      </c>
      <c r="O112">
        <f t="shared" si="30"/>
        <v>0</v>
      </c>
      <c r="P112">
        <f t="shared" si="31"/>
        <v>204142.04598115926</v>
      </c>
      <c r="Q112">
        <f t="shared" si="32"/>
        <v>204142.04598115926</v>
      </c>
      <c r="R112">
        <f t="shared" si="33"/>
        <v>509641.3315753417</v>
      </c>
      <c r="S112">
        <f t="shared" si="34"/>
        <v>305499.28559418244</v>
      </c>
      <c r="T112">
        <f t="shared" si="35"/>
        <v>204142.04598115926</v>
      </c>
      <c r="U112">
        <f t="shared" si="36"/>
        <v>305784.798945205</v>
      </c>
      <c r="V112">
        <f t="shared" si="37"/>
        <v>713783.37755650096</v>
      </c>
    </row>
    <row r="113" spans="1:22" x14ac:dyDescent="0.25">
      <c r="A113">
        <v>2059</v>
      </c>
      <c r="C113">
        <v>0.65264554372493744</v>
      </c>
      <c r="D113">
        <f t="shared" si="19"/>
        <v>652645.54372493748</v>
      </c>
      <c r="E113">
        <f t="shared" si="20"/>
        <v>522116434.97995001</v>
      </c>
      <c r="F113">
        <f t="shared" si="21"/>
        <v>522116.43497995002</v>
      </c>
      <c r="G113">
        <f t="shared" si="22"/>
        <v>339375.68273696752</v>
      </c>
      <c r="H113">
        <f t="shared" si="23"/>
        <v>298650.6008085314</v>
      </c>
      <c r="I113">
        <f t="shared" si="24"/>
        <v>149325.3004042657</v>
      </c>
      <c r="J113">
        <f t="shared" si="25"/>
        <v>223465.83417141862</v>
      </c>
      <c r="K113">
        <f t="shared" si="26"/>
        <v>149325.3004042657</v>
      </c>
      <c r="L113">
        <f t="shared" si="27"/>
        <v>149325.3004042657</v>
      </c>
      <c r="M113">
        <f t="shared" si="28"/>
        <v>372791.13457568432</v>
      </c>
      <c r="N113">
        <f t="shared" si="29"/>
        <v>149325.3004042657</v>
      </c>
      <c r="O113">
        <f t="shared" si="30"/>
        <v>0</v>
      </c>
      <c r="P113">
        <f t="shared" si="31"/>
        <v>149325.3004042657</v>
      </c>
      <c r="Q113">
        <f t="shared" si="32"/>
        <v>149325.3004042657</v>
      </c>
      <c r="R113">
        <f t="shared" si="33"/>
        <v>372791.13457568432</v>
      </c>
      <c r="S113">
        <f t="shared" si="34"/>
        <v>223465.83417141862</v>
      </c>
      <c r="T113">
        <f t="shared" si="35"/>
        <v>149325.3004042657</v>
      </c>
      <c r="U113">
        <f t="shared" si="36"/>
        <v>223674.68074541059</v>
      </c>
      <c r="V113">
        <f t="shared" si="37"/>
        <v>522116.43497995002</v>
      </c>
    </row>
    <row r="114" spans="1:22" x14ac:dyDescent="0.25">
      <c r="A114">
        <v>2060</v>
      </c>
      <c r="C114">
        <v>0.6972050526121274</v>
      </c>
      <c r="D114">
        <f t="shared" si="19"/>
        <v>697205.05261212739</v>
      </c>
      <c r="E114">
        <f t="shared" si="20"/>
        <v>557764042.08970189</v>
      </c>
      <c r="F114">
        <f t="shared" si="21"/>
        <v>557764.04208970186</v>
      </c>
      <c r="G114">
        <f t="shared" si="22"/>
        <v>362546.6273583062</v>
      </c>
      <c r="H114">
        <f t="shared" si="23"/>
        <v>319041.03207530949</v>
      </c>
      <c r="I114">
        <f t="shared" si="24"/>
        <v>159520.51603765474</v>
      </c>
      <c r="J114">
        <f t="shared" si="25"/>
        <v>238723.01001439241</v>
      </c>
      <c r="K114">
        <f t="shared" si="26"/>
        <v>159520.51603765474</v>
      </c>
      <c r="L114">
        <f t="shared" si="27"/>
        <v>159520.51603765474</v>
      </c>
      <c r="M114">
        <f t="shared" si="28"/>
        <v>398243.52605204715</v>
      </c>
      <c r="N114">
        <f t="shared" si="29"/>
        <v>159520.51603765474</v>
      </c>
      <c r="O114">
        <f t="shared" si="30"/>
        <v>0</v>
      </c>
      <c r="P114">
        <f t="shared" si="31"/>
        <v>159520.51603765474</v>
      </c>
      <c r="Q114">
        <f t="shared" si="32"/>
        <v>159520.51603765474</v>
      </c>
      <c r="R114">
        <f t="shared" si="33"/>
        <v>398243.52605204715</v>
      </c>
      <c r="S114">
        <f t="shared" si="34"/>
        <v>238723.01001439241</v>
      </c>
      <c r="T114">
        <f t="shared" si="35"/>
        <v>159520.51603765474</v>
      </c>
      <c r="U114">
        <f t="shared" si="36"/>
        <v>238946.11563122828</v>
      </c>
      <c r="V114">
        <f t="shared" si="37"/>
        <v>557764.04208970186</v>
      </c>
    </row>
    <row r="115" spans="1:22" x14ac:dyDescent="0.25">
      <c r="A115">
        <v>2061</v>
      </c>
      <c r="C115">
        <v>0.66686836728925158</v>
      </c>
      <c r="D115">
        <f t="shared" si="19"/>
        <v>666868.36728925153</v>
      </c>
      <c r="E115">
        <f t="shared" si="20"/>
        <v>533494693.83140123</v>
      </c>
      <c r="F115">
        <f t="shared" si="21"/>
        <v>533494.69383140118</v>
      </c>
      <c r="G115">
        <f t="shared" si="22"/>
        <v>346771.55099041079</v>
      </c>
      <c r="H115">
        <f t="shared" si="23"/>
        <v>305158.9648715615</v>
      </c>
      <c r="I115">
        <f t="shared" si="24"/>
        <v>152579.48243578075</v>
      </c>
      <c r="J115">
        <f t="shared" si="25"/>
        <v>228335.72895983967</v>
      </c>
      <c r="K115">
        <f t="shared" si="26"/>
        <v>152579.48243578075</v>
      </c>
      <c r="L115">
        <f t="shared" si="27"/>
        <v>152579.48243578075</v>
      </c>
      <c r="M115">
        <f t="shared" si="28"/>
        <v>380915.21139562043</v>
      </c>
      <c r="N115">
        <f t="shared" si="29"/>
        <v>152579.48243578075</v>
      </c>
      <c r="O115">
        <f t="shared" si="30"/>
        <v>0</v>
      </c>
      <c r="P115">
        <f t="shared" si="31"/>
        <v>152579.48243578075</v>
      </c>
      <c r="Q115">
        <f t="shared" si="32"/>
        <v>152579.48243578075</v>
      </c>
      <c r="R115">
        <f t="shared" si="33"/>
        <v>380915.21139562043</v>
      </c>
      <c r="S115">
        <f t="shared" si="34"/>
        <v>228335.72895983967</v>
      </c>
      <c r="T115">
        <f t="shared" si="35"/>
        <v>152579.48243578075</v>
      </c>
      <c r="U115">
        <f t="shared" si="36"/>
        <v>228549.12683737226</v>
      </c>
      <c r="V115">
        <f t="shared" si="37"/>
        <v>533494.69383140118</v>
      </c>
    </row>
    <row r="116" spans="1:22" x14ac:dyDescent="0.25">
      <c r="A116">
        <v>2062</v>
      </c>
      <c r="C116">
        <v>0.56456399365343302</v>
      </c>
      <c r="D116">
        <f t="shared" si="19"/>
        <v>564563.99365343305</v>
      </c>
      <c r="E116">
        <f t="shared" si="20"/>
        <v>451651194.92274642</v>
      </c>
      <c r="F116">
        <f t="shared" si="21"/>
        <v>451651.19492274639</v>
      </c>
      <c r="G116">
        <f t="shared" si="22"/>
        <v>293573.27669978514</v>
      </c>
      <c r="H116">
        <f t="shared" si="23"/>
        <v>258344.48349581091</v>
      </c>
      <c r="I116">
        <f t="shared" si="24"/>
        <v>129172.24174790546</v>
      </c>
      <c r="J116">
        <f t="shared" si="25"/>
        <v>193306.71142693551</v>
      </c>
      <c r="K116">
        <f t="shared" si="26"/>
        <v>129172.24174790546</v>
      </c>
      <c r="L116">
        <f t="shared" si="27"/>
        <v>129172.24174790546</v>
      </c>
      <c r="M116">
        <f t="shared" si="28"/>
        <v>322478.95317484095</v>
      </c>
      <c r="N116">
        <f t="shared" si="29"/>
        <v>129172.24174790546</v>
      </c>
      <c r="O116">
        <f t="shared" si="30"/>
        <v>0</v>
      </c>
      <c r="P116">
        <f t="shared" si="31"/>
        <v>129172.24174790546</v>
      </c>
      <c r="Q116">
        <f t="shared" si="32"/>
        <v>129172.24174790546</v>
      </c>
      <c r="R116">
        <f t="shared" si="33"/>
        <v>322478.95317484095</v>
      </c>
      <c r="S116">
        <f t="shared" si="34"/>
        <v>193306.71142693551</v>
      </c>
      <c r="T116">
        <f t="shared" si="35"/>
        <v>129172.24174790546</v>
      </c>
      <c r="U116">
        <f t="shared" si="36"/>
        <v>193487.37190490458</v>
      </c>
      <c r="V116">
        <f t="shared" si="37"/>
        <v>451651.19492274639</v>
      </c>
    </row>
    <row r="117" spans="1:22" x14ac:dyDescent="0.25">
      <c r="A117">
        <v>2063</v>
      </c>
      <c r="C117">
        <v>0.77310339515718263</v>
      </c>
      <c r="D117">
        <f t="shared" si="19"/>
        <v>773103.39515718259</v>
      </c>
      <c r="E117">
        <f t="shared" si="20"/>
        <v>618482716.12574601</v>
      </c>
      <c r="F117">
        <f t="shared" si="21"/>
        <v>618482.71612574602</v>
      </c>
      <c r="G117">
        <f t="shared" si="22"/>
        <v>402013.76548173494</v>
      </c>
      <c r="H117">
        <f t="shared" si="23"/>
        <v>353772.11362392677</v>
      </c>
      <c r="I117">
        <f t="shared" si="24"/>
        <v>176886.05681196338</v>
      </c>
      <c r="J117">
        <f t="shared" si="25"/>
        <v>264710.60250181926</v>
      </c>
      <c r="K117">
        <f t="shared" si="26"/>
        <v>176886.05681196338</v>
      </c>
      <c r="L117">
        <f t="shared" si="27"/>
        <v>176886.05681196338</v>
      </c>
      <c r="M117">
        <f t="shared" si="28"/>
        <v>441596.65931378264</v>
      </c>
      <c r="N117">
        <f t="shared" si="29"/>
        <v>176886.05681196338</v>
      </c>
      <c r="O117">
        <f t="shared" si="30"/>
        <v>0</v>
      </c>
      <c r="P117">
        <f t="shared" si="31"/>
        <v>176886.05681196338</v>
      </c>
      <c r="Q117">
        <f t="shared" si="32"/>
        <v>176886.05681196338</v>
      </c>
      <c r="R117">
        <f t="shared" si="33"/>
        <v>441596.65931378264</v>
      </c>
      <c r="S117">
        <f t="shared" si="34"/>
        <v>264710.60250181926</v>
      </c>
      <c r="T117">
        <f t="shared" si="35"/>
        <v>176886.05681196338</v>
      </c>
      <c r="U117">
        <f t="shared" si="36"/>
        <v>264957.99558826955</v>
      </c>
      <c r="V117">
        <f t="shared" si="37"/>
        <v>618482.71612574602</v>
      </c>
    </row>
    <row r="118" spans="1:22" x14ac:dyDescent="0.25">
      <c r="A118">
        <v>2064</v>
      </c>
      <c r="C118">
        <v>0.73783803019695859</v>
      </c>
      <c r="D118">
        <f t="shared" si="19"/>
        <v>737838.03019695857</v>
      </c>
      <c r="E118">
        <f t="shared" si="20"/>
        <v>590270424.15756691</v>
      </c>
      <c r="F118">
        <f t="shared" si="21"/>
        <v>590270.42415756686</v>
      </c>
      <c r="G118">
        <f t="shared" si="22"/>
        <v>383675.77570241847</v>
      </c>
      <c r="H118">
        <f t="shared" si="23"/>
        <v>337634.68261812825</v>
      </c>
      <c r="I118">
        <f t="shared" si="24"/>
        <v>168817.34130906413</v>
      </c>
      <c r="J118">
        <f t="shared" si="25"/>
        <v>252635.7415394386</v>
      </c>
      <c r="K118">
        <f t="shared" si="26"/>
        <v>168817.34130906413</v>
      </c>
      <c r="L118">
        <f t="shared" si="27"/>
        <v>168817.34130906413</v>
      </c>
      <c r="M118">
        <f t="shared" si="28"/>
        <v>421453.08284850273</v>
      </c>
      <c r="N118">
        <f t="shared" si="29"/>
        <v>168817.34130906413</v>
      </c>
      <c r="O118">
        <f t="shared" si="30"/>
        <v>0</v>
      </c>
      <c r="P118">
        <f t="shared" si="31"/>
        <v>168817.34130906413</v>
      </c>
      <c r="Q118">
        <f t="shared" si="32"/>
        <v>168817.34130906413</v>
      </c>
      <c r="R118">
        <f t="shared" si="33"/>
        <v>421453.08284850273</v>
      </c>
      <c r="S118">
        <f t="shared" si="34"/>
        <v>252635.7415394386</v>
      </c>
      <c r="T118">
        <f t="shared" si="35"/>
        <v>168817.34130906413</v>
      </c>
      <c r="U118">
        <f t="shared" si="36"/>
        <v>252871.84970910163</v>
      </c>
      <c r="V118">
        <f t="shared" si="37"/>
        <v>590270.42415756686</v>
      </c>
    </row>
    <row r="119" spans="1:22" x14ac:dyDescent="0.25">
      <c r="A119">
        <v>2065</v>
      </c>
      <c r="C119">
        <v>0.74136546311647233</v>
      </c>
      <c r="D119">
        <f t="shared" si="19"/>
        <v>741365.46311647235</v>
      </c>
      <c r="E119">
        <f t="shared" si="20"/>
        <v>593092370.49317789</v>
      </c>
      <c r="F119">
        <f t="shared" si="21"/>
        <v>593092.37049317791</v>
      </c>
      <c r="G119">
        <f t="shared" si="22"/>
        <v>385510.04082056566</v>
      </c>
      <c r="H119">
        <f t="shared" si="23"/>
        <v>339248.83592209779</v>
      </c>
      <c r="I119">
        <f t="shared" si="24"/>
        <v>169624.41796104889</v>
      </c>
      <c r="J119">
        <f t="shared" si="25"/>
        <v>253843.53457108012</v>
      </c>
      <c r="K119">
        <f t="shared" si="26"/>
        <v>169624.41796104889</v>
      </c>
      <c r="L119">
        <f t="shared" si="27"/>
        <v>169624.41796104889</v>
      </c>
      <c r="M119">
        <f t="shared" si="28"/>
        <v>423467.95253212901</v>
      </c>
      <c r="N119">
        <f t="shared" si="29"/>
        <v>169624.41796104889</v>
      </c>
      <c r="O119">
        <f t="shared" si="30"/>
        <v>0</v>
      </c>
      <c r="P119">
        <f t="shared" si="31"/>
        <v>169624.41796104889</v>
      </c>
      <c r="Q119">
        <f t="shared" si="32"/>
        <v>169624.41796104889</v>
      </c>
      <c r="R119">
        <f t="shared" si="33"/>
        <v>423467.95253212901</v>
      </c>
      <c r="S119">
        <f t="shared" si="34"/>
        <v>253843.53457108012</v>
      </c>
      <c r="T119">
        <f t="shared" si="35"/>
        <v>169624.41796104889</v>
      </c>
      <c r="U119">
        <f t="shared" si="36"/>
        <v>254080.77151927739</v>
      </c>
      <c r="V119">
        <f t="shared" si="37"/>
        <v>593092.37049317791</v>
      </c>
    </row>
    <row r="120" spans="1:22" x14ac:dyDescent="0.25">
      <c r="A120">
        <v>2066</v>
      </c>
      <c r="C120">
        <v>0.58795671830153684</v>
      </c>
      <c r="D120">
        <f t="shared" si="19"/>
        <v>587956.71830153686</v>
      </c>
      <c r="E120">
        <f t="shared" si="20"/>
        <v>470365374.64122951</v>
      </c>
      <c r="F120">
        <f t="shared" si="21"/>
        <v>470365.37464122951</v>
      </c>
      <c r="G120">
        <f t="shared" si="22"/>
        <v>305737.49351679918</v>
      </c>
      <c r="H120">
        <f t="shared" si="23"/>
        <v>269048.99429478328</v>
      </c>
      <c r="I120">
        <f t="shared" si="24"/>
        <v>134524.49714739164</v>
      </c>
      <c r="J120">
        <f t="shared" si="25"/>
        <v>201316.38034644621</v>
      </c>
      <c r="K120">
        <f t="shared" si="26"/>
        <v>134524.49714739164</v>
      </c>
      <c r="L120">
        <f t="shared" si="27"/>
        <v>134524.49714739164</v>
      </c>
      <c r="M120">
        <f t="shared" si="28"/>
        <v>335840.87749383785</v>
      </c>
      <c r="N120">
        <f t="shared" si="29"/>
        <v>134524.49714739164</v>
      </c>
      <c r="O120">
        <f t="shared" si="30"/>
        <v>0</v>
      </c>
      <c r="P120">
        <f t="shared" si="31"/>
        <v>134524.49714739164</v>
      </c>
      <c r="Q120">
        <f t="shared" si="32"/>
        <v>134524.49714739164</v>
      </c>
      <c r="R120">
        <f t="shared" si="33"/>
        <v>335840.87749383785</v>
      </c>
      <c r="S120">
        <f t="shared" si="34"/>
        <v>201316.38034644621</v>
      </c>
      <c r="T120">
        <f t="shared" si="35"/>
        <v>134524.49714739164</v>
      </c>
      <c r="U120">
        <f t="shared" si="36"/>
        <v>201504.52649630271</v>
      </c>
      <c r="V120">
        <f t="shared" si="37"/>
        <v>470365.37464122951</v>
      </c>
    </row>
    <row r="121" spans="1:22" x14ac:dyDescent="0.25">
      <c r="A121">
        <v>2067</v>
      </c>
      <c r="C121">
        <v>0.79655755059113875</v>
      </c>
      <c r="D121">
        <f t="shared" si="19"/>
        <v>796557.55059113877</v>
      </c>
      <c r="E121">
        <f t="shared" si="20"/>
        <v>637246040.472911</v>
      </c>
      <c r="F121">
        <f t="shared" si="21"/>
        <v>637246.04047291097</v>
      </c>
      <c r="G121">
        <f t="shared" si="22"/>
        <v>414209.92630739213</v>
      </c>
      <c r="H121">
        <f t="shared" si="23"/>
        <v>364504.73515050509</v>
      </c>
      <c r="I121">
        <f t="shared" si="24"/>
        <v>182252.36757525255</v>
      </c>
      <c r="J121">
        <f t="shared" si="25"/>
        <v>272741.30532240588</v>
      </c>
      <c r="K121">
        <f t="shared" si="26"/>
        <v>182252.36757525255</v>
      </c>
      <c r="L121">
        <f t="shared" si="27"/>
        <v>182252.36757525255</v>
      </c>
      <c r="M121">
        <f t="shared" si="28"/>
        <v>454993.67289765843</v>
      </c>
      <c r="N121">
        <f t="shared" si="29"/>
        <v>182252.36757525255</v>
      </c>
      <c r="O121">
        <f t="shared" si="30"/>
        <v>0</v>
      </c>
      <c r="P121">
        <f t="shared" si="31"/>
        <v>182252.36757525255</v>
      </c>
      <c r="Q121">
        <f t="shared" si="32"/>
        <v>182252.36757525255</v>
      </c>
      <c r="R121">
        <f t="shared" si="33"/>
        <v>454993.67289765843</v>
      </c>
      <c r="S121">
        <f t="shared" si="34"/>
        <v>272741.30532240588</v>
      </c>
      <c r="T121">
        <f t="shared" si="35"/>
        <v>182252.36757525255</v>
      </c>
      <c r="U121">
        <f t="shared" si="36"/>
        <v>272996.20373859507</v>
      </c>
      <c r="V121">
        <f t="shared" si="37"/>
        <v>637246.04047291097</v>
      </c>
    </row>
    <row r="122" spans="1:22" x14ac:dyDescent="0.25">
      <c r="A122">
        <v>2068</v>
      </c>
      <c r="C122">
        <v>0.54352754754031984</v>
      </c>
      <c r="D122">
        <f t="shared" si="19"/>
        <v>543527.54754031985</v>
      </c>
      <c r="E122">
        <f t="shared" si="20"/>
        <v>434822038.03225589</v>
      </c>
      <c r="F122">
        <f t="shared" si="21"/>
        <v>434822.03803225589</v>
      </c>
      <c r="G122">
        <f t="shared" si="22"/>
        <v>282634.32472096634</v>
      </c>
      <c r="H122">
        <f t="shared" si="23"/>
        <v>248718.20575445038</v>
      </c>
      <c r="I122">
        <f t="shared" si="24"/>
        <v>124359.10287722519</v>
      </c>
      <c r="J122">
        <f t="shared" si="25"/>
        <v>186103.83227780549</v>
      </c>
      <c r="K122">
        <f t="shared" si="26"/>
        <v>124359.10287722519</v>
      </c>
      <c r="L122">
        <f t="shared" si="27"/>
        <v>124359.10287722519</v>
      </c>
      <c r="M122">
        <f t="shared" si="28"/>
        <v>310462.93515503069</v>
      </c>
      <c r="N122">
        <f t="shared" si="29"/>
        <v>124359.10287722519</v>
      </c>
      <c r="O122">
        <f t="shared" si="30"/>
        <v>0</v>
      </c>
      <c r="P122">
        <f t="shared" si="31"/>
        <v>124359.10287722519</v>
      </c>
      <c r="Q122">
        <f t="shared" si="32"/>
        <v>124359.10287722519</v>
      </c>
      <c r="R122">
        <f t="shared" si="33"/>
        <v>310462.93515503069</v>
      </c>
      <c r="S122">
        <f t="shared" si="34"/>
        <v>186103.83227780549</v>
      </c>
      <c r="T122">
        <f t="shared" si="35"/>
        <v>124359.10287722519</v>
      </c>
      <c r="U122">
        <f t="shared" si="36"/>
        <v>186277.7610930184</v>
      </c>
      <c r="V122">
        <f t="shared" si="37"/>
        <v>434822.03803225589</v>
      </c>
    </row>
    <row r="123" spans="1:22" x14ac:dyDescent="0.25">
      <c r="A123">
        <v>2069</v>
      </c>
      <c r="C123">
        <v>0.72294517931772506</v>
      </c>
      <c r="D123">
        <f t="shared" si="19"/>
        <v>722945.17931772501</v>
      </c>
      <c r="E123">
        <f t="shared" si="20"/>
        <v>578356143.45418</v>
      </c>
      <c r="F123">
        <f t="shared" si="21"/>
        <v>578356.14345417998</v>
      </c>
      <c r="G123">
        <f t="shared" si="22"/>
        <v>375931.49324521702</v>
      </c>
      <c r="H123">
        <f t="shared" si="23"/>
        <v>330819.71405579097</v>
      </c>
      <c r="I123">
        <f t="shared" si="24"/>
        <v>165409.85702789549</v>
      </c>
      <c r="J123">
        <f t="shared" si="25"/>
        <v>247536.42939838898</v>
      </c>
      <c r="K123">
        <f t="shared" si="26"/>
        <v>165409.85702789549</v>
      </c>
      <c r="L123">
        <f t="shared" si="27"/>
        <v>165409.85702789549</v>
      </c>
      <c r="M123">
        <f t="shared" si="28"/>
        <v>412946.28642628447</v>
      </c>
      <c r="N123">
        <f t="shared" si="29"/>
        <v>165409.85702789549</v>
      </c>
      <c r="O123">
        <f t="shared" si="30"/>
        <v>0</v>
      </c>
      <c r="P123">
        <f t="shared" si="31"/>
        <v>165409.85702789549</v>
      </c>
      <c r="Q123">
        <f t="shared" si="32"/>
        <v>165409.85702789549</v>
      </c>
      <c r="R123">
        <f t="shared" si="33"/>
        <v>412946.28642628447</v>
      </c>
      <c r="S123">
        <f t="shared" si="34"/>
        <v>247536.42939838898</v>
      </c>
      <c r="T123">
        <f t="shared" si="35"/>
        <v>165409.85702789549</v>
      </c>
      <c r="U123">
        <f t="shared" si="36"/>
        <v>247767.77185577067</v>
      </c>
      <c r="V123">
        <f t="shared" si="37"/>
        <v>578356.14345417998</v>
      </c>
    </row>
    <row r="124" spans="1:22" x14ac:dyDescent="0.25">
      <c r="A124">
        <v>2070</v>
      </c>
      <c r="C124">
        <v>0.86761892140559072</v>
      </c>
      <c r="D124">
        <f t="shared" si="19"/>
        <v>867618.92140559072</v>
      </c>
      <c r="E124">
        <f t="shared" si="20"/>
        <v>694095137.12447262</v>
      </c>
      <c r="F124">
        <f t="shared" si="21"/>
        <v>694095.13712447265</v>
      </c>
      <c r="G124">
        <f t="shared" si="22"/>
        <v>451161.83913090726</v>
      </c>
      <c r="H124">
        <f t="shared" si="23"/>
        <v>397022.41843519837</v>
      </c>
      <c r="I124">
        <f t="shared" si="24"/>
        <v>198511.20921759919</v>
      </c>
      <c r="J124">
        <f t="shared" si="25"/>
        <v>297072.71868927428</v>
      </c>
      <c r="K124">
        <f t="shared" si="26"/>
        <v>198511.20921759919</v>
      </c>
      <c r="L124">
        <f t="shared" si="27"/>
        <v>198511.20921759919</v>
      </c>
      <c r="M124">
        <f t="shared" si="28"/>
        <v>495583.92790687346</v>
      </c>
      <c r="N124">
        <f t="shared" si="29"/>
        <v>198511.20921759919</v>
      </c>
      <c r="O124">
        <f t="shared" si="30"/>
        <v>0</v>
      </c>
      <c r="P124">
        <f t="shared" si="31"/>
        <v>198511.20921759919</v>
      </c>
      <c r="Q124">
        <f t="shared" si="32"/>
        <v>198511.20921759919</v>
      </c>
      <c r="R124">
        <f t="shared" si="33"/>
        <v>495583.92790687346</v>
      </c>
      <c r="S124">
        <f t="shared" si="34"/>
        <v>297072.71868927428</v>
      </c>
      <c r="T124">
        <f t="shared" si="35"/>
        <v>198511.20921759919</v>
      </c>
      <c r="U124">
        <f t="shared" si="36"/>
        <v>297350.35674412409</v>
      </c>
      <c r="V124">
        <f t="shared" si="37"/>
        <v>694095.13712447265</v>
      </c>
    </row>
    <row r="125" spans="1:22" x14ac:dyDescent="0.25">
      <c r="A125">
        <v>2071</v>
      </c>
      <c r="C125">
        <v>0.58063561485615545</v>
      </c>
      <c r="D125">
        <f t="shared" si="19"/>
        <v>580635.61485615547</v>
      </c>
      <c r="E125">
        <f t="shared" si="20"/>
        <v>464508491.88492435</v>
      </c>
      <c r="F125">
        <f t="shared" si="21"/>
        <v>464508.49188492435</v>
      </c>
      <c r="G125">
        <f t="shared" si="22"/>
        <v>301930.51972520084</v>
      </c>
      <c r="H125">
        <f t="shared" si="23"/>
        <v>265698.85735817673</v>
      </c>
      <c r="I125">
        <f t="shared" si="24"/>
        <v>132849.42867908836</v>
      </c>
      <c r="J125">
        <f t="shared" si="25"/>
        <v>198809.63452674763</v>
      </c>
      <c r="K125">
        <f t="shared" si="26"/>
        <v>132849.42867908836</v>
      </c>
      <c r="L125">
        <f t="shared" si="27"/>
        <v>132849.42867908836</v>
      </c>
      <c r="M125">
        <f t="shared" si="28"/>
        <v>331659.06320583599</v>
      </c>
      <c r="N125">
        <f t="shared" si="29"/>
        <v>132849.42867908836</v>
      </c>
      <c r="O125">
        <f t="shared" si="30"/>
        <v>0</v>
      </c>
      <c r="P125">
        <f t="shared" si="31"/>
        <v>132849.42867908836</v>
      </c>
      <c r="Q125">
        <f t="shared" si="32"/>
        <v>132849.42867908836</v>
      </c>
      <c r="R125">
        <f t="shared" si="33"/>
        <v>331659.06320583599</v>
      </c>
      <c r="S125">
        <f t="shared" si="34"/>
        <v>198809.63452674763</v>
      </c>
      <c r="T125">
        <f t="shared" si="35"/>
        <v>132849.42867908836</v>
      </c>
      <c r="U125">
        <f t="shared" si="36"/>
        <v>198995.43792350159</v>
      </c>
      <c r="V125">
        <f t="shared" si="37"/>
        <v>464508.49188492435</v>
      </c>
    </row>
    <row r="126" spans="1:22" x14ac:dyDescent="0.25">
      <c r="A126">
        <v>2072</v>
      </c>
      <c r="C126">
        <v>0.61890964911596758</v>
      </c>
      <c r="D126">
        <f t="shared" si="19"/>
        <v>618909.64911596756</v>
      </c>
      <c r="E126">
        <f t="shared" si="20"/>
        <v>495127719.29277408</v>
      </c>
      <c r="F126">
        <f t="shared" si="21"/>
        <v>495127.7192927741</v>
      </c>
      <c r="G126">
        <f t="shared" si="22"/>
        <v>321833.01754030318</v>
      </c>
      <c r="H126">
        <f t="shared" si="23"/>
        <v>283213.05543546681</v>
      </c>
      <c r="I126">
        <f t="shared" si="24"/>
        <v>141606.52771773341</v>
      </c>
      <c r="J126">
        <f t="shared" si="25"/>
        <v>211914.66385730729</v>
      </c>
      <c r="K126">
        <f t="shared" si="26"/>
        <v>141606.52771773341</v>
      </c>
      <c r="L126">
        <f t="shared" si="27"/>
        <v>141606.52771773341</v>
      </c>
      <c r="M126">
        <f t="shared" si="28"/>
        <v>353521.19157504069</v>
      </c>
      <c r="N126">
        <f t="shared" si="29"/>
        <v>141606.52771773341</v>
      </c>
      <c r="O126">
        <f t="shared" si="30"/>
        <v>0</v>
      </c>
      <c r="P126">
        <f t="shared" si="31"/>
        <v>141606.52771773341</v>
      </c>
      <c r="Q126">
        <f t="shared" si="32"/>
        <v>141606.52771773341</v>
      </c>
      <c r="R126">
        <f t="shared" si="33"/>
        <v>353521.19157504069</v>
      </c>
      <c r="S126">
        <f t="shared" si="34"/>
        <v>211914.66385730729</v>
      </c>
      <c r="T126">
        <f t="shared" si="35"/>
        <v>141606.52771773341</v>
      </c>
      <c r="U126">
        <f t="shared" si="36"/>
        <v>212112.7149450244</v>
      </c>
      <c r="V126">
        <f t="shared" si="37"/>
        <v>495127.7192927741</v>
      </c>
    </row>
    <row r="127" spans="1:22" x14ac:dyDescent="0.25">
      <c r="A127">
        <v>2073</v>
      </c>
      <c r="C127">
        <v>0.67899036485979147</v>
      </c>
      <c r="D127">
        <f t="shared" si="19"/>
        <v>678990.36485979147</v>
      </c>
      <c r="E127">
        <f t="shared" si="20"/>
        <v>543192291.88783312</v>
      </c>
      <c r="F127">
        <f t="shared" si="21"/>
        <v>543192.29188783315</v>
      </c>
      <c r="G127">
        <f t="shared" si="22"/>
        <v>353074.98972709157</v>
      </c>
      <c r="H127">
        <f t="shared" si="23"/>
        <v>310705.99095984059</v>
      </c>
      <c r="I127">
        <f t="shared" si="24"/>
        <v>155352.9954799203</v>
      </c>
      <c r="J127">
        <f t="shared" si="25"/>
        <v>232486.30092799256</v>
      </c>
      <c r="K127">
        <f t="shared" si="26"/>
        <v>155352.9954799203</v>
      </c>
      <c r="L127">
        <f t="shared" si="27"/>
        <v>155352.9954799203</v>
      </c>
      <c r="M127">
        <f t="shared" si="28"/>
        <v>387839.29640791286</v>
      </c>
      <c r="N127">
        <f t="shared" si="29"/>
        <v>155352.9954799203</v>
      </c>
      <c r="O127">
        <f t="shared" si="30"/>
        <v>0</v>
      </c>
      <c r="P127">
        <f t="shared" si="31"/>
        <v>155352.9954799203</v>
      </c>
      <c r="Q127">
        <f t="shared" si="32"/>
        <v>155352.9954799203</v>
      </c>
      <c r="R127">
        <f t="shared" si="33"/>
        <v>387839.29640791286</v>
      </c>
      <c r="S127">
        <f t="shared" si="34"/>
        <v>232486.30092799256</v>
      </c>
      <c r="T127">
        <f t="shared" si="35"/>
        <v>155352.9954799203</v>
      </c>
      <c r="U127">
        <f t="shared" si="36"/>
        <v>232703.57784474772</v>
      </c>
      <c r="V127">
        <f t="shared" si="37"/>
        <v>543192.29188783315</v>
      </c>
    </row>
    <row r="128" spans="1:22" x14ac:dyDescent="0.25">
      <c r="A128">
        <v>2074</v>
      </c>
      <c r="C128">
        <v>0.62457734247247032</v>
      </c>
      <c r="D128">
        <f t="shared" si="19"/>
        <v>624577.34247247037</v>
      </c>
      <c r="E128">
        <f t="shared" si="20"/>
        <v>499661873.97797632</v>
      </c>
      <c r="F128">
        <f t="shared" si="21"/>
        <v>499661.87397797633</v>
      </c>
      <c r="G128">
        <f t="shared" si="22"/>
        <v>324780.21808568464</v>
      </c>
      <c r="H128">
        <f t="shared" si="23"/>
        <v>285806.5919154025</v>
      </c>
      <c r="I128">
        <f t="shared" si="24"/>
        <v>142903.29595770125</v>
      </c>
      <c r="J128">
        <f t="shared" si="25"/>
        <v>213855.28206257385</v>
      </c>
      <c r="K128">
        <f t="shared" si="26"/>
        <v>142903.29595770125</v>
      </c>
      <c r="L128">
        <f t="shared" si="27"/>
        <v>142903.29595770125</v>
      </c>
      <c r="M128">
        <f t="shared" si="28"/>
        <v>356758.5780202751</v>
      </c>
      <c r="N128">
        <f t="shared" si="29"/>
        <v>142903.29595770125</v>
      </c>
      <c r="O128">
        <f t="shared" si="30"/>
        <v>0</v>
      </c>
      <c r="P128">
        <f t="shared" si="31"/>
        <v>142903.29595770125</v>
      </c>
      <c r="Q128">
        <f t="shared" si="32"/>
        <v>142903.29595770125</v>
      </c>
      <c r="R128">
        <f t="shared" si="33"/>
        <v>356758.5780202751</v>
      </c>
      <c r="S128">
        <f t="shared" si="34"/>
        <v>213855.28206257385</v>
      </c>
      <c r="T128">
        <f t="shared" si="35"/>
        <v>142903.29595770125</v>
      </c>
      <c r="U128">
        <f t="shared" si="36"/>
        <v>214055.14681216507</v>
      </c>
      <c r="V128">
        <f t="shared" si="37"/>
        <v>499661.87397797639</v>
      </c>
    </row>
    <row r="129" spans="1:22" x14ac:dyDescent="0.25">
      <c r="A129">
        <v>2075</v>
      </c>
      <c r="C129">
        <v>0.53010196641300722</v>
      </c>
      <c r="D129">
        <f t="shared" si="19"/>
        <v>530101.96641300723</v>
      </c>
      <c r="E129">
        <f t="shared" si="20"/>
        <v>424081573.13040578</v>
      </c>
      <c r="F129">
        <f t="shared" si="21"/>
        <v>424081.5731304058</v>
      </c>
      <c r="G129">
        <f t="shared" si="22"/>
        <v>275653.02253476379</v>
      </c>
      <c r="H129">
        <f t="shared" si="23"/>
        <v>242574.65983059214</v>
      </c>
      <c r="I129">
        <f t="shared" si="24"/>
        <v>121287.32991529607</v>
      </c>
      <c r="J129">
        <f t="shared" si="25"/>
        <v>181506.91329981369</v>
      </c>
      <c r="K129">
        <f t="shared" si="26"/>
        <v>121287.32991529607</v>
      </c>
      <c r="L129">
        <f t="shared" si="27"/>
        <v>121287.32991529607</v>
      </c>
      <c r="M129">
        <f t="shared" si="28"/>
        <v>302794.24321510975</v>
      </c>
      <c r="N129">
        <f t="shared" si="29"/>
        <v>121287.32991529607</v>
      </c>
      <c r="O129">
        <f t="shared" si="30"/>
        <v>0</v>
      </c>
      <c r="P129">
        <f t="shared" si="31"/>
        <v>121287.32991529607</v>
      </c>
      <c r="Q129">
        <f t="shared" si="32"/>
        <v>121287.32991529607</v>
      </c>
      <c r="R129">
        <f t="shared" si="33"/>
        <v>302794.24321510975</v>
      </c>
      <c r="S129">
        <f t="shared" si="34"/>
        <v>181506.91329981369</v>
      </c>
      <c r="T129">
        <f t="shared" si="35"/>
        <v>121287.32991529607</v>
      </c>
      <c r="U129">
        <f t="shared" si="36"/>
        <v>181676.54592906585</v>
      </c>
      <c r="V129">
        <f t="shared" si="37"/>
        <v>424081.5731304058</v>
      </c>
    </row>
    <row r="130" spans="1:22" x14ac:dyDescent="0.25">
      <c r="A130">
        <v>2076</v>
      </c>
      <c r="C130">
        <v>0.67618562684853101</v>
      </c>
      <c r="D130">
        <f t="shared" si="19"/>
        <v>676185.62684853096</v>
      </c>
      <c r="E130">
        <f t="shared" si="20"/>
        <v>540948501.47882473</v>
      </c>
      <c r="F130">
        <f t="shared" si="21"/>
        <v>540948.50147882476</v>
      </c>
      <c r="G130">
        <f t="shared" si="22"/>
        <v>351616.5259612361</v>
      </c>
      <c r="H130">
        <f t="shared" si="23"/>
        <v>309422.54284588777</v>
      </c>
      <c r="I130">
        <f t="shared" si="24"/>
        <v>154711.27142294389</v>
      </c>
      <c r="J130">
        <f t="shared" si="25"/>
        <v>231525.95863293696</v>
      </c>
      <c r="K130">
        <f t="shared" si="26"/>
        <v>154711.27142294389</v>
      </c>
      <c r="L130">
        <f t="shared" si="27"/>
        <v>154711.27142294389</v>
      </c>
      <c r="M130">
        <f t="shared" si="28"/>
        <v>386237.23005588085</v>
      </c>
      <c r="N130">
        <f t="shared" si="29"/>
        <v>154711.27142294389</v>
      </c>
      <c r="O130">
        <f t="shared" si="30"/>
        <v>0</v>
      </c>
      <c r="P130">
        <f t="shared" si="31"/>
        <v>154711.27142294389</v>
      </c>
      <c r="Q130">
        <f t="shared" si="32"/>
        <v>154711.27142294389</v>
      </c>
      <c r="R130">
        <f t="shared" si="33"/>
        <v>386237.23005588085</v>
      </c>
      <c r="S130">
        <f t="shared" si="34"/>
        <v>231525.95863293696</v>
      </c>
      <c r="T130">
        <f t="shared" si="35"/>
        <v>154711.27142294389</v>
      </c>
      <c r="U130">
        <f t="shared" si="36"/>
        <v>231742.3380335285</v>
      </c>
      <c r="V130">
        <f t="shared" si="37"/>
        <v>540948.50147882476</v>
      </c>
    </row>
    <row r="131" spans="1:22" x14ac:dyDescent="0.25">
      <c r="A131">
        <v>2077</v>
      </c>
      <c r="C131">
        <v>0.57416089162542217</v>
      </c>
      <c r="D131">
        <f t="shared" si="19"/>
        <v>574160.89162542217</v>
      </c>
      <c r="E131">
        <f t="shared" si="20"/>
        <v>459328713.30033773</v>
      </c>
      <c r="F131">
        <f t="shared" si="21"/>
        <v>459328.71330033772</v>
      </c>
      <c r="G131">
        <f t="shared" si="22"/>
        <v>298563.66364521952</v>
      </c>
      <c r="H131">
        <f t="shared" si="23"/>
        <v>262736.02400779317</v>
      </c>
      <c r="I131">
        <f t="shared" si="24"/>
        <v>131368.01200389658</v>
      </c>
      <c r="J131">
        <f t="shared" si="25"/>
        <v>196592.68929254456</v>
      </c>
      <c r="K131">
        <f t="shared" si="26"/>
        <v>131368.01200389658</v>
      </c>
      <c r="L131">
        <f t="shared" si="27"/>
        <v>131368.01200389658</v>
      </c>
      <c r="M131">
        <f t="shared" si="28"/>
        <v>327960.70129644114</v>
      </c>
      <c r="N131">
        <f t="shared" si="29"/>
        <v>131368.01200389658</v>
      </c>
      <c r="O131">
        <f t="shared" si="30"/>
        <v>0</v>
      </c>
      <c r="P131">
        <f t="shared" si="31"/>
        <v>131368.01200389658</v>
      </c>
      <c r="Q131">
        <f t="shared" si="32"/>
        <v>131368.01200389658</v>
      </c>
      <c r="R131">
        <f t="shared" si="33"/>
        <v>327960.70129644114</v>
      </c>
      <c r="S131">
        <f t="shared" si="34"/>
        <v>196592.68929254456</v>
      </c>
      <c r="T131">
        <f t="shared" si="35"/>
        <v>131368.01200389658</v>
      </c>
      <c r="U131">
        <f t="shared" si="36"/>
        <v>196776.42077786467</v>
      </c>
      <c r="V131">
        <f t="shared" si="37"/>
        <v>459328.71330033772</v>
      </c>
    </row>
    <row r="132" spans="1:22" x14ac:dyDescent="0.25">
      <c r="A132">
        <v>2078</v>
      </c>
      <c r="C132">
        <v>0.71272664747242664</v>
      </c>
      <c r="D132">
        <f t="shared" si="19"/>
        <v>712726.64747242664</v>
      </c>
      <c r="E132">
        <f t="shared" si="20"/>
        <v>570181317.97794127</v>
      </c>
      <c r="F132">
        <f t="shared" si="21"/>
        <v>570181.31797794125</v>
      </c>
      <c r="G132">
        <f t="shared" si="22"/>
        <v>370617.85668566183</v>
      </c>
      <c r="H132">
        <f t="shared" si="23"/>
        <v>326143.71388338238</v>
      </c>
      <c r="I132">
        <f t="shared" si="24"/>
        <v>163071.85694169119</v>
      </c>
      <c r="J132">
        <f t="shared" si="25"/>
        <v>244037.60409455886</v>
      </c>
      <c r="K132">
        <f t="shared" si="26"/>
        <v>163071.85694169119</v>
      </c>
      <c r="L132">
        <f t="shared" si="27"/>
        <v>163071.85694169119</v>
      </c>
      <c r="M132">
        <f t="shared" si="28"/>
        <v>407109.46103625005</v>
      </c>
      <c r="N132">
        <f t="shared" si="29"/>
        <v>163071.85694169119</v>
      </c>
      <c r="O132">
        <f t="shared" si="30"/>
        <v>0</v>
      </c>
      <c r="P132">
        <f t="shared" si="31"/>
        <v>163071.85694169119</v>
      </c>
      <c r="Q132">
        <f t="shared" si="32"/>
        <v>163071.85694169119</v>
      </c>
      <c r="R132">
        <f t="shared" si="33"/>
        <v>407109.46103625005</v>
      </c>
      <c r="S132">
        <f t="shared" si="34"/>
        <v>244037.60409455886</v>
      </c>
      <c r="T132">
        <f t="shared" si="35"/>
        <v>163071.85694169119</v>
      </c>
      <c r="U132">
        <f t="shared" si="36"/>
        <v>244265.67662175003</v>
      </c>
      <c r="V132">
        <f t="shared" si="37"/>
        <v>570181.31797794125</v>
      </c>
    </row>
    <row r="133" spans="1:22" x14ac:dyDescent="0.25">
      <c r="A133">
        <v>2079</v>
      </c>
      <c r="C133">
        <v>0.58705121832072793</v>
      </c>
      <c r="D133">
        <f t="shared" ref="D133:D154" si="38">C133*1000000</f>
        <v>587051.21832072793</v>
      </c>
      <c r="E133">
        <f t="shared" ref="E133:E154" si="39">D133*800</f>
        <v>469640974.65658236</v>
      </c>
      <c r="F133">
        <f t="shared" ref="F133:F154" si="40">E133/1000</f>
        <v>469640.97465658234</v>
      </c>
      <c r="G133">
        <f t="shared" ref="G133:G154" si="41">F133*0.65</f>
        <v>305266.63352677855</v>
      </c>
      <c r="H133">
        <f t="shared" ref="H133:H154" si="42">G133*0.88</f>
        <v>268634.63750356511</v>
      </c>
      <c r="I133">
        <f t="shared" ref="I133:I154" si="43">H133*0.5</f>
        <v>134317.31875178256</v>
      </c>
      <c r="J133">
        <f t="shared" ref="J133:J154" si="44">F133-K133-L133</f>
        <v>201006.33715301726</v>
      </c>
      <c r="K133">
        <f t="shared" ref="K133:K154" si="45">H133-I133</f>
        <v>134317.31875178256</v>
      </c>
      <c r="L133">
        <f t="shared" ref="L133:L154" si="46">I133</f>
        <v>134317.31875178256</v>
      </c>
      <c r="M133">
        <f t="shared" ref="M133:M154" si="47">F133-L133</f>
        <v>335323.65590479982</v>
      </c>
      <c r="N133">
        <f t="shared" ref="N133:N154" si="48">SUM(O133:P133)</f>
        <v>134317.31875178256</v>
      </c>
      <c r="O133">
        <f t="shared" ref="O133:O154" si="49">J133*O132</f>
        <v>0</v>
      </c>
      <c r="P133">
        <f t="shared" ref="P133:P154" si="50">Q133</f>
        <v>134317.31875178256</v>
      </c>
      <c r="Q133">
        <f t="shared" ref="Q133:Q154" si="51">$Q$3*L133</f>
        <v>134317.31875178256</v>
      </c>
      <c r="R133">
        <f t="shared" ref="R133:R154" si="52">S133+T133</f>
        <v>335323.65590479982</v>
      </c>
      <c r="S133">
        <f t="shared" ref="S133:S154" si="53">J133</f>
        <v>201006.33715301726</v>
      </c>
      <c r="T133">
        <f t="shared" ref="T133:T154" si="54">K133</f>
        <v>134317.31875178256</v>
      </c>
      <c r="U133">
        <f t="shared" ref="U133:U154" si="55">R133*0.6</f>
        <v>201194.19354287989</v>
      </c>
      <c r="V133">
        <f t="shared" ref="V133:V154" si="56">R133+P133</f>
        <v>469640.97465658234</v>
      </c>
    </row>
    <row r="134" spans="1:22" x14ac:dyDescent="0.25">
      <c r="A134">
        <v>2080</v>
      </c>
      <c r="C134">
        <v>0.80983226218322546</v>
      </c>
      <c r="D134">
        <f t="shared" si="38"/>
        <v>809832.26218322548</v>
      </c>
      <c r="E134">
        <f t="shared" si="39"/>
        <v>647865809.74658036</v>
      </c>
      <c r="F134">
        <f t="shared" si="40"/>
        <v>647865.80974658031</v>
      </c>
      <c r="G134">
        <f t="shared" si="41"/>
        <v>421112.77633527725</v>
      </c>
      <c r="H134">
        <f t="shared" si="42"/>
        <v>370579.24317504396</v>
      </c>
      <c r="I134">
        <f t="shared" si="43"/>
        <v>185289.62158752198</v>
      </c>
      <c r="J134">
        <f t="shared" si="44"/>
        <v>277286.56657153636</v>
      </c>
      <c r="K134">
        <f t="shared" si="45"/>
        <v>185289.62158752198</v>
      </c>
      <c r="L134">
        <f t="shared" si="46"/>
        <v>185289.62158752198</v>
      </c>
      <c r="M134">
        <f t="shared" si="47"/>
        <v>462576.18815905834</v>
      </c>
      <c r="N134">
        <f t="shared" si="48"/>
        <v>185289.62158752198</v>
      </c>
      <c r="O134">
        <f t="shared" si="49"/>
        <v>0</v>
      </c>
      <c r="P134">
        <f t="shared" si="50"/>
        <v>185289.62158752198</v>
      </c>
      <c r="Q134">
        <f t="shared" si="51"/>
        <v>185289.62158752198</v>
      </c>
      <c r="R134">
        <f t="shared" si="52"/>
        <v>462576.18815905834</v>
      </c>
      <c r="S134">
        <f t="shared" si="53"/>
        <v>277286.56657153636</v>
      </c>
      <c r="T134">
        <f t="shared" si="54"/>
        <v>185289.62158752198</v>
      </c>
      <c r="U134">
        <f t="shared" si="55"/>
        <v>277545.71289543499</v>
      </c>
      <c r="V134">
        <f t="shared" si="56"/>
        <v>647865.80974658031</v>
      </c>
    </row>
    <row r="135" spans="1:22" x14ac:dyDescent="0.25">
      <c r="A135">
        <v>2081</v>
      </c>
      <c r="C135">
        <v>0.59933631295925982</v>
      </c>
      <c r="D135">
        <f t="shared" si="38"/>
        <v>599336.31295925984</v>
      </c>
      <c r="E135">
        <f t="shared" si="39"/>
        <v>479469050.36740786</v>
      </c>
      <c r="F135">
        <f t="shared" si="40"/>
        <v>479469.05036740785</v>
      </c>
      <c r="G135">
        <f t="shared" si="41"/>
        <v>311654.8827388151</v>
      </c>
      <c r="H135">
        <f t="shared" si="42"/>
        <v>274256.29681015731</v>
      </c>
      <c r="I135">
        <f t="shared" si="43"/>
        <v>137128.14840507865</v>
      </c>
      <c r="J135">
        <f t="shared" si="44"/>
        <v>205212.75355725051</v>
      </c>
      <c r="K135">
        <f t="shared" si="45"/>
        <v>137128.14840507865</v>
      </c>
      <c r="L135">
        <f t="shared" si="46"/>
        <v>137128.14840507865</v>
      </c>
      <c r="M135">
        <f t="shared" si="47"/>
        <v>342340.90196232917</v>
      </c>
      <c r="N135">
        <f t="shared" si="48"/>
        <v>137128.14840507865</v>
      </c>
      <c r="O135">
        <f t="shared" si="49"/>
        <v>0</v>
      </c>
      <c r="P135">
        <f t="shared" si="50"/>
        <v>137128.14840507865</v>
      </c>
      <c r="Q135">
        <f t="shared" si="51"/>
        <v>137128.14840507865</v>
      </c>
      <c r="R135">
        <f t="shared" si="52"/>
        <v>342340.90196232917</v>
      </c>
      <c r="S135">
        <f t="shared" si="53"/>
        <v>205212.75355725051</v>
      </c>
      <c r="T135">
        <f t="shared" si="54"/>
        <v>137128.14840507865</v>
      </c>
      <c r="U135">
        <f t="shared" si="55"/>
        <v>205404.54117739751</v>
      </c>
      <c r="V135">
        <f t="shared" si="56"/>
        <v>479469.05036740785</v>
      </c>
    </row>
    <row r="136" spans="1:22" x14ac:dyDescent="0.25">
      <c r="A136">
        <v>2082</v>
      </c>
      <c r="C136">
        <v>0.64094419594312479</v>
      </c>
      <c r="D136">
        <f t="shared" si="38"/>
        <v>640944.19594312483</v>
      </c>
      <c r="E136">
        <f t="shared" si="39"/>
        <v>512755356.75449985</v>
      </c>
      <c r="F136">
        <f t="shared" si="40"/>
        <v>512755.35675449984</v>
      </c>
      <c r="G136">
        <f t="shared" si="41"/>
        <v>333290.98189042491</v>
      </c>
      <c r="H136">
        <f t="shared" si="42"/>
        <v>293296.0640635739</v>
      </c>
      <c r="I136">
        <f t="shared" si="43"/>
        <v>146648.03203178695</v>
      </c>
      <c r="J136">
        <f t="shared" si="44"/>
        <v>219459.29269092591</v>
      </c>
      <c r="K136">
        <f t="shared" si="45"/>
        <v>146648.03203178695</v>
      </c>
      <c r="L136">
        <f t="shared" si="46"/>
        <v>146648.03203178695</v>
      </c>
      <c r="M136">
        <f t="shared" si="47"/>
        <v>366107.32472271286</v>
      </c>
      <c r="N136">
        <f t="shared" si="48"/>
        <v>146648.03203178695</v>
      </c>
      <c r="O136">
        <f t="shared" si="49"/>
        <v>0</v>
      </c>
      <c r="P136">
        <f t="shared" si="50"/>
        <v>146648.03203178695</v>
      </c>
      <c r="Q136">
        <f t="shared" si="51"/>
        <v>146648.03203178695</v>
      </c>
      <c r="R136">
        <f t="shared" si="52"/>
        <v>366107.32472271286</v>
      </c>
      <c r="S136">
        <f t="shared" si="53"/>
        <v>219459.29269092591</v>
      </c>
      <c r="T136">
        <f t="shared" si="54"/>
        <v>146648.03203178695</v>
      </c>
      <c r="U136">
        <f t="shared" si="55"/>
        <v>219664.39483362771</v>
      </c>
      <c r="V136">
        <f t="shared" si="56"/>
        <v>512755.35675449984</v>
      </c>
    </row>
    <row r="137" spans="1:22" x14ac:dyDescent="0.25">
      <c r="A137">
        <v>2083</v>
      </c>
      <c r="C137">
        <v>0.74339404329728165</v>
      </c>
      <c r="D137">
        <f t="shared" si="38"/>
        <v>743394.04329728161</v>
      </c>
      <c r="E137">
        <f t="shared" si="39"/>
        <v>594715234.63782525</v>
      </c>
      <c r="F137">
        <f t="shared" si="40"/>
        <v>594715.23463782528</v>
      </c>
      <c r="G137">
        <f t="shared" si="41"/>
        <v>386564.90251458646</v>
      </c>
      <c r="H137">
        <f t="shared" si="42"/>
        <v>340177.11421283608</v>
      </c>
      <c r="I137">
        <f t="shared" si="43"/>
        <v>170088.55710641804</v>
      </c>
      <c r="J137">
        <f t="shared" si="44"/>
        <v>254538.12042498917</v>
      </c>
      <c r="K137">
        <f t="shared" si="45"/>
        <v>170088.55710641804</v>
      </c>
      <c r="L137">
        <f t="shared" si="46"/>
        <v>170088.55710641804</v>
      </c>
      <c r="M137">
        <f t="shared" si="47"/>
        <v>424626.67753140721</v>
      </c>
      <c r="N137">
        <f t="shared" si="48"/>
        <v>170088.55710641804</v>
      </c>
      <c r="O137">
        <f t="shared" si="49"/>
        <v>0</v>
      </c>
      <c r="P137">
        <f t="shared" si="50"/>
        <v>170088.55710641804</v>
      </c>
      <c r="Q137">
        <f t="shared" si="51"/>
        <v>170088.55710641804</v>
      </c>
      <c r="R137">
        <f t="shared" si="52"/>
        <v>424626.67753140721</v>
      </c>
      <c r="S137">
        <f t="shared" si="53"/>
        <v>254538.12042498917</v>
      </c>
      <c r="T137">
        <f t="shared" si="54"/>
        <v>170088.55710641804</v>
      </c>
      <c r="U137">
        <f t="shared" si="55"/>
        <v>254776.00651884431</v>
      </c>
      <c r="V137">
        <f t="shared" si="56"/>
        <v>594715.23463782528</v>
      </c>
    </row>
    <row r="138" spans="1:22" x14ac:dyDescent="0.25">
      <c r="A138">
        <v>2084</v>
      </c>
      <c r="C138">
        <v>0.55895366071596964</v>
      </c>
      <c r="D138">
        <f t="shared" si="38"/>
        <v>558953.66071596963</v>
      </c>
      <c r="E138">
        <f t="shared" si="39"/>
        <v>447162928.57277572</v>
      </c>
      <c r="F138">
        <f t="shared" si="40"/>
        <v>447162.92857277574</v>
      </c>
      <c r="G138">
        <f t="shared" si="41"/>
        <v>290655.90357230423</v>
      </c>
      <c r="H138">
        <f t="shared" si="42"/>
        <v>255777.19514362773</v>
      </c>
      <c r="I138">
        <f t="shared" si="43"/>
        <v>127888.59757181387</v>
      </c>
      <c r="J138">
        <f t="shared" si="44"/>
        <v>191385.73342914804</v>
      </c>
      <c r="K138">
        <f t="shared" si="45"/>
        <v>127888.59757181387</v>
      </c>
      <c r="L138">
        <f t="shared" si="46"/>
        <v>127888.59757181387</v>
      </c>
      <c r="M138">
        <f t="shared" si="47"/>
        <v>319274.33100096189</v>
      </c>
      <c r="N138">
        <f t="shared" si="48"/>
        <v>127888.59757181387</v>
      </c>
      <c r="O138">
        <f t="shared" si="49"/>
        <v>0</v>
      </c>
      <c r="P138">
        <f t="shared" si="50"/>
        <v>127888.59757181387</v>
      </c>
      <c r="Q138">
        <f t="shared" si="51"/>
        <v>127888.59757181387</v>
      </c>
      <c r="R138">
        <f t="shared" si="52"/>
        <v>319274.33100096189</v>
      </c>
      <c r="S138">
        <f t="shared" si="53"/>
        <v>191385.73342914804</v>
      </c>
      <c r="T138">
        <f t="shared" si="54"/>
        <v>127888.59757181387</v>
      </c>
      <c r="U138">
        <f t="shared" si="55"/>
        <v>191564.59860057713</v>
      </c>
      <c r="V138">
        <f t="shared" si="56"/>
        <v>447162.92857277574</v>
      </c>
    </row>
    <row r="139" spans="1:22" x14ac:dyDescent="0.25">
      <c r="A139">
        <v>2085</v>
      </c>
      <c r="C139">
        <v>0.69052102147599215</v>
      </c>
      <c r="D139">
        <f t="shared" si="38"/>
        <v>690521.02147599217</v>
      </c>
      <c r="E139">
        <f t="shared" si="39"/>
        <v>552416817.18079376</v>
      </c>
      <c r="F139">
        <f t="shared" si="40"/>
        <v>552416.81718079373</v>
      </c>
      <c r="G139">
        <f t="shared" si="41"/>
        <v>359070.93116751593</v>
      </c>
      <c r="H139">
        <f t="shared" si="42"/>
        <v>315982.41942741402</v>
      </c>
      <c r="I139">
        <f t="shared" si="43"/>
        <v>157991.20971370701</v>
      </c>
      <c r="J139">
        <f t="shared" si="44"/>
        <v>236434.39775337974</v>
      </c>
      <c r="K139">
        <f t="shared" si="45"/>
        <v>157991.20971370701</v>
      </c>
      <c r="L139">
        <f t="shared" si="46"/>
        <v>157991.20971370701</v>
      </c>
      <c r="M139">
        <f t="shared" si="47"/>
        <v>394425.60746708675</v>
      </c>
      <c r="N139">
        <f t="shared" si="48"/>
        <v>157991.20971370701</v>
      </c>
      <c r="O139">
        <f t="shared" si="49"/>
        <v>0</v>
      </c>
      <c r="P139">
        <f t="shared" si="50"/>
        <v>157991.20971370701</v>
      </c>
      <c r="Q139">
        <f t="shared" si="51"/>
        <v>157991.20971370701</v>
      </c>
      <c r="R139">
        <f t="shared" si="52"/>
        <v>394425.60746708675</v>
      </c>
      <c r="S139">
        <f t="shared" si="53"/>
        <v>236434.39775337974</v>
      </c>
      <c r="T139">
        <f t="shared" si="54"/>
        <v>157991.20971370701</v>
      </c>
      <c r="U139">
        <f t="shared" si="55"/>
        <v>236655.36448025203</v>
      </c>
      <c r="V139">
        <f t="shared" si="56"/>
        <v>552416.81718079373</v>
      </c>
    </row>
    <row r="140" spans="1:22" x14ac:dyDescent="0.25">
      <c r="A140">
        <v>2086</v>
      </c>
      <c r="C140">
        <v>0.78792804117130077</v>
      </c>
      <c r="D140">
        <f t="shared" si="38"/>
        <v>787928.04117130081</v>
      </c>
      <c r="E140">
        <f t="shared" si="39"/>
        <v>630342432.93704069</v>
      </c>
      <c r="F140">
        <f t="shared" si="40"/>
        <v>630342.43293704069</v>
      </c>
      <c r="G140">
        <f t="shared" si="41"/>
        <v>409722.58140907646</v>
      </c>
      <c r="H140">
        <f t="shared" si="42"/>
        <v>360555.87163998728</v>
      </c>
      <c r="I140">
        <f t="shared" si="43"/>
        <v>180277.93581999364</v>
      </c>
      <c r="J140">
        <f t="shared" si="44"/>
        <v>269786.56129705347</v>
      </c>
      <c r="K140">
        <f t="shared" si="45"/>
        <v>180277.93581999364</v>
      </c>
      <c r="L140">
        <f t="shared" si="46"/>
        <v>180277.93581999364</v>
      </c>
      <c r="M140">
        <f t="shared" si="47"/>
        <v>450064.49711704708</v>
      </c>
      <c r="N140">
        <f t="shared" si="48"/>
        <v>180277.93581999364</v>
      </c>
      <c r="O140">
        <f t="shared" si="49"/>
        <v>0</v>
      </c>
      <c r="P140">
        <f t="shared" si="50"/>
        <v>180277.93581999364</v>
      </c>
      <c r="Q140">
        <f t="shared" si="51"/>
        <v>180277.93581999364</v>
      </c>
      <c r="R140">
        <f t="shared" si="52"/>
        <v>450064.49711704708</v>
      </c>
      <c r="S140">
        <f t="shared" si="53"/>
        <v>269786.56129705347</v>
      </c>
      <c r="T140">
        <f t="shared" si="54"/>
        <v>180277.93581999364</v>
      </c>
      <c r="U140">
        <f t="shared" si="55"/>
        <v>270038.69827022823</v>
      </c>
      <c r="V140">
        <f t="shared" si="56"/>
        <v>630342.43293704069</v>
      </c>
    </row>
    <row r="141" spans="1:22" x14ac:dyDescent="0.25">
      <c r="A141">
        <v>2087</v>
      </c>
      <c r="C141">
        <v>0.52497578711548043</v>
      </c>
      <c r="D141">
        <f t="shared" si="38"/>
        <v>524975.7871154804</v>
      </c>
      <c r="E141">
        <f t="shared" si="39"/>
        <v>419980629.6923843</v>
      </c>
      <c r="F141">
        <f t="shared" si="40"/>
        <v>419980.62969238427</v>
      </c>
      <c r="G141">
        <f t="shared" si="41"/>
        <v>272987.40930004977</v>
      </c>
      <c r="H141">
        <f t="shared" si="42"/>
        <v>240228.92018404379</v>
      </c>
      <c r="I141">
        <f t="shared" si="43"/>
        <v>120114.46009202189</v>
      </c>
      <c r="J141">
        <f t="shared" si="44"/>
        <v>179751.70950834046</v>
      </c>
      <c r="K141">
        <f t="shared" si="45"/>
        <v>120114.46009202189</v>
      </c>
      <c r="L141">
        <f t="shared" si="46"/>
        <v>120114.46009202189</v>
      </c>
      <c r="M141">
        <f t="shared" si="47"/>
        <v>299866.16960036237</v>
      </c>
      <c r="N141">
        <f t="shared" si="48"/>
        <v>120114.46009202189</v>
      </c>
      <c r="O141">
        <f t="shared" si="49"/>
        <v>0</v>
      </c>
      <c r="P141">
        <f t="shared" si="50"/>
        <v>120114.46009202189</v>
      </c>
      <c r="Q141">
        <f t="shared" si="51"/>
        <v>120114.46009202189</v>
      </c>
      <c r="R141">
        <f t="shared" si="52"/>
        <v>299866.16960036237</v>
      </c>
      <c r="S141">
        <f t="shared" si="53"/>
        <v>179751.70950834046</v>
      </c>
      <c r="T141">
        <f t="shared" si="54"/>
        <v>120114.46009202189</v>
      </c>
      <c r="U141">
        <f t="shared" si="55"/>
        <v>179919.7017602174</v>
      </c>
      <c r="V141">
        <f t="shared" si="56"/>
        <v>419980.62969238427</v>
      </c>
    </row>
    <row r="142" spans="1:22" x14ac:dyDescent="0.25">
      <c r="A142">
        <v>2088</v>
      </c>
      <c r="C142">
        <v>0.68665733080742708</v>
      </c>
      <c r="D142">
        <f t="shared" si="38"/>
        <v>686657.33080742706</v>
      </c>
      <c r="E142">
        <f t="shared" si="39"/>
        <v>549325864.64594162</v>
      </c>
      <c r="F142">
        <f t="shared" si="40"/>
        <v>549325.86464594165</v>
      </c>
      <c r="G142">
        <f t="shared" si="41"/>
        <v>357061.81201986206</v>
      </c>
      <c r="H142">
        <f t="shared" si="42"/>
        <v>314214.39457747864</v>
      </c>
      <c r="I142">
        <f t="shared" si="43"/>
        <v>157107.19728873932</v>
      </c>
      <c r="J142">
        <f t="shared" si="44"/>
        <v>235111.47006846301</v>
      </c>
      <c r="K142">
        <f t="shared" si="45"/>
        <v>157107.19728873932</v>
      </c>
      <c r="L142">
        <f t="shared" si="46"/>
        <v>157107.19728873932</v>
      </c>
      <c r="M142">
        <f t="shared" si="47"/>
        <v>392218.66735720233</v>
      </c>
      <c r="N142">
        <f t="shared" si="48"/>
        <v>157107.19728873932</v>
      </c>
      <c r="O142">
        <f t="shared" si="49"/>
        <v>0</v>
      </c>
      <c r="P142">
        <f t="shared" si="50"/>
        <v>157107.19728873932</v>
      </c>
      <c r="Q142">
        <f t="shared" si="51"/>
        <v>157107.19728873932</v>
      </c>
      <c r="R142">
        <f t="shared" si="52"/>
        <v>392218.66735720233</v>
      </c>
      <c r="S142">
        <f t="shared" si="53"/>
        <v>235111.47006846301</v>
      </c>
      <c r="T142">
        <f t="shared" si="54"/>
        <v>157107.19728873932</v>
      </c>
      <c r="U142">
        <f t="shared" si="55"/>
        <v>235331.20041432139</v>
      </c>
      <c r="V142">
        <f t="shared" si="56"/>
        <v>549325.86464594165</v>
      </c>
    </row>
    <row r="143" spans="1:22" x14ac:dyDescent="0.25">
      <c r="A143">
        <v>2089</v>
      </c>
      <c r="C143">
        <v>0.69344615288531752</v>
      </c>
      <c r="D143">
        <f t="shared" si="38"/>
        <v>693446.15288531757</v>
      </c>
      <c r="E143">
        <f t="shared" si="39"/>
        <v>554756922.308254</v>
      </c>
      <c r="F143">
        <f t="shared" si="40"/>
        <v>554756.92230825406</v>
      </c>
      <c r="G143">
        <f t="shared" si="41"/>
        <v>360591.99950036517</v>
      </c>
      <c r="H143">
        <f t="shared" si="42"/>
        <v>317320.95956032135</v>
      </c>
      <c r="I143">
        <f t="shared" si="43"/>
        <v>158660.47978016068</v>
      </c>
      <c r="J143">
        <f t="shared" si="44"/>
        <v>237435.96274793267</v>
      </c>
      <c r="K143">
        <f t="shared" si="45"/>
        <v>158660.47978016068</v>
      </c>
      <c r="L143">
        <f t="shared" si="46"/>
        <v>158660.47978016068</v>
      </c>
      <c r="M143">
        <f t="shared" si="47"/>
        <v>396096.44252809335</v>
      </c>
      <c r="N143">
        <f t="shared" si="48"/>
        <v>158660.47978016068</v>
      </c>
      <c r="O143">
        <f t="shared" si="49"/>
        <v>0</v>
      </c>
      <c r="P143">
        <f t="shared" si="50"/>
        <v>158660.47978016068</v>
      </c>
      <c r="Q143">
        <f t="shared" si="51"/>
        <v>158660.47978016068</v>
      </c>
      <c r="R143">
        <f t="shared" si="52"/>
        <v>396096.44252809335</v>
      </c>
      <c r="S143">
        <f t="shared" si="53"/>
        <v>237435.96274793267</v>
      </c>
      <c r="T143">
        <f t="shared" si="54"/>
        <v>158660.47978016068</v>
      </c>
      <c r="U143">
        <f t="shared" si="55"/>
        <v>237657.86551685599</v>
      </c>
      <c r="V143">
        <f t="shared" si="56"/>
        <v>554756.92230825406</v>
      </c>
    </row>
    <row r="144" spans="1:22" x14ac:dyDescent="0.25">
      <c r="A144">
        <v>2090</v>
      </c>
      <c r="C144">
        <v>0.74053463710031653</v>
      </c>
      <c r="D144">
        <f t="shared" si="38"/>
        <v>740534.63710031658</v>
      </c>
      <c r="E144">
        <f t="shared" si="39"/>
        <v>592427709.68025327</v>
      </c>
      <c r="F144">
        <f t="shared" si="40"/>
        <v>592427.70968025329</v>
      </c>
      <c r="G144">
        <f t="shared" si="41"/>
        <v>385078.01129216468</v>
      </c>
      <c r="H144">
        <f t="shared" si="42"/>
        <v>338868.6499371049</v>
      </c>
      <c r="I144">
        <f t="shared" si="43"/>
        <v>169434.32496855245</v>
      </c>
      <c r="J144">
        <f t="shared" si="44"/>
        <v>253559.05974314839</v>
      </c>
      <c r="K144">
        <f t="shared" si="45"/>
        <v>169434.32496855245</v>
      </c>
      <c r="L144">
        <f t="shared" si="46"/>
        <v>169434.32496855245</v>
      </c>
      <c r="M144">
        <f t="shared" si="47"/>
        <v>422993.38471170084</v>
      </c>
      <c r="N144">
        <f t="shared" si="48"/>
        <v>169434.32496855245</v>
      </c>
      <c r="O144">
        <f t="shared" si="49"/>
        <v>0</v>
      </c>
      <c r="P144">
        <f t="shared" si="50"/>
        <v>169434.32496855245</v>
      </c>
      <c r="Q144">
        <f t="shared" si="51"/>
        <v>169434.32496855245</v>
      </c>
      <c r="R144">
        <f t="shared" si="52"/>
        <v>422993.38471170084</v>
      </c>
      <c r="S144">
        <f t="shared" si="53"/>
        <v>253559.05974314839</v>
      </c>
      <c r="T144">
        <f t="shared" si="54"/>
        <v>169434.32496855245</v>
      </c>
      <c r="U144">
        <f t="shared" si="55"/>
        <v>253796.0308270205</v>
      </c>
      <c r="V144">
        <f t="shared" si="56"/>
        <v>592427.70968025329</v>
      </c>
    </row>
    <row r="145" spans="1:22" x14ac:dyDescent="0.25">
      <c r="A145">
        <v>2091</v>
      </c>
      <c r="C145">
        <v>0.55840455728236216</v>
      </c>
      <c r="D145">
        <f t="shared" si="38"/>
        <v>558404.55728236213</v>
      </c>
      <c r="E145">
        <f t="shared" si="39"/>
        <v>446723645.82588971</v>
      </c>
      <c r="F145">
        <f t="shared" si="40"/>
        <v>446723.64582588972</v>
      </c>
      <c r="G145">
        <f t="shared" si="41"/>
        <v>290370.36978682835</v>
      </c>
      <c r="H145">
        <f t="shared" si="42"/>
        <v>255525.92541240895</v>
      </c>
      <c r="I145">
        <f t="shared" si="43"/>
        <v>127762.96270620447</v>
      </c>
      <c r="J145">
        <f t="shared" si="44"/>
        <v>191197.7204134808</v>
      </c>
      <c r="K145">
        <f t="shared" si="45"/>
        <v>127762.96270620447</v>
      </c>
      <c r="L145">
        <f t="shared" si="46"/>
        <v>127762.96270620447</v>
      </c>
      <c r="M145">
        <f t="shared" si="47"/>
        <v>318960.68311968527</v>
      </c>
      <c r="N145">
        <f t="shared" si="48"/>
        <v>127762.96270620447</v>
      </c>
      <c r="O145">
        <f t="shared" si="49"/>
        <v>0</v>
      </c>
      <c r="P145">
        <f t="shared" si="50"/>
        <v>127762.96270620447</v>
      </c>
      <c r="Q145">
        <f t="shared" si="51"/>
        <v>127762.96270620447</v>
      </c>
      <c r="R145">
        <f t="shared" si="52"/>
        <v>318960.68311968527</v>
      </c>
      <c r="S145">
        <f t="shared" si="53"/>
        <v>191197.7204134808</v>
      </c>
      <c r="T145">
        <f t="shared" si="54"/>
        <v>127762.96270620447</v>
      </c>
      <c r="U145">
        <f t="shared" si="55"/>
        <v>191376.40987181116</v>
      </c>
      <c r="V145">
        <f t="shared" si="56"/>
        <v>446723.64582588978</v>
      </c>
    </row>
    <row r="146" spans="1:22" x14ac:dyDescent="0.25">
      <c r="A146">
        <v>2092</v>
      </c>
      <c r="C146">
        <v>0.55087080670985888</v>
      </c>
      <c r="D146">
        <f t="shared" si="38"/>
        <v>550870.80670985894</v>
      </c>
      <c r="E146">
        <f t="shared" si="39"/>
        <v>440696645.36788714</v>
      </c>
      <c r="F146">
        <f t="shared" si="40"/>
        <v>440696.64536788716</v>
      </c>
      <c r="G146">
        <f t="shared" si="41"/>
        <v>286452.81948912668</v>
      </c>
      <c r="H146">
        <f t="shared" si="42"/>
        <v>252078.48115043147</v>
      </c>
      <c r="I146">
        <f t="shared" si="43"/>
        <v>126039.24057521574</v>
      </c>
      <c r="J146">
        <f t="shared" si="44"/>
        <v>188618.16421745572</v>
      </c>
      <c r="K146">
        <f t="shared" si="45"/>
        <v>126039.24057521574</v>
      </c>
      <c r="L146">
        <f t="shared" si="46"/>
        <v>126039.24057521574</v>
      </c>
      <c r="M146">
        <f t="shared" si="47"/>
        <v>314657.40479267144</v>
      </c>
      <c r="N146">
        <f t="shared" si="48"/>
        <v>126039.24057521574</v>
      </c>
      <c r="O146">
        <f t="shared" si="49"/>
        <v>0</v>
      </c>
      <c r="P146">
        <f t="shared" si="50"/>
        <v>126039.24057521574</v>
      </c>
      <c r="Q146">
        <f t="shared" si="51"/>
        <v>126039.24057521574</v>
      </c>
      <c r="R146">
        <f t="shared" si="52"/>
        <v>314657.40479267144</v>
      </c>
      <c r="S146">
        <f t="shared" si="53"/>
        <v>188618.16421745572</v>
      </c>
      <c r="T146">
        <f t="shared" si="54"/>
        <v>126039.24057521574</v>
      </c>
      <c r="U146">
        <f t="shared" si="55"/>
        <v>188794.44287560286</v>
      </c>
      <c r="V146">
        <f t="shared" si="56"/>
        <v>440696.64536788716</v>
      </c>
    </row>
    <row r="147" spans="1:22" x14ac:dyDescent="0.25">
      <c r="A147">
        <v>2093</v>
      </c>
      <c r="C147">
        <v>0.71708861846759209</v>
      </c>
      <c r="D147">
        <f t="shared" si="38"/>
        <v>717088.61846759205</v>
      </c>
      <c r="E147">
        <f t="shared" si="39"/>
        <v>573670894.7740736</v>
      </c>
      <c r="F147">
        <f t="shared" si="40"/>
        <v>573670.89477407362</v>
      </c>
      <c r="G147">
        <f t="shared" si="41"/>
        <v>372886.08160314785</v>
      </c>
      <c r="H147">
        <f t="shared" si="42"/>
        <v>328139.75181077013</v>
      </c>
      <c r="I147">
        <f t="shared" si="43"/>
        <v>164069.87590538507</v>
      </c>
      <c r="J147">
        <f t="shared" si="44"/>
        <v>245531.14296330349</v>
      </c>
      <c r="K147">
        <f t="shared" si="45"/>
        <v>164069.87590538507</v>
      </c>
      <c r="L147">
        <f t="shared" si="46"/>
        <v>164069.87590538507</v>
      </c>
      <c r="M147">
        <f t="shared" si="47"/>
        <v>409601.01886868855</v>
      </c>
      <c r="N147">
        <f t="shared" si="48"/>
        <v>164069.87590538507</v>
      </c>
      <c r="O147">
        <f t="shared" si="49"/>
        <v>0</v>
      </c>
      <c r="P147">
        <f t="shared" si="50"/>
        <v>164069.87590538507</v>
      </c>
      <c r="Q147">
        <f t="shared" si="51"/>
        <v>164069.87590538507</v>
      </c>
      <c r="R147">
        <f t="shared" si="52"/>
        <v>409601.01886868855</v>
      </c>
      <c r="S147">
        <f t="shared" si="53"/>
        <v>245531.14296330349</v>
      </c>
      <c r="T147">
        <f t="shared" si="54"/>
        <v>164069.87590538507</v>
      </c>
      <c r="U147">
        <f t="shared" si="55"/>
        <v>245760.61132121313</v>
      </c>
      <c r="V147">
        <f t="shared" si="56"/>
        <v>573670.89477407362</v>
      </c>
    </row>
    <row r="148" spans="1:22" x14ac:dyDescent="0.25">
      <c r="A148">
        <v>2094</v>
      </c>
      <c r="C148">
        <v>0.69679341690687391</v>
      </c>
      <c r="D148">
        <f t="shared" si="38"/>
        <v>696793.41690687393</v>
      </c>
      <c r="E148">
        <f t="shared" si="39"/>
        <v>557434733.52549911</v>
      </c>
      <c r="F148">
        <f t="shared" si="40"/>
        <v>557434.73352549912</v>
      </c>
      <c r="G148">
        <f t="shared" si="41"/>
        <v>362332.57679157442</v>
      </c>
      <c r="H148">
        <f t="shared" si="42"/>
        <v>318852.66757658549</v>
      </c>
      <c r="I148">
        <f t="shared" si="43"/>
        <v>159426.33378829274</v>
      </c>
      <c r="J148">
        <f t="shared" si="44"/>
        <v>238582.06594891366</v>
      </c>
      <c r="K148">
        <f t="shared" si="45"/>
        <v>159426.33378829274</v>
      </c>
      <c r="L148">
        <f t="shared" si="46"/>
        <v>159426.33378829274</v>
      </c>
      <c r="M148">
        <f t="shared" si="47"/>
        <v>398008.3997372064</v>
      </c>
      <c r="N148">
        <f t="shared" si="48"/>
        <v>159426.33378829274</v>
      </c>
      <c r="O148">
        <f t="shared" si="49"/>
        <v>0</v>
      </c>
      <c r="P148">
        <f t="shared" si="50"/>
        <v>159426.33378829274</v>
      </c>
      <c r="Q148">
        <f t="shared" si="51"/>
        <v>159426.33378829274</v>
      </c>
      <c r="R148">
        <f t="shared" si="52"/>
        <v>398008.3997372064</v>
      </c>
      <c r="S148">
        <f t="shared" si="53"/>
        <v>238582.06594891366</v>
      </c>
      <c r="T148">
        <f t="shared" si="54"/>
        <v>159426.33378829274</v>
      </c>
      <c r="U148">
        <f t="shared" si="55"/>
        <v>238805.03984232384</v>
      </c>
      <c r="V148">
        <f t="shared" si="56"/>
        <v>557434.73352549912</v>
      </c>
    </row>
    <row r="149" spans="1:22" x14ac:dyDescent="0.25">
      <c r="A149">
        <v>2095</v>
      </c>
      <c r="C149">
        <v>0.69259900922980788</v>
      </c>
      <c r="D149">
        <f t="shared" si="38"/>
        <v>692599.00922980788</v>
      </c>
      <c r="E149">
        <f t="shared" si="39"/>
        <v>554079207.38384628</v>
      </c>
      <c r="F149">
        <f t="shared" si="40"/>
        <v>554079.20738384628</v>
      </c>
      <c r="G149">
        <f t="shared" si="41"/>
        <v>360151.48479950009</v>
      </c>
      <c r="H149">
        <f t="shared" si="42"/>
        <v>316933.30662356009</v>
      </c>
      <c r="I149">
        <f t="shared" si="43"/>
        <v>158466.65331178004</v>
      </c>
      <c r="J149">
        <f t="shared" si="44"/>
        <v>237145.90076028617</v>
      </c>
      <c r="K149">
        <f t="shared" si="45"/>
        <v>158466.65331178004</v>
      </c>
      <c r="L149">
        <f t="shared" si="46"/>
        <v>158466.65331178004</v>
      </c>
      <c r="M149">
        <f t="shared" si="47"/>
        <v>395612.55407206621</v>
      </c>
      <c r="N149">
        <f t="shared" si="48"/>
        <v>158466.65331178004</v>
      </c>
      <c r="O149">
        <f t="shared" si="49"/>
        <v>0</v>
      </c>
      <c r="P149">
        <f t="shared" si="50"/>
        <v>158466.65331178004</v>
      </c>
      <c r="Q149">
        <f t="shared" si="51"/>
        <v>158466.65331178004</v>
      </c>
      <c r="R149">
        <f t="shared" si="52"/>
        <v>395612.55407206621</v>
      </c>
      <c r="S149">
        <f t="shared" si="53"/>
        <v>237145.90076028617</v>
      </c>
      <c r="T149">
        <f t="shared" si="54"/>
        <v>158466.65331178004</v>
      </c>
      <c r="U149">
        <f t="shared" si="55"/>
        <v>237367.5324432397</v>
      </c>
      <c r="V149">
        <f t="shared" si="56"/>
        <v>554079.20738384628</v>
      </c>
    </row>
    <row r="150" spans="1:22" x14ac:dyDescent="0.25">
      <c r="A150">
        <v>2096</v>
      </c>
      <c r="C150">
        <v>0.70125592715824769</v>
      </c>
      <c r="D150">
        <f t="shared" si="38"/>
        <v>701255.92715824768</v>
      </c>
      <c r="E150">
        <f t="shared" si="39"/>
        <v>561004741.72659814</v>
      </c>
      <c r="F150">
        <f t="shared" si="40"/>
        <v>561004.74172659812</v>
      </c>
      <c r="G150">
        <f t="shared" si="41"/>
        <v>364653.08212228882</v>
      </c>
      <c r="H150">
        <f t="shared" si="42"/>
        <v>320894.71226761414</v>
      </c>
      <c r="I150">
        <f t="shared" si="43"/>
        <v>160447.35613380707</v>
      </c>
      <c r="J150">
        <f t="shared" si="44"/>
        <v>240110.02945898395</v>
      </c>
      <c r="K150">
        <f t="shared" si="45"/>
        <v>160447.35613380707</v>
      </c>
      <c r="L150">
        <f t="shared" si="46"/>
        <v>160447.35613380707</v>
      </c>
      <c r="M150">
        <f t="shared" si="47"/>
        <v>400557.38559279102</v>
      </c>
      <c r="N150">
        <f t="shared" si="48"/>
        <v>160447.35613380707</v>
      </c>
      <c r="O150">
        <f t="shared" si="49"/>
        <v>0</v>
      </c>
      <c r="P150">
        <f t="shared" si="50"/>
        <v>160447.35613380707</v>
      </c>
      <c r="Q150">
        <f t="shared" si="51"/>
        <v>160447.35613380707</v>
      </c>
      <c r="R150">
        <f t="shared" si="52"/>
        <v>400557.38559279102</v>
      </c>
      <c r="S150">
        <f t="shared" si="53"/>
        <v>240110.02945898395</v>
      </c>
      <c r="T150">
        <f t="shared" si="54"/>
        <v>160447.35613380707</v>
      </c>
      <c r="U150">
        <f t="shared" si="55"/>
        <v>240334.43135567461</v>
      </c>
      <c r="V150">
        <f t="shared" si="56"/>
        <v>561004.74172659812</v>
      </c>
    </row>
    <row r="151" spans="1:22" x14ac:dyDescent="0.25">
      <c r="A151">
        <v>2097</v>
      </c>
      <c r="C151">
        <v>0.60864940680650137</v>
      </c>
      <c r="D151">
        <f t="shared" si="38"/>
        <v>608649.40680650133</v>
      </c>
      <c r="E151">
        <f t="shared" si="39"/>
        <v>486919525.44520104</v>
      </c>
      <c r="F151">
        <f t="shared" si="40"/>
        <v>486919.52544520103</v>
      </c>
      <c r="G151">
        <f t="shared" si="41"/>
        <v>316497.6915393807</v>
      </c>
      <c r="H151">
        <f t="shared" si="42"/>
        <v>278517.96855465503</v>
      </c>
      <c r="I151">
        <f t="shared" si="43"/>
        <v>139258.98427732752</v>
      </c>
      <c r="J151">
        <f t="shared" si="44"/>
        <v>208401.55689054602</v>
      </c>
      <c r="K151">
        <f t="shared" si="45"/>
        <v>139258.98427732752</v>
      </c>
      <c r="L151">
        <f t="shared" si="46"/>
        <v>139258.98427732752</v>
      </c>
      <c r="M151">
        <f t="shared" si="47"/>
        <v>347660.54116787354</v>
      </c>
      <c r="N151">
        <f t="shared" si="48"/>
        <v>139258.98427732752</v>
      </c>
      <c r="O151">
        <f t="shared" si="49"/>
        <v>0</v>
      </c>
      <c r="P151">
        <f t="shared" si="50"/>
        <v>139258.98427732752</v>
      </c>
      <c r="Q151">
        <f t="shared" si="51"/>
        <v>139258.98427732752</v>
      </c>
      <c r="R151">
        <f t="shared" si="52"/>
        <v>347660.54116787354</v>
      </c>
      <c r="S151">
        <f t="shared" si="53"/>
        <v>208401.55689054602</v>
      </c>
      <c r="T151">
        <f t="shared" si="54"/>
        <v>139258.98427732752</v>
      </c>
      <c r="U151">
        <f t="shared" si="55"/>
        <v>208596.32470072413</v>
      </c>
      <c r="V151">
        <f t="shared" si="56"/>
        <v>486919.52544520108</v>
      </c>
    </row>
    <row r="152" spans="1:22" x14ac:dyDescent="0.25">
      <c r="A152">
        <v>2098</v>
      </c>
      <c r="C152">
        <v>0.69095350601245187</v>
      </c>
      <c r="D152">
        <f t="shared" si="38"/>
        <v>690953.50601245183</v>
      </c>
      <c r="E152">
        <f t="shared" si="39"/>
        <v>552762804.80996144</v>
      </c>
      <c r="F152">
        <f t="shared" si="40"/>
        <v>552762.80480996147</v>
      </c>
      <c r="G152">
        <f t="shared" si="41"/>
        <v>359295.82312647498</v>
      </c>
      <c r="H152">
        <f t="shared" si="42"/>
        <v>316180.32435129798</v>
      </c>
      <c r="I152">
        <f t="shared" si="43"/>
        <v>158090.16217564899</v>
      </c>
      <c r="J152">
        <f t="shared" si="44"/>
        <v>236582.48045866351</v>
      </c>
      <c r="K152">
        <f t="shared" si="45"/>
        <v>158090.16217564899</v>
      </c>
      <c r="L152">
        <f t="shared" si="46"/>
        <v>158090.16217564899</v>
      </c>
      <c r="M152">
        <f t="shared" si="47"/>
        <v>394672.64263431251</v>
      </c>
      <c r="N152">
        <f t="shared" si="48"/>
        <v>158090.16217564899</v>
      </c>
      <c r="O152">
        <f t="shared" si="49"/>
        <v>0</v>
      </c>
      <c r="P152">
        <f t="shared" si="50"/>
        <v>158090.16217564899</v>
      </c>
      <c r="Q152">
        <f t="shared" si="51"/>
        <v>158090.16217564899</v>
      </c>
      <c r="R152">
        <f t="shared" si="52"/>
        <v>394672.64263431251</v>
      </c>
      <c r="S152">
        <f t="shared" si="53"/>
        <v>236582.48045866351</v>
      </c>
      <c r="T152">
        <f t="shared" si="54"/>
        <v>158090.16217564899</v>
      </c>
      <c r="U152">
        <f t="shared" si="55"/>
        <v>236803.5855805875</v>
      </c>
      <c r="V152">
        <f t="shared" si="56"/>
        <v>552762.80480996147</v>
      </c>
    </row>
    <row r="153" spans="1:22" x14ac:dyDescent="0.25">
      <c r="A153">
        <v>2099</v>
      </c>
      <c r="C153">
        <v>0.69644046534635373</v>
      </c>
      <c r="D153">
        <f t="shared" si="38"/>
        <v>696440.46534635371</v>
      </c>
      <c r="E153">
        <f t="shared" si="39"/>
        <v>557152372.27708292</v>
      </c>
      <c r="F153">
        <f t="shared" si="40"/>
        <v>557152.37227708288</v>
      </c>
      <c r="G153">
        <f t="shared" si="41"/>
        <v>362149.04198010388</v>
      </c>
      <c r="H153">
        <f t="shared" si="42"/>
        <v>318691.15694249142</v>
      </c>
      <c r="I153">
        <f t="shared" si="43"/>
        <v>159345.57847124571</v>
      </c>
      <c r="J153">
        <f t="shared" si="44"/>
        <v>238461.21533459146</v>
      </c>
      <c r="K153">
        <f t="shared" si="45"/>
        <v>159345.57847124571</v>
      </c>
      <c r="L153">
        <f t="shared" si="46"/>
        <v>159345.57847124571</v>
      </c>
      <c r="M153">
        <f t="shared" si="47"/>
        <v>397806.79380583717</v>
      </c>
      <c r="N153">
        <f t="shared" si="48"/>
        <v>159345.57847124571</v>
      </c>
      <c r="O153">
        <f t="shared" si="49"/>
        <v>0</v>
      </c>
      <c r="P153">
        <f t="shared" si="50"/>
        <v>159345.57847124571</v>
      </c>
      <c r="Q153">
        <f t="shared" si="51"/>
        <v>159345.57847124571</v>
      </c>
      <c r="R153">
        <f t="shared" si="52"/>
        <v>397806.79380583717</v>
      </c>
      <c r="S153">
        <f t="shared" si="53"/>
        <v>238461.21533459146</v>
      </c>
      <c r="T153">
        <f t="shared" si="54"/>
        <v>159345.57847124571</v>
      </c>
      <c r="U153">
        <f t="shared" si="55"/>
        <v>238684.07628350228</v>
      </c>
      <c r="V153">
        <f t="shared" si="56"/>
        <v>557152.37227708288</v>
      </c>
    </row>
    <row r="154" spans="1:22" x14ac:dyDescent="0.25">
      <c r="A154">
        <v>2100</v>
      </c>
      <c r="C154">
        <v>0.60555251470445837</v>
      </c>
      <c r="D154">
        <f t="shared" si="38"/>
        <v>605552.51470445842</v>
      </c>
      <c r="E154">
        <f t="shared" si="39"/>
        <v>484442011.76356673</v>
      </c>
      <c r="F154">
        <f t="shared" si="40"/>
        <v>484442.01176356676</v>
      </c>
      <c r="G154">
        <f t="shared" si="41"/>
        <v>314887.3076463184</v>
      </c>
      <c r="H154">
        <f t="shared" si="42"/>
        <v>277100.83072876016</v>
      </c>
      <c r="I154">
        <f t="shared" si="43"/>
        <v>138550.41536438008</v>
      </c>
      <c r="J154">
        <f t="shared" si="44"/>
        <v>207341.18103480656</v>
      </c>
      <c r="K154">
        <f t="shared" si="45"/>
        <v>138550.41536438008</v>
      </c>
      <c r="L154">
        <f t="shared" si="46"/>
        <v>138550.41536438008</v>
      </c>
      <c r="M154">
        <f t="shared" si="47"/>
        <v>345891.59639918664</v>
      </c>
      <c r="N154">
        <f t="shared" si="48"/>
        <v>138550.41536438008</v>
      </c>
      <c r="O154">
        <f t="shared" si="49"/>
        <v>0</v>
      </c>
      <c r="P154">
        <f t="shared" si="50"/>
        <v>138550.41536438008</v>
      </c>
      <c r="Q154">
        <f t="shared" si="51"/>
        <v>138550.41536438008</v>
      </c>
      <c r="R154">
        <f t="shared" si="52"/>
        <v>345891.59639918664</v>
      </c>
      <c r="S154">
        <f t="shared" si="53"/>
        <v>207341.18103480656</v>
      </c>
      <c r="T154">
        <f t="shared" si="54"/>
        <v>138550.41536438008</v>
      </c>
      <c r="U154">
        <f t="shared" si="55"/>
        <v>207534.95783951198</v>
      </c>
      <c r="V154">
        <f t="shared" si="56"/>
        <v>484442.01176356676</v>
      </c>
    </row>
  </sheetData>
  <mergeCells count="2">
    <mergeCell ref="O1:Q1"/>
    <mergeCell ref="S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workbookViewId="0">
      <selection activeCell="A79" sqref="A2:A79"/>
    </sheetView>
  </sheetViews>
  <sheetFormatPr defaultRowHeight="15" x14ac:dyDescent="0.25"/>
  <cols>
    <col min="2" max="2" width="16" customWidth="1"/>
    <col min="3" max="3" width="15.42578125" customWidth="1"/>
    <col min="4" max="4" width="22.85546875" customWidth="1"/>
  </cols>
  <sheetData>
    <row r="1" spans="1:5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>
        <v>2023</v>
      </c>
      <c r="B2">
        <v>0.62524790236460726</v>
      </c>
      <c r="C2">
        <v>4.4459322563930551E-2</v>
      </c>
      <c r="D2">
        <v>0.66970722492853785</v>
      </c>
      <c r="E2" t="s">
        <v>7</v>
      </c>
    </row>
    <row r="3" spans="1:5" x14ac:dyDescent="0.25">
      <c r="A3">
        <v>2024</v>
      </c>
      <c r="B3">
        <v>0.62524790236460726</v>
      </c>
      <c r="C3">
        <v>-1.237560300543143E-2</v>
      </c>
      <c r="D3">
        <v>0.61287229935917586</v>
      </c>
      <c r="E3" t="s">
        <v>7</v>
      </c>
    </row>
    <row r="4" spans="1:5" x14ac:dyDescent="0.25">
      <c r="A4">
        <v>2025</v>
      </c>
      <c r="B4">
        <v>0.62524790236460726</v>
      </c>
      <c r="C4">
        <v>5.797256523054644E-2</v>
      </c>
      <c r="D4">
        <v>0.68322046759515365</v>
      </c>
      <c r="E4" t="s">
        <v>7</v>
      </c>
    </row>
    <row r="5" spans="1:5" x14ac:dyDescent="0.25">
      <c r="A5">
        <v>2026</v>
      </c>
      <c r="B5">
        <v>0.62524790236460726</v>
      </c>
      <c r="C5">
        <v>0.1363216152590884</v>
      </c>
      <c r="D5">
        <v>0.76156951762369562</v>
      </c>
      <c r="E5" t="s">
        <v>7</v>
      </c>
    </row>
    <row r="6" spans="1:5" x14ac:dyDescent="0.25">
      <c r="A6">
        <v>2027</v>
      </c>
      <c r="B6">
        <v>0.62524790236460726</v>
      </c>
      <c r="C6">
        <v>-2.0958332580513921E-2</v>
      </c>
      <c r="D6">
        <v>0.60428956978409332</v>
      </c>
      <c r="E6" t="s">
        <v>7</v>
      </c>
    </row>
    <row r="7" spans="1:5" x14ac:dyDescent="0.25">
      <c r="A7">
        <v>2028</v>
      </c>
      <c r="B7">
        <v>0.62524790236460726</v>
      </c>
      <c r="C7">
        <v>-2.095686307715363E-2</v>
      </c>
      <c r="D7">
        <v>0.60429103928745365</v>
      </c>
      <c r="E7" t="s">
        <v>7</v>
      </c>
    </row>
    <row r="8" spans="1:5" x14ac:dyDescent="0.25">
      <c r="A8">
        <v>2029</v>
      </c>
      <c r="B8">
        <v>0.62524790236460726</v>
      </c>
      <c r="C8">
        <v>0.1413503753337754</v>
      </c>
      <c r="D8">
        <v>0.76659827769838262</v>
      </c>
      <c r="E8" t="s">
        <v>7</v>
      </c>
    </row>
    <row r="9" spans="1:5" x14ac:dyDescent="0.25">
      <c r="A9">
        <v>2030</v>
      </c>
      <c r="B9">
        <v>0.62524790236460726</v>
      </c>
      <c r="C9">
        <v>6.8690670405359422E-2</v>
      </c>
      <c r="D9">
        <v>0.69393857276996673</v>
      </c>
      <c r="E9" t="s">
        <v>7</v>
      </c>
    </row>
    <row r="10" spans="1:5" x14ac:dyDescent="0.25">
      <c r="A10">
        <v>2031</v>
      </c>
      <c r="B10">
        <v>0.62524790236460726</v>
      </c>
      <c r="C10">
        <v>-4.2021176632978378E-2</v>
      </c>
      <c r="D10">
        <v>0.58322672573162893</v>
      </c>
      <c r="E10" t="s">
        <v>7</v>
      </c>
    </row>
    <row r="11" spans="1:5" x14ac:dyDescent="0.25">
      <c r="A11">
        <v>2032</v>
      </c>
      <c r="B11">
        <v>0.62524790236460726</v>
      </c>
      <c r="C11">
        <v>4.8562844126455021E-2</v>
      </c>
      <c r="D11">
        <v>0.67381074649106232</v>
      </c>
      <c r="E11" t="s">
        <v>7</v>
      </c>
    </row>
    <row r="12" spans="1:5" x14ac:dyDescent="0.25">
      <c r="A12">
        <v>2033</v>
      </c>
      <c r="B12">
        <v>0.62524790236460726</v>
      </c>
      <c r="C12">
        <v>-4.1479061068984323E-2</v>
      </c>
      <c r="D12">
        <v>0.5837688412956229</v>
      </c>
      <c r="E12" t="s">
        <v>7</v>
      </c>
    </row>
    <row r="13" spans="1:5" x14ac:dyDescent="0.25">
      <c r="A13">
        <v>2034</v>
      </c>
      <c r="B13">
        <v>0.62524790236460726</v>
      </c>
      <c r="C13">
        <v>-4.1686006360144308E-2</v>
      </c>
      <c r="D13">
        <v>0.58356189600446295</v>
      </c>
      <c r="E13" t="s">
        <v>7</v>
      </c>
    </row>
    <row r="14" spans="1:5" x14ac:dyDescent="0.25">
      <c r="A14">
        <v>2035</v>
      </c>
      <c r="B14">
        <v>0.62524790236460726</v>
      </c>
      <c r="C14">
        <v>2.1657282391976469E-2</v>
      </c>
      <c r="D14">
        <v>0.64690518475658376</v>
      </c>
      <c r="E14" t="s">
        <v>7</v>
      </c>
    </row>
    <row r="15" spans="1:5" x14ac:dyDescent="0.25">
      <c r="A15">
        <v>2036</v>
      </c>
      <c r="B15">
        <v>0.62524790236460726</v>
      </c>
      <c r="C15">
        <v>-0.17125170087616451</v>
      </c>
      <c r="D15">
        <v>0.45399620148844277</v>
      </c>
      <c r="E15" t="s">
        <v>7</v>
      </c>
    </row>
    <row r="16" spans="1:5" x14ac:dyDescent="0.25">
      <c r="A16">
        <v>2037</v>
      </c>
      <c r="B16">
        <v>0.62524790236460726</v>
      </c>
      <c r="C16">
        <v>-0.15439197342588831</v>
      </c>
      <c r="D16">
        <v>0.47085592893871903</v>
      </c>
      <c r="E16" t="s">
        <v>7</v>
      </c>
    </row>
    <row r="17" spans="1:5" x14ac:dyDescent="0.25">
      <c r="A17">
        <v>2038</v>
      </c>
      <c r="B17">
        <v>0.62524790236460726</v>
      </c>
      <c r="C17">
        <v>-5.032858935999477E-2</v>
      </c>
      <c r="D17">
        <v>0.57491931300461252</v>
      </c>
      <c r="E17" t="s">
        <v>7</v>
      </c>
    </row>
    <row r="18" spans="1:5" x14ac:dyDescent="0.25">
      <c r="A18">
        <v>2039</v>
      </c>
      <c r="B18">
        <v>0.62524790236460726</v>
      </c>
      <c r="C18">
        <v>-9.0655330049991559E-2</v>
      </c>
      <c r="D18">
        <v>0.53459257231461565</v>
      </c>
      <c r="E18" t="s">
        <v>7</v>
      </c>
    </row>
    <row r="19" spans="1:5" x14ac:dyDescent="0.25">
      <c r="A19">
        <v>2040</v>
      </c>
      <c r="B19">
        <v>0.62524790236460726</v>
      </c>
      <c r="C19">
        <v>2.812729099827382E-2</v>
      </c>
      <c r="D19">
        <v>0.65337519336288108</v>
      </c>
      <c r="E19" t="s">
        <v>7</v>
      </c>
    </row>
    <row r="20" spans="1:5" x14ac:dyDescent="0.25">
      <c r="A20">
        <v>2041</v>
      </c>
      <c r="B20">
        <v>0.62524790236460726</v>
      </c>
      <c r="C20">
        <v>-8.1274380898301926E-2</v>
      </c>
      <c r="D20">
        <v>0.54397352146630529</v>
      </c>
      <c r="E20" t="s">
        <v>7</v>
      </c>
    </row>
    <row r="21" spans="1:5" x14ac:dyDescent="0.25">
      <c r="A21">
        <v>2042</v>
      </c>
      <c r="B21">
        <v>0.62524790236460726</v>
      </c>
      <c r="C21">
        <v>-0.12641086515301861</v>
      </c>
      <c r="D21">
        <v>0.49883703721158867</v>
      </c>
      <c r="E21" t="s">
        <v>7</v>
      </c>
    </row>
    <row r="22" spans="1:5" x14ac:dyDescent="0.25">
      <c r="A22">
        <v>2043</v>
      </c>
      <c r="B22">
        <v>0.62524790236460726</v>
      </c>
      <c r="C22">
        <v>0.13118561447842919</v>
      </c>
      <c r="D22">
        <v>0.7564335168430365</v>
      </c>
      <c r="E22" t="s">
        <v>7</v>
      </c>
    </row>
    <row r="23" spans="1:5" x14ac:dyDescent="0.25">
      <c r="A23">
        <v>2044</v>
      </c>
      <c r="B23">
        <v>0.62524790236460726</v>
      </c>
      <c r="C23">
        <v>-2.0208526996400689E-2</v>
      </c>
      <c r="D23">
        <v>0.60503937536820651</v>
      </c>
      <c r="E23" t="s">
        <v>7</v>
      </c>
    </row>
    <row r="24" spans="1:5" x14ac:dyDescent="0.25">
      <c r="A24">
        <v>2045</v>
      </c>
      <c r="B24">
        <v>0.62524790236460726</v>
      </c>
      <c r="C24">
        <v>6.0442373469387339E-3</v>
      </c>
      <c r="D24">
        <v>0.63129213971154596</v>
      </c>
      <c r="E24" t="s">
        <v>7</v>
      </c>
    </row>
    <row r="25" spans="1:5" x14ac:dyDescent="0.25">
      <c r="A25">
        <v>2046</v>
      </c>
      <c r="B25">
        <v>0.62524790236460726</v>
      </c>
      <c r="C25">
        <v>-0.1275247318789538</v>
      </c>
      <c r="D25">
        <v>0.49772317048565351</v>
      </c>
      <c r="E25" t="s">
        <v>7</v>
      </c>
    </row>
    <row r="26" spans="1:5" x14ac:dyDescent="0.25">
      <c r="A26">
        <v>2047</v>
      </c>
      <c r="B26">
        <v>0.62524790236460726</v>
      </c>
      <c r="C26">
        <v>-4.8725986568273039E-2</v>
      </c>
      <c r="D26">
        <v>0.57652191579633416</v>
      </c>
      <c r="E26" t="s">
        <v>7</v>
      </c>
    </row>
    <row r="27" spans="1:5" x14ac:dyDescent="0.25">
      <c r="A27">
        <v>2048</v>
      </c>
      <c r="B27">
        <v>0.62524790236460726</v>
      </c>
      <c r="C27">
        <v>9.9283323530061328E-3</v>
      </c>
      <c r="D27">
        <v>0.63517623471761342</v>
      </c>
      <c r="E27" t="s">
        <v>7</v>
      </c>
    </row>
    <row r="28" spans="1:5" x14ac:dyDescent="0.25">
      <c r="A28">
        <v>2049</v>
      </c>
      <c r="B28">
        <v>0.62524790236460726</v>
      </c>
      <c r="C28">
        <v>-0.1030218173116427</v>
      </c>
      <c r="D28">
        <v>0.52222608505296464</v>
      </c>
      <c r="E28" t="s">
        <v>7</v>
      </c>
    </row>
    <row r="29" spans="1:5" x14ac:dyDescent="0.25">
      <c r="A29">
        <v>2050</v>
      </c>
      <c r="B29">
        <v>0.62524790236460726</v>
      </c>
      <c r="C29">
        <v>3.3627548727974341E-2</v>
      </c>
      <c r="D29">
        <v>0.65887545109258161</v>
      </c>
      <c r="E29" t="s">
        <v>7</v>
      </c>
    </row>
    <row r="30" spans="1:5" x14ac:dyDescent="0.25">
      <c r="A30">
        <v>2051</v>
      </c>
      <c r="B30">
        <v>0.62524790236460726</v>
      </c>
      <c r="C30">
        <v>-5.3761281206885461E-2</v>
      </c>
      <c r="D30">
        <v>0.57148662115772175</v>
      </c>
      <c r="E30" t="s">
        <v>7</v>
      </c>
    </row>
    <row r="31" spans="1:5" x14ac:dyDescent="0.25">
      <c r="A31">
        <v>2052</v>
      </c>
      <c r="B31">
        <v>0.62524790236460726</v>
      </c>
      <c r="C31">
        <v>-2.6108590692096659E-2</v>
      </c>
      <c r="D31">
        <v>0.59913931167251055</v>
      </c>
      <c r="E31" t="s">
        <v>7</v>
      </c>
    </row>
    <row r="32" spans="1:5" x14ac:dyDescent="0.25">
      <c r="A32">
        <v>2053</v>
      </c>
      <c r="B32">
        <v>0.62524790236460726</v>
      </c>
      <c r="C32">
        <v>-5.3856867576212747E-2</v>
      </c>
      <c r="D32">
        <v>0.57139103478839448</v>
      </c>
      <c r="E32" t="s">
        <v>7</v>
      </c>
    </row>
    <row r="33" spans="1:5" x14ac:dyDescent="0.25">
      <c r="A33">
        <v>2054</v>
      </c>
      <c r="B33">
        <v>0.62524790236460726</v>
      </c>
      <c r="C33">
        <v>0.16579159821393741</v>
      </c>
      <c r="D33">
        <v>0.79103950057854466</v>
      </c>
      <c r="E33" t="s">
        <v>7</v>
      </c>
    </row>
    <row r="34" spans="1:5" x14ac:dyDescent="0.25">
      <c r="A34">
        <v>2055</v>
      </c>
      <c r="B34">
        <v>0.62524790236460726</v>
      </c>
      <c r="C34">
        <v>-1.2080941618108009E-3</v>
      </c>
      <c r="D34">
        <v>0.62403980820279648</v>
      </c>
      <c r="E34" t="s">
        <v>7</v>
      </c>
    </row>
    <row r="35" spans="1:5" x14ac:dyDescent="0.25">
      <c r="A35">
        <v>2056</v>
      </c>
      <c r="B35">
        <v>0.62524790236460726</v>
      </c>
      <c r="C35">
        <v>-9.4672380653469279E-2</v>
      </c>
      <c r="D35">
        <v>0.53057552171113798</v>
      </c>
      <c r="E35" t="s">
        <v>7</v>
      </c>
    </row>
    <row r="36" spans="1:5" x14ac:dyDescent="0.25">
      <c r="A36">
        <v>2057</v>
      </c>
      <c r="B36">
        <v>0.62524790236460726</v>
      </c>
      <c r="C36">
        <v>7.3623409658892081E-2</v>
      </c>
      <c r="D36">
        <v>0.69887131202349928</v>
      </c>
      <c r="E36" t="s">
        <v>7</v>
      </c>
    </row>
    <row r="37" spans="1:5" x14ac:dyDescent="0.25">
      <c r="A37">
        <v>2058</v>
      </c>
      <c r="B37">
        <v>0.62524790236460726</v>
      </c>
      <c r="C37">
        <v>-0.10927387775270531</v>
      </c>
      <c r="D37">
        <v>0.51597402461190189</v>
      </c>
      <c r="E37" t="s">
        <v>7</v>
      </c>
    </row>
    <row r="38" spans="1:5" x14ac:dyDescent="0.25">
      <c r="A38">
        <v>2059</v>
      </c>
      <c r="B38">
        <v>0.62524790236460726</v>
      </c>
      <c r="C38">
        <v>1.8694723888748509E-2</v>
      </c>
      <c r="D38">
        <v>0.64394262625335574</v>
      </c>
      <c r="E38" t="s">
        <v>7</v>
      </c>
    </row>
    <row r="39" spans="1:5" x14ac:dyDescent="0.25">
      <c r="A39">
        <v>2060</v>
      </c>
      <c r="B39">
        <v>0.62524790236460726</v>
      </c>
      <c r="C39">
        <v>-0.17540391315263859</v>
      </c>
      <c r="D39">
        <v>0.44984398921196872</v>
      </c>
      <c r="E39" t="s">
        <v>7</v>
      </c>
    </row>
    <row r="40" spans="1:5" x14ac:dyDescent="0.25">
      <c r="A40">
        <v>2061</v>
      </c>
      <c r="B40">
        <v>0.62524790236460726</v>
      </c>
      <c r="C40">
        <v>-0.1188817584820306</v>
      </c>
      <c r="D40">
        <v>0.50636614388257661</v>
      </c>
      <c r="E40" t="s">
        <v>7</v>
      </c>
    </row>
    <row r="41" spans="1:5" x14ac:dyDescent="0.25">
      <c r="A41">
        <v>2062</v>
      </c>
      <c r="B41">
        <v>0.62524790236460726</v>
      </c>
      <c r="C41">
        <v>1.7620430448337668E-2</v>
      </c>
      <c r="D41">
        <v>0.64286833281294498</v>
      </c>
      <c r="E41" t="s">
        <v>7</v>
      </c>
    </row>
    <row r="42" spans="1:5" x14ac:dyDescent="0.25">
      <c r="A42">
        <v>2063</v>
      </c>
      <c r="B42">
        <v>0.62524790236460726</v>
      </c>
      <c r="C42">
        <v>6.6097822426968614E-2</v>
      </c>
      <c r="D42">
        <v>0.69134572479157586</v>
      </c>
      <c r="E42" t="s">
        <v>7</v>
      </c>
    </row>
    <row r="43" spans="1:5" x14ac:dyDescent="0.25">
      <c r="A43">
        <v>2064</v>
      </c>
      <c r="B43">
        <v>0.62524790236460726</v>
      </c>
      <c r="C43">
        <v>1.5338636204471019E-2</v>
      </c>
      <c r="D43">
        <v>0.64058653856907832</v>
      </c>
      <c r="E43" t="s">
        <v>7</v>
      </c>
    </row>
    <row r="44" spans="1:5" x14ac:dyDescent="0.25">
      <c r="A44">
        <v>2065</v>
      </c>
      <c r="B44">
        <v>0.62524790236460726</v>
      </c>
      <c r="C44">
        <v>-1.03513142508485E-2</v>
      </c>
      <c r="D44">
        <v>0.6148965881137588</v>
      </c>
      <c r="E44" t="s">
        <v>7</v>
      </c>
    </row>
    <row r="45" spans="1:5" x14ac:dyDescent="0.25">
      <c r="A45">
        <v>2066</v>
      </c>
      <c r="B45">
        <v>0.62524790236460726</v>
      </c>
      <c r="C45">
        <v>-2.6950845362952669E-2</v>
      </c>
      <c r="D45">
        <v>0.59829705700165459</v>
      </c>
      <c r="E45" t="s">
        <v>7</v>
      </c>
    </row>
    <row r="46" spans="1:5" x14ac:dyDescent="0.25">
      <c r="A46">
        <v>2067</v>
      </c>
      <c r="B46">
        <v>0.62524790236460726</v>
      </c>
      <c r="C46">
        <v>-0.1323378560669351</v>
      </c>
      <c r="D46">
        <v>0.49291004629767221</v>
      </c>
      <c r="E46" t="s">
        <v>7</v>
      </c>
    </row>
    <row r="47" spans="1:5" x14ac:dyDescent="0.25">
      <c r="A47">
        <v>2068</v>
      </c>
      <c r="B47">
        <v>0.62524790236460726</v>
      </c>
      <c r="C47">
        <v>-6.4430992478834936E-2</v>
      </c>
      <c r="D47">
        <v>0.56081690988577226</v>
      </c>
      <c r="E47" t="s">
        <v>7</v>
      </c>
    </row>
    <row r="48" spans="1:5" x14ac:dyDescent="0.25">
      <c r="A48">
        <v>2069</v>
      </c>
      <c r="B48">
        <v>0.62524790236460726</v>
      </c>
      <c r="C48">
        <v>-4.1230328508659569E-2</v>
      </c>
      <c r="D48">
        <v>0.58401757385594766</v>
      </c>
      <c r="E48" t="s">
        <v>7</v>
      </c>
    </row>
    <row r="49" spans="1:5" x14ac:dyDescent="0.25">
      <c r="A49">
        <v>2070</v>
      </c>
      <c r="B49">
        <v>0.62524790236460726</v>
      </c>
      <c r="C49">
        <v>9.4619687721892443E-2</v>
      </c>
      <c r="D49">
        <v>0.7198675900864997</v>
      </c>
      <c r="E49" t="s">
        <v>7</v>
      </c>
    </row>
    <row r="50" spans="1:5" x14ac:dyDescent="0.25">
      <c r="A50">
        <v>2071</v>
      </c>
      <c r="B50">
        <v>0.62524790236460726</v>
      </c>
      <c r="C50">
        <v>3.0756193038141279E-2</v>
      </c>
      <c r="D50">
        <v>0.65600409540274851</v>
      </c>
      <c r="E50" t="s">
        <v>7</v>
      </c>
    </row>
    <row r="51" spans="1:5" x14ac:dyDescent="0.25">
      <c r="A51">
        <v>2072</v>
      </c>
      <c r="B51">
        <v>0.62524790236460726</v>
      </c>
      <c r="C51">
        <v>-0.15780418271806609</v>
      </c>
      <c r="D51">
        <v>0.46744371964654108</v>
      </c>
      <c r="E51" t="s">
        <v>7</v>
      </c>
    </row>
    <row r="52" spans="1:5" x14ac:dyDescent="0.25">
      <c r="A52">
        <v>2073</v>
      </c>
      <c r="B52">
        <v>0.62524790236460726</v>
      </c>
      <c r="C52">
        <v>2.9007737439678619E-2</v>
      </c>
      <c r="D52">
        <v>0.65425563980428592</v>
      </c>
      <c r="E52" t="s">
        <v>7</v>
      </c>
    </row>
    <row r="53" spans="1:5" x14ac:dyDescent="0.25">
      <c r="A53">
        <v>2074</v>
      </c>
      <c r="B53">
        <v>0.62524790236460726</v>
      </c>
      <c r="C53">
        <v>-3.4467504529301807E-2</v>
      </c>
      <c r="D53">
        <v>0.59078039783530545</v>
      </c>
      <c r="E53" t="s">
        <v>7</v>
      </c>
    </row>
    <row r="54" spans="1:5" x14ac:dyDescent="0.25">
      <c r="A54">
        <v>2075</v>
      </c>
      <c r="B54">
        <v>0.62524790236460726</v>
      </c>
      <c r="C54">
        <v>-6.0589160545910882E-2</v>
      </c>
      <c r="D54">
        <v>0.56465874181869635</v>
      </c>
      <c r="E54" t="s">
        <v>7</v>
      </c>
    </row>
    <row r="55" spans="1:5" x14ac:dyDescent="0.25">
      <c r="A55">
        <v>2076</v>
      </c>
      <c r="B55">
        <v>0.62524790236460726</v>
      </c>
      <c r="C55">
        <v>5.4749221993014401E-2</v>
      </c>
      <c r="D55">
        <v>0.67999712435762161</v>
      </c>
      <c r="E55" t="s">
        <v>7</v>
      </c>
    </row>
    <row r="56" spans="1:5" x14ac:dyDescent="0.25">
      <c r="A56">
        <v>2077</v>
      </c>
      <c r="B56">
        <v>0.62524790236460726</v>
      </c>
      <c r="C56">
        <v>9.2281526620541635E-2</v>
      </c>
      <c r="D56">
        <v>0.71752942898514893</v>
      </c>
      <c r="E56" t="s">
        <v>7</v>
      </c>
    </row>
    <row r="57" spans="1:5" x14ac:dyDescent="0.25">
      <c r="A57">
        <v>2078</v>
      </c>
      <c r="B57">
        <v>0.62524790236460726</v>
      </c>
      <c r="C57">
        <v>8.3355956262084668E-2</v>
      </c>
      <c r="D57">
        <v>0.70860385862669195</v>
      </c>
      <c r="E57" t="s">
        <v>7</v>
      </c>
    </row>
    <row r="58" spans="1:5" x14ac:dyDescent="0.25">
      <c r="A58">
        <v>2079</v>
      </c>
      <c r="B58">
        <v>0.62524790236460726</v>
      </c>
      <c r="C58">
        <v>-7.5115722674836724E-2</v>
      </c>
      <c r="D58">
        <v>0.55013217968977057</v>
      </c>
      <c r="E58" t="s">
        <v>7</v>
      </c>
    </row>
    <row r="59" spans="1:5" x14ac:dyDescent="0.25">
      <c r="A59">
        <v>2080</v>
      </c>
      <c r="B59">
        <v>0.62524790236460726</v>
      </c>
      <c r="C59">
        <v>-2.7676627845990929E-2</v>
      </c>
      <c r="D59">
        <v>0.59757127451861636</v>
      </c>
      <c r="E59" t="s">
        <v>7</v>
      </c>
    </row>
    <row r="60" spans="1:5" x14ac:dyDescent="0.25">
      <c r="A60">
        <v>2081</v>
      </c>
      <c r="B60">
        <v>0.62524790236460726</v>
      </c>
      <c r="C60">
        <v>2.9650348517595949E-2</v>
      </c>
      <c r="D60">
        <v>0.65489825088220321</v>
      </c>
      <c r="E60" t="s">
        <v>7</v>
      </c>
    </row>
    <row r="61" spans="1:5" x14ac:dyDescent="0.25">
      <c r="A61">
        <v>2082</v>
      </c>
      <c r="B61">
        <v>0.62524790236460726</v>
      </c>
      <c r="C61">
        <v>8.7317977994926965E-2</v>
      </c>
      <c r="D61">
        <v>0.71256588035953428</v>
      </c>
      <c r="E61" t="s">
        <v>7</v>
      </c>
    </row>
    <row r="62" spans="1:5" x14ac:dyDescent="0.25">
      <c r="A62">
        <v>2083</v>
      </c>
      <c r="B62">
        <v>0.62524790236460726</v>
      </c>
      <c r="C62">
        <v>-4.2889379888894692E-2</v>
      </c>
      <c r="D62">
        <v>0.58235852247571251</v>
      </c>
      <c r="E62" t="s">
        <v>7</v>
      </c>
    </row>
    <row r="63" spans="1:5" x14ac:dyDescent="0.25">
      <c r="A63">
        <v>2084</v>
      </c>
      <c r="B63">
        <v>0.62524790236460726</v>
      </c>
      <c r="C63">
        <v>-1.661775143781586E-2</v>
      </c>
      <c r="D63">
        <v>0.6086301509267914</v>
      </c>
      <c r="E63" t="s">
        <v>7</v>
      </c>
    </row>
    <row r="64" spans="1:5" x14ac:dyDescent="0.25">
      <c r="A64">
        <v>2085</v>
      </c>
      <c r="B64">
        <v>0.62524790236460726</v>
      </c>
      <c r="C64">
        <v>-9.9024566090790286E-2</v>
      </c>
      <c r="D64">
        <v>0.52622333627381701</v>
      </c>
      <c r="E64" t="s">
        <v>7</v>
      </c>
    </row>
    <row r="65" spans="1:5" x14ac:dyDescent="0.25">
      <c r="A65">
        <v>2086</v>
      </c>
      <c r="B65">
        <v>0.62524790236460726</v>
      </c>
      <c r="C65">
        <v>-0.10706869500436859</v>
      </c>
      <c r="D65">
        <v>0.51817920736023859</v>
      </c>
      <c r="E65" t="s">
        <v>7</v>
      </c>
    </row>
    <row r="66" spans="1:5" x14ac:dyDescent="0.25">
      <c r="A66">
        <v>2087</v>
      </c>
      <c r="B66">
        <v>0.62524790236460726</v>
      </c>
      <c r="C66">
        <v>7.2726632431046684E-2</v>
      </c>
      <c r="D66">
        <v>0.69797453479565397</v>
      </c>
      <c r="E66" t="s">
        <v>7</v>
      </c>
    </row>
    <row r="67" spans="1:5" x14ac:dyDescent="0.25">
      <c r="A67">
        <v>2088</v>
      </c>
      <c r="B67">
        <v>0.62524790236460726</v>
      </c>
      <c r="C67">
        <v>0.1213927820232274</v>
      </c>
      <c r="D67">
        <v>0.74664068438783471</v>
      </c>
      <c r="E67" t="s">
        <v>7</v>
      </c>
    </row>
    <row r="68" spans="1:5" x14ac:dyDescent="0.25">
      <c r="A68">
        <v>2089</v>
      </c>
      <c r="B68">
        <v>0.62524790236460726</v>
      </c>
      <c r="C68">
        <v>-6.445399640415561E-3</v>
      </c>
      <c r="D68">
        <v>0.61880250272419168</v>
      </c>
      <c r="E68" t="s">
        <v>7</v>
      </c>
    </row>
    <row r="69" spans="1:5" x14ac:dyDescent="0.25">
      <c r="A69">
        <v>2090</v>
      </c>
      <c r="B69">
        <v>0.62524790236460726</v>
      </c>
      <c r="C69">
        <v>8.9823075385348505E-2</v>
      </c>
      <c r="D69">
        <v>0.71507097774995576</v>
      </c>
      <c r="E69" t="s">
        <v>7</v>
      </c>
    </row>
    <row r="70" spans="1:5" x14ac:dyDescent="0.25">
      <c r="A70">
        <v>2091</v>
      </c>
      <c r="B70">
        <v>0.62524790236460726</v>
      </c>
      <c r="C70">
        <v>3.2368903907529382E-2</v>
      </c>
      <c r="D70">
        <v>0.65761680627213659</v>
      </c>
      <c r="E70" t="s">
        <v>7</v>
      </c>
    </row>
    <row r="71" spans="1:5" x14ac:dyDescent="0.25">
      <c r="A71">
        <v>2092</v>
      </c>
      <c r="B71">
        <v>0.62524790236460726</v>
      </c>
      <c r="C71">
        <v>-5.7742641494059339E-2</v>
      </c>
      <c r="D71">
        <v>0.56750526087054787</v>
      </c>
      <c r="E71" t="s">
        <v>7</v>
      </c>
    </row>
    <row r="72" spans="1:5" x14ac:dyDescent="0.25">
      <c r="A72">
        <v>2093</v>
      </c>
      <c r="B72">
        <v>0.62524790236460726</v>
      </c>
      <c r="C72">
        <v>3.2347384710260559E-2</v>
      </c>
      <c r="D72">
        <v>0.65759528707486781</v>
      </c>
      <c r="E72" t="s">
        <v>7</v>
      </c>
    </row>
    <row r="73" spans="1:5" x14ac:dyDescent="0.25">
      <c r="A73">
        <v>2094</v>
      </c>
      <c r="B73">
        <v>0.62524790236460726</v>
      </c>
      <c r="C73">
        <v>0.13766481870727851</v>
      </c>
      <c r="D73">
        <v>0.76291272107188579</v>
      </c>
      <c r="E73" t="s">
        <v>7</v>
      </c>
    </row>
    <row r="74" spans="1:5" x14ac:dyDescent="0.25">
      <c r="A74">
        <v>2095</v>
      </c>
      <c r="B74">
        <v>0.62524790236460726</v>
      </c>
      <c r="C74">
        <v>-3.2066761523127109E-3</v>
      </c>
      <c r="D74">
        <v>0.62204122621229452</v>
      </c>
      <c r="E74" t="s">
        <v>7</v>
      </c>
    </row>
    <row r="75" spans="1:5" x14ac:dyDescent="0.25">
      <c r="A75">
        <v>2096</v>
      </c>
      <c r="B75">
        <v>0.62524790236460726</v>
      </c>
      <c r="C75">
        <v>0.14004633564340849</v>
      </c>
      <c r="D75">
        <v>0.76529423800801566</v>
      </c>
      <c r="E75" t="s">
        <v>7</v>
      </c>
    </row>
    <row r="76" spans="1:5" x14ac:dyDescent="0.25">
      <c r="A76">
        <v>2097</v>
      </c>
      <c r="B76">
        <v>0.62524790236460726</v>
      </c>
      <c r="C76">
        <v>-0.23448514988331701</v>
      </c>
      <c r="D76">
        <v>0.39076275248129022</v>
      </c>
      <c r="E76" t="s">
        <v>7</v>
      </c>
    </row>
    <row r="77" spans="1:5" x14ac:dyDescent="0.25">
      <c r="A77">
        <v>2098</v>
      </c>
      <c r="B77">
        <v>0.62524790236460726</v>
      </c>
      <c r="C77">
        <v>7.3565909762378118E-2</v>
      </c>
      <c r="D77">
        <v>0.69881381212698535</v>
      </c>
      <c r="E77" t="s">
        <v>7</v>
      </c>
    </row>
    <row r="78" spans="1:5" x14ac:dyDescent="0.25">
      <c r="A78">
        <v>2099</v>
      </c>
      <c r="B78">
        <v>0.62524790236460726</v>
      </c>
      <c r="C78">
        <v>7.7913094716224266E-3</v>
      </c>
      <c r="D78">
        <v>0.63303921183622969</v>
      </c>
      <c r="E78" t="s">
        <v>7</v>
      </c>
    </row>
    <row r="79" spans="1:5" x14ac:dyDescent="0.25">
      <c r="A79">
        <v>2100</v>
      </c>
      <c r="B79">
        <v>0.62524790236460726</v>
      </c>
      <c r="C79">
        <v>-2.676320810018798E-2</v>
      </c>
      <c r="D79">
        <v>0.5984846942644193</v>
      </c>
      <c r="E79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25">
      <c r="A2">
        <v>2023</v>
      </c>
      <c r="B2">
        <v>0.53146071700991615</v>
      </c>
      <c r="C2">
        <v>3.7790424179340969E-2</v>
      </c>
      <c r="D2">
        <v>0.56925114118925713</v>
      </c>
      <c r="E2" t="s">
        <v>9</v>
      </c>
      <c r="F2">
        <v>0.85</v>
      </c>
    </row>
    <row r="3" spans="1:6" x14ac:dyDescent="0.25">
      <c r="A3">
        <v>2024</v>
      </c>
      <c r="B3">
        <v>0.53146071700991615</v>
      </c>
      <c r="C3">
        <v>-1.051926255461672E-2</v>
      </c>
      <c r="D3">
        <v>0.52094145445529949</v>
      </c>
      <c r="E3" t="s">
        <v>9</v>
      </c>
      <c r="F3">
        <v>0.85</v>
      </c>
    </row>
    <row r="4" spans="1:6" x14ac:dyDescent="0.25">
      <c r="A4">
        <v>2025</v>
      </c>
      <c r="B4">
        <v>0.53146071700991615</v>
      </c>
      <c r="C4">
        <v>4.927668044596447E-2</v>
      </c>
      <c r="D4">
        <v>0.5807373974558806</v>
      </c>
      <c r="E4" t="s">
        <v>9</v>
      </c>
      <c r="F4">
        <v>0.85</v>
      </c>
    </row>
    <row r="5" spans="1:6" x14ac:dyDescent="0.25">
      <c r="A5">
        <v>2026</v>
      </c>
      <c r="B5">
        <v>0.53146071700991615</v>
      </c>
      <c r="C5">
        <v>0.1158733729702251</v>
      </c>
      <c r="D5">
        <v>0.6473340899801413</v>
      </c>
      <c r="E5" t="s">
        <v>9</v>
      </c>
      <c r="F5">
        <v>0.85</v>
      </c>
    </row>
    <row r="6" spans="1:6" x14ac:dyDescent="0.25">
      <c r="A6">
        <v>2027</v>
      </c>
      <c r="B6">
        <v>0.53146071700991615</v>
      </c>
      <c r="C6">
        <v>-1.7814582693436831E-2</v>
      </c>
      <c r="D6">
        <v>0.51364613431647932</v>
      </c>
      <c r="E6" t="s">
        <v>9</v>
      </c>
      <c r="F6">
        <v>0.85</v>
      </c>
    </row>
    <row r="7" spans="1:6" x14ac:dyDescent="0.25">
      <c r="A7">
        <v>2028</v>
      </c>
      <c r="B7">
        <v>0.53146071700991615</v>
      </c>
      <c r="C7">
        <v>-1.781333361558058E-2</v>
      </c>
      <c r="D7">
        <v>0.51364738339433558</v>
      </c>
      <c r="E7" t="s">
        <v>9</v>
      </c>
      <c r="F7">
        <v>0.85</v>
      </c>
    </row>
    <row r="8" spans="1:6" x14ac:dyDescent="0.25">
      <c r="A8">
        <v>2029</v>
      </c>
      <c r="B8">
        <v>0.53146071700991615</v>
      </c>
      <c r="C8">
        <v>0.12014781903370909</v>
      </c>
      <c r="D8">
        <v>0.65160853604362523</v>
      </c>
      <c r="E8" t="s">
        <v>9</v>
      </c>
      <c r="F8">
        <v>0.85</v>
      </c>
    </row>
    <row r="9" spans="1:6" x14ac:dyDescent="0.25">
      <c r="A9">
        <v>2030</v>
      </c>
      <c r="B9">
        <v>0.53146071700991615</v>
      </c>
      <c r="C9">
        <v>5.8387069844555509E-2</v>
      </c>
      <c r="D9">
        <v>0.5898477868544717</v>
      </c>
      <c r="E9" t="s">
        <v>9</v>
      </c>
      <c r="F9">
        <v>0.85</v>
      </c>
    </row>
    <row r="10" spans="1:6" x14ac:dyDescent="0.25">
      <c r="A10">
        <v>2031</v>
      </c>
      <c r="B10">
        <v>0.53146071700991615</v>
      </c>
      <c r="C10">
        <v>-3.5718000138031621E-2</v>
      </c>
      <c r="D10">
        <v>0.49574271687188459</v>
      </c>
      <c r="E10" t="s">
        <v>9</v>
      </c>
      <c r="F10">
        <v>0.85</v>
      </c>
    </row>
    <row r="11" spans="1:6" x14ac:dyDescent="0.25">
      <c r="A11">
        <v>2032</v>
      </c>
      <c r="B11">
        <v>0.53146071700991615</v>
      </c>
      <c r="C11">
        <v>4.1278417507486773E-2</v>
      </c>
      <c r="D11">
        <v>0.57273913451740299</v>
      </c>
      <c r="E11" t="s">
        <v>9</v>
      </c>
      <c r="F11">
        <v>0.85</v>
      </c>
    </row>
    <row r="12" spans="1:6" x14ac:dyDescent="0.25">
      <c r="A12">
        <v>2033</v>
      </c>
      <c r="B12">
        <v>0.53146071700991615</v>
      </c>
      <c r="C12">
        <v>-3.5257201908636668E-2</v>
      </c>
      <c r="D12">
        <v>0.49620351510127952</v>
      </c>
      <c r="E12" t="s">
        <v>9</v>
      </c>
      <c r="F12">
        <v>0.85</v>
      </c>
    </row>
    <row r="13" spans="1:6" x14ac:dyDescent="0.25">
      <c r="A13">
        <v>2034</v>
      </c>
      <c r="B13">
        <v>0.53146071700991615</v>
      </c>
      <c r="C13">
        <v>-3.5433105406122663E-2</v>
      </c>
      <c r="D13">
        <v>0.49602761160379349</v>
      </c>
      <c r="E13" t="s">
        <v>9</v>
      </c>
      <c r="F13">
        <v>0.85</v>
      </c>
    </row>
    <row r="14" spans="1:6" x14ac:dyDescent="0.25">
      <c r="A14">
        <v>2035</v>
      </c>
      <c r="B14">
        <v>0.53146071700991615</v>
      </c>
      <c r="C14">
        <v>1.8408690033179999E-2</v>
      </c>
      <c r="D14">
        <v>0.54986940704309617</v>
      </c>
      <c r="E14" t="s">
        <v>9</v>
      </c>
      <c r="F14">
        <v>0.85</v>
      </c>
    </row>
    <row r="15" spans="1:6" x14ac:dyDescent="0.25">
      <c r="A15">
        <v>2036</v>
      </c>
      <c r="B15">
        <v>0.53146071700991615</v>
      </c>
      <c r="C15">
        <v>-0.1455639457447398</v>
      </c>
      <c r="D15">
        <v>0.38589677126517641</v>
      </c>
      <c r="E15" t="s">
        <v>9</v>
      </c>
      <c r="F15">
        <v>0.85</v>
      </c>
    </row>
    <row r="16" spans="1:6" x14ac:dyDescent="0.25">
      <c r="A16">
        <v>2037</v>
      </c>
      <c r="B16">
        <v>0.53146071700991615</v>
      </c>
      <c r="C16">
        <v>-0.1312331774120051</v>
      </c>
      <c r="D16">
        <v>0.40022753959791108</v>
      </c>
      <c r="E16" t="s">
        <v>9</v>
      </c>
      <c r="F16">
        <v>0.85</v>
      </c>
    </row>
    <row r="17" spans="1:6" x14ac:dyDescent="0.25">
      <c r="A17">
        <v>2038</v>
      </c>
      <c r="B17">
        <v>0.53146071700991615</v>
      </c>
      <c r="C17">
        <v>-4.2779300955995553E-2</v>
      </c>
      <c r="D17">
        <v>0.48868141605392063</v>
      </c>
      <c r="E17" t="s">
        <v>9</v>
      </c>
      <c r="F17">
        <v>0.85</v>
      </c>
    </row>
    <row r="18" spans="1:6" x14ac:dyDescent="0.25">
      <c r="A18">
        <v>2039</v>
      </c>
      <c r="B18">
        <v>0.53146071700991615</v>
      </c>
      <c r="C18">
        <v>-7.7057030542492827E-2</v>
      </c>
      <c r="D18">
        <v>0.4544036864674233</v>
      </c>
      <c r="E18" t="s">
        <v>9</v>
      </c>
      <c r="F18">
        <v>0.85</v>
      </c>
    </row>
    <row r="19" spans="1:6" x14ac:dyDescent="0.25">
      <c r="A19">
        <v>2040</v>
      </c>
      <c r="B19">
        <v>0.53146071700991615</v>
      </c>
      <c r="C19">
        <v>2.390819734853274E-2</v>
      </c>
      <c r="D19">
        <v>0.55536891435844893</v>
      </c>
      <c r="E19" t="s">
        <v>9</v>
      </c>
      <c r="F19">
        <v>0.85</v>
      </c>
    </row>
    <row r="20" spans="1:6" x14ac:dyDescent="0.25">
      <c r="A20">
        <v>2041</v>
      </c>
      <c r="B20">
        <v>0.53146071700991615</v>
      </c>
      <c r="C20">
        <v>-6.9083223763556634E-2</v>
      </c>
      <c r="D20">
        <v>0.46237749324635952</v>
      </c>
      <c r="E20" t="s">
        <v>9</v>
      </c>
      <c r="F20">
        <v>0.85</v>
      </c>
    </row>
    <row r="21" spans="1:6" x14ac:dyDescent="0.25">
      <c r="A21">
        <v>2042</v>
      </c>
      <c r="B21">
        <v>0.53146071700991615</v>
      </c>
      <c r="C21">
        <v>-0.1074492353800658</v>
      </c>
      <c r="D21">
        <v>0.42401148162985042</v>
      </c>
      <c r="E21" t="s">
        <v>9</v>
      </c>
      <c r="F21">
        <v>0.85</v>
      </c>
    </row>
    <row r="22" spans="1:6" x14ac:dyDescent="0.25">
      <c r="A22">
        <v>2043</v>
      </c>
      <c r="B22">
        <v>0.53146071700991615</v>
      </c>
      <c r="C22">
        <v>0.11150777230666491</v>
      </c>
      <c r="D22">
        <v>0.64296848931658102</v>
      </c>
      <c r="E22" t="s">
        <v>9</v>
      </c>
      <c r="F22">
        <v>0.85</v>
      </c>
    </row>
    <row r="23" spans="1:6" x14ac:dyDescent="0.25">
      <c r="A23">
        <v>2044</v>
      </c>
      <c r="B23">
        <v>0.53146071700991615</v>
      </c>
      <c r="C23">
        <v>-1.7177247946940592E-2</v>
      </c>
      <c r="D23">
        <v>0.51428346906297551</v>
      </c>
      <c r="E23" t="s">
        <v>9</v>
      </c>
      <c r="F23">
        <v>0.85</v>
      </c>
    </row>
    <row r="24" spans="1:6" x14ac:dyDescent="0.25">
      <c r="A24">
        <v>2045</v>
      </c>
      <c r="B24">
        <v>0.53146071700991615</v>
      </c>
      <c r="C24">
        <v>5.137601744897924E-3</v>
      </c>
      <c r="D24">
        <v>0.53659831875481401</v>
      </c>
      <c r="E24" t="s">
        <v>9</v>
      </c>
      <c r="F24">
        <v>0.85</v>
      </c>
    </row>
    <row r="25" spans="1:6" x14ac:dyDescent="0.25">
      <c r="A25">
        <v>2046</v>
      </c>
      <c r="B25">
        <v>0.53146071700991615</v>
      </c>
      <c r="C25">
        <v>-0.1083960220971107</v>
      </c>
      <c r="D25">
        <v>0.42306469491280552</v>
      </c>
      <c r="E25" t="s">
        <v>9</v>
      </c>
      <c r="F25">
        <v>0.85</v>
      </c>
    </row>
    <row r="26" spans="1:6" x14ac:dyDescent="0.25">
      <c r="A26">
        <v>2047</v>
      </c>
      <c r="B26">
        <v>0.53146071700991615</v>
      </c>
      <c r="C26">
        <v>-4.1417088583032079E-2</v>
      </c>
      <c r="D26">
        <v>0.49004362842688398</v>
      </c>
      <c r="E26" t="s">
        <v>9</v>
      </c>
      <c r="F26">
        <v>0.85</v>
      </c>
    </row>
    <row r="27" spans="1:6" x14ac:dyDescent="0.25">
      <c r="A27">
        <v>2048</v>
      </c>
      <c r="B27">
        <v>0.53146071700991615</v>
      </c>
      <c r="C27">
        <v>8.439082500055213E-3</v>
      </c>
      <c r="D27">
        <v>0.53989979950997136</v>
      </c>
      <c r="E27" t="s">
        <v>9</v>
      </c>
      <c r="F27">
        <v>0.85</v>
      </c>
    </row>
    <row r="28" spans="1:6" x14ac:dyDescent="0.25">
      <c r="A28">
        <v>2049</v>
      </c>
      <c r="B28">
        <v>0.53146071700991615</v>
      </c>
      <c r="C28">
        <v>-8.7568544714896251E-2</v>
      </c>
      <c r="D28">
        <v>0.44389217229501993</v>
      </c>
      <c r="E28" t="s">
        <v>9</v>
      </c>
      <c r="F28">
        <v>0.85</v>
      </c>
    </row>
    <row r="29" spans="1:6" x14ac:dyDescent="0.25">
      <c r="A29">
        <v>2050</v>
      </c>
      <c r="B29">
        <v>0.53146071700991615</v>
      </c>
      <c r="C29">
        <v>2.858341641877819E-2</v>
      </c>
      <c r="D29">
        <v>0.5600441334286943</v>
      </c>
      <c r="E29" t="s">
        <v>9</v>
      </c>
      <c r="F29">
        <v>0.85</v>
      </c>
    </row>
    <row r="30" spans="1:6" x14ac:dyDescent="0.25">
      <c r="A30">
        <v>2051</v>
      </c>
      <c r="B30">
        <v>0.53146071700991615</v>
      </c>
      <c r="C30">
        <v>-4.5697089025852643E-2</v>
      </c>
      <c r="D30">
        <v>0.48576362798406347</v>
      </c>
      <c r="E30" t="s">
        <v>9</v>
      </c>
      <c r="F30">
        <v>0.85</v>
      </c>
    </row>
    <row r="31" spans="1:6" x14ac:dyDescent="0.25">
      <c r="A31">
        <v>2052</v>
      </c>
      <c r="B31">
        <v>0.53146071700991615</v>
      </c>
      <c r="C31">
        <v>-2.219230208828216E-2</v>
      </c>
      <c r="D31">
        <v>0.50926841492163399</v>
      </c>
      <c r="E31" t="s">
        <v>9</v>
      </c>
      <c r="F31">
        <v>0.85</v>
      </c>
    </row>
    <row r="32" spans="1:6" x14ac:dyDescent="0.25">
      <c r="A32">
        <v>2053</v>
      </c>
      <c r="B32">
        <v>0.53146071700991615</v>
      </c>
      <c r="C32">
        <v>-4.5778337439780839E-2</v>
      </c>
      <c r="D32">
        <v>0.48568237957013533</v>
      </c>
      <c r="E32" t="s">
        <v>9</v>
      </c>
      <c r="F32">
        <v>0.85</v>
      </c>
    </row>
    <row r="33" spans="1:6" x14ac:dyDescent="0.25">
      <c r="A33">
        <v>2054</v>
      </c>
      <c r="B33">
        <v>0.53146071700991615</v>
      </c>
      <c r="C33">
        <v>0.1409228584818468</v>
      </c>
      <c r="D33">
        <v>0.67238357549176297</v>
      </c>
      <c r="E33" t="s">
        <v>9</v>
      </c>
      <c r="F33">
        <v>0.85</v>
      </c>
    </row>
    <row r="34" spans="1:6" x14ac:dyDescent="0.25">
      <c r="A34">
        <v>2055</v>
      </c>
      <c r="B34">
        <v>0.53146071700991615</v>
      </c>
      <c r="C34">
        <v>-1.0268800375391809E-3</v>
      </c>
      <c r="D34">
        <v>0.530433836972377</v>
      </c>
      <c r="E34" t="s">
        <v>9</v>
      </c>
      <c r="F34">
        <v>0.85</v>
      </c>
    </row>
    <row r="35" spans="1:6" x14ac:dyDescent="0.25">
      <c r="A35">
        <v>2056</v>
      </c>
      <c r="B35">
        <v>0.53146071700991615</v>
      </c>
      <c r="C35">
        <v>-8.0471523555448884E-2</v>
      </c>
      <c r="D35">
        <v>0.45098919345446731</v>
      </c>
      <c r="E35" t="s">
        <v>9</v>
      </c>
      <c r="F35">
        <v>0.85</v>
      </c>
    </row>
    <row r="36" spans="1:6" x14ac:dyDescent="0.25">
      <c r="A36">
        <v>2057</v>
      </c>
      <c r="B36">
        <v>0.53146071700991615</v>
      </c>
      <c r="C36">
        <v>6.2579898210058271E-2</v>
      </c>
      <c r="D36">
        <v>0.59404061521997442</v>
      </c>
      <c r="E36" t="s">
        <v>9</v>
      </c>
      <c r="F36">
        <v>0.85</v>
      </c>
    </row>
    <row r="37" spans="1:6" x14ac:dyDescent="0.25">
      <c r="A37">
        <v>2058</v>
      </c>
      <c r="B37">
        <v>0.53146071700991615</v>
      </c>
      <c r="C37">
        <v>-9.2882796089799519E-2</v>
      </c>
      <c r="D37">
        <v>0.4385779209201166</v>
      </c>
      <c r="E37" t="s">
        <v>9</v>
      </c>
      <c r="F37">
        <v>0.85</v>
      </c>
    </row>
    <row r="38" spans="1:6" x14ac:dyDescent="0.25">
      <c r="A38">
        <v>2059</v>
      </c>
      <c r="B38">
        <v>0.53146071700991615</v>
      </c>
      <c r="C38">
        <v>1.589051530543624E-2</v>
      </c>
      <c r="D38">
        <v>0.54735123231535232</v>
      </c>
      <c r="E38" t="s">
        <v>9</v>
      </c>
      <c r="F38">
        <v>0.85</v>
      </c>
    </row>
    <row r="39" spans="1:6" x14ac:dyDescent="0.25">
      <c r="A39">
        <v>2060</v>
      </c>
      <c r="B39">
        <v>0.53146071700991615</v>
      </c>
      <c r="C39">
        <v>-0.1490933261797428</v>
      </c>
      <c r="D39">
        <v>0.38236739083017329</v>
      </c>
      <c r="E39" t="s">
        <v>9</v>
      </c>
      <c r="F39">
        <v>0.85</v>
      </c>
    </row>
    <row r="40" spans="1:6" x14ac:dyDescent="0.25">
      <c r="A40">
        <v>2061</v>
      </c>
      <c r="B40">
        <v>0.53146071700991615</v>
      </c>
      <c r="C40">
        <v>-0.101049494709726</v>
      </c>
      <c r="D40">
        <v>0.43041122230019008</v>
      </c>
      <c r="E40" t="s">
        <v>9</v>
      </c>
      <c r="F40">
        <v>0.85</v>
      </c>
    </row>
    <row r="41" spans="1:6" x14ac:dyDescent="0.25">
      <c r="A41">
        <v>2062</v>
      </c>
      <c r="B41">
        <v>0.53146071700991615</v>
      </c>
      <c r="C41">
        <v>1.497736588108702E-2</v>
      </c>
      <c r="D41">
        <v>0.54643808289100326</v>
      </c>
      <c r="E41" t="s">
        <v>9</v>
      </c>
      <c r="F41">
        <v>0.85</v>
      </c>
    </row>
    <row r="42" spans="1:6" x14ac:dyDescent="0.25">
      <c r="A42">
        <v>2063</v>
      </c>
      <c r="B42">
        <v>0.53146071700991615</v>
      </c>
      <c r="C42">
        <v>5.6183149062923321E-2</v>
      </c>
      <c r="D42">
        <v>0.58764386607283947</v>
      </c>
      <c r="E42" t="s">
        <v>9</v>
      </c>
      <c r="F42">
        <v>0.85</v>
      </c>
    </row>
    <row r="43" spans="1:6" x14ac:dyDescent="0.25">
      <c r="A43">
        <v>2064</v>
      </c>
      <c r="B43">
        <v>0.53146071700991615</v>
      </c>
      <c r="C43">
        <v>1.3037840773800369E-2</v>
      </c>
      <c r="D43">
        <v>0.54449855778371659</v>
      </c>
      <c r="E43" t="s">
        <v>9</v>
      </c>
      <c r="F43">
        <v>0.85</v>
      </c>
    </row>
    <row r="44" spans="1:6" x14ac:dyDescent="0.25">
      <c r="A44">
        <v>2065</v>
      </c>
      <c r="B44">
        <v>0.53146071700991615</v>
      </c>
      <c r="C44">
        <v>-8.798617113221224E-3</v>
      </c>
      <c r="D44">
        <v>0.52266209989669499</v>
      </c>
      <c r="E44" t="s">
        <v>9</v>
      </c>
      <c r="F44">
        <v>0.85</v>
      </c>
    </row>
    <row r="45" spans="1:6" x14ac:dyDescent="0.25">
      <c r="A45">
        <v>2066</v>
      </c>
      <c r="B45">
        <v>0.53146071700991615</v>
      </c>
      <c r="C45">
        <v>-2.2908218558509771E-2</v>
      </c>
      <c r="D45">
        <v>0.50855249845140638</v>
      </c>
      <c r="E45" t="s">
        <v>9</v>
      </c>
      <c r="F45">
        <v>0.85</v>
      </c>
    </row>
    <row r="46" spans="1:6" x14ac:dyDescent="0.25">
      <c r="A46">
        <v>2067</v>
      </c>
      <c r="B46">
        <v>0.53146071700991615</v>
      </c>
      <c r="C46">
        <v>-0.1124871776568948</v>
      </c>
      <c r="D46">
        <v>0.4189735393530214</v>
      </c>
      <c r="E46" t="s">
        <v>9</v>
      </c>
      <c r="F46">
        <v>0.85</v>
      </c>
    </row>
    <row r="47" spans="1:6" x14ac:dyDescent="0.25">
      <c r="A47">
        <v>2068</v>
      </c>
      <c r="B47">
        <v>0.53146071700991615</v>
      </c>
      <c r="C47">
        <v>-5.4766343607009688E-2</v>
      </c>
      <c r="D47">
        <v>0.47669437340290638</v>
      </c>
      <c r="E47" t="s">
        <v>9</v>
      </c>
      <c r="F47">
        <v>0.85</v>
      </c>
    </row>
    <row r="48" spans="1:6" x14ac:dyDescent="0.25">
      <c r="A48">
        <v>2069</v>
      </c>
      <c r="B48">
        <v>0.53146071700991615</v>
      </c>
      <c r="C48">
        <v>-3.504577923236063E-2</v>
      </c>
      <c r="D48">
        <v>0.49641493777755552</v>
      </c>
      <c r="E48" t="s">
        <v>9</v>
      </c>
      <c r="F48">
        <v>0.85</v>
      </c>
    </row>
    <row r="49" spans="1:6" x14ac:dyDescent="0.25">
      <c r="A49">
        <v>2070</v>
      </c>
      <c r="B49">
        <v>0.53146071700991615</v>
      </c>
      <c r="C49">
        <v>8.0426734563608576E-2</v>
      </c>
      <c r="D49">
        <v>0.61188745157352475</v>
      </c>
      <c r="E49" t="s">
        <v>9</v>
      </c>
      <c r="F49">
        <v>0.85</v>
      </c>
    </row>
    <row r="50" spans="1:6" x14ac:dyDescent="0.25">
      <c r="A50">
        <v>2071</v>
      </c>
      <c r="B50">
        <v>0.53146071700991615</v>
      </c>
      <c r="C50">
        <v>2.614276408242009E-2</v>
      </c>
      <c r="D50">
        <v>0.55760348109233626</v>
      </c>
      <c r="E50" t="s">
        <v>9</v>
      </c>
      <c r="F50">
        <v>0.85</v>
      </c>
    </row>
    <row r="51" spans="1:6" x14ac:dyDescent="0.25">
      <c r="A51">
        <v>2072</v>
      </c>
      <c r="B51">
        <v>0.53146071700991615</v>
      </c>
      <c r="C51">
        <v>-0.1341335553103562</v>
      </c>
      <c r="D51">
        <v>0.39732716169955989</v>
      </c>
      <c r="E51" t="s">
        <v>9</v>
      </c>
      <c r="F51">
        <v>0.85</v>
      </c>
    </row>
    <row r="52" spans="1:6" x14ac:dyDescent="0.25">
      <c r="A52">
        <v>2073</v>
      </c>
      <c r="B52">
        <v>0.53146071700991615</v>
      </c>
      <c r="C52">
        <v>2.4656576823726829E-2</v>
      </c>
      <c r="D52">
        <v>0.55611729383364306</v>
      </c>
      <c r="E52" t="s">
        <v>9</v>
      </c>
      <c r="F52">
        <v>0.85</v>
      </c>
    </row>
    <row r="53" spans="1:6" x14ac:dyDescent="0.25">
      <c r="A53">
        <v>2074</v>
      </c>
      <c r="B53">
        <v>0.53146071700991615</v>
      </c>
      <c r="C53">
        <v>-2.929737884990654E-2</v>
      </c>
      <c r="D53">
        <v>0.50216333816000958</v>
      </c>
      <c r="E53" t="s">
        <v>9</v>
      </c>
      <c r="F53">
        <v>0.85</v>
      </c>
    </row>
    <row r="54" spans="1:6" x14ac:dyDescent="0.25">
      <c r="A54">
        <v>2075</v>
      </c>
      <c r="B54">
        <v>0.53146071700991615</v>
      </c>
      <c r="C54">
        <v>-5.1500786464024242E-2</v>
      </c>
      <c r="D54">
        <v>0.47995993054589192</v>
      </c>
      <c r="E54" t="s">
        <v>9</v>
      </c>
      <c r="F54">
        <v>0.85</v>
      </c>
    </row>
    <row r="55" spans="1:6" x14ac:dyDescent="0.25">
      <c r="A55">
        <v>2076</v>
      </c>
      <c r="B55">
        <v>0.53146071700991615</v>
      </c>
      <c r="C55">
        <v>4.6536838694062242E-2</v>
      </c>
      <c r="D55">
        <v>0.57799755570397837</v>
      </c>
      <c r="E55" t="s">
        <v>9</v>
      </c>
      <c r="F55">
        <v>0.85</v>
      </c>
    </row>
    <row r="56" spans="1:6" x14ac:dyDescent="0.25">
      <c r="A56">
        <v>2077</v>
      </c>
      <c r="B56">
        <v>0.53146071700991615</v>
      </c>
      <c r="C56">
        <v>7.8439297627460394E-2</v>
      </c>
      <c r="D56">
        <v>0.60990001463737653</v>
      </c>
      <c r="E56" t="s">
        <v>9</v>
      </c>
      <c r="F56">
        <v>0.85</v>
      </c>
    </row>
    <row r="57" spans="1:6" x14ac:dyDescent="0.25">
      <c r="A57">
        <v>2078</v>
      </c>
      <c r="B57">
        <v>0.53146071700991615</v>
      </c>
      <c r="C57">
        <v>7.0852562822771969E-2</v>
      </c>
      <c r="D57">
        <v>0.60231327983268812</v>
      </c>
      <c r="E57" t="s">
        <v>9</v>
      </c>
      <c r="F57">
        <v>0.85</v>
      </c>
    </row>
    <row r="58" spans="1:6" x14ac:dyDescent="0.25">
      <c r="A58">
        <v>2079</v>
      </c>
      <c r="B58">
        <v>0.53146071700991615</v>
      </c>
      <c r="C58">
        <v>-6.3848364273611208E-2</v>
      </c>
      <c r="D58">
        <v>0.46761235273630503</v>
      </c>
      <c r="E58" t="s">
        <v>9</v>
      </c>
      <c r="F58">
        <v>0.85</v>
      </c>
    </row>
    <row r="59" spans="1:6" x14ac:dyDescent="0.25">
      <c r="A59">
        <v>2080</v>
      </c>
      <c r="B59">
        <v>0.53146071700991615</v>
      </c>
      <c r="C59">
        <v>-2.3525133669092289E-2</v>
      </c>
      <c r="D59">
        <v>0.50793558334082389</v>
      </c>
      <c r="E59" t="s">
        <v>9</v>
      </c>
      <c r="F59">
        <v>0.85</v>
      </c>
    </row>
    <row r="60" spans="1:6" x14ac:dyDescent="0.25">
      <c r="A60">
        <v>2081</v>
      </c>
      <c r="B60">
        <v>0.53146071700991615</v>
      </c>
      <c r="C60">
        <v>2.5202796239956561E-2</v>
      </c>
      <c r="D60">
        <v>0.55666351324987273</v>
      </c>
      <c r="E60" t="s">
        <v>9</v>
      </c>
      <c r="F60">
        <v>0.85</v>
      </c>
    </row>
    <row r="61" spans="1:6" x14ac:dyDescent="0.25">
      <c r="A61">
        <v>2082</v>
      </c>
      <c r="B61">
        <v>0.53146071700991615</v>
      </c>
      <c r="C61">
        <v>7.4220281295687918E-2</v>
      </c>
      <c r="D61">
        <v>0.60568099830560407</v>
      </c>
      <c r="E61" t="s">
        <v>9</v>
      </c>
      <c r="F61">
        <v>0.85</v>
      </c>
    </row>
    <row r="62" spans="1:6" x14ac:dyDescent="0.25">
      <c r="A62">
        <v>2083</v>
      </c>
      <c r="B62">
        <v>0.53146071700991615</v>
      </c>
      <c r="C62">
        <v>-3.6455972905560491E-2</v>
      </c>
      <c r="D62">
        <v>0.49500474410435558</v>
      </c>
      <c r="E62" t="s">
        <v>9</v>
      </c>
      <c r="F62">
        <v>0.85</v>
      </c>
    </row>
    <row r="63" spans="1:6" x14ac:dyDescent="0.25">
      <c r="A63">
        <v>2084</v>
      </c>
      <c r="B63">
        <v>0.53146071700991615</v>
      </c>
      <c r="C63">
        <v>-1.412508872214348E-2</v>
      </c>
      <c r="D63">
        <v>0.51733562828777269</v>
      </c>
      <c r="E63" t="s">
        <v>9</v>
      </c>
      <c r="F63">
        <v>0.85</v>
      </c>
    </row>
    <row r="64" spans="1:6" x14ac:dyDescent="0.25">
      <c r="A64">
        <v>2085</v>
      </c>
      <c r="B64">
        <v>0.53146071700991615</v>
      </c>
      <c r="C64">
        <v>-8.4170881177171739E-2</v>
      </c>
      <c r="D64">
        <v>0.44728983583274451</v>
      </c>
      <c r="E64" t="s">
        <v>9</v>
      </c>
      <c r="F64">
        <v>0.85</v>
      </c>
    </row>
    <row r="65" spans="1:6" x14ac:dyDescent="0.25">
      <c r="A65">
        <v>2086</v>
      </c>
      <c r="B65">
        <v>0.53146071700991615</v>
      </c>
      <c r="C65">
        <v>-9.1008390753713322E-2</v>
      </c>
      <c r="D65">
        <v>0.44045232625620279</v>
      </c>
      <c r="E65" t="s">
        <v>9</v>
      </c>
      <c r="F65">
        <v>0.85</v>
      </c>
    </row>
    <row r="66" spans="1:6" x14ac:dyDescent="0.25">
      <c r="A66">
        <v>2087</v>
      </c>
      <c r="B66">
        <v>0.53146071700991615</v>
      </c>
      <c r="C66">
        <v>6.181763756638968E-2</v>
      </c>
      <c r="D66">
        <v>0.59327835457630584</v>
      </c>
      <c r="E66" t="s">
        <v>9</v>
      </c>
      <c r="F66">
        <v>0.85</v>
      </c>
    </row>
    <row r="67" spans="1:6" x14ac:dyDescent="0.25">
      <c r="A67">
        <v>2088</v>
      </c>
      <c r="B67">
        <v>0.53146071700991615</v>
      </c>
      <c r="C67">
        <v>0.10318386471974331</v>
      </c>
      <c r="D67">
        <v>0.63464458172965954</v>
      </c>
      <c r="E67" t="s">
        <v>9</v>
      </c>
      <c r="F67">
        <v>0.85</v>
      </c>
    </row>
    <row r="68" spans="1:6" x14ac:dyDescent="0.25">
      <c r="A68">
        <v>2089</v>
      </c>
      <c r="B68">
        <v>0.53146071700991615</v>
      </c>
      <c r="C68">
        <v>-5.4785896943532267E-3</v>
      </c>
      <c r="D68">
        <v>0.52598212731556293</v>
      </c>
      <c r="E68" t="s">
        <v>9</v>
      </c>
      <c r="F68">
        <v>0.85</v>
      </c>
    </row>
    <row r="69" spans="1:6" x14ac:dyDescent="0.25">
      <c r="A69">
        <v>2090</v>
      </c>
      <c r="B69">
        <v>0.53146071700991615</v>
      </c>
      <c r="C69">
        <v>7.634961407754623E-2</v>
      </c>
      <c r="D69">
        <v>0.60781033108746241</v>
      </c>
      <c r="E69" t="s">
        <v>9</v>
      </c>
      <c r="F69">
        <v>0.85</v>
      </c>
    </row>
    <row r="70" spans="1:6" x14ac:dyDescent="0.25">
      <c r="A70">
        <v>2091</v>
      </c>
      <c r="B70">
        <v>0.53146071700991615</v>
      </c>
      <c r="C70">
        <v>2.7513568321399971E-2</v>
      </c>
      <c r="D70">
        <v>0.5589742853313161</v>
      </c>
      <c r="E70" t="s">
        <v>9</v>
      </c>
      <c r="F70">
        <v>0.85</v>
      </c>
    </row>
    <row r="71" spans="1:6" x14ac:dyDescent="0.25">
      <c r="A71">
        <v>2092</v>
      </c>
      <c r="B71">
        <v>0.53146071700991615</v>
      </c>
      <c r="C71">
        <v>-4.908124526995044E-2</v>
      </c>
      <c r="D71">
        <v>0.48237947173996559</v>
      </c>
      <c r="E71" t="s">
        <v>9</v>
      </c>
      <c r="F71">
        <v>0.85</v>
      </c>
    </row>
    <row r="72" spans="1:6" x14ac:dyDescent="0.25">
      <c r="A72">
        <v>2093</v>
      </c>
      <c r="B72">
        <v>0.53146071700991615</v>
      </c>
      <c r="C72">
        <v>2.749527700372147E-2</v>
      </c>
      <c r="D72">
        <v>0.5589559940136376</v>
      </c>
      <c r="E72" t="s">
        <v>9</v>
      </c>
      <c r="F72">
        <v>0.85</v>
      </c>
    </row>
    <row r="73" spans="1:6" x14ac:dyDescent="0.25">
      <c r="A73">
        <v>2094</v>
      </c>
      <c r="B73">
        <v>0.53146071700991615</v>
      </c>
      <c r="C73">
        <v>0.11701509590118669</v>
      </c>
      <c r="D73">
        <v>0.6484758129111029</v>
      </c>
      <c r="E73" t="s">
        <v>9</v>
      </c>
      <c r="F73">
        <v>0.85</v>
      </c>
    </row>
    <row r="74" spans="1:6" x14ac:dyDescent="0.25">
      <c r="A74">
        <v>2095</v>
      </c>
      <c r="B74">
        <v>0.53146071700991615</v>
      </c>
      <c r="C74">
        <v>-2.7256747294658041E-3</v>
      </c>
      <c r="D74">
        <v>0.52873504228045032</v>
      </c>
      <c r="E74" t="s">
        <v>9</v>
      </c>
      <c r="F74">
        <v>0.85</v>
      </c>
    </row>
    <row r="75" spans="1:6" x14ac:dyDescent="0.25">
      <c r="A75">
        <v>2096</v>
      </c>
      <c r="B75">
        <v>0.53146071700991615</v>
      </c>
      <c r="C75">
        <v>0.1190393852968972</v>
      </c>
      <c r="D75">
        <v>0.65050010230681332</v>
      </c>
      <c r="E75" t="s">
        <v>9</v>
      </c>
      <c r="F75">
        <v>0.85</v>
      </c>
    </row>
    <row r="76" spans="1:6" x14ac:dyDescent="0.25">
      <c r="A76">
        <v>2097</v>
      </c>
      <c r="B76">
        <v>0.53146071700991615</v>
      </c>
      <c r="C76">
        <v>-0.1993123774008195</v>
      </c>
      <c r="D76">
        <v>0.33214833960909668</v>
      </c>
      <c r="E76" t="s">
        <v>9</v>
      </c>
      <c r="F76">
        <v>0.85</v>
      </c>
    </row>
    <row r="77" spans="1:6" x14ac:dyDescent="0.25">
      <c r="A77">
        <v>2098</v>
      </c>
      <c r="B77">
        <v>0.53146071700991615</v>
      </c>
      <c r="C77">
        <v>6.2531023298021404E-2</v>
      </c>
      <c r="D77">
        <v>0.59399174030793755</v>
      </c>
      <c r="E77" t="s">
        <v>9</v>
      </c>
      <c r="F77">
        <v>0.85</v>
      </c>
    </row>
    <row r="78" spans="1:6" x14ac:dyDescent="0.25">
      <c r="A78">
        <v>2099</v>
      </c>
      <c r="B78">
        <v>0.53146071700991615</v>
      </c>
      <c r="C78">
        <v>6.6226130508790634E-3</v>
      </c>
      <c r="D78">
        <v>0.53808333006079523</v>
      </c>
      <c r="E78" t="s">
        <v>9</v>
      </c>
      <c r="F78">
        <v>0.85</v>
      </c>
    </row>
    <row r="79" spans="1:6" x14ac:dyDescent="0.25">
      <c r="A79">
        <v>2100</v>
      </c>
      <c r="B79">
        <v>0.53146071700991615</v>
      </c>
      <c r="C79">
        <v>-2.2748726885159779E-2</v>
      </c>
      <c r="D79">
        <v>0.50871199012475643</v>
      </c>
      <c r="E79" t="s">
        <v>9</v>
      </c>
      <c r="F79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25">
      <c r="A2">
        <v>2023</v>
      </c>
      <c r="B2">
        <v>0.71903508771929825</v>
      </c>
      <c r="C2">
        <v>5.1128220948520132E-2</v>
      </c>
      <c r="D2">
        <v>0.77016330866781846</v>
      </c>
      <c r="E2" t="s">
        <v>10</v>
      </c>
      <c r="F2">
        <v>1.1499999999999999</v>
      </c>
    </row>
    <row r="3" spans="1:6" x14ac:dyDescent="0.25">
      <c r="A3">
        <v>2024</v>
      </c>
      <c r="B3">
        <v>0.71903508771929825</v>
      </c>
      <c r="C3">
        <v>-1.4231943456246151E-2</v>
      </c>
      <c r="D3">
        <v>0.70480314426305224</v>
      </c>
      <c r="E3" t="s">
        <v>10</v>
      </c>
      <c r="F3">
        <v>1.1499999999999999</v>
      </c>
    </row>
    <row r="4" spans="1:6" x14ac:dyDescent="0.25">
      <c r="A4">
        <v>2025</v>
      </c>
      <c r="B4">
        <v>0.71903508771929825</v>
      </c>
      <c r="C4">
        <v>6.6668450015128403E-2</v>
      </c>
      <c r="D4">
        <v>0.78570353773442658</v>
      </c>
      <c r="E4" t="s">
        <v>10</v>
      </c>
      <c r="F4">
        <v>1.1499999999999999</v>
      </c>
    </row>
    <row r="5" spans="1:6" x14ac:dyDescent="0.25">
      <c r="A5">
        <v>2026</v>
      </c>
      <c r="B5">
        <v>0.71903508771929825</v>
      </c>
      <c r="C5">
        <v>0.15676985754795161</v>
      </c>
      <c r="D5">
        <v>0.87580494526724995</v>
      </c>
      <c r="E5" t="s">
        <v>10</v>
      </c>
      <c r="F5">
        <v>1.1499999999999999</v>
      </c>
    </row>
    <row r="6" spans="1:6" x14ac:dyDescent="0.25">
      <c r="A6">
        <v>2027</v>
      </c>
      <c r="B6">
        <v>0.71903508771929825</v>
      </c>
      <c r="C6">
        <v>-2.4102082467591011E-2</v>
      </c>
      <c r="D6">
        <v>0.69493300525170731</v>
      </c>
      <c r="E6" t="s">
        <v>10</v>
      </c>
      <c r="F6">
        <v>1.1499999999999999</v>
      </c>
    </row>
    <row r="7" spans="1:6" x14ac:dyDescent="0.25">
      <c r="A7">
        <v>2028</v>
      </c>
      <c r="B7">
        <v>0.71903508771929825</v>
      </c>
      <c r="C7">
        <v>-2.4100392538726669E-2</v>
      </c>
      <c r="D7">
        <v>0.6949346951805716</v>
      </c>
      <c r="E7" t="s">
        <v>10</v>
      </c>
      <c r="F7">
        <v>1.1499999999999999</v>
      </c>
    </row>
    <row r="8" spans="1:6" x14ac:dyDescent="0.25">
      <c r="A8">
        <v>2029</v>
      </c>
      <c r="B8">
        <v>0.71903508771929825</v>
      </c>
      <c r="C8">
        <v>0.16255293163384171</v>
      </c>
      <c r="D8">
        <v>0.88158801935313991</v>
      </c>
      <c r="E8" t="s">
        <v>10</v>
      </c>
      <c r="F8">
        <v>1.1499999999999999</v>
      </c>
    </row>
    <row r="9" spans="1:6" x14ac:dyDescent="0.25">
      <c r="A9">
        <v>2030</v>
      </c>
      <c r="B9">
        <v>0.71903508771929825</v>
      </c>
      <c r="C9">
        <v>7.8994270966163335E-2</v>
      </c>
      <c r="D9">
        <v>0.79802935868546165</v>
      </c>
      <c r="E9" t="s">
        <v>10</v>
      </c>
      <c r="F9">
        <v>1.1499999999999999</v>
      </c>
    </row>
    <row r="10" spans="1:6" x14ac:dyDescent="0.25">
      <c r="A10">
        <v>2031</v>
      </c>
      <c r="B10">
        <v>0.71903508771929825</v>
      </c>
      <c r="C10">
        <v>-4.8324353127925129E-2</v>
      </c>
      <c r="D10">
        <v>0.6707107345913732</v>
      </c>
      <c r="E10" t="s">
        <v>10</v>
      </c>
      <c r="F10">
        <v>1.1499999999999999</v>
      </c>
    </row>
    <row r="11" spans="1:6" x14ac:dyDescent="0.25">
      <c r="A11">
        <v>2032</v>
      </c>
      <c r="B11">
        <v>0.71903508771929825</v>
      </c>
      <c r="C11">
        <v>5.5847270745423269E-2</v>
      </c>
      <c r="D11">
        <v>0.77488235846472164</v>
      </c>
      <c r="E11" t="s">
        <v>10</v>
      </c>
      <c r="F11">
        <v>1.1499999999999999</v>
      </c>
    </row>
    <row r="12" spans="1:6" x14ac:dyDescent="0.25">
      <c r="A12">
        <v>2033</v>
      </c>
      <c r="B12">
        <v>0.71903508771929825</v>
      </c>
      <c r="C12">
        <v>-4.7700920229331957E-2</v>
      </c>
      <c r="D12">
        <v>0.67133416748996633</v>
      </c>
      <c r="E12" t="s">
        <v>10</v>
      </c>
      <c r="F12">
        <v>1.1499999999999999</v>
      </c>
    </row>
    <row r="13" spans="1:6" x14ac:dyDescent="0.25">
      <c r="A13">
        <v>2034</v>
      </c>
      <c r="B13">
        <v>0.71903508771929825</v>
      </c>
      <c r="C13">
        <v>-4.7938907314165953E-2</v>
      </c>
      <c r="D13">
        <v>0.6710961804051323</v>
      </c>
      <c r="E13" t="s">
        <v>10</v>
      </c>
      <c r="F13">
        <v>1.1499999999999999</v>
      </c>
    </row>
    <row r="14" spans="1:6" x14ac:dyDescent="0.25">
      <c r="A14">
        <v>2035</v>
      </c>
      <c r="B14">
        <v>0.71903508771929825</v>
      </c>
      <c r="C14">
        <v>2.4905874750772931E-2</v>
      </c>
      <c r="D14">
        <v>0.74394096247007124</v>
      </c>
      <c r="E14" t="s">
        <v>10</v>
      </c>
      <c r="F14">
        <v>1.1499999999999999</v>
      </c>
    </row>
    <row r="15" spans="1:6" x14ac:dyDescent="0.25">
      <c r="A15">
        <v>2036</v>
      </c>
      <c r="B15">
        <v>0.71903508771929825</v>
      </c>
      <c r="C15">
        <v>-0.19693945600758911</v>
      </c>
      <c r="D15">
        <v>0.52209563171170914</v>
      </c>
      <c r="E15" t="s">
        <v>10</v>
      </c>
      <c r="F15">
        <v>1.1499999999999999</v>
      </c>
    </row>
    <row r="16" spans="1:6" x14ac:dyDescent="0.25">
      <c r="A16">
        <v>2037</v>
      </c>
      <c r="B16">
        <v>0.71903508771929825</v>
      </c>
      <c r="C16">
        <v>-0.17755076943977149</v>
      </c>
      <c r="D16">
        <v>0.54148431827952681</v>
      </c>
      <c r="E16" t="s">
        <v>10</v>
      </c>
      <c r="F16">
        <v>1.1499999999999999</v>
      </c>
    </row>
    <row r="17" spans="1:6" x14ac:dyDescent="0.25">
      <c r="A17">
        <v>2038</v>
      </c>
      <c r="B17">
        <v>0.71903508771929825</v>
      </c>
      <c r="C17">
        <v>-5.787787776399398E-2</v>
      </c>
      <c r="D17">
        <v>0.66115720995530436</v>
      </c>
      <c r="E17" t="s">
        <v>10</v>
      </c>
      <c r="F17">
        <v>1.1499999999999999</v>
      </c>
    </row>
    <row r="18" spans="1:6" x14ac:dyDescent="0.25">
      <c r="A18">
        <v>2039</v>
      </c>
      <c r="B18">
        <v>0.71903508771929825</v>
      </c>
      <c r="C18">
        <v>-0.1042536295574903</v>
      </c>
      <c r="D18">
        <v>0.61478145816180796</v>
      </c>
      <c r="E18" t="s">
        <v>10</v>
      </c>
      <c r="F18">
        <v>1.1499999999999999</v>
      </c>
    </row>
    <row r="19" spans="1:6" x14ac:dyDescent="0.25">
      <c r="A19">
        <v>2040</v>
      </c>
      <c r="B19">
        <v>0.71903508771929825</v>
      </c>
      <c r="C19">
        <v>3.2346384648014877E-2</v>
      </c>
      <c r="D19">
        <v>0.75138147236731323</v>
      </c>
      <c r="E19" t="s">
        <v>10</v>
      </c>
      <c r="F19">
        <v>1.1499999999999999</v>
      </c>
    </row>
    <row r="20" spans="1:6" x14ac:dyDescent="0.25">
      <c r="A20">
        <v>2041</v>
      </c>
      <c r="B20">
        <v>0.71903508771929825</v>
      </c>
      <c r="C20">
        <v>-9.3465538033047205E-2</v>
      </c>
      <c r="D20">
        <v>0.625569549686251</v>
      </c>
      <c r="E20" t="s">
        <v>10</v>
      </c>
      <c r="F20">
        <v>1.1499999999999999</v>
      </c>
    </row>
    <row r="21" spans="1:6" x14ac:dyDescent="0.25">
      <c r="A21">
        <v>2042</v>
      </c>
      <c r="B21">
        <v>0.71903508771929825</v>
      </c>
      <c r="C21">
        <v>-0.14537249492597129</v>
      </c>
      <c r="D21">
        <v>0.57366259279332699</v>
      </c>
      <c r="E21" t="s">
        <v>10</v>
      </c>
      <c r="F21">
        <v>1.1499999999999999</v>
      </c>
    </row>
    <row r="22" spans="1:6" x14ac:dyDescent="0.25">
      <c r="A22">
        <v>2043</v>
      </c>
      <c r="B22">
        <v>0.71903508771929825</v>
      </c>
      <c r="C22">
        <v>0.1508634566501936</v>
      </c>
      <c r="D22">
        <v>0.86989854436949188</v>
      </c>
      <c r="E22" t="s">
        <v>10</v>
      </c>
      <c r="F22">
        <v>1.1499999999999999</v>
      </c>
    </row>
    <row r="23" spans="1:6" x14ac:dyDescent="0.25">
      <c r="A23">
        <v>2044</v>
      </c>
      <c r="B23">
        <v>0.71903508771929825</v>
      </c>
      <c r="C23">
        <v>-2.3239806045860789E-2</v>
      </c>
      <c r="D23">
        <v>0.6957952816734374</v>
      </c>
      <c r="E23" t="s">
        <v>10</v>
      </c>
      <c r="F23">
        <v>1.1499999999999999</v>
      </c>
    </row>
    <row r="24" spans="1:6" x14ac:dyDescent="0.25">
      <c r="A24">
        <v>2045</v>
      </c>
      <c r="B24">
        <v>0.71903508771929825</v>
      </c>
      <c r="C24">
        <v>6.9508729489795437E-3</v>
      </c>
      <c r="D24">
        <v>0.72598596066827781</v>
      </c>
      <c r="E24" t="s">
        <v>10</v>
      </c>
      <c r="F24">
        <v>1.1499999999999999</v>
      </c>
    </row>
    <row r="25" spans="1:6" x14ac:dyDescent="0.25">
      <c r="A25">
        <v>2046</v>
      </c>
      <c r="B25">
        <v>0.71903508771929825</v>
      </c>
      <c r="C25">
        <v>-0.1466534416607968</v>
      </c>
      <c r="D25">
        <v>0.5723816460585015</v>
      </c>
      <c r="E25" t="s">
        <v>10</v>
      </c>
      <c r="F25">
        <v>1.1499999999999999</v>
      </c>
    </row>
    <row r="26" spans="1:6" x14ac:dyDescent="0.25">
      <c r="A26">
        <v>2047</v>
      </c>
      <c r="B26">
        <v>0.71903508771929825</v>
      </c>
      <c r="C26">
        <v>-5.6034884553513992E-2</v>
      </c>
      <c r="D26">
        <v>0.66300020316578423</v>
      </c>
      <c r="E26" t="s">
        <v>10</v>
      </c>
      <c r="F26">
        <v>1.1499999999999999</v>
      </c>
    </row>
    <row r="27" spans="1:6" x14ac:dyDescent="0.25">
      <c r="A27">
        <v>2048</v>
      </c>
      <c r="B27">
        <v>0.71903508771929825</v>
      </c>
      <c r="C27">
        <v>1.1417582205957051E-2</v>
      </c>
      <c r="D27">
        <v>0.73045266992525537</v>
      </c>
      <c r="E27" t="s">
        <v>10</v>
      </c>
      <c r="F27">
        <v>1.1499999999999999</v>
      </c>
    </row>
    <row r="28" spans="1:6" x14ac:dyDescent="0.25">
      <c r="A28">
        <v>2049</v>
      </c>
      <c r="B28">
        <v>0.71903508771929825</v>
      </c>
      <c r="C28">
        <v>-0.11847508990838911</v>
      </c>
      <c r="D28">
        <v>0.6005599978109093</v>
      </c>
      <c r="E28" t="s">
        <v>10</v>
      </c>
      <c r="F28">
        <v>1.1499999999999999</v>
      </c>
    </row>
    <row r="29" spans="1:6" x14ac:dyDescent="0.25">
      <c r="A29">
        <v>2050</v>
      </c>
      <c r="B29">
        <v>0.71903508771929825</v>
      </c>
      <c r="C29">
        <v>3.8671681037170488E-2</v>
      </c>
      <c r="D29">
        <v>0.75770676875646881</v>
      </c>
      <c r="E29" t="s">
        <v>10</v>
      </c>
      <c r="F29">
        <v>1.1499999999999999</v>
      </c>
    </row>
    <row r="30" spans="1:6" x14ac:dyDescent="0.25">
      <c r="A30">
        <v>2051</v>
      </c>
      <c r="B30">
        <v>0.71903508771929825</v>
      </c>
      <c r="C30">
        <v>-6.1825473387918273E-2</v>
      </c>
      <c r="D30">
        <v>0.65720961433137992</v>
      </c>
      <c r="E30" t="s">
        <v>10</v>
      </c>
      <c r="F30">
        <v>1.1499999999999999</v>
      </c>
    </row>
    <row r="31" spans="1:6" x14ac:dyDescent="0.25">
      <c r="A31">
        <v>2052</v>
      </c>
      <c r="B31">
        <v>0.71903508771929825</v>
      </c>
      <c r="C31">
        <v>-3.0024879295911151E-2</v>
      </c>
      <c r="D31">
        <v>0.68901020842338712</v>
      </c>
      <c r="E31" t="s">
        <v>10</v>
      </c>
      <c r="F31">
        <v>1.1499999999999999</v>
      </c>
    </row>
    <row r="32" spans="1:6" x14ac:dyDescent="0.25">
      <c r="A32">
        <v>2053</v>
      </c>
      <c r="B32">
        <v>0.71903508771929825</v>
      </c>
      <c r="C32">
        <v>-6.1935397712644662E-2</v>
      </c>
      <c r="D32">
        <v>0.65709969000665358</v>
      </c>
      <c r="E32" t="s">
        <v>10</v>
      </c>
      <c r="F32">
        <v>1.1499999999999999</v>
      </c>
    </row>
    <row r="33" spans="1:6" x14ac:dyDescent="0.25">
      <c r="A33">
        <v>2054</v>
      </c>
      <c r="B33">
        <v>0.71903508771929825</v>
      </c>
      <c r="C33">
        <v>0.19066033794602799</v>
      </c>
      <c r="D33">
        <v>0.90969542566532624</v>
      </c>
      <c r="E33" t="s">
        <v>10</v>
      </c>
      <c r="F33">
        <v>1.1499999999999999</v>
      </c>
    </row>
    <row r="34" spans="1:6" x14ac:dyDescent="0.25">
      <c r="A34">
        <v>2055</v>
      </c>
      <c r="B34">
        <v>0.71903508771929825</v>
      </c>
      <c r="C34">
        <v>-1.3893082860824209E-3</v>
      </c>
      <c r="D34">
        <v>0.71764577943321595</v>
      </c>
      <c r="E34" t="s">
        <v>10</v>
      </c>
      <c r="F34">
        <v>1.1499999999999999</v>
      </c>
    </row>
    <row r="35" spans="1:6" x14ac:dyDescent="0.25">
      <c r="A35">
        <v>2056</v>
      </c>
      <c r="B35">
        <v>0.71903508771929825</v>
      </c>
      <c r="C35">
        <v>-0.1088732377514897</v>
      </c>
      <c r="D35">
        <v>0.61016184996780864</v>
      </c>
      <c r="E35" t="s">
        <v>10</v>
      </c>
      <c r="F35">
        <v>1.1499999999999999</v>
      </c>
    </row>
    <row r="36" spans="1:6" x14ac:dyDescent="0.25">
      <c r="A36">
        <v>2057</v>
      </c>
      <c r="B36">
        <v>0.71903508771929825</v>
      </c>
      <c r="C36">
        <v>8.466692110772589E-2</v>
      </c>
      <c r="D36">
        <v>0.80370200882702414</v>
      </c>
      <c r="E36" t="s">
        <v>10</v>
      </c>
      <c r="F36">
        <v>1.1499999999999999</v>
      </c>
    </row>
    <row r="37" spans="1:6" x14ac:dyDescent="0.25">
      <c r="A37">
        <v>2058</v>
      </c>
      <c r="B37">
        <v>0.71903508771929825</v>
      </c>
      <c r="C37">
        <v>-0.12566495941561109</v>
      </c>
      <c r="D37">
        <v>0.59337012830368718</v>
      </c>
      <c r="E37" t="s">
        <v>10</v>
      </c>
      <c r="F37">
        <v>1.1499999999999999</v>
      </c>
    </row>
    <row r="38" spans="1:6" x14ac:dyDescent="0.25">
      <c r="A38">
        <v>2059</v>
      </c>
      <c r="B38">
        <v>0.71903508771929825</v>
      </c>
      <c r="C38">
        <v>2.1498932472060792E-2</v>
      </c>
      <c r="D38">
        <v>0.74053402019135905</v>
      </c>
      <c r="E38" t="s">
        <v>10</v>
      </c>
      <c r="F38">
        <v>1.1499999999999999</v>
      </c>
    </row>
    <row r="39" spans="1:6" x14ac:dyDescent="0.25">
      <c r="A39">
        <v>2060</v>
      </c>
      <c r="B39">
        <v>0.71903508771929825</v>
      </c>
      <c r="C39">
        <v>-0.20171450012553441</v>
      </c>
      <c r="D39">
        <v>0.51732058759376387</v>
      </c>
      <c r="E39" t="s">
        <v>10</v>
      </c>
      <c r="F39">
        <v>1.1499999999999999</v>
      </c>
    </row>
    <row r="40" spans="1:6" x14ac:dyDescent="0.25">
      <c r="A40">
        <v>2061</v>
      </c>
      <c r="B40">
        <v>0.71903508771929825</v>
      </c>
      <c r="C40">
        <v>-0.13671402225433521</v>
      </c>
      <c r="D40">
        <v>0.58232106546496309</v>
      </c>
      <c r="E40" t="s">
        <v>10</v>
      </c>
      <c r="F40">
        <v>1.1499999999999999</v>
      </c>
    </row>
    <row r="41" spans="1:6" x14ac:dyDescent="0.25">
      <c r="A41">
        <v>2062</v>
      </c>
      <c r="B41">
        <v>0.71903508771929825</v>
      </c>
      <c r="C41">
        <v>2.0263495015588311E-2</v>
      </c>
      <c r="D41">
        <v>0.73929858273488669</v>
      </c>
      <c r="E41" t="s">
        <v>10</v>
      </c>
      <c r="F41">
        <v>1.1499999999999999</v>
      </c>
    </row>
    <row r="42" spans="1:6" x14ac:dyDescent="0.25">
      <c r="A42">
        <v>2063</v>
      </c>
      <c r="B42">
        <v>0.71903508771929825</v>
      </c>
      <c r="C42">
        <v>7.6012495791013907E-2</v>
      </c>
      <c r="D42">
        <v>0.79504758351031213</v>
      </c>
      <c r="E42" t="s">
        <v>10</v>
      </c>
      <c r="F42">
        <v>1.1499999999999999</v>
      </c>
    </row>
    <row r="43" spans="1:6" x14ac:dyDescent="0.25">
      <c r="A43">
        <v>2064</v>
      </c>
      <c r="B43">
        <v>0.71903508771929825</v>
      </c>
      <c r="C43">
        <v>1.7639431635141669E-2</v>
      </c>
      <c r="D43">
        <v>0.73667451935444006</v>
      </c>
      <c r="E43" t="s">
        <v>10</v>
      </c>
      <c r="F43">
        <v>1.1499999999999999</v>
      </c>
    </row>
    <row r="44" spans="1:6" x14ac:dyDescent="0.25">
      <c r="A44">
        <v>2065</v>
      </c>
      <c r="B44">
        <v>0.71903508771929825</v>
      </c>
      <c r="C44">
        <v>-1.190401138847577E-2</v>
      </c>
      <c r="D44">
        <v>0.70713107633082262</v>
      </c>
      <c r="E44" t="s">
        <v>10</v>
      </c>
      <c r="F44">
        <v>1.1499999999999999</v>
      </c>
    </row>
    <row r="45" spans="1:6" x14ac:dyDescent="0.25">
      <c r="A45">
        <v>2066</v>
      </c>
      <c r="B45">
        <v>0.71903508771929825</v>
      </c>
      <c r="C45">
        <v>-3.0993472167395571E-2</v>
      </c>
      <c r="D45">
        <v>0.68804161555190269</v>
      </c>
      <c r="E45" t="s">
        <v>10</v>
      </c>
      <c r="F45">
        <v>1.1499999999999999</v>
      </c>
    </row>
    <row r="46" spans="1:6" x14ac:dyDescent="0.25">
      <c r="A46">
        <v>2067</v>
      </c>
      <c r="B46">
        <v>0.71903508771929825</v>
      </c>
      <c r="C46">
        <v>-0.15218853447697531</v>
      </c>
      <c r="D46">
        <v>0.56684655324232303</v>
      </c>
      <c r="E46" t="s">
        <v>10</v>
      </c>
      <c r="F46">
        <v>1.1499999999999999</v>
      </c>
    </row>
    <row r="47" spans="1:6" x14ac:dyDescent="0.25">
      <c r="A47">
        <v>2068</v>
      </c>
      <c r="B47">
        <v>0.71903508771929825</v>
      </c>
      <c r="C47">
        <v>-7.4095641350660171E-2</v>
      </c>
      <c r="D47">
        <v>0.64493944636863809</v>
      </c>
      <c r="E47" t="s">
        <v>10</v>
      </c>
      <c r="F47">
        <v>1.1499999999999999</v>
      </c>
    </row>
    <row r="48" spans="1:6" x14ac:dyDescent="0.25">
      <c r="A48">
        <v>2069</v>
      </c>
      <c r="B48">
        <v>0.71903508771929825</v>
      </c>
      <c r="C48">
        <v>-4.7414877784958502E-2</v>
      </c>
      <c r="D48">
        <v>0.6716202099343398</v>
      </c>
      <c r="E48" t="s">
        <v>10</v>
      </c>
      <c r="F48">
        <v>1.1499999999999999</v>
      </c>
    </row>
    <row r="49" spans="1:6" x14ac:dyDescent="0.25">
      <c r="A49">
        <v>2070</v>
      </c>
      <c r="B49">
        <v>0.71903508771929825</v>
      </c>
      <c r="C49">
        <v>0.1088126408801763</v>
      </c>
      <c r="D49">
        <v>0.82784772859947464</v>
      </c>
      <c r="E49" t="s">
        <v>10</v>
      </c>
      <c r="F49">
        <v>1.1499999999999999</v>
      </c>
    </row>
    <row r="50" spans="1:6" x14ac:dyDescent="0.25">
      <c r="A50">
        <v>2071</v>
      </c>
      <c r="B50">
        <v>0.71903508771929825</v>
      </c>
      <c r="C50">
        <v>3.5369621993862482E-2</v>
      </c>
      <c r="D50">
        <v>0.75440470971316076</v>
      </c>
      <c r="E50" t="s">
        <v>10</v>
      </c>
      <c r="F50">
        <v>1.1499999999999999</v>
      </c>
    </row>
    <row r="51" spans="1:6" x14ac:dyDescent="0.25">
      <c r="A51">
        <v>2072</v>
      </c>
      <c r="B51">
        <v>0.71903508771929825</v>
      </c>
      <c r="C51">
        <v>-0.1814748101257761</v>
      </c>
      <c r="D51">
        <v>0.53756027759352221</v>
      </c>
      <c r="E51" t="s">
        <v>10</v>
      </c>
      <c r="F51">
        <v>1.1499999999999999</v>
      </c>
    </row>
    <row r="52" spans="1:6" x14ac:dyDescent="0.25">
      <c r="A52">
        <v>2073</v>
      </c>
      <c r="B52">
        <v>0.71903508771929825</v>
      </c>
      <c r="C52">
        <v>3.3358898055630408E-2</v>
      </c>
      <c r="D52">
        <v>0.75239398577492878</v>
      </c>
      <c r="E52" t="s">
        <v>10</v>
      </c>
      <c r="F52">
        <v>1.1499999999999999</v>
      </c>
    </row>
    <row r="53" spans="1:6" x14ac:dyDescent="0.25">
      <c r="A53">
        <v>2074</v>
      </c>
      <c r="B53">
        <v>0.71903508771929825</v>
      </c>
      <c r="C53">
        <v>-3.9637630208697067E-2</v>
      </c>
      <c r="D53">
        <v>0.67939745751060121</v>
      </c>
      <c r="E53" t="s">
        <v>10</v>
      </c>
      <c r="F53">
        <v>1.1499999999999999</v>
      </c>
    </row>
    <row r="54" spans="1:6" x14ac:dyDescent="0.25">
      <c r="A54">
        <v>2075</v>
      </c>
      <c r="B54">
        <v>0.71903508771929825</v>
      </c>
      <c r="C54">
        <v>-6.9677534627797508E-2</v>
      </c>
      <c r="D54">
        <v>0.64935755309150078</v>
      </c>
      <c r="E54" t="s">
        <v>10</v>
      </c>
      <c r="F54">
        <v>1.1499999999999999</v>
      </c>
    </row>
    <row r="55" spans="1:6" x14ac:dyDescent="0.25">
      <c r="A55">
        <v>2076</v>
      </c>
      <c r="B55">
        <v>0.71903508771929825</v>
      </c>
      <c r="C55">
        <v>6.2961605291966552E-2</v>
      </c>
      <c r="D55">
        <v>0.78199669301126484</v>
      </c>
      <c r="E55" t="s">
        <v>10</v>
      </c>
      <c r="F55">
        <v>1.1499999999999999</v>
      </c>
    </row>
    <row r="56" spans="1:6" x14ac:dyDescent="0.25">
      <c r="A56">
        <v>2077</v>
      </c>
      <c r="B56">
        <v>0.71903508771929825</v>
      </c>
      <c r="C56">
        <v>0.1061237556136229</v>
      </c>
      <c r="D56">
        <v>0.82515884333292122</v>
      </c>
      <c r="E56" t="s">
        <v>10</v>
      </c>
      <c r="F56">
        <v>1.1499999999999999</v>
      </c>
    </row>
    <row r="57" spans="1:6" x14ac:dyDescent="0.25">
      <c r="A57">
        <v>2078</v>
      </c>
      <c r="B57">
        <v>0.71903508771929825</v>
      </c>
      <c r="C57">
        <v>9.5859349701397367E-2</v>
      </c>
      <c r="D57">
        <v>0.81489443742069567</v>
      </c>
      <c r="E57" t="s">
        <v>10</v>
      </c>
      <c r="F57">
        <v>1.1499999999999999</v>
      </c>
    </row>
    <row r="58" spans="1:6" x14ac:dyDescent="0.25">
      <c r="A58">
        <v>2079</v>
      </c>
      <c r="B58">
        <v>0.71903508771929825</v>
      </c>
      <c r="C58">
        <v>-8.6383081076062226E-2</v>
      </c>
      <c r="D58">
        <v>0.63265200664323606</v>
      </c>
      <c r="E58" t="s">
        <v>10</v>
      </c>
      <c r="F58">
        <v>1.1499999999999999</v>
      </c>
    </row>
    <row r="59" spans="1:6" x14ac:dyDescent="0.25">
      <c r="A59">
        <v>2080</v>
      </c>
      <c r="B59">
        <v>0.71903508771929825</v>
      </c>
      <c r="C59">
        <v>-3.1828122022889559E-2</v>
      </c>
      <c r="D59">
        <v>0.68720696569640871</v>
      </c>
      <c r="E59" t="s">
        <v>10</v>
      </c>
      <c r="F59">
        <v>1.1499999999999999</v>
      </c>
    </row>
    <row r="60" spans="1:6" x14ac:dyDescent="0.25">
      <c r="A60">
        <v>2081</v>
      </c>
      <c r="B60">
        <v>0.71903508771929825</v>
      </c>
      <c r="C60">
        <v>3.4097900795235343E-2</v>
      </c>
      <c r="D60">
        <v>0.75313298851453359</v>
      </c>
      <c r="E60" t="s">
        <v>10</v>
      </c>
      <c r="F60">
        <v>1.1499999999999999</v>
      </c>
    </row>
    <row r="61" spans="1:6" x14ac:dyDescent="0.25">
      <c r="A61">
        <v>2082</v>
      </c>
      <c r="B61">
        <v>0.71903508771929825</v>
      </c>
      <c r="C61">
        <v>0.100415674694166</v>
      </c>
      <c r="D61">
        <v>0.81945076241346437</v>
      </c>
      <c r="E61" t="s">
        <v>10</v>
      </c>
      <c r="F61">
        <v>1.1499999999999999</v>
      </c>
    </row>
    <row r="62" spans="1:6" x14ac:dyDescent="0.25">
      <c r="A62">
        <v>2083</v>
      </c>
      <c r="B62">
        <v>0.71903508771929825</v>
      </c>
      <c r="C62">
        <v>-4.9322786872228887E-2</v>
      </c>
      <c r="D62">
        <v>0.66971230084706934</v>
      </c>
      <c r="E62" t="s">
        <v>10</v>
      </c>
      <c r="F62">
        <v>1.1499999999999999</v>
      </c>
    </row>
    <row r="63" spans="1:6" x14ac:dyDescent="0.25">
      <c r="A63">
        <v>2084</v>
      </c>
      <c r="B63">
        <v>0.71903508771929825</v>
      </c>
      <c r="C63">
        <v>-1.9110414153488239E-2</v>
      </c>
      <c r="D63">
        <v>0.69992467356581001</v>
      </c>
      <c r="E63" t="s">
        <v>10</v>
      </c>
      <c r="F63">
        <v>1.1499999999999999</v>
      </c>
    </row>
    <row r="64" spans="1:6" x14ac:dyDescent="0.25">
      <c r="A64">
        <v>2085</v>
      </c>
      <c r="B64">
        <v>0.71903508771929825</v>
      </c>
      <c r="C64">
        <v>-0.11387825100440881</v>
      </c>
      <c r="D64">
        <v>0.60515683671488951</v>
      </c>
      <c r="E64" t="s">
        <v>10</v>
      </c>
      <c r="F64">
        <v>1.1499999999999999</v>
      </c>
    </row>
    <row r="65" spans="1:6" x14ac:dyDescent="0.25">
      <c r="A65">
        <v>2086</v>
      </c>
      <c r="B65">
        <v>0.71903508771929825</v>
      </c>
      <c r="C65">
        <v>-0.12312899925502389</v>
      </c>
      <c r="D65">
        <v>0.59590608846427429</v>
      </c>
      <c r="E65" t="s">
        <v>10</v>
      </c>
      <c r="F65">
        <v>1.1499999999999999</v>
      </c>
    </row>
    <row r="66" spans="1:6" x14ac:dyDescent="0.25">
      <c r="A66">
        <v>2087</v>
      </c>
      <c r="B66">
        <v>0.71903508771929825</v>
      </c>
      <c r="C66">
        <v>8.3635627295703674E-2</v>
      </c>
      <c r="D66">
        <v>0.80267071501500198</v>
      </c>
      <c r="E66" t="s">
        <v>10</v>
      </c>
      <c r="F66">
        <v>1.1499999999999999</v>
      </c>
    </row>
    <row r="67" spans="1:6" x14ac:dyDescent="0.25">
      <c r="A67">
        <v>2088</v>
      </c>
      <c r="B67">
        <v>0.71903508771929825</v>
      </c>
      <c r="C67">
        <v>0.13960169932671149</v>
      </c>
      <c r="D67">
        <v>0.85863678704600988</v>
      </c>
      <c r="E67" t="s">
        <v>10</v>
      </c>
      <c r="F67">
        <v>1.1499999999999999</v>
      </c>
    </row>
    <row r="68" spans="1:6" x14ac:dyDescent="0.25">
      <c r="A68">
        <v>2089</v>
      </c>
      <c r="B68">
        <v>0.71903508771929825</v>
      </c>
      <c r="C68">
        <v>-7.4122095864778944E-3</v>
      </c>
      <c r="D68">
        <v>0.71162287813282044</v>
      </c>
      <c r="E68" t="s">
        <v>10</v>
      </c>
      <c r="F68">
        <v>1.1499999999999999</v>
      </c>
    </row>
    <row r="69" spans="1:6" x14ac:dyDescent="0.25">
      <c r="A69">
        <v>2090</v>
      </c>
      <c r="B69">
        <v>0.71903508771929825</v>
      </c>
      <c r="C69">
        <v>0.1032965366931508</v>
      </c>
      <c r="D69">
        <v>0.82233162441244911</v>
      </c>
      <c r="E69" t="s">
        <v>10</v>
      </c>
      <c r="F69">
        <v>1.1499999999999999</v>
      </c>
    </row>
    <row r="70" spans="1:6" x14ac:dyDescent="0.25">
      <c r="A70">
        <v>2091</v>
      </c>
      <c r="B70">
        <v>0.71903508771929825</v>
      </c>
      <c r="C70">
        <v>3.722423949365878E-2</v>
      </c>
      <c r="D70">
        <v>0.75625932721295697</v>
      </c>
      <c r="E70" t="s">
        <v>10</v>
      </c>
      <c r="F70">
        <v>1.1499999999999999</v>
      </c>
    </row>
    <row r="71" spans="1:6" x14ac:dyDescent="0.25">
      <c r="A71">
        <v>2092</v>
      </c>
      <c r="B71">
        <v>0.71903508771929825</v>
      </c>
      <c r="C71">
        <v>-6.6404037718168232E-2</v>
      </c>
      <c r="D71">
        <v>0.65263105000112998</v>
      </c>
      <c r="E71" t="s">
        <v>10</v>
      </c>
      <c r="F71">
        <v>1.1499999999999999</v>
      </c>
    </row>
    <row r="72" spans="1:6" x14ac:dyDescent="0.25">
      <c r="A72">
        <v>2093</v>
      </c>
      <c r="B72">
        <v>0.71903508771929825</v>
      </c>
      <c r="C72">
        <v>3.7199492416799637E-2</v>
      </c>
      <c r="D72">
        <v>0.7562345801360979</v>
      </c>
      <c r="E72" t="s">
        <v>10</v>
      </c>
      <c r="F72">
        <v>1.1499999999999999</v>
      </c>
    </row>
    <row r="73" spans="1:6" x14ac:dyDescent="0.25">
      <c r="A73">
        <v>2094</v>
      </c>
      <c r="B73">
        <v>0.71903508771929825</v>
      </c>
      <c r="C73">
        <v>0.15831454151337029</v>
      </c>
      <c r="D73">
        <v>0.87734962923266857</v>
      </c>
      <c r="E73" t="s">
        <v>10</v>
      </c>
      <c r="F73">
        <v>1.1499999999999999</v>
      </c>
    </row>
    <row r="74" spans="1:6" x14ac:dyDescent="0.25">
      <c r="A74">
        <v>2095</v>
      </c>
      <c r="B74">
        <v>0.71903508771929825</v>
      </c>
      <c r="C74">
        <v>-3.6876775751596169E-3</v>
      </c>
      <c r="D74">
        <v>0.71534741014413861</v>
      </c>
      <c r="E74" t="s">
        <v>10</v>
      </c>
      <c r="F74">
        <v>1.1499999999999999</v>
      </c>
    </row>
    <row r="75" spans="1:6" x14ac:dyDescent="0.25">
      <c r="A75">
        <v>2096</v>
      </c>
      <c r="B75">
        <v>0.71903508771929825</v>
      </c>
      <c r="C75">
        <v>0.16105328598991969</v>
      </c>
      <c r="D75">
        <v>0.88008837370921789</v>
      </c>
      <c r="E75" t="s">
        <v>10</v>
      </c>
      <c r="F75">
        <v>1.1499999999999999</v>
      </c>
    </row>
    <row r="76" spans="1:6" x14ac:dyDescent="0.25">
      <c r="A76">
        <v>2097</v>
      </c>
      <c r="B76">
        <v>0.71903508771929825</v>
      </c>
      <c r="C76">
        <v>-0.2696579223658146</v>
      </c>
      <c r="D76">
        <v>0.44937716535348371</v>
      </c>
      <c r="E76" t="s">
        <v>10</v>
      </c>
      <c r="F76">
        <v>1.1499999999999999</v>
      </c>
    </row>
    <row r="77" spans="1:6" x14ac:dyDescent="0.25">
      <c r="A77">
        <v>2098</v>
      </c>
      <c r="B77">
        <v>0.71903508771929825</v>
      </c>
      <c r="C77">
        <v>8.4600796226734831E-2</v>
      </c>
      <c r="D77">
        <v>0.80363588394603314</v>
      </c>
      <c r="E77" t="s">
        <v>10</v>
      </c>
      <c r="F77">
        <v>1.1499999999999999</v>
      </c>
    </row>
    <row r="78" spans="1:6" x14ac:dyDescent="0.25">
      <c r="A78">
        <v>2099</v>
      </c>
      <c r="B78">
        <v>0.71903508771929825</v>
      </c>
      <c r="C78">
        <v>8.9600058923657907E-3</v>
      </c>
      <c r="D78">
        <v>0.72799509361166403</v>
      </c>
      <c r="E78" t="s">
        <v>10</v>
      </c>
      <c r="F78">
        <v>1.1499999999999999</v>
      </c>
    </row>
    <row r="79" spans="1:6" x14ac:dyDescent="0.25">
      <c r="A79">
        <v>2100</v>
      </c>
      <c r="B79">
        <v>0.71903508771929825</v>
      </c>
      <c r="C79">
        <v>-3.077768931521617E-2</v>
      </c>
      <c r="D79">
        <v>0.68825739840408218</v>
      </c>
      <c r="E79" t="s">
        <v>10</v>
      </c>
      <c r="F79">
        <v>1.1499999999999999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25">
      <c r="A2">
        <v>2023</v>
      </c>
      <c r="B2">
        <v>0.43767353165522499</v>
      </c>
      <c r="C2">
        <v>3.112152579475138E-2</v>
      </c>
      <c r="D2">
        <v>0.46879505744997652</v>
      </c>
      <c r="E2" t="s">
        <v>11</v>
      </c>
      <c r="F2">
        <v>0.7</v>
      </c>
    </row>
    <row r="3" spans="1:6" x14ac:dyDescent="0.25">
      <c r="A3">
        <v>2024</v>
      </c>
      <c r="B3">
        <v>0.43767353165522499</v>
      </c>
      <c r="C3">
        <v>-8.6629221038020017E-3</v>
      </c>
      <c r="D3">
        <v>0.42901060955142312</v>
      </c>
      <c r="E3" t="s">
        <v>11</v>
      </c>
      <c r="F3">
        <v>0.7</v>
      </c>
    </row>
    <row r="4" spans="1:6" x14ac:dyDescent="0.25">
      <c r="A4">
        <v>2025</v>
      </c>
      <c r="B4">
        <v>0.43767353165522499</v>
      </c>
      <c r="C4">
        <v>4.0580795661382507E-2</v>
      </c>
      <c r="D4">
        <v>0.4782543273166075</v>
      </c>
      <c r="E4" t="s">
        <v>11</v>
      </c>
      <c r="F4">
        <v>0.7</v>
      </c>
    </row>
    <row r="5" spans="1:6" x14ac:dyDescent="0.25">
      <c r="A5">
        <v>2026</v>
      </c>
      <c r="B5">
        <v>0.43767353165522499</v>
      </c>
      <c r="C5">
        <v>9.5425130681361867E-2</v>
      </c>
      <c r="D5">
        <v>0.53309866233658687</v>
      </c>
      <c r="E5" t="s">
        <v>11</v>
      </c>
      <c r="F5">
        <v>0.7</v>
      </c>
    </row>
    <row r="6" spans="1:6" x14ac:dyDescent="0.25">
      <c r="A6">
        <v>2027</v>
      </c>
      <c r="B6">
        <v>0.43767353165522499</v>
      </c>
      <c r="C6">
        <v>-1.467083280635975E-2</v>
      </c>
      <c r="D6">
        <v>0.42300269884886532</v>
      </c>
      <c r="E6" t="s">
        <v>11</v>
      </c>
      <c r="F6">
        <v>0.7</v>
      </c>
    </row>
    <row r="7" spans="1:6" x14ac:dyDescent="0.25">
      <c r="A7">
        <v>2028</v>
      </c>
      <c r="B7">
        <v>0.43767353165522499</v>
      </c>
      <c r="C7">
        <v>-1.4669804154007539E-2</v>
      </c>
      <c r="D7">
        <v>0.42300372750121751</v>
      </c>
      <c r="E7" t="s">
        <v>11</v>
      </c>
      <c r="F7">
        <v>0.7</v>
      </c>
    </row>
    <row r="8" spans="1:6" x14ac:dyDescent="0.25">
      <c r="A8">
        <v>2029</v>
      </c>
      <c r="B8">
        <v>0.43767353165522499</v>
      </c>
      <c r="C8">
        <v>9.894526273364275E-2</v>
      </c>
      <c r="D8">
        <v>0.53661879438886784</v>
      </c>
      <c r="E8" t="s">
        <v>11</v>
      </c>
      <c r="F8">
        <v>0.7</v>
      </c>
    </row>
    <row r="9" spans="1:6" x14ac:dyDescent="0.25">
      <c r="A9">
        <v>2030</v>
      </c>
      <c r="B9">
        <v>0.43767353165522499</v>
      </c>
      <c r="C9">
        <v>4.8083469283751602E-2</v>
      </c>
      <c r="D9">
        <v>0.48575700093897672</v>
      </c>
      <c r="E9" t="s">
        <v>11</v>
      </c>
      <c r="F9">
        <v>0.7</v>
      </c>
    </row>
    <row r="10" spans="1:6" x14ac:dyDescent="0.25">
      <c r="A10">
        <v>2031</v>
      </c>
      <c r="B10">
        <v>0.43767353165522499</v>
      </c>
      <c r="C10">
        <v>-2.9414823643084859E-2</v>
      </c>
      <c r="D10">
        <v>0.4082587080121402</v>
      </c>
      <c r="E10" t="s">
        <v>11</v>
      </c>
      <c r="F10">
        <v>0.7</v>
      </c>
    </row>
    <row r="11" spans="1:6" x14ac:dyDescent="0.25">
      <c r="A11">
        <v>2032</v>
      </c>
      <c r="B11">
        <v>0.43767353165522499</v>
      </c>
      <c r="C11">
        <v>3.399399088851851E-2</v>
      </c>
      <c r="D11">
        <v>0.47166752254374361</v>
      </c>
      <c r="E11" t="s">
        <v>11</v>
      </c>
      <c r="F11">
        <v>0.7</v>
      </c>
    </row>
    <row r="12" spans="1:6" x14ac:dyDescent="0.25">
      <c r="A12">
        <v>2033</v>
      </c>
      <c r="B12">
        <v>0.43767353165522499</v>
      </c>
      <c r="C12">
        <v>-2.903534274828902E-2</v>
      </c>
      <c r="D12">
        <v>0.40863818890693598</v>
      </c>
      <c r="E12" t="s">
        <v>11</v>
      </c>
      <c r="F12">
        <v>0.7</v>
      </c>
    </row>
    <row r="13" spans="1:6" x14ac:dyDescent="0.25">
      <c r="A13">
        <v>2034</v>
      </c>
      <c r="B13">
        <v>0.43767353165522499</v>
      </c>
      <c r="C13">
        <v>-2.9180204452101011E-2</v>
      </c>
      <c r="D13">
        <v>0.40849332720312398</v>
      </c>
      <c r="E13" t="s">
        <v>11</v>
      </c>
      <c r="F13">
        <v>0.7</v>
      </c>
    </row>
    <row r="14" spans="1:6" x14ac:dyDescent="0.25">
      <c r="A14">
        <v>2035</v>
      </c>
      <c r="B14">
        <v>0.43767353165522499</v>
      </c>
      <c r="C14">
        <v>1.516009767438352E-2</v>
      </c>
      <c r="D14">
        <v>0.45283362932960858</v>
      </c>
      <c r="E14" t="s">
        <v>11</v>
      </c>
      <c r="F14">
        <v>0.7</v>
      </c>
    </row>
    <row r="15" spans="1:6" x14ac:dyDescent="0.25">
      <c r="A15">
        <v>2036</v>
      </c>
      <c r="B15">
        <v>0.43767353165522499</v>
      </c>
      <c r="C15">
        <v>-0.1198761906133151</v>
      </c>
      <c r="D15">
        <v>0.31779734104190988</v>
      </c>
      <c r="E15" t="s">
        <v>11</v>
      </c>
      <c r="F15">
        <v>0.7</v>
      </c>
    </row>
    <row r="16" spans="1:6" x14ac:dyDescent="0.25">
      <c r="A16">
        <v>2037</v>
      </c>
      <c r="B16">
        <v>0.43767353165522499</v>
      </c>
      <c r="C16">
        <v>-0.1080743813981218</v>
      </c>
      <c r="D16">
        <v>0.32959915025710318</v>
      </c>
      <c r="E16" t="s">
        <v>11</v>
      </c>
      <c r="F16">
        <v>0.7</v>
      </c>
    </row>
    <row r="17" spans="1:6" x14ac:dyDescent="0.25">
      <c r="A17">
        <v>2038</v>
      </c>
      <c r="B17">
        <v>0.43767353165522499</v>
      </c>
      <c r="C17">
        <v>-3.5230012551996343E-2</v>
      </c>
      <c r="D17">
        <v>0.40244351910322868</v>
      </c>
      <c r="E17" t="s">
        <v>11</v>
      </c>
      <c r="F17">
        <v>0.7</v>
      </c>
    </row>
    <row r="18" spans="1:6" x14ac:dyDescent="0.25">
      <c r="A18">
        <v>2039</v>
      </c>
      <c r="B18">
        <v>0.43767353165522499</v>
      </c>
      <c r="C18">
        <v>-6.3458731034994081E-2</v>
      </c>
      <c r="D18">
        <v>0.37421480062023088</v>
      </c>
      <c r="E18" t="s">
        <v>11</v>
      </c>
      <c r="F18">
        <v>0.7</v>
      </c>
    </row>
    <row r="19" spans="1:6" x14ac:dyDescent="0.25">
      <c r="A19">
        <v>2040</v>
      </c>
      <c r="B19">
        <v>0.43767353165522499</v>
      </c>
      <c r="C19">
        <v>1.968910369879167E-2</v>
      </c>
      <c r="D19">
        <v>0.45736263535401672</v>
      </c>
      <c r="E19" t="s">
        <v>11</v>
      </c>
      <c r="F19">
        <v>0.7</v>
      </c>
    </row>
    <row r="20" spans="1:6" x14ac:dyDescent="0.25">
      <c r="A20">
        <v>2041</v>
      </c>
      <c r="B20">
        <v>0.43767353165522499</v>
      </c>
      <c r="C20">
        <v>-5.6892066628811341E-2</v>
      </c>
      <c r="D20">
        <v>0.38078146502641369</v>
      </c>
      <c r="E20" t="s">
        <v>11</v>
      </c>
      <c r="F20">
        <v>0.7</v>
      </c>
    </row>
    <row r="21" spans="1:6" x14ac:dyDescent="0.25">
      <c r="A21">
        <v>2042</v>
      </c>
      <c r="B21">
        <v>0.43767353165522499</v>
      </c>
      <c r="C21">
        <v>-8.8487605607112982E-2</v>
      </c>
      <c r="D21">
        <v>0.34918592604811199</v>
      </c>
      <c r="E21" t="s">
        <v>11</v>
      </c>
      <c r="F21">
        <v>0.7</v>
      </c>
    </row>
    <row r="22" spans="1:6" x14ac:dyDescent="0.25">
      <c r="A22">
        <v>2043</v>
      </c>
      <c r="B22">
        <v>0.43767353165522499</v>
      </c>
      <c r="C22">
        <v>9.182993013490047E-2</v>
      </c>
      <c r="D22">
        <v>0.52950346179012553</v>
      </c>
      <c r="E22" t="s">
        <v>11</v>
      </c>
      <c r="F22">
        <v>0.7</v>
      </c>
    </row>
    <row r="23" spans="1:6" x14ac:dyDescent="0.25">
      <c r="A23">
        <v>2044</v>
      </c>
      <c r="B23">
        <v>0.43767353165522499</v>
      </c>
      <c r="C23">
        <v>-1.4145968897480481E-2</v>
      </c>
      <c r="D23">
        <v>0.42352756275774461</v>
      </c>
      <c r="E23" t="s">
        <v>11</v>
      </c>
      <c r="F23">
        <v>0.7</v>
      </c>
    </row>
    <row r="24" spans="1:6" x14ac:dyDescent="0.25">
      <c r="A24">
        <v>2045</v>
      </c>
      <c r="B24">
        <v>0.43767353165522499</v>
      </c>
      <c r="C24">
        <v>4.2309661428571134E-3</v>
      </c>
      <c r="D24">
        <v>0.44190449779808222</v>
      </c>
      <c r="E24" t="s">
        <v>11</v>
      </c>
      <c r="F24">
        <v>0.7</v>
      </c>
    </row>
    <row r="25" spans="1:6" x14ac:dyDescent="0.25">
      <c r="A25">
        <v>2046</v>
      </c>
      <c r="B25">
        <v>0.43767353165522499</v>
      </c>
      <c r="C25">
        <v>-8.9267312315267633E-2</v>
      </c>
      <c r="D25">
        <v>0.34840621933995741</v>
      </c>
      <c r="E25" t="s">
        <v>11</v>
      </c>
      <c r="F25">
        <v>0.7</v>
      </c>
    </row>
    <row r="26" spans="1:6" x14ac:dyDescent="0.25">
      <c r="A26">
        <v>2047</v>
      </c>
      <c r="B26">
        <v>0.43767353165522499</v>
      </c>
      <c r="C26">
        <v>-3.4108190597791133E-2</v>
      </c>
      <c r="D26">
        <v>0.40356534105743391</v>
      </c>
      <c r="E26" t="s">
        <v>11</v>
      </c>
      <c r="F26">
        <v>0.7</v>
      </c>
    </row>
    <row r="27" spans="1:6" x14ac:dyDescent="0.25">
      <c r="A27">
        <v>2048</v>
      </c>
      <c r="B27">
        <v>0.43767353165522499</v>
      </c>
      <c r="C27">
        <v>6.9498326471042924E-3</v>
      </c>
      <c r="D27">
        <v>0.44462336430232929</v>
      </c>
      <c r="E27" t="s">
        <v>11</v>
      </c>
      <c r="F27">
        <v>0.7</v>
      </c>
    </row>
    <row r="28" spans="1:6" x14ac:dyDescent="0.25">
      <c r="A28">
        <v>2049</v>
      </c>
      <c r="B28">
        <v>0.43767353165522499</v>
      </c>
      <c r="C28">
        <v>-7.2115272118149859E-2</v>
      </c>
      <c r="D28">
        <v>0.36555825953707521</v>
      </c>
      <c r="E28" t="s">
        <v>11</v>
      </c>
      <c r="F28">
        <v>0.7</v>
      </c>
    </row>
    <row r="29" spans="1:6" x14ac:dyDescent="0.25">
      <c r="A29">
        <v>2050</v>
      </c>
      <c r="B29">
        <v>0.43767353165522499</v>
      </c>
      <c r="C29">
        <v>2.3539284109582038E-2</v>
      </c>
      <c r="D29">
        <v>0.4612128157648071</v>
      </c>
      <c r="E29" t="s">
        <v>11</v>
      </c>
      <c r="F29">
        <v>0.7</v>
      </c>
    </row>
    <row r="30" spans="1:6" x14ac:dyDescent="0.25">
      <c r="A30">
        <v>2051</v>
      </c>
      <c r="B30">
        <v>0.43767353165522499</v>
      </c>
      <c r="C30">
        <v>-3.7632896844819817E-2</v>
      </c>
      <c r="D30">
        <v>0.40004063481040519</v>
      </c>
      <c r="E30" t="s">
        <v>11</v>
      </c>
      <c r="F30">
        <v>0.7</v>
      </c>
    </row>
    <row r="31" spans="1:6" x14ac:dyDescent="0.25">
      <c r="A31">
        <v>2052</v>
      </c>
      <c r="B31">
        <v>0.43767353165522499</v>
      </c>
      <c r="C31">
        <v>-1.8276013484467661E-2</v>
      </c>
      <c r="D31">
        <v>0.41939751817075738</v>
      </c>
      <c r="E31" t="s">
        <v>11</v>
      </c>
      <c r="F31">
        <v>0.7</v>
      </c>
    </row>
    <row r="32" spans="1:6" x14ac:dyDescent="0.25">
      <c r="A32">
        <v>2053</v>
      </c>
      <c r="B32">
        <v>0.43767353165522499</v>
      </c>
      <c r="C32">
        <v>-3.7699807303348917E-2</v>
      </c>
      <c r="D32">
        <v>0.39997372435187611</v>
      </c>
      <c r="E32" t="s">
        <v>11</v>
      </c>
      <c r="F32">
        <v>0.7</v>
      </c>
    </row>
    <row r="33" spans="1:6" x14ac:dyDescent="0.25">
      <c r="A33">
        <v>2054</v>
      </c>
      <c r="B33">
        <v>0.43767353165522499</v>
      </c>
      <c r="C33">
        <v>0.1160541187497562</v>
      </c>
      <c r="D33">
        <v>0.55372765040498118</v>
      </c>
      <c r="E33" t="s">
        <v>11</v>
      </c>
      <c r="F33">
        <v>0.7</v>
      </c>
    </row>
    <row r="34" spans="1:6" x14ac:dyDescent="0.25">
      <c r="A34">
        <v>2055</v>
      </c>
      <c r="B34">
        <v>0.43767353165522499</v>
      </c>
      <c r="C34">
        <v>-8.4566591326756075E-4</v>
      </c>
      <c r="D34">
        <v>0.43682786574195748</v>
      </c>
      <c r="E34" t="s">
        <v>11</v>
      </c>
      <c r="F34">
        <v>0.7</v>
      </c>
    </row>
    <row r="35" spans="1:6" x14ac:dyDescent="0.25">
      <c r="A35">
        <v>2056</v>
      </c>
      <c r="B35">
        <v>0.43767353165522499</v>
      </c>
      <c r="C35">
        <v>-6.627066645742849E-2</v>
      </c>
      <c r="D35">
        <v>0.37140286519779658</v>
      </c>
      <c r="E35" t="s">
        <v>11</v>
      </c>
      <c r="F35">
        <v>0.7</v>
      </c>
    </row>
    <row r="36" spans="1:6" x14ac:dyDescent="0.25">
      <c r="A36">
        <v>2057</v>
      </c>
      <c r="B36">
        <v>0.43767353165522499</v>
      </c>
      <c r="C36">
        <v>5.1536386761224448E-2</v>
      </c>
      <c r="D36">
        <v>0.48920991841644951</v>
      </c>
      <c r="E36" t="s">
        <v>11</v>
      </c>
      <c r="F36">
        <v>0.7</v>
      </c>
    </row>
    <row r="37" spans="1:6" x14ac:dyDescent="0.25">
      <c r="A37">
        <v>2058</v>
      </c>
      <c r="B37">
        <v>0.43767353165522499</v>
      </c>
      <c r="C37">
        <v>-7.6491714426893717E-2</v>
      </c>
      <c r="D37">
        <v>0.36118181722833131</v>
      </c>
      <c r="E37" t="s">
        <v>11</v>
      </c>
      <c r="F37">
        <v>0.7</v>
      </c>
    </row>
    <row r="38" spans="1:6" x14ac:dyDescent="0.25">
      <c r="A38">
        <v>2059</v>
      </c>
      <c r="B38">
        <v>0.43767353165522499</v>
      </c>
      <c r="C38">
        <v>1.308630672212396E-2</v>
      </c>
      <c r="D38">
        <v>0.45075983837734901</v>
      </c>
      <c r="E38" t="s">
        <v>11</v>
      </c>
      <c r="F38">
        <v>0.7</v>
      </c>
    </row>
    <row r="39" spans="1:6" x14ac:dyDescent="0.25">
      <c r="A39">
        <v>2060</v>
      </c>
      <c r="B39">
        <v>0.43767353165522499</v>
      </c>
      <c r="C39">
        <v>-0.122782739206847</v>
      </c>
      <c r="D39">
        <v>0.31489079244837798</v>
      </c>
      <c r="E39" t="s">
        <v>11</v>
      </c>
      <c r="F39">
        <v>0.7</v>
      </c>
    </row>
    <row r="40" spans="1:6" x14ac:dyDescent="0.25">
      <c r="A40">
        <v>2061</v>
      </c>
      <c r="B40">
        <v>0.43767353165522499</v>
      </c>
      <c r="C40">
        <v>-8.3217230937421421E-2</v>
      </c>
      <c r="D40">
        <v>0.3544563007178036</v>
      </c>
      <c r="E40" t="s">
        <v>11</v>
      </c>
      <c r="F40">
        <v>0.7</v>
      </c>
    </row>
    <row r="41" spans="1:6" x14ac:dyDescent="0.25">
      <c r="A41">
        <v>2062</v>
      </c>
      <c r="B41">
        <v>0.43767353165522499</v>
      </c>
      <c r="C41">
        <v>1.2334301313836371E-2</v>
      </c>
      <c r="D41">
        <v>0.45000783296906138</v>
      </c>
      <c r="E41" t="s">
        <v>11</v>
      </c>
      <c r="F41">
        <v>0.7</v>
      </c>
    </row>
    <row r="42" spans="1:6" x14ac:dyDescent="0.25">
      <c r="A42">
        <v>2063</v>
      </c>
      <c r="B42">
        <v>0.43767353165522499</v>
      </c>
      <c r="C42">
        <v>4.6268475698878028E-2</v>
      </c>
      <c r="D42">
        <v>0.48394200735410309</v>
      </c>
      <c r="E42" t="s">
        <v>11</v>
      </c>
      <c r="F42">
        <v>0.7</v>
      </c>
    </row>
    <row r="43" spans="1:6" x14ac:dyDescent="0.25">
      <c r="A43">
        <v>2064</v>
      </c>
      <c r="B43">
        <v>0.43767353165522499</v>
      </c>
      <c r="C43">
        <v>1.0737045343129709E-2</v>
      </c>
      <c r="D43">
        <v>0.44841057699835479</v>
      </c>
      <c r="E43" t="s">
        <v>11</v>
      </c>
      <c r="F43">
        <v>0.7</v>
      </c>
    </row>
    <row r="44" spans="1:6" x14ac:dyDescent="0.25">
      <c r="A44">
        <v>2065</v>
      </c>
      <c r="B44">
        <v>0.43767353165522499</v>
      </c>
      <c r="C44">
        <v>-7.2459199755939476E-3</v>
      </c>
      <c r="D44">
        <v>0.43042761167963112</v>
      </c>
      <c r="E44" t="s">
        <v>11</v>
      </c>
      <c r="F44">
        <v>0.7</v>
      </c>
    </row>
    <row r="45" spans="1:6" x14ac:dyDescent="0.25">
      <c r="A45">
        <v>2066</v>
      </c>
      <c r="B45">
        <v>0.43767353165522499</v>
      </c>
      <c r="C45">
        <v>-1.8865591754066869E-2</v>
      </c>
      <c r="D45">
        <v>0.41880793990115822</v>
      </c>
      <c r="E45" t="s">
        <v>11</v>
      </c>
      <c r="F45">
        <v>0.7</v>
      </c>
    </row>
    <row r="46" spans="1:6" x14ac:dyDescent="0.25">
      <c r="A46">
        <v>2067</v>
      </c>
      <c r="B46">
        <v>0.43767353165522499</v>
      </c>
      <c r="C46">
        <v>-9.2636499246854548E-2</v>
      </c>
      <c r="D46">
        <v>0.34503703240837053</v>
      </c>
      <c r="E46" t="s">
        <v>11</v>
      </c>
      <c r="F46">
        <v>0.7</v>
      </c>
    </row>
    <row r="47" spans="1:6" x14ac:dyDescent="0.25">
      <c r="A47">
        <v>2068</v>
      </c>
      <c r="B47">
        <v>0.43767353165522499</v>
      </c>
      <c r="C47">
        <v>-4.5101694735184453E-2</v>
      </c>
      <c r="D47">
        <v>0.39257183692004061</v>
      </c>
      <c r="E47" t="s">
        <v>11</v>
      </c>
      <c r="F47">
        <v>0.7</v>
      </c>
    </row>
    <row r="48" spans="1:6" x14ac:dyDescent="0.25">
      <c r="A48">
        <v>2069</v>
      </c>
      <c r="B48">
        <v>0.43767353165522499</v>
      </c>
      <c r="C48">
        <v>-2.8861229956061701E-2</v>
      </c>
      <c r="D48">
        <v>0.40881230169916333</v>
      </c>
      <c r="E48" t="s">
        <v>11</v>
      </c>
      <c r="F48">
        <v>0.7</v>
      </c>
    </row>
    <row r="49" spans="1:6" x14ac:dyDescent="0.25">
      <c r="A49">
        <v>2070</v>
      </c>
      <c r="B49">
        <v>0.43767353165522499</v>
      </c>
      <c r="C49">
        <v>6.623378140532471E-2</v>
      </c>
      <c r="D49">
        <v>0.50390731306054981</v>
      </c>
      <c r="E49" t="s">
        <v>11</v>
      </c>
      <c r="F49">
        <v>0.7</v>
      </c>
    </row>
    <row r="50" spans="1:6" x14ac:dyDescent="0.25">
      <c r="A50">
        <v>2071</v>
      </c>
      <c r="B50">
        <v>0.43767353165522499</v>
      </c>
      <c r="C50">
        <v>2.1529335126698902E-2</v>
      </c>
      <c r="D50">
        <v>0.4592028667819239</v>
      </c>
      <c r="E50" t="s">
        <v>11</v>
      </c>
      <c r="F50">
        <v>0.7</v>
      </c>
    </row>
    <row r="51" spans="1:6" x14ac:dyDescent="0.25">
      <c r="A51">
        <v>2072</v>
      </c>
      <c r="B51">
        <v>0.43767353165522499</v>
      </c>
      <c r="C51">
        <v>-0.11046292790264629</v>
      </c>
      <c r="D51">
        <v>0.32721060375257871</v>
      </c>
      <c r="E51" t="s">
        <v>11</v>
      </c>
      <c r="F51">
        <v>0.7</v>
      </c>
    </row>
    <row r="52" spans="1:6" x14ac:dyDescent="0.25">
      <c r="A52">
        <v>2073</v>
      </c>
      <c r="B52">
        <v>0.43767353165522499</v>
      </c>
      <c r="C52">
        <v>2.030541620777503E-2</v>
      </c>
      <c r="D52">
        <v>0.45797894786300009</v>
      </c>
      <c r="E52" t="s">
        <v>11</v>
      </c>
      <c r="F52">
        <v>0.7</v>
      </c>
    </row>
    <row r="53" spans="1:6" x14ac:dyDescent="0.25">
      <c r="A53">
        <v>2074</v>
      </c>
      <c r="B53">
        <v>0.43767353165522499</v>
      </c>
      <c r="C53">
        <v>-2.4127253170511259E-2</v>
      </c>
      <c r="D53">
        <v>0.41354627848471381</v>
      </c>
      <c r="E53" t="s">
        <v>11</v>
      </c>
      <c r="F53">
        <v>0.7</v>
      </c>
    </row>
    <row r="54" spans="1:6" x14ac:dyDescent="0.25">
      <c r="A54">
        <v>2075</v>
      </c>
      <c r="B54">
        <v>0.43767353165522499</v>
      </c>
      <c r="C54">
        <v>-4.241241238213761E-2</v>
      </c>
      <c r="D54">
        <v>0.39526111927308738</v>
      </c>
      <c r="E54" t="s">
        <v>11</v>
      </c>
      <c r="F54">
        <v>0.7</v>
      </c>
    </row>
    <row r="55" spans="1:6" x14ac:dyDescent="0.25">
      <c r="A55">
        <v>2076</v>
      </c>
      <c r="B55">
        <v>0.43767353165522499</v>
      </c>
      <c r="C55">
        <v>3.8324455395110077E-2</v>
      </c>
      <c r="D55">
        <v>0.47599798705033508</v>
      </c>
      <c r="E55" t="s">
        <v>11</v>
      </c>
      <c r="F55">
        <v>0.7</v>
      </c>
    </row>
    <row r="56" spans="1:6" x14ac:dyDescent="0.25">
      <c r="A56">
        <v>2077</v>
      </c>
      <c r="B56">
        <v>0.43767353165522499</v>
      </c>
      <c r="C56">
        <v>6.459706863437914E-2</v>
      </c>
      <c r="D56">
        <v>0.50227060028960424</v>
      </c>
      <c r="E56" t="s">
        <v>11</v>
      </c>
      <c r="F56">
        <v>0.7</v>
      </c>
    </row>
    <row r="57" spans="1:6" x14ac:dyDescent="0.25">
      <c r="A57">
        <v>2078</v>
      </c>
      <c r="B57">
        <v>0.43767353165522499</v>
      </c>
      <c r="C57">
        <v>5.8349169383459257E-2</v>
      </c>
      <c r="D57">
        <v>0.49602270103868429</v>
      </c>
      <c r="E57" t="s">
        <v>11</v>
      </c>
      <c r="F57">
        <v>0.7</v>
      </c>
    </row>
    <row r="58" spans="1:6" x14ac:dyDescent="0.25">
      <c r="A58">
        <v>2079</v>
      </c>
      <c r="B58">
        <v>0.43767353165522499</v>
      </c>
      <c r="C58">
        <v>-5.2581005872385712E-2</v>
      </c>
      <c r="D58">
        <v>0.38509252578283942</v>
      </c>
      <c r="E58" t="s">
        <v>11</v>
      </c>
      <c r="F58">
        <v>0.7</v>
      </c>
    </row>
    <row r="59" spans="1:6" x14ac:dyDescent="0.25">
      <c r="A59">
        <v>2080</v>
      </c>
      <c r="B59">
        <v>0.43767353165522499</v>
      </c>
      <c r="C59">
        <v>-1.9373639492193648E-2</v>
      </c>
      <c r="D59">
        <v>0.41829989216303137</v>
      </c>
      <c r="E59" t="s">
        <v>11</v>
      </c>
      <c r="F59">
        <v>0.7</v>
      </c>
    </row>
    <row r="60" spans="1:6" x14ac:dyDescent="0.25">
      <c r="A60">
        <v>2081</v>
      </c>
      <c r="B60">
        <v>0.43767353165522499</v>
      </c>
      <c r="C60">
        <v>2.075524396231717E-2</v>
      </c>
      <c r="D60">
        <v>0.45842877561754219</v>
      </c>
      <c r="E60" t="s">
        <v>11</v>
      </c>
      <c r="F60">
        <v>0.7</v>
      </c>
    </row>
    <row r="61" spans="1:6" x14ac:dyDescent="0.25">
      <c r="A61">
        <v>2082</v>
      </c>
      <c r="B61">
        <v>0.43767353165522499</v>
      </c>
      <c r="C61">
        <v>6.112258459644887E-2</v>
      </c>
      <c r="D61">
        <v>0.49879611625167403</v>
      </c>
      <c r="E61" t="s">
        <v>11</v>
      </c>
      <c r="F61">
        <v>0.7</v>
      </c>
    </row>
    <row r="62" spans="1:6" x14ac:dyDescent="0.25">
      <c r="A62">
        <v>2083</v>
      </c>
      <c r="B62">
        <v>0.43767353165522499</v>
      </c>
      <c r="C62">
        <v>-3.0022565922226279E-2</v>
      </c>
      <c r="D62">
        <v>0.40765096573299869</v>
      </c>
      <c r="E62" t="s">
        <v>11</v>
      </c>
      <c r="F62">
        <v>0.7</v>
      </c>
    </row>
    <row r="63" spans="1:6" x14ac:dyDescent="0.25">
      <c r="A63">
        <v>2084</v>
      </c>
      <c r="B63">
        <v>0.43767353165522499</v>
      </c>
      <c r="C63">
        <v>-1.1632426006471099E-2</v>
      </c>
      <c r="D63">
        <v>0.42604110564875403</v>
      </c>
      <c r="E63" t="s">
        <v>11</v>
      </c>
      <c r="F63">
        <v>0.7</v>
      </c>
    </row>
    <row r="64" spans="1:6" x14ac:dyDescent="0.25">
      <c r="A64">
        <v>2085</v>
      </c>
      <c r="B64">
        <v>0.43767353165522499</v>
      </c>
      <c r="C64">
        <v>-6.9317196263553191E-2</v>
      </c>
      <c r="D64">
        <v>0.3683563353916719</v>
      </c>
      <c r="E64" t="s">
        <v>11</v>
      </c>
      <c r="F64">
        <v>0.7</v>
      </c>
    </row>
    <row r="65" spans="1:6" x14ac:dyDescent="0.25">
      <c r="A65">
        <v>2086</v>
      </c>
      <c r="B65">
        <v>0.43767353165522499</v>
      </c>
      <c r="C65">
        <v>-7.4948086503058037E-2</v>
      </c>
      <c r="D65">
        <v>0.36272544515216698</v>
      </c>
      <c r="E65" t="s">
        <v>11</v>
      </c>
      <c r="F65">
        <v>0.7</v>
      </c>
    </row>
    <row r="66" spans="1:6" x14ac:dyDescent="0.25">
      <c r="A66">
        <v>2087</v>
      </c>
      <c r="B66">
        <v>0.43767353165522499</v>
      </c>
      <c r="C66">
        <v>5.0908642701732683E-2</v>
      </c>
      <c r="D66">
        <v>0.48858217435695772</v>
      </c>
      <c r="E66" t="s">
        <v>11</v>
      </c>
      <c r="F66">
        <v>0.7</v>
      </c>
    </row>
    <row r="67" spans="1:6" x14ac:dyDescent="0.25">
      <c r="A67">
        <v>2088</v>
      </c>
      <c r="B67">
        <v>0.43767353165522499</v>
      </c>
      <c r="C67">
        <v>8.4974947416259189E-2</v>
      </c>
      <c r="D67">
        <v>0.52264847907148426</v>
      </c>
      <c r="E67" t="s">
        <v>11</v>
      </c>
      <c r="F67">
        <v>0.7</v>
      </c>
    </row>
    <row r="68" spans="1:6" x14ac:dyDescent="0.25">
      <c r="A68">
        <v>2089</v>
      </c>
      <c r="B68">
        <v>0.43767353165522499</v>
      </c>
      <c r="C68">
        <v>-4.5117797482908924E-3</v>
      </c>
      <c r="D68">
        <v>0.43316175190693418</v>
      </c>
      <c r="E68" t="s">
        <v>11</v>
      </c>
      <c r="F68">
        <v>0.7</v>
      </c>
    </row>
    <row r="69" spans="1:6" x14ac:dyDescent="0.25">
      <c r="A69">
        <v>2090</v>
      </c>
      <c r="B69">
        <v>0.43767353165522499</v>
      </c>
      <c r="C69">
        <v>6.2876152769743954E-2</v>
      </c>
      <c r="D69">
        <v>0.50054968442496905</v>
      </c>
      <c r="E69" t="s">
        <v>11</v>
      </c>
      <c r="F69">
        <v>0.7</v>
      </c>
    </row>
    <row r="70" spans="1:6" x14ac:dyDescent="0.25">
      <c r="A70">
        <v>2091</v>
      </c>
      <c r="B70">
        <v>0.43767353165522499</v>
      </c>
      <c r="C70">
        <v>2.265823273527056E-2</v>
      </c>
      <c r="D70">
        <v>0.46033176439049561</v>
      </c>
      <c r="E70" t="s">
        <v>11</v>
      </c>
      <c r="F70">
        <v>0.7</v>
      </c>
    </row>
    <row r="71" spans="1:6" x14ac:dyDescent="0.25">
      <c r="A71">
        <v>2092</v>
      </c>
      <c r="B71">
        <v>0.43767353165522499</v>
      </c>
      <c r="C71">
        <v>-4.0419849045841533E-2</v>
      </c>
      <c r="D71">
        <v>0.39725368260938348</v>
      </c>
      <c r="E71" t="s">
        <v>11</v>
      </c>
      <c r="F71">
        <v>0.7</v>
      </c>
    </row>
    <row r="72" spans="1:6" x14ac:dyDescent="0.25">
      <c r="A72">
        <v>2093</v>
      </c>
      <c r="B72">
        <v>0.43767353165522499</v>
      </c>
      <c r="C72">
        <v>2.2643169297182391E-2</v>
      </c>
      <c r="D72">
        <v>0.46031670095240751</v>
      </c>
      <c r="E72" t="s">
        <v>11</v>
      </c>
      <c r="F72">
        <v>0.7</v>
      </c>
    </row>
    <row r="73" spans="1:6" x14ac:dyDescent="0.25">
      <c r="A73">
        <v>2094</v>
      </c>
      <c r="B73">
        <v>0.43767353165522499</v>
      </c>
      <c r="C73">
        <v>9.636537309509495E-2</v>
      </c>
      <c r="D73">
        <v>0.53403890475032001</v>
      </c>
      <c r="E73" t="s">
        <v>11</v>
      </c>
      <c r="F73">
        <v>0.7</v>
      </c>
    </row>
    <row r="74" spans="1:6" x14ac:dyDescent="0.25">
      <c r="A74">
        <v>2095</v>
      </c>
      <c r="B74">
        <v>0.43767353165522499</v>
      </c>
      <c r="C74">
        <v>-2.2446733066188969E-3</v>
      </c>
      <c r="D74">
        <v>0.43542885834860612</v>
      </c>
      <c r="E74" t="s">
        <v>11</v>
      </c>
      <c r="F74">
        <v>0.7</v>
      </c>
    </row>
    <row r="75" spans="1:6" x14ac:dyDescent="0.25">
      <c r="A75">
        <v>2096</v>
      </c>
      <c r="B75">
        <v>0.43767353165522499</v>
      </c>
      <c r="C75">
        <v>9.803243495038591E-2</v>
      </c>
      <c r="D75">
        <v>0.53570596660561087</v>
      </c>
      <c r="E75" t="s">
        <v>11</v>
      </c>
      <c r="F75">
        <v>0.7</v>
      </c>
    </row>
    <row r="76" spans="1:6" x14ac:dyDescent="0.25">
      <c r="A76">
        <v>2097</v>
      </c>
      <c r="B76">
        <v>0.43767353165522499</v>
      </c>
      <c r="C76">
        <v>-0.16413960491832191</v>
      </c>
      <c r="D76">
        <v>0.27353392673690308</v>
      </c>
      <c r="E76" t="s">
        <v>11</v>
      </c>
      <c r="F76">
        <v>0.7</v>
      </c>
    </row>
    <row r="77" spans="1:6" x14ac:dyDescent="0.25">
      <c r="A77">
        <v>2098</v>
      </c>
      <c r="B77">
        <v>0.43767353165522499</v>
      </c>
      <c r="C77">
        <v>5.1496136833664677E-2</v>
      </c>
      <c r="D77">
        <v>0.48916966848888971</v>
      </c>
      <c r="E77" t="s">
        <v>11</v>
      </c>
      <c r="F77">
        <v>0.7</v>
      </c>
    </row>
    <row r="78" spans="1:6" x14ac:dyDescent="0.25">
      <c r="A78">
        <v>2099</v>
      </c>
      <c r="B78">
        <v>0.43767353165522499</v>
      </c>
      <c r="C78">
        <v>5.4539166301356976E-3</v>
      </c>
      <c r="D78">
        <v>0.44312744828536083</v>
      </c>
      <c r="E78" t="s">
        <v>11</v>
      </c>
      <c r="F78">
        <v>0.7</v>
      </c>
    </row>
    <row r="79" spans="1:6" x14ac:dyDescent="0.25">
      <c r="A79">
        <v>2100</v>
      </c>
      <c r="B79">
        <v>0.43767353165522499</v>
      </c>
      <c r="C79">
        <v>-1.8734245670131579E-2</v>
      </c>
      <c r="D79">
        <v>0.4189392859850935</v>
      </c>
      <c r="E79" t="s">
        <v>11</v>
      </c>
      <c r="F79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3"/>
  <sheetViews>
    <sheetView topLeftCell="A271" workbookViewId="0"/>
  </sheetViews>
  <sheetFormatPr defaultRowHeight="1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</row>
    <row r="2" spans="1:6" x14ac:dyDescent="0.25">
      <c r="A2">
        <v>2023</v>
      </c>
      <c r="B2">
        <v>0.62524790236460726</v>
      </c>
      <c r="C2">
        <v>4.4459322563930551E-2</v>
      </c>
      <c r="D2">
        <v>0.66970722492853785</v>
      </c>
      <c r="E2" t="s">
        <v>7</v>
      </c>
    </row>
    <row r="3" spans="1:6" x14ac:dyDescent="0.25">
      <c r="A3">
        <v>2024</v>
      </c>
      <c r="B3">
        <v>0.62524790236460726</v>
      </c>
      <c r="C3">
        <v>-1.237560300543143E-2</v>
      </c>
      <c r="D3">
        <v>0.61287229935917586</v>
      </c>
      <c r="E3" t="s">
        <v>7</v>
      </c>
    </row>
    <row r="4" spans="1:6" x14ac:dyDescent="0.25">
      <c r="A4">
        <v>2025</v>
      </c>
      <c r="B4">
        <v>0.62524790236460726</v>
      </c>
      <c r="C4">
        <v>5.797256523054644E-2</v>
      </c>
      <c r="D4">
        <v>0.68322046759515365</v>
      </c>
      <c r="E4" t="s">
        <v>7</v>
      </c>
    </row>
    <row r="5" spans="1:6" x14ac:dyDescent="0.25">
      <c r="A5">
        <v>2026</v>
      </c>
      <c r="B5">
        <v>0.62524790236460726</v>
      </c>
      <c r="C5">
        <v>0.1363216152590884</v>
      </c>
      <c r="D5">
        <v>0.76156951762369562</v>
      </c>
      <c r="E5" t="s">
        <v>7</v>
      </c>
    </row>
    <row r="6" spans="1:6" x14ac:dyDescent="0.25">
      <c r="A6">
        <v>2027</v>
      </c>
      <c r="B6">
        <v>0.62524790236460726</v>
      </c>
      <c r="C6">
        <v>-2.0958332580513921E-2</v>
      </c>
      <c r="D6">
        <v>0.60428956978409332</v>
      </c>
      <c r="E6" t="s">
        <v>7</v>
      </c>
    </row>
    <row r="7" spans="1:6" x14ac:dyDescent="0.25">
      <c r="A7">
        <v>2028</v>
      </c>
      <c r="B7">
        <v>0.62524790236460726</v>
      </c>
      <c r="C7">
        <v>-2.095686307715363E-2</v>
      </c>
      <c r="D7">
        <v>0.60429103928745365</v>
      </c>
      <c r="E7" t="s">
        <v>7</v>
      </c>
    </row>
    <row r="8" spans="1:6" x14ac:dyDescent="0.25">
      <c r="A8">
        <v>2029</v>
      </c>
      <c r="B8">
        <v>0.62524790236460726</v>
      </c>
      <c r="C8">
        <v>0.1413503753337754</v>
      </c>
      <c r="D8">
        <v>0.76659827769838262</v>
      </c>
      <c r="E8" t="s">
        <v>7</v>
      </c>
    </row>
    <row r="9" spans="1:6" x14ac:dyDescent="0.25">
      <c r="A9">
        <v>2030</v>
      </c>
      <c r="B9">
        <v>0.62524790236460726</v>
      </c>
      <c r="C9">
        <v>6.8690670405359422E-2</v>
      </c>
      <c r="D9">
        <v>0.69393857276996673</v>
      </c>
      <c r="E9" t="s">
        <v>7</v>
      </c>
    </row>
    <row r="10" spans="1:6" x14ac:dyDescent="0.25">
      <c r="A10">
        <v>2031</v>
      </c>
      <c r="B10">
        <v>0.62524790236460726</v>
      </c>
      <c r="C10">
        <v>-4.2021176632978378E-2</v>
      </c>
      <c r="D10">
        <v>0.58322672573162893</v>
      </c>
      <c r="E10" t="s">
        <v>7</v>
      </c>
    </row>
    <row r="11" spans="1:6" x14ac:dyDescent="0.25">
      <c r="A11">
        <v>2032</v>
      </c>
      <c r="B11">
        <v>0.62524790236460726</v>
      </c>
      <c r="C11">
        <v>4.8562844126455021E-2</v>
      </c>
      <c r="D11">
        <v>0.67381074649106232</v>
      </c>
      <c r="E11" t="s">
        <v>7</v>
      </c>
    </row>
    <row r="12" spans="1:6" x14ac:dyDescent="0.25">
      <c r="A12">
        <v>2033</v>
      </c>
      <c r="B12">
        <v>0.62524790236460726</v>
      </c>
      <c r="C12">
        <v>-4.1479061068984323E-2</v>
      </c>
      <c r="D12">
        <v>0.5837688412956229</v>
      </c>
      <c r="E12" t="s">
        <v>7</v>
      </c>
    </row>
    <row r="13" spans="1:6" x14ac:dyDescent="0.25">
      <c r="A13">
        <v>2034</v>
      </c>
      <c r="B13">
        <v>0.62524790236460726</v>
      </c>
      <c r="C13">
        <v>-4.1686006360144308E-2</v>
      </c>
      <c r="D13">
        <v>0.58356189600446295</v>
      </c>
      <c r="E13" t="s">
        <v>7</v>
      </c>
    </row>
    <row r="14" spans="1:6" x14ac:dyDescent="0.25">
      <c r="A14">
        <v>2035</v>
      </c>
      <c r="B14">
        <v>0.62524790236460726</v>
      </c>
      <c r="C14">
        <v>2.1657282391976469E-2</v>
      </c>
      <c r="D14">
        <v>0.64690518475658376</v>
      </c>
      <c r="E14" t="s">
        <v>7</v>
      </c>
    </row>
    <row r="15" spans="1:6" x14ac:dyDescent="0.25">
      <c r="A15">
        <v>2036</v>
      </c>
      <c r="B15">
        <v>0.62524790236460726</v>
      </c>
      <c r="C15">
        <v>-0.17125170087616451</v>
      </c>
      <c r="D15">
        <v>0.45399620148844277</v>
      </c>
      <c r="E15" t="s">
        <v>7</v>
      </c>
    </row>
    <row r="16" spans="1:6" x14ac:dyDescent="0.25">
      <c r="A16">
        <v>2037</v>
      </c>
      <c r="B16">
        <v>0.62524790236460726</v>
      </c>
      <c r="C16">
        <v>-0.15439197342588831</v>
      </c>
      <c r="D16">
        <v>0.47085592893871903</v>
      </c>
      <c r="E16" t="s">
        <v>7</v>
      </c>
    </row>
    <row r="17" spans="1:5" x14ac:dyDescent="0.25">
      <c r="A17">
        <v>2038</v>
      </c>
      <c r="B17">
        <v>0.62524790236460726</v>
      </c>
      <c r="C17">
        <v>-5.032858935999477E-2</v>
      </c>
      <c r="D17">
        <v>0.57491931300461252</v>
      </c>
      <c r="E17" t="s">
        <v>7</v>
      </c>
    </row>
    <row r="18" spans="1:5" x14ac:dyDescent="0.25">
      <c r="A18">
        <v>2039</v>
      </c>
      <c r="B18">
        <v>0.62524790236460726</v>
      </c>
      <c r="C18">
        <v>-9.0655330049991559E-2</v>
      </c>
      <c r="D18">
        <v>0.53459257231461565</v>
      </c>
      <c r="E18" t="s">
        <v>7</v>
      </c>
    </row>
    <row r="19" spans="1:5" x14ac:dyDescent="0.25">
      <c r="A19">
        <v>2040</v>
      </c>
      <c r="B19">
        <v>0.62524790236460726</v>
      </c>
      <c r="C19">
        <v>2.812729099827382E-2</v>
      </c>
      <c r="D19">
        <v>0.65337519336288108</v>
      </c>
      <c r="E19" t="s">
        <v>7</v>
      </c>
    </row>
    <row r="20" spans="1:5" x14ac:dyDescent="0.25">
      <c r="A20">
        <v>2041</v>
      </c>
      <c r="B20">
        <v>0.62524790236460726</v>
      </c>
      <c r="C20">
        <v>-8.1274380898301926E-2</v>
      </c>
      <c r="D20">
        <v>0.54397352146630529</v>
      </c>
      <c r="E20" t="s">
        <v>7</v>
      </c>
    </row>
    <row r="21" spans="1:5" x14ac:dyDescent="0.25">
      <c r="A21">
        <v>2042</v>
      </c>
      <c r="B21">
        <v>0.62524790236460726</v>
      </c>
      <c r="C21">
        <v>-0.12641086515301861</v>
      </c>
      <c r="D21">
        <v>0.49883703721158867</v>
      </c>
      <c r="E21" t="s">
        <v>7</v>
      </c>
    </row>
    <row r="22" spans="1:5" x14ac:dyDescent="0.25">
      <c r="A22">
        <v>2043</v>
      </c>
      <c r="B22">
        <v>0.62524790236460726</v>
      </c>
      <c r="C22">
        <v>0.13118561447842919</v>
      </c>
      <c r="D22">
        <v>0.7564335168430365</v>
      </c>
      <c r="E22" t="s">
        <v>7</v>
      </c>
    </row>
    <row r="23" spans="1:5" x14ac:dyDescent="0.25">
      <c r="A23">
        <v>2044</v>
      </c>
      <c r="B23">
        <v>0.62524790236460726</v>
      </c>
      <c r="C23">
        <v>-2.0208526996400689E-2</v>
      </c>
      <c r="D23">
        <v>0.60503937536820651</v>
      </c>
      <c r="E23" t="s">
        <v>7</v>
      </c>
    </row>
    <row r="24" spans="1:5" x14ac:dyDescent="0.25">
      <c r="A24">
        <v>2045</v>
      </c>
      <c r="B24">
        <v>0.62524790236460726</v>
      </c>
      <c r="C24">
        <v>6.0442373469387339E-3</v>
      </c>
      <c r="D24">
        <v>0.63129213971154596</v>
      </c>
      <c r="E24" t="s">
        <v>7</v>
      </c>
    </row>
    <row r="25" spans="1:5" x14ac:dyDescent="0.25">
      <c r="A25">
        <v>2046</v>
      </c>
      <c r="B25">
        <v>0.62524790236460726</v>
      </c>
      <c r="C25">
        <v>-0.1275247318789538</v>
      </c>
      <c r="D25">
        <v>0.49772317048565351</v>
      </c>
      <c r="E25" t="s">
        <v>7</v>
      </c>
    </row>
    <row r="26" spans="1:5" x14ac:dyDescent="0.25">
      <c r="A26">
        <v>2047</v>
      </c>
      <c r="B26">
        <v>0.62524790236460726</v>
      </c>
      <c r="C26">
        <v>-4.8725986568273039E-2</v>
      </c>
      <c r="D26">
        <v>0.57652191579633416</v>
      </c>
      <c r="E26" t="s">
        <v>7</v>
      </c>
    </row>
    <row r="27" spans="1:5" x14ac:dyDescent="0.25">
      <c r="A27">
        <v>2048</v>
      </c>
      <c r="B27">
        <v>0.62524790236460726</v>
      </c>
      <c r="C27">
        <v>9.9283323530061328E-3</v>
      </c>
      <c r="D27">
        <v>0.63517623471761342</v>
      </c>
      <c r="E27" t="s">
        <v>7</v>
      </c>
    </row>
    <row r="28" spans="1:5" x14ac:dyDescent="0.25">
      <c r="A28">
        <v>2049</v>
      </c>
      <c r="B28">
        <v>0.62524790236460726</v>
      </c>
      <c r="C28">
        <v>-0.1030218173116427</v>
      </c>
      <c r="D28">
        <v>0.52222608505296464</v>
      </c>
      <c r="E28" t="s">
        <v>7</v>
      </c>
    </row>
    <row r="29" spans="1:5" x14ac:dyDescent="0.25">
      <c r="A29">
        <v>2050</v>
      </c>
      <c r="B29">
        <v>0.62524790236460726</v>
      </c>
      <c r="C29">
        <v>3.3627548727974341E-2</v>
      </c>
      <c r="D29">
        <v>0.65887545109258161</v>
      </c>
      <c r="E29" t="s">
        <v>7</v>
      </c>
    </row>
    <row r="30" spans="1:5" x14ac:dyDescent="0.25">
      <c r="A30">
        <v>2051</v>
      </c>
      <c r="B30">
        <v>0.62524790236460726</v>
      </c>
      <c r="C30">
        <v>-5.3761281206885461E-2</v>
      </c>
      <c r="D30">
        <v>0.57148662115772175</v>
      </c>
      <c r="E30" t="s">
        <v>7</v>
      </c>
    </row>
    <row r="31" spans="1:5" x14ac:dyDescent="0.25">
      <c r="A31">
        <v>2052</v>
      </c>
      <c r="B31">
        <v>0.62524790236460726</v>
      </c>
      <c r="C31">
        <v>-2.6108590692096659E-2</v>
      </c>
      <c r="D31">
        <v>0.59913931167251055</v>
      </c>
      <c r="E31" t="s">
        <v>7</v>
      </c>
    </row>
    <row r="32" spans="1:5" x14ac:dyDescent="0.25">
      <c r="A32">
        <v>2053</v>
      </c>
      <c r="B32">
        <v>0.62524790236460726</v>
      </c>
      <c r="C32">
        <v>-5.3856867576212747E-2</v>
      </c>
      <c r="D32">
        <v>0.57139103478839448</v>
      </c>
      <c r="E32" t="s">
        <v>7</v>
      </c>
    </row>
    <row r="33" spans="1:5" x14ac:dyDescent="0.25">
      <c r="A33">
        <v>2054</v>
      </c>
      <c r="B33">
        <v>0.62524790236460726</v>
      </c>
      <c r="C33">
        <v>0.16579159821393741</v>
      </c>
      <c r="D33">
        <v>0.79103950057854466</v>
      </c>
      <c r="E33" t="s">
        <v>7</v>
      </c>
    </row>
    <row r="34" spans="1:5" x14ac:dyDescent="0.25">
      <c r="A34">
        <v>2055</v>
      </c>
      <c r="B34">
        <v>0.62524790236460726</v>
      </c>
      <c r="C34">
        <v>-1.2080941618108009E-3</v>
      </c>
      <c r="D34">
        <v>0.62403980820279648</v>
      </c>
      <c r="E34" t="s">
        <v>7</v>
      </c>
    </row>
    <row r="35" spans="1:5" x14ac:dyDescent="0.25">
      <c r="A35">
        <v>2056</v>
      </c>
      <c r="B35">
        <v>0.62524790236460726</v>
      </c>
      <c r="C35">
        <v>-9.4672380653469279E-2</v>
      </c>
      <c r="D35">
        <v>0.53057552171113798</v>
      </c>
      <c r="E35" t="s">
        <v>7</v>
      </c>
    </row>
    <row r="36" spans="1:5" x14ac:dyDescent="0.25">
      <c r="A36">
        <v>2057</v>
      </c>
      <c r="B36">
        <v>0.62524790236460726</v>
      </c>
      <c r="C36">
        <v>7.3623409658892081E-2</v>
      </c>
      <c r="D36">
        <v>0.69887131202349928</v>
      </c>
      <c r="E36" t="s">
        <v>7</v>
      </c>
    </row>
    <row r="37" spans="1:5" x14ac:dyDescent="0.25">
      <c r="A37">
        <v>2058</v>
      </c>
      <c r="B37">
        <v>0.62524790236460726</v>
      </c>
      <c r="C37">
        <v>-0.10927387775270531</v>
      </c>
      <c r="D37">
        <v>0.51597402461190189</v>
      </c>
      <c r="E37" t="s">
        <v>7</v>
      </c>
    </row>
    <row r="38" spans="1:5" x14ac:dyDescent="0.25">
      <c r="A38">
        <v>2059</v>
      </c>
      <c r="B38">
        <v>0.62524790236460726</v>
      </c>
      <c r="C38">
        <v>1.8694723888748509E-2</v>
      </c>
      <c r="D38">
        <v>0.64394262625335574</v>
      </c>
      <c r="E38" t="s">
        <v>7</v>
      </c>
    </row>
    <row r="39" spans="1:5" x14ac:dyDescent="0.25">
      <c r="A39">
        <v>2060</v>
      </c>
      <c r="B39">
        <v>0.62524790236460726</v>
      </c>
      <c r="C39">
        <v>-0.17540391315263859</v>
      </c>
      <c r="D39">
        <v>0.44984398921196872</v>
      </c>
      <c r="E39" t="s">
        <v>7</v>
      </c>
    </row>
    <row r="40" spans="1:5" x14ac:dyDescent="0.25">
      <c r="A40">
        <v>2061</v>
      </c>
      <c r="B40">
        <v>0.62524790236460726</v>
      </c>
      <c r="C40">
        <v>-0.1188817584820306</v>
      </c>
      <c r="D40">
        <v>0.50636614388257661</v>
      </c>
      <c r="E40" t="s">
        <v>7</v>
      </c>
    </row>
    <row r="41" spans="1:5" x14ac:dyDescent="0.25">
      <c r="A41">
        <v>2062</v>
      </c>
      <c r="B41">
        <v>0.62524790236460726</v>
      </c>
      <c r="C41">
        <v>1.7620430448337668E-2</v>
      </c>
      <c r="D41">
        <v>0.64286833281294498</v>
      </c>
      <c r="E41" t="s">
        <v>7</v>
      </c>
    </row>
    <row r="42" spans="1:5" x14ac:dyDescent="0.25">
      <c r="A42">
        <v>2063</v>
      </c>
      <c r="B42">
        <v>0.62524790236460726</v>
      </c>
      <c r="C42">
        <v>6.6097822426968614E-2</v>
      </c>
      <c r="D42">
        <v>0.69134572479157586</v>
      </c>
      <c r="E42" t="s">
        <v>7</v>
      </c>
    </row>
    <row r="43" spans="1:5" x14ac:dyDescent="0.25">
      <c r="A43">
        <v>2064</v>
      </c>
      <c r="B43">
        <v>0.62524790236460726</v>
      </c>
      <c r="C43">
        <v>1.5338636204471019E-2</v>
      </c>
      <c r="D43">
        <v>0.64058653856907832</v>
      </c>
      <c r="E43" t="s">
        <v>7</v>
      </c>
    </row>
    <row r="44" spans="1:5" x14ac:dyDescent="0.25">
      <c r="A44">
        <v>2065</v>
      </c>
      <c r="B44">
        <v>0.62524790236460726</v>
      </c>
      <c r="C44">
        <v>-1.03513142508485E-2</v>
      </c>
      <c r="D44">
        <v>0.6148965881137588</v>
      </c>
      <c r="E44" t="s">
        <v>7</v>
      </c>
    </row>
    <row r="45" spans="1:5" x14ac:dyDescent="0.25">
      <c r="A45">
        <v>2066</v>
      </c>
      <c r="B45">
        <v>0.62524790236460726</v>
      </c>
      <c r="C45">
        <v>-2.6950845362952669E-2</v>
      </c>
      <c r="D45">
        <v>0.59829705700165459</v>
      </c>
      <c r="E45" t="s">
        <v>7</v>
      </c>
    </row>
    <row r="46" spans="1:5" x14ac:dyDescent="0.25">
      <c r="A46">
        <v>2067</v>
      </c>
      <c r="B46">
        <v>0.62524790236460726</v>
      </c>
      <c r="C46">
        <v>-0.1323378560669351</v>
      </c>
      <c r="D46">
        <v>0.49291004629767221</v>
      </c>
      <c r="E46" t="s">
        <v>7</v>
      </c>
    </row>
    <row r="47" spans="1:5" x14ac:dyDescent="0.25">
      <c r="A47">
        <v>2068</v>
      </c>
      <c r="B47">
        <v>0.62524790236460726</v>
      </c>
      <c r="C47">
        <v>-6.4430992478834936E-2</v>
      </c>
      <c r="D47">
        <v>0.56081690988577226</v>
      </c>
      <c r="E47" t="s">
        <v>7</v>
      </c>
    </row>
    <row r="48" spans="1:5" x14ac:dyDescent="0.25">
      <c r="A48">
        <v>2069</v>
      </c>
      <c r="B48">
        <v>0.62524790236460726</v>
      </c>
      <c r="C48">
        <v>-4.1230328508659569E-2</v>
      </c>
      <c r="D48">
        <v>0.58401757385594766</v>
      </c>
      <c r="E48" t="s">
        <v>7</v>
      </c>
    </row>
    <row r="49" spans="1:5" x14ac:dyDescent="0.25">
      <c r="A49">
        <v>2070</v>
      </c>
      <c r="B49">
        <v>0.62524790236460726</v>
      </c>
      <c r="C49">
        <v>9.4619687721892443E-2</v>
      </c>
      <c r="D49">
        <v>0.7198675900864997</v>
      </c>
      <c r="E49" t="s">
        <v>7</v>
      </c>
    </row>
    <row r="50" spans="1:5" x14ac:dyDescent="0.25">
      <c r="A50">
        <v>2071</v>
      </c>
      <c r="B50">
        <v>0.62524790236460726</v>
      </c>
      <c r="C50">
        <v>3.0756193038141279E-2</v>
      </c>
      <c r="D50">
        <v>0.65600409540274851</v>
      </c>
      <c r="E50" t="s">
        <v>7</v>
      </c>
    </row>
    <row r="51" spans="1:5" x14ac:dyDescent="0.25">
      <c r="A51">
        <v>2072</v>
      </c>
      <c r="B51">
        <v>0.62524790236460726</v>
      </c>
      <c r="C51">
        <v>-0.15780418271806609</v>
      </c>
      <c r="D51">
        <v>0.46744371964654108</v>
      </c>
      <c r="E51" t="s">
        <v>7</v>
      </c>
    </row>
    <row r="52" spans="1:5" x14ac:dyDescent="0.25">
      <c r="A52">
        <v>2073</v>
      </c>
      <c r="B52">
        <v>0.62524790236460726</v>
      </c>
      <c r="C52">
        <v>2.9007737439678619E-2</v>
      </c>
      <c r="D52">
        <v>0.65425563980428592</v>
      </c>
      <c r="E52" t="s">
        <v>7</v>
      </c>
    </row>
    <row r="53" spans="1:5" x14ac:dyDescent="0.25">
      <c r="A53">
        <v>2074</v>
      </c>
      <c r="B53">
        <v>0.62524790236460726</v>
      </c>
      <c r="C53">
        <v>-3.4467504529301807E-2</v>
      </c>
      <c r="D53">
        <v>0.59078039783530545</v>
      </c>
      <c r="E53" t="s">
        <v>7</v>
      </c>
    </row>
    <row r="54" spans="1:5" x14ac:dyDescent="0.25">
      <c r="A54">
        <v>2075</v>
      </c>
      <c r="B54">
        <v>0.62524790236460726</v>
      </c>
      <c r="C54">
        <v>-6.0589160545910882E-2</v>
      </c>
      <c r="D54">
        <v>0.56465874181869635</v>
      </c>
      <c r="E54" t="s">
        <v>7</v>
      </c>
    </row>
    <row r="55" spans="1:5" x14ac:dyDescent="0.25">
      <c r="A55">
        <v>2076</v>
      </c>
      <c r="B55">
        <v>0.62524790236460726</v>
      </c>
      <c r="C55">
        <v>5.4749221993014401E-2</v>
      </c>
      <c r="D55">
        <v>0.67999712435762161</v>
      </c>
      <c r="E55" t="s">
        <v>7</v>
      </c>
    </row>
    <row r="56" spans="1:5" x14ac:dyDescent="0.25">
      <c r="A56">
        <v>2077</v>
      </c>
      <c r="B56">
        <v>0.62524790236460726</v>
      </c>
      <c r="C56">
        <v>9.2281526620541635E-2</v>
      </c>
      <c r="D56">
        <v>0.71752942898514893</v>
      </c>
      <c r="E56" t="s">
        <v>7</v>
      </c>
    </row>
    <row r="57" spans="1:5" x14ac:dyDescent="0.25">
      <c r="A57">
        <v>2078</v>
      </c>
      <c r="B57">
        <v>0.62524790236460726</v>
      </c>
      <c r="C57">
        <v>8.3355956262084668E-2</v>
      </c>
      <c r="D57">
        <v>0.70860385862669195</v>
      </c>
      <c r="E57" t="s">
        <v>7</v>
      </c>
    </row>
    <row r="58" spans="1:5" x14ac:dyDescent="0.25">
      <c r="A58">
        <v>2079</v>
      </c>
      <c r="B58">
        <v>0.62524790236460726</v>
      </c>
      <c r="C58">
        <v>-7.5115722674836724E-2</v>
      </c>
      <c r="D58">
        <v>0.55013217968977057</v>
      </c>
      <c r="E58" t="s">
        <v>7</v>
      </c>
    </row>
    <row r="59" spans="1:5" x14ac:dyDescent="0.25">
      <c r="A59">
        <v>2080</v>
      </c>
      <c r="B59">
        <v>0.62524790236460726</v>
      </c>
      <c r="C59">
        <v>-2.7676627845990929E-2</v>
      </c>
      <c r="D59">
        <v>0.59757127451861636</v>
      </c>
      <c r="E59" t="s">
        <v>7</v>
      </c>
    </row>
    <row r="60" spans="1:5" x14ac:dyDescent="0.25">
      <c r="A60">
        <v>2081</v>
      </c>
      <c r="B60">
        <v>0.62524790236460726</v>
      </c>
      <c r="C60">
        <v>2.9650348517595949E-2</v>
      </c>
      <c r="D60">
        <v>0.65489825088220321</v>
      </c>
      <c r="E60" t="s">
        <v>7</v>
      </c>
    </row>
    <row r="61" spans="1:5" x14ac:dyDescent="0.25">
      <c r="A61">
        <v>2082</v>
      </c>
      <c r="B61">
        <v>0.62524790236460726</v>
      </c>
      <c r="C61">
        <v>8.7317977994926965E-2</v>
      </c>
      <c r="D61">
        <v>0.71256588035953428</v>
      </c>
      <c r="E61" t="s">
        <v>7</v>
      </c>
    </row>
    <row r="62" spans="1:5" x14ac:dyDescent="0.25">
      <c r="A62">
        <v>2083</v>
      </c>
      <c r="B62">
        <v>0.62524790236460726</v>
      </c>
      <c r="C62">
        <v>-4.2889379888894692E-2</v>
      </c>
      <c r="D62">
        <v>0.58235852247571251</v>
      </c>
      <c r="E62" t="s">
        <v>7</v>
      </c>
    </row>
    <row r="63" spans="1:5" x14ac:dyDescent="0.25">
      <c r="A63">
        <v>2084</v>
      </c>
      <c r="B63">
        <v>0.62524790236460726</v>
      </c>
      <c r="C63">
        <v>-1.661775143781586E-2</v>
      </c>
      <c r="D63">
        <v>0.6086301509267914</v>
      </c>
      <c r="E63" t="s">
        <v>7</v>
      </c>
    </row>
    <row r="64" spans="1:5" x14ac:dyDescent="0.25">
      <c r="A64">
        <v>2085</v>
      </c>
      <c r="B64">
        <v>0.62524790236460726</v>
      </c>
      <c r="C64">
        <v>-9.9024566090790286E-2</v>
      </c>
      <c r="D64">
        <v>0.52622333627381701</v>
      </c>
      <c r="E64" t="s">
        <v>7</v>
      </c>
    </row>
    <row r="65" spans="1:6" x14ac:dyDescent="0.25">
      <c r="A65">
        <v>2086</v>
      </c>
      <c r="B65">
        <v>0.62524790236460726</v>
      </c>
      <c r="C65">
        <v>-0.10706869500436859</v>
      </c>
      <c r="D65">
        <v>0.51817920736023859</v>
      </c>
      <c r="E65" t="s">
        <v>7</v>
      </c>
    </row>
    <row r="66" spans="1:6" x14ac:dyDescent="0.25">
      <c r="A66">
        <v>2087</v>
      </c>
      <c r="B66">
        <v>0.62524790236460726</v>
      </c>
      <c r="C66">
        <v>7.2726632431046684E-2</v>
      </c>
      <c r="D66">
        <v>0.69797453479565397</v>
      </c>
      <c r="E66" t="s">
        <v>7</v>
      </c>
    </row>
    <row r="67" spans="1:6" x14ac:dyDescent="0.25">
      <c r="A67">
        <v>2088</v>
      </c>
      <c r="B67">
        <v>0.62524790236460726</v>
      </c>
      <c r="C67">
        <v>0.1213927820232274</v>
      </c>
      <c r="D67">
        <v>0.74664068438783471</v>
      </c>
      <c r="E67" t="s">
        <v>7</v>
      </c>
    </row>
    <row r="68" spans="1:6" x14ac:dyDescent="0.25">
      <c r="A68">
        <v>2089</v>
      </c>
      <c r="B68">
        <v>0.62524790236460726</v>
      </c>
      <c r="C68">
        <v>-6.445399640415561E-3</v>
      </c>
      <c r="D68">
        <v>0.61880250272419168</v>
      </c>
      <c r="E68" t="s">
        <v>7</v>
      </c>
    </row>
    <row r="69" spans="1:6" x14ac:dyDescent="0.25">
      <c r="A69">
        <v>2090</v>
      </c>
      <c r="B69">
        <v>0.62524790236460726</v>
      </c>
      <c r="C69">
        <v>8.9823075385348505E-2</v>
      </c>
      <c r="D69">
        <v>0.71507097774995576</v>
      </c>
      <c r="E69" t="s">
        <v>7</v>
      </c>
    </row>
    <row r="70" spans="1:6" x14ac:dyDescent="0.25">
      <c r="A70">
        <v>2091</v>
      </c>
      <c r="B70">
        <v>0.62524790236460726</v>
      </c>
      <c r="C70">
        <v>3.2368903907529382E-2</v>
      </c>
      <c r="D70">
        <v>0.65761680627213659</v>
      </c>
      <c r="E70" t="s">
        <v>7</v>
      </c>
    </row>
    <row r="71" spans="1:6" x14ac:dyDescent="0.25">
      <c r="A71">
        <v>2092</v>
      </c>
      <c r="B71">
        <v>0.62524790236460726</v>
      </c>
      <c r="C71">
        <v>-5.7742641494059339E-2</v>
      </c>
      <c r="D71">
        <v>0.56750526087054787</v>
      </c>
      <c r="E71" t="s">
        <v>7</v>
      </c>
    </row>
    <row r="72" spans="1:6" x14ac:dyDescent="0.25">
      <c r="A72">
        <v>2093</v>
      </c>
      <c r="B72">
        <v>0.62524790236460726</v>
      </c>
      <c r="C72">
        <v>3.2347384710260559E-2</v>
      </c>
      <c r="D72">
        <v>0.65759528707486781</v>
      </c>
      <c r="E72" t="s">
        <v>7</v>
      </c>
    </row>
    <row r="73" spans="1:6" x14ac:dyDescent="0.25">
      <c r="A73">
        <v>2094</v>
      </c>
      <c r="B73">
        <v>0.62524790236460726</v>
      </c>
      <c r="C73">
        <v>0.13766481870727851</v>
      </c>
      <c r="D73">
        <v>0.76291272107188579</v>
      </c>
      <c r="E73" t="s">
        <v>7</v>
      </c>
    </row>
    <row r="74" spans="1:6" x14ac:dyDescent="0.25">
      <c r="A74">
        <v>2095</v>
      </c>
      <c r="B74">
        <v>0.62524790236460726</v>
      </c>
      <c r="C74">
        <v>-3.2066761523127109E-3</v>
      </c>
      <c r="D74">
        <v>0.62204122621229452</v>
      </c>
      <c r="E74" t="s">
        <v>7</v>
      </c>
    </row>
    <row r="75" spans="1:6" x14ac:dyDescent="0.25">
      <c r="A75">
        <v>2096</v>
      </c>
      <c r="B75">
        <v>0.62524790236460726</v>
      </c>
      <c r="C75">
        <v>0.14004633564340849</v>
      </c>
      <c r="D75">
        <v>0.76529423800801566</v>
      </c>
      <c r="E75" t="s">
        <v>7</v>
      </c>
    </row>
    <row r="76" spans="1:6" x14ac:dyDescent="0.25">
      <c r="A76">
        <v>2097</v>
      </c>
      <c r="B76">
        <v>0.62524790236460726</v>
      </c>
      <c r="C76">
        <v>-0.23448514988331701</v>
      </c>
      <c r="D76">
        <v>0.39076275248129022</v>
      </c>
      <c r="E76" t="s">
        <v>7</v>
      </c>
    </row>
    <row r="77" spans="1:6" x14ac:dyDescent="0.25">
      <c r="A77">
        <v>2098</v>
      </c>
      <c r="B77">
        <v>0.62524790236460726</v>
      </c>
      <c r="C77">
        <v>7.3565909762378118E-2</v>
      </c>
      <c r="D77">
        <v>0.69881381212698535</v>
      </c>
      <c r="E77" t="s">
        <v>7</v>
      </c>
    </row>
    <row r="78" spans="1:6" x14ac:dyDescent="0.25">
      <c r="A78">
        <v>2099</v>
      </c>
      <c r="B78">
        <v>0.62524790236460726</v>
      </c>
      <c r="C78">
        <v>7.7913094716224266E-3</v>
      </c>
      <c r="D78">
        <v>0.63303921183622969</v>
      </c>
      <c r="E78" t="s">
        <v>7</v>
      </c>
    </row>
    <row r="79" spans="1:6" x14ac:dyDescent="0.25">
      <c r="A79">
        <v>2100</v>
      </c>
      <c r="B79">
        <v>0.62524790236460726</v>
      </c>
      <c r="C79">
        <v>-2.676320810018798E-2</v>
      </c>
      <c r="D79">
        <v>0.5984846942644193</v>
      </c>
      <c r="E79" t="s">
        <v>7</v>
      </c>
    </row>
    <row r="80" spans="1:6" x14ac:dyDescent="0.25">
      <c r="A80">
        <v>2023</v>
      </c>
      <c r="B80">
        <v>0.53146071700991615</v>
      </c>
      <c r="C80">
        <v>3.7790424179340969E-2</v>
      </c>
      <c r="D80">
        <v>0.56925114118925713</v>
      </c>
      <c r="E80" t="s">
        <v>9</v>
      </c>
      <c r="F80">
        <v>0.85</v>
      </c>
    </row>
    <row r="81" spans="1:6" x14ac:dyDescent="0.25">
      <c r="A81">
        <v>2024</v>
      </c>
      <c r="B81">
        <v>0.53146071700991615</v>
      </c>
      <c r="C81">
        <v>-1.051926255461672E-2</v>
      </c>
      <c r="D81">
        <v>0.52094145445529949</v>
      </c>
      <c r="E81" t="s">
        <v>9</v>
      </c>
      <c r="F81">
        <v>0.85</v>
      </c>
    </row>
    <row r="82" spans="1:6" x14ac:dyDescent="0.25">
      <c r="A82">
        <v>2025</v>
      </c>
      <c r="B82">
        <v>0.53146071700991615</v>
      </c>
      <c r="C82">
        <v>4.927668044596447E-2</v>
      </c>
      <c r="D82">
        <v>0.5807373974558806</v>
      </c>
      <c r="E82" t="s">
        <v>9</v>
      </c>
      <c r="F82">
        <v>0.85</v>
      </c>
    </row>
    <row r="83" spans="1:6" x14ac:dyDescent="0.25">
      <c r="A83">
        <v>2026</v>
      </c>
      <c r="B83">
        <v>0.53146071700991615</v>
      </c>
      <c r="C83">
        <v>0.1158733729702251</v>
      </c>
      <c r="D83">
        <v>0.6473340899801413</v>
      </c>
      <c r="E83" t="s">
        <v>9</v>
      </c>
      <c r="F83">
        <v>0.85</v>
      </c>
    </row>
    <row r="84" spans="1:6" x14ac:dyDescent="0.25">
      <c r="A84">
        <v>2027</v>
      </c>
      <c r="B84">
        <v>0.53146071700991615</v>
      </c>
      <c r="C84">
        <v>-1.7814582693436831E-2</v>
      </c>
      <c r="D84">
        <v>0.51364613431647932</v>
      </c>
      <c r="E84" t="s">
        <v>9</v>
      </c>
      <c r="F84">
        <v>0.85</v>
      </c>
    </row>
    <row r="85" spans="1:6" x14ac:dyDescent="0.25">
      <c r="A85">
        <v>2028</v>
      </c>
      <c r="B85">
        <v>0.53146071700991615</v>
      </c>
      <c r="C85">
        <v>-1.781333361558058E-2</v>
      </c>
      <c r="D85">
        <v>0.51364738339433558</v>
      </c>
      <c r="E85" t="s">
        <v>9</v>
      </c>
      <c r="F85">
        <v>0.85</v>
      </c>
    </row>
    <row r="86" spans="1:6" x14ac:dyDescent="0.25">
      <c r="A86">
        <v>2029</v>
      </c>
      <c r="B86">
        <v>0.53146071700991615</v>
      </c>
      <c r="C86">
        <v>0.12014781903370909</v>
      </c>
      <c r="D86">
        <v>0.65160853604362523</v>
      </c>
      <c r="E86" t="s">
        <v>9</v>
      </c>
      <c r="F86">
        <v>0.85</v>
      </c>
    </row>
    <row r="87" spans="1:6" x14ac:dyDescent="0.25">
      <c r="A87">
        <v>2030</v>
      </c>
      <c r="B87">
        <v>0.53146071700991615</v>
      </c>
      <c r="C87">
        <v>5.8387069844555509E-2</v>
      </c>
      <c r="D87">
        <v>0.5898477868544717</v>
      </c>
      <c r="E87" t="s">
        <v>9</v>
      </c>
      <c r="F87">
        <v>0.85</v>
      </c>
    </row>
    <row r="88" spans="1:6" x14ac:dyDescent="0.25">
      <c r="A88">
        <v>2031</v>
      </c>
      <c r="B88">
        <v>0.53146071700991615</v>
      </c>
      <c r="C88">
        <v>-3.5718000138031621E-2</v>
      </c>
      <c r="D88">
        <v>0.49574271687188459</v>
      </c>
      <c r="E88" t="s">
        <v>9</v>
      </c>
      <c r="F88">
        <v>0.85</v>
      </c>
    </row>
    <row r="89" spans="1:6" x14ac:dyDescent="0.25">
      <c r="A89">
        <v>2032</v>
      </c>
      <c r="B89">
        <v>0.53146071700991615</v>
      </c>
      <c r="C89">
        <v>4.1278417507486773E-2</v>
      </c>
      <c r="D89">
        <v>0.57273913451740299</v>
      </c>
      <c r="E89" t="s">
        <v>9</v>
      </c>
      <c r="F89">
        <v>0.85</v>
      </c>
    </row>
    <row r="90" spans="1:6" x14ac:dyDescent="0.25">
      <c r="A90">
        <v>2033</v>
      </c>
      <c r="B90">
        <v>0.53146071700991615</v>
      </c>
      <c r="C90">
        <v>-3.5257201908636668E-2</v>
      </c>
      <c r="D90">
        <v>0.49620351510127952</v>
      </c>
      <c r="E90" t="s">
        <v>9</v>
      </c>
      <c r="F90">
        <v>0.85</v>
      </c>
    </row>
    <row r="91" spans="1:6" x14ac:dyDescent="0.25">
      <c r="A91">
        <v>2034</v>
      </c>
      <c r="B91">
        <v>0.53146071700991615</v>
      </c>
      <c r="C91">
        <v>-3.5433105406122663E-2</v>
      </c>
      <c r="D91">
        <v>0.49602761160379349</v>
      </c>
      <c r="E91" t="s">
        <v>9</v>
      </c>
      <c r="F91">
        <v>0.85</v>
      </c>
    </row>
    <row r="92" spans="1:6" x14ac:dyDescent="0.25">
      <c r="A92">
        <v>2035</v>
      </c>
      <c r="B92">
        <v>0.53146071700991615</v>
      </c>
      <c r="C92">
        <v>1.8408690033179999E-2</v>
      </c>
      <c r="D92">
        <v>0.54986940704309617</v>
      </c>
      <c r="E92" t="s">
        <v>9</v>
      </c>
      <c r="F92">
        <v>0.85</v>
      </c>
    </row>
    <row r="93" spans="1:6" x14ac:dyDescent="0.25">
      <c r="A93">
        <v>2036</v>
      </c>
      <c r="B93">
        <v>0.53146071700991615</v>
      </c>
      <c r="C93">
        <v>-0.1455639457447398</v>
      </c>
      <c r="D93">
        <v>0.38589677126517641</v>
      </c>
      <c r="E93" t="s">
        <v>9</v>
      </c>
      <c r="F93">
        <v>0.85</v>
      </c>
    </row>
    <row r="94" spans="1:6" x14ac:dyDescent="0.25">
      <c r="A94">
        <v>2037</v>
      </c>
      <c r="B94">
        <v>0.53146071700991615</v>
      </c>
      <c r="C94">
        <v>-0.1312331774120051</v>
      </c>
      <c r="D94">
        <v>0.40022753959791108</v>
      </c>
      <c r="E94" t="s">
        <v>9</v>
      </c>
      <c r="F94">
        <v>0.85</v>
      </c>
    </row>
    <row r="95" spans="1:6" x14ac:dyDescent="0.25">
      <c r="A95">
        <v>2038</v>
      </c>
      <c r="B95">
        <v>0.53146071700991615</v>
      </c>
      <c r="C95">
        <v>-4.2779300955995553E-2</v>
      </c>
      <c r="D95">
        <v>0.48868141605392063</v>
      </c>
      <c r="E95" t="s">
        <v>9</v>
      </c>
      <c r="F95">
        <v>0.85</v>
      </c>
    </row>
    <row r="96" spans="1:6" x14ac:dyDescent="0.25">
      <c r="A96">
        <v>2039</v>
      </c>
      <c r="B96">
        <v>0.53146071700991615</v>
      </c>
      <c r="C96">
        <v>-7.7057030542492827E-2</v>
      </c>
      <c r="D96">
        <v>0.4544036864674233</v>
      </c>
      <c r="E96" t="s">
        <v>9</v>
      </c>
      <c r="F96">
        <v>0.85</v>
      </c>
    </row>
    <row r="97" spans="1:6" x14ac:dyDescent="0.25">
      <c r="A97">
        <v>2040</v>
      </c>
      <c r="B97">
        <v>0.53146071700991615</v>
      </c>
      <c r="C97">
        <v>2.390819734853274E-2</v>
      </c>
      <c r="D97">
        <v>0.55536891435844893</v>
      </c>
      <c r="E97" t="s">
        <v>9</v>
      </c>
      <c r="F97">
        <v>0.85</v>
      </c>
    </row>
    <row r="98" spans="1:6" x14ac:dyDescent="0.25">
      <c r="A98">
        <v>2041</v>
      </c>
      <c r="B98">
        <v>0.53146071700991615</v>
      </c>
      <c r="C98">
        <v>-6.9083223763556634E-2</v>
      </c>
      <c r="D98">
        <v>0.46237749324635952</v>
      </c>
      <c r="E98" t="s">
        <v>9</v>
      </c>
      <c r="F98">
        <v>0.85</v>
      </c>
    </row>
    <row r="99" spans="1:6" x14ac:dyDescent="0.25">
      <c r="A99">
        <v>2042</v>
      </c>
      <c r="B99">
        <v>0.53146071700991615</v>
      </c>
      <c r="C99">
        <v>-0.1074492353800658</v>
      </c>
      <c r="D99">
        <v>0.42401148162985042</v>
      </c>
      <c r="E99" t="s">
        <v>9</v>
      </c>
      <c r="F99">
        <v>0.85</v>
      </c>
    </row>
    <row r="100" spans="1:6" x14ac:dyDescent="0.25">
      <c r="A100">
        <v>2043</v>
      </c>
      <c r="B100">
        <v>0.53146071700991615</v>
      </c>
      <c r="C100">
        <v>0.11150777230666491</v>
      </c>
      <c r="D100">
        <v>0.64296848931658102</v>
      </c>
      <c r="E100" t="s">
        <v>9</v>
      </c>
      <c r="F100">
        <v>0.85</v>
      </c>
    </row>
    <row r="101" spans="1:6" x14ac:dyDescent="0.25">
      <c r="A101">
        <v>2044</v>
      </c>
      <c r="B101">
        <v>0.53146071700991615</v>
      </c>
      <c r="C101">
        <v>-1.7177247946940592E-2</v>
      </c>
      <c r="D101">
        <v>0.51428346906297551</v>
      </c>
      <c r="E101" t="s">
        <v>9</v>
      </c>
      <c r="F101">
        <v>0.85</v>
      </c>
    </row>
    <row r="102" spans="1:6" x14ac:dyDescent="0.25">
      <c r="A102">
        <v>2045</v>
      </c>
      <c r="B102">
        <v>0.53146071700991615</v>
      </c>
      <c r="C102">
        <v>5.137601744897924E-3</v>
      </c>
      <c r="D102">
        <v>0.53659831875481401</v>
      </c>
      <c r="E102" t="s">
        <v>9</v>
      </c>
      <c r="F102">
        <v>0.85</v>
      </c>
    </row>
    <row r="103" spans="1:6" x14ac:dyDescent="0.25">
      <c r="A103">
        <v>2046</v>
      </c>
      <c r="B103">
        <v>0.53146071700991615</v>
      </c>
      <c r="C103">
        <v>-0.1083960220971107</v>
      </c>
      <c r="D103">
        <v>0.42306469491280552</v>
      </c>
      <c r="E103" t="s">
        <v>9</v>
      </c>
      <c r="F103">
        <v>0.85</v>
      </c>
    </row>
    <row r="104" spans="1:6" x14ac:dyDescent="0.25">
      <c r="A104">
        <v>2047</v>
      </c>
      <c r="B104">
        <v>0.53146071700991615</v>
      </c>
      <c r="C104">
        <v>-4.1417088583032079E-2</v>
      </c>
      <c r="D104">
        <v>0.49004362842688398</v>
      </c>
      <c r="E104" t="s">
        <v>9</v>
      </c>
      <c r="F104">
        <v>0.85</v>
      </c>
    </row>
    <row r="105" spans="1:6" x14ac:dyDescent="0.25">
      <c r="A105">
        <v>2048</v>
      </c>
      <c r="B105">
        <v>0.53146071700991615</v>
      </c>
      <c r="C105">
        <v>8.439082500055213E-3</v>
      </c>
      <c r="D105">
        <v>0.53989979950997136</v>
      </c>
      <c r="E105" t="s">
        <v>9</v>
      </c>
      <c r="F105">
        <v>0.85</v>
      </c>
    </row>
    <row r="106" spans="1:6" x14ac:dyDescent="0.25">
      <c r="A106">
        <v>2049</v>
      </c>
      <c r="B106">
        <v>0.53146071700991615</v>
      </c>
      <c r="C106">
        <v>-8.7568544714896251E-2</v>
      </c>
      <c r="D106">
        <v>0.44389217229501993</v>
      </c>
      <c r="E106" t="s">
        <v>9</v>
      </c>
      <c r="F106">
        <v>0.85</v>
      </c>
    </row>
    <row r="107" spans="1:6" x14ac:dyDescent="0.25">
      <c r="A107">
        <v>2050</v>
      </c>
      <c r="B107">
        <v>0.53146071700991615</v>
      </c>
      <c r="C107">
        <v>2.858341641877819E-2</v>
      </c>
      <c r="D107">
        <v>0.5600441334286943</v>
      </c>
      <c r="E107" t="s">
        <v>9</v>
      </c>
      <c r="F107">
        <v>0.85</v>
      </c>
    </row>
    <row r="108" spans="1:6" x14ac:dyDescent="0.25">
      <c r="A108">
        <v>2051</v>
      </c>
      <c r="B108">
        <v>0.53146071700991615</v>
      </c>
      <c r="C108">
        <v>-4.5697089025852643E-2</v>
      </c>
      <c r="D108">
        <v>0.48576362798406347</v>
      </c>
      <c r="E108" t="s">
        <v>9</v>
      </c>
      <c r="F108">
        <v>0.85</v>
      </c>
    </row>
    <row r="109" spans="1:6" x14ac:dyDescent="0.25">
      <c r="A109">
        <v>2052</v>
      </c>
      <c r="B109">
        <v>0.53146071700991615</v>
      </c>
      <c r="C109">
        <v>-2.219230208828216E-2</v>
      </c>
      <c r="D109">
        <v>0.50926841492163399</v>
      </c>
      <c r="E109" t="s">
        <v>9</v>
      </c>
      <c r="F109">
        <v>0.85</v>
      </c>
    </row>
    <row r="110" spans="1:6" x14ac:dyDescent="0.25">
      <c r="A110">
        <v>2053</v>
      </c>
      <c r="B110">
        <v>0.53146071700991615</v>
      </c>
      <c r="C110">
        <v>-4.5778337439780839E-2</v>
      </c>
      <c r="D110">
        <v>0.48568237957013533</v>
      </c>
      <c r="E110" t="s">
        <v>9</v>
      </c>
      <c r="F110">
        <v>0.85</v>
      </c>
    </row>
    <row r="111" spans="1:6" x14ac:dyDescent="0.25">
      <c r="A111">
        <v>2054</v>
      </c>
      <c r="B111">
        <v>0.53146071700991615</v>
      </c>
      <c r="C111">
        <v>0.1409228584818468</v>
      </c>
      <c r="D111">
        <v>0.67238357549176297</v>
      </c>
      <c r="E111" t="s">
        <v>9</v>
      </c>
      <c r="F111">
        <v>0.85</v>
      </c>
    </row>
    <row r="112" spans="1:6" x14ac:dyDescent="0.25">
      <c r="A112">
        <v>2055</v>
      </c>
      <c r="B112">
        <v>0.53146071700991615</v>
      </c>
      <c r="C112">
        <v>-1.0268800375391809E-3</v>
      </c>
      <c r="D112">
        <v>0.530433836972377</v>
      </c>
      <c r="E112" t="s">
        <v>9</v>
      </c>
      <c r="F112">
        <v>0.85</v>
      </c>
    </row>
    <row r="113" spans="1:6" x14ac:dyDescent="0.25">
      <c r="A113">
        <v>2056</v>
      </c>
      <c r="B113">
        <v>0.53146071700991615</v>
      </c>
      <c r="C113">
        <v>-8.0471523555448884E-2</v>
      </c>
      <c r="D113">
        <v>0.45098919345446731</v>
      </c>
      <c r="E113" t="s">
        <v>9</v>
      </c>
      <c r="F113">
        <v>0.85</v>
      </c>
    </row>
    <row r="114" spans="1:6" x14ac:dyDescent="0.25">
      <c r="A114">
        <v>2057</v>
      </c>
      <c r="B114">
        <v>0.53146071700991615</v>
      </c>
      <c r="C114">
        <v>6.2579898210058271E-2</v>
      </c>
      <c r="D114">
        <v>0.59404061521997442</v>
      </c>
      <c r="E114" t="s">
        <v>9</v>
      </c>
      <c r="F114">
        <v>0.85</v>
      </c>
    </row>
    <row r="115" spans="1:6" x14ac:dyDescent="0.25">
      <c r="A115">
        <v>2058</v>
      </c>
      <c r="B115">
        <v>0.53146071700991615</v>
      </c>
      <c r="C115">
        <v>-9.2882796089799519E-2</v>
      </c>
      <c r="D115">
        <v>0.4385779209201166</v>
      </c>
      <c r="E115" t="s">
        <v>9</v>
      </c>
      <c r="F115">
        <v>0.85</v>
      </c>
    </row>
    <row r="116" spans="1:6" x14ac:dyDescent="0.25">
      <c r="A116">
        <v>2059</v>
      </c>
      <c r="B116">
        <v>0.53146071700991615</v>
      </c>
      <c r="C116">
        <v>1.589051530543624E-2</v>
      </c>
      <c r="D116">
        <v>0.54735123231535232</v>
      </c>
      <c r="E116" t="s">
        <v>9</v>
      </c>
      <c r="F116">
        <v>0.85</v>
      </c>
    </row>
    <row r="117" spans="1:6" x14ac:dyDescent="0.25">
      <c r="A117">
        <v>2060</v>
      </c>
      <c r="B117">
        <v>0.53146071700991615</v>
      </c>
      <c r="C117">
        <v>-0.1490933261797428</v>
      </c>
      <c r="D117">
        <v>0.38236739083017329</v>
      </c>
      <c r="E117" t="s">
        <v>9</v>
      </c>
      <c r="F117">
        <v>0.85</v>
      </c>
    </row>
    <row r="118" spans="1:6" x14ac:dyDescent="0.25">
      <c r="A118">
        <v>2061</v>
      </c>
      <c r="B118">
        <v>0.53146071700991615</v>
      </c>
      <c r="C118">
        <v>-0.101049494709726</v>
      </c>
      <c r="D118">
        <v>0.43041122230019008</v>
      </c>
      <c r="E118" t="s">
        <v>9</v>
      </c>
      <c r="F118">
        <v>0.85</v>
      </c>
    </row>
    <row r="119" spans="1:6" x14ac:dyDescent="0.25">
      <c r="A119">
        <v>2062</v>
      </c>
      <c r="B119">
        <v>0.53146071700991615</v>
      </c>
      <c r="C119">
        <v>1.497736588108702E-2</v>
      </c>
      <c r="D119">
        <v>0.54643808289100326</v>
      </c>
      <c r="E119" t="s">
        <v>9</v>
      </c>
      <c r="F119">
        <v>0.85</v>
      </c>
    </row>
    <row r="120" spans="1:6" x14ac:dyDescent="0.25">
      <c r="A120">
        <v>2063</v>
      </c>
      <c r="B120">
        <v>0.53146071700991615</v>
      </c>
      <c r="C120">
        <v>5.6183149062923321E-2</v>
      </c>
      <c r="D120">
        <v>0.58764386607283947</v>
      </c>
      <c r="E120" t="s">
        <v>9</v>
      </c>
      <c r="F120">
        <v>0.85</v>
      </c>
    </row>
    <row r="121" spans="1:6" x14ac:dyDescent="0.25">
      <c r="A121">
        <v>2064</v>
      </c>
      <c r="B121">
        <v>0.53146071700991615</v>
      </c>
      <c r="C121">
        <v>1.3037840773800369E-2</v>
      </c>
      <c r="D121">
        <v>0.54449855778371659</v>
      </c>
      <c r="E121" t="s">
        <v>9</v>
      </c>
      <c r="F121">
        <v>0.85</v>
      </c>
    </row>
    <row r="122" spans="1:6" x14ac:dyDescent="0.25">
      <c r="A122">
        <v>2065</v>
      </c>
      <c r="B122">
        <v>0.53146071700991615</v>
      </c>
      <c r="C122">
        <v>-8.798617113221224E-3</v>
      </c>
      <c r="D122">
        <v>0.52266209989669499</v>
      </c>
      <c r="E122" t="s">
        <v>9</v>
      </c>
      <c r="F122">
        <v>0.85</v>
      </c>
    </row>
    <row r="123" spans="1:6" x14ac:dyDescent="0.25">
      <c r="A123">
        <v>2066</v>
      </c>
      <c r="B123">
        <v>0.53146071700991615</v>
      </c>
      <c r="C123">
        <v>-2.2908218558509771E-2</v>
      </c>
      <c r="D123">
        <v>0.50855249845140638</v>
      </c>
      <c r="E123" t="s">
        <v>9</v>
      </c>
      <c r="F123">
        <v>0.85</v>
      </c>
    </row>
    <row r="124" spans="1:6" x14ac:dyDescent="0.25">
      <c r="A124">
        <v>2067</v>
      </c>
      <c r="B124">
        <v>0.53146071700991615</v>
      </c>
      <c r="C124">
        <v>-0.1124871776568948</v>
      </c>
      <c r="D124">
        <v>0.4189735393530214</v>
      </c>
      <c r="E124" t="s">
        <v>9</v>
      </c>
      <c r="F124">
        <v>0.85</v>
      </c>
    </row>
    <row r="125" spans="1:6" x14ac:dyDescent="0.25">
      <c r="A125">
        <v>2068</v>
      </c>
      <c r="B125">
        <v>0.53146071700991615</v>
      </c>
      <c r="C125">
        <v>-5.4766343607009688E-2</v>
      </c>
      <c r="D125">
        <v>0.47669437340290638</v>
      </c>
      <c r="E125" t="s">
        <v>9</v>
      </c>
      <c r="F125">
        <v>0.85</v>
      </c>
    </row>
    <row r="126" spans="1:6" x14ac:dyDescent="0.25">
      <c r="A126">
        <v>2069</v>
      </c>
      <c r="B126">
        <v>0.53146071700991615</v>
      </c>
      <c r="C126">
        <v>-3.504577923236063E-2</v>
      </c>
      <c r="D126">
        <v>0.49641493777755552</v>
      </c>
      <c r="E126" t="s">
        <v>9</v>
      </c>
      <c r="F126">
        <v>0.85</v>
      </c>
    </row>
    <row r="127" spans="1:6" x14ac:dyDescent="0.25">
      <c r="A127">
        <v>2070</v>
      </c>
      <c r="B127">
        <v>0.53146071700991615</v>
      </c>
      <c r="C127">
        <v>8.0426734563608576E-2</v>
      </c>
      <c r="D127">
        <v>0.61188745157352475</v>
      </c>
      <c r="E127" t="s">
        <v>9</v>
      </c>
      <c r="F127">
        <v>0.85</v>
      </c>
    </row>
    <row r="128" spans="1:6" x14ac:dyDescent="0.25">
      <c r="A128">
        <v>2071</v>
      </c>
      <c r="B128">
        <v>0.53146071700991615</v>
      </c>
      <c r="C128">
        <v>2.614276408242009E-2</v>
      </c>
      <c r="D128">
        <v>0.55760348109233626</v>
      </c>
      <c r="E128" t="s">
        <v>9</v>
      </c>
      <c r="F128">
        <v>0.85</v>
      </c>
    </row>
    <row r="129" spans="1:6" x14ac:dyDescent="0.25">
      <c r="A129">
        <v>2072</v>
      </c>
      <c r="B129">
        <v>0.53146071700991615</v>
      </c>
      <c r="C129">
        <v>-0.1341335553103562</v>
      </c>
      <c r="D129">
        <v>0.39732716169955989</v>
      </c>
      <c r="E129" t="s">
        <v>9</v>
      </c>
      <c r="F129">
        <v>0.85</v>
      </c>
    </row>
    <row r="130" spans="1:6" x14ac:dyDescent="0.25">
      <c r="A130">
        <v>2073</v>
      </c>
      <c r="B130">
        <v>0.53146071700991615</v>
      </c>
      <c r="C130">
        <v>2.4656576823726829E-2</v>
      </c>
      <c r="D130">
        <v>0.55611729383364306</v>
      </c>
      <c r="E130" t="s">
        <v>9</v>
      </c>
      <c r="F130">
        <v>0.85</v>
      </c>
    </row>
    <row r="131" spans="1:6" x14ac:dyDescent="0.25">
      <c r="A131">
        <v>2074</v>
      </c>
      <c r="B131">
        <v>0.53146071700991615</v>
      </c>
      <c r="C131">
        <v>-2.929737884990654E-2</v>
      </c>
      <c r="D131">
        <v>0.50216333816000958</v>
      </c>
      <c r="E131" t="s">
        <v>9</v>
      </c>
      <c r="F131">
        <v>0.85</v>
      </c>
    </row>
    <row r="132" spans="1:6" x14ac:dyDescent="0.25">
      <c r="A132">
        <v>2075</v>
      </c>
      <c r="B132">
        <v>0.53146071700991615</v>
      </c>
      <c r="C132">
        <v>-5.1500786464024242E-2</v>
      </c>
      <c r="D132">
        <v>0.47995993054589192</v>
      </c>
      <c r="E132" t="s">
        <v>9</v>
      </c>
      <c r="F132">
        <v>0.85</v>
      </c>
    </row>
    <row r="133" spans="1:6" x14ac:dyDescent="0.25">
      <c r="A133">
        <v>2076</v>
      </c>
      <c r="B133">
        <v>0.53146071700991615</v>
      </c>
      <c r="C133">
        <v>4.6536838694062242E-2</v>
      </c>
      <c r="D133">
        <v>0.57799755570397837</v>
      </c>
      <c r="E133" t="s">
        <v>9</v>
      </c>
      <c r="F133">
        <v>0.85</v>
      </c>
    </row>
    <row r="134" spans="1:6" x14ac:dyDescent="0.25">
      <c r="A134">
        <v>2077</v>
      </c>
      <c r="B134">
        <v>0.53146071700991615</v>
      </c>
      <c r="C134">
        <v>7.8439297627460394E-2</v>
      </c>
      <c r="D134">
        <v>0.60990001463737653</v>
      </c>
      <c r="E134" t="s">
        <v>9</v>
      </c>
      <c r="F134">
        <v>0.85</v>
      </c>
    </row>
    <row r="135" spans="1:6" x14ac:dyDescent="0.25">
      <c r="A135">
        <v>2078</v>
      </c>
      <c r="B135">
        <v>0.53146071700991615</v>
      </c>
      <c r="C135">
        <v>7.0852562822771969E-2</v>
      </c>
      <c r="D135">
        <v>0.60231327983268812</v>
      </c>
      <c r="E135" t="s">
        <v>9</v>
      </c>
      <c r="F135">
        <v>0.85</v>
      </c>
    </row>
    <row r="136" spans="1:6" x14ac:dyDescent="0.25">
      <c r="A136">
        <v>2079</v>
      </c>
      <c r="B136">
        <v>0.53146071700991615</v>
      </c>
      <c r="C136">
        <v>-6.3848364273611208E-2</v>
      </c>
      <c r="D136">
        <v>0.46761235273630503</v>
      </c>
      <c r="E136" t="s">
        <v>9</v>
      </c>
      <c r="F136">
        <v>0.85</v>
      </c>
    </row>
    <row r="137" spans="1:6" x14ac:dyDescent="0.25">
      <c r="A137">
        <v>2080</v>
      </c>
      <c r="B137">
        <v>0.53146071700991615</v>
      </c>
      <c r="C137">
        <v>-2.3525133669092289E-2</v>
      </c>
      <c r="D137">
        <v>0.50793558334082389</v>
      </c>
      <c r="E137" t="s">
        <v>9</v>
      </c>
      <c r="F137">
        <v>0.85</v>
      </c>
    </row>
    <row r="138" spans="1:6" x14ac:dyDescent="0.25">
      <c r="A138">
        <v>2081</v>
      </c>
      <c r="B138">
        <v>0.53146071700991615</v>
      </c>
      <c r="C138">
        <v>2.5202796239956561E-2</v>
      </c>
      <c r="D138">
        <v>0.55666351324987273</v>
      </c>
      <c r="E138" t="s">
        <v>9</v>
      </c>
      <c r="F138">
        <v>0.85</v>
      </c>
    </row>
    <row r="139" spans="1:6" x14ac:dyDescent="0.25">
      <c r="A139">
        <v>2082</v>
      </c>
      <c r="B139">
        <v>0.53146071700991615</v>
      </c>
      <c r="C139">
        <v>7.4220281295687918E-2</v>
      </c>
      <c r="D139">
        <v>0.60568099830560407</v>
      </c>
      <c r="E139" t="s">
        <v>9</v>
      </c>
      <c r="F139">
        <v>0.85</v>
      </c>
    </row>
    <row r="140" spans="1:6" x14ac:dyDescent="0.25">
      <c r="A140">
        <v>2083</v>
      </c>
      <c r="B140">
        <v>0.53146071700991615</v>
      </c>
      <c r="C140">
        <v>-3.6455972905560491E-2</v>
      </c>
      <c r="D140">
        <v>0.49500474410435558</v>
      </c>
      <c r="E140" t="s">
        <v>9</v>
      </c>
      <c r="F140">
        <v>0.85</v>
      </c>
    </row>
    <row r="141" spans="1:6" x14ac:dyDescent="0.25">
      <c r="A141">
        <v>2084</v>
      </c>
      <c r="B141">
        <v>0.53146071700991615</v>
      </c>
      <c r="C141">
        <v>-1.412508872214348E-2</v>
      </c>
      <c r="D141">
        <v>0.51733562828777269</v>
      </c>
      <c r="E141" t="s">
        <v>9</v>
      </c>
      <c r="F141">
        <v>0.85</v>
      </c>
    </row>
    <row r="142" spans="1:6" x14ac:dyDescent="0.25">
      <c r="A142">
        <v>2085</v>
      </c>
      <c r="B142">
        <v>0.53146071700991615</v>
      </c>
      <c r="C142">
        <v>-8.4170881177171739E-2</v>
      </c>
      <c r="D142">
        <v>0.44728983583274451</v>
      </c>
      <c r="E142" t="s">
        <v>9</v>
      </c>
      <c r="F142">
        <v>0.85</v>
      </c>
    </row>
    <row r="143" spans="1:6" x14ac:dyDescent="0.25">
      <c r="A143">
        <v>2086</v>
      </c>
      <c r="B143">
        <v>0.53146071700991615</v>
      </c>
      <c r="C143">
        <v>-9.1008390753713322E-2</v>
      </c>
      <c r="D143">
        <v>0.44045232625620279</v>
      </c>
      <c r="E143" t="s">
        <v>9</v>
      </c>
      <c r="F143">
        <v>0.85</v>
      </c>
    </row>
    <row r="144" spans="1:6" x14ac:dyDescent="0.25">
      <c r="A144">
        <v>2087</v>
      </c>
      <c r="B144">
        <v>0.53146071700991615</v>
      </c>
      <c r="C144">
        <v>6.181763756638968E-2</v>
      </c>
      <c r="D144">
        <v>0.59327835457630584</v>
      </c>
      <c r="E144" t="s">
        <v>9</v>
      </c>
      <c r="F144">
        <v>0.85</v>
      </c>
    </row>
    <row r="145" spans="1:6" x14ac:dyDescent="0.25">
      <c r="A145">
        <v>2088</v>
      </c>
      <c r="B145">
        <v>0.53146071700991615</v>
      </c>
      <c r="C145">
        <v>0.10318386471974331</v>
      </c>
      <c r="D145">
        <v>0.63464458172965954</v>
      </c>
      <c r="E145" t="s">
        <v>9</v>
      </c>
      <c r="F145">
        <v>0.85</v>
      </c>
    </row>
    <row r="146" spans="1:6" x14ac:dyDescent="0.25">
      <c r="A146">
        <v>2089</v>
      </c>
      <c r="B146">
        <v>0.53146071700991615</v>
      </c>
      <c r="C146">
        <v>-5.4785896943532267E-3</v>
      </c>
      <c r="D146">
        <v>0.52598212731556293</v>
      </c>
      <c r="E146" t="s">
        <v>9</v>
      </c>
      <c r="F146">
        <v>0.85</v>
      </c>
    </row>
    <row r="147" spans="1:6" x14ac:dyDescent="0.25">
      <c r="A147">
        <v>2090</v>
      </c>
      <c r="B147">
        <v>0.53146071700991615</v>
      </c>
      <c r="C147">
        <v>7.634961407754623E-2</v>
      </c>
      <c r="D147">
        <v>0.60781033108746241</v>
      </c>
      <c r="E147" t="s">
        <v>9</v>
      </c>
      <c r="F147">
        <v>0.85</v>
      </c>
    </row>
    <row r="148" spans="1:6" x14ac:dyDescent="0.25">
      <c r="A148">
        <v>2091</v>
      </c>
      <c r="B148">
        <v>0.53146071700991615</v>
      </c>
      <c r="C148">
        <v>2.7513568321399971E-2</v>
      </c>
      <c r="D148">
        <v>0.5589742853313161</v>
      </c>
      <c r="E148" t="s">
        <v>9</v>
      </c>
      <c r="F148">
        <v>0.85</v>
      </c>
    </row>
    <row r="149" spans="1:6" x14ac:dyDescent="0.25">
      <c r="A149">
        <v>2092</v>
      </c>
      <c r="B149">
        <v>0.53146071700991615</v>
      </c>
      <c r="C149">
        <v>-4.908124526995044E-2</v>
      </c>
      <c r="D149">
        <v>0.48237947173996559</v>
      </c>
      <c r="E149" t="s">
        <v>9</v>
      </c>
      <c r="F149">
        <v>0.85</v>
      </c>
    </row>
    <row r="150" spans="1:6" x14ac:dyDescent="0.25">
      <c r="A150">
        <v>2093</v>
      </c>
      <c r="B150">
        <v>0.53146071700991615</v>
      </c>
      <c r="C150">
        <v>2.749527700372147E-2</v>
      </c>
      <c r="D150">
        <v>0.5589559940136376</v>
      </c>
      <c r="E150" t="s">
        <v>9</v>
      </c>
      <c r="F150">
        <v>0.85</v>
      </c>
    </row>
    <row r="151" spans="1:6" x14ac:dyDescent="0.25">
      <c r="A151">
        <v>2094</v>
      </c>
      <c r="B151">
        <v>0.53146071700991615</v>
      </c>
      <c r="C151">
        <v>0.11701509590118669</v>
      </c>
      <c r="D151">
        <v>0.6484758129111029</v>
      </c>
      <c r="E151" t="s">
        <v>9</v>
      </c>
      <c r="F151">
        <v>0.85</v>
      </c>
    </row>
    <row r="152" spans="1:6" x14ac:dyDescent="0.25">
      <c r="A152">
        <v>2095</v>
      </c>
      <c r="B152">
        <v>0.53146071700991615</v>
      </c>
      <c r="C152">
        <v>-2.7256747294658041E-3</v>
      </c>
      <c r="D152">
        <v>0.52873504228045032</v>
      </c>
      <c r="E152" t="s">
        <v>9</v>
      </c>
      <c r="F152">
        <v>0.85</v>
      </c>
    </row>
    <row r="153" spans="1:6" x14ac:dyDescent="0.25">
      <c r="A153">
        <v>2096</v>
      </c>
      <c r="B153">
        <v>0.53146071700991615</v>
      </c>
      <c r="C153">
        <v>0.1190393852968972</v>
      </c>
      <c r="D153">
        <v>0.65050010230681332</v>
      </c>
      <c r="E153" t="s">
        <v>9</v>
      </c>
      <c r="F153">
        <v>0.85</v>
      </c>
    </row>
    <row r="154" spans="1:6" x14ac:dyDescent="0.25">
      <c r="A154">
        <v>2097</v>
      </c>
      <c r="B154">
        <v>0.53146071700991615</v>
      </c>
      <c r="C154">
        <v>-0.1993123774008195</v>
      </c>
      <c r="D154">
        <v>0.33214833960909668</v>
      </c>
      <c r="E154" t="s">
        <v>9</v>
      </c>
      <c r="F154">
        <v>0.85</v>
      </c>
    </row>
    <row r="155" spans="1:6" x14ac:dyDescent="0.25">
      <c r="A155">
        <v>2098</v>
      </c>
      <c r="B155">
        <v>0.53146071700991615</v>
      </c>
      <c r="C155">
        <v>6.2531023298021404E-2</v>
      </c>
      <c r="D155">
        <v>0.59399174030793755</v>
      </c>
      <c r="E155" t="s">
        <v>9</v>
      </c>
      <c r="F155">
        <v>0.85</v>
      </c>
    </row>
    <row r="156" spans="1:6" x14ac:dyDescent="0.25">
      <c r="A156">
        <v>2099</v>
      </c>
      <c r="B156">
        <v>0.53146071700991615</v>
      </c>
      <c r="C156">
        <v>6.6226130508790634E-3</v>
      </c>
      <c r="D156">
        <v>0.53808333006079523</v>
      </c>
      <c r="E156" t="s">
        <v>9</v>
      </c>
      <c r="F156">
        <v>0.85</v>
      </c>
    </row>
    <row r="157" spans="1:6" x14ac:dyDescent="0.25">
      <c r="A157">
        <v>2100</v>
      </c>
      <c r="B157">
        <v>0.53146071700991615</v>
      </c>
      <c r="C157">
        <v>-2.2748726885159779E-2</v>
      </c>
      <c r="D157">
        <v>0.50871199012475643</v>
      </c>
      <c r="E157" t="s">
        <v>9</v>
      </c>
      <c r="F157">
        <v>0.85</v>
      </c>
    </row>
    <row r="158" spans="1:6" x14ac:dyDescent="0.25">
      <c r="A158">
        <v>2023</v>
      </c>
      <c r="B158">
        <v>0.71903508771929825</v>
      </c>
      <c r="C158">
        <v>5.1128220948520132E-2</v>
      </c>
      <c r="D158">
        <v>0.77016330866781846</v>
      </c>
      <c r="E158" t="s">
        <v>10</v>
      </c>
      <c r="F158">
        <v>1.1499999999999999</v>
      </c>
    </row>
    <row r="159" spans="1:6" x14ac:dyDescent="0.25">
      <c r="A159">
        <v>2024</v>
      </c>
      <c r="B159">
        <v>0.71903508771929825</v>
      </c>
      <c r="C159">
        <v>-1.4231943456246151E-2</v>
      </c>
      <c r="D159">
        <v>0.70480314426305224</v>
      </c>
      <c r="E159" t="s">
        <v>10</v>
      </c>
      <c r="F159">
        <v>1.1499999999999999</v>
      </c>
    </row>
    <row r="160" spans="1:6" x14ac:dyDescent="0.25">
      <c r="A160">
        <v>2025</v>
      </c>
      <c r="B160">
        <v>0.71903508771929825</v>
      </c>
      <c r="C160">
        <v>6.6668450015128403E-2</v>
      </c>
      <c r="D160">
        <v>0.78570353773442658</v>
      </c>
      <c r="E160" t="s">
        <v>10</v>
      </c>
      <c r="F160">
        <v>1.1499999999999999</v>
      </c>
    </row>
    <row r="161" spans="1:6" x14ac:dyDescent="0.25">
      <c r="A161">
        <v>2026</v>
      </c>
      <c r="B161">
        <v>0.71903508771929825</v>
      </c>
      <c r="C161">
        <v>0.15676985754795161</v>
      </c>
      <c r="D161">
        <v>0.87580494526724995</v>
      </c>
      <c r="E161" t="s">
        <v>10</v>
      </c>
      <c r="F161">
        <v>1.1499999999999999</v>
      </c>
    </row>
    <row r="162" spans="1:6" x14ac:dyDescent="0.25">
      <c r="A162">
        <v>2027</v>
      </c>
      <c r="B162">
        <v>0.71903508771929825</v>
      </c>
      <c r="C162">
        <v>-2.4102082467591011E-2</v>
      </c>
      <c r="D162">
        <v>0.69493300525170731</v>
      </c>
      <c r="E162" t="s">
        <v>10</v>
      </c>
      <c r="F162">
        <v>1.1499999999999999</v>
      </c>
    </row>
    <row r="163" spans="1:6" x14ac:dyDescent="0.25">
      <c r="A163">
        <v>2028</v>
      </c>
      <c r="B163">
        <v>0.71903508771929825</v>
      </c>
      <c r="C163">
        <v>-2.4100392538726669E-2</v>
      </c>
      <c r="D163">
        <v>0.6949346951805716</v>
      </c>
      <c r="E163" t="s">
        <v>10</v>
      </c>
      <c r="F163">
        <v>1.1499999999999999</v>
      </c>
    </row>
    <row r="164" spans="1:6" x14ac:dyDescent="0.25">
      <c r="A164">
        <v>2029</v>
      </c>
      <c r="B164">
        <v>0.71903508771929825</v>
      </c>
      <c r="C164">
        <v>0.16255293163384171</v>
      </c>
      <c r="D164">
        <v>0.88158801935313991</v>
      </c>
      <c r="E164" t="s">
        <v>10</v>
      </c>
      <c r="F164">
        <v>1.1499999999999999</v>
      </c>
    </row>
    <row r="165" spans="1:6" x14ac:dyDescent="0.25">
      <c r="A165">
        <v>2030</v>
      </c>
      <c r="B165">
        <v>0.71903508771929825</v>
      </c>
      <c r="C165">
        <v>7.8994270966163335E-2</v>
      </c>
      <c r="D165">
        <v>0.79802935868546165</v>
      </c>
      <c r="E165" t="s">
        <v>10</v>
      </c>
      <c r="F165">
        <v>1.1499999999999999</v>
      </c>
    </row>
    <row r="166" spans="1:6" x14ac:dyDescent="0.25">
      <c r="A166">
        <v>2031</v>
      </c>
      <c r="B166">
        <v>0.71903508771929825</v>
      </c>
      <c r="C166">
        <v>-4.8324353127925129E-2</v>
      </c>
      <c r="D166">
        <v>0.6707107345913732</v>
      </c>
      <c r="E166" t="s">
        <v>10</v>
      </c>
      <c r="F166">
        <v>1.1499999999999999</v>
      </c>
    </row>
    <row r="167" spans="1:6" x14ac:dyDescent="0.25">
      <c r="A167">
        <v>2032</v>
      </c>
      <c r="B167">
        <v>0.71903508771929825</v>
      </c>
      <c r="C167">
        <v>5.5847270745423269E-2</v>
      </c>
      <c r="D167">
        <v>0.77488235846472164</v>
      </c>
      <c r="E167" t="s">
        <v>10</v>
      </c>
      <c r="F167">
        <v>1.1499999999999999</v>
      </c>
    </row>
    <row r="168" spans="1:6" x14ac:dyDescent="0.25">
      <c r="A168">
        <v>2033</v>
      </c>
      <c r="B168">
        <v>0.71903508771929825</v>
      </c>
      <c r="C168">
        <v>-4.7700920229331957E-2</v>
      </c>
      <c r="D168">
        <v>0.67133416748996633</v>
      </c>
      <c r="E168" t="s">
        <v>10</v>
      </c>
      <c r="F168">
        <v>1.1499999999999999</v>
      </c>
    </row>
    <row r="169" spans="1:6" x14ac:dyDescent="0.25">
      <c r="A169">
        <v>2034</v>
      </c>
      <c r="B169">
        <v>0.71903508771929825</v>
      </c>
      <c r="C169">
        <v>-4.7938907314165953E-2</v>
      </c>
      <c r="D169">
        <v>0.6710961804051323</v>
      </c>
      <c r="E169" t="s">
        <v>10</v>
      </c>
      <c r="F169">
        <v>1.1499999999999999</v>
      </c>
    </row>
    <row r="170" spans="1:6" x14ac:dyDescent="0.25">
      <c r="A170">
        <v>2035</v>
      </c>
      <c r="B170">
        <v>0.71903508771929825</v>
      </c>
      <c r="C170">
        <v>2.4905874750772931E-2</v>
      </c>
      <c r="D170">
        <v>0.74394096247007124</v>
      </c>
      <c r="E170" t="s">
        <v>10</v>
      </c>
      <c r="F170">
        <v>1.1499999999999999</v>
      </c>
    </row>
    <row r="171" spans="1:6" x14ac:dyDescent="0.25">
      <c r="A171">
        <v>2036</v>
      </c>
      <c r="B171">
        <v>0.71903508771929825</v>
      </c>
      <c r="C171">
        <v>-0.19693945600758911</v>
      </c>
      <c r="D171">
        <v>0.52209563171170914</v>
      </c>
      <c r="E171" t="s">
        <v>10</v>
      </c>
      <c r="F171">
        <v>1.1499999999999999</v>
      </c>
    </row>
    <row r="172" spans="1:6" x14ac:dyDescent="0.25">
      <c r="A172">
        <v>2037</v>
      </c>
      <c r="B172">
        <v>0.71903508771929825</v>
      </c>
      <c r="C172">
        <v>-0.17755076943977149</v>
      </c>
      <c r="D172">
        <v>0.54148431827952681</v>
      </c>
      <c r="E172" t="s">
        <v>10</v>
      </c>
      <c r="F172">
        <v>1.1499999999999999</v>
      </c>
    </row>
    <row r="173" spans="1:6" x14ac:dyDescent="0.25">
      <c r="A173">
        <v>2038</v>
      </c>
      <c r="B173">
        <v>0.71903508771929825</v>
      </c>
      <c r="C173">
        <v>-5.787787776399398E-2</v>
      </c>
      <c r="D173">
        <v>0.66115720995530436</v>
      </c>
      <c r="E173" t="s">
        <v>10</v>
      </c>
      <c r="F173">
        <v>1.1499999999999999</v>
      </c>
    </row>
    <row r="174" spans="1:6" x14ac:dyDescent="0.25">
      <c r="A174">
        <v>2039</v>
      </c>
      <c r="B174">
        <v>0.71903508771929825</v>
      </c>
      <c r="C174">
        <v>-0.1042536295574903</v>
      </c>
      <c r="D174">
        <v>0.61478145816180796</v>
      </c>
      <c r="E174" t="s">
        <v>10</v>
      </c>
      <c r="F174">
        <v>1.1499999999999999</v>
      </c>
    </row>
    <row r="175" spans="1:6" x14ac:dyDescent="0.25">
      <c r="A175">
        <v>2040</v>
      </c>
      <c r="B175">
        <v>0.71903508771929825</v>
      </c>
      <c r="C175">
        <v>3.2346384648014877E-2</v>
      </c>
      <c r="D175">
        <v>0.75138147236731323</v>
      </c>
      <c r="E175" t="s">
        <v>10</v>
      </c>
      <c r="F175">
        <v>1.1499999999999999</v>
      </c>
    </row>
    <row r="176" spans="1:6" x14ac:dyDescent="0.25">
      <c r="A176">
        <v>2041</v>
      </c>
      <c r="B176">
        <v>0.71903508771929825</v>
      </c>
      <c r="C176">
        <v>-9.3465538033047205E-2</v>
      </c>
      <c r="D176">
        <v>0.625569549686251</v>
      </c>
      <c r="E176" t="s">
        <v>10</v>
      </c>
      <c r="F176">
        <v>1.1499999999999999</v>
      </c>
    </row>
    <row r="177" spans="1:6" x14ac:dyDescent="0.25">
      <c r="A177">
        <v>2042</v>
      </c>
      <c r="B177">
        <v>0.71903508771929825</v>
      </c>
      <c r="C177">
        <v>-0.14537249492597129</v>
      </c>
      <c r="D177">
        <v>0.57366259279332699</v>
      </c>
      <c r="E177" t="s">
        <v>10</v>
      </c>
      <c r="F177">
        <v>1.1499999999999999</v>
      </c>
    </row>
    <row r="178" spans="1:6" x14ac:dyDescent="0.25">
      <c r="A178">
        <v>2043</v>
      </c>
      <c r="B178">
        <v>0.71903508771929825</v>
      </c>
      <c r="C178">
        <v>0.1508634566501936</v>
      </c>
      <c r="D178">
        <v>0.86989854436949188</v>
      </c>
      <c r="E178" t="s">
        <v>10</v>
      </c>
      <c r="F178">
        <v>1.1499999999999999</v>
      </c>
    </row>
    <row r="179" spans="1:6" x14ac:dyDescent="0.25">
      <c r="A179">
        <v>2044</v>
      </c>
      <c r="B179">
        <v>0.71903508771929825</v>
      </c>
      <c r="C179">
        <v>-2.3239806045860789E-2</v>
      </c>
      <c r="D179">
        <v>0.6957952816734374</v>
      </c>
      <c r="E179" t="s">
        <v>10</v>
      </c>
      <c r="F179">
        <v>1.1499999999999999</v>
      </c>
    </row>
    <row r="180" spans="1:6" x14ac:dyDescent="0.25">
      <c r="A180">
        <v>2045</v>
      </c>
      <c r="B180">
        <v>0.71903508771929825</v>
      </c>
      <c r="C180">
        <v>6.9508729489795437E-3</v>
      </c>
      <c r="D180">
        <v>0.72598596066827781</v>
      </c>
      <c r="E180" t="s">
        <v>10</v>
      </c>
      <c r="F180">
        <v>1.1499999999999999</v>
      </c>
    </row>
    <row r="181" spans="1:6" x14ac:dyDescent="0.25">
      <c r="A181">
        <v>2046</v>
      </c>
      <c r="B181">
        <v>0.71903508771929825</v>
      </c>
      <c r="C181">
        <v>-0.1466534416607968</v>
      </c>
      <c r="D181">
        <v>0.5723816460585015</v>
      </c>
      <c r="E181" t="s">
        <v>10</v>
      </c>
      <c r="F181">
        <v>1.1499999999999999</v>
      </c>
    </row>
    <row r="182" spans="1:6" x14ac:dyDescent="0.25">
      <c r="A182">
        <v>2047</v>
      </c>
      <c r="B182">
        <v>0.71903508771929825</v>
      </c>
      <c r="C182">
        <v>-5.6034884553513992E-2</v>
      </c>
      <c r="D182">
        <v>0.66300020316578423</v>
      </c>
      <c r="E182" t="s">
        <v>10</v>
      </c>
      <c r="F182">
        <v>1.1499999999999999</v>
      </c>
    </row>
    <row r="183" spans="1:6" x14ac:dyDescent="0.25">
      <c r="A183">
        <v>2048</v>
      </c>
      <c r="B183">
        <v>0.71903508771929825</v>
      </c>
      <c r="C183">
        <v>1.1417582205957051E-2</v>
      </c>
      <c r="D183">
        <v>0.73045266992525537</v>
      </c>
      <c r="E183" t="s">
        <v>10</v>
      </c>
      <c r="F183">
        <v>1.1499999999999999</v>
      </c>
    </row>
    <row r="184" spans="1:6" x14ac:dyDescent="0.25">
      <c r="A184">
        <v>2049</v>
      </c>
      <c r="B184">
        <v>0.71903508771929825</v>
      </c>
      <c r="C184">
        <v>-0.11847508990838911</v>
      </c>
      <c r="D184">
        <v>0.6005599978109093</v>
      </c>
      <c r="E184" t="s">
        <v>10</v>
      </c>
      <c r="F184">
        <v>1.1499999999999999</v>
      </c>
    </row>
    <row r="185" spans="1:6" x14ac:dyDescent="0.25">
      <c r="A185">
        <v>2050</v>
      </c>
      <c r="B185">
        <v>0.71903508771929825</v>
      </c>
      <c r="C185">
        <v>3.8671681037170488E-2</v>
      </c>
      <c r="D185">
        <v>0.75770676875646881</v>
      </c>
      <c r="E185" t="s">
        <v>10</v>
      </c>
      <c r="F185">
        <v>1.1499999999999999</v>
      </c>
    </row>
    <row r="186" spans="1:6" x14ac:dyDescent="0.25">
      <c r="A186">
        <v>2051</v>
      </c>
      <c r="B186">
        <v>0.71903508771929825</v>
      </c>
      <c r="C186">
        <v>-6.1825473387918273E-2</v>
      </c>
      <c r="D186">
        <v>0.65720961433137992</v>
      </c>
      <c r="E186" t="s">
        <v>10</v>
      </c>
      <c r="F186">
        <v>1.1499999999999999</v>
      </c>
    </row>
    <row r="187" spans="1:6" x14ac:dyDescent="0.25">
      <c r="A187">
        <v>2052</v>
      </c>
      <c r="B187">
        <v>0.71903508771929825</v>
      </c>
      <c r="C187">
        <v>-3.0024879295911151E-2</v>
      </c>
      <c r="D187">
        <v>0.68901020842338712</v>
      </c>
      <c r="E187" t="s">
        <v>10</v>
      </c>
      <c r="F187">
        <v>1.1499999999999999</v>
      </c>
    </row>
    <row r="188" spans="1:6" x14ac:dyDescent="0.25">
      <c r="A188">
        <v>2053</v>
      </c>
      <c r="B188">
        <v>0.71903508771929825</v>
      </c>
      <c r="C188">
        <v>-6.1935397712644662E-2</v>
      </c>
      <c r="D188">
        <v>0.65709969000665358</v>
      </c>
      <c r="E188" t="s">
        <v>10</v>
      </c>
      <c r="F188">
        <v>1.1499999999999999</v>
      </c>
    </row>
    <row r="189" spans="1:6" x14ac:dyDescent="0.25">
      <c r="A189">
        <v>2054</v>
      </c>
      <c r="B189">
        <v>0.71903508771929825</v>
      </c>
      <c r="C189">
        <v>0.19066033794602799</v>
      </c>
      <c r="D189">
        <v>0.90969542566532624</v>
      </c>
      <c r="E189" t="s">
        <v>10</v>
      </c>
      <c r="F189">
        <v>1.1499999999999999</v>
      </c>
    </row>
    <row r="190" spans="1:6" x14ac:dyDescent="0.25">
      <c r="A190">
        <v>2055</v>
      </c>
      <c r="B190">
        <v>0.71903508771929825</v>
      </c>
      <c r="C190">
        <v>-1.3893082860824209E-3</v>
      </c>
      <c r="D190">
        <v>0.71764577943321595</v>
      </c>
      <c r="E190" t="s">
        <v>10</v>
      </c>
      <c r="F190">
        <v>1.1499999999999999</v>
      </c>
    </row>
    <row r="191" spans="1:6" x14ac:dyDescent="0.25">
      <c r="A191">
        <v>2056</v>
      </c>
      <c r="B191">
        <v>0.71903508771929825</v>
      </c>
      <c r="C191">
        <v>-0.1088732377514897</v>
      </c>
      <c r="D191">
        <v>0.61016184996780864</v>
      </c>
      <c r="E191" t="s">
        <v>10</v>
      </c>
      <c r="F191">
        <v>1.1499999999999999</v>
      </c>
    </row>
    <row r="192" spans="1:6" x14ac:dyDescent="0.25">
      <c r="A192">
        <v>2057</v>
      </c>
      <c r="B192">
        <v>0.71903508771929825</v>
      </c>
      <c r="C192">
        <v>8.466692110772589E-2</v>
      </c>
      <c r="D192">
        <v>0.80370200882702414</v>
      </c>
      <c r="E192" t="s">
        <v>10</v>
      </c>
      <c r="F192">
        <v>1.1499999999999999</v>
      </c>
    </row>
    <row r="193" spans="1:6" x14ac:dyDescent="0.25">
      <c r="A193">
        <v>2058</v>
      </c>
      <c r="B193">
        <v>0.71903508771929825</v>
      </c>
      <c r="C193">
        <v>-0.12566495941561109</v>
      </c>
      <c r="D193">
        <v>0.59337012830368718</v>
      </c>
      <c r="E193" t="s">
        <v>10</v>
      </c>
      <c r="F193">
        <v>1.1499999999999999</v>
      </c>
    </row>
    <row r="194" spans="1:6" x14ac:dyDescent="0.25">
      <c r="A194">
        <v>2059</v>
      </c>
      <c r="B194">
        <v>0.71903508771929825</v>
      </c>
      <c r="C194">
        <v>2.1498932472060792E-2</v>
      </c>
      <c r="D194">
        <v>0.74053402019135905</v>
      </c>
      <c r="E194" t="s">
        <v>10</v>
      </c>
      <c r="F194">
        <v>1.1499999999999999</v>
      </c>
    </row>
    <row r="195" spans="1:6" x14ac:dyDescent="0.25">
      <c r="A195">
        <v>2060</v>
      </c>
      <c r="B195">
        <v>0.71903508771929825</v>
      </c>
      <c r="C195">
        <v>-0.20171450012553441</v>
      </c>
      <c r="D195">
        <v>0.51732058759376387</v>
      </c>
      <c r="E195" t="s">
        <v>10</v>
      </c>
      <c r="F195">
        <v>1.1499999999999999</v>
      </c>
    </row>
    <row r="196" spans="1:6" x14ac:dyDescent="0.25">
      <c r="A196">
        <v>2061</v>
      </c>
      <c r="B196">
        <v>0.71903508771929825</v>
      </c>
      <c r="C196">
        <v>-0.13671402225433521</v>
      </c>
      <c r="D196">
        <v>0.58232106546496309</v>
      </c>
      <c r="E196" t="s">
        <v>10</v>
      </c>
      <c r="F196">
        <v>1.1499999999999999</v>
      </c>
    </row>
    <row r="197" spans="1:6" x14ac:dyDescent="0.25">
      <c r="A197">
        <v>2062</v>
      </c>
      <c r="B197">
        <v>0.71903508771929825</v>
      </c>
      <c r="C197">
        <v>2.0263495015588311E-2</v>
      </c>
      <c r="D197">
        <v>0.73929858273488669</v>
      </c>
      <c r="E197" t="s">
        <v>10</v>
      </c>
      <c r="F197">
        <v>1.1499999999999999</v>
      </c>
    </row>
    <row r="198" spans="1:6" x14ac:dyDescent="0.25">
      <c r="A198">
        <v>2063</v>
      </c>
      <c r="B198">
        <v>0.71903508771929825</v>
      </c>
      <c r="C198">
        <v>7.6012495791013907E-2</v>
      </c>
      <c r="D198">
        <v>0.79504758351031213</v>
      </c>
      <c r="E198" t="s">
        <v>10</v>
      </c>
      <c r="F198">
        <v>1.1499999999999999</v>
      </c>
    </row>
    <row r="199" spans="1:6" x14ac:dyDescent="0.25">
      <c r="A199">
        <v>2064</v>
      </c>
      <c r="B199">
        <v>0.71903508771929825</v>
      </c>
      <c r="C199">
        <v>1.7639431635141669E-2</v>
      </c>
      <c r="D199">
        <v>0.73667451935444006</v>
      </c>
      <c r="E199" t="s">
        <v>10</v>
      </c>
      <c r="F199">
        <v>1.1499999999999999</v>
      </c>
    </row>
    <row r="200" spans="1:6" x14ac:dyDescent="0.25">
      <c r="A200">
        <v>2065</v>
      </c>
      <c r="B200">
        <v>0.71903508771929825</v>
      </c>
      <c r="C200">
        <v>-1.190401138847577E-2</v>
      </c>
      <c r="D200">
        <v>0.70713107633082262</v>
      </c>
      <c r="E200" t="s">
        <v>10</v>
      </c>
      <c r="F200">
        <v>1.1499999999999999</v>
      </c>
    </row>
    <row r="201" spans="1:6" x14ac:dyDescent="0.25">
      <c r="A201">
        <v>2066</v>
      </c>
      <c r="B201">
        <v>0.71903508771929825</v>
      </c>
      <c r="C201">
        <v>-3.0993472167395571E-2</v>
      </c>
      <c r="D201">
        <v>0.68804161555190269</v>
      </c>
      <c r="E201" t="s">
        <v>10</v>
      </c>
      <c r="F201">
        <v>1.1499999999999999</v>
      </c>
    </row>
    <row r="202" spans="1:6" x14ac:dyDescent="0.25">
      <c r="A202">
        <v>2067</v>
      </c>
      <c r="B202">
        <v>0.71903508771929825</v>
      </c>
      <c r="C202">
        <v>-0.15218853447697531</v>
      </c>
      <c r="D202">
        <v>0.56684655324232303</v>
      </c>
      <c r="E202" t="s">
        <v>10</v>
      </c>
      <c r="F202">
        <v>1.1499999999999999</v>
      </c>
    </row>
    <row r="203" spans="1:6" x14ac:dyDescent="0.25">
      <c r="A203">
        <v>2068</v>
      </c>
      <c r="B203">
        <v>0.71903508771929825</v>
      </c>
      <c r="C203">
        <v>-7.4095641350660171E-2</v>
      </c>
      <c r="D203">
        <v>0.64493944636863809</v>
      </c>
      <c r="E203" t="s">
        <v>10</v>
      </c>
      <c r="F203">
        <v>1.1499999999999999</v>
      </c>
    </row>
    <row r="204" spans="1:6" x14ac:dyDescent="0.25">
      <c r="A204">
        <v>2069</v>
      </c>
      <c r="B204">
        <v>0.71903508771929825</v>
      </c>
      <c r="C204">
        <v>-4.7414877784958502E-2</v>
      </c>
      <c r="D204">
        <v>0.6716202099343398</v>
      </c>
      <c r="E204" t="s">
        <v>10</v>
      </c>
      <c r="F204">
        <v>1.1499999999999999</v>
      </c>
    </row>
    <row r="205" spans="1:6" x14ac:dyDescent="0.25">
      <c r="A205">
        <v>2070</v>
      </c>
      <c r="B205">
        <v>0.71903508771929825</v>
      </c>
      <c r="C205">
        <v>0.1088126408801763</v>
      </c>
      <c r="D205">
        <v>0.82784772859947464</v>
      </c>
      <c r="E205" t="s">
        <v>10</v>
      </c>
      <c r="F205">
        <v>1.1499999999999999</v>
      </c>
    </row>
    <row r="206" spans="1:6" x14ac:dyDescent="0.25">
      <c r="A206">
        <v>2071</v>
      </c>
      <c r="B206">
        <v>0.71903508771929825</v>
      </c>
      <c r="C206">
        <v>3.5369621993862482E-2</v>
      </c>
      <c r="D206">
        <v>0.75440470971316076</v>
      </c>
      <c r="E206" t="s">
        <v>10</v>
      </c>
      <c r="F206">
        <v>1.1499999999999999</v>
      </c>
    </row>
    <row r="207" spans="1:6" x14ac:dyDescent="0.25">
      <c r="A207">
        <v>2072</v>
      </c>
      <c r="B207">
        <v>0.71903508771929825</v>
      </c>
      <c r="C207">
        <v>-0.1814748101257761</v>
      </c>
      <c r="D207">
        <v>0.53756027759352221</v>
      </c>
      <c r="E207" t="s">
        <v>10</v>
      </c>
      <c r="F207">
        <v>1.1499999999999999</v>
      </c>
    </row>
    <row r="208" spans="1:6" x14ac:dyDescent="0.25">
      <c r="A208">
        <v>2073</v>
      </c>
      <c r="B208">
        <v>0.71903508771929825</v>
      </c>
      <c r="C208">
        <v>3.3358898055630408E-2</v>
      </c>
      <c r="D208">
        <v>0.75239398577492878</v>
      </c>
      <c r="E208" t="s">
        <v>10</v>
      </c>
      <c r="F208">
        <v>1.1499999999999999</v>
      </c>
    </row>
    <row r="209" spans="1:6" x14ac:dyDescent="0.25">
      <c r="A209">
        <v>2074</v>
      </c>
      <c r="B209">
        <v>0.71903508771929825</v>
      </c>
      <c r="C209">
        <v>-3.9637630208697067E-2</v>
      </c>
      <c r="D209">
        <v>0.67939745751060121</v>
      </c>
      <c r="E209" t="s">
        <v>10</v>
      </c>
      <c r="F209">
        <v>1.1499999999999999</v>
      </c>
    </row>
    <row r="210" spans="1:6" x14ac:dyDescent="0.25">
      <c r="A210">
        <v>2075</v>
      </c>
      <c r="B210">
        <v>0.71903508771929825</v>
      </c>
      <c r="C210">
        <v>-6.9677534627797508E-2</v>
      </c>
      <c r="D210">
        <v>0.64935755309150078</v>
      </c>
      <c r="E210" t="s">
        <v>10</v>
      </c>
      <c r="F210">
        <v>1.1499999999999999</v>
      </c>
    </row>
    <row r="211" spans="1:6" x14ac:dyDescent="0.25">
      <c r="A211">
        <v>2076</v>
      </c>
      <c r="B211">
        <v>0.71903508771929825</v>
      </c>
      <c r="C211">
        <v>6.2961605291966552E-2</v>
      </c>
      <c r="D211">
        <v>0.78199669301126484</v>
      </c>
      <c r="E211" t="s">
        <v>10</v>
      </c>
      <c r="F211">
        <v>1.1499999999999999</v>
      </c>
    </row>
    <row r="212" spans="1:6" x14ac:dyDescent="0.25">
      <c r="A212">
        <v>2077</v>
      </c>
      <c r="B212">
        <v>0.71903508771929825</v>
      </c>
      <c r="C212">
        <v>0.1061237556136229</v>
      </c>
      <c r="D212">
        <v>0.82515884333292122</v>
      </c>
      <c r="E212" t="s">
        <v>10</v>
      </c>
      <c r="F212">
        <v>1.1499999999999999</v>
      </c>
    </row>
    <row r="213" spans="1:6" x14ac:dyDescent="0.25">
      <c r="A213">
        <v>2078</v>
      </c>
      <c r="B213">
        <v>0.71903508771929825</v>
      </c>
      <c r="C213">
        <v>9.5859349701397367E-2</v>
      </c>
      <c r="D213">
        <v>0.81489443742069567</v>
      </c>
      <c r="E213" t="s">
        <v>10</v>
      </c>
      <c r="F213">
        <v>1.1499999999999999</v>
      </c>
    </row>
    <row r="214" spans="1:6" x14ac:dyDescent="0.25">
      <c r="A214">
        <v>2079</v>
      </c>
      <c r="B214">
        <v>0.71903508771929825</v>
      </c>
      <c r="C214">
        <v>-8.6383081076062226E-2</v>
      </c>
      <c r="D214">
        <v>0.63265200664323606</v>
      </c>
      <c r="E214" t="s">
        <v>10</v>
      </c>
      <c r="F214">
        <v>1.1499999999999999</v>
      </c>
    </row>
    <row r="215" spans="1:6" x14ac:dyDescent="0.25">
      <c r="A215">
        <v>2080</v>
      </c>
      <c r="B215">
        <v>0.71903508771929825</v>
      </c>
      <c r="C215">
        <v>-3.1828122022889559E-2</v>
      </c>
      <c r="D215">
        <v>0.68720696569640871</v>
      </c>
      <c r="E215" t="s">
        <v>10</v>
      </c>
      <c r="F215">
        <v>1.1499999999999999</v>
      </c>
    </row>
    <row r="216" spans="1:6" x14ac:dyDescent="0.25">
      <c r="A216">
        <v>2081</v>
      </c>
      <c r="B216">
        <v>0.71903508771929825</v>
      </c>
      <c r="C216">
        <v>3.4097900795235343E-2</v>
      </c>
      <c r="D216">
        <v>0.75313298851453359</v>
      </c>
      <c r="E216" t="s">
        <v>10</v>
      </c>
      <c r="F216">
        <v>1.1499999999999999</v>
      </c>
    </row>
    <row r="217" spans="1:6" x14ac:dyDescent="0.25">
      <c r="A217">
        <v>2082</v>
      </c>
      <c r="B217">
        <v>0.71903508771929825</v>
      </c>
      <c r="C217">
        <v>0.100415674694166</v>
      </c>
      <c r="D217">
        <v>0.81945076241346437</v>
      </c>
      <c r="E217" t="s">
        <v>10</v>
      </c>
      <c r="F217">
        <v>1.1499999999999999</v>
      </c>
    </row>
    <row r="218" spans="1:6" x14ac:dyDescent="0.25">
      <c r="A218">
        <v>2083</v>
      </c>
      <c r="B218">
        <v>0.71903508771929825</v>
      </c>
      <c r="C218">
        <v>-4.9322786872228887E-2</v>
      </c>
      <c r="D218">
        <v>0.66971230084706934</v>
      </c>
      <c r="E218" t="s">
        <v>10</v>
      </c>
      <c r="F218">
        <v>1.1499999999999999</v>
      </c>
    </row>
    <row r="219" spans="1:6" x14ac:dyDescent="0.25">
      <c r="A219">
        <v>2084</v>
      </c>
      <c r="B219">
        <v>0.71903508771929825</v>
      </c>
      <c r="C219">
        <v>-1.9110414153488239E-2</v>
      </c>
      <c r="D219">
        <v>0.69992467356581001</v>
      </c>
      <c r="E219" t="s">
        <v>10</v>
      </c>
      <c r="F219">
        <v>1.1499999999999999</v>
      </c>
    </row>
    <row r="220" spans="1:6" x14ac:dyDescent="0.25">
      <c r="A220">
        <v>2085</v>
      </c>
      <c r="B220">
        <v>0.71903508771929825</v>
      </c>
      <c r="C220">
        <v>-0.11387825100440881</v>
      </c>
      <c r="D220">
        <v>0.60515683671488951</v>
      </c>
      <c r="E220" t="s">
        <v>10</v>
      </c>
      <c r="F220">
        <v>1.1499999999999999</v>
      </c>
    </row>
    <row r="221" spans="1:6" x14ac:dyDescent="0.25">
      <c r="A221">
        <v>2086</v>
      </c>
      <c r="B221">
        <v>0.71903508771929825</v>
      </c>
      <c r="C221">
        <v>-0.12312899925502389</v>
      </c>
      <c r="D221">
        <v>0.59590608846427429</v>
      </c>
      <c r="E221" t="s">
        <v>10</v>
      </c>
      <c r="F221">
        <v>1.1499999999999999</v>
      </c>
    </row>
    <row r="222" spans="1:6" x14ac:dyDescent="0.25">
      <c r="A222">
        <v>2087</v>
      </c>
      <c r="B222">
        <v>0.71903508771929825</v>
      </c>
      <c r="C222">
        <v>8.3635627295703674E-2</v>
      </c>
      <c r="D222">
        <v>0.80267071501500198</v>
      </c>
      <c r="E222" t="s">
        <v>10</v>
      </c>
      <c r="F222">
        <v>1.1499999999999999</v>
      </c>
    </row>
    <row r="223" spans="1:6" x14ac:dyDescent="0.25">
      <c r="A223">
        <v>2088</v>
      </c>
      <c r="B223">
        <v>0.71903508771929825</v>
      </c>
      <c r="C223">
        <v>0.13960169932671149</v>
      </c>
      <c r="D223">
        <v>0.85863678704600988</v>
      </c>
      <c r="E223" t="s">
        <v>10</v>
      </c>
      <c r="F223">
        <v>1.1499999999999999</v>
      </c>
    </row>
    <row r="224" spans="1:6" x14ac:dyDescent="0.25">
      <c r="A224">
        <v>2089</v>
      </c>
      <c r="B224">
        <v>0.71903508771929825</v>
      </c>
      <c r="C224">
        <v>-7.4122095864778944E-3</v>
      </c>
      <c r="D224">
        <v>0.71162287813282044</v>
      </c>
      <c r="E224" t="s">
        <v>10</v>
      </c>
      <c r="F224">
        <v>1.1499999999999999</v>
      </c>
    </row>
    <row r="225" spans="1:6" x14ac:dyDescent="0.25">
      <c r="A225">
        <v>2090</v>
      </c>
      <c r="B225">
        <v>0.71903508771929825</v>
      </c>
      <c r="C225">
        <v>0.1032965366931508</v>
      </c>
      <c r="D225">
        <v>0.82233162441244911</v>
      </c>
      <c r="E225" t="s">
        <v>10</v>
      </c>
      <c r="F225">
        <v>1.1499999999999999</v>
      </c>
    </row>
    <row r="226" spans="1:6" x14ac:dyDescent="0.25">
      <c r="A226">
        <v>2091</v>
      </c>
      <c r="B226">
        <v>0.71903508771929825</v>
      </c>
      <c r="C226">
        <v>3.722423949365878E-2</v>
      </c>
      <c r="D226">
        <v>0.75625932721295697</v>
      </c>
      <c r="E226" t="s">
        <v>10</v>
      </c>
      <c r="F226">
        <v>1.1499999999999999</v>
      </c>
    </row>
    <row r="227" spans="1:6" x14ac:dyDescent="0.25">
      <c r="A227">
        <v>2092</v>
      </c>
      <c r="B227">
        <v>0.71903508771929825</v>
      </c>
      <c r="C227">
        <v>-6.6404037718168232E-2</v>
      </c>
      <c r="D227">
        <v>0.65263105000112998</v>
      </c>
      <c r="E227" t="s">
        <v>10</v>
      </c>
      <c r="F227">
        <v>1.1499999999999999</v>
      </c>
    </row>
    <row r="228" spans="1:6" x14ac:dyDescent="0.25">
      <c r="A228">
        <v>2093</v>
      </c>
      <c r="B228">
        <v>0.71903508771929825</v>
      </c>
      <c r="C228">
        <v>3.7199492416799637E-2</v>
      </c>
      <c r="D228">
        <v>0.7562345801360979</v>
      </c>
      <c r="E228" t="s">
        <v>10</v>
      </c>
      <c r="F228">
        <v>1.1499999999999999</v>
      </c>
    </row>
    <row r="229" spans="1:6" x14ac:dyDescent="0.25">
      <c r="A229">
        <v>2094</v>
      </c>
      <c r="B229">
        <v>0.71903508771929825</v>
      </c>
      <c r="C229">
        <v>0.15831454151337029</v>
      </c>
      <c r="D229">
        <v>0.87734962923266857</v>
      </c>
      <c r="E229" t="s">
        <v>10</v>
      </c>
      <c r="F229">
        <v>1.1499999999999999</v>
      </c>
    </row>
    <row r="230" spans="1:6" x14ac:dyDescent="0.25">
      <c r="A230">
        <v>2095</v>
      </c>
      <c r="B230">
        <v>0.71903508771929825</v>
      </c>
      <c r="C230">
        <v>-3.6876775751596169E-3</v>
      </c>
      <c r="D230">
        <v>0.71534741014413861</v>
      </c>
      <c r="E230" t="s">
        <v>10</v>
      </c>
      <c r="F230">
        <v>1.1499999999999999</v>
      </c>
    </row>
    <row r="231" spans="1:6" x14ac:dyDescent="0.25">
      <c r="A231">
        <v>2096</v>
      </c>
      <c r="B231">
        <v>0.71903508771929825</v>
      </c>
      <c r="C231">
        <v>0.16105328598991969</v>
      </c>
      <c r="D231">
        <v>0.88008837370921789</v>
      </c>
      <c r="E231" t="s">
        <v>10</v>
      </c>
      <c r="F231">
        <v>1.1499999999999999</v>
      </c>
    </row>
    <row r="232" spans="1:6" x14ac:dyDescent="0.25">
      <c r="A232">
        <v>2097</v>
      </c>
      <c r="B232">
        <v>0.71903508771929825</v>
      </c>
      <c r="C232">
        <v>-0.2696579223658146</v>
      </c>
      <c r="D232">
        <v>0.44937716535348371</v>
      </c>
      <c r="E232" t="s">
        <v>10</v>
      </c>
      <c r="F232">
        <v>1.1499999999999999</v>
      </c>
    </row>
    <row r="233" spans="1:6" x14ac:dyDescent="0.25">
      <c r="A233">
        <v>2098</v>
      </c>
      <c r="B233">
        <v>0.71903508771929825</v>
      </c>
      <c r="C233">
        <v>8.4600796226734831E-2</v>
      </c>
      <c r="D233">
        <v>0.80363588394603314</v>
      </c>
      <c r="E233" t="s">
        <v>10</v>
      </c>
      <c r="F233">
        <v>1.1499999999999999</v>
      </c>
    </row>
    <row r="234" spans="1:6" x14ac:dyDescent="0.25">
      <c r="A234">
        <v>2099</v>
      </c>
      <c r="B234">
        <v>0.71903508771929825</v>
      </c>
      <c r="C234">
        <v>8.9600058923657907E-3</v>
      </c>
      <c r="D234">
        <v>0.72799509361166403</v>
      </c>
      <c r="E234" t="s">
        <v>10</v>
      </c>
      <c r="F234">
        <v>1.1499999999999999</v>
      </c>
    </row>
    <row r="235" spans="1:6" x14ac:dyDescent="0.25">
      <c r="A235">
        <v>2100</v>
      </c>
      <c r="B235">
        <v>0.71903508771929825</v>
      </c>
      <c r="C235">
        <v>-3.077768931521617E-2</v>
      </c>
      <c r="D235">
        <v>0.68825739840408218</v>
      </c>
      <c r="E235" t="s">
        <v>10</v>
      </c>
      <c r="F235">
        <v>1.1499999999999999</v>
      </c>
    </row>
    <row r="236" spans="1:6" x14ac:dyDescent="0.25">
      <c r="A236">
        <v>2023</v>
      </c>
      <c r="B236">
        <v>0.43767353165522499</v>
      </c>
      <c r="C236">
        <v>3.112152579475138E-2</v>
      </c>
      <c r="D236">
        <v>0.46879505744997652</v>
      </c>
      <c r="E236" t="s">
        <v>11</v>
      </c>
      <c r="F236">
        <v>0.7</v>
      </c>
    </row>
    <row r="237" spans="1:6" x14ac:dyDescent="0.25">
      <c r="A237">
        <v>2024</v>
      </c>
      <c r="B237">
        <v>0.43767353165522499</v>
      </c>
      <c r="C237">
        <v>-8.6629221038020017E-3</v>
      </c>
      <c r="D237">
        <v>0.42901060955142312</v>
      </c>
      <c r="E237" t="s">
        <v>11</v>
      </c>
      <c r="F237">
        <v>0.7</v>
      </c>
    </row>
    <row r="238" spans="1:6" x14ac:dyDescent="0.25">
      <c r="A238">
        <v>2025</v>
      </c>
      <c r="B238">
        <v>0.43767353165522499</v>
      </c>
      <c r="C238">
        <v>4.0580795661382507E-2</v>
      </c>
      <c r="D238">
        <v>0.4782543273166075</v>
      </c>
      <c r="E238" t="s">
        <v>11</v>
      </c>
      <c r="F238">
        <v>0.7</v>
      </c>
    </row>
    <row r="239" spans="1:6" x14ac:dyDescent="0.25">
      <c r="A239">
        <v>2026</v>
      </c>
      <c r="B239">
        <v>0.43767353165522499</v>
      </c>
      <c r="C239">
        <v>9.5425130681361867E-2</v>
      </c>
      <c r="D239">
        <v>0.53309866233658687</v>
      </c>
      <c r="E239" t="s">
        <v>11</v>
      </c>
      <c r="F239">
        <v>0.7</v>
      </c>
    </row>
    <row r="240" spans="1:6" x14ac:dyDescent="0.25">
      <c r="A240">
        <v>2027</v>
      </c>
      <c r="B240">
        <v>0.43767353165522499</v>
      </c>
      <c r="C240">
        <v>-1.467083280635975E-2</v>
      </c>
      <c r="D240">
        <v>0.42300269884886532</v>
      </c>
      <c r="E240" t="s">
        <v>11</v>
      </c>
      <c r="F240">
        <v>0.7</v>
      </c>
    </row>
    <row r="241" spans="1:6" x14ac:dyDescent="0.25">
      <c r="A241">
        <v>2028</v>
      </c>
      <c r="B241">
        <v>0.43767353165522499</v>
      </c>
      <c r="C241">
        <v>-1.4669804154007539E-2</v>
      </c>
      <c r="D241">
        <v>0.42300372750121751</v>
      </c>
      <c r="E241" t="s">
        <v>11</v>
      </c>
      <c r="F241">
        <v>0.7</v>
      </c>
    </row>
    <row r="242" spans="1:6" x14ac:dyDescent="0.25">
      <c r="A242">
        <v>2029</v>
      </c>
      <c r="B242">
        <v>0.43767353165522499</v>
      </c>
      <c r="C242">
        <v>9.894526273364275E-2</v>
      </c>
      <c r="D242">
        <v>0.53661879438886784</v>
      </c>
      <c r="E242" t="s">
        <v>11</v>
      </c>
      <c r="F242">
        <v>0.7</v>
      </c>
    </row>
    <row r="243" spans="1:6" x14ac:dyDescent="0.25">
      <c r="A243">
        <v>2030</v>
      </c>
      <c r="B243">
        <v>0.43767353165522499</v>
      </c>
      <c r="C243">
        <v>4.8083469283751602E-2</v>
      </c>
      <c r="D243">
        <v>0.48575700093897672</v>
      </c>
      <c r="E243" t="s">
        <v>11</v>
      </c>
      <c r="F243">
        <v>0.7</v>
      </c>
    </row>
    <row r="244" spans="1:6" x14ac:dyDescent="0.25">
      <c r="A244">
        <v>2031</v>
      </c>
      <c r="B244">
        <v>0.43767353165522499</v>
      </c>
      <c r="C244">
        <v>-2.9414823643084859E-2</v>
      </c>
      <c r="D244">
        <v>0.4082587080121402</v>
      </c>
      <c r="E244" t="s">
        <v>11</v>
      </c>
      <c r="F244">
        <v>0.7</v>
      </c>
    </row>
    <row r="245" spans="1:6" x14ac:dyDescent="0.25">
      <c r="A245">
        <v>2032</v>
      </c>
      <c r="B245">
        <v>0.43767353165522499</v>
      </c>
      <c r="C245">
        <v>3.399399088851851E-2</v>
      </c>
      <c r="D245">
        <v>0.47166752254374361</v>
      </c>
      <c r="E245" t="s">
        <v>11</v>
      </c>
      <c r="F245">
        <v>0.7</v>
      </c>
    </row>
    <row r="246" spans="1:6" x14ac:dyDescent="0.25">
      <c r="A246">
        <v>2033</v>
      </c>
      <c r="B246">
        <v>0.43767353165522499</v>
      </c>
      <c r="C246">
        <v>-2.903534274828902E-2</v>
      </c>
      <c r="D246">
        <v>0.40863818890693598</v>
      </c>
      <c r="E246" t="s">
        <v>11</v>
      </c>
      <c r="F246">
        <v>0.7</v>
      </c>
    </row>
    <row r="247" spans="1:6" x14ac:dyDescent="0.25">
      <c r="A247">
        <v>2034</v>
      </c>
      <c r="B247">
        <v>0.43767353165522499</v>
      </c>
      <c r="C247">
        <v>-2.9180204452101011E-2</v>
      </c>
      <c r="D247">
        <v>0.40849332720312398</v>
      </c>
      <c r="E247" t="s">
        <v>11</v>
      </c>
      <c r="F247">
        <v>0.7</v>
      </c>
    </row>
    <row r="248" spans="1:6" x14ac:dyDescent="0.25">
      <c r="A248">
        <v>2035</v>
      </c>
      <c r="B248">
        <v>0.43767353165522499</v>
      </c>
      <c r="C248">
        <v>1.516009767438352E-2</v>
      </c>
      <c r="D248">
        <v>0.45283362932960858</v>
      </c>
      <c r="E248" t="s">
        <v>11</v>
      </c>
      <c r="F248">
        <v>0.7</v>
      </c>
    </row>
    <row r="249" spans="1:6" x14ac:dyDescent="0.25">
      <c r="A249">
        <v>2036</v>
      </c>
      <c r="B249">
        <v>0.43767353165522499</v>
      </c>
      <c r="C249">
        <v>-0.1198761906133151</v>
      </c>
      <c r="D249">
        <v>0.31779734104190988</v>
      </c>
      <c r="E249" t="s">
        <v>11</v>
      </c>
      <c r="F249">
        <v>0.7</v>
      </c>
    </row>
    <row r="250" spans="1:6" x14ac:dyDescent="0.25">
      <c r="A250">
        <v>2037</v>
      </c>
      <c r="B250">
        <v>0.43767353165522499</v>
      </c>
      <c r="C250">
        <v>-0.1080743813981218</v>
      </c>
      <c r="D250">
        <v>0.32959915025710318</v>
      </c>
      <c r="E250" t="s">
        <v>11</v>
      </c>
      <c r="F250">
        <v>0.7</v>
      </c>
    </row>
    <row r="251" spans="1:6" x14ac:dyDescent="0.25">
      <c r="A251">
        <v>2038</v>
      </c>
      <c r="B251">
        <v>0.43767353165522499</v>
      </c>
      <c r="C251">
        <v>-3.5230012551996343E-2</v>
      </c>
      <c r="D251">
        <v>0.40244351910322868</v>
      </c>
      <c r="E251" t="s">
        <v>11</v>
      </c>
      <c r="F251">
        <v>0.7</v>
      </c>
    </row>
    <row r="252" spans="1:6" x14ac:dyDescent="0.25">
      <c r="A252">
        <v>2039</v>
      </c>
      <c r="B252">
        <v>0.43767353165522499</v>
      </c>
      <c r="C252">
        <v>-6.3458731034994081E-2</v>
      </c>
      <c r="D252">
        <v>0.37421480062023088</v>
      </c>
      <c r="E252" t="s">
        <v>11</v>
      </c>
      <c r="F252">
        <v>0.7</v>
      </c>
    </row>
    <row r="253" spans="1:6" x14ac:dyDescent="0.25">
      <c r="A253">
        <v>2040</v>
      </c>
      <c r="B253">
        <v>0.43767353165522499</v>
      </c>
      <c r="C253">
        <v>1.968910369879167E-2</v>
      </c>
      <c r="D253">
        <v>0.45736263535401672</v>
      </c>
      <c r="E253" t="s">
        <v>11</v>
      </c>
      <c r="F253">
        <v>0.7</v>
      </c>
    </row>
    <row r="254" spans="1:6" x14ac:dyDescent="0.25">
      <c r="A254">
        <v>2041</v>
      </c>
      <c r="B254">
        <v>0.43767353165522499</v>
      </c>
      <c r="C254">
        <v>-5.6892066628811341E-2</v>
      </c>
      <c r="D254">
        <v>0.38078146502641369</v>
      </c>
      <c r="E254" t="s">
        <v>11</v>
      </c>
      <c r="F254">
        <v>0.7</v>
      </c>
    </row>
    <row r="255" spans="1:6" x14ac:dyDescent="0.25">
      <c r="A255">
        <v>2042</v>
      </c>
      <c r="B255">
        <v>0.43767353165522499</v>
      </c>
      <c r="C255">
        <v>-8.8487605607112982E-2</v>
      </c>
      <c r="D255">
        <v>0.34918592604811199</v>
      </c>
      <c r="E255" t="s">
        <v>11</v>
      </c>
      <c r="F255">
        <v>0.7</v>
      </c>
    </row>
    <row r="256" spans="1:6" x14ac:dyDescent="0.25">
      <c r="A256">
        <v>2043</v>
      </c>
      <c r="B256">
        <v>0.43767353165522499</v>
      </c>
      <c r="C256">
        <v>9.182993013490047E-2</v>
      </c>
      <c r="D256">
        <v>0.52950346179012553</v>
      </c>
      <c r="E256" t="s">
        <v>11</v>
      </c>
      <c r="F256">
        <v>0.7</v>
      </c>
    </row>
    <row r="257" spans="1:6" x14ac:dyDescent="0.25">
      <c r="A257">
        <v>2044</v>
      </c>
      <c r="B257">
        <v>0.43767353165522499</v>
      </c>
      <c r="C257">
        <v>-1.4145968897480481E-2</v>
      </c>
      <c r="D257">
        <v>0.42352756275774461</v>
      </c>
      <c r="E257" t="s">
        <v>11</v>
      </c>
      <c r="F257">
        <v>0.7</v>
      </c>
    </row>
    <row r="258" spans="1:6" x14ac:dyDescent="0.25">
      <c r="A258">
        <v>2045</v>
      </c>
      <c r="B258">
        <v>0.43767353165522499</v>
      </c>
      <c r="C258">
        <v>4.2309661428571134E-3</v>
      </c>
      <c r="D258">
        <v>0.44190449779808222</v>
      </c>
      <c r="E258" t="s">
        <v>11</v>
      </c>
      <c r="F258">
        <v>0.7</v>
      </c>
    </row>
    <row r="259" spans="1:6" x14ac:dyDescent="0.25">
      <c r="A259">
        <v>2046</v>
      </c>
      <c r="B259">
        <v>0.43767353165522499</v>
      </c>
      <c r="C259">
        <v>-8.9267312315267633E-2</v>
      </c>
      <c r="D259">
        <v>0.34840621933995741</v>
      </c>
      <c r="E259" t="s">
        <v>11</v>
      </c>
      <c r="F259">
        <v>0.7</v>
      </c>
    </row>
    <row r="260" spans="1:6" x14ac:dyDescent="0.25">
      <c r="A260">
        <v>2047</v>
      </c>
      <c r="B260">
        <v>0.43767353165522499</v>
      </c>
      <c r="C260">
        <v>-3.4108190597791133E-2</v>
      </c>
      <c r="D260">
        <v>0.40356534105743391</v>
      </c>
      <c r="E260" t="s">
        <v>11</v>
      </c>
      <c r="F260">
        <v>0.7</v>
      </c>
    </row>
    <row r="261" spans="1:6" x14ac:dyDescent="0.25">
      <c r="A261">
        <v>2048</v>
      </c>
      <c r="B261">
        <v>0.43767353165522499</v>
      </c>
      <c r="C261">
        <v>6.9498326471042924E-3</v>
      </c>
      <c r="D261">
        <v>0.44462336430232929</v>
      </c>
      <c r="E261" t="s">
        <v>11</v>
      </c>
      <c r="F261">
        <v>0.7</v>
      </c>
    </row>
    <row r="262" spans="1:6" x14ac:dyDescent="0.25">
      <c r="A262">
        <v>2049</v>
      </c>
      <c r="B262">
        <v>0.43767353165522499</v>
      </c>
      <c r="C262">
        <v>-7.2115272118149859E-2</v>
      </c>
      <c r="D262">
        <v>0.36555825953707521</v>
      </c>
      <c r="E262" t="s">
        <v>11</v>
      </c>
      <c r="F262">
        <v>0.7</v>
      </c>
    </row>
    <row r="263" spans="1:6" x14ac:dyDescent="0.25">
      <c r="A263">
        <v>2050</v>
      </c>
      <c r="B263">
        <v>0.43767353165522499</v>
      </c>
      <c r="C263">
        <v>2.3539284109582038E-2</v>
      </c>
      <c r="D263">
        <v>0.4612128157648071</v>
      </c>
      <c r="E263" t="s">
        <v>11</v>
      </c>
      <c r="F263">
        <v>0.7</v>
      </c>
    </row>
    <row r="264" spans="1:6" x14ac:dyDescent="0.25">
      <c r="A264">
        <v>2051</v>
      </c>
      <c r="B264">
        <v>0.43767353165522499</v>
      </c>
      <c r="C264">
        <v>-3.7632896844819817E-2</v>
      </c>
      <c r="D264">
        <v>0.40004063481040519</v>
      </c>
      <c r="E264" t="s">
        <v>11</v>
      </c>
      <c r="F264">
        <v>0.7</v>
      </c>
    </row>
    <row r="265" spans="1:6" x14ac:dyDescent="0.25">
      <c r="A265">
        <v>2052</v>
      </c>
      <c r="B265">
        <v>0.43767353165522499</v>
      </c>
      <c r="C265">
        <v>-1.8276013484467661E-2</v>
      </c>
      <c r="D265">
        <v>0.41939751817075738</v>
      </c>
      <c r="E265" t="s">
        <v>11</v>
      </c>
      <c r="F265">
        <v>0.7</v>
      </c>
    </row>
    <row r="266" spans="1:6" x14ac:dyDescent="0.25">
      <c r="A266">
        <v>2053</v>
      </c>
      <c r="B266">
        <v>0.43767353165522499</v>
      </c>
      <c r="C266">
        <v>-3.7699807303348917E-2</v>
      </c>
      <c r="D266">
        <v>0.39997372435187611</v>
      </c>
      <c r="E266" t="s">
        <v>11</v>
      </c>
      <c r="F266">
        <v>0.7</v>
      </c>
    </row>
    <row r="267" spans="1:6" x14ac:dyDescent="0.25">
      <c r="A267">
        <v>2054</v>
      </c>
      <c r="B267">
        <v>0.43767353165522499</v>
      </c>
      <c r="C267">
        <v>0.1160541187497562</v>
      </c>
      <c r="D267">
        <v>0.55372765040498118</v>
      </c>
      <c r="E267" t="s">
        <v>11</v>
      </c>
      <c r="F267">
        <v>0.7</v>
      </c>
    </row>
    <row r="268" spans="1:6" x14ac:dyDescent="0.25">
      <c r="A268">
        <v>2055</v>
      </c>
      <c r="B268">
        <v>0.43767353165522499</v>
      </c>
      <c r="C268">
        <v>-8.4566591326756075E-4</v>
      </c>
      <c r="D268">
        <v>0.43682786574195748</v>
      </c>
      <c r="E268" t="s">
        <v>11</v>
      </c>
      <c r="F268">
        <v>0.7</v>
      </c>
    </row>
    <row r="269" spans="1:6" x14ac:dyDescent="0.25">
      <c r="A269">
        <v>2056</v>
      </c>
      <c r="B269">
        <v>0.43767353165522499</v>
      </c>
      <c r="C269">
        <v>-6.627066645742849E-2</v>
      </c>
      <c r="D269">
        <v>0.37140286519779658</v>
      </c>
      <c r="E269" t="s">
        <v>11</v>
      </c>
      <c r="F269">
        <v>0.7</v>
      </c>
    </row>
    <row r="270" spans="1:6" x14ac:dyDescent="0.25">
      <c r="A270">
        <v>2057</v>
      </c>
      <c r="B270">
        <v>0.43767353165522499</v>
      </c>
      <c r="C270">
        <v>5.1536386761224448E-2</v>
      </c>
      <c r="D270">
        <v>0.48920991841644951</v>
      </c>
      <c r="E270" t="s">
        <v>11</v>
      </c>
      <c r="F270">
        <v>0.7</v>
      </c>
    </row>
    <row r="271" spans="1:6" x14ac:dyDescent="0.25">
      <c r="A271">
        <v>2058</v>
      </c>
      <c r="B271">
        <v>0.43767353165522499</v>
      </c>
      <c r="C271">
        <v>-7.6491714426893717E-2</v>
      </c>
      <c r="D271">
        <v>0.36118181722833131</v>
      </c>
      <c r="E271" t="s">
        <v>11</v>
      </c>
      <c r="F271">
        <v>0.7</v>
      </c>
    </row>
    <row r="272" spans="1:6" x14ac:dyDescent="0.25">
      <c r="A272">
        <v>2059</v>
      </c>
      <c r="B272">
        <v>0.43767353165522499</v>
      </c>
      <c r="C272">
        <v>1.308630672212396E-2</v>
      </c>
      <c r="D272">
        <v>0.45075983837734901</v>
      </c>
      <c r="E272" t="s">
        <v>11</v>
      </c>
      <c r="F272">
        <v>0.7</v>
      </c>
    </row>
    <row r="273" spans="1:6" x14ac:dyDescent="0.25">
      <c r="A273">
        <v>2060</v>
      </c>
      <c r="B273">
        <v>0.43767353165522499</v>
      </c>
      <c r="C273">
        <v>-0.122782739206847</v>
      </c>
      <c r="D273">
        <v>0.31489079244837798</v>
      </c>
      <c r="E273" t="s">
        <v>11</v>
      </c>
      <c r="F273">
        <v>0.7</v>
      </c>
    </row>
    <row r="274" spans="1:6" x14ac:dyDescent="0.25">
      <c r="A274">
        <v>2061</v>
      </c>
      <c r="B274">
        <v>0.43767353165522499</v>
      </c>
      <c r="C274">
        <v>-8.3217230937421421E-2</v>
      </c>
      <c r="D274">
        <v>0.3544563007178036</v>
      </c>
      <c r="E274" t="s">
        <v>11</v>
      </c>
      <c r="F274">
        <v>0.7</v>
      </c>
    </row>
    <row r="275" spans="1:6" x14ac:dyDescent="0.25">
      <c r="A275">
        <v>2062</v>
      </c>
      <c r="B275">
        <v>0.43767353165522499</v>
      </c>
      <c r="C275">
        <v>1.2334301313836371E-2</v>
      </c>
      <c r="D275">
        <v>0.45000783296906138</v>
      </c>
      <c r="E275" t="s">
        <v>11</v>
      </c>
      <c r="F275">
        <v>0.7</v>
      </c>
    </row>
    <row r="276" spans="1:6" x14ac:dyDescent="0.25">
      <c r="A276">
        <v>2063</v>
      </c>
      <c r="B276">
        <v>0.43767353165522499</v>
      </c>
      <c r="C276">
        <v>4.6268475698878028E-2</v>
      </c>
      <c r="D276">
        <v>0.48394200735410309</v>
      </c>
      <c r="E276" t="s">
        <v>11</v>
      </c>
      <c r="F276">
        <v>0.7</v>
      </c>
    </row>
    <row r="277" spans="1:6" x14ac:dyDescent="0.25">
      <c r="A277">
        <v>2064</v>
      </c>
      <c r="B277">
        <v>0.43767353165522499</v>
      </c>
      <c r="C277">
        <v>1.0737045343129709E-2</v>
      </c>
      <c r="D277">
        <v>0.44841057699835479</v>
      </c>
      <c r="E277" t="s">
        <v>11</v>
      </c>
      <c r="F277">
        <v>0.7</v>
      </c>
    </row>
    <row r="278" spans="1:6" x14ac:dyDescent="0.25">
      <c r="A278">
        <v>2065</v>
      </c>
      <c r="B278">
        <v>0.43767353165522499</v>
      </c>
      <c r="C278">
        <v>-7.2459199755939476E-3</v>
      </c>
      <c r="D278">
        <v>0.43042761167963112</v>
      </c>
      <c r="E278" t="s">
        <v>11</v>
      </c>
      <c r="F278">
        <v>0.7</v>
      </c>
    </row>
    <row r="279" spans="1:6" x14ac:dyDescent="0.25">
      <c r="A279">
        <v>2066</v>
      </c>
      <c r="B279">
        <v>0.43767353165522499</v>
      </c>
      <c r="C279">
        <v>-1.8865591754066869E-2</v>
      </c>
      <c r="D279">
        <v>0.41880793990115822</v>
      </c>
      <c r="E279" t="s">
        <v>11</v>
      </c>
      <c r="F279">
        <v>0.7</v>
      </c>
    </row>
    <row r="280" spans="1:6" x14ac:dyDescent="0.25">
      <c r="A280">
        <v>2067</v>
      </c>
      <c r="B280">
        <v>0.43767353165522499</v>
      </c>
      <c r="C280">
        <v>-9.2636499246854548E-2</v>
      </c>
      <c r="D280">
        <v>0.34503703240837053</v>
      </c>
      <c r="E280" t="s">
        <v>11</v>
      </c>
      <c r="F280">
        <v>0.7</v>
      </c>
    </row>
    <row r="281" spans="1:6" x14ac:dyDescent="0.25">
      <c r="A281">
        <v>2068</v>
      </c>
      <c r="B281">
        <v>0.43767353165522499</v>
      </c>
      <c r="C281">
        <v>-4.5101694735184453E-2</v>
      </c>
      <c r="D281">
        <v>0.39257183692004061</v>
      </c>
      <c r="E281" t="s">
        <v>11</v>
      </c>
      <c r="F281">
        <v>0.7</v>
      </c>
    </row>
    <row r="282" spans="1:6" x14ac:dyDescent="0.25">
      <c r="A282">
        <v>2069</v>
      </c>
      <c r="B282">
        <v>0.43767353165522499</v>
      </c>
      <c r="C282">
        <v>-2.8861229956061701E-2</v>
      </c>
      <c r="D282">
        <v>0.40881230169916333</v>
      </c>
      <c r="E282" t="s">
        <v>11</v>
      </c>
      <c r="F282">
        <v>0.7</v>
      </c>
    </row>
    <row r="283" spans="1:6" x14ac:dyDescent="0.25">
      <c r="A283">
        <v>2070</v>
      </c>
      <c r="B283">
        <v>0.43767353165522499</v>
      </c>
      <c r="C283">
        <v>6.623378140532471E-2</v>
      </c>
      <c r="D283">
        <v>0.50390731306054981</v>
      </c>
      <c r="E283" t="s">
        <v>11</v>
      </c>
      <c r="F283">
        <v>0.7</v>
      </c>
    </row>
    <row r="284" spans="1:6" x14ac:dyDescent="0.25">
      <c r="A284">
        <v>2071</v>
      </c>
      <c r="B284">
        <v>0.43767353165522499</v>
      </c>
      <c r="C284">
        <v>2.1529335126698902E-2</v>
      </c>
      <c r="D284">
        <v>0.4592028667819239</v>
      </c>
      <c r="E284" t="s">
        <v>11</v>
      </c>
      <c r="F284">
        <v>0.7</v>
      </c>
    </row>
    <row r="285" spans="1:6" x14ac:dyDescent="0.25">
      <c r="A285">
        <v>2072</v>
      </c>
      <c r="B285">
        <v>0.43767353165522499</v>
      </c>
      <c r="C285">
        <v>-0.11046292790264629</v>
      </c>
      <c r="D285">
        <v>0.32721060375257871</v>
      </c>
      <c r="E285" t="s">
        <v>11</v>
      </c>
      <c r="F285">
        <v>0.7</v>
      </c>
    </row>
    <row r="286" spans="1:6" x14ac:dyDescent="0.25">
      <c r="A286">
        <v>2073</v>
      </c>
      <c r="B286">
        <v>0.43767353165522499</v>
      </c>
      <c r="C286">
        <v>2.030541620777503E-2</v>
      </c>
      <c r="D286">
        <v>0.45797894786300009</v>
      </c>
      <c r="E286" t="s">
        <v>11</v>
      </c>
      <c r="F286">
        <v>0.7</v>
      </c>
    </row>
    <row r="287" spans="1:6" x14ac:dyDescent="0.25">
      <c r="A287">
        <v>2074</v>
      </c>
      <c r="B287">
        <v>0.43767353165522499</v>
      </c>
      <c r="C287">
        <v>-2.4127253170511259E-2</v>
      </c>
      <c r="D287">
        <v>0.41354627848471381</v>
      </c>
      <c r="E287" t="s">
        <v>11</v>
      </c>
      <c r="F287">
        <v>0.7</v>
      </c>
    </row>
    <row r="288" spans="1:6" x14ac:dyDescent="0.25">
      <c r="A288">
        <v>2075</v>
      </c>
      <c r="B288">
        <v>0.43767353165522499</v>
      </c>
      <c r="C288">
        <v>-4.241241238213761E-2</v>
      </c>
      <c r="D288">
        <v>0.39526111927308738</v>
      </c>
      <c r="E288" t="s">
        <v>11</v>
      </c>
      <c r="F288">
        <v>0.7</v>
      </c>
    </row>
    <row r="289" spans="1:6" x14ac:dyDescent="0.25">
      <c r="A289">
        <v>2076</v>
      </c>
      <c r="B289">
        <v>0.43767353165522499</v>
      </c>
      <c r="C289">
        <v>3.8324455395110077E-2</v>
      </c>
      <c r="D289">
        <v>0.47599798705033508</v>
      </c>
      <c r="E289" t="s">
        <v>11</v>
      </c>
      <c r="F289">
        <v>0.7</v>
      </c>
    </row>
    <row r="290" spans="1:6" x14ac:dyDescent="0.25">
      <c r="A290">
        <v>2077</v>
      </c>
      <c r="B290">
        <v>0.43767353165522499</v>
      </c>
      <c r="C290">
        <v>6.459706863437914E-2</v>
      </c>
      <c r="D290">
        <v>0.50227060028960424</v>
      </c>
      <c r="E290" t="s">
        <v>11</v>
      </c>
      <c r="F290">
        <v>0.7</v>
      </c>
    </row>
    <row r="291" spans="1:6" x14ac:dyDescent="0.25">
      <c r="A291">
        <v>2078</v>
      </c>
      <c r="B291">
        <v>0.43767353165522499</v>
      </c>
      <c r="C291">
        <v>5.8349169383459257E-2</v>
      </c>
      <c r="D291">
        <v>0.49602270103868429</v>
      </c>
      <c r="E291" t="s">
        <v>11</v>
      </c>
      <c r="F291">
        <v>0.7</v>
      </c>
    </row>
    <row r="292" spans="1:6" x14ac:dyDescent="0.25">
      <c r="A292">
        <v>2079</v>
      </c>
      <c r="B292">
        <v>0.43767353165522499</v>
      </c>
      <c r="C292">
        <v>-5.2581005872385712E-2</v>
      </c>
      <c r="D292">
        <v>0.38509252578283942</v>
      </c>
      <c r="E292" t="s">
        <v>11</v>
      </c>
      <c r="F292">
        <v>0.7</v>
      </c>
    </row>
    <row r="293" spans="1:6" x14ac:dyDescent="0.25">
      <c r="A293">
        <v>2080</v>
      </c>
      <c r="B293">
        <v>0.43767353165522499</v>
      </c>
      <c r="C293">
        <v>-1.9373639492193648E-2</v>
      </c>
      <c r="D293">
        <v>0.41829989216303137</v>
      </c>
      <c r="E293" t="s">
        <v>11</v>
      </c>
      <c r="F293">
        <v>0.7</v>
      </c>
    </row>
    <row r="294" spans="1:6" x14ac:dyDescent="0.25">
      <c r="A294">
        <v>2081</v>
      </c>
      <c r="B294">
        <v>0.43767353165522499</v>
      </c>
      <c r="C294">
        <v>2.075524396231717E-2</v>
      </c>
      <c r="D294">
        <v>0.45842877561754219</v>
      </c>
      <c r="E294" t="s">
        <v>11</v>
      </c>
      <c r="F294">
        <v>0.7</v>
      </c>
    </row>
    <row r="295" spans="1:6" x14ac:dyDescent="0.25">
      <c r="A295">
        <v>2082</v>
      </c>
      <c r="B295">
        <v>0.43767353165522499</v>
      </c>
      <c r="C295">
        <v>6.112258459644887E-2</v>
      </c>
      <c r="D295">
        <v>0.49879611625167403</v>
      </c>
      <c r="E295" t="s">
        <v>11</v>
      </c>
      <c r="F295">
        <v>0.7</v>
      </c>
    </row>
    <row r="296" spans="1:6" x14ac:dyDescent="0.25">
      <c r="A296">
        <v>2083</v>
      </c>
      <c r="B296">
        <v>0.43767353165522499</v>
      </c>
      <c r="C296">
        <v>-3.0022565922226279E-2</v>
      </c>
      <c r="D296">
        <v>0.40765096573299869</v>
      </c>
      <c r="E296" t="s">
        <v>11</v>
      </c>
      <c r="F296">
        <v>0.7</v>
      </c>
    </row>
    <row r="297" spans="1:6" x14ac:dyDescent="0.25">
      <c r="A297">
        <v>2084</v>
      </c>
      <c r="B297">
        <v>0.43767353165522499</v>
      </c>
      <c r="C297">
        <v>-1.1632426006471099E-2</v>
      </c>
      <c r="D297">
        <v>0.42604110564875403</v>
      </c>
      <c r="E297" t="s">
        <v>11</v>
      </c>
      <c r="F297">
        <v>0.7</v>
      </c>
    </row>
    <row r="298" spans="1:6" x14ac:dyDescent="0.25">
      <c r="A298">
        <v>2085</v>
      </c>
      <c r="B298">
        <v>0.43767353165522499</v>
      </c>
      <c r="C298">
        <v>-6.9317196263553191E-2</v>
      </c>
      <c r="D298">
        <v>0.3683563353916719</v>
      </c>
      <c r="E298" t="s">
        <v>11</v>
      </c>
      <c r="F298">
        <v>0.7</v>
      </c>
    </row>
    <row r="299" spans="1:6" x14ac:dyDescent="0.25">
      <c r="A299">
        <v>2086</v>
      </c>
      <c r="B299">
        <v>0.43767353165522499</v>
      </c>
      <c r="C299">
        <v>-7.4948086503058037E-2</v>
      </c>
      <c r="D299">
        <v>0.36272544515216698</v>
      </c>
      <c r="E299" t="s">
        <v>11</v>
      </c>
      <c r="F299">
        <v>0.7</v>
      </c>
    </row>
    <row r="300" spans="1:6" x14ac:dyDescent="0.25">
      <c r="A300">
        <v>2087</v>
      </c>
      <c r="B300">
        <v>0.43767353165522499</v>
      </c>
      <c r="C300">
        <v>5.0908642701732683E-2</v>
      </c>
      <c r="D300">
        <v>0.48858217435695772</v>
      </c>
      <c r="E300" t="s">
        <v>11</v>
      </c>
      <c r="F300">
        <v>0.7</v>
      </c>
    </row>
    <row r="301" spans="1:6" x14ac:dyDescent="0.25">
      <c r="A301">
        <v>2088</v>
      </c>
      <c r="B301">
        <v>0.43767353165522499</v>
      </c>
      <c r="C301">
        <v>8.4974947416259189E-2</v>
      </c>
      <c r="D301">
        <v>0.52264847907148426</v>
      </c>
      <c r="E301" t="s">
        <v>11</v>
      </c>
      <c r="F301">
        <v>0.7</v>
      </c>
    </row>
    <row r="302" spans="1:6" x14ac:dyDescent="0.25">
      <c r="A302">
        <v>2089</v>
      </c>
      <c r="B302">
        <v>0.43767353165522499</v>
      </c>
      <c r="C302">
        <v>-4.5117797482908924E-3</v>
      </c>
      <c r="D302">
        <v>0.43316175190693418</v>
      </c>
      <c r="E302" t="s">
        <v>11</v>
      </c>
      <c r="F302">
        <v>0.7</v>
      </c>
    </row>
    <row r="303" spans="1:6" x14ac:dyDescent="0.25">
      <c r="A303">
        <v>2090</v>
      </c>
      <c r="B303">
        <v>0.43767353165522499</v>
      </c>
      <c r="C303">
        <v>6.2876152769743954E-2</v>
      </c>
      <c r="D303">
        <v>0.50054968442496905</v>
      </c>
      <c r="E303" t="s">
        <v>11</v>
      </c>
      <c r="F303">
        <v>0.7</v>
      </c>
    </row>
    <row r="304" spans="1:6" x14ac:dyDescent="0.25">
      <c r="A304">
        <v>2091</v>
      </c>
      <c r="B304">
        <v>0.43767353165522499</v>
      </c>
      <c r="C304">
        <v>2.265823273527056E-2</v>
      </c>
      <c r="D304">
        <v>0.46033176439049561</v>
      </c>
      <c r="E304" t="s">
        <v>11</v>
      </c>
      <c r="F304">
        <v>0.7</v>
      </c>
    </row>
    <row r="305" spans="1:6" x14ac:dyDescent="0.25">
      <c r="A305">
        <v>2092</v>
      </c>
      <c r="B305">
        <v>0.43767353165522499</v>
      </c>
      <c r="C305">
        <v>-4.0419849045841533E-2</v>
      </c>
      <c r="D305">
        <v>0.39725368260938348</v>
      </c>
      <c r="E305" t="s">
        <v>11</v>
      </c>
      <c r="F305">
        <v>0.7</v>
      </c>
    </row>
    <row r="306" spans="1:6" x14ac:dyDescent="0.25">
      <c r="A306">
        <v>2093</v>
      </c>
      <c r="B306">
        <v>0.43767353165522499</v>
      </c>
      <c r="C306">
        <v>2.2643169297182391E-2</v>
      </c>
      <c r="D306">
        <v>0.46031670095240751</v>
      </c>
      <c r="E306" t="s">
        <v>11</v>
      </c>
      <c r="F306">
        <v>0.7</v>
      </c>
    </row>
    <row r="307" spans="1:6" x14ac:dyDescent="0.25">
      <c r="A307">
        <v>2094</v>
      </c>
      <c r="B307">
        <v>0.43767353165522499</v>
      </c>
      <c r="C307">
        <v>9.636537309509495E-2</v>
      </c>
      <c r="D307">
        <v>0.53403890475032001</v>
      </c>
      <c r="E307" t="s">
        <v>11</v>
      </c>
      <c r="F307">
        <v>0.7</v>
      </c>
    </row>
    <row r="308" spans="1:6" x14ac:dyDescent="0.25">
      <c r="A308">
        <v>2095</v>
      </c>
      <c r="B308">
        <v>0.43767353165522499</v>
      </c>
      <c r="C308">
        <v>-2.2446733066188969E-3</v>
      </c>
      <c r="D308">
        <v>0.43542885834860612</v>
      </c>
      <c r="E308" t="s">
        <v>11</v>
      </c>
      <c r="F308">
        <v>0.7</v>
      </c>
    </row>
    <row r="309" spans="1:6" x14ac:dyDescent="0.25">
      <c r="A309">
        <v>2096</v>
      </c>
      <c r="B309">
        <v>0.43767353165522499</v>
      </c>
      <c r="C309">
        <v>9.803243495038591E-2</v>
      </c>
      <c r="D309">
        <v>0.53570596660561087</v>
      </c>
      <c r="E309" t="s">
        <v>11</v>
      </c>
      <c r="F309">
        <v>0.7</v>
      </c>
    </row>
    <row r="310" spans="1:6" x14ac:dyDescent="0.25">
      <c r="A310">
        <v>2097</v>
      </c>
      <c r="B310">
        <v>0.43767353165522499</v>
      </c>
      <c r="C310">
        <v>-0.16413960491832191</v>
      </c>
      <c r="D310">
        <v>0.27353392673690308</v>
      </c>
      <c r="E310" t="s">
        <v>11</v>
      </c>
      <c r="F310">
        <v>0.7</v>
      </c>
    </row>
    <row r="311" spans="1:6" x14ac:dyDescent="0.25">
      <c r="A311">
        <v>2098</v>
      </c>
      <c r="B311">
        <v>0.43767353165522499</v>
      </c>
      <c r="C311">
        <v>5.1496136833664677E-2</v>
      </c>
      <c r="D311">
        <v>0.48916966848888971</v>
      </c>
      <c r="E311" t="s">
        <v>11</v>
      </c>
      <c r="F311">
        <v>0.7</v>
      </c>
    </row>
    <row r="312" spans="1:6" x14ac:dyDescent="0.25">
      <c r="A312">
        <v>2099</v>
      </c>
      <c r="B312">
        <v>0.43767353165522499</v>
      </c>
      <c r="C312">
        <v>5.4539166301356976E-3</v>
      </c>
      <c r="D312">
        <v>0.44312744828536083</v>
      </c>
      <c r="E312" t="s">
        <v>11</v>
      </c>
      <c r="F312">
        <v>0.7</v>
      </c>
    </row>
    <row r="313" spans="1:6" x14ac:dyDescent="0.25">
      <c r="A313">
        <v>2100</v>
      </c>
      <c r="B313">
        <v>0.43767353165522499</v>
      </c>
      <c r="C313">
        <v>-1.8734245670131579E-2</v>
      </c>
      <c r="D313">
        <v>0.4189392859850935</v>
      </c>
      <c r="E313" t="s">
        <v>11</v>
      </c>
      <c r="F313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9"/>
  <sheetViews>
    <sheetView topLeftCell="A52" workbookViewId="0"/>
  </sheetViews>
  <sheetFormatPr defaultRowHeight="15" x14ac:dyDescent="0.25"/>
  <sheetData>
    <row r="1" spans="1:5" x14ac:dyDescent="0.2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2023</v>
      </c>
      <c r="B2">
        <v>0.66970722492853785</v>
      </c>
      <c r="C2">
        <v>0.56925114118925713</v>
      </c>
      <c r="D2">
        <v>0.77016330866781846</v>
      </c>
      <c r="E2">
        <v>0.46879505744997652</v>
      </c>
    </row>
    <row r="3" spans="1:5" x14ac:dyDescent="0.25">
      <c r="A3">
        <v>2024</v>
      </c>
      <c r="B3">
        <v>0.61287229935917586</v>
      </c>
      <c r="C3">
        <v>0.52094145445529949</v>
      </c>
      <c r="D3">
        <v>0.70480314426305224</v>
      </c>
      <c r="E3">
        <v>0.42901060955142312</v>
      </c>
    </row>
    <row r="4" spans="1:5" x14ac:dyDescent="0.25">
      <c r="A4">
        <v>2025</v>
      </c>
      <c r="B4">
        <v>0.68322046759515365</v>
      </c>
      <c r="C4">
        <v>0.5807373974558806</v>
      </c>
      <c r="D4">
        <v>0.78570353773442658</v>
      </c>
      <c r="E4">
        <v>0.4782543273166075</v>
      </c>
    </row>
    <row r="5" spans="1:5" x14ac:dyDescent="0.25">
      <c r="A5">
        <v>2026</v>
      </c>
      <c r="B5">
        <v>0.76156951762369562</v>
      </c>
      <c r="C5">
        <v>0.6473340899801413</v>
      </c>
      <c r="D5">
        <v>0.87580494526724995</v>
      </c>
      <c r="E5">
        <v>0.53309866233658687</v>
      </c>
    </row>
    <row r="6" spans="1:5" x14ac:dyDescent="0.25">
      <c r="A6">
        <v>2027</v>
      </c>
      <c r="B6">
        <v>0.60428956978409332</v>
      </c>
      <c r="C6">
        <v>0.51364613431647932</v>
      </c>
      <c r="D6">
        <v>0.69493300525170731</v>
      </c>
      <c r="E6">
        <v>0.42300269884886532</v>
      </c>
    </row>
    <row r="7" spans="1:5" x14ac:dyDescent="0.25">
      <c r="A7">
        <v>2028</v>
      </c>
      <c r="B7">
        <v>0.60429103928745365</v>
      </c>
      <c r="C7">
        <v>0.51364738339433558</v>
      </c>
      <c r="D7">
        <v>0.6949346951805716</v>
      </c>
      <c r="E7">
        <v>0.42300372750121751</v>
      </c>
    </row>
    <row r="8" spans="1:5" x14ac:dyDescent="0.25">
      <c r="A8">
        <v>2029</v>
      </c>
      <c r="B8">
        <v>0.76659827769838262</v>
      </c>
      <c r="C8">
        <v>0.65160853604362523</v>
      </c>
      <c r="D8">
        <v>0.88158801935313991</v>
      </c>
      <c r="E8">
        <v>0.53661879438886784</v>
      </c>
    </row>
    <row r="9" spans="1:5" x14ac:dyDescent="0.25">
      <c r="A9">
        <v>2030</v>
      </c>
      <c r="B9">
        <v>0.69393857276996673</v>
      </c>
      <c r="C9">
        <v>0.5898477868544717</v>
      </c>
      <c r="D9">
        <v>0.79802935868546165</v>
      </c>
      <c r="E9">
        <v>0.48575700093897672</v>
      </c>
    </row>
    <row r="10" spans="1:5" x14ac:dyDescent="0.25">
      <c r="A10">
        <v>2031</v>
      </c>
      <c r="B10">
        <v>0.58322672573162893</v>
      </c>
      <c r="C10">
        <v>0.49574271687188459</v>
      </c>
      <c r="D10">
        <v>0.6707107345913732</v>
      </c>
      <c r="E10">
        <v>0.4082587080121402</v>
      </c>
    </row>
    <row r="11" spans="1:5" x14ac:dyDescent="0.25">
      <c r="A11">
        <v>2032</v>
      </c>
      <c r="B11">
        <v>0.67381074649106232</v>
      </c>
      <c r="C11">
        <v>0.57273913451740299</v>
      </c>
      <c r="D11">
        <v>0.77488235846472164</v>
      </c>
      <c r="E11">
        <v>0.47166752254374361</v>
      </c>
    </row>
    <row r="12" spans="1:5" x14ac:dyDescent="0.25">
      <c r="A12">
        <v>2033</v>
      </c>
      <c r="B12">
        <v>0.5837688412956229</v>
      </c>
      <c r="C12">
        <v>0.49620351510127952</v>
      </c>
      <c r="D12">
        <v>0.67133416748996633</v>
      </c>
      <c r="E12">
        <v>0.40863818890693598</v>
      </c>
    </row>
    <row r="13" spans="1:5" x14ac:dyDescent="0.25">
      <c r="A13">
        <v>2034</v>
      </c>
      <c r="B13">
        <v>0.58356189600446295</v>
      </c>
      <c r="C13">
        <v>0.49602761160379349</v>
      </c>
      <c r="D13">
        <v>0.6710961804051323</v>
      </c>
      <c r="E13">
        <v>0.40849332720312398</v>
      </c>
    </row>
    <row r="14" spans="1:5" x14ac:dyDescent="0.25">
      <c r="A14">
        <v>2035</v>
      </c>
      <c r="B14">
        <v>0.64690518475658376</v>
      </c>
      <c r="C14">
        <v>0.54986940704309617</v>
      </c>
      <c r="D14">
        <v>0.74394096247007124</v>
      </c>
      <c r="E14">
        <v>0.45283362932960858</v>
      </c>
    </row>
    <row r="15" spans="1:5" x14ac:dyDescent="0.25">
      <c r="A15">
        <v>2036</v>
      </c>
      <c r="B15">
        <v>0.45399620148844277</v>
      </c>
      <c r="C15">
        <v>0.38589677126517641</v>
      </c>
      <c r="D15">
        <v>0.52209563171170914</v>
      </c>
      <c r="E15">
        <v>0.31779734104190988</v>
      </c>
    </row>
    <row r="16" spans="1:5" x14ac:dyDescent="0.25">
      <c r="A16">
        <v>2037</v>
      </c>
      <c r="B16">
        <v>0.47085592893871903</v>
      </c>
      <c r="C16">
        <v>0.40022753959791108</v>
      </c>
      <c r="D16">
        <v>0.54148431827952681</v>
      </c>
      <c r="E16">
        <v>0.32959915025710318</v>
      </c>
    </row>
    <row r="17" spans="1:5" x14ac:dyDescent="0.25">
      <c r="A17">
        <v>2038</v>
      </c>
      <c r="B17">
        <v>0.57491931300461252</v>
      </c>
      <c r="C17">
        <v>0.48868141605392063</v>
      </c>
      <c r="D17">
        <v>0.66115720995530436</v>
      </c>
      <c r="E17">
        <v>0.40244351910322868</v>
      </c>
    </row>
    <row r="18" spans="1:5" x14ac:dyDescent="0.25">
      <c r="A18">
        <v>2039</v>
      </c>
      <c r="B18">
        <v>0.53459257231461565</v>
      </c>
      <c r="C18">
        <v>0.4544036864674233</v>
      </c>
      <c r="D18">
        <v>0.61478145816180796</v>
      </c>
      <c r="E18">
        <v>0.37421480062023088</v>
      </c>
    </row>
    <row r="19" spans="1:5" x14ac:dyDescent="0.25">
      <c r="A19">
        <v>2040</v>
      </c>
      <c r="B19">
        <v>0.65337519336288108</v>
      </c>
      <c r="C19">
        <v>0.55536891435844893</v>
      </c>
      <c r="D19">
        <v>0.75138147236731323</v>
      </c>
      <c r="E19">
        <v>0.45736263535401672</v>
      </c>
    </row>
    <row r="20" spans="1:5" x14ac:dyDescent="0.25">
      <c r="A20">
        <v>2041</v>
      </c>
      <c r="B20">
        <v>0.54397352146630529</v>
      </c>
      <c r="C20">
        <v>0.46237749324635952</v>
      </c>
      <c r="D20">
        <v>0.625569549686251</v>
      </c>
      <c r="E20">
        <v>0.38078146502641369</v>
      </c>
    </row>
    <row r="21" spans="1:5" x14ac:dyDescent="0.25">
      <c r="A21">
        <v>2042</v>
      </c>
      <c r="B21">
        <v>0.49883703721158867</v>
      </c>
      <c r="C21">
        <v>0.42401148162985042</v>
      </c>
      <c r="D21">
        <v>0.57366259279332699</v>
      </c>
      <c r="E21">
        <v>0.34918592604811199</v>
      </c>
    </row>
    <row r="22" spans="1:5" x14ac:dyDescent="0.25">
      <c r="A22">
        <v>2043</v>
      </c>
      <c r="B22">
        <v>0.7564335168430365</v>
      </c>
      <c r="C22">
        <v>0.64296848931658102</v>
      </c>
      <c r="D22">
        <v>0.86989854436949188</v>
      </c>
      <c r="E22">
        <v>0.52950346179012553</v>
      </c>
    </row>
    <row r="23" spans="1:5" x14ac:dyDescent="0.25">
      <c r="A23">
        <v>2044</v>
      </c>
      <c r="B23">
        <v>0.60503937536820651</v>
      </c>
      <c r="C23">
        <v>0.51428346906297551</v>
      </c>
      <c r="D23">
        <v>0.6957952816734374</v>
      </c>
      <c r="E23">
        <v>0.42352756275774461</v>
      </c>
    </row>
    <row r="24" spans="1:5" x14ac:dyDescent="0.25">
      <c r="A24">
        <v>2045</v>
      </c>
      <c r="B24">
        <v>0.63129213971154596</v>
      </c>
      <c r="C24">
        <v>0.53659831875481401</v>
      </c>
      <c r="D24">
        <v>0.72598596066827781</v>
      </c>
      <c r="E24">
        <v>0.44190449779808222</v>
      </c>
    </row>
    <row r="25" spans="1:5" x14ac:dyDescent="0.25">
      <c r="A25">
        <v>2046</v>
      </c>
      <c r="B25">
        <v>0.49772317048565351</v>
      </c>
      <c r="C25">
        <v>0.42306469491280552</v>
      </c>
      <c r="D25">
        <v>0.5723816460585015</v>
      </c>
      <c r="E25">
        <v>0.34840621933995741</v>
      </c>
    </row>
    <row r="26" spans="1:5" x14ac:dyDescent="0.25">
      <c r="A26">
        <v>2047</v>
      </c>
      <c r="B26">
        <v>0.57652191579633416</v>
      </c>
      <c r="C26">
        <v>0.49004362842688398</v>
      </c>
      <c r="D26">
        <v>0.66300020316578423</v>
      </c>
      <c r="E26">
        <v>0.40356534105743391</v>
      </c>
    </row>
    <row r="27" spans="1:5" x14ac:dyDescent="0.25">
      <c r="A27">
        <v>2048</v>
      </c>
      <c r="B27">
        <v>0.63517623471761342</v>
      </c>
      <c r="C27">
        <v>0.53989979950997136</v>
      </c>
      <c r="D27">
        <v>0.73045266992525537</v>
      </c>
      <c r="E27">
        <v>0.44462336430232929</v>
      </c>
    </row>
    <row r="28" spans="1:5" x14ac:dyDescent="0.25">
      <c r="A28">
        <v>2049</v>
      </c>
      <c r="B28">
        <v>0.52222608505296464</v>
      </c>
      <c r="C28">
        <v>0.44389217229501993</v>
      </c>
      <c r="D28">
        <v>0.6005599978109093</v>
      </c>
      <c r="E28">
        <v>0.36555825953707521</v>
      </c>
    </row>
    <row r="29" spans="1:5" x14ac:dyDescent="0.25">
      <c r="A29">
        <v>2050</v>
      </c>
      <c r="B29">
        <v>0.65887545109258161</v>
      </c>
      <c r="C29">
        <v>0.5600441334286943</v>
      </c>
      <c r="D29">
        <v>0.75770676875646881</v>
      </c>
      <c r="E29">
        <v>0.4612128157648071</v>
      </c>
    </row>
    <row r="30" spans="1:5" x14ac:dyDescent="0.25">
      <c r="A30">
        <v>2051</v>
      </c>
      <c r="B30">
        <v>0.57148662115772175</v>
      </c>
      <c r="C30">
        <v>0.48576362798406347</v>
      </c>
      <c r="D30">
        <v>0.65720961433137992</v>
      </c>
      <c r="E30">
        <v>0.40004063481040519</v>
      </c>
    </row>
    <row r="31" spans="1:5" x14ac:dyDescent="0.25">
      <c r="A31">
        <v>2052</v>
      </c>
      <c r="B31">
        <v>0.59913931167251055</v>
      </c>
      <c r="C31">
        <v>0.50926841492163399</v>
      </c>
      <c r="D31">
        <v>0.68901020842338712</v>
      </c>
      <c r="E31">
        <v>0.41939751817075738</v>
      </c>
    </row>
    <row r="32" spans="1:5" x14ac:dyDescent="0.25">
      <c r="A32">
        <v>2053</v>
      </c>
      <c r="B32">
        <v>0.57139103478839448</v>
      </c>
      <c r="C32">
        <v>0.48568237957013533</v>
      </c>
      <c r="D32">
        <v>0.65709969000665358</v>
      </c>
      <c r="E32">
        <v>0.39997372435187611</v>
      </c>
    </row>
    <row r="33" spans="1:5" x14ac:dyDescent="0.25">
      <c r="A33">
        <v>2054</v>
      </c>
      <c r="B33">
        <v>0.79103950057854466</v>
      </c>
      <c r="C33">
        <v>0.67238357549176297</v>
      </c>
      <c r="D33">
        <v>0.90969542566532624</v>
      </c>
      <c r="E33">
        <v>0.55372765040498118</v>
      </c>
    </row>
    <row r="34" spans="1:5" x14ac:dyDescent="0.25">
      <c r="A34">
        <v>2055</v>
      </c>
      <c r="B34">
        <v>0.62403980820279648</v>
      </c>
      <c r="C34">
        <v>0.530433836972377</v>
      </c>
      <c r="D34">
        <v>0.71764577943321595</v>
      </c>
      <c r="E34">
        <v>0.43682786574195748</v>
      </c>
    </row>
    <row r="35" spans="1:5" x14ac:dyDescent="0.25">
      <c r="A35">
        <v>2056</v>
      </c>
      <c r="B35">
        <v>0.53057552171113798</v>
      </c>
      <c r="C35">
        <v>0.45098919345446731</v>
      </c>
      <c r="D35">
        <v>0.61016184996780864</v>
      </c>
      <c r="E35">
        <v>0.37140286519779658</v>
      </c>
    </row>
    <row r="36" spans="1:5" x14ac:dyDescent="0.25">
      <c r="A36">
        <v>2057</v>
      </c>
      <c r="B36">
        <v>0.69887131202349928</v>
      </c>
      <c r="C36">
        <v>0.59404061521997442</v>
      </c>
      <c r="D36">
        <v>0.80370200882702414</v>
      </c>
      <c r="E36">
        <v>0.48920991841644951</v>
      </c>
    </row>
    <row r="37" spans="1:5" x14ac:dyDescent="0.25">
      <c r="A37">
        <v>2058</v>
      </c>
      <c r="B37">
        <v>0.51597402461190189</v>
      </c>
      <c r="C37">
        <v>0.4385779209201166</v>
      </c>
      <c r="D37">
        <v>0.59337012830368718</v>
      </c>
      <c r="E37">
        <v>0.36118181722833131</v>
      </c>
    </row>
    <row r="38" spans="1:5" x14ac:dyDescent="0.25">
      <c r="A38">
        <v>2059</v>
      </c>
      <c r="B38">
        <v>0.64394262625335574</v>
      </c>
      <c r="C38">
        <v>0.54735123231535232</v>
      </c>
      <c r="D38">
        <v>0.74053402019135905</v>
      </c>
      <c r="E38">
        <v>0.45075983837734901</v>
      </c>
    </row>
    <row r="39" spans="1:5" x14ac:dyDescent="0.25">
      <c r="A39">
        <v>2060</v>
      </c>
      <c r="B39">
        <v>0.44984398921196872</v>
      </c>
      <c r="C39">
        <v>0.38236739083017329</v>
      </c>
      <c r="D39">
        <v>0.51732058759376387</v>
      </c>
      <c r="E39">
        <v>0.31489079244837798</v>
      </c>
    </row>
    <row r="40" spans="1:5" x14ac:dyDescent="0.25">
      <c r="A40">
        <v>2061</v>
      </c>
      <c r="B40">
        <v>0.50636614388257661</v>
      </c>
      <c r="C40">
        <v>0.43041122230019008</v>
      </c>
      <c r="D40">
        <v>0.58232106546496309</v>
      </c>
      <c r="E40">
        <v>0.3544563007178036</v>
      </c>
    </row>
    <row r="41" spans="1:5" x14ac:dyDescent="0.25">
      <c r="A41">
        <v>2062</v>
      </c>
      <c r="B41">
        <v>0.64286833281294498</v>
      </c>
      <c r="C41">
        <v>0.54643808289100326</v>
      </c>
      <c r="D41">
        <v>0.73929858273488669</v>
      </c>
      <c r="E41">
        <v>0.45000783296906138</v>
      </c>
    </row>
    <row r="42" spans="1:5" x14ac:dyDescent="0.25">
      <c r="A42">
        <v>2063</v>
      </c>
      <c r="B42">
        <v>0.69134572479157586</v>
      </c>
      <c r="C42">
        <v>0.58764386607283947</v>
      </c>
      <c r="D42">
        <v>0.79504758351031213</v>
      </c>
      <c r="E42">
        <v>0.48394200735410309</v>
      </c>
    </row>
    <row r="43" spans="1:5" x14ac:dyDescent="0.25">
      <c r="A43">
        <v>2064</v>
      </c>
      <c r="B43">
        <v>0.64058653856907832</v>
      </c>
      <c r="C43">
        <v>0.54449855778371659</v>
      </c>
      <c r="D43">
        <v>0.73667451935444006</v>
      </c>
      <c r="E43">
        <v>0.44841057699835479</v>
      </c>
    </row>
    <row r="44" spans="1:5" x14ac:dyDescent="0.25">
      <c r="A44">
        <v>2065</v>
      </c>
      <c r="B44">
        <v>0.6148965881137588</v>
      </c>
      <c r="C44">
        <v>0.52266209989669499</v>
      </c>
      <c r="D44">
        <v>0.70713107633082262</v>
      </c>
      <c r="E44">
        <v>0.43042761167963112</v>
      </c>
    </row>
    <row r="45" spans="1:5" x14ac:dyDescent="0.25">
      <c r="A45">
        <v>2066</v>
      </c>
      <c r="B45">
        <v>0.59829705700165459</v>
      </c>
      <c r="C45">
        <v>0.50855249845140638</v>
      </c>
      <c r="D45">
        <v>0.68804161555190269</v>
      </c>
      <c r="E45">
        <v>0.41880793990115822</v>
      </c>
    </row>
    <row r="46" spans="1:5" x14ac:dyDescent="0.25">
      <c r="A46">
        <v>2067</v>
      </c>
      <c r="B46">
        <v>0.49291004629767221</v>
      </c>
      <c r="C46">
        <v>0.4189735393530214</v>
      </c>
      <c r="D46">
        <v>0.56684655324232303</v>
      </c>
      <c r="E46">
        <v>0.34503703240837053</v>
      </c>
    </row>
    <row r="47" spans="1:5" x14ac:dyDescent="0.25">
      <c r="A47">
        <v>2068</v>
      </c>
      <c r="B47">
        <v>0.56081690988577226</v>
      </c>
      <c r="C47">
        <v>0.47669437340290638</v>
      </c>
      <c r="D47">
        <v>0.64493944636863809</v>
      </c>
      <c r="E47">
        <v>0.39257183692004061</v>
      </c>
    </row>
    <row r="48" spans="1:5" x14ac:dyDescent="0.25">
      <c r="A48">
        <v>2069</v>
      </c>
      <c r="B48">
        <v>0.58401757385594766</v>
      </c>
      <c r="C48">
        <v>0.49641493777755552</v>
      </c>
      <c r="D48">
        <v>0.6716202099343398</v>
      </c>
      <c r="E48">
        <v>0.40881230169916333</v>
      </c>
    </row>
    <row r="49" spans="1:5" x14ac:dyDescent="0.25">
      <c r="A49">
        <v>2070</v>
      </c>
      <c r="B49">
        <v>0.7198675900864997</v>
      </c>
      <c r="C49">
        <v>0.61188745157352475</v>
      </c>
      <c r="D49">
        <v>0.82784772859947464</v>
      </c>
      <c r="E49">
        <v>0.50390731306054981</v>
      </c>
    </row>
    <row r="50" spans="1:5" x14ac:dyDescent="0.25">
      <c r="A50">
        <v>2071</v>
      </c>
      <c r="B50">
        <v>0.65600409540274851</v>
      </c>
      <c r="C50">
        <v>0.55760348109233626</v>
      </c>
      <c r="D50">
        <v>0.75440470971316076</v>
      </c>
      <c r="E50">
        <v>0.4592028667819239</v>
      </c>
    </row>
    <row r="51" spans="1:5" x14ac:dyDescent="0.25">
      <c r="A51">
        <v>2072</v>
      </c>
      <c r="B51">
        <v>0.46744371964654108</v>
      </c>
      <c r="C51">
        <v>0.39732716169955989</v>
      </c>
      <c r="D51">
        <v>0.53756027759352221</v>
      </c>
      <c r="E51">
        <v>0.32721060375257871</v>
      </c>
    </row>
    <row r="52" spans="1:5" x14ac:dyDescent="0.25">
      <c r="A52">
        <v>2073</v>
      </c>
      <c r="B52">
        <v>0.65425563980428592</v>
      </c>
      <c r="C52">
        <v>0.55611729383364306</v>
      </c>
      <c r="D52">
        <v>0.75239398577492878</v>
      </c>
      <c r="E52">
        <v>0.45797894786300009</v>
      </c>
    </row>
    <row r="53" spans="1:5" x14ac:dyDescent="0.25">
      <c r="A53">
        <v>2074</v>
      </c>
      <c r="B53">
        <v>0.59078039783530545</v>
      </c>
      <c r="C53">
        <v>0.50216333816000958</v>
      </c>
      <c r="D53">
        <v>0.67939745751060121</v>
      </c>
      <c r="E53">
        <v>0.41354627848471381</v>
      </c>
    </row>
    <row r="54" spans="1:5" x14ac:dyDescent="0.25">
      <c r="A54">
        <v>2075</v>
      </c>
      <c r="B54">
        <v>0.56465874181869635</v>
      </c>
      <c r="C54">
        <v>0.47995993054589192</v>
      </c>
      <c r="D54">
        <v>0.64935755309150078</v>
      </c>
      <c r="E54">
        <v>0.39526111927308738</v>
      </c>
    </row>
    <row r="55" spans="1:5" x14ac:dyDescent="0.25">
      <c r="A55">
        <v>2076</v>
      </c>
      <c r="B55">
        <v>0.67999712435762161</v>
      </c>
      <c r="C55">
        <v>0.57799755570397837</v>
      </c>
      <c r="D55">
        <v>0.78199669301126484</v>
      </c>
      <c r="E55">
        <v>0.47599798705033508</v>
      </c>
    </row>
    <row r="56" spans="1:5" x14ac:dyDescent="0.25">
      <c r="A56">
        <v>2077</v>
      </c>
      <c r="B56">
        <v>0.71752942898514893</v>
      </c>
      <c r="C56">
        <v>0.60990001463737653</v>
      </c>
      <c r="D56">
        <v>0.82515884333292122</v>
      </c>
      <c r="E56">
        <v>0.50227060028960424</v>
      </c>
    </row>
    <row r="57" spans="1:5" x14ac:dyDescent="0.25">
      <c r="A57">
        <v>2078</v>
      </c>
      <c r="B57">
        <v>0.70860385862669195</v>
      </c>
      <c r="C57">
        <v>0.60231327983268812</v>
      </c>
      <c r="D57">
        <v>0.81489443742069567</v>
      </c>
      <c r="E57">
        <v>0.49602270103868429</v>
      </c>
    </row>
    <row r="58" spans="1:5" x14ac:dyDescent="0.25">
      <c r="A58">
        <v>2079</v>
      </c>
      <c r="B58">
        <v>0.55013217968977057</v>
      </c>
      <c r="C58">
        <v>0.46761235273630503</v>
      </c>
      <c r="D58">
        <v>0.63265200664323606</v>
      </c>
      <c r="E58">
        <v>0.38509252578283942</v>
      </c>
    </row>
    <row r="59" spans="1:5" x14ac:dyDescent="0.25">
      <c r="A59">
        <v>2080</v>
      </c>
      <c r="B59">
        <v>0.59757127451861636</v>
      </c>
      <c r="C59">
        <v>0.50793558334082389</v>
      </c>
      <c r="D59">
        <v>0.68720696569640871</v>
      </c>
      <c r="E59">
        <v>0.41829989216303137</v>
      </c>
    </row>
    <row r="60" spans="1:5" x14ac:dyDescent="0.25">
      <c r="A60">
        <v>2081</v>
      </c>
      <c r="B60">
        <v>0.65489825088220321</v>
      </c>
      <c r="C60">
        <v>0.55666351324987273</v>
      </c>
      <c r="D60">
        <v>0.75313298851453359</v>
      </c>
      <c r="E60">
        <v>0.45842877561754219</v>
      </c>
    </row>
    <row r="61" spans="1:5" x14ac:dyDescent="0.25">
      <c r="A61">
        <v>2082</v>
      </c>
      <c r="B61">
        <v>0.71256588035953428</v>
      </c>
      <c r="C61">
        <v>0.60568099830560407</v>
      </c>
      <c r="D61">
        <v>0.81945076241346437</v>
      </c>
      <c r="E61">
        <v>0.49879611625167403</v>
      </c>
    </row>
    <row r="62" spans="1:5" x14ac:dyDescent="0.25">
      <c r="A62">
        <v>2083</v>
      </c>
      <c r="B62">
        <v>0.58235852247571251</v>
      </c>
      <c r="C62">
        <v>0.49500474410435558</v>
      </c>
      <c r="D62">
        <v>0.66971230084706934</v>
      </c>
      <c r="E62">
        <v>0.40765096573299869</v>
      </c>
    </row>
    <row r="63" spans="1:5" x14ac:dyDescent="0.25">
      <c r="A63">
        <v>2084</v>
      </c>
      <c r="B63">
        <v>0.6086301509267914</v>
      </c>
      <c r="C63">
        <v>0.51733562828777269</v>
      </c>
      <c r="D63">
        <v>0.69992467356581001</v>
      </c>
      <c r="E63">
        <v>0.42604110564875403</v>
      </c>
    </row>
    <row r="64" spans="1:5" x14ac:dyDescent="0.25">
      <c r="A64">
        <v>2085</v>
      </c>
      <c r="B64">
        <v>0.52622333627381701</v>
      </c>
      <c r="C64">
        <v>0.44728983583274451</v>
      </c>
      <c r="D64">
        <v>0.60515683671488951</v>
      </c>
      <c r="E64">
        <v>0.3683563353916719</v>
      </c>
    </row>
    <row r="65" spans="1:5" x14ac:dyDescent="0.25">
      <c r="A65">
        <v>2086</v>
      </c>
      <c r="B65">
        <v>0.51817920736023859</v>
      </c>
      <c r="C65">
        <v>0.44045232625620279</v>
      </c>
      <c r="D65">
        <v>0.59590608846427429</v>
      </c>
      <c r="E65">
        <v>0.36272544515216698</v>
      </c>
    </row>
    <row r="66" spans="1:5" x14ac:dyDescent="0.25">
      <c r="A66">
        <v>2087</v>
      </c>
      <c r="B66">
        <v>0.69797453479565397</v>
      </c>
      <c r="C66">
        <v>0.59327835457630584</v>
      </c>
      <c r="D66">
        <v>0.80267071501500198</v>
      </c>
      <c r="E66">
        <v>0.48858217435695772</v>
      </c>
    </row>
    <row r="67" spans="1:5" x14ac:dyDescent="0.25">
      <c r="A67">
        <v>2088</v>
      </c>
      <c r="B67">
        <v>0.74664068438783471</v>
      </c>
      <c r="C67">
        <v>0.63464458172965954</v>
      </c>
      <c r="D67">
        <v>0.85863678704600988</v>
      </c>
      <c r="E67">
        <v>0.52264847907148426</v>
      </c>
    </row>
    <row r="68" spans="1:5" x14ac:dyDescent="0.25">
      <c r="A68">
        <v>2089</v>
      </c>
      <c r="B68">
        <v>0.61880250272419168</v>
      </c>
      <c r="C68">
        <v>0.52598212731556293</v>
      </c>
      <c r="D68">
        <v>0.71162287813282044</v>
      </c>
      <c r="E68">
        <v>0.43316175190693418</v>
      </c>
    </row>
    <row r="69" spans="1:5" x14ac:dyDescent="0.25">
      <c r="A69">
        <v>2090</v>
      </c>
      <c r="B69">
        <v>0.71507097774995576</v>
      </c>
      <c r="C69">
        <v>0.60781033108746241</v>
      </c>
      <c r="D69">
        <v>0.82233162441244911</v>
      </c>
      <c r="E69">
        <v>0.50054968442496905</v>
      </c>
    </row>
    <row r="70" spans="1:5" x14ac:dyDescent="0.25">
      <c r="A70">
        <v>2091</v>
      </c>
      <c r="B70">
        <v>0.65761680627213659</v>
      </c>
      <c r="C70">
        <v>0.5589742853313161</v>
      </c>
      <c r="D70">
        <v>0.75625932721295697</v>
      </c>
      <c r="E70">
        <v>0.46033176439049561</v>
      </c>
    </row>
    <row r="71" spans="1:5" x14ac:dyDescent="0.25">
      <c r="A71">
        <v>2092</v>
      </c>
      <c r="B71">
        <v>0.56750526087054787</v>
      </c>
      <c r="C71">
        <v>0.48237947173996559</v>
      </c>
      <c r="D71">
        <v>0.65263105000112998</v>
      </c>
      <c r="E71">
        <v>0.39725368260938348</v>
      </c>
    </row>
    <row r="72" spans="1:5" x14ac:dyDescent="0.25">
      <c r="A72">
        <v>2093</v>
      </c>
      <c r="B72">
        <v>0.65759528707486781</v>
      </c>
      <c r="C72">
        <v>0.5589559940136376</v>
      </c>
      <c r="D72">
        <v>0.7562345801360979</v>
      </c>
      <c r="E72">
        <v>0.46031670095240751</v>
      </c>
    </row>
    <row r="73" spans="1:5" x14ac:dyDescent="0.25">
      <c r="A73">
        <v>2094</v>
      </c>
      <c r="B73">
        <v>0.76291272107188579</v>
      </c>
      <c r="C73">
        <v>0.6484758129111029</v>
      </c>
      <c r="D73">
        <v>0.87734962923266857</v>
      </c>
      <c r="E73">
        <v>0.53403890475032001</v>
      </c>
    </row>
    <row r="74" spans="1:5" x14ac:dyDescent="0.25">
      <c r="A74">
        <v>2095</v>
      </c>
      <c r="B74">
        <v>0.62204122621229452</v>
      </c>
      <c r="C74">
        <v>0.52873504228045032</v>
      </c>
      <c r="D74">
        <v>0.71534741014413861</v>
      </c>
      <c r="E74">
        <v>0.43542885834860612</v>
      </c>
    </row>
    <row r="75" spans="1:5" x14ac:dyDescent="0.25">
      <c r="A75">
        <v>2096</v>
      </c>
      <c r="B75">
        <v>0.76529423800801566</v>
      </c>
      <c r="C75">
        <v>0.65050010230681332</v>
      </c>
      <c r="D75">
        <v>0.88008837370921789</v>
      </c>
      <c r="E75">
        <v>0.53570596660561087</v>
      </c>
    </row>
    <row r="76" spans="1:5" x14ac:dyDescent="0.25">
      <c r="A76">
        <v>2097</v>
      </c>
      <c r="B76">
        <v>0.39076275248129022</v>
      </c>
      <c r="C76">
        <v>0.33214833960909668</v>
      </c>
      <c r="D76">
        <v>0.44937716535348371</v>
      </c>
      <c r="E76">
        <v>0.27353392673690308</v>
      </c>
    </row>
    <row r="77" spans="1:5" x14ac:dyDescent="0.25">
      <c r="A77">
        <v>2098</v>
      </c>
      <c r="B77">
        <v>0.69881381212698535</v>
      </c>
      <c r="C77">
        <v>0.59399174030793755</v>
      </c>
      <c r="D77">
        <v>0.80363588394603314</v>
      </c>
      <c r="E77">
        <v>0.48916966848888971</v>
      </c>
    </row>
    <row r="78" spans="1:5" x14ac:dyDescent="0.25">
      <c r="A78">
        <v>2099</v>
      </c>
      <c r="B78">
        <v>0.63303921183622969</v>
      </c>
      <c r="C78">
        <v>0.53808333006079523</v>
      </c>
      <c r="D78">
        <v>0.72799509361166403</v>
      </c>
      <c r="E78">
        <v>0.44312744828536083</v>
      </c>
    </row>
    <row r="79" spans="1:5" x14ac:dyDescent="0.25">
      <c r="A79">
        <v>2100</v>
      </c>
      <c r="B79">
        <v>0.5984846942644193</v>
      </c>
      <c r="C79">
        <v>0.50871199012475643</v>
      </c>
      <c r="D79">
        <v>0.68825739840408218</v>
      </c>
      <c r="E79">
        <v>0.4189392859850935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17</v>
      </c>
    </row>
    <row r="2" spans="1:2" x14ac:dyDescent="0.25">
      <c r="A2" t="s">
        <v>18</v>
      </c>
      <c r="B2">
        <v>1000</v>
      </c>
    </row>
    <row r="3" spans="1:2" x14ac:dyDescent="0.25">
      <c r="A3" t="s">
        <v>19</v>
      </c>
      <c r="B3">
        <v>73000</v>
      </c>
    </row>
    <row r="4" spans="1:2" x14ac:dyDescent="0.25">
      <c r="A4" t="s">
        <v>20</v>
      </c>
      <c r="B4">
        <v>114000</v>
      </c>
    </row>
    <row r="5" spans="1:2" x14ac:dyDescent="0.25">
      <c r="A5" t="s">
        <v>21</v>
      </c>
      <c r="B5">
        <v>1.3698630136986301E-2</v>
      </c>
    </row>
    <row r="6" spans="1:2" x14ac:dyDescent="0.25">
      <c r="A6" t="s">
        <v>22</v>
      </c>
      <c r="B6">
        <v>8.771929824561403E-3</v>
      </c>
    </row>
    <row r="7" spans="1:2" x14ac:dyDescent="0.25">
      <c r="A7" t="s">
        <v>23</v>
      </c>
      <c r="B7">
        <v>2000</v>
      </c>
    </row>
    <row r="8" spans="1:2" x14ac:dyDescent="0.25">
      <c r="A8" t="s">
        <v>24</v>
      </c>
      <c r="B8">
        <v>0.62524790236460726</v>
      </c>
    </row>
    <row r="9" spans="1:2" x14ac:dyDescent="0.25">
      <c r="A9" t="s">
        <v>25</v>
      </c>
      <c r="B9">
        <v>8.950685679963935E-2</v>
      </c>
    </row>
    <row r="10" spans="1:2" x14ac:dyDescent="0.25">
      <c r="A10" t="s">
        <v>26</v>
      </c>
      <c r="B10">
        <v>0.46973684210526312</v>
      </c>
    </row>
    <row r="11" spans="1:2" x14ac:dyDescent="0.25">
      <c r="A11" t="s">
        <v>27</v>
      </c>
      <c r="B11">
        <v>0.86026315789473673</v>
      </c>
    </row>
    <row r="12" spans="1:2" x14ac:dyDescent="0.25">
      <c r="A12" t="s">
        <v>28</v>
      </c>
      <c r="B12">
        <v>0.63912280701754387</v>
      </c>
    </row>
    <row r="13" spans="1:2" x14ac:dyDescent="0.25">
      <c r="A13" t="s">
        <v>29</v>
      </c>
      <c r="B13">
        <v>23</v>
      </c>
    </row>
    <row r="14" spans="1:2" x14ac:dyDescent="0.25">
      <c r="A14" t="s">
        <v>30</v>
      </c>
      <c r="B14">
        <v>2023</v>
      </c>
    </row>
    <row r="15" spans="1:2" x14ac:dyDescent="0.25">
      <c r="A15" t="s">
        <v>31</v>
      </c>
      <c r="B15">
        <v>2100</v>
      </c>
    </row>
    <row r="16" spans="1:2" x14ac:dyDescent="0.25">
      <c r="A16" t="s">
        <v>32</v>
      </c>
      <c r="B16">
        <v>4</v>
      </c>
    </row>
    <row r="17" spans="1:2" x14ac:dyDescent="0.25">
      <c r="A17" t="s">
        <v>33</v>
      </c>
      <c r="B17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Historical_Data</vt:lpstr>
      <vt:lpstr>Scaled_Data</vt:lpstr>
      <vt:lpstr>Scenario_BAU</vt:lpstr>
      <vt:lpstr>Scenario_Reduced_Yield</vt:lpstr>
      <vt:lpstr>Scenario_High_Yield</vt:lpstr>
      <vt:lpstr>Scenario_Low_Yield</vt:lpstr>
      <vt:lpstr>All_Scenarios</vt:lpstr>
      <vt:lpstr>Scenario_Comparison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Scholz</cp:lastModifiedBy>
  <dcterms:created xsi:type="dcterms:W3CDTF">2025-10-06T18:17:15Z</dcterms:created>
  <dcterms:modified xsi:type="dcterms:W3CDTF">2025-10-14T06:38:20Z</dcterms:modified>
</cp:coreProperties>
</file>