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studies\Casestudy_1_Wheat_straw\"/>
    </mc:Choice>
  </mc:AlternateContent>
  <xr:revisionPtr revIDLastSave="0" documentId="13_ncr:1_{E9B4E4F9-67C0-4622-B91F-BC61207F34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Yiel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2" i="1"/>
</calcChain>
</file>

<file path=xl/sharedStrings.xml><?xml version="1.0" encoding="utf-8"?>
<sst xmlns="http://schemas.openxmlformats.org/spreadsheetml/2006/main" count="18" uniqueCount="12">
  <si>
    <t>Year</t>
  </si>
  <si>
    <t>Projected_Yield_Tonnes</t>
  </si>
  <si>
    <t>Assumption</t>
  </si>
  <si>
    <t>Caclualtion</t>
  </si>
  <si>
    <t>WC_</t>
  </si>
  <si>
    <t>WC</t>
  </si>
  <si>
    <t xml:space="preserve">DM </t>
  </si>
  <si>
    <t>CC</t>
  </si>
  <si>
    <t>DM</t>
  </si>
  <si>
    <t>DM-CC</t>
  </si>
  <si>
    <t>Environmental Flow</t>
  </si>
  <si>
    <t>Athmosphere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</si>
</sst>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2" applyAlignment="0"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3" fillId="2" borderId="2" xfId="2" applyNumberFormat="1" applyProtection="1"/>
    <xf numFmtId="10" fontId="3" fillId="2" borderId="3" xfId="1" applyNumberFormat="1" applyFont="1" applyFill="1" applyBorder="1"/>
    <xf numFmtId="9" fontId="0" fillId="0" borderId="0" xfId="1" applyFont="1"/>
  </cellXfs>
  <cellStyles count="3">
    <cellStyle name="01_Data_Input" xfId="2" xr:uid="{67C0B308-6C00-4DC2-9383-4927FE656461}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workbookViewId="0">
      <selection activeCell="K17" sqref="K17"/>
    </sheetView>
  </sheetViews>
  <sheetFormatPr defaultRowHeight="15" x14ac:dyDescent="0.25"/>
  <cols>
    <col min="1" max="1" width="6" customWidth="1"/>
    <col min="2" max="2" width="20" customWidth="1"/>
    <col min="7" max="7" width="20.42578125" customWidth="1"/>
  </cols>
  <sheetData>
    <row r="1" spans="1:19" x14ac:dyDescent="0.25">
      <c r="A1" s="1" t="s">
        <v>0</v>
      </c>
      <c r="B1" s="1" t="s">
        <v>1</v>
      </c>
      <c r="C1" t="s">
        <v>4</v>
      </c>
      <c r="D1" t="s">
        <v>8</v>
      </c>
      <c r="E1" t="s">
        <v>7</v>
      </c>
      <c r="F1" t="s">
        <v>9</v>
      </c>
      <c r="G1" t="s">
        <v>10</v>
      </c>
      <c r="H1" t="s">
        <v>11</v>
      </c>
      <c r="N1" t="s">
        <v>5</v>
      </c>
      <c r="O1" t="s">
        <v>6</v>
      </c>
      <c r="P1" t="s">
        <v>7</v>
      </c>
    </row>
    <row r="2" spans="1:19" x14ac:dyDescent="0.25">
      <c r="A2">
        <v>2025</v>
      </c>
      <c r="B2">
        <v>810967.59</v>
      </c>
      <c r="C2">
        <f>B2*$N$6</f>
        <v>113535.46260000001</v>
      </c>
      <c r="D2">
        <f>B2*$P$6</f>
        <v>697432.1274</v>
      </c>
      <c r="E2">
        <f>D2*$R$6</f>
        <v>334767.42115199997</v>
      </c>
      <c r="F2">
        <f>D2-E2</f>
        <v>362664.70624800003</v>
      </c>
      <c r="G2">
        <f>F2+C2</f>
        <v>476200.16884800006</v>
      </c>
      <c r="H2">
        <f>E2</f>
        <v>334767.42115199997</v>
      </c>
      <c r="N2" s="4">
        <v>0.23841961794348115</v>
      </c>
      <c r="O2" s="4">
        <v>0.76158038205651879</v>
      </c>
    </row>
    <row r="3" spans="1:19" x14ac:dyDescent="0.25">
      <c r="A3">
        <v>2026</v>
      </c>
      <c r="B3">
        <v>678621.43</v>
      </c>
      <c r="C3">
        <f t="shared" ref="C3:C66" si="0">B3*$N$6</f>
        <v>95007.000200000009</v>
      </c>
      <c r="D3">
        <f t="shared" ref="D3:D66" si="1">B3*$P$6</f>
        <v>583614.42980000004</v>
      </c>
      <c r="E3">
        <f t="shared" ref="E3:E66" si="2">D3*$R$6</f>
        <v>280134.92630400002</v>
      </c>
      <c r="F3">
        <f t="shared" ref="F3:F66" si="3">D3-E3</f>
        <v>303479.50349600002</v>
      </c>
      <c r="G3">
        <f t="shared" ref="G3:G66" si="4">F3+C3</f>
        <v>398486.50369600003</v>
      </c>
      <c r="H3">
        <f t="shared" ref="H3:H66" si="5">E3</f>
        <v>280134.92630400002</v>
      </c>
    </row>
    <row r="4" spans="1:19" x14ac:dyDescent="0.25">
      <c r="A4">
        <v>2027</v>
      </c>
      <c r="B4">
        <v>872237.43</v>
      </c>
      <c r="C4">
        <f t="shared" si="0"/>
        <v>122113.24020000001</v>
      </c>
      <c r="D4">
        <f t="shared" si="1"/>
        <v>750124.18980000005</v>
      </c>
      <c r="E4">
        <f t="shared" si="2"/>
        <v>360059.61110400001</v>
      </c>
      <c r="F4">
        <f t="shared" si="3"/>
        <v>390064.57869600004</v>
      </c>
      <c r="G4">
        <f t="shared" si="4"/>
        <v>512177.81889600004</v>
      </c>
      <c r="H4">
        <f t="shared" si="5"/>
        <v>360059.61110400001</v>
      </c>
    </row>
    <row r="5" spans="1:19" x14ac:dyDescent="0.25">
      <c r="A5">
        <v>2028</v>
      </c>
      <c r="B5">
        <v>705824.83</v>
      </c>
      <c r="C5">
        <f t="shared" si="0"/>
        <v>98815.476200000005</v>
      </c>
      <c r="D5">
        <f t="shared" si="1"/>
        <v>607009.35379999992</v>
      </c>
      <c r="E5">
        <f t="shared" si="2"/>
        <v>291364.48982399993</v>
      </c>
      <c r="F5">
        <f t="shared" si="3"/>
        <v>315644.86397599999</v>
      </c>
      <c r="G5">
        <f t="shared" si="4"/>
        <v>414460.34017600003</v>
      </c>
      <c r="H5">
        <f t="shared" si="5"/>
        <v>291364.48982399993</v>
      </c>
    </row>
    <row r="6" spans="1:19" x14ac:dyDescent="0.25">
      <c r="A6">
        <v>2029</v>
      </c>
      <c r="B6">
        <v>823089.18</v>
      </c>
      <c r="C6">
        <f t="shared" si="0"/>
        <v>115232.48520000002</v>
      </c>
      <c r="D6">
        <f t="shared" si="1"/>
        <v>707856.69480000006</v>
      </c>
      <c r="E6">
        <f t="shared" si="2"/>
        <v>339771.21350400004</v>
      </c>
      <c r="F6">
        <f t="shared" si="3"/>
        <v>368085.48129600001</v>
      </c>
      <c r="G6">
        <f t="shared" si="4"/>
        <v>483317.96649600007</v>
      </c>
      <c r="H6">
        <f t="shared" si="5"/>
        <v>339771.21350400004</v>
      </c>
      <c r="N6" s="2">
        <v>0.14000000000000001</v>
      </c>
      <c r="O6" s="3" t="s">
        <v>2</v>
      </c>
      <c r="P6" s="2">
        <v>0.86</v>
      </c>
      <c r="Q6" s="3" t="s">
        <v>2</v>
      </c>
      <c r="R6" s="2">
        <v>0.48</v>
      </c>
      <c r="S6" s="3" t="s">
        <v>2</v>
      </c>
    </row>
    <row r="7" spans="1:19" x14ac:dyDescent="0.25">
      <c r="A7">
        <v>2030</v>
      </c>
      <c r="B7">
        <v>648558.62</v>
      </c>
      <c r="C7">
        <f t="shared" si="0"/>
        <v>90798.206800000014</v>
      </c>
      <c r="D7">
        <f t="shared" si="1"/>
        <v>557760.41319999995</v>
      </c>
      <c r="E7">
        <f t="shared" si="2"/>
        <v>267724.99833599996</v>
      </c>
      <c r="F7">
        <f t="shared" si="3"/>
        <v>290035.41486399999</v>
      </c>
      <c r="G7">
        <f t="shared" si="4"/>
        <v>380833.62166399998</v>
      </c>
      <c r="H7">
        <f t="shared" si="5"/>
        <v>267724.99833599996</v>
      </c>
    </row>
    <row r="8" spans="1:19" x14ac:dyDescent="0.25">
      <c r="A8">
        <v>2031</v>
      </c>
      <c r="B8">
        <v>948234.7</v>
      </c>
      <c r="C8">
        <f t="shared" si="0"/>
        <v>132752.85800000001</v>
      </c>
      <c r="D8">
        <f t="shared" si="1"/>
        <v>815481.84199999995</v>
      </c>
      <c r="E8">
        <f t="shared" si="2"/>
        <v>391431.28415999998</v>
      </c>
      <c r="F8">
        <f t="shared" si="3"/>
        <v>424050.55783999996</v>
      </c>
      <c r="G8">
        <f t="shared" si="4"/>
        <v>556803.41583999991</v>
      </c>
      <c r="H8">
        <f t="shared" si="5"/>
        <v>391431.28415999998</v>
      </c>
    </row>
    <row r="9" spans="1:19" x14ac:dyDescent="0.25">
      <c r="A9">
        <v>2032</v>
      </c>
      <c r="B9">
        <v>855809.26</v>
      </c>
      <c r="C9">
        <f t="shared" si="0"/>
        <v>119813.29640000001</v>
      </c>
      <c r="D9">
        <f t="shared" si="1"/>
        <v>735995.96360000002</v>
      </c>
      <c r="E9">
        <f t="shared" si="2"/>
        <v>353278.06252799998</v>
      </c>
      <c r="F9">
        <f t="shared" si="3"/>
        <v>382717.90107200004</v>
      </c>
      <c r="G9">
        <f t="shared" si="4"/>
        <v>502531.19747200003</v>
      </c>
      <c r="H9">
        <f t="shared" si="5"/>
        <v>353278.06252799998</v>
      </c>
    </row>
    <row r="10" spans="1:19" x14ac:dyDescent="0.25">
      <c r="A10">
        <v>2033</v>
      </c>
      <c r="B10">
        <v>807801.37</v>
      </c>
      <c r="C10">
        <f t="shared" si="0"/>
        <v>113092.19180000002</v>
      </c>
      <c r="D10">
        <f t="shared" si="1"/>
        <v>694709.17819999997</v>
      </c>
      <c r="E10">
        <f t="shared" si="2"/>
        <v>333460.40553599998</v>
      </c>
      <c r="F10">
        <f t="shared" si="3"/>
        <v>361248.77266399999</v>
      </c>
      <c r="G10">
        <f t="shared" si="4"/>
        <v>474340.96446400002</v>
      </c>
      <c r="H10">
        <f t="shared" si="5"/>
        <v>333460.40553599998</v>
      </c>
    </row>
    <row r="11" spans="1:19" x14ac:dyDescent="0.25">
      <c r="A11">
        <v>2034</v>
      </c>
      <c r="B11">
        <v>777502.48</v>
      </c>
      <c r="C11">
        <f t="shared" si="0"/>
        <v>108850.3472</v>
      </c>
      <c r="D11">
        <f t="shared" si="1"/>
        <v>668652.13280000002</v>
      </c>
      <c r="E11">
        <f t="shared" si="2"/>
        <v>320953.02374400001</v>
      </c>
      <c r="F11">
        <f t="shared" si="3"/>
        <v>347699.10905600002</v>
      </c>
      <c r="G11">
        <f t="shared" si="4"/>
        <v>456549.45625600003</v>
      </c>
      <c r="H11">
        <f t="shared" si="5"/>
        <v>320953.02374400001</v>
      </c>
    </row>
    <row r="12" spans="1:19" x14ac:dyDescent="0.25">
      <c r="A12">
        <v>2035</v>
      </c>
      <c r="B12">
        <v>813045.67</v>
      </c>
      <c r="C12">
        <f t="shared" si="0"/>
        <v>113826.39380000002</v>
      </c>
      <c r="D12">
        <f t="shared" si="1"/>
        <v>699219.27620000008</v>
      </c>
      <c r="E12">
        <f t="shared" si="2"/>
        <v>335625.252576</v>
      </c>
      <c r="F12">
        <f t="shared" si="3"/>
        <v>363594.02362400008</v>
      </c>
      <c r="G12">
        <f t="shared" si="4"/>
        <v>477420.4174240001</v>
      </c>
      <c r="H12">
        <f t="shared" si="5"/>
        <v>335625.252576</v>
      </c>
    </row>
    <row r="13" spans="1:19" x14ac:dyDescent="0.25">
      <c r="A13">
        <v>2036</v>
      </c>
      <c r="B13">
        <v>928226.15</v>
      </c>
      <c r="C13">
        <f t="shared" si="0"/>
        <v>129951.66100000002</v>
      </c>
      <c r="D13">
        <f t="shared" si="1"/>
        <v>798274.48900000006</v>
      </c>
      <c r="E13">
        <f t="shared" si="2"/>
        <v>383171.75472000003</v>
      </c>
      <c r="F13">
        <f t="shared" si="3"/>
        <v>415102.73428000003</v>
      </c>
      <c r="G13">
        <f t="shared" si="4"/>
        <v>545054.39528000006</v>
      </c>
      <c r="H13">
        <f t="shared" si="5"/>
        <v>383171.75472000003</v>
      </c>
    </row>
    <row r="14" spans="1:19" x14ac:dyDescent="0.25">
      <c r="A14">
        <v>2037</v>
      </c>
      <c r="B14">
        <v>754793.57</v>
      </c>
      <c r="C14">
        <f t="shared" si="0"/>
        <v>105671.0998</v>
      </c>
      <c r="D14">
        <f t="shared" si="1"/>
        <v>649122.47019999998</v>
      </c>
      <c r="E14">
        <f t="shared" si="2"/>
        <v>311578.78569599998</v>
      </c>
      <c r="F14">
        <f t="shared" si="3"/>
        <v>337543.684504</v>
      </c>
      <c r="G14">
        <f t="shared" si="4"/>
        <v>443214.78430399997</v>
      </c>
      <c r="H14">
        <f t="shared" si="5"/>
        <v>311578.78569599998</v>
      </c>
    </row>
    <row r="15" spans="1:19" x14ac:dyDescent="0.25">
      <c r="A15">
        <v>2038</v>
      </c>
      <c r="B15">
        <v>749175.45</v>
      </c>
      <c r="C15">
        <f t="shared" si="0"/>
        <v>104884.56300000001</v>
      </c>
      <c r="D15">
        <f t="shared" si="1"/>
        <v>644290.88699999999</v>
      </c>
      <c r="E15">
        <f t="shared" si="2"/>
        <v>309259.62575999997</v>
      </c>
      <c r="F15">
        <f t="shared" si="3"/>
        <v>335031.26124000002</v>
      </c>
      <c r="G15">
        <f t="shared" si="4"/>
        <v>439915.82424000005</v>
      </c>
      <c r="H15">
        <f t="shared" si="5"/>
        <v>309259.62575999997</v>
      </c>
    </row>
    <row r="16" spans="1:19" x14ac:dyDescent="0.25">
      <c r="A16">
        <v>2039</v>
      </c>
      <c r="B16">
        <v>868045.36</v>
      </c>
      <c r="C16">
        <f t="shared" si="0"/>
        <v>121526.35040000001</v>
      </c>
      <c r="D16">
        <f t="shared" si="1"/>
        <v>746519.00959999999</v>
      </c>
      <c r="E16">
        <f t="shared" si="2"/>
        <v>358329.12460799998</v>
      </c>
      <c r="F16">
        <f t="shared" si="3"/>
        <v>388189.88499200001</v>
      </c>
      <c r="G16">
        <f t="shared" si="4"/>
        <v>509716.235392</v>
      </c>
      <c r="H16">
        <f t="shared" si="5"/>
        <v>358329.12460799998</v>
      </c>
    </row>
    <row r="17" spans="1:8" x14ac:dyDescent="0.25">
      <c r="A17">
        <v>2040</v>
      </c>
      <c r="B17">
        <v>747334.22</v>
      </c>
      <c r="C17">
        <f t="shared" si="0"/>
        <v>104626.7908</v>
      </c>
      <c r="D17">
        <f t="shared" si="1"/>
        <v>642707.42920000001</v>
      </c>
      <c r="E17">
        <f t="shared" si="2"/>
        <v>308499.566016</v>
      </c>
      <c r="F17">
        <f t="shared" si="3"/>
        <v>334207.86318400002</v>
      </c>
      <c r="G17">
        <f t="shared" si="4"/>
        <v>438834.65398400003</v>
      </c>
      <c r="H17">
        <f t="shared" si="5"/>
        <v>308499.566016</v>
      </c>
    </row>
    <row r="18" spans="1:8" x14ac:dyDescent="0.25">
      <c r="A18">
        <v>2041</v>
      </c>
      <c r="B18">
        <v>786662.11</v>
      </c>
      <c r="C18">
        <f t="shared" si="0"/>
        <v>110132.69540000001</v>
      </c>
      <c r="D18">
        <f t="shared" si="1"/>
        <v>676529.41460000002</v>
      </c>
      <c r="E18">
        <f t="shared" si="2"/>
        <v>324734.11900800001</v>
      </c>
      <c r="F18">
        <f t="shared" si="3"/>
        <v>351795.29559200001</v>
      </c>
      <c r="G18">
        <f t="shared" si="4"/>
        <v>461927.99099200004</v>
      </c>
      <c r="H18">
        <f t="shared" si="5"/>
        <v>324734.11900800001</v>
      </c>
    </row>
    <row r="19" spans="1:8" x14ac:dyDescent="0.25">
      <c r="A19">
        <v>2042</v>
      </c>
      <c r="B19">
        <v>756527.69</v>
      </c>
      <c r="C19">
        <f t="shared" si="0"/>
        <v>105913.8766</v>
      </c>
      <c r="D19">
        <f t="shared" si="1"/>
        <v>650613.81339999998</v>
      </c>
      <c r="E19">
        <f t="shared" si="2"/>
        <v>312294.63043199998</v>
      </c>
      <c r="F19">
        <f t="shared" si="3"/>
        <v>338319.18296800001</v>
      </c>
      <c r="G19">
        <f t="shared" si="4"/>
        <v>444233.05956800003</v>
      </c>
      <c r="H19">
        <f t="shared" si="5"/>
        <v>312294.63043199998</v>
      </c>
    </row>
    <row r="20" spans="1:8" x14ac:dyDescent="0.25">
      <c r="A20">
        <v>2043</v>
      </c>
      <c r="B20">
        <v>659936.51</v>
      </c>
      <c r="C20">
        <f t="shared" si="0"/>
        <v>92391.111400000009</v>
      </c>
      <c r="D20">
        <f t="shared" si="1"/>
        <v>567545.39859999996</v>
      </c>
      <c r="E20">
        <f t="shared" si="2"/>
        <v>272421.79132799996</v>
      </c>
      <c r="F20">
        <f t="shared" si="3"/>
        <v>295123.60727199999</v>
      </c>
      <c r="G20">
        <f t="shared" si="4"/>
        <v>387514.71867199999</v>
      </c>
      <c r="H20">
        <f t="shared" si="5"/>
        <v>272421.79132799996</v>
      </c>
    </row>
    <row r="21" spans="1:8" x14ac:dyDescent="0.25">
      <c r="A21">
        <v>2044</v>
      </c>
      <c r="B21">
        <v>631139.29</v>
      </c>
      <c r="C21">
        <f t="shared" si="0"/>
        <v>88359.500600000014</v>
      </c>
      <c r="D21">
        <f t="shared" si="1"/>
        <v>542779.78940000001</v>
      </c>
      <c r="E21">
        <f t="shared" si="2"/>
        <v>260534.298912</v>
      </c>
      <c r="F21">
        <f t="shared" si="3"/>
        <v>282245.49048799998</v>
      </c>
      <c r="G21">
        <f t="shared" si="4"/>
        <v>370604.99108800001</v>
      </c>
      <c r="H21">
        <f t="shared" si="5"/>
        <v>260534.298912</v>
      </c>
    </row>
    <row r="22" spans="1:8" x14ac:dyDescent="0.25">
      <c r="A22">
        <v>2045</v>
      </c>
      <c r="B22">
        <v>950797.71</v>
      </c>
      <c r="C22">
        <f t="shared" si="0"/>
        <v>133111.67939999999</v>
      </c>
      <c r="D22">
        <f t="shared" si="1"/>
        <v>817686.03059999994</v>
      </c>
      <c r="E22">
        <f t="shared" si="2"/>
        <v>392489.29468799994</v>
      </c>
      <c r="F22">
        <f t="shared" si="3"/>
        <v>425196.735912</v>
      </c>
      <c r="G22">
        <f t="shared" si="4"/>
        <v>558308.41531199997</v>
      </c>
      <c r="H22">
        <f t="shared" si="5"/>
        <v>392489.29468799994</v>
      </c>
    </row>
    <row r="23" spans="1:8" x14ac:dyDescent="0.25">
      <c r="A23">
        <v>2046</v>
      </c>
      <c r="B23">
        <v>905949.07</v>
      </c>
      <c r="C23">
        <f t="shared" si="0"/>
        <v>126832.8698</v>
      </c>
      <c r="D23">
        <f t="shared" si="1"/>
        <v>779116.20019999996</v>
      </c>
      <c r="E23">
        <f t="shared" si="2"/>
        <v>373975.77609599999</v>
      </c>
      <c r="F23">
        <f t="shared" si="3"/>
        <v>405140.42410399998</v>
      </c>
      <c r="G23">
        <f t="shared" si="4"/>
        <v>531973.29390399996</v>
      </c>
      <c r="H23">
        <f t="shared" si="5"/>
        <v>373975.77609599999</v>
      </c>
    </row>
    <row r="24" spans="1:8" x14ac:dyDescent="0.25">
      <c r="A24">
        <v>2047</v>
      </c>
      <c r="B24">
        <v>728081.49</v>
      </c>
      <c r="C24">
        <f t="shared" si="0"/>
        <v>101931.40860000001</v>
      </c>
      <c r="D24">
        <f t="shared" si="1"/>
        <v>626150.08140000002</v>
      </c>
      <c r="E24">
        <f t="shared" si="2"/>
        <v>300552.03907200001</v>
      </c>
      <c r="F24">
        <f t="shared" si="3"/>
        <v>325598.04232800001</v>
      </c>
      <c r="G24">
        <f t="shared" si="4"/>
        <v>427529.45092800003</v>
      </c>
      <c r="H24">
        <f t="shared" si="5"/>
        <v>300552.03907200001</v>
      </c>
    </row>
    <row r="25" spans="1:8" x14ac:dyDescent="0.25">
      <c r="A25">
        <v>2048</v>
      </c>
      <c r="B25">
        <v>898486.33</v>
      </c>
      <c r="C25">
        <f t="shared" si="0"/>
        <v>125788.08620000001</v>
      </c>
      <c r="D25">
        <f t="shared" si="1"/>
        <v>772698.24379999994</v>
      </c>
      <c r="E25">
        <f t="shared" si="2"/>
        <v>370895.15702399996</v>
      </c>
      <c r="F25">
        <f t="shared" si="3"/>
        <v>401803.08677599998</v>
      </c>
      <c r="G25">
        <f t="shared" si="4"/>
        <v>527591.172976</v>
      </c>
      <c r="H25">
        <f t="shared" si="5"/>
        <v>370895.15702399996</v>
      </c>
    </row>
    <row r="26" spans="1:8" x14ac:dyDescent="0.25">
      <c r="A26">
        <v>2049</v>
      </c>
      <c r="B26">
        <v>853392.25</v>
      </c>
      <c r="C26">
        <f t="shared" si="0"/>
        <v>119474.91500000001</v>
      </c>
      <c r="D26">
        <f t="shared" si="1"/>
        <v>733917.33499999996</v>
      </c>
      <c r="E26">
        <f t="shared" si="2"/>
        <v>352280.32079999999</v>
      </c>
      <c r="F26">
        <f t="shared" si="3"/>
        <v>381637.01419999998</v>
      </c>
      <c r="G26">
        <f t="shared" si="4"/>
        <v>501111.92920000001</v>
      </c>
      <c r="H26">
        <f t="shared" si="5"/>
        <v>352280.32079999999</v>
      </c>
    </row>
    <row r="27" spans="1:8" x14ac:dyDescent="0.25">
      <c r="A27">
        <v>2050</v>
      </c>
      <c r="B27">
        <v>685286.34</v>
      </c>
      <c r="C27">
        <f t="shared" si="0"/>
        <v>95940.087599999999</v>
      </c>
      <c r="D27">
        <f t="shared" si="1"/>
        <v>589346.2524</v>
      </c>
      <c r="E27">
        <f t="shared" si="2"/>
        <v>282886.20115199999</v>
      </c>
      <c r="F27">
        <f t="shared" si="3"/>
        <v>306460.051248</v>
      </c>
      <c r="G27">
        <f t="shared" si="4"/>
        <v>402400.13884799997</v>
      </c>
      <c r="H27">
        <f t="shared" si="5"/>
        <v>282886.20115199999</v>
      </c>
    </row>
    <row r="28" spans="1:8" x14ac:dyDescent="0.25">
      <c r="A28">
        <v>2051</v>
      </c>
      <c r="B28">
        <v>1013415.24</v>
      </c>
      <c r="C28">
        <f t="shared" si="0"/>
        <v>141878.1336</v>
      </c>
      <c r="D28">
        <f t="shared" si="1"/>
        <v>871537.10639999993</v>
      </c>
      <c r="E28">
        <f t="shared" si="2"/>
        <v>418337.81107199995</v>
      </c>
      <c r="F28">
        <f t="shared" si="3"/>
        <v>453199.29532799998</v>
      </c>
      <c r="G28">
        <f t="shared" si="4"/>
        <v>595077.42892799992</v>
      </c>
      <c r="H28">
        <f t="shared" si="5"/>
        <v>418337.81107199995</v>
      </c>
    </row>
    <row r="29" spans="1:8" x14ac:dyDescent="0.25">
      <c r="A29">
        <v>2052</v>
      </c>
      <c r="B29">
        <v>945272.97</v>
      </c>
      <c r="C29">
        <f t="shared" si="0"/>
        <v>132338.21580000001</v>
      </c>
      <c r="D29">
        <f t="shared" si="1"/>
        <v>812934.75419999997</v>
      </c>
      <c r="E29">
        <f t="shared" si="2"/>
        <v>390208.68201599998</v>
      </c>
      <c r="F29">
        <f t="shared" si="3"/>
        <v>422726.07218399999</v>
      </c>
      <c r="G29">
        <f t="shared" si="4"/>
        <v>555064.28798400005</v>
      </c>
      <c r="H29">
        <f t="shared" si="5"/>
        <v>390208.68201599998</v>
      </c>
    </row>
    <row r="30" spans="1:8" x14ac:dyDescent="0.25">
      <c r="A30">
        <v>2053</v>
      </c>
      <c r="B30">
        <v>820088.39</v>
      </c>
      <c r="C30">
        <f t="shared" si="0"/>
        <v>114812.37460000001</v>
      </c>
      <c r="D30">
        <f t="shared" si="1"/>
        <v>705276.01540000003</v>
      </c>
      <c r="E30">
        <f t="shared" si="2"/>
        <v>338532.48739199998</v>
      </c>
      <c r="F30">
        <f t="shared" si="3"/>
        <v>366743.52800800005</v>
      </c>
      <c r="G30">
        <f t="shared" si="4"/>
        <v>481555.90260800009</v>
      </c>
      <c r="H30">
        <f t="shared" si="5"/>
        <v>338532.48739199998</v>
      </c>
    </row>
    <row r="31" spans="1:8" x14ac:dyDescent="0.25">
      <c r="A31">
        <v>2054</v>
      </c>
      <c r="B31">
        <v>925743.81</v>
      </c>
      <c r="C31">
        <f t="shared" si="0"/>
        <v>129604.13340000002</v>
      </c>
      <c r="D31">
        <f t="shared" si="1"/>
        <v>796139.67660000001</v>
      </c>
      <c r="E31">
        <f t="shared" si="2"/>
        <v>382147.04476799996</v>
      </c>
      <c r="F31">
        <f t="shared" si="3"/>
        <v>413992.63183200004</v>
      </c>
      <c r="G31">
        <f t="shared" si="4"/>
        <v>543596.76523200003</v>
      </c>
      <c r="H31">
        <f t="shared" si="5"/>
        <v>382147.04476799996</v>
      </c>
    </row>
    <row r="32" spans="1:8" x14ac:dyDescent="0.25">
      <c r="A32">
        <v>2055</v>
      </c>
      <c r="B32">
        <v>668572.56999999995</v>
      </c>
      <c r="C32">
        <f t="shared" si="0"/>
        <v>93600.159800000009</v>
      </c>
      <c r="D32">
        <f t="shared" si="1"/>
        <v>574972.41019999993</v>
      </c>
      <c r="E32">
        <f t="shared" si="2"/>
        <v>275986.75689599995</v>
      </c>
      <c r="F32">
        <f t="shared" si="3"/>
        <v>298985.65330399998</v>
      </c>
      <c r="G32">
        <f t="shared" si="4"/>
        <v>392585.813104</v>
      </c>
      <c r="H32">
        <f t="shared" si="5"/>
        <v>275986.75689599995</v>
      </c>
    </row>
    <row r="33" spans="1:8" x14ac:dyDescent="0.25">
      <c r="A33">
        <v>2056</v>
      </c>
      <c r="B33">
        <v>902882.72</v>
      </c>
      <c r="C33">
        <f t="shared" si="0"/>
        <v>126403.58080000001</v>
      </c>
      <c r="D33">
        <f t="shared" si="1"/>
        <v>776479.13919999998</v>
      </c>
      <c r="E33">
        <f t="shared" si="2"/>
        <v>372709.98681599996</v>
      </c>
      <c r="F33">
        <f t="shared" si="3"/>
        <v>403769.15238400002</v>
      </c>
      <c r="G33">
        <f t="shared" si="4"/>
        <v>530172.73318400001</v>
      </c>
      <c r="H33">
        <f t="shared" si="5"/>
        <v>372709.98681599996</v>
      </c>
    </row>
    <row r="34" spans="1:8" x14ac:dyDescent="0.25">
      <c r="A34">
        <v>2057</v>
      </c>
      <c r="B34">
        <v>990057.41</v>
      </c>
      <c r="C34">
        <f t="shared" si="0"/>
        <v>138608.03740000003</v>
      </c>
      <c r="D34">
        <f t="shared" si="1"/>
        <v>851449.3726</v>
      </c>
      <c r="E34">
        <f t="shared" si="2"/>
        <v>408695.69884799997</v>
      </c>
      <c r="F34">
        <f t="shared" si="3"/>
        <v>442753.67375200003</v>
      </c>
      <c r="G34">
        <f t="shared" si="4"/>
        <v>581361.71115200012</v>
      </c>
      <c r="H34">
        <f t="shared" si="5"/>
        <v>408695.69884799997</v>
      </c>
    </row>
    <row r="35" spans="1:8" x14ac:dyDescent="0.25">
      <c r="A35">
        <v>2058</v>
      </c>
      <c r="B35">
        <v>706740.94</v>
      </c>
      <c r="C35">
        <f t="shared" si="0"/>
        <v>98943.731599999999</v>
      </c>
      <c r="D35">
        <f t="shared" si="1"/>
        <v>607797.20839999989</v>
      </c>
      <c r="E35">
        <f t="shared" si="2"/>
        <v>291742.66003199993</v>
      </c>
      <c r="F35">
        <f t="shared" si="3"/>
        <v>316054.54836799996</v>
      </c>
      <c r="G35">
        <f t="shared" si="4"/>
        <v>414998.27996799996</v>
      </c>
      <c r="H35">
        <f t="shared" si="5"/>
        <v>291742.66003199993</v>
      </c>
    </row>
    <row r="36" spans="1:8" x14ac:dyDescent="0.25">
      <c r="A36">
        <v>2059</v>
      </c>
      <c r="B36">
        <v>951752.58</v>
      </c>
      <c r="C36">
        <f t="shared" si="0"/>
        <v>133245.36120000001</v>
      </c>
      <c r="D36">
        <f t="shared" si="1"/>
        <v>818507.21879999992</v>
      </c>
      <c r="E36">
        <f t="shared" si="2"/>
        <v>392883.46502399992</v>
      </c>
      <c r="F36">
        <f t="shared" si="3"/>
        <v>425623.753776</v>
      </c>
      <c r="G36">
        <f t="shared" si="4"/>
        <v>558869.11497600004</v>
      </c>
      <c r="H36">
        <f t="shared" si="5"/>
        <v>392883.46502399992</v>
      </c>
    </row>
    <row r="37" spans="1:8" x14ac:dyDescent="0.25">
      <c r="A37">
        <v>2060</v>
      </c>
      <c r="B37">
        <v>796018.51</v>
      </c>
      <c r="C37">
        <f t="shared" si="0"/>
        <v>111442.5914</v>
      </c>
      <c r="D37">
        <f t="shared" si="1"/>
        <v>684575.91859999998</v>
      </c>
      <c r="E37">
        <f t="shared" si="2"/>
        <v>328596.44092799997</v>
      </c>
      <c r="F37">
        <f t="shared" si="3"/>
        <v>355979.47767200001</v>
      </c>
      <c r="G37">
        <f t="shared" si="4"/>
        <v>467422.06907199998</v>
      </c>
      <c r="H37">
        <f t="shared" si="5"/>
        <v>328596.44092799997</v>
      </c>
    </row>
    <row r="38" spans="1:8" x14ac:dyDescent="0.25">
      <c r="A38">
        <v>2061</v>
      </c>
      <c r="B38">
        <v>967155.35</v>
      </c>
      <c r="C38">
        <f t="shared" si="0"/>
        <v>135401.74900000001</v>
      </c>
      <c r="D38">
        <f t="shared" si="1"/>
        <v>831753.60100000002</v>
      </c>
      <c r="E38">
        <f t="shared" si="2"/>
        <v>399241.72847999999</v>
      </c>
      <c r="F38">
        <f t="shared" si="3"/>
        <v>432511.87252000003</v>
      </c>
      <c r="G38">
        <f t="shared" si="4"/>
        <v>567913.62152000004</v>
      </c>
      <c r="H38">
        <f t="shared" si="5"/>
        <v>399241.72847999999</v>
      </c>
    </row>
    <row r="39" spans="1:8" x14ac:dyDescent="0.25">
      <c r="A39">
        <v>2062</v>
      </c>
      <c r="B39">
        <v>993338.27</v>
      </c>
      <c r="C39">
        <f t="shared" si="0"/>
        <v>139067.35780000003</v>
      </c>
      <c r="D39">
        <f t="shared" si="1"/>
        <v>854270.91220000002</v>
      </c>
      <c r="E39">
        <f t="shared" si="2"/>
        <v>410050.03785600001</v>
      </c>
      <c r="F39">
        <f t="shared" si="3"/>
        <v>444220.87434400001</v>
      </c>
      <c r="G39">
        <f t="shared" si="4"/>
        <v>583288.23214400001</v>
      </c>
      <c r="H39">
        <f t="shared" si="5"/>
        <v>410050.03785600001</v>
      </c>
    </row>
    <row r="40" spans="1:8" x14ac:dyDescent="0.25">
      <c r="A40">
        <v>2063</v>
      </c>
      <c r="B40">
        <v>1015524.43</v>
      </c>
      <c r="C40">
        <f t="shared" si="0"/>
        <v>142173.42020000002</v>
      </c>
      <c r="D40">
        <f t="shared" si="1"/>
        <v>873351.0098</v>
      </c>
      <c r="E40">
        <f t="shared" si="2"/>
        <v>419208.484704</v>
      </c>
      <c r="F40">
        <f t="shared" si="3"/>
        <v>454142.525096</v>
      </c>
      <c r="G40">
        <f t="shared" si="4"/>
        <v>596315.94529599999</v>
      </c>
      <c r="H40">
        <f t="shared" si="5"/>
        <v>419208.484704</v>
      </c>
    </row>
    <row r="41" spans="1:8" x14ac:dyDescent="0.25">
      <c r="A41">
        <v>2064</v>
      </c>
      <c r="B41">
        <v>1099852.92</v>
      </c>
      <c r="C41">
        <f t="shared" si="0"/>
        <v>153979.4088</v>
      </c>
      <c r="D41">
        <f t="shared" si="1"/>
        <v>945873.51119999995</v>
      </c>
      <c r="E41">
        <f t="shared" si="2"/>
        <v>454019.28537599999</v>
      </c>
      <c r="F41">
        <f t="shared" si="3"/>
        <v>491854.22582399996</v>
      </c>
      <c r="G41">
        <f t="shared" si="4"/>
        <v>645833.63462399994</v>
      </c>
      <c r="H41">
        <f t="shared" si="5"/>
        <v>454019.28537599999</v>
      </c>
    </row>
    <row r="42" spans="1:8" x14ac:dyDescent="0.25">
      <c r="A42">
        <v>2065</v>
      </c>
      <c r="B42">
        <v>848119.46</v>
      </c>
      <c r="C42">
        <f t="shared" si="0"/>
        <v>118736.72440000001</v>
      </c>
      <c r="D42">
        <f t="shared" si="1"/>
        <v>729382.73560000001</v>
      </c>
      <c r="E42">
        <f t="shared" si="2"/>
        <v>350103.71308800002</v>
      </c>
      <c r="F42">
        <f t="shared" si="3"/>
        <v>379279.022512</v>
      </c>
      <c r="G42">
        <f t="shared" si="4"/>
        <v>498015.746912</v>
      </c>
      <c r="H42">
        <f t="shared" si="5"/>
        <v>350103.71308800002</v>
      </c>
    </row>
    <row r="43" spans="1:8" x14ac:dyDescent="0.25">
      <c r="A43">
        <v>2066</v>
      </c>
      <c r="B43">
        <v>811932.58</v>
      </c>
      <c r="C43">
        <f t="shared" si="0"/>
        <v>113670.56120000001</v>
      </c>
      <c r="D43">
        <f t="shared" si="1"/>
        <v>698262.01879999996</v>
      </c>
      <c r="E43">
        <f t="shared" si="2"/>
        <v>335165.76902399998</v>
      </c>
      <c r="F43">
        <f t="shared" si="3"/>
        <v>363096.24977599998</v>
      </c>
      <c r="G43">
        <f t="shared" si="4"/>
        <v>476766.81097599998</v>
      </c>
      <c r="H43">
        <f t="shared" si="5"/>
        <v>335165.76902399998</v>
      </c>
    </row>
    <row r="44" spans="1:8" x14ac:dyDescent="0.25">
      <c r="A44">
        <v>2067</v>
      </c>
      <c r="B44">
        <v>1083348.02</v>
      </c>
      <c r="C44">
        <f t="shared" si="0"/>
        <v>151668.72280000002</v>
      </c>
      <c r="D44">
        <f t="shared" si="1"/>
        <v>931679.29720000003</v>
      </c>
      <c r="E44">
        <f t="shared" si="2"/>
        <v>447206.06265600002</v>
      </c>
      <c r="F44">
        <f t="shared" si="3"/>
        <v>484473.23454400001</v>
      </c>
      <c r="G44">
        <f t="shared" si="4"/>
        <v>636141.95734399999</v>
      </c>
      <c r="H44">
        <f t="shared" si="5"/>
        <v>447206.06265600002</v>
      </c>
    </row>
    <row r="45" spans="1:8" x14ac:dyDescent="0.25">
      <c r="A45">
        <v>2068</v>
      </c>
      <c r="B45">
        <v>1026899.26</v>
      </c>
      <c r="C45">
        <f t="shared" si="0"/>
        <v>143765.89640000003</v>
      </c>
      <c r="D45">
        <f t="shared" si="1"/>
        <v>883133.36360000004</v>
      </c>
      <c r="E45">
        <f t="shared" si="2"/>
        <v>423904.01452800003</v>
      </c>
      <c r="F45">
        <f t="shared" si="3"/>
        <v>459229.34907200001</v>
      </c>
      <c r="G45">
        <f t="shared" si="4"/>
        <v>602995.24547199998</v>
      </c>
      <c r="H45">
        <f t="shared" si="5"/>
        <v>423904.01452800003</v>
      </c>
    </row>
    <row r="46" spans="1:8" x14ac:dyDescent="0.25">
      <c r="A46">
        <v>2069</v>
      </c>
      <c r="B46">
        <v>909241.14</v>
      </c>
      <c r="C46">
        <f t="shared" si="0"/>
        <v>127293.75960000002</v>
      </c>
      <c r="D46">
        <f t="shared" si="1"/>
        <v>781947.38040000002</v>
      </c>
      <c r="E46">
        <f t="shared" si="2"/>
        <v>375334.742592</v>
      </c>
      <c r="F46">
        <f t="shared" si="3"/>
        <v>406612.63780800003</v>
      </c>
      <c r="G46">
        <f t="shared" si="4"/>
        <v>533906.39740800008</v>
      </c>
      <c r="H46">
        <f t="shared" si="5"/>
        <v>375334.742592</v>
      </c>
    </row>
    <row r="47" spans="1:8" x14ac:dyDescent="0.25">
      <c r="A47">
        <v>2070</v>
      </c>
      <c r="B47">
        <v>931796.78</v>
      </c>
      <c r="C47">
        <f t="shared" si="0"/>
        <v>130451.54920000002</v>
      </c>
      <c r="D47">
        <f t="shared" si="1"/>
        <v>801345.23080000002</v>
      </c>
      <c r="E47">
        <f t="shared" si="2"/>
        <v>384645.710784</v>
      </c>
      <c r="F47">
        <f t="shared" si="3"/>
        <v>416699.52001600002</v>
      </c>
      <c r="G47">
        <f t="shared" si="4"/>
        <v>547151.06921600003</v>
      </c>
      <c r="H47">
        <f t="shared" si="5"/>
        <v>384645.710784</v>
      </c>
    </row>
    <row r="48" spans="1:8" x14ac:dyDescent="0.25">
      <c r="A48">
        <v>2071</v>
      </c>
      <c r="B48">
        <v>1036003.42</v>
      </c>
      <c r="C48">
        <f t="shared" si="0"/>
        <v>145040.47880000001</v>
      </c>
      <c r="D48">
        <f t="shared" si="1"/>
        <v>890962.9412</v>
      </c>
      <c r="E48">
        <f t="shared" si="2"/>
        <v>427662.21177599998</v>
      </c>
      <c r="F48">
        <f t="shared" si="3"/>
        <v>463300.72942400002</v>
      </c>
      <c r="G48">
        <f t="shared" si="4"/>
        <v>608341.20822400006</v>
      </c>
      <c r="H48">
        <f t="shared" si="5"/>
        <v>427662.21177599998</v>
      </c>
    </row>
    <row r="49" spans="1:8" x14ac:dyDescent="0.25">
      <c r="A49">
        <v>2072</v>
      </c>
      <c r="B49">
        <v>1095513.6299999999</v>
      </c>
      <c r="C49">
        <f t="shared" si="0"/>
        <v>153371.90820000001</v>
      </c>
      <c r="D49">
        <f t="shared" si="1"/>
        <v>942141.72179999994</v>
      </c>
      <c r="E49">
        <f t="shared" si="2"/>
        <v>452228.02646399994</v>
      </c>
      <c r="F49">
        <f t="shared" si="3"/>
        <v>489913.695336</v>
      </c>
      <c r="G49">
        <f t="shared" si="4"/>
        <v>643285.60353600001</v>
      </c>
      <c r="H49">
        <f t="shared" si="5"/>
        <v>452228.02646399994</v>
      </c>
    </row>
    <row r="50" spans="1:8" x14ac:dyDescent="0.25">
      <c r="A50">
        <v>2073</v>
      </c>
      <c r="B50">
        <v>900132.08</v>
      </c>
      <c r="C50">
        <f t="shared" si="0"/>
        <v>126018.4912</v>
      </c>
      <c r="D50">
        <f t="shared" si="1"/>
        <v>774113.58879999991</v>
      </c>
      <c r="E50">
        <f t="shared" si="2"/>
        <v>371574.52262399992</v>
      </c>
      <c r="F50">
        <f t="shared" si="3"/>
        <v>402539.06617599999</v>
      </c>
      <c r="G50">
        <f t="shared" si="4"/>
        <v>528557.55737599998</v>
      </c>
      <c r="H50">
        <f t="shared" si="5"/>
        <v>371574.52262399992</v>
      </c>
    </row>
    <row r="51" spans="1:8" x14ac:dyDescent="0.25">
      <c r="A51">
        <v>2074</v>
      </c>
      <c r="B51">
        <v>967698.5</v>
      </c>
      <c r="C51">
        <f t="shared" si="0"/>
        <v>135477.79</v>
      </c>
      <c r="D51">
        <f t="shared" si="1"/>
        <v>832220.71</v>
      </c>
      <c r="E51">
        <f t="shared" si="2"/>
        <v>399465.94079999998</v>
      </c>
      <c r="F51">
        <f t="shared" si="3"/>
        <v>432754.76919999998</v>
      </c>
      <c r="G51">
        <f t="shared" si="4"/>
        <v>568232.55920000002</v>
      </c>
      <c r="H51">
        <f t="shared" si="5"/>
        <v>399465.94079999998</v>
      </c>
    </row>
    <row r="52" spans="1:8" x14ac:dyDescent="0.25">
      <c r="A52">
        <v>2075</v>
      </c>
      <c r="B52">
        <v>821629.61</v>
      </c>
      <c r="C52">
        <f t="shared" si="0"/>
        <v>115028.14540000001</v>
      </c>
      <c r="D52">
        <f t="shared" si="1"/>
        <v>706601.46459999995</v>
      </c>
      <c r="E52">
        <f t="shared" si="2"/>
        <v>339168.70300799998</v>
      </c>
      <c r="F52">
        <f t="shared" si="3"/>
        <v>367432.76159199997</v>
      </c>
      <c r="G52">
        <f t="shared" si="4"/>
        <v>482460.90699199995</v>
      </c>
      <c r="H52">
        <f t="shared" si="5"/>
        <v>339168.70300799998</v>
      </c>
    </row>
    <row r="53" spans="1:8" x14ac:dyDescent="0.25">
      <c r="A53">
        <v>2076</v>
      </c>
      <c r="B53">
        <v>861038.78</v>
      </c>
      <c r="C53">
        <f t="shared" si="0"/>
        <v>120545.42920000001</v>
      </c>
      <c r="D53">
        <f t="shared" si="1"/>
        <v>740493.35080000001</v>
      </c>
      <c r="E53">
        <f t="shared" si="2"/>
        <v>355436.80838399997</v>
      </c>
      <c r="F53">
        <f t="shared" si="3"/>
        <v>385056.54241600004</v>
      </c>
      <c r="G53">
        <f t="shared" si="4"/>
        <v>505601.97161600005</v>
      </c>
      <c r="H53">
        <f t="shared" si="5"/>
        <v>355436.80838399997</v>
      </c>
    </row>
    <row r="54" spans="1:8" x14ac:dyDescent="0.25">
      <c r="A54">
        <v>2077</v>
      </c>
      <c r="B54">
        <v>846265.58</v>
      </c>
      <c r="C54">
        <f t="shared" si="0"/>
        <v>118477.18120000001</v>
      </c>
      <c r="D54">
        <f t="shared" si="1"/>
        <v>727788.39879999997</v>
      </c>
      <c r="E54">
        <f t="shared" si="2"/>
        <v>349338.43142399995</v>
      </c>
      <c r="F54">
        <f t="shared" si="3"/>
        <v>378449.96737600002</v>
      </c>
      <c r="G54">
        <f t="shared" si="4"/>
        <v>496927.14857600001</v>
      </c>
      <c r="H54">
        <f t="shared" si="5"/>
        <v>349338.43142399995</v>
      </c>
    </row>
    <row r="55" spans="1:8" x14ac:dyDescent="0.25">
      <c r="A55">
        <v>2078</v>
      </c>
      <c r="B55">
        <v>960983.02</v>
      </c>
      <c r="C55">
        <f t="shared" si="0"/>
        <v>134537.62280000001</v>
      </c>
      <c r="D55">
        <f t="shared" si="1"/>
        <v>826445.39720000001</v>
      </c>
      <c r="E55">
        <f t="shared" si="2"/>
        <v>396693.79065599997</v>
      </c>
      <c r="F55">
        <f t="shared" si="3"/>
        <v>429751.60654400004</v>
      </c>
      <c r="G55">
        <f t="shared" si="4"/>
        <v>564289.22934400011</v>
      </c>
      <c r="H55">
        <f t="shared" si="5"/>
        <v>396693.79065599997</v>
      </c>
    </row>
    <row r="56" spans="1:8" x14ac:dyDescent="0.25">
      <c r="A56">
        <v>2079</v>
      </c>
      <c r="B56">
        <v>1025169.2</v>
      </c>
      <c r="C56">
        <f t="shared" si="0"/>
        <v>143523.68799999999</v>
      </c>
      <c r="D56">
        <f t="shared" si="1"/>
        <v>881645.51199999999</v>
      </c>
      <c r="E56">
        <f t="shared" si="2"/>
        <v>423189.84576</v>
      </c>
      <c r="F56">
        <f t="shared" si="3"/>
        <v>458455.66623999999</v>
      </c>
      <c r="G56">
        <f t="shared" si="4"/>
        <v>601979.35424000002</v>
      </c>
      <c r="H56">
        <f t="shared" si="5"/>
        <v>423189.84576</v>
      </c>
    </row>
    <row r="57" spans="1:8" x14ac:dyDescent="0.25">
      <c r="A57">
        <v>2080</v>
      </c>
      <c r="B57">
        <v>1114730.94</v>
      </c>
      <c r="C57">
        <f t="shared" si="0"/>
        <v>156062.3316</v>
      </c>
      <c r="D57">
        <f t="shared" si="1"/>
        <v>958668.60839999991</v>
      </c>
      <c r="E57">
        <f t="shared" si="2"/>
        <v>460160.93203199992</v>
      </c>
      <c r="F57">
        <f t="shared" si="3"/>
        <v>498507.67636799999</v>
      </c>
      <c r="G57">
        <f t="shared" si="4"/>
        <v>654570.00796800002</v>
      </c>
      <c r="H57">
        <f t="shared" si="5"/>
        <v>460160.93203199992</v>
      </c>
    </row>
    <row r="58" spans="1:8" x14ac:dyDescent="0.25">
      <c r="A58">
        <v>2081</v>
      </c>
      <c r="B58">
        <v>827220.44</v>
      </c>
      <c r="C58">
        <f t="shared" si="0"/>
        <v>115810.8616</v>
      </c>
      <c r="D58">
        <f t="shared" si="1"/>
        <v>711409.5784</v>
      </c>
      <c r="E58">
        <f t="shared" si="2"/>
        <v>341476.59763199999</v>
      </c>
      <c r="F58">
        <f t="shared" si="3"/>
        <v>369932.98076800001</v>
      </c>
      <c r="G58">
        <f t="shared" si="4"/>
        <v>485743.84236800001</v>
      </c>
      <c r="H58">
        <f t="shared" si="5"/>
        <v>341476.59763199999</v>
      </c>
    </row>
    <row r="59" spans="1:8" x14ac:dyDescent="0.25">
      <c r="A59">
        <v>2082</v>
      </c>
      <c r="B59">
        <v>1033906.15</v>
      </c>
      <c r="C59">
        <f t="shared" si="0"/>
        <v>144746.861</v>
      </c>
      <c r="D59">
        <f t="shared" si="1"/>
        <v>889159.28899999999</v>
      </c>
      <c r="E59">
        <f t="shared" si="2"/>
        <v>426796.45872</v>
      </c>
      <c r="F59">
        <f t="shared" si="3"/>
        <v>462362.83027999999</v>
      </c>
      <c r="G59">
        <f t="shared" si="4"/>
        <v>607109.69128000003</v>
      </c>
      <c r="H59">
        <f t="shared" si="5"/>
        <v>426796.45872</v>
      </c>
    </row>
    <row r="60" spans="1:8" x14ac:dyDescent="0.25">
      <c r="A60">
        <v>2083</v>
      </c>
      <c r="B60">
        <v>1037821.07</v>
      </c>
      <c r="C60">
        <f t="shared" si="0"/>
        <v>145294.9498</v>
      </c>
      <c r="D60">
        <f t="shared" si="1"/>
        <v>892526.12019999989</v>
      </c>
      <c r="E60">
        <f t="shared" si="2"/>
        <v>428412.53769599996</v>
      </c>
      <c r="F60">
        <f t="shared" si="3"/>
        <v>464113.58250399993</v>
      </c>
      <c r="G60">
        <f t="shared" si="4"/>
        <v>609408.53230399988</v>
      </c>
      <c r="H60">
        <f t="shared" si="5"/>
        <v>428412.53769599996</v>
      </c>
    </row>
    <row r="61" spans="1:8" x14ac:dyDescent="0.25">
      <c r="A61">
        <v>2084</v>
      </c>
      <c r="B61">
        <v>1198570.72</v>
      </c>
      <c r="C61">
        <f t="shared" si="0"/>
        <v>167799.9008</v>
      </c>
      <c r="D61">
        <f t="shared" si="1"/>
        <v>1030770.8191999999</v>
      </c>
      <c r="E61">
        <f t="shared" si="2"/>
        <v>494769.99321599992</v>
      </c>
      <c r="F61">
        <f t="shared" si="3"/>
        <v>536000.825984</v>
      </c>
      <c r="G61">
        <f t="shared" si="4"/>
        <v>703800.72678399994</v>
      </c>
      <c r="H61">
        <f t="shared" si="5"/>
        <v>494769.99321599992</v>
      </c>
    </row>
    <row r="62" spans="1:8" x14ac:dyDescent="0.25">
      <c r="A62">
        <v>2085</v>
      </c>
      <c r="B62">
        <v>1143087.3799999999</v>
      </c>
      <c r="C62">
        <f t="shared" si="0"/>
        <v>160032.23319999999</v>
      </c>
      <c r="D62">
        <f t="shared" si="1"/>
        <v>983055.14679999987</v>
      </c>
      <c r="E62">
        <f t="shared" si="2"/>
        <v>471866.4704639999</v>
      </c>
      <c r="F62">
        <f t="shared" si="3"/>
        <v>511188.67633599997</v>
      </c>
      <c r="G62">
        <f t="shared" si="4"/>
        <v>671220.90953599999</v>
      </c>
      <c r="H62">
        <f t="shared" si="5"/>
        <v>471866.4704639999</v>
      </c>
    </row>
    <row r="63" spans="1:8" x14ac:dyDescent="0.25">
      <c r="A63">
        <v>2086</v>
      </c>
      <c r="B63">
        <v>996295.08</v>
      </c>
      <c r="C63">
        <f t="shared" si="0"/>
        <v>139481.3112</v>
      </c>
      <c r="D63">
        <f t="shared" si="1"/>
        <v>856813.76879999996</v>
      </c>
      <c r="E63">
        <f t="shared" si="2"/>
        <v>411270.60902399995</v>
      </c>
      <c r="F63">
        <f t="shared" si="3"/>
        <v>445543.15977600001</v>
      </c>
      <c r="G63">
        <f t="shared" si="4"/>
        <v>585024.47097599995</v>
      </c>
      <c r="H63">
        <f t="shared" si="5"/>
        <v>411270.60902399995</v>
      </c>
    </row>
    <row r="64" spans="1:8" x14ac:dyDescent="0.25">
      <c r="A64">
        <v>2087</v>
      </c>
      <c r="B64">
        <v>1034847.46</v>
      </c>
      <c r="C64">
        <f t="shared" si="0"/>
        <v>144878.64440000002</v>
      </c>
      <c r="D64">
        <f t="shared" si="1"/>
        <v>889968.81559999997</v>
      </c>
      <c r="E64">
        <f t="shared" si="2"/>
        <v>427185.03148799995</v>
      </c>
      <c r="F64">
        <f t="shared" si="3"/>
        <v>462783.78411200002</v>
      </c>
      <c r="G64">
        <f t="shared" si="4"/>
        <v>607662.42851200001</v>
      </c>
      <c r="H64">
        <f t="shared" si="5"/>
        <v>427185.03148799995</v>
      </c>
    </row>
    <row r="65" spans="1:8" x14ac:dyDescent="0.25">
      <c r="A65">
        <v>2088</v>
      </c>
      <c r="B65">
        <v>979598.22</v>
      </c>
      <c r="C65">
        <f t="shared" si="0"/>
        <v>137143.75080000001</v>
      </c>
      <c r="D65">
        <f t="shared" si="1"/>
        <v>842454.46919999993</v>
      </c>
      <c r="E65">
        <f t="shared" si="2"/>
        <v>404378.14521599998</v>
      </c>
      <c r="F65">
        <f t="shared" si="3"/>
        <v>438076.32398399996</v>
      </c>
      <c r="G65">
        <f t="shared" si="4"/>
        <v>575220.07478399994</v>
      </c>
      <c r="H65">
        <f t="shared" si="5"/>
        <v>404378.14521599998</v>
      </c>
    </row>
    <row r="66" spans="1:8" x14ac:dyDescent="0.25">
      <c r="A66">
        <v>2089</v>
      </c>
      <c r="B66">
        <v>1095976.94</v>
      </c>
      <c r="C66">
        <f t="shared" si="0"/>
        <v>153436.77160000001</v>
      </c>
      <c r="D66">
        <f t="shared" si="1"/>
        <v>942540.16839999997</v>
      </c>
      <c r="E66">
        <f t="shared" si="2"/>
        <v>452419.28083199996</v>
      </c>
      <c r="F66">
        <f t="shared" si="3"/>
        <v>490120.88756800001</v>
      </c>
      <c r="G66">
        <f t="shared" si="4"/>
        <v>643557.65916799998</v>
      </c>
      <c r="H66">
        <f t="shared" si="5"/>
        <v>452419.28083199996</v>
      </c>
    </row>
    <row r="67" spans="1:8" x14ac:dyDescent="0.25">
      <c r="A67">
        <v>2090</v>
      </c>
      <c r="B67">
        <v>953711.9</v>
      </c>
      <c r="C67">
        <f t="shared" ref="C67:C102" si="6">B67*$N$6</f>
        <v>133519.66600000003</v>
      </c>
      <c r="D67">
        <f t="shared" ref="D67:D102" si="7">B67*$P$6</f>
        <v>820192.23400000005</v>
      </c>
      <c r="E67">
        <f t="shared" ref="E67:E102" si="8">D67*$R$6</f>
        <v>393692.27231999999</v>
      </c>
      <c r="F67">
        <f t="shared" ref="F67:F102" si="9">D67-E67</f>
        <v>426499.96168000007</v>
      </c>
      <c r="G67">
        <f t="shared" ref="G67:G102" si="10">F67+C67</f>
        <v>560019.62768000015</v>
      </c>
      <c r="H67">
        <f t="shared" ref="H67:H102" si="11">E67</f>
        <v>393692.27231999999</v>
      </c>
    </row>
    <row r="68" spans="1:8" x14ac:dyDescent="0.25">
      <c r="A68">
        <v>2091</v>
      </c>
      <c r="B68">
        <v>1200610.3899999999</v>
      </c>
      <c r="C68">
        <f t="shared" si="6"/>
        <v>168085.4546</v>
      </c>
      <c r="D68">
        <f t="shared" si="7"/>
        <v>1032524.9353999998</v>
      </c>
      <c r="E68">
        <f t="shared" si="8"/>
        <v>495611.96899199992</v>
      </c>
      <c r="F68">
        <f t="shared" si="9"/>
        <v>536912.96640799986</v>
      </c>
      <c r="G68">
        <f t="shared" si="10"/>
        <v>704998.42100799992</v>
      </c>
      <c r="H68">
        <f t="shared" si="11"/>
        <v>495611.96899199992</v>
      </c>
    </row>
    <row r="69" spans="1:8" x14ac:dyDescent="0.25">
      <c r="A69">
        <v>2092</v>
      </c>
      <c r="B69">
        <v>1056096.53</v>
      </c>
      <c r="C69">
        <f t="shared" si="6"/>
        <v>147853.51420000001</v>
      </c>
      <c r="D69">
        <f t="shared" si="7"/>
        <v>908243.01580000005</v>
      </c>
      <c r="E69">
        <f t="shared" si="8"/>
        <v>435956.64758400002</v>
      </c>
      <c r="F69">
        <f t="shared" si="9"/>
        <v>472286.36821600003</v>
      </c>
      <c r="G69">
        <f t="shared" si="10"/>
        <v>620139.88241600001</v>
      </c>
      <c r="H69">
        <f t="shared" si="11"/>
        <v>435956.64758400002</v>
      </c>
    </row>
    <row r="70" spans="1:8" x14ac:dyDescent="0.25">
      <c r="A70">
        <v>2093</v>
      </c>
      <c r="B70">
        <v>1024745.32</v>
      </c>
      <c r="C70">
        <f t="shared" si="6"/>
        <v>143464.34480000002</v>
      </c>
      <c r="D70">
        <f t="shared" si="7"/>
        <v>881280.97519999999</v>
      </c>
      <c r="E70">
        <f t="shared" si="8"/>
        <v>423014.86809599999</v>
      </c>
      <c r="F70">
        <f t="shared" si="9"/>
        <v>458266.107104</v>
      </c>
      <c r="G70">
        <f t="shared" si="10"/>
        <v>601730.45190400002</v>
      </c>
      <c r="H70">
        <f t="shared" si="11"/>
        <v>423014.86809599999</v>
      </c>
    </row>
    <row r="71" spans="1:8" x14ac:dyDescent="0.25">
      <c r="A71">
        <v>2094</v>
      </c>
      <c r="B71">
        <v>1125869.3</v>
      </c>
      <c r="C71">
        <f t="shared" si="6"/>
        <v>157621.70200000002</v>
      </c>
      <c r="D71">
        <f t="shared" si="7"/>
        <v>968247.598</v>
      </c>
      <c r="E71">
        <f t="shared" si="8"/>
        <v>464758.84703999996</v>
      </c>
      <c r="F71">
        <f t="shared" si="9"/>
        <v>503488.75096000003</v>
      </c>
      <c r="G71">
        <f t="shared" si="10"/>
        <v>661110.45296000002</v>
      </c>
      <c r="H71">
        <f t="shared" si="11"/>
        <v>464758.84703999996</v>
      </c>
    </row>
    <row r="72" spans="1:8" x14ac:dyDescent="0.25">
      <c r="A72">
        <v>2095</v>
      </c>
      <c r="B72">
        <v>1133240.55</v>
      </c>
      <c r="C72">
        <f t="shared" si="6"/>
        <v>158653.67700000003</v>
      </c>
      <c r="D72">
        <f t="shared" si="7"/>
        <v>974586.87300000002</v>
      </c>
      <c r="E72">
        <f t="shared" si="8"/>
        <v>467801.69903999998</v>
      </c>
      <c r="F72">
        <f t="shared" si="9"/>
        <v>506785.17396000004</v>
      </c>
      <c r="G72">
        <f t="shared" si="10"/>
        <v>665438.85096000007</v>
      </c>
      <c r="H72">
        <f t="shared" si="11"/>
        <v>467801.69903999998</v>
      </c>
    </row>
    <row r="73" spans="1:8" x14ac:dyDescent="0.25">
      <c r="A73">
        <v>2096</v>
      </c>
      <c r="B73">
        <v>1014204.71</v>
      </c>
      <c r="C73">
        <f t="shared" si="6"/>
        <v>141988.6594</v>
      </c>
      <c r="D73">
        <f t="shared" si="7"/>
        <v>872216.05059999996</v>
      </c>
      <c r="E73">
        <f t="shared" si="8"/>
        <v>418663.70428799995</v>
      </c>
      <c r="F73">
        <f t="shared" si="9"/>
        <v>453552.34631200001</v>
      </c>
      <c r="G73">
        <f t="shared" si="10"/>
        <v>595541.00571199995</v>
      </c>
      <c r="H73">
        <f t="shared" si="11"/>
        <v>418663.70428799995</v>
      </c>
    </row>
    <row r="74" spans="1:8" x14ac:dyDescent="0.25">
      <c r="A74">
        <v>2097</v>
      </c>
      <c r="B74">
        <v>969670.54</v>
      </c>
      <c r="C74">
        <f t="shared" si="6"/>
        <v>135753.87560000003</v>
      </c>
      <c r="D74">
        <f t="shared" si="7"/>
        <v>833916.66440000001</v>
      </c>
      <c r="E74">
        <f t="shared" si="8"/>
        <v>400279.99891199998</v>
      </c>
      <c r="F74">
        <f t="shared" si="9"/>
        <v>433636.66548800003</v>
      </c>
      <c r="G74">
        <f t="shared" si="10"/>
        <v>569390.54108800006</v>
      </c>
      <c r="H74">
        <f t="shared" si="11"/>
        <v>400279.99891199998</v>
      </c>
    </row>
    <row r="75" spans="1:8" x14ac:dyDescent="0.25">
      <c r="A75">
        <v>2098</v>
      </c>
      <c r="B75">
        <v>1057031</v>
      </c>
      <c r="C75">
        <f t="shared" si="6"/>
        <v>147984.34000000003</v>
      </c>
      <c r="D75">
        <f t="shared" si="7"/>
        <v>909046.66</v>
      </c>
      <c r="E75">
        <f t="shared" si="8"/>
        <v>436342.39679999999</v>
      </c>
      <c r="F75">
        <f t="shared" si="9"/>
        <v>472704.26320000004</v>
      </c>
      <c r="G75">
        <f t="shared" si="10"/>
        <v>620688.60320000001</v>
      </c>
      <c r="H75">
        <f t="shared" si="11"/>
        <v>436342.39679999999</v>
      </c>
    </row>
    <row r="76" spans="1:8" x14ac:dyDescent="0.25">
      <c r="A76">
        <v>2099</v>
      </c>
      <c r="B76">
        <v>873792.97</v>
      </c>
      <c r="C76">
        <f t="shared" si="6"/>
        <v>122331.01580000001</v>
      </c>
      <c r="D76">
        <f t="shared" si="7"/>
        <v>751461.95419999992</v>
      </c>
      <c r="E76">
        <f t="shared" si="8"/>
        <v>360701.73801599996</v>
      </c>
      <c r="F76">
        <f t="shared" si="9"/>
        <v>390760.21618399996</v>
      </c>
      <c r="G76">
        <f t="shared" si="10"/>
        <v>513091.23198399995</v>
      </c>
      <c r="H76">
        <f t="shared" si="11"/>
        <v>360701.73801599996</v>
      </c>
    </row>
    <row r="77" spans="1:8" x14ac:dyDescent="0.25">
      <c r="A77">
        <v>2100</v>
      </c>
      <c r="B77">
        <v>1126844.58</v>
      </c>
      <c r="C77">
        <f t="shared" si="6"/>
        <v>157758.24120000002</v>
      </c>
      <c r="D77">
        <f t="shared" si="7"/>
        <v>969086.33880000003</v>
      </c>
      <c r="E77">
        <f t="shared" si="8"/>
        <v>465161.44262400002</v>
      </c>
      <c r="F77">
        <f t="shared" si="9"/>
        <v>503924.89617600001</v>
      </c>
      <c r="G77">
        <f t="shared" si="10"/>
        <v>661683.13737600006</v>
      </c>
      <c r="H77">
        <f t="shared" si="11"/>
        <v>465161.44262400002</v>
      </c>
    </row>
    <row r="78" spans="1:8" x14ac:dyDescent="0.25">
      <c r="A78">
        <v>2101</v>
      </c>
      <c r="B78">
        <v>1125649.01</v>
      </c>
      <c r="C78">
        <f t="shared" si="6"/>
        <v>157590.86140000002</v>
      </c>
      <c r="D78">
        <f t="shared" si="7"/>
        <v>968058.14859999996</v>
      </c>
      <c r="E78">
        <f t="shared" si="8"/>
        <v>464667.91132799996</v>
      </c>
      <c r="F78">
        <f t="shared" si="9"/>
        <v>503390.237272</v>
      </c>
      <c r="G78">
        <f t="shared" si="10"/>
        <v>660981.09867199999</v>
      </c>
      <c r="H78">
        <f t="shared" si="11"/>
        <v>464667.91132799996</v>
      </c>
    </row>
    <row r="79" spans="1:8" x14ac:dyDescent="0.25">
      <c r="A79">
        <v>2102</v>
      </c>
      <c r="B79">
        <v>1144474.8899999999</v>
      </c>
      <c r="C79">
        <f t="shared" si="6"/>
        <v>160226.4846</v>
      </c>
      <c r="D79">
        <f t="shared" si="7"/>
        <v>984248.40539999993</v>
      </c>
      <c r="E79">
        <f t="shared" si="8"/>
        <v>472439.23459199996</v>
      </c>
      <c r="F79">
        <f t="shared" si="9"/>
        <v>511809.17080799997</v>
      </c>
      <c r="G79">
        <f t="shared" si="10"/>
        <v>672035.65540799999</v>
      </c>
      <c r="H79">
        <f t="shared" si="11"/>
        <v>472439.23459199996</v>
      </c>
    </row>
    <row r="80" spans="1:8" x14ac:dyDescent="0.25">
      <c r="A80">
        <v>2103</v>
      </c>
      <c r="B80">
        <v>1097315.4099999999</v>
      </c>
      <c r="C80">
        <f t="shared" si="6"/>
        <v>153624.1574</v>
      </c>
      <c r="D80">
        <f t="shared" si="7"/>
        <v>943691.25259999989</v>
      </c>
      <c r="E80">
        <f t="shared" si="8"/>
        <v>452971.80124799995</v>
      </c>
      <c r="F80">
        <f t="shared" si="9"/>
        <v>490719.45135199995</v>
      </c>
      <c r="G80">
        <f t="shared" si="10"/>
        <v>644343.60875199991</v>
      </c>
      <c r="H80">
        <f t="shared" si="11"/>
        <v>452971.80124799995</v>
      </c>
    </row>
    <row r="81" spans="1:8" x14ac:dyDescent="0.25">
      <c r="A81">
        <v>2104</v>
      </c>
      <c r="B81">
        <v>1108417.8700000001</v>
      </c>
      <c r="C81">
        <f t="shared" si="6"/>
        <v>155178.50180000003</v>
      </c>
      <c r="D81">
        <f t="shared" si="7"/>
        <v>953239.36820000003</v>
      </c>
      <c r="E81">
        <f t="shared" si="8"/>
        <v>457554.89673600002</v>
      </c>
      <c r="F81">
        <f t="shared" si="9"/>
        <v>495684.471464</v>
      </c>
      <c r="G81">
        <f t="shared" si="10"/>
        <v>650862.97326400003</v>
      </c>
      <c r="H81">
        <f t="shared" si="11"/>
        <v>457554.89673600002</v>
      </c>
    </row>
    <row r="82" spans="1:8" x14ac:dyDescent="0.25">
      <c r="A82">
        <v>2105</v>
      </c>
      <c r="B82">
        <v>1031767.18</v>
      </c>
      <c r="C82">
        <f t="shared" si="6"/>
        <v>144447.40520000001</v>
      </c>
      <c r="D82">
        <f t="shared" si="7"/>
        <v>887319.77480000001</v>
      </c>
      <c r="E82">
        <f t="shared" si="8"/>
        <v>425913.49190399999</v>
      </c>
      <c r="F82">
        <f t="shared" si="9"/>
        <v>461406.28289600002</v>
      </c>
      <c r="G82">
        <f t="shared" si="10"/>
        <v>605853.688096</v>
      </c>
      <c r="H82">
        <f t="shared" si="11"/>
        <v>425913.49190399999</v>
      </c>
    </row>
    <row r="83" spans="1:8" x14ac:dyDescent="0.25">
      <c r="A83">
        <v>2106</v>
      </c>
      <c r="B83">
        <v>909286.62</v>
      </c>
      <c r="C83">
        <f t="shared" si="6"/>
        <v>127300.12680000001</v>
      </c>
      <c r="D83">
        <f t="shared" si="7"/>
        <v>781986.49320000003</v>
      </c>
      <c r="E83">
        <f t="shared" si="8"/>
        <v>375353.51673600002</v>
      </c>
      <c r="F83">
        <f t="shared" si="9"/>
        <v>406632.97646400001</v>
      </c>
      <c r="G83">
        <f t="shared" si="10"/>
        <v>533933.10326400003</v>
      </c>
      <c r="H83">
        <f t="shared" si="11"/>
        <v>375353.51673600002</v>
      </c>
    </row>
    <row r="84" spans="1:8" x14ac:dyDescent="0.25">
      <c r="A84">
        <v>2107</v>
      </c>
      <c r="B84">
        <v>1051660.31</v>
      </c>
      <c r="C84">
        <f t="shared" si="6"/>
        <v>147232.44340000002</v>
      </c>
      <c r="D84">
        <f t="shared" si="7"/>
        <v>904427.86660000007</v>
      </c>
      <c r="E84">
        <f t="shared" si="8"/>
        <v>434125.37596800004</v>
      </c>
      <c r="F84">
        <f t="shared" si="9"/>
        <v>470302.49063200003</v>
      </c>
      <c r="G84">
        <f t="shared" si="10"/>
        <v>617534.93403200002</v>
      </c>
      <c r="H84">
        <f t="shared" si="11"/>
        <v>434125.37596800004</v>
      </c>
    </row>
    <row r="85" spans="1:8" x14ac:dyDescent="0.25">
      <c r="A85">
        <v>2108</v>
      </c>
      <c r="B85">
        <v>1181323.51</v>
      </c>
      <c r="C85">
        <f t="shared" si="6"/>
        <v>165385.29140000002</v>
      </c>
      <c r="D85">
        <f t="shared" si="7"/>
        <v>1015938.2186</v>
      </c>
      <c r="E85">
        <f t="shared" si="8"/>
        <v>487650.34492800001</v>
      </c>
      <c r="F85">
        <f t="shared" si="9"/>
        <v>528287.87367200002</v>
      </c>
      <c r="G85">
        <f t="shared" si="10"/>
        <v>693673.165072</v>
      </c>
      <c r="H85">
        <f t="shared" si="11"/>
        <v>487650.34492800001</v>
      </c>
    </row>
    <row r="86" spans="1:8" x14ac:dyDescent="0.25">
      <c r="A86">
        <v>2109</v>
      </c>
      <c r="B86">
        <v>1015941.25</v>
      </c>
      <c r="C86">
        <f t="shared" si="6"/>
        <v>142231.77500000002</v>
      </c>
      <c r="D86">
        <f t="shared" si="7"/>
        <v>873709.47499999998</v>
      </c>
      <c r="E86">
        <f t="shared" si="8"/>
        <v>419380.54799999995</v>
      </c>
      <c r="F86">
        <f t="shared" si="9"/>
        <v>454328.92700000003</v>
      </c>
      <c r="G86">
        <f t="shared" si="10"/>
        <v>596560.70200000005</v>
      </c>
      <c r="H86">
        <f t="shared" si="11"/>
        <v>419380.54799999995</v>
      </c>
    </row>
    <row r="87" spans="1:8" x14ac:dyDescent="0.25">
      <c r="A87">
        <v>2110</v>
      </c>
      <c r="B87">
        <v>956378.41</v>
      </c>
      <c r="C87">
        <f t="shared" si="6"/>
        <v>133892.9774</v>
      </c>
      <c r="D87">
        <f t="shared" si="7"/>
        <v>822485.43260000006</v>
      </c>
      <c r="E87">
        <f t="shared" si="8"/>
        <v>394793.00764800003</v>
      </c>
      <c r="F87">
        <f t="shared" si="9"/>
        <v>427692.42495200003</v>
      </c>
      <c r="G87">
        <f t="shared" si="10"/>
        <v>561585.402352</v>
      </c>
      <c r="H87">
        <f t="shared" si="11"/>
        <v>394793.00764800003</v>
      </c>
    </row>
    <row r="88" spans="1:8" x14ac:dyDescent="0.25">
      <c r="A88">
        <v>2111</v>
      </c>
      <c r="B88">
        <v>1073780.8700000001</v>
      </c>
      <c r="C88">
        <f t="shared" si="6"/>
        <v>150329.32180000003</v>
      </c>
      <c r="D88">
        <f t="shared" si="7"/>
        <v>923451.54820000008</v>
      </c>
      <c r="E88">
        <f t="shared" si="8"/>
        <v>443256.743136</v>
      </c>
      <c r="F88">
        <f t="shared" si="9"/>
        <v>480194.80506400007</v>
      </c>
      <c r="G88">
        <f t="shared" si="10"/>
        <v>630524.12686400011</v>
      </c>
      <c r="H88">
        <f t="shared" si="11"/>
        <v>443256.743136</v>
      </c>
    </row>
    <row r="89" spans="1:8" x14ac:dyDescent="0.25">
      <c r="A89">
        <v>2112</v>
      </c>
      <c r="B89">
        <v>1254918.52</v>
      </c>
      <c r="C89">
        <f t="shared" si="6"/>
        <v>175688.59280000001</v>
      </c>
      <c r="D89">
        <f t="shared" si="7"/>
        <v>1079229.9272</v>
      </c>
      <c r="E89">
        <f t="shared" si="8"/>
        <v>518030.36505600001</v>
      </c>
      <c r="F89">
        <f t="shared" si="9"/>
        <v>561199.56214400008</v>
      </c>
      <c r="G89">
        <f t="shared" si="10"/>
        <v>736888.15494400007</v>
      </c>
      <c r="H89">
        <f t="shared" si="11"/>
        <v>518030.36505600001</v>
      </c>
    </row>
    <row r="90" spans="1:8" x14ac:dyDescent="0.25">
      <c r="A90">
        <v>2113</v>
      </c>
      <c r="B90">
        <v>1241777.68</v>
      </c>
      <c r="C90">
        <f t="shared" si="6"/>
        <v>173848.87520000001</v>
      </c>
      <c r="D90">
        <f t="shared" si="7"/>
        <v>1067928.8048</v>
      </c>
      <c r="E90">
        <f t="shared" si="8"/>
        <v>512605.82630399999</v>
      </c>
      <c r="F90">
        <f t="shared" si="9"/>
        <v>555322.97849600005</v>
      </c>
      <c r="G90">
        <f t="shared" si="10"/>
        <v>729171.85369600006</v>
      </c>
      <c r="H90">
        <f t="shared" si="11"/>
        <v>512605.82630399999</v>
      </c>
    </row>
    <row r="91" spans="1:8" x14ac:dyDescent="0.25">
      <c r="A91">
        <v>2114</v>
      </c>
      <c r="B91">
        <v>1207996.6399999999</v>
      </c>
      <c r="C91">
        <f t="shared" si="6"/>
        <v>169119.52960000001</v>
      </c>
      <c r="D91">
        <f t="shared" si="7"/>
        <v>1038877.1103999999</v>
      </c>
      <c r="E91">
        <f t="shared" si="8"/>
        <v>498661.01299199992</v>
      </c>
      <c r="F91">
        <f t="shared" si="9"/>
        <v>540216.09740799991</v>
      </c>
      <c r="G91">
        <f t="shared" si="10"/>
        <v>709335.62700799992</v>
      </c>
      <c r="H91">
        <f t="shared" si="11"/>
        <v>498661.01299199992</v>
      </c>
    </row>
    <row r="92" spans="1:8" x14ac:dyDescent="0.25">
      <c r="A92">
        <v>2115</v>
      </c>
      <c r="B92">
        <v>1127882.1299999999</v>
      </c>
      <c r="C92">
        <f t="shared" si="6"/>
        <v>157903.4982</v>
      </c>
      <c r="D92">
        <f t="shared" si="7"/>
        <v>969978.63179999986</v>
      </c>
      <c r="E92">
        <f t="shared" si="8"/>
        <v>465589.74326399993</v>
      </c>
      <c r="F92">
        <f t="shared" si="9"/>
        <v>504388.88853599993</v>
      </c>
      <c r="G92">
        <f t="shared" si="10"/>
        <v>662292.38673599996</v>
      </c>
      <c r="H92">
        <f t="shared" si="11"/>
        <v>465589.74326399993</v>
      </c>
    </row>
    <row r="93" spans="1:8" x14ac:dyDescent="0.25">
      <c r="A93">
        <v>2116</v>
      </c>
      <c r="B93">
        <v>1153891.29</v>
      </c>
      <c r="C93">
        <f t="shared" si="6"/>
        <v>161544.78060000003</v>
      </c>
      <c r="D93">
        <f t="shared" si="7"/>
        <v>992346.50939999998</v>
      </c>
      <c r="E93">
        <f t="shared" si="8"/>
        <v>476326.32451199996</v>
      </c>
      <c r="F93">
        <f t="shared" si="9"/>
        <v>516020.18488800002</v>
      </c>
      <c r="G93">
        <f t="shared" si="10"/>
        <v>677564.96548800007</v>
      </c>
      <c r="H93">
        <f t="shared" si="11"/>
        <v>476326.32451199996</v>
      </c>
    </row>
    <row r="94" spans="1:8" x14ac:dyDescent="0.25">
      <c r="A94">
        <v>2117</v>
      </c>
      <c r="B94">
        <v>1205830.1299999999</v>
      </c>
      <c r="C94">
        <f t="shared" si="6"/>
        <v>168816.2182</v>
      </c>
      <c r="D94">
        <f t="shared" si="7"/>
        <v>1037013.9117999999</v>
      </c>
      <c r="E94">
        <f t="shared" si="8"/>
        <v>497766.6776639999</v>
      </c>
      <c r="F94">
        <f t="shared" si="9"/>
        <v>539247.23413600004</v>
      </c>
      <c r="G94">
        <f t="shared" si="10"/>
        <v>708063.45233600005</v>
      </c>
      <c r="H94">
        <f t="shared" si="11"/>
        <v>497766.6776639999</v>
      </c>
    </row>
    <row r="95" spans="1:8" x14ac:dyDescent="0.25">
      <c r="A95">
        <v>2118</v>
      </c>
      <c r="B95">
        <v>1182308.69</v>
      </c>
      <c r="C95">
        <f t="shared" si="6"/>
        <v>165523.21660000001</v>
      </c>
      <c r="D95">
        <f t="shared" si="7"/>
        <v>1016785.4733999999</v>
      </c>
      <c r="E95">
        <f t="shared" si="8"/>
        <v>488057.02723199991</v>
      </c>
      <c r="F95">
        <f t="shared" si="9"/>
        <v>528728.44616799999</v>
      </c>
      <c r="G95">
        <f t="shared" si="10"/>
        <v>694251.66276800004</v>
      </c>
      <c r="H95">
        <f t="shared" si="11"/>
        <v>488057.02723199991</v>
      </c>
    </row>
    <row r="96" spans="1:8" x14ac:dyDescent="0.25">
      <c r="A96">
        <v>2119</v>
      </c>
      <c r="B96">
        <v>1148696.52</v>
      </c>
      <c r="C96">
        <f t="shared" si="6"/>
        <v>160817.51280000003</v>
      </c>
      <c r="D96">
        <f t="shared" si="7"/>
        <v>987879.00719999999</v>
      </c>
      <c r="E96">
        <f t="shared" si="8"/>
        <v>474181.92345599999</v>
      </c>
      <c r="F96">
        <f t="shared" si="9"/>
        <v>513697.083744</v>
      </c>
      <c r="G96">
        <f t="shared" si="10"/>
        <v>674514.59654400009</v>
      </c>
      <c r="H96">
        <f t="shared" si="11"/>
        <v>474181.92345599999</v>
      </c>
    </row>
    <row r="97" spans="1:13" x14ac:dyDescent="0.25">
      <c r="A97">
        <v>2120</v>
      </c>
      <c r="B97">
        <v>1075536.82</v>
      </c>
      <c r="C97">
        <f t="shared" si="6"/>
        <v>150575.15480000002</v>
      </c>
      <c r="D97">
        <f t="shared" si="7"/>
        <v>924961.66520000005</v>
      </c>
      <c r="E97">
        <f t="shared" si="8"/>
        <v>443981.59929600003</v>
      </c>
      <c r="F97">
        <f t="shared" si="9"/>
        <v>480980.06590400002</v>
      </c>
      <c r="G97">
        <f t="shared" si="10"/>
        <v>631555.22070399998</v>
      </c>
      <c r="H97">
        <f t="shared" si="11"/>
        <v>443981.59929600003</v>
      </c>
    </row>
    <row r="98" spans="1:13" x14ac:dyDescent="0.25">
      <c r="A98">
        <v>2121</v>
      </c>
      <c r="B98">
        <v>1090626.31</v>
      </c>
      <c r="C98">
        <f t="shared" si="6"/>
        <v>152687.68340000001</v>
      </c>
      <c r="D98">
        <f t="shared" si="7"/>
        <v>937938.62660000008</v>
      </c>
      <c r="E98">
        <f t="shared" si="8"/>
        <v>450210.54076800001</v>
      </c>
      <c r="F98">
        <f t="shared" si="9"/>
        <v>487728.08583200007</v>
      </c>
      <c r="G98">
        <f t="shared" si="10"/>
        <v>640415.76923200011</v>
      </c>
      <c r="H98">
        <f t="shared" si="11"/>
        <v>450210.54076800001</v>
      </c>
    </row>
    <row r="99" spans="1:13" x14ac:dyDescent="0.25">
      <c r="A99">
        <v>2122</v>
      </c>
      <c r="B99">
        <v>983872.34</v>
      </c>
      <c r="C99">
        <f t="shared" si="6"/>
        <v>137742.12760000001</v>
      </c>
      <c r="D99">
        <f t="shared" si="7"/>
        <v>846130.21239999996</v>
      </c>
      <c r="E99">
        <f t="shared" si="8"/>
        <v>406142.50195199996</v>
      </c>
      <c r="F99">
        <f t="shared" si="9"/>
        <v>439987.710448</v>
      </c>
      <c r="G99">
        <f t="shared" si="10"/>
        <v>577729.83804800001</v>
      </c>
      <c r="H99">
        <f t="shared" si="11"/>
        <v>406142.50195199996</v>
      </c>
    </row>
    <row r="100" spans="1:13" x14ac:dyDescent="0.25">
      <c r="A100">
        <v>2123</v>
      </c>
      <c r="B100">
        <v>1190349.68</v>
      </c>
      <c r="C100">
        <f t="shared" si="6"/>
        <v>166648.9552</v>
      </c>
      <c r="D100">
        <f t="shared" si="7"/>
        <v>1023700.7248</v>
      </c>
      <c r="E100">
        <f t="shared" si="8"/>
        <v>491376.34790399997</v>
      </c>
      <c r="F100">
        <f t="shared" si="9"/>
        <v>532324.376896</v>
      </c>
      <c r="G100">
        <f t="shared" si="10"/>
        <v>698973.33209599997</v>
      </c>
      <c r="H100">
        <f t="shared" si="11"/>
        <v>491376.34790399997</v>
      </c>
    </row>
    <row r="101" spans="1:13" x14ac:dyDescent="0.25">
      <c r="A101">
        <v>2124</v>
      </c>
      <c r="B101">
        <v>1071150.8600000001</v>
      </c>
      <c r="C101">
        <f t="shared" si="6"/>
        <v>149961.12040000001</v>
      </c>
      <c r="D101">
        <f t="shared" si="7"/>
        <v>921189.73960000009</v>
      </c>
      <c r="E101">
        <f t="shared" si="8"/>
        <v>442171.07500800001</v>
      </c>
      <c r="F101">
        <f t="shared" si="9"/>
        <v>479018.66459200007</v>
      </c>
      <c r="G101">
        <f t="shared" si="10"/>
        <v>628979.78499200009</v>
      </c>
      <c r="H101">
        <f t="shared" si="11"/>
        <v>442171.07500800001</v>
      </c>
    </row>
    <row r="102" spans="1:13" x14ac:dyDescent="0.25">
      <c r="A102">
        <v>2125</v>
      </c>
      <c r="B102">
        <v>1236458.25</v>
      </c>
      <c r="C102">
        <f t="shared" si="6"/>
        <v>173104.15500000003</v>
      </c>
      <c r="D102">
        <f t="shared" si="7"/>
        <v>1063354.095</v>
      </c>
      <c r="E102">
        <f t="shared" si="8"/>
        <v>510409.9656</v>
      </c>
      <c r="F102">
        <f t="shared" si="9"/>
        <v>552944.12939999998</v>
      </c>
      <c r="G102">
        <f t="shared" si="10"/>
        <v>726048.2844</v>
      </c>
      <c r="H102">
        <f t="shared" si="11"/>
        <v>510409.9656</v>
      </c>
    </row>
    <row r="104" spans="1:13" x14ac:dyDescent="0.25">
      <c r="F104" s="4">
        <v>0.23841961794348115</v>
      </c>
      <c r="G104" t="s">
        <v>2</v>
      </c>
      <c r="H104">
        <v>0.76158038205651879</v>
      </c>
      <c r="I104" t="s">
        <v>2</v>
      </c>
      <c r="J104">
        <v>0</v>
      </c>
      <c r="K104" t="s">
        <v>2</v>
      </c>
      <c r="L104">
        <v>0</v>
      </c>
      <c r="M10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Yield_Projection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Scholz</cp:lastModifiedBy>
  <dcterms:created xsi:type="dcterms:W3CDTF">2025-09-24T14:08:43Z</dcterms:created>
  <dcterms:modified xsi:type="dcterms:W3CDTF">2025-09-26T09:42:45Z</dcterms:modified>
</cp:coreProperties>
</file>