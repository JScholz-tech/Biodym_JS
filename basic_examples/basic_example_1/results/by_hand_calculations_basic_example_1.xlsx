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13_ncr:1_{93DDA4F6-0B71-4AD5-980B-26D28C63D3A1}" xr6:coauthVersionLast="47" xr6:coauthVersionMax="47" xr10:uidLastSave="{00000000-0000-0000-0000-000000000000}"/>
  <bookViews>
    <workbookView xWindow="-110" yWindow="-110" windowWidth="19420" windowHeight="10560" xr2:uid="{3C1A2E4B-2709-4C2B-94F1-2EC0759C7D50}"/>
  </bookViews>
  <sheets>
    <sheet name="biomass" sheetId="1" r:id="rId1"/>
    <sheet name="carb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J5" i="3"/>
  <c r="K5" i="3"/>
  <c r="I5" i="3"/>
  <c r="H5" i="3"/>
  <c r="J4" i="3"/>
  <c r="I4" i="3"/>
  <c r="H4" i="3"/>
  <c r="J3" i="3"/>
  <c r="H3" i="3"/>
  <c r="I2" i="3"/>
  <c r="J2" i="3" s="1"/>
  <c r="L2" i="3" s="1"/>
  <c r="L3" i="3" s="1"/>
  <c r="L4" i="3" s="1"/>
  <c r="L5" i="3" s="1"/>
  <c r="H2" i="3"/>
  <c r="K2" i="3" s="1"/>
  <c r="K3" i="3" s="1"/>
  <c r="K4" i="3" s="1"/>
  <c r="L4" i="1"/>
  <c r="L5" i="1" s="1"/>
  <c r="L3" i="1"/>
  <c r="L2" i="1"/>
  <c r="K4" i="1"/>
  <c r="K5" i="1"/>
  <c r="K3" i="1"/>
  <c r="K2" i="1"/>
  <c r="J3" i="1"/>
  <c r="J4" i="1"/>
  <c r="J5" i="1"/>
  <c r="J2" i="1"/>
  <c r="I3" i="1"/>
  <c r="I4" i="1"/>
  <c r="I5" i="1"/>
  <c r="I2" i="1"/>
  <c r="H3" i="1"/>
  <c r="H4" i="1"/>
  <c r="H5" i="1"/>
  <c r="H2" i="1"/>
  <c r="D2" i="3"/>
  <c r="B3" i="3"/>
  <c r="B4" i="3"/>
  <c r="B5" i="3"/>
  <c r="B2" i="3"/>
  <c r="D5" i="3"/>
  <c r="D4" i="3"/>
  <c r="D3" i="3"/>
  <c r="D3" i="1"/>
  <c r="D4" i="1"/>
  <c r="D5" i="1"/>
  <c r="D2" i="1"/>
</calcChain>
</file>

<file path=xl/sharedStrings.xml><?xml version="1.0" encoding="utf-8"?>
<sst xmlns="http://schemas.openxmlformats.org/spreadsheetml/2006/main" count="20" uniqueCount="10">
  <si>
    <t>Year</t>
  </si>
  <si>
    <t>F_0_1</t>
  </si>
  <si>
    <t>TC_1_2</t>
  </si>
  <si>
    <t>TC_1_3</t>
  </si>
  <si>
    <t>TC_3_0</t>
  </si>
  <si>
    <t>F_1_2</t>
  </si>
  <si>
    <t>F_1_3</t>
  </si>
  <si>
    <t>F_3_0</t>
  </si>
  <si>
    <t>S_2</t>
  </si>
  <si>
    <t>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</si>
</sst>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8CAF-8C23-4E06-88DD-7CBA5D7FA9D7}">
  <dimension ref="A1:L5"/>
  <sheetViews>
    <sheetView tabSelected="1" workbookViewId="0">
      <selection activeCell="E14" sqref="E14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5">
      <c r="A2">
        <v>2025</v>
      </c>
      <c r="B2">
        <v>100</v>
      </c>
      <c r="C2">
        <v>0.7</v>
      </c>
      <c r="D2">
        <f>1-C2</f>
        <v>0.30000000000000004</v>
      </c>
      <c r="E2">
        <v>0.5</v>
      </c>
      <c r="H2">
        <f>B2*C2</f>
        <v>70</v>
      </c>
      <c r="I2">
        <f>B2*D2</f>
        <v>30.000000000000004</v>
      </c>
      <c r="J2">
        <f>I2*E2</f>
        <v>15.000000000000002</v>
      </c>
      <c r="K2">
        <f>H2</f>
        <v>70</v>
      </c>
      <c r="L2">
        <f>I2-J2</f>
        <v>15.000000000000002</v>
      </c>
    </row>
    <row r="3" spans="1:12" x14ac:dyDescent="0.35">
      <c r="A3">
        <v>2026</v>
      </c>
      <c r="B3">
        <v>110</v>
      </c>
      <c r="C3">
        <v>0.7</v>
      </c>
      <c r="D3">
        <f t="shared" ref="D3:D5" si="0">1-C3</f>
        <v>0.30000000000000004</v>
      </c>
      <c r="E3">
        <v>0.5</v>
      </c>
      <c r="H3">
        <f t="shared" ref="H3:H5" si="1">B3*C3</f>
        <v>77</v>
      </c>
      <c r="I3">
        <f t="shared" ref="I3:I5" si="2">B3*D3</f>
        <v>33.000000000000007</v>
      </c>
      <c r="J3">
        <f t="shared" ref="J3:J5" si="3">I3*E3</f>
        <v>16.500000000000004</v>
      </c>
      <c r="K3">
        <f>K2+H3</f>
        <v>147</v>
      </c>
      <c r="L3">
        <f>L2+(I3-J3)</f>
        <v>31.500000000000007</v>
      </c>
    </row>
    <row r="4" spans="1:12" x14ac:dyDescent="0.35">
      <c r="A4">
        <v>2027</v>
      </c>
      <c r="B4">
        <v>120</v>
      </c>
      <c r="C4">
        <v>0.7</v>
      </c>
      <c r="D4">
        <f t="shared" si="0"/>
        <v>0.30000000000000004</v>
      </c>
      <c r="E4">
        <v>0.5</v>
      </c>
      <c r="H4">
        <f t="shared" si="1"/>
        <v>84</v>
      </c>
      <c r="I4">
        <f t="shared" si="2"/>
        <v>36.000000000000007</v>
      </c>
      <c r="J4">
        <f t="shared" si="3"/>
        <v>18.000000000000004</v>
      </c>
      <c r="K4">
        <f t="shared" ref="K4:K5" si="4">K3+H4</f>
        <v>231</v>
      </c>
      <c r="L4">
        <f t="shared" ref="L4:L5" si="5">L3+(I4-J4)</f>
        <v>49.500000000000014</v>
      </c>
    </row>
    <row r="5" spans="1:12" x14ac:dyDescent="0.35">
      <c r="A5">
        <v>2028</v>
      </c>
      <c r="B5">
        <v>130</v>
      </c>
      <c r="C5">
        <v>0.7</v>
      </c>
      <c r="D5">
        <f t="shared" si="0"/>
        <v>0.30000000000000004</v>
      </c>
      <c r="E5">
        <v>0.5</v>
      </c>
      <c r="H5">
        <f t="shared" si="1"/>
        <v>91</v>
      </c>
      <c r="I5">
        <f t="shared" si="2"/>
        <v>39.000000000000007</v>
      </c>
      <c r="J5">
        <f t="shared" si="3"/>
        <v>19.500000000000004</v>
      </c>
      <c r="K5">
        <f t="shared" si="4"/>
        <v>322</v>
      </c>
      <c r="L5">
        <f t="shared" si="5"/>
        <v>69.000000000000014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AB89-0A39-40B2-9A80-D3C75E7AD6AE}">
  <dimension ref="A1:L5"/>
  <sheetViews>
    <sheetView workbookViewId="0">
      <selection activeCell="I4" sqref="I4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35">
      <c r="A2">
        <v>2025</v>
      </c>
      <c r="B2">
        <f>biomass!B2*0.5</f>
        <v>50</v>
      </c>
      <c r="C2">
        <v>0.7</v>
      </c>
      <c r="D2">
        <f>1-C2</f>
        <v>0.30000000000000004</v>
      </c>
      <c r="E2">
        <v>0.5</v>
      </c>
      <c r="H2">
        <f>B2*C2</f>
        <v>35</v>
      </c>
      <c r="I2">
        <f>B2*D2</f>
        <v>15.000000000000002</v>
      </c>
      <c r="J2">
        <f>I2*E2</f>
        <v>7.5000000000000009</v>
      </c>
      <c r="K2">
        <f>H2</f>
        <v>35</v>
      </c>
      <c r="L2">
        <f>I2-J2</f>
        <v>7.5000000000000009</v>
      </c>
    </row>
    <row r="3" spans="1:12" x14ac:dyDescent="0.35">
      <c r="A3">
        <v>2026</v>
      </c>
      <c r="B3">
        <f>biomass!B3*0.5</f>
        <v>55</v>
      </c>
      <c r="C3">
        <v>0.75</v>
      </c>
      <c r="D3">
        <f t="shared" ref="D3:D5" si="0">1-C3</f>
        <v>0.25</v>
      </c>
      <c r="E3">
        <v>0.5</v>
      </c>
      <c r="H3">
        <f t="shared" ref="H3:H5" si="1">B3*C3</f>
        <v>41.25</v>
      </c>
      <c r="I3">
        <f>B3*D3</f>
        <v>13.75</v>
      </c>
      <c r="J3">
        <f t="shared" ref="J3:J5" si="2">I3*E3</f>
        <v>6.875</v>
      </c>
      <c r="K3">
        <f>K2+H3</f>
        <v>76.25</v>
      </c>
      <c r="L3">
        <f>L2+(I3-J3)</f>
        <v>14.375</v>
      </c>
    </row>
    <row r="4" spans="1:12" x14ac:dyDescent="0.35">
      <c r="A4">
        <v>2027</v>
      </c>
      <c r="B4">
        <f>biomass!B4*0.5</f>
        <v>60</v>
      </c>
      <c r="C4">
        <v>0.8</v>
      </c>
      <c r="D4">
        <f t="shared" si="0"/>
        <v>0.19999999999999996</v>
      </c>
      <c r="E4">
        <v>0.5</v>
      </c>
      <c r="H4">
        <f t="shared" si="1"/>
        <v>48</v>
      </c>
      <c r="I4">
        <f t="shared" ref="I3:I5" si="3">B4*D4</f>
        <v>11.999999999999996</v>
      </c>
      <c r="J4">
        <f t="shared" si="2"/>
        <v>5.9999999999999982</v>
      </c>
      <c r="K4">
        <f t="shared" ref="K4:K5" si="4">K3+H4</f>
        <v>124.25</v>
      </c>
      <c r="L4">
        <f t="shared" ref="L4:L5" si="5">L3+(I4-J4)</f>
        <v>20.375</v>
      </c>
    </row>
    <row r="5" spans="1:12" x14ac:dyDescent="0.35">
      <c r="A5">
        <v>2028</v>
      </c>
      <c r="B5">
        <f>biomass!B5*0.5</f>
        <v>65</v>
      </c>
      <c r="C5">
        <v>0.85</v>
      </c>
      <c r="D5">
        <f t="shared" si="0"/>
        <v>0.15000000000000002</v>
      </c>
      <c r="E5">
        <v>0.5</v>
      </c>
      <c r="H5">
        <f t="shared" si="1"/>
        <v>55.25</v>
      </c>
      <c r="I5">
        <f>B5*D5</f>
        <v>9.7500000000000018</v>
      </c>
      <c r="J5">
        <f>I5*E5</f>
        <v>4.8750000000000009</v>
      </c>
      <c r="K5">
        <f>K4+H5</f>
        <v>179.5</v>
      </c>
      <c r="L5">
        <f t="shared" si="5"/>
        <v>25.25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biomass</vt:lpstr>
      <vt:lpstr>carbon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9055540188463204</dc:creator>
  <cp:lastModifiedBy>TU-Pseudonym 9055540188463204</cp:lastModifiedBy>
  <dcterms:created xsi:type="dcterms:W3CDTF">2025-01-24T19:42:42Z</dcterms:created>
  <dcterms:modified xsi:type="dcterms:W3CDTF">2025-01-24T22:17:06Z</dcterms:modified>
</cp:coreProperties>
</file>