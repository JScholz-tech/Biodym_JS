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D8148898-DDDA-4E7C-BBFE-4C408133E953}" xr6:coauthVersionLast="47" xr6:coauthVersionMax="47" xr10:uidLastSave="{00000000-0000-0000-0000-000000000000}"/>
  <bookViews>
    <workbookView xWindow="-120" yWindow="-120" windowWidth="38640" windowHeight="21120" tabRatio="840" activeTab="1"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47" i="16"/>
  <c r="N47" i="16"/>
  <c r="P47" i="16"/>
  <c r="R47" i="16"/>
  <c r="S47" i="16"/>
  <c r="T47" i="16"/>
  <c r="V47" i="16"/>
  <c r="L3" i="16"/>
  <c r="V3" i="16"/>
  <c r="T3" i="16"/>
  <c r="S3" i="16"/>
  <c r="R3" i="16"/>
  <c r="P3" i="16"/>
  <c r="N3" i="16"/>
  <c r="V2" i="16"/>
  <c r="T2" i="16"/>
  <c r="S2" i="16"/>
  <c r="R2" i="16"/>
  <c r="P2" i="16"/>
  <c r="N2" i="16"/>
  <c r="L2" i="16"/>
  <c r="AC3" i="15"/>
  <c r="AC4" i="15"/>
  <c r="AC5" i="15"/>
  <c r="AC6" i="15"/>
  <c r="AC7" i="15"/>
  <c r="AC8" i="15"/>
  <c r="AC9"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C65" i="15"/>
  <c r="AC66" i="15"/>
  <c r="AC67" i="15"/>
  <c r="AC68" i="15"/>
  <c r="AC69" i="15"/>
  <c r="AC70" i="15"/>
  <c r="AC71" i="15"/>
  <c r="AC72" i="15"/>
  <c r="AC73" i="15"/>
  <c r="AC74" i="15"/>
  <c r="AC75" i="15"/>
  <c r="AC76" i="15"/>
  <c r="AC77" i="15"/>
  <c r="AC78" i="15"/>
  <c r="AC79" i="15"/>
  <c r="AC80" i="15"/>
  <c r="AC81" i="15"/>
  <c r="AC82" i="15"/>
  <c r="AC83" i="15"/>
  <c r="AC84" i="15"/>
  <c r="AC85" i="15"/>
  <c r="AC86" i="15"/>
  <c r="AC87" i="15"/>
  <c r="AC88" i="15"/>
  <c r="AC89" i="15"/>
  <c r="AC90" i="15"/>
  <c r="AC91" i="15"/>
  <c r="AC92" i="15"/>
  <c r="AC93" i="15"/>
  <c r="AC94" i="15"/>
  <c r="AC95" i="15"/>
  <c r="AC96" i="15"/>
  <c r="AC2" i="15"/>
  <c r="AG3" i="15"/>
  <c r="AG4" i="15"/>
  <c r="AG5" i="15"/>
  <c r="AG6" i="15"/>
  <c r="AG7" i="15"/>
  <c r="AG8" i="15"/>
  <c r="AG9" i="15"/>
  <c r="AG10" i="15"/>
  <c r="AG11" i="15"/>
  <c r="AG12" i="15"/>
  <c r="AG13" i="15"/>
  <c r="AG14" i="15"/>
  <c r="AG15" i="15"/>
  <c r="AG16" i="15"/>
  <c r="AG17" i="15"/>
  <c r="AG18" i="15"/>
  <c r="AG19" i="15"/>
  <c r="AG20" i="15"/>
  <c r="AG21" i="15"/>
  <c r="AG22" i="15"/>
  <c r="AG23" i="15"/>
  <c r="AG24" i="15"/>
  <c r="AG25" i="15"/>
  <c r="AG26" i="15"/>
  <c r="AG27" i="15"/>
  <c r="AG28" i="15"/>
  <c r="AG29" i="15"/>
  <c r="AG30" i="15"/>
  <c r="AG31" i="15"/>
  <c r="AG32" i="15"/>
  <c r="AG33" i="15"/>
  <c r="AG34" i="15"/>
  <c r="AG35" i="15"/>
  <c r="AG36" i="15"/>
  <c r="AG37" i="15"/>
  <c r="AG38" i="15"/>
  <c r="AG39" i="15"/>
  <c r="AG40" i="15"/>
  <c r="AG41" i="15"/>
  <c r="AG42" i="15"/>
  <c r="AG43" i="15"/>
  <c r="AG44" i="15"/>
  <c r="AG45" i="15"/>
  <c r="AG46" i="15"/>
  <c r="AG47" i="15"/>
  <c r="AG48" i="15"/>
  <c r="AG49" i="15"/>
  <c r="AG50" i="15"/>
  <c r="AG51" i="15"/>
  <c r="AG52" i="15"/>
  <c r="AG53" i="15"/>
  <c r="AG54" i="15"/>
  <c r="AG55" i="15"/>
  <c r="AG56" i="15"/>
  <c r="AG57" i="15"/>
  <c r="AG58" i="15"/>
  <c r="AG59" i="15"/>
  <c r="AG60" i="15"/>
  <c r="AG61" i="15"/>
  <c r="AG62" i="15"/>
  <c r="AG63" i="15"/>
  <c r="AG64" i="15"/>
  <c r="AG65" i="15"/>
  <c r="AG66" i="15"/>
  <c r="AG67" i="15"/>
  <c r="AG68" i="15"/>
  <c r="AG69" i="15"/>
  <c r="AG70" i="15"/>
  <c r="AG71" i="15"/>
  <c r="AG72" i="15"/>
  <c r="AG73" i="15"/>
  <c r="AG74" i="15"/>
  <c r="AG75" i="15"/>
  <c r="AG76" i="15"/>
  <c r="AG77" i="15"/>
  <c r="AG78" i="15"/>
  <c r="AG79" i="15"/>
  <c r="AG80" i="15"/>
  <c r="AG81" i="15"/>
  <c r="AG82" i="15"/>
  <c r="AG83" i="15"/>
  <c r="AG84" i="15"/>
  <c r="AG85" i="15"/>
  <c r="AG86" i="15"/>
  <c r="AG87" i="15"/>
  <c r="AG88" i="15"/>
  <c r="AG89" i="15"/>
  <c r="AG90" i="15"/>
  <c r="AG91" i="15"/>
  <c r="AG92" i="15"/>
  <c r="AG93" i="15"/>
  <c r="AG94" i="15"/>
  <c r="AG95" i="15"/>
  <c r="AG96" i="15"/>
  <c r="AG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95" i="15"/>
  <c r="AI96" i="15"/>
  <c r="AI2" i="15"/>
  <c r="AA3" i="15"/>
  <c r="AA4" i="15"/>
  <c r="AA5" i="15"/>
  <c r="AA6" i="15"/>
  <c r="AA7" i="15"/>
  <c r="AA8" i="15"/>
  <c r="AA9" i="15"/>
  <c r="AA10" i="15"/>
  <c r="AA11" i="15"/>
  <c r="AA12" i="15"/>
  <c r="AA13" i="15"/>
  <c r="AA14" i="15"/>
  <c r="AA15" i="15"/>
  <c r="AA16" i="15"/>
  <c r="AA17" i="15"/>
  <c r="AA18" i="15"/>
  <c r="AA19" i="15"/>
  <c r="AA20" i="15"/>
  <c r="AA21" i="15"/>
  <c r="AA22" i="15"/>
  <c r="AA23" i="15"/>
  <c r="AA24" i="15"/>
  <c r="AA25" i="15"/>
  <c r="AA26" i="15"/>
  <c r="AA27" i="15"/>
  <c r="AA28" i="15"/>
  <c r="AA29" i="15"/>
  <c r="AA30" i="15"/>
  <c r="AA31" i="15"/>
  <c r="AA32" i="15"/>
  <c r="AA33" i="15"/>
  <c r="AA34" i="15"/>
  <c r="AA35" i="15"/>
  <c r="AA36" i="15"/>
  <c r="AA37" i="15"/>
  <c r="AA38" i="15"/>
  <c r="AA39" i="15"/>
  <c r="AA40" i="15"/>
  <c r="AA41" i="15"/>
  <c r="AA42" i="15"/>
  <c r="AA43" i="15"/>
  <c r="AA44" i="15"/>
  <c r="AA45" i="15"/>
  <c r="AA46" i="15"/>
  <c r="AA47" i="15"/>
  <c r="AA48" i="15"/>
  <c r="AA49" i="15"/>
  <c r="AA50" i="15"/>
  <c r="AA51" i="15"/>
  <c r="AA52" i="15"/>
  <c r="AA53" i="15"/>
  <c r="AA54" i="15"/>
  <c r="AA55" i="15"/>
  <c r="AA56" i="15"/>
  <c r="AA57" i="15"/>
  <c r="AA58" i="15"/>
  <c r="AA59" i="15"/>
  <c r="AA60" i="15"/>
  <c r="AA61" i="15"/>
  <c r="AA62" i="15"/>
  <c r="AA63" i="15"/>
  <c r="AA64" i="15"/>
  <c r="AA65"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2" i="15"/>
  <c r="Y3" i="15"/>
  <c r="Y4" i="15"/>
  <c r="Y5" i="15"/>
  <c r="Y6" i="15"/>
  <c r="Y7" i="15"/>
  <c r="Y8" i="15"/>
  <c r="Y9" i="15"/>
  <c r="Y10" i="15"/>
  <c r="Y11" i="15"/>
  <c r="Y12" i="15"/>
  <c r="Y13" i="15"/>
  <c r="Y14" i="15"/>
  <c r="Y15" i="15"/>
  <c r="Y16" i="15"/>
  <c r="Y17" i="15"/>
  <c r="Y18" i="15"/>
  <c r="Y19" i="15"/>
  <c r="Y20" i="15"/>
  <c r="Y21" i="15"/>
  <c r="Y22" i="15"/>
  <c r="Y23" i="15"/>
  <c r="Y24" i="15"/>
  <c r="Y25" i="15"/>
  <c r="Y26" i="15"/>
  <c r="Y27" i="15"/>
  <c r="Y28" i="15"/>
  <c r="Y29" i="15"/>
  <c r="Y30" i="15"/>
  <c r="Y31" i="15"/>
  <c r="Y32" i="15"/>
  <c r="Y33" i="15"/>
  <c r="Y34" i="15"/>
  <c r="Y35" i="15"/>
  <c r="Y36" i="15"/>
  <c r="Y37" i="15"/>
  <c r="Y38" i="15"/>
  <c r="Y39" i="15"/>
  <c r="Y40" i="15"/>
  <c r="Y41" i="15"/>
  <c r="Y42" i="15"/>
  <c r="Y43" i="15"/>
  <c r="Y44" i="15"/>
  <c r="Y45" i="15"/>
  <c r="Y46" i="15"/>
  <c r="Y47" i="15"/>
  <c r="Y48" i="15"/>
  <c r="Y49" i="15"/>
  <c r="Y50" i="15"/>
  <c r="Y51" i="15"/>
  <c r="Y52" i="15"/>
  <c r="Y53" i="15"/>
  <c r="Y54" i="15"/>
  <c r="Y55" i="15"/>
  <c r="Y56" i="15"/>
  <c r="Y57" i="15"/>
  <c r="Y58" i="15"/>
  <c r="Y59" i="15"/>
  <c r="Y60" i="15"/>
  <c r="Y61" i="15"/>
  <c r="Y62" i="15"/>
  <c r="Y63" i="15"/>
  <c r="Y64" i="15"/>
  <c r="Y65" i="15"/>
  <c r="Y66" i="15"/>
  <c r="Y67" i="15"/>
  <c r="Y68" i="15"/>
  <c r="Y69" i="15"/>
  <c r="Y70" i="15"/>
  <c r="Y71" i="15"/>
  <c r="Y72" i="15"/>
  <c r="Y73" i="15"/>
  <c r="Y74" i="15"/>
  <c r="Y75" i="15"/>
  <c r="Y76" i="15"/>
  <c r="Y77" i="15"/>
  <c r="Y78" i="15"/>
  <c r="Y79" i="15"/>
  <c r="Y80" i="15"/>
  <c r="Y81" i="15"/>
  <c r="Y82" i="15"/>
  <c r="Y83" i="15"/>
  <c r="Y84" i="15"/>
  <c r="Y85" i="15"/>
  <c r="Y86" i="15"/>
  <c r="Y87" i="15"/>
  <c r="Y88" i="15"/>
  <c r="Y89" i="15"/>
  <c r="Y90" i="15"/>
  <c r="Y91" i="15"/>
  <c r="Y92" i="15"/>
  <c r="Y93" i="15"/>
  <c r="Y94" i="15"/>
  <c r="Y95" i="15"/>
  <c r="Y96" i="15"/>
  <c r="Y2" i="15"/>
  <c r="AF3" i="15"/>
  <c r="AF4" i="15"/>
  <c r="AF5" i="15"/>
  <c r="AF6" i="15"/>
  <c r="AF7" i="15"/>
  <c r="AF8" i="15"/>
  <c r="AF9" i="15"/>
  <c r="AF10" i="15"/>
  <c r="AF11" i="15"/>
  <c r="AF12" i="15"/>
  <c r="AF13" i="15"/>
  <c r="AF14" i="15"/>
  <c r="AF15" i="15"/>
  <c r="AF16" i="15"/>
  <c r="AF17" i="15"/>
  <c r="AF18" i="15"/>
  <c r="AF19" i="15"/>
  <c r="AF20" i="15"/>
  <c r="AF21" i="15"/>
  <c r="AL21" i="15" s="1"/>
  <c r="AF22" i="15"/>
  <c r="AF23" i="15"/>
  <c r="AF24" i="15"/>
  <c r="AF25" i="15"/>
  <c r="AF26" i="15"/>
  <c r="AF27" i="15"/>
  <c r="AF28" i="15"/>
  <c r="AF29" i="15"/>
  <c r="AF30" i="15"/>
  <c r="AF31" i="15"/>
  <c r="AF32" i="15"/>
  <c r="AF33" i="15"/>
  <c r="AL33" i="15" s="1"/>
  <c r="AF34" i="15"/>
  <c r="AF35" i="15"/>
  <c r="AF36" i="15"/>
  <c r="AF37" i="15"/>
  <c r="AF38" i="15"/>
  <c r="AF39" i="15"/>
  <c r="AF40" i="15"/>
  <c r="AF41" i="15"/>
  <c r="AF42" i="15"/>
  <c r="AF43" i="15"/>
  <c r="AF44" i="15"/>
  <c r="AF45" i="15"/>
  <c r="AF46" i="15"/>
  <c r="AF47" i="15"/>
  <c r="AF48" i="15"/>
  <c r="AF49" i="15"/>
  <c r="AF50" i="15"/>
  <c r="AF51" i="15"/>
  <c r="AF52" i="15"/>
  <c r="AF53" i="15"/>
  <c r="AF54" i="15"/>
  <c r="AF55" i="15"/>
  <c r="AF56" i="15"/>
  <c r="AF57" i="15"/>
  <c r="AL57" i="15" s="1"/>
  <c r="AF58" i="15"/>
  <c r="AF59" i="15"/>
  <c r="AF60" i="15"/>
  <c r="AF61" i="15"/>
  <c r="AF62" i="15"/>
  <c r="AF63" i="15"/>
  <c r="AF64" i="15"/>
  <c r="AF65" i="15"/>
  <c r="AF66" i="15"/>
  <c r="AF67" i="15"/>
  <c r="AF68" i="15"/>
  <c r="AF69" i="15"/>
  <c r="AL69" i="15" s="1"/>
  <c r="AF70" i="15"/>
  <c r="AF71" i="15"/>
  <c r="AF72" i="15"/>
  <c r="AF73" i="15"/>
  <c r="AF74" i="15"/>
  <c r="AF75" i="15"/>
  <c r="AF76" i="15"/>
  <c r="AF77" i="15"/>
  <c r="AF78" i="15"/>
  <c r="AF79" i="15"/>
  <c r="AF80" i="15"/>
  <c r="AF81" i="15"/>
  <c r="AF82" i="15"/>
  <c r="AF83" i="15"/>
  <c r="AF84" i="15"/>
  <c r="AF85" i="15"/>
  <c r="AF86" i="15"/>
  <c r="AF87" i="15"/>
  <c r="AF88" i="15"/>
  <c r="AF89" i="15"/>
  <c r="AF90" i="15"/>
  <c r="AF91" i="15"/>
  <c r="AF92" i="15"/>
  <c r="AF93" i="15"/>
  <c r="AL93" i="15" s="1"/>
  <c r="AF94" i="15"/>
  <c r="AF95" i="15"/>
  <c r="AF96" i="15"/>
  <c r="AF2" i="15"/>
  <c r="AE3" i="15"/>
  <c r="AE4" i="15"/>
  <c r="AE5" i="15"/>
  <c r="AE6" i="15"/>
  <c r="AE7" i="15"/>
  <c r="AE8" i="15"/>
  <c r="AE9" i="15"/>
  <c r="AE10" i="15"/>
  <c r="AE11" i="15"/>
  <c r="AE12" i="15"/>
  <c r="AE13" i="15"/>
  <c r="AE14" i="15"/>
  <c r="AE15" i="15"/>
  <c r="AE16" i="15"/>
  <c r="AE17" i="15"/>
  <c r="AE18" i="15"/>
  <c r="AE19" i="15"/>
  <c r="AE20" i="15"/>
  <c r="AE21" i="15"/>
  <c r="AE22" i="15"/>
  <c r="AE23" i="15"/>
  <c r="AE24" i="15"/>
  <c r="AE25" i="15"/>
  <c r="AE26" i="15"/>
  <c r="AE27" i="15"/>
  <c r="AE28" i="15"/>
  <c r="AE29" i="15"/>
  <c r="AE30" i="15"/>
  <c r="AE31" i="15"/>
  <c r="AE32" i="15"/>
  <c r="AE33" i="15"/>
  <c r="AE34" i="15"/>
  <c r="AE35" i="15"/>
  <c r="AE36" i="15"/>
  <c r="AE37" i="15"/>
  <c r="AE38" i="15"/>
  <c r="AE39" i="15"/>
  <c r="AE40" i="15"/>
  <c r="AE41" i="15"/>
  <c r="AE42" i="15"/>
  <c r="AE43" i="15"/>
  <c r="AE44" i="15"/>
  <c r="AE45" i="15"/>
  <c r="AE46" i="15"/>
  <c r="AE47" i="15"/>
  <c r="AE48" i="15"/>
  <c r="AE49" i="15"/>
  <c r="AE50" i="15"/>
  <c r="AE51" i="15"/>
  <c r="AE52" i="15"/>
  <c r="AE53" i="15"/>
  <c r="AE54" i="15"/>
  <c r="AE55" i="15"/>
  <c r="AE56" i="15"/>
  <c r="AE57" i="15"/>
  <c r="AE58" i="15"/>
  <c r="AE59" i="15"/>
  <c r="AE60" i="15"/>
  <c r="AE61" i="15"/>
  <c r="AE62" i="15"/>
  <c r="AE63" i="15"/>
  <c r="AE64" i="15"/>
  <c r="AE65" i="15"/>
  <c r="AE66" i="15"/>
  <c r="AE67" i="15"/>
  <c r="AE68" i="15"/>
  <c r="AE69" i="15"/>
  <c r="AE70" i="15"/>
  <c r="AE71" i="15"/>
  <c r="AE72" i="15"/>
  <c r="AE73" i="15"/>
  <c r="AE74" i="15"/>
  <c r="AE75" i="15"/>
  <c r="AE76" i="15"/>
  <c r="AE77" i="15"/>
  <c r="AE78" i="15"/>
  <c r="AE79" i="15"/>
  <c r="AE80" i="15"/>
  <c r="AE81" i="15"/>
  <c r="AE82" i="15"/>
  <c r="AE83" i="15"/>
  <c r="AE84" i="15"/>
  <c r="AE85" i="15"/>
  <c r="AE86" i="15"/>
  <c r="AE87" i="15"/>
  <c r="AE88" i="15"/>
  <c r="AE89" i="15"/>
  <c r="AE90" i="15"/>
  <c r="AE91" i="15"/>
  <c r="AE92" i="15"/>
  <c r="AE93" i="15"/>
  <c r="AE94" i="15"/>
  <c r="AE95" i="15"/>
  <c r="AE96" i="15"/>
  <c r="AE2" i="15"/>
  <c r="W22" i="15"/>
  <c r="W23" i="15"/>
  <c r="W24" i="15"/>
  <c r="W25" i="15"/>
  <c r="W26" i="15"/>
  <c r="W27" i="15"/>
  <c r="W28" i="15"/>
  <c r="W29" i="15"/>
  <c r="W30" i="15"/>
  <c r="W31" i="15"/>
  <c r="W32" i="15"/>
  <c r="W33" i="15"/>
  <c r="W34" i="15"/>
  <c r="W35" i="15"/>
  <c r="W36" i="15"/>
  <c r="W37" i="15"/>
  <c r="W38" i="15"/>
  <c r="W39" i="15"/>
  <c r="W40" i="15"/>
  <c r="W41" i="15"/>
  <c r="W42" i="15"/>
  <c r="W43" i="15"/>
  <c r="W44" i="15"/>
  <c r="W45" i="15"/>
  <c r="W46" i="15"/>
  <c r="W47" i="15"/>
  <c r="W48" i="15"/>
  <c r="W49" i="15"/>
  <c r="W50" i="15"/>
  <c r="W51" i="15"/>
  <c r="W52" i="15"/>
  <c r="W53" i="15"/>
  <c r="W54" i="15"/>
  <c r="W55" i="15"/>
  <c r="W56" i="15"/>
  <c r="W57" i="15"/>
  <c r="W58" i="15"/>
  <c r="W59" i="15"/>
  <c r="W60" i="15"/>
  <c r="W61" i="15"/>
  <c r="W62" i="15"/>
  <c r="W63" i="15"/>
  <c r="W64" i="15"/>
  <c r="W65" i="15"/>
  <c r="W66" i="15"/>
  <c r="W67" i="15"/>
  <c r="W68" i="15"/>
  <c r="W69" i="15"/>
  <c r="W70" i="15"/>
  <c r="W71" i="15"/>
  <c r="W72" i="15"/>
  <c r="W73" i="15"/>
  <c r="W74" i="15"/>
  <c r="W75" i="15"/>
  <c r="W76" i="15"/>
  <c r="W77" i="15"/>
  <c r="W78" i="15"/>
  <c r="W79" i="15"/>
  <c r="W80" i="15"/>
  <c r="W81" i="15"/>
  <c r="W82" i="15"/>
  <c r="W83" i="15"/>
  <c r="W84" i="15"/>
  <c r="W85" i="15"/>
  <c r="W86" i="15"/>
  <c r="W87" i="15"/>
  <c r="W88" i="15"/>
  <c r="W89" i="15"/>
  <c r="W16" i="15"/>
  <c r="W17" i="15"/>
  <c r="W18" i="15"/>
  <c r="W19" i="15"/>
  <c r="W14" i="15"/>
  <c r="W15" i="15"/>
  <c r="W11" i="15"/>
  <c r="W12" i="15"/>
  <c r="W13" i="15"/>
  <c r="W10" i="15"/>
  <c r="W3" i="15"/>
  <c r="W4" i="15"/>
  <c r="W5" i="15"/>
  <c r="W6" i="15"/>
  <c r="W7" i="15"/>
  <c r="W8" i="15"/>
  <c r="W9" i="15"/>
  <c r="B25" i="39"/>
  <c r="C25" i="39"/>
  <c r="E25" i="39"/>
  <c r="F25" i="39"/>
  <c r="G25" i="39"/>
  <c r="H25" i="39"/>
  <c r="B31" i="15"/>
  <c r="AL10" i="15" l="1"/>
  <c r="AL68" i="15"/>
  <c r="AL32" i="15"/>
  <c r="AL80" i="15"/>
  <c r="AL44" i="15"/>
  <c r="AL67" i="15"/>
  <c r="AL79" i="15"/>
  <c r="AL31" i="15"/>
  <c r="AL18" i="15"/>
  <c r="AL6" i="15"/>
  <c r="AL85" i="15"/>
  <c r="AL73" i="15"/>
  <c r="AL49" i="15"/>
  <c r="AL37" i="15"/>
  <c r="AL13" i="15"/>
  <c r="X45" i="16"/>
  <c r="X33" i="16"/>
  <c r="X21" i="16"/>
  <c r="X9" i="16"/>
  <c r="AL20" i="15"/>
  <c r="AL8" i="15"/>
  <c r="AL7" i="15"/>
  <c r="AL2" i="15"/>
  <c r="AL61" i="15"/>
  <c r="AL84" i="15"/>
  <c r="AL72" i="15"/>
  <c r="AL48" i="15"/>
  <c r="AL36" i="15"/>
  <c r="AL12" i="15"/>
  <c r="X44" i="16"/>
  <c r="X32" i="16"/>
  <c r="AL91" i="15"/>
  <c r="X42" i="16"/>
  <c r="AL25" i="15"/>
  <c r="AL83" i="15"/>
  <c r="AL71" i="15"/>
  <c r="AL35" i="15"/>
  <c r="AL92" i="15"/>
  <c r="AL56" i="15"/>
  <c r="AL55" i="15"/>
  <c r="AL19" i="15"/>
  <c r="AL43" i="15"/>
  <c r="AL95" i="15"/>
  <c r="AL59" i="15"/>
  <c r="AL47" i="15"/>
  <c r="AL23" i="15"/>
  <c r="AL11" i="15"/>
  <c r="AL70" i="15"/>
  <c r="AL34" i="15"/>
  <c r="AL96" i="15"/>
  <c r="AL60" i="15"/>
  <c r="AL24" i="15"/>
  <c r="AL81" i="15"/>
  <c r="AL45" i="15"/>
  <c r="AL9" i="15"/>
  <c r="AL58" i="15"/>
  <c r="AL78" i="15"/>
  <c r="AL54" i="15"/>
  <c r="AL94" i="15"/>
  <c r="AL46" i="15"/>
  <c r="AL22" i="15"/>
  <c r="AL90" i="15"/>
  <c r="AL66" i="15"/>
  <c r="AL30" i="15"/>
  <c r="AL82" i="15"/>
  <c r="AL89" i="15"/>
  <c r="AL77" i="15"/>
  <c r="AL65" i="15"/>
  <c r="AL53" i="15"/>
  <c r="AL41" i="15"/>
  <c r="AL29" i="15"/>
  <c r="AL17" i="15"/>
  <c r="AL5" i="15"/>
  <c r="Y7" i="16"/>
  <c r="AL88" i="15"/>
  <c r="AL76" i="15"/>
  <c r="AL64" i="15"/>
  <c r="AL52" i="15"/>
  <c r="AL40" i="15"/>
  <c r="AL28" i="15"/>
  <c r="AL16" i="15"/>
  <c r="AL4" i="15"/>
  <c r="AL87" i="15"/>
  <c r="AL63" i="15"/>
  <c r="AL51" i="15"/>
  <c r="AL39" i="15"/>
  <c r="AL27" i="15"/>
  <c r="AL3" i="15"/>
  <c r="AL75" i="15"/>
  <c r="AL15" i="15"/>
  <c r="AL86" i="15"/>
  <c r="AL74" i="15"/>
  <c r="AL62" i="15"/>
  <c r="AL50" i="15"/>
  <c r="X38" i="16"/>
  <c r="X26" i="16"/>
  <c r="X14" i="16"/>
  <c r="Y2" i="16"/>
  <c r="X37" i="16"/>
  <c r="AL42" i="15"/>
  <c r="Y16" i="16"/>
  <c r="Y15" i="16"/>
  <c r="AL38" i="15"/>
  <c r="AL26" i="15"/>
  <c r="AL14" i="15"/>
  <c r="X16" i="16"/>
  <c r="X28" i="16"/>
  <c r="Y4" i="16"/>
  <c r="Y13" i="16"/>
  <c r="Y27" i="16"/>
  <c r="X41" i="16"/>
  <c r="X40" i="16"/>
  <c r="X25" i="16"/>
  <c r="X47" i="16"/>
  <c r="X35" i="16"/>
  <c r="X23" i="16"/>
  <c r="X11" i="16"/>
  <c r="X36" i="16"/>
  <c r="X24" i="16"/>
  <c r="X12" i="16"/>
  <c r="Y46" i="16"/>
  <c r="Y34" i="16"/>
  <c r="X22" i="16"/>
  <c r="Y10" i="16"/>
  <c r="Y37" i="16"/>
  <c r="X20" i="16"/>
  <c r="X8" i="16"/>
  <c r="X2" i="16"/>
  <c r="Y40" i="16"/>
  <c r="X31" i="16"/>
  <c r="X7" i="16"/>
  <c r="Y42" i="16"/>
  <c r="X30" i="16"/>
  <c r="X18" i="16"/>
  <c r="X6" i="16"/>
  <c r="X19" i="16"/>
  <c r="Y41" i="16"/>
  <c r="Y29" i="16"/>
  <c r="X17" i="16"/>
  <c r="X5" i="16"/>
  <c r="X13" i="16"/>
  <c r="X43" i="16"/>
  <c r="Y28" i="16"/>
  <c r="X4" i="16"/>
  <c r="X39" i="16"/>
  <c r="X27" i="16"/>
  <c r="X15" i="16"/>
  <c r="Y3" i="16"/>
  <c r="Y35" i="16"/>
  <c r="Y47" i="16"/>
  <c r="X46" i="16"/>
  <c r="X34" i="16"/>
  <c r="X29" i="16"/>
  <c r="Y23" i="16"/>
  <c r="Y39" i="16"/>
  <c r="X10" i="16"/>
  <c r="Y19" i="16"/>
  <c r="Y43" i="16"/>
  <c r="Y31" i="16"/>
  <c r="Y25" i="16"/>
  <c r="Y22" i="16"/>
  <c r="Y11" i="16"/>
  <c r="Y44" i="16"/>
  <c r="Y36" i="16"/>
  <c r="Y32" i="16"/>
  <c r="Y24" i="16"/>
  <c r="Y20" i="16"/>
  <c r="Y12" i="16"/>
  <c r="Y8" i="16"/>
  <c r="Y45" i="16"/>
  <c r="Y33" i="16"/>
  <c r="Y21" i="16"/>
  <c r="Y17" i="16"/>
  <c r="Y9" i="16"/>
  <c r="Y5" i="16"/>
  <c r="AK24" i="15"/>
  <c r="X3" i="16"/>
  <c r="Y38" i="16"/>
  <c r="Y30" i="16"/>
  <c r="Y26" i="16"/>
  <c r="Y18" i="16"/>
  <c r="Y14" i="16"/>
  <c r="Y6" i="16"/>
  <c r="AK2" i="15"/>
  <c r="AK61" i="15"/>
  <c r="AK39" i="15"/>
  <c r="AK3" i="15"/>
  <c r="AK72" i="15"/>
  <c r="AK95" i="15"/>
  <c r="AK47" i="15"/>
  <c r="AK70" i="15"/>
  <c r="AK75" i="15"/>
  <c r="AK27" i="15"/>
  <c r="AK84" i="15"/>
  <c r="AK36" i="15"/>
  <c r="AK59" i="15"/>
  <c r="AK58" i="15"/>
  <c r="AK22" i="15"/>
  <c r="AK87" i="15"/>
  <c r="AK51" i="15"/>
  <c r="AK15" i="15"/>
  <c r="AK96" i="15"/>
  <c r="AK60" i="15"/>
  <c r="AK48" i="15"/>
  <c r="AK12" i="15"/>
  <c r="AK83" i="15"/>
  <c r="AK71" i="15"/>
  <c r="AK35" i="15"/>
  <c r="AK94" i="15"/>
  <c r="AK82" i="15"/>
  <c r="AK46" i="15"/>
  <c r="AK34" i="15"/>
  <c r="AK10" i="15"/>
  <c r="AK63" i="15"/>
  <c r="AK23" i="15"/>
  <c r="AK62" i="15"/>
  <c r="AK74" i="15"/>
  <c r="AK14" i="15"/>
  <c r="AK50" i="15"/>
  <c r="AK38" i="15"/>
  <c r="AK4" i="15"/>
  <c r="AK86" i="15"/>
  <c r="AK44" i="15"/>
  <c r="AK91" i="15"/>
  <c r="AK19" i="15"/>
  <c r="AK18" i="15"/>
  <c r="AK57" i="15"/>
  <c r="AK90" i="15"/>
  <c r="AK6" i="15"/>
  <c r="AK11" i="15"/>
  <c r="AK21" i="15"/>
  <c r="AK80" i="15"/>
  <c r="AK43" i="15"/>
  <c r="AK7" i="15"/>
  <c r="AK78" i="15"/>
  <c r="AK42" i="15"/>
  <c r="AK30" i="15"/>
  <c r="AK89" i="15"/>
  <c r="AK77" i="15"/>
  <c r="AK65" i="15"/>
  <c r="AK53" i="15"/>
  <c r="AK41" i="15"/>
  <c r="AK29" i="15"/>
  <c r="AK17" i="15"/>
  <c r="AK5" i="15"/>
  <c r="AK88" i="15"/>
  <c r="AK76" i="15"/>
  <c r="AK64" i="15"/>
  <c r="AK52" i="15"/>
  <c r="AK40" i="15"/>
  <c r="AK16" i="15"/>
  <c r="AK45" i="15"/>
  <c r="AK68" i="15"/>
  <c r="AK81" i="15"/>
  <c r="AK92" i="15"/>
  <c r="AK20" i="15"/>
  <c r="AK55" i="15"/>
  <c r="AK66" i="15"/>
  <c r="AK28" i="15"/>
  <c r="AK69" i="15"/>
  <c r="AK33" i="15"/>
  <c r="AK9" i="15"/>
  <c r="AK56" i="15"/>
  <c r="AK32" i="15"/>
  <c r="AK79" i="15"/>
  <c r="AK67" i="15"/>
  <c r="AK31" i="15"/>
  <c r="AK54" i="15"/>
  <c r="AK85" i="15"/>
  <c r="AK73" i="15"/>
  <c r="AK49" i="15"/>
  <c r="AK37" i="15"/>
  <c r="AK25" i="15"/>
  <c r="AK13" i="15"/>
  <c r="AK93" i="15"/>
  <c r="AK8" i="15"/>
  <c r="AK26" i="15"/>
  <c r="B13" i="15"/>
  <c r="B47" i="15"/>
  <c r="B48" i="15"/>
  <c r="B36" i="15"/>
  <c r="B37" i="15"/>
  <c r="B32" i="15"/>
  <c r="B33" i="15"/>
  <c r="B22" i="15"/>
  <c r="B23" i="15"/>
  <c r="B24" i="15"/>
  <c r="B25" i="15"/>
  <c r="B26" i="15"/>
  <c r="B40" i="15"/>
  <c r="B41" i="15"/>
  <c r="B11" i="15"/>
  <c r="B12" i="15"/>
  <c r="B18" i="15"/>
  <c r="B19" i="15"/>
  <c r="B16" i="15"/>
  <c r="B17" i="15"/>
  <c r="B3" i="15"/>
  <c r="B4" i="15"/>
  <c r="B5" i="15"/>
  <c r="B6" i="15"/>
  <c r="B7" i="15"/>
  <c r="B8" i="15"/>
  <c r="B9" i="15"/>
  <c r="C79"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I3" i="2"/>
  <c r="T3" i="2" s="1"/>
  <c r="I4" i="2"/>
  <c r="T4" i="2" s="1"/>
  <c r="I5" i="2"/>
  <c r="T5" i="2" s="1"/>
  <c r="I6" i="2"/>
  <c r="T6" i="2" s="1"/>
  <c r="I7" i="2"/>
  <c r="T7" i="2" s="1"/>
  <c r="I8" i="2"/>
  <c r="T8" i="2" s="1"/>
  <c r="I9" i="2"/>
  <c r="T9" i="2" s="1"/>
  <c r="I10" i="2"/>
  <c r="T10" i="2" s="1"/>
  <c r="I11" i="2"/>
  <c r="T11" i="2" s="1"/>
  <c r="I12" i="2"/>
  <c r="T12" i="2" s="1"/>
  <c r="I13" i="2"/>
  <c r="T13" i="2" s="1"/>
  <c r="I14" i="2"/>
  <c r="T14" i="2" s="1"/>
  <c r="I15" i="2"/>
  <c r="T15" i="2" s="1"/>
  <c r="I16" i="2"/>
  <c r="T16" i="2" s="1"/>
  <c r="I17" i="2"/>
  <c r="T17" i="2" s="1"/>
  <c r="I18" i="2"/>
  <c r="T18" i="2" s="1"/>
  <c r="I19" i="2"/>
  <c r="T19" i="2" s="1"/>
  <c r="I20" i="2"/>
  <c r="T20" i="2" s="1"/>
  <c r="I21" i="2"/>
  <c r="T21" i="2" s="1"/>
  <c r="I22" i="2"/>
  <c r="T22" i="2" s="1"/>
  <c r="I23" i="2"/>
  <c r="T23" i="2" s="1"/>
  <c r="I24" i="2"/>
  <c r="T24" i="2" s="1"/>
  <c r="I25" i="2"/>
  <c r="T25" i="2" s="1"/>
  <c r="I26" i="2"/>
  <c r="T26" i="2" s="1"/>
  <c r="I27" i="2"/>
  <c r="T27" i="2" s="1"/>
  <c r="I28" i="2"/>
  <c r="T28" i="2" s="1"/>
  <c r="I29" i="2"/>
  <c r="T29" i="2" s="1"/>
  <c r="I30" i="2"/>
  <c r="T30" i="2" s="1"/>
  <c r="I31" i="2"/>
  <c r="T31" i="2" s="1"/>
  <c r="I32" i="2"/>
  <c r="T32" i="2" s="1"/>
  <c r="I33" i="2"/>
  <c r="T33" i="2" s="1"/>
  <c r="I34" i="2"/>
  <c r="T34" i="2" s="1"/>
  <c r="I35" i="2"/>
  <c r="T35" i="2" s="1"/>
  <c r="I36" i="2"/>
  <c r="T36" i="2" s="1"/>
  <c r="I37" i="2"/>
  <c r="T37" i="2" s="1"/>
  <c r="I38" i="2"/>
  <c r="T38" i="2" s="1"/>
  <c r="I39" i="2"/>
  <c r="T39" i="2" s="1"/>
  <c r="I40" i="2"/>
  <c r="T40" i="2" s="1"/>
  <c r="I41" i="2"/>
  <c r="T41" i="2" s="1"/>
  <c r="I42" i="2"/>
  <c r="T42" i="2" s="1"/>
  <c r="I43" i="2"/>
  <c r="T43" i="2" s="1"/>
  <c r="I44" i="2"/>
  <c r="T44" i="2" s="1"/>
  <c r="I45" i="2"/>
  <c r="T45" i="2" s="1"/>
  <c r="I46" i="2"/>
  <c r="T46" i="2" s="1"/>
  <c r="I47" i="2"/>
  <c r="T47" i="2" s="1"/>
  <c r="I48" i="2"/>
  <c r="T48" i="2" s="1"/>
  <c r="I49" i="2"/>
  <c r="T49" i="2" s="1"/>
  <c r="I50" i="2"/>
  <c r="T50" i="2" s="1"/>
  <c r="I51" i="2"/>
  <c r="T51" i="2" s="1"/>
  <c r="I52" i="2"/>
  <c r="T52" i="2" s="1"/>
  <c r="I53" i="2"/>
  <c r="T53" i="2" s="1"/>
  <c r="I54" i="2"/>
  <c r="T54" i="2" s="1"/>
  <c r="I55" i="2"/>
  <c r="T55" i="2" s="1"/>
  <c r="I56" i="2"/>
  <c r="T56" i="2" s="1"/>
  <c r="I57" i="2"/>
  <c r="T57" i="2" s="1"/>
  <c r="I58" i="2"/>
  <c r="T58" i="2" s="1"/>
  <c r="I59" i="2"/>
  <c r="T59" i="2" s="1"/>
  <c r="I60" i="2"/>
  <c r="T60" i="2" s="1"/>
  <c r="I61" i="2"/>
  <c r="T61" i="2" s="1"/>
  <c r="I62" i="2"/>
  <c r="T62" i="2" s="1"/>
  <c r="I63" i="2"/>
  <c r="T63" i="2" s="1"/>
  <c r="I64" i="2"/>
  <c r="T64" i="2" s="1"/>
  <c r="I65" i="2"/>
  <c r="T65" i="2" s="1"/>
  <c r="I66" i="2"/>
  <c r="T66" i="2" s="1"/>
  <c r="I67" i="2"/>
  <c r="T67" i="2" s="1"/>
  <c r="I68" i="2"/>
  <c r="T68" i="2" s="1"/>
  <c r="I69" i="2"/>
  <c r="T69" i="2" s="1"/>
  <c r="I70" i="2"/>
  <c r="T70" i="2" s="1"/>
  <c r="I71" i="2"/>
  <c r="T71" i="2" s="1"/>
  <c r="I72" i="2"/>
  <c r="T72" i="2" s="1"/>
  <c r="I73" i="2"/>
  <c r="T73" i="2" s="1"/>
  <c r="I74" i="2"/>
  <c r="T74" i="2" s="1"/>
  <c r="I75" i="2"/>
  <c r="T75" i="2" s="1"/>
  <c r="I76" i="2"/>
  <c r="T76" i="2" s="1"/>
  <c r="I77" i="2"/>
  <c r="T77" i="2" s="1"/>
  <c r="I78" i="2"/>
  <c r="T78" i="2" s="1"/>
  <c r="I79" i="2"/>
  <c r="T79" i="2" s="1"/>
  <c r="I80" i="2"/>
  <c r="T80" i="2" s="1"/>
  <c r="I81" i="2"/>
  <c r="T81" i="2" s="1"/>
  <c r="I82" i="2"/>
  <c r="T82" i="2" s="1"/>
  <c r="I83" i="2"/>
  <c r="T83" i="2" s="1"/>
  <c r="I84" i="2"/>
  <c r="T84" i="2" s="1"/>
  <c r="I85" i="2"/>
  <c r="T85" i="2" s="1"/>
  <c r="I86" i="2"/>
  <c r="T86" i="2" s="1"/>
  <c r="I87" i="2"/>
  <c r="T87" i="2" s="1"/>
  <c r="I88" i="2"/>
  <c r="T88" i="2" s="1"/>
  <c r="I89" i="2"/>
  <c r="T89" i="2" s="1"/>
  <c r="I90" i="2"/>
  <c r="T90" i="2" s="1"/>
  <c r="I91" i="2"/>
  <c r="T91" i="2" s="1"/>
  <c r="I92" i="2"/>
  <c r="T92" i="2" s="1"/>
  <c r="I93" i="2"/>
  <c r="T93" i="2" s="1"/>
  <c r="I94" i="2"/>
  <c r="T94" i="2" s="1"/>
  <c r="I95" i="2"/>
  <c r="T95" i="2" s="1"/>
  <c r="I96" i="2"/>
  <c r="T96" i="2" s="1"/>
  <c r="I97" i="2"/>
  <c r="T97" i="2" s="1"/>
  <c r="I98" i="2"/>
  <c r="T98" i="2" s="1"/>
  <c r="I99" i="2"/>
  <c r="T99" i="2" s="1"/>
  <c r="I100" i="2"/>
  <c r="T100" i="2" s="1"/>
  <c r="I101" i="2"/>
  <c r="T101" i="2" s="1"/>
  <c r="I102" i="2"/>
  <c r="T102" i="2" s="1"/>
  <c r="I103" i="2"/>
  <c r="T103" i="2" s="1"/>
  <c r="I104" i="2"/>
  <c r="T104" i="2" s="1"/>
  <c r="I105" i="2"/>
  <c r="T105" i="2" s="1"/>
  <c r="I106" i="2"/>
  <c r="T106" i="2" s="1"/>
  <c r="I107" i="2"/>
  <c r="T107" i="2" s="1"/>
  <c r="I108" i="2"/>
  <c r="T108" i="2" s="1"/>
  <c r="I109" i="2"/>
  <c r="T109" i="2" s="1"/>
  <c r="I110" i="2"/>
  <c r="T110" i="2" s="1"/>
  <c r="I111" i="2"/>
  <c r="T111" i="2" s="1"/>
  <c r="I112" i="2"/>
  <c r="T112" i="2" s="1"/>
  <c r="I113" i="2"/>
  <c r="T113" i="2" s="1"/>
  <c r="I114" i="2"/>
  <c r="T114" i="2" s="1"/>
  <c r="I115" i="2"/>
  <c r="T115" i="2" s="1"/>
  <c r="I116" i="2"/>
  <c r="T116" i="2" s="1"/>
  <c r="I117" i="2"/>
  <c r="T117" i="2" s="1"/>
  <c r="I118" i="2"/>
  <c r="T118" i="2" s="1"/>
  <c r="I119" i="2"/>
  <c r="T119" i="2" s="1"/>
  <c r="I120" i="2"/>
  <c r="T120" i="2" s="1"/>
  <c r="I121" i="2"/>
  <c r="T121" i="2" s="1"/>
  <c r="I122" i="2"/>
  <c r="T122" i="2" s="1"/>
  <c r="I123" i="2"/>
  <c r="T123" i="2" s="1"/>
  <c r="I124" i="2"/>
  <c r="T124" i="2" s="1"/>
  <c r="I125" i="2"/>
  <c r="T125" i="2" s="1"/>
  <c r="I126" i="2"/>
  <c r="T126" i="2" s="1"/>
  <c r="I127" i="2"/>
  <c r="T127" i="2" s="1"/>
  <c r="I128" i="2"/>
  <c r="T128" i="2" s="1"/>
  <c r="I129" i="2"/>
  <c r="T129" i="2" s="1"/>
  <c r="I130" i="2"/>
  <c r="T130" i="2" s="1"/>
  <c r="I131" i="2"/>
  <c r="T131" i="2" s="1"/>
  <c r="I132" i="2"/>
  <c r="T132" i="2" s="1"/>
  <c r="I133" i="2"/>
  <c r="T133" i="2" s="1"/>
  <c r="I134" i="2"/>
  <c r="T134" i="2" s="1"/>
  <c r="I135" i="2"/>
  <c r="T135" i="2" s="1"/>
  <c r="I136" i="2"/>
  <c r="T136" i="2" s="1"/>
  <c r="I137" i="2"/>
  <c r="T137" i="2" s="1"/>
  <c r="I138" i="2"/>
  <c r="T138" i="2" s="1"/>
  <c r="I139" i="2"/>
  <c r="T139" i="2" s="1"/>
  <c r="I140" i="2"/>
  <c r="T140" i="2" s="1"/>
  <c r="I141" i="2"/>
  <c r="T141" i="2" s="1"/>
  <c r="I142" i="2"/>
  <c r="T142" i="2" s="1"/>
  <c r="I143" i="2"/>
  <c r="T143" i="2" s="1"/>
  <c r="I144" i="2"/>
  <c r="T144" i="2" s="1"/>
  <c r="I145" i="2"/>
  <c r="T145" i="2" s="1"/>
  <c r="I146" i="2"/>
  <c r="T146" i="2" s="1"/>
  <c r="I147" i="2"/>
  <c r="T147" i="2" s="1"/>
  <c r="I148" i="2"/>
  <c r="T148" i="2" s="1"/>
  <c r="I149" i="2"/>
  <c r="T149" i="2" s="1"/>
  <c r="I150" i="2"/>
  <c r="T150" i="2" s="1"/>
  <c r="I151" i="2"/>
  <c r="T151" i="2" s="1"/>
  <c r="I152" i="2"/>
  <c r="T152" i="2" s="1"/>
  <c r="I153" i="2"/>
  <c r="T153" i="2" s="1"/>
  <c r="I154" i="2"/>
  <c r="T154" i="2" s="1"/>
  <c r="I155" i="2"/>
  <c r="T155" i="2" s="1"/>
  <c r="I156" i="2"/>
  <c r="T156" i="2" s="1"/>
  <c r="I157" i="2"/>
  <c r="T157" i="2" s="1"/>
  <c r="I158" i="2"/>
  <c r="T158" i="2" s="1"/>
  <c r="I159" i="2"/>
  <c r="T159" i="2" s="1"/>
  <c r="I160" i="2"/>
  <c r="T160" i="2" s="1"/>
  <c r="I161" i="2"/>
  <c r="T161" i="2" s="1"/>
  <c r="I162" i="2"/>
  <c r="T162" i="2" s="1"/>
  <c r="I163" i="2"/>
  <c r="T163" i="2" s="1"/>
  <c r="I164" i="2"/>
  <c r="T164" i="2" s="1"/>
  <c r="I165" i="2"/>
  <c r="T165" i="2" s="1"/>
  <c r="I166" i="2"/>
  <c r="T166" i="2" s="1"/>
  <c r="I167" i="2"/>
  <c r="T167" i="2" s="1"/>
  <c r="I168" i="2"/>
  <c r="T168" i="2" s="1"/>
  <c r="I169" i="2"/>
  <c r="T169" i="2" s="1"/>
  <c r="I170" i="2"/>
  <c r="T170" i="2" s="1"/>
  <c r="I171" i="2"/>
  <c r="T171" i="2" s="1"/>
  <c r="I172" i="2"/>
  <c r="T172" i="2" s="1"/>
  <c r="I173" i="2"/>
  <c r="T173" i="2" s="1"/>
  <c r="I174" i="2"/>
  <c r="T174" i="2" s="1"/>
  <c r="I175" i="2"/>
  <c r="T175" i="2" s="1"/>
  <c r="I176" i="2"/>
  <c r="T176" i="2" s="1"/>
  <c r="I177" i="2"/>
  <c r="T177" i="2" s="1"/>
  <c r="I178" i="2"/>
  <c r="T178" i="2" s="1"/>
  <c r="I179" i="2"/>
  <c r="T179" i="2" s="1"/>
  <c r="I180" i="2"/>
  <c r="T180" i="2" s="1"/>
  <c r="I181" i="2"/>
  <c r="T181" i="2" s="1"/>
  <c r="I182" i="2"/>
  <c r="T182" i="2" s="1"/>
  <c r="I183" i="2"/>
  <c r="T183" i="2" s="1"/>
  <c r="I184" i="2"/>
  <c r="T184" i="2" s="1"/>
  <c r="I185" i="2"/>
  <c r="T185" i="2" s="1"/>
  <c r="I186" i="2"/>
  <c r="T186" i="2" s="1"/>
  <c r="I187" i="2"/>
  <c r="T187" i="2" s="1"/>
  <c r="I188" i="2"/>
  <c r="T188" i="2" s="1"/>
  <c r="I189" i="2"/>
  <c r="T189" i="2" s="1"/>
  <c r="I190" i="2"/>
  <c r="T190" i="2" s="1"/>
  <c r="I191" i="2"/>
  <c r="T191" i="2" s="1"/>
  <c r="I192" i="2"/>
  <c r="T192" i="2" s="1"/>
  <c r="I193" i="2"/>
  <c r="T193" i="2" s="1"/>
  <c r="I194" i="2"/>
  <c r="T194" i="2" s="1"/>
  <c r="I195" i="2"/>
  <c r="T195" i="2" s="1"/>
  <c r="I196" i="2"/>
  <c r="T196" i="2" s="1"/>
  <c r="I197" i="2"/>
  <c r="T197" i="2" s="1"/>
  <c r="I198" i="2"/>
  <c r="T198" i="2" s="1"/>
  <c r="I199" i="2"/>
  <c r="T199" i="2" s="1"/>
  <c r="I200" i="2"/>
  <c r="T200" i="2" s="1"/>
  <c r="I201" i="2"/>
  <c r="T201" i="2" s="1"/>
  <c r="I202" i="2"/>
  <c r="T202" i="2" s="1"/>
  <c r="I203" i="2"/>
  <c r="T203" i="2" s="1"/>
  <c r="I204" i="2"/>
  <c r="T204" i="2" s="1"/>
  <c r="I205" i="2"/>
  <c r="T205" i="2" s="1"/>
  <c r="I206" i="2"/>
  <c r="T206" i="2" s="1"/>
  <c r="I207" i="2"/>
  <c r="T207" i="2" s="1"/>
  <c r="I208" i="2"/>
  <c r="T208" i="2" s="1"/>
  <c r="I209" i="2"/>
  <c r="T209" i="2" s="1"/>
  <c r="I210" i="2"/>
  <c r="T210" i="2" s="1"/>
  <c r="I211" i="2"/>
  <c r="T211" i="2" s="1"/>
  <c r="I212" i="2"/>
  <c r="T212" i="2" s="1"/>
  <c r="I213" i="2"/>
  <c r="T213" i="2" s="1"/>
  <c r="I214" i="2"/>
  <c r="T214" i="2" s="1"/>
  <c r="I215" i="2"/>
  <c r="T215" i="2" s="1"/>
  <c r="I216" i="2"/>
  <c r="T216" i="2" s="1"/>
  <c r="I217" i="2"/>
  <c r="T217" i="2" s="1"/>
  <c r="I218" i="2"/>
  <c r="T218" i="2" s="1"/>
  <c r="I219" i="2"/>
  <c r="T219" i="2" s="1"/>
  <c r="I220" i="2"/>
  <c r="T220" i="2" s="1"/>
  <c r="I221" i="2"/>
  <c r="T221" i="2" s="1"/>
  <c r="I222" i="2"/>
  <c r="T222" i="2" s="1"/>
  <c r="I223" i="2"/>
  <c r="T223" i="2" s="1"/>
  <c r="I224" i="2"/>
  <c r="T224" i="2" s="1"/>
  <c r="I225" i="2"/>
  <c r="T225" i="2" s="1"/>
  <c r="I226" i="2"/>
  <c r="T226" i="2" s="1"/>
  <c r="I227" i="2"/>
  <c r="T227" i="2" s="1"/>
  <c r="I228" i="2"/>
  <c r="T228" i="2" s="1"/>
  <c r="I229" i="2"/>
  <c r="T229" i="2" s="1"/>
  <c r="I230" i="2"/>
  <c r="T230" i="2" s="1"/>
  <c r="I231" i="2"/>
  <c r="T231" i="2" s="1"/>
  <c r="I232" i="2"/>
  <c r="T232" i="2" s="1"/>
  <c r="I233" i="2"/>
  <c r="T233" i="2" s="1"/>
  <c r="I234" i="2"/>
  <c r="T234" i="2" s="1"/>
  <c r="I235" i="2"/>
  <c r="T235" i="2" s="1"/>
  <c r="I236" i="2"/>
  <c r="T236" i="2" s="1"/>
  <c r="I237" i="2"/>
  <c r="T237" i="2" s="1"/>
  <c r="I238" i="2"/>
  <c r="T238" i="2" s="1"/>
  <c r="I239" i="2"/>
  <c r="T239" i="2" s="1"/>
  <c r="I240" i="2"/>
  <c r="T240" i="2" s="1"/>
  <c r="I241" i="2"/>
  <c r="T241" i="2" s="1"/>
  <c r="I242" i="2"/>
  <c r="T242" i="2" s="1"/>
  <c r="I243" i="2"/>
  <c r="T243" i="2" s="1"/>
  <c r="I244" i="2"/>
  <c r="T244" i="2" s="1"/>
  <c r="I245" i="2"/>
  <c r="T245" i="2" s="1"/>
  <c r="I246" i="2"/>
  <c r="T246" i="2" s="1"/>
  <c r="I247" i="2"/>
  <c r="T247" i="2" s="1"/>
  <c r="I248" i="2"/>
  <c r="T248" i="2" s="1"/>
  <c r="I249" i="2"/>
  <c r="T249" i="2" s="1"/>
  <c r="I250" i="2"/>
  <c r="T250" i="2" s="1"/>
  <c r="I251" i="2"/>
  <c r="T251" i="2" s="1"/>
  <c r="I252" i="2"/>
  <c r="T252" i="2" s="1"/>
  <c r="I253" i="2"/>
  <c r="T253" i="2" s="1"/>
  <c r="I254" i="2"/>
  <c r="T254" i="2" s="1"/>
  <c r="I255" i="2"/>
  <c r="T255" i="2" s="1"/>
  <c r="I256" i="2"/>
  <c r="T256" i="2" s="1"/>
  <c r="I257" i="2"/>
  <c r="T257" i="2" s="1"/>
  <c r="I258" i="2"/>
  <c r="T258" i="2" s="1"/>
  <c r="I259" i="2"/>
  <c r="T259" i="2" s="1"/>
  <c r="I260" i="2"/>
  <c r="T260" i="2" s="1"/>
  <c r="I261" i="2"/>
  <c r="T261" i="2" s="1"/>
  <c r="I262" i="2"/>
  <c r="T262" i="2" s="1"/>
  <c r="I263" i="2"/>
  <c r="T263" i="2" s="1"/>
  <c r="I264" i="2"/>
  <c r="T264" i="2" s="1"/>
  <c r="I265" i="2"/>
  <c r="T265" i="2" s="1"/>
  <c r="I266" i="2"/>
  <c r="T266" i="2" s="1"/>
  <c r="I267" i="2"/>
  <c r="T267" i="2" s="1"/>
  <c r="I268" i="2"/>
  <c r="T268" i="2" s="1"/>
  <c r="I269" i="2"/>
  <c r="T269" i="2" s="1"/>
  <c r="I270" i="2"/>
  <c r="T270" i="2" s="1"/>
  <c r="I271" i="2"/>
  <c r="T271" i="2" s="1"/>
  <c r="I272" i="2"/>
  <c r="T272" i="2" s="1"/>
  <c r="I273" i="2"/>
  <c r="T273" i="2" s="1"/>
  <c r="I274" i="2"/>
  <c r="T274" i="2" s="1"/>
  <c r="I275" i="2"/>
  <c r="T275" i="2" s="1"/>
  <c r="I276" i="2"/>
  <c r="T276" i="2" s="1"/>
  <c r="I277" i="2"/>
  <c r="T277" i="2" s="1"/>
  <c r="I278" i="2"/>
  <c r="T278" i="2" s="1"/>
  <c r="I279" i="2"/>
  <c r="T279" i="2" s="1"/>
  <c r="I280" i="2"/>
  <c r="T280" i="2" s="1"/>
  <c r="I281" i="2"/>
  <c r="T281" i="2" s="1"/>
  <c r="I282" i="2"/>
  <c r="T282" i="2" s="1"/>
  <c r="I283" i="2"/>
  <c r="T283" i="2" s="1"/>
  <c r="I284" i="2"/>
  <c r="T284" i="2" s="1"/>
  <c r="I285" i="2"/>
  <c r="T285" i="2" s="1"/>
  <c r="I286" i="2"/>
  <c r="T286" i="2" s="1"/>
  <c r="I287" i="2"/>
  <c r="T287" i="2" s="1"/>
  <c r="I288" i="2"/>
  <c r="T288" i="2" s="1"/>
  <c r="I289" i="2"/>
  <c r="T289" i="2" s="1"/>
  <c r="I290" i="2"/>
  <c r="T290" i="2" s="1"/>
  <c r="I291" i="2"/>
  <c r="T291" i="2" s="1"/>
  <c r="I292" i="2"/>
  <c r="T292" i="2" s="1"/>
  <c r="I293" i="2"/>
  <c r="T293" i="2" s="1"/>
  <c r="I294" i="2"/>
  <c r="T294" i="2" s="1"/>
  <c r="I295" i="2"/>
  <c r="T295" i="2" s="1"/>
  <c r="I296" i="2"/>
  <c r="T296" i="2" s="1"/>
  <c r="I297" i="2"/>
  <c r="T297" i="2" s="1"/>
  <c r="I298" i="2"/>
  <c r="T298" i="2" s="1"/>
  <c r="I299" i="2"/>
  <c r="T299" i="2" s="1"/>
  <c r="I300" i="2"/>
  <c r="T300" i="2" s="1"/>
  <c r="I301" i="2"/>
  <c r="T301" i="2" s="1"/>
  <c r="I302" i="2"/>
  <c r="T302" i="2" s="1"/>
  <c r="I303" i="2"/>
  <c r="T303" i="2" s="1"/>
  <c r="I2" i="2"/>
  <c r="T2" i="2" s="1"/>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20" i="15"/>
  <c r="AC54" i="2" l="1"/>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Y54" i="2"/>
  <c r="Y55" i="2"/>
  <c r="Y56" i="2"/>
  <c r="Y57" i="2"/>
  <c r="Y58" i="2"/>
  <c r="Y59" i="2"/>
  <c r="Y60" i="2"/>
  <c r="Y61" i="2"/>
  <c r="Y62" i="2"/>
  <c r="Y63" i="2"/>
  <c r="Y64" i="2"/>
  <c r="Y65" i="2"/>
  <c r="Y66" i="2"/>
  <c r="Y67" i="2"/>
  <c r="Y68" i="2"/>
  <c r="Y69" i="2"/>
  <c r="Y70" i="2"/>
  <c r="Y71" i="2"/>
  <c r="Y72" i="2"/>
  <c r="Y73" i="2"/>
  <c r="Y74" i="2"/>
  <c r="Y75" i="2"/>
  <c r="Y76" i="2"/>
  <c r="Y77" i="2"/>
  <c r="Y78" i="2"/>
  <c r="Y79"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U54" i="2"/>
  <c r="U55" i="2"/>
  <c r="U56" i="2"/>
  <c r="U57" i="2"/>
  <c r="U58" i="2"/>
  <c r="U59" i="2"/>
  <c r="U60" i="2"/>
  <c r="U61" i="2"/>
  <c r="U62" i="2"/>
  <c r="U63" i="2"/>
  <c r="U64" i="2"/>
  <c r="U65" i="2"/>
  <c r="U66" i="2"/>
  <c r="U67" i="2"/>
  <c r="U68" i="2"/>
  <c r="U69" i="2"/>
  <c r="U70" i="2"/>
  <c r="U71" i="2"/>
  <c r="U72" i="2"/>
  <c r="U73" i="2"/>
  <c r="U74" i="2"/>
  <c r="U75" i="2"/>
  <c r="U76" i="2"/>
  <c r="U77" i="2"/>
  <c r="U78" i="2"/>
  <c r="U79"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S12" i="2"/>
  <c r="B20" i="15"/>
  <c r="C96" i="15"/>
  <c r="B15" i="15"/>
  <c r="B304" i="2" l="1"/>
  <c r="AD304" i="2" s="1"/>
  <c r="N96" i="15"/>
  <c r="Q96" i="15"/>
  <c r="T96" i="15"/>
  <c r="Y194" i="2" l="1"/>
  <c r="Y206" i="2"/>
  <c r="Y218" i="2"/>
  <c r="Y230" i="2"/>
  <c r="Y242" i="2"/>
  <c r="Y254" i="2"/>
  <c r="Y266" i="2"/>
  <c r="Y278" i="2"/>
  <c r="Y290" i="2"/>
  <c r="Y302" i="2"/>
  <c r="Y314" i="2"/>
  <c r="Y326" i="2"/>
  <c r="Y338" i="2"/>
  <c r="Y350" i="2"/>
  <c r="Y184" i="2"/>
  <c r="Y196" i="2"/>
  <c r="Y208" i="2"/>
  <c r="Y220" i="2"/>
  <c r="Y232" i="2"/>
  <c r="Y244" i="2"/>
  <c r="Y256" i="2"/>
  <c r="Y268" i="2"/>
  <c r="Y280" i="2"/>
  <c r="Y292" i="2"/>
  <c r="Y304" i="2"/>
  <c r="Y316" i="2"/>
  <c r="Y328" i="2"/>
  <c r="Y340" i="2"/>
  <c r="Y187" i="2"/>
  <c r="Y199" i="2"/>
  <c r="Y211" i="2"/>
  <c r="Y223" i="2"/>
  <c r="Y235" i="2"/>
  <c r="Y247" i="2"/>
  <c r="Y259" i="2"/>
  <c r="Y271" i="2"/>
  <c r="Y283" i="2"/>
  <c r="Y295" i="2"/>
  <c r="Y307" i="2"/>
  <c r="Y319" i="2"/>
  <c r="Y331" i="2"/>
  <c r="Y343" i="2"/>
  <c r="Y189" i="2"/>
  <c r="Y201" i="2"/>
  <c r="Y213" i="2"/>
  <c r="Y225" i="2"/>
  <c r="Y237" i="2"/>
  <c r="Y249" i="2"/>
  <c r="Y261" i="2"/>
  <c r="Y273" i="2"/>
  <c r="Y285" i="2"/>
  <c r="Y297" i="2"/>
  <c r="Y309" i="2"/>
  <c r="Y321" i="2"/>
  <c r="Y333" i="2"/>
  <c r="Y345" i="2"/>
  <c r="Y190" i="2"/>
  <c r="Y202" i="2"/>
  <c r="Y214" i="2"/>
  <c r="Y226" i="2"/>
  <c r="Y238" i="2"/>
  <c r="Y250" i="2"/>
  <c r="Y262" i="2"/>
  <c r="Y274" i="2"/>
  <c r="Y286" i="2"/>
  <c r="Y298" i="2"/>
  <c r="Y310" i="2"/>
  <c r="Y322" i="2"/>
  <c r="Y334" i="2"/>
  <c r="Y346" i="2"/>
  <c r="Y191" i="2"/>
  <c r="Y203" i="2"/>
  <c r="Y215" i="2"/>
  <c r="Y227" i="2"/>
  <c r="Y239" i="2"/>
  <c r="Y251" i="2"/>
  <c r="Y263" i="2"/>
  <c r="Y275" i="2"/>
  <c r="Y287" i="2"/>
  <c r="Y299" i="2"/>
  <c r="Y311" i="2"/>
  <c r="Y323" i="2"/>
  <c r="Y335" i="2"/>
  <c r="Y347" i="2"/>
  <c r="Y192" i="2"/>
  <c r="Y204" i="2"/>
  <c r="Y216" i="2"/>
  <c r="Y228" i="2"/>
  <c r="Y240" i="2"/>
  <c r="Y252" i="2"/>
  <c r="Y264" i="2"/>
  <c r="Y276" i="2"/>
  <c r="Y288" i="2"/>
  <c r="Y300" i="2"/>
  <c r="Y312" i="2"/>
  <c r="Y324" i="2"/>
  <c r="Y336" i="2"/>
  <c r="Y348" i="2"/>
  <c r="Y193" i="2"/>
  <c r="Y205" i="2"/>
  <c r="Y217" i="2"/>
  <c r="Y229" i="2"/>
  <c r="Y241" i="2"/>
  <c r="Y253" i="2"/>
  <c r="Y265" i="2"/>
  <c r="Y277" i="2"/>
  <c r="Y289" i="2"/>
  <c r="Y301" i="2"/>
  <c r="Y313" i="2"/>
  <c r="Y325" i="2"/>
  <c r="Y337" i="2"/>
  <c r="Y349" i="2"/>
  <c r="Y207" i="2"/>
  <c r="Y243" i="2"/>
  <c r="Y279" i="2"/>
  <c r="Y315" i="2"/>
  <c r="Y236" i="2"/>
  <c r="Y209" i="2"/>
  <c r="Y245" i="2"/>
  <c r="Y281" i="2"/>
  <c r="Y317" i="2"/>
  <c r="Y231" i="2"/>
  <c r="Y197" i="2"/>
  <c r="Y306" i="2"/>
  <c r="Y200" i="2"/>
  <c r="Y210" i="2"/>
  <c r="Y246" i="2"/>
  <c r="Y282" i="2"/>
  <c r="Y318" i="2"/>
  <c r="Y303" i="2"/>
  <c r="Y233" i="2"/>
  <c r="Y270" i="2"/>
  <c r="Y308" i="2"/>
  <c r="Y212" i="2"/>
  <c r="Y248" i="2"/>
  <c r="Y284" i="2"/>
  <c r="Y320" i="2"/>
  <c r="Y267" i="2"/>
  <c r="Y341" i="2"/>
  <c r="Y198" i="2"/>
  <c r="Y219" i="2"/>
  <c r="Y255" i="2"/>
  <c r="Y291" i="2"/>
  <c r="Y327" i="2"/>
  <c r="Y185" i="2"/>
  <c r="Y221" i="2"/>
  <c r="Y257" i="2"/>
  <c r="Y293" i="2"/>
  <c r="Y329" i="2"/>
  <c r="Y269" i="2"/>
  <c r="Y272" i="2"/>
  <c r="Y186" i="2"/>
  <c r="Y222" i="2"/>
  <c r="Y258" i="2"/>
  <c r="Y294" i="2"/>
  <c r="Y330" i="2"/>
  <c r="Y339" i="2"/>
  <c r="Y342" i="2"/>
  <c r="Y344" i="2"/>
  <c r="Y188" i="2"/>
  <c r="Y224" i="2"/>
  <c r="Y260" i="2"/>
  <c r="Y296" i="2"/>
  <c r="Y332" i="2"/>
  <c r="Y195" i="2"/>
  <c r="Y305" i="2"/>
  <c r="Y234" i="2"/>
  <c r="AC195" i="2"/>
  <c r="AC207" i="2"/>
  <c r="AC219" i="2"/>
  <c r="AC231" i="2"/>
  <c r="AC243" i="2"/>
  <c r="AC255" i="2"/>
  <c r="AC267" i="2"/>
  <c r="AC279" i="2"/>
  <c r="AC291" i="2"/>
  <c r="AC303" i="2"/>
  <c r="AC315" i="2"/>
  <c r="AC327" i="2"/>
  <c r="AC339" i="2"/>
  <c r="AC185" i="2"/>
  <c r="AC197" i="2"/>
  <c r="AC209" i="2"/>
  <c r="AC221" i="2"/>
  <c r="AC233" i="2"/>
  <c r="AC245" i="2"/>
  <c r="AC257" i="2"/>
  <c r="AC269" i="2"/>
  <c r="AC281" i="2"/>
  <c r="AC293" i="2"/>
  <c r="AC305" i="2"/>
  <c r="AC317" i="2"/>
  <c r="AC329" i="2"/>
  <c r="AC341" i="2"/>
  <c r="AC188" i="2"/>
  <c r="AC200" i="2"/>
  <c r="AC212" i="2"/>
  <c r="AC224" i="2"/>
  <c r="AC236" i="2"/>
  <c r="AC248" i="2"/>
  <c r="AC260" i="2"/>
  <c r="AC272" i="2"/>
  <c r="AC284" i="2"/>
  <c r="AC296" i="2"/>
  <c r="AC308" i="2"/>
  <c r="AC320" i="2"/>
  <c r="AC332" i="2"/>
  <c r="AC344" i="2"/>
  <c r="AC190" i="2"/>
  <c r="AC202" i="2"/>
  <c r="AC214" i="2"/>
  <c r="AC226" i="2"/>
  <c r="AC238" i="2"/>
  <c r="AC250" i="2"/>
  <c r="AC262" i="2"/>
  <c r="AC274" i="2"/>
  <c r="AC286" i="2"/>
  <c r="AC298" i="2"/>
  <c r="AC310" i="2"/>
  <c r="AC322" i="2"/>
  <c r="AC334" i="2"/>
  <c r="AC346" i="2"/>
  <c r="AC191" i="2"/>
  <c r="AC203" i="2"/>
  <c r="AC215" i="2"/>
  <c r="AC227" i="2"/>
  <c r="AC239" i="2"/>
  <c r="AC251" i="2"/>
  <c r="AC263" i="2"/>
  <c r="AC275" i="2"/>
  <c r="AC287" i="2"/>
  <c r="AC299" i="2"/>
  <c r="AC311" i="2"/>
  <c r="AC323" i="2"/>
  <c r="AC335" i="2"/>
  <c r="AC347" i="2"/>
  <c r="AC192" i="2"/>
  <c r="AC204" i="2"/>
  <c r="AC216" i="2"/>
  <c r="AC228" i="2"/>
  <c r="AC240" i="2"/>
  <c r="AC252" i="2"/>
  <c r="AC264" i="2"/>
  <c r="AC276" i="2"/>
  <c r="AC288" i="2"/>
  <c r="AC300" i="2"/>
  <c r="AC312" i="2"/>
  <c r="AC324" i="2"/>
  <c r="AC336" i="2"/>
  <c r="AC348" i="2"/>
  <c r="AC193" i="2"/>
  <c r="AC205" i="2"/>
  <c r="AC217" i="2"/>
  <c r="AC229" i="2"/>
  <c r="AC241" i="2"/>
  <c r="AC253" i="2"/>
  <c r="AC265" i="2"/>
  <c r="AC277" i="2"/>
  <c r="AC289" i="2"/>
  <c r="AC301" i="2"/>
  <c r="AC313" i="2"/>
  <c r="AC325" i="2"/>
  <c r="AC337" i="2"/>
  <c r="AC349" i="2"/>
  <c r="AC194" i="2"/>
  <c r="AC206" i="2"/>
  <c r="AC218" i="2"/>
  <c r="AC230" i="2"/>
  <c r="AC242" i="2"/>
  <c r="AC254" i="2"/>
  <c r="AC266" i="2"/>
  <c r="AC278" i="2"/>
  <c r="AC290" i="2"/>
  <c r="AC302" i="2"/>
  <c r="AC314" i="2"/>
  <c r="AC326" i="2"/>
  <c r="AC338" i="2"/>
  <c r="AC350" i="2"/>
  <c r="AC189" i="2"/>
  <c r="AC225" i="2"/>
  <c r="AC261" i="2"/>
  <c r="AC297" i="2"/>
  <c r="AC333" i="2"/>
  <c r="AC292" i="2"/>
  <c r="AC258" i="2"/>
  <c r="AC196" i="2"/>
  <c r="AC232" i="2"/>
  <c r="AC268" i="2"/>
  <c r="AC304" i="2"/>
  <c r="AC340" i="2"/>
  <c r="AC222" i="2"/>
  <c r="AC198" i="2"/>
  <c r="AC234" i="2"/>
  <c r="AC270" i="2"/>
  <c r="AC306" i="2"/>
  <c r="AC342" i="2"/>
  <c r="AC285" i="2"/>
  <c r="AC184" i="2"/>
  <c r="AC330" i="2"/>
  <c r="AC187" i="2"/>
  <c r="AC199" i="2"/>
  <c r="AC235" i="2"/>
  <c r="AC271" i="2"/>
  <c r="AC307" i="2"/>
  <c r="AC343" i="2"/>
  <c r="AC328" i="2"/>
  <c r="AC259" i="2"/>
  <c r="AC201" i="2"/>
  <c r="AC237" i="2"/>
  <c r="AC273" i="2"/>
  <c r="AC309" i="2"/>
  <c r="AC345" i="2"/>
  <c r="AC249" i="2"/>
  <c r="AC186" i="2"/>
  <c r="AC331" i="2"/>
  <c r="AC208" i="2"/>
  <c r="AC244" i="2"/>
  <c r="AC280" i="2"/>
  <c r="AC316" i="2"/>
  <c r="AC321" i="2"/>
  <c r="AC294" i="2"/>
  <c r="AC210" i="2"/>
  <c r="AC246" i="2"/>
  <c r="AC282" i="2"/>
  <c r="AC318" i="2"/>
  <c r="AC213" i="2"/>
  <c r="AC256" i="2"/>
  <c r="AC223" i="2"/>
  <c r="AC211" i="2"/>
  <c r="AC247" i="2"/>
  <c r="AC283" i="2"/>
  <c r="AC319" i="2"/>
  <c r="AC220" i="2"/>
  <c r="AC295" i="2"/>
  <c r="U195" i="2"/>
  <c r="U207" i="2"/>
  <c r="U219" i="2"/>
  <c r="U231" i="2"/>
  <c r="U243" i="2"/>
  <c r="U255" i="2"/>
  <c r="U267" i="2"/>
  <c r="U279" i="2"/>
  <c r="U291" i="2"/>
  <c r="U303" i="2"/>
  <c r="U315" i="2"/>
  <c r="U327" i="2"/>
  <c r="U339" i="2"/>
  <c r="U186" i="2"/>
  <c r="U198" i="2"/>
  <c r="U210" i="2"/>
  <c r="U222" i="2"/>
  <c r="U234" i="2"/>
  <c r="U188" i="2"/>
  <c r="U189" i="2"/>
  <c r="U190" i="2"/>
  <c r="U202" i="2"/>
  <c r="U214" i="2"/>
  <c r="U226" i="2"/>
  <c r="U238" i="2"/>
  <c r="U191" i="2"/>
  <c r="U203" i="2"/>
  <c r="U215" i="2"/>
  <c r="U227" i="2"/>
  <c r="U239" i="2"/>
  <c r="U251" i="2"/>
  <c r="U192" i="2"/>
  <c r="U204" i="2"/>
  <c r="U216" i="2"/>
  <c r="U228" i="2"/>
  <c r="U240" i="2"/>
  <c r="U252" i="2"/>
  <c r="U264" i="2"/>
  <c r="U193" i="2"/>
  <c r="U212" i="2"/>
  <c r="U233" i="2"/>
  <c r="U250" i="2"/>
  <c r="U266" i="2"/>
  <c r="U280" i="2"/>
  <c r="U293" i="2"/>
  <c r="U306" i="2"/>
  <c r="U319" i="2"/>
  <c r="U332" i="2"/>
  <c r="U345" i="2"/>
  <c r="U184" i="2"/>
  <c r="U316" i="2"/>
  <c r="U230" i="2"/>
  <c r="U343" i="2"/>
  <c r="U265" i="2"/>
  <c r="U194" i="2"/>
  <c r="U213" i="2"/>
  <c r="U235" i="2"/>
  <c r="U253" i="2"/>
  <c r="U268" i="2"/>
  <c r="U281" i="2"/>
  <c r="U294" i="2"/>
  <c r="U307" i="2"/>
  <c r="U320" i="2"/>
  <c r="U333" i="2"/>
  <c r="U346" i="2"/>
  <c r="U349" i="2"/>
  <c r="U225" i="2"/>
  <c r="U341" i="2"/>
  <c r="U262" i="2"/>
  <c r="U304" i="2"/>
  <c r="U249" i="2"/>
  <c r="U196" i="2"/>
  <c r="U217" i="2"/>
  <c r="U236" i="2"/>
  <c r="U254" i="2"/>
  <c r="U269" i="2"/>
  <c r="U282" i="2"/>
  <c r="U295" i="2"/>
  <c r="U308" i="2"/>
  <c r="U321" i="2"/>
  <c r="U334" i="2"/>
  <c r="U347" i="2"/>
  <c r="U296" i="2"/>
  <c r="U322" i="2"/>
  <c r="U335" i="2"/>
  <c r="U297" i="2"/>
  <c r="U336" i="2"/>
  <c r="U338" i="2"/>
  <c r="U275" i="2"/>
  <c r="U314" i="2"/>
  <c r="U229" i="2"/>
  <c r="U329" i="2"/>
  <c r="U185" i="2"/>
  <c r="U317" i="2"/>
  <c r="U211" i="2"/>
  <c r="U318" i="2"/>
  <c r="U197" i="2"/>
  <c r="U218" i="2"/>
  <c r="U237" i="2"/>
  <c r="U256" i="2"/>
  <c r="U270" i="2"/>
  <c r="U283" i="2"/>
  <c r="U309" i="2"/>
  <c r="U348" i="2"/>
  <c r="U323" i="2"/>
  <c r="U350" i="2"/>
  <c r="U261" i="2"/>
  <c r="U302" i="2"/>
  <c r="U248" i="2"/>
  <c r="U232" i="2"/>
  <c r="U344" i="2"/>
  <c r="U199" i="2"/>
  <c r="U220" i="2"/>
  <c r="U241" i="2"/>
  <c r="U257" i="2"/>
  <c r="U271" i="2"/>
  <c r="U284" i="2"/>
  <c r="U310" i="2"/>
  <c r="U337" i="2"/>
  <c r="U246" i="2"/>
  <c r="U247" i="2"/>
  <c r="U277" i="2"/>
  <c r="U187" i="2"/>
  <c r="U331" i="2"/>
  <c r="U200" i="2"/>
  <c r="U221" i="2"/>
  <c r="U242" i="2"/>
  <c r="U258" i="2"/>
  <c r="U272" i="2"/>
  <c r="U285" i="2"/>
  <c r="U298" i="2"/>
  <c r="U311" i="2"/>
  <c r="U324" i="2"/>
  <c r="U206" i="2"/>
  <c r="U328" i="2"/>
  <c r="U276" i="2"/>
  <c r="U209" i="2"/>
  <c r="U330" i="2"/>
  <c r="U292" i="2"/>
  <c r="U201" i="2"/>
  <c r="U223" i="2"/>
  <c r="U244" i="2"/>
  <c r="U259" i="2"/>
  <c r="U273" i="2"/>
  <c r="U286" i="2"/>
  <c r="U299" i="2"/>
  <c r="U312" i="2"/>
  <c r="U325" i="2"/>
  <c r="U288" i="2"/>
  <c r="U208" i="2"/>
  <c r="U342" i="2"/>
  <c r="U290" i="2"/>
  <c r="U305" i="2"/>
  <c r="U205" i="2"/>
  <c r="U224" i="2"/>
  <c r="U245" i="2"/>
  <c r="U260" i="2"/>
  <c r="U274" i="2"/>
  <c r="U287" i="2"/>
  <c r="U300" i="2"/>
  <c r="U313" i="2"/>
  <c r="U326" i="2"/>
  <c r="U340" i="2"/>
  <c r="U301" i="2"/>
  <c r="U289" i="2"/>
  <c r="U263" i="2"/>
  <c r="U278" i="2"/>
  <c r="V304" i="2"/>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W90" i="15"/>
  <c r="W91" i="15"/>
  <c r="W92" i="15"/>
  <c r="W93" i="15"/>
  <c r="W94" i="15"/>
  <c r="W95" i="15"/>
  <c r="W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37" i="37" s="1"/>
  <c r="I37" i="37" s="1"/>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W2" i="15"/>
  <c r="W21" i="15"/>
  <c r="B2" i="15"/>
  <c r="C31" i="37" l="1"/>
  <c r="I31" i="37" s="1"/>
  <c r="G22" i="15"/>
  <c r="G23" i="15"/>
  <c r="C34" i="37"/>
  <c r="I34" i="37" s="1"/>
  <c r="G47" i="15"/>
  <c r="G48" i="15"/>
  <c r="G12" i="15"/>
  <c r="G11" i="15"/>
  <c r="I9" i="15"/>
  <c r="G13" i="15"/>
  <c r="C28" i="37"/>
  <c r="I28" i="37" s="1"/>
  <c r="I3" i="15"/>
  <c r="G9" i="15"/>
  <c r="I7" i="15"/>
  <c r="I6" i="15"/>
  <c r="G36" i="15"/>
  <c r="G37" i="15"/>
  <c r="G2" i="15"/>
  <c r="I32" i="15"/>
  <c r="I25" i="15"/>
  <c r="G4" i="15"/>
  <c r="C4" i="15" s="1"/>
  <c r="I47" i="15"/>
  <c r="I36" i="15"/>
  <c r="I18" i="15"/>
  <c r="I22" i="15"/>
  <c r="I40" i="15"/>
  <c r="I16" i="15"/>
  <c r="I11" i="15"/>
  <c r="G6" i="15"/>
  <c r="C25" i="37"/>
  <c r="I25" i="37" s="1"/>
  <c r="G17" i="15"/>
  <c r="G16" i="15"/>
  <c r="C16" i="15" s="1"/>
  <c r="I13" i="15"/>
  <c r="G32" i="15"/>
  <c r="G33" i="15"/>
  <c r="C22" i="37"/>
  <c r="I22" i="37" s="1"/>
  <c r="C40" i="37"/>
  <c r="I40" i="37" s="1"/>
  <c r="I5" i="15"/>
  <c r="I4" i="15"/>
  <c r="G31" i="15"/>
  <c r="I8" i="15"/>
  <c r="C47" i="35"/>
  <c r="G24" i="15"/>
  <c r="G40" i="15"/>
  <c r="C40" i="15" s="1"/>
  <c r="G41" i="15"/>
  <c r="G18" i="15"/>
  <c r="G19" i="15"/>
  <c r="C6" i="37"/>
  <c r="I6" i="37" s="1"/>
  <c r="I24" i="15"/>
  <c r="G26" i="15"/>
  <c r="G25" i="15"/>
  <c r="I31" i="15"/>
  <c r="C31" i="15" s="1"/>
  <c r="G3" i="15"/>
  <c r="G8" i="15"/>
  <c r="I37" i="15"/>
  <c r="I48" i="15"/>
  <c r="I33" i="15"/>
  <c r="G5" i="15"/>
  <c r="C5" i="15" s="1"/>
  <c r="G7" i="15"/>
  <c r="C7" i="15" s="1"/>
  <c r="I26" i="15"/>
  <c r="I12" i="15"/>
  <c r="I17" i="15"/>
  <c r="I41" i="15"/>
  <c r="I19" i="15"/>
  <c r="I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G10" i="15"/>
  <c r="D2" i="21"/>
  <c r="C20" i="35"/>
  <c r="C10" i="35"/>
  <c r="C22" i="35"/>
  <c r="C12" i="35"/>
  <c r="C24" i="35"/>
  <c r="C11" i="37"/>
  <c r="I11" i="37" s="1"/>
  <c r="I15" i="15"/>
  <c r="G14" i="15"/>
  <c r="G20" i="15"/>
  <c r="G15" i="15"/>
  <c r="C19" i="37"/>
  <c r="I19" i="37" s="1"/>
  <c r="I20" i="15"/>
  <c r="C10" i="37"/>
  <c r="I10" i="37" s="1"/>
  <c r="C14" i="37"/>
  <c r="I14" i="37" s="1"/>
  <c r="C18" i="37"/>
  <c r="I18" i="37" s="1"/>
  <c r="C9" i="37"/>
  <c r="I9" i="37" s="1"/>
  <c r="C13" i="37"/>
  <c r="I13" i="37" s="1"/>
  <c r="C17" i="37"/>
  <c r="I17" i="37" s="1"/>
  <c r="C8" i="37"/>
  <c r="I8" i="37" s="1"/>
  <c r="C12" i="37"/>
  <c r="I12" i="37" s="1"/>
  <c r="C16" i="37"/>
  <c r="I16" i="37" s="1"/>
  <c r="C15" i="37"/>
  <c r="I15" i="37" s="1"/>
  <c r="G27" i="15"/>
  <c r="G28" i="15"/>
  <c r="I35" i="15"/>
  <c r="G21" i="15"/>
  <c r="G29" i="15"/>
  <c r="G42" i="15"/>
  <c r="G54" i="15"/>
  <c r="G66" i="15"/>
  <c r="G78" i="15"/>
  <c r="G90" i="15"/>
  <c r="I52" i="15"/>
  <c r="I64" i="15"/>
  <c r="I76" i="15"/>
  <c r="I88" i="15"/>
  <c r="G55" i="15"/>
  <c r="G67" i="15"/>
  <c r="G79" i="15"/>
  <c r="G91" i="15"/>
  <c r="I39" i="15"/>
  <c r="I53" i="15"/>
  <c r="I65" i="15"/>
  <c r="I77" i="15"/>
  <c r="I89" i="15"/>
  <c r="G68" i="15"/>
  <c r="G80" i="15"/>
  <c r="G92" i="15"/>
  <c r="I42" i="15"/>
  <c r="I54" i="15"/>
  <c r="I66" i="15"/>
  <c r="I90" i="15"/>
  <c r="G81" i="15"/>
  <c r="G93" i="15"/>
  <c r="I55" i="15"/>
  <c r="I79" i="15"/>
  <c r="I50" i="15"/>
  <c r="G39" i="15"/>
  <c r="G89" i="15"/>
  <c r="I63" i="15"/>
  <c r="G56" i="15"/>
  <c r="I78" i="15"/>
  <c r="I67" i="15"/>
  <c r="I62" i="15"/>
  <c r="G65" i="15"/>
  <c r="G43" i="15"/>
  <c r="G57" i="15"/>
  <c r="G69" i="15"/>
  <c r="I91" i="15"/>
  <c r="G53" i="15"/>
  <c r="I75" i="15"/>
  <c r="G44" i="15"/>
  <c r="G58" i="15"/>
  <c r="G70" i="15"/>
  <c r="G82" i="15"/>
  <c r="G94" i="15"/>
  <c r="I56" i="15"/>
  <c r="I68" i="15"/>
  <c r="I80" i="15"/>
  <c r="I92" i="15"/>
  <c r="G59" i="15"/>
  <c r="G71" i="15"/>
  <c r="G95" i="15"/>
  <c r="I57" i="15"/>
  <c r="I81" i="15"/>
  <c r="G46" i="15"/>
  <c r="G72" i="15"/>
  <c r="G84" i="15"/>
  <c r="I44" i="15"/>
  <c r="I58" i="15"/>
  <c r="I82" i="15"/>
  <c r="I49" i="15"/>
  <c r="G52" i="15"/>
  <c r="G76" i="15"/>
  <c r="I86" i="15"/>
  <c r="G77" i="15"/>
  <c r="I87" i="15"/>
  <c r="G45" i="15"/>
  <c r="G83" i="15"/>
  <c r="I43" i="15"/>
  <c r="I69" i="15"/>
  <c r="I93" i="15"/>
  <c r="G60" i="15"/>
  <c r="I70" i="15"/>
  <c r="I94" i="15"/>
  <c r="I73" i="15"/>
  <c r="G64" i="15"/>
  <c r="I51" i="15"/>
  <c r="G49" i="15"/>
  <c r="G61" i="15"/>
  <c r="G73" i="15"/>
  <c r="G85" i="15"/>
  <c r="I45" i="15"/>
  <c r="I59" i="15"/>
  <c r="I71" i="15"/>
  <c r="I83" i="15"/>
  <c r="I95" i="15"/>
  <c r="G50" i="15"/>
  <c r="G62" i="15"/>
  <c r="G74" i="15"/>
  <c r="G86" i="15"/>
  <c r="I46" i="15"/>
  <c r="I60" i="15"/>
  <c r="I72" i="15"/>
  <c r="I84" i="15"/>
  <c r="G51" i="15"/>
  <c r="G63" i="15"/>
  <c r="G75" i="15"/>
  <c r="G87" i="15"/>
  <c r="I61" i="15"/>
  <c r="I85" i="15"/>
  <c r="G88" i="15"/>
  <c r="I74" i="15"/>
  <c r="G38" i="15"/>
  <c r="I34" i="15"/>
  <c r="G35" i="15"/>
  <c r="I38" i="15"/>
  <c r="G34" i="15"/>
  <c r="I30" i="15"/>
  <c r="G30" i="15"/>
  <c r="I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C6" i="15" l="1"/>
  <c r="C25" i="15"/>
  <c r="Q25" i="15" s="1"/>
  <c r="C48" i="15"/>
  <c r="N48" i="15" s="1"/>
  <c r="C17" i="15"/>
  <c r="T17" i="15" s="1"/>
  <c r="C12" i="15"/>
  <c r="C26" i="15"/>
  <c r="N26" i="15" s="1"/>
  <c r="C32" i="15"/>
  <c r="Q32" i="15" s="1"/>
  <c r="C33" i="15"/>
  <c r="Q33" i="15" s="1"/>
  <c r="C9" i="15"/>
  <c r="Q9" i="15" s="1"/>
  <c r="N9" i="15"/>
  <c r="T9" i="15"/>
  <c r="C18" i="15"/>
  <c r="C13" i="15"/>
  <c r="T4" i="15"/>
  <c r="Q4" i="15"/>
  <c r="N4" i="15"/>
  <c r="Q40" i="15"/>
  <c r="T40" i="15"/>
  <c r="N40" i="15"/>
  <c r="T16" i="15"/>
  <c r="N16" i="15"/>
  <c r="Q16" i="15"/>
  <c r="C11" i="15"/>
  <c r="C37" i="15"/>
  <c r="T37" i="15" s="1"/>
  <c r="C24" i="15"/>
  <c r="C8" i="15"/>
  <c r="T8" i="15" s="1"/>
  <c r="C3" i="15"/>
  <c r="T3" i="15" s="1"/>
  <c r="N6" i="15"/>
  <c r="Q6" i="15"/>
  <c r="T6" i="15"/>
  <c r="C47" i="15"/>
  <c r="C19" i="15"/>
  <c r="T19" i="15" s="1"/>
  <c r="C36" i="15"/>
  <c r="C41" i="15"/>
  <c r="Q41" i="15" s="1"/>
  <c r="N25" i="15"/>
  <c r="T25" i="15"/>
  <c r="C22" i="15"/>
  <c r="N17" i="15"/>
  <c r="N12" i="15"/>
  <c r="T12" i="15"/>
  <c r="Q12" i="15"/>
  <c r="Q26" i="15"/>
  <c r="Q7" i="15"/>
  <c r="N7" i="15"/>
  <c r="T7" i="15"/>
  <c r="T5" i="15"/>
  <c r="Q5" i="15"/>
  <c r="N5" i="15"/>
  <c r="T23" i="15"/>
  <c r="Q23" i="15"/>
  <c r="N23" i="15"/>
  <c r="Q3" i="15"/>
  <c r="J25" i="39"/>
  <c r="N31" i="15"/>
  <c r="Q31" i="15"/>
  <c r="T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T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N87" i="15" s="1"/>
  <c r="C51" i="15"/>
  <c r="Q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T26" i="15" l="1"/>
  <c r="T33" i="15"/>
  <c r="N33" i="15"/>
  <c r="Q17" i="15"/>
  <c r="N3" i="15"/>
  <c r="T32" i="15"/>
  <c r="N32" i="15"/>
  <c r="Q48" i="15"/>
  <c r="T48" i="15"/>
  <c r="N41" i="15"/>
  <c r="T41" i="15"/>
  <c r="Q19" i="15"/>
  <c r="N19" i="15"/>
  <c r="N37" i="15"/>
  <c r="Q37" i="15"/>
  <c r="N24" i="15"/>
  <c r="T24" i="15"/>
  <c r="Q24" i="15"/>
  <c r="N13" i="15"/>
  <c r="T13" i="15"/>
  <c r="Q13" i="15"/>
  <c r="N22" i="15"/>
  <c r="Q22" i="15"/>
  <c r="T22" i="15"/>
  <c r="N11" i="15"/>
  <c r="T11" i="15"/>
  <c r="Q11" i="15"/>
  <c r="T36" i="15"/>
  <c r="Q36" i="15"/>
  <c r="N36" i="15"/>
  <c r="T18" i="15"/>
  <c r="Q18" i="15"/>
  <c r="N18" i="15"/>
  <c r="Q8" i="15"/>
  <c r="N8" i="15"/>
  <c r="T47" i="15"/>
  <c r="Q47" i="15"/>
  <c r="N47" i="15"/>
  <c r="U39" i="2"/>
  <c r="U51" i="2"/>
  <c r="U30" i="2"/>
  <c r="U42" i="2"/>
  <c r="U32" i="2"/>
  <c r="U44" i="2"/>
  <c r="U33" i="2"/>
  <c r="U45" i="2"/>
  <c r="U34" i="2"/>
  <c r="U46" i="2"/>
  <c r="U35" i="2"/>
  <c r="U47" i="2"/>
  <c r="U36" i="2"/>
  <c r="U48" i="2"/>
  <c r="U37" i="2"/>
  <c r="U38" i="2"/>
  <c r="U40" i="2"/>
  <c r="U41" i="2"/>
  <c r="U31" i="2"/>
  <c r="U43" i="2"/>
  <c r="U49" i="2"/>
  <c r="U53" i="2"/>
  <c r="U29" i="2"/>
  <c r="U50" i="2"/>
  <c r="U28" i="2"/>
  <c r="U52" i="2"/>
  <c r="AC135" i="2"/>
  <c r="AC147" i="2"/>
  <c r="AC137" i="2"/>
  <c r="AC149" i="2"/>
  <c r="AC138" i="2"/>
  <c r="AC150" i="2"/>
  <c r="AC140" i="2"/>
  <c r="AC152" i="2"/>
  <c r="AC142" i="2"/>
  <c r="AC154" i="2"/>
  <c r="AC143" i="2"/>
  <c r="AC155" i="2"/>
  <c r="AC132" i="2"/>
  <c r="AC144" i="2"/>
  <c r="AC156" i="2"/>
  <c r="AC133" i="2"/>
  <c r="AC145" i="2"/>
  <c r="AC157" i="2"/>
  <c r="AC134" i="2"/>
  <c r="AC146" i="2"/>
  <c r="AC148" i="2"/>
  <c r="AC151" i="2"/>
  <c r="AC141" i="2"/>
  <c r="AC153" i="2"/>
  <c r="AC136" i="2"/>
  <c r="AC139" i="2"/>
  <c r="U135" i="2"/>
  <c r="U147" i="2"/>
  <c r="U138" i="2"/>
  <c r="U150" i="2"/>
  <c r="U140" i="2"/>
  <c r="U152" i="2"/>
  <c r="U141" i="2"/>
  <c r="U153" i="2"/>
  <c r="U142" i="2"/>
  <c r="U154" i="2"/>
  <c r="U143" i="2"/>
  <c r="U155" i="2"/>
  <c r="U132" i="2"/>
  <c r="U144" i="2"/>
  <c r="U156" i="2"/>
  <c r="U134" i="2"/>
  <c r="U136" i="2"/>
  <c r="U137" i="2"/>
  <c r="U151" i="2"/>
  <c r="U139" i="2"/>
  <c r="U133" i="2"/>
  <c r="U145" i="2"/>
  <c r="U157" i="2"/>
  <c r="U146" i="2"/>
  <c r="U148" i="2"/>
  <c r="U149" i="2"/>
  <c r="Y38" i="2"/>
  <c r="Y50" i="2"/>
  <c r="Y28" i="2"/>
  <c r="Y40" i="2"/>
  <c r="Y52" i="2"/>
  <c r="Y31" i="2"/>
  <c r="Y43" i="2"/>
  <c r="Y33" i="2"/>
  <c r="Y45" i="2"/>
  <c r="Y34" i="2"/>
  <c r="Y46" i="2"/>
  <c r="Y35" i="2"/>
  <c r="Y47" i="2"/>
  <c r="Y36" i="2"/>
  <c r="Y48" i="2"/>
  <c r="Y37" i="2"/>
  <c r="Y49" i="2"/>
  <c r="Y51" i="2"/>
  <c r="Y29" i="2"/>
  <c r="Y30" i="2"/>
  <c r="Y32" i="2"/>
  <c r="Y39" i="2"/>
  <c r="Y41" i="2"/>
  <c r="Y42" i="2"/>
  <c r="Y44" i="2"/>
  <c r="Y53" i="2"/>
  <c r="Y134" i="2"/>
  <c r="Y146" i="2"/>
  <c r="Y136" i="2"/>
  <c r="Y148" i="2"/>
  <c r="Y139" i="2"/>
  <c r="Y151" i="2"/>
  <c r="Y141" i="2"/>
  <c r="Y153" i="2"/>
  <c r="Y142" i="2"/>
  <c r="Y154" i="2"/>
  <c r="Y143" i="2"/>
  <c r="Y155" i="2"/>
  <c r="Y132" i="2"/>
  <c r="Y144" i="2"/>
  <c r="Y156" i="2"/>
  <c r="Y133" i="2"/>
  <c r="Y145" i="2"/>
  <c r="Y157" i="2"/>
  <c r="Y135" i="2"/>
  <c r="Y137" i="2"/>
  <c r="Y138" i="2"/>
  <c r="Y140" i="2"/>
  <c r="Y147" i="2"/>
  <c r="Y149" i="2"/>
  <c r="Y150" i="2"/>
  <c r="Y152" i="2"/>
  <c r="Y158" i="2"/>
  <c r="Y170" i="2"/>
  <c r="Y182" i="2"/>
  <c r="Y160" i="2"/>
  <c r="Y172" i="2"/>
  <c r="Y163" i="2"/>
  <c r="Y175" i="2"/>
  <c r="Y165" i="2"/>
  <c r="Y177" i="2"/>
  <c r="Y166" i="2"/>
  <c r="Y178" i="2"/>
  <c r="Y167" i="2"/>
  <c r="Y179" i="2"/>
  <c r="Y168" i="2"/>
  <c r="Y180" i="2"/>
  <c r="Y169" i="2"/>
  <c r="Y181" i="2"/>
  <c r="Y171" i="2"/>
  <c r="Y173" i="2"/>
  <c r="Y174" i="2"/>
  <c r="Y159" i="2"/>
  <c r="Y164" i="2"/>
  <c r="Y176" i="2"/>
  <c r="Y183" i="2"/>
  <c r="Y161" i="2"/>
  <c r="Y162" i="2"/>
  <c r="U159" i="2"/>
  <c r="U171" i="2"/>
  <c r="U183" i="2"/>
  <c r="U162" i="2"/>
  <c r="U174" i="2"/>
  <c r="U164" i="2"/>
  <c r="U176" i="2"/>
  <c r="U165" i="2"/>
  <c r="U177" i="2"/>
  <c r="U166" i="2"/>
  <c r="U178" i="2"/>
  <c r="U167" i="2"/>
  <c r="U179" i="2"/>
  <c r="U168" i="2"/>
  <c r="U180" i="2"/>
  <c r="U161" i="2"/>
  <c r="U163" i="2"/>
  <c r="U169" i="2"/>
  <c r="U170" i="2"/>
  <c r="U172" i="2"/>
  <c r="U158" i="2"/>
  <c r="U173" i="2"/>
  <c r="U175" i="2"/>
  <c r="U181" i="2"/>
  <c r="U182" i="2"/>
  <c r="U160" i="2"/>
  <c r="AC39" i="2"/>
  <c r="AC51" i="2"/>
  <c r="AC29" i="2"/>
  <c r="AC41" i="2"/>
  <c r="AC53" i="2"/>
  <c r="AC30" i="2"/>
  <c r="AC42" i="2"/>
  <c r="AC32" i="2"/>
  <c r="AC44" i="2"/>
  <c r="AC34" i="2"/>
  <c r="AC46" i="2"/>
  <c r="AC35" i="2"/>
  <c r="AC47" i="2"/>
  <c r="AC36" i="2"/>
  <c r="AC48" i="2"/>
  <c r="AC37" i="2"/>
  <c r="AC49" i="2"/>
  <c r="AC38" i="2"/>
  <c r="AC50" i="2"/>
  <c r="AC52" i="2"/>
  <c r="AC45" i="2"/>
  <c r="AC28" i="2"/>
  <c r="AC31" i="2"/>
  <c r="AC33" i="2"/>
  <c r="AC40" i="2"/>
  <c r="AC43" i="2"/>
  <c r="AC159" i="2"/>
  <c r="AC171" i="2"/>
  <c r="AC183" i="2"/>
  <c r="AC161" i="2"/>
  <c r="AC173" i="2"/>
  <c r="AC162" i="2"/>
  <c r="AC174" i="2"/>
  <c r="AC164" i="2"/>
  <c r="AC176" i="2"/>
  <c r="AC166" i="2"/>
  <c r="AC178" i="2"/>
  <c r="AC167" i="2"/>
  <c r="AC179" i="2"/>
  <c r="AC168" i="2"/>
  <c r="AC180" i="2"/>
  <c r="AC169" i="2"/>
  <c r="AC181" i="2"/>
  <c r="AC158" i="2"/>
  <c r="AC170" i="2"/>
  <c r="AC182" i="2"/>
  <c r="AC160" i="2"/>
  <c r="AC177" i="2"/>
  <c r="AC163" i="2"/>
  <c r="AC165" i="2"/>
  <c r="AC172" i="2"/>
  <c r="AC175" i="2"/>
  <c r="U87" i="2"/>
  <c r="U99" i="2"/>
  <c r="U90" i="2"/>
  <c r="U102" i="2"/>
  <c r="U80" i="2"/>
  <c r="U92" i="2"/>
  <c r="U104" i="2"/>
  <c r="U81" i="2"/>
  <c r="U93" i="2"/>
  <c r="U105" i="2"/>
  <c r="U82" i="2"/>
  <c r="U94" i="2"/>
  <c r="U83" i="2"/>
  <c r="U95" i="2"/>
  <c r="U84" i="2"/>
  <c r="U96" i="2"/>
  <c r="U86" i="2"/>
  <c r="U88" i="2"/>
  <c r="U89" i="2"/>
  <c r="U91" i="2"/>
  <c r="U97" i="2"/>
  <c r="U103" i="2"/>
  <c r="U98" i="2"/>
  <c r="U100" i="2"/>
  <c r="U101" i="2"/>
  <c r="U85" i="2"/>
  <c r="Y86" i="2"/>
  <c r="Y98" i="2"/>
  <c r="Y88" i="2"/>
  <c r="Y100" i="2"/>
  <c r="Y91" i="2"/>
  <c r="Y103" i="2"/>
  <c r="Y81" i="2"/>
  <c r="Y93" i="2"/>
  <c r="Y105" i="2"/>
  <c r="Y82" i="2"/>
  <c r="Y94" i="2"/>
  <c r="Y83" i="2"/>
  <c r="Y95" i="2"/>
  <c r="Y84" i="2"/>
  <c r="Y96" i="2"/>
  <c r="Y85" i="2"/>
  <c r="Y97" i="2"/>
  <c r="Y80" i="2"/>
  <c r="Y87" i="2"/>
  <c r="Y89" i="2"/>
  <c r="Y90" i="2"/>
  <c r="Y92" i="2"/>
  <c r="Y104" i="2"/>
  <c r="Y99" i="2"/>
  <c r="Y101" i="2"/>
  <c r="Y102" i="2"/>
  <c r="AC87" i="2"/>
  <c r="AC99" i="2"/>
  <c r="AC89" i="2"/>
  <c r="AC101" i="2"/>
  <c r="AC90" i="2"/>
  <c r="AC102" i="2"/>
  <c r="AC80" i="2"/>
  <c r="AC92" i="2"/>
  <c r="AC104" i="2"/>
  <c r="AC82" i="2"/>
  <c r="AC94" i="2"/>
  <c r="AC83" i="2"/>
  <c r="AC95" i="2"/>
  <c r="AC84" i="2"/>
  <c r="AC96" i="2"/>
  <c r="AC85" i="2"/>
  <c r="AC97" i="2"/>
  <c r="AC86" i="2"/>
  <c r="AC98" i="2"/>
  <c r="AC81" i="2"/>
  <c r="AC88" i="2"/>
  <c r="AC91" i="2"/>
  <c r="AC93" i="2"/>
  <c r="AC100" i="2"/>
  <c r="AC103" i="2"/>
  <c r="AC105" i="2"/>
  <c r="K25" i="39"/>
  <c r="O25" i="39"/>
  <c r="M25" i="39"/>
  <c r="Q25" i="39"/>
  <c r="B35" i="46"/>
  <c r="M28" i="39"/>
  <c r="O28" i="39"/>
  <c r="B46" i="46"/>
  <c r="B33" i="46"/>
  <c r="B36" i="46"/>
  <c r="B32" i="46"/>
  <c r="B47" i="46"/>
  <c r="B38" i="46"/>
  <c r="B31" i="46"/>
  <c r="B44" i="46"/>
  <c r="B48" i="46"/>
  <c r="B42" i="46"/>
  <c r="B51" i="46"/>
  <c r="B45" i="46"/>
  <c r="B41" i="46"/>
  <c r="B39" i="46"/>
  <c r="B40" i="46"/>
  <c r="B43" i="46"/>
  <c r="B50" i="46"/>
  <c r="B49" i="46"/>
  <c r="Q88" i="15"/>
  <c r="Q52" i="15"/>
  <c r="N52" i="15"/>
  <c r="T52" i="15"/>
  <c r="N60" i="15"/>
  <c r="B34" i="46"/>
  <c r="T63" i="15"/>
  <c r="B37" i="46"/>
  <c r="N88" i="15"/>
  <c r="J21" i="33"/>
  <c r="J25" i="33"/>
  <c r="R22" i="33"/>
  <c r="P22" i="33"/>
  <c r="N22" i="33"/>
  <c r="L22" i="33"/>
  <c r="Q60" i="15"/>
  <c r="T60" i="15"/>
  <c r="Q87" i="15"/>
  <c r="T51" i="15"/>
  <c r="T87" i="15"/>
  <c r="N51" i="15"/>
  <c r="Q63" i="15"/>
  <c r="J9" i="33"/>
  <c r="J7" i="33"/>
  <c r="N63" i="15"/>
  <c r="Q15" i="15"/>
  <c r="T15" i="15"/>
  <c r="N15" i="15"/>
  <c r="Q20" i="15"/>
  <c r="N20" i="15"/>
  <c r="T20" i="15"/>
  <c r="Q62" i="15"/>
  <c r="N62" i="15"/>
  <c r="T62" i="15"/>
  <c r="Q89" i="15"/>
  <c r="T89" i="15"/>
  <c r="N89" i="15"/>
  <c r="Q77" i="15"/>
  <c r="T77" i="15"/>
  <c r="N77" i="15"/>
  <c r="T73" i="15"/>
  <c r="N73" i="15"/>
  <c r="Q73" i="15"/>
  <c r="T61" i="15"/>
  <c r="N61" i="15"/>
  <c r="Q61" i="15"/>
  <c r="N39" i="15"/>
  <c r="T39" i="15"/>
  <c r="Q39" i="15"/>
  <c r="N71" i="15"/>
  <c r="Q71" i="15"/>
  <c r="T71" i="15"/>
  <c r="N74" i="15"/>
  <c r="T74" i="15"/>
  <c r="Q74" i="15"/>
  <c r="N38" i="15"/>
  <c r="Q38" i="15"/>
  <c r="T38" i="15"/>
  <c r="N84" i="15"/>
  <c r="T84" i="15"/>
  <c r="Q84" i="15"/>
  <c r="Q86" i="15"/>
  <c r="N86" i="15"/>
  <c r="T86" i="15"/>
  <c r="N50" i="15"/>
  <c r="Q50" i="15"/>
  <c r="T50" i="15"/>
  <c r="N29" i="15"/>
  <c r="Q29" i="15"/>
  <c r="T29" i="15"/>
  <c r="N66" i="15"/>
  <c r="T66" i="15"/>
  <c r="Q66" i="15"/>
  <c r="T85" i="15"/>
  <c r="N85" i="15"/>
  <c r="Q85" i="15"/>
  <c r="Q80" i="15"/>
  <c r="N80" i="15"/>
  <c r="T80" i="15"/>
  <c r="T55" i="15"/>
  <c r="Q55" i="15"/>
  <c r="N55" i="15"/>
  <c r="T79" i="15"/>
  <c r="Q79" i="15"/>
  <c r="N79" i="15"/>
  <c r="N78" i="15"/>
  <c r="Q78" i="15"/>
  <c r="T78" i="15"/>
  <c r="T76" i="15"/>
  <c r="Q76" i="15"/>
  <c r="N76" i="15"/>
  <c r="Q56" i="15"/>
  <c r="T56" i="15"/>
  <c r="N56" i="15"/>
  <c r="Q92" i="15"/>
  <c r="T92" i="15"/>
  <c r="N92" i="15"/>
  <c r="T70" i="15"/>
  <c r="Q70" i="15"/>
  <c r="N70" i="15"/>
  <c r="N93" i="15"/>
  <c r="Q93" i="15"/>
  <c r="T93" i="15"/>
  <c r="N81" i="15"/>
  <c r="Q81" i="15"/>
  <c r="T81" i="15"/>
  <c r="T58" i="15"/>
  <c r="N58" i="15"/>
  <c r="Q58" i="15"/>
  <c r="Q44" i="15"/>
  <c r="T44" i="15"/>
  <c r="N44" i="15"/>
  <c r="T49" i="15"/>
  <c r="N49" i="15"/>
  <c r="Q49" i="15"/>
  <c r="N43" i="15"/>
  <c r="Q43" i="15"/>
  <c r="T43" i="15"/>
  <c r="T90" i="15"/>
  <c r="N90" i="15"/>
  <c r="Q90" i="15"/>
  <c r="N72" i="15"/>
  <c r="Q72" i="15"/>
  <c r="T72" i="15"/>
  <c r="N95" i="15"/>
  <c r="Q95" i="15"/>
  <c r="T95" i="15"/>
  <c r="N46" i="15"/>
  <c r="T46" i="15"/>
  <c r="Q46" i="15"/>
  <c r="N69" i="15"/>
  <c r="Q69" i="15"/>
  <c r="T69" i="15"/>
  <c r="N75" i="15"/>
  <c r="Q75" i="15"/>
  <c r="T75" i="15"/>
  <c r="Q65" i="15"/>
  <c r="T65" i="15"/>
  <c r="N65" i="15"/>
  <c r="N59" i="15"/>
  <c r="Q59" i="15"/>
  <c r="T59" i="15"/>
  <c r="T64" i="15"/>
  <c r="Q64" i="15"/>
  <c r="N64" i="15"/>
  <c r="T91" i="15"/>
  <c r="N91" i="15"/>
  <c r="Q91" i="15"/>
  <c r="T34" i="15"/>
  <c r="N34" i="15"/>
  <c r="Q34" i="15"/>
  <c r="N57" i="15"/>
  <c r="Q57" i="15"/>
  <c r="T57" i="15"/>
  <c r="Q45" i="15"/>
  <c r="N45" i="15"/>
  <c r="T45" i="15"/>
  <c r="Q68" i="15"/>
  <c r="N68" i="15"/>
  <c r="T68" i="15"/>
  <c r="N82" i="15"/>
  <c r="Q82" i="15"/>
  <c r="T82" i="15"/>
  <c r="Q54" i="15"/>
  <c r="T54" i="15"/>
  <c r="N54" i="15"/>
  <c r="T30" i="15"/>
  <c r="N30" i="15"/>
  <c r="Q30" i="15"/>
  <c r="Q83" i="15"/>
  <c r="T83" i="15"/>
  <c r="N83" i="15"/>
  <c r="Q53" i="15"/>
  <c r="T53" i="15"/>
  <c r="N53" i="15"/>
  <c r="T67" i="15"/>
  <c r="N67" i="15"/>
  <c r="Q67" i="15"/>
  <c r="T94" i="15"/>
  <c r="Q94" i="15"/>
  <c r="N94" i="15"/>
  <c r="Q35" i="15"/>
  <c r="T35" i="15"/>
  <c r="N35" i="15"/>
  <c r="Q42" i="15"/>
  <c r="N42" i="15"/>
  <c r="T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S32" i="2"/>
  <c r="S3" i="2"/>
  <c r="S62" i="2"/>
  <c r="S34" i="2"/>
  <c r="S4" i="2"/>
  <c r="S91" i="2"/>
  <c r="W34" i="2" l="1"/>
  <c r="AA34" i="2"/>
  <c r="AE34" i="2"/>
  <c r="W62" i="2"/>
  <c r="AE62" i="2"/>
  <c r="AA62" i="2"/>
  <c r="W32" i="2"/>
  <c r="AE32" i="2"/>
  <c r="AA32" i="2"/>
  <c r="W91" i="2"/>
  <c r="AE91" i="2"/>
  <c r="AA91" i="2"/>
  <c r="S63" i="2"/>
  <c r="S92" i="2"/>
  <c r="S35" i="2"/>
  <c r="S5" i="2"/>
  <c r="W35" i="2" l="1"/>
  <c r="AE35" i="2"/>
  <c r="AA35" i="2"/>
  <c r="W63" i="2"/>
  <c r="AA63" i="2"/>
  <c r="AE63" i="2"/>
  <c r="W92" i="2"/>
  <c r="AA92" i="2"/>
  <c r="AE92" i="2"/>
  <c r="S64" i="2"/>
  <c r="S93" i="2"/>
  <c r="S6" i="2"/>
  <c r="S36" i="2"/>
  <c r="W36" i="2" l="1"/>
  <c r="AE36" i="2"/>
  <c r="AA36" i="2"/>
  <c r="W93" i="2"/>
  <c r="AE93" i="2"/>
  <c r="AA93" i="2"/>
  <c r="W64" i="2"/>
  <c r="AA64" i="2"/>
  <c r="AE64" i="2"/>
  <c r="S65" i="2"/>
  <c r="S7" i="2"/>
  <c r="S94" i="2"/>
  <c r="W94" i="2" l="1"/>
  <c r="AA94" i="2"/>
  <c r="AE94" i="2"/>
  <c r="W65" i="2"/>
  <c r="AA65" i="2"/>
  <c r="AE65" i="2"/>
  <c r="S8" i="2"/>
  <c r="S37" i="2"/>
  <c r="W37" i="2" l="1"/>
  <c r="AA37" i="2"/>
  <c r="AE37" i="2"/>
  <c r="S9" i="2"/>
  <c r="S38" i="2"/>
  <c r="S66" i="2"/>
  <c r="S95" i="2"/>
  <c r="W95" i="2" l="1"/>
  <c r="AE95" i="2"/>
  <c r="AA95" i="2"/>
  <c r="W66" i="2"/>
  <c r="AE66" i="2"/>
  <c r="AA66" i="2"/>
  <c r="W38" i="2"/>
  <c r="AE38" i="2"/>
  <c r="AA38"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S207" i="2"/>
  <c r="S206" i="2"/>
  <c r="S11" i="2"/>
  <c r="S40" i="2"/>
  <c r="S68" i="2"/>
  <c r="S97" i="2"/>
  <c r="W40" i="2" l="1"/>
  <c r="AA40" i="2"/>
  <c r="AE40" i="2"/>
  <c r="W206" i="2"/>
  <c r="AE206" i="2"/>
  <c r="AA206" i="2"/>
  <c r="W97" i="2"/>
  <c r="AE97" i="2"/>
  <c r="AA97" i="2"/>
  <c r="W68" i="2"/>
  <c r="AE68" i="2"/>
  <c r="AA68" i="2"/>
  <c r="W207" i="2"/>
  <c r="AA207" i="2"/>
  <c r="AE207" i="2"/>
  <c r="S41" i="2"/>
  <c r="S69" i="2"/>
  <c r="S98" i="2"/>
  <c r="S208" i="2"/>
  <c r="I14"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I21" i="15"/>
  <c r="C21" i="15" s="1"/>
  <c r="I2" i="15"/>
  <c r="C2" i="15" s="1"/>
  <c r="I10" i="15"/>
  <c r="C10" i="15" s="1"/>
  <c r="S13" i="2"/>
  <c r="S42" i="2"/>
  <c r="S70" i="2"/>
  <c r="S99" i="2"/>
  <c r="S209" i="2"/>
  <c r="J18" i="33" l="1"/>
  <c r="J17" i="33"/>
  <c r="J9" i="39"/>
  <c r="J8" i="39"/>
  <c r="W209" i="2"/>
  <c r="AA209" i="2"/>
  <c r="AE209" i="2"/>
  <c r="W42" i="2"/>
  <c r="AE42" i="2"/>
  <c r="AA42" i="2"/>
  <c r="W99" i="2"/>
  <c r="AA99" i="2"/>
  <c r="AE99" i="2"/>
  <c r="W70" i="2"/>
  <c r="AE70" i="2"/>
  <c r="AA70" i="2"/>
  <c r="B2" i="46"/>
  <c r="N2" i="15"/>
  <c r="Q2" i="15"/>
  <c r="T2" i="15"/>
  <c r="N21" i="15"/>
  <c r="Q21" i="15"/>
  <c r="T21" i="15"/>
  <c r="T14" i="15"/>
  <c r="N14" i="15"/>
  <c r="Q14" i="15"/>
  <c r="B3" i="46"/>
  <c r="Q10" i="15"/>
  <c r="T10" i="15"/>
  <c r="N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AC3" i="2" l="1"/>
  <c r="AC15" i="2"/>
  <c r="AC27" i="2"/>
  <c r="AC2" i="2"/>
  <c r="AC4" i="2"/>
  <c r="AC5" i="2"/>
  <c r="AC17" i="2"/>
  <c r="AC18" i="2"/>
  <c r="AC6" i="2"/>
  <c r="AC7" i="2"/>
  <c r="AC8" i="2"/>
  <c r="AC20" i="2"/>
  <c r="AC9" i="2"/>
  <c r="AC10" i="2"/>
  <c r="AC22" i="2"/>
  <c r="AC11" i="2"/>
  <c r="AC23" i="2"/>
  <c r="AC12" i="2"/>
  <c r="AC24" i="2"/>
  <c r="AC13" i="2"/>
  <c r="AC25" i="2"/>
  <c r="AC14" i="2"/>
  <c r="AC26" i="2"/>
  <c r="AC16" i="2"/>
  <c r="AC19" i="2"/>
  <c r="AC21" i="2"/>
  <c r="U13" i="2"/>
  <c r="W13" i="2" s="1"/>
  <c r="U25" i="2"/>
  <c r="U3" i="2"/>
  <c r="W3" i="2" s="1"/>
  <c r="U15" i="2"/>
  <c r="U27" i="2"/>
  <c r="U2" i="2"/>
  <c r="W2" i="2" s="1"/>
  <c r="U6" i="2"/>
  <c r="W6" i="2" s="1"/>
  <c r="U18" i="2"/>
  <c r="U8" i="2"/>
  <c r="W8" i="2" s="1"/>
  <c r="U20" i="2"/>
  <c r="U9" i="2"/>
  <c r="W9" i="2" s="1"/>
  <c r="U21" i="2"/>
  <c r="U10" i="2"/>
  <c r="W10" i="2" s="1"/>
  <c r="U22" i="2"/>
  <c r="U11" i="2"/>
  <c r="W11" i="2" s="1"/>
  <c r="U23" i="2"/>
  <c r="U12" i="2"/>
  <c r="W12" i="2" s="1"/>
  <c r="U24" i="2"/>
  <c r="U4" i="2"/>
  <c r="W4" i="2" s="1"/>
  <c r="U5" i="2"/>
  <c r="W5" i="2" s="1"/>
  <c r="U7" i="2"/>
  <c r="W7" i="2" s="1"/>
  <c r="U14" i="2"/>
  <c r="W14" i="2" s="1"/>
  <c r="U26" i="2"/>
  <c r="U16" i="2"/>
  <c r="U17" i="2"/>
  <c r="U19" i="2"/>
  <c r="Y14" i="2"/>
  <c r="AA14" i="2" s="1"/>
  <c r="Y26" i="2"/>
  <c r="Y4" i="2"/>
  <c r="AA4" i="2" s="1"/>
  <c r="Y16" i="2"/>
  <c r="Y7" i="2"/>
  <c r="AA7" i="2" s="1"/>
  <c r="Y19" i="2"/>
  <c r="Y9" i="2"/>
  <c r="AA9" i="2" s="1"/>
  <c r="Y21" i="2"/>
  <c r="Y10" i="2"/>
  <c r="AA10" i="2" s="1"/>
  <c r="Y22" i="2"/>
  <c r="Y11" i="2"/>
  <c r="AA11" i="2" s="1"/>
  <c r="Y23" i="2"/>
  <c r="Y12" i="2"/>
  <c r="AA12" i="2" s="1"/>
  <c r="Y24" i="2"/>
  <c r="Y13" i="2"/>
  <c r="AA13" i="2" s="1"/>
  <c r="Y25" i="2"/>
  <c r="Y20" i="2"/>
  <c r="Y2" i="2"/>
  <c r="AA2" i="2" s="1"/>
  <c r="Y18" i="2"/>
  <c r="Y27" i="2"/>
  <c r="Y8" i="2"/>
  <c r="AA8" i="2" s="1"/>
  <c r="Y3" i="2"/>
  <c r="AA3" i="2" s="1"/>
  <c r="Y15" i="2"/>
  <c r="Y5" i="2"/>
  <c r="AA5" i="2" s="1"/>
  <c r="Y17" i="2"/>
  <c r="Y6" i="2"/>
  <c r="AA6" i="2" s="1"/>
  <c r="R17" i="33"/>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8" i="2" l="1"/>
  <c r="AE14" i="2"/>
  <c r="AE7" i="2"/>
  <c r="AE6" i="2"/>
  <c r="AE13" i="2"/>
  <c r="AE12" i="2"/>
  <c r="AE5" i="2"/>
  <c r="AE4" i="2"/>
  <c r="AE11" i="2"/>
  <c r="AE2" i="2"/>
  <c r="AE10" i="2"/>
  <c r="AE9" i="2"/>
  <c r="AE3" i="2"/>
  <c r="R23" i="33"/>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I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T27" i="15"/>
  <c r="N27" i="15"/>
  <c r="Q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I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N28" i="15"/>
  <c r="Q28" i="15"/>
  <c r="T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K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M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P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Q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S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T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U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V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X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<sst xmlns="http://schemas.openxmlformats.org/spreadsheetml/2006/main" count="4867" uniqueCount="1239">
  <si>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</si>
  <si>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</si>
  <si>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</si>
  <si>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</si>
  <si>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</si>
  <si>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</si>
  <si>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</si>
  <si>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</si>
  <si>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</si>
  <si>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</si>
  <si>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</si>
  <si>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</si>
  <si>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</si>
  <si>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</si>
  <si>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</si>
  <si>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</si>
  <si>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</si>
  <si>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</si>
  <si>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</si>
  <si>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</si>
  <si>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</si>
  <si>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</si>
  <si>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</si>
  <si>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</si>
  <si>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</si>
  <si>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</si>
  <si>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</si>
  <si>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</si>
  <si>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</si>
  <si>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</si>
  <si>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</si>
  <si>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</si>
  <si>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</si>
  <si>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</si>
  <si>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</si>
  <si>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</si>
  <si>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</si>
  <si>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</si>
  <si>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</si>
  <si>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</si>
  <si>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</si>
  <si>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</si>
  <si>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</si>
  <si>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</si>
  <si>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</si>
  <si>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</si>
  <si>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</si>
  <si>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</si>
  <si>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</si>
  <si>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</si>
  <si>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</si>
  <si>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</si>
  <si>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</si>
  <si>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</si>
  <si>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</si>
  <si>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</si>
  <si>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</si>
  <si>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</si>
  <si>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</si>
  <si>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</si>
  <si>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</si>
  <si>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</si>
  <si>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</si>
  <si>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</si>
  <si>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</si>
  <si>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</si>
  <si>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</si>
  <si>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</si>
  <si>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</si>
  <si>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</si>
  <si>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</si>
  <si>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</si>
  <si>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</si>
  <si>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</si>
  <si>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</si>
  <si>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</si>
  <si>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</si>
  <si>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</si>
  <si>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</si>
  <si>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</si>
  <si>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</si>
  <si>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</si>
  <si>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</si>
  <si>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</si>
  <si>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</si>
  <si>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</si>
  <si>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</si>
  <si>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</si>
  <si>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</si>
  <si>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</si>
  <si>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</si>
  <si>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</si>
  <si>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</si>
  <si>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</si>
  <si>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</si>
  <si>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</si>
  <si>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</si>
  <si>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</si>
  <si>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</si>
  <si>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</si>
  <si>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</si>
  <si>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</si>
  <si>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</si>
  <si>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</si>
  <si>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</si>
  <si>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</si>
  <si>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</si>
  <si>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</si>
  <si>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</si>
  <si>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</si>
  <si>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</si>
  <si>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</si>
  <si>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</si>
  <si>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</si>
  <si>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</si>
  <si>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</si>
  <si>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</si>
  <si>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</si>
  <si>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</si>
  <si>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</si>
  <si>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</si>
  <si>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</si>
  <si>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</si>
  <si>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</si>
  <si>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</si>
  <si>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</si>
  <si>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</si>
  <si>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</si>
  <si>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</si>
  <si>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</si>
  <si>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</si>
  <si>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</si>
  <si>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</si>
  <si>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</si>
  <si>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</si>
  <si>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</si>
  <si>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</si>
  <si>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</si>
  <si>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</si>
  <si>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</si>
  <si>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</si>
  <si>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</si>
  <si>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</si>
  <si>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</si>
  <si>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</si>
  <si>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</si>
  <si>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</si>
  <si>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</si>
  <si>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</si>
  <si>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</si>
  <si>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</si>
  <si>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</si>
  <si>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</si>
  <si>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</si>
  <si>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</si>
  <si>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</si>
  <si>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</si>
  <si>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</si>
  <si>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</si>
  <si>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</si>
  <si>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</si>
  <si>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</si>
  <si>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</si>
  <si>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</si>
  <si>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</si>
  <si>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</si>
  <si>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</si>
  <si>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</si>
  <si>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</si>
  <si>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</si>
  <si>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</si>
  <si>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</si>
  <si>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</si>
  <si>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</si>
  <si>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</si>
  <si>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</si>
  <si>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</si>
  <si>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</si>
  <si>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</si>
  <si>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</si>
  <si>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</si>
  <si>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</si>
  <si>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</si>
  <si>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</si>
  <si>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</si>
  <si>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</si>
  <si>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</si>
  <si>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</si>
  <si>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</si>
  <si>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</si>
  <si>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</si>
  <si>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</si>
  <si>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</si>
  <si>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</si>
  <si>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</si>
  <si>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</si>
  <si>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</si>
  <si>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</si>
  <si>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</si>
  <si>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</si>
  <si>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</si>
  <si>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</si>
  <si>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</si>
  <si>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</si>
  <si>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</si>
  <si>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</si>
  <si>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</si>
  <si>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</si>
  <si>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</si>
  <si>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</si>
  <si>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</si>
  <si>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</si>
  <si>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</si>
  <si>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</si>
  <si>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</si>
  <si>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</si>
  <si>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</si>
  <si>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</si>
  <si>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</si>
  <si>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</si>
  <si>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</si>
  <si>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</si>
  <si>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</si>
  <si>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</si>
  <si>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</si>
  <si>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</si>
  <si>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</si>
  <si>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</si>
  <si>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</si>
  <si>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</si>
  <si>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</si>
  <si>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</si>
  <si>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</si>
  <si>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</si>
  <si>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</si>
  <si>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</si>
  <si>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</si>
  <si>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</si>
  <si>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</si>
  <si>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</si>
  <si>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</si>
  <si>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</si>
  <si>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</si>
  <si>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</si>
  <si>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</si>
  <si>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</si>
  <si>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</si>
  <si>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</si>
  <si>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</si>
  <si>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</si>
  <si>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</si>
  <si>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</si>
  <si>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</si>
  <si>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</si>
  <si>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</si>
  <si>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</si>
  <si>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</si>
  <si>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</si>
  <si>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</si>
  <si>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</si>
  <si>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</si>
  <si>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</si>
  <si>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</si>
  <si>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</si>
  <si>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</si>
  <si>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</si>
  <si>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</si>
  <si>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</si>
  <si>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</si>
  <si>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</si>
  <si>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</si>
  <si>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</si>
  <si>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</si>
  <si>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</si>
  <si>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</si>
  <si>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</si>
  <si>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</si>
  <si>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</si>
  <si>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</si>
  <si>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</si>
  <si>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</si>
  <si>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</si>
  <si>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</si>
  <si>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</si>
  <si>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</si>
  <si>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</si>
  <si>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</si>
  <si>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</si>
  <si>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</si>
  <si>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</si>
  <si>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</si>
  <si>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</si>
  <si>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</si>
  <si>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</si>
  <si>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</si>
  <si>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</si>
  <si>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</si>
  <si>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</si>
  <si>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</si>
  <si>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</si>
  <si>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</si>
  <si>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</si>
  <si>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</si>
  <si>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</si>
  <si>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</si>
  <si>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</si>
  <si>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</si>
  <si>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</si>
  <si>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</si>
  <si>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</si>
  <si>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</si>
  <si>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</si>
  <si>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</si>
  <si>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</si>
  <si>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</si>
  <si>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</si>
  <si>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</si>
  <si>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</si>
  <si>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</si>
  <si>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</si>
  <si>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</si>
  <si>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</si>
  <si>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</si>
  <si>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</si>
  <si>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</si>
  <si>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</si>
  <si>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</si>
  <si>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</si>
  <si>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</si>
  <si>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</si>
  <si>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</si>
  <si>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</si>
  <si>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</si>
  <si>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</si>
  <si>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</si>
  <si>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</si>
  <si>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</si>
  <si>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</si>
  <si>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</si>
  <si>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</si>
  <si>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</si>
  <si>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</si>
  <si>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</si>
  <si>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</si>
  <si>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</si>
  <si>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</si>
  <si>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</si>
  <si>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</si>
  <si>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</si>
  <si>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</si>
  <si>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</si>
  <si>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</si>
  <si>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</si>
  <si>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</si>
  <si>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</si>
  <si>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</si>
  <si>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</si>
  <si>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</si>
  <si>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</si>
  <si>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</si>
  <si>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</si>
  <si>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</si>
  <si>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</si>
  <si>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</si>
  <si>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</si>
  <si>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</si>
  <si>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</si>
  <si>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</si>
  <si>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</si>
  <si>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</si>
  <si>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</si>
  <si>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</si>
  <si>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</si>
  <si>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</si>
  <si>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</si>
  <si>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</si>
  <si>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</si>
  <si>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</si>
  <si>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</si>
  <si>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</si>
  <si>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</si>
  <si>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</si>
  <si>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</si>
  <si>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</si>
  <si>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</si>
  <si>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</si>
  <si>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</si>
  <si>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</si>
  <si>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</si>
  <si>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</si>
  <si>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</si>
  <si>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</si>
  <si>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</si>
  <si>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</si>
  <si>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</si>
  <si>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</si>
  <si>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</si>
  <si>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</si>
  <si>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</si>
  <si>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</si>
  <si>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</si>
  <si>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</si>
  <si>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</si>
  <si>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</si>
  <si>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</si>
  <si>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</si>
  <si>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</si>
  <si>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</si>
  <si>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</si>
  <si>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</si>
  <si>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</si>
  <si>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</si>
  <si>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</si>
  <si>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</si>
  <si>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</si>
  <si>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</si>
  <si>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</si>
  <si>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</si>
  <si>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</si>
  <si>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</si>
  <si>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</si>
  <si>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</si>
  <si>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</si>
  <si>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</si>
  <si>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</si>
  <si>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</si>
  <si>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</si>
  <si>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</si>
  <si>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</si>
  <si>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</si>
  <si>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</si>
  <si>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</si>
  <si>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</si>
  <si>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</si>
  <si>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</si>
  <si>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</si>
  <si>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</si>
  <si>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</si>
  <si>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</si>
  <si>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</si>
  <si>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</si>
  <si>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</si>
  <si>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</si>
  <si>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</si>
  <si>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</si>
  <si>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</si>
  <si>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</si>
  <si>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</si>
  <si>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</si>
  <si>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</si>
  <si>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</si>
  <si>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</si>
  <si>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</si>
  <si>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</si>
  <si>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</si>
  <si>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</si>
  <si>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</si>
  <si>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</si>
  <si>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</si>
  <si>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</si>
  <si>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</si>
  <si>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</si>
  <si>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</si>
  <si>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</si>
  <si>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</si>
  <si>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</si>
  <si>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</si>
  <si>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</si>
  <si>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</si>
  <si>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</si>
  <si>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</si>
  <si>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</si>
  <si>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</si>
  <si>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</si>
  <si>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</si>
  <si>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</si>
  <si>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</si>
  <si>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</si>
  <si>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</si>
  <si>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</si>
  <si>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</si>
  <si>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</si>
  <si>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</si>
  <si>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</si>
  <si>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</si>
  <si>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</si>
  <si>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</si>
  <si>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</si>
  <si>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</si>
  <si>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</si>
  <si>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</si>
  <si>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</si>
  <si>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</si>
  <si>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</si>
  <si>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</si>
  <si>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</si>
  <si>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</si>
  <si>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</si>
  <si>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</si>
  <si>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</si>
  <si>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</si>
  <si>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</si>
  <si>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</si>
  <si>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</si>
  <si>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</si>
  <si>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</si>
  <si>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</si>
  <si>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</si>
  <si>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</si>
  <si>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</si>
  <si>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</si>
  <si>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</si>
  <si>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</si>
  <si>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</si>
  <si>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</si>
  <si>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</si>
  <si>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</si>
  <si>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</si>
  <si>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</si>
  <si>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</si>
  <si>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</si>
  <si>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</si>
  <si>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</si>
  <si>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</si>
  <si>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</si>
  <si>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</si>
  <si>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</si>
  <si>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</si>
  <si>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</si>
  <si>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</si>
  <si>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</si>
  <si>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</si>
  <si>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</si>
  <si>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</si>
  <si>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</si>
  <si>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</si>
  <si>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</si>
  <si>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</si>
  <si>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</si>
  <si>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</si>
  <si>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</si>
  <si>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</si>
  <si>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</si>
  <si>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</si>
  <si>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</si>
  <si>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</si>
  <si>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</si>
  <si>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</si>
  <si>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</si>
  <si>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</si>
  <si>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</si>
  <si>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</si>
  <si>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</si>
  <si>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</si>
  <si>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</si>
  <si>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</si>
  <si>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</si>
  <si>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</si>
  <si>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</si>
  <si>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</si>
  <si>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</si>
  <si>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</si>
  <si>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</si>
  <si>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</si>
  <si>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</si>
  <si>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</si>
  <si>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</si>
  <si>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</si>
  <si>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</si>
  <si>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</si>
  <si>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</si>
  <si>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</si>
  <si>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</si>
  <si>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</si>
  <si>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</si>
  <si>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</si>
  <si>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</si>
  <si>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</si>
  <si>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</si>
  <si>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</si>
  <si>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</si>
  <si>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</si>
  <si>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</si>
  <si>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</si>
  <si>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</si>
  <si>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</si>
  <si>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</si>
  <si>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</si>
  <si>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</si>
  <si>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</si>
  <si>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</si>
  <si>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</si>
  <si>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</si>
  <si>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</si>
  <si>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</si>
  <si>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</si>
  <si>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</si>
  <si>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</si>
  <si>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</si>
  <si>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</si>
  <si>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</si>
  <si>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</si>
  <si>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</si>
  <si>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</si>
  <si>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</si>
  <si>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</si>
  <si>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</si>
  <si>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</si>
  <si>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</si>
  <si>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</si>
  <si>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</si>
  <si>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</si>
  <si>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</si>
  <si>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</si>
  <si>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</si>
  <si>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</si>
  <si>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</si>
  <si>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</si>
  <si>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</si>
  <si>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</si>
  <si>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</si>
  <si>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</si>
  <si>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</si>
  <si>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</si>
  <si>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</si>
  <si>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</si>
  <si>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</si>
  <si>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</si>
  <si>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</si>
  <si>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</si>
  <si>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</si>
  <si>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</si>
  <si>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</si>
  <si>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</si>
  <si>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</si>
  <si>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</si>
  <si>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</si>
  <si>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</si>
  <si>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</si>
  <si>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</si>
  <si>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</si>
  <si>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</si>
  <si>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</si>
  <si>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</si>
  <si>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</si>
  <si>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</si>
  <si>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</si>
  <si>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</si>
  <si>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</si>
  <si>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</si>
  <si>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</si>
  <si>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</si>
  <si>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</si>
  <si>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</si>
  <si>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</si>
  <si>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</si>
  <si>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</si>
  <si>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</si>
  <si>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</si>
  <si>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</si>
  <si>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</si>
  <si>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</si>
  <si>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</si>
  <si>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</si>
  <si>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</si>
  <si>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</si>
  <si>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</si>
  <si>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</si>
  <si>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</si>
  <si>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</si>
  <si>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</si>
  <si>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</si>
  <si>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</si>
  <si>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</si>
  <si>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</si>
  <si>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</si>
  <si>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</si>
  <si>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</si>
  <si>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</si>
  <si>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</si>
  <si>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</si>
  <si>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</si>
  <si>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</si>
  <si>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</si>
  <si>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</si>
  <si>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</si>
  <si>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</si>
  <si>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</si>
  <si>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</si>
  <si>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</si>
  <si>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</si>
  <si>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</si>
  <si>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</si>
  <si>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</si>
  <si>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</si>
  <si>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</si>
  <si>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</si>
  <si>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</si>
  <si>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</si>
  <si>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</si>
  <si>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</si>
  <si>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</si>
  <si>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</si>
  <si>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</si>
  <si>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</si>
  <si>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</si>
  <si>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</si>
  <si>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</si>
  <si>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</si>
  <si>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</si>
  <si>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</si>
  <si>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</si>
  <si>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</si>
  <si>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</si>
  <si>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</si>
  <si>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</si>
  <si>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</si>
  <si>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</si>
  <si>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</si>
  <si>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</si>
  <si>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</si>
  <si>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</si>
  <si>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</si>
  <si>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</si>
  <si>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</si>
  <si>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</si>
  <si>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</si>
  <si>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</si>
  <si>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</si>
  <si>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</si>
  <si>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</si>
  <si>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</si>
  <si>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</si>
  <si>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</si>
  <si>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</si>
  <si>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</si>
  <si>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</si>
  <si>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</si>
  <si>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</si>
  <si>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</si>
  <si>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</si>
  <si>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</si>
  <si>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</si>
  <si>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</si>
  <si>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</si>
  <si>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</si>
  <si>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</si>
  <si>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</si>
  <si>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</si>
  <si>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</si>
  <si>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</si>
  <si>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</si>
  <si>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</si>
  <si>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</si>
  <si>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</si>
  <si>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</si>
  <si>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</si>
  <si>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</si>
  <si>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</si>
  <si>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</si>
  <si>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</si>
  <si>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</si>
  <si>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</si>
  <si>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</si>
  <si>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</si>
  <si>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</si>
  <si>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</si>
  <si>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</si>
  <si>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</si>
  <si>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</si>
  <si>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</si>
  <si>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</si>
  <si>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</si>
  <si>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</si>
  <si>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</si>
  <si>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</si>
  <si>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</si>
  <si>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</si>
  <si>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</si>
  <si>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</si>
  <si>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</si>
  <si>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</si>
  <si>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</si>
  <si>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</si>
  <si>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</si>
  <si>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</si>
  <si>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</si>
  <si>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</si>
  <si>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</si>
  <si>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</si>
  <si>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</si>
  <si>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</si>
  <si>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</si>
  <si>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</si>
  <si>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</si>
  <si>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</si>
  <si>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</si>
  <si>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</si>
  <si>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</si>
  <si>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</si>
  <si>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</si>
  <si>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</si>
  <si>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</si>
  <si>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</si>
  <si>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</si>
  <si>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</si>
  <si>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</si>
  <si>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</si>
  <si>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</si>
  <si>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</si>
  <si>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</si>
  <si>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</si>
  <si>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</si>
  <si>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</si>
  <si>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</si>
  <si>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</si>
  <si>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</si>
  <si>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</si>
  <si>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</si>
  <si>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</si>
  <si>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</si>
  <si>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</si>
  <si>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</si>
  <si>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</si>
  <si>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</si>
  <si>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</si>
  <si>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</si>
  <si>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</si>
  <si>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</si>
  <si>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</si>
  <si>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</si>
  <si>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</si>
  <si>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</si>
  <si>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</si>
  <si>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</si>
  <si>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</si>
  <si>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</si>
  <si>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</si>
  <si>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</si>
  <si>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</si>
  <si>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</si>
  <si>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</si>
  <si>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</si>
  <si>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</si>
  <si>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</si>
  <si>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</si>
  <si>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</si>
  <si>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</si>
  <si>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</si>
  <si>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</si>
  <si>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</si>
  <si>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</si>
  <si>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</si>
  <si>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</si>
  <si>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</si>
  <si>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</si>
  <si>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</si>
  <si>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</si>
  <si>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</si>
  <si>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</si>
  <si>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</si>
  <si>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</si>
  <si>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</si>
  <si>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</si>
  <si>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</si>
  <si>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</si>
  <si>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</si>
  <si>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</si>
  <si>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</si>
  <si>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</si>
  <si>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</si>
  <si>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</si>
  <si>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</si>
  <si>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</si>
  <si>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</si>
  <si>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</si>
  <si>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</si>
  <si>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</si>
  <si>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</si>
  <si>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</si>
  <si>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</si>
  <si>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</si>
  <si>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</si>
  <si>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</si>
  <si>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</si>
  <si>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</si>
  <si>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</si>
  <si>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</si>
  <si>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</si>
  <si>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</si>
  <si>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</si>
  <si>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</si>
  <si>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</si>
  <si>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</si>
  <si>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</si>
  <si>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</si>
  <si>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</si>
  <si>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</si>
  <si>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</si>
  <si>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</si>
  <si>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</si>
  <si>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</si>
  <si>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</si>
  <si>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</si>
  <si>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</si>
  <si>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</si>
  <si>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</si>
  <si>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</si>
  <si>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</si>
  <si>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</si>
  <si>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</si>
  <si>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</si>
  <si>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</si>
  <si>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</si>
  <si>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</si>
  <si>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</si>
  <si>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</si>
  <si>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</si>
  <si>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</si>
  <si>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</si>
  <si>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</si>
  <si>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</si>
  <si>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</si>
  <si>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</si>
  <si>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</si>
  <si>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</si>
  <si>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</si>
  <si>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</si>
  <si>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</si>
  <si>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</si>
  <si>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</si>
  <si>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</si>
  <si>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</si>
  <si>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</si>
  <si>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</si>
  <si>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</si>
  <si>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</si>
  <si>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</si>
  <si>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</si>
  <si>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</si>
  <si>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</si>
  <si>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</si>
  <si>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</si>
  <si>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</si>
  <si>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</si>
  <si>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</si>
  <si>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</si>
  <si>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</si>
  <si>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</si>
  <si>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</si>
  <si>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</si>
  <si>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</si>
  <si>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</si>
  <si>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</si>
  <si>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</si>
  <si>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</si>
  <si>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</si>
  <si>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</si>
  <si>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</si>
  <si>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</si>
  <si>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</si>
  <si>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</si>
  <si>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</si>
  <si>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</si>
  <si>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</si>
  <si>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</si>
  <si>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</si>
  <si>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</si>
  <si>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</si>
  <si>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</si>
  <si>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</si>
  <si>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</si>
  <si>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</si>
  <si>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</si>
  <si>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</si>
  <si>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</si>
  <si>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</si>
  <si>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</si>
  <si>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</si>
  <si>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</si>
  <si>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</si>
  <si>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</si>
  <si>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</si>
  <si>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</si>
  <si>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</si>
  <si>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</si>
  <si>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</si>
  <si>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</si>
  <si>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</si>
  <si>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</si>
  <si>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</si>
  <si>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</si>
  <si>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</si>
  <si>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</si>
  <si>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</si>
  <si>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</si>
  <si>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</si>
  <si>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</si>
  <si>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</si>
  <si>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</si>
  <si>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</si>
  <si>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</si>
  <si>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</si>
  <si>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</si>
  <si>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</si>
  <si>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</si>
  <si>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</si>
  <si>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</si>
  <si>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</si>
  <si>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</si>
  <si>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</si>
  <si>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</si>
  <si>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</si>
  <si>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</si>
  <si>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</si>
  <si>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</si>
  <si>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</si>
  <si>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</si>
  <si>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</si>
  <si>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</si>
  <si>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</si>
  <si>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</si>
  <si>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</si>
  <si>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</si>
  <si>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</si>
  <si>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</si>
  <si>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</si>
  <si>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</si>
  <si>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</si>
  <si>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</si>
  <si>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</si>
  <si>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</si>
  <si>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</si>
  <si>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</si>
  <si>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</si>
  <si>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</si>
  <si>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</si>
  <si>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</si>
  <si>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</si>
  <si>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</si>
  <si>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</si>
  <si>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</si>
  <si>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</si>
  <si>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</si>
  <si>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</si>
  <si>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</si>
  <si>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</si>
  <si>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</si>
  <si>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</si>
  <si>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</si>
  <si>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</si>
  <si>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</si>
  <si>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</si>
  <si>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</si>
  <si>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</si>
  <si>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</si>
  <si>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</si>
  <si>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</si>
  <si>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</si>
  <si>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</si>
  <si>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</si>
  <si>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</si>
  <si>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</si>
  <si>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</si>
  <si>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</si>
  <si>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</si>
  <si>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</si>
  <si>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</si>
  <si>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</si>
  <si>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</si>
  <si>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</si>
  <si>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</si>
  <si>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</si>
  <si>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</si>
  <si>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</si>
  <si>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</si>
  <si>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</si>
  <si>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</si>
  <si>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</si>
  <si>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</si>
  <si>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</si>
  <si>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</si>
  <si>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</si>
  <si>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</si>
  <si>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</si>
  <si>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</si>
  <si>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</si>
  <si>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</si>
  <si>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</si>
  <si>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</si>
  <si>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</si>
  <si>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</si>
  <si>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</si>
  <si>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</si>
  <si>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</si>
  <si>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</si>
  <si>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</si>
  <si>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</si>
  <si>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</si>
  <si>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</si>
  <si>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</si>
  <si>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</si>
  <si>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</si>
  <si>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</si>
  <si>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</si>
  <si>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</si>
  <si>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</si>
  <si>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</si>
  <si>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</si>
  <si>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</si>
  <si>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</si>
  <si>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</si>
  <si>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</si>
  <si>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</si>
  <si>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</si>
  <si>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</si>
  <si>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</si>
  <si>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</si>
  <si>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</si>
  <si>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</si>
  <si>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</si>
  <si>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</si>
  <si>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</si>
  <si>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</si>
  <si>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</si>
  <si>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</si>
  <si>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</si>
  <si>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</si>
  <si>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</si>
  <si>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</si>
  <si>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</si>
  <si>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</si>
  <si>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</si>
  <si>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</si>
  <si>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</si>
  <si>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</si>
  <si>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</si>
  <si>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</si>
  <si>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</si>
  <si>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</si>
  <si>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</si>
  <si>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</si>
  <si>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</si>
  <si>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</si>
  <si>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</si>
  <si>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</si>
  <si>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</si>
  <si>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</si>
  <si>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</si>
  <si>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</si>
  <si>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</si>
  <si>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</si>
  <si>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</si>
  <si>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</si>
  <si>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</si>
  <si>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</si>
  <si>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</si>
  <si>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</si>
  <si>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</si>
  <si>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</si>
  <si>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</si>
  <si>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</si>
  <si>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</si>
  <si>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</si>
  <si>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</si>
  <si>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</si>
  <si>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</si>
  <si>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</si>
  <si>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</si>
  <si>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</si>
  <si>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</si>
  <si>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</si>
  <si>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</si>
  <si>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</si>
  <si>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</si>
  <si>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</si>
  <si>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</si>
  <si>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</si>
  <si>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</si>
  <si>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</si>
  <si>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Element ID 1</t>
  </si>
  <si>
    <t>Element ID 2</t>
  </si>
  <si>
    <t>Element ID 3</t>
  </si>
  <si>
    <t>Element ID 4</t>
  </si>
  <si>
    <t>Element ID 5</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</si>
  <si>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</si>
  <si>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</si>
  <si>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</si>
  <si>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</si>
  <si>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</si>
  <si>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</si>
  <si>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</si>
  <si>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</si>
  <si>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</si>
  <si>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Remaining DM (DryMass - tracked elements)</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</si>
  <si>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</si>
  <si>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</si>
  <si>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</si>
  <si>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</si>
  <si>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</si>
  <si>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</si>
  <si>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</si>
  <si>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</si>
  <si>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</si>
  <si>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</si>
  <si>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</si>
  <si>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</si>
  <si>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</si>
  <si>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</si>
  <si>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</si>
  <si>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</si>
  <si>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</si>
  <si>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</si>
  <si>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</si>
  <si>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</si>
  <si>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</si>
  <si>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 Dimension: material (e)</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</si>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</sst>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6">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46" totalsRowShown="0" tableBorderDxfId="112">
  <autoFilter ref="A1:G46"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L96" totalsRowShown="0" headerRowCellStyle="05_Header">
  <autoFilter ref="A1:AL96" xr:uid="{DA5E02B4-C3D5-4EC6-A468-E6098B9805CF}"/>
  <tableColumns count="38">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27" xr3:uid="{4B9DB7DE-911F-414B-BC15-1E11702B4412}" name="ODYM Dimension: material (e)"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6"/>
    <tableColumn id="22" xr3:uid="{ABA27704-56CF-4C30-88CB-BB6E944F7F08}" name="WC_source" dataCellStyle="04_Comments"/>
    <tableColumn id="10" xr3:uid="{D0034047-8042-40C2-8630-B9AC9A67EFA6}" name="Flow_DM_ID" dataDxfId="105" dataCellStyle="03_Auto_Calcaulation">
      <calculatedColumnFormula>Tab_Def_Flows[[#This Row],[Flow_ID]]&amp;"_DM"</calculatedColumnFormula>
    </tableColumn>
    <tableColumn id="23" xr3:uid="{5CA0D08F-32C9-451C-A223-78F9E163EE87}" name="Flow_DM[%]" dataDxfId="104"/>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03"/>
    <tableColumn id="21" xr3:uid="{D903DE25-FD16-43E6-ADC2-67C346513E4D}" name="CC_DM_source" dataCellStyle="04_Comments"/>
    <tableColumn id="24" xr3:uid="{97A60092-8CFB-4931-B347-B7F41423089C}" name="Flow_CC_FM[%]" dataCellStyle="Percent"/>
    <tableColumn id="25" xr3:uid="{FA3B4865-4DDA-42CE-A93F-8C26CE150F7A}" name="CC_FM_source"/>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7" totalsRowShown="0" headerRowCellStyle="05_Header">
  <autoFilter ref="A1:Y47"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1030</v>
      </c>
      <c r="C17" s="224"/>
      <c r="D17" s="224"/>
      <c r="E17" s="176"/>
    </row>
    <row r="18" spans="1:5" x14ac:dyDescent="0.25">
      <c r="B18" s="1" t="s">
        <v>995</v>
      </c>
      <c r="C18" s="1" t="s">
        <v>996</v>
      </c>
      <c r="E18" s="176"/>
    </row>
    <row r="19" spans="1:5" x14ac:dyDescent="0.25">
      <c r="B19" s="1" t="s">
        <v>997</v>
      </c>
      <c r="C19" s="178">
        <v>45944</v>
      </c>
      <c r="E19" s="176"/>
    </row>
    <row r="20" spans="1:5" x14ac:dyDescent="0.25">
      <c r="B20" s="1" t="s">
        <v>1037</v>
      </c>
      <c r="C20" s="1" t="s">
        <v>998</v>
      </c>
      <c r="E20" s="176"/>
    </row>
    <row r="21" spans="1:5" x14ac:dyDescent="0.25">
      <c r="C21" s="1" t="s">
        <v>163</v>
      </c>
      <c r="E21" s="176"/>
    </row>
    <row r="22" spans="1:5" x14ac:dyDescent="0.25">
      <c r="B22" s="1" t="s">
        <v>999</v>
      </c>
      <c r="C22" s="179" t="s">
        <v>1000</v>
      </c>
      <c r="E22" s="176"/>
    </row>
    <row r="23" spans="1:5" x14ac:dyDescent="0.25">
      <c r="E23" s="176"/>
    </row>
    <row r="24" spans="1:5" x14ac:dyDescent="0.25">
      <c r="E24" s="176"/>
    </row>
    <row r="25" spans="1:5" ht="31.5" customHeight="1" x14ac:dyDescent="0.5">
      <c r="A25" s="221" t="s">
        <v>910</v>
      </c>
      <c r="B25" s="221"/>
      <c r="C25" s="221"/>
      <c r="D25" s="221"/>
      <c r="E25" s="176"/>
    </row>
    <row r="26" spans="1:5" x14ac:dyDescent="0.25">
      <c r="A26" s="185" t="s">
        <v>7</v>
      </c>
      <c r="B26" s="185" t="s">
        <v>1007</v>
      </c>
      <c r="C26" s="185" t="s">
        <v>1008</v>
      </c>
      <c r="D26" s="185" t="s">
        <v>1009</v>
      </c>
      <c r="E26" s="176"/>
    </row>
    <row r="27" spans="1:5" x14ac:dyDescent="0.25">
      <c r="A27" s="1">
        <v>1</v>
      </c>
      <c r="B27" s="1" t="s">
        <v>1013</v>
      </c>
      <c r="C27" s="1" t="s">
        <v>1014</v>
      </c>
      <c r="D27" s="1" t="s">
        <v>1015</v>
      </c>
      <c r="E27" s="176"/>
    </row>
    <row r="28" spans="1:5" ht="30" x14ac:dyDescent="0.25">
      <c r="A28" s="1">
        <v>2</v>
      </c>
      <c r="B28" s="1" t="s">
        <v>1012</v>
      </c>
      <c r="C28" s="1" t="s">
        <v>980</v>
      </c>
      <c r="D28" s="1" t="s">
        <v>981</v>
      </c>
      <c r="E28" s="176"/>
    </row>
    <row r="29" spans="1:5" ht="30" x14ac:dyDescent="0.25">
      <c r="A29" s="1">
        <v>3</v>
      </c>
      <c r="B29" s="1" t="s">
        <v>1010</v>
      </c>
      <c r="C29" s="1" t="s">
        <v>982</v>
      </c>
      <c r="D29" s="1" t="s">
        <v>983</v>
      </c>
      <c r="E29" s="176"/>
    </row>
    <row r="30" spans="1:5" ht="30" x14ac:dyDescent="0.25">
      <c r="A30" s="1">
        <v>4</v>
      </c>
      <c r="B30" s="1" t="s">
        <v>1011</v>
      </c>
      <c r="C30" s="1" t="s">
        <v>984</v>
      </c>
      <c r="D30" s="1" t="s">
        <v>985</v>
      </c>
      <c r="E30" s="176"/>
    </row>
    <row r="31" spans="1:5" x14ac:dyDescent="0.25">
      <c r="A31" s="222"/>
      <c r="B31" s="222"/>
      <c r="C31" s="222"/>
      <c r="D31" s="222"/>
      <c r="E31" s="176"/>
    </row>
    <row r="32" spans="1:5" x14ac:dyDescent="0.25">
      <c r="A32" t="s">
        <v>7</v>
      </c>
      <c r="B32" s="1" t="s">
        <v>1016</v>
      </c>
      <c r="C32" s="1" t="s">
        <v>1017</v>
      </c>
      <c r="D32" s="1" t="s">
        <v>909</v>
      </c>
      <c r="E32" s="176"/>
    </row>
    <row r="33" spans="1:5" x14ac:dyDescent="0.25">
      <c r="A33" s="180">
        <v>1</v>
      </c>
      <c r="B33" s="180" t="s">
        <v>1018</v>
      </c>
      <c r="C33" s="180" t="s">
        <v>1022</v>
      </c>
      <c r="D33" s="180" t="s">
        <v>1026</v>
      </c>
      <c r="E33" s="176"/>
    </row>
    <row r="34" spans="1:5" x14ac:dyDescent="0.25">
      <c r="A34" s="181">
        <v>2</v>
      </c>
      <c r="B34" s="181" t="s">
        <v>1019</v>
      </c>
      <c r="C34" s="181" t="s">
        <v>1023</v>
      </c>
      <c r="D34" s="181" t="s">
        <v>1027</v>
      </c>
      <c r="E34" s="176"/>
    </row>
    <row r="35" spans="1:5" x14ac:dyDescent="0.25">
      <c r="A35" s="182">
        <v>3</v>
      </c>
      <c r="B35" s="182" t="s">
        <v>1020</v>
      </c>
      <c r="C35" s="182" t="s">
        <v>1024</v>
      </c>
      <c r="D35" s="182" t="s">
        <v>1028</v>
      </c>
      <c r="E35" s="176"/>
    </row>
    <row r="36" spans="1:5" x14ac:dyDescent="0.25">
      <c r="A36" s="183">
        <v>4</v>
      </c>
      <c r="B36" s="183" t="s">
        <v>1021</v>
      </c>
      <c r="C36" s="183" t="s">
        <v>1025</v>
      </c>
      <c r="D36" s="183" t="s">
        <v>1029</v>
      </c>
      <c r="E36" s="176"/>
    </row>
    <row r="37" spans="1:5" ht="31.5" customHeight="1" x14ac:dyDescent="0.5">
      <c r="A37" s="221" t="s">
        <v>1006</v>
      </c>
      <c r="B37" s="221"/>
      <c r="C37" s="221"/>
      <c r="D37" s="221"/>
      <c r="E37" s="176"/>
    </row>
    <row r="38" spans="1:5" x14ac:dyDescent="0.25">
      <c r="A38" s="1" t="s">
        <v>7</v>
      </c>
      <c r="B38" s="1" t="s">
        <v>911</v>
      </c>
      <c r="C38" s="1" t="s">
        <v>912</v>
      </c>
      <c r="D38" s="165" t="s">
        <v>923</v>
      </c>
      <c r="E38" s="177"/>
    </row>
    <row r="39" spans="1:5" ht="30" x14ac:dyDescent="0.25">
      <c r="A39" s="1"/>
      <c r="B39" s="1" t="s">
        <v>1001</v>
      </c>
      <c r="C39" s="1" t="s">
        <v>914</v>
      </c>
      <c r="D39" s="1" t="s">
        <v>913</v>
      </c>
      <c r="E39" s="177"/>
    </row>
    <row r="40" spans="1:5" ht="30" x14ac:dyDescent="0.25">
      <c r="A40" s="1"/>
      <c r="B40" s="1" t="s">
        <v>1002</v>
      </c>
      <c r="C40" s="1" t="s">
        <v>916</v>
      </c>
      <c r="D40" s="1" t="s">
        <v>915</v>
      </c>
      <c r="E40" s="177"/>
    </row>
    <row r="41" spans="1:5" ht="30" x14ac:dyDescent="0.25">
      <c r="A41" s="1"/>
      <c r="B41" s="1" t="s">
        <v>1003</v>
      </c>
      <c r="C41" s="1" t="s">
        <v>918</v>
      </c>
      <c r="D41" s="1" t="s">
        <v>917</v>
      </c>
      <c r="E41" s="177"/>
    </row>
    <row r="42" spans="1:5" ht="30" x14ac:dyDescent="0.25">
      <c r="A42" s="1"/>
      <c r="B42" s="1" t="s">
        <v>1004</v>
      </c>
      <c r="C42" s="1" t="s">
        <v>920</v>
      </c>
      <c r="D42" s="1" t="s">
        <v>919</v>
      </c>
      <c r="E42" s="177"/>
    </row>
    <row r="43" spans="1:5" ht="30" x14ac:dyDescent="0.25">
      <c r="A43" s="1"/>
      <c r="B43" s="1" t="s">
        <v>1005</v>
      </c>
      <c r="C43" s="1" t="s">
        <v>921</v>
      </c>
      <c r="D43" s="1" t="s">
        <v>899</v>
      </c>
      <c r="E43" s="176"/>
    </row>
    <row r="44" spans="1:5" ht="31.5" x14ac:dyDescent="0.5">
      <c r="A44" s="221" t="s">
        <v>922</v>
      </c>
      <c r="B44" s="221"/>
      <c r="C44" s="221"/>
      <c r="D44" s="221"/>
      <c r="E44" s="176"/>
    </row>
    <row r="45" spans="1:5" x14ac:dyDescent="0.25">
      <c r="A45" s="1" t="s">
        <v>7</v>
      </c>
      <c r="B45" s="1" t="s">
        <v>900</v>
      </c>
      <c r="C45" s="1" t="s">
        <v>901</v>
      </c>
      <c r="D45" s="1" t="s">
        <v>923</v>
      </c>
      <c r="E45" s="176"/>
    </row>
    <row r="46" spans="1:5" x14ac:dyDescent="0.25">
      <c r="A46" s="1"/>
      <c r="B46" s="1" t="s">
        <v>464</v>
      </c>
      <c r="C46" s="1" t="s">
        <v>924</v>
      </c>
      <c r="E46" s="176"/>
    </row>
    <row r="47" spans="1:5" x14ac:dyDescent="0.25">
      <c r="A47" s="1"/>
      <c r="B47" s="1" t="s">
        <v>472</v>
      </c>
      <c r="C47" s="1" t="s">
        <v>925</v>
      </c>
      <c r="E47" s="176"/>
    </row>
    <row r="48" spans="1:5" x14ac:dyDescent="0.25">
      <c r="A48" s="1"/>
      <c r="B48" s="1" t="s">
        <v>473</v>
      </c>
      <c r="C48" s="1" t="s">
        <v>926</v>
      </c>
      <c r="E48" s="176"/>
    </row>
    <row r="49" spans="1:5" x14ac:dyDescent="0.25">
      <c r="A49" s="1"/>
      <c r="B49" s="1" t="s">
        <v>861</v>
      </c>
      <c r="C49" s="1" t="s">
        <v>927</v>
      </c>
      <c r="E49" s="176"/>
    </row>
    <row r="50" spans="1:5" x14ac:dyDescent="0.25">
      <c r="A50" s="1"/>
      <c r="B50" s="1" t="s">
        <v>862</v>
      </c>
      <c r="C50" s="1" t="s">
        <v>928</v>
      </c>
      <c r="E50" s="176"/>
    </row>
    <row r="51" spans="1:5" x14ac:dyDescent="0.25">
      <c r="A51" s="1"/>
      <c r="B51" s="1" t="s">
        <v>863</v>
      </c>
      <c r="C51" s="1" t="s">
        <v>929</v>
      </c>
      <c r="E51" s="176"/>
    </row>
    <row r="52" spans="1:5" x14ac:dyDescent="0.25">
      <c r="A52" s="1"/>
      <c r="B52" s="1" t="s">
        <v>474</v>
      </c>
      <c r="C52" s="1" t="s">
        <v>930</v>
      </c>
      <c r="E52" s="176"/>
    </row>
    <row r="53" spans="1:5" x14ac:dyDescent="0.25">
      <c r="A53" s="1"/>
      <c r="B53" s="1" t="s">
        <v>475</v>
      </c>
      <c r="C53" s="1" t="s">
        <v>931</v>
      </c>
      <c r="E53" s="176"/>
    </row>
    <row r="54" spans="1:5" x14ac:dyDescent="0.25">
      <c r="A54" s="1"/>
      <c r="B54" s="1" t="s">
        <v>477</v>
      </c>
      <c r="C54" s="1" t="s">
        <v>932</v>
      </c>
      <c r="E54" s="176"/>
    </row>
    <row r="55" spans="1:5" x14ac:dyDescent="0.25">
      <c r="A55" s="1"/>
      <c r="B55" s="1" t="s">
        <v>902</v>
      </c>
      <c r="C55" s="1" t="s">
        <v>933</v>
      </c>
      <c r="E55" s="176"/>
    </row>
    <row r="56" spans="1:5" x14ac:dyDescent="0.25">
      <c r="A56" s="1"/>
      <c r="B56" s="1" t="s">
        <v>483</v>
      </c>
      <c r="E56" s="176"/>
    </row>
    <row r="57" spans="1:5" x14ac:dyDescent="0.25">
      <c r="A57" s="1"/>
      <c r="B57" s="1" t="s">
        <v>903</v>
      </c>
      <c r="C57" s="1" t="s">
        <v>934</v>
      </c>
      <c r="E57" s="176"/>
    </row>
    <row r="58" spans="1:5" x14ac:dyDescent="0.25">
      <c r="E58" s="176"/>
    </row>
    <row r="59" spans="1:5" ht="31.5" customHeight="1" x14ac:dyDescent="0.5">
      <c r="A59" s="221" t="s">
        <v>935</v>
      </c>
      <c r="B59" s="221"/>
      <c r="C59" s="221"/>
      <c r="D59" s="221"/>
      <c r="E59" s="176"/>
    </row>
    <row r="60" spans="1:5" ht="30" x14ac:dyDescent="0.25">
      <c r="A60" s="1" t="s">
        <v>162</v>
      </c>
      <c r="B60" s="1" t="s">
        <v>936</v>
      </c>
      <c r="C60" s="1" t="s">
        <v>937</v>
      </c>
      <c r="D60" s="1" t="s">
        <v>909</v>
      </c>
      <c r="E60" s="176"/>
    </row>
    <row r="61" spans="1:5" ht="30" x14ac:dyDescent="0.25">
      <c r="A61" s="1"/>
      <c r="B61" s="1" t="s">
        <v>938</v>
      </c>
      <c r="C61" s="1" t="s">
        <v>939</v>
      </c>
      <c r="D61" s="1" t="s">
        <v>940</v>
      </c>
      <c r="E61" s="176"/>
    </row>
    <row r="62" spans="1:5" x14ac:dyDescent="0.25">
      <c r="A62" s="1"/>
      <c r="B62" s="1" t="s">
        <v>409</v>
      </c>
      <c r="C62" s="1" t="s">
        <v>941</v>
      </c>
      <c r="D62" s="1" t="s">
        <v>942</v>
      </c>
      <c r="E62" s="176"/>
    </row>
    <row r="63" spans="1:5" ht="30" x14ac:dyDescent="0.25">
      <c r="A63" s="1"/>
      <c r="B63" s="1" t="s">
        <v>392</v>
      </c>
      <c r="C63" s="1" t="s">
        <v>943</v>
      </c>
      <c r="D63" s="1" t="s">
        <v>944</v>
      </c>
      <c r="E63" s="176"/>
    </row>
    <row r="64" spans="1:5" ht="30" x14ac:dyDescent="0.25">
      <c r="A64" s="1"/>
      <c r="B64" s="1" t="s">
        <v>945</v>
      </c>
      <c r="C64" s="1" t="s">
        <v>946</v>
      </c>
      <c r="D64" s="1" t="s">
        <v>947</v>
      </c>
      <c r="E64" s="176"/>
    </row>
    <row r="65" spans="1:9" ht="30" x14ac:dyDescent="0.25">
      <c r="A65" s="1"/>
      <c r="B65" s="1" t="s">
        <v>948</v>
      </c>
      <c r="C65" s="1" t="s">
        <v>949</v>
      </c>
      <c r="D65" s="1" t="s">
        <v>950</v>
      </c>
      <c r="E65" s="176"/>
    </row>
    <row r="66" spans="1:9" ht="45" x14ac:dyDescent="0.25">
      <c r="A66" s="1"/>
      <c r="B66" s="1" t="s">
        <v>951</v>
      </c>
      <c r="C66" s="1" t="s">
        <v>952</v>
      </c>
      <c r="D66" s="1" t="s">
        <v>953</v>
      </c>
      <c r="E66" s="177" t="s">
        <v>899</v>
      </c>
      <c r="F66" s="174" t="s">
        <v>899</v>
      </c>
      <c r="G66" s="174" t="s">
        <v>899</v>
      </c>
      <c r="H66" s="174" t="s">
        <v>899</v>
      </c>
      <c r="I66" s="175" t="s">
        <v>899</v>
      </c>
    </row>
    <row r="67" spans="1:9" ht="31.5" customHeight="1" x14ac:dyDescent="0.5">
      <c r="A67" s="221" t="s">
        <v>954</v>
      </c>
      <c r="B67" s="221"/>
      <c r="C67" s="221"/>
      <c r="D67" s="221"/>
      <c r="E67" s="177" t="s">
        <v>899</v>
      </c>
      <c r="F67" s="174" t="s">
        <v>899</v>
      </c>
      <c r="G67" s="174" t="s">
        <v>899</v>
      </c>
      <c r="H67" s="174" t="s">
        <v>899</v>
      </c>
      <c r="I67" s="175" t="s">
        <v>899</v>
      </c>
    </row>
    <row r="68" spans="1:9" x14ac:dyDescent="0.25">
      <c r="A68" s="1" t="s">
        <v>7</v>
      </c>
      <c r="B68" s="1" t="s">
        <v>905</v>
      </c>
      <c r="C68" s="1" t="s">
        <v>906</v>
      </c>
      <c r="D68" s="1" t="s">
        <v>904</v>
      </c>
      <c r="E68" s="177" t="s">
        <v>899</v>
      </c>
      <c r="F68" s="174" t="s">
        <v>899</v>
      </c>
      <c r="G68" s="174" t="s">
        <v>899</v>
      </c>
      <c r="H68" s="174" t="s">
        <v>899</v>
      </c>
      <c r="I68" s="175" t="s">
        <v>899</v>
      </c>
    </row>
    <row r="69" spans="1:9" ht="30" x14ac:dyDescent="0.25">
      <c r="A69" s="1"/>
      <c r="B69" s="1" t="s">
        <v>955</v>
      </c>
      <c r="C69" s="1" t="s">
        <v>956</v>
      </c>
      <c r="D69" s="1" t="s">
        <v>957</v>
      </c>
      <c r="E69" s="177" t="s">
        <v>899</v>
      </c>
      <c r="F69" s="174" t="s">
        <v>899</v>
      </c>
      <c r="G69" s="174" t="s">
        <v>899</v>
      </c>
      <c r="H69" s="174" t="s">
        <v>899</v>
      </c>
      <c r="I69" s="175" t="s">
        <v>899</v>
      </c>
    </row>
    <row r="70" spans="1:9" ht="30" x14ac:dyDescent="0.25">
      <c r="A70" s="1"/>
      <c r="B70" s="1" t="s">
        <v>958</v>
      </c>
      <c r="C70" s="1" t="s">
        <v>959</v>
      </c>
      <c r="D70" s="1" t="s">
        <v>960</v>
      </c>
      <c r="E70" s="177" t="s">
        <v>899</v>
      </c>
      <c r="F70" s="174" t="s">
        <v>899</v>
      </c>
      <c r="G70" s="174" t="s">
        <v>899</v>
      </c>
      <c r="H70" s="174" t="s">
        <v>899</v>
      </c>
      <c r="I70" s="175" t="s">
        <v>899</v>
      </c>
    </row>
    <row r="71" spans="1:9" ht="30" x14ac:dyDescent="0.25">
      <c r="A71" s="1"/>
      <c r="B71" s="1" t="s">
        <v>961</v>
      </c>
      <c r="C71" s="1" t="s">
        <v>962</v>
      </c>
      <c r="D71" s="1" t="s">
        <v>963</v>
      </c>
      <c r="E71" s="177" t="s">
        <v>899</v>
      </c>
      <c r="F71" s="174" t="s">
        <v>899</v>
      </c>
      <c r="G71" s="174" t="s">
        <v>899</v>
      </c>
      <c r="H71" s="174" t="s">
        <v>899</v>
      </c>
      <c r="I71" s="175" t="s">
        <v>899</v>
      </c>
    </row>
    <row r="72" spans="1:9" ht="30" x14ac:dyDescent="0.25">
      <c r="A72" s="1"/>
      <c r="B72" s="1" t="s">
        <v>964</v>
      </c>
      <c r="C72" s="1" t="s">
        <v>965</v>
      </c>
      <c r="D72" s="1" t="s">
        <v>966</v>
      </c>
      <c r="E72" s="176"/>
    </row>
    <row r="73" spans="1:9" ht="31.5" customHeight="1" x14ac:dyDescent="0.5">
      <c r="A73" s="221" t="s">
        <v>967</v>
      </c>
      <c r="B73" s="221"/>
      <c r="C73" s="221"/>
      <c r="D73" s="221"/>
      <c r="E73" s="176"/>
    </row>
    <row r="74" spans="1:9" x14ac:dyDescent="0.25">
      <c r="A74" s="1" t="s">
        <v>7</v>
      </c>
      <c r="B74" s="1" t="s">
        <v>907</v>
      </c>
      <c r="C74" s="1" t="s">
        <v>908</v>
      </c>
      <c r="D74" s="1" t="s">
        <v>162</v>
      </c>
      <c r="E74" s="176"/>
    </row>
    <row r="75" spans="1:9" ht="30" x14ac:dyDescent="0.25">
      <c r="A75" s="1"/>
      <c r="B75" s="1" t="s">
        <v>968</v>
      </c>
      <c r="C75" s="1" t="s">
        <v>969</v>
      </c>
      <c r="D75" s="1" t="s">
        <v>970</v>
      </c>
      <c r="E75" s="176"/>
    </row>
    <row r="76" spans="1:9" ht="30" x14ac:dyDescent="0.25">
      <c r="A76" s="1"/>
      <c r="B76" s="1" t="s">
        <v>971</v>
      </c>
      <c r="C76" s="1" t="s">
        <v>972</v>
      </c>
      <c r="D76" s="1" t="s">
        <v>973</v>
      </c>
      <c r="E76" s="176"/>
    </row>
    <row r="77" spans="1:9" ht="30" x14ac:dyDescent="0.25">
      <c r="A77" s="1"/>
      <c r="B77" s="1" t="s">
        <v>974</v>
      </c>
      <c r="C77" s="1" t="s">
        <v>975</v>
      </c>
      <c r="D77" s="1" t="s">
        <v>976</v>
      </c>
      <c r="E77" s="176"/>
    </row>
    <row r="78" spans="1:9" ht="12" customHeight="1" x14ac:dyDescent="0.25">
      <c r="A78" s="1"/>
      <c r="B78" s="1" t="s">
        <v>977</v>
      </c>
      <c r="C78" s="1" t="s">
        <v>978</v>
      </c>
      <c r="D78" s="1" t="s">
        <v>979</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46"/>
  <sheetViews>
    <sheetView tabSelected="1" zoomScale="85" zoomScaleNormal="85" workbookViewId="0">
      <selection activeCell="N24" sqref="N24"/>
    </sheetView>
  </sheetViews>
  <sheetFormatPr defaultRowHeight="15" x14ac:dyDescent="0.25"/>
  <cols>
    <col min="1" max="1" width="27.85546875" customWidth="1"/>
    <col min="2" max="2" width="35" customWidth="1"/>
    <col min="3" max="3" width="31.28515625" customWidth="1"/>
    <col min="4" max="4" width="5.85546875" customWidth="1"/>
    <col min="5" max="5" width="43.42578125" customWidth="1"/>
    <col min="6" max="6" width="17" customWidth="1"/>
    <col min="7" max="7" width="20.5703125" customWidth="1"/>
  </cols>
  <sheetData>
    <row r="1" spans="1:7" ht="15.75" thickBot="1" x14ac:dyDescent="0.3">
      <c r="A1" t="s">
        <v>245</v>
      </c>
      <c r="B1" t="s">
        <v>461</v>
      </c>
      <c r="C1" t="s">
        <v>166</v>
      </c>
      <c r="D1" t="s">
        <v>1217</v>
      </c>
      <c r="E1" t="s">
        <v>4</v>
      </c>
      <c r="F1" t="s">
        <v>217</v>
      </c>
      <c r="G1" t="s">
        <v>218</v>
      </c>
    </row>
    <row r="2" spans="1:7" ht="40.5" customHeight="1" x14ac:dyDescent="0.25">
      <c r="A2" s="195" t="s">
        <v>1156</v>
      </c>
      <c r="B2" s="196" t="s">
        <v>1145</v>
      </c>
      <c r="C2" s="197" t="b">
        <v>1</v>
      </c>
      <c r="D2" s="197" t="b">
        <v>0</v>
      </c>
      <c r="E2" s="218" t="s">
        <v>1185</v>
      </c>
      <c r="F2" s="152"/>
      <c r="G2" s="198"/>
    </row>
    <row r="3" spans="1:7" ht="15" customHeight="1" x14ac:dyDescent="0.25">
      <c r="A3" s="8"/>
      <c r="B3" s="6" t="s">
        <v>1147</v>
      </c>
      <c r="C3" s="6" t="s">
        <v>1148</v>
      </c>
      <c r="D3" s="6"/>
      <c r="E3" s="13" t="s">
        <v>1186</v>
      </c>
      <c r="F3" s="13"/>
      <c r="G3" s="199"/>
    </row>
    <row r="4" spans="1:7" ht="15" customHeight="1" x14ac:dyDescent="0.25">
      <c r="A4" s="8"/>
      <c r="B4" s="15" t="s">
        <v>219</v>
      </c>
      <c r="C4" s="193">
        <v>2025</v>
      </c>
      <c r="D4" s="193"/>
      <c r="E4" s="13" t="s">
        <v>1187</v>
      </c>
      <c r="F4" s="13"/>
      <c r="G4" s="199"/>
    </row>
    <row r="5" spans="1:7" ht="15" customHeight="1" thickBot="1" x14ac:dyDescent="0.3">
      <c r="A5" s="200"/>
      <c r="B5" s="10" t="s">
        <v>222</v>
      </c>
      <c r="C5" s="143">
        <v>2050</v>
      </c>
      <c r="D5" s="143"/>
      <c r="E5" s="153" t="s">
        <v>1188</v>
      </c>
      <c r="F5" s="153"/>
      <c r="G5" s="201"/>
    </row>
    <row r="6" spans="1:7" ht="40.5" customHeight="1" x14ac:dyDescent="0.25">
      <c r="A6" s="195" t="s">
        <v>1167</v>
      </c>
      <c r="B6" s="150" t="s">
        <v>1151</v>
      </c>
      <c r="C6" s="194" t="b">
        <v>0</v>
      </c>
      <c r="D6" s="194" t="b">
        <v>0</v>
      </c>
      <c r="E6" s="218" t="s">
        <v>1191</v>
      </c>
      <c r="F6" s="152"/>
      <c r="G6" s="198"/>
    </row>
    <row r="7" spans="1:7" ht="15" customHeight="1" x14ac:dyDescent="0.25">
      <c r="A7" s="8"/>
      <c r="B7" s="6" t="s">
        <v>1154</v>
      </c>
      <c r="C7" s="6" t="s">
        <v>1189</v>
      </c>
      <c r="D7" s="6"/>
      <c r="E7" s="13" t="s">
        <v>1190</v>
      </c>
      <c r="F7" s="13"/>
      <c r="G7" s="199"/>
    </row>
    <row r="8" spans="1:7" ht="15" customHeight="1" x14ac:dyDescent="0.25">
      <c r="A8" s="8"/>
      <c r="B8" s="6" t="s">
        <v>1155</v>
      </c>
      <c r="C8" s="7"/>
      <c r="D8" s="7"/>
      <c r="E8" s="13"/>
      <c r="F8" s="13"/>
      <c r="G8" s="199"/>
    </row>
    <row r="9" spans="1:7" ht="15" customHeight="1" thickBot="1" x14ac:dyDescent="0.3">
      <c r="A9" s="210"/>
      <c r="B9" s="136" t="s">
        <v>1215</v>
      </c>
      <c r="C9" s="211"/>
      <c r="D9" s="211"/>
      <c r="E9" s="151"/>
      <c r="F9" s="151"/>
      <c r="G9" s="212"/>
    </row>
    <row r="10" spans="1:7" ht="44.25" customHeight="1" thickBot="1" x14ac:dyDescent="0.3">
      <c r="A10" s="203" t="s">
        <v>1166</v>
      </c>
      <c r="B10" s="204" t="s">
        <v>1152</v>
      </c>
      <c r="C10" s="213" t="b">
        <v>0</v>
      </c>
      <c r="D10" s="213" t="b">
        <v>0</v>
      </c>
      <c r="E10" s="207" t="s">
        <v>1172</v>
      </c>
      <c r="F10" s="205"/>
      <c r="G10" s="206"/>
    </row>
    <row r="11" spans="1:7" ht="21.75" customHeight="1" x14ac:dyDescent="0.25">
      <c r="A11" s="6"/>
      <c r="B11" s="6" t="s">
        <v>1201</v>
      </c>
      <c r="C11" s="7" t="s">
        <v>1207</v>
      </c>
      <c r="D11" s="7">
        <v>1</v>
      </c>
      <c r="E11" s="208"/>
      <c r="F11" s="13"/>
      <c r="G11" s="13"/>
    </row>
    <row r="12" spans="1:7" ht="21.75" customHeight="1" x14ac:dyDescent="0.25">
      <c r="A12" s="6"/>
      <c r="B12" s="6" t="s">
        <v>1202</v>
      </c>
      <c r="C12" s="7" t="s">
        <v>1208</v>
      </c>
      <c r="D12" s="7">
        <v>2</v>
      </c>
      <c r="E12" s="208"/>
      <c r="F12" s="13"/>
      <c r="G12" s="13"/>
    </row>
    <row r="13" spans="1:7" ht="21.75" customHeight="1" x14ac:dyDescent="0.25">
      <c r="A13" s="6"/>
      <c r="B13" s="6" t="s">
        <v>1203</v>
      </c>
      <c r="C13" s="7" t="s">
        <v>1209</v>
      </c>
      <c r="D13" s="7">
        <v>3</v>
      </c>
      <c r="E13" s="208"/>
      <c r="F13" s="13"/>
      <c r="G13" s="13"/>
    </row>
    <row r="14" spans="1:7" ht="21.75" customHeight="1" x14ac:dyDescent="0.25">
      <c r="A14" s="6"/>
      <c r="B14" s="6" t="s">
        <v>1204</v>
      </c>
      <c r="C14" s="7" t="s">
        <v>1210</v>
      </c>
      <c r="D14" s="7">
        <v>4</v>
      </c>
      <c r="E14" s="208"/>
      <c r="F14" s="13"/>
      <c r="G14" s="13"/>
    </row>
    <row r="15" spans="1:7" ht="21.75" customHeight="1" x14ac:dyDescent="0.25">
      <c r="A15" s="6"/>
      <c r="B15" s="6" t="s">
        <v>1205</v>
      </c>
      <c r="C15" s="7"/>
      <c r="D15" s="7">
        <v>5</v>
      </c>
      <c r="E15" s="208"/>
      <c r="F15" s="13"/>
      <c r="G15" s="13"/>
    </row>
    <row r="16" spans="1:7" ht="21.75" customHeight="1" thickBot="1" x14ac:dyDescent="0.3">
      <c r="A16" s="6"/>
      <c r="B16" s="6" t="s">
        <v>1206</v>
      </c>
      <c r="C16" s="7"/>
      <c r="D16" s="7">
        <v>6</v>
      </c>
      <c r="E16" s="208"/>
      <c r="F16" s="13"/>
      <c r="G16" s="13"/>
    </row>
    <row r="17" spans="1:7" ht="42.75" customHeight="1" thickBot="1" x14ac:dyDescent="0.3">
      <c r="A17" s="203" t="s">
        <v>1157</v>
      </c>
      <c r="B17" s="204" t="s">
        <v>1153</v>
      </c>
      <c r="C17" s="213" t="b">
        <v>0</v>
      </c>
      <c r="D17" s="213" t="b">
        <v>0</v>
      </c>
      <c r="E17" s="207" t="s">
        <v>1171</v>
      </c>
      <c r="F17" s="205"/>
      <c r="G17" s="206"/>
    </row>
    <row r="18" spans="1:7" ht="20.25" customHeight="1" x14ac:dyDescent="0.25">
      <c r="A18" s="6"/>
      <c r="B18" s="6" t="s">
        <v>1195</v>
      </c>
      <c r="C18" s="7" t="s">
        <v>1211</v>
      </c>
      <c r="D18" s="7">
        <v>1</v>
      </c>
      <c r="E18" s="208"/>
      <c r="F18" s="13"/>
      <c r="G18" s="13"/>
    </row>
    <row r="19" spans="1:7" ht="20.25" customHeight="1" x14ac:dyDescent="0.25">
      <c r="A19" s="6"/>
      <c r="B19" s="6" t="s">
        <v>1196</v>
      </c>
      <c r="C19" s="7" t="s">
        <v>1212</v>
      </c>
      <c r="D19" s="7">
        <v>2</v>
      </c>
      <c r="E19" s="208"/>
      <c r="F19" s="13"/>
      <c r="G19" s="13"/>
    </row>
    <row r="20" spans="1:7" ht="20.25" customHeight="1" x14ac:dyDescent="0.25">
      <c r="A20" s="6"/>
      <c r="B20" s="6" t="s">
        <v>1197</v>
      </c>
      <c r="C20" s="7" t="s">
        <v>1213</v>
      </c>
      <c r="D20" s="7">
        <v>3</v>
      </c>
      <c r="E20" s="208"/>
      <c r="F20" s="13"/>
      <c r="G20" s="13"/>
    </row>
    <row r="21" spans="1:7" ht="20.25" customHeight="1" x14ac:dyDescent="0.25">
      <c r="A21" s="6"/>
      <c r="B21" s="6" t="s">
        <v>1198</v>
      </c>
      <c r="C21" s="7" t="s">
        <v>1214</v>
      </c>
      <c r="D21" s="7">
        <v>4</v>
      </c>
      <c r="E21" s="208"/>
      <c r="F21" s="13"/>
      <c r="G21" s="13"/>
    </row>
    <row r="22" spans="1:7" ht="20.25" customHeight="1" x14ac:dyDescent="0.25">
      <c r="A22" s="6"/>
      <c r="B22" s="6" t="s">
        <v>1199</v>
      </c>
      <c r="C22" s="7"/>
      <c r="D22" s="7">
        <v>5</v>
      </c>
      <c r="E22" s="208"/>
      <c r="F22" s="13"/>
      <c r="G22" s="13"/>
    </row>
    <row r="23" spans="1:7" ht="20.25" customHeight="1" thickBot="1" x14ac:dyDescent="0.3">
      <c r="A23" s="6"/>
      <c r="B23" s="6" t="s">
        <v>1200</v>
      </c>
      <c r="C23" s="7"/>
      <c r="D23" s="7">
        <v>6</v>
      </c>
      <c r="E23" s="208"/>
      <c r="F23" s="13"/>
      <c r="G23" s="13"/>
    </row>
    <row r="24" spans="1:7" ht="52.5" customHeight="1" x14ac:dyDescent="0.25">
      <c r="A24" s="195" t="s">
        <v>1158</v>
      </c>
      <c r="B24" s="150" t="s">
        <v>1150</v>
      </c>
      <c r="C24" s="197" t="b">
        <v>0</v>
      </c>
      <c r="D24" s="220" t="b">
        <v>0</v>
      </c>
      <c r="E24" s="209" t="s">
        <v>1173</v>
      </c>
      <c r="F24" s="152"/>
      <c r="G24" s="198"/>
    </row>
    <row r="25" spans="1:7" ht="15" customHeight="1" x14ac:dyDescent="0.25">
      <c r="A25" s="214"/>
      <c r="B25" s="6" t="s">
        <v>1178</v>
      </c>
      <c r="C25" s="7"/>
      <c r="D25" s="193">
        <v>1</v>
      </c>
      <c r="E25" s="192" t="s">
        <v>1174</v>
      </c>
      <c r="F25" s="13"/>
      <c r="G25" s="199"/>
    </row>
    <row r="26" spans="1:7" ht="15" customHeight="1" x14ac:dyDescent="0.25">
      <c r="A26" s="214"/>
      <c r="B26" s="6" t="s">
        <v>1179</v>
      </c>
      <c r="C26" s="7"/>
      <c r="D26" s="193">
        <v>2</v>
      </c>
      <c r="E26" s="192" t="s">
        <v>1175</v>
      </c>
      <c r="F26" s="13"/>
      <c r="G26" s="199"/>
    </row>
    <row r="27" spans="1:7" ht="15" customHeight="1" x14ac:dyDescent="0.25">
      <c r="A27" s="158"/>
      <c r="B27" s="6" t="s">
        <v>1192</v>
      </c>
      <c r="C27" s="7"/>
      <c r="D27" s="7">
        <v>3</v>
      </c>
      <c r="E27" s="13" t="s">
        <v>1237</v>
      </c>
      <c r="F27" s="13"/>
      <c r="G27" s="13"/>
    </row>
    <row r="28" spans="1:7" ht="15" customHeight="1" thickBot="1" x14ac:dyDescent="0.3">
      <c r="A28" s="158"/>
      <c r="B28" s="6" t="s">
        <v>1193</v>
      </c>
      <c r="C28" s="7"/>
      <c r="D28" s="7">
        <v>4</v>
      </c>
      <c r="E28" s="13"/>
      <c r="F28" s="13"/>
      <c r="G28" s="13"/>
    </row>
    <row r="29" spans="1:7" ht="55.5" customHeight="1" x14ac:dyDescent="0.25">
      <c r="A29" s="195" t="s">
        <v>1170</v>
      </c>
      <c r="B29" s="150" t="s">
        <v>1149</v>
      </c>
      <c r="C29" s="194" t="b">
        <v>1</v>
      </c>
      <c r="D29" s="194" t="b">
        <v>0</v>
      </c>
      <c r="E29" s="218" t="s">
        <v>1176</v>
      </c>
      <c r="F29" s="152"/>
      <c r="G29" s="198"/>
    </row>
    <row r="30" spans="1:7" ht="15" customHeight="1" x14ac:dyDescent="0.25">
      <c r="A30" s="214"/>
      <c r="B30" s="6" t="s">
        <v>1180</v>
      </c>
      <c r="C30" s="7" t="s">
        <v>1236</v>
      </c>
      <c r="D30" s="7">
        <v>1</v>
      </c>
      <c r="E30" s="13" t="s">
        <v>1177</v>
      </c>
      <c r="F30" s="13"/>
      <c r="G30" s="199"/>
    </row>
    <row r="31" spans="1:7" ht="15" customHeight="1" x14ac:dyDescent="0.25">
      <c r="A31" s="214"/>
      <c r="B31" s="6" t="s">
        <v>1181</v>
      </c>
      <c r="C31" s="7" t="s">
        <v>88</v>
      </c>
      <c r="D31" s="7">
        <v>2</v>
      </c>
      <c r="E31" s="13" t="s">
        <v>1194</v>
      </c>
      <c r="F31" s="13"/>
      <c r="G31" s="199"/>
    </row>
    <row r="32" spans="1:7" ht="15" customHeight="1" x14ac:dyDescent="0.25">
      <c r="A32" s="214"/>
      <c r="B32" s="6" t="s">
        <v>1182</v>
      </c>
      <c r="C32" s="7" t="s">
        <v>89</v>
      </c>
      <c r="D32" s="7">
        <v>3</v>
      </c>
      <c r="E32" s="13"/>
      <c r="F32" s="13"/>
      <c r="G32" s="199"/>
    </row>
    <row r="33" spans="1:7" ht="15" customHeight="1" x14ac:dyDescent="0.25">
      <c r="A33" s="214"/>
      <c r="B33" s="6" t="s">
        <v>1183</v>
      </c>
      <c r="C33" s="7" t="s">
        <v>90</v>
      </c>
      <c r="D33" s="7">
        <v>4</v>
      </c>
      <c r="E33" s="13"/>
      <c r="F33" s="13"/>
      <c r="G33" s="199"/>
    </row>
    <row r="34" spans="1:7" ht="15" customHeight="1" thickBot="1" x14ac:dyDescent="0.3">
      <c r="A34" s="215"/>
      <c r="B34" s="10" t="s">
        <v>1184</v>
      </c>
      <c r="C34" s="143"/>
      <c r="D34" s="143">
        <v>5</v>
      </c>
      <c r="E34" s="153"/>
      <c r="F34" s="153"/>
      <c r="G34" s="201"/>
    </row>
    <row r="35" spans="1:7" ht="15" customHeight="1" x14ac:dyDescent="0.25">
      <c r="A35" s="216"/>
      <c r="B35" s="15" t="s">
        <v>1038</v>
      </c>
      <c r="C35" s="217" t="s">
        <v>164</v>
      </c>
      <c r="D35" s="217"/>
      <c r="E35" s="192"/>
      <c r="F35" s="192"/>
      <c r="G35" s="192"/>
    </row>
    <row r="36" spans="1:7" x14ac:dyDescent="0.25">
      <c r="A36" s="158"/>
      <c r="B36" s="6" t="s">
        <v>223</v>
      </c>
      <c r="C36" s="6" t="s">
        <v>224</v>
      </c>
      <c r="D36" s="6"/>
      <c r="E36" s="13" t="s">
        <v>225</v>
      </c>
      <c r="F36" s="13" t="s">
        <v>220</v>
      </c>
      <c r="G36" s="13" t="s">
        <v>221</v>
      </c>
    </row>
    <row r="37" spans="1:7" ht="15.75" thickBot="1" x14ac:dyDescent="0.3">
      <c r="A37" s="219"/>
      <c r="B37" s="136" t="s">
        <v>226</v>
      </c>
      <c r="C37" s="136" t="s">
        <v>182</v>
      </c>
      <c r="D37" s="136"/>
      <c r="E37" s="151" t="s">
        <v>227</v>
      </c>
      <c r="F37" s="151" t="s">
        <v>220</v>
      </c>
      <c r="G37" s="151" t="s">
        <v>221</v>
      </c>
    </row>
    <row r="38" spans="1:7" x14ac:dyDescent="0.25">
      <c r="A38" s="195" t="s">
        <v>228</v>
      </c>
      <c r="B38" s="150" t="s">
        <v>229</v>
      </c>
      <c r="C38" s="202" t="b">
        <v>1</v>
      </c>
      <c r="D38" s="202" t="b">
        <v>0</v>
      </c>
      <c r="E38" s="152" t="s">
        <v>230</v>
      </c>
      <c r="F38" s="152" t="s">
        <v>231</v>
      </c>
      <c r="G38" s="198" t="s">
        <v>221</v>
      </c>
    </row>
    <row r="39" spans="1:7" ht="15" customHeight="1" x14ac:dyDescent="0.25">
      <c r="A39" s="8"/>
      <c r="B39" s="6" t="s">
        <v>232</v>
      </c>
      <c r="C39" s="171" t="b">
        <v>1</v>
      </c>
      <c r="D39" s="171" t="b">
        <v>0</v>
      </c>
      <c r="E39" s="13" t="s">
        <v>233</v>
      </c>
      <c r="F39" s="13" t="s">
        <v>231</v>
      </c>
      <c r="G39" s="199" t="s">
        <v>221</v>
      </c>
    </row>
    <row r="40" spans="1:7" x14ac:dyDescent="0.25">
      <c r="A40" s="8"/>
      <c r="B40" s="6" t="s">
        <v>246</v>
      </c>
      <c r="C40" s="171" t="b">
        <v>0</v>
      </c>
      <c r="D40" s="171" t="b">
        <v>0</v>
      </c>
      <c r="E40" s="13" t="s">
        <v>234</v>
      </c>
      <c r="F40" s="13" t="s">
        <v>231</v>
      </c>
      <c r="G40" s="199" t="s">
        <v>235</v>
      </c>
    </row>
    <row r="41" spans="1:7" ht="15.75" thickBot="1" x14ac:dyDescent="0.3">
      <c r="A41" s="200"/>
      <c r="B41" s="10" t="s">
        <v>236</v>
      </c>
      <c r="C41" s="143">
        <v>150</v>
      </c>
      <c r="D41" s="143"/>
      <c r="E41" s="153" t="s">
        <v>237</v>
      </c>
      <c r="F41" s="153" t="s">
        <v>231</v>
      </c>
      <c r="G41" s="201" t="s">
        <v>235</v>
      </c>
    </row>
    <row r="42" spans="1:7" ht="15" customHeight="1" x14ac:dyDescent="0.25">
      <c r="A42" s="150" t="s">
        <v>238</v>
      </c>
      <c r="B42" s="150" t="s">
        <v>216</v>
      </c>
      <c r="C42" s="171" t="b">
        <v>0</v>
      </c>
      <c r="D42" s="171" t="b">
        <v>0</v>
      </c>
      <c r="E42" s="152" t="s">
        <v>239</v>
      </c>
      <c r="F42" s="152" t="s">
        <v>240</v>
      </c>
      <c r="G42" s="152" t="s">
        <v>235</v>
      </c>
    </row>
    <row r="43" spans="1:7" x14ac:dyDescent="0.25">
      <c r="A43" s="6"/>
      <c r="B43" s="6" t="s">
        <v>401</v>
      </c>
      <c r="C43" s="7" t="s">
        <v>1060</v>
      </c>
      <c r="D43" s="7"/>
      <c r="E43" s="13" t="s">
        <v>241</v>
      </c>
      <c r="F43" s="13" t="s">
        <v>240</v>
      </c>
      <c r="G43" s="13" t="s">
        <v>235</v>
      </c>
    </row>
    <row r="44" spans="1:7" x14ac:dyDescent="0.25">
      <c r="A44" s="6"/>
      <c r="B44" s="6" t="s">
        <v>403</v>
      </c>
      <c r="C44" s="7" t="s">
        <v>1061</v>
      </c>
      <c r="D44" s="7"/>
      <c r="E44" s="13" t="s">
        <v>242</v>
      </c>
      <c r="F44" s="13" t="s">
        <v>240</v>
      </c>
      <c r="G44" s="13" t="s">
        <v>235</v>
      </c>
    </row>
    <row r="45" spans="1:7" x14ac:dyDescent="0.25">
      <c r="A45" s="6"/>
      <c r="B45" s="6" t="s">
        <v>402</v>
      </c>
      <c r="C45" s="7" t="s">
        <v>1063</v>
      </c>
      <c r="D45" s="7"/>
      <c r="E45" s="13"/>
      <c r="F45" s="13"/>
      <c r="G45" s="13"/>
    </row>
    <row r="46" spans="1:7" x14ac:dyDescent="0.25">
      <c r="A46" s="136"/>
      <c r="B46" s="136" t="s">
        <v>430</v>
      </c>
      <c r="C46" s="7" t="s">
        <v>1062</v>
      </c>
      <c r="D46" s="7"/>
      <c r="E46" s="151" t="s">
        <v>243</v>
      </c>
      <c r="F46" s="151" t="s">
        <v>240</v>
      </c>
      <c r="G46" s="151" t="s">
        <v>235</v>
      </c>
    </row>
  </sheetData>
  <sheetProtection selectLockedCells="1"/>
  <phoneticPr fontId="2" type="noConversion"/>
  <dataValidations count="4">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5:D5 C8:D9" xr:uid="{338B3D3F-1EE9-4F50-9740-2DEE1DAE2FDE}">
      <formula1>0</formula1>
      <formula2>5000</formula2>
    </dataValidation>
    <dataValidation type="whole" allowBlank="1" showInputMessage="1" showErrorMessage="1" promptTitle="Number MC_Iterations" prompt="Please define the Numbers of requested MC_Simulations_x000a_" sqref="C41:D41" xr:uid="{FDD0B9D5-92CA-44D0-B7BD-80F903F0851A}">
      <formula1>0</formula1>
      <formula2>20000</formula2>
    </dataValidation>
    <dataValidation allowBlank="1" showInputMessage="1" showErrorMessage="1" promptTitle="End Year" prompt="Please define the End Year of the Study_x000a_" sqref="C7:D7 C30:D34 C25:C26" xr:uid="{B7CD650F-E479-45DE-83FD-5B53F2073038}"/>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C35:D35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1159</v>
      </c>
      <c r="B1" t="s">
        <v>4</v>
      </c>
      <c r="C1" t="s">
        <v>1165</v>
      </c>
      <c r="D1" t="s">
        <v>1160</v>
      </c>
      <c r="E1" t="s">
        <v>1161</v>
      </c>
      <c r="F1" t="s">
        <v>1162</v>
      </c>
    </row>
    <row r="2" spans="1:6" x14ac:dyDescent="0.25">
      <c r="A2" t="s">
        <v>1145</v>
      </c>
      <c r="C2" t="s">
        <v>1145</v>
      </c>
    </row>
    <row r="3" spans="1:6" x14ac:dyDescent="0.25">
      <c r="A3" t="s">
        <v>1163</v>
      </c>
      <c r="C3" t="s">
        <v>1145</v>
      </c>
    </row>
    <row r="4" spans="1:6" x14ac:dyDescent="0.25">
      <c r="A4" t="s">
        <v>1164</v>
      </c>
      <c r="C4" t="s">
        <v>1164</v>
      </c>
    </row>
    <row r="5" spans="1:6" x14ac:dyDescent="0.25">
      <c r="A5" t="s">
        <v>1146</v>
      </c>
      <c r="C5" t="s">
        <v>1146</v>
      </c>
    </row>
    <row r="8" spans="1:6" x14ac:dyDescent="0.25">
      <c r="A8" t="s">
        <v>1169</v>
      </c>
      <c r="B8" t="s">
        <v>1159</v>
      </c>
    </row>
    <row r="9" spans="1:6" x14ac:dyDescent="0.25">
      <c r="A9" t="s">
        <v>1168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N96"/>
  <sheetViews>
    <sheetView topLeftCell="V1" zoomScaleNormal="100" workbookViewId="0">
      <selection activeCell="AJ24" sqref="AJ24"/>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0" width="18.85546875" customWidth="1"/>
    <col min="11" max="11" width="26.28515625" customWidth="1"/>
    <col min="12" max="12" width="34.140625" customWidth="1"/>
    <col min="16" max="16" width="14.42578125" customWidth="1"/>
    <col min="17" max="17" width="14.85546875" customWidth="1"/>
    <col min="18" max="18" width="16.42578125" customWidth="1"/>
    <col min="19" max="19" width="14.7109375" customWidth="1"/>
    <col min="20" max="20" width="17.28515625" style="135" customWidth="1"/>
    <col min="22" max="22" width="15.42578125" customWidth="1"/>
    <col min="23" max="23" width="15.28515625" customWidth="1"/>
    <col min="24" max="24" width="15.42578125" customWidth="1"/>
    <col min="25" max="25" width="16.7109375" customWidth="1"/>
    <col min="26" max="27" width="23.140625" customWidth="1"/>
    <col min="28" max="28" width="20.140625" customWidth="1"/>
    <col min="29" max="29" width="19.42578125" customWidth="1"/>
    <col min="30" max="30" width="17.5703125" customWidth="1"/>
    <col min="31" max="31" width="18" customWidth="1"/>
    <col min="32" max="32" width="17.85546875" customWidth="1"/>
    <col min="33" max="33" width="22.28515625" customWidth="1"/>
    <col min="34" max="35" width="19.140625" customWidth="1"/>
    <col min="36" max="36" width="26" customWidth="1"/>
    <col min="37" max="37" width="25.28515625" customWidth="1"/>
    <col min="38" max="38" width="27.5703125" customWidth="1"/>
    <col min="40" max="40" width="19.85546875" customWidth="1"/>
  </cols>
  <sheetData>
    <row r="1" spans="1:40" x14ac:dyDescent="0.25">
      <c r="A1" s="141" t="s">
        <v>24</v>
      </c>
      <c r="B1" s="141" t="s">
        <v>7</v>
      </c>
      <c r="C1" s="141" t="s">
        <v>11</v>
      </c>
      <c r="D1" s="141" t="s">
        <v>419</v>
      </c>
      <c r="E1" s="141" t="s">
        <v>1232</v>
      </c>
      <c r="F1" s="141" t="s">
        <v>424</v>
      </c>
      <c r="G1" s="141" t="s">
        <v>425</v>
      </c>
      <c r="H1" s="141" t="s">
        <v>426</v>
      </c>
      <c r="I1" s="141" t="s">
        <v>423</v>
      </c>
      <c r="J1" s="141" t="s">
        <v>27</v>
      </c>
      <c r="K1" s="141" t="s">
        <v>29</v>
      </c>
      <c r="L1" s="141" t="s">
        <v>1216</v>
      </c>
      <c r="M1" s="141" t="s">
        <v>28</v>
      </c>
      <c r="N1" s="141" t="s">
        <v>485</v>
      </c>
      <c r="O1" s="141" t="s">
        <v>486</v>
      </c>
      <c r="P1" s="141" t="s">
        <v>31</v>
      </c>
      <c r="Q1" s="141" t="s">
        <v>416</v>
      </c>
      <c r="R1" s="141" t="s">
        <v>487</v>
      </c>
      <c r="S1" s="141" t="s">
        <v>33</v>
      </c>
      <c r="T1" s="141" t="s">
        <v>417</v>
      </c>
      <c r="U1" s="141" t="s">
        <v>422</v>
      </c>
      <c r="V1" s="141" t="s">
        <v>50</v>
      </c>
      <c r="W1" s="141" t="s">
        <v>488</v>
      </c>
      <c r="X1" s="141" t="s">
        <v>49</v>
      </c>
      <c r="Y1" s="141" t="s">
        <v>1227</v>
      </c>
      <c r="Z1" s="141" t="s">
        <v>1218</v>
      </c>
      <c r="AA1" s="141" t="s">
        <v>1228</v>
      </c>
      <c r="AB1" s="141" t="s">
        <v>1219</v>
      </c>
      <c r="AC1" s="141" t="s">
        <v>1229</v>
      </c>
      <c r="AD1" s="141" t="s">
        <v>1223</v>
      </c>
      <c r="AE1" s="141" t="s">
        <v>1226</v>
      </c>
      <c r="AF1" s="141" t="s">
        <v>1220</v>
      </c>
      <c r="AG1" s="141" t="s">
        <v>1230</v>
      </c>
      <c r="AH1" s="141" t="s">
        <v>1221</v>
      </c>
      <c r="AI1" s="141" t="s">
        <v>1231</v>
      </c>
      <c r="AJ1" s="141" t="s">
        <v>1222</v>
      </c>
      <c r="AK1" s="141" t="s">
        <v>1225</v>
      </c>
      <c r="AL1" s="141" t="s">
        <v>1235</v>
      </c>
    </row>
    <row r="2" spans="1:40" x14ac:dyDescent="0.25">
      <c r="A2" s="142" t="b">
        <v>0</v>
      </c>
      <c r="B2" s="16">
        <f t="shared" ref="B2:B78" si="0">ROW()-1</f>
        <v>1</v>
      </c>
      <c r="C2" s="6" t="str">
        <f t="shared" ref="C2:C91" si="1">"F_"&amp;LEFT(G2,2)&amp;"_"&amp;LEFT(I2,2)</f>
        <v>F_01_02</v>
      </c>
      <c r="D2" s="188" t="s">
        <v>1106</v>
      </c>
      <c r="E2" s="138" t="s">
        <v>1211</v>
      </c>
      <c r="F2" s="138" t="s">
        <v>1097</v>
      </c>
      <c r="G2" s="6" t="str">
        <f>_xlfn.XLOOKUP(F2,Tab_Def_Processes[Process_Name],Tab_Def_Processes[Process_ID],,0,)</f>
        <v>01</v>
      </c>
      <c r="H2" s="138" t="s">
        <v>1090</v>
      </c>
      <c r="I2" s="9" t="str">
        <f>_xlfn.XLOOKUP(H2,Tab_Def_Processes[Process_Name],Tab_Def_Processes[Process_ID],,0,)</f>
        <v>02</v>
      </c>
      <c r="J2" s="138" t="s">
        <v>5</v>
      </c>
      <c r="K2" s="138" t="s">
        <v>5</v>
      </c>
      <c r="L2" s="138"/>
      <c r="M2" s="138" t="s">
        <v>5</v>
      </c>
      <c r="N2" s="6" t="str">
        <f>Tab_Def_Flows[[#This Row],[Flow_ID]]&amp;"_WC"</f>
        <v>F_01_02_WC</v>
      </c>
      <c r="O2" s="135">
        <v>0</v>
      </c>
      <c r="P2" s="157"/>
      <c r="Q2" s="6" t="str">
        <f>Tab_Def_Flows[[#This Row],[Flow_ID]]&amp;"_DM"</f>
        <v>F_01_02_DM</v>
      </c>
      <c r="R2" s="135">
        <v>1</v>
      </c>
      <c r="S2" s="157"/>
      <c r="T2" s="6" t="str">
        <f>Tab_Def_Flows[[#This Row],[Flow_ID]]&amp;"_CC"</f>
        <v>F_01_02_CC</v>
      </c>
      <c r="U2" s="135">
        <v>1</v>
      </c>
      <c r="V2" s="13"/>
      <c r="W2" s="139">
        <f>Tab_Def_Flows[[#This Row],[Flow_CC_DM'[%']]]*Tab_Def_Flows[[#This Row],[Flow_DM'[%']]]</f>
        <v>1</v>
      </c>
      <c r="X2" s="7"/>
      <c r="Y2" s="194" t="b">
        <f>'0_Configuration'!$C$2</f>
        <v>1</v>
      </c>
      <c r="Z2" s="6"/>
      <c r="AA2" s="194" t="b">
        <f>'0_Configuration'!$C$6</f>
        <v>0</v>
      </c>
      <c r="AB2" s="6" t="s">
        <v>1238</v>
      </c>
      <c r="AC2" s="194" t="b">
        <f>'0_Configuration'!$C$10</f>
        <v>0</v>
      </c>
      <c r="AD2" s="6" t="s">
        <v>1224</v>
      </c>
      <c r="AE2" s="194" t="b">
        <f>'0_Configuration'!$C$17</f>
        <v>0</v>
      </c>
      <c r="AF2" s="6">
        <f>_xlfn.XLOOKUP(Tab_Def_Flows[[#This Row],[ODYM_Good_Type]],Tab_Configuration[Value],Tab_Configuration[ODYM_ID],,0,)</f>
        <v>1</v>
      </c>
      <c r="AG2" s="194" t="b">
        <f>'0_Configuration'!$C$24</f>
        <v>0</v>
      </c>
      <c r="AH2" s="6"/>
      <c r="AI2" s="194" t="b">
        <f>'0_Configuration'!$C$29</f>
        <v>1</v>
      </c>
      <c r="AJ2" s="6" t="s">
        <v>1238</v>
      </c>
      <c r="AK2" s="6" t="str">
        <f>IF(Tab_Def_Flows[[#This Row],[ODYM_time_(t)]],"t,","")&amp;IF(Tab_Def_Flows[[#This Row],[ODYM_Region_(r)]],"r,","")&amp;IF(Tab_Def_Flows[[#This Row],[ODYM_process_(p)]],"p,","")&amp;IF(Tab_Def_Flows[[#This Row],[ODYM_Good_(g)2]],"g,","")&amp;IF(Tab_Def_Flows[[#This Row],[ODYM_material_(m)]],"m,","")&amp;IF(Tab_Def_Flows[[#This Row],[ODYM_element_(e)]],"e","")</f>
        <v>t,e</v>
      </c>
      <c r="AL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0" x14ac:dyDescent="0.25">
      <c r="A3" s="142" t="b">
        <v>0</v>
      </c>
      <c r="B3" s="16">
        <f t="shared" ref="B3:B9" si="2">ROW()-1</f>
        <v>2</v>
      </c>
      <c r="C3" s="6" t="str">
        <f t="shared" ref="C3:C9" si="3">"F_"&amp;LEFT(G3,2)&amp;"_"&amp;LEFT(I3,2)</f>
        <v>F_00_02</v>
      </c>
      <c r="D3" s="188" t="s">
        <v>1107</v>
      </c>
      <c r="E3" s="138" t="s">
        <v>1211</v>
      </c>
      <c r="F3" s="138" t="s">
        <v>1096</v>
      </c>
      <c r="G3" s="6" t="str">
        <f>_xlfn.XLOOKUP(F3,Tab_Def_Processes[Process_Name],Tab_Def_Processes[Process_ID],,0,)</f>
        <v>00</v>
      </c>
      <c r="H3" s="138" t="s">
        <v>1090</v>
      </c>
      <c r="I3" s="9" t="str">
        <f>_xlfn.XLOOKUP(H3,Tab_Def_Processes[Process_Name],Tab_Def_Processes[Process_ID],,0,)</f>
        <v>02</v>
      </c>
      <c r="J3" s="138" t="s">
        <v>5</v>
      </c>
      <c r="K3" s="138" t="s">
        <v>5</v>
      </c>
      <c r="L3" s="138"/>
      <c r="M3" s="138" t="s">
        <v>5</v>
      </c>
      <c r="N3" s="6" t="str">
        <f>Tab_Def_Flows[[#This Row],[Flow_ID]]&amp;"_WC"</f>
        <v>F_00_02_WC</v>
      </c>
      <c r="O3" s="135">
        <v>0.23841961852860999</v>
      </c>
      <c r="P3" s="13"/>
      <c r="Q3" s="6" t="str">
        <f>Tab_Def_Flows[[#This Row],[Flow_ID]]&amp;"_DM"</f>
        <v>F_00_02_DM</v>
      </c>
      <c r="R3" s="135">
        <v>0.76158038147138996</v>
      </c>
      <c r="S3" s="13"/>
      <c r="T3" s="6" t="str">
        <f>Tab_Def_Flows[[#This Row],[Flow_ID]]&amp;"_CC"</f>
        <v>F_00_02_CC</v>
      </c>
      <c r="U3" s="135">
        <v>0</v>
      </c>
      <c r="V3" s="13"/>
      <c r="W3" s="139">
        <f>Tab_Def_Flows[[#This Row],[Flow_CC_DM'[%']]]*Tab_Def_Flows[[#This Row],[Flow_DM'[%']]]</f>
        <v>0</v>
      </c>
      <c r="X3" s="7"/>
      <c r="Y3" s="194" t="b">
        <f>'0_Configuration'!$C$2</f>
        <v>1</v>
      </c>
      <c r="Z3" s="6"/>
      <c r="AA3" s="194" t="b">
        <f>'0_Configuration'!$C$6</f>
        <v>0</v>
      </c>
      <c r="AB3" s="6" t="s">
        <v>1224</v>
      </c>
      <c r="AC3" s="194" t="b">
        <f>'0_Configuration'!$C$10</f>
        <v>0</v>
      </c>
      <c r="AD3" s="6" t="s">
        <v>1224</v>
      </c>
      <c r="AE3" s="194" t="b">
        <f>'0_Configuration'!$C$17</f>
        <v>0</v>
      </c>
      <c r="AF3" s="6">
        <f>_xlfn.XLOOKUP(Tab_Def_Flows[[#This Row],[ODYM_Good_Type]],Tab_Configuration[Value],Tab_Configuration[ODYM_ID],,0,)</f>
        <v>1</v>
      </c>
      <c r="AG3" s="194" t="b">
        <f>'0_Configuration'!$C$24</f>
        <v>0</v>
      </c>
      <c r="AH3" s="6"/>
      <c r="AI3" s="194" t="b">
        <f>'0_Configuration'!$C$29</f>
        <v>1</v>
      </c>
      <c r="AJ3" s="6" t="s">
        <v>1238</v>
      </c>
      <c r="AK3" s="6" t="str">
        <f>IF(Tab_Def_Flows[[#This Row],[ODYM_time_(t)]],"t,","")&amp;IF(Tab_Def_Flows[[#This Row],[ODYM_Region_(r)]],"r,","")&amp;IF(Tab_Def_Flows[[#This Row],[ODYM_process_(p)]],"p,","")&amp;IF(Tab_Def_Flows[[#This Row],[ODYM_Good_(g)2]],"g,","")&amp;IF(Tab_Def_Flows[[#This Row],[ODYM_material_(m)]],"m,","")&amp;IF(Tab_Def_Flows[[#This Row],[ODYM_element_(e)]],"e","")</f>
        <v>t,e</v>
      </c>
      <c r="AL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0" x14ac:dyDescent="0.25">
      <c r="A4" s="142" t="b">
        <v>0</v>
      </c>
      <c r="B4" s="16">
        <f t="shared" si="2"/>
        <v>3</v>
      </c>
      <c r="C4" s="6" t="str">
        <f t="shared" si="3"/>
        <v>F_01_10</v>
      </c>
      <c r="D4" s="188" t="s">
        <v>1108</v>
      </c>
      <c r="E4" s="138" t="s">
        <v>1211</v>
      </c>
      <c r="F4" s="138" t="s">
        <v>1097</v>
      </c>
      <c r="G4" s="6" t="str">
        <f>_xlfn.XLOOKUP(F4,Tab_Def_Processes[Process_Name],Tab_Def_Processes[Process_ID],,0,)</f>
        <v>01</v>
      </c>
      <c r="H4" s="138" t="s">
        <v>1081</v>
      </c>
      <c r="I4" s="9" t="str">
        <f>_xlfn.XLOOKUP(H4,Tab_Def_Processes[Process_Name],Tab_Def_Processes[Process_ID],,0,)</f>
        <v>10</v>
      </c>
      <c r="J4" s="138" t="s">
        <v>5</v>
      </c>
      <c r="K4" s="138" t="s">
        <v>5</v>
      </c>
      <c r="L4" s="138"/>
      <c r="M4" s="138" t="s">
        <v>5</v>
      </c>
      <c r="N4" s="6" t="str">
        <f>Tab_Def_Flows[[#This Row],[Flow_ID]]&amp;"_WC"</f>
        <v>F_01_10_WC</v>
      </c>
      <c r="O4" s="135">
        <v>0</v>
      </c>
      <c r="P4" s="13"/>
      <c r="Q4" s="6" t="str">
        <f>Tab_Def_Flows[[#This Row],[Flow_ID]]&amp;"_DM"</f>
        <v>F_01_10_DM</v>
      </c>
      <c r="R4" s="135">
        <v>1</v>
      </c>
      <c r="S4" s="13"/>
      <c r="T4" s="6" t="str">
        <f>Tab_Def_Flows[[#This Row],[Flow_ID]]&amp;"_CC"</f>
        <v>F_01_10_CC</v>
      </c>
      <c r="U4" s="135">
        <v>1</v>
      </c>
      <c r="V4" s="13"/>
      <c r="W4" s="139">
        <f>Tab_Def_Flows[[#This Row],[Flow_CC_DM'[%']]]*Tab_Def_Flows[[#This Row],[Flow_DM'[%']]]</f>
        <v>1</v>
      </c>
      <c r="X4" s="7"/>
      <c r="Y4" s="194" t="b">
        <f>'0_Configuration'!$C$2</f>
        <v>1</v>
      </c>
      <c r="Z4" s="6"/>
      <c r="AA4" s="194" t="b">
        <f>'0_Configuration'!$C$6</f>
        <v>0</v>
      </c>
      <c r="AB4" s="6" t="s">
        <v>1224</v>
      </c>
      <c r="AC4" s="194" t="b">
        <f>'0_Configuration'!$C$10</f>
        <v>0</v>
      </c>
      <c r="AD4" s="6" t="s">
        <v>1224</v>
      </c>
      <c r="AE4" s="194" t="b">
        <f>'0_Configuration'!$C$17</f>
        <v>0</v>
      </c>
      <c r="AF4" s="6">
        <f>_xlfn.XLOOKUP(Tab_Def_Flows[[#This Row],[ODYM_Good_Type]],Tab_Configuration[Value],Tab_Configuration[ODYM_ID],,0,)</f>
        <v>1</v>
      </c>
      <c r="AG4" s="194" t="b">
        <f>'0_Configuration'!$C$24</f>
        <v>0</v>
      </c>
      <c r="AH4" s="6"/>
      <c r="AI4" s="194" t="b">
        <f>'0_Configuration'!$C$29</f>
        <v>1</v>
      </c>
      <c r="AJ4" s="6" t="s">
        <v>1238</v>
      </c>
      <c r="AK4" s="6" t="str">
        <f>IF(Tab_Def_Flows[[#This Row],[ODYM_time_(t)]],"t,","")&amp;IF(Tab_Def_Flows[[#This Row],[ODYM_Region_(r)]],"r,","")&amp;IF(Tab_Def_Flows[[#This Row],[ODYM_process_(p)]],"p,","")&amp;IF(Tab_Def_Flows[[#This Row],[ODYM_Good_(g)2]],"g,","")&amp;IF(Tab_Def_Flows[[#This Row],[ODYM_material_(m)]],"m,","")&amp;IF(Tab_Def_Flows[[#This Row],[ODYM_element_(e)]],"e","")</f>
        <v>t,e</v>
      </c>
      <c r="AL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0" x14ac:dyDescent="0.25">
      <c r="A5" s="142" t="b">
        <v>0</v>
      </c>
      <c r="B5" s="16">
        <f t="shared" si="2"/>
        <v>4</v>
      </c>
      <c r="C5" s="6" t="str">
        <f t="shared" si="3"/>
        <v>F_00_10</v>
      </c>
      <c r="D5" s="188" t="s">
        <v>1109</v>
      </c>
      <c r="E5" s="138" t="s">
        <v>1211</v>
      </c>
      <c r="F5" s="138" t="s">
        <v>1096</v>
      </c>
      <c r="G5" s="6" t="str">
        <f>_xlfn.XLOOKUP(F5,Tab_Def_Processes[Process_Name],Tab_Def_Processes[Process_ID],,0,)</f>
        <v>00</v>
      </c>
      <c r="H5" s="138" t="s">
        <v>1081</v>
      </c>
      <c r="I5" s="9" t="str">
        <f>_xlfn.XLOOKUP(H5,Tab_Def_Processes[Process_Name],Tab_Def_Processes[Process_ID],,0,)</f>
        <v>10</v>
      </c>
      <c r="J5" s="138" t="s">
        <v>5</v>
      </c>
      <c r="K5" s="138" t="s">
        <v>5</v>
      </c>
      <c r="L5" s="138"/>
      <c r="M5" s="138" t="s">
        <v>5</v>
      </c>
      <c r="N5" s="6" t="str">
        <f>Tab_Def_Flows[[#This Row],[Flow_ID]]&amp;"_WC"</f>
        <v>F_00_10_WC</v>
      </c>
      <c r="O5" s="135">
        <v>0.96738928652461798</v>
      </c>
      <c r="P5" s="13"/>
      <c r="Q5" s="6" t="str">
        <f>Tab_Def_Flows[[#This Row],[Flow_ID]]&amp;"_DM"</f>
        <v>F_00_10_DM</v>
      </c>
      <c r="R5" s="135">
        <v>3.2610713475382101E-2</v>
      </c>
      <c r="S5" s="13"/>
      <c r="T5" s="6" t="str">
        <f>Tab_Def_Flows[[#This Row],[Flow_ID]]&amp;"_CC"</f>
        <v>F_00_10_CC</v>
      </c>
      <c r="U5" s="135">
        <v>0</v>
      </c>
      <c r="V5" s="13"/>
      <c r="W5" s="139">
        <f>Tab_Def_Flows[[#This Row],[Flow_CC_DM'[%']]]*Tab_Def_Flows[[#This Row],[Flow_DM'[%']]]</f>
        <v>0</v>
      </c>
      <c r="X5" s="7"/>
      <c r="Y5" s="194" t="b">
        <f>'0_Configuration'!$C$2</f>
        <v>1</v>
      </c>
      <c r="Z5" s="6"/>
      <c r="AA5" s="194" t="b">
        <f>'0_Configuration'!$C$6</f>
        <v>0</v>
      </c>
      <c r="AB5" s="6" t="s">
        <v>1224</v>
      </c>
      <c r="AC5" s="194" t="b">
        <f>'0_Configuration'!$C$10</f>
        <v>0</v>
      </c>
      <c r="AD5" s="6" t="s">
        <v>1224</v>
      </c>
      <c r="AE5" s="194" t="b">
        <f>'0_Configuration'!$C$17</f>
        <v>0</v>
      </c>
      <c r="AF5" s="6">
        <f>_xlfn.XLOOKUP(Tab_Def_Flows[[#This Row],[ODYM_Good_Type]],Tab_Configuration[Value],Tab_Configuration[ODYM_ID],,0,)</f>
        <v>1</v>
      </c>
      <c r="AG5" s="194" t="b">
        <f>'0_Configuration'!$C$24</f>
        <v>0</v>
      </c>
      <c r="AH5" s="6"/>
      <c r="AI5" s="194" t="b">
        <f>'0_Configuration'!$C$29</f>
        <v>1</v>
      </c>
      <c r="AJ5" s="6" t="s">
        <v>1238</v>
      </c>
      <c r="AK5" s="6" t="str">
        <f>IF(Tab_Def_Flows[[#This Row],[ODYM_time_(t)]],"t,","")&amp;IF(Tab_Def_Flows[[#This Row],[ODYM_Region_(r)]],"r,","")&amp;IF(Tab_Def_Flows[[#This Row],[ODYM_process_(p)]],"p,","")&amp;IF(Tab_Def_Flows[[#This Row],[ODYM_Good_(g)2]],"g,","")&amp;IF(Tab_Def_Flows[[#This Row],[ODYM_material_(m)]],"m,","")&amp;IF(Tab_Def_Flows[[#This Row],[ODYM_element_(e)]],"e","")</f>
        <v>t,e</v>
      </c>
      <c r="AL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0" x14ac:dyDescent="0.25">
      <c r="A6" s="142" t="b">
        <v>0</v>
      </c>
      <c r="B6" s="16">
        <f t="shared" si="2"/>
        <v>5</v>
      </c>
      <c r="C6" s="6" t="str">
        <f t="shared" si="3"/>
        <v>F_01_14</v>
      </c>
      <c r="D6" s="188" t="s">
        <v>1110</v>
      </c>
      <c r="E6" s="138" t="s">
        <v>1211</v>
      </c>
      <c r="F6" s="138" t="s">
        <v>1097</v>
      </c>
      <c r="G6" s="6" t="str">
        <f>_xlfn.XLOOKUP(F6,Tab_Def_Processes[Process_Name],Tab_Def_Processes[Process_ID],,0,)</f>
        <v>01</v>
      </c>
      <c r="H6" s="138" t="s">
        <v>1088</v>
      </c>
      <c r="I6" s="9" t="str">
        <f>_xlfn.XLOOKUP(H6,Tab_Def_Processes[Process_Name],Tab_Def_Processes[Process_ID],,0,)</f>
        <v>14</v>
      </c>
      <c r="J6" s="138" t="s">
        <v>5</v>
      </c>
      <c r="K6" s="138" t="s">
        <v>5</v>
      </c>
      <c r="L6" s="138"/>
      <c r="M6" s="138" t="s">
        <v>5</v>
      </c>
      <c r="N6" s="6" t="str">
        <f>Tab_Def_Flows[[#This Row],[Flow_ID]]&amp;"_WC"</f>
        <v>F_01_14_WC</v>
      </c>
      <c r="O6" s="135">
        <v>0</v>
      </c>
      <c r="P6" s="13"/>
      <c r="Q6" s="6" t="str">
        <f>Tab_Def_Flows[[#This Row],[Flow_ID]]&amp;"_DM"</f>
        <v>F_01_14_DM</v>
      </c>
      <c r="R6" s="135">
        <v>1</v>
      </c>
      <c r="S6" s="13"/>
      <c r="T6" s="6" t="str">
        <f>Tab_Def_Flows[[#This Row],[Flow_ID]]&amp;"_CC"</f>
        <v>F_01_14_CC</v>
      </c>
      <c r="U6" s="135">
        <v>1</v>
      </c>
      <c r="V6" s="13"/>
      <c r="W6" s="139">
        <f>Tab_Def_Flows[[#This Row],[Flow_CC_DM'[%']]]*Tab_Def_Flows[[#This Row],[Flow_DM'[%']]]</f>
        <v>1</v>
      </c>
      <c r="X6" s="7"/>
      <c r="Y6" s="194" t="b">
        <f>'0_Configuration'!$C$2</f>
        <v>1</v>
      </c>
      <c r="Z6" s="6"/>
      <c r="AA6" s="194" t="b">
        <f>'0_Configuration'!$C$6</f>
        <v>0</v>
      </c>
      <c r="AB6" s="6" t="s">
        <v>1224</v>
      </c>
      <c r="AC6" s="194" t="b">
        <f>'0_Configuration'!$C$10</f>
        <v>0</v>
      </c>
      <c r="AD6" s="6" t="s">
        <v>1224</v>
      </c>
      <c r="AE6" s="194" t="b">
        <f>'0_Configuration'!$C$17</f>
        <v>0</v>
      </c>
      <c r="AF6" s="6">
        <f>_xlfn.XLOOKUP(Tab_Def_Flows[[#This Row],[ODYM_Good_Type]],Tab_Configuration[Value],Tab_Configuration[ODYM_ID],,0,)</f>
        <v>1</v>
      </c>
      <c r="AG6" s="194" t="b">
        <f>'0_Configuration'!$C$24</f>
        <v>0</v>
      </c>
      <c r="AH6" s="6"/>
      <c r="AI6" s="194" t="b">
        <f>'0_Configuration'!$C$29</f>
        <v>1</v>
      </c>
      <c r="AJ6" s="6" t="s">
        <v>1238</v>
      </c>
      <c r="AK6" s="6" t="str">
        <f>IF(Tab_Def_Flows[[#This Row],[ODYM_time_(t)]],"t,","")&amp;IF(Tab_Def_Flows[[#This Row],[ODYM_Region_(r)]],"r,","")&amp;IF(Tab_Def_Flows[[#This Row],[ODYM_process_(p)]],"p,","")&amp;IF(Tab_Def_Flows[[#This Row],[ODYM_Good_(g)2]],"g,","")&amp;IF(Tab_Def_Flows[[#This Row],[ODYM_material_(m)]],"m,","")&amp;IF(Tab_Def_Flows[[#This Row],[ODYM_element_(e)]],"e","")</f>
        <v>t,e</v>
      </c>
      <c r="AL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0" x14ac:dyDescent="0.25">
      <c r="A7" s="142" t="b">
        <v>0</v>
      </c>
      <c r="B7" s="16">
        <f t="shared" si="2"/>
        <v>6</v>
      </c>
      <c r="C7" s="6" t="str">
        <f t="shared" si="3"/>
        <v>F_00_14</v>
      </c>
      <c r="D7" s="188" t="s">
        <v>1111</v>
      </c>
      <c r="E7" s="138" t="s">
        <v>1211</v>
      </c>
      <c r="F7" s="138" t="s">
        <v>1096</v>
      </c>
      <c r="G7" s="6" t="str">
        <f>_xlfn.XLOOKUP(F7,Tab_Def_Processes[Process_Name],Tab_Def_Processes[Process_ID],,0,)</f>
        <v>00</v>
      </c>
      <c r="H7" s="138" t="s">
        <v>1088</v>
      </c>
      <c r="I7" s="9" t="str">
        <f>_xlfn.XLOOKUP(H7,Tab_Def_Processes[Process_Name],Tab_Def_Processes[Process_ID],,0,)</f>
        <v>14</v>
      </c>
      <c r="J7" s="138" t="s">
        <v>5</v>
      </c>
      <c r="K7" s="138" t="s">
        <v>5</v>
      </c>
      <c r="L7" s="138"/>
      <c r="M7" s="138" t="s">
        <v>5</v>
      </c>
      <c r="N7" s="6" t="str">
        <f>Tab_Def_Flows[[#This Row],[Flow_ID]]&amp;"_WC"</f>
        <v>F_00_14_WC</v>
      </c>
      <c r="O7" s="135">
        <v>0.152156868979719</v>
      </c>
      <c r="P7" s="13"/>
      <c r="Q7" s="6" t="str">
        <f>Tab_Def_Flows[[#This Row],[Flow_ID]]&amp;"_DM"</f>
        <v>F_00_14_DM</v>
      </c>
      <c r="R7" s="135">
        <v>0.84784313102028097</v>
      </c>
      <c r="S7" s="13"/>
      <c r="T7" s="6" t="str">
        <f>Tab_Def_Flows[[#This Row],[Flow_ID]]&amp;"_CC"</f>
        <v>F_00_14_CC</v>
      </c>
      <c r="U7" s="135">
        <v>0</v>
      </c>
      <c r="V7" s="13"/>
      <c r="W7" s="139">
        <f>Tab_Def_Flows[[#This Row],[Flow_CC_DM'[%']]]*Tab_Def_Flows[[#This Row],[Flow_DM'[%']]]</f>
        <v>0</v>
      </c>
      <c r="X7" s="7"/>
      <c r="Y7" s="194" t="b">
        <f>'0_Configuration'!$C$2</f>
        <v>1</v>
      </c>
      <c r="Z7" s="6"/>
      <c r="AA7" s="194" t="b">
        <f>'0_Configuration'!$C$6</f>
        <v>0</v>
      </c>
      <c r="AB7" s="6" t="s">
        <v>1224</v>
      </c>
      <c r="AC7" s="194" t="b">
        <f>'0_Configuration'!$C$10</f>
        <v>0</v>
      </c>
      <c r="AD7" s="6" t="s">
        <v>1224</v>
      </c>
      <c r="AE7" s="194" t="b">
        <f>'0_Configuration'!$C$17</f>
        <v>0</v>
      </c>
      <c r="AF7" s="6">
        <f>_xlfn.XLOOKUP(Tab_Def_Flows[[#This Row],[ODYM_Good_Type]],Tab_Configuration[Value],Tab_Configuration[ODYM_ID],,0,)</f>
        <v>1</v>
      </c>
      <c r="AG7" s="194" t="b">
        <f>'0_Configuration'!$C$24</f>
        <v>0</v>
      </c>
      <c r="AH7" s="6"/>
      <c r="AI7" s="194" t="b">
        <f>'0_Configuration'!$C$29</f>
        <v>1</v>
      </c>
      <c r="AJ7" s="6" t="s">
        <v>1238</v>
      </c>
      <c r="AK7" s="6" t="str">
        <f>IF(Tab_Def_Flows[[#This Row],[ODYM_time_(t)]],"t,","")&amp;IF(Tab_Def_Flows[[#This Row],[ODYM_Region_(r)]],"r,","")&amp;IF(Tab_Def_Flows[[#This Row],[ODYM_process_(p)]],"p,","")&amp;IF(Tab_Def_Flows[[#This Row],[ODYM_Good_(g)2]],"g,","")&amp;IF(Tab_Def_Flows[[#This Row],[ODYM_material_(m)]],"m,","")&amp;IF(Tab_Def_Flows[[#This Row],[ODYM_element_(e)]],"e","")</f>
        <v>t,e</v>
      </c>
      <c r="AL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0" x14ac:dyDescent="0.25">
      <c r="A8" s="142" t="b">
        <v>0</v>
      </c>
      <c r="B8" s="16">
        <f t="shared" si="2"/>
        <v>7</v>
      </c>
      <c r="C8" s="6" t="str">
        <f t="shared" si="3"/>
        <v>F_00_11</v>
      </c>
      <c r="D8" s="188" t="s">
        <v>1112</v>
      </c>
      <c r="E8" s="138" t="s">
        <v>1211</v>
      </c>
      <c r="F8" s="138" t="s">
        <v>1096</v>
      </c>
      <c r="G8" s="6" t="str">
        <f>_xlfn.XLOOKUP(F8,Tab_Def_Processes[Process_Name],Tab_Def_Processes[Process_ID],,0,)</f>
        <v>00</v>
      </c>
      <c r="H8" s="138" t="s">
        <v>1079</v>
      </c>
      <c r="I8" s="9" t="str">
        <f>_xlfn.XLOOKUP(H8,Tab_Def_Processes[Process_Name],Tab_Def_Processes[Process_ID],,0,)</f>
        <v>11</v>
      </c>
      <c r="J8" s="138" t="s">
        <v>5</v>
      </c>
      <c r="K8" s="138" t="s">
        <v>5</v>
      </c>
      <c r="L8" s="138"/>
      <c r="M8" s="138" t="s">
        <v>5</v>
      </c>
      <c r="N8" s="6" t="str">
        <f>Tab_Def_Flows[[#This Row],[Flow_ID]]&amp;"_WC"</f>
        <v>F_00_11_WC</v>
      </c>
      <c r="O8" s="135">
        <v>1</v>
      </c>
      <c r="P8" s="13"/>
      <c r="Q8" s="6" t="str">
        <f>Tab_Def_Flows[[#This Row],[Flow_ID]]&amp;"_DM"</f>
        <v>F_00_11_DM</v>
      </c>
      <c r="R8" s="135">
        <v>0</v>
      </c>
      <c r="S8" s="13"/>
      <c r="T8" s="6" t="str">
        <f>Tab_Def_Flows[[#This Row],[Flow_ID]]&amp;"_CC"</f>
        <v>F_00_11_CC</v>
      </c>
      <c r="U8" s="135">
        <v>0</v>
      </c>
      <c r="V8" s="13"/>
      <c r="W8" s="139">
        <f>Tab_Def_Flows[[#This Row],[Flow_CC_DM'[%']]]*Tab_Def_Flows[[#This Row],[Flow_DM'[%']]]</f>
        <v>0</v>
      </c>
      <c r="X8" s="7"/>
      <c r="Y8" s="194" t="b">
        <f>'0_Configuration'!$C$2</f>
        <v>1</v>
      </c>
      <c r="Z8" s="6"/>
      <c r="AA8" s="194" t="b">
        <f>'0_Configuration'!$C$6</f>
        <v>0</v>
      </c>
      <c r="AB8" s="6" t="s">
        <v>1224</v>
      </c>
      <c r="AC8" s="194" t="b">
        <f>'0_Configuration'!$C$10</f>
        <v>0</v>
      </c>
      <c r="AD8" s="6" t="s">
        <v>1224</v>
      </c>
      <c r="AE8" s="194" t="b">
        <f>'0_Configuration'!$C$17</f>
        <v>0</v>
      </c>
      <c r="AF8" s="6">
        <f>_xlfn.XLOOKUP(Tab_Def_Flows[[#This Row],[ODYM_Good_Type]],Tab_Configuration[Value],Tab_Configuration[ODYM_ID],,0,)</f>
        <v>1</v>
      </c>
      <c r="AG8" s="194" t="b">
        <f>'0_Configuration'!$C$24</f>
        <v>0</v>
      </c>
      <c r="AH8" s="6"/>
      <c r="AI8" s="194" t="b">
        <f>'0_Configuration'!$C$29</f>
        <v>1</v>
      </c>
      <c r="AJ8" s="6" t="s">
        <v>1238</v>
      </c>
      <c r="AK8" s="6" t="str">
        <f>IF(Tab_Def_Flows[[#This Row],[ODYM_time_(t)]],"t,","")&amp;IF(Tab_Def_Flows[[#This Row],[ODYM_Region_(r)]],"r,","")&amp;IF(Tab_Def_Flows[[#This Row],[ODYM_process_(p)]],"p,","")&amp;IF(Tab_Def_Flows[[#This Row],[ODYM_Good_(g)2]],"g,","")&amp;IF(Tab_Def_Flows[[#This Row],[ODYM_material_(m)]],"m,","")&amp;IF(Tab_Def_Flows[[#This Row],[ODYM_element_(e)]],"e","")</f>
        <v>t,e</v>
      </c>
      <c r="AL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0" x14ac:dyDescent="0.25">
      <c r="A9" s="142" t="b">
        <v>0</v>
      </c>
      <c r="B9" s="16">
        <f t="shared" si="2"/>
        <v>8</v>
      </c>
      <c r="C9" s="6" t="str">
        <f t="shared" si="3"/>
        <v>F_02_03</v>
      </c>
      <c r="D9" s="188" t="s">
        <v>1064</v>
      </c>
      <c r="E9" s="138" t="s">
        <v>1211</v>
      </c>
      <c r="F9" s="138" t="s">
        <v>1090</v>
      </c>
      <c r="G9" s="6" t="str">
        <f>_xlfn.XLOOKUP(F9,Tab_Def_Processes[Process_Name],Tab_Def_Processes[Process_ID],,0,)</f>
        <v>02</v>
      </c>
      <c r="H9" s="138" t="s">
        <v>1095</v>
      </c>
      <c r="I9" s="9" t="str">
        <f>_xlfn.XLOOKUP(H9,Tab_Def_Processes[Process_Name],Tab_Def_Processes[Process_ID],,0,)</f>
        <v>03</v>
      </c>
      <c r="J9" s="138" t="s">
        <v>5</v>
      </c>
      <c r="K9" s="138" t="s">
        <v>5</v>
      </c>
      <c r="L9" s="138"/>
      <c r="M9" s="138" t="s">
        <v>5</v>
      </c>
      <c r="N9" s="6" t="str">
        <f>Tab_Def_Flows[[#This Row],[Flow_ID]]&amp;"_WC"</f>
        <v>F_02_03_WC</v>
      </c>
      <c r="O9" s="135"/>
      <c r="P9" s="13"/>
      <c r="Q9" s="6" t="str">
        <f>Tab_Def_Flows[[#This Row],[Flow_ID]]&amp;"_DM"</f>
        <v>F_02_03_DM</v>
      </c>
      <c r="R9" s="135"/>
      <c r="S9" s="13"/>
      <c r="T9" s="6" t="str">
        <f>Tab_Def_Flows[[#This Row],[Flow_ID]]&amp;"_CC"</f>
        <v>F_02_03_CC</v>
      </c>
      <c r="U9" s="135"/>
      <c r="V9" s="13"/>
      <c r="W9" s="139">
        <f>Tab_Def_Flows[[#This Row],[Flow_CC_DM'[%']]]*Tab_Def_Flows[[#This Row],[Flow_DM'[%']]]</f>
        <v>0</v>
      </c>
      <c r="X9" s="7"/>
      <c r="Y9" s="194" t="b">
        <f>'0_Configuration'!$C$2</f>
        <v>1</v>
      </c>
      <c r="Z9" s="6"/>
      <c r="AA9" s="194" t="b">
        <f>'0_Configuration'!$C$6</f>
        <v>0</v>
      </c>
      <c r="AB9" s="6" t="s">
        <v>1224</v>
      </c>
      <c r="AC9" s="194" t="b">
        <f>'0_Configuration'!$C$10</f>
        <v>0</v>
      </c>
      <c r="AD9" s="6" t="s">
        <v>1224</v>
      </c>
      <c r="AE9" s="194" t="b">
        <f>'0_Configuration'!$C$17</f>
        <v>0</v>
      </c>
      <c r="AF9" s="6">
        <f>_xlfn.XLOOKUP(Tab_Def_Flows[[#This Row],[ODYM_Good_Type]],Tab_Configuration[Value],Tab_Configuration[ODYM_ID],,0,)</f>
        <v>1</v>
      </c>
      <c r="AG9" s="194" t="b">
        <f>'0_Configuration'!$C$24</f>
        <v>0</v>
      </c>
      <c r="AH9" s="6"/>
      <c r="AI9" s="194" t="b">
        <f>'0_Configuration'!$C$29</f>
        <v>1</v>
      </c>
      <c r="AJ9" s="6" t="s">
        <v>1238</v>
      </c>
      <c r="AK9" s="6" t="str">
        <f>IF(Tab_Def_Flows[[#This Row],[ODYM_time_(t)]],"t,","")&amp;IF(Tab_Def_Flows[[#This Row],[ODYM_Region_(r)]],"r,","")&amp;IF(Tab_Def_Flows[[#This Row],[ODYM_process_(p)]],"p,","")&amp;IF(Tab_Def_Flows[[#This Row],[ODYM_Good_(g)2]],"g,","")&amp;IF(Tab_Def_Flows[[#This Row],[ODYM_material_(m)]],"m,","")&amp;IF(Tab_Def_Flows[[#This Row],[ODYM_element_(e)]],"e","")</f>
        <v>t,e</v>
      </c>
      <c r="AL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0" x14ac:dyDescent="0.25">
      <c r="A10" s="142" t="b">
        <v>0</v>
      </c>
      <c r="B10" s="16">
        <f t="shared" si="0"/>
        <v>9</v>
      </c>
      <c r="C10" s="6" t="str">
        <f t="shared" si="1"/>
        <v>F_03_04</v>
      </c>
      <c r="D10" s="188" t="s">
        <v>1065</v>
      </c>
      <c r="E10" s="138" t="s">
        <v>1211</v>
      </c>
      <c r="F10" s="138" t="s">
        <v>1095</v>
      </c>
      <c r="G10" s="6" t="str">
        <f>_xlfn.XLOOKUP(F10,Tab_Def_Processes[Process_Name],Tab_Def_Processes[Process_ID],,0,)</f>
        <v>03</v>
      </c>
      <c r="H10" s="138" t="s">
        <v>1092</v>
      </c>
      <c r="I10" s="9" t="str">
        <f>_xlfn.XLOOKUP(H10,Tab_Def_Processes[Process_Name],Tab_Def_Processes[Process_ID],,0,)</f>
        <v>04</v>
      </c>
      <c r="J10" s="138" t="s">
        <v>5</v>
      </c>
      <c r="K10" s="138" t="s">
        <v>5</v>
      </c>
      <c r="L10" s="138"/>
      <c r="M10" s="138" t="s">
        <v>5</v>
      </c>
      <c r="N10" s="6" t="str">
        <f>Tab_Def_Flows[[#This Row],[Flow_ID]]&amp;"_WC"</f>
        <v>F_03_04_WC</v>
      </c>
      <c r="O10" s="135"/>
      <c r="P10" s="157"/>
      <c r="Q10" s="6" t="str">
        <f>Tab_Def_Flows[[#This Row],[Flow_ID]]&amp;"_DM"</f>
        <v>F_03_04_DM</v>
      </c>
      <c r="R10" s="135"/>
      <c r="S10" s="157"/>
      <c r="T10" s="6" t="str">
        <f>Tab_Def_Flows[[#This Row],[Flow_ID]]&amp;"_CC"</f>
        <v>F_03_04_CC</v>
      </c>
      <c r="U10" s="135"/>
      <c r="V10" s="13"/>
      <c r="W10" s="139">
        <f>Tab_Def_Flows[[#This Row],[Flow_CC_DM'[%']]]*Tab_Def_Flows[[#This Row],[Flow_DM'[%']]]</f>
        <v>0</v>
      </c>
      <c r="X10" s="7"/>
      <c r="Y10" s="194" t="b">
        <f>'0_Configuration'!$C$2</f>
        <v>1</v>
      </c>
      <c r="Z10" s="6"/>
      <c r="AA10" s="194" t="b">
        <f>'0_Configuration'!$C$6</f>
        <v>0</v>
      </c>
      <c r="AB10" s="6" t="s">
        <v>1224</v>
      </c>
      <c r="AC10" s="194" t="b">
        <f>'0_Configuration'!$C$10</f>
        <v>0</v>
      </c>
      <c r="AD10" s="6" t="s">
        <v>1224</v>
      </c>
      <c r="AE10" s="194" t="b">
        <f>'0_Configuration'!$C$17</f>
        <v>0</v>
      </c>
      <c r="AF10" s="6">
        <f>_xlfn.XLOOKUP(Tab_Def_Flows[[#This Row],[ODYM_Good_Type]],Tab_Configuration[Value],Tab_Configuration[ODYM_ID],,0,)</f>
        <v>1</v>
      </c>
      <c r="AG10" s="194" t="b">
        <f>'0_Configuration'!$C$24</f>
        <v>0</v>
      </c>
      <c r="AH10" s="6"/>
      <c r="AI10" s="194" t="b">
        <f>'0_Configuration'!$C$29</f>
        <v>1</v>
      </c>
      <c r="AJ10" s="6" t="s">
        <v>1238</v>
      </c>
      <c r="AK10" s="6" t="str">
        <f>IF(Tab_Def_Flows[[#This Row],[ODYM_time_(t)]],"t,","")&amp;IF(Tab_Def_Flows[[#This Row],[ODYM_Region_(r)]],"r,","")&amp;IF(Tab_Def_Flows[[#This Row],[ODYM_process_(p)]],"p,","")&amp;IF(Tab_Def_Flows[[#This Row],[ODYM_Good_(g)2]],"g,","")&amp;IF(Tab_Def_Flows[[#This Row],[ODYM_material_(m)]],"m,","")&amp;IF(Tab_Def_Flows[[#This Row],[ODYM_element_(e)]],"e","")</f>
        <v>t,e</v>
      </c>
      <c r="AL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0" x14ac:dyDescent="0.25">
      <c r="A11" s="142" t="b">
        <v>0</v>
      </c>
      <c r="B11" s="16">
        <f t="shared" ref="B11:B12" si="4">ROW()-1</f>
        <v>10</v>
      </c>
      <c r="C11" s="6" t="str">
        <f t="shared" ref="C11:C12" si="5">"F_"&amp;LEFT(G11,2)&amp;"_"&amp;LEFT(I11,2)</f>
        <v>F_04_01</v>
      </c>
      <c r="D11" s="188" t="s">
        <v>1117</v>
      </c>
      <c r="E11" s="138" t="s">
        <v>1211</v>
      </c>
      <c r="F11" s="138" t="s">
        <v>1092</v>
      </c>
      <c r="G11" s="6" t="str">
        <f>_xlfn.XLOOKUP(F11,Tab_Def_Processes[Process_Name],Tab_Def_Processes[Process_ID],,0,)</f>
        <v>04</v>
      </c>
      <c r="H11" s="138" t="s">
        <v>1097</v>
      </c>
      <c r="I11" s="9" t="str">
        <f>_xlfn.XLOOKUP(H11,Tab_Def_Processes[Process_Name],Tab_Def_Processes[Process_ID],,0,)</f>
        <v>01</v>
      </c>
      <c r="J11" s="138" t="s">
        <v>5</v>
      </c>
      <c r="K11" s="138" t="s">
        <v>5</v>
      </c>
      <c r="L11" s="138"/>
      <c r="M11" s="138" t="s">
        <v>5</v>
      </c>
      <c r="N11" s="6" t="str">
        <f>Tab_Def_Flows[[#This Row],[Flow_ID]]&amp;"_WC"</f>
        <v>F_04_01_WC</v>
      </c>
      <c r="O11" s="135"/>
      <c r="P11" s="13"/>
      <c r="Q11" s="6" t="str">
        <f>Tab_Def_Flows[[#This Row],[Flow_ID]]&amp;"_DM"</f>
        <v>F_04_01_DM</v>
      </c>
      <c r="R11" s="135"/>
      <c r="S11" s="13"/>
      <c r="T11" s="6" t="str">
        <f>Tab_Def_Flows[[#This Row],[Flow_ID]]&amp;"_CC"</f>
        <v>F_04_01_CC</v>
      </c>
      <c r="U11" s="135"/>
      <c r="V11" s="13"/>
      <c r="W11" s="139">
        <f>Tab_Def_Flows[[#This Row],[Flow_CC_DM'[%']]]*Tab_Def_Flows[[#This Row],[Flow_DM'[%']]]</f>
        <v>0</v>
      </c>
      <c r="X11" s="7"/>
      <c r="Y11" s="194" t="b">
        <f>'0_Configuration'!$C$2</f>
        <v>1</v>
      </c>
      <c r="Z11" s="6"/>
      <c r="AA11" s="194" t="b">
        <f>'0_Configuration'!$C$6</f>
        <v>0</v>
      </c>
      <c r="AB11" s="6" t="s">
        <v>1224</v>
      </c>
      <c r="AC11" s="194" t="b">
        <f>'0_Configuration'!$C$10</f>
        <v>0</v>
      </c>
      <c r="AD11" s="6" t="s">
        <v>1224</v>
      </c>
      <c r="AE11" s="194" t="b">
        <f>'0_Configuration'!$C$17</f>
        <v>0</v>
      </c>
      <c r="AF11" s="6">
        <f>_xlfn.XLOOKUP(Tab_Def_Flows[[#This Row],[ODYM_Good_Type]],Tab_Configuration[Value],Tab_Configuration[ODYM_ID],,0,)</f>
        <v>1</v>
      </c>
      <c r="AG11" s="194" t="b">
        <f>'0_Configuration'!$C$24</f>
        <v>0</v>
      </c>
      <c r="AH11" s="6"/>
      <c r="AI11" s="194" t="b">
        <f>'0_Configuration'!$C$29</f>
        <v>1</v>
      </c>
      <c r="AJ11" s="6" t="s">
        <v>1238</v>
      </c>
      <c r="AK11" s="6" t="str">
        <f>IF(Tab_Def_Flows[[#This Row],[ODYM_time_(t)]],"t,","")&amp;IF(Tab_Def_Flows[[#This Row],[ODYM_Region_(r)]],"r,","")&amp;IF(Tab_Def_Flows[[#This Row],[ODYM_process_(p)]],"p,","")&amp;IF(Tab_Def_Flows[[#This Row],[ODYM_Good_(g)2]],"g,","")&amp;IF(Tab_Def_Flows[[#This Row],[ODYM_material_(m)]],"m,","")&amp;IF(Tab_Def_Flows[[#This Row],[ODYM_element_(e)]],"e","")</f>
        <v>t,e</v>
      </c>
      <c r="AL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0" x14ac:dyDescent="0.25">
      <c r="A12" s="142" t="b">
        <v>0</v>
      </c>
      <c r="B12" s="16">
        <f t="shared" si="4"/>
        <v>11</v>
      </c>
      <c r="C12" s="6" t="str">
        <f t="shared" si="5"/>
        <v>F_04_00</v>
      </c>
      <c r="D12" s="188" t="s">
        <v>1118</v>
      </c>
      <c r="E12" s="138" t="s">
        <v>1211</v>
      </c>
      <c r="F12" s="138" t="s">
        <v>1092</v>
      </c>
      <c r="G12" s="6" t="str">
        <f>_xlfn.XLOOKUP(F12,Tab_Def_Processes[Process_Name],Tab_Def_Processes[Process_ID],,0,)</f>
        <v>04</v>
      </c>
      <c r="H12" s="138" t="s">
        <v>1096</v>
      </c>
      <c r="I12" s="9" t="str">
        <f>_xlfn.XLOOKUP(H12,Tab_Def_Processes[Process_Name],Tab_Def_Processes[Process_ID],,0,)</f>
        <v>00</v>
      </c>
      <c r="J12" s="138" t="s">
        <v>5</v>
      </c>
      <c r="K12" s="138" t="s">
        <v>5</v>
      </c>
      <c r="L12" s="138"/>
      <c r="M12" s="138" t="s">
        <v>5</v>
      </c>
      <c r="N12" s="6" t="str">
        <f>Tab_Def_Flows[[#This Row],[Flow_ID]]&amp;"_WC"</f>
        <v>F_04_00_WC</v>
      </c>
      <c r="O12" s="135"/>
      <c r="P12" s="13"/>
      <c r="Q12" s="6" t="str">
        <f>Tab_Def_Flows[[#This Row],[Flow_ID]]&amp;"_DM"</f>
        <v>F_04_00_DM</v>
      </c>
      <c r="R12" s="135"/>
      <c r="S12" s="13"/>
      <c r="T12" s="6" t="str">
        <f>Tab_Def_Flows[[#This Row],[Flow_ID]]&amp;"_CC"</f>
        <v>F_04_00_CC</v>
      </c>
      <c r="U12" s="135"/>
      <c r="V12" s="13"/>
      <c r="W12" s="139">
        <f>Tab_Def_Flows[[#This Row],[Flow_CC_DM'[%']]]*Tab_Def_Flows[[#This Row],[Flow_DM'[%']]]</f>
        <v>0</v>
      </c>
      <c r="X12" s="7"/>
      <c r="Y12" s="194" t="b">
        <f>'0_Configuration'!$C$2</f>
        <v>1</v>
      </c>
      <c r="Z12" s="6"/>
      <c r="AA12" s="194" t="b">
        <f>'0_Configuration'!$C$6</f>
        <v>0</v>
      </c>
      <c r="AB12" s="6" t="s">
        <v>1224</v>
      </c>
      <c r="AC12" s="194" t="b">
        <f>'0_Configuration'!$C$10</f>
        <v>0</v>
      </c>
      <c r="AD12" s="6" t="s">
        <v>1224</v>
      </c>
      <c r="AE12" s="194" t="b">
        <f>'0_Configuration'!$C$17</f>
        <v>0</v>
      </c>
      <c r="AF12" s="6">
        <f>_xlfn.XLOOKUP(Tab_Def_Flows[[#This Row],[ODYM_Good_Type]],Tab_Configuration[Value],Tab_Configuration[ODYM_ID],,0,)</f>
        <v>1</v>
      </c>
      <c r="AG12" s="194" t="b">
        <f>'0_Configuration'!$C$24</f>
        <v>0</v>
      </c>
      <c r="AH12" s="6"/>
      <c r="AI12" s="194" t="b">
        <f>'0_Configuration'!$C$29</f>
        <v>1</v>
      </c>
      <c r="AJ12" s="6" t="s">
        <v>1238</v>
      </c>
      <c r="AK12" s="6" t="str">
        <f>IF(Tab_Def_Flows[[#This Row],[ODYM_time_(t)]],"t,","")&amp;IF(Tab_Def_Flows[[#This Row],[ODYM_Region_(r)]],"r,","")&amp;IF(Tab_Def_Flows[[#This Row],[ODYM_process_(p)]],"p,","")&amp;IF(Tab_Def_Flows[[#This Row],[ODYM_Good_(g)2]],"g,","")&amp;IF(Tab_Def_Flows[[#This Row],[ODYM_material_(m)]],"m,","")&amp;IF(Tab_Def_Flows[[#This Row],[ODYM_element_(e)]],"e","")</f>
        <v>t,e</v>
      </c>
      <c r="AL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3" spans="1:40" x14ac:dyDescent="0.25">
      <c r="A13" s="142" t="b">
        <v>0</v>
      </c>
      <c r="B13" s="16">
        <f>ROW()-1</f>
        <v>12</v>
      </c>
      <c r="C13" s="6" t="str">
        <f>"F_"&amp;LEFT(G13,2)&amp;"_"&amp;LEFT(I13,2)</f>
        <v>F_03_06</v>
      </c>
      <c r="D13" s="188" t="s">
        <v>1129</v>
      </c>
      <c r="E13" s="138" t="s">
        <v>1211</v>
      </c>
      <c r="F13" s="138" t="s">
        <v>1095</v>
      </c>
      <c r="G13" s="6" t="str">
        <f>_xlfn.XLOOKUP(F13,Tab_Def_Processes[Process_Name],Tab_Def_Processes[Process_ID],,0,)</f>
        <v>03</v>
      </c>
      <c r="H13" s="138" t="s">
        <v>1099</v>
      </c>
      <c r="I13" s="9" t="str">
        <f>_xlfn.XLOOKUP(H13,Tab_Def_Processes[Process_Name],Tab_Def_Processes[Process_ID],,0,)</f>
        <v>06</v>
      </c>
      <c r="J13" s="138" t="s">
        <v>5</v>
      </c>
      <c r="K13" s="138" t="s">
        <v>5</v>
      </c>
      <c r="L13" s="138"/>
      <c r="M13" s="138" t="s">
        <v>5</v>
      </c>
      <c r="N13" s="6" t="str">
        <f>Tab_Def_Flows[[#This Row],[Flow_ID]]&amp;"_WC"</f>
        <v>F_03_06_WC</v>
      </c>
      <c r="O13" s="135"/>
      <c r="P13" s="13"/>
      <c r="Q13" s="6" t="str">
        <f>Tab_Def_Flows[[#This Row],[Flow_ID]]&amp;"_DM"</f>
        <v>F_03_06_DM</v>
      </c>
      <c r="R13" s="135"/>
      <c r="S13" s="13"/>
      <c r="T13" s="6" t="str">
        <f>Tab_Def_Flows[[#This Row],[Flow_ID]]&amp;"_CC"</f>
        <v>F_03_06_CC</v>
      </c>
      <c r="U13" s="135"/>
      <c r="V13" s="13"/>
      <c r="W13" s="139">
        <f>Tab_Def_Flows[[#This Row],[Flow_CC_DM'[%']]]*Tab_Def_Flows[[#This Row],[Flow_DM'[%']]]</f>
        <v>0</v>
      </c>
      <c r="X13" s="7"/>
      <c r="Y13" s="194" t="b">
        <f>'0_Configuration'!$C$2</f>
        <v>1</v>
      </c>
      <c r="Z13" s="6"/>
      <c r="AA13" s="194" t="b">
        <f>'0_Configuration'!$C$6</f>
        <v>0</v>
      </c>
      <c r="AB13" s="6" t="s">
        <v>1224</v>
      </c>
      <c r="AC13" s="194" t="b">
        <f>'0_Configuration'!$C$10</f>
        <v>0</v>
      </c>
      <c r="AD13" s="6" t="s">
        <v>1224</v>
      </c>
      <c r="AE13" s="194" t="b">
        <f>'0_Configuration'!$C$17</f>
        <v>0</v>
      </c>
      <c r="AF13" s="6">
        <f>_xlfn.XLOOKUP(Tab_Def_Flows[[#This Row],[ODYM_Good_Type]],Tab_Configuration[Value],Tab_Configuration[ODYM_ID],,0,)</f>
        <v>1</v>
      </c>
      <c r="AG13" s="194" t="b">
        <f>'0_Configuration'!$C$24</f>
        <v>0</v>
      </c>
      <c r="AH13" s="6"/>
      <c r="AI13" s="194" t="b">
        <f>'0_Configuration'!$C$29</f>
        <v>1</v>
      </c>
      <c r="AJ13" s="6" t="s">
        <v>1238</v>
      </c>
      <c r="AK13" s="6" t="str">
        <f>IF(Tab_Def_Flows[[#This Row],[ODYM_time_(t)]],"t,","")&amp;IF(Tab_Def_Flows[[#This Row],[ODYM_Region_(r)]],"r,","")&amp;IF(Tab_Def_Flows[[#This Row],[ODYM_process_(p)]],"p,","")&amp;IF(Tab_Def_Flows[[#This Row],[ODYM_Good_(g)2]],"g,","")&amp;IF(Tab_Def_Flows[[#This Row],[ODYM_material_(m)]],"m,","")&amp;IF(Tab_Def_Flows[[#This Row],[ODYM_element_(e)]],"e","")</f>
        <v>t,e</v>
      </c>
      <c r="AL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4" spans="1:40" x14ac:dyDescent="0.25">
      <c r="A14" s="142" t="b">
        <v>0</v>
      </c>
      <c r="B14" s="16">
        <f t="shared" si="0"/>
        <v>13</v>
      </c>
      <c r="C14" s="6" t="str">
        <f t="shared" si="1"/>
        <v>F_03_09</v>
      </c>
      <c r="D14" s="188" t="s">
        <v>1113</v>
      </c>
      <c r="E14" s="138" t="s">
        <v>1211</v>
      </c>
      <c r="F14" s="138" t="s">
        <v>1095</v>
      </c>
      <c r="G14" s="6" t="str">
        <f>_xlfn.XLOOKUP(F14,Tab_Def_Processes[Process_Name],Tab_Def_Processes[Process_ID],,0,)</f>
        <v>03</v>
      </c>
      <c r="H14" s="138" t="s">
        <v>1078</v>
      </c>
      <c r="I14" s="9" t="str">
        <f>_xlfn.XLOOKUP(H14,Tab_Def_Processes[Process_Name],Tab_Def_Processes[Process_ID],,0,)</f>
        <v>09</v>
      </c>
      <c r="J14" s="138" t="s">
        <v>5</v>
      </c>
      <c r="K14" s="138" t="s">
        <v>5</v>
      </c>
      <c r="L14" s="138"/>
      <c r="M14" s="138" t="s">
        <v>5</v>
      </c>
      <c r="N14" s="6" t="str">
        <f>Tab_Def_Flows[[#This Row],[Flow_ID]]&amp;"_WC"</f>
        <v>F_03_09_WC</v>
      </c>
      <c r="O14" s="135"/>
      <c r="P14" s="13"/>
      <c r="Q14" s="6" t="str">
        <f>Tab_Def_Flows[[#This Row],[Flow_ID]]&amp;"_DM"</f>
        <v>F_03_09_DM</v>
      </c>
      <c r="R14" s="135"/>
      <c r="S14" s="13"/>
      <c r="T14" s="6" t="str">
        <f>Tab_Def_Flows[[#This Row],[Flow_ID]]&amp;"_CC"</f>
        <v>F_03_09_CC</v>
      </c>
      <c r="U14" s="135"/>
      <c r="V14" s="13"/>
      <c r="W14" s="139">
        <f>Tab_Def_Flows[[#This Row],[Flow_CC_DM'[%']]]*Tab_Def_Flows[[#This Row],[Flow_DM'[%']]]</f>
        <v>0</v>
      </c>
      <c r="X14" s="7"/>
      <c r="Y14" s="194" t="b">
        <f>'0_Configuration'!$C$2</f>
        <v>1</v>
      </c>
      <c r="Z14" s="6"/>
      <c r="AA14" s="194" t="b">
        <f>'0_Configuration'!$C$6</f>
        <v>0</v>
      </c>
      <c r="AB14" s="6" t="s">
        <v>1224</v>
      </c>
      <c r="AC14" s="194" t="b">
        <f>'0_Configuration'!$C$10</f>
        <v>0</v>
      </c>
      <c r="AD14" s="6" t="s">
        <v>1224</v>
      </c>
      <c r="AE14" s="194" t="b">
        <f>'0_Configuration'!$C$17</f>
        <v>0</v>
      </c>
      <c r="AF14" s="6">
        <f>_xlfn.XLOOKUP(Tab_Def_Flows[[#This Row],[ODYM_Good_Type]],Tab_Configuration[Value],Tab_Configuration[ODYM_ID],,0,)</f>
        <v>1</v>
      </c>
      <c r="AG14" s="194" t="b">
        <f>'0_Configuration'!$C$24</f>
        <v>0</v>
      </c>
      <c r="AH14" s="6"/>
      <c r="AI14" s="194" t="b">
        <f>'0_Configuration'!$C$29</f>
        <v>1</v>
      </c>
      <c r="AJ14" s="6" t="s">
        <v>1238</v>
      </c>
      <c r="AK14" s="6" t="str">
        <f>IF(Tab_Def_Flows[[#This Row],[ODYM_time_(t)]],"t,","")&amp;IF(Tab_Def_Flows[[#This Row],[ODYM_Region_(r)]],"r,","")&amp;IF(Tab_Def_Flows[[#This Row],[ODYM_process_(p)]],"p,","")&amp;IF(Tab_Def_Flows[[#This Row],[ODYM_Good_(g)2]],"g,","")&amp;IF(Tab_Def_Flows[[#This Row],[ODYM_material_(m)]],"m,","")&amp;IF(Tab_Def_Flows[[#This Row],[ODYM_element_(e)]],"e","")</f>
        <v>t,e</v>
      </c>
      <c r="AL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4" s="146"/>
    </row>
    <row r="15" spans="1:40" x14ac:dyDescent="0.25">
      <c r="A15" s="142" t="b">
        <v>0</v>
      </c>
      <c r="B15" s="16">
        <f>ROW()-1</f>
        <v>14</v>
      </c>
      <c r="C15" s="6" t="str">
        <f t="shared" si="1"/>
        <v>F_03_05</v>
      </c>
      <c r="D15" s="188" t="s">
        <v>1114</v>
      </c>
      <c r="E15" s="138" t="s">
        <v>1211</v>
      </c>
      <c r="F15" s="138" t="s">
        <v>1095</v>
      </c>
      <c r="G15" s="6" t="str">
        <f>_xlfn.XLOOKUP(F15,Tab_Def_Processes[Process_Name],Tab_Def_Processes[Process_ID],,0,)</f>
        <v>03</v>
      </c>
      <c r="H15" s="138" t="s">
        <v>1098</v>
      </c>
      <c r="I15" s="9" t="str">
        <f>_xlfn.XLOOKUP(H15,Tab_Def_Processes[Process_Name],Tab_Def_Processes[Process_ID],,0,)</f>
        <v>05</v>
      </c>
      <c r="J15" s="138" t="s">
        <v>5</v>
      </c>
      <c r="K15" s="138" t="s">
        <v>5</v>
      </c>
      <c r="L15" s="138"/>
      <c r="M15" s="138" t="s">
        <v>5</v>
      </c>
      <c r="N15" s="6" t="str">
        <f>Tab_Def_Flows[[#This Row],[Flow_ID]]&amp;"_WC"</f>
        <v>F_03_05_WC</v>
      </c>
      <c r="O15" s="135"/>
      <c r="P15" s="13"/>
      <c r="Q15" s="6" t="str">
        <f>Tab_Def_Flows[[#This Row],[Flow_ID]]&amp;"_DM"</f>
        <v>F_03_05_DM</v>
      </c>
      <c r="R15" s="135"/>
      <c r="S15" s="13"/>
      <c r="T15" s="6" t="str">
        <f>Tab_Def_Flows[[#This Row],[Flow_ID]]&amp;"_CC"</f>
        <v>F_03_05_CC</v>
      </c>
      <c r="U15" s="135"/>
      <c r="V15" s="13"/>
      <c r="W15" s="139">
        <f>Tab_Def_Flows[[#This Row],[Flow_CC_DM'[%']]]*Tab_Def_Flows[[#This Row],[Flow_DM'[%']]]</f>
        <v>0</v>
      </c>
      <c r="X15" s="7"/>
      <c r="Y15" s="194" t="b">
        <f>'0_Configuration'!$C$2</f>
        <v>1</v>
      </c>
      <c r="Z15" s="6"/>
      <c r="AA15" s="194" t="b">
        <f>'0_Configuration'!$C$6</f>
        <v>0</v>
      </c>
      <c r="AB15" s="6" t="s">
        <v>1224</v>
      </c>
      <c r="AC15" s="194" t="b">
        <f>'0_Configuration'!$C$10</f>
        <v>0</v>
      </c>
      <c r="AD15" s="6" t="s">
        <v>1224</v>
      </c>
      <c r="AE15" s="194" t="b">
        <f>'0_Configuration'!$C$17</f>
        <v>0</v>
      </c>
      <c r="AF15" s="6">
        <f>_xlfn.XLOOKUP(Tab_Def_Flows[[#This Row],[ODYM_Good_Type]],Tab_Configuration[Value],Tab_Configuration[ODYM_ID],,0,)</f>
        <v>1</v>
      </c>
      <c r="AG15" s="194" t="b">
        <f>'0_Configuration'!$C$24</f>
        <v>0</v>
      </c>
      <c r="AH15" s="6"/>
      <c r="AI15" s="194" t="b">
        <f>'0_Configuration'!$C$29</f>
        <v>1</v>
      </c>
      <c r="AJ15" s="6" t="s">
        <v>1238</v>
      </c>
      <c r="AK15" s="6" t="str">
        <f>IF(Tab_Def_Flows[[#This Row],[ODYM_time_(t)]],"t,","")&amp;IF(Tab_Def_Flows[[#This Row],[ODYM_Region_(r)]],"r,","")&amp;IF(Tab_Def_Flows[[#This Row],[ODYM_process_(p)]],"p,","")&amp;IF(Tab_Def_Flows[[#This Row],[ODYM_Good_(g)2]],"g,","")&amp;IF(Tab_Def_Flows[[#This Row],[ODYM_material_(m)]],"m,","")&amp;IF(Tab_Def_Flows[[#This Row],[ODYM_element_(e)]],"e","")</f>
        <v>t,e</v>
      </c>
      <c r="AL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5" s="146"/>
    </row>
    <row r="16" spans="1:40" x14ac:dyDescent="0.25">
      <c r="A16" s="142" t="b">
        <v>0</v>
      </c>
      <c r="B16" s="16">
        <f t="shared" ref="B16:B17" si="6">ROW()-1</f>
        <v>15</v>
      </c>
      <c r="C16" s="6" t="str">
        <f t="shared" ref="C16:C17" si="7">"F_"&amp;LEFT(G16,2)&amp;"_"&amp;LEFT(I16,2)</f>
        <v>F_06_01</v>
      </c>
      <c r="D16" s="188" t="s">
        <v>1130</v>
      </c>
      <c r="E16" s="138" t="s">
        <v>1211</v>
      </c>
      <c r="F16" s="138" t="s">
        <v>1099</v>
      </c>
      <c r="G16" s="6" t="str">
        <f>_xlfn.XLOOKUP(F16,Tab_Def_Processes[Process_Name],Tab_Def_Processes[Process_ID],,0,)</f>
        <v>06</v>
      </c>
      <c r="H16" s="138" t="s">
        <v>1097</v>
      </c>
      <c r="I16" s="9" t="str">
        <f>_xlfn.XLOOKUP(H16,Tab_Def_Processes[Process_Name],Tab_Def_Processes[Process_ID],,0,)</f>
        <v>01</v>
      </c>
      <c r="J16" s="138" t="s">
        <v>5</v>
      </c>
      <c r="K16" s="138" t="s">
        <v>5</v>
      </c>
      <c r="L16" s="138"/>
      <c r="M16" s="138" t="s">
        <v>5</v>
      </c>
      <c r="N16" s="6" t="str">
        <f>Tab_Def_Flows[[#This Row],[Flow_ID]]&amp;"_WC"</f>
        <v>F_06_01_WC</v>
      </c>
      <c r="O16" s="135"/>
      <c r="P16" s="13"/>
      <c r="Q16" s="6" t="str">
        <f>Tab_Def_Flows[[#This Row],[Flow_ID]]&amp;"_DM"</f>
        <v>F_06_01_DM</v>
      </c>
      <c r="R16" s="135"/>
      <c r="S16" s="13"/>
      <c r="T16" s="6" t="str">
        <f>Tab_Def_Flows[[#This Row],[Flow_ID]]&amp;"_CC"</f>
        <v>F_06_01_CC</v>
      </c>
      <c r="U16" s="135"/>
      <c r="V16" s="13"/>
      <c r="W16" s="139">
        <f>Tab_Def_Flows[[#This Row],[Flow_CC_DM'[%']]]*Tab_Def_Flows[[#This Row],[Flow_DM'[%']]]</f>
        <v>0</v>
      </c>
      <c r="X16" s="7"/>
      <c r="Y16" s="194" t="b">
        <f>'0_Configuration'!$C$2</f>
        <v>1</v>
      </c>
      <c r="Z16" s="6"/>
      <c r="AA16" s="194" t="b">
        <f>'0_Configuration'!$C$6</f>
        <v>0</v>
      </c>
      <c r="AB16" s="6" t="s">
        <v>1224</v>
      </c>
      <c r="AC16" s="194" t="b">
        <f>'0_Configuration'!$C$10</f>
        <v>0</v>
      </c>
      <c r="AD16" s="6" t="s">
        <v>1224</v>
      </c>
      <c r="AE16" s="194" t="b">
        <f>'0_Configuration'!$C$17</f>
        <v>0</v>
      </c>
      <c r="AF16" s="6">
        <f>_xlfn.XLOOKUP(Tab_Def_Flows[[#This Row],[ODYM_Good_Type]],Tab_Configuration[Value],Tab_Configuration[ODYM_ID],,0,)</f>
        <v>1</v>
      </c>
      <c r="AG16" s="194" t="b">
        <f>'0_Configuration'!$C$24</f>
        <v>0</v>
      </c>
      <c r="AH16" s="6"/>
      <c r="AI16" s="194" t="b">
        <f>'0_Configuration'!$C$29</f>
        <v>1</v>
      </c>
      <c r="AJ16" s="6" t="s">
        <v>1238</v>
      </c>
      <c r="AK16" s="6" t="str">
        <f>IF(Tab_Def_Flows[[#This Row],[ODYM_time_(t)]],"t,","")&amp;IF(Tab_Def_Flows[[#This Row],[ODYM_Region_(r)]],"r,","")&amp;IF(Tab_Def_Flows[[#This Row],[ODYM_process_(p)]],"p,","")&amp;IF(Tab_Def_Flows[[#This Row],[ODYM_Good_(g)2]],"g,","")&amp;IF(Tab_Def_Flows[[#This Row],[ODYM_material_(m)]],"m,","")&amp;IF(Tab_Def_Flows[[#This Row],[ODYM_element_(e)]],"e","")</f>
        <v>t,e</v>
      </c>
      <c r="AL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6" s="146"/>
    </row>
    <row r="17" spans="1:40" x14ac:dyDescent="0.25">
      <c r="A17" s="142" t="b">
        <v>0</v>
      </c>
      <c r="B17" s="16">
        <f t="shared" si="6"/>
        <v>16</v>
      </c>
      <c r="C17" s="6" t="str">
        <f t="shared" si="7"/>
        <v>F_06_00</v>
      </c>
      <c r="D17" s="188" t="s">
        <v>1131</v>
      </c>
      <c r="E17" s="138" t="s">
        <v>1211</v>
      </c>
      <c r="F17" s="138" t="s">
        <v>1099</v>
      </c>
      <c r="G17" s="6" t="str">
        <f>_xlfn.XLOOKUP(F17,Tab_Def_Processes[Process_Name],Tab_Def_Processes[Process_ID],,0,)</f>
        <v>06</v>
      </c>
      <c r="H17" s="138" t="s">
        <v>1096</v>
      </c>
      <c r="I17" s="9" t="str">
        <f>_xlfn.XLOOKUP(H17,Tab_Def_Processes[Process_Name],Tab_Def_Processes[Process_ID],,0,)</f>
        <v>00</v>
      </c>
      <c r="J17" s="138" t="s">
        <v>5</v>
      </c>
      <c r="K17" s="138" t="s">
        <v>5</v>
      </c>
      <c r="L17" s="138"/>
      <c r="M17" s="138" t="s">
        <v>5</v>
      </c>
      <c r="N17" s="6" t="str">
        <f>Tab_Def_Flows[[#This Row],[Flow_ID]]&amp;"_WC"</f>
        <v>F_06_00_WC</v>
      </c>
      <c r="O17" s="135"/>
      <c r="P17" s="13"/>
      <c r="Q17" s="6" t="str">
        <f>Tab_Def_Flows[[#This Row],[Flow_ID]]&amp;"_DM"</f>
        <v>F_06_00_DM</v>
      </c>
      <c r="R17" s="135"/>
      <c r="S17" s="13"/>
      <c r="T17" s="6" t="str">
        <f>Tab_Def_Flows[[#This Row],[Flow_ID]]&amp;"_CC"</f>
        <v>F_06_00_CC</v>
      </c>
      <c r="U17" s="135"/>
      <c r="V17" s="13"/>
      <c r="W17" s="139">
        <f>Tab_Def_Flows[[#This Row],[Flow_CC_DM'[%']]]*Tab_Def_Flows[[#This Row],[Flow_DM'[%']]]</f>
        <v>0</v>
      </c>
      <c r="X17" s="7"/>
      <c r="Y17" s="194" t="b">
        <f>'0_Configuration'!$C$2</f>
        <v>1</v>
      </c>
      <c r="Z17" s="6"/>
      <c r="AA17" s="194" t="b">
        <f>'0_Configuration'!$C$6</f>
        <v>0</v>
      </c>
      <c r="AB17" s="6" t="s">
        <v>1224</v>
      </c>
      <c r="AC17" s="194" t="b">
        <f>'0_Configuration'!$C$10</f>
        <v>0</v>
      </c>
      <c r="AD17" s="6" t="s">
        <v>1224</v>
      </c>
      <c r="AE17" s="194" t="b">
        <f>'0_Configuration'!$C$17</f>
        <v>0</v>
      </c>
      <c r="AF17" s="6">
        <f>_xlfn.XLOOKUP(Tab_Def_Flows[[#This Row],[ODYM_Good_Type]],Tab_Configuration[Value],Tab_Configuration[ODYM_ID],,0,)</f>
        <v>1</v>
      </c>
      <c r="AG17" s="194" t="b">
        <f>'0_Configuration'!$C$24</f>
        <v>0</v>
      </c>
      <c r="AH17" s="6"/>
      <c r="AI17" s="194" t="b">
        <f>'0_Configuration'!$C$29</f>
        <v>1</v>
      </c>
      <c r="AJ17" s="6" t="s">
        <v>1238</v>
      </c>
      <c r="AK17" s="6" t="str">
        <f>IF(Tab_Def_Flows[[#This Row],[ODYM_time_(t)]],"t,","")&amp;IF(Tab_Def_Flows[[#This Row],[ODYM_Region_(r)]],"r,","")&amp;IF(Tab_Def_Flows[[#This Row],[ODYM_process_(p)]],"p,","")&amp;IF(Tab_Def_Flows[[#This Row],[ODYM_Good_(g)2]],"g,","")&amp;IF(Tab_Def_Flows[[#This Row],[ODYM_material_(m)]],"m,","")&amp;IF(Tab_Def_Flows[[#This Row],[ODYM_element_(e)]],"e","")</f>
        <v>t,e</v>
      </c>
      <c r="AL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7" s="146"/>
    </row>
    <row r="18" spans="1:40" x14ac:dyDescent="0.25">
      <c r="A18" s="142" t="b">
        <v>0</v>
      </c>
      <c r="B18" s="16">
        <f t="shared" ref="B18:B19" si="8">ROW()-1</f>
        <v>17</v>
      </c>
      <c r="C18" s="6" t="str">
        <f t="shared" ref="C18:C19" si="9">"F_"&amp;LEFT(G18,2)&amp;"_"&amp;LEFT(I18,2)</f>
        <v>F_05_01</v>
      </c>
      <c r="D18" s="188" t="s">
        <v>1115</v>
      </c>
      <c r="E18" s="138" t="s">
        <v>1211</v>
      </c>
      <c r="F18" s="138" t="s">
        <v>1098</v>
      </c>
      <c r="G18" s="6" t="str">
        <f>_xlfn.XLOOKUP(F18,Tab_Def_Processes[Process_Name],Tab_Def_Processes[Process_ID],,0,)</f>
        <v>05</v>
      </c>
      <c r="H18" s="138" t="s">
        <v>1097</v>
      </c>
      <c r="I18" s="9" t="str">
        <f>_xlfn.XLOOKUP(H18,Tab_Def_Processes[Process_Name],Tab_Def_Processes[Process_ID],,0,)</f>
        <v>01</v>
      </c>
      <c r="J18" s="138" t="s">
        <v>5</v>
      </c>
      <c r="K18" s="138" t="s">
        <v>5</v>
      </c>
      <c r="L18" s="138"/>
      <c r="M18" s="138" t="s">
        <v>5</v>
      </c>
      <c r="N18" s="6" t="str">
        <f>Tab_Def_Flows[[#This Row],[Flow_ID]]&amp;"_WC"</f>
        <v>F_05_01_WC</v>
      </c>
      <c r="O18" s="135"/>
      <c r="P18" s="13"/>
      <c r="Q18" s="6" t="str">
        <f>Tab_Def_Flows[[#This Row],[Flow_ID]]&amp;"_DM"</f>
        <v>F_05_01_DM</v>
      </c>
      <c r="R18" s="135"/>
      <c r="S18" s="13"/>
      <c r="T18" s="6" t="str">
        <f>Tab_Def_Flows[[#This Row],[Flow_ID]]&amp;"_CC"</f>
        <v>F_05_01_CC</v>
      </c>
      <c r="U18" s="135"/>
      <c r="V18" s="13"/>
      <c r="W18" s="139">
        <f>Tab_Def_Flows[[#This Row],[Flow_CC_DM'[%']]]*Tab_Def_Flows[[#This Row],[Flow_DM'[%']]]</f>
        <v>0</v>
      </c>
      <c r="X18" s="7"/>
      <c r="Y18" s="194" t="b">
        <f>'0_Configuration'!$C$2</f>
        <v>1</v>
      </c>
      <c r="Z18" s="6"/>
      <c r="AA18" s="194" t="b">
        <f>'0_Configuration'!$C$6</f>
        <v>0</v>
      </c>
      <c r="AB18" s="6" t="s">
        <v>1224</v>
      </c>
      <c r="AC18" s="194" t="b">
        <f>'0_Configuration'!$C$10</f>
        <v>0</v>
      </c>
      <c r="AD18" s="6" t="s">
        <v>1224</v>
      </c>
      <c r="AE18" s="194" t="b">
        <f>'0_Configuration'!$C$17</f>
        <v>0</v>
      </c>
      <c r="AF18" s="6">
        <f>_xlfn.XLOOKUP(Tab_Def_Flows[[#This Row],[ODYM_Good_Type]],Tab_Configuration[Value],Tab_Configuration[ODYM_ID],,0,)</f>
        <v>1</v>
      </c>
      <c r="AG18" s="194" t="b">
        <f>'0_Configuration'!$C$24</f>
        <v>0</v>
      </c>
      <c r="AH18" s="6"/>
      <c r="AI18" s="194" t="b">
        <f>'0_Configuration'!$C$29</f>
        <v>1</v>
      </c>
      <c r="AJ18" s="6" t="s">
        <v>1238</v>
      </c>
      <c r="AK18" s="6" t="str">
        <f>IF(Tab_Def_Flows[[#This Row],[ODYM_time_(t)]],"t,","")&amp;IF(Tab_Def_Flows[[#This Row],[ODYM_Region_(r)]],"r,","")&amp;IF(Tab_Def_Flows[[#This Row],[ODYM_process_(p)]],"p,","")&amp;IF(Tab_Def_Flows[[#This Row],[ODYM_Good_(g)2]],"g,","")&amp;IF(Tab_Def_Flows[[#This Row],[ODYM_material_(m)]],"m,","")&amp;IF(Tab_Def_Flows[[#This Row],[ODYM_element_(e)]],"e","")</f>
        <v>t,e</v>
      </c>
      <c r="AL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8" s="146"/>
    </row>
    <row r="19" spans="1:40" x14ac:dyDescent="0.25">
      <c r="A19" s="142" t="b">
        <v>0</v>
      </c>
      <c r="B19" s="16">
        <f t="shared" si="8"/>
        <v>18</v>
      </c>
      <c r="C19" s="6" t="str">
        <f t="shared" si="9"/>
        <v>F_05_00</v>
      </c>
      <c r="D19" s="188" t="s">
        <v>1116</v>
      </c>
      <c r="E19" s="138" t="s">
        <v>1211</v>
      </c>
      <c r="F19" s="138" t="s">
        <v>1098</v>
      </c>
      <c r="G19" s="6" t="str">
        <f>_xlfn.XLOOKUP(F19,Tab_Def_Processes[Process_Name],Tab_Def_Processes[Process_ID],,0,)</f>
        <v>05</v>
      </c>
      <c r="H19" s="138" t="s">
        <v>1096</v>
      </c>
      <c r="I19" s="9" t="str">
        <f>_xlfn.XLOOKUP(H19,Tab_Def_Processes[Process_Name],Tab_Def_Processes[Process_ID],,0,)</f>
        <v>00</v>
      </c>
      <c r="J19" s="138" t="s">
        <v>5</v>
      </c>
      <c r="K19" s="138" t="s">
        <v>5</v>
      </c>
      <c r="L19" s="138"/>
      <c r="M19" s="138" t="s">
        <v>5</v>
      </c>
      <c r="N19" s="6" t="str">
        <f>Tab_Def_Flows[[#This Row],[Flow_ID]]&amp;"_WC"</f>
        <v>F_05_00_WC</v>
      </c>
      <c r="O19" s="135"/>
      <c r="P19" s="13"/>
      <c r="Q19" s="6" t="str">
        <f>Tab_Def_Flows[[#This Row],[Flow_ID]]&amp;"_DM"</f>
        <v>F_05_00_DM</v>
      </c>
      <c r="R19" s="135"/>
      <c r="S19" s="13"/>
      <c r="T19" s="6" t="str">
        <f>Tab_Def_Flows[[#This Row],[Flow_ID]]&amp;"_CC"</f>
        <v>F_05_00_CC</v>
      </c>
      <c r="U19" s="135"/>
      <c r="V19" s="13"/>
      <c r="W19" s="139">
        <f>Tab_Def_Flows[[#This Row],[Flow_CC_DM'[%']]]*Tab_Def_Flows[[#This Row],[Flow_DM'[%']]]</f>
        <v>0</v>
      </c>
      <c r="X19" s="7"/>
      <c r="Y19" s="194" t="b">
        <f>'0_Configuration'!$C$2</f>
        <v>1</v>
      </c>
      <c r="Z19" s="6"/>
      <c r="AA19" s="194" t="b">
        <f>'0_Configuration'!$C$6</f>
        <v>0</v>
      </c>
      <c r="AB19" s="6" t="s">
        <v>1224</v>
      </c>
      <c r="AC19" s="194" t="b">
        <f>'0_Configuration'!$C$10</f>
        <v>0</v>
      </c>
      <c r="AD19" s="6" t="s">
        <v>1224</v>
      </c>
      <c r="AE19" s="194" t="b">
        <f>'0_Configuration'!$C$17</f>
        <v>0</v>
      </c>
      <c r="AF19" s="6">
        <f>_xlfn.XLOOKUP(Tab_Def_Flows[[#This Row],[ODYM_Good_Type]],Tab_Configuration[Value],Tab_Configuration[ODYM_ID],,0,)</f>
        <v>1</v>
      </c>
      <c r="AG19" s="194" t="b">
        <f>'0_Configuration'!$C$24</f>
        <v>0</v>
      </c>
      <c r="AH19" s="6"/>
      <c r="AI19" s="194" t="b">
        <f>'0_Configuration'!$C$29</f>
        <v>1</v>
      </c>
      <c r="AJ19" s="6" t="s">
        <v>1238</v>
      </c>
      <c r="AK19" s="6" t="str">
        <f>IF(Tab_Def_Flows[[#This Row],[ODYM_time_(t)]],"t,","")&amp;IF(Tab_Def_Flows[[#This Row],[ODYM_Region_(r)]],"r,","")&amp;IF(Tab_Def_Flows[[#This Row],[ODYM_process_(p)]],"p,","")&amp;IF(Tab_Def_Flows[[#This Row],[ODYM_Good_(g)2]],"g,","")&amp;IF(Tab_Def_Flows[[#This Row],[ODYM_material_(m)]],"m,","")&amp;IF(Tab_Def_Flows[[#This Row],[ODYM_element_(e)]],"e","")</f>
        <v>t,e</v>
      </c>
      <c r="AL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19" s="146"/>
    </row>
    <row r="20" spans="1:40" x14ac:dyDescent="0.25">
      <c r="A20" s="142" t="b">
        <v>0</v>
      </c>
      <c r="B20" s="16">
        <f>ROW()-1</f>
        <v>19</v>
      </c>
      <c r="C20" s="6" t="str">
        <f>"F_"&amp;LEFT(G20,2)&amp;"_"&amp;LEFT(I20,2)</f>
        <v>F_10_11</v>
      </c>
      <c r="D20" s="188" t="s">
        <v>1066</v>
      </c>
      <c r="E20" s="138" t="s">
        <v>1211</v>
      </c>
      <c r="F20" s="138" t="s">
        <v>1081</v>
      </c>
      <c r="G20" s="6" t="str">
        <f>_xlfn.XLOOKUP(F20,Tab_Def_Processes[Process_Name],Tab_Def_Processes[Process_ID],,0,)</f>
        <v>10</v>
      </c>
      <c r="H20" s="138" t="s">
        <v>1079</v>
      </c>
      <c r="I20" s="9" t="str">
        <f>_xlfn.XLOOKUP(H20,Tab_Def_Processes[Process_Name],Tab_Def_Processes[Process_ID],,0,)</f>
        <v>11</v>
      </c>
      <c r="J20" s="138" t="s">
        <v>5</v>
      </c>
      <c r="K20" s="138" t="s">
        <v>5</v>
      </c>
      <c r="L20" s="138"/>
      <c r="M20" s="138" t="s">
        <v>5</v>
      </c>
      <c r="N20" s="6" t="str">
        <f>Tab_Def_Flows[[#This Row],[Flow_ID]]&amp;"_WC"</f>
        <v>F_10_11_WC</v>
      </c>
      <c r="O20" s="135"/>
      <c r="P20" s="13"/>
      <c r="Q20" s="6" t="str">
        <f>Tab_Def_Flows[[#This Row],[Flow_ID]]&amp;"_DM"</f>
        <v>F_10_11_DM</v>
      </c>
      <c r="R20" s="135"/>
      <c r="S20" s="13"/>
      <c r="T20" s="6" t="str">
        <f>Tab_Def_Flows[[#This Row],[Flow_ID]]&amp;"_CC"</f>
        <v>F_10_11_CC</v>
      </c>
      <c r="U20" s="135"/>
      <c r="V20" s="13"/>
      <c r="W20" s="139">
        <f>Tab_Def_Flows[[#This Row],[Flow_CC_DM'[%']]]*Tab_Def_Flows[[#This Row],[Flow_DM'[%']]]</f>
        <v>0</v>
      </c>
      <c r="X20" s="7"/>
      <c r="Y20" s="194" t="b">
        <f>'0_Configuration'!$C$2</f>
        <v>1</v>
      </c>
      <c r="Z20" s="6"/>
      <c r="AA20" s="194" t="b">
        <f>'0_Configuration'!$C$6</f>
        <v>0</v>
      </c>
      <c r="AB20" s="6" t="s">
        <v>1224</v>
      </c>
      <c r="AC20" s="194" t="b">
        <f>'0_Configuration'!$C$10</f>
        <v>0</v>
      </c>
      <c r="AD20" s="6" t="s">
        <v>1224</v>
      </c>
      <c r="AE20" s="194" t="b">
        <f>'0_Configuration'!$C$17</f>
        <v>0</v>
      </c>
      <c r="AF20" s="6">
        <f>_xlfn.XLOOKUP(Tab_Def_Flows[[#This Row],[ODYM_Good_Type]],Tab_Configuration[Value],Tab_Configuration[ODYM_ID],,0,)</f>
        <v>1</v>
      </c>
      <c r="AG20" s="194" t="b">
        <f>'0_Configuration'!$C$24</f>
        <v>0</v>
      </c>
      <c r="AH20" s="6"/>
      <c r="AI20" s="194" t="b">
        <f>'0_Configuration'!$C$29</f>
        <v>1</v>
      </c>
      <c r="AJ20" s="6" t="s">
        <v>1238</v>
      </c>
      <c r="AK20" s="6" t="str">
        <f>IF(Tab_Def_Flows[[#This Row],[ODYM_time_(t)]],"t,","")&amp;IF(Tab_Def_Flows[[#This Row],[ODYM_Region_(r)]],"r,","")&amp;IF(Tab_Def_Flows[[#This Row],[ODYM_process_(p)]],"p,","")&amp;IF(Tab_Def_Flows[[#This Row],[ODYM_Good_(g)2]],"g,","")&amp;IF(Tab_Def_Flows[[#This Row],[ODYM_material_(m)]],"m,","")&amp;IF(Tab_Def_Flows[[#This Row],[ODYM_element_(e)]],"e","")</f>
        <v>t,e</v>
      </c>
      <c r="AL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N20" s="146"/>
    </row>
    <row r="21" spans="1:40" x14ac:dyDescent="0.25">
      <c r="A21" s="142" t="b">
        <v>0</v>
      </c>
      <c r="B21" s="16">
        <f t="shared" si="0"/>
        <v>20</v>
      </c>
      <c r="C21" s="6" t="str">
        <f t="shared" si="1"/>
        <v>F_09_07</v>
      </c>
      <c r="D21" s="188" t="s">
        <v>1067</v>
      </c>
      <c r="E21" s="138" t="s">
        <v>1211</v>
      </c>
      <c r="F21" s="138" t="s">
        <v>1078</v>
      </c>
      <c r="G21" s="6" t="str">
        <f>_xlfn.XLOOKUP(F21,Tab_Def_Processes[Process_Name],Tab_Def_Processes[Process_ID],,0,)</f>
        <v>09</v>
      </c>
      <c r="H21" s="138" t="s">
        <v>1082</v>
      </c>
      <c r="I21" s="9" t="str">
        <f>_xlfn.XLOOKUP(H21,Tab_Def_Processes[Process_Name],Tab_Def_Processes[Process_ID],,0,)</f>
        <v>07</v>
      </c>
      <c r="J21" s="138" t="s">
        <v>5</v>
      </c>
      <c r="K21" s="138" t="s">
        <v>5</v>
      </c>
      <c r="L21" s="138"/>
      <c r="M21" s="138" t="s">
        <v>5</v>
      </c>
      <c r="N21" s="6" t="str">
        <f>Tab_Def_Flows[[#This Row],[Flow_ID]]&amp;"_WC"</f>
        <v>F_09_07_WC</v>
      </c>
      <c r="O21" s="135"/>
      <c r="P21" s="13"/>
      <c r="Q21" s="6" t="str">
        <f>Tab_Def_Flows[[#This Row],[Flow_ID]]&amp;"_DM"</f>
        <v>F_09_07_DM</v>
      </c>
      <c r="R21" s="135"/>
      <c r="S21" s="13"/>
      <c r="T21" s="6" t="str">
        <f>Tab_Def_Flows[[#This Row],[Flow_ID]]&amp;"_CC"</f>
        <v>F_09_07_CC</v>
      </c>
      <c r="U21" s="135"/>
      <c r="V21" s="13"/>
      <c r="W21" s="139">
        <f>Tab_Def_Flows[[#This Row],[Flow_CC_DM'[%']]]*Tab_Def_Flows[[#This Row],[Flow_DM'[%']]]</f>
        <v>0</v>
      </c>
      <c r="X21" s="7"/>
      <c r="Y21" s="194" t="b">
        <f>'0_Configuration'!$C$2</f>
        <v>1</v>
      </c>
      <c r="Z21" s="6"/>
      <c r="AA21" s="194" t="b">
        <f>'0_Configuration'!$C$6</f>
        <v>0</v>
      </c>
      <c r="AB21" s="6" t="s">
        <v>1224</v>
      </c>
      <c r="AC21" s="194" t="b">
        <f>'0_Configuration'!$C$10</f>
        <v>0</v>
      </c>
      <c r="AD21" s="6" t="s">
        <v>1224</v>
      </c>
      <c r="AE21" s="194" t="b">
        <f>'0_Configuration'!$C$17</f>
        <v>0</v>
      </c>
      <c r="AF21" s="6">
        <f>_xlfn.XLOOKUP(Tab_Def_Flows[[#This Row],[ODYM_Good_Type]],Tab_Configuration[Value],Tab_Configuration[ODYM_ID],,0,)</f>
        <v>1</v>
      </c>
      <c r="AG21" s="194" t="b">
        <f>'0_Configuration'!$C$24</f>
        <v>0</v>
      </c>
      <c r="AH21" s="6"/>
      <c r="AI21" s="194" t="b">
        <f>'0_Configuration'!$C$29</f>
        <v>1</v>
      </c>
      <c r="AJ21" s="6" t="s">
        <v>1238</v>
      </c>
      <c r="AK21" s="6" t="str">
        <f>IF(Tab_Def_Flows[[#This Row],[ODYM_time_(t)]],"t,","")&amp;IF(Tab_Def_Flows[[#This Row],[ODYM_Region_(r)]],"r,","")&amp;IF(Tab_Def_Flows[[#This Row],[ODYM_process_(p)]],"p,","")&amp;IF(Tab_Def_Flows[[#This Row],[ODYM_Good_(g)2]],"g,","")&amp;IF(Tab_Def_Flows[[#This Row],[ODYM_material_(m)]],"m,","")&amp;IF(Tab_Def_Flows[[#This Row],[ODYM_element_(e)]],"e","")</f>
        <v>t,e</v>
      </c>
      <c r="AL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0" x14ac:dyDescent="0.25">
      <c r="A22" s="142" t="b">
        <v>0</v>
      </c>
      <c r="B22" s="16">
        <f t="shared" ref="B22:B23" si="10">ROW()-1</f>
        <v>21</v>
      </c>
      <c r="C22" s="6" t="str">
        <f t="shared" ref="C22:C23" si="11">"F_"&amp;LEFT(G22,2)&amp;"_"&amp;LEFT(I22,2)</f>
        <v>F_07_01</v>
      </c>
      <c r="D22" s="188" t="s">
        <v>1132</v>
      </c>
      <c r="E22" s="138" t="s">
        <v>1211</v>
      </c>
      <c r="F22" s="138" t="s">
        <v>1082</v>
      </c>
      <c r="G22" s="6" t="str">
        <f>_xlfn.XLOOKUP(F22,Tab_Def_Processes[Process_Name],Tab_Def_Processes[Process_ID],,0,)</f>
        <v>07</v>
      </c>
      <c r="H22" s="138" t="s">
        <v>1097</v>
      </c>
      <c r="I22" s="9" t="str">
        <f>_xlfn.XLOOKUP(H22,Tab_Def_Processes[Process_Name],Tab_Def_Processes[Process_ID],,0,)</f>
        <v>01</v>
      </c>
      <c r="J22" s="138" t="s">
        <v>5</v>
      </c>
      <c r="K22" s="138" t="s">
        <v>5</v>
      </c>
      <c r="L22" s="138"/>
      <c r="M22" s="138" t="s">
        <v>5</v>
      </c>
      <c r="N22" s="6" t="str">
        <f>Tab_Def_Flows[[#This Row],[Flow_ID]]&amp;"_WC"</f>
        <v>F_07_01_WC</v>
      </c>
      <c r="O22" s="135"/>
      <c r="P22" s="13"/>
      <c r="Q22" s="6" t="str">
        <f>Tab_Def_Flows[[#This Row],[Flow_ID]]&amp;"_DM"</f>
        <v>F_07_01_DM</v>
      </c>
      <c r="R22" s="135"/>
      <c r="S22" s="13"/>
      <c r="T22" s="6" t="str">
        <f>Tab_Def_Flows[[#This Row],[Flow_ID]]&amp;"_CC"</f>
        <v>F_07_01_CC</v>
      </c>
      <c r="U22" s="135"/>
      <c r="V22" s="13"/>
      <c r="W22" s="139">
        <f>Tab_Def_Flows[[#This Row],[Flow_CC_DM'[%']]]*Tab_Def_Flows[[#This Row],[Flow_DM'[%']]]</f>
        <v>0</v>
      </c>
      <c r="X22" s="7"/>
      <c r="Y22" s="194" t="b">
        <f>'0_Configuration'!$C$2</f>
        <v>1</v>
      </c>
      <c r="Z22" s="6"/>
      <c r="AA22" s="194" t="b">
        <f>'0_Configuration'!$C$6</f>
        <v>0</v>
      </c>
      <c r="AB22" s="6" t="s">
        <v>1224</v>
      </c>
      <c r="AC22" s="194" t="b">
        <f>'0_Configuration'!$C$10</f>
        <v>0</v>
      </c>
      <c r="AD22" s="6" t="s">
        <v>1224</v>
      </c>
      <c r="AE22" s="194" t="b">
        <f>'0_Configuration'!$C$17</f>
        <v>0</v>
      </c>
      <c r="AF22" s="6">
        <f>_xlfn.XLOOKUP(Tab_Def_Flows[[#This Row],[ODYM_Good_Type]],Tab_Configuration[Value],Tab_Configuration[ODYM_ID],,0,)</f>
        <v>1</v>
      </c>
      <c r="AG22" s="194" t="b">
        <f>'0_Configuration'!$C$24</f>
        <v>0</v>
      </c>
      <c r="AH22" s="6"/>
      <c r="AI22" s="194" t="b">
        <f>'0_Configuration'!$C$29</f>
        <v>1</v>
      </c>
      <c r="AJ22" s="6" t="s">
        <v>1238</v>
      </c>
      <c r="AK22" s="6" t="str">
        <f>IF(Tab_Def_Flows[[#This Row],[ODYM_time_(t)]],"t,","")&amp;IF(Tab_Def_Flows[[#This Row],[ODYM_Region_(r)]],"r,","")&amp;IF(Tab_Def_Flows[[#This Row],[ODYM_process_(p)]],"p,","")&amp;IF(Tab_Def_Flows[[#This Row],[ODYM_Good_(g)2]],"g,","")&amp;IF(Tab_Def_Flows[[#This Row],[ODYM_material_(m)]],"m,","")&amp;IF(Tab_Def_Flows[[#This Row],[ODYM_element_(e)]],"e","")</f>
        <v>t,e</v>
      </c>
      <c r="AL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0" x14ac:dyDescent="0.25">
      <c r="A23" s="142" t="b">
        <v>0</v>
      </c>
      <c r="B23" s="16">
        <f t="shared" si="10"/>
        <v>22</v>
      </c>
      <c r="C23" s="6" t="str">
        <f t="shared" si="11"/>
        <v>F_07_00</v>
      </c>
      <c r="D23" s="188" t="s">
        <v>1133</v>
      </c>
      <c r="E23" s="138" t="s">
        <v>1211</v>
      </c>
      <c r="F23" s="138" t="s">
        <v>1082</v>
      </c>
      <c r="G23" s="6" t="str">
        <f>_xlfn.XLOOKUP(F23,Tab_Def_Processes[Process_Name],Tab_Def_Processes[Process_ID],,0,)</f>
        <v>07</v>
      </c>
      <c r="H23" s="138" t="s">
        <v>1096</v>
      </c>
      <c r="I23" s="9" t="str">
        <f>_xlfn.XLOOKUP(H23,Tab_Def_Processes[Process_Name],Tab_Def_Processes[Process_ID],,0,)</f>
        <v>00</v>
      </c>
      <c r="J23" s="138" t="s">
        <v>5</v>
      </c>
      <c r="K23" s="138" t="s">
        <v>5</v>
      </c>
      <c r="L23" s="138"/>
      <c r="M23" s="138" t="s">
        <v>5</v>
      </c>
      <c r="N23" s="6" t="str">
        <f>Tab_Def_Flows[[#This Row],[Flow_ID]]&amp;"_WC"</f>
        <v>F_07_00_WC</v>
      </c>
      <c r="O23" s="135"/>
      <c r="P23" s="13"/>
      <c r="Q23" s="6" t="str">
        <f>Tab_Def_Flows[[#This Row],[Flow_ID]]&amp;"_DM"</f>
        <v>F_07_00_DM</v>
      </c>
      <c r="R23" s="135"/>
      <c r="S23" s="13"/>
      <c r="T23" s="6" t="str">
        <f>Tab_Def_Flows[[#This Row],[Flow_ID]]&amp;"_CC"</f>
        <v>F_07_00_CC</v>
      </c>
      <c r="U23" s="135"/>
      <c r="V23" s="13"/>
      <c r="W23" s="139">
        <f>Tab_Def_Flows[[#This Row],[Flow_CC_DM'[%']]]*Tab_Def_Flows[[#This Row],[Flow_DM'[%']]]</f>
        <v>0</v>
      </c>
      <c r="X23" s="7"/>
      <c r="Y23" s="194" t="b">
        <f>'0_Configuration'!$C$2</f>
        <v>1</v>
      </c>
      <c r="Z23" s="6"/>
      <c r="AA23" s="194" t="b">
        <f>'0_Configuration'!$C$6</f>
        <v>0</v>
      </c>
      <c r="AB23" s="6" t="s">
        <v>1224</v>
      </c>
      <c r="AC23" s="194" t="b">
        <f>'0_Configuration'!$C$10</f>
        <v>0</v>
      </c>
      <c r="AD23" s="6" t="s">
        <v>1224</v>
      </c>
      <c r="AE23" s="194" t="b">
        <f>'0_Configuration'!$C$17</f>
        <v>0</v>
      </c>
      <c r="AF23" s="6">
        <f>_xlfn.XLOOKUP(Tab_Def_Flows[[#This Row],[ODYM_Good_Type]],Tab_Configuration[Value],Tab_Configuration[ODYM_ID],,0,)</f>
        <v>1</v>
      </c>
      <c r="AG23" s="194" t="b">
        <f>'0_Configuration'!$C$24</f>
        <v>0</v>
      </c>
      <c r="AH23" s="6"/>
      <c r="AI23" s="194" t="b">
        <f>'0_Configuration'!$C$29</f>
        <v>1</v>
      </c>
      <c r="AJ23" s="6" t="s">
        <v>1238</v>
      </c>
      <c r="AK23" s="6" t="str">
        <f>IF(Tab_Def_Flows[[#This Row],[ODYM_time_(t)]],"t,","")&amp;IF(Tab_Def_Flows[[#This Row],[ODYM_Region_(r)]],"r,","")&amp;IF(Tab_Def_Flows[[#This Row],[ODYM_process_(p)]],"p,","")&amp;IF(Tab_Def_Flows[[#This Row],[ODYM_Good_(g)2]],"g,","")&amp;IF(Tab_Def_Flows[[#This Row],[ODYM_material_(m)]],"m,","")&amp;IF(Tab_Def_Flows[[#This Row],[ODYM_element_(e)]],"e","")</f>
        <v>t,e</v>
      </c>
      <c r="AL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0" x14ac:dyDescent="0.25">
      <c r="A24" s="142" t="b">
        <v>0</v>
      </c>
      <c r="B24" s="16">
        <f t="shared" ref="B24:B26" si="12">ROW()-1</f>
        <v>23</v>
      </c>
      <c r="C24" s="6" t="str">
        <f t="shared" ref="C24:C26" si="13">"F_"&amp;LEFT(G24,2)&amp;"_"&amp;LEFT(I24,2)</f>
        <v>F_09_08</v>
      </c>
      <c r="D24" s="188" t="s">
        <v>1077</v>
      </c>
      <c r="E24" s="138" t="s">
        <v>1211</v>
      </c>
      <c r="F24" s="138" t="s">
        <v>1078</v>
      </c>
      <c r="G24" s="6" t="str">
        <f>_xlfn.XLOOKUP(F24,Tab_Def_Processes[Process_Name],Tab_Def_Processes[Process_ID],,0,)</f>
        <v>09</v>
      </c>
      <c r="H24" s="138" t="s">
        <v>1100</v>
      </c>
      <c r="I24" s="9" t="str">
        <f>_xlfn.XLOOKUP(H24,Tab_Def_Processes[Process_Name],Tab_Def_Processes[Process_ID],,0,)</f>
        <v>08</v>
      </c>
      <c r="J24" s="138" t="s">
        <v>5</v>
      </c>
      <c r="K24" s="138" t="s">
        <v>5</v>
      </c>
      <c r="L24" s="138"/>
      <c r="M24" s="138" t="s">
        <v>5</v>
      </c>
      <c r="N24" s="6" t="str">
        <f>Tab_Def_Flows[[#This Row],[Flow_ID]]&amp;"_WC"</f>
        <v>F_09_08_WC</v>
      </c>
      <c r="O24" s="135"/>
      <c r="P24" s="13"/>
      <c r="Q24" s="6" t="str">
        <f>Tab_Def_Flows[[#This Row],[Flow_ID]]&amp;"_DM"</f>
        <v>F_09_08_DM</v>
      </c>
      <c r="R24" s="135"/>
      <c r="S24" s="13"/>
      <c r="T24" s="6" t="str">
        <f>Tab_Def_Flows[[#This Row],[Flow_ID]]&amp;"_CC"</f>
        <v>F_09_08_CC</v>
      </c>
      <c r="U24" s="135"/>
      <c r="V24" s="13"/>
      <c r="W24" s="139">
        <f>Tab_Def_Flows[[#This Row],[Flow_CC_DM'[%']]]*Tab_Def_Flows[[#This Row],[Flow_DM'[%']]]</f>
        <v>0</v>
      </c>
      <c r="X24" s="7"/>
      <c r="Y24" s="194" t="b">
        <f>'0_Configuration'!$C$2</f>
        <v>1</v>
      </c>
      <c r="Z24" s="6"/>
      <c r="AA24" s="194" t="b">
        <f>'0_Configuration'!$C$6</f>
        <v>0</v>
      </c>
      <c r="AB24" s="6" t="s">
        <v>1224</v>
      </c>
      <c r="AC24" s="194" t="b">
        <f>'0_Configuration'!$C$10</f>
        <v>0</v>
      </c>
      <c r="AD24" s="6" t="s">
        <v>1224</v>
      </c>
      <c r="AE24" s="194" t="b">
        <f>'0_Configuration'!$C$17</f>
        <v>0</v>
      </c>
      <c r="AF24" s="6">
        <f>_xlfn.XLOOKUP(Tab_Def_Flows[[#This Row],[ODYM_Good_Type]],Tab_Configuration[Value],Tab_Configuration[ODYM_ID],,0,)</f>
        <v>1</v>
      </c>
      <c r="AG24" s="194" t="b">
        <f>'0_Configuration'!$C$24</f>
        <v>0</v>
      </c>
      <c r="AH24" s="6"/>
      <c r="AI24" s="194" t="b">
        <f>'0_Configuration'!$C$29</f>
        <v>1</v>
      </c>
      <c r="AJ24" s="6" t="s">
        <v>1238</v>
      </c>
      <c r="AK24" s="6" t="str">
        <f>IF(Tab_Def_Flows[[#This Row],[ODYM_time_(t)]],"t,","")&amp;IF(Tab_Def_Flows[[#This Row],[ODYM_Region_(r)]],"r,","")&amp;IF(Tab_Def_Flows[[#This Row],[ODYM_process_(p)]],"p,","")&amp;IF(Tab_Def_Flows[[#This Row],[ODYM_Good_(g)2]],"g,","")&amp;IF(Tab_Def_Flows[[#This Row],[ODYM_material_(m)]],"m,","")&amp;IF(Tab_Def_Flows[[#This Row],[ODYM_element_(e)]],"e","")</f>
        <v>t,e</v>
      </c>
      <c r="AL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0" x14ac:dyDescent="0.25">
      <c r="A25" s="142" t="b">
        <v>0</v>
      </c>
      <c r="B25" s="16">
        <f t="shared" si="12"/>
        <v>24</v>
      </c>
      <c r="C25" s="6" t="str">
        <f t="shared" si="13"/>
        <v>F_08_01</v>
      </c>
      <c r="D25" s="188" t="s">
        <v>1105</v>
      </c>
      <c r="E25" s="138" t="s">
        <v>1211</v>
      </c>
      <c r="F25" s="138" t="s">
        <v>1100</v>
      </c>
      <c r="G25" s="6" t="str">
        <f>_xlfn.XLOOKUP(F25,Tab_Def_Processes[Process_Name],Tab_Def_Processes[Process_ID],,0,)</f>
        <v>08</v>
      </c>
      <c r="H25" s="138" t="s">
        <v>1097</v>
      </c>
      <c r="I25" s="9" t="str">
        <f>_xlfn.XLOOKUP(H25,Tab_Def_Processes[Process_Name],Tab_Def_Processes[Process_ID],,0,)</f>
        <v>01</v>
      </c>
      <c r="J25" s="138" t="s">
        <v>5</v>
      </c>
      <c r="K25" s="138" t="s">
        <v>5</v>
      </c>
      <c r="L25" s="138"/>
      <c r="M25" s="138" t="s">
        <v>5</v>
      </c>
      <c r="N25" s="6" t="str">
        <f>Tab_Def_Flows[[#This Row],[Flow_ID]]&amp;"_WC"</f>
        <v>F_08_01_WC</v>
      </c>
      <c r="O25" s="135"/>
      <c r="P25" s="13"/>
      <c r="Q25" s="6" t="str">
        <f>Tab_Def_Flows[[#This Row],[Flow_ID]]&amp;"_DM"</f>
        <v>F_08_01_DM</v>
      </c>
      <c r="R25" s="135"/>
      <c r="S25" s="13"/>
      <c r="T25" s="6" t="str">
        <f>Tab_Def_Flows[[#This Row],[Flow_ID]]&amp;"_CC"</f>
        <v>F_08_01_CC</v>
      </c>
      <c r="U25" s="135"/>
      <c r="V25" s="13"/>
      <c r="W25" s="139">
        <f>Tab_Def_Flows[[#This Row],[Flow_CC_DM'[%']]]*Tab_Def_Flows[[#This Row],[Flow_DM'[%']]]</f>
        <v>0</v>
      </c>
      <c r="X25" s="7"/>
      <c r="Y25" s="194" t="b">
        <f>'0_Configuration'!$C$2</f>
        <v>1</v>
      </c>
      <c r="Z25" s="6"/>
      <c r="AA25" s="194" t="b">
        <f>'0_Configuration'!$C$6</f>
        <v>0</v>
      </c>
      <c r="AB25" s="6" t="s">
        <v>1224</v>
      </c>
      <c r="AC25" s="194" t="b">
        <f>'0_Configuration'!$C$10</f>
        <v>0</v>
      </c>
      <c r="AD25" s="6" t="s">
        <v>1224</v>
      </c>
      <c r="AE25" s="194" t="b">
        <f>'0_Configuration'!$C$17</f>
        <v>0</v>
      </c>
      <c r="AF25" s="6">
        <f>_xlfn.XLOOKUP(Tab_Def_Flows[[#This Row],[ODYM_Good_Type]],Tab_Configuration[Value],Tab_Configuration[ODYM_ID],,0,)</f>
        <v>1</v>
      </c>
      <c r="AG25" s="194" t="b">
        <f>'0_Configuration'!$C$24</f>
        <v>0</v>
      </c>
      <c r="AH25" s="6"/>
      <c r="AI25" s="194" t="b">
        <f>'0_Configuration'!$C$29</f>
        <v>1</v>
      </c>
      <c r="AJ25" s="6" t="s">
        <v>1238</v>
      </c>
      <c r="AK25" s="6" t="str">
        <f>IF(Tab_Def_Flows[[#This Row],[ODYM_time_(t)]],"t,","")&amp;IF(Tab_Def_Flows[[#This Row],[ODYM_Region_(r)]],"r,","")&amp;IF(Tab_Def_Flows[[#This Row],[ODYM_process_(p)]],"p,","")&amp;IF(Tab_Def_Flows[[#This Row],[ODYM_Good_(g)2]],"g,","")&amp;IF(Tab_Def_Flows[[#This Row],[ODYM_material_(m)]],"m,","")&amp;IF(Tab_Def_Flows[[#This Row],[ODYM_element_(e)]],"e","")</f>
        <v>t,e</v>
      </c>
      <c r="AL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0" x14ac:dyDescent="0.25">
      <c r="A26" s="142" t="b">
        <v>0</v>
      </c>
      <c r="B26" s="16">
        <f t="shared" si="12"/>
        <v>25</v>
      </c>
      <c r="C26" s="6" t="str">
        <f t="shared" si="13"/>
        <v>F_08_00</v>
      </c>
      <c r="D26" s="188" t="s">
        <v>1104</v>
      </c>
      <c r="E26" s="138" t="s">
        <v>1211</v>
      </c>
      <c r="F26" s="138" t="s">
        <v>1100</v>
      </c>
      <c r="G26" s="6" t="str">
        <f>_xlfn.XLOOKUP(F26,Tab_Def_Processes[Process_Name],Tab_Def_Processes[Process_ID],,0,)</f>
        <v>08</v>
      </c>
      <c r="H26" s="138" t="s">
        <v>1096</v>
      </c>
      <c r="I26" s="9" t="str">
        <f>_xlfn.XLOOKUP(H26,Tab_Def_Processes[Process_Name],Tab_Def_Processes[Process_ID],,0,)</f>
        <v>00</v>
      </c>
      <c r="J26" s="138" t="s">
        <v>5</v>
      </c>
      <c r="K26" s="138" t="s">
        <v>5</v>
      </c>
      <c r="L26" s="138"/>
      <c r="M26" s="138" t="s">
        <v>5</v>
      </c>
      <c r="N26" s="6" t="str">
        <f>Tab_Def_Flows[[#This Row],[Flow_ID]]&amp;"_WC"</f>
        <v>F_08_00_WC</v>
      </c>
      <c r="O26" s="135"/>
      <c r="P26" s="13"/>
      <c r="Q26" s="6" t="str">
        <f>Tab_Def_Flows[[#This Row],[Flow_ID]]&amp;"_DM"</f>
        <v>F_08_00_DM</v>
      </c>
      <c r="R26" s="135"/>
      <c r="S26" s="13"/>
      <c r="T26" s="6" t="str">
        <f>Tab_Def_Flows[[#This Row],[Flow_ID]]&amp;"_CC"</f>
        <v>F_08_00_CC</v>
      </c>
      <c r="U26" s="135"/>
      <c r="V26" s="13"/>
      <c r="W26" s="139">
        <f>Tab_Def_Flows[[#This Row],[Flow_CC_DM'[%']]]*Tab_Def_Flows[[#This Row],[Flow_DM'[%']]]</f>
        <v>0</v>
      </c>
      <c r="X26" s="7"/>
      <c r="Y26" s="194" t="b">
        <f>'0_Configuration'!$C$2</f>
        <v>1</v>
      </c>
      <c r="Z26" s="6"/>
      <c r="AA26" s="194" t="b">
        <f>'0_Configuration'!$C$6</f>
        <v>0</v>
      </c>
      <c r="AB26" s="6" t="s">
        <v>1224</v>
      </c>
      <c r="AC26" s="194" t="b">
        <f>'0_Configuration'!$C$10</f>
        <v>0</v>
      </c>
      <c r="AD26" s="6" t="s">
        <v>1224</v>
      </c>
      <c r="AE26" s="194" t="b">
        <f>'0_Configuration'!$C$17</f>
        <v>0</v>
      </c>
      <c r="AF26" s="6">
        <f>_xlfn.XLOOKUP(Tab_Def_Flows[[#This Row],[ODYM_Good_Type]],Tab_Configuration[Value],Tab_Configuration[ODYM_ID],,0,)</f>
        <v>1</v>
      </c>
      <c r="AG26" s="194" t="b">
        <f>'0_Configuration'!$C$24</f>
        <v>0</v>
      </c>
      <c r="AH26" s="6"/>
      <c r="AI26" s="194" t="b">
        <f>'0_Configuration'!$C$29</f>
        <v>1</v>
      </c>
      <c r="AJ26" s="6" t="s">
        <v>1238</v>
      </c>
      <c r="AK26" s="6" t="str">
        <f>IF(Tab_Def_Flows[[#This Row],[ODYM_time_(t)]],"t,","")&amp;IF(Tab_Def_Flows[[#This Row],[ODYM_Region_(r)]],"r,","")&amp;IF(Tab_Def_Flows[[#This Row],[ODYM_process_(p)]],"p,","")&amp;IF(Tab_Def_Flows[[#This Row],[ODYM_Good_(g)2]],"g,","")&amp;IF(Tab_Def_Flows[[#This Row],[ODYM_material_(m)]],"m,","")&amp;IF(Tab_Def_Flows[[#This Row],[ODYM_element_(e)]],"e","")</f>
        <v>t,e</v>
      </c>
      <c r="AL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0" x14ac:dyDescent="0.25">
      <c r="A27" s="142" t="b">
        <v>0</v>
      </c>
      <c r="B27" s="16">
        <f t="shared" si="0"/>
        <v>26</v>
      </c>
      <c r="C27" s="6" t="str">
        <f t="shared" si="1"/>
        <v>F_09_11</v>
      </c>
      <c r="D27" s="188" t="s">
        <v>1068</v>
      </c>
      <c r="E27" s="138" t="s">
        <v>1211</v>
      </c>
      <c r="F27" s="138" t="s">
        <v>1078</v>
      </c>
      <c r="G27" s="6" t="str">
        <f>_xlfn.XLOOKUP(F27,Tab_Def_Processes[Process_Name],Tab_Def_Processes[Process_ID],,0,)</f>
        <v>09</v>
      </c>
      <c r="H27" s="138" t="s">
        <v>1079</v>
      </c>
      <c r="I27" s="9" t="str">
        <f>_xlfn.XLOOKUP(H27,Tab_Def_Processes[Process_Name],Tab_Def_Processes[Process_ID],,0,)</f>
        <v>11</v>
      </c>
      <c r="J27" s="138" t="s">
        <v>5</v>
      </c>
      <c r="K27" s="138" t="s">
        <v>5</v>
      </c>
      <c r="L27" s="138"/>
      <c r="M27" s="138" t="s">
        <v>5</v>
      </c>
      <c r="N27" s="6" t="str">
        <f>Tab_Def_Flows[[#This Row],[Flow_ID]]&amp;"_WC"</f>
        <v>F_09_11_WC</v>
      </c>
      <c r="O27" s="135"/>
      <c r="P27" s="13"/>
      <c r="Q27" s="6" t="str">
        <f>Tab_Def_Flows[[#This Row],[Flow_ID]]&amp;"_DM"</f>
        <v>F_09_11_DM</v>
      </c>
      <c r="R27" s="135"/>
      <c r="S27" s="13"/>
      <c r="T27" s="6" t="str">
        <f>Tab_Def_Flows[[#This Row],[Flow_ID]]&amp;"_CC"</f>
        <v>F_09_11_CC</v>
      </c>
      <c r="U27" s="135"/>
      <c r="V27" s="13"/>
      <c r="W27" s="139">
        <f>Tab_Def_Flows[[#This Row],[Flow_CC_DM'[%']]]*Tab_Def_Flows[[#This Row],[Flow_DM'[%']]]</f>
        <v>0</v>
      </c>
      <c r="X27" s="7"/>
      <c r="Y27" s="194" t="b">
        <f>'0_Configuration'!$C$2</f>
        <v>1</v>
      </c>
      <c r="Z27" s="6"/>
      <c r="AA27" s="194" t="b">
        <f>'0_Configuration'!$C$6</f>
        <v>0</v>
      </c>
      <c r="AB27" s="6" t="s">
        <v>1224</v>
      </c>
      <c r="AC27" s="194" t="b">
        <f>'0_Configuration'!$C$10</f>
        <v>0</v>
      </c>
      <c r="AD27" s="6" t="s">
        <v>1224</v>
      </c>
      <c r="AE27" s="194" t="b">
        <f>'0_Configuration'!$C$17</f>
        <v>0</v>
      </c>
      <c r="AF27" s="6">
        <f>_xlfn.XLOOKUP(Tab_Def_Flows[[#This Row],[ODYM_Good_Type]],Tab_Configuration[Value],Tab_Configuration[ODYM_ID],,0,)</f>
        <v>1</v>
      </c>
      <c r="AG27" s="194" t="b">
        <f>'0_Configuration'!$C$24</f>
        <v>0</v>
      </c>
      <c r="AH27" s="6"/>
      <c r="AI27" s="194" t="b">
        <f>'0_Configuration'!$C$29</f>
        <v>1</v>
      </c>
      <c r="AJ27" s="6" t="s">
        <v>1238</v>
      </c>
      <c r="AK27" s="6" t="str">
        <f>IF(Tab_Def_Flows[[#This Row],[ODYM_time_(t)]],"t,","")&amp;IF(Tab_Def_Flows[[#This Row],[ODYM_Region_(r)]],"r,","")&amp;IF(Tab_Def_Flows[[#This Row],[ODYM_process_(p)]],"p,","")&amp;IF(Tab_Def_Flows[[#This Row],[ODYM_Good_(g)2]],"g,","")&amp;IF(Tab_Def_Flows[[#This Row],[ODYM_material_(m)]],"m,","")&amp;IF(Tab_Def_Flows[[#This Row],[ODYM_element_(e)]],"e","")</f>
        <v>t,e</v>
      </c>
      <c r="AL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0" x14ac:dyDescent="0.25">
      <c r="A28" s="142" t="b">
        <v>0</v>
      </c>
      <c r="B28" s="16">
        <f t="shared" si="0"/>
        <v>27</v>
      </c>
      <c r="C28" s="6" t="str">
        <f t="shared" si="1"/>
        <v>F_11_15</v>
      </c>
      <c r="D28" s="188" t="s">
        <v>1069</v>
      </c>
      <c r="E28" s="138" t="s">
        <v>1211</v>
      </c>
      <c r="F28" s="138" t="s">
        <v>1079</v>
      </c>
      <c r="G28" s="6" t="str">
        <f>_xlfn.XLOOKUP(F28,Tab_Def_Processes[Process_Name],Tab_Def_Processes[Process_ID],,0,)</f>
        <v>11</v>
      </c>
      <c r="H28" s="138" t="s">
        <v>1080</v>
      </c>
      <c r="I28" s="9" t="str">
        <f>_xlfn.XLOOKUP(H28,Tab_Def_Processes[Process_Name],Tab_Def_Processes[Process_ID],,0,)</f>
        <v>15</v>
      </c>
      <c r="J28" s="138" t="s">
        <v>5</v>
      </c>
      <c r="K28" s="138" t="s">
        <v>5</v>
      </c>
      <c r="L28" s="138"/>
      <c r="M28" s="138" t="s">
        <v>5</v>
      </c>
      <c r="N28" s="6" t="str">
        <f>Tab_Def_Flows[[#This Row],[Flow_ID]]&amp;"_WC"</f>
        <v>F_11_15_WC</v>
      </c>
      <c r="O28" s="135"/>
      <c r="P28" s="13"/>
      <c r="Q28" s="6" t="str">
        <f>Tab_Def_Flows[[#This Row],[Flow_ID]]&amp;"_DM"</f>
        <v>F_11_15_DM</v>
      </c>
      <c r="R28" s="135"/>
      <c r="S28" s="13"/>
      <c r="T28" s="6" t="str">
        <f>Tab_Def_Flows[[#This Row],[Flow_ID]]&amp;"_CC"</f>
        <v>F_11_15_CC</v>
      </c>
      <c r="U28" s="135"/>
      <c r="V28" s="13"/>
      <c r="W28" s="139">
        <f>Tab_Def_Flows[[#This Row],[Flow_CC_DM'[%']]]*Tab_Def_Flows[[#This Row],[Flow_DM'[%']]]</f>
        <v>0</v>
      </c>
      <c r="X28" s="7"/>
      <c r="Y28" s="194" t="b">
        <f>'0_Configuration'!$C$2</f>
        <v>1</v>
      </c>
      <c r="Z28" s="6"/>
      <c r="AA28" s="194" t="b">
        <f>'0_Configuration'!$C$6</f>
        <v>0</v>
      </c>
      <c r="AB28" s="6" t="s">
        <v>1224</v>
      </c>
      <c r="AC28" s="194" t="b">
        <f>'0_Configuration'!$C$10</f>
        <v>0</v>
      </c>
      <c r="AD28" s="6" t="s">
        <v>1224</v>
      </c>
      <c r="AE28" s="194" t="b">
        <f>'0_Configuration'!$C$17</f>
        <v>0</v>
      </c>
      <c r="AF28" s="6">
        <f>_xlfn.XLOOKUP(Tab_Def_Flows[[#This Row],[ODYM_Good_Type]],Tab_Configuration[Value],Tab_Configuration[ODYM_ID],,0,)</f>
        <v>1</v>
      </c>
      <c r="AG28" s="194" t="b">
        <f>'0_Configuration'!$C$24</f>
        <v>0</v>
      </c>
      <c r="AH28" s="6"/>
      <c r="AI28" s="194" t="b">
        <f>'0_Configuration'!$C$29</f>
        <v>1</v>
      </c>
      <c r="AJ28" s="6" t="s">
        <v>1238</v>
      </c>
      <c r="AK28" s="6" t="str">
        <f>IF(Tab_Def_Flows[[#This Row],[ODYM_time_(t)]],"t,","")&amp;IF(Tab_Def_Flows[[#This Row],[ODYM_Region_(r)]],"r,","")&amp;IF(Tab_Def_Flows[[#This Row],[ODYM_process_(p)]],"p,","")&amp;IF(Tab_Def_Flows[[#This Row],[ODYM_Good_(g)2]],"g,","")&amp;IF(Tab_Def_Flows[[#This Row],[ODYM_material_(m)]],"m,","")&amp;IF(Tab_Def_Flows[[#This Row],[ODYM_element_(e)]],"e","")</f>
        <v>t,e</v>
      </c>
      <c r="AL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0" x14ac:dyDescent="0.25">
      <c r="A29" s="142" t="b">
        <v>0</v>
      </c>
      <c r="B29" s="16">
        <f t="shared" si="0"/>
        <v>28</v>
      </c>
      <c r="C29" s="6" t="str">
        <f t="shared" si="1"/>
        <v>F_15_16</v>
      </c>
      <c r="D29" s="188" t="s">
        <v>1070</v>
      </c>
      <c r="E29" s="138" t="s">
        <v>1211</v>
      </c>
      <c r="F29" s="138" t="s">
        <v>1080</v>
      </c>
      <c r="G29" s="6" t="str">
        <f>_xlfn.XLOOKUP(F29,Tab_Def_Processes[Process_Name],Tab_Def_Processes[Process_ID],,0,)</f>
        <v>15</v>
      </c>
      <c r="H29" s="138" t="s">
        <v>1084</v>
      </c>
      <c r="I29" s="9" t="str">
        <f>_xlfn.XLOOKUP(H29,Tab_Def_Processes[Process_Name],Tab_Def_Processes[Process_ID],,0,)</f>
        <v>16</v>
      </c>
      <c r="J29" s="138" t="s">
        <v>5</v>
      </c>
      <c r="K29" s="138" t="s">
        <v>5</v>
      </c>
      <c r="L29" s="138"/>
      <c r="M29" s="138" t="s">
        <v>5</v>
      </c>
      <c r="N29" s="6" t="str">
        <f>Tab_Def_Flows[[#This Row],[Flow_ID]]&amp;"_WC"</f>
        <v>F_15_16_WC</v>
      </c>
      <c r="O29" s="135"/>
      <c r="P29" s="13"/>
      <c r="Q29" s="6" t="str">
        <f>Tab_Def_Flows[[#This Row],[Flow_ID]]&amp;"_DM"</f>
        <v>F_15_16_DM</v>
      </c>
      <c r="R29" s="135"/>
      <c r="S29" s="13"/>
      <c r="T29" s="6" t="str">
        <f>Tab_Def_Flows[[#This Row],[Flow_ID]]&amp;"_CC"</f>
        <v>F_15_16_CC</v>
      </c>
      <c r="U29" s="135"/>
      <c r="V29" s="13"/>
      <c r="W29" s="139">
        <f>Tab_Def_Flows[[#This Row],[Flow_CC_DM'[%']]]*Tab_Def_Flows[[#This Row],[Flow_DM'[%']]]</f>
        <v>0</v>
      </c>
      <c r="X29" s="7"/>
      <c r="Y29" s="194" t="b">
        <f>'0_Configuration'!$C$2</f>
        <v>1</v>
      </c>
      <c r="Z29" s="6"/>
      <c r="AA29" s="194" t="b">
        <f>'0_Configuration'!$C$6</f>
        <v>0</v>
      </c>
      <c r="AB29" s="6" t="s">
        <v>1224</v>
      </c>
      <c r="AC29" s="194" t="b">
        <f>'0_Configuration'!$C$10</f>
        <v>0</v>
      </c>
      <c r="AD29" s="6" t="s">
        <v>1224</v>
      </c>
      <c r="AE29" s="194" t="b">
        <f>'0_Configuration'!$C$17</f>
        <v>0</v>
      </c>
      <c r="AF29" s="6">
        <f>_xlfn.XLOOKUP(Tab_Def_Flows[[#This Row],[ODYM_Good_Type]],Tab_Configuration[Value],Tab_Configuration[ODYM_ID],,0,)</f>
        <v>1</v>
      </c>
      <c r="AG29" s="194" t="b">
        <f>'0_Configuration'!$C$24</f>
        <v>0</v>
      </c>
      <c r="AH29" s="6"/>
      <c r="AI29" s="194" t="b">
        <f>'0_Configuration'!$C$29</f>
        <v>1</v>
      </c>
      <c r="AJ29" s="6" t="s">
        <v>1238</v>
      </c>
      <c r="AK29" s="6" t="str">
        <f>IF(Tab_Def_Flows[[#This Row],[ODYM_time_(t)]],"t,","")&amp;IF(Tab_Def_Flows[[#This Row],[ODYM_Region_(r)]],"r,","")&amp;IF(Tab_Def_Flows[[#This Row],[ODYM_process_(p)]],"p,","")&amp;IF(Tab_Def_Flows[[#This Row],[ODYM_Good_(g)2]],"g,","")&amp;IF(Tab_Def_Flows[[#This Row],[ODYM_material_(m)]],"m,","")&amp;IF(Tab_Def_Flows[[#This Row],[ODYM_element_(e)]],"e","")</f>
        <v>t,e</v>
      </c>
      <c r="AL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0" x14ac:dyDescent="0.25">
      <c r="A30" s="142" t="b">
        <v>0</v>
      </c>
      <c r="B30" s="16">
        <f t="shared" si="0"/>
        <v>29</v>
      </c>
      <c r="C30" s="6" t="str">
        <f t="shared" si="1"/>
        <v>F_11_12</v>
      </c>
      <c r="D30" s="188" t="s">
        <v>1071</v>
      </c>
      <c r="E30" s="138" t="s">
        <v>1211</v>
      </c>
      <c r="F30" s="138" t="s">
        <v>1079</v>
      </c>
      <c r="G30" s="6" t="str">
        <f>_xlfn.XLOOKUP(F30,Tab_Def_Processes[Process_Name],Tab_Def_Processes[Process_ID],,0,)</f>
        <v>11</v>
      </c>
      <c r="H30" s="138" t="s">
        <v>1083</v>
      </c>
      <c r="I30" s="9" t="str">
        <f>_xlfn.XLOOKUP(H30,Tab_Def_Processes[Process_Name],Tab_Def_Processes[Process_ID],,0,)</f>
        <v>12</v>
      </c>
      <c r="J30" s="138" t="s">
        <v>5</v>
      </c>
      <c r="K30" s="138" t="s">
        <v>5</v>
      </c>
      <c r="L30" s="138"/>
      <c r="M30" s="138" t="s">
        <v>5</v>
      </c>
      <c r="N30" s="6" t="str">
        <f>Tab_Def_Flows[[#This Row],[Flow_ID]]&amp;"_WC"</f>
        <v>F_11_12_WC</v>
      </c>
      <c r="O30" s="135"/>
      <c r="P30" s="13"/>
      <c r="Q30" s="6" t="str">
        <f>Tab_Def_Flows[[#This Row],[Flow_ID]]&amp;"_DM"</f>
        <v>F_11_12_DM</v>
      </c>
      <c r="R30" s="135"/>
      <c r="S30" s="13"/>
      <c r="T30" s="6" t="str">
        <f>Tab_Def_Flows[[#This Row],[Flow_ID]]&amp;"_CC"</f>
        <v>F_11_12_CC</v>
      </c>
      <c r="U30" s="135"/>
      <c r="V30" s="13"/>
      <c r="W30" s="139">
        <f>Tab_Def_Flows[[#This Row],[Flow_CC_DM'[%']]]*Tab_Def_Flows[[#This Row],[Flow_DM'[%']]]</f>
        <v>0</v>
      </c>
      <c r="X30" s="7"/>
      <c r="Y30" s="194" t="b">
        <f>'0_Configuration'!$C$2</f>
        <v>1</v>
      </c>
      <c r="Z30" s="6"/>
      <c r="AA30" s="194" t="b">
        <f>'0_Configuration'!$C$6</f>
        <v>0</v>
      </c>
      <c r="AB30" s="6" t="s">
        <v>1224</v>
      </c>
      <c r="AC30" s="194" t="b">
        <f>'0_Configuration'!$C$10</f>
        <v>0</v>
      </c>
      <c r="AD30" s="6" t="s">
        <v>1224</v>
      </c>
      <c r="AE30" s="194" t="b">
        <f>'0_Configuration'!$C$17</f>
        <v>0</v>
      </c>
      <c r="AF30" s="6">
        <f>_xlfn.XLOOKUP(Tab_Def_Flows[[#This Row],[ODYM_Good_Type]],Tab_Configuration[Value],Tab_Configuration[ODYM_ID],,0,)</f>
        <v>1</v>
      </c>
      <c r="AG30" s="194" t="b">
        <f>'0_Configuration'!$C$24</f>
        <v>0</v>
      </c>
      <c r="AH30" s="6"/>
      <c r="AI30" s="194" t="b">
        <f>'0_Configuration'!$C$29</f>
        <v>1</v>
      </c>
      <c r="AJ30" s="6" t="s">
        <v>1238</v>
      </c>
      <c r="AK30" s="6" t="str">
        <f>IF(Tab_Def_Flows[[#This Row],[ODYM_time_(t)]],"t,","")&amp;IF(Tab_Def_Flows[[#This Row],[ODYM_Region_(r)]],"r,","")&amp;IF(Tab_Def_Flows[[#This Row],[ODYM_process_(p)]],"p,","")&amp;IF(Tab_Def_Flows[[#This Row],[ODYM_Good_(g)2]],"g,","")&amp;IF(Tab_Def_Flows[[#This Row],[ODYM_material_(m)]],"m,","")&amp;IF(Tab_Def_Flows[[#This Row],[ODYM_element_(e)]],"e","")</f>
        <v>t,e</v>
      </c>
      <c r="AL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0" x14ac:dyDescent="0.25">
      <c r="A31" s="142" t="b">
        <v>0</v>
      </c>
      <c r="B31" s="16">
        <f>ROW()-1</f>
        <v>30</v>
      </c>
      <c r="C31" s="6" t="str">
        <f>"F_"&amp;LEFT(G31,2)&amp;"_"&amp;LEFT(I31,2)</f>
        <v>F_11_00</v>
      </c>
      <c r="D31" s="188" t="s">
        <v>1144</v>
      </c>
      <c r="E31" s="138" t="s">
        <v>1211</v>
      </c>
      <c r="F31" s="138" t="s">
        <v>1079</v>
      </c>
      <c r="G31" s="6" t="str">
        <f>_xlfn.XLOOKUP(F31,Tab_Def_Processes[Process_Name],Tab_Def_Processes[Process_ID],,0,)</f>
        <v>11</v>
      </c>
      <c r="H31" s="138" t="s">
        <v>1096</v>
      </c>
      <c r="I31" s="9" t="str">
        <f>_xlfn.XLOOKUP(H31,Tab_Def_Processes[Process_Name],Tab_Def_Processes[Process_ID],,0,)</f>
        <v>00</v>
      </c>
      <c r="J31" s="138" t="s">
        <v>5</v>
      </c>
      <c r="K31" s="138" t="s">
        <v>5</v>
      </c>
      <c r="L31" s="138"/>
      <c r="M31" s="138" t="s">
        <v>5</v>
      </c>
      <c r="N31" s="6" t="str">
        <f>Tab_Def_Flows[[#This Row],[Flow_ID]]&amp;"_WC"</f>
        <v>F_11_00_WC</v>
      </c>
      <c r="O31" s="135"/>
      <c r="P31" s="13"/>
      <c r="Q31" s="6" t="str">
        <f>Tab_Def_Flows[[#This Row],[Flow_ID]]&amp;"_DM"</f>
        <v>F_11_00_DM</v>
      </c>
      <c r="R31" s="135"/>
      <c r="S31" s="13"/>
      <c r="T31" s="6" t="str">
        <f>Tab_Def_Flows[[#This Row],[Flow_ID]]&amp;"_CC"</f>
        <v>F_11_00_CC</v>
      </c>
      <c r="U31" s="135"/>
      <c r="V31" s="13"/>
      <c r="W31" s="139">
        <f>Tab_Def_Flows[[#This Row],[Flow_CC_DM'[%']]]*Tab_Def_Flows[[#This Row],[Flow_DM'[%']]]</f>
        <v>0</v>
      </c>
      <c r="X31" s="7"/>
      <c r="Y31" s="194" t="b">
        <f>'0_Configuration'!$C$2</f>
        <v>1</v>
      </c>
      <c r="Z31" s="6"/>
      <c r="AA31" s="194" t="b">
        <f>'0_Configuration'!$C$6</f>
        <v>0</v>
      </c>
      <c r="AB31" s="6" t="s">
        <v>1224</v>
      </c>
      <c r="AC31" s="194" t="b">
        <f>'0_Configuration'!$C$10</f>
        <v>0</v>
      </c>
      <c r="AD31" s="6" t="s">
        <v>1224</v>
      </c>
      <c r="AE31" s="194" t="b">
        <f>'0_Configuration'!$C$17</f>
        <v>0</v>
      </c>
      <c r="AF31" s="6">
        <f>_xlfn.XLOOKUP(Tab_Def_Flows[[#This Row],[ODYM_Good_Type]],Tab_Configuration[Value],Tab_Configuration[ODYM_ID],,0,)</f>
        <v>1</v>
      </c>
      <c r="AG31" s="194" t="b">
        <f>'0_Configuration'!$C$24</f>
        <v>0</v>
      </c>
      <c r="AH31" s="6"/>
      <c r="AI31" s="194" t="b">
        <f>'0_Configuration'!$C$29</f>
        <v>1</v>
      </c>
      <c r="AJ31" s="6" t="s">
        <v>1238</v>
      </c>
      <c r="AK31" s="6" t="str">
        <f>IF(Tab_Def_Flows[[#This Row],[ODYM_time_(t)]],"t,","")&amp;IF(Tab_Def_Flows[[#This Row],[ODYM_Region_(r)]],"r,","")&amp;IF(Tab_Def_Flows[[#This Row],[ODYM_process_(p)]],"p,","")&amp;IF(Tab_Def_Flows[[#This Row],[ODYM_Good_(g)2]],"g,","")&amp;IF(Tab_Def_Flows[[#This Row],[ODYM_material_(m)]],"m,","")&amp;IF(Tab_Def_Flows[[#This Row],[ODYM_element_(e)]],"e","")</f>
        <v>t,e</v>
      </c>
      <c r="AL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0" x14ac:dyDescent="0.25">
      <c r="A32" s="142" t="b">
        <v>0</v>
      </c>
      <c r="B32" s="16">
        <f t="shared" ref="B32:B33" si="14">ROW()-1</f>
        <v>31</v>
      </c>
      <c r="C32" s="6" t="str">
        <f t="shared" ref="C32:C33" si="15">"F_"&amp;LEFT(G32,2)&amp;"_"&amp;LEFT(I32,2)</f>
        <v>F_12_01</v>
      </c>
      <c r="D32" s="188" t="s">
        <v>1119</v>
      </c>
      <c r="E32" s="138" t="s">
        <v>1211</v>
      </c>
      <c r="F32" s="138" t="s">
        <v>1083</v>
      </c>
      <c r="G32" s="6" t="str">
        <f>_xlfn.XLOOKUP(F32,Tab_Def_Processes[Process_Name],Tab_Def_Processes[Process_ID],,0,)</f>
        <v>12</v>
      </c>
      <c r="H32" s="138" t="s">
        <v>1097</v>
      </c>
      <c r="I32" s="9" t="str">
        <f>_xlfn.XLOOKUP(H32,Tab_Def_Processes[Process_Name],Tab_Def_Processes[Process_ID],,0,)</f>
        <v>01</v>
      </c>
      <c r="J32" s="138" t="s">
        <v>5</v>
      </c>
      <c r="K32" s="138" t="s">
        <v>5</v>
      </c>
      <c r="L32" s="138"/>
      <c r="M32" s="138" t="s">
        <v>5</v>
      </c>
      <c r="N32" s="6" t="str">
        <f>Tab_Def_Flows[[#This Row],[Flow_ID]]&amp;"_WC"</f>
        <v>F_12_01_WC</v>
      </c>
      <c r="O32" s="135"/>
      <c r="P32" s="13"/>
      <c r="Q32" s="6" t="str">
        <f>Tab_Def_Flows[[#This Row],[Flow_ID]]&amp;"_DM"</f>
        <v>F_12_01_DM</v>
      </c>
      <c r="R32" s="135"/>
      <c r="S32" s="13"/>
      <c r="T32" s="6" t="str">
        <f>Tab_Def_Flows[[#This Row],[Flow_ID]]&amp;"_CC"</f>
        <v>F_12_01_CC</v>
      </c>
      <c r="U32" s="135"/>
      <c r="V32" s="13"/>
      <c r="W32" s="139">
        <f>Tab_Def_Flows[[#This Row],[Flow_CC_DM'[%']]]*Tab_Def_Flows[[#This Row],[Flow_DM'[%']]]</f>
        <v>0</v>
      </c>
      <c r="X32" s="7"/>
      <c r="Y32" s="194" t="b">
        <f>'0_Configuration'!$C$2</f>
        <v>1</v>
      </c>
      <c r="Z32" s="6"/>
      <c r="AA32" s="194" t="b">
        <f>'0_Configuration'!$C$6</f>
        <v>0</v>
      </c>
      <c r="AB32" s="6" t="s">
        <v>1224</v>
      </c>
      <c r="AC32" s="194" t="b">
        <f>'0_Configuration'!$C$10</f>
        <v>0</v>
      </c>
      <c r="AD32" s="6" t="s">
        <v>1224</v>
      </c>
      <c r="AE32" s="194" t="b">
        <f>'0_Configuration'!$C$17</f>
        <v>0</v>
      </c>
      <c r="AF32" s="6">
        <f>_xlfn.XLOOKUP(Tab_Def_Flows[[#This Row],[ODYM_Good_Type]],Tab_Configuration[Value],Tab_Configuration[ODYM_ID],,0,)</f>
        <v>1</v>
      </c>
      <c r="AG32" s="194" t="b">
        <f>'0_Configuration'!$C$24</f>
        <v>0</v>
      </c>
      <c r="AH32" s="6"/>
      <c r="AI32" s="194" t="b">
        <f>'0_Configuration'!$C$29</f>
        <v>1</v>
      </c>
      <c r="AJ32" s="6" t="s">
        <v>1238</v>
      </c>
      <c r="AK32" s="6" t="str">
        <f>IF(Tab_Def_Flows[[#This Row],[ODYM_time_(t)]],"t,","")&amp;IF(Tab_Def_Flows[[#This Row],[ODYM_Region_(r)]],"r,","")&amp;IF(Tab_Def_Flows[[#This Row],[ODYM_process_(p)]],"p,","")&amp;IF(Tab_Def_Flows[[#This Row],[ODYM_Good_(g)2]],"g,","")&amp;IF(Tab_Def_Flows[[#This Row],[ODYM_material_(m)]],"m,","")&amp;IF(Tab_Def_Flows[[#This Row],[ODYM_element_(e)]],"e","")</f>
        <v>t,e</v>
      </c>
      <c r="AL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38" x14ac:dyDescent="0.25">
      <c r="A33" s="142" t="b">
        <v>0</v>
      </c>
      <c r="B33" s="16">
        <f t="shared" si="14"/>
        <v>32</v>
      </c>
      <c r="C33" s="6" t="str">
        <f t="shared" si="15"/>
        <v>F_12_00</v>
      </c>
      <c r="D33" s="188" t="s">
        <v>1120</v>
      </c>
      <c r="E33" s="138" t="s">
        <v>1211</v>
      </c>
      <c r="F33" s="138" t="s">
        <v>1083</v>
      </c>
      <c r="G33" s="6" t="str">
        <f>_xlfn.XLOOKUP(F33,Tab_Def_Processes[Process_Name],Tab_Def_Processes[Process_ID],,0,)</f>
        <v>12</v>
      </c>
      <c r="H33" s="138" t="s">
        <v>1096</v>
      </c>
      <c r="I33" s="9" t="str">
        <f>_xlfn.XLOOKUP(H33,Tab_Def_Processes[Process_Name],Tab_Def_Processes[Process_ID],,0,)</f>
        <v>00</v>
      </c>
      <c r="J33" s="138" t="s">
        <v>5</v>
      </c>
      <c r="K33" s="138" t="s">
        <v>5</v>
      </c>
      <c r="L33" s="138"/>
      <c r="M33" s="138" t="s">
        <v>5</v>
      </c>
      <c r="N33" s="6" t="str">
        <f>Tab_Def_Flows[[#This Row],[Flow_ID]]&amp;"_WC"</f>
        <v>F_12_00_WC</v>
      </c>
      <c r="O33" s="135"/>
      <c r="P33" s="13"/>
      <c r="Q33" s="6" t="str">
        <f>Tab_Def_Flows[[#This Row],[Flow_ID]]&amp;"_DM"</f>
        <v>F_12_00_DM</v>
      </c>
      <c r="R33" s="135"/>
      <c r="S33" s="13"/>
      <c r="T33" s="6" t="str">
        <f>Tab_Def_Flows[[#This Row],[Flow_ID]]&amp;"_CC"</f>
        <v>F_12_00_CC</v>
      </c>
      <c r="U33" s="135"/>
      <c r="V33" s="13"/>
      <c r="W33" s="139">
        <f>Tab_Def_Flows[[#This Row],[Flow_CC_DM'[%']]]*Tab_Def_Flows[[#This Row],[Flow_DM'[%']]]</f>
        <v>0</v>
      </c>
      <c r="X33" s="7"/>
      <c r="Y33" s="194" t="b">
        <f>'0_Configuration'!$C$2</f>
        <v>1</v>
      </c>
      <c r="Z33" s="6"/>
      <c r="AA33" s="194" t="b">
        <f>'0_Configuration'!$C$6</f>
        <v>0</v>
      </c>
      <c r="AB33" s="6" t="s">
        <v>1224</v>
      </c>
      <c r="AC33" s="194" t="b">
        <f>'0_Configuration'!$C$10</f>
        <v>0</v>
      </c>
      <c r="AD33" s="6" t="s">
        <v>1224</v>
      </c>
      <c r="AE33" s="194" t="b">
        <f>'0_Configuration'!$C$17</f>
        <v>0</v>
      </c>
      <c r="AF33" s="6">
        <f>_xlfn.XLOOKUP(Tab_Def_Flows[[#This Row],[ODYM_Good_Type]],Tab_Configuration[Value],Tab_Configuration[ODYM_ID],,0,)</f>
        <v>1</v>
      </c>
      <c r="AG33" s="194" t="b">
        <f>'0_Configuration'!$C$24</f>
        <v>0</v>
      </c>
      <c r="AH33" s="6"/>
      <c r="AI33" s="194" t="b">
        <f>'0_Configuration'!$C$29</f>
        <v>1</v>
      </c>
      <c r="AJ33" s="6" t="s">
        <v>1238</v>
      </c>
      <c r="AK33" s="6" t="str">
        <f>IF(Tab_Def_Flows[[#This Row],[ODYM_time_(t)]],"t,","")&amp;IF(Tab_Def_Flows[[#This Row],[ODYM_Region_(r)]],"r,","")&amp;IF(Tab_Def_Flows[[#This Row],[ODYM_process_(p)]],"p,","")&amp;IF(Tab_Def_Flows[[#This Row],[ODYM_Good_(g)2]],"g,","")&amp;IF(Tab_Def_Flows[[#This Row],[ODYM_material_(m)]],"m,","")&amp;IF(Tab_Def_Flows[[#This Row],[ODYM_element_(e)]],"e","")</f>
        <v>t,e</v>
      </c>
      <c r="AL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38" x14ac:dyDescent="0.25">
      <c r="A34" s="142" t="b">
        <v>0</v>
      </c>
      <c r="B34" s="16">
        <f t="shared" si="0"/>
        <v>33</v>
      </c>
      <c r="C34" s="6" t="str">
        <f t="shared" si="1"/>
        <v>F_14_11</v>
      </c>
      <c r="D34" s="188" t="s">
        <v>1072</v>
      </c>
      <c r="E34" s="138" t="s">
        <v>1211</v>
      </c>
      <c r="F34" s="138" t="s">
        <v>1088</v>
      </c>
      <c r="G34" s="6" t="str">
        <f>_xlfn.XLOOKUP(F34,Tab_Def_Processes[Process_Name],Tab_Def_Processes[Process_ID],,0,)</f>
        <v>14</v>
      </c>
      <c r="H34" s="138" t="s">
        <v>1079</v>
      </c>
      <c r="I34" s="9" t="str">
        <f>_xlfn.XLOOKUP(H34,Tab_Def_Processes[Process_Name],Tab_Def_Processes[Process_ID],,0,)</f>
        <v>11</v>
      </c>
      <c r="J34" s="138" t="s">
        <v>5</v>
      </c>
      <c r="K34" s="138" t="s">
        <v>5</v>
      </c>
      <c r="L34" s="138"/>
      <c r="M34" s="138" t="s">
        <v>5</v>
      </c>
      <c r="N34" s="6" t="str">
        <f>Tab_Def_Flows[[#This Row],[Flow_ID]]&amp;"_WC"</f>
        <v>F_14_11_WC</v>
      </c>
      <c r="O34" s="135"/>
      <c r="P34" s="13"/>
      <c r="Q34" s="6" t="str">
        <f>Tab_Def_Flows[[#This Row],[Flow_ID]]&amp;"_DM"</f>
        <v>F_14_11_DM</v>
      </c>
      <c r="R34" s="135"/>
      <c r="S34" s="13"/>
      <c r="T34" s="6" t="str">
        <f>Tab_Def_Flows[[#This Row],[Flow_ID]]&amp;"_CC"</f>
        <v>F_14_11_CC</v>
      </c>
      <c r="U34" s="135"/>
      <c r="V34" s="13"/>
      <c r="W34" s="139">
        <f>Tab_Def_Flows[[#This Row],[Flow_CC_DM'[%']]]*Tab_Def_Flows[[#This Row],[Flow_DM'[%']]]</f>
        <v>0</v>
      </c>
      <c r="X34" s="7"/>
      <c r="Y34" s="194" t="b">
        <f>'0_Configuration'!$C$2</f>
        <v>1</v>
      </c>
      <c r="Z34" s="6"/>
      <c r="AA34" s="194" t="b">
        <f>'0_Configuration'!$C$6</f>
        <v>0</v>
      </c>
      <c r="AB34" s="6" t="s">
        <v>1224</v>
      </c>
      <c r="AC34" s="194" t="b">
        <f>'0_Configuration'!$C$10</f>
        <v>0</v>
      </c>
      <c r="AD34" s="6" t="s">
        <v>1224</v>
      </c>
      <c r="AE34" s="194" t="b">
        <f>'0_Configuration'!$C$17</f>
        <v>0</v>
      </c>
      <c r="AF34" s="6">
        <f>_xlfn.XLOOKUP(Tab_Def_Flows[[#This Row],[ODYM_Good_Type]],Tab_Configuration[Value],Tab_Configuration[ODYM_ID],,0,)</f>
        <v>1</v>
      </c>
      <c r="AG34" s="194" t="b">
        <f>'0_Configuration'!$C$24</f>
        <v>0</v>
      </c>
      <c r="AH34" s="6"/>
      <c r="AI34" s="194" t="b">
        <f>'0_Configuration'!$C$29</f>
        <v>1</v>
      </c>
      <c r="AJ34" s="6" t="s">
        <v>1238</v>
      </c>
      <c r="AK34" s="6" t="str">
        <f>IF(Tab_Def_Flows[[#This Row],[ODYM_time_(t)]],"t,","")&amp;IF(Tab_Def_Flows[[#This Row],[ODYM_Region_(r)]],"r,","")&amp;IF(Tab_Def_Flows[[#This Row],[ODYM_process_(p)]],"p,","")&amp;IF(Tab_Def_Flows[[#This Row],[ODYM_Good_(g)2]],"g,","")&amp;IF(Tab_Def_Flows[[#This Row],[ODYM_material_(m)]],"m,","")&amp;IF(Tab_Def_Flows[[#This Row],[ODYM_element_(e)]],"e","")</f>
        <v>t,e</v>
      </c>
      <c r="AL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38" x14ac:dyDescent="0.25">
      <c r="A35" s="142" t="b">
        <v>0</v>
      </c>
      <c r="B35" s="16">
        <f t="shared" si="0"/>
        <v>34</v>
      </c>
      <c r="C35" s="6" t="str">
        <f t="shared" si="1"/>
        <v>F_11_13</v>
      </c>
      <c r="D35" s="188" t="s">
        <v>1073</v>
      </c>
      <c r="E35" s="138" t="s">
        <v>1211</v>
      </c>
      <c r="F35" s="138" t="s">
        <v>1079</v>
      </c>
      <c r="G35" s="6" t="str">
        <f>_xlfn.XLOOKUP(F35,Tab_Def_Processes[Process_Name],Tab_Def_Processes[Process_ID],,0,)</f>
        <v>11</v>
      </c>
      <c r="H35" s="138" t="s">
        <v>1089</v>
      </c>
      <c r="I35" s="9" t="str">
        <f>_xlfn.XLOOKUP(H35,Tab_Def_Processes[Process_Name],Tab_Def_Processes[Process_ID],,0,)</f>
        <v>13</v>
      </c>
      <c r="J35" s="138" t="s">
        <v>5</v>
      </c>
      <c r="K35" s="138" t="s">
        <v>5</v>
      </c>
      <c r="L35" s="138"/>
      <c r="M35" s="138" t="s">
        <v>5</v>
      </c>
      <c r="N35" s="6" t="str">
        <f>Tab_Def_Flows[[#This Row],[Flow_ID]]&amp;"_WC"</f>
        <v>F_11_13_WC</v>
      </c>
      <c r="O35" s="135"/>
      <c r="P35" s="13"/>
      <c r="Q35" s="6" t="str">
        <f>Tab_Def_Flows[[#This Row],[Flow_ID]]&amp;"_DM"</f>
        <v>F_11_13_DM</v>
      </c>
      <c r="R35" s="135"/>
      <c r="S35" s="13"/>
      <c r="T35" s="6" t="str">
        <f>Tab_Def_Flows[[#This Row],[Flow_ID]]&amp;"_CC"</f>
        <v>F_11_13_CC</v>
      </c>
      <c r="U35" s="135"/>
      <c r="V35" s="13"/>
      <c r="W35" s="139">
        <f>Tab_Def_Flows[[#This Row],[Flow_CC_DM'[%']]]*Tab_Def_Flows[[#This Row],[Flow_DM'[%']]]</f>
        <v>0</v>
      </c>
      <c r="X35" s="7"/>
      <c r="Y35" s="194" t="b">
        <f>'0_Configuration'!$C$2</f>
        <v>1</v>
      </c>
      <c r="Z35" s="6"/>
      <c r="AA35" s="194" t="b">
        <f>'0_Configuration'!$C$6</f>
        <v>0</v>
      </c>
      <c r="AB35" s="6" t="s">
        <v>1224</v>
      </c>
      <c r="AC35" s="194" t="b">
        <f>'0_Configuration'!$C$10</f>
        <v>0</v>
      </c>
      <c r="AD35" s="6" t="s">
        <v>1224</v>
      </c>
      <c r="AE35" s="194" t="b">
        <f>'0_Configuration'!$C$17</f>
        <v>0</v>
      </c>
      <c r="AF35" s="6">
        <f>_xlfn.XLOOKUP(Tab_Def_Flows[[#This Row],[ODYM_Good_Type]],Tab_Configuration[Value],Tab_Configuration[ODYM_ID],,0,)</f>
        <v>1</v>
      </c>
      <c r="AG35" s="194" t="b">
        <f>'0_Configuration'!$C$24</f>
        <v>0</v>
      </c>
      <c r="AH35" s="6"/>
      <c r="AI35" s="194" t="b">
        <f>'0_Configuration'!$C$29</f>
        <v>1</v>
      </c>
      <c r="AJ35" s="6" t="s">
        <v>1238</v>
      </c>
      <c r="AK35" s="6" t="str">
        <f>IF(Tab_Def_Flows[[#This Row],[ODYM_time_(t)]],"t,","")&amp;IF(Tab_Def_Flows[[#This Row],[ODYM_Region_(r)]],"r,","")&amp;IF(Tab_Def_Flows[[#This Row],[ODYM_process_(p)]],"p,","")&amp;IF(Tab_Def_Flows[[#This Row],[ODYM_Good_(g)2]],"g,","")&amp;IF(Tab_Def_Flows[[#This Row],[ODYM_material_(m)]],"m,","")&amp;IF(Tab_Def_Flows[[#This Row],[ODYM_element_(e)]],"e","")</f>
        <v>t,e</v>
      </c>
      <c r="AL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38" x14ac:dyDescent="0.25">
      <c r="A36" s="142" t="b">
        <v>0</v>
      </c>
      <c r="B36" s="16">
        <f t="shared" ref="B36:B37" si="16">ROW()-1</f>
        <v>35</v>
      </c>
      <c r="C36" s="6" t="str">
        <f t="shared" ref="C36:C37" si="17">"F_"&amp;LEFT(G36,2)&amp;"_"&amp;LEFT(I36,2)</f>
        <v>F_13_01</v>
      </c>
      <c r="D36" s="188" t="s">
        <v>1121</v>
      </c>
      <c r="E36" s="138" t="s">
        <v>1211</v>
      </c>
      <c r="F36" s="138" t="s">
        <v>1089</v>
      </c>
      <c r="G36" s="6" t="str">
        <f>_xlfn.XLOOKUP(F36,Tab_Def_Processes[Process_Name],Tab_Def_Processes[Process_ID],,0,)</f>
        <v>13</v>
      </c>
      <c r="H36" s="138" t="s">
        <v>1097</v>
      </c>
      <c r="I36" s="9" t="str">
        <f>_xlfn.XLOOKUP(H36,Tab_Def_Processes[Process_Name],Tab_Def_Processes[Process_ID],,0,)</f>
        <v>01</v>
      </c>
      <c r="J36" s="138" t="s">
        <v>5</v>
      </c>
      <c r="K36" s="138" t="s">
        <v>5</v>
      </c>
      <c r="L36" s="138"/>
      <c r="M36" s="138" t="s">
        <v>5</v>
      </c>
      <c r="N36" s="6" t="str">
        <f>Tab_Def_Flows[[#This Row],[Flow_ID]]&amp;"_WC"</f>
        <v>F_13_01_WC</v>
      </c>
      <c r="O36" s="135"/>
      <c r="P36" s="13"/>
      <c r="Q36" s="6" t="str">
        <f>Tab_Def_Flows[[#This Row],[Flow_ID]]&amp;"_DM"</f>
        <v>F_13_01_DM</v>
      </c>
      <c r="R36" s="135"/>
      <c r="S36" s="13"/>
      <c r="T36" s="6" t="str">
        <f>Tab_Def_Flows[[#This Row],[Flow_ID]]&amp;"_CC"</f>
        <v>F_13_01_CC</v>
      </c>
      <c r="U36" s="135"/>
      <c r="V36" s="13"/>
      <c r="W36" s="139">
        <f>Tab_Def_Flows[[#This Row],[Flow_CC_DM'[%']]]*Tab_Def_Flows[[#This Row],[Flow_DM'[%']]]</f>
        <v>0</v>
      </c>
      <c r="X36" s="7"/>
      <c r="Y36" s="194" t="b">
        <f>'0_Configuration'!$C$2</f>
        <v>1</v>
      </c>
      <c r="Z36" s="6"/>
      <c r="AA36" s="194" t="b">
        <f>'0_Configuration'!$C$6</f>
        <v>0</v>
      </c>
      <c r="AB36" s="6" t="s">
        <v>1224</v>
      </c>
      <c r="AC36" s="194" t="b">
        <f>'0_Configuration'!$C$10</f>
        <v>0</v>
      </c>
      <c r="AD36" s="6" t="s">
        <v>1224</v>
      </c>
      <c r="AE36" s="194" t="b">
        <f>'0_Configuration'!$C$17</f>
        <v>0</v>
      </c>
      <c r="AF36" s="6">
        <f>_xlfn.XLOOKUP(Tab_Def_Flows[[#This Row],[ODYM_Good_Type]],Tab_Configuration[Value],Tab_Configuration[ODYM_ID],,0,)</f>
        <v>1</v>
      </c>
      <c r="AG36" s="194" t="b">
        <f>'0_Configuration'!$C$24</f>
        <v>0</v>
      </c>
      <c r="AH36" s="6"/>
      <c r="AI36" s="194" t="b">
        <f>'0_Configuration'!$C$29</f>
        <v>1</v>
      </c>
      <c r="AJ36" s="6" t="s">
        <v>1238</v>
      </c>
      <c r="AK36" s="6" t="str">
        <f>IF(Tab_Def_Flows[[#This Row],[ODYM_time_(t)]],"t,","")&amp;IF(Tab_Def_Flows[[#This Row],[ODYM_Region_(r)]],"r,","")&amp;IF(Tab_Def_Flows[[#This Row],[ODYM_process_(p)]],"p,","")&amp;IF(Tab_Def_Flows[[#This Row],[ODYM_Good_(g)2]],"g,","")&amp;IF(Tab_Def_Flows[[#This Row],[ODYM_material_(m)]],"m,","")&amp;IF(Tab_Def_Flows[[#This Row],[ODYM_element_(e)]],"e","")</f>
        <v>t,e</v>
      </c>
      <c r="AL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38" x14ac:dyDescent="0.25">
      <c r="A37" s="142" t="b">
        <v>0</v>
      </c>
      <c r="B37" s="16">
        <f t="shared" si="16"/>
        <v>36</v>
      </c>
      <c r="C37" s="6" t="str">
        <f t="shared" si="17"/>
        <v>F_13_00</v>
      </c>
      <c r="D37" s="188" t="s">
        <v>1122</v>
      </c>
      <c r="E37" s="138" t="s">
        <v>1211</v>
      </c>
      <c r="F37" s="138" t="s">
        <v>1089</v>
      </c>
      <c r="G37" s="6" t="str">
        <f>_xlfn.XLOOKUP(F37,Tab_Def_Processes[Process_Name],Tab_Def_Processes[Process_ID],,0,)</f>
        <v>13</v>
      </c>
      <c r="H37" s="138" t="s">
        <v>1096</v>
      </c>
      <c r="I37" s="9" t="str">
        <f>_xlfn.XLOOKUP(H37,Tab_Def_Processes[Process_Name],Tab_Def_Processes[Process_ID],,0,)</f>
        <v>00</v>
      </c>
      <c r="J37" s="138" t="s">
        <v>5</v>
      </c>
      <c r="K37" s="138" t="s">
        <v>5</v>
      </c>
      <c r="L37" s="138"/>
      <c r="M37" s="138" t="s">
        <v>5</v>
      </c>
      <c r="N37" s="6" t="str">
        <f>Tab_Def_Flows[[#This Row],[Flow_ID]]&amp;"_WC"</f>
        <v>F_13_00_WC</v>
      </c>
      <c r="O37" s="135"/>
      <c r="P37" s="13"/>
      <c r="Q37" s="6" t="str">
        <f>Tab_Def_Flows[[#This Row],[Flow_ID]]&amp;"_DM"</f>
        <v>F_13_00_DM</v>
      </c>
      <c r="R37" s="135"/>
      <c r="S37" s="13"/>
      <c r="T37" s="6" t="str">
        <f>Tab_Def_Flows[[#This Row],[Flow_ID]]&amp;"_CC"</f>
        <v>F_13_00_CC</v>
      </c>
      <c r="U37" s="135"/>
      <c r="V37" s="13"/>
      <c r="W37" s="139">
        <f>Tab_Def_Flows[[#This Row],[Flow_CC_DM'[%']]]*Tab_Def_Flows[[#This Row],[Flow_DM'[%']]]</f>
        <v>0</v>
      </c>
      <c r="X37" s="7"/>
      <c r="Y37" s="194" t="b">
        <f>'0_Configuration'!$C$2</f>
        <v>1</v>
      </c>
      <c r="Z37" s="6"/>
      <c r="AA37" s="194" t="b">
        <f>'0_Configuration'!$C$6</f>
        <v>0</v>
      </c>
      <c r="AB37" s="6" t="s">
        <v>1224</v>
      </c>
      <c r="AC37" s="194" t="b">
        <f>'0_Configuration'!$C$10</f>
        <v>0</v>
      </c>
      <c r="AD37" s="6" t="s">
        <v>1224</v>
      </c>
      <c r="AE37" s="194" t="b">
        <f>'0_Configuration'!$C$17</f>
        <v>0</v>
      </c>
      <c r="AF37" s="6">
        <f>_xlfn.XLOOKUP(Tab_Def_Flows[[#This Row],[ODYM_Good_Type]],Tab_Configuration[Value],Tab_Configuration[ODYM_ID],,0,)</f>
        <v>1</v>
      </c>
      <c r="AG37" s="194" t="b">
        <f>'0_Configuration'!$C$24</f>
        <v>0</v>
      </c>
      <c r="AH37" s="6"/>
      <c r="AI37" s="194" t="b">
        <f>'0_Configuration'!$C$29</f>
        <v>1</v>
      </c>
      <c r="AJ37" s="6" t="s">
        <v>1238</v>
      </c>
      <c r="AK37" s="6" t="str">
        <f>IF(Tab_Def_Flows[[#This Row],[ODYM_time_(t)]],"t,","")&amp;IF(Tab_Def_Flows[[#This Row],[ODYM_Region_(r)]],"r,","")&amp;IF(Tab_Def_Flows[[#This Row],[ODYM_process_(p)]],"p,","")&amp;IF(Tab_Def_Flows[[#This Row],[ODYM_Good_(g)2]],"g,","")&amp;IF(Tab_Def_Flows[[#This Row],[ODYM_material_(m)]],"m,","")&amp;IF(Tab_Def_Flows[[#This Row],[ODYM_element_(e)]],"e","")</f>
        <v>t,e</v>
      </c>
      <c r="AL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38" x14ac:dyDescent="0.25">
      <c r="A38" s="142" t="b">
        <v>0</v>
      </c>
      <c r="B38" s="16">
        <f t="shared" si="0"/>
        <v>37</v>
      </c>
      <c r="C38" s="6" t="str">
        <f t="shared" si="1"/>
        <v>F_16_17</v>
      </c>
      <c r="D38" s="188" t="s">
        <v>1074</v>
      </c>
      <c r="E38" s="138" t="s">
        <v>1211</v>
      </c>
      <c r="F38" s="138" t="s">
        <v>1084</v>
      </c>
      <c r="G38" s="6" t="str">
        <f>_xlfn.XLOOKUP(F38,Tab_Def_Processes[Process_Name],Tab_Def_Processes[Process_ID],,0,)</f>
        <v>16</v>
      </c>
      <c r="H38" s="138" t="s">
        <v>1086</v>
      </c>
      <c r="I38" s="9" t="str">
        <f>_xlfn.XLOOKUP(H38,Tab_Def_Processes[Process_Name],Tab_Def_Processes[Process_ID],,0,)</f>
        <v>17</v>
      </c>
      <c r="J38" s="138" t="s">
        <v>5</v>
      </c>
      <c r="K38" s="138" t="s">
        <v>5</v>
      </c>
      <c r="L38" s="138"/>
      <c r="M38" s="138" t="s">
        <v>5</v>
      </c>
      <c r="N38" s="6" t="str">
        <f>Tab_Def_Flows[[#This Row],[Flow_ID]]&amp;"_WC"</f>
        <v>F_16_17_WC</v>
      </c>
      <c r="O38" s="135"/>
      <c r="P38" s="13"/>
      <c r="Q38" s="6" t="str">
        <f>Tab_Def_Flows[[#This Row],[Flow_ID]]&amp;"_DM"</f>
        <v>F_16_17_DM</v>
      </c>
      <c r="R38" s="135"/>
      <c r="S38" s="13"/>
      <c r="T38" s="6" t="str">
        <f>Tab_Def_Flows[[#This Row],[Flow_ID]]&amp;"_CC"</f>
        <v>F_16_17_CC</v>
      </c>
      <c r="U38" s="135"/>
      <c r="V38" s="13"/>
      <c r="W38" s="139">
        <f>Tab_Def_Flows[[#This Row],[Flow_CC_DM'[%']]]*Tab_Def_Flows[[#This Row],[Flow_DM'[%']]]</f>
        <v>0</v>
      </c>
      <c r="X38" s="7"/>
      <c r="Y38" s="194" t="b">
        <f>'0_Configuration'!$C$2</f>
        <v>1</v>
      </c>
      <c r="Z38" s="6"/>
      <c r="AA38" s="194" t="b">
        <f>'0_Configuration'!$C$6</f>
        <v>0</v>
      </c>
      <c r="AB38" s="6" t="s">
        <v>1224</v>
      </c>
      <c r="AC38" s="194" t="b">
        <f>'0_Configuration'!$C$10</f>
        <v>0</v>
      </c>
      <c r="AD38" s="6" t="s">
        <v>1224</v>
      </c>
      <c r="AE38" s="194" t="b">
        <f>'0_Configuration'!$C$17</f>
        <v>0</v>
      </c>
      <c r="AF38" s="6">
        <f>_xlfn.XLOOKUP(Tab_Def_Flows[[#This Row],[ODYM_Good_Type]],Tab_Configuration[Value],Tab_Configuration[ODYM_ID],,0,)</f>
        <v>1</v>
      </c>
      <c r="AG38" s="194" t="b">
        <f>'0_Configuration'!$C$24</f>
        <v>0</v>
      </c>
      <c r="AH38" s="6"/>
      <c r="AI38" s="194" t="b">
        <f>'0_Configuration'!$C$29</f>
        <v>1</v>
      </c>
      <c r="AJ38" s="6" t="s">
        <v>1238</v>
      </c>
      <c r="AK38" s="6" t="str">
        <f>IF(Tab_Def_Flows[[#This Row],[ODYM_time_(t)]],"t,","")&amp;IF(Tab_Def_Flows[[#This Row],[ODYM_Region_(r)]],"r,","")&amp;IF(Tab_Def_Flows[[#This Row],[ODYM_process_(p)]],"p,","")&amp;IF(Tab_Def_Flows[[#This Row],[ODYM_Good_(g)2]],"g,","")&amp;IF(Tab_Def_Flows[[#This Row],[ODYM_material_(m)]],"m,","")&amp;IF(Tab_Def_Flows[[#This Row],[ODYM_element_(e)]],"e","")</f>
        <v>t,e</v>
      </c>
      <c r="AL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38" x14ac:dyDescent="0.25">
      <c r="A39" s="142" t="b">
        <v>0</v>
      </c>
      <c r="B39" s="16">
        <f t="shared" si="0"/>
        <v>38</v>
      </c>
      <c r="C39" s="6" t="str">
        <f t="shared" si="1"/>
        <v>F_16_18</v>
      </c>
      <c r="D39" s="188" t="s">
        <v>1075</v>
      </c>
      <c r="E39" s="138" t="s">
        <v>1211</v>
      </c>
      <c r="F39" s="138" t="s">
        <v>1084</v>
      </c>
      <c r="G39" s="6" t="str">
        <f>_xlfn.XLOOKUP(F39,Tab_Def_Processes[Process_Name],Tab_Def_Processes[Process_ID],,0,)</f>
        <v>16</v>
      </c>
      <c r="H39" s="138" t="s">
        <v>1087</v>
      </c>
      <c r="I39" s="9" t="str">
        <f>_xlfn.XLOOKUP(H39,Tab_Def_Processes[Process_Name],Tab_Def_Processes[Process_ID],,0,)</f>
        <v>18</v>
      </c>
      <c r="J39" s="138" t="s">
        <v>5</v>
      </c>
      <c r="K39" s="138" t="s">
        <v>5</v>
      </c>
      <c r="L39" s="138"/>
      <c r="M39" s="138" t="s">
        <v>5</v>
      </c>
      <c r="N39" s="6" t="str">
        <f>Tab_Def_Flows[[#This Row],[Flow_ID]]&amp;"_WC"</f>
        <v>F_16_18_WC</v>
      </c>
      <c r="O39" s="135"/>
      <c r="P39" s="13"/>
      <c r="Q39" s="6" t="str">
        <f>Tab_Def_Flows[[#This Row],[Flow_ID]]&amp;"_DM"</f>
        <v>F_16_18_DM</v>
      </c>
      <c r="R39" s="135"/>
      <c r="S39" s="13"/>
      <c r="T39" s="6" t="str">
        <f>Tab_Def_Flows[[#This Row],[Flow_ID]]&amp;"_CC"</f>
        <v>F_16_18_CC</v>
      </c>
      <c r="U39" s="135"/>
      <c r="V39" s="13"/>
      <c r="W39" s="139">
        <f>Tab_Def_Flows[[#This Row],[Flow_CC_DM'[%']]]*Tab_Def_Flows[[#This Row],[Flow_DM'[%']]]</f>
        <v>0</v>
      </c>
      <c r="X39" s="7"/>
      <c r="Y39" s="194" t="b">
        <f>'0_Configuration'!$C$2</f>
        <v>1</v>
      </c>
      <c r="Z39" s="6"/>
      <c r="AA39" s="194" t="b">
        <f>'0_Configuration'!$C$6</f>
        <v>0</v>
      </c>
      <c r="AB39" s="6" t="s">
        <v>1224</v>
      </c>
      <c r="AC39" s="194" t="b">
        <f>'0_Configuration'!$C$10</f>
        <v>0</v>
      </c>
      <c r="AD39" s="6" t="s">
        <v>1224</v>
      </c>
      <c r="AE39" s="194" t="b">
        <f>'0_Configuration'!$C$17</f>
        <v>0</v>
      </c>
      <c r="AF39" s="6">
        <f>_xlfn.XLOOKUP(Tab_Def_Flows[[#This Row],[ODYM_Good_Type]],Tab_Configuration[Value],Tab_Configuration[ODYM_ID],,0,)</f>
        <v>1</v>
      </c>
      <c r="AG39" s="194" t="b">
        <f>'0_Configuration'!$C$24</f>
        <v>0</v>
      </c>
      <c r="AH39" s="6"/>
      <c r="AI39" s="194" t="b">
        <f>'0_Configuration'!$C$29</f>
        <v>1</v>
      </c>
      <c r="AJ39" s="6" t="s">
        <v>1238</v>
      </c>
      <c r="AK39" s="6" t="str">
        <f>IF(Tab_Def_Flows[[#This Row],[ODYM_time_(t)]],"t,","")&amp;IF(Tab_Def_Flows[[#This Row],[ODYM_Region_(r)]],"r,","")&amp;IF(Tab_Def_Flows[[#This Row],[ODYM_process_(p)]],"p,","")&amp;IF(Tab_Def_Flows[[#This Row],[ODYM_Good_(g)2]],"g,","")&amp;IF(Tab_Def_Flows[[#This Row],[ODYM_material_(m)]],"m,","")&amp;IF(Tab_Def_Flows[[#This Row],[ODYM_element_(e)]],"e","")</f>
        <v>t,e</v>
      </c>
      <c r="AL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38" x14ac:dyDescent="0.25">
      <c r="A40" s="142" t="b">
        <v>0</v>
      </c>
      <c r="B40" s="16">
        <f t="shared" ref="B40:B41" si="18">ROW()-1</f>
        <v>39</v>
      </c>
      <c r="C40" s="6" t="str">
        <f t="shared" ref="C40:C41" si="19">"F_"&amp;LEFT(G40,2)&amp;"_"&amp;LEFT(I40,2)</f>
        <v>F_18_01</v>
      </c>
      <c r="D40" s="188" t="s">
        <v>1101</v>
      </c>
      <c r="E40" s="138" t="s">
        <v>1211</v>
      </c>
      <c r="F40" s="138" t="s">
        <v>1087</v>
      </c>
      <c r="G40" s="6" t="str">
        <f>_xlfn.XLOOKUP(F40,Tab_Def_Processes[Process_Name],Tab_Def_Processes[Process_ID],,0,)</f>
        <v>18</v>
      </c>
      <c r="H40" s="138" t="s">
        <v>1097</v>
      </c>
      <c r="I40" s="9" t="str">
        <f>_xlfn.XLOOKUP(H40,Tab_Def_Processes[Process_Name],Tab_Def_Processes[Process_ID],,0,)</f>
        <v>01</v>
      </c>
      <c r="J40" s="138" t="s">
        <v>5</v>
      </c>
      <c r="K40" s="138" t="s">
        <v>5</v>
      </c>
      <c r="L40" s="138"/>
      <c r="M40" s="138" t="s">
        <v>5</v>
      </c>
      <c r="N40" s="6" t="str">
        <f>Tab_Def_Flows[[#This Row],[Flow_ID]]&amp;"_WC"</f>
        <v>F_18_01_WC</v>
      </c>
      <c r="O40" s="135"/>
      <c r="P40" s="13"/>
      <c r="Q40" s="6" t="str">
        <f>Tab_Def_Flows[[#This Row],[Flow_ID]]&amp;"_DM"</f>
        <v>F_18_01_DM</v>
      </c>
      <c r="R40" s="135"/>
      <c r="S40" s="13"/>
      <c r="T40" s="6" t="str">
        <f>Tab_Def_Flows[[#This Row],[Flow_ID]]&amp;"_CC"</f>
        <v>F_18_01_CC</v>
      </c>
      <c r="U40" s="135"/>
      <c r="V40" s="13"/>
      <c r="W40" s="139">
        <f>Tab_Def_Flows[[#This Row],[Flow_CC_DM'[%']]]*Tab_Def_Flows[[#This Row],[Flow_DM'[%']]]</f>
        <v>0</v>
      </c>
      <c r="X40" s="7"/>
      <c r="Y40" s="194" t="b">
        <f>'0_Configuration'!$C$2</f>
        <v>1</v>
      </c>
      <c r="Z40" s="6"/>
      <c r="AA40" s="194" t="b">
        <f>'0_Configuration'!$C$6</f>
        <v>0</v>
      </c>
      <c r="AB40" s="6" t="s">
        <v>1224</v>
      </c>
      <c r="AC40" s="194" t="b">
        <f>'0_Configuration'!$C$10</f>
        <v>0</v>
      </c>
      <c r="AD40" s="6" t="s">
        <v>1224</v>
      </c>
      <c r="AE40" s="194" t="b">
        <f>'0_Configuration'!$C$17</f>
        <v>0</v>
      </c>
      <c r="AF40" s="6">
        <f>_xlfn.XLOOKUP(Tab_Def_Flows[[#This Row],[ODYM_Good_Type]],Tab_Configuration[Value],Tab_Configuration[ODYM_ID],,0,)</f>
        <v>1</v>
      </c>
      <c r="AG40" s="194" t="b">
        <f>'0_Configuration'!$C$24</f>
        <v>0</v>
      </c>
      <c r="AH40" s="6"/>
      <c r="AI40" s="194" t="b">
        <f>'0_Configuration'!$C$29</f>
        <v>1</v>
      </c>
      <c r="AJ40" s="6" t="s">
        <v>1238</v>
      </c>
      <c r="AK40" s="6" t="str">
        <f>IF(Tab_Def_Flows[[#This Row],[ODYM_time_(t)]],"t,","")&amp;IF(Tab_Def_Flows[[#This Row],[ODYM_Region_(r)]],"r,","")&amp;IF(Tab_Def_Flows[[#This Row],[ODYM_process_(p)]],"p,","")&amp;IF(Tab_Def_Flows[[#This Row],[ODYM_Good_(g)2]],"g,","")&amp;IF(Tab_Def_Flows[[#This Row],[ODYM_material_(m)]],"m,","")&amp;IF(Tab_Def_Flows[[#This Row],[ODYM_element_(e)]],"e","")</f>
        <v>t,e</v>
      </c>
      <c r="AL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38" x14ac:dyDescent="0.25">
      <c r="A41" s="142" t="b">
        <v>0</v>
      </c>
      <c r="B41" s="16">
        <f t="shared" si="18"/>
        <v>40</v>
      </c>
      <c r="C41" s="6" t="str">
        <f t="shared" si="19"/>
        <v>F_18_00</v>
      </c>
      <c r="D41" s="188" t="s">
        <v>1102</v>
      </c>
      <c r="E41" s="138" t="s">
        <v>1211</v>
      </c>
      <c r="F41" s="138" t="s">
        <v>1087</v>
      </c>
      <c r="G41" s="6" t="str">
        <f>_xlfn.XLOOKUP(F41,Tab_Def_Processes[Process_Name],Tab_Def_Processes[Process_ID],,0,)</f>
        <v>18</v>
      </c>
      <c r="H41" s="138" t="s">
        <v>1096</v>
      </c>
      <c r="I41" s="9" t="str">
        <f>_xlfn.XLOOKUP(H41,Tab_Def_Processes[Process_Name],Tab_Def_Processes[Process_ID],,0,)</f>
        <v>00</v>
      </c>
      <c r="J41" s="138" t="s">
        <v>5</v>
      </c>
      <c r="K41" s="138" t="s">
        <v>5</v>
      </c>
      <c r="L41" s="138"/>
      <c r="M41" s="138" t="s">
        <v>5</v>
      </c>
      <c r="N41" s="6" t="str">
        <f>Tab_Def_Flows[[#This Row],[Flow_ID]]&amp;"_WC"</f>
        <v>F_18_00_WC</v>
      </c>
      <c r="O41" s="135"/>
      <c r="P41" s="13"/>
      <c r="Q41" s="6" t="str">
        <f>Tab_Def_Flows[[#This Row],[Flow_ID]]&amp;"_DM"</f>
        <v>F_18_00_DM</v>
      </c>
      <c r="R41" s="135"/>
      <c r="S41" s="13"/>
      <c r="T41" s="6" t="str">
        <f>Tab_Def_Flows[[#This Row],[Flow_ID]]&amp;"_CC"</f>
        <v>F_18_00_CC</v>
      </c>
      <c r="U41" s="135"/>
      <c r="V41" s="13"/>
      <c r="W41" s="139">
        <f>Tab_Def_Flows[[#This Row],[Flow_CC_DM'[%']]]*Tab_Def_Flows[[#This Row],[Flow_DM'[%']]]</f>
        <v>0</v>
      </c>
      <c r="X41" s="7"/>
      <c r="Y41" s="194" t="b">
        <f>'0_Configuration'!$C$2</f>
        <v>1</v>
      </c>
      <c r="Z41" s="6"/>
      <c r="AA41" s="194" t="b">
        <f>'0_Configuration'!$C$6</f>
        <v>0</v>
      </c>
      <c r="AB41" s="6" t="s">
        <v>1224</v>
      </c>
      <c r="AC41" s="194" t="b">
        <f>'0_Configuration'!$C$10</f>
        <v>0</v>
      </c>
      <c r="AD41" s="6" t="s">
        <v>1224</v>
      </c>
      <c r="AE41" s="194" t="b">
        <f>'0_Configuration'!$C$17</f>
        <v>0</v>
      </c>
      <c r="AF41" s="6">
        <f>_xlfn.XLOOKUP(Tab_Def_Flows[[#This Row],[ODYM_Good_Type]],Tab_Configuration[Value],Tab_Configuration[ODYM_ID],,0,)</f>
        <v>1</v>
      </c>
      <c r="AG41" s="194" t="b">
        <f>'0_Configuration'!$C$24</f>
        <v>0</v>
      </c>
      <c r="AH41" s="6"/>
      <c r="AI41" s="194" t="b">
        <f>'0_Configuration'!$C$29</f>
        <v>1</v>
      </c>
      <c r="AJ41" s="6" t="s">
        <v>1238</v>
      </c>
      <c r="AK41" s="6" t="str">
        <f>IF(Tab_Def_Flows[[#This Row],[ODYM_time_(t)]],"t,","")&amp;IF(Tab_Def_Flows[[#This Row],[ODYM_Region_(r)]],"r,","")&amp;IF(Tab_Def_Flows[[#This Row],[ODYM_process_(p)]],"p,","")&amp;IF(Tab_Def_Flows[[#This Row],[ODYM_Good_(g)2]],"g,","")&amp;IF(Tab_Def_Flows[[#This Row],[ODYM_material_(m)]],"m,","")&amp;IF(Tab_Def_Flows[[#This Row],[ODYM_element_(e)]],"e","")</f>
        <v>t,e</v>
      </c>
      <c r="AL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38" x14ac:dyDescent="0.25">
      <c r="A42" s="142" t="b">
        <v>0</v>
      </c>
      <c r="B42" s="16">
        <f t="shared" si="0"/>
        <v>41</v>
      </c>
      <c r="C42" s="6" t="str">
        <f t="shared" si="1"/>
        <v>F_17_22</v>
      </c>
      <c r="D42" s="188" t="s">
        <v>1076</v>
      </c>
      <c r="E42" s="138" t="s">
        <v>1211</v>
      </c>
      <c r="F42" s="138" t="s">
        <v>1086</v>
      </c>
      <c r="G42" s="6" t="str">
        <f>_xlfn.XLOOKUP(F42,Tab_Def_Processes[Process_Name],Tab_Def_Processes[Process_ID],,0,)</f>
        <v>17</v>
      </c>
      <c r="H42" s="138" t="s">
        <v>1093</v>
      </c>
      <c r="I42" s="9" t="str">
        <f>_xlfn.XLOOKUP(H42,Tab_Def_Processes[Process_Name],Tab_Def_Processes[Process_ID],,0,)</f>
        <v>22</v>
      </c>
      <c r="J42" s="138" t="s">
        <v>5</v>
      </c>
      <c r="K42" s="138" t="s">
        <v>5</v>
      </c>
      <c r="L42" s="138"/>
      <c r="M42" s="138" t="s">
        <v>5</v>
      </c>
      <c r="N42" s="6" t="str">
        <f>Tab_Def_Flows[[#This Row],[Flow_ID]]&amp;"_WC"</f>
        <v>F_17_22_WC</v>
      </c>
      <c r="O42" s="135"/>
      <c r="P42" s="13"/>
      <c r="Q42" s="6" t="str">
        <f>Tab_Def_Flows[[#This Row],[Flow_ID]]&amp;"_DM"</f>
        <v>F_17_22_DM</v>
      </c>
      <c r="R42" s="135"/>
      <c r="S42" s="13"/>
      <c r="T42" s="6" t="str">
        <f>Tab_Def_Flows[[#This Row],[Flow_ID]]&amp;"_CC"</f>
        <v>F_17_22_CC</v>
      </c>
      <c r="U42" s="135"/>
      <c r="V42" s="13"/>
      <c r="W42" s="139">
        <f>Tab_Def_Flows[[#This Row],[Flow_CC_DM'[%']]]*Tab_Def_Flows[[#This Row],[Flow_DM'[%']]]</f>
        <v>0</v>
      </c>
      <c r="X42" s="7"/>
      <c r="Y42" s="194" t="b">
        <f>'0_Configuration'!$C$2</f>
        <v>1</v>
      </c>
      <c r="Z42" s="6"/>
      <c r="AA42" s="194" t="b">
        <f>'0_Configuration'!$C$6</f>
        <v>0</v>
      </c>
      <c r="AB42" s="6" t="s">
        <v>1224</v>
      </c>
      <c r="AC42" s="194" t="b">
        <f>'0_Configuration'!$C$10</f>
        <v>0</v>
      </c>
      <c r="AD42" s="6" t="s">
        <v>1224</v>
      </c>
      <c r="AE42" s="194" t="b">
        <f>'0_Configuration'!$C$17</f>
        <v>0</v>
      </c>
      <c r="AF42" s="6">
        <f>_xlfn.XLOOKUP(Tab_Def_Flows[[#This Row],[ODYM_Good_Type]],Tab_Configuration[Value],Tab_Configuration[ODYM_ID],,0,)</f>
        <v>1</v>
      </c>
      <c r="AG42" s="194" t="b">
        <f>'0_Configuration'!$C$24</f>
        <v>0</v>
      </c>
      <c r="AH42" s="6"/>
      <c r="AI42" s="194" t="b">
        <f>'0_Configuration'!$C$29</f>
        <v>1</v>
      </c>
      <c r="AJ42" s="6" t="s">
        <v>1238</v>
      </c>
      <c r="AK42" s="6" t="str">
        <f>IF(Tab_Def_Flows[[#This Row],[ODYM_time_(t)]],"t,","")&amp;IF(Tab_Def_Flows[[#This Row],[ODYM_Region_(r)]],"r,","")&amp;IF(Tab_Def_Flows[[#This Row],[ODYM_process_(p)]],"p,","")&amp;IF(Tab_Def_Flows[[#This Row],[ODYM_Good_(g)2]],"g,","")&amp;IF(Tab_Def_Flows[[#This Row],[ODYM_material_(m)]],"m,","")&amp;IF(Tab_Def_Flows[[#This Row],[ODYM_element_(e)]],"e","")</f>
        <v>t,e</v>
      </c>
      <c r="AL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38" x14ac:dyDescent="0.25">
      <c r="A43" s="142" t="b">
        <v>0</v>
      </c>
      <c r="B43" s="16">
        <f t="shared" si="0"/>
        <v>42</v>
      </c>
      <c r="C43" s="6" t="str">
        <f t="shared" si="1"/>
        <v>F_18_19</v>
      </c>
      <c r="D43" s="188" t="s">
        <v>1103</v>
      </c>
      <c r="E43" s="138" t="s">
        <v>1211</v>
      </c>
      <c r="F43" s="138" t="s">
        <v>1087</v>
      </c>
      <c r="G43" s="6" t="str">
        <f>_xlfn.XLOOKUP(F43,Tab_Def_Processes[Process_Name],Tab_Def_Processes[Process_ID],,0,)</f>
        <v>18</v>
      </c>
      <c r="H43" s="138" t="s">
        <v>1094</v>
      </c>
      <c r="I43" s="9" t="str">
        <f>_xlfn.XLOOKUP(H43,Tab_Def_Processes[Process_Name],Tab_Def_Processes[Process_ID],,0,)</f>
        <v>19</v>
      </c>
      <c r="J43" s="138" t="s">
        <v>5</v>
      </c>
      <c r="K43" s="138" t="s">
        <v>5</v>
      </c>
      <c r="L43" s="138"/>
      <c r="M43" s="138" t="s">
        <v>5</v>
      </c>
      <c r="N43" s="6" t="str">
        <f>Tab_Def_Flows[[#This Row],[Flow_ID]]&amp;"_WC"</f>
        <v>F_18_19_WC</v>
      </c>
      <c r="O43" s="135"/>
      <c r="P43" s="13"/>
      <c r="Q43" s="6" t="str">
        <f>Tab_Def_Flows[[#This Row],[Flow_ID]]&amp;"_DM"</f>
        <v>F_18_19_DM</v>
      </c>
      <c r="R43" s="135"/>
      <c r="S43" s="13"/>
      <c r="T43" s="6" t="str">
        <f>Tab_Def_Flows[[#This Row],[Flow_ID]]&amp;"_CC"</f>
        <v>F_18_19_CC</v>
      </c>
      <c r="U43" s="135"/>
      <c r="V43" s="13"/>
      <c r="W43" s="139">
        <f>Tab_Def_Flows[[#This Row],[Flow_CC_DM'[%']]]*Tab_Def_Flows[[#This Row],[Flow_DM'[%']]]</f>
        <v>0</v>
      </c>
      <c r="X43" s="7"/>
      <c r="Y43" s="194" t="b">
        <f>'0_Configuration'!$C$2</f>
        <v>1</v>
      </c>
      <c r="Z43" s="6"/>
      <c r="AA43" s="194" t="b">
        <f>'0_Configuration'!$C$6</f>
        <v>0</v>
      </c>
      <c r="AB43" s="6" t="s">
        <v>1224</v>
      </c>
      <c r="AC43" s="194" t="b">
        <f>'0_Configuration'!$C$10</f>
        <v>0</v>
      </c>
      <c r="AD43" s="6" t="s">
        <v>1224</v>
      </c>
      <c r="AE43" s="194" t="b">
        <f>'0_Configuration'!$C$17</f>
        <v>0</v>
      </c>
      <c r="AF43" s="6">
        <f>_xlfn.XLOOKUP(Tab_Def_Flows[[#This Row],[ODYM_Good_Type]],Tab_Configuration[Value],Tab_Configuration[ODYM_ID],,0,)</f>
        <v>1</v>
      </c>
      <c r="AG43" s="194" t="b">
        <f>'0_Configuration'!$C$24</f>
        <v>0</v>
      </c>
      <c r="AH43" s="6"/>
      <c r="AI43" s="194" t="b">
        <f>'0_Configuration'!$C$29</f>
        <v>1</v>
      </c>
      <c r="AJ43" s="6" t="s">
        <v>1238</v>
      </c>
      <c r="AK43" s="6" t="str">
        <f>IF(Tab_Def_Flows[[#This Row],[ODYM_time_(t)]],"t,","")&amp;IF(Tab_Def_Flows[[#This Row],[ODYM_Region_(r)]],"r,","")&amp;IF(Tab_Def_Flows[[#This Row],[ODYM_process_(p)]],"p,","")&amp;IF(Tab_Def_Flows[[#This Row],[ODYM_Good_(g)2]],"g,","")&amp;IF(Tab_Def_Flows[[#This Row],[ODYM_material_(m)]],"m,","")&amp;IF(Tab_Def_Flows[[#This Row],[ODYM_element_(e)]],"e","")</f>
        <v>t,e</v>
      </c>
      <c r="AL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38" x14ac:dyDescent="0.25">
      <c r="A44" s="142" t="b">
        <v>0</v>
      </c>
      <c r="B44" s="16">
        <f t="shared" si="0"/>
        <v>43</v>
      </c>
      <c r="C44" s="6" t="str">
        <f t="shared" si="1"/>
        <v>F_18_01</v>
      </c>
      <c r="D44" s="188" t="s">
        <v>1101</v>
      </c>
      <c r="E44" s="138" t="s">
        <v>1211</v>
      </c>
      <c r="F44" s="138" t="s">
        <v>1087</v>
      </c>
      <c r="G44" s="6" t="str">
        <f>_xlfn.XLOOKUP(F44,Tab_Def_Processes[Process_Name],Tab_Def_Processes[Process_ID],,0,)</f>
        <v>18</v>
      </c>
      <c r="H44" s="138" t="s">
        <v>1097</v>
      </c>
      <c r="I44" s="9" t="str">
        <f>_xlfn.XLOOKUP(H44,Tab_Def_Processes[Process_Name],Tab_Def_Processes[Process_ID],,0,)</f>
        <v>01</v>
      </c>
      <c r="J44" s="138" t="s">
        <v>5</v>
      </c>
      <c r="K44" s="138" t="s">
        <v>5</v>
      </c>
      <c r="L44" s="138"/>
      <c r="M44" s="138" t="s">
        <v>5</v>
      </c>
      <c r="N44" s="6" t="str">
        <f>Tab_Def_Flows[[#This Row],[Flow_ID]]&amp;"_WC"</f>
        <v>F_18_01_WC</v>
      </c>
      <c r="O44" s="135"/>
      <c r="P44" s="13"/>
      <c r="Q44" s="6" t="str">
        <f>Tab_Def_Flows[[#This Row],[Flow_ID]]&amp;"_DM"</f>
        <v>F_18_01_DM</v>
      </c>
      <c r="R44" s="135"/>
      <c r="S44" s="13"/>
      <c r="T44" s="6" t="str">
        <f>Tab_Def_Flows[[#This Row],[Flow_ID]]&amp;"_CC"</f>
        <v>F_18_01_CC</v>
      </c>
      <c r="U44" s="135"/>
      <c r="V44" s="13"/>
      <c r="W44" s="139">
        <f>Tab_Def_Flows[[#This Row],[Flow_CC_DM'[%']]]*Tab_Def_Flows[[#This Row],[Flow_DM'[%']]]</f>
        <v>0</v>
      </c>
      <c r="X44" s="7"/>
      <c r="Y44" s="194" t="b">
        <f>'0_Configuration'!$C$2</f>
        <v>1</v>
      </c>
      <c r="Z44" s="6"/>
      <c r="AA44" s="194" t="b">
        <f>'0_Configuration'!$C$6</f>
        <v>0</v>
      </c>
      <c r="AB44" s="6" t="s">
        <v>1224</v>
      </c>
      <c r="AC44" s="194" t="b">
        <f>'0_Configuration'!$C$10</f>
        <v>0</v>
      </c>
      <c r="AD44" s="6" t="s">
        <v>1224</v>
      </c>
      <c r="AE44" s="194" t="b">
        <f>'0_Configuration'!$C$17</f>
        <v>0</v>
      </c>
      <c r="AF44" s="6">
        <f>_xlfn.XLOOKUP(Tab_Def_Flows[[#This Row],[ODYM_Good_Type]],Tab_Configuration[Value],Tab_Configuration[ODYM_ID],,0,)</f>
        <v>1</v>
      </c>
      <c r="AG44" s="194" t="b">
        <f>'0_Configuration'!$C$24</f>
        <v>0</v>
      </c>
      <c r="AH44" s="6"/>
      <c r="AI44" s="194" t="b">
        <f>'0_Configuration'!$C$29</f>
        <v>1</v>
      </c>
      <c r="AJ44" s="6" t="s">
        <v>1238</v>
      </c>
      <c r="AK44" s="6" t="str">
        <f>IF(Tab_Def_Flows[[#This Row],[ODYM_time_(t)]],"t,","")&amp;IF(Tab_Def_Flows[[#This Row],[ODYM_Region_(r)]],"r,","")&amp;IF(Tab_Def_Flows[[#This Row],[ODYM_process_(p)]],"p,","")&amp;IF(Tab_Def_Flows[[#This Row],[ODYM_Good_(g)2]],"g,","")&amp;IF(Tab_Def_Flows[[#This Row],[ODYM_material_(m)]],"m,","")&amp;IF(Tab_Def_Flows[[#This Row],[ODYM_element_(e)]],"e","")</f>
        <v>t,e</v>
      </c>
      <c r="AL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38" x14ac:dyDescent="0.25">
      <c r="A45" s="142" t="b">
        <v>0</v>
      </c>
      <c r="B45" s="16">
        <f t="shared" si="0"/>
        <v>44</v>
      </c>
      <c r="C45" s="6" t="str">
        <f t="shared" si="1"/>
        <v>F_18_00</v>
      </c>
      <c r="D45" s="188" t="s">
        <v>1102</v>
      </c>
      <c r="E45" s="138" t="s">
        <v>1211</v>
      </c>
      <c r="F45" s="138" t="s">
        <v>1087</v>
      </c>
      <c r="G45" s="6" t="str">
        <f>_xlfn.XLOOKUP(F45,Tab_Def_Processes[Process_Name],Tab_Def_Processes[Process_ID],,0,)</f>
        <v>18</v>
      </c>
      <c r="H45" s="138" t="s">
        <v>1096</v>
      </c>
      <c r="I45" s="9" t="str">
        <f>_xlfn.XLOOKUP(H45,Tab_Def_Processes[Process_Name],Tab_Def_Processes[Process_ID],,0,)</f>
        <v>00</v>
      </c>
      <c r="J45" s="138" t="s">
        <v>5</v>
      </c>
      <c r="K45" s="138" t="s">
        <v>5</v>
      </c>
      <c r="L45" s="138"/>
      <c r="M45" s="138" t="s">
        <v>5</v>
      </c>
      <c r="N45" s="6" t="str">
        <f>Tab_Def_Flows[[#This Row],[Flow_ID]]&amp;"_WC"</f>
        <v>F_18_00_WC</v>
      </c>
      <c r="O45" s="135"/>
      <c r="P45" s="13"/>
      <c r="Q45" s="6" t="str">
        <f>Tab_Def_Flows[[#This Row],[Flow_ID]]&amp;"_DM"</f>
        <v>F_18_00_DM</v>
      </c>
      <c r="R45" s="135"/>
      <c r="S45" s="13"/>
      <c r="T45" s="6" t="str">
        <f>Tab_Def_Flows[[#This Row],[Flow_ID]]&amp;"_CC"</f>
        <v>F_18_00_CC</v>
      </c>
      <c r="U45" s="135"/>
      <c r="V45" s="13"/>
      <c r="W45" s="139">
        <f>Tab_Def_Flows[[#This Row],[Flow_CC_DM'[%']]]*Tab_Def_Flows[[#This Row],[Flow_DM'[%']]]</f>
        <v>0</v>
      </c>
      <c r="X45" s="7"/>
      <c r="Y45" s="194" t="b">
        <f>'0_Configuration'!$C$2</f>
        <v>1</v>
      </c>
      <c r="Z45" s="6"/>
      <c r="AA45" s="194" t="b">
        <f>'0_Configuration'!$C$6</f>
        <v>0</v>
      </c>
      <c r="AB45" s="6" t="s">
        <v>1224</v>
      </c>
      <c r="AC45" s="194" t="b">
        <f>'0_Configuration'!$C$10</f>
        <v>0</v>
      </c>
      <c r="AD45" s="6" t="s">
        <v>1224</v>
      </c>
      <c r="AE45" s="194" t="b">
        <f>'0_Configuration'!$C$17</f>
        <v>0</v>
      </c>
      <c r="AF45" s="6">
        <f>_xlfn.XLOOKUP(Tab_Def_Flows[[#This Row],[ODYM_Good_Type]],Tab_Configuration[Value],Tab_Configuration[ODYM_ID],,0,)</f>
        <v>1</v>
      </c>
      <c r="AG45" s="194" t="b">
        <f>'0_Configuration'!$C$24</f>
        <v>0</v>
      </c>
      <c r="AH45" s="6"/>
      <c r="AI45" s="194" t="b">
        <f>'0_Configuration'!$C$29</f>
        <v>1</v>
      </c>
      <c r="AJ45" s="6" t="s">
        <v>1238</v>
      </c>
      <c r="AK45" s="6" t="str">
        <f>IF(Tab_Def_Flows[[#This Row],[ODYM_time_(t)]],"t,","")&amp;IF(Tab_Def_Flows[[#This Row],[ODYM_Region_(r)]],"r,","")&amp;IF(Tab_Def_Flows[[#This Row],[ODYM_process_(p)]],"p,","")&amp;IF(Tab_Def_Flows[[#This Row],[ODYM_Good_(g)2]],"g,","")&amp;IF(Tab_Def_Flows[[#This Row],[ODYM_material_(m)]],"m,","")&amp;IF(Tab_Def_Flows[[#This Row],[ODYM_element_(e)]],"e","")</f>
        <v>t,e</v>
      </c>
      <c r="AL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38" x14ac:dyDescent="0.25">
      <c r="A46" s="142" t="b">
        <v>0</v>
      </c>
      <c r="B46" s="16">
        <f t="shared" si="0"/>
        <v>45</v>
      </c>
      <c r="C46" s="6" t="str">
        <f t="shared" si="1"/>
        <v>F_17_22</v>
      </c>
      <c r="D46" s="188" t="s">
        <v>1076</v>
      </c>
      <c r="E46" s="138" t="s">
        <v>1211</v>
      </c>
      <c r="F46" s="138" t="s">
        <v>1086</v>
      </c>
      <c r="G46" s="6" t="str">
        <f>_xlfn.XLOOKUP(F46,Tab_Def_Processes[Process_Name],Tab_Def_Processes[Process_ID],,0,)</f>
        <v>17</v>
      </c>
      <c r="H46" s="138" t="s">
        <v>1093</v>
      </c>
      <c r="I46" s="9" t="str">
        <f>_xlfn.XLOOKUP(H46,Tab_Def_Processes[Process_Name],Tab_Def_Processes[Process_ID],,0,)</f>
        <v>22</v>
      </c>
      <c r="J46" s="138" t="s">
        <v>5</v>
      </c>
      <c r="K46" s="138" t="s">
        <v>5</v>
      </c>
      <c r="L46" s="138"/>
      <c r="M46" s="138" t="s">
        <v>5</v>
      </c>
      <c r="N46" s="6" t="str">
        <f>Tab_Def_Flows[[#This Row],[Flow_ID]]&amp;"_WC"</f>
        <v>F_17_22_WC</v>
      </c>
      <c r="O46" s="135"/>
      <c r="P46" s="13"/>
      <c r="Q46" s="6" t="str">
        <f>Tab_Def_Flows[[#This Row],[Flow_ID]]&amp;"_DM"</f>
        <v>F_17_22_DM</v>
      </c>
      <c r="R46" s="135"/>
      <c r="S46" s="13"/>
      <c r="T46" s="6" t="str">
        <f>Tab_Def_Flows[[#This Row],[Flow_ID]]&amp;"_CC"</f>
        <v>F_17_22_CC</v>
      </c>
      <c r="U46" s="135"/>
      <c r="V46" s="13"/>
      <c r="W46" s="139">
        <f>Tab_Def_Flows[[#This Row],[Flow_CC_DM'[%']]]*Tab_Def_Flows[[#This Row],[Flow_DM'[%']]]</f>
        <v>0</v>
      </c>
      <c r="X46" s="7"/>
      <c r="Y46" s="194" t="b">
        <f>'0_Configuration'!$C$2</f>
        <v>1</v>
      </c>
      <c r="Z46" s="6"/>
      <c r="AA46" s="194" t="b">
        <f>'0_Configuration'!$C$6</f>
        <v>0</v>
      </c>
      <c r="AB46" s="6" t="s">
        <v>1224</v>
      </c>
      <c r="AC46" s="194" t="b">
        <f>'0_Configuration'!$C$10</f>
        <v>0</v>
      </c>
      <c r="AD46" s="6" t="s">
        <v>1224</v>
      </c>
      <c r="AE46" s="194" t="b">
        <f>'0_Configuration'!$C$17</f>
        <v>0</v>
      </c>
      <c r="AF46" s="6">
        <f>_xlfn.XLOOKUP(Tab_Def_Flows[[#This Row],[ODYM_Good_Type]],Tab_Configuration[Value],Tab_Configuration[ODYM_ID],,0,)</f>
        <v>1</v>
      </c>
      <c r="AG46" s="194" t="b">
        <f>'0_Configuration'!$C$24</f>
        <v>0</v>
      </c>
      <c r="AH46" s="6"/>
      <c r="AI46" s="194" t="b">
        <f>'0_Configuration'!$C$29</f>
        <v>1</v>
      </c>
      <c r="AJ46" s="6" t="s">
        <v>1238</v>
      </c>
      <c r="AK46" s="6" t="str">
        <f>IF(Tab_Def_Flows[[#This Row],[ODYM_time_(t)]],"t,","")&amp;IF(Tab_Def_Flows[[#This Row],[ODYM_Region_(r)]],"r,","")&amp;IF(Tab_Def_Flows[[#This Row],[ODYM_process_(p)]],"p,","")&amp;IF(Tab_Def_Flows[[#This Row],[ODYM_Good_(g)2]],"g,","")&amp;IF(Tab_Def_Flows[[#This Row],[ODYM_material_(m)]],"m,","")&amp;IF(Tab_Def_Flows[[#This Row],[ODYM_element_(e)]],"e","")</f>
        <v>t,e</v>
      </c>
      <c r="AL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38" x14ac:dyDescent="0.25">
      <c r="A47" s="142" t="b">
        <v>0</v>
      </c>
      <c r="B47" s="16">
        <f t="shared" ref="B47:B48" si="20">ROW()-1</f>
        <v>46</v>
      </c>
      <c r="C47" s="6" t="str">
        <f t="shared" ref="C47:C48" si="21">"F_"&amp;LEFT(G47,2)&amp;"_"&amp;LEFT(I47,2)</f>
        <v>F_17_01</v>
      </c>
      <c r="D47" s="188" t="s">
        <v>1125</v>
      </c>
      <c r="E47" s="138" t="s">
        <v>1211</v>
      </c>
      <c r="F47" s="138" t="s">
        <v>1086</v>
      </c>
      <c r="G47" s="6" t="str">
        <f>_xlfn.XLOOKUP(F47,Tab_Def_Processes[Process_Name],Tab_Def_Processes[Process_ID],,0,)</f>
        <v>17</v>
      </c>
      <c r="H47" s="138" t="s">
        <v>1097</v>
      </c>
      <c r="I47" s="9" t="str">
        <f>_xlfn.XLOOKUP(H47,Tab_Def_Processes[Process_Name],Tab_Def_Processes[Process_ID],,0,)</f>
        <v>01</v>
      </c>
      <c r="J47" s="138" t="s">
        <v>5</v>
      </c>
      <c r="K47" s="138" t="s">
        <v>5</v>
      </c>
      <c r="L47" s="138"/>
      <c r="M47" s="138" t="s">
        <v>5</v>
      </c>
      <c r="N47" s="6" t="str">
        <f>Tab_Def_Flows[[#This Row],[Flow_ID]]&amp;"_WC"</f>
        <v>F_17_01_WC</v>
      </c>
      <c r="O47" s="135"/>
      <c r="P47" s="13"/>
      <c r="Q47" s="6" t="str">
        <f>Tab_Def_Flows[[#This Row],[Flow_ID]]&amp;"_DM"</f>
        <v>F_17_01_DM</v>
      </c>
      <c r="R47" s="135"/>
      <c r="S47" s="13"/>
      <c r="T47" s="6" t="str">
        <f>Tab_Def_Flows[[#This Row],[Flow_ID]]&amp;"_CC"</f>
        <v>F_17_01_CC</v>
      </c>
      <c r="U47" s="135"/>
      <c r="V47" s="13"/>
      <c r="W47" s="139">
        <f>Tab_Def_Flows[[#This Row],[Flow_CC_DM'[%']]]*Tab_Def_Flows[[#This Row],[Flow_DM'[%']]]</f>
        <v>0</v>
      </c>
      <c r="X47" s="7"/>
      <c r="Y47" s="194" t="b">
        <f>'0_Configuration'!$C$2</f>
        <v>1</v>
      </c>
      <c r="Z47" s="6"/>
      <c r="AA47" s="194" t="b">
        <f>'0_Configuration'!$C$6</f>
        <v>0</v>
      </c>
      <c r="AB47" s="6" t="s">
        <v>1224</v>
      </c>
      <c r="AC47" s="194" t="b">
        <f>'0_Configuration'!$C$10</f>
        <v>0</v>
      </c>
      <c r="AD47" s="6" t="s">
        <v>1224</v>
      </c>
      <c r="AE47" s="194" t="b">
        <f>'0_Configuration'!$C$17</f>
        <v>0</v>
      </c>
      <c r="AF47" s="6">
        <f>_xlfn.XLOOKUP(Tab_Def_Flows[[#This Row],[ODYM_Good_Type]],Tab_Configuration[Value],Tab_Configuration[ODYM_ID],,0,)</f>
        <v>1</v>
      </c>
      <c r="AG47" s="194" t="b">
        <f>'0_Configuration'!$C$24</f>
        <v>0</v>
      </c>
      <c r="AH47" s="6"/>
      <c r="AI47" s="194" t="b">
        <f>'0_Configuration'!$C$29</f>
        <v>1</v>
      </c>
      <c r="AJ47" s="6" t="s">
        <v>1238</v>
      </c>
      <c r="AK47" s="6" t="str">
        <f>IF(Tab_Def_Flows[[#This Row],[ODYM_time_(t)]],"t,","")&amp;IF(Tab_Def_Flows[[#This Row],[ODYM_Region_(r)]],"r,","")&amp;IF(Tab_Def_Flows[[#This Row],[ODYM_process_(p)]],"p,","")&amp;IF(Tab_Def_Flows[[#This Row],[ODYM_Good_(g)2]],"g,","")&amp;IF(Tab_Def_Flows[[#This Row],[ODYM_material_(m)]],"m,","")&amp;IF(Tab_Def_Flows[[#This Row],[ODYM_element_(e)]],"e","")</f>
        <v>t,e</v>
      </c>
      <c r="AL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38" x14ac:dyDescent="0.25">
      <c r="A48" s="142" t="b">
        <v>0</v>
      </c>
      <c r="B48" s="16">
        <f t="shared" si="20"/>
        <v>47</v>
      </c>
      <c r="C48" s="6" t="str">
        <f t="shared" si="21"/>
        <v>F_17_00</v>
      </c>
      <c r="D48" s="188" t="s">
        <v>1126</v>
      </c>
      <c r="E48" s="138" t="s">
        <v>1211</v>
      </c>
      <c r="F48" s="138" t="s">
        <v>1086</v>
      </c>
      <c r="G48" s="6" t="str">
        <f>_xlfn.XLOOKUP(F48,Tab_Def_Processes[Process_Name],Tab_Def_Processes[Process_ID],,0,)</f>
        <v>17</v>
      </c>
      <c r="H48" s="138" t="s">
        <v>1096</v>
      </c>
      <c r="I48" s="9" t="str">
        <f>_xlfn.XLOOKUP(H48,Tab_Def_Processes[Process_Name],Tab_Def_Processes[Process_ID],,0,)</f>
        <v>00</v>
      </c>
      <c r="J48" s="138" t="s">
        <v>5</v>
      </c>
      <c r="K48" s="138" t="s">
        <v>5</v>
      </c>
      <c r="L48" s="138"/>
      <c r="M48" s="138" t="s">
        <v>5</v>
      </c>
      <c r="N48" s="6" t="str">
        <f>Tab_Def_Flows[[#This Row],[Flow_ID]]&amp;"_WC"</f>
        <v>F_17_00_WC</v>
      </c>
      <c r="O48" s="135"/>
      <c r="P48" s="13"/>
      <c r="Q48" s="6" t="str">
        <f>Tab_Def_Flows[[#This Row],[Flow_ID]]&amp;"_DM"</f>
        <v>F_17_00_DM</v>
      </c>
      <c r="R48" s="135"/>
      <c r="S48" s="13"/>
      <c r="T48" s="6" t="str">
        <f>Tab_Def_Flows[[#This Row],[Flow_ID]]&amp;"_CC"</f>
        <v>F_17_00_CC</v>
      </c>
      <c r="U48" s="135"/>
      <c r="V48" s="13"/>
      <c r="W48" s="139">
        <f>Tab_Def_Flows[[#This Row],[Flow_CC_DM'[%']]]*Tab_Def_Flows[[#This Row],[Flow_DM'[%']]]</f>
        <v>0</v>
      </c>
      <c r="X48" s="7"/>
      <c r="Y48" s="194" t="b">
        <f>'0_Configuration'!$C$2</f>
        <v>1</v>
      </c>
      <c r="Z48" s="6"/>
      <c r="AA48" s="194" t="b">
        <f>'0_Configuration'!$C$6</f>
        <v>0</v>
      </c>
      <c r="AB48" s="6" t="s">
        <v>1224</v>
      </c>
      <c r="AC48" s="194" t="b">
        <f>'0_Configuration'!$C$10</f>
        <v>0</v>
      </c>
      <c r="AD48" s="6" t="s">
        <v>1224</v>
      </c>
      <c r="AE48" s="194" t="b">
        <f>'0_Configuration'!$C$17</f>
        <v>0</v>
      </c>
      <c r="AF48" s="6">
        <f>_xlfn.XLOOKUP(Tab_Def_Flows[[#This Row],[ODYM_Good_Type]],Tab_Configuration[Value],Tab_Configuration[ODYM_ID],,0,)</f>
        <v>1</v>
      </c>
      <c r="AG48" s="194" t="b">
        <f>'0_Configuration'!$C$24</f>
        <v>0</v>
      </c>
      <c r="AH48" s="6"/>
      <c r="AI48" s="194" t="b">
        <f>'0_Configuration'!$C$29</f>
        <v>1</v>
      </c>
      <c r="AJ48" s="6" t="s">
        <v>1238</v>
      </c>
      <c r="AK48" s="6" t="str">
        <f>IF(Tab_Def_Flows[[#This Row],[ODYM_time_(t)]],"t,","")&amp;IF(Tab_Def_Flows[[#This Row],[ODYM_Region_(r)]],"r,","")&amp;IF(Tab_Def_Flows[[#This Row],[ODYM_process_(p)]],"p,","")&amp;IF(Tab_Def_Flows[[#This Row],[ODYM_Good_(g)2]],"g,","")&amp;IF(Tab_Def_Flows[[#This Row],[ODYM_material_(m)]],"m,","")&amp;IF(Tab_Def_Flows[[#This Row],[ODYM_element_(e)]],"e","")</f>
        <v>t,e</v>
      </c>
      <c r="AL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38" x14ac:dyDescent="0.25">
      <c r="A49" s="142" t="b">
        <v>0</v>
      </c>
      <c r="B49" s="16">
        <f t="shared" si="0"/>
        <v>48</v>
      </c>
      <c r="C49" s="6" t="str">
        <f t="shared" si="1"/>
        <v>F_22_01</v>
      </c>
      <c r="D49" s="188" t="s">
        <v>1123</v>
      </c>
      <c r="E49" s="138" t="s">
        <v>1211</v>
      </c>
      <c r="F49" s="138" t="s">
        <v>1093</v>
      </c>
      <c r="G49" s="6" t="str">
        <f>_xlfn.XLOOKUP(F49,Tab_Def_Processes[Process_Name],Tab_Def_Processes[Process_ID],,0,)</f>
        <v>22</v>
      </c>
      <c r="H49" s="138" t="s">
        <v>1097</v>
      </c>
      <c r="I49" s="9" t="str">
        <f>_xlfn.XLOOKUP(H49,Tab_Def_Processes[Process_Name],Tab_Def_Processes[Process_ID],,0,)</f>
        <v>01</v>
      </c>
      <c r="J49" s="138" t="s">
        <v>5</v>
      </c>
      <c r="K49" s="138" t="s">
        <v>5</v>
      </c>
      <c r="L49" s="138"/>
      <c r="M49" s="138" t="s">
        <v>5</v>
      </c>
      <c r="N49" s="6" t="str">
        <f>Tab_Def_Flows[[#This Row],[Flow_ID]]&amp;"_WC"</f>
        <v>F_22_01_WC</v>
      </c>
      <c r="O49" s="135"/>
      <c r="P49" s="13"/>
      <c r="Q49" s="6" t="str">
        <f>Tab_Def_Flows[[#This Row],[Flow_ID]]&amp;"_DM"</f>
        <v>F_22_01_DM</v>
      </c>
      <c r="R49" s="135"/>
      <c r="S49" s="13"/>
      <c r="T49" s="6" t="str">
        <f>Tab_Def_Flows[[#This Row],[Flow_ID]]&amp;"_CC"</f>
        <v>F_22_01_CC</v>
      </c>
      <c r="U49" s="135"/>
      <c r="V49" s="13"/>
      <c r="W49" s="139">
        <f>Tab_Def_Flows[[#This Row],[Flow_CC_DM'[%']]]*Tab_Def_Flows[[#This Row],[Flow_DM'[%']]]</f>
        <v>0</v>
      </c>
      <c r="X49" s="7"/>
      <c r="Y49" s="194" t="b">
        <f>'0_Configuration'!$C$2</f>
        <v>1</v>
      </c>
      <c r="Z49" s="6"/>
      <c r="AA49" s="194" t="b">
        <f>'0_Configuration'!$C$6</f>
        <v>0</v>
      </c>
      <c r="AB49" s="6" t="s">
        <v>1224</v>
      </c>
      <c r="AC49" s="194" t="b">
        <f>'0_Configuration'!$C$10</f>
        <v>0</v>
      </c>
      <c r="AD49" s="6" t="s">
        <v>1224</v>
      </c>
      <c r="AE49" s="194" t="b">
        <f>'0_Configuration'!$C$17</f>
        <v>0</v>
      </c>
      <c r="AF49" s="6">
        <f>_xlfn.XLOOKUP(Tab_Def_Flows[[#This Row],[ODYM_Good_Type]],Tab_Configuration[Value],Tab_Configuration[ODYM_ID],,0,)</f>
        <v>1</v>
      </c>
      <c r="AG49" s="194" t="b">
        <f>'0_Configuration'!$C$24</f>
        <v>0</v>
      </c>
      <c r="AH49" s="6"/>
      <c r="AI49" s="194" t="b">
        <f>'0_Configuration'!$C$29</f>
        <v>1</v>
      </c>
      <c r="AJ49" s="6" t="s">
        <v>1238</v>
      </c>
      <c r="AK49" s="6" t="str">
        <f>IF(Tab_Def_Flows[[#This Row],[ODYM_time_(t)]],"t,","")&amp;IF(Tab_Def_Flows[[#This Row],[ODYM_Region_(r)]],"r,","")&amp;IF(Tab_Def_Flows[[#This Row],[ODYM_process_(p)]],"p,","")&amp;IF(Tab_Def_Flows[[#This Row],[ODYM_Good_(g)2]],"g,","")&amp;IF(Tab_Def_Flows[[#This Row],[ODYM_material_(m)]],"m,","")&amp;IF(Tab_Def_Flows[[#This Row],[ODYM_element_(e)]],"e","")</f>
        <v>t,e</v>
      </c>
      <c r="AL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38" x14ac:dyDescent="0.25">
      <c r="A50" s="142" t="b">
        <v>0</v>
      </c>
      <c r="B50" s="16">
        <f t="shared" si="0"/>
        <v>49</v>
      </c>
      <c r="C50" s="6" t="str">
        <f t="shared" si="1"/>
        <v>F_22_00</v>
      </c>
      <c r="D50" s="188" t="s">
        <v>1124</v>
      </c>
      <c r="E50" s="138" t="s">
        <v>1211</v>
      </c>
      <c r="F50" s="138" t="s">
        <v>1093</v>
      </c>
      <c r="G50" s="6" t="str">
        <f>_xlfn.XLOOKUP(F50,Tab_Def_Processes[Process_Name],Tab_Def_Processes[Process_ID],,0,)</f>
        <v>22</v>
      </c>
      <c r="H50" s="138" t="s">
        <v>1096</v>
      </c>
      <c r="I50" s="9" t="str">
        <f>_xlfn.XLOOKUP(H50,Tab_Def_Processes[Process_Name],Tab_Def_Processes[Process_ID],,0,)</f>
        <v>00</v>
      </c>
      <c r="J50" s="138" t="s">
        <v>5</v>
      </c>
      <c r="K50" s="138" t="s">
        <v>5</v>
      </c>
      <c r="L50" s="138"/>
      <c r="M50" s="138" t="s">
        <v>5</v>
      </c>
      <c r="N50" s="6" t="str">
        <f>Tab_Def_Flows[[#This Row],[Flow_ID]]&amp;"_WC"</f>
        <v>F_22_00_WC</v>
      </c>
      <c r="O50" s="135"/>
      <c r="P50" s="13"/>
      <c r="Q50" s="6" t="str">
        <f>Tab_Def_Flows[[#This Row],[Flow_ID]]&amp;"_DM"</f>
        <v>F_22_00_DM</v>
      </c>
      <c r="R50" s="135"/>
      <c r="S50" s="13"/>
      <c r="T50" s="6" t="str">
        <f>Tab_Def_Flows[[#This Row],[Flow_ID]]&amp;"_CC"</f>
        <v>F_22_00_CC</v>
      </c>
      <c r="U50" s="135"/>
      <c r="V50" s="13"/>
      <c r="W50" s="139">
        <f>Tab_Def_Flows[[#This Row],[Flow_CC_DM'[%']]]*Tab_Def_Flows[[#This Row],[Flow_DM'[%']]]</f>
        <v>0</v>
      </c>
      <c r="X50" s="7"/>
      <c r="Y50" s="194" t="b">
        <f>'0_Configuration'!$C$2</f>
        <v>1</v>
      </c>
      <c r="Z50" s="6"/>
      <c r="AA50" s="194" t="b">
        <f>'0_Configuration'!$C$6</f>
        <v>0</v>
      </c>
      <c r="AB50" s="6" t="s">
        <v>1224</v>
      </c>
      <c r="AC50" s="194" t="b">
        <f>'0_Configuration'!$C$10</f>
        <v>0</v>
      </c>
      <c r="AD50" s="6" t="s">
        <v>1224</v>
      </c>
      <c r="AE50" s="194" t="b">
        <f>'0_Configuration'!$C$17</f>
        <v>0</v>
      </c>
      <c r="AF50" s="6">
        <f>_xlfn.XLOOKUP(Tab_Def_Flows[[#This Row],[ODYM_Good_Type]],Tab_Configuration[Value],Tab_Configuration[ODYM_ID],,0,)</f>
        <v>1</v>
      </c>
      <c r="AG50" s="194" t="b">
        <f>'0_Configuration'!$C$24</f>
        <v>0</v>
      </c>
      <c r="AH50" s="6"/>
      <c r="AI50" s="194" t="b">
        <f>'0_Configuration'!$C$29</f>
        <v>1</v>
      </c>
      <c r="AJ50" s="6" t="s">
        <v>1238</v>
      </c>
      <c r="AK50" s="6" t="str">
        <f>IF(Tab_Def_Flows[[#This Row],[ODYM_time_(t)]],"t,","")&amp;IF(Tab_Def_Flows[[#This Row],[ODYM_Region_(r)]],"r,","")&amp;IF(Tab_Def_Flows[[#This Row],[ODYM_process_(p)]],"p,","")&amp;IF(Tab_Def_Flows[[#This Row],[ODYM_Good_(g)2]],"g,","")&amp;IF(Tab_Def_Flows[[#This Row],[ODYM_material_(m)]],"m,","")&amp;IF(Tab_Def_Flows[[#This Row],[ODYM_element_(e)]],"e","")</f>
        <v>t,e</v>
      </c>
      <c r="AL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38" x14ac:dyDescent="0.25">
      <c r="A51" s="142" t="b">
        <v>0</v>
      </c>
      <c r="B51" s="16">
        <f t="shared" si="0"/>
        <v>50</v>
      </c>
      <c r="C51" s="6" t="str">
        <f t="shared" si="1"/>
        <v>F_19_01</v>
      </c>
      <c r="D51" s="188" t="s">
        <v>1127</v>
      </c>
      <c r="E51" s="138" t="s">
        <v>1211</v>
      </c>
      <c r="F51" s="138" t="s">
        <v>1094</v>
      </c>
      <c r="G51" s="6" t="str">
        <f>_xlfn.XLOOKUP(F51,Tab_Def_Processes[Process_Name],Tab_Def_Processes[Process_ID],,0,)</f>
        <v>19</v>
      </c>
      <c r="H51" s="138" t="s">
        <v>1097</v>
      </c>
      <c r="I51" s="9" t="str">
        <f>_xlfn.XLOOKUP(H51,Tab_Def_Processes[Process_Name],Tab_Def_Processes[Process_ID],,0,)</f>
        <v>01</v>
      </c>
      <c r="J51" s="138" t="s">
        <v>5</v>
      </c>
      <c r="K51" s="138" t="s">
        <v>5</v>
      </c>
      <c r="L51" s="138"/>
      <c r="M51" s="138" t="s">
        <v>5</v>
      </c>
      <c r="N51" s="6" t="str">
        <f>Tab_Def_Flows[[#This Row],[Flow_ID]]&amp;"_WC"</f>
        <v>F_19_01_WC</v>
      </c>
      <c r="O51" s="135"/>
      <c r="P51" s="13"/>
      <c r="Q51" s="6" t="str">
        <f>Tab_Def_Flows[[#This Row],[Flow_ID]]&amp;"_DM"</f>
        <v>F_19_01_DM</v>
      </c>
      <c r="R51" s="135"/>
      <c r="S51" s="13"/>
      <c r="T51" s="6" t="str">
        <f>Tab_Def_Flows[[#This Row],[Flow_ID]]&amp;"_CC"</f>
        <v>F_19_01_CC</v>
      </c>
      <c r="U51" s="135"/>
      <c r="V51" s="13"/>
      <c r="W51" s="139">
        <f>Tab_Def_Flows[[#This Row],[Flow_CC_DM'[%']]]*Tab_Def_Flows[[#This Row],[Flow_DM'[%']]]</f>
        <v>0</v>
      </c>
      <c r="X51" s="7"/>
      <c r="Y51" s="194" t="b">
        <f>'0_Configuration'!$C$2</f>
        <v>1</v>
      </c>
      <c r="Z51" s="6"/>
      <c r="AA51" s="194" t="b">
        <f>'0_Configuration'!$C$6</f>
        <v>0</v>
      </c>
      <c r="AB51" s="6" t="s">
        <v>1224</v>
      </c>
      <c r="AC51" s="194" t="b">
        <f>'0_Configuration'!$C$10</f>
        <v>0</v>
      </c>
      <c r="AD51" s="6" t="s">
        <v>1224</v>
      </c>
      <c r="AE51" s="194" t="b">
        <f>'0_Configuration'!$C$17</f>
        <v>0</v>
      </c>
      <c r="AF51" s="6">
        <f>_xlfn.XLOOKUP(Tab_Def_Flows[[#This Row],[ODYM_Good_Type]],Tab_Configuration[Value],Tab_Configuration[ODYM_ID],,0,)</f>
        <v>1</v>
      </c>
      <c r="AG51" s="194" t="b">
        <f>'0_Configuration'!$C$24</f>
        <v>0</v>
      </c>
      <c r="AH51" s="6"/>
      <c r="AI51" s="194" t="b">
        <f>'0_Configuration'!$C$29</f>
        <v>1</v>
      </c>
      <c r="AJ51" s="6" t="s">
        <v>1238</v>
      </c>
      <c r="AK51" s="6" t="str">
        <f>IF(Tab_Def_Flows[[#This Row],[ODYM_time_(t)]],"t,","")&amp;IF(Tab_Def_Flows[[#This Row],[ODYM_Region_(r)]],"r,","")&amp;IF(Tab_Def_Flows[[#This Row],[ODYM_process_(p)]],"p,","")&amp;IF(Tab_Def_Flows[[#This Row],[ODYM_Good_(g)2]],"g,","")&amp;IF(Tab_Def_Flows[[#This Row],[ODYM_material_(m)]],"m,","")&amp;IF(Tab_Def_Flows[[#This Row],[ODYM_element_(e)]],"e","")</f>
        <v>t,e</v>
      </c>
      <c r="AL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38" x14ac:dyDescent="0.25">
      <c r="A52" s="142" t="b">
        <v>0</v>
      </c>
      <c r="B52" s="16">
        <f t="shared" si="0"/>
        <v>51</v>
      </c>
      <c r="C52" s="6" t="str">
        <f t="shared" si="1"/>
        <v>F_19_00</v>
      </c>
      <c r="D52" s="188" t="s">
        <v>1128</v>
      </c>
      <c r="E52" s="138" t="s">
        <v>1211</v>
      </c>
      <c r="F52" s="138" t="s">
        <v>1094</v>
      </c>
      <c r="G52" s="6" t="str">
        <f>_xlfn.XLOOKUP(F52,Tab_Def_Processes[Process_Name],Tab_Def_Processes[Process_ID],,0,)</f>
        <v>19</v>
      </c>
      <c r="H52" s="138" t="s">
        <v>1096</v>
      </c>
      <c r="I52" s="9" t="str">
        <f>_xlfn.XLOOKUP(H52,Tab_Def_Processes[Process_Name],Tab_Def_Processes[Process_ID],,0,)</f>
        <v>00</v>
      </c>
      <c r="J52" s="138" t="s">
        <v>5</v>
      </c>
      <c r="K52" s="138" t="s">
        <v>5</v>
      </c>
      <c r="L52" s="138"/>
      <c r="M52" s="138" t="s">
        <v>5</v>
      </c>
      <c r="N52" s="6" t="str">
        <f>Tab_Def_Flows[[#This Row],[Flow_ID]]&amp;"_WC"</f>
        <v>F_19_00_WC</v>
      </c>
      <c r="O52" s="135"/>
      <c r="P52" s="13"/>
      <c r="Q52" s="6" t="str">
        <f>Tab_Def_Flows[[#This Row],[Flow_ID]]&amp;"_DM"</f>
        <v>F_19_00_DM</v>
      </c>
      <c r="R52" s="135"/>
      <c r="S52" s="13"/>
      <c r="T52" s="6" t="str">
        <f>Tab_Def_Flows[[#This Row],[Flow_ID]]&amp;"_CC"</f>
        <v>F_19_00_CC</v>
      </c>
      <c r="U52" s="135"/>
      <c r="V52" s="13"/>
      <c r="W52" s="139">
        <f>Tab_Def_Flows[[#This Row],[Flow_CC_DM'[%']]]*Tab_Def_Flows[[#This Row],[Flow_DM'[%']]]</f>
        <v>0</v>
      </c>
      <c r="X52" s="7"/>
      <c r="Y52" s="194" t="b">
        <f>'0_Configuration'!$C$2</f>
        <v>1</v>
      </c>
      <c r="Z52" s="6"/>
      <c r="AA52" s="194" t="b">
        <f>'0_Configuration'!$C$6</f>
        <v>0</v>
      </c>
      <c r="AB52" s="6" t="s">
        <v>1224</v>
      </c>
      <c r="AC52" s="194" t="b">
        <f>'0_Configuration'!$C$10</f>
        <v>0</v>
      </c>
      <c r="AD52" s="6" t="s">
        <v>1224</v>
      </c>
      <c r="AE52" s="194" t="b">
        <f>'0_Configuration'!$C$17</f>
        <v>0</v>
      </c>
      <c r="AF52" s="6">
        <f>_xlfn.XLOOKUP(Tab_Def_Flows[[#This Row],[ODYM_Good_Type]],Tab_Configuration[Value],Tab_Configuration[ODYM_ID],,0,)</f>
        <v>1</v>
      </c>
      <c r="AG52" s="194" t="b">
        <f>'0_Configuration'!$C$24</f>
        <v>0</v>
      </c>
      <c r="AH52" s="6"/>
      <c r="AI52" s="194" t="b">
        <f>'0_Configuration'!$C$29</f>
        <v>1</v>
      </c>
      <c r="AJ52" s="6" t="s">
        <v>1238</v>
      </c>
      <c r="AK52" s="6" t="str">
        <f>IF(Tab_Def_Flows[[#This Row],[ODYM_time_(t)]],"t,","")&amp;IF(Tab_Def_Flows[[#This Row],[ODYM_Region_(r)]],"r,","")&amp;IF(Tab_Def_Flows[[#This Row],[ODYM_process_(p)]],"p,","")&amp;IF(Tab_Def_Flows[[#This Row],[ODYM_Good_(g)2]],"g,","")&amp;IF(Tab_Def_Flows[[#This Row],[ODYM_material_(m)]],"m,","")&amp;IF(Tab_Def_Flows[[#This Row],[ODYM_element_(e)]],"e","")</f>
        <v>t,e</v>
      </c>
      <c r="AL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38" x14ac:dyDescent="0.25">
      <c r="A53" s="142" t="b">
        <v>0</v>
      </c>
      <c r="B53" s="16">
        <f t="shared" si="0"/>
        <v>52</v>
      </c>
      <c r="C53" s="6" t="str">
        <f t="shared" si="1"/>
        <v>F_23_23</v>
      </c>
      <c r="D53" s="188"/>
      <c r="E53" s="138"/>
      <c r="F53" s="138"/>
      <c r="G53" s="6" t="str">
        <f>_xlfn.XLOOKUP(F53,Tab_Def_Processes[Process_Name],Tab_Def_Processes[Process_ID],,0,)</f>
        <v>23</v>
      </c>
      <c r="H53" s="138"/>
      <c r="I53" s="9" t="str">
        <f>_xlfn.XLOOKUP(H53,Tab_Def_Processes[Process_Name],Tab_Def_Processes[Process_ID],,0,)</f>
        <v>23</v>
      </c>
      <c r="J53" s="138" t="s">
        <v>5</v>
      </c>
      <c r="K53" s="138" t="s">
        <v>5</v>
      </c>
      <c r="L53" s="138"/>
      <c r="M53" s="138" t="s">
        <v>5</v>
      </c>
      <c r="N53" s="6" t="str">
        <f>Tab_Def_Flows[[#This Row],[Flow_ID]]&amp;"_WC"</f>
        <v>F_23_23_WC</v>
      </c>
      <c r="O53" s="135"/>
      <c r="P53" s="13"/>
      <c r="Q53" s="6" t="str">
        <f>Tab_Def_Flows[[#This Row],[Flow_ID]]&amp;"_DM"</f>
        <v>F_23_23_DM</v>
      </c>
      <c r="R53" s="135"/>
      <c r="S53" s="13"/>
      <c r="T53" s="6" t="str">
        <f>Tab_Def_Flows[[#This Row],[Flow_ID]]&amp;"_CC"</f>
        <v>F_23_23_CC</v>
      </c>
      <c r="U53" s="135"/>
      <c r="V53" s="13"/>
      <c r="W53" s="139">
        <f>Tab_Def_Flows[[#This Row],[Flow_CC_DM'[%']]]*Tab_Def_Flows[[#This Row],[Flow_DM'[%']]]</f>
        <v>0</v>
      </c>
      <c r="X53" s="7"/>
      <c r="Y53" s="194" t="b">
        <f>'0_Configuration'!$C$2</f>
        <v>1</v>
      </c>
      <c r="Z53" s="6"/>
      <c r="AA53" s="194" t="b">
        <f>'0_Configuration'!$C$6</f>
        <v>0</v>
      </c>
      <c r="AB53" s="6" t="s">
        <v>1224</v>
      </c>
      <c r="AC53" s="194" t="b">
        <f>'0_Configuration'!$C$10</f>
        <v>0</v>
      </c>
      <c r="AD53" s="6" t="s">
        <v>1224</v>
      </c>
      <c r="AE53" s="194" t="b">
        <f>'0_Configuration'!$C$17</f>
        <v>0</v>
      </c>
      <c r="AF53" s="6">
        <f>_xlfn.XLOOKUP(Tab_Def_Flows[[#This Row],[ODYM_Good_Type]],Tab_Configuration[Value],Tab_Configuration[ODYM_ID],,0,)</f>
        <v>0</v>
      </c>
      <c r="AG53" s="194" t="b">
        <f>'0_Configuration'!$C$24</f>
        <v>0</v>
      </c>
      <c r="AH53" s="6"/>
      <c r="AI53" s="194" t="b">
        <f>'0_Configuration'!$C$29</f>
        <v>1</v>
      </c>
      <c r="AJ53" s="6" t="s">
        <v>1238</v>
      </c>
      <c r="AK53" s="6" t="str">
        <f>IF(Tab_Def_Flows[[#This Row],[ODYM_time_(t)]],"t,","")&amp;IF(Tab_Def_Flows[[#This Row],[ODYM_Region_(r)]],"r,","")&amp;IF(Tab_Def_Flows[[#This Row],[ODYM_process_(p)]],"p,","")&amp;IF(Tab_Def_Flows[[#This Row],[ODYM_Good_(g)2]],"g,","")&amp;IF(Tab_Def_Flows[[#This Row],[ODYM_material_(m)]],"m,","")&amp;IF(Tab_Def_Flows[[#This Row],[ODYM_element_(e)]],"e","")</f>
        <v>t,e</v>
      </c>
      <c r="AL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38" x14ac:dyDescent="0.25">
      <c r="A54" s="142" t="b">
        <v>0</v>
      </c>
      <c r="B54" s="16">
        <f t="shared" si="0"/>
        <v>53</v>
      </c>
      <c r="C54" s="6" t="str">
        <f t="shared" si="1"/>
        <v>F_23_23</v>
      </c>
      <c r="D54" s="188"/>
      <c r="E54" s="138"/>
      <c r="F54" s="138"/>
      <c r="G54" s="6" t="str">
        <f>_xlfn.XLOOKUP(F54,Tab_Def_Processes[Process_Name],Tab_Def_Processes[Process_ID],,0,)</f>
        <v>23</v>
      </c>
      <c r="H54" s="138"/>
      <c r="I54" s="9" t="str">
        <f>_xlfn.XLOOKUP(H54,Tab_Def_Processes[Process_Name],Tab_Def_Processes[Process_ID],,0,)</f>
        <v>23</v>
      </c>
      <c r="J54" s="138" t="s">
        <v>5</v>
      </c>
      <c r="K54" s="138" t="s">
        <v>5</v>
      </c>
      <c r="L54" s="138"/>
      <c r="M54" s="138" t="s">
        <v>5</v>
      </c>
      <c r="N54" s="6" t="str">
        <f>Tab_Def_Flows[[#This Row],[Flow_ID]]&amp;"_WC"</f>
        <v>F_23_23_WC</v>
      </c>
      <c r="O54" s="135"/>
      <c r="P54" s="13"/>
      <c r="Q54" s="6" t="str">
        <f>Tab_Def_Flows[[#This Row],[Flow_ID]]&amp;"_DM"</f>
        <v>F_23_23_DM</v>
      </c>
      <c r="R54" s="135"/>
      <c r="S54" s="13"/>
      <c r="T54" s="6" t="str">
        <f>Tab_Def_Flows[[#This Row],[Flow_ID]]&amp;"_CC"</f>
        <v>F_23_23_CC</v>
      </c>
      <c r="U54" s="135"/>
      <c r="V54" s="13"/>
      <c r="W54" s="139">
        <f>Tab_Def_Flows[[#This Row],[Flow_CC_DM'[%']]]*Tab_Def_Flows[[#This Row],[Flow_DM'[%']]]</f>
        <v>0</v>
      </c>
      <c r="X54" s="7"/>
      <c r="Y54" s="194" t="b">
        <f>'0_Configuration'!$C$2</f>
        <v>1</v>
      </c>
      <c r="Z54" s="6"/>
      <c r="AA54" s="194" t="b">
        <f>'0_Configuration'!$C$6</f>
        <v>0</v>
      </c>
      <c r="AB54" s="6" t="s">
        <v>1224</v>
      </c>
      <c r="AC54" s="194" t="b">
        <f>'0_Configuration'!$C$10</f>
        <v>0</v>
      </c>
      <c r="AD54" s="6" t="s">
        <v>1224</v>
      </c>
      <c r="AE54" s="194" t="b">
        <f>'0_Configuration'!$C$17</f>
        <v>0</v>
      </c>
      <c r="AF54" s="6">
        <f>_xlfn.XLOOKUP(Tab_Def_Flows[[#This Row],[ODYM_Good_Type]],Tab_Configuration[Value],Tab_Configuration[ODYM_ID],,0,)</f>
        <v>0</v>
      </c>
      <c r="AG54" s="194" t="b">
        <f>'0_Configuration'!$C$24</f>
        <v>0</v>
      </c>
      <c r="AH54" s="6"/>
      <c r="AI54" s="194" t="b">
        <f>'0_Configuration'!$C$29</f>
        <v>1</v>
      </c>
      <c r="AJ54" s="6" t="s">
        <v>1238</v>
      </c>
      <c r="AK54" s="6" t="str">
        <f>IF(Tab_Def_Flows[[#This Row],[ODYM_time_(t)]],"t,","")&amp;IF(Tab_Def_Flows[[#This Row],[ODYM_Region_(r)]],"r,","")&amp;IF(Tab_Def_Flows[[#This Row],[ODYM_process_(p)]],"p,","")&amp;IF(Tab_Def_Flows[[#This Row],[ODYM_Good_(g)2]],"g,","")&amp;IF(Tab_Def_Flows[[#This Row],[ODYM_material_(m)]],"m,","")&amp;IF(Tab_Def_Flows[[#This Row],[ODYM_element_(e)]],"e","")</f>
        <v>t,e</v>
      </c>
      <c r="AL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38" x14ac:dyDescent="0.25">
      <c r="A55" s="142" t="b">
        <v>0</v>
      </c>
      <c r="B55" s="16">
        <f t="shared" si="0"/>
        <v>54</v>
      </c>
      <c r="C55" s="6" t="str">
        <f t="shared" si="1"/>
        <v>F_23_23</v>
      </c>
      <c r="D55" s="188"/>
      <c r="E55" s="138"/>
      <c r="F55" s="138"/>
      <c r="G55" s="6" t="str">
        <f>_xlfn.XLOOKUP(F55,Tab_Def_Processes[Process_Name],Tab_Def_Processes[Process_ID],,0,)</f>
        <v>23</v>
      </c>
      <c r="H55" s="138"/>
      <c r="I55" s="9" t="str">
        <f>_xlfn.XLOOKUP(H55,Tab_Def_Processes[Process_Name],Tab_Def_Processes[Process_ID],,0,)</f>
        <v>23</v>
      </c>
      <c r="J55" s="138" t="s">
        <v>5</v>
      </c>
      <c r="K55" s="138" t="s">
        <v>5</v>
      </c>
      <c r="L55" s="138"/>
      <c r="M55" s="138" t="s">
        <v>5</v>
      </c>
      <c r="N55" s="6" t="str">
        <f>Tab_Def_Flows[[#This Row],[Flow_ID]]&amp;"_WC"</f>
        <v>F_23_23_WC</v>
      </c>
      <c r="O55" s="135"/>
      <c r="P55" s="13"/>
      <c r="Q55" s="6" t="str">
        <f>Tab_Def_Flows[[#This Row],[Flow_ID]]&amp;"_DM"</f>
        <v>F_23_23_DM</v>
      </c>
      <c r="R55" s="135"/>
      <c r="S55" s="13"/>
      <c r="T55" s="6" t="str">
        <f>Tab_Def_Flows[[#This Row],[Flow_ID]]&amp;"_CC"</f>
        <v>F_23_23_CC</v>
      </c>
      <c r="U55" s="135"/>
      <c r="V55" s="13"/>
      <c r="W55" s="139">
        <f>Tab_Def_Flows[[#This Row],[Flow_CC_DM'[%']]]*Tab_Def_Flows[[#This Row],[Flow_DM'[%']]]</f>
        <v>0</v>
      </c>
      <c r="X55" s="7"/>
      <c r="Y55" s="194" t="b">
        <f>'0_Configuration'!$C$2</f>
        <v>1</v>
      </c>
      <c r="Z55" s="6"/>
      <c r="AA55" s="194" t="b">
        <f>'0_Configuration'!$C$6</f>
        <v>0</v>
      </c>
      <c r="AB55" s="6" t="s">
        <v>1224</v>
      </c>
      <c r="AC55" s="194" t="b">
        <f>'0_Configuration'!$C$10</f>
        <v>0</v>
      </c>
      <c r="AD55" s="6" t="s">
        <v>1224</v>
      </c>
      <c r="AE55" s="194" t="b">
        <f>'0_Configuration'!$C$17</f>
        <v>0</v>
      </c>
      <c r="AF55" s="6">
        <f>_xlfn.XLOOKUP(Tab_Def_Flows[[#This Row],[ODYM_Good_Type]],Tab_Configuration[Value],Tab_Configuration[ODYM_ID],,0,)</f>
        <v>0</v>
      </c>
      <c r="AG55" s="194" t="b">
        <f>'0_Configuration'!$C$24</f>
        <v>0</v>
      </c>
      <c r="AH55" s="6"/>
      <c r="AI55" s="194" t="b">
        <f>'0_Configuration'!$C$29</f>
        <v>1</v>
      </c>
      <c r="AJ55" s="6" t="s">
        <v>1238</v>
      </c>
      <c r="AK55" s="6" t="str">
        <f>IF(Tab_Def_Flows[[#This Row],[ODYM_time_(t)]],"t,","")&amp;IF(Tab_Def_Flows[[#This Row],[ODYM_Region_(r)]],"r,","")&amp;IF(Tab_Def_Flows[[#This Row],[ODYM_process_(p)]],"p,","")&amp;IF(Tab_Def_Flows[[#This Row],[ODYM_Good_(g)2]],"g,","")&amp;IF(Tab_Def_Flows[[#This Row],[ODYM_material_(m)]],"m,","")&amp;IF(Tab_Def_Flows[[#This Row],[ODYM_element_(e)]],"e","")</f>
        <v>t,e</v>
      </c>
      <c r="AL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38" x14ac:dyDescent="0.25">
      <c r="A56" s="142" t="b">
        <v>0</v>
      </c>
      <c r="B56" s="16">
        <f t="shared" si="0"/>
        <v>55</v>
      </c>
      <c r="C56" s="6" t="str">
        <f t="shared" si="1"/>
        <v>F_23_23</v>
      </c>
      <c r="D56" s="188"/>
      <c r="E56" s="138"/>
      <c r="F56" s="138"/>
      <c r="G56" s="6" t="str">
        <f>_xlfn.XLOOKUP(F56,Tab_Def_Processes[Process_Name],Tab_Def_Processes[Process_ID],,0,)</f>
        <v>23</v>
      </c>
      <c r="H56" s="138"/>
      <c r="I56" s="9" t="str">
        <f>_xlfn.XLOOKUP(H56,Tab_Def_Processes[Process_Name],Tab_Def_Processes[Process_ID],,0,)</f>
        <v>23</v>
      </c>
      <c r="J56" s="138" t="s">
        <v>5</v>
      </c>
      <c r="K56" s="138" t="s">
        <v>5</v>
      </c>
      <c r="L56" s="138"/>
      <c r="M56" s="138" t="s">
        <v>5</v>
      </c>
      <c r="N56" s="6" t="str">
        <f>Tab_Def_Flows[[#This Row],[Flow_ID]]&amp;"_WC"</f>
        <v>F_23_23_WC</v>
      </c>
      <c r="O56" s="135"/>
      <c r="P56" s="13"/>
      <c r="Q56" s="6" t="str">
        <f>Tab_Def_Flows[[#This Row],[Flow_ID]]&amp;"_DM"</f>
        <v>F_23_23_DM</v>
      </c>
      <c r="R56" s="135"/>
      <c r="S56" s="13"/>
      <c r="T56" s="6" t="str">
        <f>Tab_Def_Flows[[#This Row],[Flow_ID]]&amp;"_CC"</f>
        <v>F_23_23_CC</v>
      </c>
      <c r="U56" s="135"/>
      <c r="V56" s="13"/>
      <c r="W56" s="139">
        <f>Tab_Def_Flows[[#This Row],[Flow_CC_DM'[%']]]*Tab_Def_Flows[[#This Row],[Flow_DM'[%']]]</f>
        <v>0</v>
      </c>
      <c r="X56" s="7"/>
      <c r="Y56" s="194" t="b">
        <f>'0_Configuration'!$C$2</f>
        <v>1</v>
      </c>
      <c r="Z56" s="6"/>
      <c r="AA56" s="194" t="b">
        <f>'0_Configuration'!$C$6</f>
        <v>0</v>
      </c>
      <c r="AB56" s="6" t="s">
        <v>1224</v>
      </c>
      <c r="AC56" s="194" t="b">
        <f>'0_Configuration'!$C$10</f>
        <v>0</v>
      </c>
      <c r="AD56" s="6" t="s">
        <v>1224</v>
      </c>
      <c r="AE56" s="194" t="b">
        <f>'0_Configuration'!$C$17</f>
        <v>0</v>
      </c>
      <c r="AF56" s="6">
        <f>_xlfn.XLOOKUP(Tab_Def_Flows[[#This Row],[ODYM_Good_Type]],Tab_Configuration[Value],Tab_Configuration[ODYM_ID],,0,)</f>
        <v>0</v>
      </c>
      <c r="AG56" s="194" t="b">
        <f>'0_Configuration'!$C$24</f>
        <v>0</v>
      </c>
      <c r="AH56" s="6"/>
      <c r="AI56" s="194" t="b">
        <f>'0_Configuration'!$C$29</f>
        <v>1</v>
      </c>
      <c r="AJ56" s="6" t="s">
        <v>1238</v>
      </c>
      <c r="AK56" s="6" t="str">
        <f>IF(Tab_Def_Flows[[#This Row],[ODYM_time_(t)]],"t,","")&amp;IF(Tab_Def_Flows[[#This Row],[ODYM_Region_(r)]],"r,","")&amp;IF(Tab_Def_Flows[[#This Row],[ODYM_process_(p)]],"p,","")&amp;IF(Tab_Def_Flows[[#This Row],[ODYM_Good_(g)2]],"g,","")&amp;IF(Tab_Def_Flows[[#This Row],[ODYM_material_(m)]],"m,","")&amp;IF(Tab_Def_Flows[[#This Row],[ODYM_element_(e)]],"e","")</f>
        <v>t,e</v>
      </c>
      <c r="AL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38" x14ac:dyDescent="0.25">
      <c r="A57" s="142" t="b">
        <v>0</v>
      </c>
      <c r="B57" s="16">
        <f t="shared" si="0"/>
        <v>56</v>
      </c>
      <c r="C57" s="6" t="str">
        <f t="shared" si="1"/>
        <v>F_23_23</v>
      </c>
      <c r="D57" s="188"/>
      <c r="E57" s="138"/>
      <c r="F57" s="138"/>
      <c r="G57" s="6" t="str">
        <f>_xlfn.XLOOKUP(F57,Tab_Def_Processes[Process_Name],Tab_Def_Processes[Process_ID],,0,)</f>
        <v>23</v>
      </c>
      <c r="H57" s="138"/>
      <c r="I57" s="9" t="str">
        <f>_xlfn.XLOOKUP(H57,Tab_Def_Processes[Process_Name],Tab_Def_Processes[Process_ID],,0,)</f>
        <v>23</v>
      </c>
      <c r="J57" s="138" t="s">
        <v>5</v>
      </c>
      <c r="K57" s="138" t="s">
        <v>5</v>
      </c>
      <c r="L57" s="138"/>
      <c r="M57" s="138" t="s">
        <v>5</v>
      </c>
      <c r="N57" s="6" t="str">
        <f>Tab_Def_Flows[[#This Row],[Flow_ID]]&amp;"_WC"</f>
        <v>F_23_23_WC</v>
      </c>
      <c r="O57" s="135"/>
      <c r="P57" s="13"/>
      <c r="Q57" s="6" t="str">
        <f>Tab_Def_Flows[[#This Row],[Flow_ID]]&amp;"_DM"</f>
        <v>F_23_23_DM</v>
      </c>
      <c r="R57" s="135"/>
      <c r="S57" s="13"/>
      <c r="T57" s="6" t="str">
        <f>Tab_Def_Flows[[#This Row],[Flow_ID]]&amp;"_CC"</f>
        <v>F_23_23_CC</v>
      </c>
      <c r="U57" s="135"/>
      <c r="V57" s="13"/>
      <c r="W57" s="139">
        <f>Tab_Def_Flows[[#This Row],[Flow_CC_DM'[%']]]*Tab_Def_Flows[[#This Row],[Flow_DM'[%']]]</f>
        <v>0</v>
      </c>
      <c r="X57" s="7"/>
      <c r="Y57" s="194" t="b">
        <f>'0_Configuration'!$C$2</f>
        <v>1</v>
      </c>
      <c r="Z57" s="6"/>
      <c r="AA57" s="194" t="b">
        <f>'0_Configuration'!$C$6</f>
        <v>0</v>
      </c>
      <c r="AB57" s="6" t="s">
        <v>1224</v>
      </c>
      <c r="AC57" s="194" t="b">
        <f>'0_Configuration'!$C$10</f>
        <v>0</v>
      </c>
      <c r="AD57" s="6" t="s">
        <v>1224</v>
      </c>
      <c r="AE57" s="194" t="b">
        <f>'0_Configuration'!$C$17</f>
        <v>0</v>
      </c>
      <c r="AF57" s="6">
        <f>_xlfn.XLOOKUP(Tab_Def_Flows[[#This Row],[ODYM_Good_Type]],Tab_Configuration[Value],Tab_Configuration[ODYM_ID],,0,)</f>
        <v>0</v>
      </c>
      <c r="AG57" s="194" t="b">
        <f>'0_Configuration'!$C$24</f>
        <v>0</v>
      </c>
      <c r="AH57" s="6"/>
      <c r="AI57" s="194" t="b">
        <f>'0_Configuration'!$C$29</f>
        <v>1</v>
      </c>
      <c r="AJ57" s="6" t="s">
        <v>1238</v>
      </c>
      <c r="AK57" s="6" t="str">
        <f>IF(Tab_Def_Flows[[#This Row],[ODYM_time_(t)]],"t,","")&amp;IF(Tab_Def_Flows[[#This Row],[ODYM_Region_(r)]],"r,","")&amp;IF(Tab_Def_Flows[[#This Row],[ODYM_process_(p)]],"p,","")&amp;IF(Tab_Def_Flows[[#This Row],[ODYM_Good_(g)2]],"g,","")&amp;IF(Tab_Def_Flows[[#This Row],[ODYM_material_(m)]],"m,","")&amp;IF(Tab_Def_Flows[[#This Row],[ODYM_element_(e)]],"e","")</f>
        <v>t,e</v>
      </c>
      <c r="AL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38" x14ac:dyDescent="0.25">
      <c r="A58" s="142" t="b">
        <v>0</v>
      </c>
      <c r="B58" s="16">
        <f t="shared" si="0"/>
        <v>57</v>
      </c>
      <c r="C58" s="6" t="str">
        <f t="shared" si="1"/>
        <v>F_23_23</v>
      </c>
      <c r="D58" s="188"/>
      <c r="E58" s="138"/>
      <c r="F58" s="138"/>
      <c r="G58" s="6" t="str">
        <f>_xlfn.XLOOKUP(F58,Tab_Def_Processes[Process_Name],Tab_Def_Processes[Process_ID],,0,)</f>
        <v>23</v>
      </c>
      <c r="H58" s="138"/>
      <c r="I58" s="9" t="str">
        <f>_xlfn.XLOOKUP(H58,Tab_Def_Processes[Process_Name],Tab_Def_Processes[Process_ID],,0,)</f>
        <v>23</v>
      </c>
      <c r="J58" s="138" t="s">
        <v>5</v>
      </c>
      <c r="K58" s="138" t="s">
        <v>5</v>
      </c>
      <c r="L58" s="138"/>
      <c r="M58" s="138" t="s">
        <v>5</v>
      </c>
      <c r="N58" s="6" t="str">
        <f>Tab_Def_Flows[[#This Row],[Flow_ID]]&amp;"_WC"</f>
        <v>F_23_23_WC</v>
      </c>
      <c r="O58" s="135"/>
      <c r="P58" s="13"/>
      <c r="Q58" s="6" t="str">
        <f>Tab_Def_Flows[[#This Row],[Flow_ID]]&amp;"_DM"</f>
        <v>F_23_23_DM</v>
      </c>
      <c r="R58" s="135"/>
      <c r="S58" s="13"/>
      <c r="T58" s="6" t="str">
        <f>Tab_Def_Flows[[#This Row],[Flow_ID]]&amp;"_CC"</f>
        <v>F_23_23_CC</v>
      </c>
      <c r="U58" s="135"/>
      <c r="V58" s="13"/>
      <c r="W58" s="139">
        <f>Tab_Def_Flows[[#This Row],[Flow_CC_DM'[%']]]*Tab_Def_Flows[[#This Row],[Flow_DM'[%']]]</f>
        <v>0</v>
      </c>
      <c r="X58" s="7"/>
      <c r="Y58" s="194" t="b">
        <f>'0_Configuration'!$C$2</f>
        <v>1</v>
      </c>
      <c r="Z58" s="6"/>
      <c r="AA58" s="194" t="b">
        <f>'0_Configuration'!$C$6</f>
        <v>0</v>
      </c>
      <c r="AB58" s="6" t="s">
        <v>1224</v>
      </c>
      <c r="AC58" s="194" t="b">
        <f>'0_Configuration'!$C$10</f>
        <v>0</v>
      </c>
      <c r="AD58" s="6" t="s">
        <v>1224</v>
      </c>
      <c r="AE58" s="194" t="b">
        <f>'0_Configuration'!$C$17</f>
        <v>0</v>
      </c>
      <c r="AF58" s="6">
        <f>_xlfn.XLOOKUP(Tab_Def_Flows[[#This Row],[ODYM_Good_Type]],Tab_Configuration[Value],Tab_Configuration[ODYM_ID],,0,)</f>
        <v>0</v>
      </c>
      <c r="AG58" s="194" t="b">
        <f>'0_Configuration'!$C$24</f>
        <v>0</v>
      </c>
      <c r="AH58" s="6"/>
      <c r="AI58" s="194" t="b">
        <f>'0_Configuration'!$C$29</f>
        <v>1</v>
      </c>
      <c r="AJ58" s="6" t="s">
        <v>1238</v>
      </c>
      <c r="AK58" s="6" t="str">
        <f>IF(Tab_Def_Flows[[#This Row],[ODYM_time_(t)]],"t,","")&amp;IF(Tab_Def_Flows[[#This Row],[ODYM_Region_(r)]],"r,","")&amp;IF(Tab_Def_Flows[[#This Row],[ODYM_process_(p)]],"p,","")&amp;IF(Tab_Def_Flows[[#This Row],[ODYM_Good_(g)2]],"g,","")&amp;IF(Tab_Def_Flows[[#This Row],[ODYM_material_(m)]],"m,","")&amp;IF(Tab_Def_Flows[[#This Row],[ODYM_element_(e)]],"e","")</f>
        <v>t,e</v>
      </c>
      <c r="AL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38" x14ac:dyDescent="0.25">
      <c r="A59" s="142" t="b">
        <v>0</v>
      </c>
      <c r="B59" s="16">
        <f t="shared" si="0"/>
        <v>58</v>
      </c>
      <c r="C59" s="6" t="str">
        <f t="shared" si="1"/>
        <v>F_23_23</v>
      </c>
      <c r="D59" s="188"/>
      <c r="E59" s="138"/>
      <c r="F59" s="138"/>
      <c r="G59" s="6" t="str">
        <f>_xlfn.XLOOKUP(F59,Tab_Def_Processes[Process_Name],Tab_Def_Processes[Process_ID],,0,)</f>
        <v>23</v>
      </c>
      <c r="H59" s="138"/>
      <c r="I59" s="9" t="str">
        <f>_xlfn.XLOOKUP(H59,Tab_Def_Processes[Process_Name],Tab_Def_Processes[Process_ID],,0,)</f>
        <v>23</v>
      </c>
      <c r="J59" s="138" t="s">
        <v>5</v>
      </c>
      <c r="K59" s="138" t="s">
        <v>5</v>
      </c>
      <c r="L59" s="138"/>
      <c r="M59" s="138" t="s">
        <v>5</v>
      </c>
      <c r="N59" s="6" t="str">
        <f>Tab_Def_Flows[[#This Row],[Flow_ID]]&amp;"_WC"</f>
        <v>F_23_23_WC</v>
      </c>
      <c r="O59" s="135"/>
      <c r="P59" s="13"/>
      <c r="Q59" s="6" t="str">
        <f>Tab_Def_Flows[[#This Row],[Flow_ID]]&amp;"_DM"</f>
        <v>F_23_23_DM</v>
      </c>
      <c r="R59" s="135"/>
      <c r="S59" s="13"/>
      <c r="T59" s="6" t="str">
        <f>Tab_Def_Flows[[#This Row],[Flow_ID]]&amp;"_CC"</f>
        <v>F_23_23_CC</v>
      </c>
      <c r="U59" s="135"/>
      <c r="V59" s="13"/>
      <c r="W59" s="139">
        <f>Tab_Def_Flows[[#This Row],[Flow_CC_DM'[%']]]*Tab_Def_Flows[[#This Row],[Flow_DM'[%']]]</f>
        <v>0</v>
      </c>
      <c r="X59" s="7"/>
      <c r="Y59" s="194" t="b">
        <f>'0_Configuration'!$C$2</f>
        <v>1</v>
      </c>
      <c r="Z59" s="6"/>
      <c r="AA59" s="194" t="b">
        <f>'0_Configuration'!$C$6</f>
        <v>0</v>
      </c>
      <c r="AB59" s="6" t="s">
        <v>1224</v>
      </c>
      <c r="AC59" s="194" t="b">
        <f>'0_Configuration'!$C$10</f>
        <v>0</v>
      </c>
      <c r="AD59" s="6" t="s">
        <v>1224</v>
      </c>
      <c r="AE59" s="194" t="b">
        <f>'0_Configuration'!$C$17</f>
        <v>0</v>
      </c>
      <c r="AF59" s="6">
        <f>_xlfn.XLOOKUP(Tab_Def_Flows[[#This Row],[ODYM_Good_Type]],Tab_Configuration[Value],Tab_Configuration[ODYM_ID],,0,)</f>
        <v>0</v>
      </c>
      <c r="AG59" s="194" t="b">
        <f>'0_Configuration'!$C$24</f>
        <v>0</v>
      </c>
      <c r="AH59" s="6"/>
      <c r="AI59" s="194" t="b">
        <f>'0_Configuration'!$C$29</f>
        <v>1</v>
      </c>
      <c r="AJ59" s="6" t="s">
        <v>1238</v>
      </c>
      <c r="AK59" s="6" t="str">
        <f>IF(Tab_Def_Flows[[#This Row],[ODYM_time_(t)]],"t,","")&amp;IF(Tab_Def_Flows[[#This Row],[ODYM_Region_(r)]],"r,","")&amp;IF(Tab_Def_Flows[[#This Row],[ODYM_process_(p)]],"p,","")&amp;IF(Tab_Def_Flows[[#This Row],[ODYM_Good_(g)2]],"g,","")&amp;IF(Tab_Def_Flows[[#This Row],[ODYM_material_(m)]],"m,","")&amp;IF(Tab_Def_Flows[[#This Row],[ODYM_element_(e)]],"e","")</f>
        <v>t,e</v>
      </c>
      <c r="AL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38" x14ac:dyDescent="0.25">
      <c r="A60" s="142" t="b">
        <v>0</v>
      </c>
      <c r="B60" s="16">
        <f t="shared" si="0"/>
        <v>59</v>
      </c>
      <c r="C60" s="6" t="str">
        <f t="shared" si="1"/>
        <v>F_23_23</v>
      </c>
      <c r="D60" s="188"/>
      <c r="E60" s="138"/>
      <c r="F60" s="138"/>
      <c r="G60" s="6" t="str">
        <f>_xlfn.XLOOKUP(F60,Tab_Def_Processes[Process_Name],Tab_Def_Processes[Process_ID],,0,)</f>
        <v>23</v>
      </c>
      <c r="H60" s="138"/>
      <c r="I60" s="9" t="str">
        <f>_xlfn.XLOOKUP(H60,Tab_Def_Processes[Process_Name],Tab_Def_Processes[Process_ID],,0,)</f>
        <v>23</v>
      </c>
      <c r="J60" s="138" t="s">
        <v>5</v>
      </c>
      <c r="K60" s="138" t="s">
        <v>5</v>
      </c>
      <c r="L60" s="138"/>
      <c r="M60" s="138" t="s">
        <v>5</v>
      </c>
      <c r="N60" s="6" t="str">
        <f>Tab_Def_Flows[[#This Row],[Flow_ID]]&amp;"_WC"</f>
        <v>F_23_23_WC</v>
      </c>
      <c r="O60" s="135"/>
      <c r="P60" s="13"/>
      <c r="Q60" s="6" t="str">
        <f>Tab_Def_Flows[[#This Row],[Flow_ID]]&amp;"_DM"</f>
        <v>F_23_23_DM</v>
      </c>
      <c r="R60" s="135"/>
      <c r="S60" s="13"/>
      <c r="T60" s="6" t="str">
        <f>Tab_Def_Flows[[#This Row],[Flow_ID]]&amp;"_CC"</f>
        <v>F_23_23_CC</v>
      </c>
      <c r="U60" s="135"/>
      <c r="V60" s="13"/>
      <c r="W60" s="139">
        <f>Tab_Def_Flows[[#This Row],[Flow_CC_DM'[%']]]*Tab_Def_Flows[[#This Row],[Flow_DM'[%']]]</f>
        <v>0</v>
      </c>
      <c r="X60" s="7"/>
      <c r="Y60" s="194" t="b">
        <f>'0_Configuration'!$C$2</f>
        <v>1</v>
      </c>
      <c r="Z60" s="6"/>
      <c r="AA60" s="194" t="b">
        <f>'0_Configuration'!$C$6</f>
        <v>0</v>
      </c>
      <c r="AB60" s="6" t="s">
        <v>1224</v>
      </c>
      <c r="AC60" s="194" t="b">
        <f>'0_Configuration'!$C$10</f>
        <v>0</v>
      </c>
      <c r="AD60" s="6" t="s">
        <v>1224</v>
      </c>
      <c r="AE60" s="194" t="b">
        <f>'0_Configuration'!$C$17</f>
        <v>0</v>
      </c>
      <c r="AF60" s="6">
        <f>_xlfn.XLOOKUP(Tab_Def_Flows[[#This Row],[ODYM_Good_Type]],Tab_Configuration[Value],Tab_Configuration[ODYM_ID],,0,)</f>
        <v>0</v>
      </c>
      <c r="AG60" s="194" t="b">
        <f>'0_Configuration'!$C$24</f>
        <v>0</v>
      </c>
      <c r="AH60" s="6"/>
      <c r="AI60" s="194" t="b">
        <f>'0_Configuration'!$C$29</f>
        <v>1</v>
      </c>
      <c r="AJ60" s="6" t="s">
        <v>1238</v>
      </c>
      <c r="AK60" s="6" t="str">
        <f>IF(Tab_Def_Flows[[#This Row],[ODYM_time_(t)]],"t,","")&amp;IF(Tab_Def_Flows[[#This Row],[ODYM_Region_(r)]],"r,","")&amp;IF(Tab_Def_Flows[[#This Row],[ODYM_process_(p)]],"p,","")&amp;IF(Tab_Def_Flows[[#This Row],[ODYM_Good_(g)2]],"g,","")&amp;IF(Tab_Def_Flows[[#This Row],[ODYM_material_(m)]],"m,","")&amp;IF(Tab_Def_Flows[[#This Row],[ODYM_element_(e)]],"e","")</f>
        <v>t,e</v>
      </c>
      <c r="AL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38" x14ac:dyDescent="0.25">
      <c r="A61" s="142" t="b">
        <v>0</v>
      </c>
      <c r="B61" s="16">
        <f t="shared" si="0"/>
        <v>60</v>
      </c>
      <c r="C61" s="6" t="str">
        <f t="shared" si="1"/>
        <v>F_23_23</v>
      </c>
      <c r="D61" s="188"/>
      <c r="E61" s="138"/>
      <c r="F61" s="138"/>
      <c r="G61" s="6" t="str">
        <f>_xlfn.XLOOKUP(F61,Tab_Def_Processes[Process_Name],Tab_Def_Processes[Process_ID],,0,)</f>
        <v>23</v>
      </c>
      <c r="H61" s="138"/>
      <c r="I61" s="9" t="str">
        <f>_xlfn.XLOOKUP(H61,Tab_Def_Processes[Process_Name],Tab_Def_Processes[Process_ID],,0,)</f>
        <v>23</v>
      </c>
      <c r="J61" s="138" t="s">
        <v>5</v>
      </c>
      <c r="K61" s="138" t="s">
        <v>5</v>
      </c>
      <c r="L61" s="138"/>
      <c r="M61" s="138" t="s">
        <v>5</v>
      </c>
      <c r="N61" s="6" t="str">
        <f>Tab_Def_Flows[[#This Row],[Flow_ID]]&amp;"_WC"</f>
        <v>F_23_23_WC</v>
      </c>
      <c r="O61" s="135"/>
      <c r="P61" s="13"/>
      <c r="Q61" s="6" t="str">
        <f>Tab_Def_Flows[[#This Row],[Flow_ID]]&amp;"_DM"</f>
        <v>F_23_23_DM</v>
      </c>
      <c r="R61" s="135"/>
      <c r="S61" s="13"/>
      <c r="T61" s="6" t="str">
        <f>Tab_Def_Flows[[#This Row],[Flow_ID]]&amp;"_CC"</f>
        <v>F_23_23_CC</v>
      </c>
      <c r="U61" s="135"/>
      <c r="V61" s="13"/>
      <c r="W61" s="139">
        <f>Tab_Def_Flows[[#This Row],[Flow_CC_DM'[%']]]*Tab_Def_Flows[[#This Row],[Flow_DM'[%']]]</f>
        <v>0</v>
      </c>
      <c r="X61" s="7"/>
      <c r="Y61" s="194" t="b">
        <f>'0_Configuration'!$C$2</f>
        <v>1</v>
      </c>
      <c r="Z61" s="6"/>
      <c r="AA61" s="194" t="b">
        <f>'0_Configuration'!$C$6</f>
        <v>0</v>
      </c>
      <c r="AB61" s="6" t="s">
        <v>1224</v>
      </c>
      <c r="AC61" s="194" t="b">
        <f>'0_Configuration'!$C$10</f>
        <v>0</v>
      </c>
      <c r="AD61" s="6" t="s">
        <v>1224</v>
      </c>
      <c r="AE61" s="194" t="b">
        <f>'0_Configuration'!$C$17</f>
        <v>0</v>
      </c>
      <c r="AF61" s="6">
        <f>_xlfn.XLOOKUP(Tab_Def_Flows[[#This Row],[ODYM_Good_Type]],Tab_Configuration[Value],Tab_Configuration[ODYM_ID],,0,)</f>
        <v>0</v>
      </c>
      <c r="AG61" s="194" t="b">
        <f>'0_Configuration'!$C$24</f>
        <v>0</v>
      </c>
      <c r="AH61" s="6"/>
      <c r="AI61" s="194" t="b">
        <f>'0_Configuration'!$C$29</f>
        <v>1</v>
      </c>
      <c r="AJ61" s="6" t="s">
        <v>1238</v>
      </c>
      <c r="AK61" s="6" t="str">
        <f>IF(Tab_Def_Flows[[#This Row],[ODYM_time_(t)]],"t,","")&amp;IF(Tab_Def_Flows[[#This Row],[ODYM_Region_(r)]],"r,","")&amp;IF(Tab_Def_Flows[[#This Row],[ODYM_process_(p)]],"p,","")&amp;IF(Tab_Def_Flows[[#This Row],[ODYM_Good_(g)2]],"g,","")&amp;IF(Tab_Def_Flows[[#This Row],[ODYM_material_(m)]],"m,","")&amp;IF(Tab_Def_Flows[[#This Row],[ODYM_element_(e)]],"e","")</f>
        <v>t,e</v>
      </c>
      <c r="AL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38" ht="15.75" customHeight="1" x14ac:dyDescent="0.25">
      <c r="A62" s="142" t="b">
        <v>0</v>
      </c>
      <c r="B62" s="16">
        <f t="shared" si="0"/>
        <v>61</v>
      </c>
      <c r="C62" s="6" t="str">
        <f t="shared" si="1"/>
        <v>F_23_23</v>
      </c>
      <c r="D62" s="188"/>
      <c r="E62" s="138"/>
      <c r="F62" s="138"/>
      <c r="G62" s="6" t="str">
        <f>_xlfn.XLOOKUP(F62,Tab_Def_Processes[Process_Name],Tab_Def_Processes[Process_ID],,0,)</f>
        <v>23</v>
      </c>
      <c r="H62" s="138"/>
      <c r="I62" s="9" t="str">
        <f>_xlfn.XLOOKUP(H62,Tab_Def_Processes[Process_Name],Tab_Def_Processes[Process_ID],,0,)</f>
        <v>23</v>
      </c>
      <c r="J62" s="138" t="s">
        <v>5</v>
      </c>
      <c r="K62" s="138" t="s">
        <v>5</v>
      </c>
      <c r="L62" s="138"/>
      <c r="M62" s="138" t="s">
        <v>5</v>
      </c>
      <c r="N62" s="6" t="str">
        <f>Tab_Def_Flows[[#This Row],[Flow_ID]]&amp;"_WC"</f>
        <v>F_23_23_WC</v>
      </c>
      <c r="O62" s="135"/>
      <c r="P62" s="13"/>
      <c r="Q62" s="6" t="str">
        <f>Tab_Def_Flows[[#This Row],[Flow_ID]]&amp;"_DM"</f>
        <v>F_23_23_DM</v>
      </c>
      <c r="R62" s="135"/>
      <c r="S62" s="13"/>
      <c r="T62" s="6" t="str">
        <f>Tab_Def_Flows[[#This Row],[Flow_ID]]&amp;"_CC"</f>
        <v>F_23_23_CC</v>
      </c>
      <c r="U62" s="135"/>
      <c r="V62" s="13"/>
      <c r="W62" s="139">
        <f>Tab_Def_Flows[[#This Row],[Flow_CC_DM'[%']]]*Tab_Def_Flows[[#This Row],[Flow_DM'[%']]]</f>
        <v>0</v>
      </c>
      <c r="X62" s="7"/>
      <c r="Y62" s="194" t="b">
        <f>'0_Configuration'!$C$2</f>
        <v>1</v>
      </c>
      <c r="Z62" s="6"/>
      <c r="AA62" s="194" t="b">
        <f>'0_Configuration'!$C$6</f>
        <v>0</v>
      </c>
      <c r="AB62" s="6" t="s">
        <v>1224</v>
      </c>
      <c r="AC62" s="194" t="b">
        <f>'0_Configuration'!$C$10</f>
        <v>0</v>
      </c>
      <c r="AD62" s="6" t="s">
        <v>1224</v>
      </c>
      <c r="AE62" s="194" t="b">
        <f>'0_Configuration'!$C$17</f>
        <v>0</v>
      </c>
      <c r="AF62" s="6">
        <f>_xlfn.XLOOKUP(Tab_Def_Flows[[#This Row],[ODYM_Good_Type]],Tab_Configuration[Value],Tab_Configuration[ODYM_ID],,0,)</f>
        <v>0</v>
      </c>
      <c r="AG62" s="194" t="b">
        <f>'0_Configuration'!$C$24</f>
        <v>0</v>
      </c>
      <c r="AH62" s="6"/>
      <c r="AI62" s="194" t="b">
        <f>'0_Configuration'!$C$29</f>
        <v>1</v>
      </c>
      <c r="AJ62" s="6" t="s">
        <v>1238</v>
      </c>
      <c r="AK62" s="6" t="str">
        <f>IF(Tab_Def_Flows[[#This Row],[ODYM_time_(t)]],"t,","")&amp;IF(Tab_Def_Flows[[#This Row],[ODYM_Region_(r)]],"r,","")&amp;IF(Tab_Def_Flows[[#This Row],[ODYM_process_(p)]],"p,","")&amp;IF(Tab_Def_Flows[[#This Row],[ODYM_Good_(g)2]],"g,","")&amp;IF(Tab_Def_Flows[[#This Row],[ODYM_material_(m)]],"m,","")&amp;IF(Tab_Def_Flows[[#This Row],[ODYM_element_(e)]],"e","")</f>
        <v>t,e</v>
      </c>
      <c r="AL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38" x14ac:dyDescent="0.25">
      <c r="A63" s="142" t="b">
        <v>0</v>
      </c>
      <c r="B63" s="16">
        <f t="shared" si="0"/>
        <v>62</v>
      </c>
      <c r="C63" s="6" t="str">
        <f t="shared" si="1"/>
        <v>F_23_23</v>
      </c>
      <c r="D63" s="188"/>
      <c r="E63" s="138"/>
      <c r="F63" s="138"/>
      <c r="G63" s="6" t="str">
        <f>_xlfn.XLOOKUP(F63,Tab_Def_Processes[Process_Name],Tab_Def_Processes[Process_ID],,0,)</f>
        <v>23</v>
      </c>
      <c r="H63" s="138"/>
      <c r="I63" s="9" t="str">
        <f>_xlfn.XLOOKUP(H63,Tab_Def_Processes[Process_Name],Tab_Def_Processes[Process_ID],,0,)</f>
        <v>23</v>
      </c>
      <c r="J63" s="138" t="s">
        <v>5</v>
      </c>
      <c r="K63" s="138" t="s">
        <v>5</v>
      </c>
      <c r="L63" s="138"/>
      <c r="M63" s="138" t="s">
        <v>5</v>
      </c>
      <c r="N63" s="6" t="str">
        <f>Tab_Def_Flows[[#This Row],[Flow_ID]]&amp;"_WC"</f>
        <v>F_23_23_WC</v>
      </c>
      <c r="O63" s="135"/>
      <c r="P63" s="13"/>
      <c r="Q63" s="6" t="str">
        <f>Tab_Def_Flows[[#This Row],[Flow_ID]]&amp;"_DM"</f>
        <v>F_23_23_DM</v>
      </c>
      <c r="R63" s="135"/>
      <c r="S63" s="13"/>
      <c r="T63" s="6" t="str">
        <f>Tab_Def_Flows[[#This Row],[Flow_ID]]&amp;"_CC"</f>
        <v>F_23_23_CC</v>
      </c>
      <c r="U63" s="135"/>
      <c r="V63" s="13"/>
      <c r="W63" s="139">
        <f>Tab_Def_Flows[[#This Row],[Flow_CC_DM'[%']]]*Tab_Def_Flows[[#This Row],[Flow_DM'[%']]]</f>
        <v>0</v>
      </c>
      <c r="X63" s="7"/>
      <c r="Y63" s="194" t="b">
        <f>'0_Configuration'!$C$2</f>
        <v>1</v>
      </c>
      <c r="Z63" s="6"/>
      <c r="AA63" s="194" t="b">
        <f>'0_Configuration'!$C$6</f>
        <v>0</v>
      </c>
      <c r="AB63" s="6" t="s">
        <v>1224</v>
      </c>
      <c r="AC63" s="194" t="b">
        <f>'0_Configuration'!$C$10</f>
        <v>0</v>
      </c>
      <c r="AD63" s="6" t="s">
        <v>1224</v>
      </c>
      <c r="AE63" s="194" t="b">
        <f>'0_Configuration'!$C$17</f>
        <v>0</v>
      </c>
      <c r="AF63" s="6">
        <f>_xlfn.XLOOKUP(Tab_Def_Flows[[#This Row],[ODYM_Good_Type]],Tab_Configuration[Value],Tab_Configuration[ODYM_ID],,0,)</f>
        <v>0</v>
      </c>
      <c r="AG63" s="194" t="b">
        <f>'0_Configuration'!$C$24</f>
        <v>0</v>
      </c>
      <c r="AH63" s="6"/>
      <c r="AI63" s="194" t="b">
        <f>'0_Configuration'!$C$29</f>
        <v>1</v>
      </c>
      <c r="AJ63" s="6" t="s">
        <v>1238</v>
      </c>
      <c r="AK63" s="6" t="str">
        <f>IF(Tab_Def_Flows[[#This Row],[ODYM_time_(t)]],"t,","")&amp;IF(Tab_Def_Flows[[#This Row],[ODYM_Region_(r)]],"r,","")&amp;IF(Tab_Def_Flows[[#This Row],[ODYM_process_(p)]],"p,","")&amp;IF(Tab_Def_Flows[[#This Row],[ODYM_Good_(g)2]],"g,","")&amp;IF(Tab_Def_Flows[[#This Row],[ODYM_material_(m)]],"m,","")&amp;IF(Tab_Def_Flows[[#This Row],[ODYM_element_(e)]],"e","")</f>
        <v>t,e</v>
      </c>
      <c r="AL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38" x14ac:dyDescent="0.25">
      <c r="A64" s="142" t="b">
        <v>0</v>
      </c>
      <c r="B64" s="16">
        <f t="shared" si="0"/>
        <v>63</v>
      </c>
      <c r="C64" s="6" t="str">
        <f t="shared" si="1"/>
        <v>F_23_23</v>
      </c>
      <c r="D64" s="188"/>
      <c r="E64" s="138"/>
      <c r="F64" s="138"/>
      <c r="G64" s="6" t="str">
        <f>_xlfn.XLOOKUP(F64,Tab_Def_Processes[Process_Name],Tab_Def_Processes[Process_ID],,0,)</f>
        <v>23</v>
      </c>
      <c r="H64" s="138"/>
      <c r="I64" s="9" t="str">
        <f>_xlfn.XLOOKUP(H64,Tab_Def_Processes[Process_Name],Tab_Def_Processes[Process_ID],,0,)</f>
        <v>23</v>
      </c>
      <c r="J64" s="138" t="s">
        <v>5</v>
      </c>
      <c r="K64" s="138" t="s">
        <v>5</v>
      </c>
      <c r="L64" s="138"/>
      <c r="M64" s="138" t="s">
        <v>5</v>
      </c>
      <c r="N64" s="6" t="str">
        <f>Tab_Def_Flows[[#This Row],[Flow_ID]]&amp;"_WC"</f>
        <v>F_23_23_WC</v>
      </c>
      <c r="O64" s="135"/>
      <c r="P64" s="13"/>
      <c r="Q64" s="6" t="str">
        <f>Tab_Def_Flows[[#This Row],[Flow_ID]]&amp;"_DM"</f>
        <v>F_23_23_DM</v>
      </c>
      <c r="R64" s="135"/>
      <c r="S64" s="13"/>
      <c r="T64" s="6" t="str">
        <f>Tab_Def_Flows[[#This Row],[Flow_ID]]&amp;"_CC"</f>
        <v>F_23_23_CC</v>
      </c>
      <c r="U64" s="135"/>
      <c r="V64" s="13"/>
      <c r="W64" s="139">
        <f>Tab_Def_Flows[[#This Row],[Flow_CC_DM'[%']]]*Tab_Def_Flows[[#This Row],[Flow_DM'[%']]]</f>
        <v>0</v>
      </c>
      <c r="X64" s="7"/>
      <c r="Y64" s="194" t="b">
        <f>'0_Configuration'!$C$2</f>
        <v>1</v>
      </c>
      <c r="Z64" s="6"/>
      <c r="AA64" s="194" t="b">
        <f>'0_Configuration'!$C$6</f>
        <v>0</v>
      </c>
      <c r="AB64" s="6" t="s">
        <v>1224</v>
      </c>
      <c r="AC64" s="194" t="b">
        <f>'0_Configuration'!$C$10</f>
        <v>0</v>
      </c>
      <c r="AD64" s="6" t="s">
        <v>1224</v>
      </c>
      <c r="AE64" s="194" t="b">
        <f>'0_Configuration'!$C$17</f>
        <v>0</v>
      </c>
      <c r="AF64" s="6">
        <f>_xlfn.XLOOKUP(Tab_Def_Flows[[#This Row],[ODYM_Good_Type]],Tab_Configuration[Value],Tab_Configuration[ODYM_ID],,0,)</f>
        <v>0</v>
      </c>
      <c r="AG64" s="194" t="b">
        <f>'0_Configuration'!$C$24</f>
        <v>0</v>
      </c>
      <c r="AH64" s="6"/>
      <c r="AI64" s="194" t="b">
        <f>'0_Configuration'!$C$29</f>
        <v>1</v>
      </c>
      <c r="AJ64" s="6" t="s">
        <v>1238</v>
      </c>
      <c r="AK64" s="6" t="str">
        <f>IF(Tab_Def_Flows[[#This Row],[ODYM_time_(t)]],"t,","")&amp;IF(Tab_Def_Flows[[#This Row],[ODYM_Region_(r)]],"r,","")&amp;IF(Tab_Def_Flows[[#This Row],[ODYM_process_(p)]],"p,","")&amp;IF(Tab_Def_Flows[[#This Row],[ODYM_Good_(g)2]],"g,","")&amp;IF(Tab_Def_Flows[[#This Row],[ODYM_material_(m)]],"m,","")&amp;IF(Tab_Def_Flows[[#This Row],[ODYM_element_(e)]],"e","")</f>
        <v>t,e</v>
      </c>
      <c r="AL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38" x14ac:dyDescent="0.25">
      <c r="A65" s="142" t="b">
        <v>0</v>
      </c>
      <c r="B65" s="16">
        <f t="shared" si="0"/>
        <v>64</v>
      </c>
      <c r="C65" s="6" t="str">
        <f t="shared" si="1"/>
        <v>F_23_23</v>
      </c>
      <c r="D65" s="188"/>
      <c r="E65" s="138"/>
      <c r="F65" s="138"/>
      <c r="G65" s="6" t="str">
        <f>_xlfn.XLOOKUP(F65,Tab_Def_Processes[Process_Name],Tab_Def_Processes[Process_ID],,0,)</f>
        <v>23</v>
      </c>
      <c r="H65" s="138"/>
      <c r="I65" s="9" t="str">
        <f>_xlfn.XLOOKUP(H65,Tab_Def_Processes[Process_Name],Tab_Def_Processes[Process_ID],,0,)</f>
        <v>23</v>
      </c>
      <c r="J65" s="138" t="s">
        <v>5</v>
      </c>
      <c r="K65" s="138" t="s">
        <v>5</v>
      </c>
      <c r="L65" s="138"/>
      <c r="M65" s="138" t="s">
        <v>5</v>
      </c>
      <c r="N65" s="6" t="str">
        <f>Tab_Def_Flows[[#This Row],[Flow_ID]]&amp;"_WC"</f>
        <v>F_23_23_WC</v>
      </c>
      <c r="O65" s="135"/>
      <c r="P65" s="13"/>
      <c r="Q65" s="6" t="str">
        <f>Tab_Def_Flows[[#This Row],[Flow_ID]]&amp;"_DM"</f>
        <v>F_23_23_DM</v>
      </c>
      <c r="R65" s="135"/>
      <c r="S65" s="13"/>
      <c r="T65" s="6" t="str">
        <f>Tab_Def_Flows[[#This Row],[Flow_ID]]&amp;"_CC"</f>
        <v>F_23_23_CC</v>
      </c>
      <c r="U65" s="135"/>
      <c r="V65" s="13"/>
      <c r="W65" s="139">
        <f>Tab_Def_Flows[[#This Row],[Flow_CC_DM'[%']]]*Tab_Def_Flows[[#This Row],[Flow_DM'[%']]]</f>
        <v>0</v>
      </c>
      <c r="X65" s="7"/>
      <c r="Y65" s="194" t="b">
        <f>'0_Configuration'!$C$2</f>
        <v>1</v>
      </c>
      <c r="Z65" s="6"/>
      <c r="AA65" s="194" t="b">
        <f>'0_Configuration'!$C$6</f>
        <v>0</v>
      </c>
      <c r="AB65" s="6" t="s">
        <v>1224</v>
      </c>
      <c r="AC65" s="194" t="b">
        <f>'0_Configuration'!$C$10</f>
        <v>0</v>
      </c>
      <c r="AD65" s="6" t="s">
        <v>1224</v>
      </c>
      <c r="AE65" s="194" t="b">
        <f>'0_Configuration'!$C$17</f>
        <v>0</v>
      </c>
      <c r="AF65" s="6">
        <f>_xlfn.XLOOKUP(Tab_Def_Flows[[#This Row],[ODYM_Good_Type]],Tab_Configuration[Value],Tab_Configuration[ODYM_ID],,0,)</f>
        <v>0</v>
      </c>
      <c r="AG65" s="194" t="b">
        <f>'0_Configuration'!$C$24</f>
        <v>0</v>
      </c>
      <c r="AH65" s="6"/>
      <c r="AI65" s="194" t="b">
        <f>'0_Configuration'!$C$29</f>
        <v>1</v>
      </c>
      <c r="AJ65" s="6" t="s">
        <v>1238</v>
      </c>
      <c r="AK65" s="6" t="str">
        <f>IF(Tab_Def_Flows[[#This Row],[ODYM_time_(t)]],"t,","")&amp;IF(Tab_Def_Flows[[#This Row],[ODYM_Region_(r)]],"r,","")&amp;IF(Tab_Def_Flows[[#This Row],[ODYM_process_(p)]],"p,","")&amp;IF(Tab_Def_Flows[[#This Row],[ODYM_Good_(g)2]],"g,","")&amp;IF(Tab_Def_Flows[[#This Row],[ODYM_material_(m)]],"m,","")&amp;IF(Tab_Def_Flows[[#This Row],[ODYM_element_(e)]],"e","")</f>
        <v>t,e</v>
      </c>
      <c r="AL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38" x14ac:dyDescent="0.25">
      <c r="A66" s="142" t="b">
        <v>0</v>
      </c>
      <c r="B66" s="16">
        <f t="shared" si="0"/>
        <v>65</v>
      </c>
      <c r="C66" s="6" t="str">
        <f t="shared" si="1"/>
        <v>F_23_23</v>
      </c>
      <c r="D66" s="188"/>
      <c r="E66" s="138"/>
      <c r="F66" s="138"/>
      <c r="G66" s="6" t="str">
        <f>_xlfn.XLOOKUP(F66,Tab_Def_Processes[Process_Name],Tab_Def_Processes[Process_ID],,0,)</f>
        <v>23</v>
      </c>
      <c r="H66" s="138"/>
      <c r="I66" s="9" t="str">
        <f>_xlfn.XLOOKUP(H66,Tab_Def_Processes[Process_Name],Tab_Def_Processes[Process_ID],,0,)</f>
        <v>23</v>
      </c>
      <c r="J66" s="138" t="s">
        <v>5</v>
      </c>
      <c r="K66" s="138" t="s">
        <v>5</v>
      </c>
      <c r="L66" s="138"/>
      <c r="M66" s="138" t="s">
        <v>5</v>
      </c>
      <c r="N66" s="6" t="str">
        <f>Tab_Def_Flows[[#This Row],[Flow_ID]]&amp;"_WC"</f>
        <v>F_23_23_WC</v>
      </c>
      <c r="O66" s="135"/>
      <c r="P66" s="13"/>
      <c r="Q66" s="6" t="str">
        <f>Tab_Def_Flows[[#This Row],[Flow_ID]]&amp;"_DM"</f>
        <v>F_23_23_DM</v>
      </c>
      <c r="R66" s="135"/>
      <c r="S66" s="13"/>
      <c r="T66" s="6" t="str">
        <f>Tab_Def_Flows[[#This Row],[Flow_ID]]&amp;"_CC"</f>
        <v>F_23_23_CC</v>
      </c>
      <c r="U66" s="135"/>
      <c r="V66" s="13"/>
      <c r="W66" s="139">
        <f>Tab_Def_Flows[[#This Row],[Flow_CC_DM'[%']]]*Tab_Def_Flows[[#This Row],[Flow_DM'[%']]]</f>
        <v>0</v>
      </c>
      <c r="X66" s="7"/>
      <c r="Y66" s="194" t="b">
        <f>'0_Configuration'!$C$2</f>
        <v>1</v>
      </c>
      <c r="Z66" s="6"/>
      <c r="AA66" s="194" t="b">
        <f>'0_Configuration'!$C$6</f>
        <v>0</v>
      </c>
      <c r="AB66" s="6" t="s">
        <v>1224</v>
      </c>
      <c r="AC66" s="194" t="b">
        <f>'0_Configuration'!$C$10</f>
        <v>0</v>
      </c>
      <c r="AD66" s="6" t="s">
        <v>1224</v>
      </c>
      <c r="AE66" s="194" t="b">
        <f>'0_Configuration'!$C$17</f>
        <v>0</v>
      </c>
      <c r="AF66" s="6">
        <f>_xlfn.XLOOKUP(Tab_Def_Flows[[#This Row],[ODYM_Good_Type]],Tab_Configuration[Value],Tab_Configuration[ODYM_ID],,0,)</f>
        <v>0</v>
      </c>
      <c r="AG66" s="194" t="b">
        <f>'0_Configuration'!$C$24</f>
        <v>0</v>
      </c>
      <c r="AH66" s="6"/>
      <c r="AI66" s="194" t="b">
        <f>'0_Configuration'!$C$29</f>
        <v>1</v>
      </c>
      <c r="AJ66" s="6" t="s">
        <v>1238</v>
      </c>
      <c r="AK66" s="6" t="str">
        <f>IF(Tab_Def_Flows[[#This Row],[ODYM_time_(t)]],"t,","")&amp;IF(Tab_Def_Flows[[#This Row],[ODYM_Region_(r)]],"r,","")&amp;IF(Tab_Def_Flows[[#This Row],[ODYM_process_(p)]],"p,","")&amp;IF(Tab_Def_Flows[[#This Row],[ODYM_Good_(g)2]],"g,","")&amp;IF(Tab_Def_Flows[[#This Row],[ODYM_material_(m)]],"m,","")&amp;IF(Tab_Def_Flows[[#This Row],[ODYM_element_(e)]],"e","")</f>
        <v>t,e</v>
      </c>
      <c r="AL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38" x14ac:dyDescent="0.25">
      <c r="A67" s="142" t="b">
        <v>0</v>
      </c>
      <c r="B67" s="16">
        <f t="shared" si="0"/>
        <v>66</v>
      </c>
      <c r="C67" s="6" t="str">
        <f t="shared" si="1"/>
        <v>F_23_23</v>
      </c>
      <c r="D67" s="188"/>
      <c r="E67" s="138"/>
      <c r="F67" s="138"/>
      <c r="G67" s="6" t="str">
        <f>_xlfn.XLOOKUP(F67,Tab_Def_Processes[Process_Name],Tab_Def_Processes[Process_ID],,0,)</f>
        <v>23</v>
      </c>
      <c r="H67" s="138"/>
      <c r="I67" s="9" t="str">
        <f>_xlfn.XLOOKUP(H67,Tab_Def_Processes[Process_Name],Tab_Def_Processes[Process_ID],,0,)</f>
        <v>23</v>
      </c>
      <c r="J67" s="138" t="s">
        <v>5</v>
      </c>
      <c r="K67" s="138" t="s">
        <v>5</v>
      </c>
      <c r="L67" s="138"/>
      <c r="M67" s="138" t="s">
        <v>5</v>
      </c>
      <c r="N67" s="6" t="str">
        <f>Tab_Def_Flows[[#This Row],[Flow_ID]]&amp;"_WC"</f>
        <v>F_23_23_WC</v>
      </c>
      <c r="O67" s="135"/>
      <c r="P67" s="13"/>
      <c r="Q67" s="6" t="str">
        <f>Tab_Def_Flows[[#This Row],[Flow_ID]]&amp;"_DM"</f>
        <v>F_23_23_DM</v>
      </c>
      <c r="R67" s="135"/>
      <c r="S67" s="13"/>
      <c r="T67" s="6" t="str">
        <f>Tab_Def_Flows[[#This Row],[Flow_ID]]&amp;"_CC"</f>
        <v>F_23_23_CC</v>
      </c>
      <c r="U67" s="135"/>
      <c r="V67" s="13"/>
      <c r="W67" s="139">
        <f>Tab_Def_Flows[[#This Row],[Flow_CC_DM'[%']]]*Tab_Def_Flows[[#This Row],[Flow_DM'[%']]]</f>
        <v>0</v>
      </c>
      <c r="X67" s="7"/>
      <c r="Y67" s="194" t="b">
        <f>'0_Configuration'!$C$2</f>
        <v>1</v>
      </c>
      <c r="Z67" s="6"/>
      <c r="AA67" s="194" t="b">
        <f>'0_Configuration'!$C$6</f>
        <v>0</v>
      </c>
      <c r="AB67" s="6" t="s">
        <v>1224</v>
      </c>
      <c r="AC67" s="194" t="b">
        <f>'0_Configuration'!$C$10</f>
        <v>0</v>
      </c>
      <c r="AD67" s="6" t="s">
        <v>1224</v>
      </c>
      <c r="AE67" s="194" t="b">
        <f>'0_Configuration'!$C$17</f>
        <v>0</v>
      </c>
      <c r="AF67" s="6">
        <f>_xlfn.XLOOKUP(Tab_Def_Flows[[#This Row],[ODYM_Good_Type]],Tab_Configuration[Value],Tab_Configuration[ODYM_ID],,0,)</f>
        <v>0</v>
      </c>
      <c r="AG67" s="194" t="b">
        <f>'0_Configuration'!$C$24</f>
        <v>0</v>
      </c>
      <c r="AH67" s="6"/>
      <c r="AI67" s="194" t="b">
        <f>'0_Configuration'!$C$29</f>
        <v>1</v>
      </c>
      <c r="AJ67" s="6" t="s">
        <v>1238</v>
      </c>
      <c r="AK67" s="6" t="str">
        <f>IF(Tab_Def_Flows[[#This Row],[ODYM_time_(t)]],"t,","")&amp;IF(Tab_Def_Flows[[#This Row],[ODYM_Region_(r)]],"r,","")&amp;IF(Tab_Def_Flows[[#This Row],[ODYM_process_(p)]],"p,","")&amp;IF(Tab_Def_Flows[[#This Row],[ODYM_Good_(g)2]],"g,","")&amp;IF(Tab_Def_Flows[[#This Row],[ODYM_material_(m)]],"m,","")&amp;IF(Tab_Def_Flows[[#This Row],[ODYM_element_(e)]],"e","")</f>
        <v>t,e</v>
      </c>
      <c r="AL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38" x14ac:dyDescent="0.25">
      <c r="A68" s="142" t="b">
        <v>0</v>
      </c>
      <c r="B68" s="16">
        <f t="shared" si="0"/>
        <v>67</v>
      </c>
      <c r="C68" s="6" t="str">
        <f t="shared" si="1"/>
        <v>F_23_23</v>
      </c>
      <c r="D68" s="188"/>
      <c r="E68" s="138"/>
      <c r="F68" s="138"/>
      <c r="G68" s="6" t="str">
        <f>_xlfn.XLOOKUP(F68,Tab_Def_Processes[Process_Name],Tab_Def_Processes[Process_ID],,0,)</f>
        <v>23</v>
      </c>
      <c r="H68" s="138"/>
      <c r="I68" s="9" t="str">
        <f>_xlfn.XLOOKUP(H68,Tab_Def_Processes[Process_Name],Tab_Def_Processes[Process_ID],,0,)</f>
        <v>23</v>
      </c>
      <c r="J68" s="138" t="s">
        <v>5</v>
      </c>
      <c r="K68" s="138" t="s">
        <v>5</v>
      </c>
      <c r="L68" s="138"/>
      <c r="M68" s="138" t="s">
        <v>5</v>
      </c>
      <c r="N68" s="6" t="str">
        <f>Tab_Def_Flows[[#This Row],[Flow_ID]]&amp;"_WC"</f>
        <v>F_23_23_WC</v>
      </c>
      <c r="O68" s="135"/>
      <c r="P68" s="13"/>
      <c r="Q68" s="6" t="str">
        <f>Tab_Def_Flows[[#This Row],[Flow_ID]]&amp;"_DM"</f>
        <v>F_23_23_DM</v>
      </c>
      <c r="R68" s="135"/>
      <c r="S68" s="13"/>
      <c r="T68" s="6" t="str">
        <f>Tab_Def_Flows[[#This Row],[Flow_ID]]&amp;"_CC"</f>
        <v>F_23_23_CC</v>
      </c>
      <c r="U68" s="135"/>
      <c r="V68" s="13"/>
      <c r="W68" s="139">
        <f>Tab_Def_Flows[[#This Row],[Flow_CC_DM'[%']]]*Tab_Def_Flows[[#This Row],[Flow_DM'[%']]]</f>
        <v>0</v>
      </c>
      <c r="X68" s="7"/>
      <c r="Y68" s="194" t="b">
        <f>'0_Configuration'!$C$2</f>
        <v>1</v>
      </c>
      <c r="Z68" s="6"/>
      <c r="AA68" s="194" t="b">
        <f>'0_Configuration'!$C$6</f>
        <v>0</v>
      </c>
      <c r="AB68" s="6" t="s">
        <v>1224</v>
      </c>
      <c r="AC68" s="194" t="b">
        <f>'0_Configuration'!$C$10</f>
        <v>0</v>
      </c>
      <c r="AD68" s="6" t="s">
        <v>1224</v>
      </c>
      <c r="AE68" s="194" t="b">
        <f>'0_Configuration'!$C$17</f>
        <v>0</v>
      </c>
      <c r="AF68" s="6">
        <f>_xlfn.XLOOKUP(Tab_Def_Flows[[#This Row],[ODYM_Good_Type]],Tab_Configuration[Value],Tab_Configuration[ODYM_ID],,0,)</f>
        <v>0</v>
      </c>
      <c r="AG68" s="194" t="b">
        <f>'0_Configuration'!$C$24</f>
        <v>0</v>
      </c>
      <c r="AH68" s="6"/>
      <c r="AI68" s="194" t="b">
        <f>'0_Configuration'!$C$29</f>
        <v>1</v>
      </c>
      <c r="AJ68" s="6" t="s">
        <v>1238</v>
      </c>
      <c r="AK68" s="6" t="str">
        <f>IF(Tab_Def_Flows[[#This Row],[ODYM_time_(t)]],"t,","")&amp;IF(Tab_Def_Flows[[#This Row],[ODYM_Region_(r)]],"r,","")&amp;IF(Tab_Def_Flows[[#This Row],[ODYM_process_(p)]],"p,","")&amp;IF(Tab_Def_Flows[[#This Row],[ODYM_Good_(g)2]],"g,","")&amp;IF(Tab_Def_Flows[[#This Row],[ODYM_material_(m)]],"m,","")&amp;IF(Tab_Def_Flows[[#This Row],[ODYM_element_(e)]],"e","")</f>
        <v>t,e</v>
      </c>
      <c r="AL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38" x14ac:dyDescent="0.25">
      <c r="A69" s="142" t="b">
        <v>0</v>
      </c>
      <c r="B69" s="16">
        <f t="shared" si="0"/>
        <v>68</v>
      </c>
      <c r="C69" s="6" t="str">
        <f t="shared" si="1"/>
        <v>F_23_23</v>
      </c>
      <c r="D69" s="188"/>
      <c r="E69" s="138"/>
      <c r="F69" s="138"/>
      <c r="G69" s="6" t="str">
        <f>_xlfn.XLOOKUP(F69,Tab_Def_Processes[Process_Name],Tab_Def_Processes[Process_ID],,0,)</f>
        <v>23</v>
      </c>
      <c r="H69" s="138"/>
      <c r="I69" s="9" t="str">
        <f>_xlfn.XLOOKUP(H69,Tab_Def_Processes[Process_Name],Tab_Def_Processes[Process_ID],,0,)</f>
        <v>23</v>
      </c>
      <c r="J69" s="138" t="s">
        <v>5</v>
      </c>
      <c r="K69" s="138" t="s">
        <v>5</v>
      </c>
      <c r="L69" s="138"/>
      <c r="M69" s="138" t="s">
        <v>5</v>
      </c>
      <c r="N69" s="6" t="str">
        <f>Tab_Def_Flows[[#This Row],[Flow_ID]]&amp;"_WC"</f>
        <v>F_23_23_WC</v>
      </c>
      <c r="O69" s="135"/>
      <c r="P69" s="13"/>
      <c r="Q69" s="6" t="str">
        <f>Tab_Def_Flows[[#This Row],[Flow_ID]]&amp;"_DM"</f>
        <v>F_23_23_DM</v>
      </c>
      <c r="R69" s="135"/>
      <c r="S69" s="13"/>
      <c r="T69" s="6" t="str">
        <f>Tab_Def_Flows[[#This Row],[Flow_ID]]&amp;"_CC"</f>
        <v>F_23_23_CC</v>
      </c>
      <c r="U69" s="135"/>
      <c r="V69" s="13"/>
      <c r="W69" s="139">
        <f>Tab_Def_Flows[[#This Row],[Flow_CC_DM'[%']]]*Tab_Def_Flows[[#This Row],[Flow_DM'[%']]]</f>
        <v>0</v>
      </c>
      <c r="X69" s="7"/>
      <c r="Y69" s="194" t="b">
        <f>'0_Configuration'!$C$2</f>
        <v>1</v>
      </c>
      <c r="Z69" s="6"/>
      <c r="AA69" s="194" t="b">
        <f>'0_Configuration'!$C$6</f>
        <v>0</v>
      </c>
      <c r="AB69" s="6" t="s">
        <v>1224</v>
      </c>
      <c r="AC69" s="194" t="b">
        <f>'0_Configuration'!$C$10</f>
        <v>0</v>
      </c>
      <c r="AD69" s="6" t="s">
        <v>1224</v>
      </c>
      <c r="AE69" s="194" t="b">
        <f>'0_Configuration'!$C$17</f>
        <v>0</v>
      </c>
      <c r="AF69" s="6">
        <f>_xlfn.XLOOKUP(Tab_Def_Flows[[#This Row],[ODYM_Good_Type]],Tab_Configuration[Value],Tab_Configuration[ODYM_ID],,0,)</f>
        <v>0</v>
      </c>
      <c r="AG69" s="194" t="b">
        <f>'0_Configuration'!$C$24</f>
        <v>0</v>
      </c>
      <c r="AH69" s="6"/>
      <c r="AI69" s="194" t="b">
        <f>'0_Configuration'!$C$29</f>
        <v>1</v>
      </c>
      <c r="AJ69" s="6" t="s">
        <v>1238</v>
      </c>
      <c r="AK69" s="6" t="str">
        <f>IF(Tab_Def_Flows[[#This Row],[ODYM_time_(t)]],"t,","")&amp;IF(Tab_Def_Flows[[#This Row],[ODYM_Region_(r)]],"r,","")&amp;IF(Tab_Def_Flows[[#This Row],[ODYM_process_(p)]],"p,","")&amp;IF(Tab_Def_Flows[[#This Row],[ODYM_Good_(g)2]],"g,","")&amp;IF(Tab_Def_Flows[[#This Row],[ODYM_material_(m)]],"m,","")&amp;IF(Tab_Def_Flows[[#This Row],[ODYM_element_(e)]],"e","")</f>
        <v>t,e</v>
      </c>
      <c r="AL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38" x14ac:dyDescent="0.25">
      <c r="A70" s="142" t="b">
        <v>0</v>
      </c>
      <c r="B70" s="16">
        <f t="shared" si="0"/>
        <v>69</v>
      </c>
      <c r="C70" s="6" t="str">
        <f t="shared" si="1"/>
        <v>F_23_23</v>
      </c>
      <c r="D70" s="188"/>
      <c r="E70" s="138"/>
      <c r="F70" s="138"/>
      <c r="G70" s="6" t="str">
        <f>_xlfn.XLOOKUP(F70,Tab_Def_Processes[Process_Name],Tab_Def_Processes[Process_ID],,0,)</f>
        <v>23</v>
      </c>
      <c r="H70" s="138"/>
      <c r="I70" s="9" t="str">
        <f>_xlfn.XLOOKUP(H70,Tab_Def_Processes[Process_Name],Tab_Def_Processes[Process_ID],,0,)</f>
        <v>23</v>
      </c>
      <c r="J70" s="138" t="s">
        <v>5</v>
      </c>
      <c r="K70" s="138" t="s">
        <v>5</v>
      </c>
      <c r="L70" s="138"/>
      <c r="M70" s="138" t="s">
        <v>5</v>
      </c>
      <c r="N70" s="6" t="str">
        <f>Tab_Def_Flows[[#This Row],[Flow_ID]]&amp;"_WC"</f>
        <v>F_23_23_WC</v>
      </c>
      <c r="O70" s="135"/>
      <c r="P70" s="13"/>
      <c r="Q70" s="6" t="str">
        <f>Tab_Def_Flows[[#This Row],[Flow_ID]]&amp;"_DM"</f>
        <v>F_23_23_DM</v>
      </c>
      <c r="R70" s="135"/>
      <c r="S70" s="13"/>
      <c r="T70" s="6" t="str">
        <f>Tab_Def_Flows[[#This Row],[Flow_ID]]&amp;"_CC"</f>
        <v>F_23_23_CC</v>
      </c>
      <c r="U70" s="135"/>
      <c r="V70" s="13"/>
      <c r="W70" s="139">
        <f>Tab_Def_Flows[[#This Row],[Flow_CC_DM'[%']]]*Tab_Def_Flows[[#This Row],[Flow_DM'[%']]]</f>
        <v>0</v>
      </c>
      <c r="X70" s="7"/>
      <c r="Y70" s="194" t="b">
        <f>'0_Configuration'!$C$2</f>
        <v>1</v>
      </c>
      <c r="Z70" s="6"/>
      <c r="AA70" s="194" t="b">
        <f>'0_Configuration'!$C$6</f>
        <v>0</v>
      </c>
      <c r="AB70" s="6" t="s">
        <v>1224</v>
      </c>
      <c r="AC70" s="194" t="b">
        <f>'0_Configuration'!$C$10</f>
        <v>0</v>
      </c>
      <c r="AD70" s="6" t="s">
        <v>1224</v>
      </c>
      <c r="AE70" s="194" t="b">
        <f>'0_Configuration'!$C$17</f>
        <v>0</v>
      </c>
      <c r="AF70" s="6">
        <f>_xlfn.XLOOKUP(Tab_Def_Flows[[#This Row],[ODYM_Good_Type]],Tab_Configuration[Value],Tab_Configuration[ODYM_ID],,0,)</f>
        <v>0</v>
      </c>
      <c r="AG70" s="194" t="b">
        <f>'0_Configuration'!$C$24</f>
        <v>0</v>
      </c>
      <c r="AH70" s="6"/>
      <c r="AI70" s="194" t="b">
        <f>'0_Configuration'!$C$29</f>
        <v>1</v>
      </c>
      <c r="AJ70" s="6" t="s">
        <v>1238</v>
      </c>
      <c r="AK70" s="6" t="str">
        <f>IF(Tab_Def_Flows[[#This Row],[ODYM_time_(t)]],"t,","")&amp;IF(Tab_Def_Flows[[#This Row],[ODYM_Region_(r)]],"r,","")&amp;IF(Tab_Def_Flows[[#This Row],[ODYM_process_(p)]],"p,","")&amp;IF(Tab_Def_Flows[[#This Row],[ODYM_Good_(g)2]],"g,","")&amp;IF(Tab_Def_Flows[[#This Row],[ODYM_material_(m)]],"m,","")&amp;IF(Tab_Def_Flows[[#This Row],[ODYM_element_(e)]],"e","")</f>
        <v>t,e</v>
      </c>
      <c r="AL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38" ht="15" customHeight="1" x14ac:dyDescent="0.25">
      <c r="A71" s="142" t="b">
        <v>0</v>
      </c>
      <c r="B71" s="16">
        <f t="shared" si="0"/>
        <v>70</v>
      </c>
      <c r="C71" s="6" t="str">
        <f t="shared" si="1"/>
        <v>F_23_23</v>
      </c>
      <c r="D71" s="188"/>
      <c r="E71" s="138"/>
      <c r="F71" s="138"/>
      <c r="G71" s="6" t="str">
        <f>_xlfn.XLOOKUP(F71,Tab_Def_Processes[Process_Name],Tab_Def_Processes[Process_ID],,0,)</f>
        <v>23</v>
      </c>
      <c r="H71" s="138"/>
      <c r="I71" s="9" t="str">
        <f>_xlfn.XLOOKUP(H71,Tab_Def_Processes[Process_Name],Tab_Def_Processes[Process_ID],,0,)</f>
        <v>23</v>
      </c>
      <c r="J71" s="138" t="s">
        <v>5</v>
      </c>
      <c r="K71" s="138" t="s">
        <v>5</v>
      </c>
      <c r="L71" s="138"/>
      <c r="M71" s="138" t="s">
        <v>5</v>
      </c>
      <c r="N71" s="6" t="str">
        <f>Tab_Def_Flows[[#This Row],[Flow_ID]]&amp;"_WC"</f>
        <v>F_23_23_WC</v>
      </c>
      <c r="O71" s="135"/>
      <c r="P71" s="13"/>
      <c r="Q71" s="6" t="str">
        <f>Tab_Def_Flows[[#This Row],[Flow_ID]]&amp;"_DM"</f>
        <v>F_23_23_DM</v>
      </c>
      <c r="R71" s="135"/>
      <c r="S71" s="13"/>
      <c r="T71" s="6" t="str">
        <f>Tab_Def_Flows[[#This Row],[Flow_ID]]&amp;"_CC"</f>
        <v>F_23_23_CC</v>
      </c>
      <c r="U71" s="135"/>
      <c r="V71" s="13"/>
      <c r="W71" s="139">
        <f>Tab_Def_Flows[[#This Row],[Flow_CC_DM'[%']]]*Tab_Def_Flows[[#This Row],[Flow_DM'[%']]]</f>
        <v>0</v>
      </c>
      <c r="X71" s="7"/>
      <c r="Y71" s="194" t="b">
        <f>'0_Configuration'!$C$2</f>
        <v>1</v>
      </c>
      <c r="Z71" s="6"/>
      <c r="AA71" s="194" t="b">
        <f>'0_Configuration'!$C$6</f>
        <v>0</v>
      </c>
      <c r="AB71" s="6" t="s">
        <v>1224</v>
      </c>
      <c r="AC71" s="194" t="b">
        <f>'0_Configuration'!$C$10</f>
        <v>0</v>
      </c>
      <c r="AD71" s="6" t="s">
        <v>1224</v>
      </c>
      <c r="AE71" s="194" t="b">
        <f>'0_Configuration'!$C$17</f>
        <v>0</v>
      </c>
      <c r="AF71" s="6">
        <f>_xlfn.XLOOKUP(Tab_Def_Flows[[#This Row],[ODYM_Good_Type]],Tab_Configuration[Value],Tab_Configuration[ODYM_ID],,0,)</f>
        <v>0</v>
      </c>
      <c r="AG71" s="194" t="b">
        <f>'0_Configuration'!$C$24</f>
        <v>0</v>
      </c>
      <c r="AH71" s="6"/>
      <c r="AI71" s="194" t="b">
        <f>'0_Configuration'!$C$29</f>
        <v>1</v>
      </c>
      <c r="AJ71" s="6" t="s">
        <v>1238</v>
      </c>
      <c r="AK71" s="6" t="str">
        <f>IF(Tab_Def_Flows[[#This Row],[ODYM_time_(t)]],"t,","")&amp;IF(Tab_Def_Flows[[#This Row],[ODYM_Region_(r)]],"r,","")&amp;IF(Tab_Def_Flows[[#This Row],[ODYM_process_(p)]],"p,","")&amp;IF(Tab_Def_Flows[[#This Row],[ODYM_Good_(g)2]],"g,","")&amp;IF(Tab_Def_Flows[[#This Row],[ODYM_material_(m)]],"m,","")&amp;IF(Tab_Def_Flows[[#This Row],[ODYM_element_(e)]],"e","")</f>
        <v>t,e</v>
      </c>
      <c r="AL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38" ht="15" customHeight="1" x14ac:dyDescent="0.25">
      <c r="A72" s="142" t="b">
        <v>0</v>
      </c>
      <c r="B72" s="16">
        <f t="shared" si="0"/>
        <v>71</v>
      </c>
      <c r="C72" s="6" t="str">
        <f t="shared" si="1"/>
        <v>F_23_23</v>
      </c>
      <c r="D72" s="188"/>
      <c r="E72" s="138"/>
      <c r="F72" s="138"/>
      <c r="G72" s="6" t="str">
        <f>_xlfn.XLOOKUP(F72,Tab_Def_Processes[Process_Name],Tab_Def_Processes[Process_ID],,0,)</f>
        <v>23</v>
      </c>
      <c r="H72" s="138"/>
      <c r="I72" s="9" t="str">
        <f>_xlfn.XLOOKUP(H72,Tab_Def_Processes[Process_Name],Tab_Def_Processes[Process_ID],,0,)</f>
        <v>23</v>
      </c>
      <c r="J72" s="138" t="s">
        <v>5</v>
      </c>
      <c r="K72" s="138" t="s">
        <v>5</v>
      </c>
      <c r="L72" s="138"/>
      <c r="M72" s="138" t="s">
        <v>5</v>
      </c>
      <c r="N72" s="6" t="str">
        <f>Tab_Def_Flows[[#This Row],[Flow_ID]]&amp;"_WC"</f>
        <v>F_23_23_WC</v>
      </c>
      <c r="O72" s="135"/>
      <c r="P72" s="13"/>
      <c r="Q72" s="6" t="str">
        <f>Tab_Def_Flows[[#This Row],[Flow_ID]]&amp;"_DM"</f>
        <v>F_23_23_DM</v>
      </c>
      <c r="R72" s="135"/>
      <c r="S72" s="13"/>
      <c r="T72" s="6" t="str">
        <f>Tab_Def_Flows[[#This Row],[Flow_ID]]&amp;"_CC"</f>
        <v>F_23_23_CC</v>
      </c>
      <c r="U72" s="135"/>
      <c r="V72" s="13"/>
      <c r="W72" s="139">
        <f>Tab_Def_Flows[[#This Row],[Flow_CC_DM'[%']]]*Tab_Def_Flows[[#This Row],[Flow_DM'[%']]]</f>
        <v>0</v>
      </c>
      <c r="X72" s="7"/>
      <c r="Y72" s="194" t="b">
        <f>'0_Configuration'!$C$2</f>
        <v>1</v>
      </c>
      <c r="Z72" s="6"/>
      <c r="AA72" s="194" t="b">
        <f>'0_Configuration'!$C$6</f>
        <v>0</v>
      </c>
      <c r="AB72" s="6" t="s">
        <v>1224</v>
      </c>
      <c r="AC72" s="194" t="b">
        <f>'0_Configuration'!$C$10</f>
        <v>0</v>
      </c>
      <c r="AD72" s="6" t="s">
        <v>1224</v>
      </c>
      <c r="AE72" s="194" t="b">
        <f>'0_Configuration'!$C$17</f>
        <v>0</v>
      </c>
      <c r="AF72" s="6">
        <f>_xlfn.XLOOKUP(Tab_Def_Flows[[#This Row],[ODYM_Good_Type]],Tab_Configuration[Value],Tab_Configuration[ODYM_ID],,0,)</f>
        <v>0</v>
      </c>
      <c r="AG72" s="194" t="b">
        <f>'0_Configuration'!$C$24</f>
        <v>0</v>
      </c>
      <c r="AH72" s="6"/>
      <c r="AI72" s="194" t="b">
        <f>'0_Configuration'!$C$29</f>
        <v>1</v>
      </c>
      <c r="AJ72" s="6" t="s">
        <v>1238</v>
      </c>
      <c r="AK72" s="6" t="str">
        <f>IF(Tab_Def_Flows[[#This Row],[ODYM_time_(t)]],"t,","")&amp;IF(Tab_Def_Flows[[#This Row],[ODYM_Region_(r)]],"r,","")&amp;IF(Tab_Def_Flows[[#This Row],[ODYM_process_(p)]],"p,","")&amp;IF(Tab_Def_Flows[[#This Row],[ODYM_Good_(g)2]],"g,","")&amp;IF(Tab_Def_Flows[[#This Row],[ODYM_material_(m)]],"m,","")&amp;IF(Tab_Def_Flows[[#This Row],[ODYM_element_(e)]],"e","")</f>
        <v>t,e</v>
      </c>
      <c r="AL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38" ht="15" customHeight="1" x14ac:dyDescent="0.25">
      <c r="A73" s="142" t="b">
        <v>0</v>
      </c>
      <c r="B73" s="16">
        <f t="shared" si="0"/>
        <v>72</v>
      </c>
      <c r="C73" s="6" t="str">
        <f t="shared" si="1"/>
        <v>F_23_23</v>
      </c>
      <c r="D73" s="188"/>
      <c r="E73" s="138"/>
      <c r="F73" s="138"/>
      <c r="G73" s="6" t="str">
        <f>_xlfn.XLOOKUP(F73,Tab_Def_Processes[Process_Name],Tab_Def_Processes[Process_ID],,0,)</f>
        <v>23</v>
      </c>
      <c r="H73" s="138"/>
      <c r="I73" s="9" t="str">
        <f>_xlfn.XLOOKUP(H73,Tab_Def_Processes[Process_Name],Tab_Def_Processes[Process_ID],,0,)</f>
        <v>23</v>
      </c>
      <c r="J73" s="138" t="s">
        <v>5</v>
      </c>
      <c r="K73" s="138" t="s">
        <v>5</v>
      </c>
      <c r="L73" s="138"/>
      <c r="M73" s="138" t="s">
        <v>5</v>
      </c>
      <c r="N73" s="6" t="str">
        <f>Tab_Def_Flows[[#This Row],[Flow_ID]]&amp;"_WC"</f>
        <v>F_23_23_WC</v>
      </c>
      <c r="O73" s="135"/>
      <c r="P73" s="13"/>
      <c r="Q73" s="6" t="str">
        <f>Tab_Def_Flows[[#This Row],[Flow_ID]]&amp;"_DM"</f>
        <v>F_23_23_DM</v>
      </c>
      <c r="R73" s="135"/>
      <c r="S73" s="13"/>
      <c r="T73" s="6" t="str">
        <f>Tab_Def_Flows[[#This Row],[Flow_ID]]&amp;"_CC"</f>
        <v>F_23_23_CC</v>
      </c>
      <c r="U73" s="135"/>
      <c r="V73" s="13"/>
      <c r="W73" s="139">
        <f>Tab_Def_Flows[[#This Row],[Flow_CC_DM'[%']]]*Tab_Def_Flows[[#This Row],[Flow_DM'[%']]]</f>
        <v>0</v>
      </c>
      <c r="X73" s="7"/>
      <c r="Y73" s="194" t="b">
        <f>'0_Configuration'!$C$2</f>
        <v>1</v>
      </c>
      <c r="Z73" s="6"/>
      <c r="AA73" s="194" t="b">
        <f>'0_Configuration'!$C$6</f>
        <v>0</v>
      </c>
      <c r="AB73" s="6" t="s">
        <v>1224</v>
      </c>
      <c r="AC73" s="194" t="b">
        <f>'0_Configuration'!$C$10</f>
        <v>0</v>
      </c>
      <c r="AD73" s="6" t="s">
        <v>1224</v>
      </c>
      <c r="AE73" s="194" t="b">
        <f>'0_Configuration'!$C$17</f>
        <v>0</v>
      </c>
      <c r="AF73" s="6">
        <f>_xlfn.XLOOKUP(Tab_Def_Flows[[#This Row],[ODYM_Good_Type]],Tab_Configuration[Value],Tab_Configuration[ODYM_ID],,0,)</f>
        <v>0</v>
      </c>
      <c r="AG73" s="194" t="b">
        <f>'0_Configuration'!$C$24</f>
        <v>0</v>
      </c>
      <c r="AH73" s="6"/>
      <c r="AI73" s="194" t="b">
        <f>'0_Configuration'!$C$29</f>
        <v>1</v>
      </c>
      <c r="AJ73" s="6" t="s">
        <v>1238</v>
      </c>
      <c r="AK73" s="6" t="str">
        <f>IF(Tab_Def_Flows[[#This Row],[ODYM_time_(t)]],"t,","")&amp;IF(Tab_Def_Flows[[#This Row],[ODYM_Region_(r)]],"r,","")&amp;IF(Tab_Def_Flows[[#This Row],[ODYM_process_(p)]],"p,","")&amp;IF(Tab_Def_Flows[[#This Row],[ODYM_Good_(g)2]],"g,","")&amp;IF(Tab_Def_Flows[[#This Row],[ODYM_material_(m)]],"m,","")&amp;IF(Tab_Def_Flows[[#This Row],[ODYM_element_(e)]],"e","")</f>
        <v>t,e</v>
      </c>
      <c r="AL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38" ht="15" customHeight="1" x14ac:dyDescent="0.25">
      <c r="A74" s="142" t="b">
        <v>0</v>
      </c>
      <c r="B74" s="16">
        <f t="shared" si="0"/>
        <v>73</v>
      </c>
      <c r="C74" s="6" t="str">
        <f t="shared" si="1"/>
        <v>F_23_23</v>
      </c>
      <c r="D74" s="188"/>
      <c r="E74" s="138"/>
      <c r="F74" s="138"/>
      <c r="G74" s="6" t="str">
        <f>_xlfn.XLOOKUP(F74,Tab_Def_Processes[Process_Name],Tab_Def_Processes[Process_ID],,0,)</f>
        <v>23</v>
      </c>
      <c r="H74" s="138"/>
      <c r="I74" s="9" t="str">
        <f>_xlfn.XLOOKUP(H74,Tab_Def_Processes[Process_Name],Tab_Def_Processes[Process_ID],,0,)</f>
        <v>23</v>
      </c>
      <c r="J74" s="138" t="s">
        <v>5</v>
      </c>
      <c r="K74" s="138" t="s">
        <v>5</v>
      </c>
      <c r="L74" s="138"/>
      <c r="M74" s="138" t="s">
        <v>5</v>
      </c>
      <c r="N74" s="6" t="str">
        <f>Tab_Def_Flows[[#This Row],[Flow_ID]]&amp;"_WC"</f>
        <v>F_23_23_WC</v>
      </c>
      <c r="O74" s="135"/>
      <c r="P74" s="13"/>
      <c r="Q74" s="6" t="str">
        <f>Tab_Def_Flows[[#This Row],[Flow_ID]]&amp;"_DM"</f>
        <v>F_23_23_DM</v>
      </c>
      <c r="R74" s="135"/>
      <c r="S74" s="13"/>
      <c r="T74" s="6" t="str">
        <f>Tab_Def_Flows[[#This Row],[Flow_ID]]&amp;"_CC"</f>
        <v>F_23_23_CC</v>
      </c>
      <c r="U74" s="135"/>
      <c r="V74" s="13"/>
      <c r="W74" s="139">
        <f>Tab_Def_Flows[[#This Row],[Flow_CC_DM'[%']]]*Tab_Def_Flows[[#This Row],[Flow_DM'[%']]]</f>
        <v>0</v>
      </c>
      <c r="X74" s="7"/>
      <c r="Y74" s="194" t="b">
        <f>'0_Configuration'!$C$2</f>
        <v>1</v>
      </c>
      <c r="Z74" s="6"/>
      <c r="AA74" s="194" t="b">
        <f>'0_Configuration'!$C$6</f>
        <v>0</v>
      </c>
      <c r="AB74" s="6" t="s">
        <v>1224</v>
      </c>
      <c r="AC74" s="194" t="b">
        <f>'0_Configuration'!$C$10</f>
        <v>0</v>
      </c>
      <c r="AD74" s="6" t="s">
        <v>1224</v>
      </c>
      <c r="AE74" s="194" t="b">
        <f>'0_Configuration'!$C$17</f>
        <v>0</v>
      </c>
      <c r="AF74" s="6">
        <f>_xlfn.XLOOKUP(Tab_Def_Flows[[#This Row],[ODYM_Good_Type]],Tab_Configuration[Value],Tab_Configuration[ODYM_ID],,0,)</f>
        <v>0</v>
      </c>
      <c r="AG74" s="194" t="b">
        <f>'0_Configuration'!$C$24</f>
        <v>0</v>
      </c>
      <c r="AH74" s="6"/>
      <c r="AI74" s="194" t="b">
        <f>'0_Configuration'!$C$29</f>
        <v>1</v>
      </c>
      <c r="AJ74" s="6" t="s">
        <v>1238</v>
      </c>
      <c r="AK74" s="6" t="str">
        <f>IF(Tab_Def_Flows[[#This Row],[ODYM_time_(t)]],"t,","")&amp;IF(Tab_Def_Flows[[#This Row],[ODYM_Region_(r)]],"r,","")&amp;IF(Tab_Def_Flows[[#This Row],[ODYM_process_(p)]],"p,","")&amp;IF(Tab_Def_Flows[[#This Row],[ODYM_Good_(g)2]],"g,","")&amp;IF(Tab_Def_Flows[[#This Row],[ODYM_material_(m)]],"m,","")&amp;IF(Tab_Def_Flows[[#This Row],[ODYM_element_(e)]],"e","")</f>
        <v>t,e</v>
      </c>
      <c r="AL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38" ht="15" customHeight="1" x14ac:dyDescent="0.25">
      <c r="A75" s="142" t="b">
        <v>0</v>
      </c>
      <c r="B75" s="16">
        <f t="shared" si="0"/>
        <v>74</v>
      </c>
      <c r="C75" s="6" t="str">
        <f t="shared" si="1"/>
        <v>F_23_23</v>
      </c>
      <c r="D75" s="188"/>
      <c r="E75" s="138"/>
      <c r="F75" s="138"/>
      <c r="G75" s="6" t="str">
        <f>_xlfn.XLOOKUP(F75,Tab_Def_Processes[Process_Name],Tab_Def_Processes[Process_ID],,0,)</f>
        <v>23</v>
      </c>
      <c r="H75" s="138"/>
      <c r="I75" s="9" t="str">
        <f>_xlfn.XLOOKUP(H75,Tab_Def_Processes[Process_Name],Tab_Def_Processes[Process_ID],,0,)</f>
        <v>23</v>
      </c>
      <c r="J75" s="138" t="s">
        <v>5</v>
      </c>
      <c r="K75" s="138" t="s">
        <v>5</v>
      </c>
      <c r="L75" s="138"/>
      <c r="M75" s="138" t="s">
        <v>5</v>
      </c>
      <c r="N75" s="6" t="str">
        <f>Tab_Def_Flows[[#This Row],[Flow_ID]]&amp;"_WC"</f>
        <v>F_23_23_WC</v>
      </c>
      <c r="O75" s="135"/>
      <c r="P75" s="13"/>
      <c r="Q75" s="6" t="str">
        <f>Tab_Def_Flows[[#This Row],[Flow_ID]]&amp;"_DM"</f>
        <v>F_23_23_DM</v>
      </c>
      <c r="R75" s="135"/>
      <c r="S75" s="13"/>
      <c r="T75" s="6" t="str">
        <f>Tab_Def_Flows[[#This Row],[Flow_ID]]&amp;"_CC"</f>
        <v>F_23_23_CC</v>
      </c>
      <c r="U75" s="135"/>
      <c r="V75" s="13"/>
      <c r="W75" s="139">
        <f>Tab_Def_Flows[[#This Row],[Flow_CC_DM'[%']]]*Tab_Def_Flows[[#This Row],[Flow_DM'[%']]]</f>
        <v>0</v>
      </c>
      <c r="X75" s="7"/>
      <c r="Y75" s="194" t="b">
        <f>'0_Configuration'!$C$2</f>
        <v>1</v>
      </c>
      <c r="Z75" s="6"/>
      <c r="AA75" s="194" t="b">
        <f>'0_Configuration'!$C$6</f>
        <v>0</v>
      </c>
      <c r="AB75" s="6" t="s">
        <v>1224</v>
      </c>
      <c r="AC75" s="194" t="b">
        <f>'0_Configuration'!$C$10</f>
        <v>0</v>
      </c>
      <c r="AD75" s="6" t="s">
        <v>1224</v>
      </c>
      <c r="AE75" s="194" t="b">
        <f>'0_Configuration'!$C$17</f>
        <v>0</v>
      </c>
      <c r="AF75" s="6">
        <f>_xlfn.XLOOKUP(Tab_Def_Flows[[#This Row],[ODYM_Good_Type]],Tab_Configuration[Value],Tab_Configuration[ODYM_ID],,0,)</f>
        <v>0</v>
      </c>
      <c r="AG75" s="194" t="b">
        <f>'0_Configuration'!$C$24</f>
        <v>0</v>
      </c>
      <c r="AH75" s="6"/>
      <c r="AI75" s="194" t="b">
        <f>'0_Configuration'!$C$29</f>
        <v>1</v>
      </c>
      <c r="AJ75" s="6" t="s">
        <v>1238</v>
      </c>
      <c r="AK75" s="6" t="str">
        <f>IF(Tab_Def_Flows[[#This Row],[ODYM_time_(t)]],"t,","")&amp;IF(Tab_Def_Flows[[#This Row],[ODYM_Region_(r)]],"r,","")&amp;IF(Tab_Def_Flows[[#This Row],[ODYM_process_(p)]],"p,","")&amp;IF(Tab_Def_Flows[[#This Row],[ODYM_Good_(g)2]],"g,","")&amp;IF(Tab_Def_Flows[[#This Row],[ODYM_material_(m)]],"m,","")&amp;IF(Tab_Def_Flows[[#This Row],[ODYM_element_(e)]],"e","")</f>
        <v>t,e</v>
      </c>
      <c r="AL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38" ht="15" customHeight="1" x14ac:dyDescent="0.25">
      <c r="A76" s="142" t="b">
        <v>0</v>
      </c>
      <c r="B76" s="16">
        <f t="shared" si="0"/>
        <v>75</v>
      </c>
      <c r="C76" s="6" t="str">
        <f t="shared" si="1"/>
        <v>F_23_23</v>
      </c>
      <c r="D76" s="7"/>
      <c r="E76" s="138"/>
      <c r="F76" s="138"/>
      <c r="G76" s="6" t="str">
        <f>_xlfn.XLOOKUP(F76,Tab_Def_Processes[Process_Name],Tab_Def_Processes[Process_ID],,0,)</f>
        <v>23</v>
      </c>
      <c r="H76" s="138"/>
      <c r="I76" s="9" t="str">
        <f>_xlfn.XLOOKUP(H76,Tab_Def_Processes[Process_Name],Tab_Def_Processes[Process_ID],,0,)</f>
        <v>23</v>
      </c>
      <c r="J76" s="138" t="s">
        <v>5</v>
      </c>
      <c r="K76" s="138" t="s">
        <v>5</v>
      </c>
      <c r="L76" s="138"/>
      <c r="M76" s="138" t="s">
        <v>5</v>
      </c>
      <c r="N76" s="6" t="str">
        <f>Tab_Def_Flows[[#This Row],[Flow_ID]]&amp;"_WC"</f>
        <v>F_23_23_WC</v>
      </c>
      <c r="O76" s="135"/>
      <c r="P76" s="13"/>
      <c r="Q76" s="6" t="str">
        <f>Tab_Def_Flows[[#This Row],[Flow_ID]]&amp;"_DM"</f>
        <v>F_23_23_DM</v>
      </c>
      <c r="R76" s="135"/>
      <c r="S76" s="13"/>
      <c r="T76" s="6" t="str">
        <f>Tab_Def_Flows[[#This Row],[Flow_ID]]&amp;"_CC"</f>
        <v>F_23_23_CC</v>
      </c>
      <c r="U76" s="135"/>
      <c r="V76" s="13"/>
      <c r="W76" s="139">
        <f>Tab_Def_Flows[[#This Row],[Flow_CC_DM'[%']]]*Tab_Def_Flows[[#This Row],[Flow_DM'[%']]]</f>
        <v>0</v>
      </c>
      <c r="X76" s="7"/>
      <c r="Y76" s="194" t="b">
        <f>'0_Configuration'!$C$2</f>
        <v>1</v>
      </c>
      <c r="Z76" s="6"/>
      <c r="AA76" s="194" t="b">
        <f>'0_Configuration'!$C$6</f>
        <v>0</v>
      </c>
      <c r="AB76" s="6" t="s">
        <v>1224</v>
      </c>
      <c r="AC76" s="194" t="b">
        <f>'0_Configuration'!$C$10</f>
        <v>0</v>
      </c>
      <c r="AD76" s="6" t="s">
        <v>1224</v>
      </c>
      <c r="AE76" s="194" t="b">
        <f>'0_Configuration'!$C$17</f>
        <v>0</v>
      </c>
      <c r="AF76" s="6">
        <f>_xlfn.XLOOKUP(Tab_Def_Flows[[#This Row],[ODYM_Good_Type]],Tab_Configuration[Value],Tab_Configuration[ODYM_ID],,0,)</f>
        <v>0</v>
      </c>
      <c r="AG76" s="194" t="b">
        <f>'0_Configuration'!$C$24</f>
        <v>0</v>
      </c>
      <c r="AH76" s="6"/>
      <c r="AI76" s="194" t="b">
        <f>'0_Configuration'!$C$29</f>
        <v>1</v>
      </c>
      <c r="AJ76" s="6" t="s">
        <v>1238</v>
      </c>
      <c r="AK76" s="6" t="str">
        <f>IF(Tab_Def_Flows[[#This Row],[ODYM_time_(t)]],"t,","")&amp;IF(Tab_Def_Flows[[#This Row],[ODYM_Region_(r)]],"r,","")&amp;IF(Tab_Def_Flows[[#This Row],[ODYM_process_(p)]],"p,","")&amp;IF(Tab_Def_Flows[[#This Row],[ODYM_Good_(g)2]],"g,","")&amp;IF(Tab_Def_Flows[[#This Row],[ODYM_material_(m)]],"m,","")&amp;IF(Tab_Def_Flows[[#This Row],[ODYM_element_(e)]],"e","")</f>
        <v>t,e</v>
      </c>
      <c r="AL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38" ht="15" customHeight="1" x14ac:dyDescent="0.25">
      <c r="A77" s="142" t="b">
        <v>0</v>
      </c>
      <c r="B77" s="16">
        <f t="shared" si="0"/>
        <v>76</v>
      </c>
      <c r="C77" s="6" t="str">
        <f t="shared" si="1"/>
        <v>F_23_23</v>
      </c>
      <c r="D77" s="7"/>
      <c r="E77" s="138"/>
      <c r="F77" s="138"/>
      <c r="G77" s="6" t="str">
        <f>_xlfn.XLOOKUP(F77,Tab_Def_Processes[Process_Name],Tab_Def_Processes[Process_ID],,0,)</f>
        <v>23</v>
      </c>
      <c r="H77" s="138"/>
      <c r="I77" s="9" t="str">
        <f>_xlfn.XLOOKUP(H77,Tab_Def_Processes[Process_Name],Tab_Def_Processes[Process_ID],,0,)</f>
        <v>23</v>
      </c>
      <c r="J77" s="138" t="s">
        <v>5</v>
      </c>
      <c r="K77" s="138" t="s">
        <v>5</v>
      </c>
      <c r="L77" s="138"/>
      <c r="M77" s="138" t="s">
        <v>5</v>
      </c>
      <c r="N77" s="6" t="str">
        <f>Tab_Def_Flows[[#This Row],[Flow_ID]]&amp;"_WC"</f>
        <v>F_23_23_WC</v>
      </c>
      <c r="O77" s="135"/>
      <c r="P77" s="13"/>
      <c r="Q77" s="6" t="str">
        <f>Tab_Def_Flows[[#This Row],[Flow_ID]]&amp;"_DM"</f>
        <v>F_23_23_DM</v>
      </c>
      <c r="R77" s="135"/>
      <c r="S77" s="13"/>
      <c r="T77" s="6" t="str">
        <f>Tab_Def_Flows[[#This Row],[Flow_ID]]&amp;"_CC"</f>
        <v>F_23_23_CC</v>
      </c>
      <c r="U77" s="135"/>
      <c r="V77" s="13"/>
      <c r="W77" s="139">
        <f>Tab_Def_Flows[[#This Row],[Flow_CC_DM'[%']]]*Tab_Def_Flows[[#This Row],[Flow_DM'[%']]]</f>
        <v>0</v>
      </c>
      <c r="X77" s="7"/>
      <c r="Y77" s="194" t="b">
        <f>'0_Configuration'!$C$2</f>
        <v>1</v>
      </c>
      <c r="Z77" s="6"/>
      <c r="AA77" s="194" t="b">
        <f>'0_Configuration'!$C$6</f>
        <v>0</v>
      </c>
      <c r="AB77" s="6" t="s">
        <v>1224</v>
      </c>
      <c r="AC77" s="194" t="b">
        <f>'0_Configuration'!$C$10</f>
        <v>0</v>
      </c>
      <c r="AD77" s="6" t="s">
        <v>1224</v>
      </c>
      <c r="AE77" s="194" t="b">
        <f>'0_Configuration'!$C$17</f>
        <v>0</v>
      </c>
      <c r="AF77" s="6">
        <f>_xlfn.XLOOKUP(Tab_Def_Flows[[#This Row],[ODYM_Good_Type]],Tab_Configuration[Value],Tab_Configuration[ODYM_ID],,0,)</f>
        <v>0</v>
      </c>
      <c r="AG77" s="194" t="b">
        <f>'0_Configuration'!$C$24</f>
        <v>0</v>
      </c>
      <c r="AH77" s="6"/>
      <c r="AI77" s="194" t="b">
        <f>'0_Configuration'!$C$29</f>
        <v>1</v>
      </c>
      <c r="AJ77" s="6" t="s">
        <v>1238</v>
      </c>
      <c r="AK77" s="6" t="str">
        <f>IF(Tab_Def_Flows[[#This Row],[ODYM_time_(t)]],"t,","")&amp;IF(Tab_Def_Flows[[#This Row],[ODYM_Region_(r)]],"r,","")&amp;IF(Tab_Def_Flows[[#This Row],[ODYM_process_(p)]],"p,","")&amp;IF(Tab_Def_Flows[[#This Row],[ODYM_Good_(g)2]],"g,","")&amp;IF(Tab_Def_Flows[[#This Row],[ODYM_material_(m)]],"m,","")&amp;IF(Tab_Def_Flows[[#This Row],[ODYM_element_(e)]],"e","")</f>
        <v>t,e</v>
      </c>
      <c r="AL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38" ht="15" customHeight="1" x14ac:dyDescent="0.25">
      <c r="A78" s="142" t="b">
        <v>0</v>
      </c>
      <c r="B78" s="16">
        <f t="shared" si="0"/>
        <v>77</v>
      </c>
      <c r="C78" s="6" t="str">
        <f t="shared" si="1"/>
        <v>F_23_23</v>
      </c>
      <c r="D78" s="7"/>
      <c r="E78" s="138"/>
      <c r="F78" s="138"/>
      <c r="G78" s="6" t="str">
        <f>_xlfn.XLOOKUP(F78,Tab_Def_Processes[Process_Name],Tab_Def_Processes[Process_ID],,0,)</f>
        <v>23</v>
      </c>
      <c r="H78" s="138"/>
      <c r="I78" s="9" t="str">
        <f>_xlfn.XLOOKUP(H78,Tab_Def_Processes[Process_Name],Tab_Def_Processes[Process_ID],,0,)</f>
        <v>23</v>
      </c>
      <c r="J78" s="138" t="s">
        <v>5</v>
      </c>
      <c r="K78" s="138" t="s">
        <v>5</v>
      </c>
      <c r="L78" s="138"/>
      <c r="M78" s="138" t="s">
        <v>5</v>
      </c>
      <c r="N78" s="6" t="str">
        <f>Tab_Def_Flows[[#This Row],[Flow_ID]]&amp;"_WC"</f>
        <v>F_23_23_WC</v>
      </c>
      <c r="O78" s="135"/>
      <c r="P78" s="13"/>
      <c r="Q78" s="6" t="str">
        <f>Tab_Def_Flows[[#This Row],[Flow_ID]]&amp;"_DM"</f>
        <v>F_23_23_DM</v>
      </c>
      <c r="R78" s="135"/>
      <c r="S78" s="13"/>
      <c r="T78" s="6" t="str">
        <f>Tab_Def_Flows[[#This Row],[Flow_ID]]&amp;"_CC"</f>
        <v>F_23_23_CC</v>
      </c>
      <c r="U78" s="135"/>
      <c r="V78" s="13"/>
      <c r="W78" s="139">
        <f>Tab_Def_Flows[[#This Row],[Flow_CC_DM'[%']]]*Tab_Def_Flows[[#This Row],[Flow_DM'[%']]]</f>
        <v>0</v>
      </c>
      <c r="X78" s="7"/>
      <c r="Y78" s="194" t="b">
        <f>'0_Configuration'!$C$2</f>
        <v>1</v>
      </c>
      <c r="Z78" s="6"/>
      <c r="AA78" s="194" t="b">
        <f>'0_Configuration'!$C$6</f>
        <v>0</v>
      </c>
      <c r="AB78" s="6" t="s">
        <v>1224</v>
      </c>
      <c r="AC78" s="194" t="b">
        <f>'0_Configuration'!$C$10</f>
        <v>0</v>
      </c>
      <c r="AD78" s="6" t="s">
        <v>1224</v>
      </c>
      <c r="AE78" s="194" t="b">
        <f>'0_Configuration'!$C$17</f>
        <v>0</v>
      </c>
      <c r="AF78" s="6">
        <f>_xlfn.XLOOKUP(Tab_Def_Flows[[#This Row],[ODYM_Good_Type]],Tab_Configuration[Value],Tab_Configuration[ODYM_ID],,0,)</f>
        <v>0</v>
      </c>
      <c r="AG78" s="194" t="b">
        <f>'0_Configuration'!$C$24</f>
        <v>0</v>
      </c>
      <c r="AH78" s="6"/>
      <c r="AI78" s="194" t="b">
        <f>'0_Configuration'!$C$29</f>
        <v>1</v>
      </c>
      <c r="AJ78" s="6" t="s">
        <v>1238</v>
      </c>
      <c r="AK78" s="6" t="str">
        <f>IF(Tab_Def_Flows[[#This Row],[ODYM_time_(t)]],"t,","")&amp;IF(Tab_Def_Flows[[#This Row],[ODYM_Region_(r)]],"r,","")&amp;IF(Tab_Def_Flows[[#This Row],[ODYM_process_(p)]],"p,","")&amp;IF(Tab_Def_Flows[[#This Row],[ODYM_Good_(g)2]],"g,","")&amp;IF(Tab_Def_Flows[[#This Row],[ODYM_material_(m)]],"m,","")&amp;IF(Tab_Def_Flows[[#This Row],[ODYM_element_(e)]],"e","")</f>
        <v>t,e</v>
      </c>
      <c r="AL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38" x14ac:dyDescent="0.25">
      <c r="A79" s="142" t="b">
        <v>0</v>
      </c>
      <c r="B79" s="16">
        <f t="shared" ref="B79:B96" si="22">ROW()-1</f>
        <v>78</v>
      </c>
      <c r="C79" s="6" t="str">
        <f t="shared" si="1"/>
        <v>F_23_23</v>
      </c>
      <c r="D79" s="7"/>
      <c r="E79" s="138"/>
      <c r="F79" s="138"/>
      <c r="G79" s="6" t="str">
        <f>_xlfn.XLOOKUP(F79,Tab_Def_Processes[Process_Name],Tab_Def_Processes[Process_ID],,0,)</f>
        <v>23</v>
      </c>
      <c r="H79" s="138"/>
      <c r="I79" s="9" t="str">
        <f>_xlfn.XLOOKUP(H79,Tab_Def_Processes[Process_Name],Tab_Def_Processes[Process_ID],,0,)</f>
        <v>23</v>
      </c>
      <c r="J79" s="138" t="s">
        <v>5</v>
      </c>
      <c r="K79" s="138" t="s">
        <v>5</v>
      </c>
      <c r="L79" s="138"/>
      <c r="M79" s="138" t="s">
        <v>5</v>
      </c>
      <c r="N79" s="6" t="str">
        <f>Tab_Def_Flows[[#This Row],[Flow_ID]]&amp;"_WC"</f>
        <v>F_23_23_WC</v>
      </c>
      <c r="O79" s="135"/>
      <c r="P79" s="13"/>
      <c r="Q79" s="6" t="str">
        <f>Tab_Def_Flows[[#This Row],[Flow_ID]]&amp;"_DM"</f>
        <v>F_23_23_DM</v>
      </c>
      <c r="R79" s="135"/>
      <c r="S79" s="13"/>
      <c r="T79" s="6" t="str">
        <f>Tab_Def_Flows[[#This Row],[Flow_ID]]&amp;"_CC"</f>
        <v>F_23_23_CC</v>
      </c>
      <c r="U79" s="135"/>
      <c r="V79" s="13"/>
      <c r="W79" s="139">
        <f>Tab_Def_Flows[[#This Row],[Flow_CC_DM'[%']]]*Tab_Def_Flows[[#This Row],[Flow_DM'[%']]]</f>
        <v>0</v>
      </c>
      <c r="X79" s="7"/>
      <c r="Y79" s="194" t="b">
        <f>'0_Configuration'!$C$2</f>
        <v>1</v>
      </c>
      <c r="Z79" s="6"/>
      <c r="AA79" s="194" t="b">
        <f>'0_Configuration'!$C$6</f>
        <v>0</v>
      </c>
      <c r="AB79" s="6" t="s">
        <v>1224</v>
      </c>
      <c r="AC79" s="194" t="b">
        <f>'0_Configuration'!$C$10</f>
        <v>0</v>
      </c>
      <c r="AD79" s="6" t="s">
        <v>1224</v>
      </c>
      <c r="AE79" s="194" t="b">
        <f>'0_Configuration'!$C$17</f>
        <v>0</v>
      </c>
      <c r="AF79" s="6">
        <f>_xlfn.XLOOKUP(Tab_Def_Flows[[#This Row],[ODYM_Good_Type]],Tab_Configuration[Value],Tab_Configuration[ODYM_ID],,0,)</f>
        <v>0</v>
      </c>
      <c r="AG79" s="194" t="b">
        <f>'0_Configuration'!$C$24</f>
        <v>0</v>
      </c>
      <c r="AH79" s="6"/>
      <c r="AI79" s="194" t="b">
        <f>'0_Configuration'!$C$29</f>
        <v>1</v>
      </c>
      <c r="AJ79" s="6" t="s">
        <v>1238</v>
      </c>
      <c r="AK79" s="6" t="str">
        <f>IF(Tab_Def_Flows[[#This Row],[ODYM_time_(t)]],"t,","")&amp;IF(Tab_Def_Flows[[#This Row],[ODYM_Region_(r)]],"r,","")&amp;IF(Tab_Def_Flows[[#This Row],[ODYM_process_(p)]],"p,","")&amp;IF(Tab_Def_Flows[[#This Row],[ODYM_Good_(g)2]],"g,","")&amp;IF(Tab_Def_Flows[[#This Row],[ODYM_material_(m)]],"m,","")&amp;IF(Tab_Def_Flows[[#This Row],[ODYM_element_(e)]],"e","")</f>
        <v>t,e</v>
      </c>
      <c r="AL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38" x14ac:dyDescent="0.25">
      <c r="A80" s="142" t="b">
        <v>0</v>
      </c>
      <c r="B80" s="16">
        <f t="shared" si="22"/>
        <v>79</v>
      </c>
      <c r="C80" s="6" t="str">
        <f t="shared" si="1"/>
        <v>F_23_23</v>
      </c>
      <c r="D80" s="7"/>
      <c r="E80" s="138"/>
      <c r="F80" s="138"/>
      <c r="G80" s="6" t="str">
        <f>_xlfn.XLOOKUP(F80,Tab_Def_Processes[Process_Name],Tab_Def_Processes[Process_ID],,0,)</f>
        <v>23</v>
      </c>
      <c r="H80" s="138"/>
      <c r="I80" s="9" t="str">
        <f>_xlfn.XLOOKUP(H80,Tab_Def_Processes[Process_Name],Tab_Def_Processes[Process_ID],,0,)</f>
        <v>23</v>
      </c>
      <c r="J80" s="138" t="s">
        <v>5</v>
      </c>
      <c r="K80" s="138" t="s">
        <v>5</v>
      </c>
      <c r="L80" s="138"/>
      <c r="M80" s="138" t="s">
        <v>5</v>
      </c>
      <c r="N80" s="6" t="str">
        <f>Tab_Def_Flows[[#This Row],[Flow_ID]]&amp;"_WC"</f>
        <v>F_23_23_WC</v>
      </c>
      <c r="O80" s="135"/>
      <c r="P80" s="13"/>
      <c r="Q80" s="6" t="str">
        <f>Tab_Def_Flows[[#This Row],[Flow_ID]]&amp;"_DM"</f>
        <v>F_23_23_DM</v>
      </c>
      <c r="R80" s="135"/>
      <c r="S80" s="13"/>
      <c r="T80" s="6" t="str">
        <f>Tab_Def_Flows[[#This Row],[Flow_ID]]&amp;"_CC"</f>
        <v>F_23_23_CC</v>
      </c>
      <c r="U80" s="135"/>
      <c r="V80" s="13"/>
      <c r="W80" s="139">
        <f>Tab_Def_Flows[[#This Row],[Flow_CC_DM'[%']]]*Tab_Def_Flows[[#This Row],[Flow_DM'[%']]]</f>
        <v>0</v>
      </c>
      <c r="X80" s="7"/>
      <c r="Y80" s="194" t="b">
        <f>'0_Configuration'!$C$2</f>
        <v>1</v>
      </c>
      <c r="Z80" s="6"/>
      <c r="AA80" s="194" t="b">
        <f>'0_Configuration'!$C$6</f>
        <v>0</v>
      </c>
      <c r="AB80" s="6" t="s">
        <v>1224</v>
      </c>
      <c r="AC80" s="194" t="b">
        <f>'0_Configuration'!$C$10</f>
        <v>0</v>
      </c>
      <c r="AD80" s="6" t="s">
        <v>1224</v>
      </c>
      <c r="AE80" s="194" t="b">
        <f>'0_Configuration'!$C$17</f>
        <v>0</v>
      </c>
      <c r="AF80" s="6">
        <f>_xlfn.XLOOKUP(Tab_Def_Flows[[#This Row],[ODYM_Good_Type]],Tab_Configuration[Value],Tab_Configuration[ODYM_ID],,0,)</f>
        <v>0</v>
      </c>
      <c r="AG80" s="194" t="b">
        <f>'0_Configuration'!$C$24</f>
        <v>0</v>
      </c>
      <c r="AH80" s="6"/>
      <c r="AI80" s="194" t="b">
        <f>'0_Configuration'!$C$29</f>
        <v>1</v>
      </c>
      <c r="AJ80" s="6" t="s">
        <v>1238</v>
      </c>
      <c r="AK80" s="6" t="str">
        <f>IF(Tab_Def_Flows[[#This Row],[ODYM_time_(t)]],"t,","")&amp;IF(Tab_Def_Flows[[#This Row],[ODYM_Region_(r)]],"r,","")&amp;IF(Tab_Def_Flows[[#This Row],[ODYM_process_(p)]],"p,","")&amp;IF(Tab_Def_Flows[[#This Row],[ODYM_Good_(g)2]],"g,","")&amp;IF(Tab_Def_Flows[[#This Row],[ODYM_material_(m)]],"m,","")&amp;IF(Tab_Def_Flows[[#This Row],[ODYM_element_(e)]],"e","")</f>
        <v>t,e</v>
      </c>
      <c r="AL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38" x14ac:dyDescent="0.25">
      <c r="A81" s="142" t="b">
        <v>0</v>
      </c>
      <c r="B81" s="16">
        <f t="shared" si="22"/>
        <v>80</v>
      </c>
      <c r="C81" s="6" t="str">
        <f t="shared" si="1"/>
        <v>F_23_23</v>
      </c>
      <c r="D81" s="7"/>
      <c r="E81" s="138"/>
      <c r="F81" s="138"/>
      <c r="G81" s="6" t="str">
        <f>_xlfn.XLOOKUP(F81,Tab_Def_Processes[Process_Name],Tab_Def_Processes[Process_ID],,0,)</f>
        <v>23</v>
      </c>
      <c r="H81" s="138"/>
      <c r="I81" s="9" t="str">
        <f>_xlfn.XLOOKUP(H81,Tab_Def_Processes[Process_Name],Tab_Def_Processes[Process_ID],,0,)</f>
        <v>23</v>
      </c>
      <c r="J81" s="138" t="s">
        <v>5</v>
      </c>
      <c r="K81" s="138" t="s">
        <v>5</v>
      </c>
      <c r="L81" s="138"/>
      <c r="M81" s="138" t="s">
        <v>5</v>
      </c>
      <c r="N81" s="6" t="str">
        <f>Tab_Def_Flows[[#This Row],[Flow_ID]]&amp;"_WC"</f>
        <v>F_23_23_WC</v>
      </c>
      <c r="O81" s="135"/>
      <c r="P81" s="13"/>
      <c r="Q81" s="6" t="str">
        <f>Tab_Def_Flows[[#This Row],[Flow_ID]]&amp;"_DM"</f>
        <v>F_23_23_DM</v>
      </c>
      <c r="R81" s="135"/>
      <c r="S81" s="13"/>
      <c r="T81" s="6" t="str">
        <f>Tab_Def_Flows[[#This Row],[Flow_ID]]&amp;"_CC"</f>
        <v>F_23_23_CC</v>
      </c>
      <c r="U81" s="135"/>
      <c r="V81" s="13"/>
      <c r="W81" s="139">
        <f>Tab_Def_Flows[[#This Row],[Flow_CC_DM'[%']]]*Tab_Def_Flows[[#This Row],[Flow_DM'[%']]]</f>
        <v>0</v>
      </c>
      <c r="X81" s="7"/>
      <c r="Y81" s="194" t="b">
        <f>'0_Configuration'!$C$2</f>
        <v>1</v>
      </c>
      <c r="Z81" s="6"/>
      <c r="AA81" s="194" t="b">
        <f>'0_Configuration'!$C$6</f>
        <v>0</v>
      </c>
      <c r="AB81" s="6" t="s">
        <v>1224</v>
      </c>
      <c r="AC81" s="194" t="b">
        <f>'0_Configuration'!$C$10</f>
        <v>0</v>
      </c>
      <c r="AD81" s="6" t="s">
        <v>1224</v>
      </c>
      <c r="AE81" s="194" t="b">
        <f>'0_Configuration'!$C$17</f>
        <v>0</v>
      </c>
      <c r="AF81" s="6">
        <f>_xlfn.XLOOKUP(Tab_Def_Flows[[#This Row],[ODYM_Good_Type]],Tab_Configuration[Value],Tab_Configuration[ODYM_ID],,0,)</f>
        <v>0</v>
      </c>
      <c r="AG81" s="194" t="b">
        <f>'0_Configuration'!$C$24</f>
        <v>0</v>
      </c>
      <c r="AH81" s="6"/>
      <c r="AI81" s="194" t="b">
        <f>'0_Configuration'!$C$29</f>
        <v>1</v>
      </c>
      <c r="AJ81" s="6" t="s">
        <v>1238</v>
      </c>
      <c r="AK81" s="6" t="str">
        <f>IF(Tab_Def_Flows[[#This Row],[ODYM_time_(t)]],"t,","")&amp;IF(Tab_Def_Flows[[#This Row],[ODYM_Region_(r)]],"r,","")&amp;IF(Tab_Def_Flows[[#This Row],[ODYM_process_(p)]],"p,","")&amp;IF(Tab_Def_Flows[[#This Row],[ODYM_Good_(g)2]],"g,","")&amp;IF(Tab_Def_Flows[[#This Row],[ODYM_material_(m)]],"m,","")&amp;IF(Tab_Def_Flows[[#This Row],[ODYM_element_(e)]],"e","")</f>
        <v>t,e</v>
      </c>
      <c r="AL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38" x14ac:dyDescent="0.25">
      <c r="A82" s="142" t="b">
        <v>0</v>
      </c>
      <c r="B82" s="16">
        <f t="shared" si="22"/>
        <v>81</v>
      </c>
      <c r="C82" s="6" t="str">
        <f t="shared" si="1"/>
        <v>F_23_23</v>
      </c>
      <c r="D82" s="7"/>
      <c r="E82" s="138"/>
      <c r="F82" s="138"/>
      <c r="G82" s="6" t="str">
        <f>_xlfn.XLOOKUP(F82,Tab_Def_Processes[Process_Name],Tab_Def_Processes[Process_ID],,0,)</f>
        <v>23</v>
      </c>
      <c r="H82" s="138"/>
      <c r="I82" s="9" t="str">
        <f>_xlfn.XLOOKUP(H82,Tab_Def_Processes[Process_Name],Tab_Def_Processes[Process_ID],,0,)</f>
        <v>23</v>
      </c>
      <c r="J82" s="138" t="s">
        <v>5</v>
      </c>
      <c r="K82" s="138" t="s">
        <v>5</v>
      </c>
      <c r="L82" s="138"/>
      <c r="M82" s="138" t="s">
        <v>5</v>
      </c>
      <c r="N82" s="6" t="str">
        <f>Tab_Def_Flows[[#This Row],[Flow_ID]]&amp;"_WC"</f>
        <v>F_23_23_WC</v>
      </c>
      <c r="O82" s="135"/>
      <c r="P82" s="13"/>
      <c r="Q82" s="6" t="str">
        <f>Tab_Def_Flows[[#This Row],[Flow_ID]]&amp;"_DM"</f>
        <v>F_23_23_DM</v>
      </c>
      <c r="R82" s="135"/>
      <c r="S82" s="13"/>
      <c r="T82" s="6" t="str">
        <f>Tab_Def_Flows[[#This Row],[Flow_ID]]&amp;"_CC"</f>
        <v>F_23_23_CC</v>
      </c>
      <c r="U82" s="135"/>
      <c r="V82" s="13"/>
      <c r="W82" s="139">
        <f>Tab_Def_Flows[[#This Row],[Flow_CC_DM'[%']]]*Tab_Def_Flows[[#This Row],[Flow_DM'[%']]]</f>
        <v>0</v>
      </c>
      <c r="X82" s="7"/>
      <c r="Y82" s="194" t="b">
        <f>'0_Configuration'!$C$2</f>
        <v>1</v>
      </c>
      <c r="Z82" s="6"/>
      <c r="AA82" s="194" t="b">
        <f>'0_Configuration'!$C$6</f>
        <v>0</v>
      </c>
      <c r="AB82" s="6" t="s">
        <v>1224</v>
      </c>
      <c r="AC82" s="194" t="b">
        <f>'0_Configuration'!$C$10</f>
        <v>0</v>
      </c>
      <c r="AD82" s="6" t="s">
        <v>1224</v>
      </c>
      <c r="AE82" s="194" t="b">
        <f>'0_Configuration'!$C$17</f>
        <v>0</v>
      </c>
      <c r="AF82" s="6">
        <f>_xlfn.XLOOKUP(Tab_Def_Flows[[#This Row],[ODYM_Good_Type]],Tab_Configuration[Value],Tab_Configuration[ODYM_ID],,0,)</f>
        <v>0</v>
      </c>
      <c r="AG82" s="194" t="b">
        <f>'0_Configuration'!$C$24</f>
        <v>0</v>
      </c>
      <c r="AH82" s="6"/>
      <c r="AI82" s="194" t="b">
        <f>'0_Configuration'!$C$29</f>
        <v>1</v>
      </c>
      <c r="AJ82" s="6" t="s">
        <v>1238</v>
      </c>
      <c r="AK82" s="6" t="str">
        <f>IF(Tab_Def_Flows[[#This Row],[ODYM_time_(t)]],"t,","")&amp;IF(Tab_Def_Flows[[#This Row],[ODYM_Region_(r)]],"r,","")&amp;IF(Tab_Def_Flows[[#This Row],[ODYM_process_(p)]],"p,","")&amp;IF(Tab_Def_Flows[[#This Row],[ODYM_Good_(g)2]],"g,","")&amp;IF(Tab_Def_Flows[[#This Row],[ODYM_material_(m)]],"m,","")&amp;IF(Tab_Def_Flows[[#This Row],[ODYM_element_(e)]],"e","")</f>
        <v>t,e</v>
      </c>
      <c r="AL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38" x14ac:dyDescent="0.25">
      <c r="A83" s="142" t="b">
        <v>0</v>
      </c>
      <c r="B83" s="16">
        <f t="shared" si="22"/>
        <v>82</v>
      </c>
      <c r="C83" s="6" t="str">
        <f t="shared" si="1"/>
        <v>F_23_23</v>
      </c>
      <c r="D83" s="7"/>
      <c r="E83" s="138"/>
      <c r="F83" s="138"/>
      <c r="G83" s="6" t="str">
        <f>_xlfn.XLOOKUP(F83,Tab_Def_Processes[Process_Name],Tab_Def_Processes[Process_ID],,0,)</f>
        <v>23</v>
      </c>
      <c r="H83" s="138"/>
      <c r="I83" s="9" t="str">
        <f>_xlfn.XLOOKUP(H83,Tab_Def_Processes[Process_Name],Tab_Def_Processes[Process_ID],,0,)</f>
        <v>23</v>
      </c>
      <c r="J83" s="138" t="s">
        <v>5</v>
      </c>
      <c r="K83" s="138" t="s">
        <v>5</v>
      </c>
      <c r="L83" s="138"/>
      <c r="M83" s="138" t="s">
        <v>5</v>
      </c>
      <c r="N83" s="6" t="str">
        <f>Tab_Def_Flows[[#This Row],[Flow_ID]]&amp;"_WC"</f>
        <v>F_23_23_WC</v>
      </c>
      <c r="O83" s="135"/>
      <c r="P83" s="13"/>
      <c r="Q83" s="6" t="str">
        <f>Tab_Def_Flows[[#This Row],[Flow_ID]]&amp;"_DM"</f>
        <v>F_23_23_DM</v>
      </c>
      <c r="R83" s="135"/>
      <c r="S83" s="13"/>
      <c r="T83" s="6" t="str">
        <f>Tab_Def_Flows[[#This Row],[Flow_ID]]&amp;"_CC"</f>
        <v>F_23_23_CC</v>
      </c>
      <c r="U83" s="135"/>
      <c r="V83" s="13"/>
      <c r="W83" s="139">
        <f>Tab_Def_Flows[[#This Row],[Flow_CC_DM'[%']]]*Tab_Def_Flows[[#This Row],[Flow_DM'[%']]]</f>
        <v>0</v>
      </c>
      <c r="X83" s="7"/>
      <c r="Y83" s="194" t="b">
        <f>'0_Configuration'!$C$2</f>
        <v>1</v>
      </c>
      <c r="Z83" s="6"/>
      <c r="AA83" s="194" t="b">
        <f>'0_Configuration'!$C$6</f>
        <v>0</v>
      </c>
      <c r="AB83" s="6" t="s">
        <v>1224</v>
      </c>
      <c r="AC83" s="194" t="b">
        <f>'0_Configuration'!$C$10</f>
        <v>0</v>
      </c>
      <c r="AD83" s="6" t="s">
        <v>1224</v>
      </c>
      <c r="AE83" s="194" t="b">
        <f>'0_Configuration'!$C$17</f>
        <v>0</v>
      </c>
      <c r="AF83" s="6">
        <f>_xlfn.XLOOKUP(Tab_Def_Flows[[#This Row],[ODYM_Good_Type]],Tab_Configuration[Value],Tab_Configuration[ODYM_ID],,0,)</f>
        <v>0</v>
      </c>
      <c r="AG83" s="194" t="b">
        <f>'0_Configuration'!$C$24</f>
        <v>0</v>
      </c>
      <c r="AH83" s="6"/>
      <c r="AI83" s="194" t="b">
        <f>'0_Configuration'!$C$29</f>
        <v>1</v>
      </c>
      <c r="AJ83" s="6" t="s">
        <v>1238</v>
      </c>
      <c r="AK83" s="6" t="str">
        <f>IF(Tab_Def_Flows[[#This Row],[ODYM_time_(t)]],"t,","")&amp;IF(Tab_Def_Flows[[#This Row],[ODYM_Region_(r)]],"r,","")&amp;IF(Tab_Def_Flows[[#This Row],[ODYM_process_(p)]],"p,","")&amp;IF(Tab_Def_Flows[[#This Row],[ODYM_Good_(g)2]],"g,","")&amp;IF(Tab_Def_Flows[[#This Row],[ODYM_material_(m)]],"m,","")&amp;IF(Tab_Def_Flows[[#This Row],[ODYM_element_(e)]],"e","")</f>
        <v>t,e</v>
      </c>
      <c r="AL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38" x14ac:dyDescent="0.25">
      <c r="A84" s="142" t="b">
        <v>0</v>
      </c>
      <c r="B84" s="16">
        <f t="shared" si="22"/>
        <v>83</v>
      </c>
      <c r="C84" s="6" t="str">
        <f t="shared" si="1"/>
        <v>F_23_23</v>
      </c>
      <c r="D84" s="188"/>
      <c r="E84" s="138"/>
      <c r="F84" s="138"/>
      <c r="G84" s="6" t="str">
        <f>_xlfn.XLOOKUP(F84,Tab_Def_Processes[Process_Name],Tab_Def_Processes[Process_ID],,0,)</f>
        <v>23</v>
      </c>
      <c r="H84" s="138"/>
      <c r="I84" s="9" t="str">
        <f>_xlfn.XLOOKUP(H84,Tab_Def_Processes[Process_Name],Tab_Def_Processes[Process_ID],,0,)</f>
        <v>23</v>
      </c>
      <c r="J84" s="138" t="s">
        <v>5</v>
      </c>
      <c r="K84" s="138" t="s">
        <v>5</v>
      </c>
      <c r="L84" s="138"/>
      <c r="M84" s="138" t="s">
        <v>5</v>
      </c>
      <c r="N84" s="6" t="str">
        <f>Tab_Def_Flows[[#This Row],[Flow_ID]]&amp;"_WC"</f>
        <v>F_23_23_WC</v>
      </c>
      <c r="O84" s="135"/>
      <c r="P84" s="13"/>
      <c r="Q84" s="6" t="str">
        <f>Tab_Def_Flows[[#This Row],[Flow_ID]]&amp;"_DM"</f>
        <v>F_23_23_DM</v>
      </c>
      <c r="R84" s="135"/>
      <c r="S84" s="13"/>
      <c r="T84" s="6" t="str">
        <f>Tab_Def_Flows[[#This Row],[Flow_ID]]&amp;"_CC"</f>
        <v>F_23_23_CC</v>
      </c>
      <c r="U84" s="135"/>
      <c r="V84" s="13"/>
      <c r="W84" s="139">
        <f>Tab_Def_Flows[[#This Row],[Flow_CC_DM'[%']]]*Tab_Def_Flows[[#This Row],[Flow_DM'[%']]]</f>
        <v>0</v>
      </c>
      <c r="X84" s="7"/>
      <c r="Y84" s="194" t="b">
        <f>'0_Configuration'!$C$2</f>
        <v>1</v>
      </c>
      <c r="Z84" s="6"/>
      <c r="AA84" s="194" t="b">
        <f>'0_Configuration'!$C$6</f>
        <v>0</v>
      </c>
      <c r="AB84" s="6" t="s">
        <v>1224</v>
      </c>
      <c r="AC84" s="194" t="b">
        <f>'0_Configuration'!$C$10</f>
        <v>0</v>
      </c>
      <c r="AD84" s="6" t="s">
        <v>1224</v>
      </c>
      <c r="AE84" s="194" t="b">
        <f>'0_Configuration'!$C$17</f>
        <v>0</v>
      </c>
      <c r="AF84" s="6">
        <f>_xlfn.XLOOKUP(Tab_Def_Flows[[#This Row],[ODYM_Good_Type]],Tab_Configuration[Value],Tab_Configuration[ODYM_ID],,0,)</f>
        <v>0</v>
      </c>
      <c r="AG84" s="194" t="b">
        <f>'0_Configuration'!$C$24</f>
        <v>0</v>
      </c>
      <c r="AH84" s="6"/>
      <c r="AI84" s="194" t="b">
        <f>'0_Configuration'!$C$29</f>
        <v>1</v>
      </c>
      <c r="AJ84" s="6" t="s">
        <v>1238</v>
      </c>
      <c r="AK84" s="6" t="str">
        <f>IF(Tab_Def_Flows[[#This Row],[ODYM_time_(t)]],"t,","")&amp;IF(Tab_Def_Flows[[#This Row],[ODYM_Region_(r)]],"r,","")&amp;IF(Tab_Def_Flows[[#This Row],[ODYM_process_(p)]],"p,","")&amp;IF(Tab_Def_Flows[[#This Row],[ODYM_Good_(g)2]],"g,","")&amp;IF(Tab_Def_Flows[[#This Row],[ODYM_material_(m)]],"m,","")&amp;IF(Tab_Def_Flows[[#This Row],[ODYM_element_(e)]],"e","")</f>
        <v>t,e</v>
      </c>
      <c r="AL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38" x14ac:dyDescent="0.25">
      <c r="A85" s="142" t="b">
        <v>0</v>
      </c>
      <c r="B85" s="16">
        <f t="shared" si="22"/>
        <v>84</v>
      </c>
      <c r="C85" s="6" t="str">
        <f t="shared" si="1"/>
        <v>F_23_23</v>
      </c>
      <c r="D85" s="188"/>
      <c r="E85" s="138"/>
      <c r="F85" s="138"/>
      <c r="G85" s="6" t="str">
        <f>_xlfn.XLOOKUP(F85,Tab_Def_Processes[Process_Name],Tab_Def_Processes[Process_ID],,0,)</f>
        <v>23</v>
      </c>
      <c r="H85" s="138"/>
      <c r="I85" s="9" t="str">
        <f>_xlfn.XLOOKUP(H85,Tab_Def_Processes[Process_Name],Tab_Def_Processes[Process_ID],,0,)</f>
        <v>23</v>
      </c>
      <c r="J85" s="138" t="s">
        <v>5</v>
      </c>
      <c r="K85" s="138" t="s">
        <v>5</v>
      </c>
      <c r="L85" s="138"/>
      <c r="M85" s="138" t="s">
        <v>5</v>
      </c>
      <c r="N85" s="6" t="str">
        <f>Tab_Def_Flows[[#This Row],[Flow_ID]]&amp;"_WC"</f>
        <v>F_23_23_WC</v>
      </c>
      <c r="O85" s="135"/>
      <c r="P85" s="13"/>
      <c r="Q85" s="6" t="str">
        <f>Tab_Def_Flows[[#This Row],[Flow_ID]]&amp;"_DM"</f>
        <v>F_23_23_DM</v>
      </c>
      <c r="R85" s="135"/>
      <c r="S85" s="13"/>
      <c r="T85" s="6" t="str">
        <f>Tab_Def_Flows[[#This Row],[Flow_ID]]&amp;"_CC"</f>
        <v>F_23_23_CC</v>
      </c>
      <c r="U85" s="135"/>
      <c r="V85" s="13"/>
      <c r="W85" s="139">
        <f>Tab_Def_Flows[[#This Row],[Flow_CC_DM'[%']]]*Tab_Def_Flows[[#This Row],[Flow_DM'[%']]]</f>
        <v>0</v>
      </c>
      <c r="X85" s="7"/>
      <c r="Y85" s="194" t="b">
        <f>'0_Configuration'!$C$2</f>
        <v>1</v>
      </c>
      <c r="Z85" s="6"/>
      <c r="AA85" s="194" t="b">
        <f>'0_Configuration'!$C$6</f>
        <v>0</v>
      </c>
      <c r="AB85" s="6" t="s">
        <v>1224</v>
      </c>
      <c r="AC85" s="194" t="b">
        <f>'0_Configuration'!$C$10</f>
        <v>0</v>
      </c>
      <c r="AD85" s="6" t="s">
        <v>1224</v>
      </c>
      <c r="AE85" s="194" t="b">
        <f>'0_Configuration'!$C$17</f>
        <v>0</v>
      </c>
      <c r="AF85" s="6">
        <f>_xlfn.XLOOKUP(Tab_Def_Flows[[#This Row],[ODYM_Good_Type]],Tab_Configuration[Value],Tab_Configuration[ODYM_ID],,0,)</f>
        <v>0</v>
      </c>
      <c r="AG85" s="194" t="b">
        <f>'0_Configuration'!$C$24</f>
        <v>0</v>
      </c>
      <c r="AH85" s="6"/>
      <c r="AI85" s="194" t="b">
        <f>'0_Configuration'!$C$29</f>
        <v>1</v>
      </c>
      <c r="AJ85" s="6" t="s">
        <v>1238</v>
      </c>
      <c r="AK85" s="6" t="str">
        <f>IF(Tab_Def_Flows[[#This Row],[ODYM_time_(t)]],"t,","")&amp;IF(Tab_Def_Flows[[#This Row],[ODYM_Region_(r)]],"r,","")&amp;IF(Tab_Def_Flows[[#This Row],[ODYM_process_(p)]],"p,","")&amp;IF(Tab_Def_Flows[[#This Row],[ODYM_Good_(g)2]],"g,","")&amp;IF(Tab_Def_Flows[[#This Row],[ODYM_material_(m)]],"m,","")&amp;IF(Tab_Def_Flows[[#This Row],[ODYM_element_(e)]],"e","")</f>
        <v>t,e</v>
      </c>
      <c r="AL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38" x14ac:dyDescent="0.25">
      <c r="A86" s="142" t="b">
        <v>0</v>
      </c>
      <c r="B86" s="16">
        <f t="shared" si="22"/>
        <v>85</v>
      </c>
      <c r="C86" s="6" t="str">
        <f t="shared" si="1"/>
        <v>F_23_23</v>
      </c>
      <c r="D86" s="188"/>
      <c r="E86" s="138"/>
      <c r="F86" s="138"/>
      <c r="G86" s="6" t="str">
        <f>_xlfn.XLOOKUP(F86,Tab_Def_Processes[Process_Name],Tab_Def_Processes[Process_ID],,0,)</f>
        <v>23</v>
      </c>
      <c r="H86" s="138"/>
      <c r="I86" s="9" t="str">
        <f>_xlfn.XLOOKUP(H86,Tab_Def_Processes[Process_Name],Tab_Def_Processes[Process_ID],,0,)</f>
        <v>23</v>
      </c>
      <c r="J86" s="138" t="s">
        <v>5</v>
      </c>
      <c r="K86" s="138" t="s">
        <v>5</v>
      </c>
      <c r="L86" s="138"/>
      <c r="M86" s="138" t="s">
        <v>5</v>
      </c>
      <c r="N86" s="6" t="str">
        <f>Tab_Def_Flows[[#This Row],[Flow_ID]]&amp;"_WC"</f>
        <v>F_23_23_WC</v>
      </c>
      <c r="O86" s="135"/>
      <c r="P86" s="13"/>
      <c r="Q86" s="6" t="str">
        <f>Tab_Def_Flows[[#This Row],[Flow_ID]]&amp;"_DM"</f>
        <v>F_23_23_DM</v>
      </c>
      <c r="R86" s="135"/>
      <c r="S86" s="13"/>
      <c r="T86" s="6" t="str">
        <f>Tab_Def_Flows[[#This Row],[Flow_ID]]&amp;"_CC"</f>
        <v>F_23_23_CC</v>
      </c>
      <c r="U86" s="135"/>
      <c r="V86" s="13"/>
      <c r="W86" s="139">
        <f>Tab_Def_Flows[[#This Row],[Flow_CC_DM'[%']]]*Tab_Def_Flows[[#This Row],[Flow_DM'[%']]]</f>
        <v>0</v>
      </c>
      <c r="X86" s="7"/>
      <c r="Y86" s="194" t="b">
        <f>'0_Configuration'!$C$2</f>
        <v>1</v>
      </c>
      <c r="Z86" s="6"/>
      <c r="AA86" s="194" t="b">
        <f>'0_Configuration'!$C$6</f>
        <v>0</v>
      </c>
      <c r="AB86" s="6" t="s">
        <v>1224</v>
      </c>
      <c r="AC86" s="194" t="b">
        <f>'0_Configuration'!$C$10</f>
        <v>0</v>
      </c>
      <c r="AD86" s="6" t="s">
        <v>1224</v>
      </c>
      <c r="AE86" s="194" t="b">
        <f>'0_Configuration'!$C$17</f>
        <v>0</v>
      </c>
      <c r="AF86" s="6">
        <f>_xlfn.XLOOKUP(Tab_Def_Flows[[#This Row],[ODYM_Good_Type]],Tab_Configuration[Value],Tab_Configuration[ODYM_ID],,0,)</f>
        <v>0</v>
      </c>
      <c r="AG86" s="194" t="b">
        <f>'0_Configuration'!$C$24</f>
        <v>0</v>
      </c>
      <c r="AH86" s="6"/>
      <c r="AI86" s="194" t="b">
        <f>'0_Configuration'!$C$29</f>
        <v>1</v>
      </c>
      <c r="AJ86" s="6" t="s">
        <v>1238</v>
      </c>
      <c r="AK86" s="6" t="str">
        <f>IF(Tab_Def_Flows[[#This Row],[ODYM_time_(t)]],"t,","")&amp;IF(Tab_Def_Flows[[#This Row],[ODYM_Region_(r)]],"r,","")&amp;IF(Tab_Def_Flows[[#This Row],[ODYM_process_(p)]],"p,","")&amp;IF(Tab_Def_Flows[[#This Row],[ODYM_Good_(g)2]],"g,","")&amp;IF(Tab_Def_Flows[[#This Row],[ODYM_material_(m)]],"m,","")&amp;IF(Tab_Def_Flows[[#This Row],[ODYM_element_(e)]],"e","")</f>
        <v>t,e</v>
      </c>
      <c r="AL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38" x14ac:dyDescent="0.25">
      <c r="A87" s="142" t="b">
        <v>0</v>
      </c>
      <c r="B87" s="16">
        <f t="shared" si="22"/>
        <v>86</v>
      </c>
      <c r="C87" s="6" t="str">
        <f t="shared" si="1"/>
        <v>F_23_23</v>
      </c>
      <c r="D87" s="188"/>
      <c r="E87" s="138"/>
      <c r="F87" s="138"/>
      <c r="G87" s="6" t="str">
        <f>_xlfn.XLOOKUP(F87,Tab_Def_Processes[Process_Name],Tab_Def_Processes[Process_ID],,0,)</f>
        <v>23</v>
      </c>
      <c r="H87" s="138"/>
      <c r="I87" s="9" t="str">
        <f>_xlfn.XLOOKUP(H87,Tab_Def_Processes[Process_Name],Tab_Def_Processes[Process_ID],,0,)</f>
        <v>23</v>
      </c>
      <c r="J87" s="138" t="s">
        <v>5</v>
      </c>
      <c r="K87" s="138" t="s">
        <v>5</v>
      </c>
      <c r="L87" s="138"/>
      <c r="M87" s="138" t="s">
        <v>5</v>
      </c>
      <c r="N87" s="6" t="str">
        <f>Tab_Def_Flows[[#This Row],[Flow_ID]]&amp;"_WC"</f>
        <v>F_23_23_WC</v>
      </c>
      <c r="O87" s="135"/>
      <c r="P87" s="13"/>
      <c r="Q87" s="6" t="str">
        <f>Tab_Def_Flows[[#This Row],[Flow_ID]]&amp;"_DM"</f>
        <v>F_23_23_DM</v>
      </c>
      <c r="R87" s="135"/>
      <c r="S87" s="13"/>
      <c r="T87" s="6" t="str">
        <f>Tab_Def_Flows[[#This Row],[Flow_ID]]&amp;"_CC"</f>
        <v>F_23_23_CC</v>
      </c>
      <c r="U87" s="135"/>
      <c r="V87" s="13"/>
      <c r="W87" s="139">
        <f>Tab_Def_Flows[[#This Row],[Flow_CC_DM'[%']]]*Tab_Def_Flows[[#This Row],[Flow_DM'[%']]]</f>
        <v>0</v>
      </c>
      <c r="X87" s="7"/>
      <c r="Y87" s="194" t="b">
        <f>'0_Configuration'!$C$2</f>
        <v>1</v>
      </c>
      <c r="Z87" s="6"/>
      <c r="AA87" s="194" t="b">
        <f>'0_Configuration'!$C$6</f>
        <v>0</v>
      </c>
      <c r="AB87" s="6" t="s">
        <v>1224</v>
      </c>
      <c r="AC87" s="194" t="b">
        <f>'0_Configuration'!$C$10</f>
        <v>0</v>
      </c>
      <c r="AD87" s="6" t="s">
        <v>1224</v>
      </c>
      <c r="AE87" s="194" t="b">
        <f>'0_Configuration'!$C$17</f>
        <v>0</v>
      </c>
      <c r="AF87" s="6">
        <f>_xlfn.XLOOKUP(Tab_Def_Flows[[#This Row],[ODYM_Good_Type]],Tab_Configuration[Value],Tab_Configuration[ODYM_ID],,0,)</f>
        <v>0</v>
      </c>
      <c r="AG87" s="194" t="b">
        <f>'0_Configuration'!$C$24</f>
        <v>0</v>
      </c>
      <c r="AH87" s="6"/>
      <c r="AI87" s="194" t="b">
        <f>'0_Configuration'!$C$29</f>
        <v>1</v>
      </c>
      <c r="AJ87" s="6" t="s">
        <v>1238</v>
      </c>
      <c r="AK87" s="6" t="str">
        <f>IF(Tab_Def_Flows[[#This Row],[ODYM_time_(t)]],"t,","")&amp;IF(Tab_Def_Flows[[#This Row],[ODYM_Region_(r)]],"r,","")&amp;IF(Tab_Def_Flows[[#This Row],[ODYM_process_(p)]],"p,","")&amp;IF(Tab_Def_Flows[[#This Row],[ODYM_Good_(g)2]],"g,","")&amp;IF(Tab_Def_Flows[[#This Row],[ODYM_material_(m)]],"m,","")&amp;IF(Tab_Def_Flows[[#This Row],[ODYM_element_(e)]],"e","")</f>
        <v>t,e</v>
      </c>
      <c r="AL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38" x14ac:dyDescent="0.25">
      <c r="A88" s="142" t="b">
        <v>0</v>
      </c>
      <c r="B88" s="16">
        <f t="shared" si="22"/>
        <v>87</v>
      </c>
      <c r="C88" s="6" t="str">
        <f t="shared" si="1"/>
        <v>F_23_23</v>
      </c>
      <c r="D88" s="188"/>
      <c r="E88" s="138"/>
      <c r="F88" s="138"/>
      <c r="G88" s="6" t="str">
        <f>_xlfn.XLOOKUP(F88,Tab_Def_Processes[Process_Name],Tab_Def_Processes[Process_ID],,0,)</f>
        <v>23</v>
      </c>
      <c r="H88" s="138"/>
      <c r="I88" s="9" t="str">
        <f>_xlfn.XLOOKUP(H88,Tab_Def_Processes[Process_Name],Tab_Def_Processes[Process_ID],,0,)</f>
        <v>23</v>
      </c>
      <c r="J88" s="138" t="s">
        <v>5</v>
      </c>
      <c r="K88" s="138" t="s">
        <v>5</v>
      </c>
      <c r="L88" s="138"/>
      <c r="M88" s="138" t="s">
        <v>5</v>
      </c>
      <c r="N88" s="6" t="str">
        <f>Tab_Def_Flows[[#This Row],[Flow_ID]]&amp;"_WC"</f>
        <v>F_23_23_WC</v>
      </c>
      <c r="O88" s="135"/>
      <c r="P88" s="13"/>
      <c r="Q88" s="6" t="str">
        <f>Tab_Def_Flows[[#This Row],[Flow_ID]]&amp;"_DM"</f>
        <v>F_23_23_DM</v>
      </c>
      <c r="R88" s="135"/>
      <c r="S88" s="13"/>
      <c r="T88" s="6" t="str">
        <f>Tab_Def_Flows[[#This Row],[Flow_ID]]&amp;"_CC"</f>
        <v>F_23_23_CC</v>
      </c>
      <c r="U88" s="135"/>
      <c r="V88" s="13"/>
      <c r="W88" s="139">
        <f>Tab_Def_Flows[[#This Row],[Flow_CC_DM'[%']]]*Tab_Def_Flows[[#This Row],[Flow_DM'[%']]]</f>
        <v>0</v>
      </c>
      <c r="X88" s="7"/>
      <c r="Y88" s="194" t="b">
        <f>'0_Configuration'!$C$2</f>
        <v>1</v>
      </c>
      <c r="Z88" s="6"/>
      <c r="AA88" s="194" t="b">
        <f>'0_Configuration'!$C$6</f>
        <v>0</v>
      </c>
      <c r="AB88" s="6" t="s">
        <v>1224</v>
      </c>
      <c r="AC88" s="194" t="b">
        <f>'0_Configuration'!$C$10</f>
        <v>0</v>
      </c>
      <c r="AD88" s="6" t="s">
        <v>1224</v>
      </c>
      <c r="AE88" s="194" t="b">
        <f>'0_Configuration'!$C$17</f>
        <v>0</v>
      </c>
      <c r="AF88" s="6">
        <f>_xlfn.XLOOKUP(Tab_Def_Flows[[#This Row],[ODYM_Good_Type]],Tab_Configuration[Value],Tab_Configuration[ODYM_ID],,0,)</f>
        <v>0</v>
      </c>
      <c r="AG88" s="194" t="b">
        <f>'0_Configuration'!$C$24</f>
        <v>0</v>
      </c>
      <c r="AH88" s="6"/>
      <c r="AI88" s="194" t="b">
        <f>'0_Configuration'!$C$29</f>
        <v>1</v>
      </c>
      <c r="AJ88" s="6" t="s">
        <v>1238</v>
      </c>
      <c r="AK88" s="6" t="str">
        <f>IF(Tab_Def_Flows[[#This Row],[ODYM_time_(t)]],"t,","")&amp;IF(Tab_Def_Flows[[#This Row],[ODYM_Region_(r)]],"r,","")&amp;IF(Tab_Def_Flows[[#This Row],[ODYM_process_(p)]],"p,","")&amp;IF(Tab_Def_Flows[[#This Row],[ODYM_Good_(g)2]],"g,","")&amp;IF(Tab_Def_Flows[[#This Row],[ODYM_material_(m)]],"m,","")&amp;IF(Tab_Def_Flows[[#This Row],[ODYM_element_(e)]],"e","")</f>
        <v>t,e</v>
      </c>
      <c r="AL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38" x14ac:dyDescent="0.25">
      <c r="A89" s="142" t="b">
        <v>0</v>
      </c>
      <c r="B89" s="16">
        <f t="shared" si="22"/>
        <v>88</v>
      </c>
      <c r="C89" s="6" t="str">
        <f t="shared" si="1"/>
        <v>F_23_23</v>
      </c>
      <c r="D89" s="188"/>
      <c r="E89" s="138"/>
      <c r="F89" s="138"/>
      <c r="G89" s="6" t="str">
        <f>_xlfn.XLOOKUP(F89,Tab_Def_Processes[Process_Name],Tab_Def_Processes[Process_ID],,0,)</f>
        <v>23</v>
      </c>
      <c r="H89" s="138"/>
      <c r="I89" s="9" t="str">
        <f>_xlfn.XLOOKUP(H89,Tab_Def_Processes[Process_Name],Tab_Def_Processes[Process_ID],,0,)</f>
        <v>23</v>
      </c>
      <c r="J89" s="138" t="s">
        <v>5</v>
      </c>
      <c r="K89" s="138" t="s">
        <v>5</v>
      </c>
      <c r="L89" s="138"/>
      <c r="M89" s="138" t="s">
        <v>5</v>
      </c>
      <c r="N89" s="6" t="str">
        <f>Tab_Def_Flows[[#This Row],[Flow_ID]]&amp;"_WC"</f>
        <v>F_23_23_WC</v>
      </c>
      <c r="O89" s="135"/>
      <c r="P89" s="13"/>
      <c r="Q89" s="6" t="str">
        <f>Tab_Def_Flows[[#This Row],[Flow_ID]]&amp;"_DM"</f>
        <v>F_23_23_DM</v>
      </c>
      <c r="R89" s="135"/>
      <c r="S89" s="13"/>
      <c r="T89" s="6" t="str">
        <f>Tab_Def_Flows[[#This Row],[Flow_ID]]&amp;"_CC"</f>
        <v>F_23_23_CC</v>
      </c>
      <c r="U89" s="135"/>
      <c r="V89" s="13"/>
      <c r="W89" s="139">
        <f>Tab_Def_Flows[[#This Row],[Flow_CC_DM'[%']]]*Tab_Def_Flows[[#This Row],[Flow_DM'[%']]]</f>
        <v>0</v>
      </c>
      <c r="X89" s="7"/>
      <c r="Y89" s="194" t="b">
        <f>'0_Configuration'!$C$2</f>
        <v>1</v>
      </c>
      <c r="Z89" s="6"/>
      <c r="AA89" s="194" t="b">
        <f>'0_Configuration'!$C$6</f>
        <v>0</v>
      </c>
      <c r="AB89" s="6" t="s">
        <v>1224</v>
      </c>
      <c r="AC89" s="194" t="b">
        <f>'0_Configuration'!$C$10</f>
        <v>0</v>
      </c>
      <c r="AD89" s="6" t="s">
        <v>1224</v>
      </c>
      <c r="AE89" s="194" t="b">
        <f>'0_Configuration'!$C$17</f>
        <v>0</v>
      </c>
      <c r="AF89" s="6">
        <f>_xlfn.XLOOKUP(Tab_Def_Flows[[#This Row],[ODYM_Good_Type]],Tab_Configuration[Value],Tab_Configuration[ODYM_ID],,0,)</f>
        <v>0</v>
      </c>
      <c r="AG89" s="194" t="b">
        <f>'0_Configuration'!$C$24</f>
        <v>0</v>
      </c>
      <c r="AH89" s="6"/>
      <c r="AI89" s="194" t="b">
        <f>'0_Configuration'!$C$29</f>
        <v>1</v>
      </c>
      <c r="AJ89" s="6" t="s">
        <v>1238</v>
      </c>
      <c r="AK89" s="6" t="str">
        <f>IF(Tab_Def_Flows[[#This Row],[ODYM_time_(t)]],"t,","")&amp;IF(Tab_Def_Flows[[#This Row],[ODYM_Region_(r)]],"r,","")&amp;IF(Tab_Def_Flows[[#This Row],[ODYM_process_(p)]],"p,","")&amp;IF(Tab_Def_Flows[[#This Row],[ODYM_Good_(g)2]],"g,","")&amp;IF(Tab_Def_Flows[[#This Row],[ODYM_material_(m)]],"m,","")&amp;IF(Tab_Def_Flows[[#This Row],[ODYM_element_(e)]],"e","")</f>
        <v>t,e</v>
      </c>
      <c r="AL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38" x14ac:dyDescent="0.25">
      <c r="A90" s="142" t="b">
        <v>0</v>
      </c>
      <c r="B90" s="16">
        <f t="shared" si="22"/>
        <v>89</v>
      </c>
      <c r="C90" s="6" t="str">
        <f t="shared" si="1"/>
        <v>F_23_23</v>
      </c>
      <c r="D90" s="188"/>
      <c r="E90" s="138"/>
      <c r="F90" s="138"/>
      <c r="G90" s="6" t="str">
        <f>_xlfn.XLOOKUP(F90,Tab_Def_Processes[Process_Name],Tab_Def_Processes[Process_ID],,0,)</f>
        <v>23</v>
      </c>
      <c r="H90" s="138"/>
      <c r="I90" s="9" t="str">
        <f>_xlfn.XLOOKUP(H90,Tab_Def_Processes[Process_Name],Tab_Def_Processes[Process_ID],,0,)</f>
        <v>23</v>
      </c>
      <c r="J90" s="138" t="s">
        <v>5</v>
      </c>
      <c r="K90" s="138" t="s">
        <v>5</v>
      </c>
      <c r="L90" s="138"/>
      <c r="M90" s="138" t="s">
        <v>5</v>
      </c>
      <c r="N90" s="6" t="str">
        <f>Tab_Def_Flows[[#This Row],[Flow_ID]]&amp;"_WC"</f>
        <v>F_23_23_WC</v>
      </c>
      <c r="O90" s="135"/>
      <c r="P90" s="13"/>
      <c r="Q90" s="6" t="str">
        <f>Tab_Def_Flows[[#This Row],[Flow_ID]]&amp;"_DM"</f>
        <v>F_23_23_DM</v>
      </c>
      <c r="R90" s="135"/>
      <c r="S90" s="13"/>
      <c r="T90" s="6" t="str">
        <f>Tab_Def_Flows[[#This Row],[Flow_ID]]&amp;"_CC"</f>
        <v>F_23_23_CC</v>
      </c>
      <c r="U90" s="135"/>
      <c r="V90" s="13"/>
      <c r="W90" s="139">
        <f>Tab_Def_Flows[[#This Row],[Flow_CC_DM'[%']]]*Tab_Def_Flows[[#This Row],[Flow_DM'[%']]]</f>
        <v>0</v>
      </c>
      <c r="X90" s="7"/>
      <c r="Y90" s="194" t="b">
        <f>'0_Configuration'!$C$2</f>
        <v>1</v>
      </c>
      <c r="Z90" s="6"/>
      <c r="AA90" s="194" t="b">
        <f>'0_Configuration'!$C$6</f>
        <v>0</v>
      </c>
      <c r="AB90" s="6" t="s">
        <v>1224</v>
      </c>
      <c r="AC90" s="194" t="b">
        <f>'0_Configuration'!$C$10</f>
        <v>0</v>
      </c>
      <c r="AD90" s="6" t="s">
        <v>1224</v>
      </c>
      <c r="AE90" s="194" t="b">
        <f>'0_Configuration'!$C$17</f>
        <v>0</v>
      </c>
      <c r="AF90" s="6">
        <f>_xlfn.XLOOKUP(Tab_Def_Flows[[#This Row],[ODYM_Good_Type]],Tab_Configuration[Value],Tab_Configuration[ODYM_ID],,0,)</f>
        <v>0</v>
      </c>
      <c r="AG90" s="194" t="b">
        <f>'0_Configuration'!$C$24</f>
        <v>0</v>
      </c>
      <c r="AH90" s="6"/>
      <c r="AI90" s="194" t="b">
        <f>'0_Configuration'!$C$29</f>
        <v>1</v>
      </c>
      <c r="AJ90" s="6" t="s">
        <v>1238</v>
      </c>
      <c r="AK90" s="6" t="str">
        <f>IF(Tab_Def_Flows[[#This Row],[ODYM_time_(t)]],"t,","")&amp;IF(Tab_Def_Flows[[#This Row],[ODYM_Region_(r)]],"r,","")&amp;IF(Tab_Def_Flows[[#This Row],[ODYM_process_(p)]],"p,","")&amp;IF(Tab_Def_Flows[[#This Row],[ODYM_Good_(g)2]],"g,","")&amp;IF(Tab_Def_Flows[[#This Row],[ODYM_material_(m)]],"m,","")&amp;IF(Tab_Def_Flows[[#This Row],[ODYM_element_(e)]],"e","")</f>
        <v>t,e</v>
      </c>
      <c r="AL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38" x14ac:dyDescent="0.25">
      <c r="A91" s="142" t="b">
        <v>0</v>
      </c>
      <c r="B91" s="16">
        <f t="shared" si="22"/>
        <v>90</v>
      </c>
      <c r="C91" s="6" t="str">
        <f t="shared" si="1"/>
        <v>F_23_23</v>
      </c>
      <c r="D91" s="7"/>
      <c r="E91" s="138"/>
      <c r="F91" s="138"/>
      <c r="G91" s="6" t="str">
        <f>_xlfn.XLOOKUP(F91,Tab_Def_Processes[Process_Name],Tab_Def_Processes[Process_ID],,0,)</f>
        <v>23</v>
      </c>
      <c r="H91" s="138"/>
      <c r="I91" s="9" t="str">
        <f>_xlfn.XLOOKUP(H91,Tab_Def_Processes[Process_Name],Tab_Def_Processes[Process_ID],,0,)</f>
        <v>23</v>
      </c>
      <c r="J91" s="138" t="s">
        <v>5</v>
      </c>
      <c r="K91" s="138" t="s">
        <v>5</v>
      </c>
      <c r="L91" s="138"/>
      <c r="M91" s="138" t="s">
        <v>5</v>
      </c>
      <c r="N91" s="6" t="str">
        <f>Tab_Def_Flows[[#This Row],[Flow_ID]]&amp;"_WC"</f>
        <v>F_23_23_WC</v>
      </c>
      <c r="O91" s="135"/>
      <c r="P91" s="13"/>
      <c r="Q91" s="6" t="str">
        <f>Tab_Def_Flows[[#This Row],[Flow_ID]]&amp;"_DM"</f>
        <v>F_23_23_DM</v>
      </c>
      <c r="R91" s="135"/>
      <c r="S91" s="13"/>
      <c r="T91" s="6" t="str">
        <f>Tab_Def_Flows[[#This Row],[Flow_ID]]&amp;"_CC"</f>
        <v>F_23_23_CC</v>
      </c>
      <c r="U91" s="135"/>
      <c r="V91" s="13"/>
      <c r="W91" s="139">
        <f>Tab_Def_Flows[[#This Row],[Flow_CC_DM'[%']]]*Tab_Def_Flows[[#This Row],[Flow_DM'[%']]]</f>
        <v>0</v>
      </c>
      <c r="X91" s="7"/>
      <c r="Y91" s="194" t="b">
        <f>'0_Configuration'!$C$2</f>
        <v>1</v>
      </c>
      <c r="Z91" s="6"/>
      <c r="AA91" s="194" t="b">
        <f>'0_Configuration'!$C$6</f>
        <v>0</v>
      </c>
      <c r="AB91" s="6" t="s">
        <v>1224</v>
      </c>
      <c r="AC91" s="194" t="b">
        <f>'0_Configuration'!$C$10</f>
        <v>0</v>
      </c>
      <c r="AD91" s="6" t="s">
        <v>1224</v>
      </c>
      <c r="AE91" s="194" t="b">
        <f>'0_Configuration'!$C$17</f>
        <v>0</v>
      </c>
      <c r="AF91" s="6">
        <f>_xlfn.XLOOKUP(Tab_Def_Flows[[#This Row],[ODYM_Good_Type]],Tab_Configuration[Value],Tab_Configuration[ODYM_ID],,0,)</f>
        <v>0</v>
      </c>
      <c r="AG91" s="194" t="b">
        <f>'0_Configuration'!$C$24</f>
        <v>0</v>
      </c>
      <c r="AH91" s="6"/>
      <c r="AI91" s="194" t="b">
        <f>'0_Configuration'!$C$29</f>
        <v>1</v>
      </c>
      <c r="AJ91" s="6" t="s">
        <v>1238</v>
      </c>
      <c r="AK91" s="6" t="str">
        <f>IF(Tab_Def_Flows[[#This Row],[ODYM_time_(t)]],"t,","")&amp;IF(Tab_Def_Flows[[#This Row],[ODYM_Region_(r)]],"r,","")&amp;IF(Tab_Def_Flows[[#This Row],[ODYM_process_(p)]],"p,","")&amp;IF(Tab_Def_Flows[[#This Row],[ODYM_Good_(g)2]],"g,","")&amp;IF(Tab_Def_Flows[[#This Row],[ODYM_material_(m)]],"m,","")&amp;IF(Tab_Def_Flows[[#This Row],[ODYM_element_(e)]],"e","")</f>
        <v>t,e</v>
      </c>
      <c r="AL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38" x14ac:dyDescent="0.25">
      <c r="A92" s="142" t="b">
        <v>0</v>
      </c>
      <c r="B92" s="16">
        <f t="shared" si="22"/>
        <v>91</v>
      </c>
      <c r="C92" s="6" t="str">
        <f t="shared" ref="C92:C96" si="23">"F_"&amp;LEFT(G92,2)&amp;"_"&amp;LEFT(I92,2)</f>
        <v>F_23_23</v>
      </c>
      <c r="D92" s="7"/>
      <c r="E92" s="138"/>
      <c r="F92" s="138"/>
      <c r="G92" s="6" t="str">
        <f>_xlfn.XLOOKUP(F92,Tab_Def_Processes[Process_Name],Tab_Def_Processes[Process_ID],,0,)</f>
        <v>23</v>
      </c>
      <c r="H92" s="138"/>
      <c r="I92" s="9" t="str">
        <f>_xlfn.XLOOKUP(H92,Tab_Def_Processes[Process_Name],Tab_Def_Processes[Process_ID],,0,)</f>
        <v>23</v>
      </c>
      <c r="J92" s="138" t="s">
        <v>5</v>
      </c>
      <c r="K92" s="138" t="s">
        <v>5</v>
      </c>
      <c r="L92" s="138"/>
      <c r="M92" s="138" t="s">
        <v>5</v>
      </c>
      <c r="N92" s="6" t="str">
        <f>Tab_Def_Flows[[#This Row],[Flow_ID]]&amp;"_WC"</f>
        <v>F_23_23_WC</v>
      </c>
      <c r="O92" s="135"/>
      <c r="P92" s="13"/>
      <c r="Q92" s="6" t="str">
        <f>Tab_Def_Flows[[#This Row],[Flow_ID]]&amp;"_DM"</f>
        <v>F_23_23_DM</v>
      </c>
      <c r="R92" s="135"/>
      <c r="S92" s="13"/>
      <c r="T92" s="6" t="str">
        <f>Tab_Def_Flows[[#This Row],[Flow_ID]]&amp;"_CC"</f>
        <v>F_23_23_CC</v>
      </c>
      <c r="U92" s="135"/>
      <c r="V92" s="13"/>
      <c r="W92" s="139">
        <f>Tab_Def_Flows[[#This Row],[Flow_CC_DM'[%']]]*Tab_Def_Flows[[#This Row],[Flow_DM'[%']]]</f>
        <v>0</v>
      </c>
      <c r="X92" s="7"/>
      <c r="Y92" s="194" t="b">
        <f>'0_Configuration'!$C$2</f>
        <v>1</v>
      </c>
      <c r="Z92" s="6"/>
      <c r="AA92" s="194" t="b">
        <f>'0_Configuration'!$C$6</f>
        <v>0</v>
      </c>
      <c r="AB92" s="6" t="s">
        <v>1224</v>
      </c>
      <c r="AC92" s="194" t="b">
        <f>'0_Configuration'!$C$10</f>
        <v>0</v>
      </c>
      <c r="AD92" s="6" t="s">
        <v>1224</v>
      </c>
      <c r="AE92" s="194" t="b">
        <f>'0_Configuration'!$C$17</f>
        <v>0</v>
      </c>
      <c r="AF92" s="6">
        <f>_xlfn.XLOOKUP(Tab_Def_Flows[[#This Row],[ODYM_Good_Type]],Tab_Configuration[Value],Tab_Configuration[ODYM_ID],,0,)</f>
        <v>0</v>
      </c>
      <c r="AG92" s="194" t="b">
        <f>'0_Configuration'!$C$24</f>
        <v>0</v>
      </c>
      <c r="AH92" s="6"/>
      <c r="AI92" s="194" t="b">
        <f>'0_Configuration'!$C$29</f>
        <v>1</v>
      </c>
      <c r="AJ92" s="6" t="s">
        <v>1238</v>
      </c>
      <c r="AK92" s="6" t="str">
        <f>IF(Tab_Def_Flows[[#This Row],[ODYM_time_(t)]],"t,","")&amp;IF(Tab_Def_Flows[[#This Row],[ODYM_Region_(r)]],"r,","")&amp;IF(Tab_Def_Flows[[#This Row],[ODYM_process_(p)]],"p,","")&amp;IF(Tab_Def_Flows[[#This Row],[ODYM_Good_(g)2]],"g,","")&amp;IF(Tab_Def_Flows[[#This Row],[ODYM_material_(m)]],"m,","")&amp;IF(Tab_Def_Flows[[#This Row],[ODYM_element_(e)]],"e","")</f>
        <v>t,e</v>
      </c>
      <c r="AL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38" x14ac:dyDescent="0.25">
      <c r="A93" s="142" t="b">
        <v>0</v>
      </c>
      <c r="B93" s="16">
        <f t="shared" si="22"/>
        <v>92</v>
      </c>
      <c r="C93" s="6" t="str">
        <f t="shared" si="23"/>
        <v>F_23_23</v>
      </c>
      <c r="D93" s="7"/>
      <c r="E93" s="138"/>
      <c r="F93" s="138"/>
      <c r="G93" s="6" t="str">
        <f>_xlfn.XLOOKUP(F93,Tab_Def_Processes[Process_Name],Tab_Def_Processes[Process_ID],,0,)</f>
        <v>23</v>
      </c>
      <c r="H93" s="138"/>
      <c r="I93" s="9" t="str">
        <f>_xlfn.XLOOKUP(H93,Tab_Def_Processes[Process_Name],Tab_Def_Processes[Process_ID],,0,)</f>
        <v>23</v>
      </c>
      <c r="J93" s="138" t="s">
        <v>5</v>
      </c>
      <c r="K93" s="138" t="s">
        <v>5</v>
      </c>
      <c r="L93" s="138"/>
      <c r="M93" s="138" t="s">
        <v>5</v>
      </c>
      <c r="N93" s="6" t="str">
        <f>Tab_Def_Flows[[#This Row],[Flow_ID]]&amp;"_WC"</f>
        <v>F_23_23_WC</v>
      </c>
      <c r="O93" s="135"/>
      <c r="P93" s="13"/>
      <c r="Q93" s="6" t="str">
        <f>Tab_Def_Flows[[#This Row],[Flow_ID]]&amp;"_DM"</f>
        <v>F_23_23_DM</v>
      </c>
      <c r="R93" s="135"/>
      <c r="S93" s="13"/>
      <c r="T93" s="6" t="str">
        <f>Tab_Def_Flows[[#This Row],[Flow_ID]]&amp;"_CC"</f>
        <v>F_23_23_CC</v>
      </c>
      <c r="U93" s="135"/>
      <c r="V93" s="13"/>
      <c r="W93" s="139">
        <f>Tab_Def_Flows[[#This Row],[Flow_CC_DM'[%']]]*Tab_Def_Flows[[#This Row],[Flow_DM'[%']]]</f>
        <v>0</v>
      </c>
      <c r="X93" s="7"/>
      <c r="Y93" s="194" t="b">
        <f>'0_Configuration'!$C$2</f>
        <v>1</v>
      </c>
      <c r="Z93" s="6"/>
      <c r="AA93" s="194" t="b">
        <f>'0_Configuration'!$C$6</f>
        <v>0</v>
      </c>
      <c r="AB93" s="6" t="s">
        <v>1224</v>
      </c>
      <c r="AC93" s="194" t="b">
        <f>'0_Configuration'!$C$10</f>
        <v>0</v>
      </c>
      <c r="AD93" s="6" t="s">
        <v>1224</v>
      </c>
      <c r="AE93" s="194" t="b">
        <f>'0_Configuration'!$C$17</f>
        <v>0</v>
      </c>
      <c r="AF93" s="6">
        <f>_xlfn.XLOOKUP(Tab_Def_Flows[[#This Row],[ODYM_Good_Type]],Tab_Configuration[Value],Tab_Configuration[ODYM_ID],,0,)</f>
        <v>0</v>
      </c>
      <c r="AG93" s="194" t="b">
        <f>'0_Configuration'!$C$24</f>
        <v>0</v>
      </c>
      <c r="AH93" s="6"/>
      <c r="AI93" s="194" t="b">
        <f>'0_Configuration'!$C$29</f>
        <v>1</v>
      </c>
      <c r="AJ93" s="6" t="s">
        <v>1238</v>
      </c>
      <c r="AK93" s="6" t="str">
        <f>IF(Tab_Def_Flows[[#This Row],[ODYM_time_(t)]],"t,","")&amp;IF(Tab_Def_Flows[[#This Row],[ODYM_Region_(r)]],"r,","")&amp;IF(Tab_Def_Flows[[#This Row],[ODYM_process_(p)]],"p,","")&amp;IF(Tab_Def_Flows[[#This Row],[ODYM_Good_(g)2]],"g,","")&amp;IF(Tab_Def_Flows[[#This Row],[ODYM_material_(m)]],"m,","")&amp;IF(Tab_Def_Flows[[#This Row],[ODYM_element_(e)]],"e","")</f>
        <v>t,e</v>
      </c>
      <c r="AL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38" x14ac:dyDescent="0.25">
      <c r="A94" s="142" t="b">
        <v>0</v>
      </c>
      <c r="B94" s="16">
        <f t="shared" si="22"/>
        <v>93</v>
      </c>
      <c r="C94" s="6" t="str">
        <f t="shared" si="23"/>
        <v>F_23_23</v>
      </c>
      <c r="D94" s="7"/>
      <c r="E94" s="138"/>
      <c r="F94" s="138"/>
      <c r="G94" s="6" t="str">
        <f>_xlfn.XLOOKUP(F94,Tab_Def_Processes[Process_Name],Tab_Def_Processes[Process_ID],,0,)</f>
        <v>23</v>
      </c>
      <c r="H94" s="138"/>
      <c r="I94" s="9" t="str">
        <f>_xlfn.XLOOKUP(H94,Tab_Def_Processes[Process_Name],Tab_Def_Processes[Process_ID],,0,)</f>
        <v>23</v>
      </c>
      <c r="J94" s="138" t="s">
        <v>5</v>
      </c>
      <c r="K94" s="138" t="s">
        <v>5</v>
      </c>
      <c r="L94" s="138"/>
      <c r="M94" s="138" t="s">
        <v>5</v>
      </c>
      <c r="N94" s="6" t="str">
        <f>Tab_Def_Flows[[#This Row],[Flow_ID]]&amp;"_WC"</f>
        <v>F_23_23_WC</v>
      </c>
      <c r="O94" s="135"/>
      <c r="P94" s="13"/>
      <c r="Q94" s="6" t="str">
        <f>Tab_Def_Flows[[#This Row],[Flow_ID]]&amp;"_DM"</f>
        <v>F_23_23_DM</v>
      </c>
      <c r="R94" s="135"/>
      <c r="S94" s="13"/>
      <c r="T94" s="6" t="str">
        <f>Tab_Def_Flows[[#This Row],[Flow_ID]]&amp;"_CC"</f>
        <v>F_23_23_CC</v>
      </c>
      <c r="U94" s="135"/>
      <c r="V94" s="13"/>
      <c r="W94" s="139">
        <f>Tab_Def_Flows[[#This Row],[Flow_CC_DM'[%']]]*Tab_Def_Flows[[#This Row],[Flow_DM'[%']]]</f>
        <v>0</v>
      </c>
      <c r="X94" s="7"/>
      <c r="Y94" s="194" t="b">
        <f>'0_Configuration'!$C$2</f>
        <v>1</v>
      </c>
      <c r="Z94" s="6"/>
      <c r="AA94" s="194" t="b">
        <f>'0_Configuration'!$C$6</f>
        <v>0</v>
      </c>
      <c r="AB94" s="6" t="s">
        <v>1224</v>
      </c>
      <c r="AC94" s="194" t="b">
        <f>'0_Configuration'!$C$10</f>
        <v>0</v>
      </c>
      <c r="AD94" s="6" t="s">
        <v>1224</v>
      </c>
      <c r="AE94" s="194" t="b">
        <f>'0_Configuration'!$C$17</f>
        <v>0</v>
      </c>
      <c r="AF94" s="6">
        <f>_xlfn.XLOOKUP(Tab_Def_Flows[[#This Row],[ODYM_Good_Type]],Tab_Configuration[Value],Tab_Configuration[ODYM_ID],,0,)</f>
        <v>0</v>
      </c>
      <c r="AG94" s="194" t="b">
        <f>'0_Configuration'!$C$24</f>
        <v>0</v>
      </c>
      <c r="AH94" s="6"/>
      <c r="AI94" s="194" t="b">
        <f>'0_Configuration'!$C$29</f>
        <v>1</v>
      </c>
      <c r="AJ94" s="6" t="s">
        <v>1238</v>
      </c>
      <c r="AK94" s="6" t="str">
        <f>IF(Tab_Def_Flows[[#This Row],[ODYM_time_(t)]],"t,","")&amp;IF(Tab_Def_Flows[[#This Row],[ODYM_Region_(r)]],"r,","")&amp;IF(Tab_Def_Flows[[#This Row],[ODYM_process_(p)]],"p,","")&amp;IF(Tab_Def_Flows[[#This Row],[ODYM_Good_(g)2]],"g,","")&amp;IF(Tab_Def_Flows[[#This Row],[ODYM_material_(m)]],"m,","")&amp;IF(Tab_Def_Flows[[#This Row],[ODYM_element_(e)]],"e","")</f>
        <v>t,e</v>
      </c>
      <c r="AL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5" spans="1:38" x14ac:dyDescent="0.25">
      <c r="A95" s="142" t="b">
        <v>0</v>
      </c>
      <c r="B95" s="16">
        <f t="shared" si="22"/>
        <v>94</v>
      </c>
      <c r="C95" s="6" t="str">
        <f t="shared" si="23"/>
        <v>F_23_23</v>
      </c>
      <c r="D95" s="7"/>
      <c r="E95" s="138"/>
      <c r="F95" s="138"/>
      <c r="G95" s="6" t="str">
        <f>_xlfn.XLOOKUP(F95,Tab_Def_Processes[Process_Name],Tab_Def_Processes[Process_ID],,0,)</f>
        <v>23</v>
      </c>
      <c r="H95" s="138"/>
      <c r="I95" s="9" t="str">
        <f>_xlfn.XLOOKUP(H95,Tab_Def_Processes[Process_Name],Tab_Def_Processes[Process_ID],,0,)</f>
        <v>23</v>
      </c>
      <c r="J95" s="138" t="s">
        <v>5</v>
      </c>
      <c r="K95" s="138" t="s">
        <v>5</v>
      </c>
      <c r="L95" s="138"/>
      <c r="M95" s="138" t="s">
        <v>5</v>
      </c>
      <c r="N95" s="6" t="str">
        <f>Tab_Def_Flows[[#This Row],[Flow_ID]]&amp;"_WC"</f>
        <v>F_23_23_WC</v>
      </c>
      <c r="O95" s="135"/>
      <c r="P95" s="13"/>
      <c r="Q95" s="6" t="str">
        <f>Tab_Def_Flows[[#This Row],[Flow_ID]]&amp;"_DM"</f>
        <v>F_23_23_DM</v>
      </c>
      <c r="R95" s="135"/>
      <c r="S95" s="13"/>
      <c r="T95" s="6" t="str">
        <f>Tab_Def_Flows[[#This Row],[Flow_ID]]&amp;"_CC"</f>
        <v>F_23_23_CC</v>
      </c>
      <c r="U95" s="135"/>
      <c r="V95" s="13"/>
      <c r="W95" s="139">
        <f>Tab_Def_Flows[[#This Row],[Flow_CC_DM'[%']]]*Tab_Def_Flows[[#This Row],[Flow_DM'[%']]]</f>
        <v>0</v>
      </c>
      <c r="X95" s="7"/>
      <c r="Y95" s="194" t="b">
        <f>'0_Configuration'!$C$2</f>
        <v>1</v>
      </c>
      <c r="Z95" s="6"/>
      <c r="AA95" s="194" t="b">
        <f>'0_Configuration'!$C$6</f>
        <v>0</v>
      </c>
      <c r="AB95" s="6" t="s">
        <v>1224</v>
      </c>
      <c r="AC95" s="194" t="b">
        <f>'0_Configuration'!$C$10</f>
        <v>0</v>
      </c>
      <c r="AD95" s="6" t="s">
        <v>1224</v>
      </c>
      <c r="AE95" s="194" t="b">
        <f>'0_Configuration'!$C$17</f>
        <v>0</v>
      </c>
      <c r="AF95" s="6">
        <f>_xlfn.XLOOKUP(Tab_Def_Flows[[#This Row],[ODYM_Good_Type]],Tab_Configuration[Value],Tab_Configuration[ODYM_ID],,0,)</f>
        <v>0</v>
      </c>
      <c r="AG95" s="194" t="b">
        <f>'0_Configuration'!$C$24</f>
        <v>0</v>
      </c>
      <c r="AH95" s="6"/>
      <c r="AI95" s="194" t="b">
        <f>'0_Configuration'!$C$29</f>
        <v>1</v>
      </c>
      <c r="AJ95" s="6" t="s">
        <v>1238</v>
      </c>
      <c r="AK95" s="6" t="str">
        <f>IF(Tab_Def_Flows[[#This Row],[ODYM_time_(t)]],"t,","")&amp;IF(Tab_Def_Flows[[#This Row],[ODYM_Region_(r)]],"r,","")&amp;IF(Tab_Def_Flows[[#This Row],[ODYM_process_(p)]],"p,","")&amp;IF(Tab_Def_Flows[[#This Row],[ODYM_Good_(g)2]],"g,","")&amp;IF(Tab_Def_Flows[[#This Row],[ODYM_material_(m)]],"m,","")&amp;IF(Tab_Def_Flows[[#This Row],[ODYM_element_(e)]],"e","")</f>
        <v>t,e</v>
      </c>
      <c r="AL9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6" spans="1:38" x14ac:dyDescent="0.25">
      <c r="A96" s="142" t="b">
        <v>0</v>
      </c>
      <c r="B96" s="16">
        <f t="shared" si="22"/>
        <v>95</v>
      </c>
      <c r="C96" s="6" t="str">
        <f t="shared" si="23"/>
        <v>F__</v>
      </c>
      <c r="D96" s="7" t="s">
        <v>8</v>
      </c>
      <c r="E96" s="138"/>
      <c r="F96" s="138"/>
      <c r="G96" s="6"/>
      <c r="H96" s="138"/>
      <c r="I96" s="9"/>
      <c r="J96" s="138" t="s">
        <v>5</v>
      </c>
      <c r="K96" s="138" t="s">
        <v>5</v>
      </c>
      <c r="L96" s="138"/>
      <c r="M96" s="138" t="s">
        <v>5</v>
      </c>
      <c r="N96" s="6" t="str">
        <f>Tab_Def_Flows[[#This Row],[Flow_ID]]&amp;"_WC"</f>
        <v>F___WC</v>
      </c>
      <c r="O96" s="135"/>
      <c r="P96" s="13"/>
      <c r="Q96" s="6" t="str">
        <f>Tab_Def_Flows[[#This Row],[Flow_ID]]&amp;"_DM"</f>
        <v>F___DM</v>
      </c>
      <c r="R96" s="135"/>
      <c r="S96" s="13"/>
      <c r="T96" s="6" t="str">
        <f>Tab_Def_Flows[[#This Row],[Flow_ID]]&amp;"_CC"</f>
        <v>F___CC</v>
      </c>
      <c r="U96" s="135"/>
      <c r="V96" s="13"/>
      <c r="W96" s="139">
        <f>Tab_Def_Flows[[#This Row],[Flow_CC_DM'[%']]]*Tab_Def_Flows[[#This Row],[Flow_DM'[%']]]</f>
        <v>0</v>
      </c>
      <c r="X96" s="7"/>
      <c r="Y96" s="194" t="b">
        <f>'0_Configuration'!$C$2</f>
        <v>1</v>
      </c>
      <c r="Z96" s="6"/>
      <c r="AA96" s="194" t="b">
        <f>'0_Configuration'!$C$6</f>
        <v>0</v>
      </c>
      <c r="AB96" s="6" t="s">
        <v>1224</v>
      </c>
      <c r="AC96" s="194" t="b">
        <f>'0_Configuration'!$C$10</f>
        <v>0</v>
      </c>
      <c r="AD96" s="6" t="s">
        <v>1224</v>
      </c>
      <c r="AE96" s="194" t="b">
        <f>'0_Configuration'!$C$17</f>
        <v>0</v>
      </c>
      <c r="AF96" s="6">
        <f>_xlfn.XLOOKUP(Tab_Def_Flows[[#This Row],[ODYM_Good_Type]],Tab_Configuration[Value],Tab_Configuration[ODYM_ID],,0,)</f>
        <v>0</v>
      </c>
      <c r="AG96" s="194" t="b">
        <f>'0_Configuration'!$C$24</f>
        <v>0</v>
      </c>
      <c r="AH96" s="6"/>
      <c r="AI96" s="194" t="b">
        <f>'0_Configuration'!$C$29</f>
        <v>1</v>
      </c>
      <c r="AJ96" s="6" t="s">
        <v>1238</v>
      </c>
      <c r="AK96" s="6" t="str">
        <f>IF(Tab_Def_Flows[[#This Row],[ODYM_time_(t)]],"t,","")&amp;IF(Tab_Def_Flows[[#This Row],[ODYM_Region_(r)]],"r,","")&amp;IF(Tab_Def_Flows[[#This Row],[ODYM_process_(p)]],"p,","")&amp;IF(Tab_Def_Flows[[#This Row],[ODYM_Good_(g)2]],"g,","")&amp;IF(Tab_Def_Flows[[#This Row],[ODYM_material_(m)]],"m,","")&amp;IF(Tab_Def_Flows[[#This Row],[ODYM_element_(e)]],"e","")</f>
        <v>t,e</v>
      </c>
      <c r="AL9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58C2CFA-06E6-4D5F-BA0E-D718BD14A466}">
          <x14:formula1>
            <xm:f>'2_1_Definition_Processes'!$D$2:$D$47</xm:f>
          </x14:formula1>
          <xm:sqref>F2:F96 H2:H96</xm:sqref>
        </x14:dataValidation>
        <x14:dataValidation type="list" allowBlank="1" showInputMessage="1" showErrorMessage="1" xr:uid="{CB86BBCA-BDCE-4D1A-8B11-508B05897210}">
          <x14:formula1>
            <xm:f>'7_2_Codelists'!$B$3:$B$4</xm:f>
          </x14:formula1>
          <xm:sqref>J2:M96</xm:sqref>
        </x14:dataValidation>
        <x14:dataValidation type="list" allowBlank="1" showInputMessage="1" showErrorMessage="1" xr:uid="{4AD812CF-0290-4F19-8FF8-9598289F4519}">
          <x14:formula1>
            <xm:f>'0_Configuration'!$C$18:$C$23</xm:f>
          </x14:formula1>
          <xm:sqref>E2:E96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K55" sqref="K55"/>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419</v>
      </c>
      <c r="D1" s="141" t="s">
        <v>27</v>
      </c>
      <c r="E1" s="141" t="s">
        <v>29</v>
      </c>
      <c r="F1" s="141" t="s">
        <v>28</v>
      </c>
      <c r="G1" s="141" t="s">
        <v>408</v>
      </c>
      <c r="H1" s="141" t="s">
        <v>409</v>
      </c>
      <c r="I1" s="141" t="s">
        <v>21</v>
      </c>
      <c r="J1" s="141" t="s">
        <v>490</v>
      </c>
      <c r="K1" s="141" t="s">
        <v>462</v>
      </c>
      <c r="L1" s="141" t="s">
        <v>491</v>
      </c>
      <c r="M1" s="141" t="s">
        <v>492</v>
      </c>
      <c r="N1" s="141" t="s">
        <v>493</v>
      </c>
      <c r="O1" s="141" t="s">
        <v>18</v>
      </c>
      <c r="P1" s="141" t="s">
        <v>19</v>
      </c>
      <c r="Q1" s="141" t="s">
        <v>20</v>
      </c>
      <c r="R1" s="141" t="s">
        <v>411</v>
      </c>
      <c r="S1" s="141" t="s">
        <v>410</v>
      </c>
      <c r="T1" s="141" t="s">
        <v>22</v>
      </c>
      <c r="U1" s="141" t="s">
        <v>30</v>
      </c>
      <c r="V1" s="141" t="s">
        <v>412</v>
      </c>
      <c r="W1" s="141" t="s">
        <v>35</v>
      </c>
      <c r="X1" s="141" t="s">
        <v>38</v>
      </c>
      <c r="Y1" s="141" t="s">
        <v>32</v>
      </c>
      <c r="Z1" s="141" t="s">
        <v>413</v>
      </c>
      <c r="AA1" s="141" t="s">
        <v>418</v>
      </c>
      <c r="AB1" s="141" t="s">
        <v>37</v>
      </c>
      <c r="AC1" s="141" t="s">
        <v>34</v>
      </c>
      <c r="AD1" s="141" t="s">
        <v>414</v>
      </c>
      <c r="AE1" s="141" t="s">
        <v>39</v>
      </c>
      <c r="AF1" s="141" t="s">
        <v>36</v>
      </c>
      <c r="AG1"/>
    </row>
    <row r="2" spans="1:33" x14ac:dyDescent="0.25">
      <c r="A2" s="8">
        <f>ROW()-1</f>
        <v>1</v>
      </c>
      <c r="B2" s="6" t="str">
        <f>_xlfn.XLOOKUP(C2,Tab_Def_Flows[Flow_Name],Tab_Def_Flows[Flow_ID],,0,)</f>
        <v>F_01_02</v>
      </c>
      <c r="C2" s="138" t="s">
        <v>1106</v>
      </c>
      <c r="D2" s="9" t="str">
        <f>_xlfn.XLOOKUP(C2,Tab_Def_Flows[Flow_Name],Tab_Def_Flows[WC?],,0,)</f>
        <v>Yes</v>
      </c>
      <c r="E2" s="9" t="str">
        <f>_xlfn.XLOOKUP(C2,Tab_Def_Flows[Flow_Name],Tab_Def_Flows[DM?],,0,)</f>
        <v>Yes</v>
      </c>
      <c r="F2" s="9" t="str">
        <f>_xlfn.XLOOKUP(C2,Tab_Def_Flows[Flow_Name],Tab_Def_Flows[CC?],,0,)</f>
        <v>Yes</v>
      </c>
      <c r="G2" s="188">
        <v>2025</v>
      </c>
      <c r="H2" s="189">
        <v>496713.11494736851</v>
      </c>
      <c r="I2" s="6" t="str">
        <f>'0_Configuration'!$C$35</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t="str">
        <f>INDEX(Tab_Def_Flows[[Flow_ID]:[CC_DM_source]],MATCH(Tab_Data_Flows[[#This Row],[Flow_Name]],Tab_Def_Flows[Flow_Name],0),11)</f>
        <v>Yes</v>
      </c>
      <c r="V2" s="6" t="str">
        <f>Tab_Data_Flows[[#This Row],[Flow_ID]]&amp;"_"&amp;"WC_"&amp;Tab_Data_Flows[[#This Row],[Flow_Data_Year]]</f>
        <v>F_01_02_WC_2025</v>
      </c>
      <c r="W2" s="6" t="e">
        <f>IF(D2="Yes",S2*Tab_Data_Flows[[#This Row],[WC_'[%']]],"N.A.")</f>
        <v>#VALUE!</v>
      </c>
      <c r="X2" s="6" t="str">
        <f>Tab_Data_Flows[[#This Row],[UoM_Flow_Py]]</f>
        <v>Mg</v>
      </c>
      <c r="Y2" s="139">
        <f>INDEX(Tab_Def_Flows[[Flow_ID]:[CC_DM_source]],MATCH(Tab_Data_Flows[[#This Row],[Flow_Name]],Tab_Def_Flows[Flow_Name],0),14)</f>
        <v>0</v>
      </c>
      <c r="Z2" s="6" t="str">
        <f>Tab_Data_Flows[[#This Row],[Flow_ID]]&amp;"_"&amp;"DM_"&amp;Tab_Data_Flows[[#This Row],[Flow_Data_Year]]</f>
        <v>F_01_02_DM_2025</v>
      </c>
      <c r="AA2" s="6">
        <f>IF(E2="Yes",Y2*Tab_Data_Flows[[#This Row],[Flow_Material]],"N.A.")</f>
        <v>0</v>
      </c>
      <c r="AB2" s="6" t="str">
        <f>Tab_Data_Flows[[#This Row],[UoM_Flow_Py]]</f>
        <v>Mg</v>
      </c>
      <c r="AC2" s="139">
        <f>INDEX(Tab_Def_Flows[[Flow_ID]:[CC_DM_source]],MATCH(Tab_Data_Flows[[#This Row],[Flow_Name]],Tab_Def_Flows[Flow_Name],0),17)</f>
        <v>0</v>
      </c>
      <c r="AD2" s="6" t="str">
        <f>Tab_Data_Flows[[#This Row],[Flow_ID]]&amp;"_"&amp;"CC_"&amp;Tab_Data_Flows[[#This Row],[Flow_Data_Year]]</f>
        <v>F_01_02_CC_2025</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F_01_02</v>
      </c>
      <c r="C3" s="138" t="s">
        <v>1106</v>
      </c>
      <c r="D3" s="9" t="str">
        <f>_xlfn.XLOOKUP(C3,Tab_Def_Flows[Flow_Name],Tab_Def_Flows[WC?],,0,)</f>
        <v>Yes</v>
      </c>
      <c r="E3" s="9" t="str">
        <f>_xlfn.XLOOKUP(C3,Tab_Def_Flows[Flow_Name],Tab_Def_Flows[DM?],,0,)</f>
        <v>Yes</v>
      </c>
      <c r="F3" s="9" t="str">
        <f>_xlfn.XLOOKUP(C3,Tab_Def_Flows[Flow_Name],Tab_Def_Flows[CC?],,0,)</f>
        <v>Yes</v>
      </c>
      <c r="G3" s="188">
        <v>2026</v>
      </c>
      <c r="H3" s="189">
        <v>418626.99789473688</v>
      </c>
      <c r="I3" s="6" t="str">
        <f>'0_Configuration'!$C$35</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t="str">
        <f>INDEX(Tab_Def_Flows[[Flow_ID]:[CC_DM_source]],MATCH(Tab_Data_Flows[[#This Row],[Flow_Name]],Tab_Def_Flows[Flow_Name],0),11)</f>
        <v>Yes</v>
      </c>
      <c r="V3" s="6" t="str">
        <f>Tab_Data_Flows[[#This Row],[Flow_ID]]&amp;"_"&amp;"WC_"&amp;Tab_Data_Flows[[#This Row],[Flow_Data_Year]]</f>
        <v>F_01_02_WC_2026</v>
      </c>
      <c r="W3" s="6" t="e">
        <f>IF(D3="Yes",S3*Tab_Data_Flows[[#This Row],[WC_'[%']]],"N.A.")</f>
        <v>#VALUE!</v>
      </c>
      <c r="X3" s="6" t="str">
        <f>Tab_Data_Flows[[#This Row],[UoM_Flow_Py]]</f>
        <v>Mg</v>
      </c>
      <c r="Y3" s="139">
        <f>INDEX(Tab_Def_Flows[[Flow_ID]:[CC_DM_source]],MATCH(Tab_Data_Flows[[#This Row],[Flow_Name]],Tab_Def_Flows[Flow_Name],0),14)</f>
        <v>0</v>
      </c>
      <c r="Z3" s="6" t="str">
        <f>Tab_Data_Flows[[#This Row],[Flow_ID]]&amp;"_"&amp;"DM_"&amp;Tab_Data_Flows[[#This Row],[Flow_Data_Year]]</f>
        <v>F_01_02_DM_2026</v>
      </c>
      <c r="AA3" s="6">
        <f>IF(E3="Yes",Y3*Tab_Data_Flows[[#This Row],[Flow_Material]],"N.A.")</f>
        <v>0</v>
      </c>
      <c r="AB3" s="6" t="str">
        <f>Tab_Data_Flows[[#This Row],[UoM_Flow_Py]]</f>
        <v>Mg</v>
      </c>
      <c r="AC3" s="139">
        <f>INDEX(Tab_Def_Flows[[Flow_ID]:[CC_DM_source]],MATCH(Tab_Data_Flows[[#This Row],[Flow_Name]],Tab_Def_Flows[Flow_Name],0),17)</f>
        <v>0</v>
      </c>
      <c r="AD3" s="6" t="str">
        <f>Tab_Data_Flows[[#This Row],[Flow_ID]]&amp;"_"&amp;"CC_"&amp;Tab_Data_Flows[[#This Row],[Flow_Data_Year]]</f>
        <v>F_01_02_CC_2026</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F_01_02</v>
      </c>
      <c r="C4" s="138" t="s">
        <v>1106</v>
      </c>
      <c r="D4" s="9" t="str">
        <f>_xlfn.XLOOKUP(C4,Tab_Def_Flows[Flow_Name],Tab_Def_Flows[WC?],,0,)</f>
        <v>Yes</v>
      </c>
      <c r="E4" s="9" t="str">
        <f>_xlfn.XLOOKUP(C4,Tab_Def_Flows[Flow_Name],Tab_Def_Flows[DM?],,0,)</f>
        <v>Yes</v>
      </c>
      <c r="F4" s="9" t="str">
        <f>_xlfn.XLOOKUP(C4,Tab_Def_Flows[Flow_Name],Tab_Def_Flows[CC?],,0,)</f>
        <v>Yes</v>
      </c>
      <c r="G4" s="188">
        <v>2027</v>
      </c>
      <c r="H4" s="189">
        <v>515279.55536842102</v>
      </c>
      <c r="I4" s="6" t="str">
        <f>'0_Configuration'!$C$35</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t="str">
        <f>INDEX(Tab_Def_Flows[[Flow_ID]:[CC_DM_source]],MATCH(Tab_Data_Flows[[#This Row],[Flow_Name]],Tab_Def_Flows[Flow_Name],0),11)</f>
        <v>Yes</v>
      </c>
      <c r="V4" s="6" t="str">
        <f>Tab_Data_Flows[[#This Row],[Flow_ID]]&amp;"_"&amp;"WC_"&amp;Tab_Data_Flows[[#This Row],[Flow_Data_Year]]</f>
        <v>F_01_02_WC_2027</v>
      </c>
      <c r="W4" s="6" t="e">
        <f>IF(D4="Yes",S4*Tab_Data_Flows[[#This Row],[WC_'[%']]],"N.A.")</f>
        <v>#VALUE!</v>
      </c>
      <c r="X4" s="6" t="str">
        <f>Tab_Data_Flows[[#This Row],[UoM_Flow_Py]]</f>
        <v>Mg</v>
      </c>
      <c r="Y4" s="139">
        <f>INDEX(Tab_Def_Flows[[Flow_ID]:[CC_DM_source]],MATCH(Tab_Data_Flows[[#This Row],[Flow_Name]],Tab_Def_Flows[Flow_Name],0),14)</f>
        <v>0</v>
      </c>
      <c r="Z4" s="6" t="str">
        <f>Tab_Data_Flows[[#This Row],[Flow_ID]]&amp;"_"&amp;"DM_"&amp;Tab_Data_Flows[[#This Row],[Flow_Data_Year]]</f>
        <v>F_01_02_DM_2027</v>
      </c>
      <c r="AA4" s="6">
        <f>IF(E4="Yes",Y4*Tab_Data_Flows[[#This Row],[Flow_Material]],"N.A.")</f>
        <v>0</v>
      </c>
      <c r="AB4" s="6" t="str">
        <f>Tab_Data_Flows[[#This Row],[UoM_Flow_Py]]</f>
        <v>Mg</v>
      </c>
      <c r="AC4" s="139">
        <f>INDEX(Tab_Def_Flows[[Flow_ID]:[CC_DM_source]],MATCH(Tab_Data_Flows[[#This Row],[Flow_Name]],Tab_Def_Flows[Flow_Name],0),17)</f>
        <v>0</v>
      </c>
      <c r="AD4" s="6" t="str">
        <f>Tab_Data_Flows[[#This Row],[Flow_ID]]&amp;"_"&amp;"CC_"&amp;Tab_Data_Flows[[#This Row],[Flow_Data_Year]]</f>
        <v>F_01_02_CC_2027</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F_01_02</v>
      </c>
      <c r="C5" s="138" t="s">
        <v>1106</v>
      </c>
      <c r="D5" s="9" t="str">
        <f>_xlfn.XLOOKUP(C5,Tab_Def_Flows[Flow_Name],Tab_Def_Flows[WC?],,0,)</f>
        <v>Yes</v>
      </c>
      <c r="E5" s="9" t="str">
        <f>_xlfn.XLOOKUP(C5,Tab_Def_Flows[Flow_Name],Tab_Def_Flows[DM?],,0,)</f>
        <v>Yes</v>
      </c>
      <c r="F5" s="9" t="str">
        <f>_xlfn.XLOOKUP(C5,Tab_Def_Flows[Flow_Name],Tab_Def_Flows[CC?],,0,)</f>
        <v>Yes</v>
      </c>
      <c r="G5" s="188">
        <v>2028</v>
      </c>
      <c r="H5" s="189">
        <v>622924.75957894733</v>
      </c>
      <c r="I5" s="6" t="str">
        <f>'0_Configuration'!$C$35</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t="str">
        <f>INDEX(Tab_Def_Flows[[Flow_ID]:[CC_DM_source]],MATCH(Tab_Data_Flows[[#This Row],[Flow_Name]],Tab_Def_Flows[Flow_Name],0),11)</f>
        <v>Yes</v>
      </c>
      <c r="V5" s="6" t="str">
        <f>Tab_Data_Flows[[#This Row],[Flow_ID]]&amp;"_"&amp;"WC_"&amp;Tab_Data_Flows[[#This Row],[Flow_Data_Year]]</f>
        <v>F_01_02_WC_2028</v>
      </c>
      <c r="W5" s="6" t="e">
        <f>IF(D5="Yes",S5*Tab_Data_Flows[[#This Row],[WC_'[%']]],"N.A.")</f>
        <v>#VALUE!</v>
      </c>
      <c r="X5" s="6" t="str">
        <f>Tab_Data_Flows[[#This Row],[UoM_Flow_Py]]</f>
        <v>Mg</v>
      </c>
      <c r="Y5" s="139">
        <f>INDEX(Tab_Def_Flows[[Flow_ID]:[CC_DM_source]],MATCH(Tab_Data_Flows[[#This Row],[Flow_Name]],Tab_Def_Flows[Flow_Name],0),14)</f>
        <v>0</v>
      </c>
      <c r="Z5" s="6" t="str">
        <f>Tab_Data_Flows[[#This Row],[Flow_ID]]&amp;"_"&amp;"DM_"&amp;Tab_Data_Flows[[#This Row],[Flow_Data_Year]]</f>
        <v>F_01_02_DM_2028</v>
      </c>
      <c r="AA5" s="6">
        <f>IF(E5="Yes",Y5*Tab_Data_Flows[[#This Row],[Flow_Material]],"N.A.")</f>
        <v>0</v>
      </c>
      <c r="AB5" s="6" t="str">
        <f>Tab_Data_Flows[[#This Row],[UoM_Flow_Py]]</f>
        <v>Mg</v>
      </c>
      <c r="AC5" s="139">
        <f>INDEX(Tab_Def_Flows[[Flow_ID]:[CC_DM_source]],MATCH(Tab_Data_Flows[[#This Row],[Flow_Name]],Tab_Def_Flows[Flow_Name],0),17)</f>
        <v>0</v>
      </c>
      <c r="AD5" s="6" t="str">
        <f>Tab_Data_Flows[[#This Row],[Flow_ID]]&amp;"_"&amp;"CC_"&amp;Tab_Data_Flows[[#This Row],[Flow_Data_Year]]</f>
        <v>F_01_02_CC_2028</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F_01_02</v>
      </c>
      <c r="C6" s="138" t="s">
        <v>1106</v>
      </c>
      <c r="D6" s="9" t="str">
        <f>_xlfn.XLOOKUP(C6,Tab_Def_Flows[Flow_Name],Tab_Def_Flows[WC?],,0,)</f>
        <v>Yes</v>
      </c>
      <c r="E6" s="9" t="str">
        <f>_xlfn.XLOOKUP(C6,Tab_Def_Flows[Flow_Name],Tab_Def_Flows[DM?],,0,)</f>
        <v>Yes</v>
      </c>
      <c r="F6" s="9" t="str">
        <f>_xlfn.XLOOKUP(C6,Tab_Def_Flows[Flow_Name],Tab_Def_Flows[CC?],,0,)</f>
        <v>Yes</v>
      </c>
      <c r="G6" s="188">
        <v>2029</v>
      </c>
      <c r="H6" s="189">
        <v>406837.42989473685</v>
      </c>
      <c r="I6" s="6" t="str">
        <f>'0_Configuration'!$C$35</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t="str">
        <f>INDEX(Tab_Def_Flows[[Flow_ID]:[CC_DM_source]],MATCH(Tab_Data_Flows[[#This Row],[Flow_Name]],Tab_Def_Flows[Flow_Name],0),11)</f>
        <v>Yes</v>
      </c>
      <c r="V6" s="6" t="str">
        <f>Tab_Data_Flows[[#This Row],[Flow_ID]]&amp;"_"&amp;"WC_"&amp;Tab_Data_Flows[[#This Row],[Flow_Data_Year]]</f>
        <v>F_01_02_WC_2029</v>
      </c>
      <c r="W6" s="6" t="e">
        <f>IF(D6="Yes",S6*Tab_Data_Flows[[#This Row],[WC_'[%']]],"N.A.")</f>
        <v>#VALUE!</v>
      </c>
      <c r="X6" s="6" t="str">
        <f>Tab_Data_Flows[[#This Row],[UoM_Flow_Py]]</f>
        <v>Mg</v>
      </c>
      <c r="Y6" s="139">
        <f>INDEX(Tab_Def_Flows[[Flow_ID]:[CC_DM_source]],MATCH(Tab_Data_Flows[[#This Row],[Flow_Name]],Tab_Def_Flows[Flow_Name],0),14)</f>
        <v>0</v>
      </c>
      <c r="Z6" s="6" t="str">
        <f>Tab_Data_Flows[[#This Row],[Flow_ID]]&amp;"_"&amp;"DM_"&amp;Tab_Data_Flows[[#This Row],[Flow_Data_Year]]</f>
        <v>F_01_02_DM_2029</v>
      </c>
      <c r="AA6" s="6">
        <f>IF(E6="Yes",Y6*Tab_Data_Flows[[#This Row],[Flow_Material]],"N.A.")</f>
        <v>0</v>
      </c>
      <c r="AB6" s="6" t="str">
        <f>Tab_Data_Flows[[#This Row],[UoM_Flow_Py]]</f>
        <v>Mg</v>
      </c>
      <c r="AC6" s="139">
        <f>INDEX(Tab_Def_Flows[[Flow_ID]:[CC_DM_source]],MATCH(Tab_Data_Flows[[#This Row],[Flow_Name]],Tab_Def_Flows[Flow_Name],0),17)</f>
        <v>0</v>
      </c>
      <c r="AD6" s="6" t="str">
        <f>Tab_Data_Flows[[#This Row],[Flow_ID]]&amp;"_"&amp;"CC_"&amp;Tab_Data_Flows[[#This Row],[Flow_Data_Year]]</f>
        <v>F_01_02_CC_2029</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F_01_02</v>
      </c>
      <c r="C7" s="138" t="s">
        <v>1106</v>
      </c>
      <c r="D7" s="9" t="str">
        <f>_xlfn.XLOOKUP(C7,Tab_Def_Flows[Flow_Name],Tab_Def_Flows[WC?],,0,)</f>
        <v>Yes</v>
      </c>
      <c r="E7" s="9" t="str">
        <f>_xlfn.XLOOKUP(C7,Tab_Def_Flows[Flow_Name],Tab_Def_Flows[DM?],,0,)</f>
        <v>Yes</v>
      </c>
      <c r="F7" s="9" t="str">
        <f>_xlfn.XLOOKUP(C7,Tab_Def_Flows[Flow_Name],Tab_Def_Flows[CC?],,0,)</f>
        <v>Yes</v>
      </c>
      <c r="G7" s="188">
        <v>2030</v>
      </c>
      <c r="H7" s="189">
        <v>406837.42989473685</v>
      </c>
      <c r="I7" s="6" t="str">
        <f>'0_Configuration'!$C$35</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t="str">
        <f>INDEX(Tab_Def_Flows[[Flow_ID]:[CC_DM_source]],MATCH(Tab_Data_Flows[[#This Row],[Flow_Name]],Tab_Def_Flows[Flow_Name],0),11)</f>
        <v>Yes</v>
      </c>
      <c r="V7" s="6" t="str">
        <f>Tab_Data_Flows[[#This Row],[Flow_ID]]&amp;"_"&amp;"WC_"&amp;Tab_Data_Flows[[#This Row],[Flow_Data_Year]]</f>
        <v>F_01_02_WC_2030</v>
      </c>
      <c r="W7" s="6" t="e">
        <f>IF(D7="Yes",S7*Tab_Data_Flows[[#This Row],[WC_'[%']]],"N.A.")</f>
        <v>#VALUE!</v>
      </c>
      <c r="X7" s="6" t="str">
        <f>Tab_Data_Flows[[#This Row],[UoM_Flow_Py]]</f>
        <v>Mg</v>
      </c>
      <c r="Y7" s="139">
        <f>INDEX(Tab_Def_Flows[[Flow_ID]:[CC_DM_source]],MATCH(Tab_Data_Flows[[#This Row],[Flow_Name]],Tab_Def_Flows[Flow_Name],0),14)</f>
        <v>0</v>
      </c>
      <c r="Z7" s="6" t="str">
        <f>Tab_Data_Flows[[#This Row],[Flow_ID]]&amp;"_"&amp;"DM_"&amp;Tab_Data_Flows[[#This Row],[Flow_Data_Year]]</f>
        <v>F_01_02_DM_2030</v>
      </c>
      <c r="AA7" s="6">
        <f>IF(E7="Yes",Y7*Tab_Data_Flows[[#This Row],[Flow_Material]],"N.A.")</f>
        <v>0</v>
      </c>
      <c r="AB7" s="6" t="str">
        <f>Tab_Data_Flows[[#This Row],[UoM_Flow_Py]]</f>
        <v>Mg</v>
      </c>
      <c r="AC7" s="139">
        <f>INDEX(Tab_Def_Flows[[Flow_ID]:[CC_DM_source]],MATCH(Tab_Data_Flows[[#This Row],[Flow_Name]],Tab_Def_Flows[Flow_Name],0),17)</f>
        <v>0</v>
      </c>
      <c r="AD7" s="6" t="str">
        <f>Tab_Data_Flows[[#This Row],[Flow_ID]]&amp;"_"&amp;"CC_"&amp;Tab_Data_Flows[[#This Row],[Flow_Data_Year]]</f>
        <v>F_01_02_CC_2030</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F_01_02</v>
      </c>
      <c r="C8" s="138" t="s">
        <v>1106</v>
      </c>
      <c r="D8" s="9" t="str">
        <f>_xlfn.XLOOKUP(C8,Tab_Def_Flows[Flow_Name],Tab_Def_Flows[WC?],,0,)</f>
        <v>Yes</v>
      </c>
      <c r="E8" s="9" t="str">
        <f>_xlfn.XLOOKUP(C8,Tab_Def_Flows[Flow_Name],Tab_Def_Flows[DM?],,0,)</f>
        <v>Yes</v>
      </c>
      <c r="F8" s="9" t="str">
        <f>_xlfn.XLOOKUP(C8,Tab_Def_Flows[Flow_Name],Tab_Def_Flows[CC?],,0,)</f>
        <v>Yes</v>
      </c>
      <c r="G8" s="188">
        <v>2031</v>
      </c>
      <c r="H8" s="189">
        <v>629829.38273684203</v>
      </c>
      <c r="I8" s="6" t="str">
        <f>'0_Configuration'!$C$35</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t="str">
        <f>INDEX(Tab_Def_Flows[[Flow_ID]:[CC_DM_source]],MATCH(Tab_Data_Flows[[#This Row],[Flow_Name]],Tab_Def_Flows[Flow_Name],0),11)</f>
        <v>Yes</v>
      </c>
      <c r="V8" s="6" t="str">
        <f>Tab_Data_Flows[[#This Row],[Flow_ID]]&amp;"_"&amp;"WC_"&amp;Tab_Data_Flows[[#This Row],[Flow_Data_Year]]</f>
        <v>F_01_02_WC_2031</v>
      </c>
      <c r="W8" s="6" t="e">
        <f>IF(D8="Yes",S8*Tab_Data_Flows[[#This Row],[WC_'[%']]],"N.A.")</f>
        <v>#VALUE!</v>
      </c>
      <c r="X8" s="6" t="str">
        <f>Tab_Data_Flows[[#This Row],[UoM_Flow_Py]]</f>
        <v>Mg</v>
      </c>
      <c r="Y8" s="139">
        <f>INDEX(Tab_Def_Flows[[Flow_ID]:[CC_DM_source]],MATCH(Tab_Data_Flows[[#This Row],[Flow_Name]],Tab_Def_Flows[Flow_Name],0),14)</f>
        <v>0</v>
      </c>
      <c r="Z8" s="6" t="str">
        <f>Tab_Data_Flows[[#This Row],[Flow_ID]]&amp;"_"&amp;"DM_"&amp;Tab_Data_Flows[[#This Row],[Flow_Data_Year]]</f>
        <v>F_01_02_DM_2031</v>
      </c>
      <c r="AA8" s="6">
        <f>IF(E8="Yes",Y8*Tab_Data_Flows[[#This Row],[Flow_Material]],"N.A.")</f>
        <v>0</v>
      </c>
      <c r="AB8" s="6" t="str">
        <f>Tab_Data_Flows[[#This Row],[UoM_Flow_Py]]</f>
        <v>Mg</v>
      </c>
      <c r="AC8" s="139">
        <f>INDEX(Tab_Def_Flows[[Flow_ID]:[CC_DM_source]],MATCH(Tab_Data_Flows[[#This Row],[Flow_Name]],Tab_Def_Flows[Flow_Name],0),17)</f>
        <v>0</v>
      </c>
      <c r="AD8" s="6" t="str">
        <f>Tab_Data_Flows[[#This Row],[Flow_ID]]&amp;"_"&amp;"CC_"&amp;Tab_Data_Flows[[#This Row],[Flow_Data_Year]]</f>
        <v>F_01_02_CC_2031</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F_01_02</v>
      </c>
      <c r="C9" s="138" t="s">
        <v>1106</v>
      </c>
      <c r="D9" s="9" t="str">
        <f>_xlfn.XLOOKUP(C9,Tab_Def_Flows[Flow_Name],Tab_Def_Flows[WC?],,0,)</f>
        <v>Yes</v>
      </c>
      <c r="E9" s="9" t="str">
        <f>_xlfn.XLOOKUP(C9,Tab_Def_Flows[Flow_Name],Tab_Def_Flows[DM?],,0,)</f>
        <v>Yes</v>
      </c>
      <c r="F9" s="9" t="str">
        <f>_xlfn.XLOOKUP(C9,Tab_Def_Flows[Flow_Name],Tab_Def_Flows[CC?],,0,)</f>
        <v>Yes</v>
      </c>
      <c r="G9" s="188">
        <v>2032</v>
      </c>
      <c r="H9" s="189">
        <v>530001.30694736843</v>
      </c>
      <c r="I9" s="6" t="str">
        <f>'0_Configuration'!$C$35</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t="str">
        <f>INDEX(Tab_Def_Flows[[Flow_ID]:[CC_DM_source]],MATCH(Tab_Data_Flows[[#This Row],[Flow_Name]],Tab_Def_Flows[Flow_Name],0),11)</f>
        <v>Yes</v>
      </c>
      <c r="V9" s="6" t="str">
        <f>Tab_Data_Flows[[#This Row],[Flow_ID]]&amp;"_"&amp;"WC_"&amp;Tab_Data_Flows[[#This Row],[Flow_Data_Year]]</f>
        <v>F_01_02_WC_2032</v>
      </c>
      <c r="W9" s="6" t="e">
        <f>IF(D9="Yes",S9*Tab_Data_Flows[[#This Row],[WC_'[%']]],"N.A.")</f>
        <v>#VALUE!</v>
      </c>
      <c r="X9" s="6" t="str">
        <f>Tab_Data_Flows[[#This Row],[UoM_Flow_Py]]</f>
        <v>Mg</v>
      </c>
      <c r="Y9" s="139">
        <f>INDEX(Tab_Def_Flows[[Flow_ID]:[CC_DM_source]],MATCH(Tab_Data_Flows[[#This Row],[Flow_Name]],Tab_Def_Flows[Flow_Name],0),14)</f>
        <v>0</v>
      </c>
      <c r="Z9" s="6" t="str">
        <f>Tab_Data_Flows[[#This Row],[Flow_ID]]&amp;"_"&amp;"DM_"&amp;Tab_Data_Flows[[#This Row],[Flow_Data_Year]]</f>
        <v>F_01_02_DM_2032</v>
      </c>
      <c r="AA9" s="6">
        <f>IF(E9="Yes",Y9*Tab_Data_Flows[[#This Row],[Flow_Material]],"N.A.")</f>
        <v>0</v>
      </c>
      <c r="AB9" s="6" t="str">
        <f>Tab_Data_Flows[[#This Row],[UoM_Flow_Py]]</f>
        <v>Mg</v>
      </c>
      <c r="AC9" s="139">
        <f>INDEX(Tab_Def_Flows[[Flow_ID]:[CC_DM_source]],MATCH(Tab_Data_Flows[[#This Row],[Flow_Name]],Tab_Def_Flows[Flow_Name],0),17)</f>
        <v>0</v>
      </c>
      <c r="AD9" s="6" t="str">
        <f>Tab_Data_Flows[[#This Row],[Flow_ID]]&amp;"_"&amp;"CC_"&amp;Tab_Data_Flows[[#This Row],[Flow_Data_Year]]</f>
        <v>F_01_02_CC_2032</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F_01_02</v>
      </c>
      <c r="C10" s="138" t="s">
        <v>1106</v>
      </c>
      <c r="D10" s="9" t="str">
        <f>_xlfn.XLOOKUP(C10,Tab_Def_Flows[Flow_Name],Tab_Def_Flows[WC?],,0,)</f>
        <v>Yes</v>
      </c>
      <c r="E10" s="9" t="str">
        <f>_xlfn.XLOOKUP(C10,Tab_Def_Flows[Flow_Name],Tab_Def_Flows[DM?],,0,)</f>
        <v>Yes</v>
      </c>
      <c r="F10" s="9" t="str">
        <f>_xlfn.XLOOKUP(C10,Tab_Def_Flows[Flow_Name],Tab_Def_Flows[CC?],,0,)</f>
        <v>Yes</v>
      </c>
      <c r="G10" s="188">
        <v>2033</v>
      </c>
      <c r="H10" s="189">
        <v>377898.8463157895</v>
      </c>
      <c r="I10" s="6" t="str">
        <f>'0_Configuration'!$C$35</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t="str">
        <f>INDEX(Tab_Def_Flows[[Flow_ID]:[CC_DM_source]],MATCH(Tab_Data_Flows[[#This Row],[Flow_Name]],Tab_Def_Flows[Flow_Name],0),11)</f>
        <v>Yes</v>
      </c>
      <c r="V10" s="6" t="str">
        <f>Tab_Data_Flows[[#This Row],[Flow_ID]]&amp;"_"&amp;"WC_"&amp;Tab_Data_Flows[[#This Row],[Flow_Data_Year]]</f>
        <v>F_01_02_WC_2033</v>
      </c>
      <c r="W10" s="6" t="e">
        <f>IF(D10="Yes",S10*Tab_Data_Flows[[#This Row],[WC_'[%']]],"N.A.")</f>
        <v>#VALUE!</v>
      </c>
      <c r="X10" s="6" t="str">
        <f>Tab_Data_Flows[[#This Row],[UoM_Flow_Py]]</f>
        <v>Mg</v>
      </c>
      <c r="Y10" s="139">
        <f>INDEX(Tab_Def_Flows[[Flow_ID]:[CC_DM_source]],MATCH(Tab_Data_Flows[[#This Row],[Flow_Name]],Tab_Def_Flows[Flow_Name],0),14)</f>
        <v>0</v>
      </c>
      <c r="Z10" s="6" t="str">
        <f>Tab_Data_Flows[[#This Row],[Flow_ID]]&amp;"_"&amp;"DM_"&amp;Tab_Data_Flows[[#This Row],[Flow_Data_Year]]</f>
        <v>F_01_02_DM_2033</v>
      </c>
      <c r="AA10" s="6">
        <f>IF(E10="Yes",Y10*Tab_Data_Flows[[#This Row],[Flow_Material]],"N.A.")</f>
        <v>0</v>
      </c>
      <c r="AB10" s="6" t="str">
        <f>Tab_Data_Flows[[#This Row],[UoM_Flow_Py]]</f>
        <v>Mg</v>
      </c>
      <c r="AC10" s="139">
        <f>INDEX(Tab_Def_Flows[[Flow_ID]:[CC_DM_source]],MATCH(Tab_Data_Flows[[#This Row],[Flow_Name]],Tab_Def_Flows[Flow_Name],0),17)</f>
        <v>0</v>
      </c>
      <c r="AD10" s="6" t="str">
        <f>Tab_Data_Flows[[#This Row],[Flow_ID]]&amp;"_"&amp;"CC_"&amp;Tab_Data_Flows[[#This Row],[Flow_Data_Year]]</f>
        <v>F_01_02_CC_2033</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F_01_02</v>
      </c>
      <c r="C11" s="138" t="s">
        <v>1106</v>
      </c>
      <c r="D11" s="9" t="str">
        <f>_xlfn.XLOOKUP(C11,Tab_Def_Flows[Flow_Name],Tab_Def_Flows[WC?],,0,)</f>
        <v>Yes</v>
      </c>
      <c r="E11" s="9" t="str">
        <f>_xlfn.XLOOKUP(C11,Tab_Def_Flows[Flow_Name],Tab_Def_Flows[DM?],,0,)</f>
        <v>Yes</v>
      </c>
      <c r="F11" s="9" t="str">
        <f>_xlfn.XLOOKUP(C11,Tab_Def_Flows[Flow_Name],Tab_Def_Flows[CC?],,0,)</f>
        <v>Yes</v>
      </c>
      <c r="G11" s="188">
        <v>2034</v>
      </c>
      <c r="H11" s="189">
        <v>502352.39747368422</v>
      </c>
      <c r="I11" s="6" t="str">
        <f>'0_Configuration'!$C$35</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t="str">
        <f>INDEX(Tab_Def_Flows[[Flow_ID]:[CC_DM_source]],MATCH(Tab_Data_Flows[[#This Row],[Flow_Name]],Tab_Def_Flows[Flow_Name],0),11)</f>
        <v>Yes</v>
      </c>
      <c r="V11" s="6" t="str">
        <f>Tab_Data_Flows[[#This Row],[Flow_ID]]&amp;"_"&amp;"WC_"&amp;Tab_Data_Flows[[#This Row],[Flow_Data_Year]]</f>
        <v>F_01_02_WC_2034</v>
      </c>
      <c r="W11" s="6" t="e">
        <f>IF(D11="Yes",S11*Tab_Data_Flows[[#This Row],[WC_'[%']]],"N.A.")</f>
        <v>#VALUE!</v>
      </c>
      <c r="X11" s="6" t="str">
        <f>Tab_Data_Flows[[#This Row],[UoM_Flow_Py]]</f>
        <v>Mg</v>
      </c>
      <c r="Y11" s="139">
        <f>INDEX(Tab_Def_Flows[[Flow_ID]:[CC_DM_source]],MATCH(Tab_Data_Flows[[#This Row],[Flow_Name]],Tab_Def_Flows[Flow_Name],0),14)</f>
        <v>0</v>
      </c>
      <c r="Z11" s="6" t="str">
        <f>Tab_Data_Flows[[#This Row],[Flow_ID]]&amp;"_"&amp;"DM_"&amp;Tab_Data_Flows[[#This Row],[Flow_Data_Year]]</f>
        <v>F_01_02_DM_2034</v>
      </c>
      <c r="AA11" s="6">
        <f>IF(E11="Yes",Y11*Tab_Data_Flows[[#This Row],[Flow_Material]],"N.A.")</f>
        <v>0</v>
      </c>
      <c r="AB11" s="6" t="str">
        <f>Tab_Data_Flows[[#This Row],[UoM_Flow_Py]]</f>
        <v>Mg</v>
      </c>
      <c r="AC11" s="139">
        <f>INDEX(Tab_Def_Flows[[Flow_ID]:[CC_DM_source]],MATCH(Tab_Data_Flows[[#This Row],[Flow_Name]],Tab_Def_Flows[Flow_Name],0),17)</f>
        <v>0</v>
      </c>
      <c r="AD11" s="6" t="str">
        <f>Tab_Data_Flows[[#This Row],[Flow_ID]]&amp;"_"&amp;"CC_"&amp;Tab_Data_Flows[[#This Row],[Flow_Data_Year]]</f>
        <v>F_01_02_CC_2034</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F_01_02</v>
      </c>
      <c r="C12" s="138" t="s">
        <v>1106</v>
      </c>
      <c r="D12" s="9" t="str">
        <f>_xlfn.XLOOKUP(C12,Tab_Def_Flows[Flow_Name],Tab_Def_Flows[WC?],,0,)</f>
        <v>Yes</v>
      </c>
      <c r="E12" s="9" t="str">
        <f>_xlfn.XLOOKUP(C12,Tab_Def_Flows[Flow_Name],Tab_Def_Flows[DM?],,0,)</f>
        <v>Yes</v>
      </c>
      <c r="F12" s="9" t="str">
        <f>_xlfn.XLOOKUP(C12,Tab_Def_Flows[Flow_Name],Tab_Def_Flows[CC?],,0,)</f>
        <v>Yes</v>
      </c>
      <c r="G12" s="188">
        <v>2035</v>
      </c>
      <c r="H12" s="189">
        <v>378641.01726315788</v>
      </c>
      <c r="I12" s="6" t="str">
        <f>'0_Configuration'!$C$35</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t="str">
        <f>INDEX(Tab_Def_Flows[[Flow_ID]:[CC_DM_source]],MATCH(Tab_Data_Flows[[#This Row],[Flow_Name]],Tab_Def_Flows[Flow_Name],0),11)</f>
        <v>Yes</v>
      </c>
      <c r="V12" s="6" t="str">
        <f>Tab_Data_Flows[[#This Row],[Flow_ID]]&amp;"_"&amp;"WC_"&amp;Tab_Data_Flows[[#This Row],[Flow_Data_Year]]</f>
        <v>F_01_02_WC_2035</v>
      </c>
      <c r="W12" s="6" t="e">
        <f>IF(D12="Yes",S12*Tab_Data_Flows[[#This Row],[WC_'[%']]],"N.A.")</f>
        <v>#VALUE!</v>
      </c>
      <c r="X12" s="6" t="str">
        <f>Tab_Data_Flows[[#This Row],[UoM_Flow_Py]]</f>
        <v>Mg</v>
      </c>
      <c r="Y12" s="139">
        <f>INDEX(Tab_Def_Flows[[Flow_ID]:[CC_DM_source]],MATCH(Tab_Data_Flows[[#This Row],[Flow_Name]],Tab_Def_Flows[Flow_Name],0),14)</f>
        <v>0</v>
      </c>
      <c r="Z12" s="6" t="str">
        <f>Tab_Data_Flows[[#This Row],[Flow_ID]]&amp;"_"&amp;"DM_"&amp;Tab_Data_Flows[[#This Row],[Flow_Data_Year]]</f>
        <v>F_01_02_DM_2035</v>
      </c>
      <c r="AA12" s="6">
        <f>IF(E12="Yes",Y12*Tab_Data_Flows[[#This Row],[Flow_Material]],"N.A.")</f>
        <v>0</v>
      </c>
      <c r="AB12" s="6" t="str">
        <f>Tab_Data_Flows[[#This Row],[UoM_Flow_Py]]</f>
        <v>Mg</v>
      </c>
      <c r="AC12" s="139">
        <f>INDEX(Tab_Def_Flows[[Flow_ID]:[CC_DM_source]],MATCH(Tab_Data_Flows[[#This Row],[Flow_Name]],Tab_Def_Flows[Flow_Name],0),17)</f>
        <v>0</v>
      </c>
      <c r="AD12" s="6" t="str">
        <f>Tab_Data_Flows[[#This Row],[Flow_ID]]&amp;"_"&amp;"CC_"&amp;Tab_Data_Flows[[#This Row],[Flow_Data_Year]]</f>
        <v>F_01_02_CC_2035</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F_01_02</v>
      </c>
      <c r="C13" s="138" t="s">
        <v>1106</v>
      </c>
      <c r="D13" s="9" t="str">
        <f>_xlfn.XLOOKUP(C13,Tab_Def_Flows[Flow_Name],Tab_Def_Flows[WC?],,0,)</f>
        <v>Yes</v>
      </c>
      <c r="E13" s="9" t="str">
        <f>_xlfn.XLOOKUP(C13,Tab_Def_Flows[Flow_Name],Tab_Def_Flows[DM?],,0,)</f>
        <v>Yes</v>
      </c>
      <c r="F13" s="9" t="str">
        <f>_xlfn.XLOOKUP(C13,Tab_Def_Flows[Flow_Name],Tab_Def_Flows[CC?],,0,)</f>
        <v>Yes</v>
      </c>
      <c r="G13" s="188">
        <v>2036</v>
      </c>
      <c r="H13" s="189">
        <v>378355.09894736845</v>
      </c>
      <c r="I13" s="6" t="str">
        <f>'0_Configuration'!$C$35</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t="str">
        <f>INDEX(Tab_Def_Flows[[Flow_ID]:[CC_DM_source]],MATCH(Tab_Data_Flows[[#This Row],[Flow_Name]],Tab_Def_Flows[Flow_Name],0),11)</f>
        <v>Yes</v>
      </c>
      <c r="V13" s="6" t="str">
        <f>Tab_Data_Flows[[#This Row],[Flow_ID]]&amp;"_"&amp;"WC_"&amp;Tab_Data_Flows[[#This Row],[Flow_Data_Year]]</f>
        <v>F_01_02_WC_2036</v>
      </c>
      <c r="W13" s="6" t="e">
        <f>IF(D13="Yes",S13*Tab_Data_Flows[[#This Row],[WC_'[%']]],"N.A.")</f>
        <v>#VALUE!</v>
      </c>
      <c r="X13" s="6" t="str">
        <f>Tab_Data_Flows[[#This Row],[UoM_Flow_Py]]</f>
        <v>Mg</v>
      </c>
      <c r="Y13" s="139">
        <f>INDEX(Tab_Def_Flows[[Flow_ID]:[CC_DM_source]],MATCH(Tab_Data_Flows[[#This Row],[Flow_Name]],Tab_Def_Flows[Flow_Name],0),14)</f>
        <v>0</v>
      </c>
      <c r="Z13" s="6" t="str">
        <f>Tab_Data_Flows[[#This Row],[Flow_ID]]&amp;"_"&amp;"DM_"&amp;Tab_Data_Flows[[#This Row],[Flow_Data_Year]]</f>
        <v>F_01_02_DM_2036</v>
      </c>
      <c r="AA13" s="6">
        <f>IF(E13="Yes",Y13*Tab_Data_Flows[[#This Row],[Flow_Material]],"N.A.")</f>
        <v>0</v>
      </c>
      <c r="AB13" s="6" t="str">
        <f>Tab_Data_Flows[[#This Row],[UoM_Flow_Py]]</f>
        <v>Mg</v>
      </c>
      <c r="AC13" s="139">
        <f>INDEX(Tab_Def_Flows[[Flow_ID]:[CC_DM_source]],MATCH(Tab_Data_Flows[[#This Row],[Flow_Name]],Tab_Def_Flows[Flow_Name],0),17)</f>
        <v>0</v>
      </c>
      <c r="AD13" s="6" t="str">
        <f>Tab_Data_Flows[[#This Row],[Flow_ID]]&amp;"_"&amp;"CC_"&amp;Tab_Data_Flows[[#This Row],[Flow_Data_Year]]</f>
        <v>F_01_02_CC_2036</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F_01_02</v>
      </c>
      <c r="C14" s="138" t="s">
        <v>1106</v>
      </c>
      <c r="D14" s="9" t="str">
        <f>_xlfn.XLOOKUP(C14,Tab_Def_Flows[Flow_Name],Tab_Def_Flows[WC?],,0,)</f>
        <v>Yes</v>
      </c>
      <c r="E14" s="9" t="str">
        <f>_xlfn.XLOOKUP(C14,Tab_Def_Flows[Flow_Name],Tab_Def_Flows[DM?],,0,)</f>
        <v>Yes</v>
      </c>
      <c r="F14" s="9" t="str">
        <f>_xlfn.XLOOKUP(C14,Tab_Def_Flows[Flow_Name],Tab_Def_Flows[CC?],,0,)</f>
        <v>Yes</v>
      </c>
      <c r="G14" s="188">
        <v>2037</v>
      </c>
      <c r="H14" s="189">
        <v>465383.76757894736</v>
      </c>
      <c r="I14" s="6" t="str">
        <f>'0_Configuration'!$C$35</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t="str">
        <f>INDEX(Tab_Def_Flows[[Flow_ID]:[CC_DM_source]],MATCH(Tab_Data_Flows[[#This Row],[Flow_Name]],Tab_Def_Flows[Flow_Name],0),11)</f>
        <v>Yes</v>
      </c>
      <c r="V14" s="6" t="str">
        <f>Tab_Data_Flows[[#This Row],[Flow_ID]]&amp;"_"&amp;"WC_"&amp;Tab_Data_Flows[[#This Row],[Flow_Data_Year]]</f>
        <v>F_01_02_WC_2037</v>
      </c>
      <c r="W14" s="6" t="e">
        <f>IF(D14="Yes",S14*Tab_Data_Flows[[#This Row],[WC_'[%']]],"N.A.")</f>
        <v>#VALUE!</v>
      </c>
      <c r="X14" s="6" t="str">
        <f>Tab_Data_Flows[[#This Row],[UoM_Flow_Py]]</f>
        <v>Mg</v>
      </c>
      <c r="Y14" s="139">
        <f>INDEX(Tab_Def_Flows[[Flow_ID]:[CC_DM_source]],MATCH(Tab_Data_Flows[[#This Row],[Flow_Name]],Tab_Def_Flows[Flow_Name],0),14)</f>
        <v>0</v>
      </c>
      <c r="Z14" s="6" t="str">
        <f>Tab_Data_Flows[[#This Row],[Flow_ID]]&amp;"_"&amp;"DM_"&amp;Tab_Data_Flows[[#This Row],[Flow_Data_Year]]</f>
        <v>F_01_02_DM_2037</v>
      </c>
      <c r="AA14" s="6">
        <f>IF(E14="Yes",Y14*Tab_Data_Flows[[#This Row],[Flow_Material]],"N.A.")</f>
        <v>0</v>
      </c>
      <c r="AB14" s="6" t="str">
        <f>Tab_Data_Flows[[#This Row],[UoM_Flow_Py]]</f>
        <v>Mg</v>
      </c>
      <c r="AC14" s="139">
        <f>INDEX(Tab_Def_Flows[[Flow_ID]:[CC_DM_source]],MATCH(Tab_Data_Flows[[#This Row],[Flow_Name]],Tab_Def_Flows[Flow_Name],0),17)</f>
        <v>0</v>
      </c>
      <c r="AD14" s="6" t="str">
        <f>Tab_Data_Flows[[#This Row],[Flow_ID]]&amp;"_"&amp;"CC_"&amp;Tab_Data_Flows[[#This Row],[Flow_Data_Year]]</f>
        <v>F_01_02_CC_2037</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F_01_02</v>
      </c>
      <c r="C15" s="138" t="s">
        <v>1106</v>
      </c>
      <c r="D15" s="9" t="str">
        <f>_xlfn.XLOOKUP(C15,Tab_Def_Flows[Flow_Name],Tab_Def_Flows[WC?],,0,)</f>
        <v>Yes</v>
      </c>
      <c r="E15" s="9" t="str">
        <f>_xlfn.XLOOKUP(C15,Tab_Def_Flows[Flow_Name],Tab_Def_Flows[DM?],,0,)</f>
        <v>Yes</v>
      </c>
      <c r="F15" s="9" t="str">
        <f>_xlfn.XLOOKUP(C15,Tab_Def_Flows[Flow_Name],Tab_Def_Flows[CC?],,0,)</f>
        <v>Yes</v>
      </c>
      <c r="G15" s="188">
        <v>2038</v>
      </c>
      <c r="H15" s="189">
        <v>200349.65557894736</v>
      </c>
      <c r="I15" s="6" t="str">
        <f>'0_Configuration'!$C$35</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t="str">
        <f>INDEX(Tab_Def_Flows[[Flow_ID]:[CC_DM_source]],MATCH(Tab_Data_Flows[[#This Row],[Flow_Name]],Tab_Def_Flows[Flow_Name],0),11)</f>
        <v>Yes</v>
      </c>
      <c r="V15" s="6" t="str">
        <f>Tab_Data_Flows[[#This Row],[Flow_ID]]&amp;"_"&amp;"WC_"&amp;Tab_Data_Flows[[#This Row],[Flow_Data_Year]]</f>
        <v>F_01_02_WC_2038</v>
      </c>
      <c r="W15" s="6" t="e">
        <f>IF(D15="Yes",S15*Tab_Data_Flows[[#This Row],[WC_'[%']]],"N.A.")</f>
        <v>#VALUE!</v>
      </c>
      <c r="X15" s="6" t="str">
        <f>Tab_Data_Flows[[#This Row],[UoM_Flow_Py]]</f>
        <v>Mg</v>
      </c>
      <c r="Y15" s="139">
        <f>INDEX(Tab_Def_Flows[[Flow_ID]:[CC_DM_source]],MATCH(Tab_Data_Flows[[#This Row],[Flow_Name]],Tab_Def_Flows[Flow_Name],0),14)</f>
        <v>0</v>
      </c>
      <c r="Z15" s="6" t="str">
        <f>Tab_Data_Flows[[#This Row],[Flow_ID]]&amp;"_"&amp;"DM_"&amp;Tab_Data_Flows[[#This Row],[Flow_Data_Year]]</f>
        <v>F_01_02_DM_2038</v>
      </c>
      <c r="AA15" s="6">
        <f>IF(E15="Yes",Y15*Tab_Data_Flows[[#This Row],[Flow_Material]],"N.A.")</f>
        <v>0</v>
      </c>
      <c r="AB15" s="6" t="str">
        <f>Tab_Data_Flows[[#This Row],[UoM_Flow_Py]]</f>
        <v>Mg</v>
      </c>
      <c r="AC15" s="139">
        <f>INDEX(Tab_Def_Flows[[Flow_ID]:[CC_DM_source]],MATCH(Tab_Data_Flows[[#This Row],[Flow_Name]],Tab_Def_Flows[Flow_Name],0),17)</f>
        <v>0</v>
      </c>
      <c r="AD15" s="6" t="str">
        <f>Tab_Data_Flows[[#This Row],[Flow_ID]]&amp;"_"&amp;"CC_"&amp;Tab_Data_Flows[[#This Row],[Flow_Data_Year]]</f>
        <v>F_01_02_CC_2038</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F_01_02</v>
      </c>
      <c r="C16" s="138" t="s">
        <v>1106</v>
      </c>
      <c r="D16" s="9" t="str">
        <f>_xlfn.XLOOKUP(C16,Tab_Def_Flows[Flow_Name],Tab_Def_Flows[WC?],,0,)</f>
        <v>Yes</v>
      </c>
      <c r="E16" s="9" t="str">
        <f>_xlfn.XLOOKUP(C16,Tab_Def_Flows[Flow_Name],Tab_Def_Flows[DM?],,0,)</f>
        <v>Yes</v>
      </c>
      <c r="F16" s="9" t="str">
        <f>_xlfn.XLOOKUP(C16,Tab_Def_Flows[Flow_Name],Tab_Def_Flows[CC?],,0,)</f>
        <v>Yes</v>
      </c>
      <c r="G16" s="188">
        <v>2039</v>
      </c>
      <c r="H16" s="189">
        <v>223509.03915789476</v>
      </c>
      <c r="I16" s="6" t="str">
        <f>'0_Configuration'!$C$35</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t="str">
        <f>INDEX(Tab_Def_Flows[[Flow_ID]:[CC_DM_source]],MATCH(Tab_Data_Flows[[#This Row],[Flow_Name]],Tab_Def_Flows[Flow_Name],0),11)</f>
        <v>Yes</v>
      </c>
      <c r="V16" s="6" t="str">
        <f>Tab_Data_Flows[[#This Row],[Flow_ID]]&amp;"_"&amp;"WC_"&amp;Tab_Data_Flows[[#This Row],[Flow_Data_Year]]</f>
        <v>F_01_02_WC_2039</v>
      </c>
      <c r="W16" s="6" t="e">
        <f>IF(D16="Yes",S16*Tab_Data_Flows[[#This Row],[WC_'[%']]],"N.A.")</f>
        <v>#VALUE!</v>
      </c>
      <c r="X16" s="6" t="str">
        <f>Tab_Data_Flows[[#This Row],[UoM_Flow_Py]]</f>
        <v>Mg</v>
      </c>
      <c r="Y16" s="139">
        <f>INDEX(Tab_Def_Flows[[Flow_ID]:[CC_DM_source]],MATCH(Tab_Data_Flows[[#This Row],[Flow_Name]],Tab_Def_Flows[Flow_Name],0),14)</f>
        <v>0</v>
      </c>
      <c r="Z16" s="6" t="str">
        <f>Tab_Data_Flows[[#This Row],[Flow_ID]]&amp;"_"&amp;"DM_"&amp;Tab_Data_Flows[[#This Row],[Flow_Data_Year]]</f>
        <v>F_01_02_DM_2039</v>
      </c>
      <c r="AA16" s="6">
        <f>IF(E16="Yes",Y16*Tab_Data_Flows[[#This Row],[Flow_Material]],"N.A.")</f>
        <v>0</v>
      </c>
      <c r="AB16" s="6" t="str">
        <f>Tab_Data_Flows[[#This Row],[UoM_Flow_Py]]</f>
        <v>Mg</v>
      </c>
      <c r="AC16" s="139">
        <f>INDEX(Tab_Def_Flows[[Flow_ID]:[CC_DM_source]],MATCH(Tab_Data_Flows[[#This Row],[Flow_Name]],Tab_Def_Flows[Flow_Name],0),17)</f>
        <v>0</v>
      </c>
      <c r="AD16" s="6" t="str">
        <f>Tab_Data_Flows[[#This Row],[Flow_ID]]&amp;"_"&amp;"CC_"&amp;Tab_Data_Flows[[#This Row],[Flow_Data_Year]]</f>
        <v>F_01_02_CC_2039</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F_01_02</v>
      </c>
      <c r="C17" s="138" t="s">
        <v>1106</v>
      </c>
      <c r="D17" s="9" t="str">
        <f>_xlfn.XLOOKUP(C17,Tab_Def_Flows[Flow_Name],Tab_Def_Flows[WC?],,0,)</f>
        <v>Yes</v>
      </c>
      <c r="E17" s="9" t="str">
        <f>_xlfn.XLOOKUP(C17,Tab_Def_Flows[Flow_Name],Tab_Def_Flows[DM?],,0,)</f>
        <v>Yes</v>
      </c>
      <c r="F17" s="9" t="str">
        <f>_xlfn.XLOOKUP(C17,Tab_Def_Flows[Flow_Name],Tab_Def_Flows[CC?],,0,)</f>
        <v>Yes</v>
      </c>
      <c r="G17" s="188">
        <v>2040</v>
      </c>
      <c r="H17" s="189">
        <v>366486.44715789473</v>
      </c>
      <c r="I17" s="6" t="str">
        <f>'0_Configuration'!$C$35</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t="str">
        <f>INDEX(Tab_Def_Flows[[Flow_ID]:[CC_DM_source]],MATCH(Tab_Data_Flows[[#This Row],[Flow_Name]],Tab_Def_Flows[Flow_Name],0),11)</f>
        <v>Yes</v>
      </c>
      <c r="V17" s="6" t="str">
        <f>Tab_Data_Flows[[#This Row],[Flow_ID]]&amp;"_"&amp;"WC_"&amp;Tab_Data_Flows[[#This Row],[Flow_Data_Year]]</f>
        <v>F_01_02_WC_2040</v>
      </c>
      <c r="W17" s="6" t="e">
        <f>IF(D17="Yes",S17*Tab_Data_Flows[[#This Row],[WC_'[%']]],"N.A.")</f>
        <v>#VALUE!</v>
      </c>
      <c r="X17" s="6" t="str">
        <f>Tab_Data_Flows[[#This Row],[UoM_Flow_Py]]</f>
        <v>Mg</v>
      </c>
      <c r="Y17" s="139">
        <f>INDEX(Tab_Def_Flows[[Flow_ID]:[CC_DM_source]],MATCH(Tab_Data_Flows[[#This Row],[Flow_Name]],Tab_Def_Flows[Flow_Name],0),14)</f>
        <v>0</v>
      </c>
      <c r="Z17" s="6" t="str">
        <f>Tab_Data_Flows[[#This Row],[Flow_ID]]&amp;"_"&amp;"DM_"&amp;Tab_Data_Flows[[#This Row],[Flow_Data_Year]]</f>
        <v>F_01_02_DM_2040</v>
      </c>
      <c r="AA17" s="6">
        <f>IF(E17="Yes",Y17*Tab_Data_Flows[[#This Row],[Flow_Material]],"N.A.")</f>
        <v>0</v>
      </c>
      <c r="AB17" s="6" t="str">
        <f>Tab_Data_Flows[[#This Row],[UoM_Flow_Py]]</f>
        <v>Mg</v>
      </c>
      <c r="AC17" s="139">
        <f>INDEX(Tab_Def_Flows[[Flow_ID]:[CC_DM_source]],MATCH(Tab_Data_Flows[[#This Row],[Flow_Name]],Tab_Def_Flows[Flow_Name],0),17)</f>
        <v>0</v>
      </c>
      <c r="AD17" s="6" t="str">
        <f>Tab_Data_Flows[[#This Row],[Flow_ID]]&amp;"_"&amp;"CC_"&amp;Tab_Data_Flows[[#This Row],[Flow_Data_Year]]</f>
        <v>F_01_02_CC_2040</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F_01_02</v>
      </c>
      <c r="C18" s="138" t="s">
        <v>1106</v>
      </c>
      <c r="D18" s="9" t="str">
        <f>_xlfn.XLOOKUP(C18,Tab_Def_Flows[Flow_Name],Tab_Def_Flows[WC?],,0,)</f>
        <v>Yes</v>
      </c>
      <c r="E18" s="9" t="str">
        <f>_xlfn.XLOOKUP(C18,Tab_Def_Flows[Flow_Name],Tab_Def_Flows[DM?],,0,)</f>
        <v>Yes</v>
      </c>
      <c r="F18" s="9" t="str">
        <f>_xlfn.XLOOKUP(C18,Tab_Def_Flows[Flow_Name],Tab_Def_Flows[CC?],,0,)</f>
        <v>Yes</v>
      </c>
      <c r="G18" s="188">
        <v>2041</v>
      </c>
      <c r="H18" s="189">
        <v>311079.1275789474</v>
      </c>
      <c r="I18" s="6" t="str">
        <f>'0_Configuration'!$C$35</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t="str">
        <f>INDEX(Tab_Def_Flows[[Flow_ID]:[CC_DM_source]],MATCH(Tab_Data_Flows[[#This Row],[Flow_Name]],Tab_Def_Flows[Flow_Name],0),11)</f>
        <v>Yes</v>
      </c>
      <c r="V18" s="6" t="str">
        <f>Tab_Data_Flows[[#This Row],[Flow_ID]]&amp;"_"&amp;"WC_"&amp;Tab_Data_Flows[[#This Row],[Flow_Data_Year]]</f>
        <v>F_01_02_WC_2041</v>
      </c>
      <c r="W18" s="6" t="e">
        <f>IF(D18="Yes",S18*Tab_Data_Flows[[#This Row],[WC_'[%']]],"N.A.")</f>
        <v>#VALUE!</v>
      </c>
      <c r="X18" s="6" t="str">
        <f>Tab_Data_Flows[[#This Row],[UoM_Flow_Py]]</f>
        <v>Mg</v>
      </c>
      <c r="Y18" s="139">
        <f>INDEX(Tab_Def_Flows[[Flow_ID]:[CC_DM_source]],MATCH(Tab_Data_Flows[[#This Row],[Flow_Name]],Tab_Def_Flows[Flow_Name],0),14)</f>
        <v>0</v>
      </c>
      <c r="Z18" s="6" t="str">
        <f>Tab_Data_Flows[[#This Row],[Flow_ID]]&amp;"_"&amp;"DM_"&amp;Tab_Data_Flows[[#This Row],[Flow_Data_Year]]</f>
        <v>F_01_02_DM_2041</v>
      </c>
      <c r="AA18" s="6">
        <f>IF(E18="Yes",Y18*Tab_Data_Flows[[#This Row],[Flow_Material]],"N.A.")</f>
        <v>0</v>
      </c>
      <c r="AB18" s="6" t="str">
        <f>Tab_Data_Flows[[#This Row],[UoM_Flow_Py]]</f>
        <v>Mg</v>
      </c>
      <c r="AC18" s="139">
        <f>INDEX(Tab_Def_Flows[[Flow_ID]:[CC_DM_source]],MATCH(Tab_Data_Flows[[#This Row],[Flow_Name]],Tab_Def_Flows[Flow_Name],0),17)</f>
        <v>0</v>
      </c>
      <c r="AD18" s="6" t="str">
        <f>Tab_Data_Flows[[#This Row],[Flow_ID]]&amp;"_"&amp;"CC_"&amp;Tab_Data_Flows[[#This Row],[Flow_Data_Year]]</f>
        <v>F_01_02_CC_2041</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F_01_02</v>
      </c>
      <c r="C19" s="138" t="s">
        <v>1106</v>
      </c>
      <c r="D19" s="9" t="str">
        <f>_xlfn.XLOOKUP(C19,Tab_Def_Flows[Flow_Name],Tab_Def_Flows[WC?],,0,)</f>
        <v>Yes</v>
      </c>
      <c r="E19" s="9" t="str">
        <f>_xlfn.XLOOKUP(C19,Tab_Def_Flows[Flow_Name],Tab_Def_Flows[DM?],,0,)</f>
        <v>Yes</v>
      </c>
      <c r="F19" s="9" t="str">
        <f>_xlfn.XLOOKUP(C19,Tab_Def_Flows[Flow_Name],Tab_Def_Flows[CC?],,0,)</f>
        <v>Yes</v>
      </c>
      <c r="G19" s="188">
        <v>2042</v>
      </c>
      <c r="H19" s="189">
        <v>474271.56884210528</v>
      </c>
      <c r="I19" s="6" t="str">
        <f>'0_Configuration'!$C$35</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t="str">
        <f>INDEX(Tab_Def_Flows[[Flow_ID]:[CC_DM_source]],MATCH(Tab_Data_Flows[[#This Row],[Flow_Name]],Tab_Def_Flows[Flow_Name],0),11)</f>
        <v>Yes</v>
      </c>
      <c r="V19" s="6" t="str">
        <f>Tab_Data_Flows[[#This Row],[Flow_ID]]&amp;"_"&amp;"WC_"&amp;Tab_Data_Flows[[#This Row],[Flow_Data_Year]]</f>
        <v>F_01_02_WC_2042</v>
      </c>
      <c r="W19" s="6" t="e">
        <f>IF(D19="Yes",S19*Tab_Data_Flows[[#This Row],[WC_'[%']]],"N.A.")</f>
        <v>#VALUE!</v>
      </c>
      <c r="X19" s="6" t="str">
        <f>Tab_Data_Flows[[#This Row],[UoM_Flow_Py]]</f>
        <v>Mg</v>
      </c>
      <c r="Y19" s="139">
        <f>INDEX(Tab_Def_Flows[[Flow_ID]:[CC_DM_source]],MATCH(Tab_Data_Flows[[#This Row],[Flow_Name]],Tab_Def_Flows[Flow_Name],0),14)</f>
        <v>0</v>
      </c>
      <c r="Z19" s="6" t="str">
        <f>Tab_Data_Flows[[#This Row],[Flow_ID]]&amp;"_"&amp;"DM_"&amp;Tab_Data_Flows[[#This Row],[Flow_Data_Year]]</f>
        <v>F_01_02_DM_2042</v>
      </c>
      <c r="AA19" s="6">
        <f>IF(E19="Yes",Y19*Tab_Data_Flows[[#This Row],[Flow_Material]],"N.A.")</f>
        <v>0</v>
      </c>
      <c r="AB19" s="6" t="str">
        <f>Tab_Data_Flows[[#This Row],[UoM_Flow_Py]]</f>
        <v>Mg</v>
      </c>
      <c r="AC19" s="139">
        <f>INDEX(Tab_Def_Flows[[Flow_ID]:[CC_DM_source]],MATCH(Tab_Data_Flows[[#This Row],[Flow_Name]],Tab_Def_Flows[Flow_Name],0),17)</f>
        <v>0</v>
      </c>
      <c r="AD19" s="6" t="str">
        <f>Tab_Data_Flows[[#This Row],[Flow_ID]]&amp;"_"&amp;"CC_"&amp;Tab_Data_Flows[[#This Row],[Flow_Data_Year]]</f>
        <v>F_01_02_CC_2042</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F_01_02</v>
      </c>
      <c r="C20" s="138" t="s">
        <v>1106</v>
      </c>
      <c r="D20" s="9" t="str">
        <f>_xlfn.XLOOKUP(C20,Tab_Def_Flows[Flow_Name],Tab_Def_Flows[WC?],,0,)</f>
        <v>Yes</v>
      </c>
      <c r="E20" s="9" t="str">
        <f>_xlfn.XLOOKUP(C20,Tab_Def_Flows[Flow_Name],Tab_Def_Flows[DM?],,0,)</f>
        <v>Yes</v>
      </c>
      <c r="F20" s="9" t="str">
        <f>_xlfn.XLOOKUP(C20,Tab_Def_Flows[Flow_Name],Tab_Def_Flows[CC?],,0,)</f>
        <v>Yes</v>
      </c>
      <c r="G20" s="188">
        <v>2043</v>
      </c>
      <c r="H20" s="189">
        <v>323969.78526315786</v>
      </c>
      <c r="I20" s="6" t="str">
        <f>'0_Configuration'!$C$35</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t="str">
        <f>INDEX(Tab_Def_Flows[[Flow_ID]:[CC_DM_source]],MATCH(Tab_Data_Flows[[#This Row],[Flow_Name]],Tab_Def_Flows[Flow_Name],0),11)</f>
        <v>Yes</v>
      </c>
      <c r="V20" s="6" t="str">
        <f>Tab_Data_Flows[[#This Row],[Flow_ID]]&amp;"_"&amp;"WC_"&amp;Tab_Data_Flows[[#This Row],[Flow_Data_Year]]</f>
        <v>F_01_02_WC_2043</v>
      </c>
      <c r="W20" s="6" t="e">
        <f>IF(D20="Yes",S20*Tab_Data_Flows[[#This Row],[WC_'[%']]],"N.A.")</f>
        <v>#VALUE!</v>
      </c>
      <c r="X20" s="6" t="str">
        <f>Tab_Data_Flows[[#This Row],[UoM_Flow_Py]]</f>
        <v>Mg</v>
      </c>
      <c r="Y20" s="139">
        <f>INDEX(Tab_Def_Flows[[Flow_ID]:[CC_DM_source]],MATCH(Tab_Data_Flows[[#This Row],[Flow_Name]],Tab_Def_Flows[Flow_Name],0),14)</f>
        <v>0</v>
      </c>
      <c r="Z20" s="6" t="str">
        <f>Tab_Data_Flows[[#This Row],[Flow_ID]]&amp;"_"&amp;"DM_"&amp;Tab_Data_Flows[[#This Row],[Flow_Data_Year]]</f>
        <v>F_01_02_DM_2043</v>
      </c>
      <c r="AA20" s="6">
        <f>IF(E20="Yes",Y20*Tab_Data_Flows[[#This Row],[Flow_Material]],"N.A.")</f>
        <v>0</v>
      </c>
      <c r="AB20" s="6" t="str">
        <f>Tab_Data_Flows[[#This Row],[UoM_Flow_Py]]</f>
        <v>Mg</v>
      </c>
      <c r="AC20" s="139">
        <f>INDEX(Tab_Def_Flows[[Flow_ID]:[CC_DM_source]],MATCH(Tab_Data_Flows[[#This Row],[Flow_Name]],Tab_Def_Flows[Flow_Name],0),17)</f>
        <v>0</v>
      </c>
      <c r="AD20" s="6" t="str">
        <f>Tab_Data_Flows[[#This Row],[Flow_ID]]&amp;"_"&amp;"CC_"&amp;Tab_Data_Flows[[#This Row],[Flow_Data_Year]]</f>
        <v>F_01_02_CC_2043</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F_01_02</v>
      </c>
      <c r="C21" s="138" t="s">
        <v>1106</v>
      </c>
      <c r="D21" s="9" t="str">
        <f>_xlfn.XLOOKUP(C21,Tab_Def_Flows[Flow_Name],Tab_Def_Flows[WC?],,0,)</f>
        <v>Yes</v>
      </c>
      <c r="E21" s="9" t="str">
        <f>_xlfn.XLOOKUP(C21,Tab_Def_Flows[Flow_Name],Tab_Def_Flows[DM?],,0,)</f>
        <v>Yes</v>
      </c>
      <c r="F21" s="9" t="str">
        <f>_xlfn.XLOOKUP(C21,Tab_Def_Flows[Flow_Name],Tab_Def_Flows[CC?],,0,)</f>
        <v>Yes</v>
      </c>
      <c r="G21" s="188">
        <v>2044</v>
      </c>
      <c r="H21" s="189">
        <v>261955.92757894736</v>
      </c>
      <c r="I21" s="6" t="str">
        <f>'0_Configuration'!$C$35</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t="str">
        <f>INDEX(Tab_Def_Flows[[Flow_ID]:[CC_DM_source]],MATCH(Tab_Data_Flows[[#This Row],[Flow_Name]],Tab_Def_Flows[Flow_Name],0),11)</f>
        <v>Yes</v>
      </c>
      <c r="V21" s="6" t="str">
        <f>Tab_Data_Flows[[#This Row],[Flow_ID]]&amp;"_"&amp;"WC_"&amp;Tab_Data_Flows[[#This Row],[Flow_Data_Year]]</f>
        <v>F_01_02_WC_2044</v>
      </c>
      <c r="W21" s="6" t="e">
        <f>IF(D21="Yes",S21*Tab_Data_Flows[[#This Row],[WC_'[%']]],"N.A.")</f>
        <v>#VALUE!</v>
      </c>
      <c r="X21" s="6" t="str">
        <f>Tab_Data_Flows[[#This Row],[UoM_Flow_Py]]</f>
        <v>Mg</v>
      </c>
      <c r="Y21" s="139">
        <f>INDEX(Tab_Def_Flows[[Flow_ID]:[CC_DM_source]],MATCH(Tab_Data_Flows[[#This Row],[Flow_Name]],Tab_Def_Flows[Flow_Name],0),14)</f>
        <v>0</v>
      </c>
      <c r="Z21" s="6" t="str">
        <f>Tab_Data_Flows[[#This Row],[Flow_ID]]&amp;"_"&amp;"DM_"&amp;Tab_Data_Flows[[#This Row],[Flow_Data_Year]]</f>
        <v>F_01_02_DM_2044</v>
      </c>
      <c r="AA21" s="6">
        <f>IF(E21="Yes",Y21*Tab_Data_Flows[[#This Row],[Flow_Material]],"N.A.")</f>
        <v>0</v>
      </c>
      <c r="AB21" s="6" t="str">
        <f>Tab_Data_Flows[[#This Row],[UoM_Flow_Py]]</f>
        <v>Mg</v>
      </c>
      <c r="AC21" s="139">
        <f>INDEX(Tab_Def_Flows[[Flow_ID]:[CC_DM_source]],MATCH(Tab_Data_Flows[[#This Row],[Flow_Name]],Tab_Def_Flows[Flow_Name],0),17)</f>
        <v>0</v>
      </c>
      <c r="AD21" s="6" t="str">
        <f>Tab_Data_Flows[[#This Row],[Flow_ID]]&amp;"_"&amp;"CC_"&amp;Tab_Data_Flows[[#This Row],[Flow_Data_Year]]</f>
        <v>F_01_02_CC_2044</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F_01_02</v>
      </c>
      <c r="C22" s="138" t="s">
        <v>1106</v>
      </c>
      <c r="D22" s="9" t="str">
        <f>_xlfn.XLOOKUP(C22,Tab_Def_Flows[Flow_Name],Tab_Def_Flows[WC?],,0,)</f>
        <v>Yes</v>
      </c>
      <c r="E22" s="9" t="str">
        <f>_xlfn.XLOOKUP(C22,Tab_Def_Flows[Flow_Name],Tab_Def_Flows[DM?],,0,)</f>
        <v>Yes</v>
      </c>
      <c r="F22" s="9" t="str">
        <f>_xlfn.XLOOKUP(C22,Tab_Def_Flows[Flow_Name],Tab_Def_Flows[CC?],,0,)</f>
        <v>Yes</v>
      </c>
      <c r="G22" s="188">
        <v>2045</v>
      </c>
      <c r="H22" s="189">
        <v>615868.05221052631</v>
      </c>
      <c r="I22" s="6" t="str">
        <f>'0_Configuration'!$C$35</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t="str">
        <f>INDEX(Tab_Def_Flows[[Flow_ID]:[CC_DM_source]],MATCH(Tab_Data_Flows[[#This Row],[Flow_Name]],Tab_Def_Flows[Flow_Name],0),11)</f>
        <v>Yes</v>
      </c>
      <c r="V22" s="6" t="str">
        <f>Tab_Data_Flows[[#This Row],[Flow_ID]]&amp;"_"&amp;"WC_"&amp;Tab_Data_Flows[[#This Row],[Flow_Data_Year]]</f>
        <v>F_01_02_WC_2045</v>
      </c>
      <c r="W22" s="6" t="e">
        <f>IF(D22="Yes",S22*Tab_Data_Flows[[#This Row],[WC_'[%']]],"N.A.")</f>
        <v>#VALUE!</v>
      </c>
      <c r="X22" s="6" t="str">
        <f>Tab_Data_Flows[[#This Row],[UoM_Flow_Py]]</f>
        <v>Mg</v>
      </c>
      <c r="Y22" s="139">
        <f>INDEX(Tab_Def_Flows[[Flow_ID]:[CC_DM_source]],MATCH(Tab_Data_Flows[[#This Row],[Flow_Name]],Tab_Def_Flows[Flow_Name],0),14)</f>
        <v>0</v>
      </c>
      <c r="Z22" s="6" t="str">
        <f>Tab_Data_Flows[[#This Row],[Flow_ID]]&amp;"_"&amp;"DM_"&amp;Tab_Data_Flows[[#This Row],[Flow_Data_Year]]</f>
        <v>F_01_02_DM_2045</v>
      </c>
      <c r="AA22" s="6">
        <f>IF(E22="Yes",Y22*Tab_Data_Flows[[#This Row],[Flow_Material]],"N.A.")</f>
        <v>0</v>
      </c>
      <c r="AB22" s="6" t="str">
        <f>Tab_Data_Flows[[#This Row],[UoM_Flow_Py]]</f>
        <v>Mg</v>
      </c>
      <c r="AC22" s="139">
        <f>INDEX(Tab_Def_Flows[[Flow_ID]:[CC_DM_source]],MATCH(Tab_Data_Flows[[#This Row],[Flow_Name]],Tab_Def_Flows[Flow_Name],0),17)</f>
        <v>0</v>
      </c>
      <c r="AD22" s="6" t="str">
        <f>Tab_Data_Flows[[#This Row],[Flow_ID]]&amp;"_"&amp;"CC_"&amp;Tab_Data_Flows[[#This Row],[Flow_Data_Year]]</f>
        <v>F_01_02_CC_2045</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F_01_02</v>
      </c>
      <c r="C23" s="138" t="s">
        <v>1106</v>
      </c>
      <c r="D23" s="9" t="str">
        <f>_xlfn.XLOOKUP(C23,Tab_Def_Flows[Flow_Name],Tab_Def_Flows[WC?],,0,)</f>
        <v>Yes</v>
      </c>
      <c r="E23" s="9" t="str">
        <f>_xlfn.XLOOKUP(C23,Tab_Def_Flows[Flow_Name],Tab_Def_Flows[DM?],,0,)</f>
        <v>Yes</v>
      </c>
      <c r="F23" s="9" t="str">
        <f>_xlfn.XLOOKUP(C23,Tab_Def_Flows[Flow_Name],Tab_Def_Flows[CC?],,0,)</f>
        <v>Yes</v>
      </c>
      <c r="G23" s="188">
        <v>2046</v>
      </c>
      <c r="H23" s="189">
        <v>407865.51915789477</v>
      </c>
      <c r="I23" s="6" t="str">
        <f>'0_Configuration'!$C$35</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t="str">
        <f>INDEX(Tab_Def_Flows[[Flow_ID]:[CC_DM_source]],MATCH(Tab_Data_Flows[[#This Row],[Flow_Name]],Tab_Def_Flows[Flow_Name],0),11)</f>
        <v>Yes</v>
      </c>
      <c r="V23" s="6" t="str">
        <f>Tab_Data_Flows[[#This Row],[Flow_ID]]&amp;"_"&amp;"WC_"&amp;Tab_Data_Flows[[#This Row],[Flow_Data_Year]]</f>
        <v>F_01_02_WC_2046</v>
      </c>
      <c r="W23" s="6" t="e">
        <f>IF(D23="Yes",S23*Tab_Data_Flows[[#This Row],[WC_'[%']]],"N.A.")</f>
        <v>#VALUE!</v>
      </c>
      <c r="X23" s="6" t="str">
        <f>Tab_Data_Flows[[#This Row],[UoM_Flow_Py]]</f>
        <v>Mg</v>
      </c>
      <c r="Y23" s="139">
        <f>INDEX(Tab_Def_Flows[[Flow_ID]:[CC_DM_source]],MATCH(Tab_Data_Flows[[#This Row],[Flow_Name]],Tab_Def_Flows[Flow_Name],0),14)</f>
        <v>0</v>
      </c>
      <c r="Z23" s="6" t="str">
        <f>Tab_Data_Flows[[#This Row],[Flow_ID]]&amp;"_"&amp;"DM_"&amp;Tab_Data_Flows[[#This Row],[Flow_Data_Year]]</f>
        <v>F_01_02_DM_2046</v>
      </c>
      <c r="AA23" s="6">
        <f>IF(E23="Yes",Y23*Tab_Data_Flows[[#This Row],[Flow_Material]],"N.A.")</f>
        <v>0</v>
      </c>
      <c r="AB23" s="6" t="str">
        <f>Tab_Data_Flows[[#This Row],[UoM_Flow_Py]]</f>
        <v>Mg</v>
      </c>
      <c r="AC23" s="139">
        <f>INDEX(Tab_Def_Flows[[Flow_ID]:[CC_DM_source]],MATCH(Tab_Data_Flows[[#This Row],[Flow_Name]],Tab_Def_Flows[Flow_Name],0),17)</f>
        <v>0</v>
      </c>
      <c r="AD23" s="6" t="str">
        <f>Tab_Data_Flows[[#This Row],[Flow_ID]]&amp;"_"&amp;"CC_"&amp;Tab_Data_Flows[[#This Row],[Flow_Data_Year]]</f>
        <v>F_01_02_CC_2046</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F_01_02</v>
      </c>
      <c r="C24" s="138" t="s">
        <v>1106</v>
      </c>
      <c r="D24" s="9" t="str">
        <f>_xlfn.XLOOKUP(C24,Tab_Def_Flows[Flow_Name],Tab_Def_Flows[WC?],,0,)</f>
        <v>Yes</v>
      </c>
      <c r="E24" s="9" t="str">
        <f>_xlfn.XLOOKUP(C24,Tab_Def_Flows[Flow_Name],Tab_Def_Flows[DM?],,0,)</f>
        <v>Yes</v>
      </c>
      <c r="F24" s="9" t="str">
        <f>_xlfn.XLOOKUP(C24,Tab_Def_Flows[Flow_Name],Tab_Def_Flows[CC?],,0,)</f>
        <v>Yes</v>
      </c>
      <c r="G24" s="188">
        <v>2047</v>
      </c>
      <c r="H24" s="189">
        <v>443933.81052631576</v>
      </c>
      <c r="I24" s="6" t="str">
        <f>'0_Configuration'!$C$35</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t="str">
        <f>INDEX(Tab_Def_Flows[[Flow_ID]:[CC_DM_source]],MATCH(Tab_Data_Flows[[#This Row],[Flow_Name]],Tab_Def_Flows[Flow_Name],0),11)</f>
        <v>Yes</v>
      </c>
      <c r="V24" s="6" t="str">
        <f>Tab_Data_Flows[[#This Row],[Flow_ID]]&amp;"_"&amp;"WC_"&amp;Tab_Data_Flows[[#This Row],[Flow_Data_Year]]</f>
        <v>F_01_02_WC_2047</v>
      </c>
      <c r="W24" s="6" t="e">
        <f>IF(D24="Yes",S24*Tab_Data_Flows[[#This Row],[WC_'[%']]],"N.A.")</f>
        <v>#VALUE!</v>
      </c>
      <c r="X24" s="6" t="str">
        <f>Tab_Data_Flows[[#This Row],[UoM_Flow_Py]]</f>
        <v>Mg</v>
      </c>
      <c r="Y24" s="139">
        <f>INDEX(Tab_Def_Flows[[Flow_ID]:[CC_DM_source]],MATCH(Tab_Data_Flows[[#This Row],[Flow_Name]],Tab_Def_Flows[Flow_Name],0),14)</f>
        <v>0</v>
      </c>
      <c r="Z24" s="6" t="str">
        <f>Tab_Data_Flows[[#This Row],[Flow_ID]]&amp;"_"&amp;"DM_"&amp;Tab_Data_Flows[[#This Row],[Flow_Data_Year]]</f>
        <v>F_01_02_DM_2047</v>
      </c>
      <c r="AA24" s="6">
        <f>IF(E24="Yes",Y24*Tab_Data_Flows[[#This Row],[Flow_Material]],"N.A.")</f>
        <v>0</v>
      </c>
      <c r="AB24" s="6" t="str">
        <f>Tab_Data_Flows[[#This Row],[UoM_Flow_Py]]</f>
        <v>Mg</v>
      </c>
      <c r="AC24" s="139">
        <f>INDEX(Tab_Def_Flows[[Flow_ID]:[CC_DM_source]],MATCH(Tab_Data_Flows[[#This Row],[Flow_Name]],Tab_Def_Flows[Flow_Name],0),17)</f>
        <v>0</v>
      </c>
      <c r="AD24" s="6" t="str">
        <f>Tab_Data_Flows[[#This Row],[Flow_ID]]&amp;"_"&amp;"CC_"&amp;Tab_Data_Flows[[#This Row],[Flow_Data_Year]]</f>
        <v>F_01_02_CC_2047</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F_01_02</v>
      </c>
      <c r="C25" s="138" t="s">
        <v>1106</v>
      </c>
      <c r="D25" s="9" t="str">
        <f>_xlfn.XLOOKUP(C25,Tab_Def_Flows[Flow_Name],Tab_Def_Flows[WC?],,0,)</f>
        <v>Yes</v>
      </c>
      <c r="E25" s="9" t="str">
        <f>_xlfn.XLOOKUP(C25,Tab_Def_Flows[Flow_Name],Tab_Def_Flows[DM?],,0,)</f>
        <v>Yes</v>
      </c>
      <c r="F25" s="9" t="str">
        <f>_xlfn.XLOOKUP(C25,Tab_Def_Flows[Flow_Name],Tab_Def_Flows[CC?],,0,)</f>
        <v>Yes</v>
      </c>
      <c r="G25" s="188">
        <v>2048</v>
      </c>
      <c r="H25" s="189">
        <v>260422.91873684211</v>
      </c>
      <c r="I25" s="6" t="str">
        <f>'0_Configuration'!$C$35</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t="str">
        <f>INDEX(Tab_Def_Flows[[Flow_ID]:[CC_DM_source]],MATCH(Tab_Data_Flows[[#This Row],[Flow_Name]],Tab_Def_Flows[Flow_Name],0),11)</f>
        <v>Yes</v>
      </c>
      <c r="V25" s="6" t="str">
        <f>Tab_Data_Flows[[#This Row],[Flow_ID]]&amp;"_"&amp;"WC_"&amp;Tab_Data_Flows[[#This Row],[Flow_Data_Year]]</f>
        <v>F_01_02_WC_2048</v>
      </c>
      <c r="W25" s="6" t="e">
        <f>IF(D25="Yes",S25*Tab_Data_Flows[[#This Row],[WC_'[%']]],"N.A.")</f>
        <v>#VALUE!</v>
      </c>
      <c r="X25" s="6" t="str">
        <f>Tab_Data_Flows[[#This Row],[UoM_Flow_Py]]</f>
        <v>Mg</v>
      </c>
      <c r="Y25" s="139">
        <f>INDEX(Tab_Def_Flows[[Flow_ID]:[CC_DM_source]],MATCH(Tab_Data_Flows[[#This Row],[Flow_Name]],Tab_Def_Flows[Flow_Name],0),14)</f>
        <v>0</v>
      </c>
      <c r="Z25" s="6" t="str">
        <f>Tab_Data_Flows[[#This Row],[Flow_ID]]&amp;"_"&amp;"DM_"&amp;Tab_Data_Flows[[#This Row],[Flow_Data_Year]]</f>
        <v>F_01_02_DM_2048</v>
      </c>
      <c r="AA25" s="6">
        <f>IF(E25="Yes",Y25*Tab_Data_Flows[[#This Row],[Flow_Material]],"N.A.")</f>
        <v>0</v>
      </c>
      <c r="AB25" s="6" t="str">
        <f>Tab_Data_Flows[[#This Row],[UoM_Flow_Py]]</f>
        <v>Mg</v>
      </c>
      <c r="AC25" s="139">
        <f>INDEX(Tab_Def_Flows[[Flow_ID]:[CC_DM_source]],MATCH(Tab_Data_Flows[[#This Row],[Flow_Name]],Tab_Def_Flows[Flow_Name],0),17)</f>
        <v>0</v>
      </c>
      <c r="AD25" s="6" t="str">
        <f>Tab_Data_Flows[[#This Row],[Flow_ID]]&amp;"_"&amp;"CC_"&amp;Tab_Data_Flows[[#This Row],[Flow_Data_Year]]</f>
        <v>F_01_02_CC_2048</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F_01_02</v>
      </c>
      <c r="C26" s="138" t="s">
        <v>1106</v>
      </c>
      <c r="D26" s="9" t="str">
        <f>_xlfn.XLOOKUP(C26,Tab_Def_Flows[Flow_Name],Tab_Def_Flows[WC?],,0,)</f>
        <v>Yes</v>
      </c>
      <c r="E26" s="9" t="str">
        <f>_xlfn.XLOOKUP(C26,Tab_Def_Flows[Flow_Name],Tab_Def_Flows[DM?],,0,)</f>
        <v>Yes</v>
      </c>
      <c r="F26" s="9" t="str">
        <f>_xlfn.XLOOKUP(C26,Tab_Def_Flows[Flow_Name],Tab_Def_Flows[CC?],,0,)</f>
        <v>Yes</v>
      </c>
      <c r="G26" s="188">
        <v>2049</v>
      </c>
      <c r="H26" s="189">
        <v>368682.54315789475</v>
      </c>
      <c r="I26" s="6" t="str">
        <f>'0_Configuration'!$C$35</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t="str">
        <f>INDEX(Tab_Def_Flows[[Flow_ID]:[CC_DM_source]],MATCH(Tab_Data_Flows[[#This Row],[Flow_Name]],Tab_Def_Flows[Flow_Name],0),11)</f>
        <v>Yes</v>
      </c>
      <c r="V26" s="6" t="str">
        <f>Tab_Data_Flows[[#This Row],[Flow_ID]]&amp;"_"&amp;"WC_"&amp;Tab_Data_Flows[[#This Row],[Flow_Data_Year]]</f>
        <v>F_01_02_WC_2049</v>
      </c>
      <c r="W26" s="6" t="e">
        <f>IF(D26="Yes",S26*Tab_Data_Flows[[#This Row],[WC_'[%']]],"N.A.")</f>
        <v>#VALUE!</v>
      </c>
      <c r="X26" s="6" t="str">
        <f>Tab_Data_Flows[[#This Row],[UoM_Flow_Py]]</f>
        <v>Mg</v>
      </c>
      <c r="Y26" s="139">
        <f>INDEX(Tab_Def_Flows[[Flow_ID]:[CC_DM_source]],MATCH(Tab_Data_Flows[[#This Row],[Flow_Name]],Tab_Def_Flows[Flow_Name],0),14)</f>
        <v>0</v>
      </c>
      <c r="Z26" s="6" t="str">
        <f>Tab_Data_Flows[[#This Row],[Flow_ID]]&amp;"_"&amp;"DM_"&amp;Tab_Data_Flows[[#This Row],[Flow_Data_Year]]</f>
        <v>F_01_02_DM_2049</v>
      </c>
      <c r="AA26" s="6">
        <f>IF(E26="Yes",Y26*Tab_Data_Flows[[#This Row],[Flow_Material]],"N.A.")</f>
        <v>0</v>
      </c>
      <c r="AB26" s="6" t="str">
        <f>Tab_Data_Flows[[#This Row],[UoM_Flow_Py]]</f>
        <v>Mg</v>
      </c>
      <c r="AC26" s="139">
        <f>INDEX(Tab_Def_Flows[[Flow_ID]:[CC_DM_source]],MATCH(Tab_Data_Flows[[#This Row],[Flow_Name]],Tab_Def_Flows[Flow_Name],0),17)</f>
        <v>0</v>
      </c>
      <c r="AD26" s="6" t="str">
        <f>Tab_Data_Flows[[#This Row],[Flow_ID]]&amp;"_"&amp;"CC_"&amp;Tab_Data_Flows[[#This Row],[Flow_Data_Year]]</f>
        <v>F_01_02_CC_2049</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F_01_02</v>
      </c>
      <c r="C27" s="138" t="s">
        <v>1106</v>
      </c>
      <c r="D27" s="9" t="str">
        <f>_xlfn.XLOOKUP(C27,Tab_Def_Flows[Flow_Name],Tab_Def_Flows[WC?],,0,)</f>
        <v>Yes</v>
      </c>
      <c r="E27" s="9" t="str">
        <f>_xlfn.XLOOKUP(C27,Tab_Def_Flows[Flow_Name],Tab_Def_Flows[DM?],,0,)</f>
        <v>Yes</v>
      </c>
      <c r="F27" s="9" t="str">
        <f>_xlfn.XLOOKUP(C27,Tab_Def_Flows[Flow_Name],Tab_Def_Flows[CC?],,0,)</f>
        <v>Yes</v>
      </c>
      <c r="G27" s="188">
        <v>2050</v>
      </c>
      <c r="H27" s="189">
        <v>449268.92463157896</v>
      </c>
      <c r="I27" s="6" t="str">
        <f>'0_Configuration'!$C$35</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t="str">
        <f>INDEX(Tab_Def_Flows[[Flow_ID]:[CC_DM_source]],MATCH(Tab_Data_Flows[[#This Row],[Flow_Name]],Tab_Def_Flows[Flow_Name],0),11)</f>
        <v>Yes</v>
      </c>
      <c r="V27" s="6" t="str">
        <f>Tab_Data_Flows[[#This Row],[Flow_ID]]&amp;"_"&amp;"WC_"&amp;Tab_Data_Flows[[#This Row],[Flow_Data_Year]]</f>
        <v>F_01_02_WC_2050</v>
      </c>
      <c r="W27" s="6" t="e">
        <f>IF(D27="Yes",S27*Tab_Data_Flows[[#This Row],[WC_'[%']]],"N.A.")</f>
        <v>#VALUE!</v>
      </c>
      <c r="X27" s="6" t="str">
        <f>Tab_Data_Flows[[#This Row],[UoM_Flow_Py]]</f>
        <v>Mg</v>
      </c>
      <c r="Y27" s="139">
        <f>INDEX(Tab_Def_Flows[[Flow_ID]:[CC_DM_source]],MATCH(Tab_Data_Flows[[#This Row],[Flow_Name]],Tab_Def_Flows[Flow_Name],0),14)</f>
        <v>0</v>
      </c>
      <c r="Z27" s="6" t="str">
        <f>Tab_Data_Flows[[#This Row],[Flow_ID]]&amp;"_"&amp;"DM_"&amp;Tab_Data_Flows[[#This Row],[Flow_Data_Year]]</f>
        <v>F_01_02_DM_2050</v>
      </c>
      <c r="AA27" s="6">
        <f>IF(E27="Yes",Y27*Tab_Data_Flows[[#This Row],[Flow_Material]],"N.A.")</f>
        <v>0</v>
      </c>
      <c r="AB27" s="6" t="str">
        <f>Tab_Data_Flows[[#This Row],[UoM_Flow_Py]]</f>
        <v>Mg</v>
      </c>
      <c r="AC27" s="139">
        <f>INDEX(Tab_Def_Flows[[Flow_ID]:[CC_DM_source]],MATCH(Tab_Data_Flows[[#This Row],[Flow_Name]],Tab_Def_Flows[Flow_Name],0),17)</f>
        <v>0</v>
      </c>
      <c r="AD27" s="6" t="str">
        <f>Tab_Data_Flows[[#This Row],[Flow_ID]]&amp;"_"&amp;"CC_"&amp;Tab_Data_Flows[[#This Row],[Flow_Data_Year]]</f>
        <v>F_01_02_CC_2050</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F_00_02</v>
      </c>
      <c r="C28" s="138" t="s">
        <v>1107</v>
      </c>
      <c r="D28" s="9" t="str">
        <f>_xlfn.XLOOKUP(C28,Tab_Def_Flows[Flow_Name],Tab_Def_Flows[WC?],,0,)</f>
        <v>Yes</v>
      </c>
      <c r="E28" s="9" t="str">
        <f>_xlfn.XLOOKUP(C28,Tab_Def_Flows[Flow_Name],Tab_Def_Flows[DM?],,0,)</f>
        <v>Yes</v>
      </c>
      <c r="F28" s="9" t="str">
        <f>_xlfn.XLOOKUP(C28,Tab_Def_Flows[Flow_Name],Tab_Def_Flows[CC?],,0,)</f>
        <v>Yes</v>
      </c>
      <c r="G28" s="188">
        <v>2025</v>
      </c>
      <c r="H28" s="189">
        <v>706564.77978947375</v>
      </c>
      <c r="I28" s="6" t="str">
        <f>'0_Configuration'!$C$35</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t="str">
        <f>INDEX(Tab_Def_Flows[[Flow_ID]:[CC_DM_source]],MATCH(Tab_Data_Flows[[#This Row],[Flow_Name]],Tab_Def_Flows[Flow_Name],0),11)</f>
        <v>Yes</v>
      </c>
      <c r="V28" s="6" t="str">
        <f>Tab_Data_Flows[[#This Row],[Flow_ID]]&amp;"_"&amp;"WC_"&amp;Tab_Data_Flows[[#This Row],[Flow_Data_Year]]</f>
        <v>F_00_02_WC_2025</v>
      </c>
      <c r="W28" s="6" t="e">
        <f>IF(D28="Yes",S28*Tab_Data_Flows[[#This Row],[WC_'[%']]],"N.A.")</f>
        <v>#VALUE!</v>
      </c>
      <c r="X28" s="6" t="str">
        <f>Tab_Data_Flows[[#This Row],[UoM_Flow_Py]]</f>
        <v>Mg</v>
      </c>
      <c r="Y28" s="139">
        <f>INDEX(Tab_Def_Flows[[Flow_ID]:[CC_DM_source]],MATCH(Tab_Data_Flows[[#This Row],[Flow_Name]],Tab_Def_Flows[Flow_Name],0),14)</f>
        <v>0</v>
      </c>
      <c r="Z28" s="6" t="str">
        <f>Tab_Data_Flows[[#This Row],[Flow_ID]]&amp;"_"&amp;"DM_"&amp;Tab_Data_Flows[[#This Row],[Flow_Data_Year]]</f>
        <v>F_00_02_DM_2025</v>
      </c>
      <c r="AA28" s="6">
        <f>IF(E28="Yes",Y28*Tab_Data_Flows[[#This Row],[Flow_Material]],"N.A.")</f>
        <v>0</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1107</v>
      </c>
      <c r="D29" s="9" t="str">
        <f>_xlfn.XLOOKUP(C29,Tab_Def_Flows[Flow_Name],Tab_Def_Flows[WC?],,0,)</f>
        <v>Yes</v>
      </c>
      <c r="E29" s="9" t="str">
        <f>_xlfn.XLOOKUP(C29,Tab_Def_Flows[Flow_Name],Tab_Def_Flows[DM?],,0,)</f>
        <v>Yes</v>
      </c>
      <c r="F29" s="9" t="str">
        <f>_xlfn.XLOOKUP(C29,Tab_Def_Flows[Flow_Name],Tab_Def_Flows[CC?],,0,)</f>
        <v>Yes</v>
      </c>
      <c r="G29" s="188">
        <v>2026</v>
      </c>
      <c r="H29" s="189">
        <v>595488.79157894733</v>
      </c>
      <c r="I29" s="6" t="str">
        <f>'0_Configuration'!$C$35</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t="str">
        <f>INDEX(Tab_Def_Flows[[Flow_ID]:[CC_DM_source]],MATCH(Tab_Data_Flows[[#This Row],[Flow_Name]],Tab_Def_Flows[Flow_Name],0),11)</f>
        <v>Yes</v>
      </c>
      <c r="V29" s="6" t="str">
        <f>Tab_Data_Flows[[#This Row],[Flow_ID]]&amp;"_"&amp;"WC_"&amp;Tab_Data_Flows[[#This Row],[Flow_Data_Year]]</f>
        <v>F_00_02_WC_2026</v>
      </c>
      <c r="W29" s="6" t="e">
        <f>IF(D29="Yes",S29*Tab_Data_Flows[[#This Row],[WC_'[%']]],"N.A.")</f>
        <v>#VALUE!</v>
      </c>
      <c r="X29" s="6" t="str">
        <f>Tab_Data_Flows[[#This Row],[UoM_Flow_Py]]</f>
        <v>Mg</v>
      </c>
      <c r="Y29" s="139">
        <f>INDEX(Tab_Def_Flows[[Flow_ID]:[CC_DM_source]],MATCH(Tab_Data_Flows[[#This Row],[Flow_Name]],Tab_Def_Flows[Flow_Name],0),14)</f>
        <v>0</v>
      </c>
      <c r="Z29" s="6" t="str">
        <f>Tab_Data_Flows[[#This Row],[Flow_ID]]&amp;"_"&amp;"DM_"&amp;Tab_Data_Flows[[#This Row],[Flow_Data_Year]]</f>
        <v>F_00_02_DM_2026</v>
      </c>
      <c r="AA29" s="6">
        <f>IF(E29="Yes",Y29*Tab_Data_Flows[[#This Row],[Flow_Material]],"N.A.")</f>
        <v>0</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1107</v>
      </c>
      <c r="D30" s="9" t="str">
        <f>_xlfn.XLOOKUP(C30,Tab_Def_Flows[Flow_Name],Tab_Def_Flows[WC?],,0,)</f>
        <v>Yes</v>
      </c>
      <c r="E30" s="9" t="str">
        <f>_xlfn.XLOOKUP(C30,Tab_Def_Flows[Flow_Name],Tab_Def_Flows[DM?],,0,)</f>
        <v>Yes</v>
      </c>
      <c r="F30" s="9" t="str">
        <f>_xlfn.XLOOKUP(C30,Tab_Def_Flows[Flow_Name],Tab_Def_Flows[CC?],,0,)</f>
        <v>Yes</v>
      </c>
      <c r="G30" s="188">
        <v>2027</v>
      </c>
      <c r="H30" s="189">
        <v>732975.18147368403</v>
      </c>
      <c r="I30" s="6" t="str">
        <f>'0_Configuration'!$C$35</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t="str">
        <f>INDEX(Tab_Def_Flows[[Flow_ID]:[CC_DM_source]],MATCH(Tab_Data_Flows[[#This Row],[Flow_Name]],Tab_Def_Flows[Flow_Name],0),11)</f>
        <v>Yes</v>
      </c>
      <c r="V30" s="6" t="str">
        <f>Tab_Data_Flows[[#This Row],[Flow_ID]]&amp;"_"&amp;"WC_"&amp;Tab_Data_Flows[[#This Row],[Flow_Data_Year]]</f>
        <v>F_00_02_WC_2027</v>
      </c>
      <c r="W30" s="6" t="e">
        <f>IF(D30="Yes",S30*Tab_Data_Flows[[#This Row],[WC_'[%']]],"N.A.")</f>
        <v>#VALUE!</v>
      </c>
      <c r="X30" s="6" t="str">
        <f>Tab_Data_Flows[[#This Row],[UoM_Flow_Py]]</f>
        <v>Mg</v>
      </c>
      <c r="Y30" s="139">
        <f>INDEX(Tab_Def_Flows[[Flow_ID]:[CC_DM_source]],MATCH(Tab_Data_Flows[[#This Row],[Flow_Name]],Tab_Def_Flows[Flow_Name],0),14)</f>
        <v>0</v>
      </c>
      <c r="Z30" s="6" t="str">
        <f>Tab_Data_Flows[[#This Row],[Flow_ID]]&amp;"_"&amp;"DM_"&amp;Tab_Data_Flows[[#This Row],[Flow_Data_Year]]</f>
        <v>F_00_02_DM_2027</v>
      </c>
      <c r="AA30" s="6">
        <f>IF(E30="Yes",Y30*Tab_Data_Flows[[#This Row],[Flow_Material]],"N.A.")</f>
        <v>0</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1107</v>
      </c>
      <c r="D31" s="9" t="str">
        <f>_xlfn.XLOOKUP(C31,Tab_Def_Flows[Flow_Name],Tab_Def_Flows[WC?],,0,)</f>
        <v>Yes</v>
      </c>
      <c r="E31" s="9" t="str">
        <f>_xlfn.XLOOKUP(C31,Tab_Def_Flows[Flow_Name],Tab_Def_Flows[DM?],,0,)</f>
        <v>Yes</v>
      </c>
      <c r="F31" s="9" t="str">
        <f>_xlfn.XLOOKUP(C31,Tab_Def_Flows[Flow_Name],Tab_Def_Flows[CC?],,0,)</f>
        <v>Yes</v>
      </c>
      <c r="G31" s="188">
        <v>2028</v>
      </c>
      <c r="H31" s="189">
        <v>886098.39831578941</v>
      </c>
      <c r="I31" s="6" t="str">
        <f>'0_Configuration'!$C$35</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t="str">
        <f>INDEX(Tab_Def_Flows[[Flow_ID]:[CC_DM_source]],MATCH(Tab_Data_Flows[[#This Row],[Flow_Name]],Tab_Def_Flows[Flow_Name],0),11)</f>
        <v>Yes</v>
      </c>
      <c r="V31" s="6" t="str">
        <f>Tab_Data_Flows[[#This Row],[Flow_ID]]&amp;"_"&amp;"WC_"&amp;Tab_Data_Flows[[#This Row],[Flow_Data_Year]]</f>
        <v>F_00_02_WC_2028</v>
      </c>
      <c r="W31" s="6" t="e">
        <f>IF(D31="Yes",S31*Tab_Data_Flows[[#This Row],[WC_'[%']]],"N.A.")</f>
        <v>#VALUE!</v>
      </c>
      <c r="X31" s="6" t="str">
        <f>Tab_Data_Flows[[#This Row],[UoM_Flow_Py]]</f>
        <v>Mg</v>
      </c>
      <c r="Y31" s="139">
        <f>INDEX(Tab_Def_Flows[[Flow_ID]:[CC_DM_source]],MATCH(Tab_Data_Flows[[#This Row],[Flow_Name]],Tab_Def_Flows[Flow_Name],0),14)</f>
        <v>0</v>
      </c>
      <c r="Z31" s="6" t="str">
        <f>Tab_Data_Flows[[#This Row],[Flow_ID]]&amp;"_"&amp;"DM_"&amp;Tab_Data_Flows[[#This Row],[Flow_Data_Year]]</f>
        <v>F_00_02_DM_2028</v>
      </c>
      <c r="AA31" s="6">
        <f>IF(E31="Yes",Y31*Tab_Data_Flows[[#This Row],[Flow_Material]],"N.A.")</f>
        <v>0</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1107</v>
      </c>
      <c r="D32" s="9" t="str">
        <f>_xlfn.XLOOKUP(C32,Tab_Def_Flows[Flow_Name],Tab_Def_Flows[WC?],,0,)</f>
        <v>Yes</v>
      </c>
      <c r="E32" s="9" t="str">
        <f>_xlfn.XLOOKUP(C32,Tab_Def_Flows[Flow_Name],Tab_Def_Flows[DM?],,0,)</f>
        <v>Yes</v>
      </c>
      <c r="F32" s="9" t="str">
        <f>_xlfn.XLOOKUP(C32,Tab_Def_Flows[Flow_Name],Tab_Def_Flows[CC?],,0,)</f>
        <v>Yes</v>
      </c>
      <c r="G32" s="188">
        <v>2029</v>
      </c>
      <c r="H32" s="189">
        <v>578718.3595789473</v>
      </c>
      <c r="I32" s="6" t="str">
        <f>'0_Configuration'!$C$35</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t="str">
        <f>INDEX(Tab_Def_Flows[[Flow_ID]:[CC_DM_source]],MATCH(Tab_Data_Flows[[#This Row],[Flow_Name]],Tab_Def_Flows[Flow_Name],0),11)</f>
        <v>Yes</v>
      </c>
      <c r="V32" s="6" t="str">
        <f>Tab_Data_Flows[[#This Row],[Flow_ID]]&amp;"_"&amp;"WC_"&amp;Tab_Data_Flows[[#This Row],[Flow_Data_Year]]</f>
        <v>F_00_02_WC_2029</v>
      </c>
      <c r="W32" s="6" t="e">
        <f>IF(D32="Yes",S32*Tab_Data_Flows[[#This Row],[WC_'[%']]],"N.A.")</f>
        <v>#VALUE!</v>
      </c>
      <c r="X32" s="6" t="str">
        <f>Tab_Data_Flows[[#This Row],[UoM_Flow_Py]]</f>
        <v>Mg</v>
      </c>
      <c r="Y32" s="139">
        <f>INDEX(Tab_Def_Flows[[Flow_ID]:[CC_DM_source]],MATCH(Tab_Data_Flows[[#This Row],[Flow_Name]],Tab_Def_Flows[Flow_Name],0),14)</f>
        <v>0</v>
      </c>
      <c r="Z32" s="6" t="str">
        <f>Tab_Data_Flows[[#This Row],[Flow_ID]]&amp;"_"&amp;"DM_"&amp;Tab_Data_Flows[[#This Row],[Flow_Data_Year]]</f>
        <v>F_00_02_DM_2029</v>
      </c>
      <c r="AA32" s="6">
        <f>IF(E32="Yes",Y32*Tab_Data_Flows[[#This Row],[Flow_Material]],"N.A.")</f>
        <v>0</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1107</v>
      </c>
      <c r="D33" s="9" t="str">
        <f>_xlfn.XLOOKUP(C33,Tab_Def_Flows[Flow_Name],Tab_Def_Flows[WC?],,0,)</f>
        <v>Yes</v>
      </c>
      <c r="E33" s="9" t="str">
        <f>_xlfn.XLOOKUP(C33,Tab_Def_Flows[Flow_Name],Tab_Def_Flows[DM?],,0,)</f>
        <v>Yes</v>
      </c>
      <c r="F33" s="9" t="str">
        <f>_xlfn.XLOOKUP(C33,Tab_Def_Flows[Flow_Name],Tab_Def_Flows[CC?],,0,)</f>
        <v>Yes</v>
      </c>
      <c r="G33" s="188">
        <v>2030</v>
      </c>
      <c r="H33" s="189">
        <v>578718.3595789473</v>
      </c>
      <c r="I33" s="6" t="str">
        <f>'0_Configuration'!$C$35</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t="str">
        <f>INDEX(Tab_Def_Flows[[Flow_ID]:[CC_DM_source]],MATCH(Tab_Data_Flows[[#This Row],[Flow_Name]],Tab_Def_Flows[Flow_Name],0),11)</f>
        <v>Yes</v>
      </c>
      <c r="V33" s="6" t="str">
        <f>Tab_Data_Flows[[#This Row],[Flow_ID]]&amp;"_"&amp;"WC_"&amp;Tab_Data_Flows[[#This Row],[Flow_Data_Year]]</f>
        <v>F_00_02_WC_2030</v>
      </c>
      <c r="W33" s="6" t="e">
        <f>IF(D33="Yes",S33*Tab_Data_Flows[[#This Row],[WC_'[%']]],"N.A.")</f>
        <v>#VALUE!</v>
      </c>
      <c r="X33" s="6" t="str">
        <f>Tab_Data_Flows[[#This Row],[UoM_Flow_Py]]</f>
        <v>Mg</v>
      </c>
      <c r="Y33" s="139">
        <f>INDEX(Tab_Def_Flows[[Flow_ID]:[CC_DM_source]],MATCH(Tab_Data_Flows[[#This Row],[Flow_Name]],Tab_Def_Flows[Flow_Name],0),14)</f>
        <v>0</v>
      </c>
      <c r="Z33" s="6" t="str">
        <f>Tab_Data_Flows[[#This Row],[Flow_ID]]&amp;"_"&amp;"DM_"&amp;Tab_Data_Flows[[#This Row],[Flow_Data_Year]]</f>
        <v>F_00_02_DM_2030</v>
      </c>
      <c r="AA33" s="6">
        <f>IF(E33="Yes",Y33*Tab_Data_Flows[[#This Row],[Flow_Material]],"N.A.")</f>
        <v>0</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1107</v>
      </c>
      <c r="D34" s="9" t="str">
        <f>_xlfn.XLOOKUP(C34,Tab_Def_Flows[Flow_Name],Tab_Def_Flows[WC?],,0,)</f>
        <v>Yes</v>
      </c>
      <c r="E34" s="9" t="str">
        <f>_xlfn.XLOOKUP(C34,Tab_Def_Flows[Flow_Name],Tab_Def_Flows[DM?],,0,)</f>
        <v>Yes</v>
      </c>
      <c r="F34" s="9" t="str">
        <f>_xlfn.XLOOKUP(C34,Tab_Def_Flows[Flow_Name],Tab_Def_Flows[CC?],,0,)</f>
        <v>Yes</v>
      </c>
      <c r="G34" s="188">
        <v>2031</v>
      </c>
      <c r="H34" s="189">
        <v>895920.09094736818</v>
      </c>
      <c r="I34" s="6" t="str">
        <f>'0_Configuration'!$C$35</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t="str">
        <f>INDEX(Tab_Def_Flows[[Flow_ID]:[CC_DM_source]],MATCH(Tab_Data_Flows[[#This Row],[Flow_Name]],Tab_Def_Flows[Flow_Name],0),11)</f>
        <v>Yes</v>
      </c>
      <c r="V34" s="6" t="str">
        <f>Tab_Data_Flows[[#This Row],[Flow_ID]]&amp;"_"&amp;"WC_"&amp;Tab_Data_Flows[[#This Row],[Flow_Data_Year]]</f>
        <v>F_00_02_WC_2031</v>
      </c>
      <c r="W34" s="6" t="e">
        <f>IF(D34="Yes",S34*Tab_Data_Flows[[#This Row],[WC_'[%']]],"N.A.")</f>
        <v>#VALUE!</v>
      </c>
      <c r="X34" s="6" t="str">
        <f>Tab_Data_Flows[[#This Row],[UoM_Flow_Py]]</f>
        <v>Mg</v>
      </c>
      <c r="Y34" s="139">
        <f>INDEX(Tab_Def_Flows[[Flow_ID]:[CC_DM_source]],MATCH(Tab_Data_Flows[[#This Row],[Flow_Name]],Tab_Def_Flows[Flow_Name],0),14)</f>
        <v>0</v>
      </c>
      <c r="Z34" s="6" t="str">
        <f>Tab_Data_Flows[[#This Row],[Flow_ID]]&amp;"_"&amp;"DM_"&amp;Tab_Data_Flows[[#This Row],[Flow_Data_Year]]</f>
        <v>F_00_02_DM_2031</v>
      </c>
      <c r="AA34" s="6">
        <f>IF(E34="Yes",Y34*Tab_Data_Flows[[#This Row],[Flow_Material]],"N.A.")</f>
        <v>0</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1107</v>
      </c>
      <c r="D35" s="9" t="str">
        <f>_xlfn.XLOOKUP(C35,Tab_Def_Flows[Flow_Name],Tab_Def_Flows[WC?],,0,)</f>
        <v>Yes</v>
      </c>
      <c r="E35" s="9" t="str">
        <f>_xlfn.XLOOKUP(C35,Tab_Def_Flows[Flow_Name],Tab_Def_Flows[DM?],,0,)</f>
        <v>Yes</v>
      </c>
      <c r="F35" s="9" t="str">
        <f>_xlfn.XLOOKUP(C35,Tab_Def_Flows[Flow_Name],Tab_Def_Flows[CC?],,0,)</f>
        <v>Yes</v>
      </c>
      <c r="G35" s="188">
        <v>2032</v>
      </c>
      <c r="H35" s="189">
        <v>753916.58778947371</v>
      </c>
      <c r="I35" s="6" t="str">
        <f>'0_Configuration'!$C$35</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t="str">
        <f>INDEX(Tab_Def_Flows[[Flow_ID]:[CC_DM_source]],MATCH(Tab_Data_Flows[[#This Row],[Flow_Name]],Tab_Def_Flows[Flow_Name],0),11)</f>
        <v>Yes</v>
      </c>
      <c r="V35" s="6" t="str">
        <f>Tab_Data_Flows[[#This Row],[Flow_ID]]&amp;"_"&amp;"WC_"&amp;Tab_Data_Flows[[#This Row],[Flow_Data_Year]]</f>
        <v>F_00_02_WC_2032</v>
      </c>
      <c r="W35" s="6" t="e">
        <f>IF(D35="Yes",S35*Tab_Data_Flows[[#This Row],[WC_'[%']]],"N.A.")</f>
        <v>#VALUE!</v>
      </c>
      <c r="X35" s="6" t="str">
        <f>Tab_Data_Flows[[#This Row],[UoM_Flow_Py]]</f>
        <v>Mg</v>
      </c>
      <c r="Y35" s="139">
        <f>INDEX(Tab_Def_Flows[[Flow_ID]:[CC_DM_source]],MATCH(Tab_Data_Flows[[#This Row],[Flow_Name]],Tab_Def_Flows[Flow_Name],0),14)</f>
        <v>0</v>
      </c>
      <c r="Z35" s="6" t="str">
        <f>Tab_Data_Flows[[#This Row],[Flow_ID]]&amp;"_"&amp;"DM_"&amp;Tab_Data_Flows[[#This Row],[Flow_Data_Year]]</f>
        <v>F_00_02_DM_2032</v>
      </c>
      <c r="AA35" s="6">
        <f>IF(E35="Yes",Y35*Tab_Data_Flows[[#This Row],[Flow_Material]],"N.A.")</f>
        <v>0</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1107</v>
      </c>
      <c r="D36" s="9" t="str">
        <f>_xlfn.XLOOKUP(C36,Tab_Def_Flows[Flow_Name],Tab_Def_Flows[WC?],,0,)</f>
        <v>Yes</v>
      </c>
      <c r="E36" s="9" t="str">
        <f>_xlfn.XLOOKUP(C36,Tab_Def_Flows[Flow_Name],Tab_Def_Flows[DM?],,0,)</f>
        <v>Yes</v>
      </c>
      <c r="F36" s="9" t="str">
        <f>_xlfn.XLOOKUP(C36,Tab_Def_Flows[Flow_Name],Tab_Def_Flows[CC?],,0,)</f>
        <v>Yes</v>
      </c>
      <c r="G36" s="188">
        <v>2033</v>
      </c>
      <c r="H36" s="189">
        <v>537553.78526315792</v>
      </c>
      <c r="I36" s="6" t="str">
        <f>'0_Configuration'!$C$35</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t="str">
        <f>INDEX(Tab_Def_Flows[[Flow_ID]:[CC_DM_source]],MATCH(Tab_Data_Flows[[#This Row],[Flow_Name]],Tab_Def_Flows[Flow_Name],0),11)</f>
        <v>Yes</v>
      </c>
      <c r="V36" s="6" t="str">
        <f>Tab_Data_Flows[[#This Row],[Flow_ID]]&amp;"_"&amp;"WC_"&amp;Tab_Data_Flows[[#This Row],[Flow_Data_Year]]</f>
        <v>F_00_02_WC_2033</v>
      </c>
      <c r="W36" s="6" t="e">
        <f>IF(D36="Yes",S36*Tab_Data_Flows[[#This Row],[WC_'[%']]],"N.A.")</f>
        <v>#VALUE!</v>
      </c>
      <c r="X36" s="6" t="str">
        <f>Tab_Data_Flows[[#This Row],[UoM_Flow_Py]]</f>
        <v>Mg</v>
      </c>
      <c r="Y36" s="139">
        <f>INDEX(Tab_Def_Flows[[Flow_ID]:[CC_DM_source]],MATCH(Tab_Data_Flows[[#This Row],[Flow_Name]],Tab_Def_Flows[Flow_Name],0),14)</f>
        <v>0</v>
      </c>
      <c r="Z36" s="6" t="str">
        <f>Tab_Data_Flows[[#This Row],[Flow_ID]]&amp;"_"&amp;"DM_"&amp;Tab_Data_Flows[[#This Row],[Flow_Data_Year]]</f>
        <v>F_00_02_DM_2033</v>
      </c>
      <c r="AA36" s="6">
        <f>IF(E36="Yes",Y36*Tab_Data_Flows[[#This Row],[Flow_Material]],"N.A.")</f>
        <v>0</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1107</v>
      </c>
      <c r="D37" s="9" t="str">
        <f>_xlfn.XLOOKUP(C37,Tab_Def_Flows[Flow_Name],Tab_Def_Flows[WC?],,0,)</f>
        <v>Yes</v>
      </c>
      <c r="E37" s="9" t="str">
        <f>_xlfn.XLOOKUP(C37,Tab_Def_Flows[Flow_Name],Tab_Def_Flows[DM?],,0,)</f>
        <v>Yes</v>
      </c>
      <c r="F37" s="9" t="str">
        <f>_xlfn.XLOOKUP(C37,Tab_Def_Flows[Flow_Name],Tab_Def_Flows[CC?],,0,)</f>
        <v>Yes</v>
      </c>
      <c r="G37" s="188">
        <v>2034</v>
      </c>
      <c r="H37" s="189">
        <v>714586.54989473685</v>
      </c>
      <c r="I37" s="6" t="str">
        <f>'0_Configuration'!$C$35</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t="str">
        <f>INDEX(Tab_Def_Flows[[Flow_ID]:[CC_DM_source]],MATCH(Tab_Data_Flows[[#This Row],[Flow_Name]],Tab_Def_Flows[Flow_Name],0),11)</f>
        <v>Yes</v>
      </c>
      <c r="V37" s="6" t="str">
        <f>Tab_Data_Flows[[#This Row],[Flow_ID]]&amp;"_"&amp;"WC_"&amp;Tab_Data_Flows[[#This Row],[Flow_Data_Year]]</f>
        <v>F_00_02_WC_2034</v>
      </c>
      <c r="W37" s="6" t="e">
        <f>IF(D37="Yes",S37*Tab_Data_Flows[[#This Row],[WC_'[%']]],"N.A.")</f>
        <v>#VALUE!</v>
      </c>
      <c r="X37" s="6" t="str">
        <f>Tab_Data_Flows[[#This Row],[UoM_Flow_Py]]</f>
        <v>Mg</v>
      </c>
      <c r="Y37" s="139">
        <f>INDEX(Tab_Def_Flows[[Flow_ID]:[CC_DM_source]],MATCH(Tab_Data_Flows[[#This Row],[Flow_Name]],Tab_Def_Flows[Flow_Name],0),14)</f>
        <v>0</v>
      </c>
      <c r="Z37" s="6" t="str">
        <f>Tab_Data_Flows[[#This Row],[Flow_ID]]&amp;"_"&amp;"DM_"&amp;Tab_Data_Flows[[#This Row],[Flow_Data_Year]]</f>
        <v>F_00_02_DM_2034</v>
      </c>
      <c r="AA37" s="6">
        <f>IF(E37="Yes",Y37*Tab_Data_Flows[[#This Row],[Flow_Material]],"N.A.")</f>
        <v>0</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1107</v>
      </c>
      <c r="D38" s="9" t="str">
        <f>_xlfn.XLOOKUP(C38,Tab_Def_Flows[Flow_Name],Tab_Def_Flows[WC?],,0,)</f>
        <v>Yes</v>
      </c>
      <c r="E38" s="9" t="str">
        <f>_xlfn.XLOOKUP(C38,Tab_Def_Flows[Flow_Name],Tab_Def_Flows[DM?],,0,)</f>
        <v>Yes</v>
      </c>
      <c r="F38" s="9" t="str">
        <f>_xlfn.XLOOKUP(C38,Tab_Def_Flows[Flow_Name],Tab_Def_Flows[CC?],,0,)</f>
        <v>Yes</v>
      </c>
      <c r="G38" s="188">
        <v>2035</v>
      </c>
      <c r="H38" s="189">
        <v>538609.50905263156</v>
      </c>
      <c r="I38" s="6" t="str">
        <f>'0_Configuration'!$C$35</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t="str">
        <f>INDEX(Tab_Def_Flows[[Flow_ID]:[CC_DM_source]],MATCH(Tab_Data_Flows[[#This Row],[Flow_Name]],Tab_Def_Flows[Flow_Name],0),11)</f>
        <v>Yes</v>
      </c>
      <c r="V38" s="6" t="str">
        <f>Tab_Data_Flows[[#This Row],[Flow_ID]]&amp;"_"&amp;"WC_"&amp;Tab_Data_Flows[[#This Row],[Flow_Data_Year]]</f>
        <v>F_00_02_WC_2035</v>
      </c>
      <c r="W38" s="6" t="e">
        <f>IF(D38="Yes",S38*Tab_Data_Flows[[#This Row],[WC_'[%']]],"N.A.")</f>
        <v>#VALUE!</v>
      </c>
      <c r="X38" s="6" t="str">
        <f>Tab_Data_Flows[[#This Row],[UoM_Flow_Py]]</f>
        <v>Mg</v>
      </c>
      <c r="Y38" s="139">
        <f>INDEX(Tab_Def_Flows[[Flow_ID]:[CC_DM_source]],MATCH(Tab_Data_Flows[[#This Row],[Flow_Name]],Tab_Def_Flows[Flow_Name],0),14)</f>
        <v>0</v>
      </c>
      <c r="Z38" s="6" t="str">
        <f>Tab_Data_Flows[[#This Row],[Flow_ID]]&amp;"_"&amp;"DM_"&amp;Tab_Data_Flows[[#This Row],[Flow_Data_Year]]</f>
        <v>F_00_02_DM_2035</v>
      </c>
      <c r="AA38" s="6">
        <f>IF(E38="Yes",Y38*Tab_Data_Flows[[#This Row],[Flow_Material]],"N.A.")</f>
        <v>0</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1107</v>
      </c>
      <c r="D39" s="9" t="str">
        <f>_xlfn.XLOOKUP(C39,Tab_Def_Flows[Flow_Name],Tab_Def_Flows[WC?],,0,)</f>
        <v>Yes</v>
      </c>
      <c r="E39" s="9" t="str">
        <f>_xlfn.XLOOKUP(C39,Tab_Def_Flows[Flow_Name],Tab_Def_Flows[DM?],,0,)</f>
        <v>Yes</v>
      </c>
      <c r="F39" s="9" t="str">
        <f>_xlfn.XLOOKUP(C39,Tab_Def_Flows[Flow_Name],Tab_Def_Flows[CC?],,0,)</f>
        <v>Yes</v>
      </c>
      <c r="G39" s="188">
        <v>2036</v>
      </c>
      <c r="H39" s="189">
        <v>538202.79578947369</v>
      </c>
      <c r="I39" s="6" t="str">
        <f>'0_Configuration'!$C$35</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t="str">
        <f>INDEX(Tab_Def_Flows[[Flow_ID]:[CC_DM_source]],MATCH(Tab_Data_Flows[[#This Row],[Flow_Name]],Tab_Def_Flows[Flow_Name],0),11)</f>
        <v>Yes</v>
      </c>
      <c r="V39" s="6" t="str">
        <f>Tab_Data_Flows[[#This Row],[Flow_ID]]&amp;"_"&amp;"WC_"&amp;Tab_Data_Flows[[#This Row],[Flow_Data_Year]]</f>
        <v>F_00_02_WC_2036</v>
      </c>
      <c r="W39" s="6" t="e">
        <f>IF(D39="Yes",S39*Tab_Data_Flows[[#This Row],[WC_'[%']]],"N.A.")</f>
        <v>#VALUE!</v>
      </c>
      <c r="X39" s="6" t="str">
        <f>Tab_Data_Flows[[#This Row],[UoM_Flow_Py]]</f>
        <v>Mg</v>
      </c>
      <c r="Y39" s="139">
        <f>INDEX(Tab_Def_Flows[[Flow_ID]:[CC_DM_source]],MATCH(Tab_Data_Flows[[#This Row],[Flow_Name]],Tab_Def_Flows[Flow_Name],0),14)</f>
        <v>0</v>
      </c>
      <c r="Z39" s="6" t="str">
        <f>Tab_Data_Flows[[#This Row],[Flow_ID]]&amp;"_"&amp;"DM_"&amp;Tab_Data_Flows[[#This Row],[Flow_Data_Year]]</f>
        <v>F_00_02_DM_2036</v>
      </c>
      <c r="AA39" s="6">
        <f>IF(E39="Yes",Y39*Tab_Data_Flows[[#This Row],[Flow_Material]],"N.A.")</f>
        <v>0</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1107</v>
      </c>
      <c r="D40" s="9" t="str">
        <f>_xlfn.XLOOKUP(C40,Tab_Def_Flows[Flow_Name],Tab_Def_Flows[WC?],,0,)</f>
        <v>Yes</v>
      </c>
      <c r="E40" s="9" t="str">
        <f>_xlfn.XLOOKUP(C40,Tab_Def_Flows[Flow_Name],Tab_Def_Flows[DM?],,0,)</f>
        <v>Yes</v>
      </c>
      <c r="F40" s="9" t="str">
        <f>_xlfn.XLOOKUP(C40,Tab_Def_Flows[Flow_Name],Tab_Def_Flows[CC?],,0,)</f>
        <v>Yes</v>
      </c>
      <c r="G40" s="188">
        <v>2037</v>
      </c>
      <c r="H40" s="189">
        <v>661999.39031578938</v>
      </c>
      <c r="I40" s="6" t="str">
        <f>'0_Configuration'!$C$35</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t="str">
        <f>INDEX(Tab_Def_Flows[[Flow_ID]:[CC_DM_source]],MATCH(Tab_Data_Flows[[#This Row],[Flow_Name]],Tab_Def_Flows[Flow_Name],0),11)</f>
        <v>Yes</v>
      </c>
      <c r="V40" s="6" t="str">
        <f>Tab_Data_Flows[[#This Row],[Flow_ID]]&amp;"_"&amp;"WC_"&amp;Tab_Data_Flows[[#This Row],[Flow_Data_Year]]</f>
        <v>F_00_02_WC_2037</v>
      </c>
      <c r="W40" s="6" t="e">
        <f>IF(D40="Yes",S40*Tab_Data_Flows[[#This Row],[WC_'[%']]],"N.A.")</f>
        <v>#VALUE!</v>
      </c>
      <c r="X40" s="6" t="str">
        <f>Tab_Data_Flows[[#This Row],[UoM_Flow_Py]]</f>
        <v>Mg</v>
      </c>
      <c r="Y40" s="139">
        <f>INDEX(Tab_Def_Flows[[Flow_ID]:[CC_DM_source]],MATCH(Tab_Data_Flows[[#This Row],[Flow_Name]],Tab_Def_Flows[Flow_Name],0),14)</f>
        <v>0</v>
      </c>
      <c r="Z40" s="6" t="str">
        <f>Tab_Data_Flows[[#This Row],[Flow_ID]]&amp;"_"&amp;"DM_"&amp;Tab_Data_Flows[[#This Row],[Flow_Data_Year]]</f>
        <v>F_00_02_DM_2037</v>
      </c>
      <c r="AA40" s="6">
        <f>IF(E40="Yes",Y40*Tab_Data_Flows[[#This Row],[Flow_Material]],"N.A.")</f>
        <v>0</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1107</v>
      </c>
      <c r="D41" s="9" t="str">
        <f>_xlfn.XLOOKUP(C41,Tab_Def_Flows[Flow_Name],Tab_Def_Flows[WC?],,0,)</f>
        <v>Yes</v>
      </c>
      <c r="E41" s="9" t="str">
        <f>_xlfn.XLOOKUP(C41,Tab_Def_Flows[Flow_Name],Tab_Def_Flows[DM?],,0,)</f>
        <v>Yes</v>
      </c>
      <c r="F41" s="9" t="str">
        <f>_xlfn.XLOOKUP(C41,Tab_Def_Flows[Flow_Name],Tab_Def_Flows[CC?],,0,)</f>
        <v>Yes</v>
      </c>
      <c r="G41" s="188">
        <v>2038</v>
      </c>
      <c r="H41" s="189">
        <v>284993.50231578946</v>
      </c>
      <c r="I41" s="6" t="str">
        <f>'0_Configuration'!$C$35</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t="str">
        <f>INDEX(Tab_Def_Flows[[Flow_ID]:[CC_DM_source]],MATCH(Tab_Data_Flows[[#This Row],[Flow_Name]],Tab_Def_Flows[Flow_Name],0),11)</f>
        <v>Yes</v>
      </c>
      <c r="V41" s="6" t="str">
        <f>Tab_Data_Flows[[#This Row],[Flow_ID]]&amp;"_"&amp;"WC_"&amp;Tab_Data_Flows[[#This Row],[Flow_Data_Year]]</f>
        <v>F_00_02_WC_2038</v>
      </c>
      <c r="W41" s="6" t="e">
        <f>IF(D41="Yes",S41*Tab_Data_Flows[[#This Row],[WC_'[%']]],"N.A.")</f>
        <v>#VALUE!</v>
      </c>
      <c r="X41" s="6" t="str">
        <f>Tab_Data_Flows[[#This Row],[UoM_Flow_Py]]</f>
        <v>Mg</v>
      </c>
      <c r="Y41" s="139">
        <f>INDEX(Tab_Def_Flows[[Flow_ID]:[CC_DM_source]],MATCH(Tab_Data_Flows[[#This Row],[Flow_Name]],Tab_Def_Flows[Flow_Name],0),14)</f>
        <v>0</v>
      </c>
      <c r="Z41" s="6" t="str">
        <f>Tab_Data_Flows[[#This Row],[Flow_ID]]&amp;"_"&amp;"DM_"&amp;Tab_Data_Flows[[#This Row],[Flow_Data_Year]]</f>
        <v>F_00_02_DM_2038</v>
      </c>
      <c r="AA41" s="6">
        <f>IF(E41="Yes",Y41*Tab_Data_Flows[[#This Row],[Flow_Material]],"N.A.")</f>
        <v>0</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1107</v>
      </c>
      <c r="D42" s="9" t="str">
        <f>_xlfn.XLOOKUP(C42,Tab_Def_Flows[Flow_Name],Tab_Def_Flows[WC?],,0,)</f>
        <v>Yes</v>
      </c>
      <c r="E42" s="9" t="str">
        <f>_xlfn.XLOOKUP(C42,Tab_Def_Flows[Flow_Name],Tab_Def_Flows[DM?],,0,)</f>
        <v>Yes</v>
      </c>
      <c r="F42" s="9" t="str">
        <f>_xlfn.XLOOKUP(C42,Tab_Def_Flows[Flow_Name],Tab_Def_Flows[CC?],,0,)</f>
        <v>Yes</v>
      </c>
      <c r="G42" s="188">
        <v>2039</v>
      </c>
      <c r="H42" s="189">
        <v>317937.27663157892</v>
      </c>
      <c r="I42" s="6" t="str">
        <f>'0_Configuration'!$C$35</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t="str">
        <f>INDEX(Tab_Def_Flows[[Flow_ID]:[CC_DM_source]],MATCH(Tab_Data_Flows[[#This Row],[Flow_Name]],Tab_Def_Flows[Flow_Name],0),11)</f>
        <v>Yes</v>
      </c>
      <c r="V42" s="6" t="str">
        <f>Tab_Data_Flows[[#This Row],[Flow_ID]]&amp;"_"&amp;"WC_"&amp;Tab_Data_Flows[[#This Row],[Flow_Data_Year]]</f>
        <v>F_00_02_WC_2039</v>
      </c>
      <c r="W42" s="6" t="e">
        <f>IF(D42="Yes",S42*Tab_Data_Flows[[#This Row],[WC_'[%']]],"N.A.")</f>
        <v>#VALUE!</v>
      </c>
      <c r="X42" s="6" t="str">
        <f>Tab_Data_Flows[[#This Row],[UoM_Flow_Py]]</f>
        <v>Mg</v>
      </c>
      <c r="Y42" s="139">
        <f>INDEX(Tab_Def_Flows[[Flow_ID]:[CC_DM_source]],MATCH(Tab_Data_Flows[[#This Row],[Flow_Name]],Tab_Def_Flows[Flow_Name],0),14)</f>
        <v>0</v>
      </c>
      <c r="Z42" s="6" t="str">
        <f>Tab_Data_Flows[[#This Row],[Flow_ID]]&amp;"_"&amp;"DM_"&amp;Tab_Data_Flows[[#This Row],[Flow_Data_Year]]</f>
        <v>F_00_02_DM_2039</v>
      </c>
      <c r="AA42" s="6">
        <f>IF(E42="Yes",Y42*Tab_Data_Flows[[#This Row],[Flow_Material]],"N.A.")</f>
        <v>0</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1107</v>
      </c>
      <c r="D43" s="9" t="str">
        <f>_xlfn.XLOOKUP(C43,Tab_Def_Flows[Flow_Name],Tab_Def_Flows[WC?],,0,)</f>
        <v>Yes</v>
      </c>
      <c r="E43" s="9" t="str">
        <f>_xlfn.XLOOKUP(C43,Tab_Def_Flows[Flow_Name],Tab_Def_Flows[DM?],,0,)</f>
        <v>Yes</v>
      </c>
      <c r="F43" s="9" t="str">
        <f>_xlfn.XLOOKUP(C43,Tab_Def_Flows[Flow_Name],Tab_Def_Flows[CC?],,0,)</f>
        <v>Yes</v>
      </c>
      <c r="G43" s="188">
        <v>2040</v>
      </c>
      <c r="H43" s="189">
        <v>521319.86863157892</v>
      </c>
      <c r="I43" s="6" t="str">
        <f>'0_Configuration'!$C$35</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t="str">
        <f>INDEX(Tab_Def_Flows[[Flow_ID]:[CC_DM_source]],MATCH(Tab_Data_Flows[[#This Row],[Flow_Name]],Tab_Def_Flows[Flow_Name],0),11)</f>
        <v>Yes</v>
      </c>
      <c r="V43" s="6" t="str">
        <f>Tab_Data_Flows[[#This Row],[Flow_ID]]&amp;"_"&amp;"WC_"&amp;Tab_Data_Flows[[#This Row],[Flow_Data_Year]]</f>
        <v>F_00_02_WC_2040</v>
      </c>
      <c r="W43" s="6" t="e">
        <f>IF(D43="Yes",S43*Tab_Data_Flows[[#This Row],[WC_'[%']]],"N.A.")</f>
        <v>#VALUE!</v>
      </c>
      <c r="X43" s="6" t="str">
        <f>Tab_Data_Flows[[#This Row],[UoM_Flow_Py]]</f>
        <v>Mg</v>
      </c>
      <c r="Y43" s="139">
        <f>INDEX(Tab_Def_Flows[[Flow_ID]:[CC_DM_source]],MATCH(Tab_Data_Flows[[#This Row],[Flow_Name]],Tab_Def_Flows[Flow_Name],0),14)</f>
        <v>0</v>
      </c>
      <c r="Z43" s="6" t="str">
        <f>Tab_Data_Flows[[#This Row],[Flow_ID]]&amp;"_"&amp;"DM_"&amp;Tab_Data_Flows[[#This Row],[Flow_Data_Year]]</f>
        <v>F_00_02_DM_2040</v>
      </c>
      <c r="AA43" s="6">
        <f>IF(E43="Yes",Y43*Tab_Data_Flows[[#This Row],[Flow_Material]],"N.A.")</f>
        <v>0</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1107</v>
      </c>
      <c r="D44" s="9" t="str">
        <f>_xlfn.XLOOKUP(C44,Tab_Def_Flows[Flow_Name],Tab_Def_Flows[WC?],,0,)</f>
        <v>Yes</v>
      </c>
      <c r="E44" s="9" t="str">
        <f>_xlfn.XLOOKUP(C44,Tab_Def_Flows[Flow_Name],Tab_Def_Flows[DM?],,0,)</f>
        <v>Yes</v>
      </c>
      <c r="F44" s="9" t="str">
        <f>_xlfn.XLOOKUP(C44,Tab_Def_Flows[Flow_Name],Tab_Def_Flows[CC?],,0,)</f>
        <v>Yes</v>
      </c>
      <c r="G44" s="188">
        <v>2041</v>
      </c>
      <c r="H44" s="189">
        <v>442504.03031578945</v>
      </c>
      <c r="I44" s="6" t="str">
        <f>'0_Configuration'!$C$35</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t="str">
        <f>INDEX(Tab_Def_Flows[[Flow_ID]:[CC_DM_source]],MATCH(Tab_Data_Flows[[#This Row],[Flow_Name]],Tab_Def_Flows[Flow_Name],0),11)</f>
        <v>Yes</v>
      </c>
      <c r="V44" s="6" t="str">
        <f>Tab_Data_Flows[[#This Row],[Flow_ID]]&amp;"_"&amp;"WC_"&amp;Tab_Data_Flows[[#This Row],[Flow_Data_Year]]</f>
        <v>F_00_02_WC_2041</v>
      </c>
      <c r="W44" s="6" t="e">
        <f>IF(D44="Yes",S44*Tab_Data_Flows[[#This Row],[WC_'[%']]],"N.A.")</f>
        <v>#VALUE!</v>
      </c>
      <c r="X44" s="6" t="str">
        <f>Tab_Data_Flows[[#This Row],[UoM_Flow_Py]]</f>
        <v>Mg</v>
      </c>
      <c r="Y44" s="139">
        <f>INDEX(Tab_Def_Flows[[Flow_ID]:[CC_DM_source]],MATCH(Tab_Data_Flows[[#This Row],[Flow_Name]],Tab_Def_Flows[Flow_Name],0),14)</f>
        <v>0</v>
      </c>
      <c r="Z44" s="6" t="str">
        <f>Tab_Data_Flows[[#This Row],[Flow_ID]]&amp;"_"&amp;"DM_"&amp;Tab_Data_Flows[[#This Row],[Flow_Data_Year]]</f>
        <v>F_00_02_DM_2041</v>
      </c>
      <c r="AA44" s="6">
        <f>IF(E44="Yes",Y44*Tab_Data_Flows[[#This Row],[Flow_Material]],"N.A.")</f>
        <v>0</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1107</v>
      </c>
      <c r="D45" s="9" t="str">
        <f>_xlfn.XLOOKUP(C45,Tab_Def_Flows[Flow_Name],Tab_Def_Flows[WC?],,0,)</f>
        <v>Yes</v>
      </c>
      <c r="E45" s="9" t="str">
        <f>_xlfn.XLOOKUP(C45,Tab_Def_Flows[Flow_Name],Tab_Def_Flows[DM?],,0,)</f>
        <v>Yes</v>
      </c>
      <c r="F45" s="9" t="str">
        <f>_xlfn.XLOOKUP(C45,Tab_Def_Flows[Flow_Name],Tab_Def_Flows[CC?],,0,)</f>
        <v>Yes</v>
      </c>
      <c r="G45" s="188">
        <v>2042</v>
      </c>
      <c r="H45" s="189">
        <v>674642.11536842096</v>
      </c>
      <c r="I45" s="6" t="str">
        <f>'0_Configuration'!$C$35</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t="str">
        <f>INDEX(Tab_Def_Flows[[Flow_ID]:[CC_DM_source]],MATCH(Tab_Data_Flows[[#This Row],[Flow_Name]],Tab_Def_Flows[Flow_Name],0),11)</f>
        <v>Yes</v>
      </c>
      <c r="V45" s="6" t="str">
        <f>Tab_Data_Flows[[#This Row],[Flow_ID]]&amp;"_"&amp;"WC_"&amp;Tab_Data_Flows[[#This Row],[Flow_Data_Year]]</f>
        <v>F_00_02_WC_2042</v>
      </c>
      <c r="W45" s="6" t="e">
        <f>IF(D45="Yes",S45*Tab_Data_Flows[[#This Row],[WC_'[%']]],"N.A.")</f>
        <v>#VALUE!</v>
      </c>
      <c r="X45" s="6" t="str">
        <f>Tab_Data_Flows[[#This Row],[UoM_Flow_Py]]</f>
        <v>Mg</v>
      </c>
      <c r="Y45" s="139">
        <f>INDEX(Tab_Def_Flows[[Flow_ID]:[CC_DM_source]],MATCH(Tab_Data_Flows[[#This Row],[Flow_Name]],Tab_Def_Flows[Flow_Name],0),14)</f>
        <v>0</v>
      </c>
      <c r="Z45" s="6" t="str">
        <f>Tab_Data_Flows[[#This Row],[Flow_ID]]&amp;"_"&amp;"DM_"&amp;Tab_Data_Flows[[#This Row],[Flow_Data_Year]]</f>
        <v>F_00_02_DM_2042</v>
      </c>
      <c r="AA45" s="6">
        <f>IF(E45="Yes",Y45*Tab_Data_Flows[[#This Row],[Flow_Material]],"N.A.")</f>
        <v>0</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1107</v>
      </c>
      <c r="D46" s="9" t="str">
        <f>_xlfn.XLOOKUP(C46,Tab_Def_Flows[Flow_Name],Tab_Def_Flows[WC?],,0,)</f>
        <v>Yes</v>
      </c>
      <c r="E46" s="9" t="str">
        <f>_xlfn.XLOOKUP(C46,Tab_Def_Flows[Flow_Name],Tab_Def_Flows[DM?],,0,)</f>
        <v>Yes</v>
      </c>
      <c r="F46" s="9" t="str">
        <f>_xlfn.XLOOKUP(C46,Tab_Def_Flows[Flow_Name],Tab_Def_Flows[CC?],,0,)</f>
        <v>Yes</v>
      </c>
      <c r="G46" s="188">
        <v>2043</v>
      </c>
      <c r="H46" s="189">
        <v>460840.74105263152</v>
      </c>
      <c r="I46" s="6" t="str">
        <f>'0_Configuration'!$C$35</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t="str">
        <f>INDEX(Tab_Def_Flows[[Flow_ID]:[CC_DM_source]],MATCH(Tab_Data_Flows[[#This Row],[Flow_Name]],Tab_Def_Flows[Flow_Name],0),11)</f>
        <v>Yes</v>
      </c>
      <c r="V46" s="6" t="str">
        <f>Tab_Data_Flows[[#This Row],[Flow_ID]]&amp;"_"&amp;"WC_"&amp;Tab_Data_Flows[[#This Row],[Flow_Data_Year]]</f>
        <v>F_00_02_WC_2043</v>
      </c>
      <c r="W46" s="6" t="e">
        <f>IF(D46="Yes",S46*Tab_Data_Flows[[#This Row],[WC_'[%']]],"N.A.")</f>
        <v>#VALUE!</v>
      </c>
      <c r="X46" s="6" t="str">
        <f>Tab_Data_Flows[[#This Row],[UoM_Flow_Py]]</f>
        <v>Mg</v>
      </c>
      <c r="Y46" s="139">
        <f>INDEX(Tab_Def_Flows[[Flow_ID]:[CC_DM_source]],MATCH(Tab_Data_Flows[[#This Row],[Flow_Name]],Tab_Def_Flows[Flow_Name],0),14)</f>
        <v>0</v>
      </c>
      <c r="Z46" s="6" t="str">
        <f>Tab_Data_Flows[[#This Row],[Flow_ID]]&amp;"_"&amp;"DM_"&amp;Tab_Data_Flows[[#This Row],[Flow_Data_Year]]</f>
        <v>F_00_02_DM_2043</v>
      </c>
      <c r="AA46" s="6">
        <f>IF(E46="Yes",Y46*Tab_Data_Flows[[#This Row],[Flow_Material]],"N.A.")</f>
        <v>0</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1107</v>
      </c>
      <c r="D47" s="9" t="str">
        <f>_xlfn.XLOOKUP(C47,Tab_Def_Flows[Flow_Name],Tab_Def_Flows[WC?],,0,)</f>
        <v>Yes</v>
      </c>
      <c r="E47" s="9" t="str">
        <f>_xlfn.XLOOKUP(C47,Tab_Def_Flows[Flow_Name],Tab_Def_Flows[DM?],,0,)</f>
        <v>Yes</v>
      </c>
      <c r="F47" s="9" t="str">
        <f>_xlfn.XLOOKUP(C47,Tab_Def_Flows[Flow_Name],Tab_Def_Flows[CC?],,0,)</f>
        <v>Yes</v>
      </c>
      <c r="G47" s="188">
        <v>2044</v>
      </c>
      <c r="H47" s="189">
        <v>372627.23031578946</v>
      </c>
      <c r="I47" s="6" t="str">
        <f>'0_Configuration'!$C$35</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t="str">
        <f>INDEX(Tab_Def_Flows[[Flow_ID]:[CC_DM_source]],MATCH(Tab_Data_Flows[[#This Row],[Flow_Name]],Tab_Def_Flows[Flow_Name],0),11)</f>
        <v>Yes</v>
      </c>
      <c r="V47" s="6" t="str">
        <f>Tab_Data_Flows[[#This Row],[Flow_ID]]&amp;"_"&amp;"WC_"&amp;Tab_Data_Flows[[#This Row],[Flow_Data_Year]]</f>
        <v>F_00_02_WC_2044</v>
      </c>
      <c r="W47" s="6" t="e">
        <f>IF(D47="Yes",S47*Tab_Data_Flows[[#This Row],[WC_'[%']]],"N.A.")</f>
        <v>#VALUE!</v>
      </c>
      <c r="X47" s="6" t="str">
        <f>Tab_Data_Flows[[#This Row],[UoM_Flow_Py]]</f>
        <v>Mg</v>
      </c>
      <c r="Y47" s="139">
        <f>INDEX(Tab_Def_Flows[[Flow_ID]:[CC_DM_source]],MATCH(Tab_Data_Flows[[#This Row],[Flow_Name]],Tab_Def_Flows[Flow_Name],0),14)</f>
        <v>0</v>
      </c>
      <c r="Z47" s="6" t="str">
        <f>Tab_Data_Flows[[#This Row],[Flow_ID]]&amp;"_"&amp;"DM_"&amp;Tab_Data_Flows[[#This Row],[Flow_Data_Year]]</f>
        <v>F_00_02_DM_2044</v>
      </c>
      <c r="AA47" s="6">
        <f>IF(E47="Yes",Y47*Tab_Data_Flows[[#This Row],[Flow_Material]],"N.A.")</f>
        <v>0</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1107</v>
      </c>
      <c r="D48" s="9" t="str">
        <f>_xlfn.XLOOKUP(C48,Tab_Def_Flows[Flow_Name],Tab_Def_Flows[WC?],,0,)</f>
        <v>Yes</v>
      </c>
      <c r="E48" s="9" t="str">
        <f>_xlfn.XLOOKUP(C48,Tab_Def_Flows[Flow_Name],Tab_Def_Flows[DM?],,0,)</f>
        <v>Yes</v>
      </c>
      <c r="F48" s="9" t="str">
        <f>_xlfn.XLOOKUP(C48,Tab_Def_Flows[Flow_Name],Tab_Def_Flows[CC?],,0,)</f>
        <v>Yes</v>
      </c>
      <c r="G48" s="188">
        <v>2045</v>
      </c>
      <c r="H48" s="189">
        <v>876060.36884210526</v>
      </c>
      <c r="I48" s="6" t="str">
        <f>'0_Configuration'!$C$35</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t="str">
        <f>INDEX(Tab_Def_Flows[[Flow_ID]:[CC_DM_source]],MATCH(Tab_Data_Flows[[#This Row],[Flow_Name]],Tab_Def_Flows[Flow_Name],0),11)</f>
        <v>Yes</v>
      </c>
      <c r="V48" s="6" t="str">
        <f>Tab_Data_Flows[[#This Row],[Flow_ID]]&amp;"_"&amp;"WC_"&amp;Tab_Data_Flows[[#This Row],[Flow_Data_Year]]</f>
        <v>F_00_02_WC_2045</v>
      </c>
      <c r="W48" s="6" t="e">
        <f>IF(D48="Yes",S48*Tab_Data_Flows[[#This Row],[WC_'[%']]],"N.A.")</f>
        <v>#VALUE!</v>
      </c>
      <c r="X48" s="6" t="str">
        <f>Tab_Data_Flows[[#This Row],[UoM_Flow_Py]]</f>
        <v>Mg</v>
      </c>
      <c r="Y48" s="139">
        <f>INDEX(Tab_Def_Flows[[Flow_ID]:[CC_DM_source]],MATCH(Tab_Data_Flows[[#This Row],[Flow_Name]],Tab_Def_Flows[Flow_Name],0),14)</f>
        <v>0</v>
      </c>
      <c r="Z48" s="6" t="str">
        <f>Tab_Data_Flows[[#This Row],[Flow_ID]]&amp;"_"&amp;"DM_"&amp;Tab_Data_Flows[[#This Row],[Flow_Data_Year]]</f>
        <v>F_00_02_DM_2045</v>
      </c>
      <c r="AA48" s="6">
        <f>IF(E48="Yes",Y48*Tab_Data_Flows[[#This Row],[Flow_Material]],"N.A.")</f>
        <v>0</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1107</v>
      </c>
      <c r="D49" s="9" t="str">
        <f>_xlfn.XLOOKUP(C49,Tab_Def_Flows[Flow_Name],Tab_Def_Flows[WC?],,0,)</f>
        <v>Yes</v>
      </c>
      <c r="E49" s="9" t="str">
        <f>_xlfn.XLOOKUP(C49,Tab_Def_Flows[Flow_Name],Tab_Def_Flows[DM?],,0,)</f>
        <v>Yes</v>
      </c>
      <c r="F49" s="9" t="str">
        <f>_xlfn.XLOOKUP(C49,Tab_Def_Flows[Flow_Name],Tab_Def_Flows[CC?],,0,)</f>
        <v>Yes</v>
      </c>
      <c r="G49" s="188">
        <v>2046</v>
      </c>
      <c r="H49" s="189">
        <v>580180.79663157894</v>
      </c>
      <c r="I49" s="6" t="str">
        <f>'0_Configuration'!$C$35</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t="str">
        <f>INDEX(Tab_Def_Flows[[Flow_ID]:[CC_DM_source]],MATCH(Tab_Data_Flows[[#This Row],[Flow_Name]],Tab_Def_Flows[Flow_Name],0),11)</f>
        <v>Yes</v>
      </c>
      <c r="V49" s="6" t="str">
        <f>Tab_Data_Flows[[#This Row],[Flow_ID]]&amp;"_"&amp;"WC_"&amp;Tab_Data_Flows[[#This Row],[Flow_Data_Year]]</f>
        <v>F_00_02_WC_2046</v>
      </c>
      <c r="W49" s="6" t="e">
        <f>IF(D49="Yes",S49*Tab_Data_Flows[[#This Row],[WC_'[%']]],"N.A.")</f>
        <v>#VALUE!</v>
      </c>
      <c r="X49" s="6" t="str">
        <f>Tab_Data_Flows[[#This Row],[UoM_Flow_Py]]</f>
        <v>Mg</v>
      </c>
      <c r="Y49" s="139">
        <f>INDEX(Tab_Def_Flows[[Flow_ID]:[CC_DM_source]],MATCH(Tab_Data_Flows[[#This Row],[Flow_Name]],Tab_Def_Flows[Flow_Name],0),14)</f>
        <v>0</v>
      </c>
      <c r="Z49" s="6" t="str">
        <f>Tab_Data_Flows[[#This Row],[Flow_ID]]&amp;"_"&amp;"DM_"&amp;Tab_Data_Flows[[#This Row],[Flow_Data_Year]]</f>
        <v>F_00_02_DM_2046</v>
      </c>
      <c r="AA49" s="6">
        <f>IF(E49="Yes",Y49*Tab_Data_Flows[[#This Row],[Flow_Material]],"N.A.")</f>
        <v>0</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1107</v>
      </c>
      <c r="D50" s="9" t="str">
        <f>_xlfn.XLOOKUP(C50,Tab_Def_Flows[Flow_Name],Tab_Def_Flows[WC?],,0,)</f>
        <v>Yes</v>
      </c>
      <c r="E50" s="9" t="str">
        <f>_xlfn.XLOOKUP(C50,Tab_Def_Flows[Flow_Name],Tab_Def_Flows[DM?],,0,)</f>
        <v>Yes</v>
      </c>
      <c r="F50" s="9" t="str">
        <f>_xlfn.XLOOKUP(C50,Tab_Def_Flows[Flow_Name],Tab_Def_Flows[CC?],,0,)</f>
        <v>Yes</v>
      </c>
      <c r="G50" s="188">
        <v>2047</v>
      </c>
      <c r="H50" s="189">
        <v>631487.24210526305</v>
      </c>
      <c r="I50" s="6" t="str">
        <f>'0_Configuration'!$C$35</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t="str">
        <f>INDEX(Tab_Def_Flows[[Flow_ID]:[CC_DM_source]],MATCH(Tab_Data_Flows[[#This Row],[Flow_Name]],Tab_Def_Flows[Flow_Name],0),11)</f>
        <v>Yes</v>
      </c>
      <c r="V50" s="6" t="str">
        <f>Tab_Data_Flows[[#This Row],[Flow_ID]]&amp;"_"&amp;"WC_"&amp;Tab_Data_Flows[[#This Row],[Flow_Data_Year]]</f>
        <v>F_00_02_WC_2047</v>
      </c>
      <c r="W50" s="6" t="e">
        <f>IF(D50="Yes",S50*Tab_Data_Flows[[#This Row],[WC_'[%']]],"N.A.")</f>
        <v>#VALUE!</v>
      </c>
      <c r="X50" s="6" t="str">
        <f>Tab_Data_Flows[[#This Row],[UoM_Flow_Py]]</f>
        <v>Mg</v>
      </c>
      <c r="Y50" s="139">
        <f>INDEX(Tab_Def_Flows[[Flow_ID]:[CC_DM_source]],MATCH(Tab_Data_Flows[[#This Row],[Flow_Name]],Tab_Def_Flows[Flow_Name],0),14)</f>
        <v>0</v>
      </c>
      <c r="Z50" s="6" t="str">
        <f>Tab_Data_Flows[[#This Row],[Flow_ID]]&amp;"_"&amp;"DM_"&amp;Tab_Data_Flows[[#This Row],[Flow_Data_Year]]</f>
        <v>F_00_02_DM_2047</v>
      </c>
      <c r="AA50" s="6">
        <f>IF(E50="Yes",Y50*Tab_Data_Flows[[#This Row],[Flow_Material]],"N.A.")</f>
        <v>0</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1107</v>
      </c>
      <c r="D51" s="9" t="str">
        <f>_xlfn.XLOOKUP(C51,Tab_Def_Flows[Flow_Name],Tab_Def_Flows[WC?],,0,)</f>
        <v>Yes</v>
      </c>
      <c r="E51" s="9" t="str">
        <f>_xlfn.XLOOKUP(C51,Tab_Def_Flows[Flow_Name],Tab_Def_Flows[DM?],,0,)</f>
        <v>Yes</v>
      </c>
      <c r="F51" s="9" t="str">
        <f>_xlfn.XLOOKUP(C51,Tab_Def_Flows[Flow_Name],Tab_Def_Flows[CC?],,0,)</f>
        <v>Yes</v>
      </c>
      <c r="G51" s="188">
        <v>2048</v>
      </c>
      <c r="H51" s="189">
        <v>370446.55494736839</v>
      </c>
      <c r="I51" s="6" t="str">
        <f>'0_Configuration'!$C$35</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t="str">
        <f>INDEX(Tab_Def_Flows[[Flow_ID]:[CC_DM_source]],MATCH(Tab_Data_Flows[[#This Row],[Flow_Name]],Tab_Def_Flows[Flow_Name],0),11)</f>
        <v>Yes</v>
      </c>
      <c r="V51" s="6" t="str">
        <f>Tab_Data_Flows[[#This Row],[Flow_ID]]&amp;"_"&amp;"WC_"&amp;Tab_Data_Flows[[#This Row],[Flow_Data_Year]]</f>
        <v>F_00_02_WC_2048</v>
      </c>
      <c r="W51" s="6" t="e">
        <f>IF(D51="Yes",S51*Tab_Data_Flows[[#This Row],[WC_'[%']]],"N.A.")</f>
        <v>#VALUE!</v>
      </c>
      <c r="X51" s="6" t="str">
        <f>Tab_Data_Flows[[#This Row],[UoM_Flow_Py]]</f>
        <v>Mg</v>
      </c>
      <c r="Y51" s="139">
        <f>INDEX(Tab_Def_Flows[[Flow_ID]:[CC_DM_source]],MATCH(Tab_Data_Flows[[#This Row],[Flow_Name]],Tab_Def_Flows[Flow_Name],0),14)</f>
        <v>0</v>
      </c>
      <c r="Z51" s="6" t="str">
        <f>Tab_Data_Flows[[#This Row],[Flow_ID]]&amp;"_"&amp;"DM_"&amp;Tab_Data_Flows[[#This Row],[Flow_Data_Year]]</f>
        <v>F_00_02_DM_2048</v>
      </c>
      <c r="AA51" s="6">
        <f>IF(E51="Yes",Y51*Tab_Data_Flows[[#This Row],[Flow_Material]],"N.A.")</f>
        <v>0</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1107</v>
      </c>
      <c r="D52" s="9" t="str">
        <f>_xlfn.XLOOKUP(C52,Tab_Def_Flows[Flow_Name],Tab_Def_Flows[WC?],,0,)</f>
        <v>Yes</v>
      </c>
      <c r="E52" s="9" t="str">
        <f>_xlfn.XLOOKUP(C52,Tab_Def_Flows[Flow_Name],Tab_Def_Flows[DM?],,0,)</f>
        <v>Yes</v>
      </c>
      <c r="F52" s="9" t="str">
        <f>_xlfn.XLOOKUP(C52,Tab_Def_Flows[Flow_Name],Tab_Def_Flows[CC?],,0,)</f>
        <v>Yes</v>
      </c>
      <c r="G52" s="188">
        <v>2049</v>
      </c>
      <c r="H52" s="189">
        <v>524443.77263157896</v>
      </c>
      <c r="I52" s="6" t="str">
        <f>'0_Configuration'!$C$35</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t="str">
        <f>INDEX(Tab_Def_Flows[[Flow_ID]:[CC_DM_source]],MATCH(Tab_Data_Flows[[#This Row],[Flow_Name]],Tab_Def_Flows[Flow_Name],0),11)</f>
        <v>Yes</v>
      </c>
      <c r="V52" s="6" t="str">
        <f>Tab_Data_Flows[[#This Row],[Flow_ID]]&amp;"_"&amp;"WC_"&amp;Tab_Data_Flows[[#This Row],[Flow_Data_Year]]</f>
        <v>F_00_02_WC_2049</v>
      </c>
      <c r="W52" s="6" t="e">
        <f>IF(D52="Yes",S52*Tab_Data_Flows[[#This Row],[WC_'[%']]],"N.A.")</f>
        <v>#VALUE!</v>
      </c>
      <c r="X52" s="6" t="str">
        <f>Tab_Data_Flows[[#This Row],[UoM_Flow_Py]]</f>
        <v>Mg</v>
      </c>
      <c r="Y52" s="139">
        <f>INDEX(Tab_Def_Flows[[Flow_ID]:[CC_DM_source]],MATCH(Tab_Data_Flows[[#This Row],[Flow_Name]],Tab_Def_Flows[Flow_Name],0),14)</f>
        <v>0</v>
      </c>
      <c r="Z52" s="6" t="str">
        <f>Tab_Data_Flows[[#This Row],[Flow_ID]]&amp;"_"&amp;"DM_"&amp;Tab_Data_Flows[[#This Row],[Flow_Data_Year]]</f>
        <v>F_00_02_DM_2049</v>
      </c>
      <c r="AA52" s="6">
        <f>IF(E52="Yes",Y52*Tab_Data_Flows[[#This Row],[Flow_Material]],"N.A.")</f>
        <v>0</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1107</v>
      </c>
      <c r="D53" s="9" t="str">
        <f>_xlfn.XLOOKUP(C53,Tab_Def_Flows[Flow_Name],Tab_Def_Flows[WC?],,0,)</f>
        <v>Yes</v>
      </c>
      <c r="E53" s="9" t="str">
        <f>_xlfn.XLOOKUP(C53,Tab_Def_Flows[Flow_Name],Tab_Def_Flows[DM?],,0,)</f>
        <v>Yes</v>
      </c>
      <c r="F53" s="9" t="str">
        <f>_xlfn.XLOOKUP(C53,Tab_Def_Flows[Flow_Name],Tab_Def_Flows[CC?],,0,)</f>
        <v>Yes</v>
      </c>
      <c r="G53" s="188">
        <v>2050</v>
      </c>
      <c r="H53" s="189">
        <v>639076.33852631575</v>
      </c>
      <c r="I53" s="6" t="str">
        <f>'0_Configuration'!$C$35</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t="str">
        <f>INDEX(Tab_Def_Flows[[Flow_ID]:[CC_DM_source]],MATCH(Tab_Data_Flows[[#This Row],[Flow_Name]],Tab_Def_Flows[Flow_Name],0),11)</f>
        <v>Yes</v>
      </c>
      <c r="V53" s="6" t="str">
        <f>Tab_Data_Flows[[#This Row],[Flow_ID]]&amp;"_"&amp;"WC_"&amp;Tab_Data_Flows[[#This Row],[Flow_Data_Year]]</f>
        <v>F_00_02_WC_2050</v>
      </c>
      <c r="W53" s="6" t="e">
        <f>IF(D53="Yes",S53*Tab_Data_Flows[[#This Row],[WC_'[%']]],"N.A.")</f>
        <v>#VALUE!</v>
      </c>
      <c r="X53" s="6" t="str">
        <f>Tab_Data_Flows[[#This Row],[UoM_Flow_Py]]</f>
        <v>Mg</v>
      </c>
      <c r="Y53" s="139">
        <f>INDEX(Tab_Def_Flows[[Flow_ID]:[CC_DM_source]],MATCH(Tab_Data_Flows[[#This Row],[Flow_Name]],Tab_Def_Flows[Flow_Name],0),14)</f>
        <v>0</v>
      </c>
      <c r="Z53" s="6" t="str">
        <f>Tab_Data_Flows[[#This Row],[Flow_ID]]&amp;"_"&amp;"DM_"&amp;Tab_Data_Flows[[#This Row],[Flow_Data_Year]]</f>
        <v>F_00_02_DM_2050</v>
      </c>
      <c r="AA53" s="6">
        <f>IF(E53="Yes",Y53*Tab_Data_Flows[[#This Row],[Flow_Material]],"N.A.")</f>
        <v>0</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1108</v>
      </c>
      <c r="D54" s="9" t="str">
        <f>_xlfn.XLOOKUP(C54,Tab_Def_Flows[Flow_Name],Tab_Def_Flows[WC?],,0,)</f>
        <v>Yes</v>
      </c>
      <c r="E54" s="9" t="str">
        <f>_xlfn.XLOOKUP(C54,Tab_Def_Flows[Flow_Name],Tab_Def_Flows[DM?],,0,)</f>
        <v>Yes</v>
      </c>
      <c r="F54" s="9" t="str">
        <f>_xlfn.XLOOKUP(C54,Tab_Def_Flows[Flow_Name],Tab_Def_Flows[CC?],,0,)</f>
        <v>Yes</v>
      </c>
      <c r="G54" s="188">
        <v>2025</v>
      </c>
      <c r="H54" s="189">
        <v>1349.8221927912255</v>
      </c>
      <c r="I54" s="6" t="str">
        <f>'0_Configuration'!$C$35</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t="str">
        <f>INDEX(Tab_Def_Flows[[Flow_ID]:[CC_DM_source]],MATCH(Tab_Data_Flows[[#This Row],[Flow_Name]],Tab_Def_Flows[Flow_Name],0),11)</f>
        <v>Yes</v>
      </c>
      <c r="V54" s="6" t="str">
        <f>Tab_Data_Flows[[#This Row],[Flow_ID]]&amp;"_"&amp;"WC_"&amp;Tab_Data_Flows[[#This Row],[Flow_Data_Year]]</f>
        <v>F_01_10_WC_2025</v>
      </c>
      <c r="W54" s="6" t="e">
        <f>IF(D54="Yes",S54*Tab_Data_Flows[[#This Row],[WC_'[%']]],"N.A.")</f>
        <v>#VALUE!</v>
      </c>
      <c r="X54" s="6" t="str">
        <f>Tab_Data_Flows[[#This Row],[UoM_Flow_Py]]</f>
        <v>Mg</v>
      </c>
      <c r="Y54" s="139">
        <f>INDEX(Tab_Def_Flows[[Flow_ID]:[CC_DM_source]],MATCH(Tab_Data_Flows[[#This Row],[Flow_Name]],Tab_Def_Flows[Flow_Name],0),14)</f>
        <v>0</v>
      </c>
      <c r="Z54" s="6" t="str">
        <f>Tab_Data_Flows[[#This Row],[Flow_ID]]&amp;"_"&amp;"DM_"&amp;Tab_Data_Flows[[#This Row],[Flow_Data_Year]]</f>
        <v>F_01_10_DM_2025</v>
      </c>
      <c r="AA54" s="6">
        <f>IF(E54="Yes",Y54*Tab_Data_Flows[[#This Row],[Flow_Material]],"N.A.")</f>
        <v>0</v>
      </c>
      <c r="AB54" s="6" t="str">
        <f>Tab_Data_Flows[[#This Row],[UoM_Flow_Py]]</f>
        <v>Mg</v>
      </c>
      <c r="AC54" s="139">
        <f>INDEX(Tab_Def_Flows[[Flow_ID]:[CC_DM_source]],MATCH(Tab_Data_Flows[[#This Row],[Flow_Name]],Tab_Def_Flows[Flow_Name],0),17)</f>
        <v>0</v>
      </c>
      <c r="AD54" s="6" t="str">
        <f>Tab_Data_Flows[[#This Row],[Flow_ID]]&amp;"_"&amp;"CC_"&amp;Tab_Data_Flows[[#This Row],[Flow_Data_Year]]</f>
        <v>F_01_10_CC_2025</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F_01_10</v>
      </c>
      <c r="C55" s="138" t="s">
        <v>1108</v>
      </c>
      <c r="D55" s="9" t="str">
        <f>_xlfn.XLOOKUP(C55,Tab_Def_Flows[Flow_Name],Tab_Def_Flows[WC?],,0,)</f>
        <v>Yes</v>
      </c>
      <c r="E55" s="9" t="str">
        <f>_xlfn.XLOOKUP(C55,Tab_Def_Flows[Flow_Name],Tab_Def_Flows[DM?],,0,)</f>
        <v>Yes</v>
      </c>
      <c r="F55" s="9" t="str">
        <f>_xlfn.XLOOKUP(C55,Tab_Def_Flows[Flow_Name],Tab_Def_Flows[CC?],,0,)</f>
        <v>Yes</v>
      </c>
      <c r="G55" s="188">
        <v>2026</v>
      </c>
      <c r="H55" s="189">
        <v>1137.6224932570103</v>
      </c>
      <c r="I55" s="6" t="str">
        <f>'0_Configuration'!$C$35</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t="str">
        <f>INDEX(Tab_Def_Flows[[Flow_ID]:[CC_DM_source]],MATCH(Tab_Data_Flows[[#This Row],[Flow_Name]],Tab_Def_Flows[Flow_Name],0),11)</f>
        <v>Yes</v>
      </c>
      <c r="V55" s="6" t="str">
        <f>Tab_Data_Flows[[#This Row],[Flow_ID]]&amp;"_"&amp;"WC_"&amp;Tab_Data_Flows[[#This Row],[Flow_Data_Year]]</f>
        <v>F_01_10_WC_2026</v>
      </c>
      <c r="W55" s="6" t="e">
        <f>IF(D55="Yes",S55*Tab_Data_Flows[[#This Row],[WC_'[%']]],"N.A.")</f>
        <v>#VALUE!</v>
      </c>
      <c r="X55" s="6" t="str">
        <f>Tab_Data_Flows[[#This Row],[UoM_Flow_Py]]</f>
        <v>Mg</v>
      </c>
      <c r="Y55" s="139">
        <f>INDEX(Tab_Def_Flows[[Flow_ID]:[CC_DM_source]],MATCH(Tab_Data_Flows[[#This Row],[Flow_Name]],Tab_Def_Flows[Flow_Name],0),14)</f>
        <v>0</v>
      </c>
      <c r="Z55" s="6" t="str">
        <f>Tab_Data_Flows[[#This Row],[Flow_ID]]&amp;"_"&amp;"DM_"&amp;Tab_Data_Flows[[#This Row],[Flow_Data_Year]]</f>
        <v>F_01_10_DM_2026</v>
      </c>
      <c r="AA55" s="6">
        <f>IF(E55="Yes",Y55*Tab_Data_Flows[[#This Row],[Flow_Material]],"N.A.")</f>
        <v>0</v>
      </c>
      <c r="AB55" s="6" t="str">
        <f>Tab_Data_Flows[[#This Row],[UoM_Flow_Py]]</f>
        <v>Mg</v>
      </c>
      <c r="AC55" s="139">
        <f>INDEX(Tab_Def_Flows[[Flow_ID]:[CC_DM_source]],MATCH(Tab_Data_Flows[[#This Row],[Flow_Name]],Tab_Def_Flows[Flow_Name],0),17)</f>
        <v>0</v>
      </c>
      <c r="AD55" s="6" t="str">
        <f>Tab_Data_Flows[[#This Row],[Flow_ID]]&amp;"_"&amp;"CC_"&amp;Tab_Data_Flows[[#This Row],[Flow_Data_Year]]</f>
        <v>F_01_10_CC_2026</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F_01_10</v>
      </c>
      <c r="C56" s="138" t="s">
        <v>1108</v>
      </c>
      <c r="D56" s="9" t="str">
        <f>_xlfn.XLOOKUP(C56,Tab_Def_Flows[Flow_Name],Tab_Def_Flows[WC?],,0,)</f>
        <v>Yes</v>
      </c>
      <c r="E56" s="9" t="str">
        <f>_xlfn.XLOOKUP(C56,Tab_Def_Flows[Flow_Name],Tab_Def_Flows[DM?],,0,)</f>
        <v>Yes</v>
      </c>
      <c r="F56" s="9" t="str">
        <f>_xlfn.XLOOKUP(C56,Tab_Def_Flows[Flow_Name],Tab_Def_Flows[CC?],,0,)</f>
        <v>Yes</v>
      </c>
      <c r="G56" s="188">
        <v>2027</v>
      </c>
      <c r="H56" s="189">
        <v>1400.2766554726229</v>
      </c>
      <c r="I56" s="6" t="str">
        <f>'0_Configuration'!$C$35</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t="str">
        <f>INDEX(Tab_Def_Flows[[Flow_ID]:[CC_DM_source]],MATCH(Tab_Data_Flows[[#This Row],[Flow_Name]],Tab_Def_Flows[Flow_Name],0),11)</f>
        <v>Yes</v>
      </c>
      <c r="V56" s="6" t="str">
        <f>Tab_Data_Flows[[#This Row],[Flow_ID]]&amp;"_"&amp;"WC_"&amp;Tab_Data_Flows[[#This Row],[Flow_Data_Year]]</f>
        <v>F_01_10_WC_2027</v>
      </c>
      <c r="W56" s="6" t="e">
        <f>IF(D56="Yes",S56*Tab_Data_Flows[[#This Row],[WC_'[%']]],"N.A.")</f>
        <v>#VALUE!</v>
      </c>
      <c r="X56" s="6" t="str">
        <f>Tab_Data_Flows[[#This Row],[UoM_Flow_Py]]</f>
        <v>Mg</v>
      </c>
      <c r="Y56" s="139">
        <f>INDEX(Tab_Def_Flows[[Flow_ID]:[CC_DM_source]],MATCH(Tab_Data_Flows[[#This Row],[Flow_Name]],Tab_Def_Flows[Flow_Name],0),14)</f>
        <v>0</v>
      </c>
      <c r="Z56" s="6" t="str">
        <f>Tab_Data_Flows[[#This Row],[Flow_ID]]&amp;"_"&amp;"DM_"&amp;Tab_Data_Flows[[#This Row],[Flow_Data_Year]]</f>
        <v>F_01_10_DM_2027</v>
      </c>
      <c r="AA56" s="6">
        <f>IF(E56="Yes",Y56*Tab_Data_Flows[[#This Row],[Flow_Material]],"N.A.")</f>
        <v>0</v>
      </c>
      <c r="AB56" s="6" t="str">
        <f>Tab_Data_Flows[[#This Row],[UoM_Flow_Py]]</f>
        <v>Mg</v>
      </c>
      <c r="AC56" s="139">
        <f>INDEX(Tab_Def_Flows[[Flow_ID]:[CC_DM_source]],MATCH(Tab_Data_Flows[[#This Row],[Flow_Name]],Tab_Def_Flows[Flow_Name],0),17)</f>
        <v>0</v>
      </c>
      <c r="AD56" s="6" t="str">
        <f>Tab_Data_Flows[[#This Row],[Flow_ID]]&amp;"_"&amp;"CC_"&amp;Tab_Data_Flows[[#This Row],[Flow_Data_Year]]</f>
        <v>F_01_10_CC_2027</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F_01_10</v>
      </c>
      <c r="C57" s="138" t="s">
        <v>1108</v>
      </c>
      <c r="D57" s="9" t="str">
        <f>_xlfn.XLOOKUP(C57,Tab_Def_Flows[Flow_Name],Tab_Def_Flows[WC?],,0,)</f>
        <v>Yes</v>
      </c>
      <c r="E57" s="9" t="str">
        <f>_xlfn.XLOOKUP(C57,Tab_Def_Flows[Flow_Name],Tab_Def_Flows[DM?],,0,)</f>
        <v>Yes</v>
      </c>
      <c r="F57" s="9" t="str">
        <f>_xlfn.XLOOKUP(C57,Tab_Def_Flows[Flow_Name],Tab_Def_Flows[CC?],,0,)</f>
        <v>Yes</v>
      </c>
      <c r="G57" s="188">
        <v>2028</v>
      </c>
      <c r="H57" s="189">
        <v>1692.8034304226021</v>
      </c>
      <c r="I57" s="6" t="str">
        <f>'0_Configuration'!$C$35</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t="str">
        <f>INDEX(Tab_Def_Flows[[Flow_ID]:[CC_DM_source]],MATCH(Tab_Data_Flows[[#This Row],[Flow_Name]],Tab_Def_Flows[Flow_Name],0),11)</f>
        <v>Yes</v>
      </c>
      <c r="V57" s="6" t="str">
        <f>Tab_Data_Flows[[#This Row],[Flow_ID]]&amp;"_"&amp;"WC_"&amp;Tab_Data_Flows[[#This Row],[Flow_Data_Year]]</f>
        <v>F_01_10_WC_2028</v>
      </c>
      <c r="W57" s="6" t="e">
        <f>IF(D57="Yes",S57*Tab_Data_Flows[[#This Row],[WC_'[%']]],"N.A.")</f>
        <v>#VALUE!</v>
      </c>
      <c r="X57" s="6" t="str">
        <f>Tab_Data_Flows[[#This Row],[UoM_Flow_Py]]</f>
        <v>Mg</v>
      </c>
      <c r="Y57" s="139">
        <f>INDEX(Tab_Def_Flows[[Flow_ID]:[CC_DM_source]],MATCH(Tab_Data_Flows[[#This Row],[Flow_Name]],Tab_Def_Flows[Flow_Name],0),14)</f>
        <v>0</v>
      </c>
      <c r="Z57" s="6" t="str">
        <f>Tab_Data_Flows[[#This Row],[Flow_ID]]&amp;"_"&amp;"DM_"&amp;Tab_Data_Flows[[#This Row],[Flow_Data_Year]]</f>
        <v>F_01_10_DM_2028</v>
      </c>
      <c r="AA57" s="6">
        <f>IF(E57="Yes",Y57*Tab_Data_Flows[[#This Row],[Flow_Material]],"N.A.")</f>
        <v>0</v>
      </c>
      <c r="AB57" s="6" t="str">
        <f>Tab_Data_Flows[[#This Row],[UoM_Flow_Py]]</f>
        <v>Mg</v>
      </c>
      <c r="AC57" s="139">
        <f>INDEX(Tab_Def_Flows[[Flow_ID]:[CC_DM_source]],MATCH(Tab_Data_Flows[[#This Row],[Flow_Name]],Tab_Def_Flows[Flow_Name],0),17)</f>
        <v>0</v>
      </c>
      <c r="AD57" s="6" t="str">
        <f>Tab_Data_Flows[[#This Row],[Flow_ID]]&amp;"_"&amp;"CC_"&amp;Tab_Data_Flows[[#This Row],[Flow_Data_Year]]</f>
        <v>F_01_10_CC_2028</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F_01_10</v>
      </c>
      <c r="C58" s="138" t="s">
        <v>1108</v>
      </c>
      <c r="D58" s="9" t="str">
        <f>_xlfn.XLOOKUP(C58,Tab_Def_Flows[Flow_Name],Tab_Def_Flows[WC?],,0,)</f>
        <v>Yes</v>
      </c>
      <c r="E58" s="9" t="str">
        <f>_xlfn.XLOOKUP(C58,Tab_Def_Flows[Flow_Name],Tab_Def_Flows[DM?],,0,)</f>
        <v>Yes</v>
      </c>
      <c r="F58" s="9" t="str">
        <f>_xlfn.XLOOKUP(C58,Tab_Def_Flows[Flow_Name],Tab_Def_Flows[CC?],,0,)</f>
        <v>Yes</v>
      </c>
      <c r="G58" s="188">
        <v>2029</v>
      </c>
      <c r="H58" s="189">
        <v>1105.5842400864503</v>
      </c>
      <c r="I58" s="6" t="str">
        <f>'0_Configuration'!$C$35</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t="str">
        <f>INDEX(Tab_Def_Flows[[Flow_ID]:[CC_DM_source]],MATCH(Tab_Data_Flows[[#This Row],[Flow_Name]],Tab_Def_Flows[Flow_Name],0),11)</f>
        <v>Yes</v>
      </c>
      <c r="V58" s="6" t="str">
        <f>Tab_Data_Flows[[#This Row],[Flow_ID]]&amp;"_"&amp;"WC_"&amp;Tab_Data_Flows[[#This Row],[Flow_Data_Year]]</f>
        <v>F_01_10_WC_2029</v>
      </c>
      <c r="W58" s="6" t="e">
        <f>IF(D58="Yes",S58*Tab_Data_Flows[[#This Row],[WC_'[%']]],"N.A.")</f>
        <v>#VALUE!</v>
      </c>
      <c r="X58" s="6" t="str">
        <f>Tab_Data_Flows[[#This Row],[UoM_Flow_Py]]</f>
        <v>Mg</v>
      </c>
      <c r="Y58" s="139">
        <f>INDEX(Tab_Def_Flows[[Flow_ID]:[CC_DM_source]],MATCH(Tab_Data_Flows[[#This Row],[Flow_Name]],Tab_Def_Flows[Flow_Name],0),14)</f>
        <v>0</v>
      </c>
      <c r="Z58" s="6" t="str">
        <f>Tab_Data_Flows[[#This Row],[Flow_ID]]&amp;"_"&amp;"DM_"&amp;Tab_Data_Flows[[#This Row],[Flow_Data_Year]]</f>
        <v>F_01_10_DM_2029</v>
      </c>
      <c r="AA58" s="6">
        <f>IF(E58="Yes",Y58*Tab_Data_Flows[[#This Row],[Flow_Material]],"N.A.")</f>
        <v>0</v>
      </c>
      <c r="AB58" s="6" t="str">
        <f>Tab_Data_Flows[[#This Row],[UoM_Flow_Py]]</f>
        <v>Mg</v>
      </c>
      <c r="AC58" s="139">
        <f>INDEX(Tab_Def_Flows[[Flow_ID]:[CC_DM_source]],MATCH(Tab_Data_Flows[[#This Row],[Flow_Name]],Tab_Def_Flows[Flow_Name],0),17)</f>
        <v>0</v>
      </c>
      <c r="AD58" s="6" t="str">
        <f>Tab_Data_Flows[[#This Row],[Flow_ID]]&amp;"_"&amp;"CC_"&amp;Tab_Data_Flows[[#This Row],[Flow_Data_Year]]</f>
        <v>F_01_10_CC_2029</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F_01_10</v>
      </c>
      <c r="C59" s="138" t="s">
        <v>1108</v>
      </c>
      <c r="D59" s="9" t="str">
        <f>_xlfn.XLOOKUP(C59,Tab_Def_Flows[Flow_Name],Tab_Def_Flows[WC?],,0,)</f>
        <v>Yes</v>
      </c>
      <c r="E59" s="9" t="str">
        <f>_xlfn.XLOOKUP(C59,Tab_Def_Flows[Flow_Name],Tab_Def_Flows[DM?],,0,)</f>
        <v>Yes</v>
      </c>
      <c r="F59" s="9" t="str">
        <f>_xlfn.XLOOKUP(C59,Tab_Def_Flows[Flow_Name],Tab_Def_Flows[CC?],,0,)</f>
        <v>Yes</v>
      </c>
      <c r="G59" s="188">
        <v>2030</v>
      </c>
      <c r="H59" s="189">
        <v>1105.5842400864503</v>
      </c>
      <c r="I59" s="6" t="str">
        <f>'0_Configuration'!$C$35</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t="str">
        <f>INDEX(Tab_Def_Flows[[Flow_ID]:[CC_DM_source]],MATCH(Tab_Data_Flows[[#This Row],[Flow_Name]],Tab_Def_Flows[Flow_Name],0),11)</f>
        <v>Yes</v>
      </c>
      <c r="V59" s="6" t="str">
        <f>Tab_Data_Flows[[#This Row],[Flow_ID]]&amp;"_"&amp;"WC_"&amp;Tab_Data_Flows[[#This Row],[Flow_Data_Year]]</f>
        <v>F_01_10_WC_2030</v>
      </c>
      <c r="W59" s="6" t="e">
        <f>IF(D59="Yes",S59*Tab_Data_Flows[[#This Row],[WC_'[%']]],"N.A.")</f>
        <v>#VALUE!</v>
      </c>
      <c r="X59" s="6" t="str">
        <f>Tab_Data_Flows[[#This Row],[UoM_Flow_Py]]</f>
        <v>Mg</v>
      </c>
      <c r="Y59" s="139">
        <f>INDEX(Tab_Def_Flows[[Flow_ID]:[CC_DM_source]],MATCH(Tab_Data_Flows[[#This Row],[Flow_Name]],Tab_Def_Flows[Flow_Name],0),14)</f>
        <v>0</v>
      </c>
      <c r="Z59" s="6" t="str">
        <f>Tab_Data_Flows[[#This Row],[Flow_ID]]&amp;"_"&amp;"DM_"&amp;Tab_Data_Flows[[#This Row],[Flow_Data_Year]]</f>
        <v>F_01_10_DM_2030</v>
      </c>
      <c r="AA59" s="6">
        <f>IF(E59="Yes",Y59*Tab_Data_Flows[[#This Row],[Flow_Material]],"N.A.")</f>
        <v>0</v>
      </c>
      <c r="AB59" s="6" t="str">
        <f>Tab_Data_Flows[[#This Row],[UoM_Flow_Py]]</f>
        <v>Mg</v>
      </c>
      <c r="AC59" s="139">
        <f>INDEX(Tab_Def_Flows[[Flow_ID]:[CC_DM_source]],MATCH(Tab_Data_Flows[[#This Row],[Flow_Name]],Tab_Def_Flows[Flow_Name],0),17)</f>
        <v>0</v>
      </c>
      <c r="AD59" s="6" t="str">
        <f>Tab_Data_Flows[[#This Row],[Flow_ID]]&amp;"_"&amp;"CC_"&amp;Tab_Data_Flows[[#This Row],[Flow_Data_Year]]</f>
        <v>F_01_10_CC_2030</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F_01_10</v>
      </c>
      <c r="C60" s="138" t="s">
        <v>1108</v>
      </c>
      <c r="D60" s="9" t="str">
        <f>_xlfn.XLOOKUP(C60,Tab_Def_Flows[Flow_Name],Tab_Def_Flows[WC?],,0,)</f>
        <v>Yes</v>
      </c>
      <c r="E60" s="9" t="str">
        <f>_xlfn.XLOOKUP(C60,Tab_Def_Flows[Flow_Name],Tab_Def_Flows[DM?],,0,)</f>
        <v>Yes</v>
      </c>
      <c r="F60" s="9" t="str">
        <f>_xlfn.XLOOKUP(C60,Tab_Def_Flows[Flow_Name],Tab_Def_Flows[CC?],,0,)</f>
        <v>Yes</v>
      </c>
      <c r="G60" s="188">
        <v>2031</v>
      </c>
      <c r="H60" s="189">
        <v>1711.5668036674861</v>
      </c>
      <c r="I60" s="6" t="str">
        <f>'0_Configuration'!$C$35</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t="str">
        <f>INDEX(Tab_Def_Flows[[Flow_ID]:[CC_DM_source]],MATCH(Tab_Data_Flows[[#This Row],[Flow_Name]],Tab_Def_Flows[Flow_Name],0),11)</f>
        <v>Yes</v>
      </c>
      <c r="V60" s="6" t="str">
        <f>Tab_Data_Flows[[#This Row],[Flow_ID]]&amp;"_"&amp;"WC_"&amp;Tab_Data_Flows[[#This Row],[Flow_Data_Year]]</f>
        <v>F_01_10_WC_2031</v>
      </c>
      <c r="W60" s="6" t="e">
        <f>IF(D60="Yes",S60*Tab_Data_Flows[[#This Row],[WC_'[%']]],"N.A.")</f>
        <v>#VALUE!</v>
      </c>
      <c r="X60" s="6" t="str">
        <f>Tab_Data_Flows[[#This Row],[UoM_Flow_Py]]</f>
        <v>Mg</v>
      </c>
      <c r="Y60" s="139">
        <f>INDEX(Tab_Def_Flows[[Flow_ID]:[CC_DM_source]],MATCH(Tab_Data_Flows[[#This Row],[Flow_Name]],Tab_Def_Flows[Flow_Name],0),14)</f>
        <v>0</v>
      </c>
      <c r="Z60" s="6" t="str">
        <f>Tab_Data_Flows[[#This Row],[Flow_ID]]&amp;"_"&amp;"DM_"&amp;Tab_Data_Flows[[#This Row],[Flow_Data_Year]]</f>
        <v>F_01_10_DM_2031</v>
      </c>
      <c r="AA60" s="6">
        <f>IF(E60="Yes",Y60*Tab_Data_Flows[[#This Row],[Flow_Material]],"N.A.")</f>
        <v>0</v>
      </c>
      <c r="AB60" s="6" t="str">
        <f>Tab_Data_Flows[[#This Row],[UoM_Flow_Py]]</f>
        <v>Mg</v>
      </c>
      <c r="AC60" s="139">
        <f>INDEX(Tab_Def_Flows[[Flow_ID]:[CC_DM_source]],MATCH(Tab_Data_Flows[[#This Row],[Flow_Name]],Tab_Def_Flows[Flow_Name],0),17)</f>
        <v>0</v>
      </c>
      <c r="AD60" s="6" t="str">
        <f>Tab_Data_Flows[[#This Row],[Flow_ID]]&amp;"_"&amp;"CC_"&amp;Tab_Data_Flows[[#This Row],[Flow_Data_Year]]</f>
        <v>F_01_10_CC_2031</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F_01_10</v>
      </c>
      <c r="C61" s="138" t="s">
        <v>1108</v>
      </c>
      <c r="D61" s="9" t="str">
        <f>_xlfn.XLOOKUP(C61,Tab_Def_Flows[Flow_Name],Tab_Def_Flows[WC?],,0,)</f>
        <v>Yes</v>
      </c>
      <c r="E61" s="9" t="str">
        <f>_xlfn.XLOOKUP(C61,Tab_Def_Flows[Flow_Name],Tab_Def_Flows[DM?],,0,)</f>
        <v>Yes</v>
      </c>
      <c r="F61" s="9" t="str">
        <f>_xlfn.XLOOKUP(C61,Tab_Def_Flows[Flow_Name],Tab_Def_Flows[CC?],,0,)</f>
        <v>Yes</v>
      </c>
      <c r="G61" s="188">
        <v>2032</v>
      </c>
      <c r="H61" s="189">
        <v>1440.2831429198654</v>
      </c>
      <c r="I61" s="6" t="str">
        <f>'0_Configuration'!$C$35</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t="str">
        <f>INDEX(Tab_Def_Flows[[Flow_ID]:[CC_DM_source]],MATCH(Tab_Data_Flows[[#This Row],[Flow_Name]],Tab_Def_Flows[Flow_Name],0),11)</f>
        <v>Yes</v>
      </c>
      <c r="V61" s="6" t="str">
        <f>Tab_Data_Flows[[#This Row],[Flow_ID]]&amp;"_"&amp;"WC_"&amp;Tab_Data_Flows[[#This Row],[Flow_Data_Year]]</f>
        <v>F_01_10_WC_2032</v>
      </c>
      <c r="W61" s="6" t="e">
        <f>IF(D61="Yes",S61*Tab_Data_Flows[[#This Row],[WC_'[%']]],"N.A.")</f>
        <v>#VALUE!</v>
      </c>
      <c r="X61" s="6" t="str">
        <f>Tab_Data_Flows[[#This Row],[UoM_Flow_Py]]</f>
        <v>Mg</v>
      </c>
      <c r="Y61" s="139">
        <f>INDEX(Tab_Def_Flows[[Flow_ID]:[CC_DM_source]],MATCH(Tab_Data_Flows[[#This Row],[Flow_Name]],Tab_Def_Flows[Flow_Name],0),14)</f>
        <v>0</v>
      </c>
      <c r="Z61" s="6" t="str">
        <f>Tab_Data_Flows[[#This Row],[Flow_ID]]&amp;"_"&amp;"DM_"&amp;Tab_Data_Flows[[#This Row],[Flow_Data_Year]]</f>
        <v>F_01_10_DM_2032</v>
      </c>
      <c r="AA61" s="6">
        <f>IF(E61="Yes",Y61*Tab_Data_Flows[[#This Row],[Flow_Material]],"N.A.")</f>
        <v>0</v>
      </c>
      <c r="AB61" s="6" t="str">
        <f>Tab_Data_Flows[[#This Row],[UoM_Flow_Py]]</f>
        <v>Mg</v>
      </c>
      <c r="AC61" s="139">
        <f>INDEX(Tab_Def_Flows[[Flow_ID]:[CC_DM_source]],MATCH(Tab_Data_Flows[[#This Row],[Flow_Name]],Tab_Def_Flows[Flow_Name],0),17)</f>
        <v>0</v>
      </c>
      <c r="AD61" s="6" t="str">
        <f>Tab_Data_Flows[[#This Row],[Flow_ID]]&amp;"_"&amp;"CC_"&amp;Tab_Data_Flows[[#This Row],[Flow_Data_Year]]</f>
        <v>F_01_10_CC_2032</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F_01_10</v>
      </c>
      <c r="C62" s="138" t="s">
        <v>1108</v>
      </c>
      <c r="D62" s="9" t="str">
        <f>_xlfn.XLOOKUP(C62,Tab_Def_Flows[Flow_Name],Tab_Def_Flows[WC?],,0,)</f>
        <v>Yes</v>
      </c>
      <c r="E62" s="9" t="str">
        <f>_xlfn.XLOOKUP(C62,Tab_Def_Flows[Flow_Name],Tab_Def_Flows[DM?],,0,)</f>
        <v>Yes</v>
      </c>
      <c r="F62" s="9" t="str">
        <f>_xlfn.XLOOKUP(C62,Tab_Def_Flows[Flow_Name],Tab_Def_Flows[CC?],,0,)</f>
        <v>Yes</v>
      </c>
      <c r="G62" s="188">
        <v>2033</v>
      </c>
      <c r="H62" s="189">
        <v>1026.9433885217684</v>
      </c>
      <c r="I62" s="6" t="str">
        <f>'0_Configuration'!$C$35</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t="str">
        <f>INDEX(Tab_Def_Flows[[Flow_ID]:[CC_DM_source]],MATCH(Tab_Data_Flows[[#This Row],[Flow_Name]],Tab_Def_Flows[Flow_Name],0),11)</f>
        <v>Yes</v>
      </c>
      <c r="V62" s="6" t="str">
        <f>Tab_Data_Flows[[#This Row],[Flow_ID]]&amp;"_"&amp;"WC_"&amp;Tab_Data_Flows[[#This Row],[Flow_Data_Year]]</f>
        <v>F_01_10_WC_2033</v>
      </c>
      <c r="W62" s="6" t="e">
        <f>IF(D62="Yes",S62*Tab_Data_Flows[[#This Row],[WC_'[%']]],"N.A.")</f>
        <v>#VALUE!</v>
      </c>
      <c r="X62" s="6" t="str">
        <f>Tab_Data_Flows[[#This Row],[UoM_Flow_Py]]</f>
        <v>Mg</v>
      </c>
      <c r="Y62" s="139">
        <f>INDEX(Tab_Def_Flows[[Flow_ID]:[CC_DM_source]],MATCH(Tab_Data_Flows[[#This Row],[Flow_Name]],Tab_Def_Flows[Flow_Name],0),14)</f>
        <v>0</v>
      </c>
      <c r="Z62" s="6" t="str">
        <f>Tab_Data_Flows[[#This Row],[Flow_ID]]&amp;"_"&amp;"DM_"&amp;Tab_Data_Flows[[#This Row],[Flow_Data_Year]]</f>
        <v>F_01_10_DM_2033</v>
      </c>
      <c r="AA62" s="6">
        <f>IF(E62="Yes",Y62*Tab_Data_Flows[[#This Row],[Flow_Material]],"N.A.")</f>
        <v>0</v>
      </c>
      <c r="AB62" s="6" t="str">
        <f>Tab_Data_Flows[[#This Row],[UoM_Flow_Py]]</f>
        <v>Mg</v>
      </c>
      <c r="AC62" s="139">
        <f>INDEX(Tab_Def_Flows[[Flow_ID]:[CC_DM_source]],MATCH(Tab_Data_Flows[[#This Row],[Flow_Name]],Tab_Def_Flows[Flow_Name],0),17)</f>
        <v>0</v>
      </c>
      <c r="AD62" s="6" t="str">
        <f>Tab_Data_Flows[[#This Row],[Flow_ID]]&amp;"_"&amp;"CC_"&amp;Tab_Data_Flows[[#This Row],[Flow_Data_Year]]</f>
        <v>F_01_10_CC_2033</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F_01_10</v>
      </c>
      <c r="C63" s="138" t="s">
        <v>1108</v>
      </c>
      <c r="D63" s="9" t="str">
        <f>_xlfn.XLOOKUP(C63,Tab_Def_Flows[Flow_Name],Tab_Def_Flows[WC?],,0,)</f>
        <v>Yes</v>
      </c>
      <c r="E63" s="9" t="str">
        <f>_xlfn.XLOOKUP(C63,Tab_Def_Flows[Flow_Name],Tab_Def_Flows[DM?],,0,)</f>
        <v>Yes</v>
      </c>
      <c r="F63" s="9" t="str">
        <f>_xlfn.XLOOKUP(C63,Tab_Def_Flows[Flow_Name],Tab_Def_Flows[CC?],,0,)</f>
        <v>Yes</v>
      </c>
      <c r="G63" s="188">
        <v>2034</v>
      </c>
      <c r="H63" s="189">
        <v>1365.1469919084127</v>
      </c>
      <c r="I63" s="6" t="str">
        <f>'0_Configuration'!$C$35</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t="str">
        <f>INDEX(Tab_Def_Flows[[Flow_ID]:[CC_DM_source]],MATCH(Tab_Data_Flows[[#This Row],[Flow_Name]],Tab_Def_Flows[Flow_Name],0),11)</f>
        <v>Yes</v>
      </c>
      <c r="V63" s="6" t="str">
        <f>Tab_Data_Flows[[#This Row],[Flow_ID]]&amp;"_"&amp;"WC_"&amp;Tab_Data_Flows[[#This Row],[Flow_Data_Year]]</f>
        <v>F_01_10_WC_2034</v>
      </c>
      <c r="W63" s="6" t="e">
        <f>IF(D63="Yes",S63*Tab_Data_Flows[[#This Row],[WC_'[%']]],"N.A.")</f>
        <v>#VALUE!</v>
      </c>
      <c r="X63" s="6" t="str">
        <f>Tab_Data_Flows[[#This Row],[UoM_Flow_Py]]</f>
        <v>Mg</v>
      </c>
      <c r="Y63" s="139">
        <f>INDEX(Tab_Def_Flows[[Flow_ID]:[CC_DM_source]],MATCH(Tab_Data_Flows[[#This Row],[Flow_Name]],Tab_Def_Flows[Flow_Name],0),14)</f>
        <v>0</v>
      </c>
      <c r="Z63" s="6" t="str">
        <f>Tab_Data_Flows[[#This Row],[Flow_ID]]&amp;"_"&amp;"DM_"&amp;Tab_Data_Flows[[#This Row],[Flow_Data_Year]]</f>
        <v>F_01_10_DM_2034</v>
      </c>
      <c r="AA63" s="6">
        <f>IF(E63="Yes",Y63*Tab_Data_Flows[[#This Row],[Flow_Material]],"N.A.")</f>
        <v>0</v>
      </c>
      <c r="AB63" s="6" t="str">
        <f>Tab_Data_Flows[[#This Row],[UoM_Flow_Py]]</f>
        <v>Mg</v>
      </c>
      <c r="AC63" s="139">
        <f>INDEX(Tab_Def_Flows[[Flow_ID]:[CC_DM_source]],MATCH(Tab_Data_Flows[[#This Row],[Flow_Name]],Tab_Def_Flows[Flow_Name],0),17)</f>
        <v>0</v>
      </c>
      <c r="AD63" s="6" t="str">
        <f>Tab_Data_Flows[[#This Row],[Flow_ID]]&amp;"_"&amp;"CC_"&amp;Tab_Data_Flows[[#This Row],[Flow_Data_Year]]</f>
        <v>F_01_10_CC_2034</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F_01_10</v>
      </c>
      <c r="C64" s="138" t="s">
        <v>1108</v>
      </c>
      <c r="D64" s="9" t="str">
        <f>_xlfn.XLOOKUP(C64,Tab_Def_Flows[Flow_Name],Tab_Def_Flows[WC?],,0,)</f>
        <v>Yes</v>
      </c>
      <c r="E64" s="9" t="str">
        <f>_xlfn.XLOOKUP(C64,Tab_Def_Flows[Flow_Name],Tab_Def_Flows[DM?],,0,)</f>
        <v>Yes</v>
      </c>
      <c r="F64" s="9" t="str">
        <f>_xlfn.XLOOKUP(C64,Tab_Def_Flows[Flow_Name],Tab_Def_Flows[CC?],,0,)</f>
        <v>Yes</v>
      </c>
      <c r="G64" s="188">
        <v>2035</v>
      </c>
      <c r="H64" s="189">
        <v>1028.9602445005135</v>
      </c>
      <c r="I64" s="6" t="str">
        <f>'0_Configuration'!$C$35</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t="str">
        <f>INDEX(Tab_Def_Flows[[Flow_ID]:[CC_DM_source]],MATCH(Tab_Data_Flows[[#This Row],[Flow_Name]],Tab_Def_Flows[Flow_Name],0),11)</f>
        <v>Yes</v>
      </c>
      <c r="V64" s="6" t="str">
        <f>Tab_Data_Flows[[#This Row],[Flow_ID]]&amp;"_"&amp;"WC_"&amp;Tab_Data_Flows[[#This Row],[Flow_Data_Year]]</f>
        <v>F_01_10_WC_2035</v>
      </c>
      <c r="W64" s="6" t="e">
        <f>IF(D64="Yes",S64*Tab_Data_Flows[[#This Row],[WC_'[%']]],"N.A.")</f>
        <v>#VALUE!</v>
      </c>
      <c r="X64" s="6" t="str">
        <f>Tab_Data_Flows[[#This Row],[UoM_Flow_Py]]</f>
        <v>Mg</v>
      </c>
      <c r="Y64" s="139">
        <f>INDEX(Tab_Def_Flows[[Flow_ID]:[CC_DM_source]],MATCH(Tab_Data_Flows[[#This Row],[Flow_Name]],Tab_Def_Flows[Flow_Name],0),14)</f>
        <v>0</v>
      </c>
      <c r="Z64" s="6" t="str">
        <f>Tab_Data_Flows[[#This Row],[Flow_ID]]&amp;"_"&amp;"DM_"&amp;Tab_Data_Flows[[#This Row],[Flow_Data_Year]]</f>
        <v>F_01_10_DM_2035</v>
      </c>
      <c r="AA64" s="6">
        <f>IF(E64="Yes",Y64*Tab_Data_Flows[[#This Row],[Flow_Material]],"N.A.")</f>
        <v>0</v>
      </c>
      <c r="AB64" s="6" t="str">
        <f>Tab_Data_Flows[[#This Row],[UoM_Flow_Py]]</f>
        <v>Mg</v>
      </c>
      <c r="AC64" s="139">
        <f>INDEX(Tab_Def_Flows[[Flow_ID]:[CC_DM_source]],MATCH(Tab_Data_Flows[[#This Row],[Flow_Name]],Tab_Def_Flows[Flow_Name],0),17)</f>
        <v>0</v>
      </c>
      <c r="AD64" s="6" t="str">
        <f>Tab_Data_Flows[[#This Row],[Flow_ID]]&amp;"_"&amp;"CC_"&amp;Tab_Data_Flows[[#This Row],[Flow_Data_Year]]</f>
        <v>F_01_10_CC_2035</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F_01_10</v>
      </c>
      <c r="C65" s="138" t="s">
        <v>1108</v>
      </c>
      <c r="D65" s="9" t="str">
        <f>_xlfn.XLOOKUP(C65,Tab_Def_Flows[Flow_Name],Tab_Def_Flows[WC?],,0,)</f>
        <v>Yes</v>
      </c>
      <c r="E65" s="9" t="str">
        <f>_xlfn.XLOOKUP(C65,Tab_Def_Flows[Flow_Name],Tab_Def_Flows[DM?],,0,)</f>
        <v>Yes</v>
      </c>
      <c r="F65" s="9" t="str">
        <f>_xlfn.XLOOKUP(C65,Tab_Def_Flows[Flow_Name],Tab_Def_Flows[CC?],,0,)</f>
        <v>Yes</v>
      </c>
      <c r="G65" s="188">
        <v>2036</v>
      </c>
      <c r="H65" s="189">
        <v>1028.1832590005051</v>
      </c>
      <c r="I65" s="6" t="str">
        <f>'0_Configuration'!$C$35</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t="str">
        <f>INDEX(Tab_Def_Flows[[Flow_ID]:[CC_DM_source]],MATCH(Tab_Data_Flows[[#This Row],[Flow_Name]],Tab_Def_Flows[Flow_Name],0),11)</f>
        <v>Yes</v>
      </c>
      <c r="V65" s="6" t="str">
        <f>Tab_Data_Flows[[#This Row],[Flow_ID]]&amp;"_"&amp;"WC_"&amp;Tab_Data_Flows[[#This Row],[Flow_Data_Year]]</f>
        <v>F_01_10_WC_2036</v>
      </c>
      <c r="W65" s="6" t="e">
        <f>IF(D65="Yes",S65*Tab_Data_Flows[[#This Row],[WC_'[%']]],"N.A.")</f>
        <v>#VALUE!</v>
      </c>
      <c r="X65" s="6" t="str">
        <f>Tab_Data_Flows[[#This Row],[UoM_Flow_Py]]</f>
        <v>Mg</v>
      </c>
      <c r="Y65" s="139">
        <f>INDEX(Tab_Def_Flows[[Flow_ID]:[CC_DM_source]],MATCH(Tab_Data_Flows[[#This Row],[Flow_Name]],Tab_Def_Flows[Flow_Name],0),14)</f>
        <v>0</v>
      </c>
      <c r="Z65" s="6" t="str">
        <f>Tab_Data_Flows[[#This Row],[Flow_ID]]&amp;"_"&amp;"DM_"&amp;Tab_Data_Flows[[#This Row],[Flow_Data_Year]]</f>
        <v>F_01_10_DM_2036</v>
      </c>
      <c r="AA65" s="6">
        <f>IF(E65="Yes",Y65*Tab_Data_Flows[[#This Row],[Flow_Material]],"N.A.")</f>
        <v>0</v>
      </c>
      <c r="AB65" s="6" t="str">
        <f>Tab_Data_Flows[[#This Row],[UoM_Flow_Py]]</f>
        <v>Mg</v>
      </c>
      <c r="AC65" s="139">
        <f>INDEX(Tab_Def_Flows[[Flow_ID]:[CC_DM_source]],MATCH(Tab_Data_Flows[[#This Row],[Flow_Name]],Tab_Def_Flows[Flow_Name],0),17)</f>
        <v>0</v>
      </c>
      <c r="AD65" s="6" t="str">
        <f>Tab_Data_Flows[[#This Row],[Flow_ID]]&amp;"_"&amp;"CC_"&amp;Tab_Data_Flows[[#This Row],[Flow_Data_Year]]</f>
        <v>F_01_10_CC_2036</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F_01_10</v>
      </c>
      <c r="C66" s="138" t="s">
        <v>1108</v>
      </c>
      <c r="D66" s="9" t="str">
        <f>_xlfn.XLOOKUP(C66,Tab_Def_Flows[Flow_Name],Tab_Def_Flows[WC?],,0,)</f>
        <v>Yes</v>
      </c>
      <c r="E66" s="9" t="str">
        <f>_xlfn.XLOOKUP(C66,Tab_Def_Flows[Flow_Name],Tab_Def_Flows[DM?],,0,)</f>
        <v>Yes</v>
      </c>
      <c r="F66" s="9" t="str">
        <f>_xlfn.XLOOKUP(C66,Tab_Def_Flows[Flow_Name],Tab_Def_Flows[CC?],,0,)</f>
        <v>Yes</v>
      </c>
      <c r="G66" s="188">
        <v>2037</v>
      </c>
      <c r="H66" s="189">
        <v>1264.684419917962</v>
      </c>
      <c r="I66" s="6" t="str">
        <f>'0_Configuration'!$C$35</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t="str">
        <f>INDEX(Tab_Def_Flows[[Flow_ID]:[CC_DM_source]],MATCH(Tab_Data_Flows[[#This Row],[Flow_Name]],Tab_Def_Flows[Flow_Name],0),11)</f>
        <v>Yes</v>
      </c>
      <c r="V66" s="6" t="str">
        <f>Tab_Data_Flows[[#This Row],[Flow_ID]]&amp;"_"&amp;"WC_"&amp;Tab_Data_Flows[[#This Row],[Flow_Data_Year]]</f>
        <v>F_01_10_WC_2037</v>
      </c>
      <c r="W66" s="6" t="e">
        <f>IF(D66="Yes",S66*Tab_Data_Flows[[#This Row],[WC_'[%']]],"N.A.")</f>
        <v>#VALUE!</v>
      </c>
      <c r="X66" s="6" t="str">
        <f>Tab_Data_Flows[[#This Row],[UoM_Flow_Py]]</f>
        <v>Mg</v>
      </c>
      <c r="Y66" s="139">
        <f>INDEX(Tab_Def_Flows[[Flow_ID]:[CC_DM_source]],MATCH(Tab_Data_Flows[[#This Row],[Flow_Name]],Tab_Def_Flows[Flow_Name],0),14)</f>
        <v>0</v>
      </c>
      <c r="Z66" s="6" t="str">
        <f>Tab_Data_Flows[[#This Row],[Flow_ID]]&amp;"_"&amp;"DM_"&amp;Tab_Data_Flows[[#This Row],[Flow_Data_Year]]</f>
        <v>F_01_10_DM_2037</v>
      </c>
      <c r="AA66" s="6">
        <f>IF(E66="Yes",Y66*Tab_Data_Flows[[#This Row],[Flow_Material]],"N.A.")</f>
        <v>0</v>
      </c>
      <c r="AB66" s="6" t="str">
        <f>Tab_Data_Flows[[#This Row],[UoM_Flow_Py]]</f>
        <v>Mg</v>
      </c>
      <c r="AC66" s="139">
        <f>INDEX(Tab_Def_Flows[[Flow_ID]:[CC_DM_source]],MATCH(Tab_Data_Flows[[#This Row],[Flow_Name]],Tab_Def_Flows[Flow_Name],0),17)</f>
        <v>0</v>
      </c>
      <c r="AD66" s="6" t="str">
        <f>Tab_Data_Flows[[#This Row],[Flow_ID]]&amp;"_"&amp;"CC_"&amp;Tab_Data_Flows[[#This Row],[Flow_Data_Year]]</f>
        <v>F_01_10_CC_2037</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F_01_10</v>
      </c>
      <c r="C67" s="138" t="s">
        <v>1108</v>
      </c>
      <c r="D67" s="9" t="str">
        <f>_xlfn.XLOOKUP(C67,Tab_Def_Flows[Flow_Name],Tab_Def_Flows[WC?],,0,)</f>
        <v>Yes</v>
      </c>
      <c r="E67" s="9" t="str">
        <f>_xlfn.XLOOKUP(C67,Tab_Def_Flows[Flow_Name],Tab_Def_Flows[DM?],,0,)</f>
        <v>Yes</v>
      </c>
      <c r="F67" s="9" t="str">
        <f>_xlfn.XLOOKUP(C67,Tab_Def_Flows[Flow_Name],Tab_Def_Flows[CC?],,0,)</f>
        <v>Yes</v>
      </c>
      <c r="G67" s="188">
        <v>2038</v>
      </c>
      <c r="H67" s="189">
        <v>544.45192462292209</v>
      </c>
      <c r="I67" s="6" t="str">
        <f>'0_Configuration'!$C$35</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t="str">
        <f>INDEX(Tab_Def_Flows[[Flow_ID]:[CC_DM_source]],MATCH(Tab_Data_Flows[[#This Row],[Flow_Name]],Tab_Def_Flows[Flow_Name],0),11)</f>
        <v>Yes</v>
      </c>
      <c r="V67" s="6" t="str">
        <f>Tab_Data_Flows[[#This Row],[Flow_ID]]&amp;"_"&amp;"WC_"&amp;Tab_Data_Flows[[#This Row],[Flow_Data_Year]]</f>
        <v>F_01_10_WC_2038</v>
      </c>
      <c r="W67" s="6" t="e">
        <f>IF(D67="Yes",S67*Tab_Data_Flows[[#This Row],[WC_'[%']]],"N.A.")</f>
        <v>#VALUE!</v>
      </c>
      <c r="X67" s="6" t="str">
        <f>Tab_Data_Flows[[#This Row],[UoM_Flow_Py]]</f>
        <v>Mg</v>
      </c>
      <c r="Y67" s="139">
        <f>INDEX(Tab_Def_Flows[[Flow_ID]:[CC_DM_source]],MATCH(Tab_Data_Flows[[#This Row],[Flow_Name]],Tab_Def_Flows[Flow_Name],0),14)</f>
        <v>0</v>
      </c>
      <c r="Z67" s="6" t="str">
        <f>Tab_Data_Flows[[#This Row],[Flow_ID]]&amp;"_"&amp;"DM_"&amp;Tab_Data_Flows[[#This Row],[Flow_Data_Year]]</f>
        <v>F_01_10_DM_2038</v>
      </c>
      <c r="AA67" s="6">
        <f>IF(E67="Yes",Y67*Tab_Data_Flows[[#This Row],[Flow_Material]],"N.A.")</f>
        <v>0</v>
      </c>
      <c r="AB67" s="6" t="str">
        <f>Tab_Data_Flows[[#This Row],[UoM_Flow_Py]]</f>
        <v>Mg</v>
      </c>
      <c r="AC67" s="139">
        <f>INDEX(Tab_Def_Flows[[Flow_ID]:[CC_DM_source]],MATCH(Tab_Data_Flows[[#This Row],[Flow_Name]],Tab_Def_Flows[Flow_Name],0),17)</f>
        <v>0</v>
      </c>
      <c r="AD67" s="6" t="str">
        <f>Tab_Data_Flows[[#This Row],[Flow_ID]]&amp;"_"&amp;"CC_"&amp;Tab_Data_Flows[[#This Row],[Flow_Data_Year]]</f>
        <v>F_01_10_CC_2038</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F_01_10</v>
      </c>
      <c r="C68" s="138" t="s">
        <v>1108</v>
      </c>
      <c r="D68" s="9" t="str">
        <f>_xlfn.XLOOKUP(C68,Tab_Def_Flows[Flow_Name],Tab_Def_Flows[WC?],,0,)</f>
        <v>Yes</v>
      </c>
      <c r="E68" s="9" t="str">
        <f>_xlfn.XLOOKUP(C68,Tab_Def_Flows[Flow_Name],Tab_Def_Flows[DM?],,0,)</f>
        <v>Yes</v>
      </c>
      <c r="F68" s="9" t="str">
        <f>_xlfn.XLOOKUP(C68,Tab_Def_Flows[Flow_Name],Tab_Def_Flows[CC?],,0,)</f>
        <v>Yes</v>
      </c>
      <c r="G68" s="188">
        <v>2039</v>
      </c>
      <c r="H68" s="189">
        <v>607.38775012360418</v>
      </c>
      <c r="I68" s="6" t="str">
        <f>'0_Configuration'!$C$35</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t="str">
        <f>INDEX(Tab_Def_Flows[[Flow_ID]:[CC_DM_source]],MATCH(Tab_Data_Flows[[#This Row],[Flow_Name]],Tab_Def_Flows[Flow_Name],0),11)</f>
        <v>Yes</v>
      </c>
      <c r="V68" s="6" t="str">
        <f>Tab_Data_Flows[[#This Row],[Flow_ID]]&amp;"_"&amp;"WC_"&amp;Tab_Data_Flows[[#This Row],[Flow_Data_Year]]</f>
        <v>F_01_10_WC_2039</v>
      </c>
      <c r="W68" s="6" t="e">
        <f>IF(D68="Yes",S68*Tab_Data_Flows[[#This Row],[WC_'[%']]],"N.A.")</f>
        <v>#VALUE!</v>
      </c>
      <c r="X68" s="6" t="str">
        <f>Tab_Data_Flows[[#This Row],[UoM_Flow_Py]]</f>
        <v>Mg</v>
      </c>
      <c r="Y68" s="139">
        <f>INDEX(Tab_Def_Flows[[Flow_ID]:[CC_DM_source]],MATCH(Tab_Data_Flows[[#This Row],[Flow_Name]],Tab_Def_Flows[Flow_Name],0),14)</f>
        <v>0</v>
      </c>
      <c r="Z68" s="6" t="str">
        <f>Tab_Data_Flows[[#This Row],[Flow_ID]]&amp;"_"&amp;"DM_"&amp;Tab_Data_Flows[[#This Row],[Flow_Data_Year]]</f>
        <v>F_01_10_DM_2039</v>
      </c>
      <c r="AA68" s="6">
        <f>IF(E68="Yes",Y68*Tab_Data_Flows[[#This Row],[Flow_Material]],"N.A.")</f>
        <v>0</v>
      </c>
      <c r="AB68" s="6" t="str">
        <f>Tab_Data_Flows[[#This Row],[UoM_Flow_Py]]</f>
        <v>Mg</v>
      </c>
      <c r="AC68" s="139">
        <f>INDEX(Tab_Def_Flows[[Flow_ID]:[CC_DM_source]],MATCH(Tab_Data_Flows[[#This Row],[Flow_Name]],Tab_Def_Flows[Flow_Name],0),17)</f>
        <v>0</v>
      </c>
      <c r="AD68" s="6" t="str">
        <f>Tab_Data_Flows[[#This Row],[Flow_ID]]&amp;"_"&amp;"CC_"&amp;Tab_Data_Flows[[#This Row],[Flow_Data_Year]]</f>
        <v>F_01_10_CC_2039</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F_01_10</v>
      </c>
      <c r="C69" s="138" t="s">
        <v>1108</v>
      </c>
      <c r="D69" s="9" t="str">
        <f>_xlfn.XLOOKUP(C69,Tab_Def_Flows[Flow_Name],Tab_Def_Flows[WC?],,0,)</f>
        <v>Yes</v>
      </c>
      <c r="E69" s="9" t="str">
        <f>_xlfn.XLOOKUP(C69,Tab_Def_Flows[Flow_Name],Tab_Def_Flows[DM?],,0,)</f>
        <v>Yes</v>
      </c>
      <c r="F69" s="9" t="str">
        <f>_xlfn.XLOOKUP(C69,Tab_Def_Flows[Flow_Name],Tab_Def_Flows[CC?],,0,)</f>
        <v>Yes</v>
      </c>
      <c r="G69" s="188">
        <v>2040</v>
      </c>
      <c r="H69" s="189">
        <v>995.93009494696423</v>
      </c>
      <c r="I69" s="6" t="str">
        <f>'0_Configuration'!$C$35</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t="str">
        <f>INDEX(Tab_Def_Flows[[Flow_ID]:[CC_DM_source]],MATCH(Tab_Data_Flows[[#This Row],[Flow_Name]],Tab_Def_Flows[Flow_Name],0),11)</f>
        <v>Yes</v>
      </c>
      <c r="V69" s="6" t="str">
        <f>Tab_Data_Flows[[#This Row],[Flow_ID]]&amp;"_"&amp;"WC_"&amp;Tab_Data_Flows[[#This Row],[Flow_Data_Year]]</f>
        <v>F_01_10_WC_2040</v>
      </c>
      <c r="W69" s="6" t="e">
        <f>IF(D69="Yes",S69*Tab_Data_Flows[[#This Row],[WC_'[%']]],"N.A.")</f>
        <v>#VALUE!</v>
      </c>
      <c r="X69" s="6" t="str">
        <f>Tab_Data_Flows[[#This Row],[UoM_Flow_Py]]</f>
        <v>Mg</v>
      </c>
      <c r="Y69" s="139">
        <f>INDEX(Tab_Def_Flows[[Flow_ID]:[CC_DM_source]],MATCH(Tab_Data_Flows[[#This Row],[Flow_Name]],Tab_Def_Flows[Flow_Name],0),14)</f>
        <v>0</v>
      </c>
      <c r="Z69" s="6" t="str">
        <f>Tab_Data_Flows[[#This Row],[Flow_ID]]&amp;"_"&amp;"DM_"&amp;Tab_Data_Flows[[#This Row],[Flow_Data_Year]]</f>
        <v>F_01_10_DM_2040</v>
      </c>
      <c r="AA69" s="6">
        <f>IF(E69="Yes",Y69*Tab_Data_Flows[[#This Row],[Flow_Material]],"N.A.")</f>
        <v>0</v>
      </c>
      <c r="AB69" s="6" t="str">
        <f>Tab_Data_Flows[[#This Row],[UoM_Flow_Py]]</f>
        <v>Mg</v>
      </c>
      <c r="AC69" s="139">
        <f>INDEX(Tab_Def_Flows[[Flow_ID]:[CC_DM_source]],MATCH(Tab_Data_Flows[[#This Row],[Flow_Name]],Tab_Def_Flows[Flow_Name],0),17)</f>
        <v>0</v>
      </c>
      <c r="AD69" s="6" t="str">
        <f>Tab_Data_Flows[[#This Row],[Flow_ID]]&amp;"_"&amp;"CC_"&amp;Tab_Data_Flows[[#This Row],[Flow_Data_Year]]</f>
        <v>F_01_10_CC_2040</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F_01_10</v>
      </c>
      <c r="C70" s="138" t="s">
        <v>1108</v>
      </c>
      <c r="D70" s="9" t="str">
        <f>_xlfn.XLOOKUP(C70,Tab_Def_Flows[Flow_Name],Tab_Def_Flows[WC?],,0,)</f>
        <v>Yes</v>
      </c>
      <c r="E70" s="9" t="str">
        <f>_xlfn.XLOOKUP(C70,Tab_Def_Flows[Flow_Name],Tab_Def_Flows[DM?],,0,)</f>
        <v>Yes</v>
      </c>
      <c r="F70" s="9" t="str">
        <f>_xlfn.XLOOKUP(C70,Tab_Def_Flows[Flow_Name],Tab_Def_Flows[CC?],,0,)</f>
        <v>Yes</v>
      </c>
      <c r="G70" s="188">
        <v>2041</v>
      </c>
      <c r="H70" s="189">
        <v>845.36022400916215</v>
      </c>
      <c r="I70" s="6" t="str">
        <f>'0_Configuration'!$C$35</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t="str">
        <f>INDEX(Tab_Def_Flows[[Flow_ID]:[CC_DM_source]],MATCH(Tab_Data_Flows[[#This Row],[Flow_Name]],Tab_Def_Flows[Flow_Name],0),11)</f>
        <v>Yes</v>
      </c>
      <c r="V70" s="6" t="str">
        <f>Tab_Data_Flows[[#This Row],[Flow_ID]]&amp;"_"&amp;"WC_"&amp;Tab_Data_Flows[[#This Row],[Flow_Data_Year]]</f>
        <v>F_01_10_WC_2041</v>
      </c>
      <c r="W70" s="6" t="e">
        <f>IF(D70="Yes",S70*Tab_Data_Flows[[#This Row],[WC_'[%']]],"N.A.")</f>
        <v>#VALUE!</v>
      </c>
      <c r="X70" s="6" t="str">
        <f>Tab_Data_Flows[[#This Row],[UoM_Flow_Py]]</f>
        <v>Mg</v>
      </c>
      <c r="Y70" s="139">
        <f>INDEX(Tab_Def_Flows[[Flow_ID]:[CC_DM_source]],MATCH(Tab_Data_Flows[[#This Row],[Flow_Name]],Tab_Def_Flows[Flow_Name],0),14)</f>
        <v>0</v>
      </c>
      <c r="Z70" s="6" t="str">
        <f>Tab_Data_Flows[[#This Row],[Flow_ID]]&amp;"_"&amp;"DM_"&amp;Tab_Data_Flows[[#This Row],[Flow_Data_Year]]</f>
        <v>F_01_10_DM_2041</v>
      </c>
      <c r="AA70" s="6">
        <f>IF(E70="Yes",Y70*Tab_Data_Flows[[#This Row],[Flow_Material]],"N.A.")</f>
        <v>0</v>
      </c>
      <c r="AB70" s="6" t="str">
        <f>Tab_Data_Flows[[#This Row],[UoM_Flow_Py]]</f>
        <v>Mg</v>
      </c>
      <c r="AC70" s="139">
        <f>INDEX(Tab_Def_Flows[[Flow_ID]:[CC_DM_source]],MATCH(Tab_Data_Flows[[#This Row],[Flow_Name]],Tab_Def_Flows[Flow_Name],0),17)</f>
        <v>0</v>
      </c>
      <c r="AD70" s="6" t="str">
        <f>Tab_Data_Flows[[#This Row],[Flow_ID]]&amp;"_"&amp;"CC_"&amp;Tab_Data_Flows[[#This Row],[Flow_Data_Year]]</f>
        <v>F_01_10_CC_2041</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F_01_10</v>
      </c>
      <c r="C71" s="138" t="s">
        <v>1108</v>
      </c>
      <c r="D71" s="9" t="str">
        <f>_xlfn.XLOOKUP(C71,Tab_Def_Flows[Flow_Name],Tab_Def_Flows[WC?],,0,)</f>
        <v>Yes</v>
      </c>
      <c r="E71" s="9" t="str">
        <f>_xlfn.XLOOKUP(C71,Tab_Def_Flows[Flow_Name],Tab_Def_Flows[DM?],,0,)</f>
        <v>Yes</v>
      </c>
      <c r="F71" s="9" t="str">
        <f>_xlfn.XLOOKUP(C71,Tab_Def_Flows[Flow_Name],Tab_Def_Flows[CC?],,0,)</f>
        <v>Yes</v>
      </c>
      <c r="G71" s="188">
        <v>2042</v>
      </c>
      <c r="H71" s="189">
        <v>1288.8370968437557</v>
      </c>
      <c r="I71" s="6" t="str">
        <f>'0_Configuration'!$C$35</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t="str">
        <f>INDEX(Tab_Def_Flows[[Flow_ID]:[CC_DM_source]],MATCH(Tab_Data_Flows[[#This Row],[Flow_Name]],Tab_Def_Flows[Flow_Name],0),11)</f>
        <v>Yes</v>
      </c>
      <c r="V71" s="6" t="str">
        <f>Tab_Data_Flows[[#This Row],[Flow_ID]]&amp;"_"&amp;"WC_"&amp;Tab_Data_Flows[[#This Row],[Flow_Data_Year]]</f>
        <v>F_01_10_WC_2042</v>
      </c>
      <c r="W71" s="6" t="e">
        <f>IF(D71="Yes",S71*Tab_Data_Flows[[#This Row],[WC_'[%']]],"N.A.")</f>
        <v>#VALUE!</v>
      </c>
      <c r="X71" s="6" t="str">
        <f>Tab_Data_Flows[[#This Row],[UoM_Flow_Py]]</f>
        <v>Mg</v>
      </c>
      <c r="Y71" s="139">
        <f>INDEX(Tab_Def_Flows[[Flow_ID]:[CC_DM_source]],MATCH(Tab_Data_Flows[[#This Row],[Flow_Name]],Tab_Def_Flows[Flow_Name],0),14)</f>
        <v>0</v>
      </c>
      <c r="Z71" s="6" t="str">
        <f>Tab_Data_Flows[[#This Row],[Flow_ID]]&amp;"_"&amp;"DM_"&amp;Tab_Data_Flows[[#This Row],[Flow_Data_Year]]</f>
        <v>F_01_10_DM_2042</v>
      </c>
      <c r="AA71" s="6">
        <f>IF(E71="Yes",Y71*Tab_Data_Flows[[#This Row],[Flow_Material]],"N.A.")</f>
        <v>0</v>
      </c>
      <c r="AB71" s="6" t="str">
        <f>Tab_Data_Flows[[#This Row],[UoM_Flow_Py]]</f>
        <v>Mg</v>
      </c>
      <c r="AC71" s="139">
        <f>INDEX(Tab_Def_Flows[[Flow_ID]:[CC_DM_source]],MATCH(Tab_Data_Flows[[#This Row],[Flow_Name]],Tab_Def_Flows[Flow_Name],0),17)</f>
        <v>0</v>
      </c>
      <c r="AD71" s="6" t="str">
        <f>Tab_Data_Flows[[#This Row],[Flow_ID]]&amp;"_"&amp;"CC_"&amp;Tab_Data_Flows[[#This Row],[Flow_Data_Year]]</f>
        <v>F_01_10_CC_2042</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F_01_10</v>
      </c>
      <c r="C72" s="138" t="s">
        <v>1108</v>
      </c>
      <c r="D72" s="9" t="str">
        <f>_xlfn.XLOOKUP(C72,Tab_Def_Flows[Flow_Name],Tab_Def_Flows[WC?],,0,)</f>
        <v>Yes</v>
      </c>
      <c r="E72" s="9" t="str">
        <f>_xlfn.XLOOKUP(C72,Tab_Def_Flows[Flow_Name],Tab_Def_Flows[DM?],,0,)</f>
        <v>Yes</v>
      </c>
      <c r="F72" s="9" t="str">
        <f>_xlfn.XLOOKUP(C72,Tab_Def_Flows[Flow_Name],Tab_Def_Flows[CC?],,0,)</f>
        <v>Yes</v>
      </c>
      <c r="G72" s="188">
        <v>2043</v>
      </c>
      <c r="H72" s="189">
        <v>880.3906979350736</v>
      </c>
      <c r="I72" s="6" t="str">
        <f>'0_Configuration'!$C$35</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t="str">
        <f>INDEX(Tab_Def_Flows[[Flow_ID]:[CC_DM_source]],MATCH(Tab_Data_Flows[[#This Row],[Flow_Name]],Tab_Def_Flows[Flow_Name],0),11)</f>
        <v>Yes</v>
      </c>
      <c r="V72" s="6" t="str">
        <f>Tab_Data_Flows[[#This Row],[Flow_ID]]&amp;"_"&amp;"WC_"&amp;Tab_Data_Flows[[#This Row],[Flow_Data_Year]]</f>
        <v>F_01_10_WC_2043</v>
      </c>
      <c r="W72" s="6" t="e">
        <f>IF(D72="Yes",S72*Tab_Data_Flows[[#This Row],[WC_'[%']]],"N.A.")</f>
        <v>#VALUE!</v>
      </c>
      <c r="X72" s="6" t="str">
        <f>Tab_Data_Flows[[#This Row],[UoM_Flow_Py]]</f>
        <v>Mg</v>
      </c>
      <c r="Y72" s="139">
        <f>INDEX(Tab_Def_Flows[[Flow_ID]:[CC_DM_source]],MATCH(Tab_Data_Flows[[#This Row],[Flow_Name]],Tab_Def_Flows[Flow_Name],0),14)</f>
        <v>0</v>
      </c>
      <c r="Z72" s="6" t="str">
        <f>Tab_Data_Flows[[#This Row],[Flow_ID]]&amp;"_"&amp;"DM_"&amp;Tab_Data_Flows[[#This Row],[Flow_Data_Year]]</f>
        <v>F_01_10_DM_2043</v>
      </c>
      <c r="AA72" s="6">
        <f>IF(E72="Yes",Y72*Tab_Data_Flows[[#This Row],[Flow_Material]],"N.A.")</f>
        <v>0</v>
      </c>
      <c r="AB72" s="6" t="str">
        <f>Tab_Data_Flows[[#This Row],[UoM_Flow_Py]]</f>
        <v>Mg</v>
      </c>
      <c r="AC72" s="139">
        <f>INDEX(Tab_Def_Flows[[Flow_ID]:[CC_DM_source]],MATCH(Tab_Data_Flows[[#This Row],[Flow_Name]],Tab_Def_Flows[Flow_Name],0),17)</f>
        <v>0</v>
      </c>
      <c r="AD72" s="6" t="str">
        <f>Tab_Data_Flows[[#This Row],[Flow_ID]]&amp;"_"&amp;"CC_"&amp;Tab_Data_Flows[[#This Row],[Flow_Data_Year]]</f>
        <v>F_01_10_CC_2043</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F_01_10</v>
      </c>
      <c r="C73" s="138" t="s">
        <v>1108</v>
      </c>
      <c r="D73" s="9" t="str">
        <f>_xlfn.XLOOKUP(C73,Tab_Def_Flows[Flow_Name],Tab_Def_Flows[WC?],,0,)</f>
        <v>Yes</v>
      </c>
      <c r="E73" s="9" t="str">
        <f>_xlfn.XLOOKUP(C73,Tab_Def_Flows[Flow_Name],Tab_Def_Flows[DM?],,0,)</f>
        <v>Yes</v>
      </c>
      <c r="F73" s="9" t="str">
        <f>_xlfn.XLOOKUP(C73,Tab_Def_Flows[Flow_Name],Tab_Def_Flows[CC?],,0,)</f>
        <v>Yes</v>
      </c>
      <c r="G73" s="188">
        <v>2044</v>
      </c>
      <c r="H73" s="189">
        <v>711.86750246516203</v>
      </c>
      <c r="I73" s="6" t="str">
        <f>'0_Configuration'!$C$35</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t="str">
        <f>INDEX(Tab_Def_Flows[[Flow_ID]:[CC_DM_source]],MATCH(Tab_Data_Flows[[#This Row],[Flow_Name]],Tab_Def_Flows[Flow_Name],0),11)</f>
        <v>Yes</v>
      </c>
      <c r="V73" s="6" t="str">
        <f>Tab_Data_Flows[[#This Row],[Flow_ID]]&amp;"_"&amp;"WC_"&amp;Tab_Data_Flows[[#This Row],[Flow_Data_Year]]</f>
        <v>F_01_10_WC_2044</v>
      </c>
      <c r="W73" s="6" t="e">
        <f>IF(D73="Yes",S73*Tab_Data_Flows[[#This Row],[WC_'[%']]],"N.A.")</f>
        <v>#VALUE!</v>
      </c>
      <c r="X73" s="6" t="str">
        <f>Tab_Data_Flows[[#This Row],[UoM_Flow_Py]]</f>
        <v>Mg</v>
      </c>
      <c r="Y73" s="139">
        <f>INDEX(Tab_Def_Flows[[Flow_ID]:[CC_DM_source]],MATCH(Tab_Data_Flows[[#This Row],[Flow_Name]],Tab_Def_Flows[Flow_Name],0),14)</f>
        <v>0</v>
      </c>
      <c r="Z73" s="6" t="str">
        <f>Tab_Data_Flows[[#This Row],[Flow_ID]]&amp;"_"&amp;"DM_"&amp;Tab_Data_Flows[[#This Row],[Flow_Data_Year]]</f>
        <v>F_01_10_DM_2044</v>
      </c>
      <c r="AA73" s="6">
        <f>IF(E73="Yes",Y73*Tab_Data_Flows[[#This Row],[Flow_Material]],"N.A.")</f>
        <v>0</v>
      </c>
      <c r="AB73" s="6" t="str">
        <f>Tab_Data_Flows[[#This Row],[UoM_Flow_Py]]</f>
        <v>Mg</v>
      </c>
      <c r="AC73" s="139">
        <f>INDEX(Tab_Def_Flows[[Flow_ID]:[CC_DM_source]],MATCH(Tab_Data_Flows[[#This Row],[Flow_Name]],Tab_Def_Flows[Flow_Name],0),17)</f>
        <v>0</v>
      </c>
      <c r="AD73" s="6" t="str">
        <f>Tab_Data_Flows[[#This Row],[Flow_ID]]&amp;"_"&amp;"CC_"&amp;Tab_Data_Flows[[#This Row],[Flow_Data_Year]]</f>
        <v>F_01_10_CC_2044</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F_01_10</v>
      </c>
      <c r="C74" s="138" t="s">
        <v>1108</v>
      </c>
      <c r="D74" s="9" t="str">
        <f>_xlfn.XLOOKUP(C74,Tab_Def_Flows[Flow_Name],Tab_Def_Flows[WC?],,0,)</f>
        <v>Yes</v>
      </c>
      <c r="E74" s="9" t="str">
        <f>_xlfn.XLOOKUP(C74,Tab_Def_Flows[Flow_Name],Tab_Def_Flows[DM?],,0,)</f>
        <v>Yes</v>
      </c>
      <c r="F74" s="9" t="str">
        <f>_xlfn.XLOOKUP(C74,Tab_Def_Flows[Flow_Name],Tab_Def_Flows[CC?],,0,)</f>
        <v>Yes</v>
      </c>
      <c r="G74" s="188">
        <v>2045</v>
      </c>
      <c r="H74" s="189">
        <v>1673.6267670181389</v>
      </c>
      <c r="I74" s="6" t="str">
        <f>'0_Configuration'!$C$35</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t="str">
        <f>INDEX(Tab_Def_Flows[[Flow_ID]:[CC_DM_source]],MATCH(Tab_Data_Flows[[#This Row],[Flow_Name]],Tab_Def_Flows[Flow_Name],0),11)</f>
        <v>Yes</v>
      </c>
      <c r="V74" s="6" t="str">
        <f>Tab_Data_Flows[[#This Row],[Flow_ID]]&amp;"_"&amp;"WC_"&amp;Tab_Data_Flows[[#This Row],[Flow_Data_Year]]</f>
        <v>F_01_10_WC_2045</v>
      </c>
      <c r="W74" s="6" t="e">
        <f>IF(D74="Yes",S74*Tab_Data_Flows[[#This Row],[WC_'[%']]],"N.A.")</f>
        <v>#VALUE!</v>
      </c>
      <c r="X74" s="6" t="str">
        <f>Tab_Data_Flows[[#This Row],[UoM_Flow_Py]]</f>
        <v>Mg</v>
      </c>
      <c r="Y74" s="139">
        <f>INDEX(Tab_Def_Flows[[Flow_ID]:[CC_DM_source]],MATCH(Tab_Data_Flows[[#This Row],[Flow_Name]],Tab_Def_Flows[Flow_Name],0),14)</f>
        <v>0</v>
      </c>
      <c r="Z74" s="6" t="str">
        <f>Tab_Data_Flows[[#This Row],[Flow_ID]]&amp;"_"&amp;"DM_"&amp;Tab_Data_Flows[[#This Row],[Flow_Data_Year]]</f>
        <v>F_01_10_DM_2045</v>
      </c>
      <c r="AA74" s="6">
        <f>IF(E74="Yes",Y74*Tab_Data_Flows[[#This Row],[Flow_Material]],"N.A.")</f>
        <v>0</v>
      </c>
      <c r="AB74" s="6" t="str">
        <f>Tab_Data_Flows[[#This Row],[UoM_Flow_Py]]</f>
        <v>Mg</v>
      </c>
      <c r="AC74" s="139">
        <f>INDEX(Tab_Def_Flows[[Flow_ID]:[CC_DM_source]],MATCH(Tab_Data_Flows[[#This Row],[Flow_Name]],Tab_Def_Flows[Flow_Name],0),17)</f>
        <v>0</v>
      </c>
      <c r="AD74" s="6" t="str">
        <f>Tab_Data_Flows[[#This Row],[Flow_ID]]&amp;"_"&amp;"CC_"&amp;Tab_Data_Flows[[#This Row],[Flow_Data_Year]]</f>
        <v>F_01_10_CC_2045</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F_01_10</v>
      </c>
      <c r="C75" s="138" t="s">
        <v>1108</v>
      </c>
      <c r="D75" s="9" t="str">
        <f>_xlfn.XLOOKUP(C75,Tab_Def_Flows[Flow_Name],Tab_Def_Flows[WC?],,0,)</f>
        <v>Yes</v>
      </c>
      <c r="E75" s="9" t="str">
        <f>_xlfn.XLOOKUP(C75,Tab_Def_Flows[Flow_Name],Tab_Def_Flows[DM?],,0,)</f>
        <v>Yes</v>
      </c>
      <c r="F75" s="9" t="str">
        <f>_xlfn.XLOOKUP(C75,Tab_Def_Flows[Flow_Name],Tab_Def_Flows[CC?],,0,)</f>
        <v>Yes</v>
      </c>
      <c r="G75" s="188">
        <v>2046</v>
      </c>
      <c r="H75" s="189">
        <v>1108.3780815652042</v>
      </c>
      <c r="I75" s="6" t="str">
        <f>'0_Configuration'!$C$35</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t="str">
        <f>INDEX(Tab_Def_Flows[[Flow_ID]:[CC_DM_source]],MATCH(Tab_Data_Flows[[#This Row],[Flow_Name]],Tab_Def_Flows[Flow_Name],0),11)</f>
        <v>Yes</v>
      </c>
      <c r="V75" s="6" t="str">
        <f>Tab_Data_Flows[[#This Row],[Flow_ID]]&amp;"_"&amp;"WC_"&amp;Tab_Data_Flows[[#This Row],[Flow_Data_Year]]</f>
        <v>F_01_10_WC_2046</v>
      </c>
      <c r="W75" s="6" t="e">
        <f>IF(D75="Yes",S75*Tab_Data_Flows[[#This Row],[WC_'[%']]],"N.A.")</f>
        <v>#VALUE!</v>
      </c>
      <c r="X75" s="6" t="str">
        <f>Tab_Data_Flows[[#This Row],[UoM_Flow_Py]]</f>
        <v>Mg</v>
      </c>
      <c r="Y75" s="139">
        <f>INDEX(Tab_Def_Flows[[Flow_ID]:[CC_DM_source]],MATCH(Tab_Data_Flows[[#This Row],[Flow_Name]],Tab_Def_Flows[Flow_Name],0),14)</f>
        <v>0</v>
      </c>
      <c r="Z75" s="6" t="str">
        <f>Tab_Data_Flows[[#This Row],[Flow_ID]]&amp;"_"&amp;"DM_"&amp;Tab_Data_Flows[[#This Row],[Flow_Data_Year]]</f>
        <v>F_01_10_DM_2046</v>
      </c>
      <c r="AA75" s="6">
        <f>IF(E75="Yes",Y75*Tab_Data_Flows[[#This Row],[Flow_Material]],"N.A.")</f>
        <v>0</v>
      </c>
      <c r="AB75" s="6" t="str">
        <f>Tab_Data_Flows[[#This Row],[UoM_Flow_Py]]</f>
        <v>Mg</v>
      </c>
      <c r="AC75" s="139">
        <f>INDEX(Tab_Def_Flows[[Flow_ID]:[CC_DM_source]],MATCH(Tab_Data_Flows[[#This Row],[Flow_Name]],Tab_Def_Flows[Flow_Name],0),17)</f>
        <v>0</v>
      </c>
      <c r="AD75" s="6" t="str">
        <f>Tab_Data_Flows[[#This Row],[Flow_ID]]&amp;"_"&amp;"CC_"&amp;Tab_Data_Flows[[#This Row],[Flow_Data_Year]]</f>
        <v>F_01_10_CC_2046</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F_01_10</v>
      </c>
      <c r="C76" s="138" t="s">
        <v>1108</v>
      </c>
      <c r="D76" s="9" t="str">
        <f>_xlfn.XLOOKUP(C76,Tab_Def_Flows[Flow_Name],Tab_Def_Flows[WC?],,0,)</f>
        <v>Yes</v>
      </c>
      <c r="E76" s="9" t="str">
        <f>_xlfn.XLOOKUP(C76,Tab_Def_Flows[Flow_Name],Tab_Def_Flows[DM?],,0,)</f>
        <v>Yes</v>
      </c>
      <c r="F76" s="9" t="str">
        <f>_xlfn.XLOOKUP(C76,Tab_Def_Flows[Flow_Name],Tab_Def_Flows[CC?],,0,)</f>
        <v>Yes</v>
      </c>
      <c r="G76" s="188">
        <v>2047</v>
      </c>
      <c r="H76" s="189">
        <v>1206.3939758109473</v>
      </c>
      <c r="I76" s="6" t="str">
        <f>'0_Configuration'!$C$35</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t="str">
        <f>INDEX(Tab_Def_Flows[[Flow_ID]:[CC_DM_source]],MATCH(Tab_Data_Flows[[#This Row],[Flow_Name]],Tab_Def_Flows[Flow_Name],0),11)</f>
        <v>Yes</v>
      </c>
      <c r="V76" s="6" t="str">
        <f>Tab_Data_Flows[[#This Row],[Flow_ID]]&amp;"_"&amp;"WC_"&amp;Tab_Data_Flows[[#This Row],[Flow_Data_Year]]</f>
        <v>F_01_10_WC_2047</v>
      </c>
      <c r="W76" s="6" t="e">
        <f>IF(D76="Yes",S76*Tab_Data_Flows[[#This Row],[WC_'[%']]],"N.A.")</f>
        <v>#VALUE!</v>
      </c>
      <c r="X76" s="6" t="str">
        <f>Tab_Data_Flows[[#This Row],[UoM_Flow_Py]]</f>
        <v>Mg</v>
      </c>
      <c r="Y76" s="139">
        <f>INDEX(Tab_Def_Flows[[Flow_ID]:[CC_DM_source]],MATCH(Tab_Data_Flows[[#This Row],[Flow_Name]],Tab_Def_Flows[Flow_Name],0),14)</f>
        <v>0</v>
      </c>
      <c r="Z76" s="6" t="str">
        <f>Tab_Data_Flows[[#This Row],[Flow_ID]]&amp;"_"&amp;"DM_"&amp;Tab_Data_Flows[[#This Row],[Flow_Data_Year]]</f>
        <v>F_01_10_DM_2047</v>
      </c>
      <c r="AA76" s="6">
        <f>IF(E76="Yes",Y76*Tab_Data_Flows[[#This Row],[Flow_Material]],"N.A.")</f>
        <v>0</v>
      </c>
      <c r="AB76" s="6" t="str">
        <f>Tab_Data_Flows[[#This Row],[UoM_Flow_Py]]</f>
        <v>Mg</v>
      </c>
      <c r="AC76" s="139">
        <f>INDEX(Tab_Def_Flows[[Flow_ID]:[CC_DM_source]],MATCH(Tab_Data_Flows[[#This Row],[Flow_Name]],Tab_Def_Flows[Flow_Name],0),17)</f>
        <v>0</v>
      </c>
      <c r="AD76" s="6" t="str">
        <f>Tab_Data_Flows[[#This Row],[Flow_ID]]&amp;"_"&amp;"CC_"&amp;Tab_Data_Flows[[#This Row],[Flow_Data_Year]]</f>
        <v>F_01_10_CC_2047</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F_01_10</v>
      </c>
      <c r="C77" s="138" t="s">
        <v>1108</v>
      </c>
      <c r="D77" s="9" t="str">
        <f>_xlfn.XLOOKUP(C77,Tab_Def_Flows[Flow_Name],Tab_Def_Flows[WC?],,0,)</f>
        <v>Yes</v>
      </c>
      <c r="E77" s="9" t="str">
        <f>_xlfn.XLOOKUP(C77,Tab_Def_Flows[Flow_Name],Tab_Def_Flows[DM?],,0,)</f>
        <v>Yes</v>
      </c>
      <c r="F77" s="9" t="str">
        <f>_xlfn.XLOOKUP(C77,Tab_Def_Flows[Flow_Name],Tab_Def_Flows[CC?],,0,)</f>
        <v>Yes</v>
      </c>
      <c r="G77" s="188">
        <v>2048</v>
      </c>
      <c r="H77" s="189">
        <v>707.70153765660632</v>
      </c>
      <c r="I77" s="6" t="str">
        <f>'0_Configuration'!$C$35</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t="str">
        <f>INDEX(Tab_Def_Flows[[Flow_ID]:[CC_DM_source]],MATCH(Tab_Data_Flows[[#This Row],[Flow_Name]],Tab_Def_Flows[Flow_Name],0),11)</f>
        <v>Yes</v>
      </c>
      <c r="V77" s="6" t="str">
        <f>Tab_Data_Flows[[#This Row],[Flow_ID]]&amp;"_"&amp;"WC_"&amp;Tab_Data_Flows[[#This Row],[Flow_Data_Year]]</f>
        <v>F_01_10_WC_2048</v>
      </c>
      <c r="W77" s="6" t="e">
        <f>IF(D77="Yes",S77*Tab_Data_Flows[[#This Row],[WC_'[%']]],"N.A.")</f>
        <v>#VALUE!</v>
      </c>
      <c r="X77" s="6" t="str">
        <f>Tab_Data_Flows[[#This Row],[UoM_Flow_Py]]</f>
        <v>Mg</v>
      </c>
      <c r="Y77" s="139">
        <f>INDEX(Tab_Def_Flows[[Flow_ID]:[CC_DM_source]],MATCH(Tab_Data_Flows[[#This Row],[Flow_Name]],Tab_Def_Flows[Flow_Name],0),14)</f>
        <v>0</v>
      </c>
      <c r="Z77" s="6" t="str">
        <f>Tab_Data_Flows[[#This Row],[Flow_ID]]&amp;"_"&amp;"DM_"&amp;Tab_Data_Flows[[#This Row],[Flow_Data_Year]]</f>
        <v>F_01_10_DM_2048</v>
      </c>
      <c r="AA77" s="6">
        <f>IF(E77="Yes",Y77*Tab_Data_Flows[[#This Row],[Flow_Material]],"N.A.")</f>
        <v>0</v>
      </c>
      <c r="AB77" s="6" t="str">
        <f>Tab_Data_Flows[[#This Row],[UoM_Flow_Py]]</f>
        <v>Mg</v>
      </c>
      <c r="AC77" s="139">
        <f>INDEX(Tab_Def_Flows[[Flow_ID]:[CC_DM_source]],MATCH(Tab_Data_Flows[[#This Row],[Flow_Name]],Tab_Def_Flows[Flow_Name],0),17)</f>
        <v>0</v>
      </c>
      <c r="AD77" s="6" t="str">
        <f>Tab_Data_Flows[[#This Row],[Flow_ID]]&amp;"_"&amp;"CC_"&amp;Tab_Data_Flows[[#This Row],[Flow_Data_Year]]</f>
        <v>F_01_10_CC_2048</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F_01_10</v>
      </c>
      <c r="C78" s="138" t="s">
        <v>1108</v>
      </c>
      <c r="D78" s="9" t="str">
        <f>_xlfn.XLOOKUP(C78,Tab_Def_Flows[Flow_Name],Tab_Def_Flows[WC?],,0,)</f>
        <v>Yes</v>
      </c>
      <c r="E78" s="9" t="str">
        <f>_xlfn.XLOOKUP(C78,Tab_Def_Flows[Flow_Name],Tab_Def_Flows[DM?],,0,)</f>
        <v>Yes</v>
      </c>
      <c r="F78" s="9" t="str">
        <f>_xlfn.XLOOKUP(C78,Tab_Def_Flows[Flow_Name],Tab_Def_Flows[CC?],,0,)</f>
        <v>Yes</v>
      </c>
      <c r="G78" s="188">
        <v>2049</v>
      </c>
      <c r="H78" s="189">
        <v>1001.8980048512842</v>
      </c>
      <c r="I78" s="6" t="str">
        <f>'0_Configuration'!$C$35</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t="str">
        <f>INDEX(Tab_Def_Flows[[Flow_ID]:[CC_DM_source]],MATCH(Tab_Data_Flows[[#This Row],[Flow_Name]],Tab_Def_Flows[Flow_Name],0),11)</f>
        <v>Yes</v>
      </c>
      <c r="V78" s="6" t="str">
        <f>Tab_Data_Flows[[#This Row],[Flow_ID]]&amp;"_"&amp;"WC_"&amp;Tab_Data_Flows[[#This Row],[Flow_Data_Year]]</f>
        <v>F_01_10_WC_2049</v>
      </c>
      <c r="W78" s="6" t="e">
        <f>IF(D78="Yes",S78*Tab_Data_Flows[[#This Row],[WC_'[%']]],"N.A.")</f>
        <v>#VALUE!</v>
      </c>
      <c r="X78" s="6" t="str">
        <f>Tab_Data_Flows[[#This Row],[UoM_Flow_Py]]</f>
        <v>Mg</v>
      </c>
      <c r="Y78" s="139">
        <f>INDEX(Tab_Def_Flows[[Flow_ID]:[CC_DM_source]],MATCH(Tab_Data_Flows[[#This Row],[Flow_Name]],Tab_Def_Flows[Flow_Name],0),14)</f>
        <v>0</v>
      </c>
      <c r="Z78" s="6" t="str">
        <f>Tab_Data_Flows[[#This Row],[Flow_ID]]&amp;"_"&amp;"DM_"&amp;Tab_Data_Flows[[#This Row],[Flow_Data_Year]]</f>
        <v>F_01_10_DM_2049</v>
      </c>
      <c r="AA78" s="6">
        <f>IF(E78="Yes",Y78*Tab_Data_Flows[[#This Row],[Flow_Material]],"N.A.")</f>
        <v>0</v>
      </c>
      <c r="AB78" s="6" t="str">
        <f>Tab_Data_Flows[[#This Row],[UoM_Flow_Py]]</f>
        <v>Mg</v>
      </c>
      <c r="AC78" s="139">
        <f>INDEX(Tab_Def_Flows[[Flow_ID]:[CC_DM_source]],MATCH(Tab_Data_Flows[[#This Row],[Flow_Name]],Tab_Def_Flows[Flow_Name],0),17)</f>
        <v>0</v>
      </c>
      <c r="AD78" s="6" t="str">
        <f>Tab_Data_Flows[[#This Row],[Flow_ID]]&amp;"_"&amp;"CC_"&amp;Tab_Data_Flows[[#This Row],[Flow_Data_Year]]</f>
        <v>F_01_10_CC_2049</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F_01_10</v>
      </c>
      <c r="C79" s="138" t="s">
        <v>1108</v>
      </c>
      <c r="D79" s="9" t="str">
        <f>_xlfn.XLOOKUP(C79,Tab_Def_Flows[Flow_Name],Tab_Def_Flows[WC?],,0,)</f>
        <v>Yes</v>
      </c>
      <c r="E79" s="9" t="str">
        <f>_xlfn.XLOOKUP(C79,Tab_Def_Flows[Flow_Name],Tab_Def_Flows[DM?],,0,)</f>
        <v>Yes</v>
      </c>
      <c r="F79" s="9" t="str">
        <f>_xlfn.XLOOKUP(C79,Tab_Def_Flows[Flow_Name],Tab_Def_Flows[CC?],,0,)</f>
        <v>Yes</v>
      </c>
      <c r="G79" s="188">
        <v>2050</v>
      </c>
      <c r="H79" s="189">
        <v>1220.8921946089768</v>
      </c>
      <c r="I79" s="6" t="str">
        <f>'0_Configuration'!$C$35</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t="str">
        <f>INDEX(Tab_Def_Flows[[Flow_ID]:[CC_DM_source]],MATCH(Tab_Data_Flows[[#This Row],[Flow_Name]],Tab_Def_Flows[Flow_Name],0),11)</f>
        <v>Yes</v>
      </c>
      <c r="V79" s="6" t="str">
        <f>Tab_Data_Flows[[#This Row],[Flow_ID]]&amp;"_"&amp;"WC_"&amp;Tab_Data_Flows[[#This Row],[Flow_Data_Year]]</f>
        <v>F_01_10_WC_2050</v>
      </c>
      <c r="W79" s="6" t="e">
        <f>IF(D79="Yes",S79*Tab_Data_Flows[[#This Row],[WC_'[%']]],"N.A.")</f>
        <v>#VALUE!</v>
      </c>
      <c r="X79" s="6" t="str">
        <f>Tab_Data_Flows[[#This Row],[UoM_Flow_Py]]</f>
        <v>Mg</v>
      </c>
      <c r="Y79" s="139">
        <f>INDEX(Tab_Def_Flows[[Flow_ID]:[CC_DM_source]],MATCH(Tab_Data_Flows[[#This Row],[Flow_Name]],Tab_Def_Flows[Flow_Name],0),14)</f>
        <v>0</v>
      </c>
      <c r="Z79" s="6" t="str">
        <f>Tab_Data_Flows[[#This Row],[Flow_ID]]&amp;"_"&amp;"DM_"&amp;Tab_Data_Flows[[#This Row],[Flow_Data_Year]]</f>
        <v>F_01_10_DM_2050</v>
      </c>
      <c r="AA79" s="6">
        <f>IF(E79="Yes",Y79*Tab_Data_Flows[[#This Row],[Flow_Material]],"N.A.")</f>
        <v>0</v>
      </c>
      <c r="AB79" s="6" t="str">
        <f>Tab_Data_Flows[[#This Row],[UoM_Flow_Py]]</f>
        <v>Mg</v>
      </c>
      <c r="AC79" s="139">
        <f>INDEX(Tab_Def_Flows[[Flow_ID]:[CC_DM_source]],MATCH(Tab_Data_Flows[[#This Row],[Flow_Name]],Tab_Def_Flows[Flow_Name],0),17)</f>
        <v>0</v>
      </c>
      <c r="AD79" s="6" t="str">
        <f>Tab_Data_Flows[[#This Row],[Flow_ID]]&amp;"_"&amp;"CC_"&amp;Tab_Data_Flows[[#This Row],[Flow_Data_Year]]</f>
        <v>F_01_10_CC_2050</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F_00_10</v>
      </c>
      <c r="C80" s="138" t="s">
        <v>1109</v>
      </c>
      <c r="D80" s="9" t="str">
        <f>_xlfn.XLOOKUP(C80,Tab_Def_Flows[Flow_Name],Tab_Def_Flows[WC?],,0,)</f>
        <v>Yes</v>
      </c>
      <c r="E80" s="9" t="str">
        <f>_xlfn.XLOOKUP(C80,Tab_Def_Flows[Flow_Name],Tab_Def_Flows[DM?],,0,)</f>
        <v>Yes</v>
      </c>
      <c r="F80" s="9" t="str">
        <f>_xlfn.XLOOKUP(C80,Tab_Def_Flows[Flow_Name],Tab_Def_Flows[CC?],,0,)</f>
        <v>Yes</v>
      </c>
      <c r="G80" s="188">
        <v>2025</v>
      </c>
      <c r="H80" s="189">
        <v>43081.454725945623</v>
      </c>
      <c r="I80" s="6" t="str">
        <f>'0_Configuration'!$C$35</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t="str">
        <f>INDEX(Tab_Def_Flows[[Flow_ID]:[CC_DM_source]],MATCH(Tab_Data_Flows[[#This Row],[Flow_Name]],Tab_Def_Flows[Flow_Name],0),11)</f>
        <v>Yes</v>
      </c>
      <c r="V80" s="6" t="str">
        <f>Tab_Data_Flows[[#This Row],[Flow_ID]]&amp;"_"&amp;"WC_"&amp;Tab_Data_Flows[[#This Row],[Flow_Data_Year]]</f>
        <v>F_00_10_WC_2025</v>
      </c>
      <c r="W80" s="6" t="e">
        <f>IF(D80="Yes",S80*Tab_Data_Flows[[#This Row],[WC_'[%']]],"N.A.")</f>
        <v>#VALUE!</v>
      </c>
      <c r="X80" s="6" t="str">
        <f>Tab_Data_Flows[[#This Row],[UoM_Flow_Py]]</f>
        <v>Mg</v>
      </c>
      <c r="Y80" s="139">
        <f>INDEX(Tab_Def_Flows[[Flow_ID]:[CC_DM_source]],MATCH(Tab_Data_Flows[[#This Row],[Flow_Name]],Tab_Def_Flows[Flow_Name],0),14)</f>
        <v>0</v>
      </c>
      <c r="Z80" s="6" t="str">
        <f>Tab_Data_Flows[[#This Row],[Flow_ID]]&amp;"_"&amp;"DM_"&amp;Tab_Data_Flows[[#This Row],[Flow_Data_Year]]</f>
        <v>F_00_10_DM_2025</v>
      </c>
      <c r="AA80" s="6">
        <f>IF(E80="Yes",Y80*Tab_Data_Flows[[#This Row],[Flow_Material]],"N.A.")</f>
        <v>0</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1109</v>
      </c>
      <c r="D81" s="9" t="str">
        <f>_xlfn.XLOOKUP(C81,Tab_Def_Flows[Flow_Name],Tab_Def_Flows[WC?],,0,)</f>
        <v>Yes</v>
      </c>
      <c r="E81" s="9" t="str">
        <f>_xlfn.XLOOKUP(C81,Tab_Def_Flows[Flow_Name],Tab_Def_Flows[DM?],,0,)</f>
        <v>Yes</v>
      </c>
      <c r="F81" s="9" t="str">
        <f>_xlfn.XLOOKUP(C81,Tab_Def_Flows[Flow_Name],Tab_Def_Flows[CC?],,0,)</f>
        <v>Yes</v>
      </c>
      <c r="G81" s="188">
        <v>2026</v>
      </c>
      <c r="H81" s="189">
        <v>36308.805856216677</v>
      </c>
      <c r="I81" s="6" t="str">
        <f>'0_Configuration'!$C$35</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t="str">
        <f>INDEX(Tab_Def_Flows[[Flow_ID]:[CC_DM_source]],MATCH(Tab_Data_Flows[[#This Row],[Flow_Name]],Tab_Def_Flows[Flow_Name],0),11)</f>
        <v>Yes</v>
      </c>
      <c r="V81" s="6" t="str">
        <f>Tab_Data_Flows[[#This Row],[Flow_ID]]&amp;"_"&amp;"WC_"&amp;Tab_Data_Flows[[#This Row],[Flow_Data_Year]]</f>
        <v>F_00_10_WC_2026</v>
      </c>
      <c r="W81" s="6" t="e">
        <f>IF(D81="Yes",S81*Tab_Data_Flows[[#This Row],[WC_'[%']]],"N.A.")</f>
        <v>#VALUE!</v>
      </c>
      <c r="X81" s="6" t="str">
        <f>Tab_Data_Flows[[#This Row],[UoM_Flow_Py]]</f>
        <v>Mg</v>
      </c>
      <c r="Y81" s="139">
        <f>INDEX(Tab_Def_Flows[[Flow_ID]:[CC_DM_source]],MATCH(Tab_Data_Flows[[#This Row],[Flow_Name]],Tab_Def_Flows[Flow_Name],0),14)</f>
        <v>0</v>
      </c>
      <c r="Z81" s="6" t="str">
        <f>Tab_Data_Flows[[#This Row],[Flow_ID]]&amp;"_"&amp;"DM_"&amp;Tab_Data_Flows[[#This Row],[Flow_Data_Year]]</f>
        <v>F_00_10_DM_2026</v>
      </c>
      <c r="AA81" s="6">
        <f>IF(E81="Yes",Y81*Tab_Data_Flows[[#This Row],[Flow_Material]],"N.A.")</f>
        <v>0</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1109</v>
      </c>
      <c r="D82" s="9" t="str">
        <f>_xlfn.XLOOKUP(C82,Tab_Def_Flows[Flow_Name],Tab_Def_Flows[WC?],,0,)</f>
        <v>Yes</v>
      </c>
      <c r="E82" s="9" t="str">
        <f>_xlfn.XLOOKUP(C82,Tab_Def_Flows[Flow_Name],Tab_Def_Flows[DM?],,0,)</f>
        <v>Yes</v>
      </c>
      <c r="F82" s="9" t="str">
        <f>_xlfn.XLOOKUP(C82,Tab_Def_Flows[Flow_Name],Tab_Def_Flows[CC?],,0,)</f>
        <v>Yes</v>
      </c>
      <c r="G82" s="188">
        <v>2027</v>
      </c>
      <c r="H82" s="189">
        <v>44691.779153369484</v>
      </c>
      <c r="I82" s="6" t="str">
        <f>'0_Configuration'!$C$35</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t="str">
        <f>INDEX(Tab_Def_Flows[[Flow_ID]:[CC_DM_source]],MATCH(Tab_Data_Flows[[#This Row],[Flow_Name]],Tab_Def_Flows[Flow_Name],0),11)</f>
        <v>Yes</v>
      </c>
      <c r="V82" s="6" t="str">
        <f>Tab_Data_Flows[[#This Row],[Flow_ID]]&amp;"_"&amp;"WC_"&amp;Tab_Data_Flows[[#This Row],[Flow_Data_Year]]</f>
        <v>F_00_10_WC_2027</v>
      </c>
      <c r="W82" s="6" t="e">
        <f>IF(D82="Yes",S82*Tab_Data_Flows[[#This Row],[WC_'[%']]],"N.A.")</f>
        <v>#VALUE!</v>
      </c>
      <c r="X82" s="6" t="str">
        <f>Tab_Data_Flows[[#This Row],[UoM_Flow_Py]]</f>
        <v>Mg</v>
      </c>
      <c r="Y82" s="139">
        <f>INDEX(Tab_Def_Flows[[Flow_ID]:[CC_DM_source]],MATCH(Tab_Data_Flows[[#This Row],[Flow_Name]],Tab_Def_Flows[Flow_Name],0),14)</f>
        <v>0</v>
      </c>
      <c r="Z82" s="6" t="str">
        <f>Tab_Data_Flows[[#This Row],[Flow_ID]]&amp;"_"&amp;"DM_"&amp;Tab_Data_Flows[[#This Row],[Flow_Data_Year]]</f>
        <v>F_00_10_DM_2027</v>
      </c>
      <c r="AA82" s="6">
        <f>IF(E82="Yes",Y82*Tab_Data_Flows[[#This Row],[Flow_Material]],"N.A.")</f>
        <v>0</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1109</v>
      </c>
      <c r="D83" s="9" t="str">
        <f>_xlfn.XLOOKUP(C83,Tab_Def_Flows[Flow_Name],Tab_Def_Flows[WC?],,0,)</f>
        <v>Yes</v>
      </c>
      <c r="E83" s="9" t="str">
        <f>_xlfn.XLOOKUP(C83,Tab_Def_Flows[Flow_Name],Tab_Def_Flows[DM?],,0,)</f>
        <v>Yes</v>
      </c>
      <c r="F83" s="9" t="str">
        <f>_xlfn.XLOOKUP(C83,Tab_Def_Flows[Flow_Name],Tab_Def_Flows[CC?],,0,)</f>
        <v>Yes</v>
      </c>
      <c r="G83" s="188">
        <v>2028</v>
      </c>
      <c r="H83" s="189">
        <v>54028.178479472139</v>
      </c>
      <c r="I83" s="6" t="str">
        <f>'0_Configuration'!$C$35</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t="str">
        <f>INDEX(Tab_Def_Flows[[Flow_ID]:[CC_DM_source]],MATCH(Tab_Data_Flows[[#This Row],[Flow_Name]],Tab_Def_Flows[Flow_Name],0),11)</f>
        <v>Yes</v>
      </c>
      <c r="V83" s="6" t="str">
        <f>Tab_Data_Flows[[#This Row],[Flow_ID]]&amp;"_"&amp;"WC_"&amp;Tab_Data_Flows[[#This Row],[Flow_Data_Year]]</f>
        <v>F_00_10_WC_2028</v>
      </c>
      <c r="W83" s="6" t="e">
        <f>IF(D83="Yes",S83*Tab_Data_Flows[[#This Row],[WC_'[%']]],"N.A.")</f>
        <v>#VALUE!</v>
      </c>
      <c r="X83" s="6" t="str">
        <f>Tab_Data_Flows[[#This Row],[UoM_Flow_Py]]</f>
        <v>Mg</v>
      </c>
      <c r="Y83" s="139">
        <f>INDEX(Tab_Def_Flows[[Flow_ID]:[CC_DM_source]],MATCH(Tab_Data_Flows[[#This Row],[Flow_Name]],Tab_Def_Flows[Flow_Name],0),14)</f>
        <v>0</v>
      </c>
      <c r="Z83" s="6" t="str">
        <f>Tab_Data_Flows[[#This Row],[Flow_ID]]&amp;"_"&amp;"DM_"&amp;Tab_Data_Flows[[#This Row],[Flow_Data_Year]]</f>
        <v>F_00_10_DM_2028</v>
      </c>
      <c r="AA83" s="6">
        <f>IF(E83="Yes",Y83*Tab_Data_Flows[[#This Row],[Flow_Material]],"N.A.")</f>
        <v>0</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1109</v>
      </c>
      <c r="D84" s="9" t="str">
        <f>_xlfn.XLOOKUP(C84,Tab_Def_Flows[Flow_Name],Tab_Def_Flows[WC?],,0,)</f>
        <v>Yes</v>
      </c>
      <c r="E84" s="9" t="str">
        <f>_xlfn.XLOOKUP(C84,Tab_Def_Flows[Flow_Name],Tab_Def_Flows[DM?],,0,)</f>
        <v>Yes</v>
      </c>
      <c r="F84" s="9" t="str">
        <f>_xlfn.XLOOKUP(C84,Tab_Def_Flows[Flow_Name],Tab_Def_Flows[CC?],,0,)</f>
        <v>Yes</v>
      </c>
      <c r="G84" s="188">
        <v>2029</v>
      </c>
      <c r="H84" s="189">
        <v>35286.260397387232</v>
      </c>
      <c r="I84" s="6" t="str">
        <f>'0_Configuration'!$C$35</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t="str">
        <f>INDEX(Tab_Def_Flows[[Flow_ID]:[CC_DM_source]],MATCH(Tab_Data_Flows[[#This Row],[Flow_Name]],Tab_Def_Flows[Flow_Name],0),11)</f>
        <v>Yes</v>
      </c>
      <c r="V84" s="6" t="str">
        <f>Tab_Data_Flows[[#This Row],[Flow_ID]]&amp;"_"&amp;"WC_"&amp;Tab_Data_Flows[[#This Row],[Flow_Data_Year]]</f>
        <v>F_00_10_WC_2029</v>
      </c>
      <c r="W84" s="6" t="e">
        <f>IF(D84="Yes",S84*Tab_Data_Flows[[#This Row],[WC_'[%']]],"N.A.")</f>
        <v>#VALUE!</v>
      </c>
      <c r="X84" s="6" t="str">
        <f>Tab_Data_Flows[[#This Row],[UoM_Flow_Py]]</f>
        <v>Mg</v>
      </c>
      <c r="Y84" s="139">
        <f>INDEX(Tab_Def_Flows[[Flow_ID]:[CC_DM_source]],MATCH(Tab_Data_Flows[[#This Row],[Flow_Name]],Tab_Def_Flows[Flow_Name],0),14)</f>
        <v>0</v>
      </c>
      <c r="Z84" s="6" t="str">
        <f>Tab_Data_Flows[[#This Row],[Flow_ID]]&amp;"_"&amp;"DM_"&amp;Tab_Data_Flows[[#This Row],[Flow_Data_Year]]</f>
        <v>F_00_10_DM_2029</v>
      </c>
      <c r="AA84" s="6">
        <f>IF(E84="Yes",Y84*Tab_Data_Flows[[#This Row],[Flow_Material]],"N.A.")</f>
        <v>0</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1109</v>
      </c>
      <c r="D85" s="9" t="str">
        <f>_xlfn.XLOOKUP(C85,Tab_Def_Flows[Flow_Name],Tab_Def_Flows[WC?],,0,)</f>
        <v>Yes</v>
      </c>
      <c r="E85" s="9" t="str">
        <f>_xlfn.XLOOKUP(C85,Tab_Def_Flows[Flow_Name],Tab_Def_Flows[DM?],,0,)</f>
        <v>Yes</v>
      </c>
      <c r="F85" s="9" t="str">
        <f>_xlfn.XLOOKUP(C85,Tab_Def_Flows[Flow_Name],Tab_Def_Flows[CC?],,0,)</f>
        <v>Yes</v>
      </c>
      <c r="G85" s="188">
        <v>2030</v>
      </c>
      <c r="H85" s="189">
        <v>35286.260397387232</v>
      </c>
      <c r="I85" s="6" t="str">
        <f>'0_Configuration'!$C$35</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t="str">
        <f>INDEX(Tab_Def_Flows[[Flow_ID]:[CC_DM_source]],MATCH(Tab_Data_Flows[[#This Row],[Flow_Name]],Tab_Def_Flows[Flow_Name],0),11)</f>
        <v>Yes</v>
      </c>
      <c r="V85" s="6" t="str">
        <f>Tab_Data_Flows[[#This Row],[Flow_ID]]&amp;"_"&amp;"WC_"&amp;Tab_Data_Flows[[#This Row],[Flow_Data_Year]]</f>
        <v>F_00_10_WC_2030</v>
      </c>
      <c r="W85" s="6" t="e">
        <f>IF(D85="Yes",S85*Tab_Data_Flows[[#This Row],[WC_'[%']]],"N.A.")</f>
        <v>#VALUE!</v>
      </c>
      <c r="X85" s="6" t="str">
        <f>Tab_Data_Flows[[#This Row],[UoM_Flow_Py]]</f>
        <v>Mg</v>
      </c>
      <c r="Y85" s="139">
        <f>INDEX(Tab_Def_Flows[[Flow_ID]:[CC_DM_source]],MATCH(Tab_Data_Flows[[#This Row],[Flow_Name]],Tab_Def_Flows[Flow_Name],0),14)</f>
        <v>0</v>
      </c>
      <c r="Z85" s="6" t="str">
        <f>Tab_Data_Flows[[#This Row],[Flow_ID]]&amp;"_"&amp;"DM_"&amp;Tab_Data_Flows[[#This Row],[Flow_Data_Year]]</f>
        <v>F_00_10_DM_2030</v>
      </c>
      <c r="AA85" s="6">
        <f>IF(E85="Yes",Y85*Tab_Data_Flows[[#This Row],[Flow_Material]],"N.A.")</f>
        <v>0</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1109</v>
      </c>
      <c r="D86" s="9" t="str">
        <f>_xlfn.XLOOKUP(C86,Tab_Def_Flows[Flow_Name],Tab_Def_Flows[WC?],,0,)</f>
        <v>Yes</v>
      </c>
      <c r="E86" s="9" t="str">
        <f>_xlfn.XLOOKUP(C86,Tab_Def_Flows[Flow_Name],Tab_Def_Flows[DM?],,0,)</f>
        <v>Yes</v>
      </c>
      <c r="F86" s="9" t="str">
        <f>_xlfn.XLOOKUP(C86,Tab_Def_Flows[Flow_Name],Tab_Def_Flows[CC?],,0,)</f>
        <v>Yes</v>
      </c>
      <c r="G86" s="188">
        <v>2031</v>
      </c>
      <c r="H86" s="189">
        <v>54627.037662016723</v>
      </c>
      <c r="I86" s="6" t="str">
        <f>'0_Configuration'!$C$35</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t="str">
        <f>INDEX(Tab_Def_Flows[[Flow_ID]:[CC_DM_source]],MATCH(Tab_Data_Flows[[#This Row],[Flow_Name]],Tab_Def_Flows[Flow_Name],0),11)</f>
        <v>Yes</v>
      </c>
      <c r="V86" s="6" t="str">
        <f>Tab_Data_Flows[[#This Row],[Flow_ID]]&amp;"_"&amp;"WC_"&amp;Tab_Data_Flows[[#This Row],[Flow_Data_Year]]</f>
        <v>F_00_10_WC_2031</v>
      </c>
      <c r="W86" s="6" t="e">
        <f>IF(D86="Yes",S86*Tab_Data_Flows[[#This Row],[WC_'[%']]],"N.A.")</f>
        <v>#VALUE!</v>
      </c>
      <c r="X86" s="6" t="str">
        <f>Tab_Data_Flows[[#This Row],[UoM_Flow_Py]]</f>
        <v>Mg</v>
      </c>
      <c r="Y86" s="139">
        <f>INDEX(Tab_Def_Flows[[Flow_ID]:[CC_DM_source]],MATCH(Tab_Data_Flows[[#This Row],[Flow_Name]],Tab_Def_Flows[Flow_Name],0),14)</f>
        <v>0</v>
      </c>
      <c r="Z86" s="6" t="str">
        <f>Tab_Data_Flows[[#This Row],[Flow_ID]]&amp;"_"&amp;"DM_"&amp;Tab_Data_Flows[[#This Row],[Flow_Data_Year]]</f>
        <v>F_00_10_DM_2031</v>
      </c>
      <c r="AA86" s="6">
        <f>IF(E86="Yes",Y86*Tab_Data_Flows[[#This Row],[Flow_Material]],"N.A.")</f>
        <v>0</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1109</v>
      </c>
      <c r="D87" s="9" t="str">
        <f>_xlfn.XLOOKUP(C87,Tab_Def_Flows[Flow_Name],Tab_Def_Flows[WC?],,0,)</f>
        <v>Yes</v>
      </c>
      <c r="E87" s="9" t="str">
        <f>_xlfn.XLOOKUP(C87,Tab_Def_Flows[Flow_Name],Tab_Def_Flows[DM?],,0,)</f>
        <v>Yes</v>
      </c>
      <c r="F87" s="9" t="str">
        <f>_xlfn.XLOOKUP(C87,Tab_Def_Flows[Flow_Name],Tab_Def_Flows[CC?],,0,)</f>
        <v>Yes</v>
      </c>
      <c r="G87" s="188">
        <v>2032</v>
      </c>
      <c r="H87" s="189">
        <v>45968.641903816984</v>
      </c>
      <c r="I87" s="6" t="str">
        <f>'0_Configuration'!$C$35</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t="str">
        <f>INDEX(Tab_Def_Flows[[Flow_ID]:[CC_DM_source]],MATCH(Tab_Data_Flows[[#This Row],[Flow_Name]],Tab_Def_Flows[Flow_Name],0),11)</f>
        <v>Yes</v>
      </c>
      <c r="V87" s="6" t="str">
        <f>Tab_Data_Flows[[#This Row],[Flow_ID]]&amp;"_"&amp;"WC_"&amp;Tab_Data_Flows[[#This Row],[Flow_Data_Year]]</f>
        <v>F_00_10_WC_2032</v>
      </c>
      <c r="W87" s="6" t="e">
        <f>IF(D87="Yes",S87*Tab_Data_Flows[[#This Row],[WC_'[%']]],"N.A.")</f>
        <v>#VALUE!</v>
      </c>
      <c r="X87" s="6" t="str">
        <f>Tab_Data_Flows[[#This Row],[UoM_Flow_Py]]</f>
        <v>Mg</v>
      </c>
      <c r="Y87" s="139">
        <f>INDEX(Tab_Def_Flows[[Flow_ID]:[CC_DM_source]],MATCH(Tab_Data_Flows[[#This Row],[Flow_Name]],Tab_Def_Flows[Flow_Name],0),14)</f>
        <v>0</v>
      </c>
      <c r="Z87" s="6" t="str">
        <f>Tab_Data_Flows[[#This Row],[Flow_ID]]&amp;"_"&amp;"DM_"&amp;Tab_Data_Flows[[#This Row],[Flow_Data_Year]]</f>
        <v>F_00_10_DM_2032</v>
      </c>
      <c r="AA87" s="6">
        <f>IF(E87="Yes",Y87*Tab_Data_Flows[[#This Row],[Flow_Material]],"N.A.")</f>
        <v>0</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1109</v>
      </c>
      <c r="D88" s="9" t="str">
        <f>_xlfn.XLOOKUP(C88,Tab_Def_Flows[Flow_Name],Tab_Def_Flows[WC?],,0,)</f>
        <v>Yes</v>
      </c>
      <c r="E88" s="9" t="str">
        <f>_xlfn.XLOOKUP(C88,Tab_Def_Flows[Flow_Name],Tab_Def_Flows[DM?],,0,)</f>
        <v>Yes</v>
      </c>
      <c r="F88" s="9" t="str">
        <f>_xlfn.XLOOKUP(C88,Tab_Def_Flows[Flow_Name],Tab_Def_Flows[CC?],,0,)</f>
        <v>Yes</v>
      </c>
      <c r="G88" s="188">
        <v>2033</v>
      </c>
      <c r="H88" s="189">
        <v>32776.328123057181</v>
      </c>
      <c r="I88" s="6" t="str">
        <f>'0_Configuration'!$C$35</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t="str">
        <f>INDEX(Tab_Def_Flows[[Flow_ID]:[CC_DM_source]],MATCH(Tab_Data_Flows[[#This Row],[Flow_Name]],Tab_Def_Flows[Flow_Name],0),11)</f>
        <v>Yes</v>
      </c>
      <c r="V88" s="6" t="str">
        <f>Tab_Data_Flows[[#This Row],[Flow_ID]]&amp;"_"&amp;"WC_"&amp;Tab_Data_Flows[[#This Row],[Flow_Data_Year]]</f>
        <v>F_00_10_WC_2033</v>
      </c>
      <c r="W88" s="6" t="e">
        <f>IF(D88="Yes",S88*Tab_Data_Flows[[#This Row],[WC_'[%']]],"N.A.")</f>
        <v>#VALUE!</v>
      </c>
      <c r="X88" s="6" t="str">
        <f>Tab_Data_Flows[[#This Row],[UoM_Flow_Py]]</f>
        <v>Mg</v>
      </c>
      <c r="Y88" s="139">
        <f>INDEX(Tab_Def_Flows[[Flow_ID]:[CC_DM_source]],MATCH(Tab_Data_Flows[[#This Row],[Flow_Name]],Tab_Def_Flows[Flow_Name],0),14)</f>
        <v>0</v>
      </c>
      <c r="Z88" s="6" t="str">
        <f>Tab_Data_Flows[[#This Row],[Flow_ID]]&amp;"_"&amp;"DM_"&amp;Tab_Data_Flows[[#This Row],[Flow_Data_Year]]</f>
        <v>F_00_10_DM_2033</v>
      </c>
      <c r="AA88" s="6">
        <f>IF(E88="Yes",Y88*Tab_Data_Flows[[#This Row],[Flow_Material]],"N.A.")</f>
        <v>0</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1109</v>
      </c>
      <c r="D89" s="9" t="str">
        <f>_xlfn.XLOOKUP(C89,Tab_Def_Flows[Flow_Name],Tab_Def_Flows[WC?],,0,)</f>
        <v>Yes</v>
      </c>
      <c r="E89" s="9" t="str">
        <f>_xlfn.XLOOKUP(C89,Tab_Def_Flows[Flow_Name],Tab_Def_Flows[DM?],,0,)</f>
        <v>Yes</v>
      </c>
      <c r="F89" s="9" t="str">
        <f>_xlfn.XLOOKUP(C89,Tab_Def_Flows[Flow_Name],Tab_Def_Flows[CC?],,0,)</f>
        <v>Yes</v>
      </c>
      <c r="G89" s="188">
        <v>2034</v>
      </c>
      <c r="H89" s="189">
        <v>43570.567027460012</v>
      </c>
      <c r="I89" s="6" t="str">
        <f>'0_Configuration'!$C$35</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t="str">
        <f>INDEX(Tab_Def_Flows[[Flow_ID]:[CC_DM_source]],MATCH(Tab_Data_Flows[[#This Row],[Flow_Name]],Tab_Def_Flows[Flow_Name],0),11)</f>
        <v>Yes</v>
      </c>
      <c r="V89" s="6" t="str">
        <f>Tab_Data_Flows[[#This Row],[Flow_ID]]&amp;"_"&amp;"WC_"&amp;Tab_Data_Flows[[#This Row],[Flow_Data_Year]]</f>
        <v>F_00_10_WC_2034</v>
      </c>
      <c r="W89" s="6" t="e">
        <f>IF(D89="Yes",S89*Tab_Data_Flows[[#This Row],[WC_'[%']]],"N.A.")</f>
        <v>#VALUE!</v>
      </c>
      <c r="X89" s="6" t="str">
        <f>Tab_Data_Flows[[#This Row],[UoM_Flow_Py]]</f>
        <v>Mg</v>
      </c>
      <c r="Y89" s="139">
        <f>INDEX(Tab_Def_Flows[[Flow_ID]:[CC_DM_source]],MATCH(Tab_Data_Flows[[#This Row],[Flow_Name]],Tab_Def_Flows[Flow_Name],0),14)</f>
        <v>0</v>
      </c>
      <c r="Z89" s="6" t="str">
        <f>Tab_Data_Flows[[#This Row],[Flow_ID]]&amp;"_"&amp;"DM_"&amp;Tab_Data_Flows[[#This Row],[Flow_Data_Year]]</f>
        <v>F_00_10_DM_2034</v>
      </c>
      <c r="AA89" s="6">
        <f>IF(E89="Yes",Y89*Tab_Data_Flows[[#This Row],[Flow_Material]],"N.A.")</f>
        <v>0</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1109</v>
      </c>
      <c r="D90" s="9" t="str">
        <f>_xlfn.XLOOKUP(C90,Tab_Def_Flows[Flow_Name],Tab_Def_Flows[WC?],,0,)</f>
        <v>Yes</v>
      </c>
      <c r="E90" s="9" t="str">
        <f>_xlfn.XLOOKUP(C90,Tab_Def_Flows[Flow_Name],Tab_Def_Flows[DM?],,0,)</f>
        <v>Yes</v>
      </c>
      <c r="F90" s="9" t="str">
        <f>_xlfn.XLOOKUP(C90,Tab_Def_Flows[Flow_Name],Tab_Def_Flows[CC?],,0,)</f>
        <v>Yes</v>
      </c>
      <c r="G90" s="188">
        <v>2035</v>
      </c>
      <c r="H90" s="189">
        <v>32840.698889815278</v>
      </c>
      <c r="I90" s="6" t="str">
        <f>'0_Configuration'!$C$35</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t="str">
        <f>INDEX(Tab_Def_Flows[[Flow_ID]:[CC_DM_source]],MATCH(Tab_Data_Flows[[#This Row],[Flow_Name]],Tab_Def_Flows[Flow_Name],0),11)</f>
        <v>Yes</v>
      </c>
      <c r="V90" s="6" t="str">
        <f>Tab_Data_Flows[[#This Row],[Flow_ID]]&amp;"_"&amp;"WC_"&amp;Tab_Data_Flows[[#This Row],[Flow_Data_Year]]</f>
        <v>F_00_10_WC_2035</v>
      </c>
      <c r="W90" s="6" t="e">
        <f>IF(D90="Yes",S90*Tab_Data_Flows[[#This Row],[WC_'[%']]],"N.A.")</f>
        <v>#VALUE!</v>
      </c>
      <c r="X90" s="6" t="str">
        <f>Tab_Data_Flows[[#This Row],[UoM_Flow_Py]]</f>
        <v>Mg</v>
      </c>
      <c r="Y90" s="139">
        <f>INDEX(Tab_Def_Flows[[Flow_ID]:[CC_DM_source]],MATCH(Tab_Data_Flows[[#This Row],[Flow_Name]],Tab_Def_Flows[Flow_Name],0),14)</f>
        <v>0</v>
      </c>
      <c r="Z90" s="6" t="str">
        <f>Tab_Data_Flows[[#This Row],[Flow_ID]]&amp;"_"&amp;"DM_"&amp;Tab_Data_Flows[[#This Row],[Flow_Data_Year]]</f>
        <v>F_00_10_DM_2035</v>
      </c>
      <c r="AA90" s="6">
        <f>IF(E90="Yes",Y90*Tab_Data_Flows[[#This Row],[Flow_Material]],"N.A.")</f>
        <v>0</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1109</v>
      </c>
      <c r="D91" s="9" t="str">
        <f>_xlfn.XLOOKUP(C91,Tab_Def_Flows[Flow_Name],Tab_Def_Flows[WC?],,0,)</f>
        <v>Yes</v>
      </c>
      <c r="E91" s="9" t="str">
        <f>_xlfn.XLOOKUP(C91,Tab_Def_Flows[Flow_Name],Tab_Def_Flows[DM?],,0,)</f>
        <v>Yes</v>
      </c>
      <c r="F91" s="9" t="str">
        <f>_xlfn.XLOOKUP(C91,Tab_Def_Flows[Flow_Name],Tab_Def_Flows[CC?],,0,)</f>
        <v>Yes</v>
      </c>
      <c r="G91" s="188">
        <v>2036</v>
      </c>
      <c r="H91" s="189">
        <v>32815.90031573634</v>
      </c>
      <c r="I91" s="6" t="str">
        <f>'0_Configuration'!$C$35</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t="str">
        <f>INDEX(Tab_Def_Flows[[Flow_ID]:[CC_DM_source]],MATCH(Tab_Data_Flows[[#This Row],[Flow_Name]],Tab_Def_Flows[Flow_Name],0),11)</f>
        <v>Yes</v>
      </c>
      <c r="V91" s="6" t="str">
        <f>Tab_Data_Flows[[#This Row],[Flow_ID]]&amp;"_"&amp;"WC_"&amp;Tab_Data_Flows[[#This Row],[Flow_Data_Year]]</f>
        <v>F_00_10_WC_2036</v>
      </c>
      <c r="W91" s="6" t="e">
        <f>IF(D91="Yes",S91*Tab_Data_Flows[[#This Row],[WC_'[%']]],"N.A.")</f>
        <v>#VALUE!</v>
      </c>
      <c r="X91" s="6" t="str">
        <f>Tab_Data_Flows[[#This Row],[UoM_Flow_Py]]</f>
        <v>Mg</v>
      </c>
      <c r="Y91" s="139">
        <f>INDEX(Tab_Def_Flows[[Flow_ID]:[CC_DM_source]],MATCH(Tab_Data_Flows[[#This Row],[Flow_Name]],Tab_Def_Flows[Flow_Name],0),14)</f>
        <v>0</v>
      </c>
      <c r="Z91" s="6" t="str">
        <f>Tab_Data_Flows[[#This Row],[Flow_ID]]&amp;"_"&amp;"DM_"&amp;Tab_Data_Flows[[#This Row],[Flow_Data_Year]]</f>
        <v>F_00_10_DM_2036</v>
      </c>
      <c r="AA91" s="6">
        <f>IF(E91="Yes",Y91*Tab_Data_Flows[[#This Row],[Flow_Material]],"N.A.")</f>
        <v>0</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1109</v>
      </c>
      <c r="D92" s="9" t="str">
        <f>_xlfn.XLOOKUP(C92,Tab_Def_Flows[Flow_Name],Tab_Def_Flows[WC?],,0,)</f>
        <v>Yes</v>
      </c>
      <c r="E92" s="9" t="str">
        <f>_xlfn.XLOOKUP(C92,Tab_Def_Flows[Flow_Name],Tab_Def_Flows[DM?],,0,)</f>
        <v>Yes</v>
      </c>
      <c r="F92" s="9" t="str">
        <f>_xlfn.XLOOKUP(C92,Tab_Def_Flows[Flow_Name],Tab_Def_Flows[CC?],,0,)</f>
        <v>Yes</v>
      </c>
      <c r="G92" s="188">
        <v>2037</v>
      </c>
      <c r="H92" s="189">
        <v>40364.164161976776</v>
      </c>
      <c r="I92" s="6" t="str">
        <f>'0_Configuration'!$C$35</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t="str">
        <f>INDEX(Tab_Def_Flows[[Flow_ID]:[CC_DM_source]],MATCH(Tab_Data_Flows[[#This Row],[Flow_Name]],Tab_Def_Flows[Flow_Name],0),11)</f>
        <v>Yes</v>
      </c>
      <c r="V92" s="6" t="str">
        <f>Tab_Data_Flows[[#This Row],[Flow_ID]]&amp;"_"&amp;"WC_"&amp;Tab_Data_Flows[[#This Row],[Flow_Data_Year]]</f>
        <v>F_00_10_WC_2037</v>
      </c>
      <c r="W92" s="6" t="e">
        <f>IF(D92="Yes",S92*Tab_Data_Flows[[#This Row],[WC_'[%']]],"N.A.")</f>
        <v>#VALUE!</v>
      </c>
      <c r="X92" s="6" t="str">
        <f>Tab_Data_Flows[[#This Row],[UoM_Flow_Py]]</f>
        <v>Mg</v>
      </c>
      <c r="Y92" s="139">
        <f>INDEX(Tab_Def_Flows[[Flow_ID]:[CC_DM_source]],MATCH(Tab_Data_Flows[[#This Row],[Flow_Name]],Tab_Def_Flows[Flow_Name],0),14)</f>
        <v>0</v>
      </c>
      <c r="Z92" s="6" t="str">
        <f>Tab_Data_Flows[[#This Row],[Flow_ID]]&amp;"_"&amp;"DM_"&amp;Tab_Data_Flows[[#This Row],[Flow_Data_Year]]</f>
        <v>F_00_10_DM_2037</v>
      </c>
      <c r="AA92" s="6">
        <f>IF(E92="Yes",Y92*Tab_Data_Flows[[#This Row],[Flow_Material]],"N.A.")</f>
        <v>0</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1109</v>
      </c>
      <c r="D93" s="9" t="str">
        <f>_xlfn.XLOOKUP(C93,Tab_Def_Flows[Flow_Name],Tab_Def_Flows[WC?],,0,)</f>
        <v>Yes</v>
      </c>
      <c r="E93" s="9" t="str">
        <f>_xlfn.XLOOKUP(C93,Tab_Def_Flows[Flow_Name],Tab_Def_Flows[DM?],,0,)</f>
        <v>Yes</v>
      </c>
      <c r="F93" s="9" t="str">
        <f>_xlfn.XLOOKUP(C93,Tab_Def_Flows[Flow_Name],Tab_Def_Flows[CC?],,0,)</f>
        <v>Yes</v>
      </c>
      <c r="G93" s="188">
        <v>2038</v>
      </c>
      <c r="H93" s="189">
        <v>17376.941249271815</v>
      </c>
      <c r="I93" s="6" t="str">
        <f>'0_Configuration'!$C$35</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t="str">
        <f>INDEX(Tab_Def_Flows[[Flow_ID]:[CC_DM_source]],MATCH(Tab_Data_Flows[[#This Row],[Flow_Name]],Tab_Def_Flows[Flow_Name],0),11)</f>
        <v>Yes</v>
      </c>
      <c r="V93" s="6" t="str">
        <f>Tab_Data_Flows[[#This Row],[Flow_ID]]&amp;"_"&amp;"WC_"&amp;Tab_Data_Flows[[#This Row],[Flow_Data_Year]]</f>
        <v>F_00_10_WC_2038</v>
      </c>
      <c r="W93" s="6" t="e">
        <f>IF(D93="Yes",S93*Tab_Data_Flows[[#This Row],[WC_'[%']]],"N.A.")</f>
        <v>#VALUE!</v>
      </c>
      <c r="X93" s="6" t="str">
        <f>Tab_Data_Flows[[#This Row],[UoM_Flow_Py]]</f>
        <v>Mg</v>
      </c>
      <c r="Y93" s="139">
        <f>INDEX(Tab_Def_Flows[[Flow_ID]:[CC_DM_source]],MATCH(Tab_Data_Flows[[#This Row],[Flow_Name]],Tab_Def_Flows[Flow_Name],0),14)</f>
        <v>0</v>
      </c>
      <c r="Z93" s="6" t="str">
        <f>Tab_Data_Flows[[#This Row],[Flow_ID]]&amp;"_"&amp;"DM_"&amp;Tab_Data_Flows[[#This Row],[Flow_Data_Year]]</f>
        <v>F_00_10_DM_2038</v>
      </c>
      <c r="AA93" s="6">
        <f>IF(E93="Yes",Y93*Tab_Data_Flows[[#This Row],[Flow_Material]],"N.A.")</f>
        <v>0</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1109</v>
      </c>
      <c r="D94" s="9" t="str">
        <f>_xlfn.XLOOKUP(C94,Tab_Def_Flows[Flow_Name],Tab_Def_Flows[WC?],,0,)</f>
        <v>Yes</v>
      </c>
      <c r="E94" s="9" t="str">
        <f>_xlfn.XLOOKUP(C94,Tab_Def_Flows[Flow_Name],Tab_Def_Flows[DM?],,0,)</f>
        <v>Yes</v>
      </c>
      <c r="F94" s="9" t="str">
        <f>_xlfn.XLOOKUP(C94,Tab_Def_Flows[Flow_Name],Tab_Def_Flows[CC?],,0,)</f>
        <v>Yes</v>
      </c>
      <c r="G94" s="188">
        <v>2039</v>
      </c>
      <c r="H94" s="189">
        <v>19385.625749665873</v>
      </c>
      <c r="I94" s="6" t="str">
        <f>'0_Configuration'!$C$35</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t="str">
        <f>INDEX(Tab_Def_Flows[[Flow_ID]:[CC_DM_source]],MATCH(Tab_Data_Flows[[#This Row],[Flow_Name]],Tab_Def_Flows[Flow_Name],0),11)</f>
        <v>Yes</v>
      </c>
      <c r="V94" s="6" t="str">
        <f>Tab_Data_Flows[[#This Row],[Flow_ID]]&amp;"_"&amp;"WC_"&amp;Tab_Data_Flows[[#This Row],[Flow_Data_Year]]</f>
        <v>F_00_10_WC_2039</v>
      </c>
      <c r="W94" s="6" t="e">
        <f>IF(D94="Yes",S94*Tab_Data_Flows[[#This Row],[WC_'[%']]],"N.A.")</f>
        <v>#VALUE!</v>
      </c>
      <c r="X94" s="6" t="str">
        <f>Tab_Data_Flows[[#This Row],[UoM_Flow_Py]]</f>
        <v>Mg</v>
      </c>
      <c r="Y94" s="139">
        <f>INDEX(Tab_Def_Flows[[Flow_ID]:[CC_DM_source]],MATCH(Tab_Data_Flows[[#This Row],[Flow_Name]],Tab_Def_Flows[Flow_Name],0),14)</f>
        <v>0</v>
      </c>
      <c r="Z94" s="6" t="str">
        <f>Tab_Data_Flows[[#This Row],[Flow_ID]]&amp;"_"&amp;"DM_"&amp;Tab_Data_Flows[[#This Row],[Flow_Data_Year]]</f>
        <v>F_00_10_DM_2039</v>
      </c>
      <c r="AA94" s="6">
        <f>IF(E94="Yes",Y94*Tab_Data_Flows[[#This Row],[Flow_Material]],"N.A.")</f>
        <v>0</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1109</v>
      </c>
      <c r="D95" s="9" t="str">
        <f>_xlfn.XLOOKUP(C95,Tab_Def_Flows[Flow_Name],Tab_Def_Flows[WC?],,0,)</f>
        <v>Yes</v>
      </c>
      <c r="E95" s="9" t="str">
        <f>_xlfn.XLOOKUP(C95,Tab_Def_Flows[Flow_Name],Tab_Def_Flows[DM?],,0,)</f>
        <v>Yes</v>
      </c>
      <c r="F95" s="9" t="str">
        <f>_xlfn.XLOOKUP(C95,Tab_Def_Flows[Flow_Name],Tab_Def_Flows[CC?],,0,)</f>
        <v>Yes</v>
      </c>
      <c r="G95" s="188">
        <v>2040</v>
      </c>
      <c r="H95" s="189">
        <v>31786.495676842515</v>
      </c>
      <c r="I95" s="6" t="str">
        <f>'0_Configuration'!$C$35</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t="str">
        <f>INDEX(Tab_Def_Flows[[Flow_ID]:[CC_DM_source]],MATCH(Tab_Data_Flows[[#This Row],[Flow_Name]],Tab_Def_Flows[Flow_Name],0),11)</f>
        <v>Yes</v>
      </c>
      <c r="V95" s="6" t="str">
        <f>Tab_Data_Flows[[#This Row],[Flow_ID]]&amp;"_"&amp;"WC_"&amp;Tab_Data_Flows[[#This Row],[Flow_Data_Year]]</f>
        <v>F_00_10_WC_2040</v>
      </c>
      <c r="W95" s="6" t="e">
        <f>IF(D95="Yes",S95*Tab_Data_Flows[[#This Row],[WC_'[%']]],"N.A.")</f>
        <v>#VALUE!</v>
      </c>
      <c r="X95" s="6" t="str">
        <f>Tab_Data_Flows[[#This Row],[UoM_Flow_Py]]</f>
        <v>Mg</v>
      </c>
      <c r="Y95" s="139">
        <f>INDEX(Tab_Def_Flows[[Flow_ID]:[CC_DM_source]],MATCH(Tab_Data_Flows[[#This Row],[Flow_Name]],Tab_Def_Flows[Flow_Name],0),14)</f>
        <v>0</v>
      </c>
      <c r="Z95" s="6" t="str">
        <f>Tab_Data_Flows[[#This Row],[Flow_ID]]&amp;"_"&amp;"DM_"&amp;Tab_Data_Flows[[#This Row],[Flow_Data_Year]]</f>
        <v>F_00_10_DM_2040</v>
      </c>
      <c r="AA95" s="6">
        <f>IF(E95="Yes",Y95*Tab_Data_Flows[[#This Row],[Flow_Material]],"N.A.")</f>
        <v>0</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1109</v>
      </c>
      <c r="D96" s="9" t="str">
        <f>_xlfn.XLOOKUP(C96,Tab_Def_Flows[Flow_Name],Tab_Def_Flows[WC?],,0,)</f>
        <v>Yes</v>
      </c>
      <c r="E96" s="9" t="str">
        <f>_xlfn.XLOOKUP(C96,Tab_Def_Flows[Flow_Name],Tab_Def_Flows[DM?],,0,)</f>
        <v>Yes</v>
      </c>
      <c r="F96" s="9" t="str">
        <f>_xlfn.XLOOKUP(C96,Tab_Def_Flows[Flow_Name],Tab_Def_Flows[CC?],,0,)</f>
        <v>Yes</v>
      </c>
      <c r="G96" s="188">
        <v>2041</v>
      </c>
      <c r="H96" s="189">
        <v>26980.848597885579</v>
      </c>
      <c r="I96" s="6" t="str">
        <f>'0_Configuration'!$C$35</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t="str">
        <f>INDEX(Tab_Def_Flows[[Flow_ID]:[CC_DM_source]],MATCH(Tab_Data_Flows[[#This Row],[Flow_Name]],Tab_Def_Flows[Flow_Name],0),11)</f>
        <v>Yes</v>
      </c>
      <c r="V96" s="6" t="str">
        <f>Tab_Data_Flows[[#This Row],[Flow_ID]]&amp;"_"&amp;"WC_"&amp;Tab_Data_Flows[[#This Row],[Flow_Data_Year]]</f>
        <v>F_00_10_WC_2041</v>
      </c>
      <c r="W96" s="6" t="e">
        <f>IF(D96="Yes",S96*Tab_Data_Flows[[#This Row],[WC_'[%']]],"N.A.")</f>
        <v>#VALUE!</v>
      </c>
      <c r="X96" s="6" t="str">
        <f>Tab_Data_Flows[[#This Row],[UoM_Flow_Py]]</f>
        <v>Mg</v>
      </c>
      <c r="Y96" s="139">
        <f>INDEX(Tab_Def_Flows[[Flow_ID]:[CC_DM_source]],MATCH(Tab_Data_Flows[[#This Row],[Flow_Name]],Tab_Def_Flows[Flow_Name],0),14)</f>
        <v>0</v>
      </c>
      <c r="Z96" s="6" t="str">
        <f>Tab_Data_Flows[[#This Row],[Flow_ID]]&amp;"_"&amp;"DM_"&amp;Tab_Data_Flows[[#This Row],[Flow_Data_Year]]</f>
        <v>F_00_10_DM_2041</v>
      </c>
      <c r="AA96" s="6">
        <f>IF(E96="Yes",Y96*Tab_Data_Flows[[#This Row],[Flow_Material]],"N.A.")</f>
        <v>0</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1109</v>
      </c>
      <c r="D97" s="9" t="str">
        <f>_xlfn.XLOOKUP(C97,Tab_Def_Flows[Flow_Name],Tab_Def_Flows[WC?],,0,)</f>
        <v>Yes</v>
      </c>
      <c r="E97" s="9" t="str">
        <f>_xlfn.XLOOKUP(C97,Tab_Def_Flows[Flow_Name],Tab_Def_Flows[DM?],,0,)</f>
        <v>Yes</v>
      </c>
      <c r="F97" s="9" t="str">
        <f>_xlfn.XLOOKUP(C97,Tab_Def_Flows[Flow_Name],Tab_Def_Flows[CC?],,0,)</f>
        <v>Yes</v>
      </c>
      <c r="G97" s="188">
        <v>2042</v>
      </c>
      <c r="H97" s="189">
        <v>41135.030475366773</v>
      </c>
      <c r="I97" s="6" t="str">
        <f>'0_Configuration'!$C$35</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t="str">
        <f>INDEX(Tab_Def_Flows[[Flow_ID]:[CC_DM_source]],MATCH(Tab_Data_Flows[[#This Row],[Flow_Name]],Tab_Def_Flows[Flow_Name],0),11)</f>
        <v>Yes</v>
      </c>
      <c r="V97" s="6" t="str">
        <f>Tab_Data_Flows[[#This Row],[Flow_ID]]&amp;"_"&amp;"WC_"&amp;Tab_Data_Flows[[#This Row],[Flow_Data_Year]]</f>
        <v>F_00_10_WC_2042</v>
      </c>
      <c r="W97" s="6" t="e">
        <f>IF(D97="Yes",S97*Tab_Data_Flows[[#This Row],[WC_'[%']]],"N.A.")</f>
        <v>#VALUE!</v>
      </c>
      <c r="X97" s="6" t="str">
        <f>Tab_Data_Flows[[#This Row],[UoM_Flow_Py]]</f>
        <v>Mg</v>
      </c>
      <c r="Y97" s="139">
        <f>INDEX(Tab_Def_Flows[[Flow_ID]:[CC_DM_source]],MATCH(Tab_Data_Flows[[#This Row],[Flow_Name]],Tab_Def_Flows[Flow_Name],0),14)</f>
        <v>0</v>
      </c>
      <c r="Z97" s="6" t="str">
        <f>Tab_Data_Flows[[#This Row],[Flow_ID]]&amp;"_"&amp;"DM_"&amp;Tab_Data_Flows[[#This Row],[Flow_Data_Year]]</f>
        <v>F_00_10_DM_2042</v>
      </c>
      <c r="AA97" s="6">
        <f>IF(E97="Yes",Y97*Tab_Data_Flows[[#This Row],[Flow_Material]],"N.A.")</f>
        <v>0</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1109</v>
      </c>
      <c r="D98" s="9" t="str">
        <f>_xlfn.XLOOKUP(C98,Tab_Def_Flows[Flow_Name],Tab_Def_Flows[WC?],,0,)</f>
        <v>Yes</v>
      </c>
      <c r="E98" s="9" t="str">
        <f>_xlfn.XLOOKUP(C98,Tab_Def_Flows[Flow_Name],Tab_Def_Flows[DM?],,0,)</f>
        <v>Yes</v>
      </c>
      <c r="F98" s="9" t="str">
        <f>_xlfn.XLOOKUP(C98,Tab_Def_Flows[Flow_Name],Tab_Def_Flows[CC?],,0,)</f>
        <v>Yes</v>
      </c>
      <c r="G98" s="188">
        <v>2043</v>
      </c>
      <c r="H98" s="189">
        <v>28098.894948380716</v>
      </c>
      <c r="I98" s="6" t="str">
        <f>'0_Configuration'!$C$35</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t="str">
        <f>INDEX(Tab_Def_Flows[[Flow_ID]:[CC_DM_source]],MATCH(Tab_Data_Flows[[#This Row],[Flow_Name]],Tab_Def_Flows[Flow_Name],0),11)</f>
        <v>Yes</v>
      </c>
      <c r="V98" s="6" t="str">
        <f>Tab_Data_Flows[[#This Row],[Flow_ID]]&amp;"_"&amp;"WC_"&amp;Tab_Data_Flows[[#This Row],[Flow_Data_Year]]</f>
        <v>F_00_10_WC_2043</v>
      </c>
      <c r="W98" s="6" t="e">
        <f>IF(D98="Yes",S98*Tab_Data_Flows[[#This Row],[WC_'[%']]],"N.A.")</f>
        <v>#VALUE!</v>
      </c>
      <c r="X98" s="6" t="str">
        <f>Tab_Data_Flows[[#This Row],[UoM_Flow_Py]]</f>
        <v>Mg</v>
      </c>
      <c r="Y98" s="139">
        <f>INDEX(Tab_Def_Flows[[Flow_ID]:[CC_DM_source]],MATCH(Tab_Data_Flows[[#This Row],[Flow_Name]],Tab_Def_Flows[Flow_Name],0),14)</f>
        <v>0</v>
      </c>
      <c r="Z98" s="6" t="str">
        <f>Tab_Data_Flows[[#This Row],[Flow_ID]]&amp;"_"&amp;"DM_"&amp;Tab_Data_Flows[[#This Row],[Flow_Data_Year]]</f>
        <v>F_00_10_DM_2043</v>
      </c>
      <c r="AA98" s="6">
        <f>IF(E98="Yes",Y98*Tab_Data_Flows[[#This Row],[Flow_Material]],"N.A.")</f>
        <v>0</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1109</v>
      </c>
      <c r="D99" s="9" t="str">
        <f>_xlfn.XLOOKUP(C99,Tab_Def_Flows[Flow_Name],Tab_Def_Flows[WC?],,0,)</f>
        <v>Yes</v>
      </c>
      <c r="E99" s="9" t="str">
        <f>_xlfn.XLOOKUP(C99,Tab_Def_Flows[Flow_Name],Tab_Def_Flows[DM?],,0,)</f>
        <v>Yes</v>
      </c>
      <c r="F99" s="9" t="str">
        <f>_xlfn.XLOOKUP(C99,Tab_Def_Flows[Flow_Name],Tab_Def_Flows[CC?],,0,)</f>
        <v>Yes</v>
      </c>
      <c r="G99" s="188">
        <v>2044</v>
      </c>
      <c r="H99" s="189">
        <v>22720.242519429576</v>
      </c>
      <c r="I99" s="6" t="str">
        <f>'0_Configuration'!$C$35</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t="str">
        <f>INDEX(Tab_Def_Flows[[Flow_ID]:[CC_DM_source]],MATCH(Tab_Data_Flows[[#This Row],[Flow_Name]],Tab_Def_Flows[Flow_Name],0),11)</f>
        <v>Yes</v>
      </c>
      <c r="V99" s="6" t="str">
        <f>Tab_Data_Flows[[#This Row],[Flow_ID]]&amp;"_"&amp;"WC_"&amp;Tab_Data_Flows[[#This Row],[Flow_Data_Year]]</f>
        <v>F_00_10_WC_2044</v>
      </c>
      <c r="W99" s="6" t="e">
        <f>IF(D99="Yes",S99*Tab_Data_Flows[[#This Row],[WC_'[%']]],"N.A.")</f>
        <v>#VALUE!</v>
      </c>
      <c r="X99" s="6" t="str">
        <f>Tab_Data_Flows[[#This Row],[UoM_Flow_Py]]</f>
        <v>Mg</v>
      </c>
      <c r="Y99" s="139">
        <f>INDEX(Tab_Def_Flows[[Flow_ID]:[CC_DM_source]],MATCH(Tab_Data_Flows[[#This Row],[Flow_Name]],Tab_Def_Flows[Flow_Name],0),14)</f>
        <v>0</v>
      </c>
      <c r="Z99" s="6" t="str">
        <f>Tab_Data_Flows[[#This Row],[Flow_ID]]&amp;"_"&amp;"DM_"&amp;Tab_Data_Flows[[#This Row],[Flow_Data_Year]]</f>
        <v>F_00_10_DM_2044</v>
      </c>
      <c r="AA99" s="6">
        <f>IF(E99="Yes",Y99*Tab_Data_Flows[[#This Row],[Flow_Material]],"N.A.")</f>
        <v>0</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1109</v>
      </c>
      <c r="D100" s="9" t="str">
        <f>_xlfn.XLOOKUP(C100,Tab_Def_Flows[Flow_Name],Tab_Def_Flows[WC?],,0,)</f>
        <v>Yes</v>
      </c>
      <c r="E100" s="9" t="str">
        <f>_xlfn.XLOOKUP(C100,Tab_Def_Flows[Flow_Name],Tab_Def_Flows[DM?],,0,)</f>
        <v>Yes</v>
      </c>
      <c r="F100" s="9" t="str">
        <f>_xlfn.XLOOKUP(C100,Tab_Def_Flows[Flow_Name],Tab_Def_Flows[CC?],,0,)</f>
        <v>Yes</v>
      </c>
      <c r="G100" s="188">
        <v>2045</v>
      </c>
      <c r="H100" s="189">
        <v>53416.128566034502</v>
      </c>
      <c r="I100" s="6" t="str">
        <f>'0_Configuration'!$C$35</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t="str">
        <f>INDEX(Tab_Def_Flows[[Flow_ID]:[CC_DM_source]],MATCH(Tab_Data_Flows[[#This Row],[Flow_Name]],Tab_Def_Flows[Flow_Name],0),11)</f>
        <v>Yes</v>
      </c>
      <c r="V100" s="6" t="str">
        <f>Tab_Data_Flows[[#This Row],[Flow_ID]]&amp;"_"&amp;"WC_"&amp;Tab_Data_Flows[[#This Row],[Flow_Data_Year]]</f>
        <v>F_00_10_WC_2045</v>
      </c>
      <c r="W100" s="6" t="e">
        <f>IF(D100="Yes",S100*Tab_Data_Flows[[#This Row],[WC_'[%']]],"N.A.")</f>
        <v>#VALUE!</v>
      </c>
      <c r="X100" s="6" t="str">
        <f>Tab_Data_Flows[[#This Row],[UoM_Flow_Py]]</f>
        <v>Mg</v>
      </c>
      <c r="Y100" s="139">
        <f>INDEX(Tab_Def_Flows[[Flow_ID]:[CC_DM_source]],MATCH(Tab_Data_Flows[[#This Row],[Flow_Name]],Tab_Def_Flows[Flow_Name],0),14)</f>
        <v>0</v>
      </c>
      <c r="Z100" s="6" t="str">
        <f>Tab_Data_Flows[[#This Row],[Flow_ID]]&amp;"_"&amp;"DM_"&amp;Tab_Data_Flows[[#This Row],[Flow_Data_Year]]</f>
        <v>F_00_10_DM_2045</v>
      </c>
      <c r="AA100" s="6">
        <f>IF(E100="Yes",Y100*Tab_Data_Flows[[#This Row],[Flow_Material]],"N.A.")</f>
        <v>0</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1109</v>
      </c>
      <c r="D101" s="9" t="str">
        <f>_xlfn.XLOOKUP(C101,Tab_Def_Flows[Flow_Name],Tab_Def_Flows[WC?],,0,)</f>
        <v>Yes</v>
      </c>
      <c r="E101" s="9" t="str">
        <f>_xlfn.XLOOKUP(C101,Tab_Def_Flows[Flow_Name],Tab_Def_Flows[DM?],,0,)</f>
        <v>Yes</v>
      </c>
      <c r="F101" s="9" t="str">
        <f>_xlfn.XLOOKUP(C101,Tab_Def_Flows[Flow_Name],Tab_Def_Flows[CC?],,0,)</f>
        <v>Yes</v>
      </c>
      <c r="G101" s="188">
        <v>2046</v>
      </c>
      <c r="H101" s="189">
        <v>35375.429738224273</v>
      </c>
      <c r="I101" s="6" t="str">
        <f>'0_Configuration'!$C$35</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t="str">
        <f>INDEX(Tab_Def_Flows[[Flow_ID]:[CC_DM_source]],MATCH(Tab_Data_Flows[[#This Row],[Flow_Name]],Tab_Def_Flows[Flow_Name],0),11)</f>
        <v>Yes</v>
      </c>
      <c r="V101" s="6" t="str">
        <f>Tab_Data_Flows[[#This Row],[Flow_ID]]&amp;"_"&amp;"WC_"&amp;Tab_Data_Flows[[#This Row],[Flow_Data_Year]]</f>
        <v>F_00_10_WC_2046</v>
      </c>
      <c r="W101" s="6" t="e">
        <f>IF(D101="Yes",S101*Tab_Data_Flows[[#This Row],[WC_'[%']]],"N.A.")</f>
        <v>#VALUE!</v>
      </c>
      <c r="X101" s="6" t="str">
        <f>Tab_Data_Flows[[#This Row],[UoM_Flow_Py]]</f>
        <v>Mg</v>
      </c>
      <c r="Y101" s="139">
        <f>INDEX(Tab_Def_Flows[[Flow_ID]:[CC_DM_source]],MATCH(Tab_Data_Flows[[#This Row],[Flow_Name]],Tab_Def_Flows[Flow_Name],0),14)</f>
        <v>0</v>
      </c>
      <c r="Z101" s="6" t="str">
        <f>Tab_Data_Flows[[#This Row],[Flow_ID]]&amp;"_"&amp;"DM_"&amp;Tab_Data_Flows[[#This Row],[Flow_Data_Year]]</f>
        <v>F_00_10_DM_2046</v>
      </c>
      <c r="AA101" s="6">
        <f>IF(E101="Yes",Y101*Tab_Data_Flows[[#This Row],[Flow_Material]],"N.A.")</f>
        <v>0</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1109</v>
      </c>
      <c r="D102" s="9" t="str">
        <f>_xlfn.XLOOKUP(C102,Tab_Def_Flows[Flow_Name],Tab_Def_Flows[WC?],,0,)</f>
        <v>Yes</v>
      </c>
      <c r="E102" s="9" t="str">
        <f>_xlfn.XLOOKUP(C102,Tab_Def_Flows[Flow_Name],Tab_Def_Flows[DM?],,0,)</f>
        <v>Yes</v>
      </c>
      <c r="F102" s="9" t="str">
        <f>_xlfn.XLOOKUP(C102,Tab_Def_Flows[Flow_Name],Tab_Def_Flows[CC?],,0,)</f>
        <v>Yes</v>
      </c>
      <c r="G102" s="188">
        <v>2047</v>
      </c>
      <c r="H102" s="189">
        <v>38503.743476820637</v>
      </c>
      <c r="I102" s="6" t="str">
        <f>'0_Configuration'!$C$35</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t="str">
        <f>INDEX(Tab_Def_Flows[[Flow_ID]:[CC_DM_source]],MATCH(Tab_Data_Flows[[#This Row],[Flow_Name]],Tab_Def_Flows[Flow_Name],0),11)</f>
        <v>Yes</v>
      </c>
      <c r="V102" s="6" t="str">
        <f>Tab_Data_Flows[[#This Row],[Flow_ID]]&amp;"_"&amp;"WC_"&amp;Tab_Data_Flows[[#This Row],[Flow_Data_Year]]</f>
        <v>F_00_10_WC_2047</v>
      </c>
      <c r="W102" s="6" t="e">
        <f>IF(D102="Yes",S102*Tab_Data_Flows[[#This Row],[WC_'[%']]],"N.A.")</f>
        <v>#VALUE!</v>
      </c>
      <c r="X102" s="6" t="str">
        <f>Tab_Data_Flows[[#This Row],[UoM_Flow_Py]]</f>
        <v>Mg</v>
      </c>
      <c r="Y102" s="139">
        <f>INDEX(Tab_Def_Flows[[Flow_ID]:[CC_DM_source]],MATCH(Tab_Data_Flows[[#This Row],[Flow_Name]],Tab_Def_Flows[Flow_Name],0),14)</f>
        <v>0</v>
      </c>
      <c r="Z102" s="6" t="str">
        <f>Tab_Data_Flows[[#This Row],[Flow_ID]]&amp;"_"&amp;"DM_"&amp;Tab_Data_Flows[[#This Row],[Flow_Data_Year]]</f>
        <v>F_00_10_DM_2047</v>
      </c>
      <c r="AA102" s="6">
        <f>IF(E102="Yes",Y102*Tab_Data_Flows[[#This Row],[Flow_Material]],"N.A.")</f>
        <v>0</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1109</v>
      </c>
      <c r="D103" s="9" t="str">
        <f>_xlfn.XLOOKUP(C103,Tab_Def_Flows[Flow_Name],Tab_Def_Flows[WC?],,0,)</f>
        <v>Yes</v>
      </c>
      <c r="E103" s="9" t="str">
        <f>_xlfn.XLOOKUP(C103,Tab_Def_Flows[Flow_Name],Tab_Def_Flows[DM?],,0,)</f>
        <v>Yes</v>
      </c>
      <c r="F103" s="9" t="str">
        <f>_xlfn.XLOOKUP(C103,Tab_Def_Flows[Flow_Name],Tab_Def_Flows[CC?],,0,)</f>
        <v>Yes</v>
      </c>
      <c r="G103" s="188">
        <v>2048</v>
      </c>
      <c r="H103" s="189">
        <v>22587.279952027606</v>
      </c>
      <c r="I103" s="6" t="str">
        <f>'0_Configuration'!$C$35</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t="str">
        <f>INDEX(Tab_Def_Flows[[Flow_ID]:[CC_DM_source]],MATCH(Tab_Data_Flows[[#This Row],[Flow_Name]],Tab_Def_Flows[Flow_Name],0),11)</f>
        <v>Yes</v>
      </c>
      <c r="V103" s="6" t="str">
        <f>Tab_Data_Flows[[#This Row],[Flow_ID]]&amp;"_"&amp;"WC_"&amp;Tab_Data_Flows[[#This Row],[Flow_Data_Year]]</f>
        <v>F_00_10_WC_2048</v>
      </c>
      <c r="W103" s="6" t="e">
        <f>IF(D103="Yes",S103*Tab_Data_Flows[[#This Row],[WC_'[%']]],"N.A.")</f>
        <v>#VALUE!</v>
      </c>
      <c r="X103" s="6" t="str">
        <f>Tab_Data_Flows[[#This Row],[UoM_Flow_Py]]</f>
        <v>Mg</v>
      </c>
      <c r="Y103" s="139">
        <f>INDEX(Tab_Def_Flows[[Flow_ID]:[CC_DM_source]],MATCH(Tab_Data_Flows[[#This Row],[Flow_Name]],Tab_Def_Flows[Flow_Name],0),14)</f>
        <v>0</v>
      </c>
      <c r="Z103" s="6" t="str">
        <f>Tab_Data_Flows[[#This Row],[Flow_ID]]&amp;"_"&amp;"DM_"&amp;Tab_Data_Flows[[#This Row],[Flow_Data_Year]]</f>
        <v>F_00_10_DM_2048</v>
      </c>
      <c r="AA103" s="6">
        <f>IF(E103="Yes",Y103*Tab_Data_Flows[[#This Row],[Flow_Material]],"N.A.")</f>
        <v>0</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1109</v>
      </c>
      <c r="D104" s="9" t="str">
        <f>_xlfn.XLOOKUP(C104,Tab_Def_Flows[Flow_Name],Tab_Def_Flows[WC?],,0,)</f>
        <v>Yes</v>
      </c>
      <c r="E104" s="9" t="str">
        <f>_xlfn.XLOOKUP(C104,Tab_Def_Flows[Flow_Name],Tab_Def_Flows[DM?],,0,)</f>
        <v>Yes</v>
      </c>
      <c r="F104" s="9" t="str">
        <f>_xlfn.XLOOKUP(C104,Tab_Def_Flows[Flow_Name],Tab_Def_Flows[CC?],,0,)</f>
        <v>Yes</v>
      </c>
      <c r="G104" s="188">
        <v>2049</v>
      </c>
      <c r="H104" s="189">
        <v>31976.969830938197</v>
      </c>
      <c r="I104" s="6" t="str">
        <f>'0_Configuration'!$C$35</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t="str">
        <f>INDEX(Tab_Def_Flows[[Flow_ID]:[CC_DM_source]],MATCH(Tab_Data_Flows[[#This Row],[Flow_Name]],Tab_Def_Flows[Flow_Name],0),11)</f>
        <v>Yes</v>
      </c>
      <c r="V104" s="6" t="str">
        <f>Tab_Data_Flows[[#This Row],[Flow_ID]]&amp;"_"&amp;"WC_"&amp;Tab_Data_Flows[[#This Row],[Flow_Data_Year]]</f>
        <v>F_00_10_WC_2049</v>
      </c>
      <c r="W104" s="6" t="e">
        <f>IF(D104="Yes",S104*Tab_Data_Flows[[#This Row],[WC_'[%']]],"N.A.")</f>
        <v>#VALUE!</v>
      </c>
      <c r="X104" s="6" t="str">
        <f>Tab_Data_Flows[[#This Row],[UoM_Flow_Py]]</f>
        <v>Mg</v>
      </c>
      <c r="Y104" s="139">
        <f>INDEX(Tab_Def_Flows[[Flow_ID]:[CC_DM_source]],MATCH(Tab_Data_Flows[[#This Row],[Flow_Name]],Tab_Def_Flows[Flow_Name],0),14)</f>
        <v>0</v>
      </c>
      <c r="Z104" s="6" t="str">
        <f>Tab_Data_Flows[[#This Row],[Flow_ID]]&amp;"_"&amp;"DM_"&amp;Tab_Data_Flows[[#This Row],[Flow_Data_Year]]</f>
        <v>F_00_10_DM_2049</v>
      </c>
      <c r="AA104" s="6">
        <f>IF(E104="Yes",Y104*Tab_Data_Flows[[#This Row],[Flow_Material]],"N.A.")</f>
        <v>0</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1109</v>
      </c>
      <c r="D105" s="9" t="str">
        <f>_xlfn.XLOOKUP(C105,Tab_Def_Flows[Flow_Name],Tab_Def_Flows[WC?],,0,)</f>
        <v>Yes</v>
      </c>
      <c r="E105" s="9" t="str">
        <f>_xlfn.XLOOKUP(C105,Tab_Def_Flows[Flow_Name],Tab_Def_Flows[DM?],,0,)</f>
        <v>Yes</v>
      </c>
      <c r="F105" s="9" t="str">
        <f>_xlfn.XLOOKUP(C105,Tab_Def_Flows[Flow_Name],Tab_Def_Flows[CC?],,0,)</f>
        <v>Yes</v>
      </c>
      <c r="G105" s="188">
        <v>2050</v>
      </c>
      <c r="H105" s="189">
        <v>38966.47431654892</v>
      </c>
      <c r="I105" s="6" t="str">
        <f>'0_Configuration'!$C$35</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t="str">
        <f>INDEX(Tab_Def_Flows[[Flow_ID]:[CC_DM_source]],MATCH(Tab_Data_Flows[[#This Row],[Flow_Name]],Tab_Def_Flows[Flow_Name],0),11)</f>
        <v>Yes</v>
      </c>
      <c r="V105" s="6" t="str">
        <f>Tab_Data_Flows[[#This Row],[Flow_ID]]&amp;"_"&amp;"WC_"&amp;Tab_Data_Flows[[#This Row],[Flow_Data_Year]]</f>
        <v>F_00_10_WC_2050</v>
      </c>
      <c r="W105" s="6" t="e">
        <f>IF(D105="Yes",S105*Tab_Data_Flows[[#This Row],[WC_'[%']]],"N.A.")</f>
        <v>#VALUE!</v>
      </c>
      <c r="X105" s="6" t="str">
        <f>Tab_Data_Flows[[#This Row],[UoM_Flow_Py]]</f>
        <v>Mg</v>
      </c>
      <c r="Y105" s="139">
        <f>INDEX(Tab_Def_Flows[[Flow_ID]:[CC_DM_source]],MATCH(Tab_Data_Flows[[#This Row],[Flow_Name]],Tab_Def_Flows[Flow_Name],0),14)</f>
        <v>0</v>
      </c>
      <c r="Z105" s="6" t="str">
        <f>Tab_Data_Flows[[#This Row],[Flow_ID]]&amp;"_"&amp;"DM_"&amp;Tab_Data_Flows[[#This Row],[Flow_Data_Year]]</f>
        <v>F_00_10_DM_2050</v>
      </c>
      <c r="AA105" s="6">
        <f>IF(E105="Yes",Y105*Tab_Data_Flows[[#This Row],[Flow_Material]],"N.A.")</f>
        <v>0</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1110</v>
      </c>
      <c r="D106" s="9" t="str">
        <f>_xlfn.XLOOKUP(C106,Tab_Def_Flows[Flow_Name],Tab_Def_Flows[WC?],,0,)</f>
        <v>Yes</v>
      </c>
      <c r="E106" s="9" t="str">
        <f>_xlfn.XLOOKUP(C106,Tab_Def_Flows[Flow_Name],Tab_Def_Flows[DM?],,0,)</f>
        <v>Yes</v>
      </c>
      <c r="F106" s="9" t="str">
        <f>_xlfn.XLOOKUP(C106,Tab_Def_Flows[Flow_Name],Tab_Def_Flows[CC?],,0,)</f>
        <v>Yes</v>
      </c>
      <c r="G106" s="188">
        <v>2025</v>
      </c>
      <c r="H106" s="189">
        <v>911.03151153817032</v>
      </c>
      <c r="I106" s="6" t="str">
        <f>'0_Configuration'!$C$35</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t="str">
        <f>INDEX(Tab_Def_Flows[[Flow_ID]:[CC_DM_source]],MATCH(Tab_Data_Flows[[#This Row],[Flow_Name]],Tab_Def_Flows[Flow_Name],0),11)</f>
        <v>Yes</v>
      </c>
      <c r="V106" s="6" t="str">
        <f>Tab_Data_Flows[[#This Row],[Flow_ID]]&amp;"_"&amp;"WC_"&amp;Tab_Data_Flows[[#This Row],[Flow_Data_Year]]</f>
        <v>F_01_14_WC_2025</v>
      </c>
      <c r="W106" s="6" t="e">
        <f>IF(D106="Yes",S106*Tab_Data_Flows[[#This Row],[WC_'[%']]],"N.A.")</f>
        <v>#VALUE!</v>
      </c>
      <c r="X106" s="6" t="str">
        <f>Tab_Data_Flows[[#This Row],[UoM_Flow_Py]]</f>
        <v>Mg</v>
      </c>
      <c r="Y106" s="139">
        <f>INDEX(Tab_Def_Flows[[Flow_ID]:[CC_DM_source]],MATCH(Tab_Data_Flows[[#This Row],[Flow_Name]],Tab_Def_Flows[Flow_Name],0),14)</f>
        <v>0</v>
      </c>
      <c r="Z106" s="6" t="str">
        <f>Tab_Data_Flows[[#This Row],[Flow_ID]]&amp;"_"&amp;"DM_"&amp;Tab_Data_Flows[[#This Row],[Flow_Data_Year]]</f>
        <v>F_01_14_DM_2025</v>
      </c>
      <c r="AA106" s="6">
        <f>IF(E106="Yes",Y106*Tab_Data_Flows[[#This Row],[Flow_Material]],"N.A.")</f>
        <v>0</v>
      </c>
      <c r="AB106" s="6" t="str">
        <f>Tab_Data_Flows[[#This Row],[UoM_Flow_Py]]</f>
        <v>Mg</v>
      </c>
      <c r="AC106" s="139">
        <f>INDEX(Tab_Def_Flows[[Flow_ID]:[CC_DM_source]],MATCH(Tab_Data_Flows[[#This Row],[Flow_Name]],Tab_Def_Flows[Flow_Name],0),17)</f>
        <v>0</v>
      </c>
      <c r="AD106" s="6" t="str">
        <f>Tab_Data_Flows[[#This Row],[Flow_ID]]&amp;"_"&amp;"CC_"&amp;Tab_Data_Flows[[#This Row],[Flow_Data_Year]]</f>
        <v>F_01_14_CC_2025</v>
      </c>
      <c r="AE106" s="6">
        <f>IF(F106="Yes",AC106*Tab_Data_Flows[[#This Row],[Flow_Material]]*Tab_Data_Flows[[#This Row],[DM_'[%']]],"N.A.")</f>
        <v>0</v>
      </c>
      <c r="AF106" s="6" t="str">
        <f>Tab_Data_Flows[[#This Row],[UoM_Flow_Py]]</f>
        <v>Mg</v>
      </c>
      <c r="AG106"/>
    </row>
    <row r="107" spans="1:33" x14ac:dyDescent="0.25">
      <c r="A107" s="8">
        <f t="shared" si="3"/>
        <v>106</v>
      </c>
      <c r="B107" s="6" t="str">
        <f>_xlfn.XLOOKUP(C107,Tab_Def_Flows[Flow_Name],Tab_Def_Flows[Flow_ID],,0,)</f>
        <v>F_01_14</v>
      </c>
      <c r="C107" s="138" t="s">
        <v>1110</v>
      </c>
      <c r="D107" s="9" t="str">
        <f>_xlfn.XLOOKUP(C107,Tab_Def_Flows[Flow_Name],Tab_Def_Flows[WC?],,0,)</f>
        <v>Yes</v>
      </c>
      <c r="E107" s="9" t="str">
        <f>_xlfn.XLOOKUP(C107,Tab_Def_Flows[Flow_Name],Tab_Def_Flows[DM?],,0,)</f>
        <v>Yes</v>
      </c>
      <c r="F107" s="9" t="str">
        <f>_xlfn.XLOOKUP(C107,Tab_Def_Flows[Flow_Name],Tab_Def_Flows[CC?],,0,)</f>
        <v>Yes</v>
      </c>
      <c r="G107" s="188">
        <v>2026</v>
      </c>
      <c r="H107" s="189">
        <v>767.81219417397438</v>
      </c>
      <c r="I107" s="6" t="str">
        <f>'0_Configuration'!$C$35</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t="str">
        <f>INDEX(Tab_Def_Flows[[Flow_ID]:[CC_DM_source]],MATCH(Tab_Data_Flows[[#This Row],[Flow_Name]],Tab_Def_Flows[Flow_Name],0),11)</f>
        <v>Yes</v>
      </c>
      <c r="V107" s="6" t="str">
        <f>Tab_Data_Flows[[#This Row],[Flow_ID]]&amp;"_"&amp;"WC_"&amp;Tab_Data_Flows[[#This Row],[Flow_Data_Year]]</f>
        <v>F_01_14_WC_2026</v>
      </c>
      <c r="W107" s="6" t="e">
        <f>IF(D107="Yes",S107*Tab_Data_Flows[[#This Row],[WC_'[%']]],"N.A.")</f>
        <v>#VALUE!</v>
      </c>
      <c r="X107" s="6" t="str">
        <f>Tab_Data_Flows[[#This Row],[UoM_Flow_Py]]</f>
        <v>Mg</v>
      </c>
      <c r="Y107" s="139">
        <f>INDEX(Tab_Def_Flows[[Flow_ID]:[CC_DM_source]],MATCH(Tab_Data_Flows[[#This Row],[Flow_Name]],Tab_Def_Flows[Flow_Name],0),14)</f>
        <v>0</v>
      </c>
      <c r="Z107" s="6" t="str">
        <f>Tab_Data_Flows[[#This Row],[Flow_ID]]&amp;"_"&amp;"DM_"&amp;Tab_Data_Flows[[#This Row],[Flow_Data_Year]]</f>
        <v>F_01_14_DM_2026</v>
      </c>
      <c r="AA107" s="6">
        <f>IF(E107="Yes",Y107*Tab_Data_Flows[[#This Row],[Flow_Material]],"N.A.")</f>
        <v>0</v>
      </c>
      <c r="AB107" s="6" t="str">
        <f>Tab_Data_Flows[[#This Row],[UoM_Flow_Py]]</f>
        <v>Mg</v>
      </c>
      <c r="AC107" s="139">
        <f>INDEX(Tab_Def_Flows[[Flow_ID]:[CC_DM_source]],MATCH(Tab_Data_Flows[[#This Row],[Flow_Name]],Tab_Def_Flows[Flow_Name],0),17)</f>
        <v>0</v>
      </c>
      <c r="AD107" s="6" t="str">
        <f>Tab_Data_Flows[[#This Row],[Flow_ID]]&amp;"_"&amp;"CC_"&amp;Tab_Data_Flows[[#This Row],[Flow_Data_Year]]</f>
        <v>F_01_14_CC_2026</v>
      </c>
      <c r="AE107" s="6">
        <f>IF(F107="Yes",AC107*Tab_Data_Flows[[#This Row],[Flow_Material]]*Tab_Data_Flows[[#This Row],[DM_'[%']]],"N.A.")</f>
        <v>0</v>
      </c>
      <c r="AF107" s="6" t="str">
        <f>Tab_Data_Flows[[#This Row],[UoM_Flow_Py]]</f>
        <v>Mg</v>
      </c>
      <c r="AG107"/>
    </row>
    <row r="108" spans="1:33" x14ac:dyDescent="0.25">
      <c r="A108" s="8">
        <f t="shared" si="3"/>
        <v>107</v>
      </c>
      <c r="B108" s="6" t="str">
        <f>_xlfn.XLOOKUP(C108,Tab_Def_Flows[Flow_Name],Tab_Def_Flows[Flow_ID],,0,)</f>
        <v>F_01_14</v>
      </c>
      <c r="C108" s="138" t="s">
        <v>1110</v>
      </c>
      <c r="D108" s="9" t="str">
        <f>_xlfn.XLOOKUP(C108,Tab_Def_Flows[Flow_Name],Tab_Def_Flows[WC?],,0,)</f>
        <v>Yes</v>
      </c>
      <c r="E108" s="9" t="str">
        <f>_xlfn.XLOOKUP(C108,Tab_Def_Flows[Flow_Name],Tab_Def_Flows[DM?],,0,)</f>
        <v>Yes</v>
      </c>
      <c r="F108" s="9" t="str">
        <f>_xlfn.XLOOKUP(C108,Tab_Def_Flows[Flow_Name],Tab_Def_Flows[CC?],,0,)</f>
        <v>Yes</v>
      </c>
      <c r="G108" s="188">
        <v>2027</v>
      </c>
      <c r="H108" s="189">
        <v>945.08459322993735</v>
      </c>
      <c r="I108" s="6" t="str">
        <f>'0_Configuration'!$C$35</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t="str">
        <f>INDEX(Tab_Def_Flows[[Flow_ID]:[CC_DM_source]],MATCH(Tab_Data_Flows[[#This Row],[Flow_Name]],Tab_Def_Flows[Flow_Name],0),11)</f>
        <v>Yes</v>
      </c>
      <c r="V108" s="6" t="str">
        <f>Tab_Data_Flows[[#This Row],[Flow_ID]]&amp;"_"&amp;"WC_"&amp;Tab_Data_Flows[[#This Row],[Flow_Data_Year]]</f>
        <v>F_01_14_WC_2027</v>
      </c>
      <c r="W108" s="6" t="e">
        <f>IF(D108="Yes",S108*Tab_Data_Flows[[#This Row],[WC_'[%']]],"N.A.")</f>
        <v>#VALUE!</v>
      </c>
      <c r="X108" s="6" t="str">
        <f>Tab_Data_Flows[[#This Row],[UoM_Flow_Py]]</f>
        <v>Mg</v>
      </c>
      <c r="Y108" s="139">
        <f>INDEX(Tab_Def_Flows[[Flow_ID]:[CC_DM_source]],MATCH(Tab_Data_Flows[[#This Row],[Flow_Name]],Tab_Def_Flows[Flow_Name],0),14)</f>
        <v>0</v>
      </c>
      <c r="Z108" s="6" t="str">
        <f>Tab_Data_Flows[[#This Row],[Flow_ID]]&amp;"_"&amp;"DM_"&amp;Tab_Data_Flows[[#This Row],[Flow_Data_Year]]</f>
        <v>F_01_14_DM_2027</v>
      </c>
      <c r="AA108" s="6">
        <f>IF(E108="Yes",Y108*Tab_Data_Flows[[#This Row],[Flow_Material]],"N.A.")</f>
        <v>0</v>
      </c>
      <c r="AB108" s="6" t="str">
        <f>Tab_Data_Flows[[#This Row],[UoM_Flow_Py]]</f>
        <v>Mg</v>
      </c>
      <c r="AC108" s="139">
        <f>INDEX(Tab_Def_Flows[[Flow_ID]:[CC_DM_source]],MATCH(Tab_Data_Flows[[#This Row],[Flow_Name]],Tab_Def_Flows[Flow_Name],0),17)</f>
        <v>0</v>
      </c>
      <c r="AD108" s="6" t="str">
        <f>Tab_Data_Flows[[#This Row],[Flow_ID]]&amp;"_"&amp;"CC_"&amp;Tab_Data_Flows[[#This Row],[Flow_Data_Year]]</f>
        <v>F_01_14_CC_2027</v>
      </c>
      <c r="AE108" s="6">
        <f>IF(F108="Yes",AC108*Tab_Data_Flows[[#This Row],[Flow_Material]]*Tab_Data_Flows[[#This Row],[DM_'[%']]],"N.A.")</f>
        <v>0</v>
      </c>
      <c r="AF108" s="6" t="str">
        <f>Tab_Data_Flows[[#This Row],[UoM_Flow_Py]]</f>
        <v>Mg</v>
      </c>
      <c r="AG108"/>
    </row>
    <row r="109" spans="1:33" x14ac:dyDescent="0.25">
      <c r="A109" s="8">
        <f t="shared" si="3"/>
        <v>108</v>
      </c>
      <c r="B109" s="6" t="str">
        <f>_xlfn.XLOOKUP(C109,Tab_Def_Flows[Flow_Name],Tab_Def_Flows[Flow_ID],,0,)</f>
        <v>F_01_14</v>
      </c>
      <c r="C109" s="138" t="s">
        <v>1110</v>
      </c>
      <c r="D109" s="9" t="str">
        <f>_xlfn.XLOOKUP(C109,Tab_Def_Flows[Flow_Name],Tab_Def_Flows[WC?],,0,)</f>
        <v>Yes</v>
      </c>
      <c r="E109" s="9" t="str">
        <f>_xlfn.XLOOKUP(C109,Tab_Def_Flows[Flow_Name],Tab_Def_Flows[DM?],,0,)</f>
        <v>Yes</v>
      </c>
      <c r="F109" s="9" t="str">
        <f>_xlfn.XLOOKUP(C109,Tab_Def_Flows[Flow_Name],Tab_Def_Flows[CC?],,0,)</f>
        <v>Yes</v>
      </c>
      <c r="G109" s="188">
        <v>2028</v>
      </c>
      <c r="H109" s="189">
        <v>1142.5188266951482</v>
      </c>
      <c r="I109" s="6" t="str">
        <f>'0_Configuration'!$C$35</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t="str">
        <f>INDEX(Tab_Def_Flows[[Flow_ID]:[CC_DM_source]],MATCH(Tab_Data_Flows[[#This Row],[Flow_Name]],Tab_Def_Flows[Flow_Name],0),11)</f>
        <v>Yes</v>
      </c>
      <c r="V109" s="6" t="str">
        <f>Tab_Data_Flows[[#This Row],[Flow_ID]]&amp;"_"&amp;"WC_"&amp;Tab_Data_Flows[[#This Row],[Flow_Data_Year]]</f>
        <v>F_01_14_WC_2028</v>
      </c>
      <c r="W109" s="6" t="e">
        <f>IF(D109="Yes",S109*Tab_Data_Flows[[#This Row],[WC_'[%']]],"N.A.")</f>
        <v>#VALUE!</v>
      </c>
      <c r="X109" s="6" t="str">
        <f>Tab_Data_Flows[[#This Row],[UoM_Flow_Py]]</f>
        <v>Mg</v>
      </c>
      <c r="Y109" s="139">
        <f>INDEX(Tab_Def_Flows[[Flow_ID]:[CC_DM_source]],MATCH(Tab_Data_Flows[[#This Row],[Flow_Name]],Tab_Def_Flows[Flow_Name],0),14)</f>
        <v>0</v>
      </c>
      <c r="Z109" s="6" t="str">
        <f>Tab_Data_Flows[[#This Row],[Flow_ID]]&amp;"_"&amp;"DM_"&amp;Tab_Data_Flows[[#This Row],[Flow_Data_Year]]</f>
        <v>F_01_14_DM_2028</v>
      </c>
      <c r="AA109" s="6">
        <f>IF(E109="Yes",Y109*Tab_Data_Flows[[#This Row],[Flow_Material]],"N.A.")</f>
        <v>0</v>
      </c>
      <c r="AB109" s="6" t="str">
        <f>Tab_Data_Flows[[#This Row],[UoM_Flow_Py]]</f>
        <v>Mg</v>
      </c>
      <c r="AC109" s="139">
        <f>INDEX(Tab_Def_Flows[[Flow_ID]:[CC_DM_source]],MATCH(Tab_Data_Flows[[#This Row],[Flow_Name]],Tab_Def_Flows[Flow_Name],0),17)</f>
        <v>0</v>
      </c>
      <c r="AD109" s="6" t="str">
        <f>Tab_Data_Flows[[#This Row],[Flow_ID]]&amp;"_"&amp;"CC_"&amp;Tab_Data_Flows[[#This Row],[Flow_Data_Year]]</f>
        <v>F_01_14_CC_2028</v>
      </c>
      <c r="AE109" s="6">
        <f>IF(F109="Yes",AC109*Tab_Data_Flows[[#This Row],[Flow_Material]]*Tab_Data_Flows[[#This Row],[DM_'[%']]],"N.A.")</f>
        <v>0</v>
      </c>
      <c r="AF109" s="6" t="str">
        <f>Tab_Data_Flows[[#This Row],[UoM_Flow_Py]]</f>
        <v>Mg</v>
      </c>
      <c r="AG109"/>
    </row>
    <row r="110" spans="1:33" x14ac:dyDescent="0.25">
      <c r="A110" s="8">
        <f t="shared" si="3"/>
        <v>109</v>
      </c>
      <c r="B110" s="6" t="str">
        <f>_xlfn.XLOOKUP(C110,Tab_Def_Flows[Flow_Name],Tab_Def_Flows[Flow_ID],,0,)</f>
        <v>F_01_14</v>
      </c>
      <c r="C110" s="138" t="s">
        <v>1110</v>
      </c>
      <c r="D110" s="9" t="str">
        <f>_xlfn.XLOOKUP(C110,Tab_Def_Flows[Flow_Name],Tab_Def_Flows[WC?],,0,)</f>
        <v>Yes</v>
      </c>
      <c r="E110" s="9" t="str">
        <f>_xlfn.XLOOKUP(C110,Tab_Def_Flows[Flow_Name],Tab_Def_Flows[DM?],,0,)</f>
        <v>Yes</v>
      </c>
      <c r="F110" s="9" t="str">
        <f>_xlfn.XLOOKUP(C110,Tab_Def_Flows[Flow_Name],Tab_Def_Flows[CC?],,0,)</f>
        <v>Yes</v>
      </c>
      <c r="G110" s="188">
        <v>2029</v>
      </c>
      <c r="H110" s="189">
        <v>746.18871045226888</v>
      </c>
      <c r="I110" s="6" t="str">
        <f>'0_Configuration'!$C$35</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t="str">
        <f>INDEX(Tab_Def_Flows[[Flow_ID]:[CC_DM_source]],MATCH(Tab_Data_Flows[[#This Row],[Flow_Name]],Tab_Def_Flows[Flow_Name],0),11)</f>
        <v>Yes</v>
      </c>
      <c r="V110" s="6" t="str">
        <f>Tab_Data_Flows[[#This Row],[Flow_ID]]&amp;"_"&amp;"WC_"&amp;Tab_Data_Flows[[#This Row],[Flow_Data_Year]]</f>
        <v>F_01_14_WC_2029</v>
      </c>
      <c r="W110" s="6" t="e">
        <f>IF(D110="Yes",S110*Tab_Data_Flows[[#This Row],[WC_'[%']]],"N.A.")</f>
        <v>#VALUE!</v>
      </c>
      <c r="X110" s="6" t="str">
        <f>Tab_Data_Flows[[#This Row],[UoM_Flow_Py]]</f>
        <v>Mg</v>
      </c>
      <c r="Y110" s="139">
        <f>INDEX(Tab_Def_Flows[[Flow_ID]:[CC_DM_source]],MATCH(Tab_Data_Flows[[#This Row],[Flow_Name]],Tab_Def_Flows[Flow_Name],0),14)</f>
        <v>0</v>
      </c>
      <c r="Z110" s="6" t="str">
        <f>Tab_Data_Flows[[#This Row],[Flow_ID]]&amp;"_"&amp;"DM_"&amp;Tab_Data_Flows[[#This Row],[Flow_Data_Year]]</f>
        <v>F_01_14_DM_2029</v>
      </c>
      <c r="AA110" s="6">
        <f>IF(E110="Yes",Y110*Tab_Data_Flows[[#This Row],[Flow_Material]],"N.A.")</f>
        <v>0</v>
      </c>
      <c r="AB110" s="6" t="str">
        <f>Tab_Data_Flows[[#This Row],[UoM_Flow_Py]]</f>
        <v>Mg</v>
      </c>
      <c r="AC110" s="139">
        <f>INDEX(Tab_Def_Flows[[Flow_ID]:[CC_DM_source]],MATCH(Tab_Data_Flows[[#This Row],[Flow_Name]],Tab_Def_Flows[Flow_Name],0),17)</f>
        <v>0</v>
      </c>
      <c r="AD110" s="6" t="str">
        <f>Tab_Data_Flows[[#This Row],[Flow_ID]]&amp;"_"&amp;"CC_"&amp;Tab_Data_Flows[[#This Row],[Flow_Data_Year]]</f>
        <v>F_01_14_CC_2029</v>
      </c>
      <c r="AE110" s="6">
        <f>IF(F110="Yes",AC110*Tab_Data_Flows[[#This Row],[Flow_Material]]*Tab_Data_Flows[[#This Row],[DM_'[%']]],"N.A.")</f>
        <v>0</v>
      </c>
      <c r="AF110" s="6" t="str">
        <f>Tab_Data_Flows[[#This Row],[UoM_Flow_Py]]</f>
        <v>Mg</v>
      </c>
      <c r="AG110"/>
    </row>
    <row r="111" spans="1:33" x14ac:dyDescent="0.25">
      <c r="A111" s="8">
        <f t="shared" si="3"/>
        <v>110</v>
      </c>
      <c r="B111" s="6" t="str">
        <f>_xlfn.XLOOKUP(C111,Tab_Def_Flows[Flow_Name],Tab_Def_Flows[Flow_ID],,0,)</f>
        <v>F_01_14</v>
      </c>
      <c r="C111" s="138" t="s">
        <v>1110</v>
      </c>
      <c r="D111" s="9" t="str">
        <f>_xlfn.XLOOKUP(C111,Tab_Def_Flows[Flow_Name],Tab_Def_Flows[WC?],,0,)</f>
        <v>Yes</v>
      </c>
      <c r="E111" s="9" t="str">
        <f>_xlfn.XLOOKUP(C111,Tab_Def_Flows[Flow_Name],Tab_Def_Flows[DM?],,0,)</f>
        <v>Yes</v>
      </c>
      <c r="F111" s="9" t="str">
        <f>_xlfn.XLOOKUP(C111,Tab_Def_Flows[Flow_Name],Tab_Def_Flows[CC?],,0,)</f>
        <v>Yes</v>
      </c>
      <c r="G111" s="188">
        <v>2030</v>
      </c>
      <c r="H111" s="189">
        <v>746.18871045226888</v>
      </c>
      <c r="I111" s="6" t="str">
        <f>'0_Configuration'!$C$35</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t="str">
        <f>INDEX(Tab_Def_Flows[[Flow_ID]:[CC_DM_source]],MATCH(Tab_Data_Flows[[#This Row],[Flow_Name]],Tab_Def_Flows[Flow_Name],0),11)</f>
        <v>Yes</v>
      </c>
      <c r="V111" s="6" t="str">
        <f>Tab_Data_Flows[[#This Row],[Flow_ID]]&amp;"_"&amp;"WC_"&amp;Tab_Data_Flows[[#This Row],[Flow_Data_Year]]</f>
        <v>F_01_14_WC_2030</v>
      </c>
      <c r="W111" s="6" t="e">
        <f>IF(D111="Yes",S111*Tab_Data_Flows[[#This Row],[WC_'[%']]],"N.A.")</f>
        <v>#VALUE!</v>
      </c>
      <c r="X111" s="6" t="str">
        <f>Tab_Data_Flows[[#This Row],[UoM_Flow_Py]]</f>
        <v>Mg</v>
      </c>
      <c r="Y111" s="139">
        <f>INDEX(Tab_Def_Flows[[Flow_ID]:[CC_DM_source]],MATCH(Tab_Data_Flows[[#This Row],[Flow_Name]],Tab_Def_Flows[Flow_Name],0),14)</f>
        <v>0</v>
      </c>
      <c r="Z111" s="6" t="str">
        <f>Tab_Data_Flows[[#This Row],[Flow_ID]]&amp;"_"&amp;"DM_"&amp;Tab_Data_Flows[[#This Row],[Flow_Data_Year]]</f>
        <v>F_01_14_DM_2030</v>
      </c>
      <c r="AA111" s="6">
        <f>IF(E111="Yes",Y111*Tab_Data_Flows[[#This Row],[Flow_Material]],"N.A.")</f>
        <v>0</v>
      </c>
      <c r="AB111" s="6" t="str">
        <f>Tab_Data_Flows[[#This Row],[UoM_Flow_Py]]</f>
        <v>Mg</v>
      </c>
      <c r="AC111" s="139">
        <f>INDEX(Tab_Def_Flows[[Flow_ID]:[CC_DM_source]],MATCH(Tab_Data_Flows[[#This Row],[Flow_Name]],Tab_Def_Flows[Flow_Name],0),17)</f>
        <v>0</v>
      </c>
      <c r="AD111" s="6" t="str">
        <f>Tab_Data_Flows[[#This Row],[Flow_ID]]&amp;"_"&amp;"CC_"&amp;Tab_Data_Flows[[#This Row],[Flow_Data_Year]]</f>
        <v>F_01_14_CC_2030</v>
      </c>
      <c r="AE111" s="6">
        <f>IF(F111="Yes",AC111*Tab_Data_Flows[[#This Row],[Flow_Material]]*Tab_Data_Flows[[#This Row],[DM_'[%']]],"N.A.")</f>
        <v>0</v>
      </c>
      <c r="AF111" s="6" t="str">
        <f>Tab_Data_Flows[[#This Row],[UoM_Flow_Py]]</f>
        <v>Mg</v>
      </c>
      <c r="AG111"/>
    </row>
    <row r="112" spans="1:33" x14ac:dyDescent="0.25">
      <c r="A112" s="8">
        <f t="shared" si="3"/>
        <v>111</v>
      </c>
      <c r="B112" s="6" t="str">
        <f>_xlfn.XLOOKUP(C112,Tab_Def_Flows[Flow_Name],Tab_Def_Flows[Flow_ID],,0,)</f>
        <v>F_01_14</v>
      </c>
      <c r="C112" s="138" t="s">
        <v>1110</v>
      </c>
      <c r="D112" s="9" t="str">
        <f>_xlfn.XLOOKUP(C112,Tab_Def_Flows[Flow_Name],Tab_Def_Flows[WC?],,0,)</f>
        <v>Yes</v>
      </c>
      <c r="E112" s="9" t="str">
        <f>_xlfn.XLOOKUP(C112,Tab_Def_Flows[Flow_Name],Tab_Def_Flows[DM?],,0,)</f>
        <v>Yes</v>
      </c>
      <c r="F112" s="9" t="str">
        <f>_xlfn.XLOOKUP(C112,Tab_Def_Flows[Flow_Name],Tab_Def_Flows[CC?],,0,)</f>
        <v>Yes</v>
      </c>
      <c r="G112" s="188">
        <v>2031</v>
      </c>
      <c r="H112" s="189">
        <v>1155.1827348603367</v>
      </c>
      <c r="I112" s="6" t="str">
        <f>'0_Configuration'!$C$35</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t="str">
        <f>INDEX(Tab_Def_Flows[[Flow_ID]:[CC_DM_source]],MATCH(Tab_Data_Flows[[#This Row],[Flow_Name]],Tab_Def_Flows[Flow_Name],0),11)</f>
        <v>Yes</v>
      </c>
      <c r="V112" s="6" t="str">
        <f>Tab_Data_Flows[[#This Row],[Flow_ID]]&amp;"_"&amp;"WC_"&amp;Tab_Data_Flows[[#This Row],[Flow_Data_Year]]</f>
        <v>F_01_14_WC_2031</v>
      </c>
      <c r="W112" s="6" t="e">
        <f>IF(D112="Yes",S112*Tab_Data_Flows[[#This Row],[WC_'[%']]],"N.A.")</f>
        <v>#VALUE!</v>
      </c>
      <c r="X112" s="6" t="str">
        <f>Tab_Data_Flows[[#This Row],[UoM_Flow_Py]]</f>
        <v>Mg</v>
      </c>
      <c r="Y112" s="139">
        <f>INDEX(Tab_Def_Flows[[Flow_ID]:[CC_DM_source]],MATCH(Tab_Data_Flows[[#This Row],[Flow_Name]],Tab_Def_Flows[Flow_Name],0),14)</f>
        <v>0</v>
      </c>
      <c r="Z112" s="6" t="str">
        <f>Tab_Data_Flows[[#This Row],[Flow_ID]]&amp;"_"&amp;"DM_"&amp;Tab_Data_Flows[[#This Row],[Flow_Data_Year]]</f>
        <v>F_01_14_DM_2031</v>
      </c>
      <c r="AA112" s="6">
        <f>IF(E112="Yes",Y112*Tab_Data_Flows[[#This Row],[Flow_Material]],"N.A.")</f>
        <v>0</v>
      </c>
      <c r="AB112" s="6" t="str">
        <f>Tab_Data_Flows[[#This Row],[UoM_Flow_Py]]</f>
        <v>Mg</v>
      </c>
      <c r="AC112" s="139">
        <f>INDEX(Tab_Def_Flows[[Flow_ID]:[CC_DM_source]],MATCH(Tab_Data_Flows[[#This Row],[Flow_Name]],Tab_Def_Flows[Flow_Name],0),17)</f>
        <v>0</v>
      </c>
      <c r="AD112" s="6" t="str">
        <f>Tab_Data_Flows[[#This Row],[Flow_ID]]&amp;"_"&amp;"CC_"&amp;Tab_Data_Flows[[#This Row],[Flow_Data_Year]]</f>
        <v>F_01_14_CC_2031</v>
      </c>
      <c r="AE112" s="6">
        <f>IF(F112="Yes",AC112*Tab_Data_Flows[[#This Row],[Flow_Material]]*Tab_Data_Flows[[#This Row],[DM_'[%']]],"N.A.")</f>
        <v>0</v>
      </c>
      <c r="AF112" s="6" t="str">
        <f>Tab_Data_Flows[[#This Row],[UoM_Flow_Py]]</f>
        <v>Mg</v>
      </c>
      <c r="AG112"/>
    </row>
    <row r="113" spans="1:33" x14ac:dyDescent="0.25">
      <c r="A113" s="8">
        <f t="shared" si="3"/>
        <v>112</v>
      </c>
      <c r="B113" s="6" t="str">
        <f>_xlfn.XLOOKUP(C113,Tab_Def_Flows[Flow_Name],Tab_Def_Flows[Flow_ID],,0,)</f>
        <v>F_01_14</v>
      </c>
      <c r="C113" s="138" t="s">
        <v>1110</v>
      </c>
      <c r="D113" s="9" t="str">
        <f>_xlfn.XLOOKUP(C113,Tab_Def_Flows[Flow_Name],Tab_Def_Flows[WC?],,0,)</f>
        <v>Yes</v>
      </c>
      <c r="E113" s="9" t="str">
        <f>_xlfn.XLOOKUP(C113,Tab_Def_Flows[Flow_Name],Tab_Def_Flows[DM?],,0,)</f>
        <v>Yes</v>
      </c>
      <c r="F113" s="9" t="str">
        <f>_xlfn.XLOOKUP(C113,Tab_Def_Flows[Flow_Name],Tab_Def_Flows[CC?],,0,)</f>
        <v>Yes</v>
      </c>
      <c r="G113" s="188">
        <v>2032</v>
      </c>
      <c r="H113" s="189">
        <v>972.08605381122095</v>
      </c>
      <c r="I113" s="6" t="str">
        <f>'0_Configuration'!$C$35</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t="str">
        <f>INDEX(Tab_Def_Flows[[Flow_ID]:[CC_DM_source]],MATCH(Tab_Data_Flows[[#This Row],[Flow_Name]],Tab_Def_Flows[Flow_Name],0),11)</f>
        <v>Yes</v>
      </c>
      <c r="V113" s="6" t="str">
        <f>Tab_Data_Flows[[#This Row],[Flow_ID]]&amp;"_"&amp;"WC_"&amp;Tab_Data_Flows[[#This Row],[Flow_Data_Year]]</f>
        <v>F_01_14_WC_2032</v>
      </c>
      <c r="W113" s="6" t="e">
        <f>IF(D113="Yes",S113*Tab_Data_Flows[[#This Row],[WC_'[%']]],"N.A.")</f>
        <v>#VALUE!</v>
      </c>
      <c r="X113" s="6" t="str">
        <f>Tab_Data_Flows[[#This Row],[UoM_Flow_Py]]</f>
        <v>Mg</v>
      </c>
      <c r="Y113" s="139">
        <f>INDEX(Tab_Def_Flows[[Flow_ID]:[CC_DM_source]],MATCH(Tab_Data_Flows[[#This Row],[Flow_Name]],Tab_Def_Flows[Flow_Name],0),14)</f>
        <v>0</v>
      </c>
      <c r="Z113" s="6" t="str">
        <f>Tab_Data_Flows[[#This Row],[Flow_ID]]&amp;"_"&amp;"DM_"&amp;Tab_Data_Flows[[#This Row],[Flow_Data_Year]]</f>
        <v>F_01_14_DM_2032</v>
      </c>
      <c r="AA113" s="6">
        <f>IF(E113="Yes",Y113*Tab_Data_Flows[[#This Row],[Flow_Material]],"N.A.")</f>
        <v>0</v>
      </c>
      <c r="AB113" s="6" t="str">
        <f>Tab_Data_Flows[[#This Row],[UoM_Flow_Py]]</f>
        <v>Mg</v>
      </c>
      <c r="AC113" s="139">
        <f>INDEX(Tab_Def_Flows[[Flow_ID]:[CC_DM_source]],MATCH(Tab_Data_Flows[[#This Row],[Flow_Name]],Tab_Def_Flows[Flow_Name],0),17)</f>
        <v>0</v>
      </c>
      <c r="AD113" s="6" t="str">
        <f>Tab_Data_Flows[[#This Row],[Flow_ID]]&amp;"_"&amp;"CC_"&amp;Tab_Data_Flows[[#This Row],[Flow_Data_Year]]</f>
        <v>F_01_14_CC_2032</v>
      </c>
      <c r="AE113" s="6">
        <f>IF(F113="Yes",AC113*Tab_Data_Flows[[#This Row],[Flow_Material]]*Tab_Data_Flows[[#This Row],[DM_'[%']]],"N.A.")</f>
        <v>0</v>
      </c>
      <c r="AF113" s="6" t="str">
        <f>Tab_Data_Flows[[#This Row],[UoM_Flow_Py]]</f>
        <v>Mg</v>
      </c>
      <c r="AG113"/>
    </row>
    <row r="114" spans="1:33" x14ac:dyDescent="0.25">
      <c r="A114" s="8">
        <f t="shared" si="3"/>
        <v>113</v>
      </c>
      <c r="B114" s="6" t="str">
        <f>_xlfn.XLOOKUP(C114,Tab_Def_Flows[Flow_Name],Tab_Def_Flows[Flow_ID],,0,)</f>
        <v>F_01_14</v>
      </c>
      <c r="C114" s="138" t="s">
        <v>1110</v>
      </c>
      <c r="D114" s="9" t="str">
        <f>_xlfn.XLOOKUP(C114,Tab_Def_Flows[Flow_Name],Tab_Def_Flows[WC?],,0,)</f>
        <v>Yes</v>
      </c>
      <c r="E114" s="9" t="str">
        <f>_xlfn.XLOOKUP(C114,Tab_Def_Flows[Flow_Name],Tab_Def_Flows[DM?],,0,)</f>
        <v>Yes</v>
      </c>
      <c r="F114" s="9" t="str">
        <f>_xlfn.XLOOKUP(C114,Tab_Def_Flows[Flow_Name],Tab_Def_Flows[CC?],,0,)</f>
        <v>Yes</v>
      </c>
      <c r="G114" s="188">
        <v>2033</v>
      </c>
      <c r="H114" s="189">
        <v>693.11187244186999</v>
      </c>
      <c r="I114" s="6" t="str">
        <f>'0_Configuration'!$C$35</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t="str">
        <f>INDEX(Tab_Def_Flows[[Flow_ID]:[CC_DM_source]],MATCH(Tab_Data_Flows[[#This Row],[Flow_Name]],Tab_Def_Flows[Flow_Name],0),11)</f>
        <v>Yes</v>
      </c>
      <c r="V114" s="6" t="str">
        <f>Tab_Data_Flows[[#This Row],[Flow_ID]]&amp;"_"&amp;"WC_"&amp;Tab_Data_Flows[[#This Row],[Flow_Data_Year]]</f>
        <v>F_01_14_WC_2033</v>
      </c>
      <c r="W114" s="6" t="e">
        <f>IF(D114="Yes",S114*Tab_Data_Flows[[#This Row],[WC_'[%']]],"N.A.")</f>
        <v>#VALUE!</v>
      </c>
      <c r="X114" s="6" t="str">
        <f>Tab_Data_Flows[[#This Row],[UoM_Flow_Py]]</f>
        <v>Mg</v>
      </c>
      <c r="Y114" s="139">
        <f>INDEX(Tab_Def_Flows[[Flow_ID]:[CC_DM_source]],MATCH(Tab_Data_Flows[[#This Row],[Flow_Name]],Tab_Def_Flows[Flow_Name],0),14)</f>
        <v>0</v>
      </c>
      <c r="Z114" s="6" t="str">
        <f>Tab_Data_Flows[[#This Row],[Flow_ID]]&amp;"_"&amp;"DM_"&amp;Tab_Data_Flows[[#This Row],[Flow_Data_Year]]</f>
        <v>F_01_14_DM_2033</v>
      </c>
      <c r="AA114" s="6">
        <f>IF(E114="Yes",Y114*Tab_Data_Flows[[#This Row],[Flow_Material]],"N.A.")</f>
        <v>0</v>
      </c>
      <c r="AB114" s="6" t="str">
        <f>Tab_Data_Flows[[#This Row],[UoM_Flow_Py]]</f>
        <v>Mg</v>
      </c>
      <c r="AC114" s="139">
        <f>INDEX(Tab_Def_Flows[[Flow_ID]:[CC_DM_source]],MATCH(Tab_Data_Flows[[#This Row],[Flow_Name]],Tab_Def_Flows[Flow_Name],0),17)</f>
        <v>0</v>
      </c>
      <c r="AD114" s="6" t="str">
        <f>Tab_Data_Flows[[#This Row],[Flow_ID]]&amp;"_"&amp;"CC_"&amp;Tab_Data_Flows[[#This Row],[Flow_Data_Year]]</f>
        <v>F_01_14_CC_2033</v>
      </c>
      <c r="AE114" s="6">
        <f>IF(F114="Yes",AC114*Tab_Data_Flows[[#This Row],[Flow_Material]]*Tab_Data_Flows[[#This Row],[DM_'[%']]],"N.A.")</f>
        <v>0</v>
      </c>
      <c r="AF114" s="6" t="str">
        <f>Tab_Data_Flows[[#This Row],[UoM_Flow_Py]]</f>
        <v>Mg</v>
      </c>
      <c r="AG114"/>
    </row>
    <row r="115" spans="1:33" x14ac:dyDescent="0.25">
      <c r="A115" s="8">
        <f t="shared" si="3"/>
        <v>114</v>
      </c>
      <c r="B115" s="6" t="str">
        <f>_xlfn.XLOOKUP(C115,Tab_Def_Flows[Flow_Name],Tab_Def_Flows[Flow_ID],,0,)</f>
        <v>F_01_14</v>
      </c>
      <c r="C115" s="138" t="s">
        <v>1110</v>
      </c>
      <c r="D115" s="9" t="str">
        <f>_xlfn.XLOOKUP(C115,Tab_Def_Flows[Flow_Name],Tab_Def_Flows[WC?],,0,)</f>
        <v>Yes</v>
      </c>
      <c r="E115" s="9" t="str">
        <f>_xlfn.XLOOKUP(C115,Tab_Def_Flows[Flow_Name],Tab_Def_Flows[DM?],,0,)</f>
        <v>Yes</v>
      </c>
      <c r="F115" s="9" t="str">
        <f>_xlfn.XLOOKUP(C115,Tab_Def_Flows[Flow_Name],Tab_Def_Flows[CC?],,0,)</f>
        <v>Yes</v>
      </c>
      <c r="G115" s="188">
        <v>2034</v>
      </c>
      <c r="H115" s="189">
        <v>921.37463300876925</v>
      </c>
      <c r="I115" s="6" t="str">
        <f>'0_Configuration'!$C$35</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t="str">
        <f>INDEX(Tab_Def_Flows[[Flow_ID]:[CC_DM_source]],MATCH(Tab_Data_Flows[[#This Row],[Flow_Name]],Tab_Def_Flows[Flow_Name],0),11)</f>
        <v>Yes</v>
      </c>
      <c r="V115" s="6" t="str">
        <f>Tab_Data_Flows[[#This Row],[Flow_ID]]&amp;"_"&amp;"WC_"&amp;Tab_Data_Flows[[#This Row],[Flow_Data_Year]]</f>
        <v>F_01_14_WC_2034</v>
      </c>
      <c r="W115" s="6" t="e">
        <f>IF(D115="Yes",S115*Tab_Data_Flows[[#This Row],[WC_'[%']]],"N.A.")</f>
        <v>#VALUE!</v>
      </c>
      <c r="X115" s="6" t="str">
        <f>Tab_Data_Flows[[#This Row],[UoM_Flow_Py]]</f>
        <v>Mg</v>
      </c>
      <c r="Y115" s="139">
        <f>INDEX(Tab_Def_Flows[[Flow_ID]:[CC_DM_source]],MATCH(Tab_Data_Flows[[#This Row],[Flow_Name]],Tab_Def_Flows[Flow_Name],0),14)</f>
        <v>0</v>
      </c>
      <c r="Z115" s="6" t="str">
        <f>Tab_Data_Flows[[#This Row],[Flow_ID]]&amp;"_"&amp;"DM_"&amp;Tab_Data_Flows[[#This Row],[Flow_Data_Year]]</f>
        <v>F_01_14_DM_2034</v>
      </c>
      <c r="AA115" s="6">
        <f>IF(E115="Yes",Y115*Tab_Data_Flows[[#This Row],[Flow_Material]],"N.A.")</f>
        <v>0</v>
      </c>
      <c r="AB115" s="6" t="str">
        <f>Tab_Data_Flows[[#This Row],[UoM_Flow_Py]]</f>
        <v>Mg</v>
      </c>
      <c r="AC115" s="139">
        <f>INDEX(Tab_Def_Flows[[Flow_ID]:[CC_DM_source]],MATCH(Tab_Data_Flows[[#This Row],[Flow_Name]],Tab_Def_Flows[Flow_Name],0),17)</f>
        <v>0</v>
      </c>
      <c r="AD115" s="6" t="str">
        <f>Tab_Data_Flows[[#This Row],[Flow_ID]]&amp;"_"&amp;"CC_"&amp;Tab_Data_Flows[[#This Row],[Flow_Data_Year]]</f>
        <v>F_01_14_CC_2034</v>
      </c>
      <c r="AE115" s="6">
        <f>IF(F115="Yes",AC115*Tab_Data_Flows[[#This Row],[Flow_Material]]*Tab_Data_Flows[[#This Row],[DM_'[%']]],"N.A.")</f>
        <v>0</v>
      </c>
      <c r="AF115" s="6" t="str">
        <f>Tab_Data_Flows[[#This Row],[UoM_Flow_Py]]</f>
        <v>Mg</v>
      </c>
      <c r="AG115"/>
    </row>
    <row r="116" spans="1:33" x14ac:dyDescent="0.25">
      <c r="A116" s="8">
        <f t="shared" si="3"/>
        <v>115</v>
      </c>
      <c r="B116" s="6" t="str">
        <f>_xlfn.XLOOKUP(C116,Tab_Def_Flows[Flow_Name],Tab_Def_Flows[Flow_ID],,0,)</f>
        <v>F_01_14</v>
      </c>
      <c r="C116" s="138" t="s">
        <v>1110</v>
      </c>
      <c r="D116" s="9" t="str">
        <f>_xlfn.XLOOKUP(C116,Tab_Def_Flows[Flow_Name],Tab_Def_Flows[WC?],,0,)</f>
        <v>Yes</v>
      </c>
      <c r="E116" s="9" t="str">
        <f>_xlfn.XLOOKUP(C116,Tab_Def_Flows[Flow_Name],Tab_Def_Flows[DM?],,0,)</f>
        <v>Yes</v>
      </c>
      <c r="F116" s="9" t="str">
        <f>_xlfn.XLOOKUP(C116,Tab_Def_Flows[Flow_Name],Tab_Def_Flows[CC?],,0,)</f>
        <v>Yes</v>
      </c>
      <c r="G116" s="188">
        <v>2035</v>
      </c>
      <c r="H116" s="189">
        <v>694.47310309927354</v>
      </c>
      <c r="I116" s="6" t="str">
        <f>'0_Configuration'!$C$35</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t="str">
        <f>INDEX(Tab_Def_Flows[[Flow_ID]:[CC_DM_source]],MATCH(Tab_Data_Flows[[#This Row],[Flow_Name]],Tab_Def_Flows[Flow_Name],0),11)</f>
        <v>Yes</v>
      </c>
      <c r="V116" s="6" t="str">
        <f>Tab_Data_Flows[[#This Row],[Flow_ID]]&amp;"_"&amp;"WC_"&amp;Tab_Data_Flows[[#This Row],[Flow_Data_Year]]</f>
        <v>F_01_14_WC_2035</v>
      </c>
      <c r="W116" s="6" t="e">
        <f>IF(D116="Yes",S116*Tab_Data_Flows[[#This Row],[WC_'[%']]],"N.A.")</f>
        <v>#VALUE!</v>
      </c>
      <c r="X116" s="6" t="str">
        <f>Tab_Data_Flows[[#This Row],[UoM_Flow_Py]]</f>
        <v>Mg</v>
      </c>
      <c r="Y116" s="139">
        <f>INDEX(Tab_Def_Flows[[Flow_ID]:[CC_DM_source]],MATCH(Tab_Data_Flows[[#This Row],[Flow_Name]],Tab_Def_Flows[Flow_Name],0),14)</f>
        <v>0</v>
      </c>
      <c r="Z116" s="6" t="str">
        <f>Tab_Data_Flows[[#This Row],[Flow_ID]]&amp;"_"&amp;"DM_"&amp;Tab_Data_Flows[[#This Row],[Flow_Data_Year]]</f>
        <v>F_01_14_DM_2035</v>
      </c>
      <c r="AA116" s="6">
        <f>IF(E116="Yes",Y116*Tab_Data_Flows[[#This Row],[Flow_Material]],"N.A.")</f>
        <v>0</v>
      </c>
      <c r="AB116" s="6" t="str">
        <f>Tab_Data_Flows[[#This Row],[UoM_Flow_Py]]</f>
        <v>Mg</v>
      </c>
      <c r="AC116" s="139">
        <f>INDEX(Tab_Def_Flows[[Flow_ID]:[CC_DM_source]],MATCH(Tab_Data_Flows[[#This Row],[Flow_Name]],Tab_Def_Flows[Flow_Name],0),17)</f>
        <v>0</v>
      </c>
      <c r="AD116" s="6" t="str">
        <f>Tab_Data_Flows[[#This Row],[Flow_ID]]&amp;"_"&amp;"CC_"&amp;Tab_Data_Flows[[#This Row],[Flow_Data_Year]]</f>
        <v>F_01_14_CC_2035</v>
      </c>
      <c r="AE116" s="6">
        <f>IF(F116="Yes",AC116*Tab_Data_Flows[[#This Row],[Flow_Material]]*Tab_Data_Flows[[#This Row],[DM_'[%']]],"N.A.")</f>
        <v>0</v>
      </c>
      <c r="AF116" s="6" t="str">
        <f>Tab_Data_Flows[[#This Row],[UoM_Flow_Py]]</f>
        <v>Mg</v>
      </c>
      <c r="AG116"/>
    </row>
    <row r="117" spans="1:33" x14ac:dyDescent="0.25">
      <c r="A117" s="8">
        <f t="shared" si="3"/>
        <v>116</v>
      </c>
      <c r="B117" s="6" t="str">
        <f>_xlfn.XLOOKUP(C117,Tab_Def_Flows[Flow_Name],Tab_Def_Flows[Flow_ID],,0,)</f>
        <v>F_01_14</v>
      </c>
      <c r="C117" s="138" t="s">
        <v>1110</v>
      </c>
      <c r="D117" s="9" t="str">
        <f>_xlfn.XLOOKUP(C117,Tab_Def_Flows[Flow_Name],Tab_Def_Flows[WC?],,0,)</f>
        <v>Yes</v>
      </c>
      <c r="E117" s="9" t="str">
        <f>_xlfn.XLOOKUP(C117,Tab_Def_Flows[Flow_Name],Tab_Def_Flows[DM?],,0,)</f>
        <v>Yes</v>
      </c>
      <c r="F117" s="9" t="str">
        <f>_xlfn.XLOOKUP(C117,Tab_Def_Flows[Flow_Name],Tab_Def_Flows[CC?],,0,)</f>
        <v>Yes</v>
      </c>
      <c r="G117" s="188">
        <v>2036</v>
      </c>
      <c r="H117" s="189">
        <v>693.94869456732306</v>
      </c>
      <c r="I117" s="6" t="str">
        <f>'0_Configuration'!$C$35</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t="str">
        <f>INDEX(Tab_Def_Flows[[Flow_ID]:[CC_DM_source]],MATCH(Tab_Data_Flows[[#This Row],[Flow_Name]],Tab_Def_Flows[Flow_Name],0),11)</f>
        <v>Yes</v>
      </c>
      <c r="V117" s="6" t="str">
        <f>Tab_Data_Flows[[#This Row],[Flow_ID]]&amp;"_"&amp;"WC_"&amp;Tab_Data_Flows[[#This Row],[Flow_Data_Year]]</f>
        <v>F_01_14_WC_2036</v>
      </c>
      <c r="W117" s="6" t="e">
        <f>IF(D117="Yes",S117*Tab_Data_Flows[[#This Row],[WC_'[%']]],"N.A.")</f>
        <v>#VALUE!</v>
      </c>
      <c r="X117" s="6" t="str">
        <f>Tab_Data_Flows[[#This Row],[UoM_Flow_Py]]</f>
        <v>Mg</v>
      </c>
      <c r="Y117" s="139">
        <f>INDEX(Tab_Def_Flows[[Flow_ID]:[CC_DM_source]],MATCH(Tab_Data_Flows[[#This Row],[Flow_Name]],Tab_Def_Flows[Flow_Name],0),14)</f>
        <v>0</v>
      </c>
      <c r="Z117" s="6" t="str">
        <f>Tab_Data_Flows[[#This Row],[Flow_ID]]&amp;"_"&amp;"DM_"&amp;Tab_Data_Flows[[#This Row],[Flow_Data_Year]]</f>
        <v>F_01_14_DM_2036</v>
      </c>
      <c r="AA117" s="6">
        <f>IF(E117="Yes",Y117*Tab_Data_Flows[[#This Row],[Flow_Material]],"N.A.")</f>
        <v>0</v>
      </c>
      <c r="AB117" s="6" t="str">
        <f>Tab_Data_Flows[[#This Row],[UoM_Flow_Py]]</f>
        <v>Mg</v>
      </c>
      <c r="AC117" s="139">
        <f>INDEX(Tab_Def_Flows[[Flow_ID]:[CC_DM_source]],MATCH(Tab_Data_Flows[[#This Row],[Flow_Name]],Tab_Def_Flows[Flow_Name],0),17)</f>
        <v>0</v>
      </c>
      <c r="AD117" s="6" t="str">
        <f>Tab_Data_Flows[[#This Row],[Flow_ID]]&amp;"_"&amp;"CC_"&amp;Tab_Data_Flows[[#This Row],[Flow_Data_Year]]</f>
        <v>F_01_14_CC_2036</v>
      </c>
      <c r="AE117" s="6">
        <f>IF(F117="Yes",AC117*Tab_Data_Flows[[#This Row],[Flow_Material]]*Tab_Data_Flows[[#This Row],[DM_'[%']]],"N.A.")</f>
        <v>0</v>
      </c>
      <c r="AF117" s="6" t="str">
        <f>Tab_Data_Flows[[#This Row],[UoM_Flow_Py]]</f>
        <v>Mg</v>
      </c>
      <c r="AG117"/>
    </row>
    <row r="118" spans="1:33" x14ac:dyDescent="0.25">
      <c r="A118" s="8">
        <f t="shared" si="3"/>
        <v>117</v>
      </c>
      <c r="B118" s="6" t="str">
        <f>_xlfn.XLOOKUP(C118,Tab_Def_Flows[Flow_Name],Tab_Def_Flows[Flow_ID],,0,)</f>
        <v>F_01_14</v>
      </c>
      <c r="C118" s="138" t="s">
        <v>1110</v>
      </c>
      <c r="D118" s="9" t="str">
        <f>_xlfn.XLOOKUP(C118,Tab_Def_Flows[Flow_Name],Tab_Def_Flows[WC?],,0,)</f>
        <v>Yes</v>
      </c>
      <c r="E118" s="9" t="str">
        <f>_xlfn.XLOOKUP(C118,Tab_Def_Flows[Flow_Name],Tab_Def_Flows[DM?],,0,)</f>
        <v>Yes</v>
      </c>
      <c r="F118" s="9" t="str">
        <f>_xlfn.XLOOKUP(C118,Tab_Def_Flows[Flow_Name],Tab_Def_Flows[CC?],,0,)</f>
        <v>Yes</v>
      </c>
      <c r="G118" s="188">
        <v>2037</v>
      </c>
      <c r="H118" s="189">
        <v>853.56972559039764</v>
      </c>
      <c r="I118" s="6" t="str">
        <f>'0_Configuration'!$C$35</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t="str">
        <f>INDEX(Tab_Def_Flows[[Flow_ID]:[CC_DM_source]],MATCH(Tab_Data_Flows[[#This Row],[Flow_Name]],Tab_Def_Flows[Flow_Name],0),11)</f>
        <v>Yes</v>
      </c>
      <c r="V118" s="6" t="str">
        <f>Tab_Data_Flows[[#This Row],[Flow_ID]]&amp;"_"&amp;"WC_"&amp;Tab_Data_Flows[[#This Row],[Flow_Data_Year]]</f>
        <v>F_01_14_WC_2037</v>
      </c>
      <c r="W118" s="6" t="e">
        <f>IF(D118="Yes",S118*Tab_Data_Flows[[#This Row],[WC_'[%']]],"N.A.")</f>
        <v>#VALUE!</v>
      </c>
      <c r="X118" s="6" t="str">
        <f>Tab_Data_Flows[[#This Row],[UoM_Flow_Py]]</f>
        <v>Mg</v>
      </c>
      <c r="Y118" s="139">
        <f>INDEX(Tab_Def_Flows[[Flow_ID]:[CC_DM_source]],MATCH(Tab_Data_Flows[[#This Row],[Flow_Name]],Tab_Def_Flows[Flow_Name],0),14)</f>
        <v>0</v>
      </c>
      <c r="Z118" s="6" t="str">
        <f>Tab_Data_Flows[[#This Row],[Flow_ID]]&amp;"_"&amp;"DM_"&amp;Tab_Data_Flows[[#This Row],[Flow_Data_Year]]</f>
        <v>F_01_14_DM_2037</v>
      </c>
      <c r="AA118" s="6">
        <f>IF(E118="Yes",Y118*Tab_Data_Flows[[#This Row],[Flow_Material]],"N.A.")</f>
        <v>0</v>
      </c>
      <c r="AB118" s="6" t="str">
        <f>Tab_Data_Flows[[#This Row],[UoM_Flow_Py]]</f>
        <v>Mg</v>
      </c>
      <c r="AC118" s="139">
        <f>INDEX(Tab_Def_Flows[[Flow_ID]:[CC_DM_source]],MATCH(Tab_Data_Flows[[#This Row],[Flow_Name]],Tab_Def_Flows[Flow_Name],0),17)</f>
        <v>0</v>
      </c>
      <c r="AD118" s="6" t="str">
        <f>Tab_Data_Flows[[#This Row],[Flow_ID]]&amp;"_"&amp;"CC_"&amp;Tab_Data_Flows[[#This Row],[Flow_Data_Year]]</f>
        <v>F_01_14_CC_2037</v>
      </c>
      <c r="AE118" s="6">
        <f>IF(F118="Yes",AC118*Tab_Data_Flows[[#This Row],[Flow_Material]]*Tab_Data_Flows[[#This Row],[DM_'[%']]],"N.A.")</f>
        <v>0</v>
      </c>
      <c r="AF118" s="6" t="str">
        <f>Tab_Data_Flows[[#This Row],[UoM_Flow_Py]]</f>
        <v>Mg</v>
      </c>
      <c r="AG118"/>
    </row>
    <row r="119" spans="1:33" x14ac:dyDescent="0.25">
      <c r="A119" s="8">
        <f t="shared" si="3"/>
        <v>118</v>
      </c>
      <c r="B119" s="6" t="str">
        <f>_xlfn.XLOOKUP(C119,Tab_Def_Flows[Flow_Name],Tab_Def_Flows[Flow_ID],,0,)</f>
        <v>F_01_14</v>
      </c>
      <c r="C119" s="138" t="s">
        <v>1110</v>
      </c>
      <c r="D119" s="9" t="str">
        <f>_xlfn.XLOOKUP(C119,Tab_Def_Flows[Flow_Name],Tab_Def_Flows[WC?],,0,)</f>
        <v>Yes</v>
      </c>
      <c r="E119" s="9" t="str">
        <f>_xlfn.XLOOKUP(C119,Tab_Def_Flows[Flow_Name],Tab_Def_Flows[DM?],,0,)</f>
        <v>Yes</v>
      </c>
      <c r="F119" s="9" t="str">
        <f>_xlfn.XLOOKUP(C119,Tab_Def_Flows[Flow_Name],Tab_Def_Flows[CC?],,0,)</f>
        <v>Yes</v>
      </c>
      <c r="G119" s="188">
        <v>2038</v>
      </c>
      <c r="H119" s="189">
        <v>367.46533172892055</v>
      </c>
      <c r="I119" s="6" t="str">
        <f>'0_Configuration'!$C$35</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t="str">
        <f>INDEX(Tab_Def_Flows[[Flow_ID]:[CC_DM_source]],MATCH(Tab_Data_Flows[[#This Row],[Flow_Name]],Tab_Def_Flows[Flow_Name],0),11)</f>
        <v>Yes</v>
      </c>
      <c r="V119" s="6" t="str">
        <f>Tab_Data_Flows[[#This Row],[Flow_ID]]&amp;"_"&amp;"WC_"&amp;Tab_Data_Flows[[#This Row],[Flow_Data_Year]]</f>
        <v>F_01_14_WC_2038</v>
      </c>
      <c r="W119" s="6" t="e">
        <f>IF(D119="Yes",S119*Tab_Data_Flows[[#This Row],[WC_'[%']]],"N.A.")</f>
        <v>#VALUE!</v>
      </c>
      <c r="X119" s="6" t="str">
        <f>Tab_Data_Flows[[#This Row],[UoM_Flow_Py]]</f>
        <v>Mg</v>
      </c>
      <c r="Y119" s="139">
        <f>INDEX(Tab_Def_Flows[[Flow_ID]:[CC_DM_source]],MATCH(Tab_Data_Flows[[#This Row],[Flow_Name]],Tab_Def_Flows[Flow_Name],0),14)</f>
        <v>0</v>
      </c>
      <c r="Z119" s="6" t="str">
        <f>Tab_Data_Flows[[#This Row],[Flow_ID]]&amp;"_"&amp;"DM_"&amp;Tab_Data_Flows[[#This Row],[Flow_Data_Year]]</f>
        <v>F_01_14_DM_2038</v>
      </c>
      <c r="AA119" s="6">
        <f>IF(E119="Yes",Y119*Tab_Data_Flows[[#This Row],[Flow_Material]],"N.A.")</f>
        <v>0</v>
      </c>
      <c r="AB119" s="6" t="str">
        <f>Tab_Data_Flows[[#This Row],[UoM_Flow_Py]]</f>
        <v>Mg</v>
      </c>
      <c r="AC119" s="139">
        <f>INDEX(Tab_Def_Flows[[Flow_ID]:[CC_DM_source]],MATCH(Tab_Data_Flows[[#This Row],[Flow_Name]],Tab_Def_Flows[Flow_Name],0),17)</f>
        <v>0</v>
      </c>
      <c r="AD119" s="6" t="str">
        <f>Tab_Data_Flows[[#This Row],[Flow_ID]]&amp;"_"&amp;"CC_"&amp;Tab_Data_Flows[[#This Row],[Flow_Data_Year]]</f>
        <v>F_01_14_CC_2038</v>
      </c>
      <c r="AE119" s="6">
        <f>IF(F119="Yes",AC119*Tab_Data_Flows[[#This Row],[Flow_Material]]*Tab_Data_Flows[[#This Row],[DM_'[%']]],"N.A.")</f>
        <v>0</v>
      </c>
      <c r="AF119" s="6" t="str">
        <f>Tab_Data_Flows[[#This Row],[UoM_Flow_Py]]</f>
        <v>Mg</v>
      </c>
      <c r="AG119"/>
    </row>
    <row r="120" spans="1:33" x14ac:dyDescent="0.25">
      <c r="A120" s="8">
        <f t="shared" si="3"/>
        <v>119</v>
      </c>
      <c r="B120" s="6" t="str">
        <f>_xlfn.XLOOKUP(C120,Tab_Def_Flows[Flow_Name],Tab_Def_Flows[Flow_ID],,0,)</f>
        <v>F_01_14</v>
      </c>
      <c r="C120" s="138" t="s">
        <v>1110</v>
      </c>
      <c r="D120" s="9" t="str">
        <f>_xlfn.XLOOKUP(C120,Tab_Def_Flows[Flow_Name],Tab_Def_Flows[WC?],,0,)</f>
        <v>Yes</v>
      </c>
      <c r="E120" s="9" t="str">
        <f>_xlfn.XLOOKUP(C120,Tab_Def_Flows[Flow_Name],Tab_Def_Flows[DM?],,0,)</f>
        <v>Yes</v>
      </c>
      <c r="F120" s="9" t="str">
        <f>_xlfn.XLOOKUP(C120,Tab_Def_Flows[Flow_Name],Tab_Def_Flows[CC?],,0,)</f>
        <v>Yes</v>
      </c>
      <c r="G120" s="188">
        <v>2039</v>
      </c>
      <c r="H120" s="189">
        <v>409.94242281691481</v>
      </c>
      <c r="I120" s="6" t="str">
        <f>'0_Configuration'!$C$35</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t="str">
        <f>INDEX(Tab_Def_Flows[[Flow_ID]:[CC_DM_source]],MATCH(Tab_Data_Flows[[#This Row],[Flow_Name]],Tab_Def_Flows[Flow_Name],0),11)</f>
        <v>Yes</v>
      </c>
      <c r="V120" s="6" t="str">
        <f>Tab_Data_Flows[[#This Row],[Flow_ID]]&amp;"_"&amp;"WC_"&amp;Tab_Data_Flows[[#This Row],[Flow_Data_Year]]</f>
        <v>F_01_14_WC_2039</v>
      </c>
      <c r="W120" s="6" t="e">
        <f>IF(D120="Yes",S120*Tab_Data_Flows[[#This Row],[WC_'[%']]],"N.A.")</f>
        <v>#VALUE!</v>
      </c>
      <c r="X120" s="6" t="str">
        <f>Tab_Data_Flows[[#This Row],[UoM_Flow_Py]]</f>
        <v>Mg</v>
      </c>
      <c r="Y120" s="139">
        <f>INDEX(Tab_Def_Flows[[Flow_ID]:[CC_DM_source]],MATCH(Tab_Data_Flows[[#This Row],[Flow_Name]],Tab_Def_Flows[Flow_Name],0),14)</f>
        <v>0</v>
      </c>
      <c r="Z120" s="6" t="str">
        <f>Tab_Data_Flows[[#This Row],[Flow_ID]]&amp;"_"&amp;"DM_"&amp;Tab_Data_Flows[[#This Row],[Flow_Data_Year]]</f>
        <v>F_01_14_DM_2039</v>
      </c>
      <c r="AA120" s="6">
        <f>IF(E120="Yes",Y120*Tab_Data_Flows[[#This Row],[Flow_Material]],"N.A.")</f>
        <v>0</v>
      </c>
      <c r="AB120" s="6" t="str">
        <f>Tab_Data_Flows[[#This Row],[UoM_Flow_Py]]</f>
        <v>Mg</v>
      </c>
      <c r="AC120" s="139">
        <f>INDEX(Tab_Def_Flows[[Flow_ID]:[CC_DM_source]],MATCH(Tab_Data_Flows[[#This Row],[Flow_Name]],Tab_Def_Flows[Flow_Name],0),17)</f>
        <v>0</v>
      </c>
      <c r="AD120" s="6" t="str">
        <f>Tab_Data_Flows[[#This Row],[Flow_ID]]&amp;"_"&amp;"CC_"&amp;Tab_Data_Flows[[#This Row],[Flow_Data_Year]]</f>
        <v>F_01_14_CC_2039</v>
      </c>
      <c r="AE120" s="6">
        <f>IF(F120="Yes",AC120*Tab_Data_Flows[[#This Row],[Flow_Material]]*Tab_Data_Flows[[#This Row],[DM_'[%']]],"N.A.")</f>
        <v>0</v>
      </c>
      <c r="AF120" s="6" t="str">
        <f>Tab_Data_Flows[[#This Row],[UoM_Flow_Py]]</f>
        <v>Mg</v>
      </c>
      <c r="AG120"/>
    </row>
    <row r="121" spans="1:33" x14ac:dyDescent="0.25">
      <c r="A121" s="8">
        <f t="shared" si="3"/>
        <v>120</v>
      </c>
      <c r="B121" s="6" t="str">
        <f>_xlfn.XLOOKUP(C121,Tab_Def_Flows[Flow_Name],Tab_Def_Flows[Flow_ID],,0,)</f>
        <v>F_01_14</v>
      </c>
      <c r="C121" s="138" t="s">
        <v>1110</v>
      </c>
      <c r="D121" s="9" t="str">
        <f>_xlfn.XLOOKUP(C121,Tab_Def_Flows[Flow_Name],Tab_Def_Flows[WC?],,0,)</f>
        <v>Yes</v>
      </c>
      <c r="E121" s="9" t="str">
        <f>_xlfn.XLOOKUP(C121,Tab_Def_Flows[Flow_Name],Tab_Def_Flows[DM?],,0,)</f>
        <v>Yes</v>
      </c>
      <c r="F121" s="9" t="str">
        <f>_xlfn.XLOOKUP(C121,Tab_Def_Flows[Flow_Name],Tab_Def_Flows[CC?],,0,)</f>
        <v>Yes</v>
      </c>
      <c r="G121" s="188">
        <v>2040</v>
      </c>
      <c r="H121" s="189">
        <v>672.18016167720577</v>
      </c>
      <c r="I121" s="6" t="str">
        <f>'0_Configuration'!$C$35</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t="str">
        <f>INDEX(Tab_Def_Flows[[Flow_ID]:[CC_DM_source]],MATCH(Tab_Data_Flows[[#This Row],[Flow_Name]],Tab_Def_Flows[Flow_Name],0),11)</f>
        <v>Yes</v>
      </c>
      <c r="V121" s="6" t="str">
        <f>Tab_Data_Flows[[#This Row],[Flow_ID]]&amp;"_"&amp;"WC_"&amp;Tab_Data_Flows[[#This Row],[Flow_Data_Year]]</f>
        <v>F_01_14_WC_2040</v>
      </c>
      <c r="W121" s="6" t="e">
        <f>IF(D121="Yes",S121*Tab_Data_Flows[[#This Row],[WC_'[%']]],"N.A.")</f>
        <v>#VALUE!</v>
      </c>
      <c r="X121" s="6" t="str">
        <f>Tab_Data_Flows[[#This Row],[UoM_Flow_Py]]</f>
        <v>Mg</v>
      </c>
      <c r="Y121" s="139">
        <f>INDEX(Tab_Def_Flows[[Flow_ID]:[CC_DM_source]],MATCH(Tab_Data_Flows[[#This Row],[Flow_Name]],Tab_Def_Flows[Flow_Name],0),14)</f>
        <v>0</v>
      </c>
      <c r="Z121" s="6" t="str">
        <f>Tab_Data_Flows[[#This Row],[Flow_ID]]&amp;"_"&amp;"DM_"&amp;Tab_Data_Flows[[#This Row],[Flow_Data_Year]]</f>
        <v>F_01_14_DM_2040</v>
      </c>
      <c r="AA121" s="6">
        <f>IF(E121="Yes",Y121*Tab_Data_Flows[[#This Row],[Flow_Material]],"N.A.")</f>
        <v>0</v>
      </c>
      <c r="AB121" s="6" t="str">
        <f>Tab_Data_Flows[[#This Row],[UoM_Flow_Py]]</f>
        <v>Mg</v>
      </c>
      <c r="AC121" s="139">
        <f>INDEX(Tab_Def_Flows[[Flow_ID]:[CC_DM_source]],MATCH(Tab_Data_Flows[[#This Row],[Flow_Name]],Tab_Def_Flows[Flow_Name],0),17)</f>
        <v>0</v>
      </c>
      <c r="AD121" s="6" t="str">
        <f>Tab_Data_Flows[[#This Row],[Flow_ID]]&amp;"_"&amp;"CC_"&amp;Tab_Data_Flows[[#This Row],[Flow_Data_Year]]</f>
        <v>F_01_14_CC_2040</v>
      </c>
      <c r="AE121" s="6">
        <f>IF(F121="Yes",AC121*Tab_Data_Flows[[#This Row],[Flow_Material]]*Tab_Data_Flows[[#This Row],[DM_'[%']]],"N.A.")</f>
        <v>0</v>
      </c>
      <c r="AF121" s="6" t="str">
        <f>Tab_Data_Flows[[#This Row],[UoM_Flow_Py]]</f>
        <v>Mg</v>
      </c>
      <c r="AG121"/>
    </row>
    <row r="122" spans="1:33" x14ac:dyDescent="0.25">
      <c r="A122" s="8">
        <f t="shared" si="3"/>
        <v>121</v>
      </c>
      <c r="B122" s="6" t="str">
        <f>_xlfn.XLOOKUP(C122,Tab_Def_Flows[Flow_Name],Tab_Def_Flows[Flow_ID],,0,)</f>
        <v>F_01_14</v>
      </c>
      <c r="C122" s="138" t="s">
        <v>1110</v>
      </c>
      <c r="D122" s="9" t="str">
        <f>_xlfn.XLOOKUP(C122,Tab_Def_Flows[Flow_Name],Tab_Def_Flows[WC?],,0,)</f>
        <v>Yes</v>
      </c>
      <c r="E122" s="9" t="str">
        <f>_xlfn.XLOOKUP(C122,Tab_Def_Flows[Flow_Name],Tab_Def_Flows[DM?],,0,)</f>
        <v>Yes</v>
      </c>
      <c r="F122" s="9" t="str">
        <f>_xlfn.XLOOKUP(C122,Tab_Def_Flows[Flow_Name],Tab_Def_Flows[CC?],,0,)</f>
        <v>Yes</v>
      </c>
      <c r="G122" s="188">
        <v>2041</v>
      </c>
      <c r="H122" s="189">
        <v>570.55648276219358</v>
      </c>
      <c r="I122" s="6" t="str">
        <f>'0_Configuration'!$C$35</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t="str">
        <f>INDEX(Tab_Def_Flows[[Flow_ID]:[CC_DM_source]],MATCH(Tab_Data_Flows[[#This Row],[Flow_Name]],Tab_Def_Flows[Flow_Name],0),11)</f>
        <v>Yes</v>
      </c>
      <c r="V122" s="6" t="str">
        <f>Tab_Data_Flows[[#This Row],[Flow_ID]]&amp;"_"&amp;"WC_"&amp;Tab_Data_Flows[[#This Row],[Flow_Data_Year]]</f>
        <v>F_01_14_WC_2041</v>
      </c>
      <c r="W122" s="6" t="e">
        <f>IF(D122="Yes",S122*Tab_Data_Flows[[#This Row],[WC_'[%']]],"N.A.")</f>
        <v>#VALUE!</v>
      </c>
      <c r="X122" s="6" t="str">
        <f>Tab_Data_Flows[[#This Row],[UoM_Flow_Py]]</f>
        <v>Mg</v>
      </c>
      <c r="Y122" s="139">
        <f>INDEX(Tab_Def_Flows[[Flow_ID]:[CC_DM_source]],MATCH(Tab_Data_Flows[[#This Row],[Flow_Name]],Tab_Def_Flows[Flow_Name],0),14)</f>
        <v>0</v>
      </c>
      <c r="Z122" s="6" t="str">
        <f>Tab_Data_Flows[[#This Row],[Flow_ID]]&amp;"_"&amp;"DM_"&amp;Tab_Data_Flows[[#This Row],[Flow_Data_Year]]</f>
        <v>F_01_14_DM_2041</v>
      </c>
      <c r="AA122" s="6">
        <f>IF(E122="Yes",Y122*Tab_Data_Flows[[#This Row],[Flow_Material]],"N.A.")</f>
        <v>0</v>
      </c>
      <c r="AB122" s="6" t="str">
        <f>Tab_Data_Flows[[#This Row],[UoM_Flow_Py]]</f>
        <v>Mg</v>
      </c>
      <c r="AC122" s="139">
        <f>INDEX(Tab_Def_Flows[[Flow_ID]:[CC_DM_source]],MATCH(Tab_Data_Flows[[#This Row],[Flow_Name]],Tab_Def_Flows[Flow_Name],0),17)</f>
        <v>0</v>
      </c>
      <c r="AD122" s="6" t="str">
        <f>Tab_Data_Flows[[#This Row],[Flow_ID]]&amp;"_"&amp;"CC_"&amp;Tab_Data_Flows[[#This Row],[Flow_Data_Year]]</f>
        <v>F_01_14_CC_2041</v>
      </c>
      <c r="AE122" s="6">
        <f>IF(F122="Yes",AC122*Tab_Data_Flows[[#This Row],[Flow_Material]]*Tab_Data_Flows[[#This Row],[DM_'[%']]],"N.A.")</f>
        <v>0</v>
      </c>
      <c r="AF122" s="6" t="str">
        <f>Tab_Data_Flows[[#This Row],[UoM_Flow_Py]]</f>
        <v>Mg</v>
      </c>
      <c r="AG122"/>
    </row>
    <row r="123" spans="1:33" x14ac:dyDescent="0.25">
      <c r="A123" s="8">
        <f t="shared" si="3"/>
        <v>122</v>
      </c>
      <c r="B123" s="6" t="str">
        <f>_xlfn.XLOOKUP(C123,Tab_Def_Flows[Flow_Name],Tab_Def_Flows[Flow_ID],,0,)</f>
        <v>F_01_14</v>
      </c>
      <c r="C123" s="138" t="s">
        <v>1110</v>
      </c>
      <c r="D123" s="9" t="str">
        <f>_xlfn.XLOOKUP(C123,Tab_Def_Flows[Flow_Name],Tab_Def_Flows[WC?],,0,)</f>
        <v>Yes</v>
      </c>
      <c r="E123" s="9" t="str">
        <f>_xlfn.XLOOKUP(C123,Tab_Def_Flows[Flow_Name],Tab_Def_Flows[DM?],,0,)</f>
        <v>Yes</v>
      </c>
      <c r="F123" s="9" t="str">
        <f>_xlfn.XLOOKUP(C123,Tab_Def_Flows[Flow_Name],Tab_Def_Flows[CC?],,0,)</f>
        <v>Yes</v>
      </c>
      <c r="G123" s="188">
        <v>2042</v>
      </c>
      <c r="H123" s="189">
        <v>869.87102059422205</v>
      </c>
      <c r="I123" s="6" t="str">
        <f>'0_Configuration'!$C$35</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t="str">
        <f>INDEX(Tab_Def_Flows[[Flow_ID]:[CC_DM_source]],MATCH(Tab_Data_Flows[[#This Row],[Flow_Name]],Tab_Def_Flows[Flow_Name],0),11)</f>
        <v>Yes</v>
      </c>
      <c r="V123" s="6" t="str">
        <f>Tab_Data_Flows[[#This Row],[Flow_ID]]&amp;"_"&amp;"WC_"&amp;Tab_Data_Flows[[#This Row],[Flow_Data_Year]]</f>
        <v>F_01_14_WC_2042</v>
      </c>
      <c r="W123" s="6" t="e">
        <f>IF(D123="Yes",S123*Tab_Data_Flows[[#This Row],[WC_'[%']]],"N.A.")</f>
        <v>#VALUE!</v>
      </c>
      <c r="X123" s="6" t="str">
        <f>Tab_Data_Flows[[#This Row],[UoM_Flow_Py]]</f>
        <v>Mg</v>
      </c>
      <c r="Y123" s="139">
        <f>INDEX(Tab_Def_Flows[[Flow_ID]:[CC_DM_source]],MATCH(Tab_Data_Flows[[#This Row],[Flow_Name]],Tab_Def_Flows[Flow_Name],0),14)</f>
        <v>0</v>
      </c>
      <c r="Z123" s="6" t="str">
        <f>Tab_Data_Flows[[#This Row],[Flow_ID]]&amp;"_"&amp;"DM_"&amp;Tab_Data_Flows[[#This Row],[Flow_Data_Year]]</f>
        <v>F_01_14_DM_2042</v>
      </c>
      <c r="AA123" s="6">
        <f>IF(E123="Yes",Y123*Tab_Data_Flows[[#This Row],[Flow_Material]],"N.A.")</f>
        <v>0</v>
      </c>
      <c r="AB123" s="6" t="str">
        <f>Tab_Data_Flows[[#This Row],[UoM_Flow_Py]]</f>
        <v>Mg</v>
      </c>
      <c r="AC123" s="139">
        <f>INDEX(Tab_Def_Flows[[Flow_ID]:[CC_DM_source]],MATCH(Tab_Data_Flows[[#This Row],[Flow_Name]],Tab_Def_Flows[Flow_Name],0),17)</f>
        <v>0</v>
      </c>
      <c r="AD123" s="6" t="str">
        <f>Tab_Data_Flows[[#This Row],[Flow_ID]]&amp;"_"&amp;"CC_"&amp;Tab_Data_Flows[[#This Row],[Flow_Data_Year]]</f>
        <v>F_01_14_CC_2042</v>
      </c>
      <c r="AE123" s="6">
        <f>IF(F123="Yes",AC123*Tab_Data_Flows[[#This Row],[Flow_Material]]*Tab_Data_Flows[[#This Row],[DM_'[%']]],"N.A.")</f>
        <v>0</v>
      </c>
      <c r="AF123" s="6" t="str">
        <f>Tab_Data_Flows[[#This Row],[UoM_Flow_Py]]</f>
        <v>Mg</v>
      </c>
      <c r="AG123"/>
    </row>
    <row r="124" spans="1:33" x14ac:dyDescent="0.25">
      <c r="A124" s="8">
        <f t="shared" si="3"/>
        <v>123</v>
      </c>
      <c r="B124" s="6" t="str">
        <f>_xlfn.XLOOKUP(C124,Tab_Def_Flows[Flow_Name],Tab_Def_Flows[Flow_ID],,0,)</f>
        <v>F_01_14</v>
      </c>
      <c r="C124" s="138" t="s">
        <v>1110</v>
      </c>
      <c r="D124" s="9" t="str">
        <f>_xlfn.XLOOKUP(C124,Tab_Def_Flows[Flow_Name],Tab_Def_Flows[WC?],,0,)</f>
        <v>Yes</v>
      </c>
      <c r="E124" s="9" t="str">
        <f>_xlfn.XLOOKUP(C124,Tab_Def_Flows[Flow_Name],Tab_Def_Flows[DM?],,0,)</f>
        <v>Yes</v>
      </c>
      <c r="F124" s="9" t="str">
        <f>_xlfn.XLOOKUP(C124,Tab_Def_Flows[Flow_Name],Tab_Def_Flows[CC?],,0,)</f>
        <v>Yes</v>
      </c>
      <c r="G124" s="188">
        <v>2043</v>
      </c>
      <c r="H124" s="189">
        <v>594.19949721332557</v>
      </c>
      <c r="I124" s="6" t="str">
        <f>'0_Configuration'!$C$35</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t="str">
        <f>INDEX(Tab_Def_Flows[[Flow_ID]:[CC_DM_source]],MATCH(Tab_Data_Flows[[#This Row],[Flow_Name]],Tab_Def_Flows[Flow_Name],0),11)</f>
        <v>Yes</v>
      </c>
      <c r="V124" s="6" t="str">
        <f>Tab_Data_Flows[[#This Row],[Flow_ID]]&amp;"_"&amp;"WC_"&amp;Tab_Data_Flows[[#This Row],[Flow_Data_Year]]</f>
        <v>F_01_14_WC_2043</v>
      </c>
      <c r="W124" s="6" t="e">
        <f>IF(D124="Yes",S124*Tab_Data_Flows[[#This Row],[WC_'[%']]],"N.A.")</f>
        <v>#VALUE!</v>
      </c>
      <c r="X124" s="6" t="str">
        <f>Tab_Data_Flows[[#This Row],[UoM_Flow_Py]]</f>
        <v>Mg</v>
      </c>
      <c r="Y124" s="139">
        <f>INDEX(Tab_Def_Flows[[Flow_ID]:[CC_DM_source]],MATCH(Tab_Data_Flows[[#This Row],[Flow_Name]],Tab_Def_Flows[Flow_Name],0),14)</f>
        <v>0</v>
      </c>
      <c r="Z124" s="6" t="str">
        <f>Tab_Data_Flows[[#This Row],[Flow_ID]]&amp;"_"&amp;"DM_"&amp;Tab_Data_Flows[[#This Row],[Flow_Data_Year]]</f>
        <v>F_01_14_DM_2043</v>
      </c>
      <c r="AA124" s="6">
        <f>IF(E124="Yes",Y124*Tab_Data_Flows[[#This Row],[Flow_Material]],"N.A.")</f>
        <v>0</v>
      </c>
      <c r="AB124" s="6" t="str">
        <f>Tab_Data_Flows[[#This Row],[UoM_Flow_Py]]</f>
        <v>Mg</v>
      </c>
      <c r="AC124" s="139">
        <f>INDEX(Tab_Def_Flows[[Flow_ID]:[CC_DM_source]],MATCH(Tab_Data_Flows[[#This Row],[Flow_Name]],Tab_Def_Flows[Flow_Name],0),17)</f>
        <v>0</v>
      </c>
      <c r="AD124" s="6" t="str">
        <f>Tab_Data_Flows[[#This Row],[Flow_ID]]&amp;"_"&amp;"CC_"&amp;Tab_Data_Flows[[#This Row],[Flow_Data_Year]]</f>
        <v>F_01_14_CC_2043</v>
      </c>
      <c r="AE124" s="6">
        <f>IF(F124="Yes",AC124*Tab_Data_Flows[[#This Row],[Flow_Material]]*Tab_Data_Flows[[#This Row],[DM_'[%']]],"N.A.")</f>
        <v>0</v>
      </c>
      <c r="AF124" s="6" t="str">
        <f>Tab_Data_Flows[[#This Row],[UoM_Flow_Py]]</f>
        <v>Mg</v>
      </c>
      <c r="AG124"/>
    </row>
    <row r="125" spans="1:33" x14ac:dyDescent="0.25">
      <c r="A125" s="8">
        <f t="shared" si="3"/>
        <v>124</v>
      </c>
      <c r="B125" s="6" t="str">
        <f>_xlfn.XLOOKUP(C125,Tab_Def_Flows[Flow_Name],Tab_Def_Flows[Flow_ID],,0,)</f>
        <v>F_01_14</v>
      </c>
      <c r="C125" s="138" t="s">
        <v>1110</v>
      </c>
      <c r="D125" s="9" t="str">
        <f>_xlfn.XLOOKUP(C125,Tab_Def_Flows[Flow_Name],Tab_Def_Flows[WC?],,0,)</f>
        <v>Yes</v>
      </c>
      <c r="E125" s="9" t="str">
        <f>_xlfn.XLOOKUP(C125,Tab_Def_Flows[Flow_Name],Tab_Def_Flows[DM?],,0,)</f>
        <v>Yes</v>
      </c>
      <c r="F125" s="9" t="str">
        <f>_xlfn.XLOOKUP(C125,Tab_Def_Flows[Flow_Name],Tab_Def_Flows[CC?],,0,)</f>
        <v>Yes</v>
      </c>
      <c r="G125" s="188">
        <v>2044</v>
      </c>
      <c r="H125" s="189">
        <v>480.45863392175403</v>
      </c>
      <c r="I125" s="6" t="str">
        <f>'0_Configuration'!$C$35</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t="str">
        <f>INDEX(Tab_Def_Flows[[Flow_ID]:[CC_DM_source]],MATCH(Tab_Data_Flows[[#This Row],[Flow_Name]],Tab_Def_Flows[Flow_Name],0),11)</f>
        <v>Yes</v>
      </c>
      <c r="V125" s="6" t="str">
        <f>Tab_Data_Flows[[#This Row],[Flow_ID]]&amp;"_"&amp;"WC_"&amp;Tab_Data_Flows[[#This Row],[Flow_Data_Year]]</f>
        <v>F_01_14_WC_2044</v>
      </c>
      <c r="W125" s="6" t="e">
        <f>IF(D125="Yes",S125*Tab_Data_Flows[[#This Row],[WC_'[%']]],"N.A.")</f>
        <v>#VALUE!</v>
      </c>
      <c r="X125" s="6" t="str">
        <f>Tab_Data_Flows[[#This Row],[UoM_Flow_Py]]</f>
        <v>Mg</v>
      </c>
      <c r="Y125" s="139">
        <f>INDEX(Tab_Def_Flows[[Flow_ID]:[CC_DM_source]],MATCH(Tab_Data_Flows[[#This Row],[Flow_Name]],Tab_Def_Flows[Flow_Name],0),14)</f>
        <v>0</v>
      </c>
      <c r="Z125" s="6" t="str">
        <f>Tab_Data_Flows[[#This Row],[Flow_ID]]&amp;"_"&amp;"DM_"&amp;Tab_Data_Flows[[#This Row],[Flow_Data_Year]]</f>
        <v>F_01_14_DM_2044</v>
      </c>
      <c r="AA125" s="6">
        <f>IF(E125="Yes",Y125*Tab_Data_Flows[[#This Row],[Flow_Material]],"N.A.")</f>
        <v>0</v>
      </c>
      <c r="AB125" s="6" t="str">
        <f>Tab_Data_Flows[[#This Row],[UoM_Flow_Py]]</f>
        <v>Mg</v>
      </c>
      <c r="AC125" s="139">
        <f>INDEX(Tab_Def_Flows[[Flow_ID]:[CC_DM_source]],MATCH(Tab_Data_Flows[[#This Row],[Flow_Name]],Tab_Def_Flows[Flow_Name],0),17)</f>
        <v>0</v>
      </c>
      <c r="AD125" s="6" t="str">
        <f>Tab_Data_Flows[[#This Row],[Flow_ID]]&amp;"_"&amp;"CC_"&amp;Tab_Data_Flows[[#This Row],[Flow_Data_Year]]</f>
        <v>F_01_14_CC_2044</v>
      </c>
      <c r="AE125" s="6">
        <f>IF(F125="Yes",AC125*Tab_Data_Flows[[#This Row],[Flow_Material]]*Tab_Data_Flows[[#This Row],[DM_'[%']]],"N.A.")</f>
        <v>0</v>
      </c>
      <c r="AF125" s="6" t="str">
        <f>Tab_Data_Flows[[#This Row],[UoM_Flow_Py]]</f>
        <v>Mg</v>
      </c>
      <c r="AG125"/>
    </row>
    <row r="126" spans="1:33" x14ac:dyDescent="0.25">
      <c r="A126" s="8">
        <f t="shared" si="3"/>
        <v>125</v>
      </c>
      <c r="B126" s="6" t="str">
        <f>_xlfn.XLOOKUP(C126,Tab_Def_Flows[Flow_Name],Tab_Def_Flows[Flow_ID],,0,)</f>
        <v>F_01_14</v>
      </c>
      <c r="C126" s="138" t="s">
        <v>1110</v>
      </c>
      <c r="D126" s="9" t="str">
        <f>_xlfn.XLOOKUP(C126,Tab_Def_Flows[Flow_Name],Tab_Def_Flows[WC?],,0,)</f>
        <v>Yes</v>
      </c>
      <c r="E126" s="9" t="str">
        <f>_xlfn.XLOOKUP(C126,Tab_Def_Flows[Flow_Name],Tab_Def_Flows[DM?],,0,)</f>
        <v>Yes</v>
      </c>
      <c r="F126" s="9" t="str">
        <f>_xlfn.XLOOKUP(C126,Tab_Def_Flows[Flow_Name],Tab_Def_Flows[CC?],,0,)</f>
        <v>Yes</v>
      </c>
      <c r="G126" s="188">
        <v>2045</v>
      </c>
      <c r="H126" s="189">
        <v>1129.5759778214751</v>
      </c>
      <c r="I126" s="6" t="str">
        <f>'0_Configuration'!$C$35</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t="str">
        <f>INDEX(Tab_Def_Flows[[Flow_ID]:[CC_DM_source]],MATCH(Tab_Data_Flows[[#This Row],[Flow_Name]],Tab_Def_Flows[Flow_Name],0),11)</f>
        <v>Yes</v>
      </c>
      <c r="V126" s="6" t="str">
        <f>Tab_Data_Flows[[#This Row],[Flow_ID]]&amp;"_"&amp;"WC_"&amp;Tab_Data_Flows[[#This Row],[Flow_Data_Year]]</f>
        <v>F_01_14_WC_2045</v>
      </c>
      <c r="W126" s="6" t="e">
        <f>IF(D126="Yes",S126*Tab_Data_Flows[[#This Row],[WC_'[%']]],"N.A.")</f>
        <v>#VALUE!</v>
      </c>
      <c r="X126" s="6" t="str">
        <f>Tab_Data_Flows[[#This Row],[UoM_Flow_Py]]</f>
        <v>Mg</v>
      </c>
      <c r="Y126" s="139">
        <f>INDEX(Tab_Def_Flows[[Flow_ID]:[CC_DM_source]],MATCH(Tab_Data_Flows[[#This Row],[Flow_Name]],Tab_Def_Flows[Flow_Name],0),14)</f>
        <v>0</v>
      </c>
      <c r="Z126" s="6" t="str">
        <f>Tab_Data_Flows[[#This Row],[Flow_ID]]&amp;"_"&amp;"DM_"&amp;Tab_Data_Flows[[#This Row],[Flow_Data_Year]]</f>
        <v>F_01_14_DM_2045</v>
      </c>
      <c r="AA126" s="6">
        <f>IF(E126="Yes",Y126*Tab_Data_Flows[[#This Row],[Flow_Material]],"N.A.")</f>
        <v>0</v>
      </c>
      <c r="AB126" s="6" t="str">
        <f>Tab_Data_Flows[[#This Row],[UoM_Flow_Py]]</f>
        <v>Mg</v>
      </c>
      <c r="AC126" s="139">
        <f>INDEX(Tab_Def_Flows[[Flow_ID]:[CC_DM_source]],MATCH(Tab_Data_Flows[[#This Row],[Flow_Name]],Tab_Def_Flows[Flow_Name],0),17)</f>
        <v>0</v>
      </c>
      <c r="AD126" s="6" t="str">
        <f>Tab_Data_Flows[[#This Row],[Flow_ID]]&amp;"_"&amp;"CC_"&amp;Tab_Data_Flows[[#This Row],[Flow_Data_Year]]</f>
        <v>F_01_14_CC_2045</v>
      </c>
      <c r="AE126" s="6">
        <f>IF(F126="Yes",AC126*Tab_Data_Flows[[#This Row],[Flow_Material]]*Tab_Data_Flows[[#This Row],[DM_'[%']]],"N.A.")</f>
        <v>0</v>
      </c>
      <c r="AF126" s="6" t="str">
        <f>Tab_Data_Flows[[#This Row],[UoM_Flow_Py]]</f>
        <v>Mg</v>
      </c>
      <c r="AG126"/>
    </row>
    <row r="127" spans="1:33" x14ac:dyDescent="0.25">
      <c r="A127" s="8">
        <f t="shared" si="3"/>
        <v>126</v>
      </c>
      <c r="B127" s="6" t="str">
        <f>_xlfn.XLOOKUP(C127,Tab_Def_Flows[Flow_Name],Tab_Def_Flows[Flow_ID],,0,)</f>
        <v>F_01_14</v>
      </c>
      <c r="C127" s="138" t="s">
        <v>1110</v>
      </c>
      <c r="D127" s="9" t="str">
        <f>_xlfn.XLOOKUP(C127,Tab_Def_Flows[Flow_Name],Tab_Def_Flows[WC?],,0,)</f>
        <v>Yes</v>
      </c>
      <c r="E127" s="9" t="str">
        <f>_xlfn.XLOOKUP(C127,Tab_Def_Flows[Flow_Name],Tab_Def_Flows[DM?],,0,)</f>
        <v>Yes</v>
      </c>
      <c r="F127" s="9" t="str">
        <f>_xlfn.XLOOKUP(C127,Tab_Def_Flows[Flow_Name],Tab_Def_Flows[CC?],,0,)</f>
        <v>Yes</v>
      </c>
      <c r="G127" s="188">
        <v>2046</v>
      </c>
      <c r="H127" s="189">
        <v>748.07434964162303</v>
      </c>
      <c r="I127" s="6" t="str">
        <f>'0_Configuration'!$C$35</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t="str">
        <f>INDEX(Tab_Def_Flows[[Flow_ID]:[CC_DM_source]],MATCH(Tab_Data_Flows[[#This Row],[Flow_Name]],Tab_Def_Flows[Flow_Name],0),11)</f>
        <v>Yes</v>
      </c>
      <c r="V127" s="6" t="str">
        <f>Tab_Data_Flows[[#This Row],[Flow_ID]]&amp;"_"&amp;"WC_"&amp;Tab_Data_Flows[[#This Row],[Flow_Data_Year]]</f>
        <v>F_01_14_WC_2046</v>
      </c>
      <c r="W127" s="6" t="e">
        <f>IF(D127="Yes",S127*Tab_Data_Flows[[#This Row],[WC_'[%']]],"N.A.")</f>
        <v>#VALUE!</v>
      </c>
      <c r="X127" s="6" t="str">
        <f>Tab_Data_Flows[[#This Row],[UoM_Flow_Py]]</f>
        <v>Mg</v>
      </c>
      <c r="Y127" s="139">
        <f>INDEX(Tab_Def_Flows[[Flow_ID]:[CC_DM_source]],MATCH(Tab_Data_Flows[[#This Row],[Flow_Name]],Tab_Def_Flows[Flow_Name],0),14)</f>
        <v>0</v>
      </c>
      <c r="Z127" s="6" t="str">
        <f>Tab_Data_Flows[[#This Row],[Flow_ID]]&amp;"_"&amp;"DM_"&amp;Tab_Data_Flows[[#This Row],[Flow_Data_Year]]</f>
        <v>F_01_14_DM_2046</v>
      </c>
      <c r="AA127" s="6">
        <f>IF(E127="Yes",Y127*Tab_Data_Flows[[#This Row],[Flow_Material]],"N.A.")</f>
        <v>0</v>
      </c>
      <c r="AB127" s="6" t="str">
        <f>Tab_Data_Flows[[#This Row],[UoM_Flow_Py]]</f>
        <v>Mg</v>
      </c>
      <c r="AC127" s="139">
        <f>INDEX(Tab_Def_Flows[[Flow_ID]:[CC_DM_source]],MATCH(Tab_Data_Flows[[#This Row],[Flow_Name]],Tab_Def_Flows[Flow_Name],0),17)</f>
        <v>0</v>
      </c>
      <c r="AD127" s="6" t="str">
        <f>Tab_Data_Flows[[#This Row],[Flow_ID]]&amp;"_"&amp;"CC_"&amp;Tab_Data_Flows[[#This Row],[Flow_Data_Year]]</f>
        <v>F_01_14_CC_2046</v>
      </c>
      <c r="AE127" s="6">
        <f>IF(F127="Yes",AC127*Tab_Data_Flows[[#This Row],[Flow_Material]]*Tab_Data_Flows[[#This Row],[DM_'[%']]],"N.A.")</f>
        <v>0</v>
      </c>
      <c r="AF127" s="6" t="str">
        <f>Tab_Data_Flows[[#This Row],[UoM_Flow_Py]]</f>
        <v>Mg</v>
      </c>
      <c r="AG127"/>
    </row>
    <row r="128" spans="1:33" x14ac:dyDescent="0.25">
      <c r="A128" s="8">
        <f t="shared" si="3"/>
        <v>127</v>
      </c>
      <c r="B128" s="6" t="str">
        <f>_xlfn.XLOOKUP(C128,Tab_Def_Flows[Flow_Name],Tab_Def_Flows[Flow_ID],,0,)</f>
        <v>F_01_14</v>
      </c>
      <c r="C128" s="138" t="s">
        <v>1110</v>
      </c>
      <c r="D128" s="9" t="str">
        <f>_xlfn.XLOOKUP(C128,Tab_Def_Flows[Flow_Name],Tab_Def_Flows[WC?],,0,)</f>
        <v>Yes</v>
      </c>
      <c r="E128" s="9" t="str">
        <f>_xlfn.XLOOKUP(C128,Tab_Def_Flows[Flow_Name],Tab_Def_Flows[DM?],,0,)</f>
        <v>Yes</v>
      </c>
      <c r="F128" s="9" t="str">
        <f>_xlfn.XLOOKUP(C128,Tab_Def_Flows[Flow_Name],Tab_Def_Flows[CC?],,0,)</f>
        <v>Yes</v>
      </c>
      <c r="G128" s="188">
        <v>2047</v>
      </c>
      <c r="H128" s="189">
        <v>814.22792806576729</v>
      </c>
      <c r="I128" s="6" t="str">
        <f>'0_Configuration'!$C$35</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t="str">
        <f>INDEX(Tab_Def_Flows[[Flow_ID]:[CC_DM_source]],MATCH(Tab_Data_Flows[[#This Row],[Flow_Name]],Tab_Def_Flows[Flow_Name],0),11)</f>
        <v>Yes</v>
      </c>
      <c r="V128" s="6" t="str">
        <f>Tab_Data_Flows[[#This Row],[Flow_ID]]&amp;"_"&amp;"WC_"&amp;Tab_Data_Flows[[#This Row],[Flow_Data_Year]]</f>
        <v>F_01_14_WC_2047</v>
      </c>
      <c r="W128" s="6" t="e">
        <f>IF(D128="Yes",S128*Tab_Data_Flows[[#This Row],[WC_'[%']]],"N.A.")</f>
        <v>#VALUE!</v>
      </c>
      <c r="X128" s="6" t="str">
        <f>Tab_Data_Flows[[#This Row],[UoM_Flow_Py]]</f>
        <v>Mg</v>
      </c>
      <c r="Y128" s="139">
        <f>INDEX(Tab_Def_Flows[[Flow_ID]:[CC_DM_source]],MATCH(Tab_Data_Flows[[#This Row],[Flow_Name]],Tab_Def_Flows[Flow_Name],0),14)</f>
        <v>0</v>
      </c>
      <c r="Z128" s="6" t="str">
        <f>Tab_Data_Flows[[#This Row],[Flow_ID]]&amp;"_"&amp;"DM_"&amp;Tab_Data_Flows[[#This Row],[Flow_Data_Year]]</f>
        <v>F_01_14_DM_2047</v>
      </c>
      <c r="AA128" s="6">
        <f>IF(E128="Yes",Y128*Tab_Data_Flows[[#This Row],[Flow_Material]],"N.A.")</f>
        <v>0</v>
      </c>
      <c r="AB128" s="6" t="str">
        <f>Tab_Data_Flows[[#This Row],[UoM_Flow_Py]]</f>
        <v>Mg</v>
      </c>
      <c r="AC128" s="139">
        <f>INDEX(Tab_Def_Flows[[Flow_ID]:[CC_DM_source]],MATCH(Tab_Data_Flows[[#This Row],[Flow_Name]],Tab_Def_Flows[Flow_Name],0),17)</f>
        <v>0</v>
      </c>
      <c r="AD128" s="6" t="str">
        <f>Tab_Data_Flows[[#This Row],[Flow_ID]]&amp;"_"&amp;"CC_"&amp;Tab_Data_Flows[[#This Row],[Flow_Data_Year]]</f>
        <v>F_01_14_CC_2047</v>
      </c>
      <c r="AE128" s="6">
        <f>IF(F128="Yes",AC128*Tab_Data_Flows[[#This Row],[Flow_Material]]*Tab_Data_Flows[[#This Row],[DM_'[%']]],"N.A.")</f>
        <v>0</v>
      </c>
      <c r="AF128" s="6" t="str">
        <f>Tab_Data_Flows[[#This Row],[UoM_Flow_Py]]</f>
        <v>Mg</v>
      </c>
      <c r="AG128"/>
    </row>
    <row r="129" spans="1:33" x14ac:dyDescent="0.25">
      <c r="A129" s="8">
        <f t="shared" si="3"/>
        <v>128</v>
      </c>
      <c r="B129" s="6" t="str">
        <f>_xlfn.XLOOKUP(C129,Tab_Def_Flows[Flow_Name],Tab_Def_Flows[Flow_ID],,0,)</f>
        <v>F_01_14</v>
      </c>
      <c r="C129" s="138" t="s">
        <v>1110</v>
      </c>
      <c r="D129" s="9" t="str">
        <f>_xlfn.XLOOKUP(C129,Tab_Def_Flows[Flow_Name],Tab_Def_Flows[WC?],,0,)</f>
        <v>Yes</v>
      </c>
      <c r="E129" s="9" t="str">
        <f>_xlfn.XLOOKUP(C129,Tab_Def_Flows[Flow_Name],Tab_Def_Flows[DM?],,0,)</f>
        <v>Yes</v>
      </c>
      <c r="F129" s="9" t="str">
        <f>_xlfn.XLOOKUP(C129,Tab_Def_Flows[Flow_Name],Tab_Def_Flows[CC?],,0,)</f>
        <v>Yes</v>
      </c>
      <c r="G129" s="188">
        <v>2048</v>
      </c>
      <c r="H129" s="189">
        <v>477.64691158023197</v>
      </c>
      <c r="I129" s="6" t="str">
        <f>'0_Configuration'!$C$35</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t="str">
        <f>INDEX(Tab_Def_Flows[[Flow_ID]:[CC_DM_source]],MATCH(Tab_Data_Flows[[#This Row],[Flow_Name]],Tab_Def_Flows[Flow_Name],0),11)</f>
        <v>Yes</v>
      </c>
      <c r="V129" s="6" t="str">
        <f>Tab_Data_Flows[[#This Row],[Flow_ID]]&amp;"_"&amp;"WC_"&amp;Tab_Data_Flows[[#This Row],[Flow_Data_Year]]</f>
        <v>F_01_14_WC_2048</v>
      </c>
      <c r="W129" s="6" t="e">
        <f>IF(D129="Yes",S129*Tab_Data_Flows[[#This Row],[WC_'[%']]],"N.A.")</f>
        <v>#VALUE!</v>
      </c>
      <c r="X129" s="6" t="str">
        <f>Tab_Data_Flows[[#This Row],[UoM_Flow_Py]]</f>
        <v>Mg</v>
      </c>
      <c r="Y129" s="139">
        <f>INDEX(Tab_Def_Flows[[Flow_ID]:[CC_DM_source]],MATCH(Tab_Data_Flows[[#This Row],[Flow_Name]],Tab_Def_Flows[Flow_Name],0),14)</f>
        <v>0</v>
      </c>
      <c r="Z129" s="6" t="str">
        <f>Tab_Data_Flows[[#This Row],[Flow_ID]]&amp;"_"&amp;"DM_"&amp;Tab_Data_Flows[[#This Row],[Flow_Data_Year]]</f>
        <v>F_01_14_DM_2048</v>
      </c>
      <c r="AA129" s="6">
        <f>IF(E129="Yes",Y129*Tab_Data_Flows[[#This Row],[Flow_Material]],"N.A.")</f>
        <v>0</v>
      </c>
      <c r="AB129" s="6" t="str">
        <f>Tab_Data_Flows[[#This Row],[UoM_Flow_Py]]</f>
        <v>Mg</v>
      </c>
      <c r="AC129" s="139">
        <f>INDEX(Tab_Def_Flows[[Flow_ID]:[CC_DM_source]],MATCH(Tab_Data_Flows[[#This Row],[Flow_Name]],Tab_Def_Flows[Flow_Name],0),17)</f>
        <v>0</v>
      </c>
      <c r="AD129" s="6" t="str">
        <f>Tab_Data_Flows[[#This Row],[Flow_ID]]&amp;"_"&amp;"CC_"&amp;Tab_Data_Flows[[#This Row],[Flow_Data_Year]]</f>
        <v>F_01_14_CC_2048</v>
      </c>
      <c r="AE129" s="6">
        <f>IF(F129="Yes",AC129*Tab_Data_Flows[[#This Row],[Flow_Material]]*Tab_Data_Flows[[#This Row],[DM_'[%']]],"N.A.")</f>
        <v>0</v>
      </c>
      <c r="AF129" s="6" t="str">
        <f>Tab_Data_Flows[[#This Row],[UoM_Flow_Py]]</f>
        <v>Mg</v>
      </c>
      <c r="AG129"/>
    </row>
    <row r="130" spans="1:33" x14ac:dyDescent="0.25">
      <c r="A130" s="8">
        <f t="shared" si="3"/>
        <v>129</v>
      </c>
      <c r="B130" s="6" t="str">
        <f>_xlfn.XLOOKUP(C130,Tab_Def_Flows[Flow_Name],Tab_Def_Flows[Flow_ID],,0,)</f>
        <v>F_01_14</v>
      </c>
      <c r="C130" s="138" t="s">
        <v>1110</v>
      </c>
      <c r="D130" s="9" t="str">
        <f>_xlfn.XLOOKUP(C130,Tab_Def_Flows[Flow_Name],Tab_Def_Flows[WC?],,0,)</f>
        <v>Yes</v>
      </c>
      <c r="E130" s="9" t="str">
        <f>_xlfn.XLOOKUP(C130,Tab_Def_Flows[Flow_Name],Tab_Def_Flows[DM?],,0,)</f>
        <v>Yes</v>
      </c>
      <c r="F130" s="9" t="str">
        <f>_xlfn.XLOOKUP(C130,Tab_Def_Flows[Flow_Name],Tab_Def_Flows[CC?],,0,)</f>
        <v>Yes</v>
      </c>
      <c r="G130" s="188">
        <v>2049</v>
      </c>
      <c r="H130" s="189">
        <v>676.20806550771954</v>
      </c>
      <c r="I130" s="6" t="str">
        <f>'0_Configuration'!$C$35</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t="str">
        <f>INDEX(Tab_Def_Flows[[Flow_ID]:[CC_DM_source]],MATCH(Tab_Data_Flows[[#This Row],[Flow_Name]],Tab_Def_Flows[Flow_Name],0),11)</f>
        <v>Yes</v>
      </c>
      <c r="V130" s="6" t="str">
        <f>Tab_Data_Flows[[#This Row],[Flow_ID]]&amp;"_"&amp;"WC_"&amp;Tab_Data_Flows[[#This Row],[Flow_Data_Year]]</f>
        <v>F_01_14_WC_2049</v>
      </c>
      <c r="W130" s="6" t="e">
        <f>IF(D130="Yes",S130*Tab_Data_Flows[[#This Row],[WC_'[%']]],"N.A.")</f>
        <v>#VALUE!</v>
      </c>
      <c r="X130" s="6" t="str">
        <f>Tab_Data_Flows[[#This Row],[UoM_Flow_Py]]</f>
        <v>Mg</v>
      </c>
      <c r="Y130" s="139">
        <f>INDEX(Tab_Def_Flows[[Flow_ID]:[CC_DM_source]],MATCH(Tab_Data_Flows[[#This Row],[Flow_Name]],Tab_Def_Flows[Flow_Name],0),14)</f>
        <v>0</v>
      </c>
      <c r="Z130" s="6" t="str">
        <f>Tab_Data_Flows[[#This Row],[Flow_ID]]&amp;"_"&amp;"DM_"&amp;Tab_Data_Flows[[#This Row],[Flow_Data_Year]]</f>
        <v>F_01_14_DM_2049</v>
      </c>
      <c r="AA130" s="6">
        <f>IF(E130="Yes",Y130*Tab_Data_Flows[[#This Row],[Flow_Material]],"N.A.")</f>
        <v>0</v>
      </c>
      <c r="AB130" s="6" t="str">
        <f>Tab_Data_Flows[[#This Row],[UoM_Flow_Py]]</f>
        <v>Mg</v>
      </c>
      <c r="AC130" s="139">
        <f>INDEX(Tab_Def_Flows[[Flow_ID]:[CC_DM_source]],MATCH(Tab_Data_Flows[[#This Row],[Flow_Name]],Tab_Def_Flows[Flow_Name],0),17)</f>
        <v>0</v>
      </c>
      <c r="AD130" s="6" t="str">
        <f>Tab_Data_Flows[[#This Row],[Flow_ID]]&amp;"_"&amp;"CC_"&amp;Tab_Data_Flows[[#This Row],[Flow_Data_Year]]</f>
        <v>F_01_14_CC_2049</v>
      </c>
      <c r="AE130" s="6">
        <f>IF(F130="Yes",AC130*Tab_Data_Flows[[#This Row],[Flow_Material]]*Tab_Data_Flows[[#This Row],[DM_'[%']]],"N.A.")</f>
        <v>0</v>
      </c>
      <c r="AF130" s="6" t="str">
        <f>Tab_Data_Flows[[#This Row],[UoM_Flow_Py]]</f>
        <v>Mg</v>
      </c>
      <c r="AG130"/>
    </row>
    <row r="131" spans="1:33" x14ac:dyDescent="0.25">
      <c r="A131" s="8">
        <f t="shared" ref="A131:A194" si="5">ROW()-1</f>
        <v>130</v>
      </c>
      <c r="B131" s="6" t="str">
        <f>_xlfn.XLOOKUP(C131,Tab_Def_Flows[Flow_Name],Tab_Def_Flows[Flow_ID],,0,)</f>
        <v>F_01_14</v>
      </c>
      <c r="C131" s="138" t="s">
        <v>1110</v>
      </c>
      <c r="D131" s="9" t="str">
        <f>_xlfn.XLOOKUP(C131,Tab_Def_Flows[Flow_Name],Tab_Def_Flows[WC?],,0,)</f>
        <v>Yes</v>
      </c>
      <c r="E131" s="9" t="str">
        <f>_xlfn.XLOOKUP(C131,Tab_Def_Flows[Flow_Name],Tab_Def_Flows[DM?],,0,)</f>
        <v>Yes</v>
      </c>
      <c r="F131" s="9" t="str">
        <f>_xlfn.XLOOKUP(C131,Tab_Def_Flows[Flow_Name],Tab_Def_Flows[CC?],,0,)</f>
        <v>Yes</v>
      </c>
      <c r="G131" s="188">
        <v>2050</v>
      </c>
      <c r="H131" s="189">
        <v>824.01316811939762</v>
      </c>
      <c r="I131" s="6" t="str">
        <f>'0_Configuration'!$C$35</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t="str">
        <f>INDEX(Tab_Def_Flows[[Flow_ID]:[CC_DM_source]],MATCH(Tab_Data_Flows[[#This Row],[Flow_Name]],Tab_Def_Flows[Flow_Name],0),11)</f>
        <v>Yes</v>
      </c>
      <c r="V131" s="6" t="str">
        <f>Tab_Data_Flows[[#This Row],[Flow_ID]]&amp;"_"&amp;"WC_"&amp;Tab_Data_Flows[[#This Row],[Flow_Data_Year]]</f>
        <v>F_01_14_WC_2050</v>
      </c>
      <c r="W131" s="6" t="e">
        <f>IF(D131="Yes",S131*Tab_Data_Flows[[#This Row],[WC_'[%']]],"N.A.")</f>
        <v>#VALUE!</v>
      </c>
      <c r="X131" s="6" t="str">
        <f>Tab_Data_Flows[[#This Row],[UoM_Flow_Py]]</f>
        <v>Mg</v>
      </c>
      <c r="Y131" s="139">
        <f>INDEX(Tab_Def_Flows[[Flow_ID]:[CC_DM_source]],MATCH(Tab_Data_Flows[[#This Row],[Flow_Name]],Tab_Def_Flows[Flow_Name],0),14)</f>
        <v>0</v>
      </c>
      <c r="Z131" s="6" t="str">
        <f>Tab_Data_Flows[[#This Row],[Flow_ID]]&amp;"_"&amp;"DM_"&amp;Tab_Data_Flows[[#This Row],[Flow_Data_Year]]</f>
        <v>F_01_14_DM_2050</v>
      </c>
      <c r="AA131" s="6">
        <f>IF(E131="Yes",Y131*Tab_Data_Flows[[#This Row],[Flow_Material]],"N.A.")</f>
        <v>0</v>
      </c>
      <c r="AB131" s="6" t="str">
        <f>Tab_Data_Flows[[#This Row],[UoM_Flow_Py]]</f>
        <v>Mg</v>
      </c>
      <c r="AC131" s="139">
        <f>INDEX(Tab_Def_Flows[[Flow_ID]:[CC_DM_source]],MATCH(Tab_Data_Flows[[#This Row],[Flow_Name]],Tab_Def_Flows[Flow_Name],0),17)</f>
        <v>0</v>
      </c>
      <c r="AD131" s="6" t="str">
        <f>Tab_Data_Flows[[#This Row],[Flow_ID]]&amp;"_"&amp;"CC_"&amp;Tab_Data_Flows[[#This Row],[Flow_Data_Year]]</f>
        <v>F_01_14_CC_2050</v>
      </c>
      <c r="AE131" s="6">
        <f>IF(F131="Yes",AC131*Tab_Data_Flows[[#This Row],[Flow_Material]]*Tab_Data_Flows[[#This Row],[DM_'[%']]],"N.A.")</f>
        <v>0</v>
      </c>
      <c r="AF131" s="6" t="str">
        <f>Tab_Data_Flows[[#This Row],[UoM_Flow_Py]]</f>
        <v>Mg</v>
      </c>
      <c r="AG131"/>
    </row>
    <row r="132" spans="1:33" x14ac:dyDescent="0.25">
      <c r="A132" s="8">
        <f t="shared" si="5"/>
        <v>131</v>
      </c>
      <c r="B132" s="6" t="str">
        <f>_xlfn.XLOOKUP(C132,Tab_Def_Flows[Flow_Name],Tab_Def_Flows[Flow_ID],,0,)</f>
        <v>F_00_14</v>
      </c>
      <c r="C132" s="138" t="s">
        <v>1111</v>
      </c>
      <c r="D132" s="9" t="str">
        <f>_xlfn.XLOOKUP(C132,Tab_Def_Flows[Flow_Name],Tab_Def_Flows[WC?],,0,)</f>
        <v>Yes</v>
      </c>
      <c r="E132" s="9" t="str">
        <f>_xlfn.XLOOKUP(C132,Tab_Def_Flows[Flow_Name],Tab_Def_Flows[DM?],,0,)</f>
        <v>Yes</v>
      </c>
      <c r="F132" s="9" t="str">
        <f>_xlfn.XLOOKUP(C132,Tab_Def_Flows[Flow_Name],Tab_Def_Flows[CC?],,0,)</f>
        <v>Yes</v>
      </c>
      <c r="G132" s="188">
        <v>2025</v>
      </c>
      <c r="H132" s="189">
        <v>1251.2906318403568</v>
      </c>
      <c r="I132" s="6" t="str">
        <f>'0_Configuration'!$C$35</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t="str">
        <f>INDEX(Tab_Def_Flows[[Flow_ID]:[CC_DM_source]],MATCH(Tab_Data_Flows[[#This Row],[Flow_Name]],Tab_Def_Flows[Flow_Name],0),11)</f>
        <v>Yes</v>
      </c>
      <c r="V132" s="6" t="str">
        <f>Tab_Data_Flows[[#This Row],[Flow_ID]]&amp;"_"&amp;"WC_"&amp;Tab_Data_Flows[[#This Row],[Flow_Data_Year]]</f>
        <v>F_00_14_WC_2025</v>
      </c>
      <c r="W132" s="6" t="e">
        <f>IF(D132="Yes",S132*Tab_Data_Flows[[#This Row],[WC_'[%']]],"N.A.")</f>
        <v>#VALUE!</v>
      </c>
      <c r="X132" s="6" t="str">
        <f>Tab_Data_Flows[[#This Row],[UoM_Flow_Py]]</f>
        <v>Mg</v>
      </c>
      <c r="Y132" s="139">
        <f>INDEX(Tab_Def_Flows[[Flow_ID]:[CC_DM_source]],MATCH(Tab_Data_Flows[[#This Row],[Flow_Name]],Tab_Def_Flows[Flow_Name],0),14)</f>
        <v>0</v>
      </c>
      <c r="Z132" s="6" t="str">
        <f>Tab_Data_Flows[[#This Row],[Flow_ID]]&amp;"_"&amp;"DM_"&amp;Tab_Data_Flows[[#This Row],[Flow_Data_Year]]</f>
        <v>F_00_14_DM_2025</v>
      </c>
      <c r="AA132" s="6">
        <f>IF(E132="Yes",Y132*Tab_Data_Flows[[#This Row],[Flow_Material]],"N.A.")</f>
        <v>0</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1111</v>
      </c>
      <c r="D133" s="9" t="str">
        <f>_xlfn.XLOOKUP(C133,Tab_Def_Flows[Flow_Name],Tab_Def_Flows[WC?],,0,)</f>
        <v>Yes</v>
      </c>
      <c r="E133" s="9" t="str">
        <f>_xlfn.XLOOKUP(C133,Tab_Def_Flows[Flow_Name],Tab_Def_Flows[DM?],,0,)</f>
        <v>Yes</v>
      </c>
      <c r="F133" s="9" t="str">
        <f>_xlfn.XLOOKUP(C133,Tab_Def_Flows[Flow_Name],Tab_Def_Flows[CC?],,0,)</f>
        <v>Yes</v>
      </c>
      <c r="G133" s="188">
        <v>2026</v>
      </c>
      <c r="H133" s="189">
        <v>1054.5806521670786</v>
      </c>
      <c r="I133" s="6" t="str">
        <f>'0_Configuration'!$C$35</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t="str">
        <f>INDEX(Tab_Def_Flows[[Flow_ID]:[CC_DM_source]],MATCH(Tab_Data_Flows[[#This Row],[Flow_Name]],Tab_Def_Flows[Flow_Name],0),11)</f>
        <v>Yes</v>
      </c>
      <c r="V133" s="6" t="str">
        <f>Tab_Data_Flows[[#This Row],[Flow_ID]]&amp;"_"&amp;"WC_"&amp;Tab_Data_Flows[[#This Row],[Flow_Data_Year]]</f>
        <v>F_00_14_WC_2026</v>
      </c>
      <c r="W133" s="6" t="e">
        <f>IF(D133="Yes",S133*Tab_Data_Flows[[#This Row],[WC_'[%']]],"N.A.")</f>
        <v>#VALUE!</v>
      </c>
      <c r="X133" s="6" t="str">
        <f>Tab_Data_Flows[[#This Row],[UoM_Flow_Py]]</f>
        <v>Mg</v>
      </c>
      <c r="Y133" s="139">
        <f>INDEX(Tab_Def_Flows[[Flow_ID]:[CC_DM_source]],MATCH(Tab_Data_Flows[[#This Row],[Flow_Name]],Tab_Def_Flows[Flow_Name],0),14)</f>
        <v>0</v>
      </c>
      <c r="Z133" s="6" t="str">
        <f>Tab_Data_Flows[[#This Row],[Flow_ID]]&amp;"_"&amp;"DM_"&amp;Tab_Data_Flows[[#This Row],[Flow_Data_Year]]</f>
        <v>F_00_14_DM_2026</v>
      </c>
      <c r="AA133" s="6">
        <f>IF(E133="Yes",Y133*Tab_Data_Flows[[#This Row],[Flow_Material]],"N.A.")</f>
        <v>0</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1111</v>
      </c>
      <c r="D134" s="9" t="str">
        <f>_xlfn.XLOOKUP(C134,Tab_Def_Flows[Flow_Name],Tab_Def_Flows[WC?],,0,)</f>
        <v>Yes</v>
      </c>
      <c r="E134" s="9" t="str">
        <f>_xlfn.XLOOKUP(C134,Tab_Def_Flows[Flow_Name],Tab_Def_Flows[DM?],,0,)</f>
        <v>Yes</v>
      </c>
      <c r="F134" s="9" t="str">
        <f>_xlfn.XLOOKUP(C134,Tab_Def_Flows[Flow_Name],Tab_Def_Flows[CC?],,0,)</f>
        <v>Yes</v>
      </c>
      <c r="G134" s="188">
        <v>2027</v>
      </c>
      <c r="H134" s="189">
        <v>1298.0621228003786</v>
      </c>
      <c r="I134" s="6" t="str">
        <f>'0_Configuration'!$C$35</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t="str">
        <f>INDEX(Tab_Def_Flows[[Flow_ID]:[CC_DM_source]],MATCH(Tab_Data_Flows[[#This Row],[Flow_Name]],Tab_Def_Flows[Flow_Name],0),11)</f>
        <v>Yes</v>
      </c>
      <c r="V134" s="6" t="str">
        <f>Tab_Data_Flows[[#This Row],[Flow_ID]]&amp;"_"&amp;"WC_"&amp;Tab_Data_Flows[[#This Row],[Flow_Data_Year]]</f>
        <v>F_00_14_WC_2027</v>
      </c>
      <c r="W134" s="6" t="e">
        <f>IF(D134="Yes",S134*Tab_Data_Flows[[#This Row],[WC_'[%']]],"N.A.")</f>
        <v>#VALUE!</v>
      </c>
      <c r="X134" s="6" t="str">
        <f>Tab_Data_Flows[[#This Row],[UoM_Flow_Py]]</f>
        <v>Mg</v>
      </c>
      <c r="Y134" s="139">
        <f>INDEX(Tab_Def_Flows[[Flow_ID]:[CC_DM_source]],MATCH(Tab_Data_Flows[[#This Row],[Flow_Name]],Tab_Def_Flows[Flow_Name],0),14)</f>
        <v>0</v>
      </c>
      <c r="Z134" s="6" t="str">
        <f>Tab_Data_Flows[[#This Row],[Flow_ID]]&amp;"_"&amp;"DM_"&amp;Tab_Data_Flows[[#This Row],[Flow_Data_Year]]</f>
        <v>F_00_14_DM_2027</v>
      </c>
      <c r="AA134" s="6">
        <f>IF(E134="Yes",Y134*Tab_Data_Flows[[#This Row],[Flow_Material]],"N.A.")</f>
        <v>0</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1111</v>
      </c>
      <c r="D135" s="9" t="str">
        <f>_xlfn.XLOOKUP(C135,Tab_Def_Flows[Flow_Name],Tab_Def_Flows[WC?],,0,)</f>
        <v>Yes</v>
      </c>
      <c r="E135" s="9" t="str">
        <f>_xlfn.XLOOKUP(C135,Tab_Def_Flows[Flow_Name],Tab_Def_Flows[DM?],,0,)</f>
        <v>Yes</v>
      </c>
      <c r="F135" s="9" t="str">
        <f>_xlfn.XLOOKUP(C135,Tab_Def_Flows[Flow_Name],Tab_Def_Flows[CC?],,0,)</f>
        <v>Yes</v>
      </c>
      <c r="G135" s="188">
        <v>2028</v>
      </c>
      <c r="H135" s="189">
        <v>1569.2356262530629</v>
      </c>
      <c r="I135" s="6" t="str">
        <f>'0_Configuration'!$C$35</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t="str">
        <f>INDEX(Tab_Def_Flows[[Flow_ID]:[CC_DM_source]],MATCH(Tab_Data_Flows[[#This Row],[Flow_Name]],Tab_Def_Flows[Flow_Name],0),11)</f>
        <v>Yes</v>
      </c>
      <c r="V135" s="6" t="str">
        <f>Tab_Data_Flows[[#This Row],[Flow_ID]]&amp;"_"&amp;"WC_"&amp;Tab_Data_Flows[[#This Row],[Flow_Data_Year]]</f>
        <v>F_00_14_WC_2028</v>
      </c>
      <c r="W135" s="6" t="e">
        <f>IF(D135="Yes",S135*Tab_Data_Flows[[#This Row],[WC_'[%']]],"N.A.")</f>
        <v>#VALUE!</v>
      </c>
      <c r="X135" s="6" t="str">
        <f>Tab_Data_Flows[[#This Row],[UoM_Flow_Py]]</f>
        <v>Mg</v>
      </c>
      <c r="Y135" s="139">
        <f>INDEX(Tab_Def_Flows[[Flow_ID]:[CC_DM_source]],MATCH(Tab_Data_Flows[[#This Row],[Flow_Name]],Tab_Def_Flows[Flow_Name],0),14)</f>
        <v>0</v>
      </c>
      <c r="Z135" s="6" t="str">
        <f>Tab_Data_Flows[[#This Row],[Flow_ID]]&amp;"_"&amp;"DM_"&amp;Tab_Data_Flows[[#This Row],[Flow_Data_Year]]</f>
        <v>F_00_14_DM_2028</v>
      </c>
      <c r="AA135" s="6">
        <f>IF(E135="Yes",Y135*Tab_Data_Flows[[#This Row],[Flow_Material]],"N.A.")</f>
        <v>0</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1111</v>
      </c>
      <c r="D136" s="9" t="str">
        <f>_xlfn.XLOOKUP(C136,Tab_Def_Flows[Flow_Name],Tab_Def_Flows[WC?],,0,)</f>
        <v>Yes</v>
      </c>
      <c r="E136" s="9" t="str">
        <f>_xlfn.XLOOKUP(C136,Tab_Def_Flows[Flow_Name],Tab_Def_Flows[DM?],,0,)</f>
        <v>Yes</v>
      </c>
      <c r="F136" s="9" t="str">
        <f>_xlfn.XLOOKUP(C136,Tab_Def_Flows[Flow_Name],Tab_Def_Flows[CC?],,0,)</f>
        <v>Yes</v>
      </c>
      <c r="G136" s="188">
        <v>2029</v>
      </c>
      <c r="H136" s="189">
        <v>1024.881061904784</v>
      </c>
      <c r="I136" s="6" t="str">
        <f>'0_Configuration'!$C$35</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t="str">
        <f>INDEX(Tab_Def_Flows[[Flow_ID]:[CC_DM_source]],MATCH(Tab_Data_Flows[[#This Row],[Flow_Name]],Tab_Def_Flows[Flow_Name],0),11)</f>
        <v>Yes</v>
      </c>
      <c r="V136" s="6" t="str">
        <f>Tab_Data_Flows[[#This Row],[Flow_ID]]&amp;"_"&amp;"WC_"&amp;Tab_Data_Flows[[#This Row],[Flow_Data_Year]]</f>
        <v>F_00_14_WC_2029</v>
      </c>
      <c r="W136" s="6" t="e">
        <f>IF(D136="Yes",S136*Tab_Data_Flows[[#This Row],[WC_'[%']]],"N.A.")</f>
        <v>#VALUE!</v>
      </c>
      <c r="X136" s="6" t="str">
        <f>Tab_Data_Flows[[#This Row],[UoM_Flow_Py]]</f>
        <v>Mg</v>
      </c>
      <c r="Y136" s="139">
        <f>INDEX(Tab_Def_Flows[[Flow_ID]:[CC_DM_source]],MATCH(Tab_Data_Flows[[#This Row],[Flow_Name]],Tab_Def_Flows[Flow_Name],0),14)</f>
        <v>0</v>
      </c>
      <c r="Z136" s="6" t="str">
        <f>Tab_Data_Flows[[#This Row],[Flow_ID]]&amp;"_"&amp;"DM_"&amp;Tab_Data_Flows[[#This Row],[Flow_Data_Year]]</f>
        <v>F_00_14_DM_2029</v>
      </c>
      <c r="AA136" s="6">
        <f>IF(E136="Yes",Y136*Tab_Data_Flows[[#This Row],[Flow_Material]],"N.A.")</f>
        <v>0</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1111</v>
      </c>
      <c r="D137" s="9" t="str">
        <f>_xlfn.XLOOKUP(C137,Tab_Def_Flows[Flow_Name],Tab_Def_Flows[WC?],,0,)</f>
        <v>Yes</v>
      </c>
      <c r="E137" s="9" t="str">
        <f>_xlfn.XLOOKUP(C137,Tab_Def_Flows[Flow_Name],Tab_Def_Flows[DM?],,0,)</f>
        <v>Yes</v>
      </c>
      <c r="F137" s="9" t="str">
        <f>_xlfn.XLOOKUP(C137,Tab_Def_Flows[Flow_Name],Tab_Def_Flows[CC?],,0,)</f>
        <v>Yes</v>
      </c>
      <c r="G137" s="188">
        <v>2030</v>
      </c>
      <c r="H137" s="189">
        <v>1024.881061904784</v>
      </c>
      <c r="I137" s="6" t="str">
        <f>'0_Configuration'!$C$35</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t="str">
        <f>INDEX(Tab_Def_Flows[[Flow_ID]:[CC_DM_source]],MATCH(Tab_Data_Flows[[#This Row],[Flow_Name]],Tab_Def_Flows[Flow_Name],0),11)</f>
        <v>Yes</v>
      </c>
      <c r="V137" s="6" t="str">
        <f>Tab_Data_Flows[[#This Row],[Flow_ID]]&amp;"_"&amp;"WC_"&amp;Tab_Data_Flows[[#This Row],[Flow_Data_Year]]</f>
        <v>F_00_14_WC_2030</v>
      </c>
      <c r="W137" s="6" t="e">
        <f>IF(D137="Yes",S137*Tab_Data_Flows[[#This Row],[WC_'[%']]],"N.A.")</f>
        <v>#VALUE!</v>
      </c>
      <c r="X137" s="6" t="str">
        <f>Tab_Data_Flows[[#This Row],[UoM_Flow_Py]]</f>
        <v>Mg</v>
      </c>
      <c r="Y137" s="139">
        <f>INDEX(Tab_Def_Flows[[Flow_ID]:[CC_DM_source]],MATCH(Tab_Data_Flows[[#This Row],[Flow_Name]],Tab_Def_Flows[Flow_Name],0),14)</f>
        <v>0</v>
      </c>
      <c r="Z137" s="6" t="str">
        <f>Tab_Data_Flows[[#This Row],[Flow_ID]]&amp;"_"&amp;"DM_"&amp;Tab_Data_Flows[[#This Row],[Flow_Data_Year]]</f>
        <v>F_00_14_DM_2030</v>
      </c>
      <c r="AA137" s="6">
        <f>IF(E137="Yes",Y137*Tab_Data_Flows[[#This Row],[Flow_Material]],"N.A.")</f>
        <v>0</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1111</v>
      </c>
      <c r="D138" s="9" t="str">
        <f>_xlfn.XLOOKUP(C138,Tab_Def_Flows[Flow_Name],Tab_Def_Flows[WC?],,0,)</f>
        <v>Yes</v>
      </c>
      <c r="E138" s="9" t="str">
        <f>_xlfn.XLOOKUP(C138,Tab_Def_Flows[Flow_Name],Tab_Def_Flows[DM?],,0,)</f>
        <v>Yes</v>
      </c>
      <c r="F138" s="9" t="str">
        <f>_xlfn.XLOOKUP(C138,Tab_Def_Flows[Flow_Name],Tab_Def_Flows[CC?],,0,)</f>
        <v>Yes</v>
      </c>
      <c r="G138" s="188">
        <v>2031</v>
      </c>
      <c r="H138" s="189">
        <v>1586.6293491362946</v>
      </c>
      <c r="I138" s="6" t="str">
        <f>'0_Configuration'!$C$35</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t="str">
        <f>INDEX(Tab_Def_Flows[[Flow_ID]:[CC_DM_source]],MATCH(Tab_Data_Flows[[#This Row],[Flow_Name]],Tab_Def_Flows[Flow_Name],0),11)</f>
        <v>Yes</v>
      </c>
      <c r="V138" s="6" t="str">
        <f>Tab_Data_Flows[[#This Row],[Flow_ID]]&amp;"_"&amp;"WC_"&amp;Tab_Data_Flows[[#This Row],[Flow_Data_Year]]</f>
        <v>F_00_14_WC_2031</v>
      </c>
      <c r="W138" s="6" t="e">
        <f>IF(D138="Yes",S138*Tab_Data_Flows[[#This Row],[WC_'[%']]],"N.A.")</f>
        <v>#VALUE!</v>
      </c>
      <c r="X138" s="6" t="str">
        <f>Tab_Data_Flows[[#This Row],[UoM_Flow_Py]]</f>
        <v>Mg</v>
      </c>
      <c r="Y138" s="139">
        <f>INDEX(Tab_Def_Flows[[Flow_ID]:[CC_DM_source]],MATCH(Tab_Data_Flows[[#This Row],[Flow_Name]],Tab_Def_Flows[Flow_Name],0),14)</f>
        <v>0</v>
      </c>
      <c r="Z138" s="6" t="str">
        <f>Tab_Data_Flows[[#This Row],[Flow_ID]]&amp;"_"&amp;"DM_"&amp;Tab_Data_Flows[[#This Row],[Flow_Data_Year]]</f>
        <v>F_00_14_DM_2031</v>
      </c>
      <c r="AA138" s="6">
        <f>IF(E138="Yes",Y138*Tab_Data_Flows[[#This Row],[Flow_Material]],"N.A.")</f>
        <v>0</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1111</v>
      </c>
      <c r="D139" s="9" t="str">
        <f>_xlfn.XLOOKUP(C139,Tab_Def_Flows[Flow_Name],Tab_Def_Flows[WC?],,0,)</f>
        <v>Yes</v>
      </c>
      <c r="E139" s="9" t="str">
        <f>_xlfn.XLOOKUP(C139,Tab_Def_Flows[Flow_Name],Tab_Def_Flows[DM?],,0,)</f>
        <v>Yes</v>
      </c>
      <c r="F139" s="9" t="str">
        <f>_xlfn.XLOOKUP(C139,Tab_Def_Flows[Flow_Name],Tab_Def_Flows[CC?],,0,)</f>
        <v>Yes</v>
      </c>
      <c r="G139" s="188">
        <v>2032</v>
      </c>
      <c r="H139" s="189">
        <v>1335.148298463306</v>
      </c>
      <c r="I139" s="6" t="str">
        <f>'0_Configuration'!$C$35</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t="str">
        <f>INDEX(Tab_Def_Flows[[Flow_ID]:[CC_DM_source]],MATCH(Tab_Data_Flows[[#This Row],[Flow_Name]],Tab_Def_Flows[Flow_Name],0),11)</f>
        <v>Yes</v>
      </c>
      <c r="V139" s="6" t="str">
        <f>Tab_Data_Flows[[#This Row],[Flow_ID]]&amp;"_"&amp;"WC_"&amp;Tab_Data_Flows[[#This Row],[Flow_Data_Year]]</f>
        <v>F_00_14_WC_2032</v>
      </c>
      <c r="W139" s="6" t="e">
        <f>IF(D139="Yes",S139*Tab_Data_Flows[[#This Row],[WC_'[%']]],"N.A.")</f>
        <v>#VALUE!</v>
      </c>
      <c r="X139" s="6" t="str">
        <f>Tab_Data_Flows[[#This Row],[UoM_Flow_Py]]</f>
        <v>Mg</v>
      </c>
      <c r="Y139" s="139">
        <f>INDEX(Tab_Def_Flows[[Flow_ID]:[CC_DM_source]],MATCH(Tab_Data_Flows[[#This Row],[Flow_Name]],Tab_Def_Flows[Flow_Name],0),14)</f>
        <v>0</v>
      </c>
      <c r="Z139" s="6" t="str">
        <f>Tab_Data_Flows[[#This Row],[Flow_ID]]&amp;"_"&amp;"DM_"&amp;Tab_Data_Flows[[#This Row],[Flow_Data_Year]]</f>
        <v>F_00_14_DM_2032</v>
      </c>
      <c r="AA139" s="6">
        <f>IF(E139="Yes",Y139*Tab_Data_Flows[[#This Row],[Flow_Material]],"N.A.")</f>
        <v>0</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1111</v>
      </c>
      <c r="D140" s="9" t="str">
        <f>_xlfn.XLOOKUP(C140,Tab_Def_Flows[Flow_Name],Tab_Def_Flows[WC?],,0,)</f>
        <v>Yes</v>
      </c>
      <c r="E140" s="9" t="str">
        <f>_xlfn.XLOOKUP(C140,Tab_Def_Flows[Flow_Name],Tab_Def_Flows[DM?],,0,)</f>
        <v>Yes</v>
      </c>
      <c r="F140" s="9" t="str">
        <f>_xlfn.XLOOKUP(C140,Tab_Def_Flows[Flow_Name],Tab_Def_Flows[CC?],,0,)</f>
        <v>Yes</v>
      </c>
      <c r="G140" s="188">
        <v>2033</v>
      </c>
      <c r="H140" s="189">
        <v>951.98067445497236</v>
      </c>
      <c r="I140" s="6" t="str">
        <f>'0_Configuration'!$C$35</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t="str">
        <f>INDEX(Tab_Def_Flows[[Flow_ID]:[CC_DM_source]],MATCH(Tab_Data_Flows[[#This Row],[Flow_Name]],Tab_Def_Flows[Flow_Name],0),11)</f>
        <v>Yes</v>
      </c>
      <c r="V140" s="6" t="str">
        <f>Tab_Data_Flows[[#This Row],[Flow_ID]]&amp;"_"&amp;"WC_"&amp;Tab_Data_Flows[[#This Row],[Flow_Data_Year]]</f>
        <v>F_00_14_WC_2033</v>
      </c>
      <c r="W140" s="6" t="e">
        <f>IF(D140="Yes",S140*Tab_Data_Flows[[#This Row],[WC_'[%']]],"N.A.")</f>
        <v>#VALUE!</v>
      </c>
      <c r="X140" s="6" t="str">
        <f>Tab_Data_Flows[[#This Row],[UoM_Flow_Py]]</f>
        <v>Mg</v>
      </c>
      <c r="Y140" s="139">
        <f>INDEX(Tab_Def_Flows[[Flow_ID]:[CC_DM_source]],MATCH(Tab_Data_Flows[[#This Row],[Flow_Name]],Tab_Def_Flows[Flow_Name],0),14)</f>
        <v>0</v>
      </c>
      <c r="Z140" s="6" t="str">
        <f>Tab_Data_Flows[[#This Row],[Flow_ID]]&amp;"_"&amp;"DM_"&amp;Tab_Data_Flows[[#This Row],[Flow_Data_Year]]</f>
        <v>F_00_14_DM_2033</v>
      </c>
      <c r="AA140" s="6">
        <f>IF(E140="Yes",Y140*Tab_Data_Flows[[#This Row],[Flow_Material]],"N.A.")</f>
        <v>0</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1111</v>
      </c>
      <c r="D141" s="9" t="str">
        <f>_xlfn.XLOOKUP(C141,Tab_Def_Flows[Flow_Name],Tab_Def_Flows[WC?],,0,)</f>
        <v>Yes</v>
      </c>
      <c r="E141" s="9" t="str">
        <f>_xlfn.XLOOKUP(C141,Tab_Def_Flows[Flow_Name],Tab_Def_Flows[DM?],,0,)</f>
        <v>Yes</v>
      </c>
      <c r="F141" s="9" t="str">
        <f>_xlfn.XLOOKUP(C141,Tab_Def_Flows[Flow_Name],Tab_Def_Flows[CC?],,0,)</f>
        <v>Yes</v>
      </c>
      <c r="G141" s="188">
        <v>2034</v>
      </c>
      <c r="H141" s="189">
        <v>1265.4967826004945</v>
      </c>
      <c r="I141" s="6" t="str">
        <f>'0_Configuration'!$C$35</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t="str">
        <f>INDEX(Tab_Def_Flows[[Flow_ID]:[CC_DM_source]],MATCH(Tab_Data_Flows[[#This Row],[Flow_Name]],Tab_Def_Flows[Flow_Name],0),11)</f>
        <v>Yes</v>
      </c>
      <c r="V141" s="6" t="str">
        <f>Tab_Data_Flows[[#This Row],[Flow_ID]]&amp;"_"&amp;"WC_"&amp;Tab_Data_Flows[[#This Row],[Flow_Data_Year]]</f>
        <v>F_00_14_WC_2034</v>
      </c>
      <c r="W141" s="6" t="e">
        <f>IF(D141="Yes",S141*Tab_Data_Flows[[#This Row],[WC_'[%']]],"N.A.")</f>
        <v>#VALUE!</v>
      </c>
      <c r="X141" s="6" t="str">
        <f>Tab_Data_Flows[[#This Row],[UoM_Flow_Py]]</f>
        <v>Mg</v>
      </c>
      <c r="Y141" s="139">
        <f>INDEX(Tab_Def_Flows[[Flow_ID]:[CC_DM_source]],MATCH(Tab_Data_Flows[[#This Row],[Flow_Name]],Tab_Def_Flows[Flow_Name],0),14)</f>
        <v>0</v>
      </c>
      <c r="Z141" s="6" t="str">
        <f>Tab_Data_Flows[[#This Row],[Flow_ID]]&amp;"_"&amp;"DM_"&amp;Tab_Data_Flows[[#This Row],[Flow_Data_Year]]</f>
        <v>F_00_14_DM_2034</v>
      </c>
      <c r="AA141" s="6">
        <f>IF(E141="Yes",Y141*Tab_Data_Flows[[#This Row],[Flow_Material]],"N.A.")</f>
        <v>0</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1111</v>
      </c>
      <c r="D142" s="9" t="str">
        <f>_xlfn.XLOOKUP(C142,Tab_Def_Flows[Flow_Name],Tab_Def_Flows[WC?],,0,)</f>
        <v>Yes</v>
      </c>
      <c r="E142" s="9" t="str">
        <f>_xlfn.XLOOKUP(C142,Tab_Def_Flows[Flow_Name],Tab_Def_Flows[DM?],,0,)</f>
        <v>Yes</v>
      </c>
      <c r="F142" s="9" t="str">
        <f>_xlfn.XLOOKUP(C142,Tab_Def_Flows[Flow_Name],Tab_Def_Flows[CC?],,0,)</f>
        <v>Yes</v>
      </c>
      <c r="G142" s="188">
        <v>2035</v>
      </c>
      <c r="H142" s="189">
        <v>953.85030810409501</v>
      </c>
      <c r="I142" s="6" t="str">
        <f>'0_Configuration'!$C$35</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t="str">
        <f>INDEX(Tab_Def_Flows[[Flow_ID]:[CC_DM_source]],MATCH(Tab_Data_Flows[[#This Row],[Flow_Name]],Tab_Def_Flows[Flow_Name],0),11)</f>
        <v>Yes</v>
      </c>
      <c r="V142" s="6" t="str">
        <f>Tab_Data_Flows[[#This Row],[Flow_ID]]&amp;"_"&amp;"WC_"&amp;Tab_Data_Flows[[#This Row],[Flow_Data_Year]]</f>
        <v>F_00_14_WC_2035</v>
      </c>
      <c r="W142" s="6" t="e">
        <f>IF(D142="Yes",S142*Tab_Data_Flows[[#This Row],[WC_'[%']]],"N.A.")</f>
        <v>#VALUE!</v>
      </c>
      <c r="X142" s="6" t="str">
        <f>Tab_Data_Flows[[#This Row],[UoM_Flow_Py]]</f>
        <v>Mg</v>
      </c>
      <c r="Y142" s="139">
        <f>INDEX(Tab_Def_Flows[[Flow_ID]:[CC_DM_source]],MATCH(Tab_Data_Flows[[#This Row],[Flow_Name]],Tab_Def_Flows[Flow_Name],0),14)</f>
        <v>0</v>
      </c>
      <c r="Z142" s="6" t="str">
        <f>Tab_Data_Flows[[#This Row],[Flow_ID]]&amp;"_"&amp;"DM_"&amp;Tab_Data_Flows[[#This Row],[Flow_Data_Year]]</f>
        <v>F_00_14_DM_2035</v>
      </c>
      <c r="AA142" s="6">
        <f>IF(E142="Yes",Y142*Tab_Data_Flows[[#This Row],[Flow_Material]],"N.A.")</f>
        <v>0</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1111</v>
      </c>
      <c r="D143" s="9" t="str">
        <f>_xlfn.XLOOKUP(C143,Tab_Def_Flows[Flow_Name],Tab_Def_Flows[WC?],,0,)</f>
        <v>Yes</v>
      </c>
      <c r="E143" s="9" t="str">
        <f>_xlfn.XLOOKUP(C143,Tab_Def_Flows[Flow_Name],Tab_Def_Flows[DM?],,0,)</f>
        <v>Yes</v>
      </c>
      <c r="F143" s="9" t="str">
        <f>_xlfn.XLOOKUP(C143,Tab_Def_Flows[Flow_Name],Tab_Def_Flows[CC?],,0,)</f>
        <v>Yes</v>
      </c>
      <c r="G143" s="188">
        <v>2036</v>
      </c>
      <c r="H143" s="189">
        <v>953.13003940320357</v>
      </c>
      <c r="I143" s="6" t="str">
        <f>'0_Configuration'!$C$35</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t="str">
        <f>INDEX(Tab_Def_Flows[[Flow_ID]:[CC_DM_source]],MATCH(Tab_Data_Flows[[#This Row],[Flow_Name]],Tab_Def_Flows[Flow_Name],0),11)</f>
        <v>Yes</v>
      </c>
      <c r="V143" s="6" t="str">
        <f>Tab_Data_Flows[[#This Row],[Flow_ID]]&amp;"_"&amp;"WC_"&amp;Tab_Data_Flows[[#This Row],[Flow_Data_Year]]</f>
        <v>F_00_14_WC_2036</v>
      </c>
      <c r="W143" s="6" t="e">
        <f>IF(D143="Yes",S143*Tab_Data_Flows[[#This Row],[WC_'[%']]],"N.A.")</f>
        <v>#VALUE!</v>
      </c>
      <c r="X143" s="6" t="str">
        <f>Tab_Data_Flows[[#This Row],[UoM_Flow_Py]]</f>
        <v>Mg</v>
      </c>
      <c r="Y143" s="139">
        <f>INDEX(Tab_Def_Flows[[Flow_ID]:[CC_DM_source]],MATCH(Tab_Data_Flows[[#This Row],[Flow_Name]],Tab_Def_Flows[Flow_Name],0),14)</f>
        <v>0</v>
      </c>
      <c r="Z143" s="6" t="str">
        <f>Tab_Data_Flows[[#This Row],[Flow_ID]]&amp;"_"&amp;"DM_"&amp;Tab_Data_Flows[[#This Row],[Flow_Data_Year]]</f>
        <v>F_00_14_DM_2036</v>
      </c>
      <c r="AA143" s="6">
        <f>IF(E143="Yes",Y143*Tab_Data_Flows[[#This Row],[Flow_Material]],"N.A.")</f>
        <v>0</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1111</v>
      </c>
      <c r="D144" s="9" t="str">
        <f>_xlfn.XLOOKUP(C144,Tab_Def_Flows[Flow_Name],Tab_Def_Flows[WC?],,0,)</f>
        <v>Yes</v>
      </c>
      <c r="E144" s="9" t="str">
        <f>_xlfn.XLOOKUP(C144,Tab_Def_Flows[Flow_Name],Tab_Def_Flows[DM?],,0,)</f>
        <v>Yes</v>
      </c>
      <c r="F144" s="9" t="str">
        <f>_xlfn.XLOOKUP(C144,Tab_Def_Flows[Flow_Name],Tab_Def_Flows[CC?],,0,)</f>
        <v>Yes</v>
      </c>
      <c r="G144" s="188">
        <v>2037</v>
      </c>
      <c r="H144" s="189">
        <v>1172.3675720618132</v>
      </c>
      <c r="I144" s="6" t="str">
        <f>'0_Configuration'!$C$35</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t="str">
        <f>INDEX(Tab_Def_Flows[[Flow_ID]:[CC_DM_source]],MATCH(Tab_Data_Flows[[#This Row],[Flow_Name]],Tab_Def_Flows[Flow_Name],0),11)</f>
        <v>Yes</v>
      </c>
      <c r="V144" s="6" t="str">
        <f>Tab_Data_Flows[[#This Row],[Flow_ID]]&amp;"_"&amp;"WC_"&amp;Tab_Data_Flows[[#This Row],[Flow_Data_Year]]</f>
        <v>F_00_14_WC_2037</v>
      </c>
      <c r="W144" s="6" t="e">
        <f>IF(D144="Yes",S144*Tab_Data_Flows[[#This Row],[WC_'[%']]],"N.A.")</f>
        <v>#VALUE!</v>
      </c>
      <c r="X144" s="6" t="str">
        <f>Tab_Data_Flows[[#This Row],[UoM_Flow_Py]]</f>
        <v>Mg</v>
      </c>
      <c r="Y144" s="139">
        <f>INDEX(Tab_Def_Flows[[Flow_ID]:[CC_DM_source]],MATCH(Tab_Data_Flows[[#This Row],[Flow_Name]],Tab_Def_Flows[Flow_Name],0),14)</f>
        <v>0</v>
      </c>
      <c r="Z144" s="6" t="str">
        <f>Tab_Data_Flows[[#This Row],[Flow_ID]]&amp;"_"&amp;"DM_"&amp;Tab_Data_Flows[[#This Row],[Flow_Data_Year]]</f>
        <v>F_00_14_DM_2037</v>
      </c>
      <c r="AA144" s="6">
        <f>IF(E144="Yes",Y144*Tab_Data_Flows[[#This Row],[Flow_Material]],"N.A.")</f>
        <v>0</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1111</v>
      </c>
      <c r="D145" s="9" t="str">
        <f>_xlfn.XLOOKUP(C145,Tab_Def_Flows[Flow_Name],Tab_Def_Flows[WC?],,0,)</f>
        <v>Yes</v>
      </c>
      <c r="E145" s="9" t="str">
        <f>_xlfn.XLOOKUP(C145,Tab_Def_Flows[Flow_Name],Tab_Def_Flows[DM?],,0,)</f>
        <v>Yes</v>
      </c>
      <c r="F145" s="9" t="str">
        <f>_xlfn.XLOOKUP(C145,Tab_Def_Flows[Flow_Name],Tab_Def_Flows[CC?],,0,)</f>
        <v>Yes</v>
      </c>
      <c r="G145" s="188">
        <v>2038</v>
      </c>
      <c r="H145" s="189">
        <v>504.70913606729005</v>
      </c>
      <c r="I145" s="6" t="str">
        <f>'0_Configuration'!$C$35</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t="str">
        <f>INDEX(Tab_Def_Flows[[Flow_ID]:[CC_DM_source]],MATCH(Tab_Data_Flows[[#This Row],[Flow_Name]],Tab_Def_Flows[Flow_Name],0),11)</f>
        <v>Yes</v>
      </c>
      <c r="V145" s="6" t="str">
        <f>Tab_Data_Flows[[#This Row],[Flow_ID]]&amp;"_"&amp;"WC_"&amp;Tab_Data_Flows[[#This Row],[Flow_Data_Year]]</f>
        <v>F_00_14_WC_2038</v>
      </c>
      <c r="W145" s="6" t="e">
        <f>IF(D145="Yes",S145*Tab_Data_Flows[[#This Row],[WC_'[%']]],"N.A.")</f>
        <v>#VALUE!</v>
      </c>
      <c r="X145" s="6" t="str">
        <f>Tab_Data_Flows[[#This Row],[UoM_Flow_Py]]</f>
        <v>Mg</v>
      </c>
      <c r="Y145" s="139">
        <f>INDEX(Tab_Def_Flows[[Flow_ID]:[CC_DM_source]],MATCH(Tab_Data_Flows[[#This Row],[Flow_Name]],Tab_Def_Flows[Flow_Name],0),14)</f>
        <v>0</v>
      </c>
      <c r="Z145" s="6" t="str">
        <f>Tab_Data_Flows[[#This Row],[Flow_ID]]&amp;"_"&amp;"DM_"&amp;Tab_Data_Flows[[#This Row],[Flow_Data_Year]]</f>
        <v>F_00_14_DM_2038</v>
      </c>
      <c r="AA145" s="6">
        <f>IF(E145="Yes",Y145*Tab_Data_Flows[[#This Row],[Flow_Material]],"N.A.")</f>
        <v>0</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1111</v>
      </c>
      <c r="D146" s="9" t="str">
        <f>_xlfn.XLOOKUP(C146,Tab_Def_Flows[Flow_Name],Tab_Def_Flows[WC?],,0,)</f>
        <v>Yes</v>
      </c>
      <c r="E146" s="9" t="str">
        <f>_xlfn.XLOOKUP(C146,Tab_Def_Flows[Flow_Name],Tab_Def_Flows[DM?],,0,)</f>
        <v>Yes</v>
      </c>
      <c r="F146" s="9" t="str">
        <f>_xlfn.XLOOKUP(C146,Tab_Def_Flows[Flow_Name],Tab_Def_Flows[CC?],,0,)</f>
        <v>Yes</v>
      </c>
      <c r="G146" s="188">
        <v>2039</v>
      </c>
      <c r="H146" s="189">
        <v>563.05090083950643</v>
      </c>
      <c r="I146" s="6" t="str">
        <f>'0_Configuration'!$C$35</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t="str">
        <f>INDEX(Tab_Def_Flows[[Flow_ID]:[CC_DM_source]],MATCH(Tab_Data_Flows[[#This Row],[Flow_Name]],Tab_Def_Flows[Flow_Name],0),11)</f>
        <v>Yes</v>
      </c>
      <c r="V146" s="6" t="str">
        <f>Tab_Data_Flows[[#This Row],[Flow_ID]]&amp;"_"&amp;"WC_"&amp;Tab_Data_Flows[[#This Row],[Flow_Data_Year]]</f>
        <v>F_00_14_WC_2039</v>
      </c>
      <c r="W146" s="6" t="e">
        <f>IF(D146="Yes",S146*Tab_Data_Flows[[#This Row],[WC_'[%']]],"N.A.")</f>
        <v>#VALUE!</v>
      </c>
      <c r="X146" s="6" t="str">
        <f>Tab_Data_Flows[[#This Row],[UoM_Flow_Py]]</f>
        <v>Mg</v>
      </c>
      <c r="Y146" s="139">
        <f>INDEX(Tab_Def_Flows[[Flow_ID]:[CC_DM_source]],MATCH(Tab_Data_Flows[[#This Row],[Flow_Name]],Tab_Def_Flows[Flow_Name],0),14)</f>
        <v>0</v>
      </c>
      <c r="Z146" s="6" t="str">
        <f>Tab_Data_Flows[[#This Row],[Flow_ID]]&amp;"_"&amp;"DM_"&amp;Tab_Data_Flows[[#This Row],[Flow_Data_Year]]</f>
        <v>F_00_14_DM_2039</v>
      </c>
      <c r="AA146" s="6">
        <f>IF(E146="Yes",Y146*Tab_Data_Flows[[#This Row],[Flow_Material]],"N.A.")</f>
        <v>0</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1111</v>
      </c>
      <c r="D147" s="9" t="str">
        <f>_xlfn.XLOOKUP(C147,Tab_Def_Flows[Flow_Name],Tab_Def_Flows[WC?],,0,)</f>
        <v>Yes</v>
      </c>
      <c r="E147" s="9" t="str">
        <f>_xlfn.XLOOKUP(C147,Tab_Def_Flows[Flow_Name],Tab_Def_Flows[DM?],,0,)</f>
        <v>Yes</v>
      </c>
      <c r="F147" s="9" t="str">
        <f>_xlfn.XLOOKUP(C147,Tab_Def_Flows[Flow_Name],Tab_Def_Flows[CC?],,0,)</f>
        <v>Yes</v>
      </c>
      <c r="G147" s="188">
        <v>2040</v>
      </c>
      <c r="H147" s="189">
        <v>923.23122588321564</v>
      </c>
      <c r="I147" s="6" t="str">
        <f>'0_Configuration'!$C$35</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t="str">
        <f>INDEX(Tab_Def_Flows[[Flow_ID]:[CC_DM_source]],MATCH(Tab_Data_Flows[[#This Row],[Flow_Name]],Tab_Def_Flows[Flow_Name],0),11)</f>
        <v>Yes</v>
      </c>
      <c r="V147" s="6" t="str">
        <f>Tab_Data_Flows[[#This Row],[Flow_ID]]&amp;"_"&amp;"WC_"&amp;Tab_Data_Flows[[#This Row],[Flow_Data_Year]]</f>
        <v>F_00_14_WC_2040</v>
      </c>
      <c r="W147" s="6" t="e">
        <f>IF(D147="Yes",S147*Tab_Data_Flows[[#This Row],[WC_'[%']]],"N.A.")</f>
        <v>#VALUE!</v>
      </c>
      <c r="X147" s="6" t="str">
        <f>Tab_Data_Flows[[#This Row],[UoM_Flow_Py]]</f>
        <v>Mg</v>
      </c>
      <c r="Y147" s="139">
        <f>INDEX(Tab_Def_Flows[[Flow_ID]:[CC_DM_source]],MATCH(Tab_Data_Flows[[#This Row],[Flow_Name]],Tab_Def_Flows[Flow_Name],0),14)</f>
        <v>0</v>
      </c>
      <c r="Z147" s="6" t="str">
        <f>Tab_Data_Flows[[#This Row],[Flow_ID]]&amp;"_"&amp;"DM_"&amp;Tab_Data_Flows[[#This Row],[Flow_Data_Year]]</f>
        <v>F_00_14_DM_2040</v>
      </c>
      <c r="AA147" s="6">
        <f>IF(E147="Yes",Y147*Tab_Data_Flows[[#This Row],[Flow_Material]],"N.A.")</f>
        <v>0</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1111</v>
      </c>
      <c r="D148" s="9" t="str">
        <f>_xlfn.XLOOKUP(C148,Tab_Def_Flows[Flow_Name],Tab_Def_Flows[WC?],,0,)</f>
        <v>Yes</v>
      </c>
      <c r="E148" s="9" t="str">
        <f>_xlfn.XLOOKUP(C148,Tab_Def_Flows[Flow_Name],Tab_Def_Flows[DM?],,0,)</f>
        <v>Yes</v>
      </c>
      <c r="F148" s="9" t="str">
        <f>_xlfn.XLOOKUP(C148,Tab_Def_Flows[Flow_Name],Tab_Def_Flows[CC?],,0,)</f>
        <v>Yes</v>
      </c>
      <c r="G148" s="188">
        <v>2041</v>
      </c>
      <c r="H148" s="189">
        <v>783.65234657001724</v>
      </c>
      <c r="I148" s="6" t="str">
        <f>'0_Configuration'!$C$35</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t="str">
        <f>INDEX(Tab_Def_Flows[[Flow_ID]:[CC_DM_source]],MATCH(Tab_Data_Flows[[#This Row],[Flow_Name]],Tab_Def_Flows[Flow_Name],0),11)</f>
        <v>Yes</v>
      </c>
      <c r="V148" s="6" t="str">
        <f>Tab_Data_Flows[[#This Row],[Flow_ID]]&amp;"_"&amp;"WC_"&amp;Tab_Data_Flows[[#This Row],[Flow_Data_Year]]</f>
        <v>F_00_14_WC_2041</v>
      </c>
      <c r="W148" s="6" t="e">
        <f>IF(D148="Yes",S148*Tab_Data_Flows[[#This Row],[WC_'[%']]],"N.A.")</f>
        <v>#VALUE!</v>
      </c>
      <c r="X148" s="6" t="str">
        <f>Tab_Data_Flows[[#This Row],[UoM_Flow_Py]]</f>
        <v>Mg</v>
      </c>
      <c r="Y148" s="139">
        <f>INDEX(Tab_Def_Flows[[Flow_ID]:[CC_DM_source]],MATCH(Tab_Data_Flows[[#This Row],[Flow_Name]],Tab_Def_Flows[Flow_Name],0),14)</f>
        <v>0</v>
      </c>
      <c r="Z148" s="6" t="str">
        <f>Tab_Data_Flows[[#This Row],[Flow_ID]]&amp;"_"&amp;"DM_"&amp;Tab_Data_Flows[[#This Row],[Flow_Data_Year]]</f>
        <v>F_00_14_DM_2041</v>
      </c>
      <c r="AA148" s="6">
        <f>IF(E148="Yes",Y148*Tab_Data_Flows[[#This Row],[Flow_Material]],"N.A.")</f>
        <v>0</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1111</v>
      </c>
      <c r="D149" s="9" t="str">
        <f>_xlfn.XLOOKUP(C149,Tab_Def_Flows[Flow_Name],Tab_Def_Flows[WC?],,0,)</f>
        <v>Yes</v>
      </c>
      <c r="E149" s="9" t="str">
        <f>_xlfn.XLOOKUP(C149,Tab_Def_Flows[Flow_Name],Tab_Def_Flows[DM?],,0,)</f>
        <v>Yes</v>
      </c>
      <c r="F149" s="9" t="str">
        <f>_xlfn.XLOOKUP(C149,Tab_Def_Flows[Flow_Name],Tab_Def_Flows[CC?],,0,)</f>
        <v>Yes</v>
      </c>
      <c r="G149" s="188">
        <v>2042</v>
      </c>
      <c r="H149" s="189">
        <v>1194.7572012533574</v>
      </c>
      <c r="I149" s="6" t="str">
        <f>'0_Configuration'!$C$35</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t="str">
        <f>INDEX(Tab_Def_Flows[[Flow_ID]:[CC_DM_source]],MATCH(Tab_Data_Flows[[#This Row],[Flow_Name]],Tab_Def_Flows[Flow_Name],0),11)</f>
        <v>Yes</v>
      </c>
      <c r="V149" s="6" t="str">
        <f>Tab_Data_Flows[[#This Row],[Flow_ID]]&amp;"_"&amp;"WC_"&amp;Tab_Data_Flows[[#This Row],[Flow_Data_Year]]</f>
        <v>F_00_14_WC_2042</v>
      </c>
      <c r="W149" s="6" t="e">
        <f>IF(D149="Yes",S149*Tab_Data_Flows[[#This Row],[WC_'[%']]],"N.A.")</f>
        <v>#VALUE!</v>
      </c>
      <c r="X149" s="6" t="str">
        <f>Tab_Data_Flows[[#This Row],[UoM_Flow_Py]]</f>
        <v>Mg</v>
      </c>
      <c r="Y149" s="139">
        <f>INDEX(Tab_Def_Flows[[Flow_ID]:[CC_DM_source]],MATCH(Tab_Data_Flows[[#This Row],[Flow_Name]],Tab_Def_Flows[Flow_Name],0),14)</f>
        <v>0</v>
      </c>
      <c r="Z149" s="6" t="str">
        <f>Tab_Data_Flows[[#This Row],[Flow_ID]]&amp;"_"&amp;"DM_"&amp;Tab_Data_Flows[[#This Row],[Flow_Data_Year]]</f>
        <v>F_00_14_DM_2042</v>
      </c>
      <c r="AA149" s="6">
        <f>IF(E149="Yes",Y149*Tab_Data_Flows[[#This Row],[Flow_Material]],"N.A.")</f>
        <v>0</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1111</v>
      </c>
      <c r="D150" s="9" t="str">
        <f>_xlfn.XLOOKUP(C150,Tab_Def_Flows[Flow_Name],Tab_Def_Flows[WC?],,0,)</f>
        <v>Yes</v>
      </c>
      <c r="E150" s="9" t="str">
        <f>_xlfn.XLOOKUP(C150,Tab_Def_Flows[Flow_Name],Tab_Def_Flows[DM?],,0,)</f>
        <v>Yes</v>
      </c>
      <c r="F150" s="9" t="str">
        <f>_xlfn.XLOOKUP(C150,Tab_Def_Flows[Flow_Name],Tab_Def_Flows[CC?],,0,)</f>
        <v>Yes</v>
      </c>
      <c r="G150" s="188">
        <v>2043</v>
      </c>
      <c r="H150" s="189">
        <v>816.125737574043</v>
      </c>
      <c r="I150" s="6" t="str">
        <f>'0_Configuration'!$C$35</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t="str">
        <f>INDEX(Tab_Def_Flows[[Flow_ID]:[CC_DM_source]],MATCH(Tab_Data_Flows[[#This Row],[Flow_Name]],Tab_Def_Flows[Flow_Name],0),11)</f>
        <v>Yes</v>
      </c>
      <c r="V150" s="6" t="str">
        <f>Tab_Data_Flows[[#This Row],[Flow_ID]]&amp;"_"&amp;"WC_"&amp;Tab_Data_Flows[[#This Row],[Flow_Data_Year]]</f>
        <v>F_00_14_WC_2043</v>
      </c>
      <c r="W150" s="6" t="e">
        <f>IF(D150="Yes",S150*Tab_Data_Flows[[#This Row],[WC_'[%']]],"N.A.")</f>
        <v>#VALUE!</v>
      </c>
      <c r="X150" s="6" t="str">
        <f>Tab_Data_Flows[[#This Row],[UoM_Flow_Py]]</f>
        <v>Mg</v>
      </c>
      <c r="Y150" s="139">
        <f>INDEX(Tab_Def_Flows[[Flow_ID]:[CC_DM_source]],MATCH(Tab_Data_Flows[[#This Row],[Flow_Name]],Tab_Def_Flows[Flow_Name],0),14)</f>
        <v>0</v>
      </c>
      <c r="Z150" s="6" t="str">
        <f>Tab_Data_Flows[[#This Row],[Flow_ID]]&amp;"_"&amp;"DM_"&amp;Tab_Data_Flows[[#This Row],[Flow_Data_Year]]</f>
        <v>F_00_14_DM_2043</v>
      </c>
      <c r="AA150" s="6">
        <f>IF(E150="Yes",Y150*Tab_Data_Flows[[#This Row],[Flow_Material]],"N.A.")</f>
        <v>0</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1111</v>
      </c>
      <c r="D151" s="9" t="str">
        <f>_xlfn.XLOOKUP(C151,Tab_Def_Flows[Flow_Name],Tab_Def_Flows[WC?],,0,)</f>
        <v>Yes</v>
      </c>
      <c r="E151" s="9" t="str">
        <f>_xlfn.XLOOKUP(C151,Tab_Def_Flows[Flow_Name],Tab_Def_Flows[DM?],,0,)</f>
        <v>Yes</v>
      </c>
      <c r="F151" s="9" t="str">
        <f>_xlfn.XLOOKUP(C151,Tab_Def_Flows[Flow_Name],Tab_Def_Flows[CC?],,0,)</f>
        <v>Yes</v>
      </c>
      <c r="G151" s="188">
        <v>2044</v>
      </c>
      <c r="H151" s="189">
        <v>659.9040538104565</v>
      </c>
      <c r="I151" s="6" t="str">
        <f>'0_Configuration'!$C$35</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t="str">
        <f>INDEX(Tab_Def_Flows[[Flow_ID]:[CC_DM_source]],MATCH(Tab_Data_Flows[[#This Row],[Flow_Name]],Tab_Def_Flows[Flow_Name],0),11)</f>
        <v>Yes</v>
      </c>
      <c r="V151" s="6" t="str">
        <f>Tab_Data_Flows[[#This Row],[Flow_ID]]&amp;"_"&amp;"WC_"&amp;Tab_Data_Flows[[#This Row],[Flow_Data_Year]]</f>
        <v>F_00_14_WC_2044</v>
      </c>
      <c r="W151" s="6" t="e">
        <f>IF(D151="Yes",S151*Tab_Data_Flows[[#This Row],[WC_'[%']]],"N.A.")</f>
        <v>#VALUE!</v>
      </c>
      <c r="X151" s="6" t="str">
        <f>Tab_Data_Flows[[#This Row],[UoM_Flow_Py]]</f>
        <v>Mg</v>
      </c>
      <c r="Y151" s="139">
        <f>INDEX(Tab_Def_Flows[[Flow_ID]:[CC_DM_source]],MATCH(Tab_Data_Flows[[#This Row],[Flow_Name]],Tab_Def_Flows[Flow_Name],0),14)</f>
        <v>0</v>
      </c>
      <c r="Z151" s="6" t="str">
        <f>Tab_Data_Flows[[#This Row],[Flow_ID]]&amp;"_"&amp;"DM_"&amp;Tab_Data_Flows[[#This Row],[Flow_Data_Year]]</f>
        <v>F_00_14_DM_2044</v>
      </c>
      <c r="AA151" s="6">
        <f>IF(E151="Yes",Y151*Tab_Data_Flows[[#This Row],[Flow_Material]],"N.A.")</f>
        <v>0</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1111</v>
      </c>
      <c r="D152" s="9" t="str">
        <f>_xlfn.XLOOKUP(C152,Tab_Def_Flows[Flow_Name],Tab_Def_Flows[WC?],,0,)</f>
        <v>Yes</v>
      </c>
      <c r="E152" s="9" t="str">
        <f>_xlfn.XLOOKUP(C152,Tab_Def_Flows[Flow_Name],Tab_Def_Flows[DM?],,0,)</f>
        <v>Yes</v>
      </c>
      <c r="F152" s="9" t="str">
        <f>_xlfn.XLOOKUP(C152,Tab_Def_Flows[Flow_Name],Tab_Def_Flows[CC?],,0,)</f>
        <v>Yes</v>
      </c>
      <c r="G152" s="188">
        <v>2045</v>
      </c>
      <c r="H152" s="189">
        <v>1551.4587817204201</v>
      </c>
      <c r="I152" s="6" t="str">
        <f>'0_Configuration'!$C$35</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t="str">
        <f>INDEX(Tab_Def_Flows[[Flow_ID]:[CC_DM_source]],MATCH(Tab_Data_Flows[[#This Row],[Flow_Name]],Tab_Def_Flows[Flow_Name],0),11)</f>
        <v>Yes</v>
      </c>
      <c r="V152" s="6" t="str">
        <f>Tab_Data_Flows[[#This Row],[Flow_ID]]&amp;"_"&amp;"WC_"&amp;Tab_Data_Flows[[#This Row],[Flow_Data_Year]]</f>
        <v>F_00_14_WC_2045</v>
      </c>
      <c r="W152" s="6" t="e">
        <f>IF(D152="Yes",S152*Tab_Data_Flows[[#This Row],[WC_'[%']]],"N.A.")</f>
        <v>#VALUE!</v>
      </c>
      <c r="X152" s="6" t="str">
        <f>Tab_Data_Flows[[#This Row],[UoM_Flow_Py]]</f>
        <v>Mg</v>
      </c>
      <c r="Y152" s="139">
        <f>INDEX(Tab_Def_Flows[[Flow_ID]:[CC_DM_source]],MATCH(Tab_Data_Flows[[#This Row],[Flow_Name]],Tab_Def_Flows[Flow_Name],0),14)</f>
        <v>0</v>
      </c>
      <c r="Z152" s="6" t="str">
        <f>Tab_Data_Flows[[#This Row],[Flow_ID]]&amp;"_"&amp;"DM_"&amp;Tab_Data_Flows[[#This Row],[Flow_Data_Year]]</f>
        <v>F_00_14_DM_2045</v>
      </c>
      <c r="AA152" s="6">
        <f>IF(E152="Yes",Y152*Tab_Data_Flows[[#This Row],[Flow_Material]],"N.A.")</f>
        <v>0</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1111</v>
      </c>
      <c r="D153" s="9" t="str">
        <f>_xlfn.XLOOKUP(C153,Tab_Def_Flows[Flow_Name],Tab_Def_Flows[WC?],,0,)</f>
        <v>Yes</v>
      </c>
      <c r="E153" s="9" t="str">
        <f>_xlfn.XLOOKUP(C153,Tab_Def_Flows[Flow_Name],Tab_Def_Flows[DM?],,0,)</f>
        <v>Yes</v>
      </c>
      <c r="F153" s="9" t="str">
        <f>_xlfn.XLOOKUP(C153,Tab_Def_Flows[Flow_Name],Tab_Def_Flows[CC?],,0,)</f>
        <v>Yes</v>
      </c>
      <c r="G153" s="188">
        <v>2046</v>
      </c>
      <c r="H153" s="189">
        <v>1027.4709642547984</v>
      </c>
      <c r="I153" s="6" t="str">
        <f>'0_Configuration'!$C$35</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t="str">
        <f>INDEX(Tab_Def_Flows[[Flow_ID]:[CC_DM_source]],MATCH(Tab_Data_Flows[[#This Row],[Flow_Name]],Tab_Def_Flows[Flow_Name],0),11)</f>
        <v>Yes</v>
      </c>
      <c r="V153" s="6" t="str">
        <f>Tab_Data_Flows[[#This Row],[Flow_ID]]&amp;"_"&amp;"WC_"&amp;Tab_Data_Flows[[#This Row],[Flow_Data_Year]]</f>
        <v>F_00_14_WC_2046</v>
      </c>
      <c r="W153" s="6" t="e">
        <f>IF(D153="Yes",S153*Tab_Data_Flows[[#This Row],[WC_'[%']]],"N.A.")</f>
        <v>#VALUE!</v>
      </c>
      <c r="X153" s="6" t="str">
        <f>Tab_Data_Flows[[#This Row],[UoM_Flow_Py]]</f>
        <v>Mg</v>
      </c>
      <c r="Y153" s="139">
        <f>INDEX(Tab_Def_Flows[[Flow_ID]:[CC_DM_source]],MATCH(Tab_Data_Flows[[#This Row],[Flow_Name]],Tab_Def_Flows[Flow_Name],0),14)</f>
        <v>0</v>
      </c>
      <c r="Z153" s="6" t="str">
        <f>Tab_Data_Flows[[#This Row],[Flow_ID]]&amp;"_"&amp;"DM_"&amp;Tab_Data_Flows[[#This Row],[Flow_Data_Year]]</f>
        <v>F_00_14_DM_2046</v>
      </c>
      <c r="AA153" s="6">
        <f>IF(E153="Yes",Y153*Tab_Data_Flows[[#This Row],[Flow_Material]],"N.A.")</f>
        <v>0</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1111</v>
      </c>
      <c r="D154" s="9" t="str">
        <f>_xlfn.XLOOKUP(C154,Tab_Def_Flows[Flow_Name],Tab_Def_Flows[WC?],,0,)</f>
        <v>Yes</v>
      </c>
      <c r="E154" s="9" t="str">
        <f>_xlfn.XLOOKUP(C154,Tab_Def_Flows[Flow_Name],Tab_Def_Flows[DM?],,0,)</f>
        <v>Yes</v>
      </c>
      <c r="F154" s="9" t="str">
        <f>_xlfn.XLOOKUP(C154,Tab_Def_Flows[Flow_Name],Tab_Def_Flows[CC?],,0,)</f>
        <v>Yes</v>
      </c>
      <c r="G154" s="188">
        <v>2047</v>
      </c>
      <c r="H154" s="189">
        <v>1118.3320946289698</v>
      </c>
      <c r="I154" s="6" t="str">
        <f>'0_Configuration'!$C$35</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t="str">
        <f>INDEX(Tab_Def_Flows[[Flow_ID]:[CC_DM_source]],MATCH(Tab_Data_Flows[[#This Row],[Flow_Name]],Tab_Def_Flows[Flow_Name],0),11)</f>
        <v>Yes</v>
      </c>
      <c r="V154" s="6" t="str">
        <f>Tab_Data_Flows[[#This Row],[Flow_ID]]&amp;"_"&amp;"WC_"&amp;Tab_Data_Flows[[#This Row],[Flow_Data_Year]]</f>
        <v>F_00_14_WC_2047</v>
      </c>
      <c r="W154" s="6" t="e">
        <f>IF(D154="Yes",S154*Tab_Data_Flows[[#This Row],[WC_'[%']]],"N.A.")</f>
        <v>#VALUE!</v>
      </c>
      <c r="X154" s="6" t="str">
        <f>Tab_Data_Flows[[#This Row],[UoM_Flow_Py]]</f>
        <v>Mg</v>
      </c>
      <c r="Y154" s="139">
        <f>INDEX(Tab_Def_Flows[[Flow_ID]:[CC_DM_source]],MATCH(Tab_Data_Flows[[#This Row],[Flow_Name]],Tab_Def_Flows[Flow_Name],0),14)</f>
        <v>0</v>
      </c>
      <c r="Z154" s="6" t="str">
        <f>Tab_Data_Flows[[#This Row],[Flow_ID]]&amp;"_"&amp;"DM_"&amp;Tab_Data_Flows[[#This Row],[Flow_Data_Year]]</f>
        <v>F_00_14_DM_2047</v>
      </c>
      <c r="AA154" s="6">
        <f>IF(E154="Yes",Y154*Tab_Data_Flows[[#This Row],[Flow_Material]],"N.A.")</f>
        <v>0</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1111</v>
      </c>
      <c r="D155" s="9" t="str">
        <f>_xlfn.XLOOKUP(C155,Tab_Def_Flows[Flow_Name],Tab_Def_Flows[WC?],,0,)</f>
        <v>Yes</v>
      </c>
      <c r="E155" s="9" t="str">
        <f>_xlfn.XLOOKUP(C155,Tab_Def_Flows[Flow_Name],Tab_Def_Flows[DM?],,0,)</f>
        <v>Yes</v>
      </c>
      <c r="F155" s="9" t="str">
        <f>_xlfn.XLOOKUP(C155,Tab_Def_Flows[Flow_Name],Tab_Def_Flows[CC?],,0,)</f>
        <v>Yes</v>
      </c>
      <c r="G155" s="188">
        <v>2048</v>
      </c>
      <c r="H155" s="189">
        <v>656.0421875843997</v>
      </c>
      <c r="I155" s="6" t="str">
        <f>'0_Configuration'!$C$35</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t="str">
        <f>INDEX(Tab_Def_Flows[[Flow_ID]:[CC_DM_source]],MATCH(Tab_Data_Flows[[#This Row],[Flow_Name]],Tab_Def_Flows[Flow_Name],0),11)</f>
        <v>Yes</v>
      </c>
      <c r="V155" s="6" t="str">
        <f>Tab_Data_Flows[[#This Row],[Flow_ID]]&amp;"_"&amp;"WC_"&amp;Tab_Data_Flows[[#This Row],[Flow_Data_Year]]</f>
        <v>F_00_14_WC_2048</v>
      </c>
      <c r="W155" s="6" t="e">
        <f>IF(D155="Yes",S155*Tab_Data_Flows[[#This Row],[WC_'[%']]],"N.A.")</f>
        <v>#VALUE!</v>
      </c>
      <c r="X155" s="6" t="str">
        <f>Tab_Data_Flows[[#This Row],[UoM_Flow_Py]]</f>
        <v>Mg</v>
      </c>
      <c r="Y155" s="139">
        <f>INDEX(Tab_Def_Flows[[Flow_ID]:[CC_DM_source]],MATCH(Tab_Data_Flows[[#This Row],[Flow_Name]],Tab_Def_Flows[Flow_Name],0),14)</f>
        <v>0</v>
      </c>
      <c r="Z155" s="6" t="str">
        <f>Tab_Data_Flows[[#This Row],[Flow_ID]]&amp;"_"&amp;"DM_"&amp;Tab_Data_Flows[[#This Row],[Flow_Data_Year]]</f>
        <v>F_00_14_DM_2048</v>
      </c>
      <c r="AA155" s="6">
        <f>IF(E155="Yes",Y155*Tab_Data_Flows[[#This Row],[Flow_Material]],"N.A.")</f>
        <v>0</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1111</v>
      </c>
      <c r="D156" s="9" t="str">
        <f>_xlfn.XLOOKUP(C156,Tab_Def_Flows[Flow_Name],Tab_Def_Flows[WC?],,0,)</f>
        <v>Yes</v>
      </c>
      <c r="E156" s="9" t="str">
        <f>_xlfn.XLOOKUP(C156,Tab_Def_Flows[Flow_Name],Tab_Def_Flows[DM?],,0,)</f>
        <v>Yes</v>
      </c>
      <c r="F156" s="9" t="str">
        <f>_xlfn.XLOOKUP(C156,Tab_Def_Flows[Flow_Name],Tab_Def_Flows[CC?],,0,)</f>
        <v>Yes</v>
      </c>
      <c r="G156" s="188">
        <v>2049</v>
      </c>
      <c r="H156" s="189">
        <v>928.76350250070209</v>
      </c>
      <c r="I156" s="6" t="str">
        <f>'0_Configuration'!$C$35</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t="str">
        <f>INDEX(Tab_Def_Flows[[Flow_ID]:[CC_DM_source]],MATCH(Tab_Data_Flows[[#This Row],[Flow_Name]],Tab_Def_Flows[Flow_Name],0),11)</f>
        <v>Yes</v>
      </c>
      <c r="V156" s="6" t="str">
        <f>Tab_Data_Flows[[#This Row],[Flow_ID]]&amp;"_"&amp;"WC_"&amp;Tab_Data_Flows[[#This Row],[Flow_Data_Year]]</f>
        <v>F_00_14_WC_2049</v>
      </c>
      <c r="W156" s="6" t="e">
        <f>IF(D156="Yes",S156*Tab_Data_Flows[[#This Row],[WC_'[%']]],"N.A.")</f>
        <v>#VALUE!</v>
      </c>
      <c r="X156" s="6" t="str">
        <f>Tab_Data_Flows[[#This Row],[UoM_Flow_Py]]</f>
        <v>Mg</v>
      </c>
      <c r="Y156" s="139">
        <f>INDEX(Tab_Def_Flows[[Flow_ID]:[CC_DM_source]],MATCH(Tab_Data_Flows[[#This Row],[Flow_Name]],Tab_Def_Flows[Flow_Name],0),14)</f>
        <v>0</v>
      </c>
      <c r="Z156" s="6" t="str">
        <f>Tab_Data_Flows[[#This Row],[Flow_ID]]&amp;"_"&amp;"DM_"&amp;Tab_Data_Flows[[#This Row],[Flow_Data_Year]]</f>
        <v>F_00_14_DM_2049</v>
      </c>
      <c r="AA156" s="6">
        <f>IF(E156="Yes",Y156*Tab_Data_Flows[[#This Row],[Flow_Material]],"N.A.")</f>
        <v>0</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1111</v>
      </c>
      <c r="D157" s="9" t="str">
        <f>_xlfn.XLOOKUP(C157,Tab_Def_Flows[Flow_Name],Tab_Def_Flows[WC?],,0,)</f>
        <v>Yes</v>
      </c>
      <c r="E157" s="9" t="str">
        <f>_xlfn.XLOOKUP(C157,Tab_Def_Flows[Flow_Name],Tab_Def_Flows[DM?],,0,)</f>
        <v>Yes</v>
      </c>
      <c r="F157" s="9" t="str">
        <f>_xlfn.XLOOKUP(C157,Tab_Def_Flows[Flow_Name],Tab_Def_Flows[CC?],,0,)</f>
        <v>Yes</v>
      </c>
      <c r="G157" s="188">
        <v>2050</v>
      </c>
      <c r="H157" s="189">
        <v>1131.7720020902868</v>
      </c>
      <c r="I157" s="6" t="str">
        <f>'0_Configuration'!$C$35</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t="str">
        <f>INDEX(Tab_Def_Flows[[Flow_ID]:[CC_DM_source]],MATCH(Tab_Data_Flows[[#This Row],[Flow_Name]],Tab_Def_Flows[Flow_Name],0),11)</f>
        <v>Yes</v>
      </c>
      <c r="V157" s="6" t="str">
        <f>Tab_Data_Flows[[#This Row],[Flow_ID]]&amp;"_"&amp;"WC_"&amp;Tab_Data_Flows[[#This Row],[Flow_Data_Year]]</f>
        <v>F_00_14_WC_2050</v>
      </c>
      <c r="W157" s="6" t="e">
        <f>IF(D157="Yes",S157*Tab_Data_Flows[[#This Row],[WC_'[%']]],"N.A.")</f>
        <v>#VALUE!</v>
      </c>
      <c r="X157" s="6" t="str">
        <f>Tab_Data_Flows[[#This Row],[UoM_Flow_Py]]</f>
        <v>Mg</v>
      </c>
      <c r="Y157" s="139">
        <f>INDEX(Tab_Def_Flows[[Flow_ID]:[CC_DM_source]],MATCH(Tab_Data_Flows[[#This Row],[Flow_Name]],Tab_Def_Flows[Flow_Name],0),14)</f>
        <v>0</v>
      </c>
      <c r="Z157" s="6" t="str">
        <f>Tab_Data_Flows[[#This Row],[Flow_ID]]&amp;"_"&amp;"DM_"&amp;Tab_Data_Flows[[#This Row],[Flow_Data_Year]]</f>
        <v>F_00_14_DM_2050</v>
      </c>
      <c r="AA157" s="6">
        <f>IF(E157="Yes",Y157*Tab_Data_Flows[[#This Row],[Flow_Material]],"N.A.")</f>
        <v>0</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1112</v>
      </c>
      <c r="D158" s="9" t="str">
        <f>_xlfn.XLOOKUP(C158,Tab_Def_Flows[Flow_Name],Tab_Def_Flows[WC?],,0,)</f>
        <v>Yes</v>
      </c>
      <c r="E158" s="9" t="str">
        <f>_xlfn.XLOOKUP(C158,Tab_Def_Flows[Flow_Name],Tab_Def_Flows[DM?],,0,)</f>
        <v>Yes</v>
      </c>
      <c r="F158" s="9" t="str">
        <f>_xlfn.XLOOKUP(C158,Tab_Def_Flows[Flow_Name],Tab_Def_Flows[CC?],,0,)</f>
        <v>Yes</v>
      </c>
      <c r="G158" s="188">
        <v>2025</v>
      </c>
      <c r="H158" s="189">
        <v>27014.216366592012</v>
      </c>
      <c r="I158" s="6" t="str">
        <f>'0_Configuration'!$C$35</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t="str">
        <f>INDEX(Tab_Def_Flows[[Flow_ID]:[CC_DM_source]],MATCH(Tab_Data_Flows[[#This Row],[Flow_Name]],Tab_Def_Flows[Flow_Name],0),11)</f>
        <v>Yes</v>
      </c>
      <c r="V158" s="6" t="str">
        <f>Tab_Data_Flows[[#This Row],[Flow_ID]]&amp;"_"&amp;"WC_"&amp;Tab_Data_Flows[[#This Row],[Flow_Data_Year]]</f>
        <v>F_00_11_WC_2025</v>
      </c>
      <c r="W158" s="6" t="e">
        <f>IF(D158="Yes",S158*Tab_Data_Flows[[#This Row],[WC_'[%']]],"N.A.")</f>
        <v>#VALUE!</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1112</v>
      </c>
      <c r="D159" s="9" t="str">
        <f>_xlfn.XLOOKUP(C159,Tab_Def_Flows[Flow_Name],Tab_Def_Flows[WC?],,0,)</f>
        <v>Yes</v>
      </c>
      <c r="E159" s="9" t="str">
        <f>_xlfn.XLOOKUP(C159,Tab_Def_Flows[Flow_Name],Tab_Def_Flows[DM?],,0,)</f>
        <v>Yes</v>
      </c>
      <c r="F159" s="9" t="str">
        <f>_xlfn.XLOOKUP(C159,Tab_Def_Flows[Flow_Name],Tab_Def_Flows[CC?],,0,)</f>
        <v>Yes</v>
      </c>
      <c r="G159" s="188">
        <v>2026</v>
      </c>
      <c r="H159" s="189">
        <v>22767.428436480008</v>
      </c>
      <c r="I159" s="6" t="str">
        <f>'0_Configuration'!$C$35</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t="str">
        <f>INDEX(Tab_Def_Flows[[Flow_ID]:[CC_DM_source]],MATCH(Tab_Data_Flows[[#This Row],[Flow_Name]],Tab_Def_Flows[Flow_Name],0),11)</f>
        <v>Yes</v>
      </c>
      <c r="V159" s="6" t="str">
        <f>Tab_Data_Flows[[#This Row],[Flow_ID]]&amp;"_"&amp;"WC_"&amp;Tab_Data_Flows[[#This Row],[Flow_Data_Year]]</f>
        <v>F_00_11_WC_2026</v>
      </c>
      <c r="W159" s="6" t="e">
        <f>IF(D159="Yes",S159*Tab_Data_Flows[[#This Row],[WC_'[%']]],"N.A.")</f>
        <v>#VALUE!</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1112</v>
      </c>
      <c r="D160" s="9" t="str">
        <f>_xlfn.XLOOKUP(C160,Tab_Def_Flows[Flow_Name],Tab_Def_Flows[WC?],,0,)</f>
        <v>Yes</v>
      </c>
      <c r="E160" s="9" t="str">
        <f>_xlfn.XLOOKUP(C160,Tab_Def_Flows[Flow_Name],Tab_Def_Flows[DM?],,0,)</f>
        <v>Yes</v>
      </c>
      <c r="F160" s="9" t="str">
        <f>_xlfn.XLOOKUP(C160,Tab_Def_Flows[Flow_Name],Tab_Def_Flows[CC?],,0,)</f>
        <v>Yes</v>
      </c>
      <c r="G160" s="188">
        <v>2027</v>
      </c>
      <c r="H160" s="189">
        <v>28023.969931776006</v>
      </c>
      <c r="I160" s="6" t="str">
        <f>'0_Configuration'!$C$35</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t="str">
        <f>INDEX(Tab_Def_Flows[[Flow_ID]:[CC_DM_source]],MATCH(Tab_Data_Flows[[#This Row],[Flow_Name]],Tab_Def_Flows[Flow_Name],0),11)</f>
        <v>Yes</v>
      </c>
      <c r="V160" s="6" t="str">
        <f>Tab_Data_Flows[[#This Row],[Flow_ID]]&amp;"_"&amp;"WC_"&amp;Tab_Data_Flows[[#This Row],[Flow_Data_Year]]</f>
        <v>F_00_11_WC_2027</v>
      </c>
      <c r="W160" s="6" t="e">
        <f>IF(D160="Yes",S160*Tab_Data_Flows[[#This Row],[WC_'[%']]],"N.A.")</f>
        <v>#VALUE!</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1112</v>
      </c>
      <c r="D161" s="9" t="str">
        <f>_xlfn.XLOOKUP(C161,Tab_Def_Flows[Flow_Name],Tab_Def_Flows[WC?],,0,)</f>
        <v>Yes</v>
      </c>
      <c r="E161" s="9" t="str">
        <f>_xlfn.XLOOKUP(C161,Tab_Def_Flows[Flow_Name],Tab_Def_Flows[DM?],,0,)</f>
        <v>Yes</v>
      </c>
      <c r="F161" s="9" t="str">
        <f>_xlfn.XLOOKUP(C161,Tab_Def_Flows[Flow_Name],Tab_Def_Flows[CC?],,0,)</f>
        <v>Yes</v>
      </c>
      <c r="G161" s="188">
        <v>2028</v>
      </c>
      <c r="H161" s="189">
        <v>33878.357001216013</v>
      </c>
      <c r="I161" s="6" t="str">
        <f>'0_Configuration'!$C$35</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t="str">
        <f>INDEX(Tab_Def_Flows[[Flow_ID]:[CC_DM_source]],MATCH(Tab_Data_Flows[[#This Row],[Flow_Name]],Tab_Def_Flows[Flow_Name],0),11)</f>
        <v>Yes</v>
      </c>
      <c r="V161" s="6" t="str">
        <f>Tab_Data_Flows[[#This Row],[Flow_ID]]&amp;"_"&amp;"WC_"&amp;Tab_Data_Flows[[#This Row],[Flow_Data_Year]]</f>
        <v>F_00_11_WC_2028</v>
      </c>
      <c r="W161" s="6" t="e">
        <f>IF(D161="Yes",S161*Tab_Data_Flows[[#This Row],[WC_'[%']]],"N.A.")</f>
        <v>#VALUE!</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1112</v>
      </c>
      <c r="D162" s="9" t="str">
        <f>_xlfn.XLOOKUP(C162,Tab_Def_Flows[Flow_Name],Tab_Def_Flows[WC?],,0,)</f>
        <v>Yes</v>
      </c>
      <c r="E162" s="9" t="str">
        <f>_xlfn.XLOOKUP(C162,Tab_Def_Flows[Flow_Name],Tab_Def_Flows[DM?],,0,)</f>
        <v>Yes</v>
      </c>
      <c r="F162" s="9" t="str">
        <f>_xlfn.XLOOKUP(C162,Tab_Def_Flows[Flow_Name],Tab_Def_Flows[CC?],,0,)</f>
        <v>Yes</v>
      </c>
      <c r="G162" s="188">
        <v>2029</v>
      </c>
      <c r="H162" s="189">
        <v>22126.241539584007</v>
      </c>
      <c r="I162" s="6" t="str">
        <f>'0_Configuration'!$C$35</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t="str">
        <f>INDEX(Tab_Def_Flows[[Flow_ID]:[CC_DM_source]],MATCH(Tab_Data_Flows[[#This Row],[Flow_Name]],Tab_Def_Flows[Flow_Name],0),11)</f>
        <v>Yes</v>
      </c>
      <c r="V162" s="6" t="str">
        <f>Tab_Data_Flows[[#This Row],[Flow_ID]]&amp;"_"&amp;"WC_"&amp;Tab_Data_Flows[[#This Row],[Flow_Data_Year]]</f>
        <v>F_00_11_WC_2029</v>
      </c>
      <c r="W162" s="6" t="e">
        <f>IF(D162="Yes",S162*Tab_Data_Flows[[#This Row],[WC_'[%']]],"N.A.")</f>
        <v>#VALUE!</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1112</v>
      </c>
      <c r="D163" s="9" t="str">
        <f>_xlfn.XLOOKUP(C163,Tab_Def_Flows[Flow_Name],Tab_Def_Flows[WC?],,0,)</f>
        <v>Yes</v>
      </c>
      <c r="E163" s="9" t="str">
        <f>_xlfn.XLOOKUP(C163,Tab_Def_Flows[Flow_Name],Tab_Def_Flows[DM?],,0,)</f>
        <v>Yes</v>
      </c>
      <c r="F163" s="9" t="str">
        <f>_xlfn.XLOOKUP(C163,Tab_Def_Flows[Flow_Name],Tab_Def_Flows[CC?],,0,)</f>
        <v>Yes</v>
      </c>
      <c r="G163" s="188">
        <v>2030</v>
      </c>
      <c r="H163" s="189">
        <v>22126.241539584007</v>
      </c>
      <c r="I163" s="6" t="str">
        <f>'0_Configuration'!$C$35</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t="str">
        <f>INDEX(Tab_Def_Flows[[Flow_ID]:[CC_DM_source]],MATCH(Tab_Data_Flows[[#This Row],[Flow_Name]],Tab_Def_Flows[Flow_Name],0),11)</f>
        <v>Yes</v>
      </c>
      <c r="V163" s="6" t="str">
        <f>Tab_Data_Flows[[#This Row],[Flow_ID]]&amp;"_"&amp;"WC_"&amp;Tab_Data_Flows[[#This Row],[Flow_Data_Year]]</f>
        <v>F_00_11_WC_2030</v>
      </c>
      <c r="W163" s="6" t="e">
        <f>IF(D163="Yes",S163*Tab_Data_Flows[[#This Row],[WC_'[%']]],"N.A.")</f>
        <v>#VALUE!</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1112</v>
      </c>
      <c r="D164" s="9" t="str">
        <f>_xlfn.XLOOKUP(C164,Tab_Def_Flows[Flow_Name],Tab_Def_Flows[WC?],,0,)</f>
        <v>Yes</v>
      </c>
      <c r="E164" s="9" t="str">
        <f>_xlfn.XLOOKUP(C164,Tab_Def_Flows[Flow_Name],Tab_Def_Flows[DM?],,0,)</f>
        <v>Yes</v>
      </c>
      <c r="F164" s="9" t="str">
        <f>_xlfn.XLOOKUP(C164,Tab_Def_Flows[Flow_Name],Tab_Def_Flows[CC?],,0,)</f>
        <v>Yes</v>
      </c>
      <c r="G164" s="188">
        <v>2031</v>
      </c>
      <c r="H164" s="189">
        <v>34253.871515136008</v>
      </c>
      <c r="I164" s="6" t="str">
        <f>'0_Configuration'!$C$35</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t="str">
        <f>INDEX(Tab_Def_Flows[[Flow_ID]:[CC_DM_source]],MATCH(Tab_Data_Flows[[#This Row],[Flow_Name]],Tab_Def_Flows[Flow_Name],0),11)</f>
        <v>Yes</v>
      </c>
      <c r="V164" s="6" t="str">
        <f>Tab_Data_Flows[[#This Row],[Flow_ID]]&amp;"_"&amp;"WC_"&amp;Tab_Data_Flows[[#This Row],[Flow_Data_Year]]</f>
        <v>F_00_11_WC_2031</v>
      </c>
      <c r="W164" s="6" t="e">
        <f>IF(D164="Yes",S164*Tab_Data_Flows[[#This Row],[WC_'[%']]],"N.A.")</f>
        <v>#VALUE!</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1112</v>
      </c>
      <c r="D165" s="9" t="str">
        <f>_xlfn.XLOOKUP(C165,Tab_Def_Flows[Flow_Name],Tab_Def_Flows[WC?],,0,)</f>
        <v>Yes</v>
      </c>
      <c r="E165" s="9" t="str">
        <f>_xlfn.XLOOKUP(C165,Tab_Def_Flows[Flow_Name],Tab_Def_Flows[DM?],,0,)</f>
        <v>Yes</v>
      </c>
      <c r="F165" s="9" t="str">
        <f>_xlfn.XLOOKUP(C165,Tab_Def_Flows[Flow_Name],Tab_Def_Flows[CC?],,0,)</f>
        <v>Yes</v>
      </c>
      <c r="G165" s="188">
        <v>2032</v>
      </c>
      <c r="H165" s="189">
        <v>28824.626428416013</v>
      </c>
      <c r="I165" s="6" t="str">
        <f>'0_Configuration'!$C$35</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t="str">
        <f>INDEX(Tab_Def_Flows[[Flow_ID]:[CC_DM_source]],MATCH(Tab_Data_Flows[[#This Row],[Flow_Name]],Tab_Def_Flows[Flow_Name],0),11)</f>
        <v>Yes</v>
      </c>
      <c r="V165" s="6" t="str">
        <f>Tab_Data_Flows[[#This Row],[Flow_ID]]&amp;"_"&amp;"WC_"&amp;Tab_Data_Flows[[#This Row],[Flow_Data_Year]]</f>
        <v>F_00_11_WC_2032</v>
      </c>
      <c r="W165" s="6" t="e">
        <f>IF(D165="Yes",S165*Tab_Data_Flows[[#This Row],[WC_'[%']]],"N.A.")</f>
        <v>#VALUE!</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1112</v>
      </c>
      <c r="D166" s="9" t="str">
        <f>_xlfn.XLOOKUP(C166,Tab_Def_Flows[Flow_Name],Tab_Def_Flows[WC?],,0,)</f>
        <v>Yes</v>
      </c>
      <c r="E166" s="9" t="str">
        <f>_xlfn.XLOOKUP(C166,Tab_Def_Flows[Flow_Name],Tab_Def_Flows[DM?],,0,)</f>
        <v>Yes</v>
      </c>
      <c r="F166" s="9" t="str">
        <f>_xlfn.XLOOKUP(C166,Tab_Def_Flows[Flow_Name],Tab_Def_Flows[CC?],,0,)</f>
        <v>Yes</v>
      </c>
      <c r="G166" s="188">
        <v>2033</v>
      </c>
      <c r="H166" s="189">
        <v>20552.389079040007</v>
      </c>
      <c r="I166" s="6" t="str">
        <f>'0_Configuration'!$C$35</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t="str">
        <f>INDEX(Tab_Def_Flows[[Flow_ID]:[CC_DM_source]],MATCH(Tab_Data_Flows[[#This Row],[Flow_Name]],Tab_Def_Flows[Flow_Name],0),11)</f>
        <v>Yes</v>
      </c>
      <c r="V166" s="6" t="str">
        <f>Tab_Data_Flows[[#This Row],[Flow_ID]]&amp;"_"&amp;"WC_"&amp;Tab_Data_Flows[[#This Row],[Flow_Data_Year]]</f>
        <v>F_00_11_WC_2033</v>
      </c>
      <c r="W166" s="6" t="e">
        <f>IF(D166="Yes",S166*Tab_Data_Flows[[#This Row],[WC_'[%']]],"N.A.")</f>
        <v>#VALUE!</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1112</v>
      </c>
      <c r="D167" s="9" t="str">
        <f>_xlfn.XLOOKUP(C167,Tab_Def_Flows[Flow_Name],Tab_Def_Flows[WC?],,0,)</f>
        <v>Yes</v>
      </c>
      <c r="E167" s="9" t="str">
        <f>_xlfn.XLOOKUP(C167,Tab_Def_Flows[Flow_Name],Tab_Def_Flows[DM?],,0,)</f>
        <v>Yes</v>
      </c>
      <c r="F167" s="9" t="str">
        <f>_xlfn.XLOOKUP(C167,Tab_Def_Flows[Flow_Name],Tab_Def_Flows[CC?],,0,)</f>
        <v>Yes</v>
      </c>
      <c r="G167" s="188">
        <v>2034</v>
      </c>
      <c r="H167" s="189">
        <v>27320.914123776009</v>
      </c>
      <c r="I167" s="6" t="str">
        <f>'0_Configuration'!$C$35</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t="str">
        <f>INDEX(Tab_Def_Flows[[Flow_ID]:[CC_DM_source]],MATCH(Tab_Data_Flows[[#This Row],[Flow_Name]],Tab_Def_Flows[Flow_Name],0),11)</f>
        <v>Yes</v>
      </c>
      <c r="V167" s="6" t="str">
        <f>Tab_Data_Flows[[#This Row],[Flow_ID]]&amp;"_"&amp;"WC_"&amp;Tab_Data_Flows[[#This Row],[Flow_Data_Year]]</f>
        <v>F_00_11_WC_2034</v>
      </c>
      <c r="W167" s="6" t="e">
        <f>IF(D167="Yes",S167*Tab_Data_Flows[[#This Row],[WC_'[%']]],"N.A.")</f>
        <v>#VALUE!</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1112</v>
      </c>
      <c r="D168" s="9" t="str">
        <f>_xlfn.XLOOKUP(C168,Tab_Def_Flows[Flow_Name],Tab_Def_Flows[WC?],,0,)</f>
        <v>Yes</v>
      </c>
      <c r="E168" s="9" t="str">
        <f>_xlfn.XLOOKUP(C168,Tab_Def_Flows[Flow_Name],Tab_Def_Flows[DM?],,0,)</f>
        <v>Yes</v>
      </c>
      <c r="F168" s="9" t="str">
        <f>_xlfn.XLOOKUP(C168,Tab_Def_Flows[Flow_Name],Tab_Def_Flows[CC?],,0,)</f>
        <v>Yes</v>
      </c>
      <c r="G168" s="188">
        <v>2035</v>
      </c>
      <c r="H168" s="189">
        <v>20592.752753664005</v>
      </c>
      <c r="I168" s="6" t="str">
        <f>'0_Configuration'!$C$35</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t="str">
        <f>INDEX(Tab_Def_Flows[[Flow_ID]:[CC_DM_source]],MATCH(Tab_Data_Flows[[#This Row],[Flow_Name]],Tab_Def_Flows[Flow_Name],0),11)</f>
        <v>Yes</v>
      </c>
      <c r="V168" s="6" t="str">
        <f>Tab_Data_Flows[[#This Row],[Flow_ID]]&amp;"_"&amp;"WC_"&amp;Tab_Data_Flows[[#This Row],[Flow_Data_Year]]</f>
        <v>F_00_11_WC_2035</v>
      </c>
      <c r="W168" s="6" t="e">
        <f>IF(D168="Yes",S168*Tab_Data_Flows[[#This Row],[WC_'[%']]],"N.A.")</f>
        <v>#VALUE!</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1112</v>
      </c>
      <c r="D169" s="9" t="str">
        <f>_xlfn.XLOOKUP(C169,Tab_Def_Flows[Flow_Name],Tab_Def_Flows[WC?],,0,)</f>
        <v>Yes</v>
      </c>
      <c r="E169" s="9" t="str">
        <f>_xlfn.XLOOKUP(C169,Tab_Def_Flows[Flow_Name],Tab_Def_Flows[DM?],,0,)</f>
        <v>Yes</v>
      </c>
      <c r="F169" s="9" t="str">
        <f>_xlfn.XLOOKUP(C169,Tab_Def_Flows[Flow_Name],Tab_Def_Flows[CC?],,0,)</f>
        <v>Yes</v>
      </c>
      <c r="G169" s="188">
        <v>2036</v>
      </c>
      <c r="H169" s="189">
        <v>20577.202813440006</v>
      </c>
      <c r="I169" s="6" t="str">
        <f>'0_Configuration'!$C$35</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t="str">
        <f>INDEX(Tab_Def_Flows[[Flow_ID]:[CC_DM_source]],MATCH(Tab_Data_Flows[[#This Row],[Flow_Name]],Tab_Def_Flows[Flow_Name],0),11)</f>
        <v>Yes</v>
      </c>
      <c r="V169" s="6" t="str">
        <f>Tab_Data_Flows[[#This Row],[Flow_ID]]&amp;"_"&amp;"WC_"&amp;Tab_Data_Flows[[#This Row],[Flow_Data_Year]]</f>
        <v>F_00_11_WC_2036</v>
      </c>
      <c r="W169" s="6" t="e">
        <f>IF(D169="Yes",S169*Tab_Data_Flows[[#This Row],[WC_'[%']]],"N.A.")</f>
        <v>#VALUE!</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1112</v>
      </c>
      <c r="D170" s="9" t="str">
        <f>_xlfn.XLOOKUP(C170,Tab_Def_Flows[Flow_Name],Tab_Def_Flows[WC?],,0,)</f>
        <v>Yes</v>
      </c>
      <c r="E170" s="9" t="str">
        <f>_xlfn.XLOOKUP(C170,Tab_Def_Flows[Flow_Name],Tab_Def_Flows[DM?],,0,)</f>
        <v>Yes</v>
      </c>
      <c r="F170" s="9" t="str">
        <f>_xlfn.XLOOKUP(C170,Tab_Def_Flows[Flow_Name],Tab_Def_Flows[CC?],,0,)</f>
        <v>Yes</v>
      </c>
      <c r="G170" s="188">
        <v>2037</v>
      </c>
      <c r="H170" s="189">
        <v>25310.339937792007</v>
      </c>
      <c r="I170" s="6" t="str">
        <f>'0_Configuration'!$C$35</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t="str">
        <f>INDEX(Tab_Def_Flows[[Flow_ID]:[CC_DM_source]],MATCH(Tab_Data_Flows[[#This Row],[Flow_Name]],Tab_Def_Flows[Flow_Name],0),11)</f>
        <v>Yes</v>
      </c>
      <c r="V170" s="6" t="str">
        <f>Tab_Data_Flows[[#This Row],[Flow_ID]]&amp;"_"&amp;"WC_"&amp;Tab_Data_Flows[[#This Row],[Flow_Data_Year]]</f>
        <v>F_00_11_WC_2037</v>
      </c>
      <c r="W170" s="6" t="e">
        <f>IF(D170="Yes",S170*Tab_Data_Flows[[#This Row],[WC_'[%']]],"N.A.")</f>
        <v>#VALUE!</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1112</v>
      </c>
      <c r="D171" s="9" t="str">
        <f>_xlfn.XLOOKUP(C171,Tab_Def_Flows[Flow_Name],Tab_Def_Flows[WC?],,0,)</f>
        <v>Yes</v>
      </c>
      <c r="E171" s="9" t="str">
        <f>_xlfn.XLOOKUP(C171,Tab_Def_Flows[Flow_Name],Tab_Def_Flows[DM?],,0,)</f>
        <v>Yes</v>
      </c>
      <c r="F171" s="9" t="str">
        <f>_xlfn.XLOOKUP(C171,Tab_Def_Flows[Flow_Name],Tab_Def_Flows[CC?],,0,)</f>
        <v>Yes</v>
      </c>
      <c r="G171" s="188">
        <v>2038</v>
      </c>
      <c r="H171" s="189">
        <v>10896.207049728004</v>
      </c>
      <c r="I171" s="6" t="str">
        <f>'0_Configuration'!$C$35</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t="str">
        <f>INDEX(Tab_Def_Flows[[Flow_ID]:[CC_DM_source]],MATCH(Tab_Data_Flows[[#This Row],[Flow_Name]],Tab_Def_Flows[Flow_Name],0),11)</f>
        <v>Yes</v>
      </c>
      <c r="V171" s="6" t="str">
        <f>Tab_Data_Flows[[#This Row],[Flow_ID]]&amp;"_"&amp;"WC_"&amp;Tab_Data_Flows[[#This Row],[Flow_Data_Year]]</f>
        <v>F_00_11_WC_2038</v>
      </c>
      <c r="W171" s="6" t="e">
        <f>IF(D171="Yes",S171*Tab_Data_Flows[[#This Row],[WC_'[%']]],"N.A.")</f>
        <v>#VALUE!</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1112</v>
      </c>
      <c r="D172" s="9" t="str">
        <f>_xlfn.XLOOKUP(C172,Tab_Def_Flows[Flow_Name],Tab_Def_Flows[WC?],,0,)</f>
        <v>Yes</v>
      </c>
      <c r="E172" s="9" t="str">
        <f>_xlfn.XLOOKUP(C172,Tab_Def_Flows[Flow_Name],Tab_Def_Flows[DM?],,0,)</f>
        <v>Yes</v>
      </c>
      <c r="F172" s="9" t="str">
        <f>_xlfn.XLOOKUP(C172,Tab_Def_Flows[Flow_Name],Tab_Def_Flows[CC?],,0,)</f>
        <v>Yes</v>
      </c>
      <c r="G172" s="188">
        <v>2039</v>
      </c>
      <c r="H172" s="189">
        <v>12155.752207872005</v>
      </c>
      <c r="I172" s="6" t="str">
        <f>'0_Configuration'!$C$35</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t="str">
        <f>INDEX(Tab_Def_Flows[[Flow_ID]:[CC_DM_source]],MATCH(Tab_Data_Flows[[#This Row],[Flow_Name]],Tab_Def_Flows[Flow_Name],0),11)</f>
        <v>Yes</v>
      </c>
      <c r="V172" s="6" t="str">
        <f>Tab_Data_Flows[[#This Row],[Flow_ID]]&amp;"_"&amp;"WC_"&amp;Tab_Data_Flows[[#This Row],[Flow_Data_Year]]</f>
        <v>F_00_11_WC_2039</v>
      </c>
      <c r="W172" s="6" t="e">
        <f>IF(D172="Yes",S172*Tab_Data_Flows[[#This Row],[WC_'[%']]],"N.A.")</f>
        <v>#VALUE!</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1112</v>
      </c>
      <c r="D173" s="9" t="str">
        <f>_xlfn.XLOOKUP(C173,Tab_Def_Flows[Flow_Name],Tab_Def_Flows[WC?],,0,)</f>
        <v>Yes</v>
      </c>
      <c r="E173" s="9" t="str">
        <f>_xlfn.XLOOKUP(C173,Tab_Def_Flows[Flow_Name],Tab_Def_Flows[DM?],,0,)</f>
        <v>Yes</v>
      </c>
      <c r="F173" s="9" t="str">
        <f>_xlfn.XLOOKUP(C173,Tab_Def_Flows[Flow_Name],Tab_Def_Flows[CC?],,0,)</f>
        <v>Yes</v>
      </c>
      <c r="G173" s="188">
        <v>2040</v>
      </c>
      <c r="H173" s="189">
        <v>19931.714869248008</v>
      </c>
      <c r="I173" s="6" t="str">
        <f>'0_Configuration'!$C$35</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t="str">
        <f>INDEX(Tab_Def_Flows[[Flow_ID]:[CC_DM_source]],MATCH(Tab_Data_Flows[[#This Row],[Flow_Name]],Tab_Def_Flows[Flow_Name],0),11)</f>
        <v>Yes</v>
      </c>
      <c r="V173" s="6" t="str">
        <f>Tab_Data_Flows[[#This Row],[Flow_ID]]&amp;"_"&amp;"WC_"&amp;Tab_Data_Flows[[#This Row],[Flow_Data_Year]]</f>
        <v>F_00_11_WC_2040</v>
      </c>
      <c r="W173" s="6" t="e">
        <f>IF(D173="Yes",S173*Tab_Data_Flows[[#This Row],[WC_'[%']]],"N.A.")</f>
        <v>#VALUE!</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1112</v>
      </c>
      <c r="D174" s="9" t="str">
        <f>_xlfn.XLOOKUP(C174,Tab_Def_Flows[Flow_Name],Tab_Def_Flows[WC?],,0,)</f>
        <v>Yes</v>
      </c>
      <c r="E174" s="9" t="str">
        <f>_xlfn.XLOOKUP(C174,Tab_Def_Flows[Flow_Name],Tab_Def_Flows[DM?],,0,)</f>
        <v>Yes</v>
      </c>
      <c r="F174" s="9" t="str">
        <f>_xlfn.XLOOKUP(C174,Tab_Def_Flows[Flow_Name],Tab_Def_Flows[CC?],,0,)</f>
        <v>Yes</v>
      </c>
      <c r="G174" s="188">
        <v>2041</v>
      </c>
      <c r="H174" s="189">
        <v>16918.334963712005</v>
      </c>
      <c r="I174" s="6" t="str">
        <f>'0_Configuration'!$C$35</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t="str">
        <f>INDEX(Tab_Def_Flows[[Flow_ID]:[CC_DM_source]],MATCH(Tab_Data_Flows[[#This Row],[Flow_Name]],Tab_Def_Flows[Flow_Name],0),11)</f>
        <v>Yes</v>
      </c>
      <c r="V174" s="6" t="str">
        <f>Tab_Data_Flows[[#This Row],[Flow_ID]]&amp;"_"&amp;"WC_"&amp;Tab_Data_Flows[[#This Row],[Flow_Data_Year]]</f>
        <v>F_00_11_WC_2041</v>
      </c>
      <c r="W174" s="6" t="e">
        <f>IF(D174="Yes",S174*Tab_Data_Flows[[#This Row],[WC_'[%']]],"N.A.")</f>
        <v>#VALUE!</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1112</v>
      </c>
      <c r="D175" s="9" t="str">
        <f>_xlfn.XLOOKUP(C175,Tab_Def_Flows[Flow_Name],Tab_Def_Flows[WC?],,0,)</f>
        <v>Yes</v>
      </c>
      <c r="E175" s="9" t="str">
        <f>_xlfn.XLOOKUP(C175,Tab_Def_Flows[Flow_Name],Tab_Def_Flows[DM?],,0,)</f>
        <v>Yes</v>
      </c>
      <c r="F175" s="9" t="str">
        <f>_xlfn.XLOOKUP(C175,Tab_Def_Flows[Flow_Name],Tab_Def_Flows[CC?],,0,)</f>
        <v>Yes</v>
      </c>
      <c r="G175" s="188">
        <v>2042</v>
      </c>
      <c r="H175" s="189">
        <v>25793.711483904008</v>
      </c>
      <c r="I175" s="6" t="str">
        <f>'0_Configuration'!$C$35</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t="str">
        <f>INDEX(Tab_Def_Flows[[Flow_ID]:[CC_DM_source]],MATCH(Tab_Data_Flows[[#This Row],[Flow_Name]],Tab_Def_Flows[Flow_Name],0),11)</f>
        <v>Yes</v>
      </c>
      <c r="V175" s="6" t="str">
        <f>Tab_Data_Flows[[#This Row],[Flow_ID]]&amp;"_"&amp;"WC_"&amp;Tab_Data_Flows[[#This Row],[Flow_Data_Year]]</f>
        <v>F_00_11_WC_2042</v>
      </c>
      <c r="W175" s="6" t="e">
        <f>IF(D175="Yes",S175*Tab_Data_Flows[[#This Row],[WC_'[%']]],"N.A.")</f>
        <v>#VALUE!</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1112</v>
      </c>
      <c r="D176" s="9" t="str">
        <f>_xlfn.XLOOKUP(C176,Tab_Def_Flows[Flow_Name],Tab_Def_Flows[WC?],,0,)</f>
        <v>Yes</v>
      </c>
      <c r="E176" s="9" t="str">
        <f>_xlfn.XLOOKUP(C176,Tab_Def_Flows[Flow_Name],Tab_Def_Flows[DM?],,0,)</f>
        <v>Yes</v>
      </c>
      <c r="F176" s="9" t="str">
        <f>_xlfn.XLOOKUP(C176,Tab_Def_Flows[Flow_Name],Tab_Def_Flows[CC?],,0,)</f>
        <v>Yes</v>
      </c>
      <c r="G176" s="188">
        <v>2043</v>
      </c>
      <c r="H176" s="189">
        <v>17619.405672960005</v>
      </c>
      <c r="I176" s="6" t="str">
        <f>'0_Configuration'!$C$35</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t="str">
        <f>INDEX(Tab_Def_Flows[[Flow_ID]:[CC_DM_source]],MATCH(Tab_Data_Flows[[#This Row],[Flow_Name]],Tab_Def_Flows[Flow_Name],0),11)</f>
        <v>Yes</v>
      </c>
      <c r="V176" s="6" t="str">
        <f>Tab_Data_Flows[[#This Row],[Flow_ID]]&amp;"_"&amp;"WC_"&amp;Tab_Data_Flows[[#This Row],[Flow_Data_Year]]</f>
        <v>F_00_11_WC_2043</v>
      </c>
      <c r="W176" s="6" t="e">
        <f>IF(D176="Yes",S176*Tab_Data_Flows[[#This Row],[WC_'[%']]],"N.A.")</f>
        <v>#VALUE!</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1112</v>
      </c>
      <c r="D177" s="9" t="str">
        <f>_xlfn.XLOOKUP(C177,Tab_Def_Flows[Flow_Name],Tab_Def_Flows[WC?],,0,)</f>
        <v>Yes</v>
      </c>
      <c r="E177" s="9" t="str">
        <f>_xlfn.XLOOKUP(C177,Tab_Def_Flows[Flow_Name],Tab_Def_Flows[DM?],,0,)</f>
        <v>Yes</v>
      </c>
      <c r="F177" s="9" t="str">
        <f>_xlfn.XLOOKUP(C177,Tab_Def_Flows[Flow_Name],Tab_Def_Flows[CC?],,0,)</f>
        <v>Yes</v>
      </c>
      <c r="G177" s="188">
        <v>2044</v>
      </c>
      <c r="H177" s="189">
        <v>14246.722893312004</v>
      </c>
      <c r="I177" s="6" t="str">
        <f>'0_Configuration'!$C$35</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t="str">
        <f>INDEX(Tab_Def_Flows[[Flow_ID]:[CC_DM_source]],MATCH(Tab_Data_Flows[[#This Row],[Flow_Name]],Tab_Def_Flows[Flow_Name],0),11)</f>
        <v>Yes</v>
      </c>
      <c r="V177" s="6" t="str">
        <f>Tab_Data_Flows[[#This Row],[Flow_ID]]&amp;"_"&amp;"WC_"&amp;Tab_Data_Flows[[#This Row],[Flow_Data_Year]]</f>
        <v>F_00_11_WC_2044</v>
      </c>
      <c r="W177" s="6" t="e">
        <f>IF(D177="Yes",S177*Tab_Data_Flows[[#This Row],[WC_'[%']]],"N.A.")</f>
        <v>#VALUE!</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1112</v>
      </c>
      <c r="D178" s="9" t="str">
        <f>_xlfn.XLOOKUP(C178,Tab_Def_Flows[Flow_Name],Tab_Def_Flows[WC?],,0,)</f>
        <v>Yes</v>
      </c>
      <c r="E178" s="9" t="str">
        <f>_xlfn.XLOOKUP(C178,Tab_Def_Flows[Flow_Name],Tab_Def_Flows[DM?],,0,)</f>
        <v>Yes</v>
      </c>
      <c r="F178" s="9" t="str">
        <f>_xlfn.XLOOKUP(C178,Tab_Def_Flows[Flow_Name],Tab_Def_Flows[CC?],,0,)</f>
        <v>Yes</v>
      </c>
      <c r="G178" s="188">
        <v>2045</v>
      </c>
      <c r="H178" s="189">
        <v>33494.571242496015</v>
      </c>
      <c r="I178" s="6" t="str">
        <f>'0_Configuration'!$C$35</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t="str">
        <f>INDEX(Tab_Def_Flows[[Flow_ID]:[CC_DM_source]],MATCH(Tab_Data_Flows[[#This Row],[Flow_Name]],Tab_Def_Flows[Flow_Name],0),11)</f>
        <v>Yes</v>
      </c>
      <c r="V178" s="6" t="str">
        <f>Tab_Data_Flows[[#This Row],[Flow_ID]]&amp;"_"&amp;"WC_"&amp;Tab_Data_Flows[[#This Row],[Flow_Data_Year]]</f>
        <v>F_00_11_WC_2045</v>
      </c>
      <c r="W178" s="6" t="e">
        <f>IF(D178="Yes",S178*Tab_Data_Flows[[#This Row],[WC_'[%']]],"N.A.")</f>
        <v>#VALUE!</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1112</v>
      </c>
      <c r="D179" s="9" t="str">
        <f>_xlfn.XLOOKUP(C179,Tab_Def_Flows[Flow_Name],Tab_Def_Flows[WC?],,0,)</f>
        <v>Yes</v>
      </c>
      <c r="E179" s="9" t="str">
        <f>_xlfn.XLOOKUP(C179,Tab_Def_Flows[Flow_Name],Tab_Def_Flows[DM?],,0,)</f>
        <v>Yes</v>
      </c>
      <c r="F179" s="9" t="str">
        <f>_xlfn.XLOOKUP(C179,Tab_Def_Flows[Flow_Name],Tab_Def_Flows[CC?],,0,)</f>
        <v>Yes</v>
      </c>
      <c r="G179" s="188">
        <v>2046</v>
      </c>
      <c r="H179" s="189">
        <v>22182.155154432006</v>
      </c>
      <c r="I179" s="6" t="str">
        <f>'0_Configuration'!$C$35</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t="str">
        <f>INDEX(Tab_Def_Flows[[Flow_ID]:[CC_DM_source]],MATCH(Tab_Data_Flows[[#This Row],[Flow_Name]],Tab_Def_Flows[Flow_Name],0),11)</f>
        <v>Yes</v>
      </c>
      <c r="V179" s="6" t="str">
        <f>Tab_Data_Flows[[#This Row],[Flow_ID]]&amp;"_"&amp;"WC_"&amp;Tab_Data_Flows[[#This Row],[Flow_Data_Year]]</f>
        <v>F_00_11_WC_2046</v>
      </c>
      <c r="W179" s="6" t="e">
        <f>IF(D179="Yes",S179*Tab_Data_Flows[[#This Row],[WC_'[%']]],"N.A.")</f>
        <v>#VALUE!</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1112</v>
      </c>
      <c r="D180" s="9" t="str">
        <f>_xlfn.XLOOKUP(C180,Tab_Def_Flows[Flow_Name],Tab_Def_Flows[WC?],,0,)</f>
        <v>Yes</v>
      </c>
      <c r="E180" s="9" t="str">
        <f>_xlfn.XLOOKUP(C180,Tab_Def_Flows[Flow_Name],Tab_Def_Flows[DM?],,0,)</f>
        <v>Yes</v>
      </c>
      <c r="F180" s="9" t="str">
        <f>_xlfn.XLOOKUP(C180,Tab_Def_Flows[Flow_Name],Tab_Def_Flows[CC?],,0,)</f>
        <v>Yes</v>
      </c>
      <c r="G180" s="188">
        <v>2047</v>
      </c>
      <c r="H180" s="189">
        <v>24143.763571200008</v>
      </c>
      <c r="I180" s="6" t="str">
        <f>'0_Configuration'!$C$35</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t="str">
        <f>INDEX(Tab_Def_Flows[[Flow_ID]:[CC_DM_source]],MATCH(Tab_Data_Flows[[#This Row],[Flow_Name]],Tab_Def_Flows[Flow_Name],0),11)</f>
        <v>Yes</v>
      </c>
      <c r="V180" s="6" t="str">
        <f>Tab_Data_Flows[[#This Row],[Flow_ID]]&amp;"_"&amp;"WC_"&amp;Tab_Data_Flows[[#This Row],[Flow_Data_Year]]</f>
        <v>F_00_11_WC_2047</v>
      </c>
      <c r="W180" s="6" t="e">
        <f>IF(D180="Yes",S180*Tab_Data_Flows[[#This Row],[WC_'[%']]],"N.A.")</f>
        <v>#VALUE!</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1112</v>
      </c>
      <c r="D181" s="9" t="str">
        <f>_xlfn.XLOOKUP(C181,Tab_Def_Flows[Flow_Name],Tab_Def_Flows[WC?],,0,)</f>
        <v>Yes</v>
      </c>
      <c r="E181" s="9" t="str">
        <f>_xlfn.XLOOKUP(C181,Tab_Def_Flows[Flow_Name],Tab_Def_Flows[DM?],,0,)</f>
        <v>Yes</v>
      </c>
      <c r="F181" s="9" t="str">
        <f>_xlfn.XLOOKUP(C181,Tab_Def_Flows[Flow_Name],Tab_Def_Flows[CC?],,0,)</f>
        <v>Yes</v>
      </c>
      <c r="G181" s="188">
        <v>2048</v>
      </c>
      <c r="H181" s="189">
        <v>14163.348745728004</v>
      </c>
      <c r="I181" s="6" t="str">
        <f>'0_Configuration'!$C$35</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t="str">
        <f>INDEX(Tab_Def_Flows[[Flow_ID]:[CC_DM_source]],MATCH(Tab_Data_Flows[[#This Row],[Flow_Name]],Tab_Def_Flows[Flow_Name],0),11)</f>
        <v>Yes</v>
      </c>
      <c r="V181" s="6" t="str">
        <f>Tab_Data_Flows[[#This Row],[Flow_ID]]&amp;"_"&amp;"WC_"&amp;Tab_Data_Flows[[#This Row],[Flow_Data_Year]]</f>
        <v>F_00_11_WC_2048</v>
      </c>
      <c r="W181" s="6" t="e">
        <f>IF(D181="Yes",S181*Tab_Data_Flows[[#This Row],[WC_'[%']]],"N.A.")</f>
        <v>#VALUE!</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1112</v>
      </c>
      <c r="D182" s="9" t="str">
        <f>_xlfn.XLOOKUP(C182,Tab_Def_Flows[Flow_Name],Tab_Def_Flows[WC?],,0,)</f>
        <v>Yes</v>
      </c>
      <c r="E182" s="9" t="str">
        <f>_xlfn.XLOOKUP(C182,Tab_Def_Flows[Flow_Name],Tab_Def_Flows[DM?],,0,)</f>
        <v>Yes</v>
      </c>
      <c r="F182" s="9" t="str">
        <f>_xlfn.XLOOKUP(C182,Tab_Def_Flows[Flow_Name],Tab_Def_Flows[CC?],,0,)</f>
        <v>Yes</v>
      </c>
      <c r="G182" s="188">
        <v>2049</v>
      </c>
      <c r="H182" s="189">
        <v>20051.151644160007</v>
      </c>
      <c r="I182" s="6" t="str">
        <f>'0_Configuration'!$C$35</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t="str">
        <f>INDEX(Tab_Def_Flows[[Flow_ID]:[CC_DM_source]],MATCH(Tab_Data_Flows[[#This Row],[Flow_Name]],Tab_Def_Flows[Flow_Name],0),11)</f>
        <v>Yes</v>
      </c>
      <c r="V182" s="6" t="str">
        <f>Tab_Data_Flows[[#This Row],[Flow_ID]]&amp;"_"&amp;"WC_"&amp;Tab_Data_Flows[[#This Row],[Flow_Data_Year]]</f>
        <v>F_00_11_WC_2049</v>
      </c>
      <c r="W182" s="6" t="e">
        <f>IF(D182="Yes",S182*Tab_Data_Flows[[#This Row],[WC_'[%']]],"N.A.")</f>
        <v>#VALUE!</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1112</v>
      </c>
      <c r="D183" s="9" t="str">
        <f>_xlfn.XLOOKUP(C183,Tab_Def_Flows[Flow_Name],Tab_Def_Flows[WC?],,0,)</f>
        <v>Yes</v>
      </c>
      <c r="E183" s="9" t="str">
        <f>_xlfn.XLOOKUP(C183,Tab_Def_Flows[Flow_Name],Tab_Def_Flows[DM?],,0,)</f>
        <v>Yes</v>
      </c>
      <c r="F183" s="9" t="str">
        <f>_xlfn.XLOOKUP(C183,Tab_Def_Flows[Flow_Name],Tab_Def_Flows[CC?],,0,)</f>
        <v>Yes</v>
      </c>
      <c r="G183" s="188">
        <v>2050</v>
      </c>
      <c r="H183" s="189">
        <v>24433.918838784008</v>
      </c>
      <c r="I183" s="6" t="str">
        <f>'0_Configuration'!$C$35</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t="str">
        <f>INDEX(Tab_Def_Flows[[Flow_ID]:[CC_DM_source]],MATCH(Tab_Data_Flows[[#This Row],[Flow_Name]],Tab_Def_Flows[Flow_Name],0),11)</f>
        <v>Yes</v>
      </c>
      <c r="V183" s="6" t="str">
        <f>Tab_Data_Flows[[#This Row],[Flow_ID]]&amp;"_"&amp;"WC_"&amp;Tab_Data_Flows[[#This Row],[Flow_Data_Year]]</f>
        <v>F_00_11_WC_2050</v>
      </c>
      <c r="W183" s="6" t="e">
        <f>IF(D183="Yes",S183*Tab_Data_Flows[[#This Row],[WC_'[%']]],"N.A.")</f>
        <v>#VALUE!</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'0_Configuration'!$C$35</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t="str">
        <f>INDEX(Tab_Def_Flows[[Flow_ID]:[CC_DM_source]],MATCH(Tab_Data_Flows[[#This Row],[Flow_Name]],Tab_Def_Flows[Flow_Name],0),11)</f>
        <v>Yes</v>
      </c>
      <c r="V184" s="6" t="str">
        <f>Tab_Data_Flows[[#This Row],[Flow_ID]]&amp;"_"&amp;"WC_"&amp;Tab_Data_Flows[[#This Row],[Flow_Data_Year]]</f>
        <v>F___WC_</v>
      </c>
      <c r="W184" s="6" t="e">
        <f>IF(D184="Yes",S184*Tab_Data_Flows[[#This Row],[WC_'[%']]],"N.A.")</f>
        <v>#VALUE!</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'0_Configuration'!$C$35</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t="str">
        <f>INDEX(Tab_Def_Flows[[Flow_ID]:[CC_DM_source]],MATCH(Tab_Data_Flows[[#This Row],[Flow_Name]],Tab_Def_Flows[Flow_Name],0),11)</f>
        <v>Yes</v>
      </c>
      <c r="V185" s="6" t="str">
        <f>Tab_Data_Flows[[#This Row],[Flow_ID]]&amp;"_"&amp;"WC_"&amp;Tab_Data_Flows[[#This Row],[Flow_Data_Year]]</f>
        <v>F___WC_</v>
      </c>
      <c r="W185" s="6" t="e">
        <f>IF(D185="Yes",S185*Tab_Data_Flows[[#This Row],[WC_'[%']]],"N.A.")</f>
        <v>#VALUE!</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'0_Configuration'!$C$35</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t="str">
        <f>INDEX(Tab_Def_Flows[[Flow_ID]:[CC_DM_source]],MATCH(Tab_Data_Flows[[#This Row],[Flow_Name]],Tab_Def_Flows[Flow_Name],0),11)</f>
        <v>Yes</v>
      </c>
      <c r="V186" s="6" t="str">
        <f>Tab_Data_Flows[[#This Row],[Flow_ID]]&amp;"_"&amp;"WC_"&amp;Tab_Data_Flows[[#This Row],[Flow_Data_Year]]</f>
        <v>F___WC_</v>
      </c>
      <c r="W186" s="6" t="e">
        <f>IF(D186="Yes",S186*Tab_Data_Flows[[#This Row],[WC_'[%']]],"N.A.")</f>
        <v>#VALUE!</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'0_Configuration'!$C$35</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t="str">
        <f>INDEX(Tab_Def_Flows[[Flow_ID]:[CC_DM_source]],MATCH(Tab_Data_Flows[[#This Row],[Flow_Name]],Tab_Def_Flows[Flow_Name],0),11)</f>
        <v>Yes</v>
      </c>
      <c r="V187" s="6" t="str">
        <f>Tab_Data_Flows[[#This Row],[Flow_ID]]&amp;"_"&amp;"WC_"&amp;Tab_Data_Flows[[#This Row],[Flow_Data_Year]]</f>
        <v>F___WC_</v>
      </c>
      <c r="W187" s="6" t="e">
        <f>IF(D187="Yes",S187*Tab_Data_Flows[[#This Row],[WC_'[%']]],"N.A.")</f>
        <v>#VALUE!</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'0_Configuration'!$C$35</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t="str">
        <f>INDEX(Tab_Def_Flows[[Flow_ID]:[CC_DM_source]],MATCH(Tab_Data_Flows[[#This Row],[Flow_Name]],Tab_Def_Flows[Flow_Name],0),11)</f>
        <v>Yes</v>
      </c>
      <c r="V188" s="6" t="str">
        <f>Tab_Data_Flows[[#This Row],[Flow_ID]]&amp;"_"&amp;"WC_"&amp;Tab_Data_Flows[[#This Row],[Flow_Data_Year]]</f>
        <v>F___WC_</v>
      </c>
      <c r="W188" s="6" t="e">
        <f>IF(D188="Yes",S188*Tab_Data_Flows[[#This Row],[WC_'[%']]],"N.A.")</f>
        <v>#VALUE!</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'0_Configuration'!$C$35</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t="str">
        <f>INDEX(Tab_Def_Flows[[Flow_ID]:[CC_DM_source]],MATCH(Tab_Data_Flows[[#This Row],[Flow_Name]],Tab_Def_Flows[Flow_Name],0),11)</f>
        <v>Yes</v>
      </c>
      <c r="V189" s="6" t="str">
        <f>Tab_Data_Flows[[#This Row],[Flow_ID]]&amp;"_"&amp;"WC_"&amp;Tab_Data_Flows[[#This Row],[Flow_Data_Year]]</f>
        <v>F___WC_</v>
      </c>
      <c r="W189" s="6" t="e">
        <f>IF(D189="Yes",S189*Tab_Data_Flows[[#This Row],[WC_'[%']]],"N.A.")</f>
        <v>#VALUE!</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'0_Configuration'!$C$35</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t="str">
        <f>INDEX(Tab_Def_Flows[[Flow_ID]:[CC_DM_source]],MATCH(Tab_Data_Flows[[#This Row],[Flow_Name]],Tab_Def_Flows[Flow_Name],0),11)</f>
        <v>Yes</v>
      </c>
      <c r="V190" s="6" t="str">
        <f>Tab_Data_Flows[[#This Row],[Flow_ID]]&amp;"_"&amp;"WC_"&amp;Tab_Data_Flows[[#This Row],[Flow_Data_Year]]</f>
        <v>F___WC_</v>
      </c>
      <c r="W190" s="6" t="e">
        <f>IF(D190="Yes",S190*Tab_Data_Flows[[#This Row],[WC_'[%']]],"N.A.")</f>
        <v>#VALUE!</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'0_Configuration'!$C$35</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t="str">
        <f>INDEX(Tab_Def_Flows[[Flow_ID]:[CC_DM_source]],MATCH(Tab_Data_Flows[[#This Row],[Flow_Name]],Tab_Def_Flows[Flow_Name],0),11)</f>
        <v>Yes</v>
      </c>
      <c r="V191" s="6" t="str">
        <f>Tab_Data_Flows[[#This Row],[Flow_ID]]&amp;"_"&amp;"WC_"&amp;Tab_Data_Flows[[#This Row],[Flow_Data_Year]]</f>
        <v>F___WC_</v>
      </c>
      <c r="W191" s="6" t="e">
        <f>IF(D191="Yes",S191*Tab_Data_Flows[[#This Row],[WC_'[%']]],"N.A.")</f>
        <v>#VALUE!</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'0_Configuration'!$C$35</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t="str">
        <f>INDEX(Tab_Def_Flows[[Flow_ID]:[CC_DM_source]],MATCH(Tab_Data_Flows[[#This Row],[Flow_Name]],Tab_Def_Flows[Flow_Name],0),11)</f>
        <v>Yes</v>
      </c>
      <c r="V192" s="6" t="str">
        <f>Tab_Data_Flows[[#This Row],[Flow_ID]]&amp;"_"&amp;"WC_"&amp;Tab_Data_Flows[[#This Row],[Flow_Data_Year]]</f>
        <v>F___WC_</v>
      </c>
      <c r="W192" s="6" t="e">
        <f>IF(D192="Yes",S192*Tab_Data_Flows[[#This Row],[WC_'[%']]],"N.A.")</f>
        <v>#VALUE!</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'0_Configuration'!$C$35</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t="str">
        <f>INDEX(Tab_Def_Flows[[Flow_ID]:[CC_DM_source]],MATCH(Tab_Data_Flows[[#This Row],[Flow_Name]],Tab_Def_Flows[Flow_Name],0),11)</f>
        <v>Yes</v>
      </c>
      <c r="V193" s="6" t="str">
        <f>Tab_Data_Flows[[#This Row],[Flow_ID]]&amp;"_"&amp;"WC_"&amp;Tab_Data_Flows[[#This Row],[Flow_Data_Year]]</f>
        <v>F___WC_</v>
      </c>
      <c r="W193" s="6" t="e">
        <f>IF(D193="Yes",S193*Tab_Data_Flows[[#This Row],[WC_'[%']]],"N.A.")</f>
        <v>#VALUE!</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'0_Configuration'!$C$35</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t="str">
        <f>INDEX(Tab_Def_Flows[[Flow_ID]:[CC_DM_source]],MATCH(Tab_Data_Flows[[#This Row],[Flow_Name]],Tab_Def_Flows[Flow_Name],0),11)</f>
        <v>Yes</v>
      </c>
      <c r="V194" s="6" t="str">
        <f>Tab_Data_Flows[[#This Row],[Flow_ID]]&amp;"_"&amp;"WC_"&amp;Tab_Data_Flows[[#This Row],[Flow_Data_Year]]</f>
        <v>F___WC_</v>
      </c>
      <c r="W194" s="6" t="e">
        <f>IF(D194="Yes",S194*Tab_Data_Flows[[#This Row],[WC_'[%']]],"N.A.")</f>
        <v>#VALUE!</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'0_Configuration'!$C$35</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t="str">
        <f>INDEX(Tab_Def_Flows[[Flow_ID]:[CC_DM_source]],MATCH(Tab_Data_Flows[[#This Row],[Flow_Name]],Tab_Def_Flows[Flow_Name],0),11)</f>
        <v>Yes</v>
      </c>
      <c r="V195" s="6" t="str">
        <f>Tab_Data_Flows[[#This Row],[Flow_ID]]&amp;"_"&amp;"WC_"&amp;Tab_Data_Flows[[#This Row],[Flow_Data_Year]]</f>
        <v>F___WC_</v>
      </c>
      <c r="W195" s="6" t="e">
        <f>IF(D195="Yes",S195*Tab_Data_Flows[[#This Row],[WC_'[%']]],"N.A.")</f>
        <v>#VALUE!</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'0_Configuration'!$C$35</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t="str">
        <f>INDEX(Tab_Def_Flows[[Flow_ID]:[CC_DM_source]],MATCH(Tab_Data_Flows[[#This Row],[Flow_Name]],Tab_Def_Flows[Flow_Name],0),11)</f>
        <v>Yes</v>
      </c>
      <c r="V196" s="6" t="str">
        <f>Tab_Data_Flows[[#This Row],[Flow_ID]]&amp;"_"&amp;"WC_"&amp;Tab_Data_Flows[[#This Row],[Flow_Data_Year]]</f>
        <v>F___WC_</v>
      </c>
      <c r="W196" s="6" t="e">
        <f>IF(D196="Yes",S196*Tab_Data_Flows[[#This Row],[WC_'[%']]],"N.A.")</f>
        <v>#VALUE!</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'0_Configuration'!$C$35</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t="str">
        <f>INDEX(Tab_Def_Flows[[Flow_ID]:[CC_DM_source]],MATCH(Tab_Data_Flows[[#This Row],[Flow_Name]],Tab_Def_Flows[Flow_Name],0),11)</f>
        <v>Yes</v>
      </c>
      <c r="V197" s="6" t="str">
        <f>Tab_Data_Flows[[#This Row],[Flow_ID]]&amp;"_"&amp;"WC_"&amp;Tab_Data_Flows[[#This Row],[Flow_Data_Year]]</f>
        <v>F___WC_</v>
      </c>
      <c r="W197" s="6" t="e">
        <f>IF(D197="Yes",S197*Tab_Data_Flows[[#This Row],[WC_'[%']]],"N.A.")</f>
        <v>#VALUE!</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'0_Configuration'!$C$35</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t="str">
        <f>INDEX(Tab_Def_Flows[[Flow_ID]:[CC_DM_source]],MATCH(Tab_Data_Flows[[#This Row],[Flow_Name]],Tab_Def_Flows[Flow_Name],0),11)</f>
        <v>Yes</v>
      </c>
      <c r="V198" s="6" t="str">
        <f>Tab_Data_Flows[[#This Row],[Flow_ID]]&amp;"_"&amp;"WC_"&amp;Tab_Data_Flows[[#This Row],[Flow_Data_Year]]</f>
        <v>F___WC_</v>
      </c>
      <c r="W198" s="6" t="e">
        <f>IF(D198="Yes",S198*Tab_Data_Flows[[#This Row],[WC_'[%']]],"N.A.")</f>
        <v>#VALUE!</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'0_Configuration'!$C$35</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t="str">
        <f>INDEX(Tab_Def_Flows[[Flow_ID]:[CC_DM_source]],MATCH(Tab_Data_Flows[[#This Row],[Flow_Name]],Tab_Def_Flows[Flow_Name],0),11)</f>
        <v>Yes</v>
      </c>
      <c r="V199" s="6" t="str">
        <f>Tab_Data_Flows[[#This Row],[Flow_ID]]&amp;"_"&amp;"WC_"&amp;Tab_Data_Flows[[#This Row],[Flow_Data_Year]]</f>
        <v>F___WC_</v>
      </c>
      <c r="W199" s="6" t="e">
        <f>IF(D199="Yes",S199*Tab_Data_Flows[[#This Row],[WC_'[%']]],"N.A.")</f>
        <v>#VALUE!</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'0_Configuration'!$C$35</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t="str">
        <f>INDEX(Tab_Def_Flows[[Flow_ID]:[CC_DM_source]],MATCH(Tab_Data_Flows[[#This Row],[Flow_Name]],Tab_Def_Flows[Flow_Name],0),11)</f>
        <v>Yes</v>
      </c>
      <c r="V200" s="6" t="str">
        <f>Tab_Data_Flows[[#This Row],[Flow_ID]]&amp;"_"&amp;"WC_"&amp;Tab_Data_Flows[[#This Row],[Flow_Data_Year]]</f>
        <v>F___WC_</v>
      </c>
      <c r="W200" s="6" t="e">
        <f>IF(D200="Yes",S200*Tab_Data_Flows[[#This Row],[WC_'[%']]],"N.A.")</f>
        <v>#VALUE!</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'0_Configuration'!$C$35</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t="str">
        <f>INDEX(Tab_Def_Flows[[Flow_ID]:[CC_DM_source]],MATCH(Tab_Data_Flows[[#This Row],[Flow_Name]],Tab_Def_Flows[Flow_Name],0),11)</f>
        <v>Yes</v>
      </c>
      <c r="V201" s="6" t="str">
        <f>Tab_Data_Flows[[#This Row],[Flow_ID]]&amp;"_"&amp;"WC_"&amp;Tab_Data_Flows[[#This Row],[Flow_Data_Year]]</f>
        <v>F___WC_</v>
      </c>
      <c r="W201" s="6" t="e">
        <f>IF(D201="Yes",S201*Tab_Data_Flows[[#This Row],[WC_'[%']]],"N.A.")</f>
        <v>#VALUE!</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'0_Configuration'!$C$35</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t="str">
        <f>INDEX(Tab_Def_Flows[[Flow_ID]:[CC_DM_source]],MATCH(Tab_Data_Flows[[#This Row],[Flow_Name]],Tab_Def_Flows[Flow_Name],0),11)</f>
        <v>Yes</v>
      </c>
      <c r="V202" s="6" t="str">
        <f>Tab_Data_Flows[[#This Row],[Flow_ID]]&amp;"_"&amp;"WC_"&amp;Tab_Data_Flows[[#This Row],[Flow_Data_Year]]</f>
        <v>F___WC_</v>
      </c>
      <c r="W202" s="6" t="e">
        <f>IF(D202="Yes",S202*Tab_Data_Flows[[#This Row],[WC_'[%']]],"N.A.")</f>
        <v>#VALUE!</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'0_Configuration'!$C$35</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t="str">
        <f>INDEX(Tab_Def_Flows[[Flow_ID]:[CC_DM_source]],MATCH(Tab_Data_Flows[[#This Row],[Flow_Name]],Tab_Def_Flows[Flow_Name],0),11)</f>
        <v>Yes</v>
      </c>
      <c r="V203" s="6" t="str">
        <f>Tab_Data_Flows[[#This Row],[Flow_ID]]&amp;"_"&amp;"WC_"&amp;Tab_Data_Flows[[#This Row],[Flow_Data_Year]]</f>
        <v>F___WC_</v>
      </c>
      <c r="W203" s="6" t="e">
        <f>IF(D203="Yes",S203*Tab_Data_Flows[[#This Row],[WC_'[%']]],"N.A.")</f>
        <v>#VALUE!</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'0_Configuration'!$C$35</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t="str">
        <f>INDEX(Tab_Def_Flows[[Flow_ID]:[CC_DM_source]],MATCH(Tab_Data_Flows[[#This Row],[Flow_Name]],Tab_Def_Flows[Flow_Name],0),11)</f>
        <v>Yes</v>
      </c>
      <c r="V204" s="6" t="str">
        <f>Tab_Data_Flows[[#This Row],[Flow_ID]]&amp;"_"&amp;"WC_"&amp;Tab_Data_Flows[[#This Row],[Flow_Data_Year]]</f>
        <v>F___WC_</v>
      </c>
      <c r="W204" s="6" t="e">
        <f>IF(D204="Yes",S204*Tab_Data_Flows[[#This Row],[WC_'[%']]],"N.A.")</f>
        <v>#VALUE!</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'0_Configuration'!$C$35</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t="str">
        <f>INDEX(Tab_Def_Flows[[Flow_ID]:[CC_DM_source]],MATCH(Tab_Data_Flows[[#This Row],[Flow_Name]],Tab_Def_Flows[Flow_Name],0),11)</f>
        <v>Yes</v>
      </c>
      <c r="V205" s="6" t="str">
        <f>Tab_Data_Flows[[#This Row],[Flow_ID]]&amp;"_"&amp;"WC_"&amp;Tab_Data_Flows[[#This Row],[Flow_Data_Year]]</f>
        <v>F___WC_</v>
      </c>
      <c r="W205" s="6" t="e">
        <f>IF(D205="Yes",S205*Tab_Data_Flows[[#This Row],[WC_'[%']]],"N.A.")</f>
        <v>#VALUE!</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'0_Configuration'!$C$35</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t="str">
        <f>INDEX(Tab_Def_Flows[[Flow_ID]:[CC_DM_source]],MATCH(Tab_Data_Flows[[#This Row],[Flow_Name]],Tab_Def_Flows[Flow_Name],0),11)</f>
        <v>Yes</v>
      </c>
      <c r="V206" s="6" t="str">
        <f>Tab_Data_Flows[[#This Row],[Flow_ID]]&amp;"_"&amp;"WC_"&amp;Tab_Data_Flows[[#This Row],[Flow_Data_Year]]</f>
        <v>F___WC_</v>
      </c>
      <c r="W206" s="6" t="e">
        <f>IF(D206="Yes",S206*Tab_Data_Flows[[#This Row],[WC_'[%']]],"N.A.")</f>
        <v>#VALUE!</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'0_Configuration'!$C$35</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t="str">
        <f>INDEX(Tab_Def_Flows[[Flow_ID]:[CC_DM_source]],MATCH(Tab_Data_Flows[[#This Row],[Flow_Name]],Tab_Def_Flows[Flow_Name],0),11)</f>
        <v>Yes</v>
      </c>
      <c r="V207" s="6" t="str">
        <f>Tab_Data_Flows[[#This Row],[Flow_ID]]&amp;"_"&amp;"WC_"&amp;Tab_Data_Flows[[#This Row],[Flow_Data_Year]]</f>
        <v>F___WC_</v>
      </c>
      <c r="W207" s="6" t="e">
        <f>IF(D207="Yes",S207*Tab_Data_Flows[[#This Row],[WC_'[%']]],"N.A.")</f>
        <v>#VALUE!</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'0_Configuration'!$C$35</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t="str">
        <f>INDEX(Tab_Def_Flows[[Flow_ID]:[CC_DM_source]],MATCH(Tab_Data_Flows[[#This Row],[Flow_Name]],Tab_Def_Flows[Flow_Name],0),11)</f>
        <v>Yes</v>
      </c>
      <c r="V208" s="6" t="str">
        <f>Tab_Data_Flows[[#This Row],[Flow_ID]]&amp;"_"&amp;"WC_"&amp;Tab_Data_Flows[[#This Row],[Flow_Data_Year]]</f>
        <v>F___WC_</v>
      </c>
      <c r="W208" s="6" t="e">
        <f>IF(D208="Yes",S208*Tab_Data_Flows[[#This Row],[WC_'[%']]],"N.A.")</f>
        <v>#VALUE!</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'0_Configuration'!$C$35</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t="str">
        <f>INDEX(Tab_Def_Flows[[Flow_ID]:[CC_DM_source]],MATCH(Tab_Data_Flows[[#This Row],[Flow_Name]],Tab_Def_Flows[Flow_Name],0),11)</f>
        <v>Yes</v>
      </c>
      <c r="V209" s="6" t="str">
        <f>Tab_Data_Flows[[#This Row],[Flow_ID]]&amp;"_"&amp;"WC_"&amp;Tab_Data_Flows[[#This Row],[Flow_Data_Year]]</f>
        <v>F___WC_</v>
      </c>
      <c r="W209" s="6" t="e">
        <f>IF(D209="Yes",S209*Tab_Data_Flows[[#This Row],[WC_'[%']]],"N.A.")</f>
        <v>#VALUE!</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'0_Configuration'!$C$35</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t="str">
        <f>INDEX(Tab_Def_Flows[[Flow_ID]:[CC_DM_source]],MATCH(Tab_Data_Flows[[#This Row],[Flow_Name]],Tab_Def_Flows[Flow_Name],0),11)</f>
        <v>Yes</v>
      </c>
      <c r="V210" s="6" t="str">
        <f>Tab_Data_Flows[[#This Row],[Flow_ID]]&amp;"_"&amp;"WC_"&amp;Tab_Data_Flows[[#This Row],[Flow_Data_Year]]</f>
        <v>F___WC_</v>
      </c>
      <c r="W210" s="6" t="e">
        <f>IF(D210="Yes",S210*Tab_Data_Flows[[#This Row],[WC_'[%']]],"N.A.")</f>
        <v>#VALUE!</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'0_Configuration'!$C$35</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t="str">
        <f>INDEX(Tab_Def_Flows[[Flow_ID]:[CC_DM_source]],MATCH(Tab_Data_Flows[[#This Row],[Flow_Name]],Tab_Def_Flows[Flow_Name],0),11)</f>
        <v>Yes</v>
      </c>
      <c r="V211" s="6" t="str">
        <f>Tab_Data_Flows[[#This Row],[Flow_ID]]&amp;"_"&amp;"WC_"&amp;Tab_Data_Flows[[#This Row],[Flow_Data_Year]]</f>
        <v>F___WC_</v>
      </c>
      <c r="W211" s="6" t="e">
        <f>IF(D211="Yes",S211*Tab_Data_Flows[[#This Row],[WC_'[%']]],"N.A.")</f>
        <v>#VALUE!</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'0_Configuration'!$C$35</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t="str">
        <f>INDEX(Tab_Def_Flows[[Flow_ID]:[CC_DM_source]],MATCH(Tab_Data_Flows[[#This Row],[Flow_Name]],Tab_Def_Flows[Flow_Name],0),11)</f>
        <v>Yes</v>
      </c>
      <c r="V212" s="6" t="str">
        <f>Tab_Data_Flows[[#This Row],[Flow_ID]]&amp;"_"&amp;"WC_"&amp;Tab_Data_Flows[[#This Row],[Flow_Data_Year]]</f>
        <v>F___WC_</v>
      </c>
      <c r="W212" s="6" t="e">
        <f>IF(D212="Yes",S212*Tab_Data_Flows[[#This Row],[WC_'[%']]],"N.A.")</f>
        <v>#VALUE!</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'0_Configuration'!$C$35</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t="str">
        <f>INDEX(Tab_Def_Flows[[Flow_ID]:[CC_DM_source]],MATCH(Tab_Data_Flows[[#This Row],[Flow_Name]],Tab_Def_Flows[Flow_Name],0),11)</f>
        <v>Yes</v>
      </c>
      <c r="V213" s="6" t="str">
        <f>Tab_Data_Flows[[#This Row],[Flow_ID]]&amp;"_"&amp;"WC_"&amp;Tab_Data_Flows[[#This Row],[Flow_Data_Year]]</f>
        <v>F___WC_</v>
      </c>
      <c r="W213" s="6" t="e">
        <f>IF(D213="Yes",S213*Tab_Data_Flows[[#This Row],[WC_'[%']]],"N.A.")</f>
        <v>#VALUE!</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'0_Configuration'!$C$35</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t="str">
        <f>INDEX(Tab_Def_Flows[[Flow_ID]:[CC_DM_source]],MATCH(Tab_Data_Flows[[#This Row],[Flow_Name]],Tab_Def_Flows[Flow_Name],0),11)</f>
        <v>Yes</v>
      </c>
      <c r="V214" s="6" t="str">
        <f>Tab_Data_Flows[[#This Row],[Flow_ID]]&amp;"_"&amp;"WC_"&amp;Tab_Data_Flows[[#This Row],[Flow_Data_Year]]</f>
        <v>F___WC_</v>
      </c>
      <c r="W214" s="6" t="e">
        <f>IF(D214="Yes",S214*Tab_Data_Flows[[#This Row],[WC_'[%']]],"N.A.")</f>
        <v>#VALUE!</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'0_Configuration'!$C$35</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t="str">
        <f>INDEX(Tab_Def_Flows[[Flow_ID]:[CC_DM_source]],MATCH(Tab_Data_Flows[[#This Row],[Flow_Name]],Tab_Def_Flows[Flow_Name],0),11)</f>
        <v>Yes</v>
      </c>
      <c r="V215" s="6" t="str">
        <f>Tab_Data_Flows[[#This Row],[Flow_ID]]&amp;"_"&amp;"WC_"&amp;Tab_Data_Flows[[#This Row],[Flow_Data_Year]]</f>
        <v>F___WC_</v>
      </c>
      <c r="W215" s="6" t="e">
        <f>IF(D215="Yes",S215*Tab_Data_Flows[[#This Row],[WC_'[%']]],"N.A.")</f>
        <v>#VALUE!</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'0_Configuration'!$C$35</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t="str">
        <f>INDEX(Tab_Def_Flows[[Flow_ID]:[CC_DM_source]],MATCH(Tab_Data_Flows[[#This Row],[Flow_Name]],Tab_Def_Flows[Flow_Name],0),11)</f>
        <v>Yes</v>
      </c>
      <c r="V216" s="6" t="str">
        <f>Tab_Data_Flows[[#This Row],[Flow_ID]]&amp;"_"&amp;"WC_"&amp;Tab_Data_Flows[[#This Row],[Flow_Data_Year]]</f>
        <v>F___WC_</v>
      </c>
      <c r="W216" s="6" t="e">
        <f>IF(D216="Yes",S216*Tab_Data_Flows[[#This Row],[WC_'[%']]],"N.A.")</f>
        <v>#VALUE!</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'0_Configuration'!$C$35</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t="str">
        <f>INDEX(Tab_Def_Flows[[Flow_ID]:[CC_DM_source]],MATCH(Tab_Data_Flows[[#This Row],[Flow_Name]],Tab_Def_Flows[Flow_Name],0),11)</f>
        <v>Yes</v>
      </c>
      <c r="V217" s="6" t="str">
        <f>Tab_Data_Flows[[#This Row],[Flow_ID]]&amp;"_"&amp;"WC_"&amp;Tab_Data_Flows[[#This Row],[Flow_Data_Year]]</f>
        <v>F___WC_</v>
      </c>
      <c r="W217" s="6" t="e">
        <f>IF(D217="Yes",S217*Tab_Data_Flows[[#This Row],[WC_'[%']]],"N.A.")</f>
        <v>#VALUE!</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'0_Configuration'!$C$35</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t="str">
        <f>INDEX(Tab_Def_Flows[[Flow_ID]:[CC_DM_source]],MATCH(Tab_Data_Flows[[#This Row],[Flow_Name]],Tab_Def_Flows[Flow_Name],0),11)</f>
        <v>Yes</v>
      </c>
      <c r="V218" s="6" t="str">
        <f>Tab_Data_Flows[[#This Row],[Flow_ID]]&amp;"_"&amp;"WC_"&amp;Tab_Data_Flows[[#This Row],[Flow_Data_Year]]</f>
        <v>F___WC_</v>
      </c>
      <c r="W218" s="6" t="e">
        <f>IF(D218="Yes",S218*Tab_Data_Flows[[#This Row],[WC_'[%']]],"N.A.")</f>
        <v>#VALUE!</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'0_Configuration'!$C$35</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t="str">
        <f>INDEX(Tab_Def_Flows[[Flow_ID]:[CC_DM_source]],MATCH(Tab_Data_Flows[[#This Row],[Flow_Name]],Tab_Def_Flows[Flow_Name],0),11)</f>
        <v>Yes</v>
      </c>
      <c r="V219" s="6" t="str">
        <f>Tab_Data_Flows[[#This Row],[Flow_ID]]&amp;"_"&amp;"WC_"&amp;Tab_Data_Flows[[#This Row],[Flow_Data_Year]]</f>
        <v>F___WC_</v>
      </c>
      <c r="W219" s="6" t="e">
        <f>IF(D219="Yes",S219*Tab_Data_Flows[[#This Row],[WC_'[%']]],"N.A.")</f>
        <v>#VALUE!</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'0_Configuration'!$C$35</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t="str">
        <f>INDEX(Tab_Def_Flows[[Flow_ID]:[CC_DM_source]],MATCH(Tab_Data_Flows[[#This Row],[Flow_Name]],Tab_Def_Flows[Flow_Name],0),11)</f>
        <v>Yes</v>
      </c>
      <c r="V220" s="6" t="str">
        <f>Tab_Data_Flows[[#This Row],[Flow_ID]]&amp;"_"&amp;"WC_"&amp;Tab_Data_Flows[[#This Row],[Flow_Data_Year]]</f>
        <v>F___WC_</v>
      </c>
      <c r="W220" s="6" t="e">
        <f>IF(D220="Yes",S220*Tab_Data_Flows[[#This Row],[WC_'[%']]],"N.A.")</f>
        <v>#VALUE!</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'0_Configuration'!$C$35</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t="str">
        <f>INDEX(Tab_Def_Flows[[Flow_ID]:[CC_DM_source]],MATCH(Tab_Data_Flows[[#This Row],[Flow_Name]],Tab_Def_Flows[Flow_Name],0),11)</f>
        <v>Yes</v>
      </c>
      <c r="V221" s="6" t="str">
        <f>Tab_Data_Flows[[#This Row],[Flow_ID]]&amp;"_"&amp;"WC_"&amp;Tab_Data_Flows[[#This Row],[Flow_Data_Year]]</f>
        <v>F___WC_</v>
      </c>
      <c r="W221" s="6" t="e">
        <f>IF(D221="Yes",S221*Tab_Data_Flows[[#This Row],[WC_'[%']]],"N.A.")</f>
        <v>#VALUE!</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'0_Configuration'!$C$35</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t="str">
        <f>INDEX(Tab_Def_Flows[[Flow_ID]:[CC_DM_source]],MATCH(Tab_Data_Flows[[#This Row],[Flow_Name]],Tab_Def_Flows[Flow_Name],0),11)</f>
        <v>Yes</v>
      </c>
      <c r="V222" s="6" t="str">
        <f>Tab_Data_Flows[[#This Row],[Flow_ID]]&amp;"_"&amp;"WC_"&amp;Tab_Data_Flows[[#This Row],[Flow_Data_Year]]</f>
        <v>F___WC_</v>
      </c>
      <c r="W222" s="6" t="e">
        <f>IF(D222="Yes",S222*Tab_Data_Flows[[#This Row],[WC_'[%']]],"N.A.")</f>
        <v>#VALUE!</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'0_Configuration'!$C$35</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t="str">
        <f>INDEX(Tab_Def_Flows[[Flow_ID]:[CC_DM_source]],MATCH(Tab_Data_Flows[[#This Row],[Flow_Name]],Tab_Def_Flows[Flow_Name],0),11)</f>
        <v>Yes</v>
      </c>
      <c r="V223" s="6" t="str">
        <f>Tab_Data_Flows[[#This Row],[Flow_ID]]&amp;"_"&amp;"WC_"&amp;Tab_Data_Flows[[#This Row],[Flow_Data_Year]]</f>
        <v>F___WC_</v>
      </c>
      <c r="W223" s="6" t="e">
        <f>IF(D223="Yes",S223*Tab_Data_Flows[[#This Row],[WC_'[%']]],"N.A.")</f>
        <v>#VALUE!</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'0_Configuration'!$C$35</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t="str">
        <f>INDEX(Tab_Def_Flows[[Flow_ID]:[CC_DM_source]],MATCH(Tab_Data_Flows[[#This Row],[Flow_Name]],Tab_Def_Flows[Flow_Name],0),11)</f>
        <v>Yes</v>
      </c>
      <c r="V224" s="6" t="str">
        <f>Tab_Data_Flows[[#This Row],[Flow_ID]]&amp;"_"&amp;"WC_"&amp;Tab_Data_Flows[[#This Row],[Flow_Data_Year]]</f>
        <v>F___WC_</v>
      </c>
      <c r="W224" s="6" t="e">
        <f>IF(D224="Yes",S224*Tab_Data_Flows[[#This Row],[WC_'[%']]],"N.A.")</f>
        <v>#VALUE!</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'0_Configuration'!$C$35</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t="str">
        <f>INDEX(Tab_Def_Flows[[Flow_ID]:[CC_DM_source]],MATCH(Tab_Data_Flows[[#This Row],[Flow_Name]],Tab_Def_Flows[Flow_Name],0),11)</f>
        <v>Yes</v>
      </c>
      <c r="V225" s="6" t="str">
        <f>Tab_Data_Flows[[#This Row],[Flow_ID]]&amp;"_"&amp;"WC_"&amp;Tab_Data_Flows[[#This Row],[Flow_Data_Year]]</f>
        <v>F___WC_</v>
      </c>
      <c r="W225" s="6" t="e">
        <f>IF(D225="Yes",S225*Tab_Data_Flows[[#This Row],[WC_'[%']]],"N.A.")</f>
        <v>#VALUE!</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'0_Configuration'!$C$35</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t="str">
        <f>INDEX(Tab_Def_Flows[[Flow_ID]:[CC_DM_source]],MATCH(Tab_Data_Flows[[#This Row],[Flow_Name]],Tab_Def_Flows[Flow_Name],0),11)</f>
        <v>Yes</v>
      </c>
      <c r="V226" s="6" t="str">
        <f>Tab_Data_Flows[[#This Row],[Flow_ID]]&amp;"_"&amp;"WC_"&amp;Tab_Data_Flows[[#This Row],[Flow_Data_Year]]</f>
        <v>F___WC_</v>
      </c>
      <c r="W226" s="6" t="e">
        <f>IF(D226="Yes",S226*Tab_Data_Flows[[#This Row],[WC_'[%']]],"N.A.")</f>
        <v>#VALUE!</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'0_Configuration'!$C$35</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t="str">
        <f>INDEX(Tab_Def_Flows[[Flow_ID]:[CC_DM_source]],MATCH(Tab_Data_Flows[[#This Row],[Flow_Name]],Tab_Def_Flows[Flow_Name],0),11)</f>
        <v>Yes</v>
      </c>
      <c r="V227" s="6" t="str">
        <f>Tab_Data_Flows[[#This Row],[Flow_ID]]&amp;"_"&amp;"WC_"&amp;Tab_Data_Flows[[#This Row],[Flow_Data_Year]]</f>
        <v>F___WC_</v>
      </c>
      <c r="W227" s="6" t="e">
        <f>IF(D227="Yes",S227*Tab_Data_Flows[[#This Row],[WC_'[%']]],"N.A.")</f>
        <v>#VALUE!</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'0_Configuration'!$C$35</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t="str">
        <f>INDEX(Tab_Def_Flows[[Flow_ID]:[CC_DM_source]],MATCH(Tab_Data_Flows[[#This Row],[Flow_Name]],Tab_Def_Flows[Flow_Name],0),11)</f>
        <v>Yes</v>
      </c>
      <c r="V228" s="6" t="str">
        <f>Tab_Data_Flows[[#This Row],[Flow_ID]]&amp;"_"&amp;"WC_"&amp;Tab_Data_Flows[[#This Row],[Flow_Data_Year]]</f>
        <v>F___WC_</v>
      </c>
      <c r="W228" s="6" t="e">
        <f>IF(D228="Yes",S228*Tab_Data_Flows[[#This Row],[WC_'[%']]],"N.A.")</f>
        <v>#VALUE!</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'0_Configuration'!$C$35</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t="str">
        <f>INDEX(Tab_Def_Flows[[Flow_ID]:[CC_DM_source]],MATCH(Tab_Data_Flows[[#This Row],[Flow_Name]],Tab_Def_Flows[Flow_Name],0),11)</f>
        <v>Yes</v>
      </c>
      <c r="V229" s="6" t="str">
        <f>Tab_Data_Flows[[#This Row],[Flow_ID]]&amp;"_"&amp;"WC_"&amp;Tab_Data_Flows[[#This Row],[Flow_Data_Year]]</f>
        <v>F___WC_</v>
      </c>
      <c r="W229" s="6" t="e">
        <f>IF(D229="Yes",S229*Tab_Data_Flows[[#This Row],[WC_'[%']]],"N.A.")</f>
        <v>#VALUE!</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'0_Configuration'!$C$35</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t="str">
        <f>INDEX(Tab_Def_Flows[[Flow_ID]:[CC_DM_source]],MATCH(Tab_Data_Flows[[#This Row],[Flow_Name]],Tab_Def_Flows[Flow_Name],0),11)</f>
        <v>Yes</v>
      </c>
      <c r="V230" s="6" t="str">
        <f>Tab_Data_Flows[[#This Row],[Flow_ID]]&amp;"_"&amp;"WC_"&amp;Tab_Data_Flows[[#This Row],[Flow_Data_Year]]</f>
        <v>F___WC_</v>
      </c>
      <c r="W230" s="6" t="e">
        <f>IF(D230="Yes",S230*Tab_Data_Flows[[#This Row],[WC_'[%']]],"N.A.")</f>
        <v>#VALUE!</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'0_Configuration'!$C$35</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t="str">
        <f>INDEX(Tab_Def_Flows[[Flow_ID]:[CC_DM_source]],MATCH(Tab_Data_Flows[[#This Row],[Flow_Name]],Tab_Def_Flows[Flow_Name],0),11)</f>
        <v>Yes</v>
      </c>
      <c r="V231" s="6" t="str">
        <f>Tab_Data_Flows[[#This Row],[Flow_ID]]&amp;"_"&amp;"WC_"&amp;Tab_Data_Flows[[#This Row],[Flow_Data_Year]]</f>
        <v>F___WC_</v>
      </c>
      <c r="W231" s="6" t="e">
        <f>IF(D231="Yes",S231*Tab_Data_Flows[[#This Row],[WC_'[%']]],"N.A.")</f>
        <v>#VALUE!</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'0_Configuration'!$C$35</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t="str">
        <f>INDEX(Tab_Def_Flows[[Flow_ID]:[CC_DM_source]],MATCH(Tab_Data_Flows[[#This Row],[Flow_Name]],Tab_Def_Flows[Flow_Name],0),11)</f>
        <v>Yes</v>
      </c>
      <c r="V232" s="6" t="str">
        <f>Tab_Data_Flows[[#This Row],[Flow_ID]]&amp;"_"&amp;"WC_"&amp;Tab_Data_Flows[[#This Row],[Flow_Data_Year]]</f>
        <v>F___WC_</v>
      </c>
      <c r="W232" s="6" t="e">
        <f>IF(D232="Yes",S232*Tab_Data_Flows[[#This Row],[WC_'[%']]],"N.A.")</f>
        <v>#VALUE!</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'0_Configuration'!$C$35</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t="str">
        <f>INDEX(Tab_Def_Flows[[Flow_ID]:[CC_DM_source]],MATCH(Tab_Data_Flows[[#This Row],[Flow_Name]],Tab_Def_Flows[Flow_Name],0),11)</f>
        <v>Yes</v>
      </c>
      <c r="V233" s="6" t="str">
        <f>Tab_Data_Flows[[#This Row],[Flow_ID]]&amp;"_"&amp;"WC_"&amp;Tab_Data_Flows[[#This Row],[Flow_Data_Year]]</f>
        <v>F___WC_</v>
      </c>
      <c r="W233" s="6" t="e">
        <f>IF(D233="Yes",S233*Tab_Data_Flows[[#This Row],[WC_'[%']]],"N.A.")</f>
        <v>#VALUE!</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'0_Configuration'!$C$35</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t="str">
        <f>INDEX(Tab_Def_Flows[[Flow_ID]:[CC_DM_source]],MATCH(Tab_Data_Flows[[#This Row],[Flow_Name]],Tab_Def_Flows[Flow_Name],0),11)</f>
        <v>Yes</v>
      </c>
      <c r="V234" s="6" t="str">
        <f>Tab_Data_Flows[[#This Row],[Flow_ID]]&amp;"_"&amp;"WC_"&amp;Tab_Data_Flows[[#This Row],[Flow_Data_Year]]</f>
        <v>F___WC_</v>
      </c>
      <c r="W234" s="6" t="e">
        <f>IF(D234="Yes",S234*Tab_Data_Flows[[#This Row],[WC_'[%']]],"N.A.")</f>
        <v>#VALUE!</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'0_Configuration'!$C$35</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t="str">
        <f>INDEX(Tab_Def_Flows[[Flow_ID]:[CC_DM_source]],MATCH(Tab_Data_Flows[[#This Row],[Flow_Name]],Tab_Def_Flows[Flow_Name],0),11)</f>
        <v>Yes</v>
      </c>
      <c r="V235" s="6" t="str">
        <f>Tab_Data_Flows[[#This Row],[Flow_ID]]&amp;"_"&amp;"WC_"&amp;Tab_Data_Flows[[#This Row],[Flow_Data_Year]]</f>
        <v>F___WC_</v>
      </c>
      <c r="W235" s="6" t="e">
        <f>IF(D235="Yes",S235*Tab_Data_Flows[[#This Row],[WC_'[%']]],"N.A.")</f>
        <v>#VALUE!</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'0_Configuration'!$C$35</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t="str">
        <f>INDEX(Tab_Def_Flows[[Flow_ID]:[CC_DM_source]],MATCH(Tab_Data_Flows[[#This Row],[Flow_Name]],Tab_Def_Flows[Flow_Name],0),11)</f>
        <v>Yes</v>
      </c>
      <c r="V236" s="6" t="str">
        <f>Tab_Data_Flows[[#This Row],[Flow_ID]]&amp;"_"&amp;"WC_"&amp;Tab_Data_Flows[[#This Row],[Flow_Data_Year]]</f>
        <v>F___WC_</v>
      </c>
      <c r="W236" s="6" t="e">
        <f>IF(D236="Yes",S236*Tab_Data_Flows[[#This Row],[WC_'[%']]],"N.A.")</f>
        <v>#VALUE!</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'0_Configuration'!$C$35</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t="str">
        <f>INDEX(Tab_Def_Flows[[Flow_ID]:[CC_DM_source]],MATCH(Tab_Data_Flows[[#This Row],[Flow_Name]],Tab_Def_Flows[Flow_Name],0),11)</f>
        <v>Yes</v>
      </c>
      <c r="V237" s="6" t="str">
        <f>Tab_Data_Flows[[#This Row],[Flow_ID]]&amp;"_"&amp;"WC_"&amp;Tab_Data_Flows[[#This Row],[Flow_Data_Year]]</f>
        <v>F___WC_</v>
      </c>
      <c r="W237" s="6" t="e">
        <f>IF(D237="Yes",S237*Tab_Data_Flows[[#This Row],[WC_'[%']]],"N.A.")</f>
        <v>#VALUE!</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'0_Configuration'!$C$35</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t="str">
        <f>INDEX(Tab_Def_Flows[[Flow_ID]:[CC_DM_source]],MATCH(Tab_Data_Flows[[#This Row],[Flow_Name]],Tab_Def_Flows[Flow_Name],0),11)</f>
        <v>Yes</v>
      </c>
      <c r="V238" s="6" t="str">
        <f>Tab_Data_Flows[[#This Row],[Flow_ID]]&amp;"_"&amp;"WC_"&amp;Tab_Data_Flows[[#This Row],[Flow_Data_Year]]</f>
        <v>F___WC_</v>
      </c>
      <c r="W238" s="6" t="e">
        <f>IF(D238="Yes",S238*Tab_Data_Flows[[#This Row],[WC_'[%']]],"N.A.")</f>
        <v>#VALUE!</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'0_Configuration'!$C$35</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t="str">
        <f>INDEX(Tab_Def_Flows[[Flow_ID]:[CC_DM_source]],MATCH(Tab_Data_Flows[[#This Row],[Flow_Name]],Tab_Def_Flows[Flow_Name],0),11)</f>
        <v>Yes</v>
      </c>
      <c r="V239" s="6" t="str">
        <f>Tab_Data_Flows[[#This Row],[Flow_ID]]&amp;"_"&amp;"WC_"&amp;Tab_Data_Flows[[#This Row],[Flow_Data_Year]]</f>
        <v>F___WC_</v>
      </c>
      <c r="W239" s="6" t="e">
        <f>IF(D239="Yes",S239*Tab_Data_Flows[[#This Row],[WC_'[%']]],"N.A.")</f>
        <v>#VALUE!</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'0_Configuration'!$C$35</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t="str">
        <f>INDEX(Tab_Def_Flows[[Flow_ID]:[CC_DM_source]],MATCH(Tab_Data_Flows[[#This Row],[Flow_Name]],Tab_Def_Flows[Flow_Name],0),11)</f>
        <v>Yes</v>
      </c>
      <c r="V240" s="6" t="str">
        <f>Tab_Data_Flows[[#This Row],[Flow_ID]]&amp;"_"&amp;"WC_"&amp;Tab_Data_Flows[[#This Row],[Flow_Data_Year]]</f>
        <v>F___WC_</v>
      </c>
      <c r="W240" s="6" t="e">
        <f>IF(D240="Yes",S240*Tab_Data_Flows[[#This Row],[WC_'[%']]],"N.A.")</f>
        <v>#VALUE!</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'0_Configuration'!$C$35</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t="str">
        <f>INDEX(Tab_Def_Flows[[Flow_ID]:[CC_DM_source]],MATCH(Tab_Data_Flows[[#This Row],[Flow_Name]],Tab_Def_Flows[Flow_Name],0),11)</f>
        <v>Yes</v>
      </c>
      <c r="V241" s="6" t="str">
        <f>Tab_Data_Flows[[#This Row],[Flow_ID]]&amp;"_"&amp;"WC_"&amp;Tab_Data_Flows[[#This Row],[Flow_Data_Year]]</f>
        <v>F___WC_</v>
      </c>
      <c r="W241" s="6" t="e">
        <f>IF(D241="Yes",S241*Tab_Data_Flows[[#This Row],[WC_'[%']]],"N.A.")</f>
        <v>#VALUE!</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'0_Configuration'!$C$35</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t="str">
        <f>INDEX(Tab_Def_Flows[[Flow_ID]:[CC_DM_source]],MATCH(Tab_Data_Flows[[#This Row],[Flow_Name]],Tab_Def_Flows[Flow_Name],0),11)</f>
        <v>Yes</v>
      </c>
      <c r="V242" s="6" t="str">
        <f>Tab_Data_Flows[[#This Row],[Flow_ID]]&amp;"_"&amp;"WC_"&amp;Tab_Data_Flows[[#This Row],[Flow_Data_Year]]</f>
        <v>F___WC_</v>
      </c>
      <c r="W242" s="6" t="e">
        <f>IF(D242="Yes",S242*Tab_Data_Flows[[#This Row],[WC_'[%']]],"N.A.")</f>
        <v>#VALUE!</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'0_Configuration'!$C$35</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t="str">
        <f>INDEX(Tab_Def_Flows[[Flow_ID]:[CC_DM_source]],MATCH(Tab_Data_Flows[[#This Row],[Flow_Name]],Tab_Def_Flows[Flow_Name],0),11)</f>
        <v>Yes</v>
      </c>
      <c r="V243" s="6" t="str">
        <f>Tab_Data_Flows[[#This Row],[Flow_ID]]&amp;"_"&amp;"WC_"&amp;Tab_Data_Flows[[#This Row],[Flow_Data_Year]]</f>
        <v>F___WC_</v>
      </c>
      <c r="W243" s="6" t="e">
        <f>IF(D243="Yes",S243*Tab_Data_Flows[[#This Row],[WC_'[%']]],"N.A.")</f>
        <v>#VALUE!</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'0_Configuration'!$C$35</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t="str">
        <f>INDEX(Tab_Def_Flows[[Flow_ID]:[CC_DM_source]],MATCH(Tab_Data_Flows[[#This Row],[Flow_Name]],Tab_Def_Flows[Flow_Name],0),11)</f>
        <v>Yes</v>
      </c>
      <c r="V244" s="6" t="str">
        <f>Tab_Data_Flows[[#This Row],[Flow_ID]]&amp;"_"&amp;"WC_"&amp;Tab_Data_Flows[[#This Row],[Flow_Data_Year]]</f>
        <v>F___WC_</v>
      </c>
      <c r="W244" s="6" t="e">
        <f>IF(D244="Yes",S244*Tab_Data_Flows[[#This Row],[WC_'[%']]],"N.A.")</f>
        <v>#VALUE!</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'0_Configuration'!$C$35</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t="str">
        <f>INDEX(Tab_Def_Flows[[Flow_ID]:[CC_DM_source]],MATCH(Tab_Data_Flows[[#This Row],[Flow_Name]],Tab_Def_Flows[Flow_Name],0),11)</f>
        <v>Yes</v>
      </c>
      <c r="V245" s="6" t="str">
        <f>Tab_Data_Flows[[#This Row],[Flow_ID]]&amp;"_"&amp;"WC_"&amp;Tab_Data_Flows[[#This Row],[Flow_Data_Year]]</f>
        <v>F___WC_</v>
      </c>
      <c r="W245" s="6" t="e">
        <f>IF(D245="Yes",S245*Tab_Data_Flows[[#This Row],[WC_'[%']]],"N.A.")</f>
        <v>#VALUE!</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'0_Configuration'!$C$35</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t="str">
        <f>INDEX(Tab_Def_Flows[[Flow_ID]:[CC_DM_source]],MATCH(Tab_Data_Flows[[#This Row],[Flow_Name]],Tab_Def_Flows[Flow_Name],0),11)</f>
        <v>Yes</v>
      </c>
      <c r="V246" s="6" t="str">
        <f>Tab_Data_Flows[[#This Row],[Flow_ID]]&amp;"_"&amp;"WC_"&amp;Tab_Data_Flows[[#This Row],[Flow_Data_Year]]</f>
        <v>F___WC_</v>
      </c>
      <c r="W246" s="6" t="e">
        <f>IF(D246="Yes",S246*Tab_Data_Flows[[#This Row],[WC_'[%']]],"N.A.")</f>
        <v>#VALUE!</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'0_Configuration'!$C$35</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t="str">
        <f>INDEX(Tab_Def_Flows[[Flow_ID]:[CC_DM_source]],MATCH(Tab_Data_Flows[[#This Row],[Flow_Name]],Tab_Def_Flows[Flow_Name],0),11)</f>
        <v>Yes</v>
      </c>
      <c r="V247" s="6" t="str">
        <f>Tab_Data_Flows[[#This Row],[Flow_ID]]&amp;"_"&amp;"WC_"&amp;Tab_Data_Flows[[#This Row],[Flow_Data_Year]]</f>
        <v>F___WC_</v>
      </c>
      <c r="W247" s="6" t="e">
        <f>IF(D247="Yes",S247*Tab_Data_Flows[[#This Row],[WC_'[%']]],"N.A.")</f>
        <v>#VALUE!</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'0_Configuration'!$C$35</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t="str">
        <f>INDEX(Tab_Def_Flows[[Flow_ID]:[CC_DM_source]],MATCH(Tab_Data_Flows[[#This Row],[Flow_Name]],Tab_Def_Flows[Flow_Name],0),11)</f>
        <v>Yes</v>
      </c>
      <c r="V248" s="6" t="str">
        <f>Tab_Data_Flows[[#This Row],[Flow_ID]]&amp;"_"&amp;"WC_"&amp;Tab_Data_Flows[[#This Row],[Flow_Data_Year]]</f>
        <v>F___WC_</v>
      </c>
      <c r="W248" s="6" t="e">
        <f>IF(D248="Yes",S248*Tab_Data_Flows[[#This Row],[WC_'[%']]],"N.A.")</f>
        <v>#VALUE!</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'0_Configuration'!$C$35</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t="str">
        <f>INDEX(Tab_Def_Flows[[Flow_ID]:[CC_DM_source]],MATCH(Tab_Data_Flows[[#This Row],[Flow_Name]],Tab_Def_Flows[Flow_Name],0),11)</f>
        <v>Yes</v>
      </c>
      <c r="V249" s="6" t="str">
        <f>Tab_Data_Flows[[#This Row],[Flow_ID]]&amp;"_"&amp;"WC_"&amp;Tab_Data_Flows[[#This Row],[Flow_Data_Year]]</f>
        <v>F___WC_</v>
      </c>
      <c r="W249" s="6" t="e">
        <f>IF(D249="Yes",S249*Tab_Data_Flows[[#This Row],[WC_'[%']]],"N.A.")</f>
        <v>#VALUE!</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'0_Configuration'!$C$35</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t="str">
        <f>INDEX(Tab_Def_Flows[[Flow_ID]:[CC_DM_source]],MATCH(Tab_Data_Flows[[#This Row],[Flow_Name]],Tab_Def_Flows[Flow_Name],0),11)</f>
        <v>Yes</v>
      </c>
      <c r="V250" s="6" t="str">
        <f>Tab_Data_Flows[[#This Row],[Flow_ID]]&amp;"_"&amp;"WC_"&amp;Tab_Data_Flows[[#This Row],[Flow_Data_Year]]</f>
        <v>F___WC_</v>
      </c>
      <c r="W250" s="6" t="e">
        <f>IF(D250="Yes",S250*Tab_Data_Flows[[#This Row],[WC_'[%']]],"N.A.")</f>
        <v>#VALUE!</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'0_Configuration'!$C$35</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t="str">
        <f>INDEX(Tab_Def_Flows[[Flow_ID]:[CC_DM_source]],MATCH(Tab_Data_Flows[[#This Row],[Flow_Name]],Tab_Def_Flows[Flow_Name],0),11)</f>
        <v>Yes</v>
      </c>
      <c r="V251" s="6" t="str">
        <f>Tab_Data_Flows[[#This Row],[Flow_ID]]&amp;"_"&amp;"WC_"&amp;Tab_Data_Flows[[#This Row],[Flow_Data_Year]]</f>
        <v>F___WC_</v>
      </c>
      <c r="W251" s="6" t="e">
        <f>IF(D251="Yes",S251*Tab_Data_Flows[[#This Row],[WC_'[%']]],"N.A.")</f>
        <v>#VALUE!</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'0_Configuration'!$C$35</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t="str">
        <f>INDEX(Tab_Def_Flows[[Flow_ID]:[CC_DM_source]],MATCH(Tab_Data_Flows[[#This Row],[Flow_Name]],Tab_Def_Flows[Flow_Name],0),11)</f>
        <v>Yes</v>
      </c>
      <c r="V252" s="6" t="str">
        <f>Tab_Data_Flows[[#This Row],[Flow_ID]]&amp;"_"&amp;"WC_"&amp;Tab_Data_Flows[[#This Row],[Flow_Data_Year]]</f>
        <v>F___WC_</v>
      </c>
      <c r="W252" s="6" t="e">
        <f>IF(D252="Yes",S252*Tab_Data_Flows[[#This Row],[WC_'[%']]],"N.A.")</f>
        <v>#VALUE!</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'0_Configuration'!$C$35</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t="str">
        <f>INDEX(Tab_Def_Flows[[Flow_ID]:[CC_DM_source]],MATCH(Tab_Data_Flows[[#This Row],[Flow_Name]],Tab_Def_Flows[Flow_Name],0),11)</f>
        <v>Yes</v>
      </c>
      <c r="V253" s="6" t="str">
        <f>Tab_Data_Flows[[#This Row],[Flow_ID]]&amp;"_"&amp;"WC_"&amp;Tab_Data_Flows[[#This Row],[Flow_Data_Year]]</f>
        <v>F___WC_</v>
      </c>
      <c r="W253" s="6" t="e">
        <f>IF(D253="Yes",S253*Tab_Data_Flows[[#This Row],[WC_'[%']]],"N.A.")</f>
        <v>#VALUE!</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'0_Configuration'!$C$35</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t="str">
        <f>INDEX(Tab_Def_Flows[[Flow_ID]:[CC_DM_source]],MATCH(Tab_Data_Flows[[#This Row],[Flow_Name]],Tab_Def_Flows[Flow_Name],0),11)</f>
        <v>Yes</v>
      </c>
      <c r="V254" s="6" t="str">
        <f>Tab_Data_Flows[[#This Row],[Flow_ID]]&amp;"_"&amp;"WC_"&amp;Tab_Data_Flows[[#This Row],[Flow_Data_Year]]</f>
        <v>F___WC_</v>
      </c>
      <c r="W254" s="6" t="e">
        <f>IF(D254="Yes",S254*Tab_Data_Flows[[#This Row],[WC_'[%']]],"N.A.")</f>
        <v>#VALUE!</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'0_Configuration'!$C$35</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t="str">
        <f>INDEX(Tab_Def_Flows[[Flow_ID]:[CC_DM_source]],MATCH(Tab_Data_Flows[[#This Row],[Flow_Name]],Tab_Def_Flows[Flow_Name],0),11)</f>
        <v>Yes</v>
      </c>
      <c r="V255" s="6" t="str">
        <f>Tab_Data_Flows[[#This Row],[Flow_ID]]&amp;"_"&amp;"WC_"&amp;Tab_Data_Flows[[#This Row],[Flow_Data_Year]]</f>
        <v>F___WC_</v>
      </c>
      <c r="W255" s="6" t="e">
        <f>IF(D255="Yes",S255*Tab_Data_Flows[[#This Row],[WC_'[%']]],"N.A.")</f>
        <v>#VALUE!</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'0_Configuration'!$C$35</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t="str">
        <f>INDEX(Tab_Def_Flows[[Flow_ID]:[CC_DM_source]],MATCH(Tab_Data_Flows[[#This Row],[Flow_Name]],Tab_Def_Flows[Flow_Name],0),11)</f>
        <v>Yes</v>
      </c>
      <c r="V256" s="6" t="str">
        <f>Tab_Data_Flows[[#This Row],[Flow_ID]]&amp;"_"&amp;"WC_"&amp;Tab_Data_Flows[[#This Row],[Flow_Data_Year]]</f>
        <v>F___WC_</v>
      </c>
      <c r="W256" s="6" t="e">
        <f>IF(D256="Yes",S256*Tab_Data_Flows[[#This Row],[WC_'[%']]],"N.A.")</f>
        <v>#VALUE!</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'0_Configuration'!$C$35</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t="str">
        <f>INDEX(Tab_Def_Flows[[Flow_ID]:[CC_DM_source]],MATCH(Tab_Data_Flows[[#This Row],[Flow_Name]],Tab_Def_Flows[Flow_Name],0),11)</f>
        <v>Yes</v>
      </c>
      <c r="V257" s="6" t="str">
        <f>Tab_Data_Flows[[#This Row],[Flow_ID]]&amp;"_"&amp;"WC_"&amp;Tab_Data_Flows[[#This Row],[Flow_Data_Year]]</f>
        <v>F___WC_</v>
      </c>
      <c r="W257" s="6" t="e">
        <f>IF(D257="Yes",S257*Tab_Data_Flows[[#This Row],[WC_'[%']]],"N.A.")</f>
        <v>#VALUE!</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'0_Configuration'!$C$35</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t="str">
        <f>INDEX(Tab_Def_Flows[[Flow_ID]:[CC_DM_source]],MATCH(Tab_Data_Flows[[#This Row],[Flow_Name]],Tab_Def_Flows[Flow_Name],0),11)</f>
        <v>Yes</v>
      </c>
      <c r="V258" s="6" t="str">
        <f>Tab_Data_Flows[[#This Row],[Flow_ID]]&amp;"_"&amp;"WC_"&amp;Tab_Data_Flows[[#This Row],[Flow_Data_Year]]</f>
        <v>F___WC_</v>
      </c>
      <c r="W258" s="6" t="e">
        <f>IF(D258="Yes",S258*Tab_Data_Flows[[#This Row],[WC_'[%']]],"N.A.")</f>
        <v>#VALUE!</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'0_Configuration'!$C$35</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t="str">
        <f>INDEX(Tab_Def_Flows[[Flow_ID]:[CC_DM_source]],MATCH(Tab_Data_Flows[[#This Row],[Flow_Name]],Tab_Def_Flows[Flow_Name],0),11)</f>
        <v>Yes</v>
      </c>
      <c r="V259" s="6" t="str">
        <f>Tab_Data_Flows[[#This Row],[Flow_ID]]&amp;"_"&amp;"WC_"&amp;Tab_Data_Flows[[#This Row],[Flow_Data_Year]]</f>
        <v>F___WC_</v>
      </c>
      <c r="W259" s="6" t="e">
        <f>IF(D259="Yes",S259*Tab_Data_Flows[[#This Row],[WC_'[%']]],"N.A.")</f>
        <v>#VALUE!</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'0_Configuration'!$C$35</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t="str">
        <f>INDEX(Tab_Def_Flows[[Flow_ID]:[CC_DM_source]],MATCH(Tab_Data_Flows[[#This Row],[Flow_Name]],Tab_Def_Flows[Flow_Name],0),11)</f>
        <v>Yes</v>
      </c>
      <c r="V260" s="6" t="str">
        <f>Tab_Data_Flows[[#This Row],[Flow_ID]]&amp;"_"&amp;"WC_"&amp;Tab_Data_Flows[[#This Row],[Flow_Data_Year]]</f>
        <v>F___WC_</v>
      </c>
      <c r="W260" s="6" t="e">
        <f>IF(D260="Yes",S260*Tab_Data_Flows[[#This Row],[WC_'[%']]],"N.A.")</f>
        <v>#VALUE!</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'0_Configuration'!$C$35</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t="str">
        <f>INDEX(Tab_Def_Flows[[Flow_ID]:[CC_DM_source]],MATCH(Tab_Data_Flows[[#This Row],[Flow_Name]],Tab_Def_Flows[Flow_Name],0),11)</f>
        <v>Yes</v>
      </c>
      <c r="V261" s="6" t="str">
        <f>Tab_Data_Flows[[#This Row],[Flow_ID]]&amp;"_"&amp;"WC_"&amp;Tab_Data_Flows[[#This Row],[Flow_Data_Year]]</f>
        <v>F___WC_</v>
      </c>
      <c r="W261" s="6" t="e">
        <f>IF(D261="Yes",S261*Tab_Data_Flows[[#This Row],[WC_'[%']]],"N.A.")</f>
        <v>#VALUE!</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'0_Configuration'!$C$35</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t="str">
        <f>INDEX(Tab_Def_Flows[[Flow_ID]:[CC_DM_source]],MATCH(Tab_Data_Flows[[#This Row],[Flow_Name]],Tab_Def_Flows[Flow_Name],0),11)</f>
        <v>Yes</v>
      </c>
      <c r="V262" s="6" t="str">
        <f>Tab_Data_Flows[[#This Row],[Flow_ID]]&amp;"_"&amp;"WC_"&amp;Tab_Data_Flows[[#This Row],[Flow_Data_Year]]</f>
        <v>F___WC_</v>
      </c>
      <c r="W262" s="6" t="e">
        <f>IF(D262="Yes",S262*Tab_Data_Flows[[#This Row],[WC_'[%']]],"N.A.")</f>
        <v>#VALUE!</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'0_Configuration'!$C$35</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t="str">
        <f>INDEX(Tab_Def_Flows[[Flow_ID]:[CC_DM_source]],MATCH(Tab_Data_Flows[[#This Row],[Flow_Name]],Tab_Def_Flows[Flow_Name],0),11)</f>
        <v>Yes</v>
      </c>
      <c r="V263" s="6" t="str">
        <f>Tab_Data_Flows[[#This Row],[Flow_ID]]&amp;"_"&amp;"WC_"&amp;Tab_Data_Flows[[#This Row],[Flow_Data_Year]]</f>
        <v>F___WC_</v>
      </c>
      <c r="W263" s="6" t="e">
        <f>IF(D263="Yes",S263*Tab_Data_Flows[[#This Row],[WC_'[%']]],"N.A.")</f>
        <v>#VALUE!</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'0_Configuration'!$C$35</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t="str">
        <f>INDEX(Tab_Def_Flows[[Flow_ID]:[CC_DM_source]],MATCH(Tab_Data_Flows[[#This Row],[Flow_Name]],Tab_Def_Flows[Flow_Name],0),11)</f>
        <v>Yes</v>
      </c>
      <c r="V264" s="6" t="str">
        <f>Tab_Data_Flows[[#This Row],[Flow_ID]]&amp;"_"&amp;"WC_"&amp;Tab_Data_Flows[[#This Row],[Flow_Data_Year]]</f>
        <v>F___WC_</v>
      </c>
      <c r="W264" s="6" t="e">
        <f>IF(D264="Yes",S264*Tab_Data_Flows[[#This Row],[WC_'[%']]],"N.A.")</f>
        <v>#VALUE!</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'0_Configuration'!$C$35</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t="str">
        <f>INDEX(Tab_Def_Flows[[Flow_ID]:[CC_DM_source]],MATCH(Tab_Data_Flows[[#This Row],[Flow_Name]],Tab_Def_Flows[Flow_Name],0),11)</f>
        <v>Yes</v>
      </c>
      <c r="V265" s="6" t="str">
        <f>Tab_Data_Flows[[#This Row],[Flow_ID]]&amp;"_"&amp;"WC_"&amp;Tab_Data_Flows[[#This Row],[Flow_Data_Year]]</f>
        <v>F___WC_</v>
      </c>
      <c r="W265" s="6" t="e">
        <f>IF(D265="Yes",S265*Tab_Data_Flows[[#This Row],[WC_'[%']]],"N.A.")</f>
        <v>#VALUE!</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'0_Configuration'!$C$35</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t="str">
        <f>INDEX(Tab_Def_Flows[[Flow_ID]:[CC_DM_source]],MATCH(Tab_Data_Flows[[#This Row],[Flow_Name]],Tab_Def_Flows[Flow_Name],0),11)</f>
        <v>Yes</v>
      </c>
      <c r="V266" s="6" t="str">
        <f>Tab_Data_Flows[[#This Row],[Flow_ID]]&amp;"_"&amp;"WC_"&amp;Tab_Data_Flows[[#This Row],[Flow_Data_Year]]</f>
        <v>F___WC_</v>
      </c>
      <c r="W266" s="6" t="e">
        <f>IF(D266="Yes",S266*Tab_Data_Flows[[#This Row],[WC_'[%']]],"N.A.")</f>
        <v>#VALUE!</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'0_Configuration'!$C$35</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t="str">
        <f>INDEX(Tab_Def_Flows[[Flow_ID]:[CC_DM_source]],MATCH(Tab_Data_Flows[[#This Row],[Flow_Name]],Tab_Def_Flows[Flow_Name],0),11)</f>
        <v>Yes</v>
      </c>
      <c r="V267" s="6" t="str">
        <f>Tab_Data_Flows[[#This Row],[Flow_ID]]&amp;"_"&amp;"WC_"&amp;Tab_Data_Flows[[#This Row],[Flow_Data_Year]]</f>
        <v>F___WC_</v>
      </c>
      <c r="W267" s="6" t="e">
        <f>IF(D267="Yes",S267*Tab_Data_Flows[[#This Row],[WC_'[%']]],"N.A.")</f>
        <v>#VALUE!</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'0_Configuration'!$C$35</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t="str">
        <f>INDEX(Tab_Def_Flows[[Flow_ID]:[CC_DM_source]],MATCH(Tab_Data_Flows[[#This Row],[Flow_Name]],Tab_Def_Flows[Flow_Name],0),11)</f>
        <v>Yes</v>
      </c>
      <c r="V268" s="6" t="str">
        <f>Tab_Data_Flows[[#This Row],[Flow_ID]]&amp;"_"&amp;"WC_"&amp;Tab_Data_Flows[[#This Row],[Flow_Data_Year]]</f>
        <v>F___WC_</v>
      </c>
      <c r="W268" s="6" t="e">
        <f>IF(D268="Yes",S268*Tab_Data_Flows[[#This Row],[WC_'[%']]],"N.A.")</f>
        <v>#VALUE!</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'0_Configuration'!$C$35</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t="str">
        <f>INDEX(Tab_Def_Flows[[Flow_ID]:[CC_DM_source]],MATCH(Tab_Data_Flows[[#This Row],[Flow_Name]],Tab_Def_Flows[Flow_Name],0),11)</f>
        <v>Yes</v>
      </c>
      <c r="V269" s="6" t="str">
        <f>Tab_Data_Flows[[#This Row],[Flow_ID]]&amp;"_"&amp;"WC_"&amp;Tab_Data_Flows[[#This Row],[Flow_Data_Year]]</f>
        <v>F___WC_</v>
      </c>
      <c r="W269" s="6" t="e">
        <f>IF(D269="Yes",S269*Tab_Data_Flows[[#This Row],[WC_'[%']]],"N.A.")</f>
        <v>#VALUE!</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'0_Configuration'!$C$35</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t="str">
        <f>INDEX(Tab_Def_Flows[[Flow_ID]:[CC_DM_source]],MATCH(Tab_Data_Flows[[#This Row],[Flow_Name]],Tab_Def_Flows[Flow_Name],0),11)</f>
        <v>Yes</v>
      </c>
      <c r="V270" s="6" t="str">
        <f>Tab_Data_Flows[[#This Row],[Flow_ID]]&amp;"_"&amp;"WC_"&amp;Tab_Data_Flows[[#This Row],[Flow_Data_Year]]</f>
        <v>F___WC_</v>
      </c>
      <c r="W270" s="6" t="e">
        <f>IF(D270="Yes",S270*Tab_Data_Flows[[#This Row],[WC_'[%']]],"N.A.")</f>
        <v>#VALUE!</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'0_Configuration'!$C$35</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t="str">
        <f>INDEX(Tab_Def_Flows[[Flow_ID]:[CC_DM_source]],MATCH(Tab_Data_Flows[[#This Row],[Flow_Name]],Tab_Def_Flows[Flow_Name],0),11)</f>
        <v>Yes</v>
      </c>
      <c r="V271" s="6" t="str">
        <f>Tab_Data_Flows[[#This Row],[Flow_ID]]&amp;"_"&amp;"WC_"&amp;Tab_Data_Flows[[#This Row],[Flow_Data_Year]]</f>
        <v>F___WC_</v>
      </c>
      <c r="W271" s="6" t="e">
        <f>IF(D271="Yes",S271*Tab_Data_Flows[[#This Row],[WC_'[%']]],"N.A.")</f>
        <v>#VALUE!</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'0_Configuration'!$C$35</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t="str">
        <f>INDEX(Tab_Def_Flows[[Flow_ID]:[CC_DM_source]],MATCH(Tab_Data_Flows[[#This Row],[Flow_Name]],Tab_Def_Flows[Flow_Name],0),11)</f>
        <v>Yes</v>
      </c>
      <c r="V272" s="6" t="str">
        <f>Tab_Data_Flows[[#This Row],[Flow_ID]]&amp;"_"&amp;"WC_"&amp;Tab_Data_Flows[[#This Row],[Flow_Data_Year]]</f>
        <v>F___WC_</v>
      </c>
      <c r="W272" s="6" t="e">
        <f>IF(D272="Yes",S272*Tab_Data_Flows[[#This Row],[WC_'[%']]],"N.A.")</f>
        <v>#VALUE!</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'0_Configuration'!$C$35</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t="str">
        <f>INDEX(Tab_Def_Flows[[Flow_ID]:[CC_DM_source]],MATCH(Tab_Data_Flows[[#This Row],[Flow_Name]],Tab_Def_Flows[Flow_Name],0),11)</f>
        <v>Yes</v>
      </c>
      <c r="V273" s="6" t="str">
        <f>Tab_Data_Flows[[#This Row],[Flow_ID]]&amp;"_"&amp;"WC_"&amp;Tab_Data_Flows[[#This Row],[Flow_Data_Year]]</f>
        <v>F___WC_</v>
      </c>
      <c r="W273" s="6" t="e">
        <f>IF(D273="Yes",S273*Tab_Data_Flows[[#This Row],[WC_'[%']]],"N.A.")</f>
        <v>#VALUE!</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'0_Configuration'!$C$35</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t="str">
        <f>INDEX(Tab_Def_Flows[[Flow_ID]:[CC_DM_source]],MATCH(Tab_Data_Flows[[#This Row],[Flow_Name]],Tab_Def_Flows[Flow_Name],0),11)</f>
        <v>Yes</v>
      </c>
      <c r="V274" s="6" t="str">
        <f>Tab_Data_Flows[[#This Row],[Flow_ID]]&amp;"_"&amp;"WC_"&amp;Tab_Data_Flows[[#This Row],[Flow_Data_Year]]</f>
        <v>F___WC_</v>
      </c>
      <c r="W274" s="6" t="e">
        <f>IF(D274="Yes",S274*Tab_Data_Flows[[#This Row],[WC_'[%']]],"N.A.")</f>
        <v>#VALUE!</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'0_Configuration'!$C$35</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t="str">
        <f>INDEX(Tab_Def_Flows[[Flow_ID]:[CC_DM_source]],MATCH(Tab_Data_Flows[[#This Row],[Flow_Name]],Tab_Def_Flows[Flow_Name],0),11)</f>
        <v>Yes</v>
      </c>
      <c r="V275" s="6" t="str">
        <f>Tab_Data_Flows[[#This Row],[Flow_ID]]&amp;"_"&amp;"WC_"&amp;Tab_Data_Flows[[#This Row],[Flow_Data_Year]]</f>
        <v>F___WC_</v>
      </c>
      <c r="W275" s="6" t="e">
        <f>IF(D275="Yes",S275*Tab_Data_Flows[[#This Row],[WC_'[%']]],"N.A.")</f>
        <v>#VALUE!</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'0_Configuration'!$C$35</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t="str">
        <f>INDEX(Tab_Def_Flows[[Flow_ID]:[CC_DM_source]],MATCH(Tab_Data_Flows[[#This Row],[Flow_Name]],Tab_Def_Flows[Flow_Name],0),11)</f>
        <v>Yes</v>
      </c>
      <c r="V276" s="6" t="str">
        <f>Tab_Data_Flows[[#This Row],[Flow_ID]]&amp;"_"&amp;"WC_"&amp;Tab_Data_Flows[[#This Row],[Flow_Data_Year]]</f>
        <v>F___WC_</v>
      </c>
      <c r="W276" s="6" t="e">
        <f>IF(D276="Yes",S276*Tab_Data_Flows[[#This Row],[WC_'[%']]],"N.A.")</f>
        <v>#VALUE!</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'0_Configuration'!$C$35</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t="str">
        <f>INDEX(Tab_Def_Flows[[Flow_ID]:[CC_DM_source]],MATCH(Tab_Data_Flows[[#This Row],[Flow_Name]],Tab_Def_Flows[Flow_Name],0),11)</f>
        <v>Yes</v>
      </c>
      <c r="V277" s="6" t="str">
        <f>Tab_Data_Flows[[#This Row],[Flow_ID]]&amp;"_"&amp;"WC_"&amp;Tab_Data_Flows[[#This Row],[Flow_Data_Year]]</f>
        <v>F___WC_</v>
      </c>
      <c r="W277" s="6" t="e">
        <f>IF(D277="Yes",S277*Tab_Data_Flows[[#This Row],[WC_'[%']]],"N.A.")</f>
        <v>#VALUE!</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'0_Configuration'!$C$35</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t="str">
        <f>INDEX(Tab_Def_Flows[[Flow_ID]:[CC_DM_source]],MATCH(Tab_Data_Flows[[#This Row],[Flow_Name]],Tab_Def_Flows[Flow_Name],0),11)</f>
        <v>Yes</v>
      </c>
      <c r="V278" s="6" t="str">
        <f>Tab_Data_Flows[[#This Row],[Flow_ID]]&amp;"_"&amp;"WC_"&amp;Tab_Data_Flows[[#This Row],[Flow_Data_Year]]</f>
        <v>F___WC_</v>
      </c>
      <c r="W278" s="6" t="e">
        <f>IF(D278="Yes",S278*Tab_Data_Flows[[#This Row],[WC_'[%']]],"N.A.")</f>
        <v>#VALUE!</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'0_Configuration'!$C$35</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t="str">
        <f>INDEX(Tab_Def_Flows[[Flow_ID]:[CC_DM_source]],MATCH(Tab_Data_Flows[[#This Row],[Flow_Name]],Tab_Def_Flows[Flow_Name],0),11)</f>
        <v>Yes</v>
      </c>
      <c r="V279" s="6" t="str">
        <f>Tab_Data_Flows[[#This Row],[Flow_ID]]&amp;"_"&amp;"WC_"&amp;Tab_Data_Flows[[#This Row],[Flow_Data_Year]]</f>
        <v>F___WC_</v>
      </c>
      <c r="W279" s="6" t="e">
        <f>IF(D279="Yes",S279*Tab_Data_Flows[[#This Row],[WC_'[%']]],"N.A.")</f>
        <v>#VALUE!</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'0_Configuration'!$C$35</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t="str">
        <f>INDEX(Tab_Def_Flows[[Flow_ID]:[CC_DM_source]],MATCH(Tab_Data_Flows[[#This Row],[Flow_Name]],Tab_Def_Flows[Flow_Name],0),11)</f>
        <v>Yes</v>
      </c>
      <c r="V280" s="6" t="str">
        <f>Tab_Data_Flows[[#This Row],[Flow_ID]]&amp;"_"&amp;"WC_"&amp;Tab_Data_Flows[[#This Row],[Flow_Data_Year]]</f>
        <v>F___WC_</v>
      </c>
      <c r="W280" s="6" t="e">
        <f>IF(D280="Yes",S280*Tab_Data_Flows[[#This Row],[WC_'[%']]],"N.A.")</f>
        <v>#VALUE!</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'0_Configuration'!$C$35</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t="str">
        <f>INDEX(Tab_Def_Flows[[Flow_ID]:[CC_DM_source]],MATCH(Tab_Data_Flows[[#This Row],[Flow_Name]],Tab_Def_Flows[Flow_Name],0),11)</f>
        <v>Yes</v>
      </c>
      <c r="V281" s="6" t="str">
        <f>Tab_Data_Flows[[#This Row],[Flow_ID]]&amp;"_"&amp;"WC_"&amp;Tab_Data_Flows[[#This Row],[Flow_Data_Year]]</f>
        <v>F___WC_</v>
      </c>
      <c r="W281" s="6" t="e">
        <f>IF(D281="Yes",S281*Tab_Data_Flows[[#This Row],[WC_'[%']]],"N.A.")</f>
        <v>#VALUE!</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'0_Configuration'!$C$35</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t="str">
        <f>INDEX(Tab_Def_Flows[[Flow_ID]:[CC_DM_source]],MATCH(Tab_Data_Flows[[#This Row],[Flow_Name]],Tab_Def_Flows[Flow_Name],0),11)</f>
        <v>Yes</v>
      </c>
      <c r="V282" s="6" t="str">
        <f>Tab_Data_Flows[[#This Row],[Flow_ID]]&amp;"_"&amp;"WC_"&amp;Tab_Data_Flows[[#This Row],[Flow_Data_Year]]</f>
        <v>F___WC_</v>
      </c>
      <c r="W282" s="6" t="e">
        <f>IF(D282="Yes",S282*Tab_Data_Flows[[#This Row],[WC_'[%']]],"N.A.")</f>
        <v>#VALUE!</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'0_Configuration'!$C$35</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t="str">
        <f>INDEX(Tab_Def_Flows[[Flow_ID]:[CC_DM_source]],MATCH(Tab_Data_Flows[[#This Row],[Flow_Name]],Tab_Def_Flows[Flow_Name],0),11)</f>
        <v>Yes</v>
      </c>
      <c r="V283" s="6" t="str">
        <f>Tab_Data_Flows[[#This Row],[Flow_ID]]&amp;"_"&amp;"WC_"&amp;Tab_Data_Flows[[#This Row],[Flow_Data_Year]]</f>
        <v>F___WC_</v>
      </c>
      <c r="W283" s="6" t="e">
        <f>IF(D283="Yes",S283*Tab_Data_Flows[[#This Row],[WC_'[%']]],"N.A.")</f>
        <v>#VALUE!</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'0_Configuration'!$C$35</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t="str">
        <f>INDEX(Tab_Def_Flows[[Flow_ID]:[CC_DM_source]],MATCH(Tab_Data_Flows[[#This Row],[Flow_Name]],Tab_Def_Flows[Flow_Name],0),11)</f>
        <v>Yes</v>
      </c>
      <c r="V284" s="6" t="str">
        <f>Tab_Data_Flows[[#This Row],[Flow_ID]]&amp;"_"&amp;"WC_"&amp;Tab_Data_Flows[[#This Row],[Flow_Data_Year]]</f>
        <v>F___WC_</v>
      </c>
      <c r="W284" s="6" t="e">
        <f>IF(D284="Yes",S284*Tab_Data_Flows[[#This Row],[WC_'[%']]],"N.A.")</f>
        <v>#VALUE!</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'0_Configuration'!$C$35</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t="str">
        <f>INDEX(Tab_Def_Flows[[Flow_ID]:[CC_DM_source]],MATCH(Tab_Data_Flows[[#This Row],[Flow_Name]],Tab_Def_Flows[Flow_Name],0),11)</f>
        <v>Yes</v>
      </c>
      <c r="V285" s="6" t="str">
        <f>Tab_Data_Flows[[#This Row],[Flow_ID]]&amp;"_"&amp;"WC_"&amp;Tab_Data_Flows[[#This Row],[Flow_Data_Year]]</f>
        <v>F___WC_</v>
      </c>
      <c r="W285" s="6" t="e">
        <f>IF(D285="Yes",S285*Tab_Data_Flows[[#This Row],[WC_'[%']]],"N.A.")</f>
        <v>#VALUE!</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'0_Configuration'!$C$35</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t="str">
        <f>INDEX(Tab_Def_Flows[[Flow_ID]:[CC_DM_source]],MATCH(Tab_Data_Flows[[#This Row],[Flow_Name]],Tab_Def_Flows[Flow_Name],0),11)</f>
        <v>Yes</v>
      </c>
      <c r="V286" s="6" t="str">
        <f>Tab_Data_Flows[[#This Row],[Flow_ID]]&amp;"_"&amp;"WC_"&amp;Tab_Data_Flows[[#This Row],[Flow_Data_Year]]</f>
        <v>F___WC_</v>
      </c>
      <c r="W286" s="6" t="e">
        <f>IF(D286="Yes",S286*Tab_Data_Flows[[#This Row],[WC_'[%']]],"N.A.")</f>
        <v>#VALUE!</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'0_Configuration'!$C$35</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t="str">
        <f>INDEX(Tab_Def_Flows[[Flow_ID]:[CC_DM_source]],MATCH(Tab_Data_Flows[[#This Row],[Flow_Name]],Tab_Def_Flows[Flow_Name],0),11)</f>
        <v>Yes</v>
      </c>
      <c r="V287" s="6" t="str">
        <f>Tab_Data_Flows[[#This Row],[Flow_ID]]&amp;"_"&amp;"WC_"&amp;Tab_Data_Flows[[#This Row],[Flow_Data_Year]]</f>
        <v>F___WC_</v>
      </c>
      <c r="W287" s="6" t="e">
        <f>IF(D287="Yes",S287*Tab_Data_Flows[[#This Row],[WC_'[%']]],"N.A.")</f>
        <v>#VALUE!</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'0_Configuration'!$C$35</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t="str">
        <f>INDEX(Tab_Def_Flows[[Flow_ID]:[CC_DM_source]],MATCH(Tab_Data_Flows[[#This Row],[Flow_Name]],Tab_Def_Flows[Flow_Name],0),11)</f>
        <v>Yes</v>
      </c>
      <c r="V288" s="6" t="str">
        <f>Tab_Data_Flows[[#This Row],[Flow_ID]]&amp;"_"&amp;"WC_"&amp;Tab_Data_Flows[[#This Row],[Flow_Data_Year]]</f>
        <v>F___WC_</v>
      </c>
      <c r="W288" s="6" t="e">
        <f>IF(D288="Yes",S288*Tab_Data_Flows[[#This Row],[WC_'[%']]],"N.A.")</f>
        <v>#VALUE!</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'0_Configuration'!$C$35</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t="str">
        <f>INDEX(Tab_Def_Flows[[Flow_ID]:[CC_DM_source]],MATCH(Tab_Data_Flows[[#This Row],[Flow_Name]],Tab_Def_Flows[Flow_Name],0),11)</f>
        <v>Yes</v>
      </c>
      <c r="V289" s="6" t="str">
        <f>Tab_Data_Flows[[#This Row],[Flow_ID]]&amp;"_"&amp;"WC_"&amp;Tab_Data_Flows[[#This Row],[Flow_Data_Year]]</f>
        <v>F___WC_</v>
      </c>
      <c r="W289" s="6" t="e">
        <f>IF(D289="Yes",S289*Tab_Data_Flows[[#This Row],[WC_'[%']]],"N.A.")</f>
        <v>#VALUE!</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'0_Configuration'!$C$35</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t="str">
        <f>INDEX(Tab_Def_Flows[[Flow_ID]:[CC_DM_source]],MATCH(Tab_Data_Flows[[#This Row],[Flow_Name]],Tab_Def_Flows[Flow_Name],0),11)</f>
        <v>Yes</v>
      </c>
      <c r="V290" s="6" t="str">
        <f>Tab_Data_Flows[[#This Row],[Flow_ID]]&amp;"_"&amp;"WC_"&amp;Tab_Data_Flows[[#This Row],[Flow_Data_Year]]</f>
        <v>F___WC_</v>
      </c>
      <c r="W290" s="6" t="e">
        <f>IF(D290="Yes",S290*Tab_Data_Flows[[#This Row],[WC_'[%']]],"N.A.")</f>
        <v>#VALUE!</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'0_Configuration'!$C$35</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t="str">
        <f>INDEX(Tab_Def_Flows[[Flow_ID]:[CC_DM_source]],MATCH(Tab_Data_Flows[[#This Row],[Flow_Name]],Tab_Def_Flows[Flow_Name],0),11)</f>
        <v>Yes</v>
      </c>
      <c r="V291" s="6" t="str">
        <f>Tab_Data_Flows[[#This Row],[Flow_ID]]&amp;"_"&amp;"WC_"&amp;Tab_Data_Flows[[#This Row],[Flow_Data_Year]]</f>
        <v>F___WC_</v>
      </c>
      <c r="W291" s="6" t="e">
        <f>IF(D291="Yes",S291*Tab_Data_Flows[[#This Row],[WC_'[%']]],"N.A.")</f>
        <v>#VALUE!</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'0_Configuration'!$C$35</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t="str">
        <f>INDEX(Tab_Def_Flows[[Flow_ID]:[CC_DM_source]],MATCH(Tab_Data_Flows[[#This Row],[Flow_Name]],Tab_Def_Flows[Flow_Name],0),11)</f>
        <v>Yes</v>
      </c>
      <c r="V292" s="6" t="str">
        <f>Tab_Data_Flows[[#This Row],[Flow_ID]]&amp;"_"&amp;"WC_"&amp;Tab_Data_Flows[[#This Row],[Flow_Data_Year]]</f>
        <v>F___WC_</v>
      </c>
      <c r="W292" s="6" t="e">
        <f>IF(D292="Yes",S292*Tab_Data_Flows[[#This Row],[WC_'[%']]],"N.A.")</f>
        <v>#VALUE!</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'0_Configuration'!$C$35</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t="str">
        <f>INDEX(Tab_Def_Flows[[Flow_ID]:[CC_DM_source]],MATCH(Tab_Data_Flows[[#This Row],[Flow_Name]],Tab_Def_Flows[Flow_Name],0),11)</f>
        <v>Yes</v>
      </c>
      <c r="V293" s="6" t="str">
        <f>Tab_Data_Flows[[#This Row],[Flow_ID]]&amp;"_"&amp;"WC_"&amp;Tab_Data_Flows[[#This Row],[Flow_Data_Year]]</f>
        <v>F___WC_</v>
      </c>
      <c r="W293" s="6" t="e">
        <f>IF(D293="Yes",S293*Tab_Data_Flows[[#This Row],[WC_'[%']]],"N.A.")</f>
        <v>#VALUE!</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'0_Configuration'!$C$35</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t="str">
        <f>INDEX(Tab_Def_Flows[[Flow_ID]:[CC_DM_source]],MATCH(Tab_Data_Flows[[#This Row],[Flow_Name]],Tab_Def_Flows[Flow_Name],0),11)</f>
        <v>Yes</v>
      </c>
      <c r="V294" s="6" t="str">
        <f>Tab_Data_Flows[[#This Row],[Flow_ID]]&amp;"_"&amp;"WC_"&amp;Tab_Data_Flows[[#This Row],[Flow_Data_Year]]</f>
        <v>F___WC_</v>
      </c>
      <c r="W294" s="6" t="e">
        <f>IF(D294="Yes",S294*Tab_Data_Flows[[#This Row],[WC_'[%']]],"N.A.")</f>
        <v>#VALUE!</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'0_Configuration'!$C$35</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t="str">
        <f>INDEX(Tab_Def_Flows[[Flow_ID]:[CC_DM_source]],MATCH(Tab_Data_Flows[[#This Row],[Flow_Name]],Tab_Def_Flows[Flow_Name],0),11)</f>
        <v>Yes</v>
      </c>
      <c r="V295" s="6" t="str">
        <f>Tab_Data_Flows[[#This Row],[Flow_ID]]&amp;"_"&amp;"WC_"&amp;Tab_Data_Flows[[#This Row],[Flow_Data_Year]]</f>
        <v>F___WC_</v>
      </c>
      <c r="W295" s="6" t="e">
        <f>IF(D295="Yes",S295*Tab_Data_Flows[[#This Row],[WC_'[%']]],"N.A.")</f>
        <v>#VALUE!</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'0_Configuration'!$C$35</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t="str">
        <f>INDEX(Tab_Def_Flows[[Flow_ID]:[CC_DM_source]],MATCH(Tab_Data_Flows[[#This Row],[Flow_Name]],Tab_Def_Flows[Flow_Name],0),11)</f>
        <v>Yes</v>
      </c>
      <c r="V296" s="6" t="str">
        <f>Tab_Data_Flows[[#This Row],[Flow_ID]]&amp;"_"&amp;"WC_"&amp;Tab_Data_Flows[[#This Row],[Flow_Data_Year]]</f>
        <v>F___WC_</v>
      </c>
      <c r="W296" s="6" t="e">
        <f>IF(D296="Yes",S296*Tab_Data_Flows[[#This Row],[WC_'[%']]],"N.A.")</f>
        <v>#VALUE!</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'0_Configuration'!$C$35</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t="str">
        <f>INDEX(Tab_Def_Flows[[Flow_ID]:[CC_DM_source]],MATCH(Tab_Data_Flows[[#This Row],[Flow_Name]],Tab_Def_Flows[Flow_Name],0),11)</f>
        <v>Yes</v>
      </c>
      <c r="V297" s="6" t="str">
        <f>Tab_Data_Flows[[#This Row],[Flow_ID]]&amp;"_"&amp;"WC_"&amp;Tab_Data_Flows[[#This Row],[Flow_Data_Year]]</f>
        <v>F___WC_</v>
      </c>
      <c r="W297" s="6" t="e">
        <f>IF(D297="Yes",S297*Tab_Data_Flows[[#This Row],[WC_'[%']]],"N.A.")</f>
        <v>#VALUE!</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'0_Configuration'!$C$35</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t="str">
        <f>INDEX(Tab_Def_Flows[[Flow_ID]:[CC_DM_source]],MATCH(Tab_Data_Flows[[#This Row],[Flow_Name]],Tab_Def_Flows[Flow_Name],0),11)</f>
        <v>Yes</v>
      </c>
      <c r="V298" s="6" t="str">
        <f>Tab_Data_Flows[[#This Row],[Flow_ID]]&amp;"_"&amp;"WC_"&amp;Tab_Data_Flows[[#This Row],[Flow_Data_Year]]</f>
        <v>F___WC_</v>
      </c>
      <c r="W298" s="6" t="e">
        <f>IF(D298="Yes",S298*Tab_Data_Flows[[#This Row],[WC_'[%']]],"N.A.")</f>
        <v>#VALUE!</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'0_Configuration'!$C$35</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t="str">
        <f>INDEX(Tab_Def_Flows[[Flow_ID]:[CC_DM_source]],MATCH(Tab_Data_Flows[[#This Row],[Flow_Name]],Tab_Def_Flows[Flow_Name],0),11)</f>
        <v>Yes</v>
      </c>
      <c r="V299" s="6" t="str">
        <f>Tab_Data_Flows[[#This Row],[Flow_ID]]&amp;"_"&amp;"WC_"&amp;Tab_Data_Flows[[#This Row],[Flow_Data_Year]]</f>
        <v>F___WC_</v>
      </c>
      <c r="W299" s="6" t="e">
        <f>IF(D299="Yes",S299*Tab_Data_Flows[[#This Row],[WC_'[%']]],"N.A.")</f>
        <v>#VALUE!</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'0_Configuration'!$C$35</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t="str">
        <f>INDEX(Tab_Def_Flows[[Flow_ID]:[CC_DM_source]],MATCH(Tab_Data_Flows[[#This Row],[Flow_Name]],Tab_Def_Flows[Flow_Name],0),11)</f>
        <v>Yes</v>
      </c>
      <c r="V300" s="6" t="str">
        <f>Tab_Data_Flows[[#This Row],[Flow_ID]]&amp;"_"&amp;"WC_"&amp;Tab_Data_Flows[[#This Row],[Flow_Data_Year]]</f>
        <v>F___WC_</v>
      </c>
      <c r="W300" s="6" t="e">
        <f>IF(D300="Yes",S300*Tab_Data_Flows[[#This Row],[WC_'[%']]],"N.A.")</f>
        <v>#VALUE!</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'0_Configuration'!$C$35</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t="str">
        <f>INDEX(Tab_Def_Flows[[Flow_ID]:[CC_DM_source]],MATCH(Tab_Data_Flows[[#This Row],[Flow_Name]],Tab_Def_Flows[Flow_Name],0),11)</f>
        <v>Yes</v>
      </c>
      <c r="V301" s="6" t="str">
        <f>Tab_Data_Flows[[#This Row],[Flow_ID]]&amp;"_"&amp;"WC_"&amp;Tab_Data_Flows[[#This Row],[Flow_Data_Year]]</f>
        <v>F___WC_</v>
      </c>
      <c r="W301" s="6" t="e">
        <f>IF(D301="Yes",S301*Tab_Data_Flows[[#This Row],[WC_'[%']]],"N.A.")</f>
        <v>#VALUE!</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'0_Configuration'!$C$35</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t="str">
        <f>INDEX(Tab_Def_Flows[[Flow_ID]:[CC_DM_source]],MATCH(Tab_Data_Flows[[#This Row],[Flow_Name]],Tab_Def_Flows[Flow_Name],0),11)</f>
        <v>Yes</v>
      </c>
      <c r="V302" s="6" t="str">
        <f>Tab_Data_Flows[[#This Row],[Flow_ID]]&amp;"_"&amp;"WC_"&amp;Tab_Data_Flows[[#This Row],[Flow_Data_Year]]</f>
        <v>F___WC_</v>
      </c>
      <c r="W302" s="6" t="e">
        <f>IF(D302="Yes",S302*Tab_Data_Flows[[#This Row],[WC_'[%']]],"N.A.")</f>
        <v>#VALUE!</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'0_Configuration'!$C$35</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t="str">
        <f>INDEX(Tab_Def_Flows[[Flow_ID]:[CC_DM_source]],MATCH(Tab_Data_Flows[[#This Row],[Flow_Name]],Tab_Def_Flows[Flow_Name],0),11)</f>
        <v>Yes</v>
      </c>
      <c r="V303" s="6" t="str">
        <f>Tab_Data_Flows[[#This Row],[Flow_ID]]&amp;"_"&amp;"WC_"&amp;Tab_Data_Flows[[#This Row],[Flow_Data_Year]]</f>
        <v>F___WC_</v>
      </c>
      <c r="W303" s="6" t="e">
        <f>IF(D303="Yes",S303*Tab_Data_Flows[[#This Row],[WC_'[%']]],"N.A.")</f>
        <v>#VALUE!</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t="str">
        <f>INDEX(Tab_Def_Flows[[Flow_ID]:[CC_DM_source]],MATCH(Tab_Data_Flows[[#This Row],[Flow_Name]],Tab_Def_Flows[Flow_Name],0),11)</f>
        <v>Yes</v>
      </c>
      <c r="V304" s="6" t="str">
        <f>Tab_Data_Flows[[#This Row],[Flow_ID]]&amp;"_"&amp;"WC_"&amp;Tab_Data_Flows[[#This Row],[Flow_Data_Year]]</f>
        <v>F___WC_</v>
      </c>
      <c r="W304" s="6" t="e">
        <f>IF(D304="Yes",S304*Tab_Data_Flows[[#This Row],[WC_'[%']]],"N.A.")</f>
        <v>#VALUE!</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t="str">
        <f>INDEX(Tab_Def_Flows[[Flow_ID]:[CC_DM_source]],MATCH(Tab_Data_Flows[[#This Row],[Flow_Name]],Tab_Def_Flows[Flow_Name],0),11)</f>
        <v>Yes</v>
      </c>
      <c r="V305" s="6" t="str">
        <f>Tab_Data_Flows[[#This Row],[Flow_ID]]&amp;"_"&amp;"WC_"&amp;Tab_Data_Flows[[#This Row],[Flow_Data_Year]]</f>
        <v>F___WC_</v>
      </c>
      <c r="W305" s="6" t="e">
        <f>IF(D305="Yes",S305*Tab_Data_Flows[[#This Row],[WC_'[%']]],"N.A.")</f>
        <v>#VALUE!</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t="str">
        <f>INDEX(Tab_Def_Flows[[Flow_ID]:[CC_DM_source]],MATCH(Tab_Data_Flows[[#This Row],[Flow_Name]],Tab_Def_Flows[Flow_Name],0),11)</f>
        <v>Yes</v>
      </c>
      <c r="V306" s="6" t="str">
        <f>Tab_Data_Flows[[#This Row],[Flow_ID]]&amp;"_"&amp;"WC_"&amp;Tab_Data_Flows[[#This Row],[Flow_Data_Year]]</f>
        <v>F___WC_</v>
      </c>
      <c r="W306" s="6" t="e">
        <f>IF(D306="Yes",S306*Tab_Data_Flows[[#This Row],[WC_'[%']]],"N.A.")</f>
        <v>#VALUE!</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t="str">
        <f>INDEX(Tab_Def_Flows[[Flow_ID]:[CC_DM_source]],MATCH(Tab_Data_Flows[[#This Row],[Flow_Name]],Tab_Def_Flows[Flow_Name],0),11)</f>
        <v>Yes</v>
      </c>
      <c r="V307" s="6" t="str">
        <f>Tab_Data_Flows[[#This Row],[Flow_ID]]&amp;"_"&amp;"WC_"&amp;Tab_Data_Flows[[#This Row],[Flow_Data_Year]]</f>
        <v>F___WC_</v>
      </c>
      <c r="W307" s="6" t="e">
        <f>IF(D307="Yes",S307*Tab_Data_Flows[[#This Row],[WC_'[%']]],"N.A.")</f>
        <v>#VALUE!</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t="str">
        <f>INDEX(Tab_Def_Flows[[Flow_ID]:[CC_DM_source]],MATCH(Tab_Data_Flows[[#This Row],[Flow_Name]],Tab_Def_Flows[Flow_Name],0),11)</f>
        <v>Yes</v>
      </c>
      <c r="V308" s="6" t="str">
        <f>Tab_Data_Flows[[#This Row],[Flow_ID]]&amp;"_"&amp;"WC_"&amp;Tab_Data_Flows[[#This Row],[Flow_Data_Year]]</f>
        <v>F___WC_</v>
      </c>
      <c r="W308" s="6" t="e">
        <f>IF(D308="Yes",S308*Tab_Data_Flows[[#This Row],[WC_'[%']]],"N.A.")</f>
        <v>#VALUE!</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t="str">
        <f>INDEX(Tab_Def_Flows[[Flow_ID]:[CC_DM_source]],MATCH(Tab_Data_Flows[[#This Row],[Flow_Name]],Tab_Def_Flows[Flow_Name],0),11)</f>
        <v>Yes</v>
      </c>
      <c r="V309" s="6" t="str">
        <f>Tab_Data_Flows[[#This Row],[Flow_ID]]&amp;"_"&amp;"WC_"&amp;Tab_Data_Flows[[#This Row],[Flow_Data_Year]]</f>
        <v>F___WC_</v>
      </c>
      <c r="W309" s="6" t="e">
        <f>IF(D309="Yes",S309*Tab_Data_Flows[[#This Row],[WC_'[%']]],"N.A.")</f>
        <v>#VALUE!</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t="str">
        <f>INDEX(Tab_Def_Flows[[Flow_ID]:[CC_DM_source]],MATCH(Tab_Data_Flows[[#This Row],[Flow_Name]],Tab_Def_Flows[Flow_Name],0),11)</f>
        <v>Yes</v>
      </c>
      <c r="V310" s="6" t="str">
        <f>Tab_Data_Flows[[#This Row],[Flow_ID]]&amp;"_"&amp;"WC_"&amp;Tab_Data_Flows[[#This Row],[Flow_Data_Year]]</f>
        <v>F___WC_</v>
      </c>
      <c r="W310" s="6" t="e">
        <f>IF(D310="Yes",S310*Tab_Data_Flows[[#This Row],[WC_'[%']]],"N.A.")</f>
        <v>#VALUE!</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t="str">
        <f>INDEX(Tab_Def_Flows[[Flow_ID]:[CC_DM_source]],MATCH(Tab_Data_Flows[[#This Row],[Flow_Name]],Tab_Def_Flows[Flow_Name],0),11)</f>
        <v>Yes</v>
      </c>
      <c r="V311" s="6" t="str">
        <f>Tab_Data_Flows[[#This Row],[Flow_ID]]&amp;"_"&amp;"WC_"&amp;Tab_Data_Flows[[#This Row],[Flow_Data_Year]]</f>
        <v>F___WC_</v>
      </c>
      <c r="W311" s="6" t="e">
        <f>IF(D311="Yes",S311*Tab_Data_Flows[[#This Row],[WC_'[%']]],"N.A.")</f>
        <v>#VALUE!</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t="str">
        <f>INDEX(Tab_Def_Flows[[Flow_ID]:[CC_DM_source]],MATCH(Tab_Data_Flows[[#This Row],[Flow_Name]],Tab_Def_Flows[Flow_Name],0),11)</f>
        <v>Yes</v>
      </c>
      <c r="V312" s="6" t="str">
        <f>Tab_Data_Flows[[#This Row],[Flow_ID]]&amp;"_"&amp;"WC_"&amp;Tab_Data_Flows[[#This Row],[Flow_Data_Year]]</f>
        <v>F___WC_</v>
      </c>
      <c r="W312" s="6" t="e">
        <f>IF(D312="Yes",S312*Tab_Data_Flows[[#This Row],[WC_'[%']]],"N.A.")</f>
        <v>#VALUE!</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t="str">
        <f>INDEX(Tab_Def_Flows[[Flow_ID]:[CC_DM_source]],MATCH(Tab_Data_Flows[[#This Row],[Flow_Name]],Tab_Def_Flows[Flow_Name],0),11)</f>
        <v>Yes</v>
      </c>
      <c r="V313" s="6" t="str">
        <f>Tab_Data_Flows[[#This Row],[Flow_ID]]&amp;"_"&amp;"WC_"&amp;Tab_Data_Flows[[#This Row],[Flow_Data_Year]]</f>
        <v>F___WC_</v>
      </c>
      <c r="W313" s="6" t="e">
        <f>IF(D313="Yes",S313*Tab_Data_Flows[[#This Row],[WC_'[%']]],"N.A.")</f>
        <v>#VALUE!</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t="str">
        <f>INDEX(Tab_Def_Flows[[Flow_ID]:[CC_DM_source]],MATCH(Tab_Data_Flows[[#This Row],[Flow_Name]],Tab_Def_Flows[Flow_Name],0),11)</f>
        <v>Yes</v>
      </c>
      <c r="V314" s="6" t="str">
        <f>Tab_Data_Flows[[#This Row],[Flow_ID]]&amp;"_"&amp;"WC_"&amp;Tab_Data_Flows[[#This Row],[Flow_Data_Year]]</f>
        <v>F___WC_</v>
      </c>
      <c r="W314" s="6" t="e">
        <f>IF(D314="Yes",S314*Tab_Data_Flows[[#This Row],[WC_'[%']]],"N.A.")</f>
        <v>#VALUE!</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t="str">
        <f>INDEX(Tab_Def_Flows[[Flow_ID]:[CC_DM_source]],MATCH(Tab_Data_Flows[[#This Row],[Flow_Name]],Tab_Def_Flows[Flow_Name],0),11)</f>
        <v>Yes</v>
      </c>
      <c r="V315" s="6" t="str">
        <f>Tab_Data_Flows[[#This Row],[Flow_ID]]&amp;"_"&amp;"WC_"&amp;Tab_Data_Flows[[#This Row],[Flow_Data_Year]]</f>
        <v>F___WC_</v>
      </c>
      <c r="W315" s="6" t="e">
        <f>IF(D315="Yes",S315*Tab_Data_Flows[[#This Row],[WC_'[%']]],"N.A.")</f>
        <v>#VALUE!</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t="str">
        <f>INDEX(Tab_Def_Flows[[Flow_ID]:[CC_DM_source]],MATCH(Tab_Data_Flows[[#This Row],[Flow_Name]],Tab_Def_Flows[Flow_Name],0),11)</f>
        <v>Yes</v>
      </c>
      <c r="V316" s="6" t="str">
        <f>Tab_Data_Flows[[#This Row],[Flow_ID]]&amp;"_"&amp;"WC_"&amp;Tab_Data_Flows[[#This Row],[Flow_Data_Year]]</f>
        <v>F___WC_</v>
      </c>
      <c r="W316" s="6" t="e">
        <f>IF(D316="Yes",S316*Tab_Data_Flows[[#This Row],[WC_'[%']]],"N.A.")</f>
        <v>#VALUE!</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t="str">
        <f>INDEX(Tab_Def_Flows[[Flow_ID]:[CC_DM_source]],MATCH(Tab_Data_Flows[[#This Row],[Flow_Name]],Tab_Def_Flows[Flow_Name],0),11)</f>
        <v>Yes</v>
      </c>
      <c r="V317" s="6" t="str">
        <f>Tab_Data_Flows[[#This Row],[Flow_ID]]&amp;"_"&amp;"WC_"&amp;Tab_Data_Flows[[#This Row],[Flow_Data_Year]]</f>
        <v>F___WC_</v>
      </c>
      <c r="W317" s="6" t="e">
        <f>IF(D317="Yes",S317*Tab_Data_Flows[[#This Row],[WC_'[%']]],"N.A.")</f>
        <v>#VALUE!</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t="str">
        <f>INDEX(Tab_Def_Flows[[Flow_ID]:[CC_DM_source]],MATCH(Tab_Data_Flows[[#This Row],[Flow_Name]],Tab_Def_Flows[Flow_Name],0),11)</f>
        <v>Yes</v>
      </c>
      <c r="V318" s="6" t="str">
        <f>Tab_Data_Flows[[#This Row],[Flow_ID]]&amp;"_"&amp;"WC_"&amp;Tab_Data_Flows[[#This Row],[Flow_Data_Year]]</f>
        <v>F___WC_</v>
      </c>
      <c r="W318" s="6" t="e">
        <f>IF(D318="Yes",S318*Tab_Data_Flows[[#This Row],[WC_'[%']]],"N.A.")</f>
        <v>#VALUE!</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t="str">
        <f>INDEX(Tab_Def_Flows[[Flow_ID]:[CC_DM_source]],MATCH(Tab_Data_Flows[[#This Row],[Flow_Name]],Tab_Def_Flows[Flow_Name],0),11)</f>
        <v>Yes</v>
      </c>
      <c r="V319" s="6" t="str">
        <f>Tab_Data_Flows[[#This Row],[Flow_ID]]&amp;"_"&amp;"WC_"&amp;Tab_Data_Flows[[#This Row],[Flow_Data_Year]]</f>
        <v>F___WC_</v>
      </c>
      <c r="W319" s="6" t="e">
        <f>IF(D319="Yes",S319*Tab_Data_Flows[[#This Row],[WC_'[%']]],"N.A.")</f>
        <v>#VALUE!</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t="str">
        <f>INDEX(Tab_Def_Flows[[Flow_ID]:[CC_DM_source]],MATCH(Tab_Data_Flows[[#This Row],[Flow_Name]],Tab_Def_Flows[Flow_Name],0),11)</f>
        <v>Yes</v>
      </c>
      <c r="V320" s="6" t="str">
        <f>Tab_Data_Flows[[#This Row],[Flow_ID]]&amp;"_"&amp;"WC_"&amp;Tab_Data_Flows[[#This Row],[Flow_Data_Year]]</f>
        <v>F___WC_</v>
      </c>
      <c r="W320" s="6" t="e">
        <f>IF(D320="Yes",S320*Tab_Data_Flows[[#This Row],[WC_'[%']]],"N.A.")</f>
        <v>#VALUE!</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t="str">
        <f>INDEX(Tab_Def_Flows[[Flow_ID]:[CC_DM_source]],MATCH(Tab_Data_Flows[[#This Row],[Flow_Name]],Tab_Def_Flows[Flow_Name],0),11)</f>
        <v>Yes</v>
      </c>
      <c r="V321" s="6" t="str">
        <f>Tab_Data_Flows[[#This Row],[Flow_ID]]&amp;"_"&amp;"WC_"&amp;Tab_Data_Flows[[#This Row],[Flow_Data_Year]]</f>
        <v>F___WC_</v>
      </c>
      <c r="W321" s="6" t="e">
        <f>IF(D321="Yes",S321*Tab_Data_Flows[[#This Row],[WC_'[%']]],"N.A.")</f>
        <v>#VALUE!</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t="str">
        <f>INDEX(Tab_Def_Flows[[Flow_ID]:[CC_DM_source]],MATCH(Tab_Data_Flows[[#This Row],[Flow_Name]],Tab_Def_Flows[Flow_Name],0),11)</f>
        <v>Yes</v>
      </c>
      <c r="V322" s="6" t="str">
        <f>Tab_Data_Flows[[#This Row],[Flow_ID]]&amp;"_"&amp;"WC_"&amp;Tab_Data_Flows[[#This Row],[Flow_Data_Year]]</f>
        <v>F___WC_</v>
      </c>
      <c r="W322" s="6" t="e">
        <f>IF(D322="Yes",S322*Tab_Data_Flows[[#This Row],[WC_'[%']]],"N.A.")</f>
        <v>#VALUE!</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t="str">
        <f>INDEX(Tab_Def_Flows[[Flow_ID]:[CC_DM_source]],MATCH(Tab_Data_Flows[[#This Row],[Flow_Name]],Tab_Def_Flows[Flow_Name],0),11)</f>
        <v>Yes</v>
      </c>
      <c r="V323" s="6" t="str">
        <f>Tab_Data_Flows[[#This Row],[Flow_ID]]&amp;"_"&amp;"WC_"&amp;Tab_Data_Flows[[#This Row],[Flow_Data_Year]]</f>
        <v>F___WC_</v>
      </c>
      <c r="W323" s="6" t="e">
        <f>IF(D323="Yes",S323*Tab_Data_Flows[[#This Row],[WC_'[%']]],"N.A.")</f>
        <v>#VALUE!</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t="str">
        <f>INDEX(Tab_Def_Flows[[Flow_ID]:[CC_DM_source]],MATCH(Tab_Data_Flows[[#This Row],[Flow_Name]],Tab_Def_Flows[Flow_Name],0),11)</f>
        <v>Yes</v>
      </c>
      <c r="V324" s="6" t="str">
        <f>Tab_Data_Flows[[#This Row],[Flow_ID]]&amp;"_"&amp;"WC_"&amp;Tab_Data_Flows[[#This Row],[Flow_Data_Year]]</f>
        <v>F___WC_</v>
      </c>
      <c r="W324" s="6" t="e">
        <f>IF(D324="Yes",S324*Tab_Data_Flows[[#This Row],[WC_'[%']]],"N.A.")</f>
        <v>#VALUE!</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t="str">
        <f>INDEX(Tab_Def_Flows[[Flow_ID]:[CC_DM_source]],MATCH(Tab_Data_Flows[[#This Row],[Flow_Name]],Tab_Def_Flows[Flow_Name],0),11)</f>
        <v>Yes</v>
      </c>
      <c r="V325" s="6" t="str">
        <f>Tab_Data_Flows[[#This Row],[Flow_ID]]&amp;"_"&amp;"WC_"&amp;Tab_Data_Flows[[#This Row],[Flow_Data_Year]]</f>
        <v>F___WC_</v>
      </c>
      <c r="W325" s="6" t="e">
        <f>IF(D325="Yes",S325*Tab_Data_Flows[[#This Row],[WC_'[%']]],"N.A.")</f>
        <v>#VALUE!</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t="str">
        <f>INDEX(Tab_Def_Flows[[Flow_ID]:[CC_DM_source]],MATCH(Tab_Data_Flows[[#This Row],[Flow_Name]],Tab_Def_Flows[Flow_Name],0),11)</f>
        <v>Yes</v>
      </c>
      <c r="V326" s="6" t="str">
        <f>Tab_Data_Flows[[#This Row],[Flow_ID]]&amp;"_"&amp;"WC_"&amp;Tab_Data_Flows[[#This Row],[Flow_Data_Year]]</f>
        <v>F___WC_</v>
      </c>
      <c r="W326" s="6" t="e">
        <f>IF(D326="Yes",S326*Tab_Data_Flows[[#This Row],[WC_'[%']]],"N.A.")</f>
        <v>#VALUE!</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t="str">
        <f>INDEX(Tab_Def_Flows[[Flow_ID]:[CC_DM_source]],MATCH(Tab_Data_Flows[[#This Row],[Flow_Name]],Tab_Def_Flows[Flow_Name],0),11)</f>
        <v>Yes</v>
      </c>
      <c r="V327" s="6" t="str">
        <f>Tab_Data_Flows[[#This Row],[Flow_ID]]&amp;"_"&amp;"WC_"&amp;Tab_Data_Flows[[#This Row],[Flow_Data_Year]]</f>
        <v>F___WC_</v>
      </c>
      <c r="W327" s="6" t="e">
        <f>IF(D327="Yes",S327*Tab_Data_Flows[[#This Row],[WC_'[%']]],"N.A.")</f>
        <v>#VALUE!</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t="str">
        <f>INDEX(Tab_Def_Flows[[Flow_ID]:[CC_DM_source]],MATCH(Tab_Data_Flows[[#This Row],[Flow_Name]],Tab_Def_Flows[Flow_Name],0),11)</f>
        <v>Yes</v>
      </c>
      <c r="V328" s="6" t="str">
        <f>Tab_Data_Flows[[#This Row],[Flow_ID]]&amp;"_"&amp;"WC_"&amp;Tab_Data_Flows[[#This Row],[Flow_Data_Year]]</f>
        <v>F___WC_</v>
      </c>
      <c r="W328" s="6" t="e">
        <f>IF(D328="Yes",S328*Tab_Data_Flows[[#This Row],[WC_'[%']]],"N.A.")</f>
        <v>#VALUE!</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t="str">
        <f>INDEX(Tab_Def_Flows[[Flow_ID]:[CC_DM_source]],MATCH(Tab_Data_Flows[[#This Row],[Flow_Name]],Tab_Def_Flows[Flow_Name],0),11)</f>
        <v>Yes</v>
      </c>
      <c r="V329" s="6" t="str">
        <f>Tab_Data_Flows[[#This Row],[Flow_ID]]&amp;"_"&amp;"WC_"&amp;Tab_Data_Flows[[#This Row],[Flow_Data_Year]]</f>
        <v>F___WC_</v>
      </c>
      <c r="W329" s="6" t="e">
        <f>IF(D329="Yes",S329*Tab_Data_Flows[[#This Row],[WC_'[%']]],"N.A.")</f>
        <v>#VALUE!</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t="str">
        <f>INDEX(Tab_Def_Flows[[Flow_ID]:[CC_DM_source]],MATCH(Tab_Data_Flows[[#This Row],[Flow_Name]],Tab_Def_Flows[Flow_Name],0),11)</f>
        <v>Yes</v>
      </c>
      <c r="V330" s="6" t="str">
        <f>Tab_Data_Flows[[#This Row],[Flow_ID]]&amp;"_"&amp;"WC_"&amp;Tab_Data_Flows[[#This Row],[Flow_Data_Year]]</f>
        <v>F___WC_</v>
      </c>
      <c r="W330" s="6" t="e">
        <f>IF(D330="Yes",S330*Tab_Data_Flows[[#This Row],[WC_'[%']]],"N.A.")</f>
        <v>#VALUE!</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t="str">
        <f>INDEX(Tab_Def_Flows[[Flow_ID]:[CC_DM_source]],MATCH(Tab_Data_Flows[[#This Row],[Flow_Name]],Tab_Def_Flows[Flow_Name],0),11)</f>
        <v>Yes</v>
      </c>
      <c r="V331" s="6" t="str">
        <f>Tab_Data_Flows[[#This Row],[Flow_ID]]&amp;"_"&amp;"WC_"&amp;Tab_Data_Flows[[#This Row],[Flow_Data_Year]]</f>
        <v>F___WC_</v>
      </c>
      <c r="W331" s="6" t="e">
        <f>IF(D331="Yes",S331*Tab_Data_Flows[[#This Row],[WC_'[%']]],"N.A.")</f>
        <v>#VALUE!</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t="str">
        <f>INDEX(Tab_Def_Flows[[Flow_ID]:[CC_DM_source]],MATCH(Tab_Data_Flows[[#This Row],[Flow_Name]],Tab_Def_Flows[Flow_Name],0),11)</f>
        <v>Yes</v>
      </c>
      <c r="V332" s="6" t="str">
        <f>Tab_Data_Flows[[#This Row],[Flow_ID]]&amp;"_"&amp;"WC_"&amp;Tab_Data_Flows[[#This Row],[Flow_Data_Year]]</f>
        <v>F___WC_</v>
      </c>
      <c r="W332" s="6" t="e">
        <f>IF(D332="Yes",S332*Tab_Data_Flows[[#This Row],[WC_'[%']]],"N.A.")</f>
        <v>#VALUE!</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t="str">
        <f>INDEX(Tab_Def_Flows[[Flow_ID]:[CC_DM_source]],MATCH(Tab_Data_Flows[[#This Row],[Flow_Name]],Tab_Def_Flows[Flow_Name],0),11)</f>
        <v>Yes</v>
      </c>
      <c r="V333" s="6" t="str">
        <f>Tab_Data_Flows[[#This Row],[Flow_ID]]&amp;"_"&amp;"WC_"&amp;Tab_Data_Flows[[#This Row],[Flow_Data_Year]]</f>
        <v>F___WC_</v>
      </c>
      <c r="W333" s="6" t="e">
        <f>IF(D333="Yes",S333*Tab_Data_Flows[[#This Row],[WC_'[%']]],"N.A.")</f>
        <v>#VALUE!</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t="str">
        <f>INDEX(Tab_Def_Flows[[Flow_ID]:[CC_DM_source]],MATCH(Tab_Data_Flows[[#This Row],[Flow_Name]],Tab_Def_Flows[Flow_Name],0),11)</f>
        <v>Yes</v>
      </c>
      <c r="V334" s="6" t="str">
        <f>Tab_Data_Flows[[#This Row],[Flow_ID]]&amp;"_"&amp;"WC_"&amp;Tab_Data_Flows[[#This Row],[Flow_Data_Year]]</f>
        <v>F___WC_</v>
      </c>
      <c r="W334" s="6" t="e">
        <f>IF(D334="Yes",S334*Tab_Data_Flows[[#This Row],[WC_'[%']]],"N.A.")</f>
        <v>#VALUE!</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t="str">
        <f>INDEX(Tab_Def_Flows[[Flow_ID]:[CC_DM_source]],MATCH(Tab_Data_Flows[[#This Row],[Flow_Name]],Tab_Def_Flows[Flow_Name],0),11)</f>
        <v>Yes</v>
      </c>
      <c r="V335" s="6" t="str">
        <f>Tab_Data_Flows[[#This Row],[Flow_ID]]&amp;"_"&amp;"WC_"&amp;Tab_Data_Flows[[#This Row],[Flow_Data_Year]]</f>
        <v>F___WC_</v>
      </c>
      <c r="W335" s="6" t="e">
        <f>IF(D335="Yes",S335*Tab_Data_Flows[[#This Row],[WC_'[%']]],"N.A.")</f>
        <v>#VALUE!</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t="str">
        <f>INDEX(Tab_Def_Flows[[Flow_ID]:[CC_DM_source]],MATCH(Tab_Data_Flows[[#This Row],[Flow_Name]],Tab_Def_Flows[Flow_Name],0),11)</f>
        <v>Yes</v>
      </c>
      <c r="V336" s="6" t="str">
        <f>Tab_Data_Flows[[#This Row],[Flow_ID]]&amp;"_"&amp;"WC_"&amp;Tab_Data_Flows[[#This Row],[Flow_Data_Year]]</f>
        <v>F___WC_</v>
      </c>
      <c r="W336" s="6" t="e">
        <f>IF(D336="Yes",S336*Tab_Data_Flows[[#This Row],[WC_'[%']]],"N.A.")</f>
        <v>#VALUE!</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t="str">
        <f>INDEX(Tab_Def_Flows[[Flow_ID]:[CC_DM_source]],MATCH(Tab_Data_Flows[[#This Row],[Flow_Name]],Tab_Def_Flows[Flow_Name],0),11)</f>
        <v>Yes</v>
      </c>
      <c r="V337" s="6" t="str">
        <f>Tab_Data_Flows[[#This Row],[Flow_ID]]&amp;"_"&amp;"WC_"&amp;Tab_Data_Flows[[#This Row],[Flow_Data_Year]]</f>
        <v>F___WC_</v>
      </c>
      <c r="W337" s="6" t="e">
        <f>IF(D337="Yes",S337*Tab_Data_Flows[[#This Row],[WC_'[%']]],"N.A.")</f>
        <v>#VALUE!</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t="str">
        <f>INDEX(Tab_Def_Flows[[Flow_ID]:[CC_DM_source]],MATCH(Tab_Data_Flows[[#This Row],[Flow_Name]],Tab_Def_Flows[Flow_Name],0),11)</f>
        <v>Yes</v>
      </c>
      <c r="V338" s="6" t="str">
        <f>Tab_Data_Flows[[#This Row],[Flow_ID]]&amp;"_"&amp;"WC_"&amp;Tab_Data_Flows[[#This Row],[Flow_Data_Year]]</f>
        <v>F___WC_</v>
      </c>
      <c r="W338" s="6" t="e">
        <f>IF(D338="Yes",S338*Tab_Data_Flows[[#This Row],[WC_'[%']]],"N.A.")</f>
        <v>#VALUE!</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t="str">
        <f>INDEX(Tab_Def_Flows[[Flow_ID]:[CC_DM_source]],MATCH(Tab_Data_Flows[[#This Row],[Flow_Name]],Tab_Def_Flows[Flow_Name],0),11)</f>
        <v>Yes</v>
      </c>
      <c r="V339" s="6" t="str">
        <f>Tab_Data_Flows[[#This Row],[Flow_ID]]&amp;"_"&amp;"WC_"&amp;Tab_Data_Flows[[#This Row],[Flow_Data_Year]]</f>
        <v>F___WC_</v>
      </c>
      <c r="W339" s="6" t="e">
        <f>IF(D339="Yes",S339*Tab_Data_Flows[[#This Row],[WC_'[%']]],"N.A.")</f>
        <v>#VALUE!</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t="str">
        <f>INDEX(Tab_Def_Flows[[Flow_ID]:[CC_DM_source]],MATCH(Tab_Data_Flows[[#This Row],[Flow_Name]],Tab_Def_Flows[Flow_Name],0),11)</f>
        <v>Yes</v>
      </c>
      <c r="V340" s="6" t="str">
        <f>Tab_Data_Flows[[#This Row],[Flow_ID]]&amp;"_"&amp;"WC_"&amp;Tab_Data_Flows[[#This Row],[Flow_Data_Year]]</f>
        <v>F___WC_</v>
      </c>
      <c r="W340" s="6" t="e">
        <f>IF(D340="Yes",S340*Tab_Data_Flows[[#This Row],[WC_'[%']]],"N.A.")</f>
        <v>#VALUE!</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t="str">
        <f>INDEX(Tab_Def_Flows[[Flow_ID]:[CC_DM_source]],MATCH(Tab_Data_Flows[[#This Row],[Flow_Name]],Tab_Def_Flows[Flow_Name],0),11)</f>
        <v>Yes</v>
      </c>
      <c r="V341" s="6" t="str">
        <f>Tab_Data_Flows[[#This Row],[Flow_ID]]&amp;"_"&amp;"WC_"&amp;Tab_Data_Flows[[#This Row],[Flow_Data_Year]]</f>
        <v>F___WC_</v>
      </c>
      <c r="W341" s="6" t="e">
        <f>IF(D341="Yes",S341*Tab_Data_Flows[[#This Row],[WC_'[%']]],"N.A.")</f>
        <v>#VALUE!</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t="str">
        <f>INDEX(Tab_Def_Flows[[Flow_ID]:[CC_DM_source]],MATCH(Tab_Data_Flows[[#This Row],[Flow_Name]],Tab_Def_Flows[Flow_Name],0),11)</f>
        <v>Yes</v>
      </c>
      <c r="V342" s="6" t="str">
        <f>Tab_Data_Flows[[#This Row],[Flow_ID]]&amp;"_"&amp;"WC_"&amp;Tab_Data_Flows[[#This Row],[Flow_Data_Year]]</f>
        <v>F___WC_</v>
      </c>
      <c r="W342" s="6" t="e">
        <f>IF(D342="Yes",S342*Tab_Data_Flows[[#This Row],[WC_'[%']]],"N.A.")</f>
        <v>#VALUE!</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t="str">
        <f>INDEX(Tab_Def_Flows[[Flow_ID]:[CC_DM_source]],MATCH(Tab_Data_Flows[[#This Row],[Flow_Name]],Tab_Def_Flows[Flow_Name],0),11)</f>
        <v>Yes</v>
      </c>
      <c r="V343" s="6" t="str">
        <f>Tab_Data_Flows[[#This Row],[Flow_ID]]&amp;"_"&amp;"WC_"&amp;Tab_Data_Flows[[#This Row],[Flow_Data_Year]]</f>
        <v>F___WC_</v>
      </c>
      <c r="W343" s="6" t="e">
        <f>IF(D343="Yes",S343*Tab_Data_Flows[[#This Row],[WC_'[%']]],"N.A.")</f>
        <v>#VALUE!</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t="str">
        <f>INDEX(Tab_Def_Flows[[Flow_ID]:[CC_DM_source]],MATCH(Tab_Data_Flows[[#This Row],[Flow_Name]],Tab_Def_Flows[Flow_Name],0),11)</f>
        <v>Yes</v>
      </c>
      <c r="V344" s="6" t="str">
        <f>Tab_Data_Flows[[#This Row],[Flow_ID]]&amp;"_"&amp;"WC_"&amp;Tab_Data_Flows[[#This Row],[Flow_Data_Year]]</f>
        <v>F___WC_</v>
      </c>
      <c r="W344" s="6" t="e">
        <f>IF(D344="Yes",S344*Tab_Data_Flows[[#This Row],[WC_'[%']]],"N.A.")</f>
        <v>#VALUE!</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t="str">
        <f>INDEX(Tab_Def_Flows[[Flow_ID]:[CC_DM_source]],MATCH(Tab_Data_Flows[[#This Row],[Flow_Name]],Tab_Def_Flows[Flow_Name],0),11)</f>
        <v>Yes</v>
      </c>
      <c r="V345" s="6" t="str">
        <f>Tab_Data_Flows[[#This Row],[Flow_ID]]&amp;"_"&amp;"WC_"&amp;Tab_Data_Flows[[#This Row],[Flow_Data_Year]]</f>
        <v>F___WC_</v>
      </c>
      <c r="W345" s="6" t="e">
        <f>IF(D345="Yes",S345*Tab_Data_Flows[[#This Row],[WC_'[%']]],"N.A.")</f>
        <v>#VALUE!</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t="str">
        <f>INDEX(Tab_Def_Flows[[Flow_ID]:[CC_DM_source]],MATCH(Tab_Data_Flows[[#This Row],[Flow_Name]],Tab_Def_Flows[Flow_Name],0),11)</f>
        <v>Yes</v>
      </c>
      <c r="V346" s="6" t="str">
        <f>Tab_Data_Flows[[#This Row],[Flow_ID]]&amp;"_"&amp;"WC_"&amp;Tab_Data_Flows[[#This Row],[Flow_Data_Year]]</f>
        <v>F___WC_</v>
      </c>
      <c r="W346" s="6" t="e">
        <f>IF(D346="Yes",S346*Tab_Data_Flows[[#This Row],[WC_'[%']]],"N.A.")</f>
        <v>#VALUE!</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t="str">
        <f>INDEX(Tab_Def_Flows[[Flow_ID]:[CC_DM_source]],MATCH(Tab_Data_Flows[[#This Row],[Flow_Name]],Tab_Def_Flows[Flow_Name],0),11)</f>
        <v>Yes</v>
      </c>
      <c r="V347" s="6" t="str">
        <f>Tab_Data_Flows[[#This Row],[Flow_ID]]&amp;"_"&amp;"WC_"&amp;Tab_Data_Flows[[#This Row],[Flow_Data_Year]]</f>
        <v>F___WC_</v>
      </c>
      <c r="W347" s="6" t="e">
        <f>IF(D347="Yes",S347*Tab_Data_Flows[[#This Row],[WC_'[%']]],"N.A.")</f>
        <v>#VALUE!</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t="str">
        <f>INDEX(Tab_Def_Flows[[Flow_ID]:[CC_DM_source]],MATCH(Tab_Data_Flows[[#This Row],[Flow_Name]],Tab_Def_Flows[Flow_Name],0),11)</f>
        <v>Yes</v>
      </c>
      <c r="V348" s="6" t="str">
        <f>Tab_Data_Flows[[#This Row],[Flow_ID]]&amp;"_"&amp;"WC_"&amp;Tab_Data_Flows[[#This Row],[Flow_Data_Year]]</f>
        <v>F___WC_</v>
      </c>
      <c r="W348" s="6" t="e">
        <f>IF(D348="Yes",S348*Tab_Data_Flows[[#This Row],[WC_'[%']]],"N.A.")</f>
        <v>#VALUE!</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t="str">
        <f>INDEX(Tab_Def_Flows[[Flow_ID]:[CC_DM_source]],MATCH(Tab_Data_Flows[[#This Row],[Flow_Name]],Tab_Def_Flows[Flow_Name],0),11)</f>
        <v>Yes</v>
      </c>
      <c r="V349" s="6" t="str">
        <f>Tab_Data_Flows[[#This Row],[Flow_ID]]&amp;"_"&amp;"WC_"&amp;Tab_Data_Flows[[#This Row],[Flow_Data_Year]]</f>
        <v>F___WC_</v>
      </c>
      <c r="W349" s="6" t="e">
        <f>IF(D349="Yes",S349*Tab_Data_Flows[[#This Row],[WC_'[%']]],"N.A.")</f>
        <v>#VALUE!</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t="str">
        <f>INDEX(Tab_Def_Flows[[Flow_ID]:[CC_DM_source]],MATCH(Tab_Data_Flows[[#This Row],[Flow_Name]],Tab_Def_Flows[Flow_Name],0),11)</f>
        <v>Yes</v>
      </c>
      <c r="V350" s="6" t="str">
        <f>Tab_Data_Flows[[#This Row],[Flow_ID]]&amp;"_"&amp;"WC_"&amp;Tab_Data_Flows[[#This Row],[Flow_Data_Year]]</f>
        <v>F___WC_</v>
      </c>
      <c r="W350" s="6" t="e">
        <f>IF(D350="Yes",S350*Tab_Data_Flows[[#This Row],[WC_'[%']]],"N.A.")</f>
        <v>#VALUE!</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7"/>
  <sheetViews>
    <sheetView zoomScale="130" zoomScaleNormal="130" workbookViewId="0">
      <pane xSplit="4" topLeftCell="M1" activePane="topRight" state="frozen"/>
      <selection pane="topRight" activeCell="D28" sqref="D28"/>
    </sheetView>
  </sheetViews>
  <sheetFormatPr defaultColWidth="10.85546875" defaultRowHeight="15" x14ac:dyDescent="0.25"/>
  <cols>
    <col min="1" max="1" width="13" customWidth="1"/>
    <col min="2" max="2" width="6.85546875" customWidth="1"/>
    <col min="3" max="3" width="10.85546875" customWidth="1"/>
    <col min="4" max="6" width="42"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427</v>
      </c>
      <c r="E1" s="141" t="s">
        <v>1234</v>
      </c>
      <c r="F1" s="141" t="s">
        <v>1233</v>
      </c>
      <c r="G1" s="141" t="s">
        <v>4</v>
      </c>
      <c r="H1" s="141" t="s">
        <v>392</v>
      </c>
      <c r="I1" s="141" t="s">
        <v>455</v>
      </c>
      <c r="J1" s="141" t="s">
        <v>456</v>
      </c>
      <c r="K1" s="141" t="s">
        <v>489</v>
      </c>
      <c r="L1" s="141" t="s">
        <v>1227</v>
      </c>
      <c r="M1" s="141" t="s">
        <v>1218</v>
      </c>
      <c r="N1" s="141" t="s">
        <v>1228</v>
      </c>
      <c r="O1" s="141" t="s">
        <v>1219</v>
      </c>
      <c r="P1" s="141" t="s">
        <v>1229</v>
      </c>
      <c r="Q1" s="141" t="s">
        <v>1223</v>
      </c>
      <c r="R1" s="141" t="s">
        <v>1226</v>
      </c>
      <c r="S1" s="141" t="s">
        <v>1220</v>
      </c>
      <c r="T1" s="141" t="s">
        <v>1230</v>
      </c>
      <c r="U1" s="141" t="s">
        <v>1221</v>
      </c>
      <c r="V1" s="141" t="s">
        <v>1231</v>
      </c>
      <c r="W1" s="141" t="s">
        <v>1222</v>
      </c>
      <c r="X1" s="141" t="s">
        <v>1225</v>
      </c>
      <c r="Y1" s="141" t="s">
        <v>1235</v>
      </c>
    </row>
    <row r="2" spans="1:25" x14ac:dyDescent="0.25">
      <c r="A2" s="142" t="b">
        <v>0</v>
      </c>
      <c r="B2" s="16" t="s">
        <v>51</v>
      </c>
      <c r="C2" s="6" t="str">
        <f>LEFT(B2,2)</f>
        <v>00</v>
      </c>
      <c r="D2" s="188" t="s">
        <v>1096</v>
      </c>
      <c r="E2" s="188"/>
      <c r="F2" s="188"/>
      <c r="G2" s="13"/>
      <c r="H2" s="138" t="s">
        <v>453</v>
      </c>
      <c r="I2" s="138" t="s">
        <v>433</v>
      </c>
      <c r="J2" s="138" t="s">
        <v>460</v>
      </c>
      <c r="K2" s="138">
        <v>4</v>
      </c>
      <c r="L2" s="194" t="b">
        <f>'0_Configuration'!$C$2</f>
        <v>1</v>
      </c>
      <c r="M2" s="6" t="s">
        <v>1224</v>
      </c>
      <c r="N2" s="194" t="b">
        <f>'0_Configuration'!$C$6</f>
        <v>0</v>
      </c>
      <c r="O2" s="6" t="s">
        <v>1224</v>
      </c>
      <c r="P2" s="194" t="b">
        <f>'0_Configuration'!$C$10</f>
        <v>0</v>
      </c>
      <c r="Q2" s="6" t="s">
        <v>1224</v>
      </c>
      <c r="R2" s="194" t="b">
        <f>'0_Configuration'!$C$17</f>
        <v>0</v>
      </c>
      <c r="S2" s="6">
        <f>_xlfn.XLOOKUP(Tab_Def_Flows[[#This Row],[ODYM_Good_Type]],Tab_Configuration[Value],Tab_Configuration[ODYM_ID],,0,)</f>
        <v>1</v>
      </c>
      <c r="T2" s="194" t="b">
        <f>'0_Configuration'!$C$24</f>
        <v>0</v>
      </c>
      <c r="U2" s="6" t="s">
        <v>1224</v>
      </c>
      <c r="V2" s="194" t="b">
        <f>'0_Configuration'!$C$29</f>
        <v>1</v>
      </c>
      <c r="W2" s="6" t="s">
        <v>1224</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7" si="0">LEFT(B3,2)</f>
        <v>01</v>
      </c>
      <c r="D3" s="188" t="s">
        <v>1097</v>
      </c>
      <c r="E3" s="188"/>
      <c r="F3" s="188"/>
      <c r="G3" s="13"/>
      <c r="H3" s="138" t="s">
        <v>453</v>
      </c>
      <c r="I3" s="138" t="s">
        <v>433</v>
      </c>
      <c r="J3" s="138" t="s">
        <v>460</v>
      </c>
      <c r="K3" s="138">
        <v>3</v>
      </c>
      <c r="L3" s="194" t="b">
        <f>'0_Configuration'!$C$2</f>
        <v>1</v>
      </c>
      <c r="M3" s="6" t="s">
        <v>1224</v>
      </c>
      <c r="N3" s="194" t="b">
        <f>'0_Configuration'!$C$6</f>
        <v>0</v>
      </c>
      <c r="O3" s="6" t="s">
        <v>1224</v>
      </c>
      <c r="P3" s="194" t="b">
        <f>'0_Configuration'!$C$10</f>
        <v>0</v>
      </c>
      <c r="Q3" s="6" t="s">
        <v>1224</v>
      </c>
      <c r="R3" s="194" t="b">
        <f>'0_Configuration'!$C$17</f>
        <v>0</v>
      </c>
      <c r="S3" s="6">
        <f>_xlfn.XLOOKUP(Tab_Def_Flows[[#This Row],[ODYM_Good_Type]],Tab_Configuration[Value],Tab_Configuration[ODYM_ID],,0,)</f>
        <v>1</v>
      </c>
      <c r="T3" s="194" t="b">
        <f>'0_Configuration'!$C$24</f>
        <v>0</v>
      </c>
      <c r="U3" s="6" t="s">
        <v>1224</v>
      </c>
      <c r="V3" s="194" t="b">
        <f>'0_Configuration'!$C$29</f>
        <v>1</v>
      </c>
      <c r="W3" s="6" t="s">
        <v>1224</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188" t="s">
        <v>1090</v>
      </c>
      <c r="E4" s="188"/>
      <c r="F4" s="188"/>
      <c r="G4" s="13"/>
      <c r="H4" s="138" t="s">
        <v>393</v>
      </c>
      <c r="I4" s="138" t="s">
        <v>432</v>
      </c>
      <c r="J4" s="138" t="s">
        <v>459</v>
      </c>
      <c r="K4" s="138">
        <v>1</v>
      </c>
      <c r="L4" s="194" t="b">
        <f>'0_Configuration'!$C$2</f>
        <v>1</v>
      </c>
      <c r="M4" s="6" t="s">
        <v>1224</v>
      </c>
      <c r="N4" s="194" t="b">
        <f>'0_Configuration'!$C$6</f>
        <v>0</v>
      </c>
      <c r="O4" s="6" t="s">
        <v>1224</v>
      </c>
      <c r="P4" s="194" t="b">
        <f>'0_Configuration'!$C$10</f>
        <v>0</v>
      </c>
      <c r="Q4" s="6" t="s">
        <v>1224</v>
      </c>
      <c r="R4" s="194" t="b">
        <f>'0_Configuration'!$C$17</f>
        <v>0</v>
      </c>
      <c r="S4" s="6">
        <f>_xlfn.XLOOKUP(Tab_Def_Flows[[#This Row],[ODYM_Good_Type]],Tab_Configuration[Value],Tab_Configuration[ODYM_ID],,0,)</f>
        <v>1</v>
      </c>
      <c r="T4" s="194" t="b">
        <f>'0_Configuration'!$C$24</f>
        <v>0</v>
      </c>
      <c r="U4" s="6" t="s">
        <v>1224</v>
      </c>
      <c r="V4" s="194" t="b">
        <f>'0_Configuration'!$C$29</f>
        <v>1</v>
      </c>
      <c r="W4" s="6" t="s">
        <v>1224</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188" t="s">
        <v>1095</v>
      </c>
      <c r="E5" s="188"/>
      <c r="F5" s="188"/>
      <c r="G5" s="13"/>
      <c r="H5" s="138" t="s">
        <v>393</v>
      </c>
      <c r="I5" s="138" t="s">
        <v>432</v>
      </c>
      <c r="J5" s="138" t="s">
        <v>459</v>
      </c>
      <c r="K5" s="138">
        <v>4</v>
      </c>
      <c r="L5" s="194" t="b">
        <f>'0_Configuration'!$C$2</f>
        <v>1</v>
      </c>
      <c r="M5" s="6" t="s">
        <v>1224</v>
      </c>
      <c r="N5" s="194" t="b">
        <f>'0_Configuration'!$C$6</f>
        <v>0</v>
      </c>
      <c r="O5" s="6" t="s">
        <v>1224</v>
      </c>
      <c r="P5" s="194" t="b">
        <f>'0_Configuration'!$C$10</f>
        <v>0</v>
      </c>
      <c r="Q5" s="6" t="s">
        <v>1224</v>
      </c>
      <c r="R5" s="194" t="b">
        <f>'0_Configuration'!$C$17</f>
        <v>0</v>
      </c>
      <c r="S5" s="6">
        <f>_xlfn.XLOOKUP(Tab_Def_Flows[[#This Row],[ODYM_Good_Type]],Tab_Configuration[Value],Tab_Configuration[ODYM_ID],,0,)</f>
        <v>1</v>
      </c>
      <c r="T5" s="194" t="b">
        <f>'0_Configuration'!$C$24</f>
        <v>0</v>
      </c>
      <c r="U5" s="6" t="s">
        <v>1224</v>
      </c>
      <c r="V5" s="194" t="b">
        <f>'0_Configuration'!$C$29</f>
        <v>1</v>
      </c>
      <c r="W5" s="6" t="s">
        <v>1224</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188" t="s">
        <v>1092</v>
      </c>
      <c r="E6" s="188"/>
      <c r="F6" s="188"/>
      <c r="G6" s="13"/>
      <c r="H6" s="138" t="s">
        <v>394</v>
      </c>
      <c r="I6" s="138" t="s">
        <v>432</v>
      </c>
      <c r="J6" s="138" t="s">
        <v>459</v>
      </c>
      <c r="K6" s="138">
        <v>2</v>
      </c>
      <c r="L6" s="194" t="b">
        <f>'0_Configuration'!$C$2</f>
        <v>1</v>
      </c>
      <c r="M6" s="6" t="s">
        <v>1224</v>
      </c>
      <c r="N6" s="194" t="b">
        <f>'0_Configuration'!$C$6</f>
        <v>0</v>
      </c>
      <c r="O6" s="6" t="s">
        <v>1224</v>
      </c>
      <c r="P6" s="194" t="b">
        <f>'0_Configuration'!$C$10</f>
        <v>0</v>
      </c>
      <c r="Q6" s="6" t="s">
        <v>1224</v>
      </c>
      <c r="R6" s="194" t="b">
        <f>'0_Configuration'!$C$17</f>
        <v>0</v>
      </c>
      <c r="S6" s="6">
        <f>_xlfn.XLOOKUP(Tab_Def_Flows[[#This Row],[ODYM_Good_Type]],Tab_Configuration[Value],Tab_Configuration[ODYM_ID],,0,)</f>
        <v>1</v>
      </c>
      <c r="T6" s="194" t="b">
        <f>'0_Configuration'!$C$24</f>
        <v>0</v>
      </c>
      <c r="U6" s="6" t="s">
        <v>1224</v>
      </c>
      <c r="V6" s="194" t="b">
        <f>'0_Configuration'!$C$29</f>
        <v>1</v>
      </c>
      <c r="W6" s="6" t="s">
        <v>1224</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188" t="s">
        <v>1098</v>
      </c>
      <c r="E7" s="188"/>
      <c r="F7" s="188"/>
      <c r="G7" s="13"/>
      <c r="H7" s="138" t="s">
        <v>244</v>
      </c>
      <c r="I7" s="138" t="s">
        <v>432</v>
      </c>
      <c r="J7" s="138" t="s">
        <v>460</v>
      </c>
      <c r="K7" s="138">
        <v>2</v>
      </c>
      <c r="L7" s="194" t="b">
        <f>'0_Configuration'!$C$2</f>
        <v>1</v>
      </c>
      <c r="M7" s="6" t="s">
        <v>1224</v>
      </c>
      <c r="N7" s="194" t="b">
        <f>'0_Configuration'!$C$6</f>
        <v>0</v>
      </c>
      <c r="O7" s="6" t="s">
        <v>1224</v>
      </c>
      <c r="P7" s="194" t="b">
        <f>'0_Configuration'!$C$10</f>
        <v>0</v>
      </c>
      <c r="Q7" s="6" t="s">
        <v>1224</v>
      </c>
      <c r="R7" s="194" t="b">
        <f>'0_Configuration'!$C$17</f>
        <v>0</v>
      </c>
      <c r="S7" s="6">
        <f>_xlfn.XLOOKUP(Tab_Def_Flows[[#This Row],[ODYM_Good_Type]],Tab_Configuration[Value],Tab_Configuration[ODYM_ID],,0,)</f>
        <v>1</v>
      </c>
      <c r="T7" s="194" t="b">
        <f>'0_Configuration'!$C$24</f>
        <v>0</v>
      </c>
      <c r="U7" s="6" t="s">
        <v>1224</v>
      </c>
      <c r="V7" s="194" t="b">
        <f>'0_Configuration'!$C$29</f>
        <v>1</v>
      </c>
      <c r="W7" s="6" t="s">
        <v>1224</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188" t="s">
        <v>1099</v>
      </c>
      <c r="E8" s="188"/>
      <c r="F8" s="188"/>
      <c r="G8" s="13"/>
      <c r="H8" s="138" t="s">
        <v>394</v>
      </c>
      <c r="I8" s="138" t="s">
        <v>432</v>
      </c>
      <c r="J8" s="138" t="s">
        <v>459</v>
      </c>
      <c r="K8" s="138">
        <v>2</v>
      </c>
      <c r="L8" s="194" t="b">
        <f>'0_Configuration'!$C$2</f>
        <v>1</v>
      </c>
      <c r="M8" s="6" t="s">
        <v>1224</v>
      </c>
      <c r="N8" s="194" t="b">
        <f>'0_Configuration'!$C$6</f>
        <v>0</v>
      </c>
      <c r="O8" s="6" t="s">
        <v>1224</v>
      </c>
      <c r="P8" s="194" t="b">
        <f>'0_Configuration'!$C$10</f>
        <v>0</v>
      </c>
      <c r="Q8" s="6" t="s">
        <v>1224</v>
      </c>
      <c r="R8" s="194" t="b">
        <f>'0_Configuration'!$C$17</f>
        <v>0</v>
      </c>
      <c r="S8" s="6">
        <f>_xlfn.XLOOKUP(Tab_Def_Flows[[#This Row],[ODYM_Good_Type]],Tab_Configuration[Value],Tab_Configuration[ODYM_ID],,0,)</f>
        <v>1</v>
      </c>
      <c r="T8" s="194" t="b">
        <f>'0_Configuration'!$C$24</f>
        <v>0</v>
      </c>
      <c r="U8" s="6" t="s">
        <v>1224</v>
      </c>
      <c r="V8" s="194" t="b">
        <f>'0_Configuration'!$C$29</f>
        <v>1</v>
      </c>
      <c r="W8" s="6" t="s">
        <v>1224</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188" t="s">
        <v>1082</v>
      </c>
      <c r="E9" s="188"/>
      <c r="F9" s="188"/>
      <c r="G9" s="13"/>
      <c r="H9" s="138" t="s">
        <v>394</v>
      </c>
      <c r="I9" s="138" t="s">
        <v>432</v>
      </c>
      <c r="J9" s="138" t="s">
        <v>459</v>
      </c>
      <c r="K9" s="138">
        <v>2</v>
      </c>
      <c r="L9" s="194" t="b">
        <f>'0_Configuration'!$C$2</f>
        <v>1</v>
      </c>
      <c r="M9" s="6" t="s">
        <v>1224</v>
      </c>
      <c r="N9" s="194" t="b">
        <f>'0_Configuration'!$C$6</f>
        <v>0</v>
      </c>
      <c r="O9" s="6" t="s">
        <v>1224</v>
      </c>
      <c r="P9" s="194" t="b">
        <f>'0_Configuration'!$C$10</f>
        <v>0</v>
      </c>
      <c r="Q9" s="6" t="s">
        <v>1224</v>
      </c>
      <c r="R9" s="194" t="b">
        <f>'0_Configuration'!$C$17</f>
        <v>0</v>
      </c>
      <c r="S9" s="6">
        <f>_xlfn.XLOOKUP(Tab_Def_Flows[[#This Row],[ODYM_Good_Type]],Tab_Configuration[Value],Tab_Configuration[ODYM_ID],,0,)</f>
        <v>1</v>
      </c>
      <c r="T9" s="194" t="b">
        <f>'0_Configuration'!$C$24</f>
        <v>0</v>
      </c>
      <c r="U9" s="6" t="s">
        <v>1224</v>
      </c>
      <c r="V9" s="194" t="b">
        <f>'0_Configuration'!$C$29</f>
        <v>1</v>
      </c>
      <c r="W9" s="6" t="s">
        <v>1224</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188" t="s">
        <v>1100</v>
      </c>
      <c r="E10" s="188"/>
      <c r="F10" s="188"/>
      <c r="G10" s="13"/>
      <c r="H10" s="138" t="s">
        <v>394</v>
      </c>
      <c r="I10" s="138" t="s">
        <v>432</v>
      </c>
      <c r="J10" s="138" t="s">
        <v>459</v>
      </c>
      <c r="K10" s="138">
        <v>2</v>
      </c>
      <c r="L10" s="194" t="b">
        <f>'0_Configuration'!$C$2</f>
        <v>1</v>
      </c>
      <c r="M10" s="6" t="s">
        <v>1224</v>
      </c>
      <c r="N10" s="194" t="b">
        <f>'0_Configuration'!$C$6</f>
        <v>0</v>
      </c>
      <c r="O10" s="6" t="s">
        <v>1224</v>
      </c>
      <c r="P10" s="194" t="b">
        <f>'0_Configuration'!$C$10</f>
        <v>0</v>
      </c>
      <c r="Q10" s="6" t="s">
        <v>1224</v>
      </c>
      <c r="R10" s="194" t="b">
        <f>'0_Configuration'!$C$17</f>
        <v>0</v>
      </c>
      <c r="S10" s="6">
        <f>_xlfn.XLOOKUP(Tab_Def_Flows[[#This Row],[ODYM_Good_Type]],Tab_Configuration[Value],Tab_Configuration[ODYM_ID],,0,)</f>
        <v>1</v>
      </c>
      <c r="T10" s="194" t="b">
        <f>'0_Configuration'!$C$24</f>
        <v>0</v>
      </c>
      <c r="U10" s="6" t="s">
        <v>1224</v>
      </c>
      <c r="V10" s="194" t="b">
        <f>'0_Configuration'!$C$29</f>
        <v>1</v>
      </c>
      <c r="W10" s="6" t="s">
        <v>1224</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188" t="s">
        <v>1078</v>
      </c>
      <c r="E11" s="188"/>
      <c r="F11" s="188"/>
      <c r="G11" s="13"/>
      <c r="H11" s="138" t="s">
        <v>394</v>
      </c>
      <c r="I11" s="138" t="s">
        <v>432</v>
      </c>
      <c r="J11" s="138" t="s">
        <v>459</v>
      </c>
      <c r="K11" s="138">
        <v>3</v>
      </c>
      <c r="L11" s="194" t="b">
        <f>'0_Configuration'!$C$2</f>
        <v>1</v>
      </c>
      <c r="M11" s="6" t="s">
        <v>1224</v>
      </c>
      <c r="N11" s="194" t="b">
        <f>'0_Configuration'!$C$6</f>
        <v>0</v>
      </c>
      <c r="O11" s="6" t="s">
        <v>1224</v>
      </c>
      <c r="P11" s="194" t="b">
        <f>'0_Configuration'!$C$10</f>
        <v>0</v>
      </c>
      <c r="Q11" s="6" t="s">
        <v>1224</v>
      </c>
      <c r="R11" s="194" t="b">
        <f>'0_Configuration'!$C$17</f>
        <v>0</v>
      </c>
      <c r="S11" s="6">
        <f>_xlfn.XLOOKUP(Tab_Def_Flows[[#This Row],[ODYM_Good_Type]],Tab_Configuration[Value],Tab_Configuration[ODYM_ID],,0,)</f>
        <v>1</v>
      </c>
      <c r="T11" s="194" t="b">
        <f>'0_Configuration'!$C$24</f>
        <v>0</v>
      </c>
      <c r="U11" s="6" t="s">
        <v>1224</v>
      </c>
      <c r="V11" s="194" t="b">
        <f>'0_Configuration'!$C$29</f>
        <v>1</v>
      </c>
      <c r="W11" s="6" t="s">
        <v>1224</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188" t="s">
        <v>1081</v>
      </c>
      <c r="E12" s="188"/>
      <c r="F12" s="188"/>
      <c r="G12" s="13"/>
      <c r="H12" s="138" t="s">
        <v>394</v>
      </c>
      <c r="I12" s="138" t="s">
        <v>432</v>
      </c>
      <c r="J12" s="138" t="s">
        <v>459</v>
      </c>
      <c r="K12" s="138">
        <v>1</v>
      </c>
      <c r="L12" s="194" t="b">
        <f>'0_Configuration'!$C$2</f>
        <v>1</v>
      </c>
      <c r="M12" s="6" t="s">
        <v>1224</v>
      </c>
      <c r="N12" s="194" t="b">
        <f>'0_Configuration'!$C$6</f>
        <v>0</v>
      </c>
      <c r="O12" s="6" t="s">
        <v>1224</v>
      </c>
      <c r="P12" s="194" t="b">
        <f>'0_Configuration'!$C$10</f>
        <v>0</v>
      </c>
      <c r="Q12" s="6" t="s">
        <v>1224</v>
      </c>
      <c r="R12" s="194" t="b">
        <f>'0_Configuration'!$C$17</f>
        <v>0</v>
      </c>
      <c r="S12" s="6">
        <f>_xlfn.XLOOKUP(Tab_Def_Flows[[#This Row],[ODYM_Good_Type]],Tab_Configuration[Value],Tab_Configuration[ODYM_ID],,0,)</f>
        <v>1</v>
      </c>
      <c r="T12" s="194" t="b">
        <f>'0_Configuration'!$C$24</f>
        <v>0</v>
      </c>
      <c r="U12" s="6" t="s">
        <v>1224</v>
      </c>
      <c r="V12" s="194" t="b">
        <f>'0_Configuration'!$C$29</f>
        <v>1</v>
      </c>
      <c r="W12" s="6" t="s">
        <v>1224</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188" t="s">
        <v>1079</v>
      </c>
      <c r="E13" s="188"/>
      <c r="F13" s="188"/>
      <c r="G13" s="13"/>
      <c r="H13" s="138" t="s">
        <v>394</v>
      </c>
      <c r="I13" s="138" t="s">
        <v>432</v>
      </c>
      <c r="J13" s="138" t="s">
        <v>459</v>
      </c>
      <c r="K13" s="138">
        <v>4</v>
      </c>
      <c r="L13" s="194" t="b">
        <f>'0_Configuration'!$C$2</f>
        <v>1</v>
      </c>
      <c r="M13" s="6" t="s">
        <v>1224</v>
      </c>
      <c r="N13" s="194" t="b">
        <f>'0_Configuration'!$C$6</f>
        <v>0</v>
      </c>
      <c r="O13" s="6" t="s">
        <v>1224</v>
      </c>
      <c r="P13" s="194" t="b">
        <f>'0_Configuration'!$C$10</f>
        <v>0</v>
      </c>
      <c r="Q13" s="6" t="s">
        <v>1224</v>
      </c>
      <c r="R13" s="194" t="b">
        <f>'0_Configuration'!$C$17</f>
        <v>0</v>
      </c>
      <c r="S13" s="6">
        <f>_xlfn.XLOOKUP(Tab_Def_Flows[[#This Row],[ODYM_Good_Type]],Tab_Configuration[Value],Tab_Configuration[ODYM_ID],,0,)</f>
        <v>1</v>
      </c>
      <c r="T13" s="194" t="b">
        <f>'0_Configuration'!$C$24</f>
        <v>0</v>
      </c>
      <c r="U13" s="6" t="s">
        <v>1224</v>
      </c>
      <c r="V13" s="194" t="b">
        <f>'0_Configuration'!$C$29</f>
        <v>1</v>
      </c>
      <c r="W13" s="6" t="s">
        <v>1224</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188" t="s">
        <v>1083</v>
      </c>
      <c r="E14" s="188"/>
      <c r="F14" s="188"/>
      <c r="G14" s="13"/>
      <c r="H14" s="138" t="s">
        <v>394</v>
      </c>
      <c r="I14" s="138" t="s">
        <v>432</v>
      </c>
      <c r="J14" s="138" t="s">
        <v>459</v>
      </c>
      <c r="K14" s="138">
        <v>2</v>
      </c>
      <c r="L14" s="194" t="b">
        <f>'0_Configuration'!$C$2</f>
        <v>1</v>
      </c>
      <c r="M14" s="6" t="s">
        <v>1224</v>
      </c>
      <c r="N14" s="194" t="b">
        <f>'0_Configuration'!$C$6</f>
        <v>0</v>
      </c>
      <c r="O14" s="6" t="s">
        <v>1224</v>
      </c>
      <c r="P14" s="194" t="b">
        <f>'0_Configuration'!$C$10</f>
        <v>0</v>
      </c>
      <c r="Q14" s="6" t="s">
        <v>1224</v>
      </c>
      <c r="R14" s="194" t="b">
        <f>'0_Configuration'!$C$17</f>
        <v>0</v>
      </c>
      <c r="S14" s="6">
        <f>_xlfn.XLOOKUP(Tab_Def_Flows[[#This Row],[ODYM_Good_Type]],Tab_Configuration[Value],Tab_Configuration[ODYM_ID],,0,)</f>
        <v>1</v>
      </c>
      <c r="T14" s="194" t="b">
        <f>'0_Configuration'!$C$24</f>
        <v>0</v>
      </c>
      <c r="U14" s="6" t="s">
        <v>1224</v>
      </c>
      <c r="V14" s="194" t="b">
        <f>'0_Configuration'!$C$29</f>
        <v>1</v>
      </c>
      <c r="W14" s="6" t="s">
        <v>1224</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188" t="s">
        <v>1089</v>
      </c>
      <c r="E15" s="188"/>
      <c r="F15" s="188"/>
      <c r="G15" s="13"/>
      <c r="H15" s="138" t="s">
        <v>394</v>
      </c>
      <c r="I15" s="138" t="s">
        <v>432</v>
      </c>
      <c r="J15" s="138" t="s">
        <v>459</v>
      </c>
      <c r="K15" s="138">
        <v>2</v>
      </c>
      <c r="L15" s="194" t="b">
        <f>'0_Configuration'!$C$2</f>
        <v>1</v>
      </c>
      <c r="M15" s="6" t="s">
        <v>1224</v>
      </c>
      <c r="N15" s="194" t="b">
        <f>'0_Configuration'!$C$6</f>
        <v>0</v>
      </c>
      <c r="O15" s="6" t="s">
        <v>1224</v>
      </c>
      <c r="P15" s="194" t="b">
        <f>'0_Configuration'!$C$10</f>
        <v>0</v>
      </c>
      <c r="Q15" s="6" t="s">
        <v>1224</v>
      </c>
      <c r="R15" s="194" t="b">
        <f>'0_Configuration'!$C$17</f>
        <v>0</v>
      </c>
      <c r="S15" s="6">
        <f>_xlfn.XLOOKUP(Tab_Def_Flows[[#This Row],[ODYM_Good_Type]],Tab_Configuration[Value],Tab_Configuration[ODYM_ID],,0,)</f>
        <v>1</v>
      </c>
      <c r="T15" s="194" t="b">
        <f>'0_Configuration'!$C$24</f>
        <v>0</v>
      </c>
      <c r="U15" s="6" t="s">
        <v>1224</v>
      </c>
      <c r="V15" s="194" t="b">
        <f>'0_Configuration'!$C$29</f>
        <v>1</v>
      </c>
      <c r="W15" s="6" t="s">
        <v>1224</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188" t="s">
        <v>1088</v>
      </c>
      <c r="E16" s="188"/>
      <c r="F16" s="188"/>
      <c r="G16" s="13"/>
      <c r="H16" s="138" t="s">
        <v>394</v>
      </c>
      <c r="I16" s="138" t="s">
        <v>432</v>
      </c>
      <c r="J16" s="138" t="s">
        <v>459</v>
      </c>
      <c r="K16" s="138">
        <v>1</v>
      </c>
      <c r="L16" s="194" t="b">
        <f>'0_Configuration'!$C$2</f>
        <v>1</v>
      </c>
      <c r="M16" s="6" t="s">
        <v>1224</v>
      </c>
      <c r="N16" s="194" t="b">
        <f>'0_Configuration'!$C$6</f>
        <v>0</v>
      </c>
      <c r="O16" s="6" t="s">
        <v>1224</v>
      </c>
      <c r="P16" s="194" t="b">
        <f>'0_Configuration'!$C$10</f>
        <v>0</v>
      </c>
      <c r="Q16" s="6" t="s">
        <v>1224</v>
      </c>
      <c r="R16" s="194" t="b">
        <f>'0_Configuration'!$C$17</f>
        <v>0</v>
      </c>
      <c r="S16" s="6">
        <f>_xlfn.XLOOKUP(Tab_Def_Flows[[#This Row],[ODYM_Good_Type]],Tab_Configuration[Value],Tab_Configuration[ODYM_ID],,0,)</f>
        <v>1</v>
      </c>
      <c r="T16" s="194" t="b">
        <f>'0_Configuration'!$C$24</f>
        <v>0</v>
      </c>
      <c r="U16" s="6" t="s">
        <v>1224</v>
      </c>
      <c r="V16" s="194" t="b">
        <f>'0_Configuration'!$C$29</f>
        <v>1</v>
      </c>
      <c r="W16" s="6" t="s">
        <v>1224</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188" t="s">
        <v>1080</v>
      </c>
      <c r="E17" s="188"/>
      <c r="F17" s="188"/>
      <c r="G17" s="13"/>
      <c r="H17" s="138" t="s">
        <v>454</v>
      </c>
      <c r="I17" s="138" t="s">
        <v>432</v>
      </c>
      <c r="J17" s="138" t="s">
        <v>460</v>
      </c>
      <c r="K17" s="138">
        <v>1</v>
      </c>
      <c r="L17" s="194" t="b">
        <f>'0_Configuration'!$C$2</f>
        <v>1</v>
      </c>
      <c r="M17" s="6" t="s">
        <v>1224</v>
      </c>
      <c r="N17" s="194" t="b">
        <f>'0_Configuration'!$C$6</f>
        <v>0</v>
      </c>
      <c r="O17" s="6" t="s">
        <v>1224</v>
      </c>
      <c r="P17" s="194" t="b">
        <f>'0_Configuration'!$C$10</f>
        <v>0</v>
      </c>
      <c r="Q17" s="6" t="s">
        <v>1224</v>
      </c>
      <c r="R17" s="194" t="b">
        <f>'0_Configuration'!$C$17</f>
        <v>0</v>
      </c>
      <c r="S17" s="6">
        <f>_xlfn.XLOOKUP(Tab_Def_Flows[[#This Row],[ODYM_Good_Type]],Tab_Configuration[Value],Tab_Configuration[ODYM_ID],,0,)</f>
        <v>1</v>
      </c>
      <c r="T17" s="194" t="b">
        <f>'0_Configuration'!$C$24</f>
        <v>0</v>
      </c>
      <c r="U17" s="6" t="s">
        <v>1224</v>
      </c>
      <c r="V17" s="194" t="b">
        <f>'0_Configuration'!$C$29</f>
        <v>1</v>
      </c>
      <c r="W17" s="6" t="s">
        <v>1224</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188" t="s">
        <v>1084</v>
      </c>
      <c r="E18" s="188"/>
      <c r="F18" s="188"/>
      <c r="G18" s="13"/>
      <c r="H18" s="138" t="s">
        <v>393</v>
      </c>
      <c r="I18" s="138" t="s">
        <v>432</v>
      </c>
      <c r="J18" s="138" t="s">
        <v>459</v>
      </c>
      <c r="K18" s="138">
        <v>2</v>
      </c>
      <c r="L18" s="194" t="b">
        <f>'0_Configuration'!$C$2</f>
        <v>1</v>
      </c>
      <c r="M18" s="6" t="s">
        <v>1224</v>
      </c>
      <c r="N18" s="194" t="b">
        <f>'0_Configuration'!$C$6</f>
        <v>0</v>
      </c>
      <c r="O18" s="6" t="s">
        <v>1224</v>
      </c>
      <c r="P18" s="194" t="b">
        <f>'0_Configuration'!$C$10</f>
        <v>0</v>
      </c>
      <c r="Q18" s="6" t="s">
        <v>1224</v>
      </c>
      <c r="R18" s="194" t="b">
        <f>'0_Configuration'!$C$17</f>
        <v>0</v>
      </c>
      <c r="S18" s="6">
        <f>_xlfn.XLOOKUP(Tab_Def_Flows[[#This Row],[ODYM_Good_Type]],Tab_Configuration[Value],Tab_Configuration[ODYM_ID],,0,)</f>
        <v>1</v>
      </c>
      <c r="T18" s="194" t="b">
        <f>'0_Configuration'!$C$24</f>
        <v>0</v>
      </c>
      <c r="U18" s="6" t="s">
        <v>1224</v>
      </c>
      <c r="V18" s="194" t="b">
        <f>'0_Configuration'!$C$29</f>
        <v>1</v>
      </c>
      <c r="W18" s="6" t="s">
        <v>1224</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188" t="s">
        <v>1086</v>
      </c>
      <c r="E19" s="188"/>
      <c r="F19" s="188"/>
      <c r="G19" s="13"/>
      <c r="H19" s="138" t="s">
        <v>394</v>
      </c>
      <c r="I19" s="138" t="s">
        <v>432</v>
      </c>
      <c r="J19" s="138" t="s">
        <v>459</v>
      </c>
      <c r="K19" s="138">
        <v>3</v>
      </c>
      <c r="L19" s="194" t="b">
        <f>'0_Configuration'!$C$2</f>
        <v>1</v>
      </c>
      <c r="M19" s="6" t="s">
        <v>1224</v>
      </c>
      <c r="N19" s="194" t="b">
        <f>'0_Configuration'!$C$6</f>
        <v>0</v>
      </c>
      <c r="O19" s="6" t="s">
        <v>1224</v>
      </c>
      <c r="P19" s="194" t="b">
        <f>'0_Configuration'!$C$10</f>
        <v>0</v>
      </c>
      <c r="Q19" s="6" t="s">
        <v>1224</v>
      </c>
      <c r="R19" s="194" t="b">
        <f>'0_Configuration'!$C$17</f>
        <v>0</v>
      </c>
      <c r="S19" s="6">
        <f>_xlfn.XLOOKUP(Tab_Def_Flows[[#This Row],[ODYM_Good_Type]],Tab_Configuration[Value],Tab_Configuration[ODYM_ID],,0,)</f>
        <v>1</v>
      </c>
      <c r="T19" s="194" t="b">
        <f>'0_Configuration'!$C$24</f>
        <v>0</v>
      </c>
      <c r="U19" s="6" t="s">
        <v>1224</v>
      </c>
      <c r="V19" s="194" t="b">
        <f>'0_Configuration'!$C$29</f>
        <v>1</v>
      </c>
      <c r="W19" s="6" t="s">
        <v>1224</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188" t="s">
        <v>1087</v>
      </c>
      <c r="E20" s="188"/>
      <c r="F20" s="188"/>
      <c r="G20" s="13"/>
      <c r="H20" s="138" t="s">
        <v>394</v>
      </c>
      <c r="I20" s="138" t="s">
        <v>432</v>
      </c>
      <c r="J20" s="138" t="s">
        <v>459</v>
      </c>
      <c r="K20" s="138">
        <v>2</v>
      </c>
      <c r="L20" s="194" t="b">
        <f>'0_Configuration'!$C$2</f>
        <v>1</v>
      </c>
      <c r="M20" s="6" t="s">
        <v>1224</v>
      </c>
      <c r="N20" s="194" t="b">
        <f>'0_Configuration'!$C$6</f>
        <v>0</v>
      </c>
      <c r="O20" s="6" t="s">
        <v>1224</v>
      </c>
      <c r="P20" s="194" t="b">
        <f>'0_Configuration'!$C$10</f>
        <v>0</v>
      </c>
      <c r="Q20" s="6" t="s">
        <v>1224</v>
      </c>
      <c r="R20" s="194" t="b">
        <f>'0_Configuration'!$C$17</f>
        <v>0</v>
      </c>
      <c r="S20" s="6">
        <f>_xlfn.XLOOKUP(Tab_Def_Flows[[#This Row],[ODYM_Good_Type]],Tab_Configuration[Value],Tab_Configuration[ODYM_ID],,0,)</f>
        <v>1</v>
      </c>
      <c r="T20" s="194" t="b">
        <f>'0_Configuration'!$C$24</f>
        <v>0</v>
      </c>
      <c r="U20" s="6" t="s">
        <v>1224</v>
      </c>
      <c r="V20" s="194" t="b">
        <f>'0_Configuration'!$C$29</f>
        <v>1</v>
      </c>
      <c r="W20" s="6" t="s">
        <v>1224</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188" t="s">
        <v>1094</v>
      </c>
      <c r="E21" s="188"/>
      <c r="F21" s="188"/>
      <c r="G21" s="13"/>
      <c r="H21" s="138" t="s">
        <v>394</v>
      </c>
      <c r="I21" s="138" t="s">
        <v>432</v>
      </c>
      <c r="J21" s="138" t="s">
        <v>459</v>
      </c>
      <c r="K21" s="138">
        <v>2</v>
      </c>
      <c r="L21" s="194" t="b">
        <f>'0_Configuration'!$C$2</f>
        <v>1</v>
      </c>
      <c r="M21" s="6" t="s">
        <v>1224</v>
      </c>
      <c r="N21" s="194" t="b">
        <f>'0_Configuration'!$C$6</f>
        <v>0</v>
      </c>
      <c r="O21" s="6" t="s">
        <v>1224</v>
      </c>
      <c r="P21" s="194" t="b">
        <f>'0_Configuration'!$C$10</f>
        <v>0</v>
      </c>
      <c r="Q21" s="6" t="s">
        <v>1224</v>
      </c>
      <c r="R21" s="194" t="b">
        <f>'0_Configuration'!$C$17</f>
        <v>0</v>
      </c>
      <c r="S21" s="6">
        <f>_xlfn.XLOOKUP(Tab_Def_Flows[[#This Row],[ODYM_Good_Type]],Tab_Configuration[Value],Tab_Configuration[ODYM_ID],,0,)</f>
        <v>1</v>
      </c>
      <c r="T21" s="194" t="b">
        <f>'0_Configuration'!$C$24</f>
        <v>0</v>
      </c>
      <c r="U21" s="6" t="s">
        <v>1224</v>
      </c>
      <c r="V21" s="194" t="b">
        <f>'0_Configuration'!$C$29</f>
        <v>1</v>
      </c>
      <c r="W21" s="6" t="s">
        <v>1224</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188" t="s">
        <v>1085</v>
      </c>
      <c r="E22" s="188"/>
      <c r="F22" s="188"/>
      <c r="G22" s="13"/>
      <c r="H22" s="138" t="s">
        <v>393</v>
      </c>
      <c r="I22" s="138" t="s">
        <v>432</v>
      </c>
      <c r="J22" s="138" t="s">
        <v>459</v>
      </c>
      <c r="K22" s="138">
        <v>1</v>
      </c>
      <c r="L22" s="194" t="b">
        <f>'0_Configuration'!$C$2</f>
        <v>1</v>
      </c>
      <c r="M22" s="6" t="s">
        <v>1224</v>
      </c>
      <c r="N22" s="194" t="b">
        <f>'0_Configuration'!$C$6</f>
        <v>0</v>
      </c>
      <c r="O22" s="6" t="s">
        <v>1224</v>
      </c>
      <c r="P22" s="194" t="b">
        <f>'0_Configuration'!$C$10</f>
        <v>0</v>
      </c>
      <c r="Q22" s="6" t="s">
        <v>1224</v>
      </c>
      <c r="R22" s="194" t="b">
        <f>'0_Configuration'!$C$17</f>
        <v>0</v>
      </c>
      <c r="S22" s="6">
        <f>_xlfn.XLOOKUP(Tab_Def_Flows[[#This Row],[ODYM_Good_Type]],Tab_Configuration[Value],Tab_Configuration[ODYM_ID],,0,)</f>
        <v>1</v>
      </c>
      <c r="T22" s="194" t="b">
        <f>'0_Configuration'!$C$24</f>
        <v>0</v>
      </c>
      <c r="U22" s="6" t="s">
        <v>1224</v>
      </c>
      <c r="V22" s="194" t="b">
        <f>'0_Configuration'!$C$29</f>
        <v>1</v>
      </c>
      <c r="W22" s="6" t="s">
        <v>1224</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188" t="s">
        <v>1091</v>
      </c>
      <c r="E23" s="188"/>
      <c r="F23" s="188"/>
      <c r="G23" s="13"/>
      <c r="H23" s="138" t="s">
        <v>393</v>
      </c>
      <c r="I23" s="138" t="s">
        <v>432</v>
      </c>
      <c r="J23" s="138" t="s">
        <v>459</v>
      </c>
      <c r="K23" s="138">
        <v>1</v>
      </c>
      <c r="L23" s="194" t="b">
        <f>'0_Configuration'!$C$2</f>
        <v>1</v>
      </c>
      <c r="M23" s="6" t="s">
        <v>1224</v>
      </c>
      <c r="N23" s="194" t="b">
        <f>'0_Configuration'!$C$6</f>
        <v>0</v>
      </c>
      <c r="O23" s="6" t="s">
        <v>1224</v>
      </c>
      <c r="P23" s="194" t="b">
        <f>'0_Configuration'!$C$10</f>
        <v>0</v>
      </c>
      <c r="Q23" s="6" t="s">
        <v>1224</v>
      </c>
      <c r="R23" s="194" t="b">
        <f>'0_Configuration'!$C$17</f>
        <v>0</v>
      </c>
      <c r="S23" s="6">
        <f>_xlfn.XLOOKUP(Tab_Def_Flows[[#This Row],[ODYM_Good_Type]],Tab_Configuration[Value],Tab_Configuration[ODYM_ID],,0,)</f>
        <v>1</v>
      </c>
      <c r="T23" s="194" t="b">
        <f>'0_Configuration'!$C$24</f>
        <v>0</v>
      </c>
      <c r="U23" s="6" t="s">
        <v>1224</v>
      </c>
      <c r="V23" s="194" t="b">
        <f>'0_Configuration'!$C$29</f>
        <v>1</v>
      </c>
      <c r="W23" s="6" t="s">
        <v>1224</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188" t="s">
        <v>1093</v>
      </c>
      <c r="E24" s="188"/>
      <c r="F24" s="188"/>
      <c r="G24" s="13"/>
      <c r="H24" s="138" t="s">
        <v>393</v>
      </c>
      <c r="I24" s="138" t="s">
        <v>432</v>
      </c>
      <c r="J24" s="138" t="s">
        <v>460</v>
      </c>
      <c r="K24" s="138">
        <v>2</v>
      </c>
      <c r="L24" s="194" t="b">
        <f>'0_Configuration'!$C$2</f>
        <v>1</v>
      </c>
      <c r="M24" s="6" t="s">
        <v>1224</v>
      </c>
      <c r="N24" s="194" t="b">
        <f>'0_Configuration'!$C$6</f>
        <v>0</v>
      </c>
      <c r="O24" s="6" t="s">
        <v>1224</v>
      </c>
      <c r="P24" s="194" t="b">
        <f>'0_Configuration'!$C$10</f>
        <v>0</v>
      </c>
      <c r="Q24" s="6" t="s">
        <v>1224</v>
      </c>
      <c r="R24" s="194" t="b">
        <f>'0_Configuration'!$C$17</f>
        <v>0</v>
      </c>
      <c r="S24" s="6">
        <f>_xlfn.XLOOKUP(Tab_Def_Flows[[#This Row],[ODYM_Good_Type]],Tab_Configuration[Value],Tab_Configuration[ODYM_ID],,0,)</f>
        <v>1</v>
      </c>
      <c r="T24" s="194" t="b">
        <f>'0_Configuration'!$C$24</f>
        <v>0</v>
      </c>
      <c r="U24" s="6" t="s">
        <v>1224</v>
      </c>
      <c r="V24" s="194" t="b">
        <f>'0_Configuration'!$C$29</f>
        <v>1</v>
      </c>
      <c r="W24" s="6" t="s">
        <v>1224</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188"/>
      <c r="E25" s="188"/>
      <c r="F25" s="188"/>
      <c r="G25" s="13"/>
      <c r="H25" s="138"/>
      <c r="I25" s="138"/>
      <c r="J25" s="138"/>
      <c r="K25" s="138"/>
      <c r="L25" s="194" t="b">
        <f>'0_Configuration'!$C$2</f>
        <v>1</v>
      </c>
      <c r="M25" s="6" t="s">
        <v>1224</v>
      </c>
      <c r="N25" s="194" t="b">
        <f>'0_Configuration'!$C$6</f>
        <v>0</v>
      </c>
      <c r="O25" s="6" t="s">
        <v>1224</v>
      </c>
      <c r="P25" s="194" t="b">
        <f>'0_Configuration'!$C$10</f>
        <v>0</v>
      </c>
      <c r="Q25" s="6" t="s">
        <v>1224</v>
      </c>
      <c r="R25" s="194" t="b">
        <f>'0_Configuration'!$C$17</f>
        <v>0</v>
      </c>
      <c r="S25" s="6">
        <f>_xlfn.XLOOKUP(Tab_Def_Flows[[#This Row],[ODYM_Good_Type]],Tab_Configuration[Value],Tab_Configuration[ODYM_ID],,0,)</f>
        <v>1</v>
      </c>
      <c r="T25" s="194" t="b">
        <f>'0_Configuration'!$C$24</f>
        <v>0</v>
      </c>
      <c r="U25" s="6" t="s">
        <v>1224</v>
      </c>
      <c r="V25" s="194" t="b">
        <f>'0_Configuration'!$C$29</f>
        <v>1</v>
      </c>
      <c r="W25" s="6" t="s">
        <v>1224</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1224</v>
      </c>
      <c r="N26" s="194" t="b">
        <f>'0_Configuration'!$C$6</f>
        <v>0</v>
      </c>
      <c r="O26" s="6" t="s">
        <v>1224</v>
      </c>
      <c r="P26" s="194" t="b">
        <f>'0_Configuration'!$C$10</f>
        <v>0</v>
      </c>
      <c r="Q26" s="6" t="s">
        <v>1224</v>
      </c>
      <c r="R26" s="194" t="b">
        <f>'0_Configuration'!$C$17</f>
        <v>0</v>
      </c>
      <c r="S26" s="6">
        <f>_xlfn.XLOOKUP(Tab_Def_Flows[[#This Row],[ODYM_Good_Type]],Tab_Configuration[Value],Tab_Configuration[ODYM_ID],,0,)</f>
        <v>1</v>
      </c>
      <c r="T26" s="194" t="b">
        <f>'0_Configuration'!$C$24</f>
        <v>0</v>
      </c>
      <c r="U26" s="6" t="s">
        <v>1224</v>
      </c>
      <c r="V26" s="194" t="b">
        <f>'0_Configuration'!$C$29</f>
        <v>1</v>
      </c>
      <c r="W26" s="6" t="s">
        <v>1224</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1224</v>
      </c>
      <c r="N27" s="194" t="b">
        <f>'0_Configuration'!$C$6</f>
        <v>0</v>
      </c>
      <c r="O27" s="6" t="s">
        <v>1224</v>
      </c>
      <c r="P27" s="194" t="b">
        <f>'0_Configuration'!$C$10</f>
        <v>0</v>
      </c>
      <c r="Q27" s="6" t="s">
        <v>1224</v>
      </c>
      <c r="R27" s="194" t="b">
        <f>'0_Configuration'!$C$17</f>
        <v>0</v>
      </c>
      <c r="S27" s="6">
        <f>_xlfn.XLOOKUP(Tab_Def_Flows[[#This Row],[ODYM_Good_Type]],Tab_Configuration[Value],Tab_Configuration[ODYM_ID],,0,)</f>
        <v>1</v>
      </c>
      <c r="T27" s="194" t="b">
        <f>'0_Configuration'!$C$24</f>
        <v>0</v>
      </c>
      <c r="U27" s="6" t="s">
        <v>1224</v>
      </c>
      <c r="V27" s="194" t="b">
        <f>'0_Configuration'!$C$29</f>
        <v>1</v>
      </c>
      <c r="W27" s="6" t="s">
        <v>1224</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1224</v>
      </c>
      <c r="N28" s="194" t="b">
        <f>'0_Configuration'!$C$6</f>
        <v>0</v>
      </c>
      <c r="O28" s="6" t="s">
        <v>1224</v>
      </c>
      <c r="P28" s="194" t="b">
        <f>'0_Configuration'!$C$10</f>
        <v>0</v>
      </c>
      <c r="Q28" s="6" t="s">
        <v>1224</v>
      </c>
      <c r="R28" s="194" t="b">
        <f>'0_Configuration'!$C$17</f>
        <v>0</v>
      </c>
      <c r="S28" s="6">
        <f>_xlfn.XLOOKUP(Tab_Def_Flows[[#This Row],[ODYM_Good_Type]],Tab_Configuration[Value],Tab_Configuration[ODYM_ID],,0,)</f>
        <v>1</v>
      </c>
      <c r="T28" s="194" t="b">
        <f>'0_Configuration'!$C$24</f>
        <v>0</v>
      </c>
      <c r="U28" s="6" t="s">
        <v>1224</v>
      </c>
      <c r="V28" s="194" t="b">
        <f>'0_Configuration'!$C$29</f>
        <v>1</v>
      </c>
      <c r="W28" s="6" t="s">
        <v>1224</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1224</v>
      </c>
      <c r="N29" s="194" t="b">
        <f>'0_Configuration'!$C$6</f>
        <v>0</v>
      </c>
      <c r="O29" s="6" t="s">
        <v>1224</v>
      </c>
      <c r="P29" s="194" t="b">
        <f>'0_Configuration'!$C$10</f>
        <v>0</v>
      </c>
      <c r="Q29" s="6" t="s">
        <v>1224</v>
      </c>
      <c r="R29" s="194" t="b">
        <f>'0_Configuration'!$C$17</f>
        <v>0</v>
      </c>
      <c r="S29" s="6">
        <f>_xlfn.XLOOKUP(Tab_Def_Flows[[#This Row],[ODYM_Good_Type]],Tab_Configuration[Value],Tab_Configuration[ODYM_ID],,0,)</f>
        <v>1</v>
      </c>
      <c r="T29" s="194" t="b">
        <f>'0_Configuration'!$C$24</f>
        <v>0</v>
      </c>
      <c r="U29" s="6" t="s">
        <v>1224</v>
      </c>
      <c r="V29" s="194" t="b">
        <f>'0_Configuration'!$C$29</f>
        <v>1</v>
      </c>
      <c r="W29" s="6" t="s">
        <v>1224</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1224</v>
      </c>
      <c r="N30" s="194" t="b">
        <f>'0_Configuration'!$C$6</f>
        <v>0</v>
      </c>
      <c r="O30" s="6" t="s">
        <v>1224</v>
      </c>
      <c r="P30" s="194" t="b">
        <f>'0_Configuration'!$C$10</f>
        <v>0</v>
      </c>
      <c r="Q30" s="6" t="s">
        <v>1224</v>
      </c>
      <c r="R30" s="194" t="b">
        <f>'0_Configuration'!$C$17</f>
        <v>0</v>
      </c>
      <c r="S30" s="6">
        <f>_xlfn.XLOOKUP(Tab_Def_Flows[[#This Row],[ODYM_Good_Type]],Tab_Configuration[Value],Tab_Configuration[ODYM_ID],,0,)</f>
        <v>1</v>
      </c>
      <c r="T30" s="194" t="b">
        <f>'0_Configuration'!$C$24</f>
        <v>0</v>
      </c>
      <c r="U30" s="6" t="s">
        <v>1224</v>
      </c>
      <c r="V30" s="194" t="b">
        <f>'0_Configuration'!$C$29</f>
        <v>1</v>
      </c>
      <c r="W30" s="6" t="s">
        <v>1224</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1224</v>
      </c>
      <c r="N31" s="194" t="b">
        <f>'0_Configuration'!$C$6</f>
        <v>0</v>
      </c>
      <c r="O31" s="6" t="s">
        <v>1224</v>
      </c>
      <c r="P31" s="194" t="b">
        <f>'0_Configuration'!$C$10</f>
        <v>0</v>
      </c>
      <c r="Q31" s="6" t="s">
        <v>1224</v>
      </c>
      <c r="R31" s="194" t="b">
        <f>'0_Configuration'!$C$17</f>
        <v>0</v>
      </c>
      <c r="S31" s="6">
        <f>_xlfn.XLOOKUP(Tab_Def_Flows[[#This Row],[ODYM_Good_Type]],Tab_Configuration[Value],Tab_Configuration[ODYM_ID],,0,)</f>
        <v>1</v>
      </c>
      <c r="T31" s="194" t="b">
        <f>'0_Configuration'!$C$24</f>
        <v>0</v>
      </c>
      <c r="U31" s="6" t="s">
        <v>1224</v>
      </c>
      <c r="V31" s="194" t="b">
        <f>'0_Configuration'!$C$29</f>
        <v>1</v>
      </c>
      <c r="W31" s="6" t="s">
        <v>1224</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1224</v>
      </c>
      <c r="N32" s="194" t="b">
        <f>'0_Configuration'!$C$6</f>
        <v>0</v>
      </c>
      <c r="O32" s="6" t="s">
        <v>1224</v>
      </c>
      <c r="P32" s="194" t="b">
        <f>'0_Configuration'!$C$10</f>
        <v>0</v>
      </c>
      <c r="Q32" s="6" t="s">
        <v>1224</v>
      </c>
      <c r="R32" s="194" t="b">
        <f>'0_Configuration'!$C$17</f>
        <v>0</v>
      </c>
      <c r="S32" s="6">
        <f>_xlfn.XLOOKUP(Tab_Def_Flows[[#This Row],[ODYM_Good_Type]],Tab_Configuration[Value],Tab_Configuration[ODYM_ID],,0,)</f>
        <v>1</v>
      </c>
      <c r="T32" s="194" t="b">
        <f>'0_Configuration'!$C$24</f>
        <v>0</v>
      </c>
      <c r="U32" s="6" t="s">
        <v>1224</v>
      </c>
      <c r="V32" s="194" t="b">
        <f>'0_Configuration'!$C$29</f>
        <v>1</v>
      </c>
      <c r="W32" s="6" t="s">
        <v>1224</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1224</v>
      </c>
      <c r="N33" s="194" t="b">
        <f>'0_Configuration'!$C$6</f>
        <v>0</v>
      </c>
      <c r="O33" s="6" t="s">
        <v>1224</v>
      </c>
      <c r="P33" s="194" t="b">
        <f>'0_Configuration'!$C$10</f>
        <v>0</v>
      </c>
      <c r="Q33" s="6" t="s">
        <v>1224</v>
      </c>
      <c r="R33" s="194" t="b">
        <f>'0_Configuration'!$C$17</f>
        <v>0</v>
      </c>
      <c r="S33" s="6">
        <f>_xlfn.XLOOKUP(Tab_Def_Flows[[#This Row],[ODYM_Good_Type]],Tab_Configuration[Value],Tab_Configuration[ODYM_ID],,0,)</f>
        <v>1</v>
      </c>
      <c r="T33" s="194" t="b">
        <f>'0_Configuration'!$C$24</f>
        <v>0</v>
      </c>
      <c r="U33" s="6" t="s">
        <v>1224</v>
      </c>
      <c r="V33" s="194" t="b">
        <f>'0_Configuration'!$C$29</f>
        <v>1</v>
      </c>
      <c r="W33" s="6" t="s">
        <v>1224</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1224</v>
      </c>
      <c r="N34" s="194" t="b">
        <f>'0_Configuration'!$C$6</f>
        <v>0</v>
      </c>
      <c r="O34" s="6" t="s">
        <v>1224</v>
      </c>
      <c r="P34" s="194" t="b">
        <f>'0_Configuration'!$C$10</f>
        <v>0</v>
      </c>
      <c r="Q34" s="6" t="s">
        <v>1224</v>
      </c>
      <c r="R34" s="194" t="b">
        <f>'0_Configuration'!$C$17</f>
        <v>0</v>
      </c>
      <c r="S34" s="6">
        <f>_xlfn.XLOOKUP(Tab_Def_Flows[[#This Row],[ODYM_Good_Type]],Tab_Configuration[Value],Tab_Configuration[ODYM_ID],,0,)</f>
        <v>1</v>
      </c>
      <c r="T34" s="194" t="b">
        <f>'0_Configuration'!$C$24</f>
        <v>0</v>
      </c>
      <c r="U34" s="6" t="s">
        <v>1224</v>
      </c>
      <c r="V34" s="194" t="b">
        <f>'0_Configuration'!$C$29</f>
        <v>1</v>
      </c>
      <c r="W34" s="6" t="s">
        <v>1224</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1224</v>
      </c>
      <c r="N35" s="194" t="b">
        <f>'0_Configuration'!$C$6</f>
        <v>0</v>
      </c>
      <c r="O35" s="6" t="s">
        <v>1224</v>
      </c>
      <c r="P35" s="194" t="b">
        <f>'0_Configuration'!$C$10</f>
        <v>0</v>
      </c>
      <c r="Q35" s="6" t="s">
        <v>1224</v>
      </c>
      <c r="R35" s="194" t="b">
        <f>'0_Configuration'!$C$17</f>
        <v>0</v>
      </c>
      <c r="S35" s="6">
        <f>_xlfn.XLOOKUP(Tab_Def_Flows[[#This Row],[ODYM_Good_Type]],Tab_Configuration[Value],Tab_Configuration[ODYM_ID],,0,)</f>
        <v>1</v>
      </c>
      <c r="T35" s="194" t="b">
        <f>'0_Configuration'!$C$24</f>
        <v>0</v>
      </c>
      <c r="U35" s="6" t="s">
        <v>1224</v>
      </c>
      <c r="V35" s="194" t="b">
        <f>'0_Configuration'!$C$29</f>
        <v>1</v>
      </c>
      <c r="W35" s="6" t="s">
        <v>1224</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1224</v>
      </c>
      <c r="N36" s="194" t="b">
        <f>'0_Configuration'!$C$6</f>
        <v>0</v>
      </c>
      <c r="O36" s="6" t="s">
        <v>1224</v>
      </c>
      <c r="P36" s="194" t="b">
        <f>'0_Configuration'!$C$10</f>
        <v>0</v>
      </c>
      <c r="Q36" s="6" t="s">
        <v>1224</v>
      </c>
      <c r="R36" s="194" t="b">
        <f>'0_Configuration'!$C$17</f>
        <v>0</v>
      </c>
      <c r="S36" s="6">
        <f>_xlfn.XLOOKUP(Tab_Def_Flows[[#This Row],[ODYM_Good_Type]],Tab_Configuration[Value],Tab_Configuration[ODYM_ID],,0,)</f>
        <v>1</v>
      </c>
      <c r="T36" s="194" t="b">
        <f>'0_Configuration'!$C$24</f>
        <v>0</v>
      </c>
      <c r="U36" s="6" t="s">
        <v>1224</v>
      </c>
      <c r="V36" s="194" t="b">
        <f>'0_Configuration'!$C$29</f>
        <v>1</v>
      </c>
      <c r="W36" s="6" t="s">
        <v>1224</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1224</v>
      </c>
      <c r="N37" s="194" t="b">
        <f>'0_Configuration'!$C$6</f>
        <v>0</v>
      </c>
      <c r="O37" s="6" t="s">
        <v>1224</v>
      </c>
      <c r="P37" s="194" t="b">
        <f>'0_Configuration'!$C$10</f>
        <v>0</v>
      </c>
      <c r="Q37" s="6" t="s">
        <v>1224</v>
      </c>
      <c r="R37" s="194" t="b">
        <f>'0_Configuration'!$C$17</f>
        <v>0</v>
      </c>
      <c r="S37" s="6">
        <f>_xlfn.XLOOKUP(Tab_Def_Flows[[#This Row],[ODYM_Good_Type]],Tab_Configuration[Value],Tab_Configuration[ODYM_ID],,0,)</f>
        <v>1</v>
      </c>
      <c r="T37" s="194" t="b">
        <f>'0_Configuration'!$C$24</f>
        <v>0</v>
      </c>
      <c r="U37" s="6" t="s">
        <v>1224</v>
      </c>
      <c r="V37" s="194" t="b">
        <f>'0_Configuration'!$C$29</f>
        <v>1</v>
      </c>
      <c r="W37" s="6" t="s">
        <v>1224</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1224</v>
      </c>
      <c r="N38" s="194" t="b">
        <f>'0_Configuration'!$C$6</f>
        <v>0</v>
      </c>
      <c r="O38" s="6" t="s">
        <v>1224</v>
      </c>
      <c r="P38" s="194" t="b">
        <f>'0_Configuration'!$C$10</f>
        <v>0</v>
      </c>
      <c r="Q38" s="6" t="s">
        <v>1224</v>
      </c>
      <c r="R38" s="194" t="b">
        <f>'0_Configuration'!$C$17</f>
        <v>0</v>
      </c>
      <c r="S38" s="6">
        <f>_xlfn.XLOOKUP(Tab_Def_Flows[[#This Row],[ODYM_Good_Type]],Tab_Configuration[Value],Tab_Configuration[ODYM_ID],,0,)</f>
        <v>1</v>
      </c>
      <c r="T38" s="194" t="b">
        <f>'0_Configuration'!$C$24</f>
        <v>0</v>
      </c>
      <c r="U38" s="6" t="s">
        <v>1224</v>
      </c>
      <c r="V38" s="194" t="b">
        <f>'0_Configuration'!$C$29</f>
        <v>1</v>
      </c>
      <c r="W38" s="6" t="s">
        <v>1224</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1224</v>
      </c>
      <c r="N39" s="194" t="b">
        <f>'0_Configuration'!$C$6</f>
        <v>0</v>
      </c>
      <c r="O39" s="6" t="s">
        <v>1224</v>
      </c>
      <c r="P39" s="194" t="b">
        <f>'0_Configuration'!$C$10</f>
        <v>0</v>
      </c>
      <c r="Q39" s="6" t="s">
        <v>1224</v>
      </c>
      <c r="R39" s="194" t="b">
        <f>'0_Configuration'!$C$17</f>
        <v>0</v>
      </c>
      <c r="S39" s="6">
        <f>_xlfn.XLOOKUP(Tab_Def_Flows[[#This Row],[ODYM_Good_Type]],Tab_Configuration[Value],Tab_Configuration[ODYM_ID],,0,)</f>
        <v>1</v>
      </c>
      <c r="T39" s="194" t="b">
        <f>'0_Configuration'!$C$24</f>
        <v>0</v>
      </c>
      <c r="U39" s="6" t="s">
        <v>1224</v>
      </c>
      <c r="V39" s="194" t="b">
        <f>'0_Configuration'!$C$29</f>
        <v>1</v>
      </c>
      <c r="W39" s="6" t="s">
        <v>1224</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1224</v>
      </c>
      <c r="N40" s="194" t="b">
        <f>'0_Configuration'!$C$6</f>
        <v>0</v>
      </c>
      <c r="O40" s="6" t="s">
        <v>1224</v>
      </c>
      <c r="P40" s="194" t="b">
        <f>'0_Configuration'!$C$10</f>
        <v>0</v>
      </c>
      <c r="Q40" s="6" t="s">
        <v>1224</v>
      </c>
      <c r="R40" s="194" t="b">
        <f>'0_Configuration'!$C$17</f>
        <v>0</v>
      </c>
      <c r="S40" s="6">
        <f>_xlfn.XLOOKUP(Tab_Def_Flows[[#This Row],[ODYM_Good_Type]],Tab_Configuration[Value],Tab_Configuration[ODYM_ID],,0,)</f>
        <v>1</v>
      </c>
      <c r="T40" s="194" t="b">
        <f>'0_Configuration'!$C$24</f>
        <v>0</v>
      </c>
      <c r="U40" s="6" t="s">
        <v>1224</v>
      </c>
      <c r="V40" s="194" t="b">
        <f>'0_Configuration'!$C$29</f>
        <v>1</v>
      </c>
      <c r="W40" s="6" t="s">
        <v>1224</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1224</v>
      </c>
      <c r="N41" s="194" t="b">
        <f>'0_Configuration'!$C$6</f>
        <v>0</v>
      </c>
      <c r="O41" s="6" t="s">
        <v>1224</v>
      </c>
      <c r="P41" s="194" t="b">
        <f>'0_Configuration'!$C$10</f>
        <v>0</v>
      </c>
      <c r="Q41" s="6" t="s">
        <v>1224</v>
      </c>
      <c r="R41" s="194" t="b">
        <f>'0_Configuration'!$C$17</f>
        <v>0</v>
      </c>
      <c r="S41" s="6">
        <f>_xlfn.XLOOKUP(Tab_Def_Flows[[#This Row],[ODYM_Good_Type]],Tab_Configuration[Value],Tab_Configuration[ODYM_ID],,0,)</f>
        <v>1</v>
      </c>
      <c r="T41" s="194" t="b">
        <f>'0_Configuration'!$C$24</f>
        <v>0</v>
      </c>
      <c r="U41" s="6" t="s">
        <v>1224</v>
      </c>
      <c r="V41" s="194" t="b">
        <f>'0_Configuration'!$C$29</f>
        <v>1</v>
      </c>
      <c r="W41" s="6" t="s">
        <v>1224</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1224</v>
      </c>
      <c r="N42" s="194" t="b">
        <f>'0_Configuration'!$C$6</f>
        <v>0</v>
      </c>
      <c r="O42" s="6" t="s">
        <v>1224</v>
      </c>
      <c r="P42" s="194" t="b">
        <f>'0_Configuration'!$C$10</f>
        <v>0</v>
      </c>
      <c r="Q42" s="6" t="s">
        <v>1224</v>
      </c>
      <c r="R42" s="194" t="b">
        <f>'0_Configuration'!$C$17</f>
        <v>0</v>
      </c>
      <c r="S42" s="6">
        <f>_xlfn.XLOOKUP(Tab_Def_Flows[[#This Row],[ODYM_Good_Type]],Tab_Configuration[Value],Tab_Configuration[ODYM_ID],,0,)</f>
        <v>1</v>
      </c>
      <c r="T42" s="194" t="b">
        <f>'0_Configuration'!$C$24</f>
        <v>0</v>
      </c>
      <c r="U42" s="6" t="s">
        <v>1224</v>
      </c>
      <c r="V42" s="194" t="b">
        <f>'0_Configuration'!$C$29</f>
        <v>1</v>
      </c>
      <c r="W42" s="6" t="s">
        <v>1224</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1224</v>
      </c>
      <c r="N43" s="194" t="b">
        <f>'0_Configuration'!$C$6</f>
        <v>0</v>
      </c>
      <c r="O43" s="6" t="s">
        <v>1224</v>
      </c>
      <c r="P43" s="194" t="b">
        <f>'0_Configuration'!$C$10</f>
        <v>0</v>
      </c>
      <c r="Q43" s="6" t="s">
        <v>1224</v>
      </c>
      <c r="R43" s="194" t="b">
        <f>'0_Configuration'!$C$17</f>
        <v>0</v>
      </c>
      <c r="S43" s="6">
        <f>_xlfn.XLOOKUP(Tab_Def_Flows[[#This Row],[ODYM_Good_Type]],Tab_Configuration[Value],Tab_Configuration[ODYM_ID],,0,)</f>
        <v>1</v>
      </c>
      <c r="T43" s="194" t="b">
        <f>'0_Configuration'!$C$24</f>
        <v>0</v>
      </c>
      <c r="U43" s="6" t="s">
        <v>1224</v>
      </c>
      <c r="V43" s="194" t="b">
        <f>'0_Configuration'!$C$29</f>
        <v>1</v>
      </c>
      <c r="W43" s="6" t="s">
        <v>1224</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1224</v>
      </c>
      <c r="N44" s="194" t="b">
        <f>'0_Configuration'!$C$6</f>
        <v>0</v>
      </c>
      <c r="O44" s="6" t="s">
        <v>1224</v>
      </c>
      <c r="P44" s="194" t="b">
        <f>'0_Configuration'!$C$10</f>
        <v>0</v>
      </c>
      <c r="Q44" s="6" t="s">
        <v>1224</v>
      </c>
      <c r="R44" s="194" t="b">
        <f>'0_Configuration'!$C$17</f>
        <v>0</v>
      </c>
      <c r="S44" s="6">
        <f>_xlfn.XLOOKUP(Tab_Def_Flows[[#This Row],[ODYM_Good_Type]],Tab_Configuration[Value],Tab_Configuration[ODYM_ID],,0,)</f>
        <v>1</v>
      </c>
      <c r="T44" s="194" t="b">
        <f>'0_Configuration'!$C$24</f>
        <v>0</v>
      </c>
      <c r="U44" s="6" t="s">
        <v>1224</v>
      </c>
      <c r="V44" s="194" t="b">
        <f>'0_Configuration'!$C$29</f>
        <v>1</v>
      </c>
      <c r="W44" s="6" t="s">
        <v>1224</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1224</v>
      </c>
      <c r="N45" s="194" t="b">
        <f>'0_Configuration'!$C$6</f>
        <v>0</v>
      </c>
      <c r="O45" s="6" t="s">
        <v>1224</v>
      </c>
      <c r="P45" s="194" t="b">
        <f>'0_Configuration'!$C$10</f>
        <v>0</v>
      </c>
      <c r="Q45" s="6" t="s">
        <v>1224</v>
      </c>
      <c r="R45" s="194" t="b">
        <f>'0_Configuration'!$C$17</f>
        <v>0</v>
      </c>
      <c r="S45" s="6">
        <f>_xlfn.XLOOKUP(Tab_Def_Flows[[#This Row],[ODYM_Good_Type]],Tab_Configuration[Value],Tab_Configuration[ODYM_ID],,0,)</f>
        <v>1</v>
      </c>
      <c r="T45" s="194" t="b">
        <f>'0_Configuration'!$C$24</f>
        <v>0</v>
      </c>
      <c r="U45" s="6" t="s">
        <v>1224</v>
      </c>
      <c r="V45" s="194" t="b">
        <f>'0_Configuration'!$C$29</f>
        <v>1</v>
      </c>
      <c r="W45" s="6" t="s">
        <v>1224</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1224</v>
      </c>
      <c r="N46" s="194" t="b">
        <f>'0_Configuration'!$C$6</f>
        <v>0</v>
      </c>
      <c r="O46" s="6" t="s">
        <v>1224</v>
      </c>
      <c r="P46" s="194" t="b">
        <f>'0_Configuration'!$C$10</f>
        <v>0</v>
      </c>
      <c r="Q46" s="6" t="s">
        <v>1224</v>
      </c>
      <c r="R46" s="194" t="b">
        <f>'0_Configuration'!$C$17</f>
        <v>0</v>
      </c>
      <c r="S46" s="6">
        <f>_xlfn.XLOOKUP(Tab_Def_Flows[[#This Row],[ODYM_Good_Type]],Tab_Configuration[Value],Tab_Configuration[ODYM_ID],,0,)</f>
        <v>1</v>
      </c>
      <c r="T46" s="194" t="b">
        <f>'0_Configuration'!$C$24</f>
        <v>0</v>
      </c>
      <c r="U46" s="6" t="s">
        <v>1224</v>
      </c>
      <c r="V46" s="194" t="b">
        <f>'0_Configuration'!$C$29</f>
        <v>1</v>
      </c>
      <c r="W46" s="6" t="s">
        <v>1224</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7" spans="1:25" x14ac:dyDescent="0.25">
      <c r="A47" s="142" t="b">
        <v>0</v>
      </c>
      <c r="B47" s="16" t="s">
        <v>87</v>
      </c>
      <c r="C47" s="6" t="str">
        <f t="shared" si="0"/>
        <v>45</v>
      </c>
      <c r="D47" s="7"/>
      <c r="E47" s="7"/>
      <c r="F47" s="7"/>
      <c r="G47" s="13"/>
      <c r="H47" s="138"/>
      <c r="I47" s="138"/>
      <c r="J47" s="138"/>
      <c r="K47" s="138"/>
      <c r="L47" s="194" t="b">
        <f>'0_Configuration'!$C$2</f>
        <v>1</v>
      </c>
      <c r="M47" s="6" t="s">
        <v>1224</v>
      </c>
      <c r="N47" s="194" t="b">
        <f>'0_Configuration'!$C$6</f>
        <v>0</v>
      </c>
      <c r="O47" s="6" t="s">
        <v>1224</v>
      </c>
      <c r="P47" s="194" t="b">
        <f>'0_Configuration'!$C$10</f>
        <v>0</v>
      </c>
      <c r="Q47" s="6" t="s">
        <v>1224</v>
      </c>
      <c r="R47" s="194" t="b">
        <f>'0_Configuration'!$C$17</f>
        <v>0</v>
      </c>
      <c r="S47" s="6">
        <f>_xlfn.XLOOKUP(Tab_Def_Flows[[#This Row],[ODYM_Good_Type]],Tab_Configuration[Value],Tab_Configuration[ODYM_ID],,0,)</f>
        <v>1</v>
      </c>
      <c r="T47" s="194" t="b">
        <f>'0_Configuration'!$C$24</f>
        <v>0</v>
      </c>
      <c r="U47" s="6" t="s">
        <v>1224</v>
      </c>
      <c r="V47" s="194" t="b">
        <f>'0_Configuration'!$C$29</f>
        <v>1</v>
      </c>
      <c r="W47" s="6" t="s">
        <v>1224</v>
      </c>
      <c r="X47" s="6" t="str">
        <f>IF(Tab_Def_Flows[[#This Row],[ODYM_time_(t)]],"t,","")&amp;IF(Tab_Def_Flows[[#This Row],[ODYM_Region_(r)]],"r,","")&amp;IF(Tab_Def_Flows[[#This Row],[ODYM_process_(p)]],"p,","")&amp;IF(Tab_Def_Flows[[#This Row],[ODYM_Good_(g)2]],"g,","")&amp;IF(Tab_Def_Flows[[#This Row],[ODYM_material_(m)]],"m,","")&amp;IF(Tab_Def_Flows[[#This Row],[ODYM_element_(e)]],"e","")</f>
        <v>t,e</v>
      </c>
      <c r="Y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dataValidations count="1">
    <dataValidation type="whole" allowBlank="1" showInputMessage="1" showErrorMessage="1" sqref="K48:K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H2:H47</xm:sqref>
        </x14:dataValidation>
        <x14:dataValidation type="list" allowBlank="1" showInputMessage="1" showErrorMessage="1" xr:uid="{8623561C-5E47-42AC-9E80-65CC01595412}">
          <x14:formula1>
            <xm:f>'7_2_Codelists'!$B$39:$B$41</xm:f>
          </x14:formula1>
          <xm:sqref>I2:I47</xm:sqref>
        </x14:dataValidation>
        <x14:dataValidation type="list" allowBlank="1" showInputMessage="1" showErrorMessage="1" xr:uid="{78AE8826-0270-4124-AFEF-E9B084EA971E}">
          <x14:formula1>
            <xm:f>'7_2_Codelists'!$B$46:$B$48</xm:f>
          </x14:formula1>
          <xm:sqref>J2:J47</xm:sqref>
        </x14:dataValidation>
        <x14:dataValidation type="list" allowBlank="1" showInputMessage="1" showErrorMessage="1" xr:uid="{03DCCF1E-B461-4368-BDB7-C4996CC7732C}">
          <x14:formula1>
            <xm:f>'7_2_Codelists'!$B$53:$B$61</xm:f>
          </x14:formula1>
          <xm:sqref>K2:K47</xm:sqref>
        </x14:dataValidation>
        <x14:dataValidation type="list" allowBlank="1" showInputMessage="1" showErrorMessage="1" xr:uid="{E082B61D-0B1B-4611-9A14-9A334528DF50}">
          <x14:formula1>
            <xm:f>'0_Configuration'!$C$11:$C$16</xm:f>
          </x14:formula1>
          <xm:sqref>E2:E47</xm:sqref>
        </x14:dataValidation>
        <x14:dataValidation type="list" allowBlank="1" showInputMessage="1" showErrorMessage="1" xr:uid="{711C03FC-EE5C-4657-BAF0-2B0DBC4600EA}">
          <x14:formula1>
            <xm:f>'0_Configuration'!$C$7:$C$9</xm:f>
          </x14:formula1>
          <xm:sqref>F2:F47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topLeftCell="A13" zoomScale="145" zoomScaleNormal="145" workbookViewId="0">
      <pane xSplit="4" topLeftCell="E1" activePane="topRight" state="frozen"/>
      <selection pane="topRight" activeCell="L33" sqref="L3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427</v>
      </c>
      <c r="E1" s="141" t="s">
        <v>392</v>
      </c>
      <c r="F1" s="141" t="s">
        <v>455</v>
      </c>
      <c r="G1" s="141" t="s">
        <v>456</v>
      </c>
      <c r="H1" s="141" t="s">
        <v>489</v>
      </c>
      <c r="I1" s="141" t="s">
        <v>165</v>
      </c>
      <c r="J1" s="141" t="s">
        <v>11</v>
      </c>
      <c r="K1" s="141" t="s">
        <v>404</v>
      </c>
      <c r="L1" s="141" t="s">
        <v>400</v>
      </c>
      <c r="M1" s="141" t="s">
        <v>405</v>
      </c>
      <c r="N1" s="141" t="s">
        <v>395</v>
      </c>
      <c r="O1" s="141" t="s">
        <v>406</v>
      </c>
      <c r="P1" t="s">
        <v>396</v>
      </c>
      <c r="Q1" t="s">
        <v>407</v>
      </c>
      <c r="R1" t="s">
        <v>397</v>
      </c>
      <c r="S1" s="141" t="s">
        <v>490</v>
      </c>
      <c r="T1" s="141" t="s">
        <v>462</v>
      </c>
      <c r="U1" s="141" t="s">
        <v>491</v>
      </c>
      <c r="V1" s="141" t="s">
        <v>492</v>
      </c>
      <c r="W1" s="141" t="s">
        <v>493</v>
      </c>
    </row>
    <row r="2" spans="1:23" x14ac:dyDescent="0.25">
      <c r="A2" s="142" t="b">
        <v>0</v>
      </c>
      <c r="B2" s="6">
        <f t="shared" ref="B2" si="0">ROW()-1</f>
        <v>1</v>
      </c>
      <c r="C2" s="20" t="str">
        <f>_xlfn.XLOOKUP($D2,Tab_Def_Processes[Process_Name],Tab_Def_Processes[ID],,0,)</f>
        <v>02</v>
      </c>
      <c r="D2" s="138" t="s">
        <v>1090</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1064</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1095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1065</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1095</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1113</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1095</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1114</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1095</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1129</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1117</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1118</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1099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1130</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1099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1131</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1098</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1115</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1098</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1116</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1066</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1078</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1067</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1078</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1077</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1078</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1068</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1082</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1132</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1082</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1133</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91"/>
      <c r="T18" s="13"/>
      <c r="U18" s="13"/>
      <c r="V18" s="13"/>
      <c r="W18" s="13"/>
    </row>
    <row r="19" spans="1:23" x14ac:dyDescent="0.25">
      <c r="A19" s="142" t="b">
        <v>0</v>
      </c>
      <c r="B19" s="6">
        <f t="shared" si="5"/>
        <v>18</v>
      </c>
      <c r="C19" s="20" t="str">
        <f>_xlfn.XLOOKUP($D19,Tab_Def_Processes[Process_Name],Tab_Def_Processes[ID],,0,)</f>
        <v>08</v>
      </c>
      <c r="D19" s="138" t="s">
        <v>1100</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1105</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1100</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1104</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1088</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1072</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1079</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1069</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1079</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1071</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1079</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1073</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1079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1144</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1083</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1119</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1083</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1120</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1080</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1070</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1084</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1074</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1084</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1075</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1087</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1101</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1087</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1102</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1087</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1103</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1094</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1127</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1094</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1128</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1086</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1076</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1086</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1125</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1086</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1126</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1093</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1123</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1124</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1089</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1121</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0.5347641216943454</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1089</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1122</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0.4652358783056546</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1097</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1106</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1097</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1108</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1097</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1110</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1096</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1111</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1096</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1109</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1096</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1112</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1096</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1107</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427</v>
      </c>
      <c r="E1" s="141" t="s">
        <v>165</v>
      </c>
      <c r="F1" s="141" t="s">
        <v>392</v>
      </c>
      <c r="G1" s="141" t="s">
        <v>455</v>
      </c>
      <c r="H1" s="141" t="s">
        <v>456</v>
      </c>
      <c r="I1" s="141" t="s">
        <v>489</v>
      </c>
      <c r="J1" s="141" t="s">
        <v>11</v>
      </c>
      <c r="K1" s="141" t="s">
        <v>0</v>
      </c>
      <c r="L1" s="141" t="s">
        <v>404</v>
      </c>
      <c r="M1" s="141" t="s">
        <v>400</v>
      </c>
      <c r="N1" s="141" t="s">
        <v>405</v>
      </c>
      <c r="O1" s="141" t="s">
        <v>395</v>
      </c>
      <c r="P1" s="141" t="s">
        <v>406</v>
      </c>
      <c r="Q1" s="141" t="s">
        <v>396</v>
      </c>
      <c r="R1" s="141" t="s">
        <v>407</v>
      </c>
      <c r="S1" s="141" t="s">
        <v>397</v>
      </c>
      <c r="T1" s="141" t="s">
        <v>490</v>
      </c>
      <c r="U1" s="141" t="s">
        <v>462</v>
      </c>
      <c r="V1" s="141" t="s">
        <v>491</v>
      </c>
      <c r="W1" s="141" t="s">
        <v>492</v>
      </c>
      <c r="X1" s="141" t="s">
        <v>493</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489</v>
      </c>
      <c r="J1" s="141" t="s">
        <v>1055</v>
      </c>
      <c r="K1" s="141" t="s">
        <v>1054</v>
      </c>
      <c r="L1" s="141" t="s">
        <v>1059</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489</v>
      </c>
      <c r="I1" s="141" t="s">
        <v>869</v>
      </c>
      <c r="J1" s="141" t="s">
        <v>441</v>
      </c>
      <c r="K1" s="141" t="s">
        <v>897</v>
      </c>
      <c r="L1" s="141" t="s">
        <v>443</v>
      </c>
    </row>
    <row r="2" spans="1:12" x14ac:dyDescent="0.25">
      <c r="A2" s="142" t="b">
        <v>0</v>
      </c>
      <c r="B2" s="6">
        <f t="shared" ref="B2:B81" si="0">ROW()-1</f>
        <v>1</v>
      </c>
      <c r="C2" s="6" t="str">
        <f>_xlfn.XLOOKUP($D2,Tab_Def_Processes[Process_Name],Tab_Def_Processes[Process_ID],,0,)</f>
        <v>15</v>
      </c>
      <c r="D2" s="138" t="s">
        <v>1080</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1134</v>
      </c>
    </row>
    <row r="3" spans="1:12" x14ac:dyDescent="0.25">
      <c r="A3" s="142" t="b">
        <v>0</v>
      </c>
      <c r="B3" s="6">
        <f t="shared" si="0"/>
        <v>2</v>
      </c>
      <c r="C3" s="6" t="str">
        <f>_xlfn.XLOOKUP($D3,Tab_Def_Processes[Process_Name],Tab_Def_Processes[Process_ID],,0,)</f>
        <v>15</v>
      </c>
      <c r="D3" s="138" t="s">
        <v>1080</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1137</v>
      </c>
    </row>
    <row r="4" spans="1:12" x14ac:dyDescent="0.25">
      <c r="A4" s="142" t="b">
        <v>0</v>
      </c>
      <c r="B4" s="6">
        <f t="shared" si="0"/>
        <v>3</v>
      </c>
      <c r="C4" s="6" t="str">
        <f>_xlfn.XLOOKUP($D4,Tab_Def_Processes[Process_Name],Tab_Def_Processes[Process_ID],,0,)</f>
        <v>15</v>
      </c>
      <c r="D4" s="138" t="s">
        <v>1080</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1080</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1080</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1080</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1139</v>
      </c>
    </row>
    <row r="8" spans="1:12" x14ac:dyDescent="0.25">
      <c r="A8" s="142" t="b">
        <v>0</v>
      </c>
      <c r="B8" s="6">
        <f t="shared" si="0"/>
        <v>7</v>
      </c>
      <c r="C8" s="6" t="str">
        <f>_xlfn.XLOOKUP($D8,Tab_Def_Processes[Process_Name],Tab_Def_Processes[Process_ID],,0,)</f>
        <v>15</v>
      </c>
      <c r="D8" s="138" t="s">
        <v>1080</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1080</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1135</v>
      </c>
    </row>
    <row r="10" spans="1:12" x14ac:dyDescent="0.25">
      <c r="A10" s="142" t="b">
        <v>0</v>
      </c>
      <c r="B10" s="6">
        <f t="shared" si="0"/>
        <v>9</v>
      </c>
      <c r="C10" s="6" t="str">
        <f>_xlfn.XLOOKUP($D10,Tab_Def_Processes[Process_Name],Tab_Def_Processes[Process_ID],,0,)</f>
        <v>15</v>
      </c>
      <c r="D10" s="138" t="s">
        <v>1080</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1138</v>
      </c>
    </row>
    <row r="11" spans="1:12" x14ac:dyDescent="0.25">
      <c r="A11" s="142" t="b">
        <v>0</v>
      </c>
      <c r="B11" s="6">
        <f t="shared" si="0"/>
        <v>10</v>
      </c>
      <c r="C11" s="6" t="str">
        <f>_xlfn.XLOOKUP($D11,Tab_Def_Processes[Process_Name],Tab_Def_Processes[Process_ID],,0,)</f>
        <v>15</v>
      </c>
      <c r="D11" s="138" t="s">
        <v>1080</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1080</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1080</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1080</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1139</v>
      </c>
    </row>
    <row r="15" spans="1:12" x14ac:dyDescent="0.25">
      <c r="A15" s="142" t="b">
        <v>0</v>
      </c>
      <c r="B15" s="6">
        <f t="shared" si="0"/>
        <v>14</v>
      </c>
      <c r="C15" s="6" t="str">
        <f>_xlfn.XLOOKUP($D15,Tab_Def_Processes[Process_Name],Tab_Def_Processes[Process_ID],,0,)</f>
        <v>15</v>
      </c>
      <c r="D15" s="138" t="s">
        <v>1080</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1080</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1136</v>
      </c>
    </row>
    <row r="17" spans="1:12" x14ac:dyDescent="0.25">
      <c r="A17" s="142" t="b">
        <v>0</v>
      </c>
      <c r="B17" s="6">
        <f t="shared" si="0"/>
        <v>16</v>
      </c>
      <c r="C17" s="6" t="str">
        <f>_xlfn.XLOOKUP($D17,Tab_Def_Processes[Process_Name],Tab_Def_Processes[Process_ID],,0,)</f>
        <v>15</v>
      </c>
      <c r="D17" s="138" t="s">
        <v>1080</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1138</v>
      </c>
    </row>
    <row r="18" spans="1:12" x14ac:dyDescent="0.25">
      <c r="A18" s="142" t="b">
        <v>0</v>
      </c>
      <c r="B18" s="6">
        <f t="shared" si="0"/>
        <v>17</v>
      </c>
      <c r="C18" s="6" t="str">
        <f>_xlfn.XLOOKUP($D18,Tab_Def_Processes[Process_Name],Tab_Def_Processes[Process_ID],,0,)</f>
        <v>15</v>
      </c>
      <c r="D18" s="138" t="s">
        <v>1080</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1080</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1080</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1080</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1139</v>
      </c>
    </row>
    <row r="22" spans="1:12" x14ac:dyDescent="0.25">
      <c r="A22" s="142" t="b">
        <v>0</v>
      </c>
      <c r="B22" s="6">
        <f t="shared" si="0"/>
        <v>21</v>
      </c>
      <c r="C22" s="6" t="str">
        <f>_xlfn.XLOOKUP($D22,Tab_Def_Processes[Process_Name],Tab_Def_Processes[Process_ID],,0,)</f>
        <v>15</v>
      </c>
      <c r="D22" s="138" t="s">
        <v>1080</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489</v>
      </c>
      <c r="I1" s="141" t="s">
        <v>898</v>
      </c>
      <c r="J1" s="141" t="s">
        <v>896</v>
      </c>
      <c r="K1" s="141" t="s">
        <v>895</v>
      </c>
    </row>
    <row r="2" spans="1:11" x14ac:dyDescent="0.25">
      <c r="A2" s="142" t="b">
        <v>0</v>
      </c>
      <c r="B2" s="6">
        <f t="shared" ref="B2:B41" si="0">ROW()-1</f>
        <v>1</v>
      </c>
      <c r="C2" s="6" t="str">
        <f>_xlfn.XLOOKUP($D2,Tab_Def_Processes[Process_Name],Tab_Def_Processes[Process_ID],,0,)</f>
        <v>05</v>
      </c>
      <c r="D2" s="138" t="s">
        <v>1098</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1098</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1098</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1098</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1098</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1142</v>
      </c>
    </row>
    <row r="7" spans="1:11" x14ac:dyDescent="0.25">
      <c r="A7" s="142" t="b">
        <v>0</v>
      </c>
      <c r="B7" s="6">
        <f t="shared" si="0"/>
        <v>6</v>
      </c>
      <c r="C7" s="6" t="str">
        <f>_xlfn.XLOOKUP($D7,Tab_Def_Processes[Process_Name],Tab_Def_Processes[Process_ID],,0,)</f>
        <v>05</v>
      </c>
      <c r="D7" s="138" t="s">
        <v>1098</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1143</v>
      </c>
    </row>
    <row r="8" spans="1:11" x14ac:dyDescent="0.25">
      <c r="A8" s="142" t="b">
        <v>0</v>
      </c>
      <c r="B8" s="6">
        <f t="shared" si="0"/>
        <v>7</v>
      </c>
      <c r="C8" s="6" t="str">
        <f>_xlfn.XLOOKUP($D8,Tab_Def_Processes[Process_Name],Tab_Def_Processes[Process_ID],,0,)</f>
        <v>22</v>
      </c>
      <c r="D8" s="138" t="s">
        <v>1093</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1093</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1093</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1093</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1093</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1140</v>
      </c>
    </row>
    <row r="13" spans="1:11" x14ac:dyDescent="0.25">
      <c r="A13" s="142" t="b">
        <v>0</v>
      </c>
      <c r="B13" s="6">
        <f t="shared" si="0"/>
        <v>12</v>
      </c>
      <c r="C13" s="6" t="str">
        <f>_xlfn.XLOOKUP($D13,Tab_Def_Processes[Process_Name],Tab_Def_Processes[Process_ID],,0,)</f>
        <v>22</v>
      </c>
      <c r="D13" s="138" t="s">
        <v>1093</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1141</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987</v>
      </c>
      <c r="C1" s="141" t="s">
        <v>188</v>
      </c>
      <c r="D1" s="141" t="s">
        <v>173</v>
      </c>
      <c r="E1" s="141" t="s">
        <v>994</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986</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'0_Configuration'!$C$43:$C$46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469</v>
      </c>
      <c r="E2" s="222"/>
      <c r="F2" s="145" t="s">
        <v>468</v>
      </c>
      <c r="G2" s="225" t="s">
        <v>468</v>
      </c>
      <c r="H2" s="225"/>
      <c r="I2" s="225"/>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863</v>
      </c>
      <c r="C4" s="141" t="s">
        <v>184</v>
      </c>
      <c r="D4" t="s">
        <v>627</v>
      </c>
      <c r="E4" t="s">
        <v>628</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780</v>
      </c>
      <c r="H4" s="1" t="s">
        <v>704</v>
      </c>
      <c r="I4" s="1" t="s">
        <v>705</v>
      </c>
    </row>
    <row r="5" spans="1:9" ht="90" hidden="1" x14ac:dyDescent="0.25">
      <c r="A5">
        <v>86</v>
      </c>
      <c r="B5" t="s">
        <v>861</v>
      </c>
      <c r="C5" s="141" t="s">
        <v>2</v>
      </c>
      <c r="D5" t="s">
        <v>609</v>
      </c>
      <c r="E5" t="s">
        <v>610</v>
      </c>
      <c r="F5" s="1" t="str">
        <f t="shared" si="0"/>
        <v>PURPOSE: Data field for Type_of_the_Study in 2_3_static_TCs
ACTION: Enter appropriate value for Type_of_the_Study
NOTE: Please refer to BioDYM documentation for specific requirements.</v>
      </c>
      <c r="G5" s="1" t="s">
        <v>805</v>
      </c>
      <c r="H5" s="1" t="s">
        <v>612</v>
      </c>
      <c r="I5" s="1" t="s">
        <v>726</v>
      </c>
    </row>
    <row r="6" spans="1:9" ht="98.25" hidden="1" customHeight="1" x14ac:dyDescent="0.25">
      <c r="A6">
        <v>36</v>
      </c>
      <c r="B6" t="s">
        <v>472</v>
      </c>
      <c r="C6" s="141" t="s">
        <v>16</v>
      </c>
      <c r="D6" t="s">
        <v>539</v>
      </c>
      <c r="E6" t="s">
        <v>540</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751</v>
      </c>
      <c r="H6" s="1" t="s">
        <v>752</v>
      </c>
      <c r="I6" s="1" t="s">
        <v>753</v>
      </c>
    </row>
    <row r="7" spans="1:9" ht="105" hidden="1" x14ac:dyDescent="0.25">
      <c r="A7">
        <v>33</v>
      </c>
      <c r="B7" t="s">
        <v>472</v>
      </c>
      <c r="C7" s="141" t="s">
        <v>9</v>
      </c>
      <c r="D7" t="s">
        <v>533</v>
      </c>
      <c r="E7" t="s">
        <v>534</v>
      </c>
      <c r="F7" s="1" t="str">
        <f t="shared" si="0"/>
        <v>PURPOSE: Data field for Titel_Source in 1_2_Data_Flows
ACTION: Enter appropriate value for Titel_Source
NOTE: Please refer to BioDYM documentation for specific requirements.</v>
      </c>
      <c r="G7" s="1" t="s">
        <v>746</v>
      </c>
      <c r="H7" s="1" t="s">
        <v>536</v>
      </c>
      <c r="I7" s="1" t="s">
        <v>726</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703</v>
      </c>
      <c r="H8" s="1" t="s">
        <v>704</v>
      </c>
      <c r="I8" s="1" t="s">
        <v>705</v>
      </c>
    </row>
    <row r="9" spans="1:9" ht="75" x14ac:dyDescent="0.25">
      <c r="A9">
        <v>2</v>
      </c>
      <c r="B9" t="s">
        <v>464</v>
      </c>
      <c r="C9" s="141" t="s">
        <v>7</v>
      </c>
      <c r="D9" t="s">
        <v>880</v>
      </c>
      <c r="E9" t="s">
        <v>495</v>
      </c>
      <c r="F9" s="1" t="str">
        <f t="shared" si="0"/>
        <v>PURPOSE: Unique identifier for material flow
ACTION: Automatically assigned
NOTE: This field is generated automatically. No manual input required. Used for system identification and linking.</v>
      </c>
      <c r="G9" s="1" t="s">
        <v>706</v>
      </c>
      <c r="H9" s="1" t="s">
        <v>704</v>
      </c>
      <c r="I9" s="1" t="s">
        <v>705</v>
      </c>
    </row>
    <row r="10" spans="1:9" ht="75" hidden="1" x14ac:dyDescent="0.25">
      <c r="A10">
        <v>28</v>
      </c>
      <c r="B10" t="s">
        <v>472</v>
      </c>
      <c r="C10" s="141" t="s">
        <v>28</v>
      </c>
      <c r="D10" t="s">
        <v>503</v>
      </c>
      <c r="E10" t="s">
        <v>504</v>
      </c>
      <c r="F10" s="1" t="str">
        <f t="shared" si="0"/>
        <v>PURPOSE: Defines the Data Year for temporal data organization
ACTION: Enter year (e.g., 2020, 2021, 2022)
NOTE: Must be consistent with analysis time period. Used for time-series data organization.</v>
      </c>
      <c r="G10" s="1" t="s">
        <v>739</v>
      </c>
      <c r="H10" s="1" t="s">
        <v>740</v>
      </c>
      <c r="I10" s="1" t="s">
        <v>741</v>
      </c>
    </row>
    <row r="11" spans="1:9" ht="90" hidden="1" x14ac:dyDescent="0.25">
      <c r="A11">
        <v>53</v>
      </c>
      <c r="B11" t="s">
        <v>472</v>
      </c>
      <c r="C11" s="141" t="s">
        <v>34</v>
      </c>
      <c r="D11" t="s">
        <v>573</v>
      </c>
      <c r="E11" t="s">
        <v>518</v>
      </c>
      <c r="F11" s="1" t="str">
        <f t="shared" si="0"/>
        <v>PURPOSE: Data field for Flow_CC_year_ID in 1_2_Data_Flows
ACTION: Enter appropriate value for Flow_CC_year_ID
NOTE: Please refer to BioDYM documentation for specific requirements.</v>
      </c>
      <c r="G11" s="1" t="s">
        <v>774</v>
      </c>
      <c r="H11" s="1" t="s">
        <v>575</v>
      </c>
      <c r="I11" s="1" t="s">
        <v>726</v>
      </c>
    </row>
    <row r="12" spans="1:9" ht="75" x14ac:dyDescent="0.25">
      <c r="A12">
        <v>3</v>
      </c>
      <c r="B12" t="s">
        <v>464</v>
      </c>
      <c r="C12" s="141" t="s">
        <v>11</v>
      </c>
      <c r="D12" t="s">
        <v>881</v>
      </c>
      <c r="E12" t="s">
        <v>495</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707</v>
      </c>
      <c r="H12" s="1" t="s">
        <v>708</v>
      </c>
      <c r="I12" s="1" t="s">
        <v>709</v>
      </c>
    </row>
    <row r="13" spans="1:9" ht="75" hidden="1" x14ac:dyDescent="0.25">
      <c r="A13">
        <v>55</v>
      </c>
      <c r="B13" t="s">
        <v>472</v>
      </c>
      <c r="C13" s="141" t="s">
        <v>39</v>
      </c>
      <c r="D13" t="s">
        <v>576</v>
      </c>
      <c r="E13" t="s">
        <v>577</v>
      </c>
      <c r="F13" s="1" t="str">
        <f t="shared" si="0"/>
        <v>PURPOSE: Data field for UoM_CC_Flow_Py in 1_2_Data_Flows
ACTION: Enter appropriate value for UoM_CC_Flow_Py
NOTE: Please refer to BioDYM documentation for specific requirements.</v>
      </c>
      <c r="G13" s="1" t="s">
        <v>776</v>
      </c>
      <c r="H13" s="1" t="s">
        <v>579</v>
      </c>
      <c r="I13" s="1" t="s">
        <v>726</v>
      </c>
    </row>
    <row r="14" spans="1:9" ht="90" x14ac:dyDescent="0.25">
      <c r="A14">
        <v>4</v>
      </c>
      <c r="B14" t="s">
        <v>464</v>
      </c>
      <c r="C14" s="141" t="s">
        <v>419</v>
      </c>
      <c r="D14" t="s">
        <v>497</v>
      </c>
      <c r="E14" t="s">
        <v>882</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710</v>
      </c>
      <c r="H14" s="1" t="s">
        <v>711</v>
      </c>
      <c r="I14" s="1" t="s">
        <v>709</v>
      </c>
    </row>
    <row r="15" spans="1:9" ht="75" hidden="1" x14ac:dyDescent="0.25">
      <c r="A15">
        <v>40</v>
      </c>
      <c r="B15" t="s">
        <v>472</v>
      </c>
      <c r="C15" s="141" t="s">
        <v>19</v>
      </c>
      <c r="D15" t="s">
        <v>547</v>
      </c>
      <c r="E15" t="s">
        <v>548</v>
      </c>
      <c r="F15" s="1" t="str">
        <f t="shared" si="0"/>
        <v>PURPOSE: Data field for Name_CF in 1_2_Data_Flows
ACTION: Enter appropriate value for Name_CF
NOTE: Please refer to BioDYM documentation for specific requirements.</v>
      </c>
      <c r="G15" s="1" t="s">
        <v>757</v>
      </c>
      <c r="H15" s="1" t="s">
        <v>550</v>
      </c>
      <c r="I15" s="1" t="s">
        <v>726</v>
      </c>
    </row>
    <row r="16" spans="1:9" ht="75" hidden="1" x14ac:dyDescent="0.25">
      <c r="A16">
        <v>39</v>
      </c>
      <c r="B16" t="s">
        <v>472</v>
      </c>
      <c r="C16" s="141" t="s">
        <v>18</v>
      </c>
      <c r="D16" t="s">
        <v>545</v>
      </c>
      <c r="E16" t="s">
        <v>546</v>
      </c>
      <c r="F16" s="1" t="str">
        <f t="shared" si="0"/>
        <v>PURPOSE: Data field for CF in 1_2_Data_Flows
ACTION: Enter appropriate value for CF
NOTE: Please refer to BioDYM documentation for specific requirements.</v>
      </c>
      <c r="G16" s="1" t="s">
        <v>756</v>
      </c>
      <c r="H16" s="1" t="s">
        <v>548</v>
      </c>
      <c r="I16" s="1" t="s">
        <v>726</v>
      </c>
    </row>
    <row r="17" spans="1:9" ht="75" hidden="1" x14ac:dyDescent="0.25">
      <c r="A17">
        <v>173</v>
      </c>
      <c r="B17" t="s">
        <v>483</v>
      </c>
      <c r="C17" s="141" t="s">
        <v>363</v>
      </c>
      <c r="D17" t="s">
        <v>677</v>
      </c>
      <c r="E17" t="s">
        <v>678</v>
      </c>
      <c r="F17" s="1" t="str">
        <f t="shared" si="0"/>
        <v>PURPOSE: Data field for Node_Color in 6_1_Visualization_Processes
ACTION: Enter appropriate value for Node_Color
NOTE: Please refer to BioDYM documentation for specific requirements.</v>
      </c>
      <c r="G17" s="1" t="s">
        <v>848</v>
      </c>
      <c r="H17" s="1" t="s">
        <v>680</v>
      </c>
      <c r="I17" s="1" t="s">
        <v>726</v>
      </c>
    </row>
    <row r="18" spans="1:9" ht="75" hidden="1" x14ac:dyDescent="0.25">
      <c r="A18">
        <v>168</v>
      </c>
      <c r="B18" t="s">
        <v>476</v>
      </c>
      <c r="C18" s="141" t="s">
        <v>12</v>
      </c>
      <c r="D18" t="s">
        <v>673</v>
      </c>
      <c r="E18" t="s">
        <v>674</v>
      </c>
      <c r="F18" s="1" t="str">
        <f t="shared" si="0"/>
        <v>PURPOSE: Flag this row as 100% complete for reporting and filtering purposes
ACTION: Click to select
NOTE: This input is optional. Leave blank if the process is ongoing. Used for progress tracking.</v>
      </c>
      <c r="G18" s="1" t="s">
        <v>777</v>
      </c>
      <c r="H18" s="1" t="s">
        <v>778</v>
      </c>
      <c r="I18" s="1" t="s">
        <v>779</v>
      </c>
    </row>
    <row r="19" spans="1:9" ht="90" x14ac:dyDescent="0.25">
      <c r="A19">
        <v>5</v>
      </c>
      <c r="B19" t="s">
        <v>464</v>
      </c>
      <c r="C19" s="141" t="s">
        <v>424</v>
      </c>
      <c r="D19" t="s">
        <v>883</v>
      </c>
      <c r="E19" t="s">
        <v>884</v>
      </c>
      <c r="F19" s="1" t="str">
        <f t="shared" si="0"/>
        <v>PURPOSE: Unique identifier for output process
ACTION: Automatically assigned
NOTE: This field is generated automatically. No manual input required. Used for system identification and linking.</v>
      </c>
      <c r="G19" s="1" t="s">
        <v>712</v>
      </c>
      <c r="H19" s="1" t="s">
        <v>704</v>
      </c>
      <c r="I19" s="1" t="s">
        <v>705</v>
      </c>
    </row>
    <row r="20" spans="1:9" ht="90" hidden="1" x14ac:dyDescent="0.25">
      <c r="A20">
        <v>57</v>
      </c>
      <c r="B20" t="s">
        <v>473</v>
      </c>
      <c r="C20" s="141" t="s">
        <v>24</v>
      </c>
      <c r="D20" t="s">
        <v>580</v>
      </c>
      <c r="E20" t="s">
        <v>581</v>
      </c>
      <c r="F20" s="1" t="str">
        <f t="shared" si="0"/>
        <v>PURPOSE: Unique identifier for data row
ACTION: Automatically assigned
NOTE: This field is generated automatically. No manual input required. Used for system identification and linking.</v>
      </c>
      <c r="G20" s="1" t="s">
        <v>703</v>
      </c>
      <c r="H20" s="1" t="s">
        <v>704</v>
      </c>
      <c r="I20" s="1" t="s">
        <v>705</v>
      </c>
    </row>
    <row r="21" spans="1:9" ht="90" hidden="1" x14ac:dyDescent="0.25">
      <c r="A21">
        <v>66</v>
      </c>
      <c r="B21" t="s">
        <v>861</v>
      </c>
      <c r="C21" s="141" t="s">
        <v>24</v>
      </c>
      <c r="D21" t="s">
        <v>580</v>
      </c>
      <c r="E21" t="s">
        <v>581</v>
      </c>
      <c r="F21" s="1" t="str">
        <f t="shared" si="0"/>
        <v>PURPOSE: Unique identifier for data row
ACTION: Automatically assigned
NOTE: This field is generated automatically. No manual input required. Used for system identification and linking.</v>
      </c>
      <c r="G21" s="1" t="s">
        <v>703</v>
      </c>
      <c r="H21" s="1" t="s">
        <v>704</v>
      </c>
      <c r="I21" s="1" t="s">
        <v>705</v>
      </c>
    </row>
    <row r="22" spans="1:9" ht="75" hidden="1" x14ac:dyDescent="0.25">
      <c r="A22">
        <v>89</v>
      </c>
      <c r="B22" s="162" t="s">
        <v>862</v>
      </c>
      <c r="C22" s="141" t="s">
        <v>24</v>
      </c>
      <c r="D22" t="s">
        <v>580</v>
      </c>
      <c r="E22" t="s">
        <v>581</v>
      </c>
      <c r="F22" s="1" t="str">
        <f t="shared" si="0"/>
        <v>PURPOSE: Unique identifier for data row
ACTION: Automatically assigned
NOTE: This field is generated automatically. No manual input required. Used for system identification and linking.</v>
      </c>
      <c r="G22" s="1" t="s">
        <v>703</v>
      </c>
      <c r="H22" s="1" t="s">
        <v>704</v>
      </c>
      <c r="I22" s="1" t="s">
        <v>705</v>
      </c>
    </row>
    <row r="23" spans="1:9" ht="75" hidden="1" x14ac:dyDescent="0.25">
      <c r="A23">
        <v>106</v>
      </c>
      <c r="B23" s="162" t="s">
        <v>863</v>
      </c>
      <c r="C23" s="141" t="s">
        <v>24</v>
      </c>
      <c r="D23" t="s">
        <v>580</v>
      </c>
      <c r="E23" t="s">
        <v>581</v>
      </c>
      <c r="F23" s="1" t="str">
        <f t="shared" si="0"/>
        <v>PURPOSE: Unique identifier for data row
ACTION: Automatically assigned
NOTE: This field is generated automatically. No manual input required. Used for system identification and linking.</v>
      </c>
      <c r="G23" s="1" t="s">
        <v>703</v>
      </c>
      <c r="H23" s="1" t="s">
        <v>704</v>
      </c>
      <c r="I23" s="1" t="s">
        <v>705</v>
      </c>
    </row>
    <row r="24" spans="1:9" ht="75" hidden="1" x14ac:dyDescent="0.25">
      <c r="A24">
        <v>136</v>
      </c>
      <c r="B24" t="s">
        <v>475</v>
      </c>
      <c r="C24" s="141" t="s">
        <v>24</v>
      </c>
      <c r="D24" t="s">
        <v>580</v>
      </c>
      <c r="E24" t="s">
        <v>581</v>
      </c>
      <c r="F24" s="1" t="str">
        <f t="shared" si="0"/>
        <v>PURPOSE: Unique identifier for data row
ACTION: Automatically assigned
NOTE: This field is generated automatically. No manual input required. Used for system identification and linking.</v>
      </c>
      <c r="G24" s="1" t="s">
        <v>703</v>
      </c>
      <c r="H24" s="1" t="s">
        <v>704</v>
      </c>
      <c r="I24" s="1" t="s">
        <v>705</v>
      </c>
    </row>
    <row r="25" spans="1:9" ht="90" hidden="1" x14ac:dyDescent="0.25">
      <c r="A25">
        <v>169</v>
      </c>
      <c r="B25" t="s">
        <v>483</v>
      </c>
      <c r="C25" s="141" t="s">
        <v>24</v>
      </c>
      <c r="D25" t="s">
        <v>580</v>
      </c>
      <c r="E25" t="s">
        <v>581</v>
      </c>
      <c r="F25" s="1" t="str">
        <f t="shared" si="0"/>
        <v>PURPOSE: Unique identifier for data row
ACTION: Automatically assigned
NOTE: This field is generated automatically. No manual input required. Used for system identification and linking.</v>
      </c>
      <c r="G25" s="1" t="s">
        <v>703</v>
      </c>
      <c r="H25" s="1" t="s">
        <v>704</v>
      </c>
      <c r="I25" s="1" t="s">
        <v>705</v>
      </c>
    </row>
    <row r="26" spans="1:9" ht="90" hidden="1" x14ac:dyDescent="0.25">
      <c r="A26">
        <v>61</v>
      </c>
      <c r="B26" t="s">
        <v>473</v>
      </c>
      <c r="C26" s="141" t="s">
        <v>4</v>
      </c>
      <c r="D26" t="s">
        <v>876</v>
      </c>
      <c r="E26" t="s">
        <v>877</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785</v>
      </c>
      <c r="H26" s="1" t="s">
        <v>786</v>
      </c>
      <c r="I26" s="1" t="s">
        <v>787</v>
      </c>
    </row>
    <row r="27" spans="1:9" ht="105" hidden="1" x14ac:dyDescent="0.25">
      <c r="A27">
        <v>178</v>
      </c>
      <c r="B27" t="s">
        <v>483</v>
      </c>
      <c r="C27" s="141" t="s">
        <v>4</v>
      </c>
      <c r="D27" t="s">
        <v>687</v>
      </c>
      <c r="E27" t="s">
        <v>688</v>
      </c>
      <c r="F27" s="1" t="str">
        <f t="shared" si="0"/>
        <v>PURPOSE: Data field for Y_Position_WC in 6_1_Visualization_Processes
ACTION: Enter appropriate value for Y_Position_WC
NOTE: Please refer to BioDYM documentation for specific requirements.</v>
      </c>
      <c r="G27" s="1" t="s">
        <v>853</v>
      </c>
      <c r="H27" s="1" t="s">
        <v>690</v>
      </c>
      <c r="I27" s="1" t="s">
        <v>726</v>
      </c>
    </row>
    <row r="28" spans="1:9" ht="90" hidden="1" x14ac:dyDescent="0.25">
      <c r="A28">
        <v>178</v>
      </c>
      <c r="B28" t="s">
        <v>484</v>
      </c>
      <c r="C28" s="141" t="s">
        <v>4</v>
      </c>
      <c r="D28" t="s">
        <v>689</v>
      </c>
      <c r="E28" t="s">
        <v>690</v>
      </c>
      <c r="F28" s="1" t="str">
        <f t="shared" si="0"/>
        <v>PURPOSE: Data field for X_Position_DM in 6_1_Visualization_Processes
ACTION: Enter appropriate value for X_Position_DM
NOTE: Please refer to BioDYM documentation for specific requirements.</v>
      </c>
      <c r="G28" s="1" t="s">
        <v>854</v>
      </c>
      <c r="H28" s="1" t="s">
        <v>692</v>
      </c>
      <c r="I28" s="1" t="s">
        <v>726</v>
      </c>
    </row>
    <row r="29" spans="1:9" ht="90" hidden="1" x14ac:dyDescent="0.25">
      <c r="A29">
        <v>121</v>
      </c>
      <c r="B29" s="162" t="s">
        <v>863</v>
      </c>
      <c r="C29" s="141" t="s">
        <v>185</v>
      </c>
      <c r="D29" t="s">
        <v>625</v>
      </c>
      <c r="E29" t="s">
        <v>878</v>
      </c>
      <c r="F29" s="1" t="str">
        <f t="shared" si="0"/>
        <v>PURPOSE: Unique identifier for material flow
ACTION: Automatically assigned
NOTE: This field is generated automatically. No manual input required. Used for system identification and linking.</v>
      </c>
      <c r="G29" s="1" t="s">
        <v>706</v>
      </c>
      <c r="H29" s="1" t="s">
        <v>704</v>
      </c>
      <c r="I29" s="1" t="s">
        <v>705</v>
      </c>
    </row>
    <row r="30" spans="1:9" ht="90" hidden="1" x14ac:dyDescent="0.25">
      <c r="A30">
        <v>120</v>
      </c>
      <c r="B30" s="162" t="s">
        <v>863</v>
      </c>
      <c r="C30" s="141" t="s">
        <v>186</v>
      </c>
      <c r="D30" t="s">
        <v>623</v>
      </c>
      <c r="E30" t="s">
        <v>879</v>
      </c>
      <c r="F30" s="1" t="str">
        <f t="shared" si="0"/>
        <v>PURPOSE: Data field for Destination_Flow in 2_5_Initial_Stock
ACTION: Enter appropriate value for Destination_Flow
NOTE: Please refer to BioDYM documentation for specific requirements.</v>
      </c>
      <c r="G30" s="1" t="s">
        <v>817</v>
      </c>
      <c r="H30" s="1" t="s">
        <v>626</v>
      </c>
      <c r="I30" s="1" t="s">
        <v>726</v>
      </c>
    </row>
    <row r="31" spans="1:9" ht="75" hidden="1" x14ac:dyDescent="0.25">
      <c r="A31">
        <v>119</v>
      </c>
      <c r="B31" s="162" t="s">
        <v>863</v>
      </c>
      <c r="C31" s="141" t="s">
        <v>187</v>
      </c>
      <c r="E31" t="s">
        <v>622</v>
      </c>
      <c r="F31" s="1" t="str">
        <f t="shared" si="0"/>
        <v>PURPOSE: Data field for Destination_Process in 2_5_Initial_Stock
ACTION: Enter appropriate value for Destination_Process
NOTE: Please refer to BioDYM documentation for specific requirements.</v>
      </c>
      <c r="G31" s="1" t="s">
        <v>816</v>
      </c>
      <c r="H31" s="1" t="s">
        <v>624</v>
      </c>
      <c r="I31" s="1" t="s">
        <v>726</v>
      </c>
    </row>
    <row r="32" spans="1:9" ht="75" hidden="1" x14ac:dyDescent="0.25">
      <c r="A32">
        <v>153</v>
      </c>
      <c r="B32" t="s">
        <v>477</v>
      </c>
      <c r="C32" s="141" t="s">
        <v>174</v>
      </c>
      <c r="D32" t="s">
        <v>651</v>
      </c>
      <c r="E32" t="s">
        <v>652</v>
      </c>
      <c r="F32" s="1" t="str">
        <f t="shared" si="0"/>
        <v>PURPOSE: Data field for Mean in 4_1_Uncertainty_Parameters
ACTION: Enter appropriate value for Mean
NOTE: Please refer to BioDYM documentation for specific requirements.</v>
      </c>
      <c r="G32" s="1" t="s">
        <v>832</v>
      </c>
      <c r="H32" s="1" t="s">
        <v>654</v>
      </c>
      <c r="I32" s="1" t="s">
        <v>726</v>
      </c>
    </row>
    <row r="33" spans="1:9" ht="90" x14ac:dyDescent="0.25">
      <c r="A33">
        <v>6</v>
      </c>
      <c r="B33" t="s">
        <v>464</v>
      </c>
      <c r="C33" s="141" t="s">
        <v>425</v>
      </c>
      <c r="D33" t="s">
        <v>495</v>
      </c>
      <c r="E33" t="s">
        <v>495</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713</v>
      </c>
      <c r="H33" s="1" t="s">
        <v>714</v>
      </c>
      <c r="I33" s="1" t="s">
        <v>709</v>
      </c>
    </row>
    <row r="34" spans="1:9" ht="90" hidden="1" x14ac:dyDescent="0.25">
      <c r="A34">
        <v>27</v>
      </c>
      <c r="B34" t="s">
        <v>472</v>
      </c>
      <c r="C34" s="141" t="s">
        <v>29</v>
      </c>
      <c r="D34" t="s">
        <v>501</v>
      </c>
      <c r="E34" t="s">
        <v>502</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722</v>
      </c>
      <c r="H34" s="1" t="s">
        <v>723</v>
      </c>
      <c r="I34" s="1" t="s">
        <v>724</v>
      </c>
    </row>
    <row r="35" spans="1:9" ht="75" hidden="1" x14ac:dyDescent="0.25">
      <c r="A35">
        <v>49</v>
      </c>
      <c r="B35" t="s">
        <v>472</v>
      </c>
      <c r="C35" s="141" t="s">
        <v>32</v>
      </c>
      <c r="D35" t="s">
        <v>565</v>
      </c>
      <c r="E35" t="s">
        <v>566</v>
      </c>
      <c r="F35" s="1" t="str">
        <f t="shared" si="0"/>
        <v>PURPOSE: Data field for Flow_DM_year_ID in 1_2_Data_Flows
ACTION: Enter appropriate value for Flow_DM_year_ID
NOTE: Please refer to BioDYM documentation for specific requirements.</v>
      </c>
      <c r="G35" s="1" t="s">
        <v>770</v>
      </c>
      <c r="H35" s="1" t="s">
        <v>568</v>
      </c>
      <c r="I35" s="1" t="s">
        <v>726</v>
      </c>
    </row>
    <row r="36" spans="1:9" ht="75" hidden="1" x14ac:dyDescent="0.25">
      <c r="A36">
        <v>51</v>
      </c>
      <c r="B36" t="s">
        <v>472</v>
      </c>
      <c r="C36" s="141" t="s">
        <v>418</v>
      </c>
      <c r="D36" t="s">
        <v>569</v>
      </c>
      <c r="E36" t="s">
        <v>570</v>
      </c>
      <c r="F36" s="1" t="str">
        <f t="shared" si="0"/>
        <v>PURPOSE: Data field for UoM_DM_Flow_Py in 1_2_Data_Flows
ACTION: Enter appropriate value for UoM_DM_Flow_Py
NOTE: Please refer to BioDYM documentation for specific requirements.</v>
      </c>
      <c r="G36" s="1" t="s">
        <v>772</v>
      </c>
      <c r="H36" s="1" t="s">
        <v>572</v>
      </c>
      <c r="I36" s="1" t="s">
        <v>726</v>
      </c>
    </row>
    <row r="37" spans="1:9" ht="75" x14ac:dyDescent="0.25">
      <c r="A37">
        <v>7</v>
      </c>
      <c r="B37" t="s">
        <v>464</v>
      </c>
      <c r="C37" s="141" t="s">
        <v>426</v>
      </c>
      <c r="D37" t="s">
        <v>885</v>
      </c>
      <c r="E37" t="s">
        <v>886</v>
      </c>
      <c r="F37" s="1" t="str">
        <f t="shared" si="0"/>
        <v>PURPOSE: Unique identifier for input process
ACTION: Automatically assigned
NOTE: This field is generated automatically. No manual input required. Used for system identification and linking.</v>
      </c>
      <c r="G37" s="1" t="s">
        <v>715</v>
      </c>
      <c r="H37" s="1" t="s">
        <v>704</v>
      </c>
      <c r="I37" s="1" t="s">
        <v>705</v>
      </c>
    </row>
    <row r="38" spans="1:9" ht="75" hidden="1" x14ac:dyDescent="0.25">
      <c r="A38">
        <v>131</v>
      </c>
      <c r="B38" t="s">
        <v>474</v>
      </c>
      <c r="C38" s="141" t="s">
        <v>434</v>
      </c>
      <c r="D38" t="s">
        <v>629</v>
      </c>
      <c r="E38" t="s">
        <v>630</v>
      </c>
      <c r="F38" s="1" t="str">
        <f t="shared" si="0"/>
        <v>PURPOSE: Data field for DSM_Parameter_typ in 3_1_Definition_DSM
ACTION: Enter appropriate value for DSM_Parameter_typ
NOTE: Please refer to BioDYM documentation for specific requirements.</v>
      </c>
      <c r="G38" s="1" t="s">
        <v>820</v>
      </c>
      <c r="H38" s="1" t="s">
        <v>632</v>
      </c>
      <c r="I38" s="1" t="s">
        <v>726</v>
      </c>
    </row>
    <row r="39" spans="1:9" ht="90" hidden="1" x14ac:dyDescent="0.25">
      <c r="A39">
        <v>134</v>
      </c>
      <c r="B39" t="s">
        <v>474</v>
      </c>
      <c r="C39" s="141" t="s">
        <v>440</v>
      </c>
      <c r="D39" t="s">
        <v>635</v>
      </c>
      <c r="E39" t="s">
        <v>636</v>
      </c>
      <c r="F39" s="1" t="str">
        <f t="shared" si="0"/>
        <v>PURPOSE: Data field for DSM_Value in 3_1_Definition_DSM
ACTION: Enter appropriate value for DSM_Value
NOTE: Please refer to BioDYM documentation for specific requirements.</v>
      </c>
      <c r="G39" s="1" t="s">
        <v>823</v>
      </c>
      <c r="H39" s="1" t="s">
        <v>638</v>
      </c>
      <c r="I39" s="1" t="s">
        <v>726</v>
      </c>
    </row>
    <row r="40" spans="1:9" ht="75" hidden="1" x14ac:dyDescent="0.25">
      <c r="A40">
        <v>132</v>
      </c>
      <c r="B40" t="s">
        <v>474</v>
      </c>
      <c r="C40" s="141" t="s">
        <v>442</v>
      </c>
      <c r="D40" t="s">
        <v>631</v>
      </c>
      <c r="E40" t="s">
        <v>632</v>
      </c>
      <c r="F40" s="1" t="str">
        <f t="shared" si="0"/>
        <v>PURPOSE: Data field for DSM_Parameter_type in 3_1_Definition_DSM
ACTION: Enter appropriate value for DSM_Parameter_type
NOTE: Please refer to BioDYM documentation for specific requirements.</v>
      </c>
      <c r="G40" s="1" t="s">
        <v>821</v>
      </c>
      <c r="H40" s="1" t="s">
        <v>634</v>
      </c>
      <c r="I40" s="1" t="s">
        <v>726</v>
      </c>
    </row>
    <row r="41" spans="1:9" ht="75" hidden="1" x14ac:dyDescent="0.25">
      <c r="A41">
        <v>133</v>
      </c>
      <c r="B41" t="s">
        <v>474</v>
      </c>
      <c r="C41" s="141" t="s">
        <v>441</v>
      </c>
      <c r="D41" t="s">
        <v>633</v>
      </c>
      <c r="E41" t="s">
        <v>634</v>
      </c>
      <c r="F41" s="1" t="str">
        <f t="shared" si="0"/>
        <v>PURPOSE: Data field for DSM_Parameter in 3_1_Definition_DSM
ACTION: Enter appropriate value for DSM_Parameter
NOTE: Please refer to BioDYM documentation for specific requirements.</v>
      </c>
      <c r="G41" s="1" t="s">
        <v>822</v>
      </c>
      <c r="H41" s="1" t="s">
        <v>636</v>
      </c>
      <c r="I41" s="1" t="s">
        <v>726</v>
      </c>
    </row>
    <row r="42" spans="1:9" ht="75" hidden="1" x14ac:dyDescent="0.25">
      <c r="A42">
        <v>135</v>
      </c>
      <c r="B42" t="s">
        <v>474</v>
      </c>
      <c r="C42" s="141" t="s">
        <v>443</v>
      </c>
      <c r="D42" t="s">
        <v>637</v>
      </c>
      <c r="E42" t="s">
        <v>638</v>
      </c>
      <c r="F42" s="1" t="str">
        <f t="shared" si="0"/>
        <v>PURPOSE: Flag this row as 100% complete for reporting and filtering purposes
ACTION: Click to select
NOTE: This input is optional. Leave blank if the process is ongoing. Used for progress tracking.</v>
      </c>
      <c r="G42" s="1" t="s">
        <v>777</v>
      </c>
      <c r="H42" s="1" t="s">
        <v>778</v>
      </c>
      <c r="I42" s="1" t="s">
        <v>779</v>
      </c>
    </row>
    <row r="43" spans="1:9" ht="75" hidden="1" x14ac:dyDescent="0.25">
      <c r="A43">
        <v>167</v>
      </c>
      <c r="B43" s="2" t="s">
        <v>476</v>
      </c>
      <c r="C43" s="141" t="s">
        <v>429</v>
      </c>
      <c r="D43" t="s">
        <v>671</v>
      </c>
      <c r="E43" t="s">
        <v>672</v>
      </c>
      <c r="F43" s="1" t="str">
        <f t="shared" si="0"/>
        <v>PURPOSE: Data field for Comment in 5_1_Scenario_Manager
ACTION: Enter appropriate value for Comment
NOTE: Please refer to BioDYM documentation for specific requirements.</v>
      </c>
      <c r="G43" s="1" t="s">
        <v>845</v>
      </c>
      <c r="H43" s="1" t="s">
        <v>674</v>
      </c>
      <c r="I43" s="1" t="s">
        <v>726</v>
      </c>
    </row>
    <row r="44" spans="1:9" ht="75" hidden="1" x14ac:dyDescent="0.25">
      <c r="A44">
        <v>30</v>
      </c>
      <c r="B44" t="s">
        <v>472</v>
      </c>
      <c r="C44" s="141" t="s">
        <v>409</v>
      </c>
      <c r="D44" t="s">
        <v>527</v>
      </c>
      <c r="E44" t="s">
        <v>528</v>
      </c>
      <c r="F44" s="1" t="str">
        <f t="shared" si="0"/>
        <v>PURPOSE: Data field for UoM_Source in 1_2_Data_Flows
ACTION: Enter appropriate value for UoM_Source
NOTE: Please refer to BioDYM documentation for specific requirements.</v>
      </c>
      <c r="G44" s="1" t="s">
        <v>743</v>
      </c>
      <c r="H44" s="1" t="s">
        <v>530</v>
      </c>
      <c r="I44" s="1" t="s">
        <v>726</v>
      </c>
    </row>
    <row r="45" spans="1:9" ht="75" x14ac:dyDescent="0.25">
      <c r="A45">
        <v>8</v>
      </c>
      <c r="B45" t="s">
        <v>464</v>
      </c>
      <c r="C45" s="141" t="s">
        <v>423</v>
      </c>
      <c r="D45" t="s">
        <v>495</v>
      </c>
      <c r="E45" t="s">
        <v>495</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716</v>
      </c>
      <c r="H45" s="1" t="s">
        <v>717</v>
      </c>
      <c r="I45" s="1" t="s">
        <v>718</v>
      </c>
    </row>
    <row r="46" spans="1:9" ht="90" x14ac:dyDescent="0.25">
      <c r="A46">
        <v>9</v>
      </c>
      <c r="B46" t="s">
        <v>464</v>
      </c>
      <c r="C46" s="141" t="s">
        <v>27</v>
      </c>
      <c r="D46" t="s">
        <v>887</v>
      </c>
      <c r="E46" t="s">
        <v>888</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719</v>
      </c>
      <c r="H46" s="1" t="s">
        <v>720</v>
      </c>
      <c r="I46" s="1" t="s">
        <v>721</v>
      </c>
    </row>
    <row r="47" spans="1:9" ht="75" hidden="1" x14ac:dyDescent="0.25">
      <c r="A47">
        <v>54</v>
      </c>
      <c r="B47" t="s">
        <v>472</v>
      </c>
      <c r="C47" s="141" t="s">
        <v>414</v>
      </c>
      <c r="D47" t="s">
        <v>574</v>
      </c>
      <c r="E47" t="s">
        <v>575</v>
      </c>
      <c r="F47" s="1" t="str">
        <f t="shared" si="0"/>
        <v>PURPOSE: Data field for CC_Flow_Py in 1_2_Data_Flows
ACTION: Enter appropriate value for CC_Flow_Py
NOTE: Please refer to BioDYM documentation for specific requirements.</v>
      </c>
      <c r="G47" s="1" t="s">
        <v>775</v>
      </c>
      <c r="H47" s="1" t="s">
        <v>577</v>
      </c>
      <c r="I47" s="1" t="s">
        <v>726</v>
      </c>
    </row>
    <row r="48" spans="1:9" ht="75" hidden="1" x14ac:dyDescent="0.25">
      <c r="A48">
        <v>178</v>
      </c>
      <c r="B48" t="s">
        <v>484</v>
      </c>
      <c r="C48" s="141" t="s">
        <v>249</v>
      </c>
      <c r="D48" t="s">
        <v>691</v>
      </c>
      <c r="E48" t="s">
        <v>692</v>
      </c>
      <c r="F48" s="1" t="str">
        <f t="shared" si="0"/>
        <v>PURPOSE: Data field for Y_Position_DM in 6_1_Visualization_Processes
ACTION: Enter appropriate value for Y_Position_DM
NOTE: Please refer to BioDYM documentation for specific requirements.</v>
      </c>
      <c r="G48" s="1" t="s">
        <v>855</v>
      </c>
      <c r="H48" s="1" t="s">
        <v>694</v>
      </c>
      <c r="I48" s="1" t="s">
        <v>726</v>
      </c>
    </row>
    <row r="49" spans="1:9" ht="75" hidden="1" x14ac:dyDescent="0.25">
      <c r="A49">
        <v>178</v>
      </c>
      <c r="B49" t="s">
        <v>484</v>
      </c>
      <c r="C49" s="141" t="s">
        <v>364</v>
      </c>
      <c r="D49" t="s">
        <v>693</v>
      </c>
      <c r="E49" t="s">
        <v>694</v>
      </c>
      <c r="F49" s="1" t="str">
        <f t="shared" si="0"/>
        <v>PURPOSE: Data field for X_Position_CC in 6_1_Visualization_Processes
ACTION: Enter appropriate value for X_Position_CC
NOTE: Please refer to BioDYM documentation for specific requirements.</v>
      </c>
      <c r="G49" s="1" t="s">
        <v>856</v>
      </c>
      <c r="H49" s="1" t="s">
        <v>696</v>
      </c>
      <c r="I49" s="1" t="s">
        <v>726</v>
      </c>
    </row>
    <row r="50" spans="1:9" ht="75" hidden="1" x14ac:dyDescent="0.25">
      <c r="A50">
        <v>29</v>
      </c>
      <c r="B50" t="s">
        <v>472</v>
      </c>
      <c r="C50" s="141" t="s">
        <v>408</v>
      </c>
      <c r="D50" t="s">
        <v>525</v>
      </c>
      <c r="E50" t="s">
        <v>526</v>
      </c>
      <c r="F50" s="1" t="str">
        <f t="shared" si="0"/>
        <v>PURPOSE: Data field for Flow in 1_2_Data_Flows
ACTION: Enter appropriate value for Flow
NOTE: Please refer to BioDYM documentation for specific requirements.</v>
      </c>
      <c r="G50" s="1" t="s">
        <v>742</v>
      </c>
      <c r="H50" s="1" t="s">
        <v>528</v>
      </c>
      <c r="I50" s="1" t="s">
        <v>726</v>
      </c>
    </row>
    <row r="51" spans="1:9" ht="75" x14ac:dyDescent="0.25">
      <c r="A51">
        <v>10</v>
      </c>
      <c r="B51" t="s">
        <v>464</v>
      </c>
      <c r="C51" s="141" t="s">
        <v>29</v>
      </c>
      <c r="D51" t="s">
        <v>889</v>
      </c>
      <c r="E51" t="s">
        <v>890</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722</v>
      </c>
      <c r="H51" s="1" t="s">
        <v>723</v>
      </c>
      <c r="I51" s="1" t="s">
        <v>724</v>
      </c>
    </row>
    <row r="52" spans="1:9" ht="75" x14ac:dyDescent="0.25">
      <c r="A52">
        <v>11</v>
      </c>
      <c r="B52" t="s">
        <v>464</v>
      </c>
      <c r="C52" s="141" t="s">
        <v>28</v>
      </c>
      <c r="D52" t="s">
        <v>891</v>
      </c>
      <c r="E52" t="s">
        <v>892</v>
      </c>
      <c r="F52" s="1" t="str">
        <f t="shared" si="0"/>
        <v>PURPOSE: Data field for Flow_WC_ID  in 1_1_Definition_Flows
ACTION: Enter appropriate value for Flow_WC_ID 
NOTE: Please refer to BioDYM documentation for specific requirements.</v>
      </c>
      <c r="G52" s="1" t="s">
        <v>725</v>
      </c>
      <c r="H52" s="1" t="s">
        <v>505</v>
      </c>
      <c r="I52" s="1" t="s">
        <v>726</v>
      </c>
    </row>
    <row r="53" spans="1:9" ht="75" hidden="1" x14ac:dyDescent="0.25">
      <c r="A53">
        <v>50</v>
      </c>
      <c r="B53" t="s">
        <v>472</v>
      </c>
      <c r="C53" s="141" t="s">
        <v>413</v>
      </c>
      <c r="D53" t="s">
        <v>567</v>
      </c>
      <c r="E53" t="s">
        <v>568</v>
      </c>
      <c r="F53" s="1" t="str">
        <f t="shared" si="0"/>
        <v>PURPOSE: Data field for DM_Flow_Py in 1_2_Data_Flows
ACTION: Enter appropriate value for DM_Flow_Py
NOTE: Please refer to BioDYM documentation for specific requirements.</v>
      </c>
      <c r="G53" s="1" t="s">
        <v>771</v>
      </c>
      <c r="H53" s="1" t="s">
        <v>570</v>
      </c>
      <c r="I53" s="1" t="s">
        <v>726</v>
      </c>
    </row>
    <row r="54" spans="1:9" ht="105" x14ac:dyDescent="0.25">
      <c r="A54">
        <v>12</v>
      </c>
      <c r="B54" t="s">
        <v>464</v>
      </c>
      <c r="C54" s="141" t="s">
        <v>415</v>
      </c>
      <c r="D54" t="s">
        <v>495</v>
      </c>
      <c r="E54" t="s">
        <v>495</v>
      </c>
      <c r="F54" s="1" t="str">
        <f t="shared" si="0"/>
        <v>PURPOSE: Data field for Flow_WC in 1_1_Definition_Flows
ACTION: Enter appropriate value for Flow_WC
NOTE: Please refer to BioDYM documentation for specific requirements.</v>
      </c>
      <c r="G54" s="1" t="s">
        <v>727</v>
      </c>
      <c r="H54" s="1" t="s">
        <v>507</v>
      </c>
      <c r="I54" s="1" t="s">
        <v>726</v>
      </c>
    </row>
    <row r="55" spans="1:9" ht="105" hidden="1" x14ac:dyDescent="0.25">
      <c r="A55">
        <v>24</v>
      </c>
      <c r="B55" t="s">
        <v>472</v>
      </c>
      <c r="C55" s="141" t="s">
        <v>11</v>
      </c>
      <c r="D55" t="s">
        <v>496</v>
      </c>
      <c r="E55" t="s">
        <v>495</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707</v>
      </c>
      <c r="H55" s="1" t="s">
        <v>708</v>
      </c>
      <c r="I55" s="1" t="s">
        <v>709</v>
      </c>
    </row>
    <row r="56" spans="1:9" ht="75" hidden="1" x14ac:dyDescent="0.25">
      <c r="A56">
        <v>75</v>
      </c>
      <c r="B56" t="s">
        <v>861</v>
      </c>
      <c r="C56" s="141" t="s">
        <v>11</v>
      </c>
      <c r="D56" t="s">
        <v>496</v>
      </c>
      <c r="E56" t="s">
        <v>495</v>
      </c>
      <c r="F56" s="1" t="str">
        <f t="shared" si="0"/>
        <v>PURPOSE: Unique identifier for transfer coefficient material
ACTION: Automatically assigned
NOTE: This field is generated automatically. No manual input required. Used for system identification and linking.</v>
      </c>
      <c r="G56" s="1" t="s">
        <v>796</v>
      </c>
      <c r="H56" s="1" t="s">
        <v>704</v>
      </c>
      <c r="I56" s="1" t="s">
        <v>705</v>
      </c>
    </row>
    <row r="57" spans="1:9" ht="75" hidden="1" x14ac:dyDescent="0.25">
      <c r="A57">
        <v>96</v>
      </c>
      <c r="B57" s="162" t="s">
        <v>862</v>
      </c>
      <c r="C57" s="141" t="s">
        <v>11</v>
      </c>
      <c r="D57" t="s">
        <v>496</v>
      </c>
      <c r="E57" t="s">
        <v>495</v>
      </c>
      <c r="F57" s="1" t="str">
        <f t="shared" si="0"/>
        <v>PURPOSE: Defines the Year (Dynamic TCs) for temporal data organization
ACTION: Enter year (e.g., 2020, 2021, 2022)
NOTE: Must be consistent with analysis time period. Used for time-series data organization.</v>
      </c>
      <c r="G57" s="1" t="s">
        <v>808</v>
      </c>
      <c r="H57" s="1" t="s">
        <v>740</v>
      </c>
      <c r="I57" s="1" t="s">
        <v>741</v>
      </c>
    </row>
    <row r="58" spans="1:9" ht="75" hidden="1" x14ac:dyDescent="0.25">
      <c r="A58">
        <v>122</v>
      </c>
      <c r="B58" s="162" t="s">
        <v>863</v>
      </c>
      <c r="C58" s="141" t="s">
        <v>11</v>
      </c>
      <c r="D58" t="s">
        <v>496</v>
      </c>
      <c r="E58" t="s">
        <v>495</v>
      </c>
      <c r="F58" s="1" t="str">
        <f t="shared" si="0"/>
        <v>PURPOSE: Defines the {field_type} for calculations
ACTION: Enter numerical value in specified unit
NOTE: Required for system calculations. Must be positive value. Used in MFA calculations.</v>
      </c>
      <c r="G58" s="1" t="s">
        <v>794</v>
      </c>
      <c r="H58" s="1" t="s">
        <v>760</v>
      </c>
      <c r="I58" s="1" t="s">
        <v>761</v>
      </c>
    </row>
    <row r="59" spans="1:9" ht="75" hidden="1" x14ac:dyDescent="0.25">
      <c r="A59">
        <v>178</v>
      </c>
      <c r="B59" t="s">
        <v>484</v>
      </c>
      <c r="C59" s="141" t="s">
        <v>11</v>
      </c>
      <c r="D59" t="s">
        <v>695</v>
      </c>
      <c r="E59" t="s">
        <v>696</v>
      </c>
      <c r="F59" s="1" t="str">
        <f t="shared" si="0"/>
        <v>PURPOSE: Data field for Y_Position_CC in 6_1_Visualization_Processes
ACTION: Enter appropriate value for Y_Position_CC
NOTE: Please refer to BioDYM documentation for specific requirements.</v>
      </c>
      <c r="G59" s="1" t="s">
        <v>857</v>
      </c>
      <c r="H59" s="1" t="s">
        <v>698</v>
      </c>
      <c r="I59" s="1" t="s">
        <v>726</v>
      </c>
    </row>
    <row r="60" spans="1:9" ht="90" x14ac:dyDescent="0.25">
      <c r="A60">
        <v>13</v>
      </c>
      <c r="B60" t="s">
        <v>464</v>
      </c>
      <c r="C60" s="141" t="s">
        <v>420</v>
      </c>
      <c r="D60" t="s">
        <v>506</v>
      </c>
      <c r="E60" t="s">
        <v>507</v>
      </c>
      <c r="F60" s="1" t="str">
        <f t="shared" si="0"/>
        <v>PURPOSE: Data field for WC_source in 1_1_Definition_Flows
ACTION: Enter appropriate value for WC_source
NOTE: Please refer to BioDYM documentation for specific requirements.</v>
      </c>
      <c r="G60" s="1" t="s">
        <v>728</v>
      </c>
      <c r="H60" s="1" t="s">
        <v>508</v>
      </c>
      <c r="I60" s="1" t="s">
        <v>726</v>
      </c>
    </row>
    <row r="61" spans="1:9" ht="75" hidden="1" x14ac:dyDescent="0.25">
      <c r="A61">
        <v>43</v>
      </c>
      <c r="B61" t="s">
        <v>472</v>
      </c>
      <c r="C61" s="141" t="s">
        <v>410</v>
      </c>
      <c r="D61" t="s">
        <v>553</v>
      </c>
      <c r="E61" t="s">
        <v>554</v>
      </c>
      <c r="F61" s="1" t="str">
        <f t="shared" si="0"/>
        <v>PURPOSE: Data field for UoM_Flow_Py in 1_2_Data_Flows
ACTION: Enter appropriate value for UoM_Flow_Py
NOTE: Please refer to BioDYM documentation for specific requirements.</v>
      </c>
      <c r="G61" s="1" t="s">
        <v>762</v>
      </c>
      <c r="H61" s="1" t="s">
        <v>556</v>
      </c>
      <c r="I61" s="1" t="s">
        <v>726</v>
      </c>
    </row>
    <row r="62" spans="1:9" ht="105" hidden="1" x14ac:dyDescent="0.25">
      <c r="A62">
        <v>42</v>
      </c>
      <c r="B62" t="s">
        <v>472</v>
      </c>
      <c r="C62" s="141" t="s">
        <v>411</v>
      </c>
      <c r="D62" t="s">
        <v>551</v>
      </c>
      <c r="E62" t="s">
        <v>552</v>
      </c>
      <c r="F62" s="1" t="str">
        <f t="shared" si="0"/>
        <v>PURPOSE: Defines the Material Flow Amount for calculations
ACTION: Enter numerical value in specified unit
NOTE: Required for system calculations. Must be positive value. Used in MFA calculations.</v>
      </c>
      <c r="G62" s="1" t="s">
        <v>759</v>
      </c>
      <c r="H62" s="1" t="s">
        <v>760</v>
      </c>
      <c r="I62" s="1" t="s">
        <v>761</v>
      </c>
    </row>
    <row r="63" spans="1:9" ht="105" x14ac:dyDescent="0.25">
      <c r="A63">
        <v>14</v>
      </c>
      <c r="B63" t="s">
        <v>464</v>
      </c>
      <c r="C63" s="141" t="s">
        <v>31</v>
      </c>
      <c r="D63" t="s">
        <v>31</v>
      </c>
      <c r="E63" t="s">
        <v>893</v>
      </c>
      <c r="F63" s="1" t="str">
        <f t="shared" si="0"/>
        <v>PURPOSE: Data field for Flow_DM_ID in 1_1_Definition_Flows
ACTION: Enter appropriate value for Flow_DM_ID
NOTE: Please refer to BioDYM documentation for specific requirements.</v>
      </c>
      <c r="G63" s="1" t="s">
        <v>729</v>
      </c>
      <c r="H63" s="1" t="s">
        <v>510</v>
      </c>
      <c r="I63" s="1" t="s">
        <v>726</v>
      </c>
    </row>
    <row r="64" spans="1:9" ht="90" hidden="1" x14ac:dyDescent="0.25">
      <c r="A64">
        <v>25</v>
      </c>
      <c r="B64" t="s">
        <v>472</v>
      </c>
      <c r="C64" s="141" t="s">
        <v>419</v>
      </c>
      <c r="D64" t="s">
        <v>497</v>
      </c>
      <c r="E64" t="s">
        <v>498</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716</v>
      </c>
      <c r="H64" s="1" t="s">
        <v>717</v>
      </c>
      <c r="I64" s="1" t="s">
        <v>718</v>
      </c>
    </row>
    <row r="65" spans="1:9" ht="90" x14ac:dyDescent="0.25">
      <c r="A65">
        <v>15</v>
      </c>
      <c r="B65" t="s">
        <v>464</v>
      </c>
      <c r="C65" s="141" t="s">
        <v>416</v>
      </c>
      <c r="D65" t="s">
        <v>509</v>
      </c>
      <c r="E65" t="s">
        <v>510</v>
      </c>
      <c r="F65" s="1" t="str">
        <f t="shared" si="0"/>
        <v>PURPOSE: Data field for Flow_DM in 1_1_Definition_Flows
ACTION: Enter appropriate value for Flow_DM
NOTE: Please refer to BioDYM documentation for specific requirements.</v>
      </c>
      <c r="G65" s="1" t="s">
        <v>730</v>
      </c>
      <c r="H65" s="1" t="s">
        <v>512</v>
      </c>
      <c r="I65" s="1" t="s">
        <v>726</v>
      </c>
    </row>
    <row r="66" spans="1:9" ht="105" x14ac:dyDescent="0.25">
      <c r="A66">
        <v>16</v>
      </c>
      <c r="B66" t="s">
        <v>464</v>
      </c>
      <c r="C66" s="141" t="s">
        <v>421</v>
      </c>
      <c r="D66" t="s">
        <v>511</v>
      </c>
      <c r="E66" t="s">
        <v>512</v>
      </c>
      <c r="F66" s="1" t="str">
        <f t="shared" si="0"/>
        <v>PURPOSE: Data field for DM_source in 1_1_Definition_Flows
ACTION: Enter appropriate value for DM_source
NOTE: Please refer to BioDYM documentation for specific requirements.</v>
      </c>
      <c r="G66" s="1" t="s">
        <v>731</v>
      </c>
      <c r="H66" s="1" t="s">
        <v>514</v>
      </c>
      <c r="I66" s="1" t="s">
        <v>726</v>
      </c>
    </row>
    <row r="67" spans="1:9" ht="75" x14ac:dyDescent="0.25">
      <c r="A67">
        <v>17</v>
      </c>
      <c r="B67" t="s">
        <v>464</v>
      </c>
      <c r="C67" s="141" t="s">
        <v>33</v>
      </c>
      <c r="D67" t="s">
        <v>513</v>
      </c>
      <c r="E67" t="s">
        <v>514</v>
      </c>
      <c r="F67" s="1" t="str">
        <f t="shared" si="0"/>
        <v>PURPOSE: Data field for Flow_CC_ID in 1_1_Definition_Flows
ACTION: Enter appropriate value for Flow_CC_ID
NOTE: Please refer to BioDYM documentation for specific requirements.</v>
      </c>
      <c r="G67" s="1" t="s">
        <v>732</v>
      </c>
      <c r="H67" s="1" t="s">
        <v>516</v>
      </c>
      <c r="I67" s="1" t="s">
        <v>726</v>
      </c>
    </row>
    <row r="68" spans="1:9" ht="75.75" thickBot="1" x14ac:dyDescent="0.3">
      <c r="A68">
        <v>18</v>
      </c>
      <c r="B68" t="s">
        <v>464</v>
      </c>
      <c r="C68" s="141" t="s">
        <v>417</v>
      </c>
      <c r="D68" t="s">
        <v>515</v>
      </c>
      <c r="E68" t="s">
        <v>516</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733</v>
      </c>
      <c r="H68" s="1" t="s">
        <v>734</v>
      </c>
      <c r="I68" s="1" t="s">
        <v>735</v>
      </c>
    </row>
    <row r="69" spans="1:9" ht="75.75" hidden="1" thickBot="1" x14ac:dyDescent="0.3">
      <c r="A69">
        <v>46</v>
      </c>
      <c r="B69" t="s">
        <v>472</v>
      </c>
      <c r="C69" s="160" t="s">
        <v>412</v>
      </c>
      <c r="D69" t="s">
        <v>559</v>
      </c>
      <c r="E69" t="s">
        <v>560</v>
      </c>
      <c r="F69" s="1" t="str">
        <f t="shared" si="1"/>
        <v>PURPOSE: Data field for WC_Flow_Py in 1_2_Data_Flows
ACTION: Enter appropriate value for WC_Flow_Py
NOTE: Please refer to BioDYM documentation for specific requirements.</v>
      </c>
      <c r="G69" s="1" t="s">
        <v>766</v>
      </c>
      <c r="H69" s="1" t="s">
        <v>562</v>
      </c>
      <c r="I69" s="1" t="s">
        <v>726</v>
      </c>
    </row>
    <row r="70" spans="1:9" ht="90" x14ac:dyDescent="0.25">
      <c r="A70">
        <v>19</v>
      </c>
      <c r="B70" t="s">
        <v>464</v>
      </c>
      <c r="C70" s="161" t="s">
        <v>422</v>
      </c>
      <c r="D70" t="s">
        <v>517</v>
      </c>
      <c r="E70" t="s">
        <v>518</v>
      </c>
      <c r="F70" s="1" t="str">
        <f t="shared" si="1"/>
        <v>PURPOSE: Data field for CC_DM_source in 1_1_Definition_Flows
ACTION: Enter appropriate value for CC_DM_source
NOTE: Please refer to BioDYM documentation for specific requirements.</v>
      </c>
      <c r="G70" s="1" t="s">
        <v>736</v>
      </c>
      <c r="H70" s="1" t="s">
        <v>520</v>
      </c>
      <c r="I70" s="1" t="s">
        <v>726</v>
      </c>
    </row>
    <row r="71" spans="1:9" ht="90" hidden="1" x14ac:dyDescent="0.25">
      <c r="A71">
        <v>23</v>
      </c>
      <c r="B71" t="s">
        <v>472</v>
      </c>
      <c r="C71" s="161" t="s">
        <v>7</v>
      </c>
      <c r="D71" t="s">
        <v>494</v>
      </c>
      <c r="E71" t="s">
        <v>495</v>
      </c>
      <c r="F71" s="1" t="str">
        <f t="shared" si="1"/>
        <v>PURPOSE: Unique identifier for material flow
ACTION: Automatically assigned
NOTE: This field is generated automatically. No manual input required. Used for system identification and linking.</v>
      </c>
      <c r="G71" s="1" t="s">
        <v>706</v>
      </c>
      <c r="H71" s="1" t="s">
        <v>704</v>
      </c>
      <c r="I71" s="1" t="s">
        <v>705</v>
      </c>
    </row>
    <row r="72" spans="1:9" ht="90" hidden="1" x14ac:dyDescent="0.25">
      <c r="A72">
        <v>58</v>
      </c>
      <c r="B72" t="s">
        <v>473</v>
      </c>
      <c r="C72" s="161" t="s">
        <v>7</v>
      </c>
      <c r="D72" t="s">
        <v>494</v>
      </c>
      <c r="E72" t="s">
        <v>495</v>
      </c>
      <c r="F72" s="1" t="str">
        <f t="shared" si="1"/>
        <v>PURPOSE: Unique identifier for process
ACTION: Automatically assigned
NOTE: This field is generated automatically. No manual input required. Used for system identification and linking.</v>
      </c>
      <c r="G72" s="1" t="s">
        <v>780</v>
      </c>
      <c r="H72" s="1" t="s">
        <v>704</v>
      </c>
      <c r="I72" s="1" t="s">
        <v>705</v>
      </c>
    </row>
    <row r="73" spans="1:9" ht="90" hidden="1" x14ac:dyDescent="0.25">
      <c r="A73">
        <v>67</v>
      </c>
      <c r="B73" t="s">
        <v>861</v>
      </c>
      <c r="C73" s="141" t="s">
        <v>7</v>
      </c>
      <c r="D73" t="s">
        <v>494</v>
      </c>
      <c r="E73" t="s">
        <v>495</v>
      </c>
      <c r="F73" s="1" t="str">
        <f t="shared" si="1"/>
        <v>PURPOSE: Unique identifier for process
ACTION: Automatically assigned
NOTE: This field is generated automatically. No manual input required. Used for system identification and linking.</v>
      </c>
      <c r="G73" s="1" t="s">
        <v>780</v>
      </c>
      <c r="H73" s="1" t="s">
        <v>704</v>
      </c>
      <c r="I73" s="1" t="s">
        <v>705</v>
      </c>
    </row>
    <row r="74" spans="1:9" ht="90" hidden="1" x14ac:dyDescent="0.25">
      <c r="A74">
        <v>90</v>
      </c>
      <c r="B74" s="162" t="s">
        <v>862</v>
      </c>
      <c r="C74" s="141" t="s">
        <v>7</v>
      </c>
      <c r="D74" t="s">
        <v>494</v>
      </c>
      <c r="E74" t="s">
        <v>495</v>
      </c>
      <c r="F74" s="1" t="str">
        <f t="shared" si="1"/>
        <v>PURPOSE: Unique identifier for process
ACTION: Automatically assigned
NOTE: This field is generated automatically. No manual input required. Used for system identification and linking.</v>
      </c>
      <c r="G74" s="1" t="s">
        <v>780</v>
      </c>
      <c r="H74" s="1" t="s">
        <v>704</v>
      </c>
      <c r="I74" s="1" t="s">
        <v>705</v>
      </c>
    </row>
    <row r="75" spans="1:9" ht="90" hidden="1" x14ac:dyDescent="0.25">
      <c r="A75">
        <v>107</v>
      </c>
      <c r="B75" s="162" t="s">
        <v>863</v>
      </c>
      <c r="C75" s="141" t="s">
        <v>7</v>
      </c>
      <c r="D75" t="s">
        <v>494</v>
      </c>
      <c r="E75" t="s">
        <v>495</v>
      </c>
      <c r="F75" s="1" t="str">
        <f t="shared" si="1"/>
        <v>PURPOSE: Unique identifier for {context}
ACTION: Automatically assigned
NOTE: This field is generated automatically. No manual input required. Used for system identification and linking.</v>
      </c>
      <c r="G75" s="1" t="s">
        <v>798</v>
      </c>
      <c r="H75" s="1" t="s">
        <v>704</v>
      </c>
      <c r="I75" s="1" t="s">
        <v>705</v>
      </c>
    </row>
    <row r="76" spans="1:9" ht="90" hidden="1" x14ac:dyDescent="0.25">
      <c r="A76">
        <v>137</v>
      </c>
      <c r="B76" t="s">
        <v>475</v>
      </c>
      <c r="C76" s="141" t="s">
        <v>7</v>
      </c>
      <c r="D76" t="s">
        <v>494</v>
      </c>
      <c r="E76" t="s">
        <v>495</v>
      </c>
      <c r="F76" s="1" t="str">
        <f t="shared" si="1"/>
        <v>PURPOSE: Unique identifier for process
ACTION: Automatically assigned
NOTE: This field is generated automatically. No manual input required. Used for system identification and linking.</v>
      </c>
      <c r="G76" s="1" t="s">
        <v>780</v>
      </c>
      <c r="H76" s="1" t="s">
        <v>704</v>
      </c>
      <c r="I76" s="1" t="s">
        <v>705</v>
      </c>
    </row>
    <row r="77" spans="1:9" ht="75" hidden="1" x14ac:dyDescent="0.25">
      <c r="A77">
        <v>149</v>
      </c>
      <c r="B77" t="s">
        <v>477</v>
      </c>
      <c r="C77" s="141" t="s">
        <v>7</v>
      </c>
      <c r="D77" t="s">
        <v>494</v>
      </c>
      <c r="E77" t="s">
        <v>495</v>
      </c>
      <c r="F77" s="1" t="str">
        <f t="shared" si="1"/>
        <v>PURPOSE: Data field for Parameter in 4_1_Uncertainty_Parameters
ACTION: Enter appropriate value for Parameter
NOTE: Please refer to BioDYM documentation for specific requirements.</v>
      </c>
      <c r="G77" s="1" t="s">
        <v>828</v>
      </c>
      <c r="H77" s="1" t="s">
        <v>648</v>
      </c>
      <c r="I77" s="1" t="s">
        <v>726</v>
      </c>
    </row>
    <row r="78" spans="1:9" ht="75" hidden="1" x14ac:dyDescent="0.25">
      <c r="A78">
        <v>159</v>
      </c>
      <c r="B78" s="2" t="s">
        <v>476</v>
      </c>
      <c r="C78" s="141" t="s">
        <v>7</v>
      </c>
      <c r="D78" t="s">
        <v>494</v>
      </c>
      <c r="E78" t="s">
        <v>495</v>
      </c>
      <c r="F78" s="1" t="str">
        <f t="shared" si="1"/>
        <v>PURPOSE: Data field for Scenario_Name in 5_1_Scenario_Manager
ACTION: Enter appropriate value for Scenario_Name
NOTE: Please refer to BioDYM documentation for specific requirements.</v>
      </c>
      <c r="G78" s="1" t="s">
        <v>837</v>
      </c>
      <c r="H78" s="1" t="s">
        <v>664</v>
      </c>
      <c r="I78" s="1" t="s">
        <v>726</v>
      </c>
    </row>
    <row r="79" spans="1:9" ht="90" hidden="1" x14ac:dyDescent="0.25">
      <c r="A79">
        <v>170</v>
      </c>
      <c r="B79" t="s">
        <v>483</v>
      </c>
      <c r="C79" s="141" t="s">
        <v>7</v>
      </c>
      <c r="D79" t="s">
        <v>494</v>
      </c>
      <c r="E79" t="s">
        <v>495</v>
      </c>
      <c r="F79" s="1" t="str">
        <f t="shared" si="1"/>
        <v>PURPOSE: Unique identifier for process
ACTION: Automatically assigned
NOTE: This field is generated automatically. No manual input required. Used for system identification and linking.</v>
      </c>
      <c r="G79" s="1" t="s">
        <v>780</v>
      </c>
      <c r="H79" s="1" t="s">
        <v>704</v>
      </c>
      <c r="I79" s="1" t="s">
        <v>705</v>
      </c>
    </row>
    <row r="80" spans="1:9" ht="105" hidden="1" x14ac:dyDescent="0.25">
      <c r="A80">
        <v>178</v>
      </c>
      <c r="B80" t="s">
        <v>484</v>
      </c>
      <c r="C80" s="141" t="s">
        <v>7</v>
      </c>
      <c r="D80" t="s">
        <v>697</v>
      </c>
      <c r="E80" t="s">
        <v>698</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783</v>
      </c>
      <c r="H80" s="1" t="s">
        <v>784</v>
      </c>
      <c r="I80" s="1" t="s">
        <v>709</v>
      </c>
    </row>
    <row r="81" spans="1:9" ht="90" hidden="1" x14ac:dyDescent="0.25">
      <c r="A81">
        <v>118</v>
      </c>
      <c r="B81" s="162" t="s">
        <v>863</v>
      </c>
      <c r="C81" s="141" t="s">
        <v>170</v>
      </c>
      <c r="D81" t="s">
        <v>621</v>
      </c>
      <c r="E81" t="s">
        <v>518</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814</v>
      </c>
      <c r="H81" s="1" t="s">
        <v>815</v>
      </c>
      <c r="I81" s="1" t="s">
        <v>709</v>
      </c>
    </row>
    <row r="82" spans="1:9" ht="90" hidden="1" x14ac:dyDescent="0.25">
      <c r="A82">
        <v>117</v>
      </c>
      <c r="B82" s="162" t="s">
        <v>863</v>
      </c>
      <c r="C82" s="141" t="s">
        <v>169</v>
      </c>
      <c r="D82" t="s">
        <v>620</v>
      </c>
      <c r="E82" t="s">
        <v>566</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733</v>
      </c>
      <c r="H82" s="1" t="s">
        <v>734</v>
      </c>
      <c r="I82" s="1" t="s">
        <v>813</v>
      </c>
    </row>
    <row r="83" spans="1:9" ht="75" hidden="1" x14ac:dyDescent="0.25">
      <c r="A83">
        <v>114</v>
      </c>
      <c r="B83" s="162" t="s">
        <v>863</v>
      </c>
      <c r="C83" s="141" t="s">
        <v>167</v>
      </c>
      <c r="D83" t="s">
        <v>615</v>
      </c>
      <c r="E83" t="s">
        <v>616</v>
      </c>
      <c r="F83" s="1" t="str">
        <f t="shared" si="1"/>
        <v>PURPOSE: Data field for UoM in 2_5_Initial_Stock
ACTION: Enter appropriate value for UoM
NOTE: Please refer to BioDYM documentation for specific requirements.</v>
      </c>
      <c r="G83" s="1" t="s">
        <v>810</v>
      </c>
      <c r="H83" s="1" t="s">
        <v>618</v>
      </c>
      <c r="I83" s="1" t="s">
        <v>726</v>
      </c>
    </row>
    <row r="84" spans="1:9" ht="90" hidden="1" x14ac:dyDescent="0.25">
      <c r="A84">
        <v>116</v>
      </c>
      <c r="B84" s="162" t="s">
        <v>863</v>
      </c>
      <c r="C84" s="141" t="s">
        <v>168</v>
      </c>
      <c r="D84" t="s">
        <v>619</v>
      </c>
      <c r="E84" t="s">
        <v>558</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768</v>
      </c>
      <c r="H84" s="1" t="s">
        <v>734</v>
      </c>
      <c r="I84" s="1" t="s">
        <v>812</v>
      </c>
    </row>
    <row r="85" spans="1:9" ht="75" x14ac:dyDescent="0.25">
      <c r="A85">
        <v>20</v>
      </c>
      <c r="B85" t="s">
        <v>464</v>
      </c>
      <c r="C85" s="141" t="s">
        <v>50</v>
      </c>
      <c r="D85" t="s">
        <v>519</v>
      </c>
      <c r="E85" t="s">
        <v>520</v>
      </c>
      <c r="F85" s="1" t="str">
        <f t="shared" si="1"/>
        <v>PURPOSE: Data field for CC in 1_1_Definition_Flows
ACTION: Enter appropriate value for CC
NOTE: Please refer to BioDYM documentation for specific requirements.</v>
      </c>
      <c r="G85" s="1" t="s">
        <v>737</v>
      </c>
      <c r="H85" s="1" t="s">
        <v>522</v>
      </c>
      <c r="I85" s="1" t="s">
        <v>726</v>
      </c>
    </row>
    <row r="86" spans="1:9" ht="75" hidden="1" x14ac:dyDescent="0.25">
      <c r="A86">
        <v>157</v>
      </c>
      <c r="B86" t="s">
        <v>477</v>
      </c>
      <c r="C86" s="141" t="s">
        <v>178</v>
      </c>
      <c r="D86" t="s">
        <v>659</v>
      </c>
      <c r="E86" t="s">
        <v>660</v>
      </c>
      <c r="F86" s="1" t="str">
        <f t="shared" si="1"/>
        <v>PURPOSE: Data field for Mode in 4_1_Uncertainty_Parameters
ACTION: Enter appropriate value for Mode
NOTE: Please refer to BioDYM documentation for specific requirements.</v>
      </c>
      <c r="G86" s="1" t="s">
        <v>836</v>
      </c>
      <c r="H86" s="1" t="s">
        <v>662</v>
      </c>
      <c r="I86" s="1" t="s">
        <v>726</v>
      </c>
    </row>
    <row r="87" spans="1:9" ht="75" hidden="1" x14ac:dyDescent="0.25">
      <c r="A87">
        <v>154</v>
      </c>
      <c r="B87" t="s">
        <v>477</v>
      </c>
      <c r="C87" s="141" t="s">
        <v>175</v>
      </c>
      <c r="D87" t="s">
        <v>653</v>
      </c>
      <c r="E87" t="s">
        <v>654</v>
      </c>
      <c r="F87" s="1" t="str">
        <f t="shared" si="1"/>
        <v>PURPOSE: Data field for StdDev in 4_1_Uncertainty_Parameters
ACTION: Enter appropriate value for StdDev
NOTE: Please refer to BioDYM documentation for specific requirements.</v>
      </c>
      <c r="G87" s="1" t="s">
        <v>833</v>
      </c>
      <c r="H87" s="1" t="s">
        <v>656</v>
      </c>
      <c r="I87" s="1" t="s">
        <v>726</v>
      </c>
    </row>
    <row r="88" spans="1:9" ht="75" hidden="1" x14ac:dyDescent="0.25">
      <c r="A88">
        <v>156</v>
      </c>
      <c r="B88" t="s">
        <v>477</v>
      </c>
      <c r="C88" s="141" t="s">
        <v>177</v>
      </c>
      <c r="D88" t="s">
        <v>657</v>
      </c>
      <c r="E88" t="s">
        <v>658</v>
      </c>
      <c r="F88" s="1" t="str">
        <f t="shared" si="1"/>
        <v>PURPOSE: Data field for Max in 4_1_Uncertainty_Parameters
ACTION: Enter appropriate value for Max
NOTE: Please refer to BioDYM documentation for specific requirements.</v>
      </c>
      <c r="G88" s="1" t="s">
        <v>835</v>
      </c>
      <c r="H88" s="1" t="s">
        <v>660</v>
      </c>
      <c r="I88" s="1" t="s">
        <v>726</v>
      </c>
    </row>
    <row r="89" spans="1:9" ht="90" hidden="1" x14ac:dyDescent="0.25">
      <c r="A89">
        <v>158</v>
      </c>
      <c r="B89" t="s">
        <v>477</v>
      </c>
      <c r="C89" s="141" t="s">
        <v>179</v>
      </c>
      <c r="D89" t="s">
        <v>661</v>
      </c>
      <c r="E89" t="s">
        <v>662</v>
      </c>
      <c r="F89" s="1" t="str">
        <f t="shared" si="1"/>
        <v>PURPOSE: Unique identifier for data row
ACTION: Automatically assigned
NOTE: This field is generated automatically. No manual input required. Used for system identification and linking.</v>
      </c>
      <c r="G89" s="1" t="s">
        <v>703</v>
      </c>
      <c r="H89" s="1" t="s">
        <v>704</v>
      </c>
      <c r="I89" s="1" t="s">
        <v>705</v>
      </c>
    </row>
    <row r="90" spans="1:9" ht="75" hidden="1" x14ac:dyDescent="0.25">
      <c r="A90">
        <v>172</v>
      </c>
      <c r="B90" t="s">
        <v>483</v>
      </c>
      <c r="C90" s="141" t="s">
        <v>26</v>
      </c>
      <c r="D90" t="s">
        <v>675</v>
      </c>
      <c r="E90" t="s">
        <v>676</v>
      </c>
      <c r="F90" s="1" t="str">
        <f t="shared" si="1"/>
        <v>PURPOSE: Data field for Color_Category in 6_1_Visualization_Processes
ACTION: Enter appropriate value for Color_Category
NOTE: Please refer to BioDYM documentation for specific requirements.</v>
      </c>
      <c r="G90" s="1" t="s">
        <v>847</v>
      </c>
      <c r="H90" s="1" t="s">
        <v>678</v>
      </c>
      <c r="I90" s="1" t="s">
        <v>726</v>
      </c>
    </row>
    <row r="91" spans="1:9" ht="90" hidden="1" x14ac:dyDescent="0.25">
      <c r="A91">
        <v>178</v>
      </c>
      <c r="B91" t="s">
        <v>484</v>
      </c>
      <c r="C91" s="141" t="s">
        <v>26</v>
      </c>
      <c r="D91" t="s">
        <v>585</v>
      </c>
      <c r="E91" t="s">
        <v>586</v>
      </c>
      <c r="F91" s="1" t="str">
        <f t="shared" si="1"/>
        <v>PURPOSE: Unique identifier for data row
ACTION: Automatically assigned
NOTE: This field is generated automatically. No manual input required. Used for system identification and linking.</v>
      </c>
      <c r="G91" s="1" t="s">
        <v>703</v>
      </c>
      <c r="H91" s="1" t="s">
        <v>704</v>
      </c>
      <c r="I91" s="1" t="s">
        <v>705</v>
      </c>
    </row>
    <row r="92" spans="1:9" ht="75" hidden="1" x14ac:dyDescent="0.25">
      <c r="A92">
        <v>41</v>
      </c>
      <c r="B92" t="s">
        <v>472</v>
      </c>
      <c r="C92" s="160" t="s">
        <v>20</v>
      </c>
      <c r="D92" t="s">
        <v>549</v>
      </c>
      <c r="E92" t="s">
        <v>550</v>
      </c>
      <c r="F92" s="1" t="str">
        <f t="shared" si="1"/>
        <v>PURPOSE: Data field for Flow_material_year_ID in 1_2_Data_Flows
ACTION: Enter appropriate value for Flow_material_year_ID
NOTE: Please refer to BioDYM documentation for specific requirements.</v>
      </c>
      <c r="G92" s="1" t="s">
        <v>758</v>
      </c>
      <c r="H92" s="1" t="s">
        <v>552</v>
      </c>
      <c r="I92" s="1" t="s">
        <v>726</v>
      </c>
    </row>
    <row r="93" spans="1:9" ht="75" hidden="1" x14ac:dyDescent="0.25">
      <c r="A93">
        <v>32</v>
      </c>
      <c r="B93" t="s">
        <v>472</v>
      </c>
      <c r="C93" s="161" t="s">
        <v>13</v>
      </c>
      <c r="D93" t="s">
        <v>531</v>
      </c>
      <c r="E93" t="s">
        <v>532</v>
      </c>
      <c r="F93" s="1" t="str">
        <f t="shared" si="1"/>
        <v>PURPOSE: Data field for AVV in 1_2_Data_Flows
ACTION: Enter appropriate value for AVV
NOTE: Please refer to BioDYM documentation for specific requirements.</v>
      </c>
      <c r="G93" s="1" t="s">
        <v>745</v>
      </c>
      <c r="H93" s="1" t="s">
        <v>534</v>
      </c>
      <c r="I93" s="1" t="s">
        <v>726</v>
      </c>
    </row>
    <row r="94" spans="1:9" ht="75" hidden="1" x14ac:dyDescent="0.25">
      <c r="A94">
        <v>165</v>
      </c>
      <c r="B94" s="2" t="s">
        <v>476</v>
      </c>
      <c r="C94" s="161" t="s">
        <v>189</v>
      </c>
      <c r="D94" t="s">
        <v>667</v>
      </c>
      <c r="E94" t="s">
        <v>668</v>
      </c>
      <c r="F94" s="1" t="str">
        <f t="shared" si="1"/>
        <v>PURPOSE: Data field for start_year in 5_1_Scenario_Manager
ACTION: Enter appropriate value for start_year
NOTE: Please refer to BioDYM documentation for specific requirements.</v>
      </c>
      <c r="G94" s="1" t="s">
        <v>843</v>
      </c>
      <c r="H94" s="1" t="s">
        <v>670</v>
      </c>
      <c r="I94" s="1" t="s">
        <v>726</v>
      </c>
    </row>
    <row r="95" spans="1:9" ht="75" hidden="1" x14ac:dyDescent="0.25">
      <c r="A95">
        <v>174</v>
      </c>
      <c r="B95" t="s">
        <v>483</v>
      </c>
      <c r="C95" s="161" t="s">
        <v>247</v>
      </c>
      <c r="D95" t="s">
        <v>679</v>
      </c>
      <c r="E95" t="s">
        <v>680</v>
      </c>
      <c r="F95" s="1" t="str">
        <f t="shared" si="1"/>
        <v>PURPOSE: Data field for Node_Color_# in 6_1_Visualization_Processes
ACTION: Enter appropriate value for Node_Color_#
NOTE: Please refer to BioDYM documentation for specific requirements.</v>
      </c>
      <c r="G95" s="1" t="s">
        <v>849</v>
      </c>
      <c r="H95" s="1" t="s">
        <v>682</v>
      </c>
      <c r="I95" s="1" t="s">
        <v>726</v>
      </c>
    </row>
    <row r="96" spans="1:9" ht="75" hidden="1" x14ac:dyDescent="0.25">
      <c r="A96">
        <v>175</v>
      </c>
      <c r="B96" t="s">
        <v>483</v>
      </c>
      <c r="C96" s="161" t="s">
        <v>248</v>
      </c>
      <c r="D96" t="s">
        <v>681</v>
      </c>
      <c r="E96" t="s">
        <v>682</v>
      </c>
      <c r="F96" s="1" t="str">
        <f t="shared" si="1"/>
        <v>PURPOSE: Data field for X_Position_Material in 6_1_Visualization_Processes
ACTION: Enter appropriate value for X_Position_Material
NOTE: Please refer to BioDYM documentation for specific requirements.</v>
      </c>
      <c r="G96" s="1" t="s">
        <v>850</v>
      </c>
      <c r="H96" s="1" t="s">
        <v>684</v>
      </c>
      <c r="I96" s="1" t="s">
        <v>726</v>
      </c>
    </row>
    <row r="97" spans="1:9" ht="75" hidden="1" x14ac:dyDescent="0.25">
      <c r="A97">
        <v>65</v>
      </c>
      <c r="B97" t="s">
        <v>473</v>
      </c>
      <c r="C97" s="141" t="s">
        <v>180</v>
      </c>
      <c r="D97" t="s">
        <v>537</v>
      </c>
      <c r="E97" t="s">
        <v>593</v>
      </c>
      <c r="F97" s="1" t="str">
        <f t="shared" si="1"/>
        <v>PURPOSE: Flag this row as 100% complete for reporting and filtering purposes
ACTION: Click to select
NOTE: This input is optional. Leave blank if the process is ongoing. Used for progress tracking.</v>
      </c>
      <c r="G97" s="1" t="s">
        <v>777</v>
      </c>
      <c r="H97" s="1" t="s">
        <v>778</v>
      </c>
      <c r="I97" s="1" t="s">
        <v>779</v>
      </c>
    </row>
    <row r="98" spans="1:9" ht="75" hidden="1" x14ac:dyDescent="0.25">
      <c r="A98">
        <v>130</v>
      </c>
      <c r="B98" t="s">
        <v>474</v>
      </c>
      <c r="C98" s="141" t="s">
        <v>180</v>
      </c>
      <c r="D98" t="s">
        <v>537</v>
      </c>
      <c r="E98" t="s">
        <v>593</v>
      </c>
      <c r="F98" s="1" t="str">
        <f t="shared" si="1"/>
        <v>PURPOSE: Data field for DSM_Category_Nr. in 3_1_Definition_DSM
ACTION: Enter appropriate value for DSM_Category_Nr.
NOTE: Please refer to BioDYM documentation for specific requirements.</v>
      </c>
      <c r="G98" s="1" t="s">
        <v>819</v>
      </c>
      <c r="H98" s="1" t="s">
        <v>630</v>
      </c>
      <c r="I98" s="1" t="s">
        <v>726</v>
      </c>
    </row>
    <row r="99" spans="1:9" ht="75" hidden="1" x14ac:dyDescent="0.25">
      <c r="A99">
        <v>143</v>
      </c>
      <c r="B99" t="s">
        <v>475</v>
      </c>
      <c r="C99" s="141" t="s">
        <v>180</v>
      </c>
      <c r="D99" t="s">
        <v>537</v>
      </c>
      <c r="E99" t="s">
        <v>593</v>
      </c>
      <c r="F99" s="1" t="str">
        <f t="shared" si="1"/>
        <v>PURPOSE: Data field for Nr._Decay_Pools in 3_2_Definition_FOMP
ACTION: Enter appropriate value for Nr._Decay_Pools
NOTE: Please refer to BioDYM documentation for specific requirements.</v>
      </c>
      <c r="G99" s="1" t="s">
        <v>824</v>
      </c>
      <c r="H99" s="1" t="s">
        <v>640</v>
      </c>
      <c r="I99" s="1" t="s">
        <v>726</v>
      </c>
    </row>
    <row r="100" spans="1:9" ht="75" hidden="1" x14ac:dyDescent="0.25">
      <c r="A100">
        <v>73</v>
      </c>
      <c r="B100" t="s">
        <v>861</v>
      </c>
      <c r="C100" s="141" t="s">
        <v>181</v>
      </c>
      <c r="D100" t="s">
        <v>537</v>
      </c>
      <c r="E100" t="s">
        <v>593</v>
      </c>
      <c r="F100" s="1" t="str">
        <f t="shared" si="1"/>
        <v>PURPOSE: Data field for Output_Flow in 2_3_static_TCs
ACTION: Enter appropriate value for Output_Flow
NOTE: Please refer to BioDYM documentation for specific requirements.</v>
      </c>
      <c r="G100" s="1" t="s">
        <v>795</v>
      </c>
      <c r="H100" s="1" t="s">
        <v>595</v>
      </c>
      <c r="I100" s="1" t="s">
        <v>726</v>
      </c>
    </row>
    <row r="101" spans="1:9" ht="75" hidden="1" x14ac:dyDescent="0.25">
      <c r="A101">
        <v>144</v>
      </c>
      <c r="B101" t="s">
        <v>475</v>
      </c>
      <c r="C101" s="141" t="s">
        <v>196</v>
      </c>
      <c r="D101" t="s">
        <v>639</v>
      </c>
      <c r="E101" t="s">
        <v>640</v>
      </c>
      <c r="F101" s="1" t="str">
        <f t="shared" si="1"/>
        <v>PURPOSE: Data field for Pool in 3_2_Definition_FOMP
ACTION: Enter appropriate value for Pool
NOTE: Please refer to BioDYM documentation for specific requirements.</v>
      </c>
      <c r="G101" s="1" t="s">
        <v>825</v>
      </c>
      <c r="H101" s="1" t="s">
        <v>642</v>
      </c>
      <c r="I101" s="1" t="s">
        <v>726</v>
      </c>
    </row>
    <row r="102" spans="1:9" ht="75" hidden="1" x14ac:dyDescent="0.25">
      <c r="A102">
        <v>164</v>
      </c>
      <c r="B102" t="s">
        <v>476</v>
      </c>
      <c r="C102" s="141" t="s">
        <v>210</v>
      </c>
      <c r="D102" t="s">
        <v>665</v>
      </c>
      <c r="E102" t="s">
        <v>666</v>
      </c>
      <c r="F102" s="1" t="str">
        <f t="shared" si="1"/>
        <v>PURPOSE: Data field for New_Value in 5_1_Scenario_Manager
ACTION: Enter appropriate value for New_Value
NOTE: Please refer to BioDYM documentation for specific requirements.</v>
      </c>
      <c r="G102" s="1" t="s">
        <v>842</v>
      </c>
      <c r="H102" s="1" t="s">
        <v>668</v>
      </c>
      <c r="I102" s="1" t="s">
        <v>726</v>
      </c>
    </row>
    <row r="103" spans="1:9" ht="90" hidden="1" x14ac:dyDescent="0.25">
      <c r="A103">
        <v>74</v>
      </c>
      <c r="B103" t="s">
        <v>861</v>
      </c>
      <c r="C103" s="141" t="s">
        <v>165</v>
      </c>
      <c r="D103" t="s">
        <v>594</v>
      </c>
      <c r="E103" t="s">
        <v>595</v>
      </c>
      <c r="F103" s="1" t="str">
        <f t="shared" si="1"/>
        <v>PURPOSE: Unique identifier for material flow
ACTION: Automatically assigned
NOTE: This field is generated automatically. No manual input required. Used for system identification and linking.</v>
      </c>
      <c r="G103" s="1" t="s">
        <v>706</v>
      </c>
      <c r="H103" s="1" t="s">
        <v>704</v>
      </c>
      <c r="I103" s="1" t="s">
        <v>705</v>
      </c>
    </row>
    <row r="104" spans="1:9" ht="90" hidden="1" x14ac:dyDescent="0.25">
      <c r="A104">
        <v>93</v>
      </c>
      <c r="B104" s="162" t="s">
        <v>862</v>
      </c>
      <c r="C104" s="141" t="s">
        <v>165</v>
      </c>
      <c r="D104" t="s">
        <v>594</v>
      </c>
      <c r="E104" t="s">
        <v>595</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788</v>
      </c>
      <c r="H104" s="1" t="s">
        <v>789</v>
      </c>
      <c r="I104" s="1" t="s">
        <v>790</v>
      </c>
    </row>
    <row r="105" spans="1:9" ht="75" hidden="1" x14ac:dyDescent="0.25">
      <c r="A105">
        <v>150</v>
      </c>
      <c r="B105" t="s">
        <v>477</v>
      </c>
      <c r="C105" s="141" t="s">
        <v>117</v>
      </c>
      <c r="D105" t="s">
        <v>647</v>
      </c>
      <c r="E105" t="s">
        <v>648</v>
      </c>
      <c r="F105" s="1" t="str">
        <f t="shared" si="1"/>
        <v>PURPOSE: Data field for Parameter_Selection in 4_1_Uncertainty_Parameters
ACTION: Enter appropriate value for Parameter_Selection
NOTE: Please refer to BioDYM documentation for specific requirements.</v>
      </c>
      <c r="G105" s="1" t="s">
        <v>829</v>
      </c>
      <c r="H105" s="1" t="s">
        <v>650</v>
      </c>
      <c r="I105" s="1" t="s">
        <v>726</v>
      </c>
    </row>
    <row r="106" spans="1:9" ht="75" hidden="1" x14ac:dyDescent="0.25">
      <c r="A106">
        <v>161</v>
      </c>
      <c r="B106" s="2" t="s">
        <v>476</v>
      </c>
      <c r="C106" s="141" t="s">
        <v>117</v>
      </c>
      <c r="D106" t="s">
        <v>647</v>
      </c>
      <c r="E106" t="s">
        <v>648</v>
      </c>
      <c r="F106" s="1" t="str">
        <f t="shared" si="1"/>
        <v>PURPOSE: Data field for Parameter_Selection in 5_1_Scenario_Manager
ACTION: Enter appropriate value for Parameter_Selection
NOTE: Please refer to BioDYM documentation for specific requirements.</v>
      </c>
      <c r="G106" s="1" t="s">
        <v>839</v>
      </c>
      <c r="H106" s="1" t="s">
        <v>650</v>
      </c>
      <c r="I106" s="1" t="s">
        <v>726</v>
      </c>
    </row>
    <row r="107" spans="1:9" ht="75" hidden="1" x14ac:dyDescent="0.25">
      <c r="A107">
        <v>147</v>
      </c>
      <c r="B107" t="s">
        <v>475</v>
      </c>
      <c r="C107" s="141" t="s">
        <v>173</v>
      </c>
      <c r="D107" t="s">
        <v>643</v>
      </c>
      <c r="E107" t="s">
        <v>644</v>
      </c>
      <c r="F107" s="1" t="str">
        <f t="shared" si="1"/>
        <v>PURPOSE: Data field for Value in 3_2_Definition_FOMP
ACTION: Enter appropriate value for Value
NOTE: Please refer to BioDYM documentation for specific requirements.</v>
      </c>
      <c r="G107" s="1" t="s">
        <v>827</v>
      </c>
      <c r="H107" s="1" t="s">
        <v>646</v>
      </c>
      <c r="I107" s="1" t="s">
        <v>726</v>
      </c>
    </row>
    <row r="108" spans="1:9" ht="75" hidden="1" x14ac:dyDescent="0.25">
      <c r="A108">
        <v>152</v>
      </c>
      <c r="B108" t="s">
        <v>477</v>
      </c>
      <c r="C108" s="141" t="s">
        <v>173</v>
      </c>
      <c r="D108" t="s">
        <v>643</v>
      </c>
      <c r="E108" t="s">
        <v>644</v>
      </c>
      <c r="F108" s="1" t="str">
        <f t="shared" si="1"/>
        <v>PURPOSE: Data field for Distribution in 4_1_Uncertainty_Parameters
ACTION: Enter appropriate value for Distribution
NOTE: Please refer to BioDYM documentation for specific requirements.</v>
      </c>
      <c r="G108" s="1" t="s">
        <v>831</v>
      </c>
      <c r="H108" s="1" t="s">
        <v>652</v>
      </c>
      <c r="I108" s="1" t="s">
        <v>726</v>
      </c>
    </row>
    <row r="109" spans="1:9" ht="75" hidden="1" x14ac:dyDescent="0.25">
      <c r="A109">
        <v>163</v>
      </c>
      <c r="B109" s="2" t="s">
        <v>476</v>
      </c>
      <c r="C109" s="160" t="s">
        <v>173</v>
      </c>
      <c r="D109" t="s">
        <v>643</v>
      </c>
      <c r="E109" t="s">
        <v>644</v>
      </c>
      <c r="F109" s="1" t="str">
        <f t="shared" si="1"/>
        <v>PURPOSE: Data field for Operation in 5_1_Scenario_Manager
ACTION: Enter appropriate value for Operation
NOTE: Please refer to BioDYM documentation for specific requirements.</v>
      </c>
      <c r="G109" s="1" t="s">
        <v>841</v>
      </c>
      <c r="H109" s="1" t="s">
        <v>666</v>
      </c>
      <c r="I109" s="1" t="s">
        <v>726</v>
      </c>
    </row>
    <row r="110" spans="1:9" ht="75" hidden="1" x14ac:dyDescent="0.25">
      <c r="A110">
        <v>151</v>
      </c>
      <c r="B110" t="s">
        <v>477</v>
      </c>
      <c r="C110" s="161" t="s">
        <v>188</v>
      </c>
      <c r="D110" t="s">
        <v>649</v>
      </c>
      <c r="E110" t="s">
        <v>650</v>
      </c>
      <c r="F110" s="1" t="str">
        <f t="shared" si="1"/>
        <v>PURPOSE: Data field for Parameter_Name in 4_1_Uncertainty_Parameters
ACTION: Enter appropriate value for Parameter_Name
NOTE: Please refer to BioDYM documentation for specific requirements.</v>
      </c>
      <c r="G110" s="1" t="s">
        <v>830</v>
      </c>
      <c r="H110" s="1" t="s">
        <v>644</v>
      </c>
      <c r="I110" s="1" t="s">
        <v>726</v>
      </c>
    </row>
    <row r="111" spans="1:9" ht="75" hidden="1" x14ac:dyDescent="0.25">
      <c r="A111">
        <v>162</v>
      </c>
      <c r="B111" t="s">
        <v>476</v>
      </c>
      <c r="C111" s="161" t="s">
        <v>188</v>
      </c>
      <c r="D111" t="s">
        <v>649</v>
      </c>
      <c r="E111" t="s">
        <v>650</v>
      </c>
      <c r="F111" s="1" t="str">
        <f t="shared" si="1"/>
        <v>PURPOSE: Data field for Parameter_Name in 5_1_Scenario_Manager
ACTION: Enter appropriate value for Parameter_Name
NOTE: Please refer to BioDYM documentation for specific requirements.</v>
      </c>
      <c r="G111" s="1" t="s">
        <v>840</v>
      </c>
      <c r="H111" s="1" t="s">
        <v>644</v>
      </c>
      <c r="I111" s="1" t="s">
        <v>726</v>
      </c>
    </row>
    <row r="112" spans="1:9" ht="90" hidden="1" x14ac:dyDescent="0.25">
      <c r="A112">
        <v>145</v>
      </c>
      <c r="B112" t="s">
        <v>475</v>
      </c>
      <c r="C112" s="161" t="s">
        <v>202</v>
      </c>
      <c r="D112" t="s">
        <v>641</v>
      </c>
      <c r="E112" t="s">
        <v>642</v>
      </c>
      <c r="F112" s="1" t="str">
        <f t="shared" si="1"/>
        <v>PURPOSE: Unique identifier for {context}
ACTION: Automatically assigned
NOTE: This field is generated automatically. No manual input required. Used for system identification and linking.</v>
      </c>
      <c r="G112" s="1" t="s">
        <v>798</v>
      </c>
      <c r="H112" s="1" t="s">
        <v>704</v>
      </c>
      <c r="I112" s="1" t="s">
        <v>705</v>
      </c>
    </row>
    <row r="113" spans="1:9" ht="75" hidden="1" x14ac:dyDescent="0.25">
      <c r="A113">
        <v>146</v>
      </c>
      <c r="B113" t="s">
        <v>475</v>
      </c>
      <c r="C113" s="161" t="s">
        <v>199</v>
      </c>
      <c r="D113" t="s">
        <v>537</v>
      </c>
      <c r="E113" t="s">
        <v>495</v>
      </c>
      <c r="F113" s="1" t="str">
        <f t="shared" si="1"/>
        <v>PURPOSE: Data field for Parameter_Name in 3_2_Definition_FOMP
ACTION: Enter appropriate value for Parameter_Name
NOTE: Please refer to BioDYM documentation for specific requirements.</v>
      </c>
      <c r="G113" s="1" t="s">
        <v>826</v>
      </c>
      <c r="H113" s="1" t="s">
        <v>644</v>
      </c>
      <c r="I113" s="1" t="s">
        <v>726</v>
      </c>
    </row>
    <row r="114" spans="1:9" ht="105" hidden="1" x14ac:dyDescent="0.25">
      <c r="A114">
        <v>59</v>
      </c>
      <c r="B114" t="s">
        <v>473</v>
      </c>
      <c r="C114" s="161" t="s">
        <v>23</v>
      </c>
      <c r="D114" t="s">
        <v>582</v>
      </c>
      <c r="E114" t="s">
        <v>495</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781</v>
      </c>
      <c r="H114" s="1" t="s">
        <v>782</v>
      </c>
      <c r="I114" s="1" t="s">
        <v>709</v>
      </c>
    </row>
    <row r="115" spans="1:9" ht="105" hidden="1" x14ac:dyDescent="0.25">
      <c r="A115">
        <v>68</v>
      </c>
      <c r="B115" t="s">
        <v>861</v>
      </c>
      <c r="C115" s="141" t="s">
        <v>23</v>
      </c>
      <c r="D115" t="s">
        <v>582</v>
      </c>
      <c r="E115" t="s">
        <v>495</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781</v>
      </c>
      <c r="H115" s="1" t="s">
        <v>782</v>
      </c>
      <c r="I115" s="1" t="s">
        <v>709</v>
      </c>
    </row>
    <row r="116" spans="1:9" ht="105" hidden="1" x14ac:dyDescent="0.25">
      <c r="A116">
        <v>91</v>
      </c>
      <c r="B116" s="162" t="s">
        <v>862</v>
      </c>
      <c r="C116" s="141" t="s">
        <v>23</v>
      </c>
      <c r="D116" t="s">
        <v>582</v>
      </c>
      <c r="E116" t="s">
        <v>495</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781</v>
      </c>
      <c r="H116" s="1" t="s">
        <v>782</v>
      </c>
      <c r="I116" s="1" t="s">
        <v>709</v>
      </c>
    </row>
    <row r="117" spans="1:9" ht="105" hidden="1" x14ac:dyDescent="0.25">
      <c r="A117">
        <v>109</v>
      </c>
      <c r="B117" s="162" t="s">
        <v>863</v>
      </c>
      <c r="C117" s="141" t="s">
        <v>23</v>
      </c>
      <c r="D117" t="s">
        <v>582</v>
      </c>
      <c r="E117" t="s">
        <v>495</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781</v>
      </c>
      <c r="H117" s="1" t="s">
        <v>782</v>
      </c>
      <c r="I117" s="1" t="s">
        <v>709</v>
      </c>
    </row>
    <row r="118" spans="1:9" ht="105" hidden="1" x14ac:dyDescent="0.25">
      <c r="A118">
        <v>125</v>
      </c>
      <c r="B118" t="s">
        <v>474</v>
      </c>
      <c r="C118" s="141" t="s">
        <v>23</v>
      </c>
      <c r="D118" t="s">
        <v>582</v>
      </c>
      <c r="E118" t="s">
        <v>495</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781</v>
      </c>
      <c r="H118" s="1" t="s">
        <v>782</v>
      </c>
      <c r="I118" s="1" t="s">
        <v>709</v>
      </c>
    </row>
    <row r="119" spans="1:9" ht="105" hidden="1" x14ac:dyDescent="0.25">
      <c r="A119">
        <v>138</v>
      </c>
      <c r="B119" t="s">
        <v>475</v>
      </c>
      <c r="C119" s="141" t="s">
        <v>23</v>
      </c>
      <c r="D119" t="s">
        <v>582</v>
      </c>
      <c r="E119" t="s">
        <v>495</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781</v>
      </c>
      <c r="H119" s="1" t="s">
        <v>782</v>
      </c>
      <c r="I119" s="1" t="s">
        <v>709</v>
      </c>
    </row>
    <row r="120" spans="1:9" ht="75" hidden="1" x14ac:dyDescent="0.25">
      <c r="A120">
        <v>171</v>
      </c>
      <c r="B120" t="s">
        <v>483</v>
      </c>
      <c r="C120" s="141" t="s">
        <v>23</v>
      </c>
      <c r="D120" t="s">
        <v>582</v>
      </c>
      <c r="E120" t="s">
        <v>495</v>
      </c>
      <c r="F120" s="1" t="str">
        <f t="shared" si="1"/>
        <v>PURPOSE: Data field for Name(EN) in 6_1_Visualization_Processes
ACTION: Enter appropriate value for Name(EN)
NOTE: Please refer to BioDYM documentation for specific requirements.</v>
      </c>
      <c r="G120" s="1" t="s">
        <v>846</v>
      </c>
      <c r="H120" s="1" t="s">
        <v>676</v>
      </c>
      <c r="I120" s="1" t="s">
        <v>726</v>
      </c>
    </row>
    <row r="121" spans="1:9" ht="90" hidden="1" x14ac:dyDescent="0.25">
      <c r="A121">
        <v>62</v>
      </c>
      <c r="B121" t="s">
        <v>473</v>
      </c>
      <c r="C121" s="141" t="s">
        <v>392</v>
      </c>
      <c r="D121" t="s">
        <v>587</v>
      </c>
      <c r="E121" t="s">
        <v>588</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788</v>
      </c>
      <c r="H121" s="1" t="s">
        <v>789</v>
      </c>
      <c r="I121" s="1" t="s">
        <v>790</v>
      </c>
    </row>
    <row r="122" spans="1:9" ht="90" hidden="1" x14ac:dyDescent="0.25">
      <c r="A122">
        <v>70</v>
      </c>
      <c r="B122" t="s">
        <v>861</v>
      </c>
      <c r="C122" s="141" t="s">
        <v>392</v>
      </c>
      <c r="D122" t="s">
        <v>587</v>
      </c>
      <c r="E122" t="s">
        <v>588</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788</v>
      </c>
      <c r="H122" s="1" t="s">
        <v>789</v>
      </c>
      <c r="I122" s="1" t="s">
        <v>790</v>
      </c>
    </row>
    <row r="123" spans="1:9" ht="90" hidden="1" x14ac:dyDescent="0.25">
      <c r="A123">
        <v>95</v>
      </c>
      <c r="B123" s="162" t="s">
        <v>862</v>
      </c>
      <c r="C123" s="141" t="s">
        <v>392</v>
      </c>
      <c r="D123" t="s">
        <v>587</v>
      </c>
      <c r="E123" t="s">
        <v>588</v>
      </c>
      <c r="F123" s="1" t="str">
        <f t="shared" si="1"/>
        <v>PURPOSE: Unique identifier for material flow
ACTION: Automatically assigned
NOTE: This field is generated automatically. No manual input required. Used for system identification and linking.</v>
      </c>
      <c r="G123" s="1" t="s">
        <v>706</v>
      </c>
      <c r="H123" s="1" t="s">
        <v>704</v>
      </c>
      <c r="I123" s="1" t="s">
        <v>705</v>
      </c>
    </row>
    <row r="124" spans="1:9" ht="90" hidden="1" x14ac:dyDescent="0.25">
      <c r="A124">
        <v>111</v>
      </c>
      <c r="B124" s="162" t="s">
        <v>863</v>
      </c>
      <c r="C124" s="141" t="s">
        <v>392</v>
      </c>
      <c r="D124" t="s">
        <v>587</v>
      </c>
      <c r="E124" t="s">
        <v>588</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788</v>
      </c>
      <c r="H124" s="1" t="s">
        <v>789</v>
      </c>
      <c r="I124" s="1" t="s">
        <v>790</v>
      </c>
    </row>
    <row r="125" spans="1:9" ht="90" hidden="1" x14ac:dyDescent="0.25">
      <c r="A125">
        <v>127</v>
      </c>
      <c r="B125" t="s">
        <v>474</v>
      </c>
      <c r="C125" s="141" t="s">
        <v>392</v>
      </c>
      <c r="D125" t="s">
        <v>587</v>
      </c>
      <c r="E125" t="s">
        <v>588</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788</v>
      </c>
      <c r="H125" s="1" t="s">
        <v>789</v>
      </c>
      <c r="I125" s="1" t="s">
        <v>790</v>
      </c>
    </row>
    <row r="126" spans="1:9" ht="90" hidden="1" x14ac:dyDescent="0.25">
      <c r="A126">
        <v>140</v>
      </c>
      <c r="B126" t="s">
        <v>475</v>
      </c>
      <c r="C126" s="141" t="s">
        <v>392</v>
      </c>
      <c r="D126" t="s">
        <v>587</v>
      </c>
      <c r="E126" t="s">
        <v>588</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788</v>
      </c>
      <c r="H126" s="1" t="s">
        <v>789</v>
      </c>
      <c r="I126" s="1" t="s">
        <v>790</v>
      </c>
    </row>
    <row r="127" spans="1:9" ht="105" hidden="1" x14ac:dyDescent="0.25">
      <c r="A127">
        <v>60</v>
      </c>
      <c r="B127" t="s">
        <v>473</v>
      </c>
      <c r="C127" s="141" t="s">
        <v>427</v>
      </c>
      <c r="D127" t="s">
        <v>583</v>
      </c>
      <c r="E127" t="s">
        <v>584</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783</v>
      </c>
      <c r="H127" s="1" t="s">
        <v>784</v>
      </c>
      <c r="I127" s="1" t="s">
        <v>709</v>
      </c>
    </row>
    <row r="128" spans="1:9" ht="105" hidden="1" x14ac:dyDescent="0.25">
      <c r="A128">
        <v>69</v>
      </c>
      <c r="B128" t="s">
        <v>861</v>
      </c>
      <c r="C128" s="161" t="s">
        <v>427</v>
      </c>
      <c r="D128" t="s">
        <v>583</v>
      </c>
      <c r="E128" t="s">
        <v>584</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785</v>
      </c>
      <c r="H128" s="1" t="s">
        <v>786</v>
      </c>
      <c r="I128" s="1" t="s">
        <v>787</v>
      </c>
    </row>
    <row r="129" spans="1:9" ht="75" hidden="1" x14ac:dyDescent="0.25">
      <c r="A129">
        <v>92</v>
      </c>
      <c r="B129" s="162" t="s">
        <v>862</v>
      </c>
      <c r="C129" s="161" t="s">
        <v>427</v>
      </c>
      <c r="D129" t="s">
        <v>583</v>
      </c>
      <c r="E129" t="s">
        <v>584</v>
      </c>
      <c r="F129" s="1" t="str">
        <f t="shared" si="1"/>
        <v>PURPOSE: Data field for Output_Flow in 2_4_dynamic_TCs
ACTION: Enter appropriate value for Output_Flow
NOTE: Please refer to BioDYM documentation for specific requirements.</v>
      </c>
      <c r="G129" s="1" t="s">
        <v>807</v>
      </c>
      <c r="H129" s="1" t="s">
        <v>595</v>
      </c>
      <c r="I129" s="1" t="s">
        <v>726</v>
      </c>
    </row>
    <row r="130" spans="1:9" ht="105" hidden="1" x14ac:dyDescent="0.25">
      <c r="A130">
        <v>110</v>
      </c>
      <c r="B130" s="162" t="s">
        <v>863</v>
      </c>
      <c r="C130" s="161" t="s">
        <v>427</v>
      </c>
      <c r="D130" t="s">
        <v>583</v>
      </c>
      <c r="E130" t="s">
        <v>584</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785</v>
      </c>
      <c r="H130" s="1" t="s">
        <v>786</v>
      </c>
      <c r="I130" s="1" t="s">
        <v>787</v>
      </c>
    </row>
    <row r="131" spans="1:9" ht="105" hidden="1" x14ac:dyDescent="0.25">
      <c r="A131">
        <v>126</v>
      </c>
      <c r="B131" t="s">
        <v>474</v>
      </c>
      <c r="C131" s="161" t="s">
        <v>427</v>
      </c>
      <c r="D131" t="s">
        <v>583</v>
      </c>
      <c r="E131" t="s">
        <v>584</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785</v>
      </c>
      <c r="H131" s="1" t="s">
        <v>786</v>
      </c>
      <c r="I131" s="1" t="s">
        <v>787</v>
      </c>
    </row>
    <row r="132" spans="1:9" ht="105" hidden="1" x14ac:dyDescent="0.25">
      <c r="A132">
        <v>139</v>
      </c>
      <c r="B132" t="s">
        <v>475</v>
      </c>
      <c r="C132" s="161" t="s">
        <v>427</v>
      </c>
      <c r="D132" t="s">
        <v>583</v>
      </c>
      <c r="E132" t="s">
        <v>584</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785</v>
      </c>
      <c r="H132" s="1" t="s">
        <v>786</v>
      </c>
      <c r="I132" s="1" t="s">
        <v>787</v>
      </c>
    </row>
    <row r="133" spans="1:9" ht="75" hidden="1" x14ac:dyDescent="0.25">
      <c r="A133">
        <v>160</v>
      </c>
      <c r="B133" t="s">
        <v>476</v>
      </c>
      <c r="C133" s="161" t="s">
        <v>215</v>
      </c>
      <c r="D133" t="s">
        <v>663</v>
      </c>
      <c r="E133" t="s">
        <v>664</v>
      </c>
      <c r="F133" s="1" t="str">
        <f t="shared" si="2"/>
        <v>PURPOSE: Data field for Parameter in 5_1_Scenario_Manager
ACTION: Enter appropriate value for Parameter
NOTE: Please refer to BioDYM documentation for specific requirements.</v>
      </c>
      <c r="G133" s="1" t="s">
        <v>838</v>
      </c>
      <c r="H133" s="1" t="s">
        <v>648</v>
      </c>
      <c r="I133" s="1" t="s">
        <v>726</v>
      </c>
    </row>
    <row r="134" spans="1:9" ht="75" hidden="1" x14ac:dyDescent="0.25">
      <c r="A134">
        <v>166</v>
      </c>
      <c r="B134" t="s">
        <v>476</v>
      </c>
      <c r="C134" s="161" t="s">
        <v>428</v>
      </c>
      <c r="D134" t="s">
        <v>669</v>
      </c>
      <c r="E134" t="s">
        <v>670</v>
      </c>
      <c r="F134" s="1" t="str">
        <f t="shared" si="2"/>
        <v>PURPOSE: Data field for end_year in 5_1_Scenario_Manager
ACTION: Enter appropriate value for end_year
NOTE: Please refer to BioDYM documentation for specific requirements.</v>
      </c>
      <c r="G134" s="1" t="s">
        <v>844</v>
      </c>
      <c r="H134" s="1" t="s">
        <v>672</v>
      </c>
      <c r="I134" s="1" t="s">
        <v>726</v>
      </c>
    </row>
    <row r="135" spans="1:9" ht="75" hidden="1" x14ac:dyDescent="0.25">
      <c r="A135">
        <v>155</v>
      </c>
      <c r="B135" t="s">
        <v>477</v>
      </c>
      <c r="C135" s="141" t="s">
        <v>176</v>
      </c>
      <c r="D135" t="s">
        <v>655</v>
      </c>
      <c r="E135" t="s">
        <v>656</v>
      </c>
      <c r="F135" s="1" t="str">
        <f t="shared" si="2"/>
        <v>PURPOSE: Data field for Min in 4_1_Uncertainty_Parameters
ACTION: Enter appropriate value for Min
NOTE: Please refer to BioDYM documentation for specific requirements.</v>
      </c>
      <c r="G135" s="1" t="s">
        <v>834</v>
      </c>
      <c r="H135" s="1" t="s">
        <v>658</v>
      </c>
      <c r="I135" s="1" t="s">
        <v>726</v>
      </c>
    </row>
    <row r="136" spans="1:9" ht="75" hidden="1" x14ac:dyDescent="0.25">
      <c r="A136">
        <v>64</v>
      </c>
      <c r="B136" t="s">
        <v>473</v>
      </c>
      <c r="C136" s="141" t="s">
        <v>456</v>
      </c>
      <c r="D136" t="s">
        <v>591</v>
      </c>
      <c r="E136" t="s">
        <v>592</v>
      </c>
      <c r="F136" s="1" t="str">
        <f t="shared" si="2"/>
        <v>PURPOSE: Defines the {field_type} for calculations
ACTION: Enter numerical value in specified unit
NOTE: Required for system calculations. Must be positive value. Used in MFA calculations.</v>
      </c>
      <c r="G136" s="1" t="s">
        <v>794</v>
      </c>
      <c r="H136" s="1" t="s">
        <v>760</v>
      </c>
      <c r="I136" s="1" t="s">
        <v>761</v>
      </c>
    </row>
    <row r="137" spans="1:9" ht="75" hidden="1" x14ac:dyDescent="0.25">
      <c r="A137">
        <v>72</v>
      </c>
      <c r="B137" t="s">
        <v>861</v>
      </c>
      <c r="C137" s="141" t="s">
        <v>456</v>
      </c>
      <c r="D137" t="s">
        <v>591</v>
      </c>
      <c r="E137" t="s">
        <v>592</v>
      </c>
      <c r="F137" s="1" t="str">
        <f t="shared" si="2"/>
        <v>PURPOSE: Defines the {field_type} for calculations
ACTION: Enter numerical value in specified unit
NOTE: Required for system calculations. Must be positive value. Used in MFA calculations.</v>
      </c>
      <c r="G137" s="1" t="s">
        <v>794</v>
      </c>
      <c r="H137" s="1" t="s">
        <v>760</v>
      </c>
      <c r="I137" s="1" t="s">
        <v>761</v>
      </c>
    </row>
    <row r="138" spans="1:9" ht="75" hidden="1" x14ac:dyDescent="0.25">
      <c r="A138">
        <v>113</v>
      </c>
      <c r="B138" s="162" t="s">
        <v>863</v>
      </c>
      <c r="C138" s="141" t="s">
        <v>456</v>
      </c>
      <c r="D138" t="s">
        <v>591</v>
      </c>
      <c r="E138" t="s">
        <v>592</v>
      </c>
      <c r="F138" s="1" t="str">
        <f t="shared" si="2"/>
        <v>PURPOSE: Defines the Initial Stock Material Amount for calculations
ACTION: Enter numerical value in specified unit
NOTE: Required for system calculations. Must be positive value. Used in MFA calculations.</v>
      </c>
      <c r="G138" s="1" t="s">
        <v>809</v>
      </c>
      <c r="H138" s="1" t="s">
        <v>760</v>
      </c>
      <c r="I138" s="1" t="s">
        <v>761</v>
      </c>
    </row>
    <row r="139" spans="1:9" ht="75" hidden="1" x14ac:dyDescent="0.25">
      <c r="A139">
        <v>129</v>
      </c>
      <c r="B139" t="s">
        <v>474</v>
      </c>
      <c r="C139" s="160" t="s">
        <v>456</v>
      </c>
      <c r="D139" t="s">
        <v>591</v>
      </c>
      <c r="E139" t="s">
        <v>592</v>
      </c>
      <c r="F139" s="1" t="str">
        <f t="shared" si="2"/>
        <v>PURPOSE: Defines the {field_type} for calculations
ACTION: Enter numerical value in specified unit
NOTE: Required for system calculations. Must be positive value. Used in MFA calculations.</v>
      </c>
      <c r="G139" s="1" t="s">
        <v>794</v>
      </c>
      <c r="H139" s="1" t="s">
        <v>760</v>
      </c>
      <c r="I139" s="1" t="s">
        <v>761</v>
      </c>
    </row>
    <row r="140" spans="1:9" ht="75" hidden="1" x14ac:dyDescent="0.25">
      <c r="A140">
        <v>142</v>
      </c>
      <c r="B140" t="s">
        <v>475</v>
      </c>
      <c r="C140" s="161" t="s">
        <v>456</v>
      </c>
      <c r="D140" t="s">
        <v>591</v>
      </c>
      <c r="E140" t="s">
        <v>592</v>
      </c>
      <c r="F140" s="1" t="str">
        <f t="shared" si="2"/>
        <v>PURPOSE: Defines the {field_type} for calculations
ACTION: Enter numerical value in specified unit
NOTE: Required for system calculations. Must be positive value. Used in MFA calculations.</v>
      </c>
      <c r="G140" s="1" t="s">
        <v>794</v>
      </c>
      <c r="H140" s="1" t="s">
        <v>760</v>
      </c>
      <c r="I140" s="1" t="s">
        <v>761</v>
      </c>
    </row>
    <row r="141" spans="1:9" ht="90" hidden="1" x14ac:dyDescent="0.25">
      <c r="A141">
        <v>108</v>
      </c>
      <c r="B141" s="162" t="s">
        <v>863</v>
      </c>
      <c r="C141" s="161" t="s">
        <v>25</v>
      </c>
      <c r="D141" t="s">
        <v>537</v>
      </c>
      <c r="E141" t="s">
        <v>495</v>
      </c>
      <c r="F141" s="1" t="str">
        <f t="shared" si="2"/>
        <v>PURPOSE: Unique identifier for process
ACTION: Automatically assigned
NOTE: This field is generated automatically. No manual input required. Used for system identification and linking.</v>
      </c>
      <c r="G141" s="1" t="s">
        <v>780</v>
      </c>
      <c r="H141" s="1" t="s">
        <v>704</v>
      </c>
      <c r="I141" s="1" t="s">
        <v>705</v>
      </c>
    </row>
    <row r="142" spans="1:9" ht="75" hidden="1" x14ac:dyDescent="0.25">
      <c r="A142">
        <v>123</v>
      </c>
      <c r="B142" s="162" t="s">
        <v>863</v>
      </c>
      <c r="C142" s="161" t="s">
        <v>183</v>
      </c>
      <c r="D142" t="s">
        <v>537</v>
      </c>
      <c r="E142" t="s">
        <v>593</v>
      </c>
      <c r="F142" s="1" t="str">
        <f t="shared" si="2"/>
        <v>PURPOSE: Data field for Annual_Consumption_Rate in 2_5_Initial_Stock
ACTION: Enter appropriate value for Annual_Consumption_Rate
NOTE: Please refer to BioDYM documentation for specific requirements.</v>
      </c>
      <c r="G142" s="1" t="s">
        <v>818</v>
      </c>
      <c r="H142" s="1" t="s">
        <v>628</v>
      </c>
      <c r="I142" s="1" t="s">
        <v>726</v>
      </c>
    </row>
    <row r="143" spans="1:9" ht="75" hidden="1" x14ac:dyDescent="0.25">
      <c r="A143">
        <v>82</v>
      </c>
      <c r="B143" t="s">
        <v>861</v>
      </c>
      <c r="C143" s="161" t="s">
        <v>407</v>
      </c>
      <c r="D143" t="s">
        <v>537</v>
      </c>
      <c r="E143" t="s">
        <v>495</v>
      </c>
      <c r="F143" s="1" t="str">
        <f t="shared" si="2"/>
        <v>PURPOSE: Defines the Carbon Content Transfer Coefficient for calculations
ACTION: Enter numerical value in specified unit
NOTE: Required for system calculations. Must be positive value. Used in MFA calculations.</v>
      </c>
      <c r="G143" s="1" t="s">
        <v>801</v>
      </c>
      <c r="H143" s="1" t="s">
        <v>760</v>
      </c>
      <c r="I143" s="1" t="s">
        <v>761</v>
      </c>
    </row>
    <row r="144" spans="1:9" ht="75" hidden="1" x14ac:dyDescent="0.25">
      <c r="A144">
        <v>104</v>
      </c>
      <c r="B144" s="162" t="s">
        <v>862</v>
      </c>
      <c r="C144" s="161" t="s">
        <v>407</v>
      </c>
      <c r="D144" t="s">
        <v>537</v>
      </c>
      <c r="E144" t="s">
        <v>495</v>
      </c>
      <c r="F144" s="1" t="str">
        <f t="shared" si="2"/>
        <v>PURPOSE: Defines the Carbon Content Transfer Coefficient for calculations
ACTION: Enter numerical value in specified unit
NOTE: Required for system calculations. Must be positive value. Used in MFA calculations.</v>
      </c>
      <c r="G144" s="1" t="s">
        <v>801</v>
      </c>
      <c r="H144" s="1" t="s">
        <v>760</v>
      </c>
      <c r="I144" s="1" t="s">
        <v>761</v>
      </c>
    </row>
    <row r="145" spans="1:12" ht="90" hidden="1" x14ac:dyDescent="0.25">
      <c r="A145">
        <v>63</v>
      </c>
      <c r="B145" t="s">
        <v>473</v>
      </c>
      <c r="C145" s="161" t="s">
        <v>455</v>
      </c>
      <c r="D145" t="s">
        <v>589</v>
      </c>
      <c r="E145" t="s">
        <v>590</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791</v>
      </c>
      <c r="H145" s="1" t="s">
        <v>792</v>
      </c>
      <c r="I145" s="1" t="s">
        <v>793</v>
      </c>
    </row>
    <row r="146" spans="1:12" ht="75" hidden="1" x14ac:dyDescent="0.25">
      <c r="A146">
        <v>71</v>
      </c>
      <c r="B146" t="s">
        <v>861</v>
      </c>
      <c r="C146" s="161" t="s">
        <v>455</v>
      </c>
      <c r="D146" t="s">
        <v>589</v>
      </c>
      <c r="E146" t="s">
        <v>590</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791</v>
      </c>
      <c r="H146" s="1" t="s">
        <v>792</v>
      </c>
      <c r="I146" s="1" t="s">
        <v>793</v>
      </c>
    </row>
    <row r="147" spans="1:12" ht="75" hidden="1" x14ac:dyDescent="0.25">
      <c r="A147">
        <v>94</v>
      </c>
      <c r="B147" s="162" t="s">
        <v>862</v>
      </c>
      <c r="C147" s="141" t="s">
        <v>455</v>
      </c>
      <c r="D147" t="s">
        <v>589</v>
      </c>
      <c r="E147" t="s">
        <v>590</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785</v>
      </c>
      <c r="H147" s="1" t="s">
        <v>786</v>
      </c>
      <c r="I147" s="1" t="s">
        <v>787</v>
      </c>
    </row>
    <row r="148" spans="1:12" ht="90" hidden="1" x14ac:dyDescent="0.25">
      <c r="A148">
        <v>112</v>
      </c>
      <c r="B148" s="162" t="s">
        <v>863</v>
      </c>
      <c r="C148" s="141" t="s">
        <v>455</v>
      </c>
      <c r="D148" t="s">
        <v>589</v>
      </c>
      <c r="E148" t="s">
        <v>590</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791</v>
      </c>
      <c r="H148" s="1" t="s">
        <v>792</v>
      </c>
      <c r="I148" s="1" t="s">
        <v>793</v>
      </c>
    </row>
    <row r="149" spans="1:12" ht="75" hidden="1" x14ac:dyDescent="0.25">
      <c r="A149">
        <v>128</v>
      </c>
      <c r="B149" t="s">
        <v>474</v>
      </c>
      <c r="C149" s="141" t="s">
        <v>455</v>
      </c>
      <c r="D149" t="s">
        <v>589</v>
      </c>
      <c r="E149" t="s">
        <v>590</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791</v>
      </c>
      <c r="H149" s="1" t="s">
        <v>792</v>
      </c>
      <c r="I149" s="1" t="s">
        <v>793</v>
      </c>
    </row>
    <row r="150" spans="1:12" ht="75" hidden="1" x14ac:dyDescent="0.25">
      <c r="A150">
        <v>141</v>
      </c>
      <c r="B150" t="s">
        <v>475</v>
      </c>
      <c r="C150" s="141" t="s">
        <v>455</v>
      </c>
      <c r="D150" t="s">
        <v>589</v>
      </c>
      <c r="E150" t="s">
        <v>590</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791</v>
      </c>
      <c r="H150" s="1" t="s">
        <v>792</v>
      </c>
      <c r="I150" s="1" t="s">
        <v>793</v>
      </c>
    </row>
    <row r="151" spans="1:12" ht="90" hidden="1" x14ac:dyDescent="0.25">
      <c r="A151">
        <v>80</v>
      </c>
      <c r="B151" t="s">
        <v>861</v>
      </c>
      <c r="C151" s="141" t="s">
        <v>406</v>
      </c>
      <c r="D151" t="s">
        <v>537</v>
      </c>
      <c r="E151" t="s">
        <v>495</v>
      </c>
      <c r="F151" s="1" t="str">
        <f t="shared" si="2"/>
        <v>PURPOSE: Defines the Dry Matter Transfer Coefficient for calculations
ACTION: Enter numerical value in specified unit
NOTE: Required for system calculations. Must be positive value. Used in MFA calculations.</v>
      </c>
      <c r="G151" s="1" t="s">
        <v>800</v>
      </c>
      <c r="H151" s="1" t="s">
        <v>760</v>
      </c>
      <c r="I151" s="1" t="s">
        <v>761</v>
      </c>
    </row>
    <row r="152" spans="1:12" ht="75" hidden="1" x14ac:dyDescent="0.25">
      <c r="A152">
        <v>102</v>
      </c>
      <c r="B152" s="162" t="s">
        <v>862</v>
      </c>
      <c r="C152" s="141" t="s">
        <v>406</v>
      </c>
      <c r="D152" t="s">
        <v>537</v>
      </c>
      <c r="E152" t="s">
        <v>495</v>
      </c>
      <c r="F152" s="1" t="str">
        <f t="shared" si="2"/>
        <v>PURPOSE: Defines the Dry Matter Transfer Coefficient for calculations
ACTION: Enter numerical value in specified unit
NOTE: Required for system calculations. Must be positive value. Used in MFA calculations.</v>
      </c>
      <c r="G152" s="1" t="s">
        <v>800</v>
      </c>
      <c r="H152" s="1" t="s">
        <v>760</v>
      </c>
      <c r="I152" s="1" t="s">
        <v>761</v>
      </c>
    </row>
    <row r="153" spans="1:12" ht="75" hidden="1" x14ac:dyDescent="0.25">
      <c r="A153">
        <v>76</v>
      </c>
      <c r="B153" t="s">
        <v>861</v>
      </c>
      <c r="C153" s="141" t="s">
        <v>404</v>
      </c>
      <c r="D153" t="s">
        <v>596</v>
      </c>
      <c r="E153" t="s">
        <v>495</v>
      </c>
      <c r="F153" s="1" t="str">
        <f t="shared" si="2"/>
        <v>PURPOSE: Defines the Transfer Coefficient Value for calculations
ACTION: Enter numerical value in specified unit
NOTE: Required for system calculations. Must be positive value. Used in MFA calculations.</v>
      </c>
      <c r="G153" s="1" t="s">
        <v>797</v>
      </c>
      <c r="H153" s="1" t="s">
        <v>760</v>
      </c>
      <c r="I153" s="1" t="s">
        <v>761</v>
      </c>
    </row>
    <row r="154" spans="1:12" ht="75" hidden="1" x14ac:dyDescent="0.25">
      <c r="A154">
        <v>98</v>
      </c>
      <c r="B154" s="162" t="s">
        <v>862</v>
      </c>
      <c r="C154" s="141" t="s">
        <v>404</v>
      </c>
      <c r="D154" t="s">
        <v>596</v>
      </c>
      <c r="E154" t="s">
        <v>495</v>
      </c>
      <c r="F154" s="1" t="str">
        <f t="shared" si="2"/>
        <v>PURPOSE: Defines the Transfer Coefficient Value for calculations
ACTION: Enter numerical value in specified unit
NOTE: Required for system calculations. Must be positive value. Used in MFA calculations.</v>
      </c>
      <c r="G154" s="1" t="s">
        <v>797</v>
      </c>
      <c r="H154" s="1" t="s">
        <v>760</v>
      </c>
      <c r="I154" s="1" t="s">
        <v>761</v>
      </c>
    </row>
    <row r="155" spans="1:12" ht="75" hidden="1" x14ac:dyDescent="0.25">
      <c r="A155">
        <v>83</v>
      </c>
      <c r="B155" t="s">
        <v>861</v>
      </c>
      <c r="C155" s="141" t="s">
        <v>397</v>
      </c>
      <c r="D155" t="s">
        <v>603</v>
      </c>
      <c r="E155" t="s">
        <v>604</v>
      </c>
      <c r="F155" s="1" t="str">
        <f t="shared" si="2"/>
        <v>PURPOSE: Data field for Titel in 2_3_static_TCs
ACTION: Enter appropriate value for Titel
NOTE: Please refer to BioDYM documentation for specific requirements.</v>
      </c>
      <c r="G155" s="1" t="s">
        <v>802</v>
      </c>
      <c r="H155" s="1" t="s">
        <v>606</v>
      </c>
      <c r="I155" s="1" t="s">
        <v>726</v>
      </c>
    </row>
    <row r="156" spans="1:12" ht="75" hidden="1" x14ac:dyDescent="0.25">
      <c r="A156">
        <v>105</v>
      </c>
      <c r="B156" s="162" t="s">
        <v>862</v>
      </c>
      <c r="C156" s="141" t="s">
        <v>397</v>
      </c>
      <c r="D156" t="s">
        <v>603</v>
      </c>
      <c r="E156" t="s">
        <v>604</v>
      </c>
      <c r="F156" s="1" t="str">
        <f t="shared" si="2"/>
        <v>PURPOSE: Flag this row as 100% complete for reporting and filtering purposes
ACTION: Click to select
NOTE: This input is optional. Leave blank if the process is ongoing. Used for progress tracking.</v>
      </c>
      <c r="G156" s="1" t="s">
        <v>777</v>
      </c>
      <c r="H156" s="1" t="s">
        <v>778</v>
      </c>
      <c r="I156" s="1" t="s">
        <v>779</v>
      </c>
      <c r="L156" s="164" t="s">
        <v>24</v>
      </c>
    </row>
    <row r="157" spans="1:12" ht="75" hidden="1" x14ac:dyDescent="0.25">
      <c r="A157">
        <v>81</v>
      </c>
      <c r="B157" t="s">
        <v>861</v>
      </c>
      <c r="C157" s="141" t="s">
        <v>396</v>
      </c>
      <c r="D157" t="s">
        <v>601</v>
      </c>
      <c r="E157" t="s">
        <v>602</v>
      </c>
      <c r="F157" s="1" t="str">
        <f t="shared" si="2"/>
        <v>PURPOSE: Unique identifier for {context}
ACTION: Automatically assigned
NOTE: This field is generated automatically. No manual input required. Used for system identification and linking.</v>
      </c>
      <c r="G157" s="1" t="s">
        <v>798</v>
      </c>
      <c r="H157" s="1" t="s">
        <v>704</v>
      </c>
      <c r="I157" s="1" t="s">
        <v>705</v>
      </c>
      <c r="L157" s="141" t="s">
        <v>7</v>
      </c>
    </row>
    <row r="158" spans="1:12" ht="75" hidden="1" x14ac:dyDescent="0.25">
      <c r="A158">
        <v>103</v>
      </c>
      <c r="B158" s="162" t="s">
        <v>862</v>
      </c>
      <c r="C158" s="141" t="s">
        <v>396</v>
      </c>
      <c r="D158" t="s">
        <v>601</v>
      </c>
      <c r="E158" t="s">
        <v>602</v>
      </c>
      <c r="F158" s="1" t="str">
        <f t="shared" si="2"/>
        <v>PURPOSE: Unique identifier for {context}
ACTION: Automatically assigned
NOTE: This field is generated automatically. No manual input required. Used for system identification and linking.</v>
      </c>
      <c r="G158" s="1" t="s">
        <v>798</v>
      </c>
      <c r="H158" s="1" t="s">
        <v>704</v>
      </c>
      <c r="I158" s="1" t="s">
        <v>705</v>
      </c>
      <c r="L158" s="141" t="s">
        <v>23</v>
      </c>
    </row>
    <row r="159" spans="1:12" ht="75" hidden="1" x14ac:dyDescent="0.25">
      <c r="A159">
        <v>77</v>
      </c>
      <c r="B159" t="s">
        <v>861</v>
      </c>
      <c r="C159" s="141" t="s">
        <v>400</v>
      </c>
      <c r="D159" t="s">
        <v>597</v>
      </c>
      <c r="E159" t="s">
        <v>598</v>
      </c>
      <c r="F159" s="1" t="str">
        <f t="shared" si="2"/>
        <v>PURPOSE: Unique identifier for {context}
ACTION: Automatically assigned
NOTE: This field is generated automatically. No manual input required. Used for system identification and linking.</v>
      </c>
      <c r="G159" s="1" t="s">
        <v>798</v>
      </c>
      <c r="H159" s="1" t="s">
        <v>704</v>
      </c>
      <c r="I159" s="1" t="s">
        <v>705</v>
      </c>
      <c r="L159" s="141" t="s">
        <v>26</v>
      </c>
    </row>
    <row r="160" spans="1:12" ht="75" hidden="1" x14ac:dyDescent="0.25">
      <c r="A160">
        <v>99</v>
      </c>
      <c r="B160" s="162" t="s">
        <v>862</v>
      </c>
      <c r="C160" s="141" t="s">
        <v>400</v>
      </c>
      <c r="D160" t="s">
        <v>597</v>
      </c>
      <c r="E160" t="s">
        <v>598</v>
      </c>
      <c r="F160" s="1" t="str">
        <f t="shared" si="2"/>
        <v>PURPOSE: Unique identifier for {context}
ACTION: Automatically assigned
NOTE: This field is generated automatically. No manual input required. Used for system identification and linking.</v>
      </c>
      <c r="G160" s="1" t="s">
        <v>798</v>
      </c>
      <c r="H160" s="1" t="s">
        <v>704</v>
      </c>
      <c r="I160" s="1" t="s">
        <v>705</v>
      </c>
      <c r="L160" s="141" t="s">
        <v>363</v>
      </c>
    </row>
    <row r="161" spans="1:12" ht="90" hidden="1" x14ac:dyDescent="0.25">
      <c r="A161">
        <v>79</v>
      </c>
      <c r="B161" t="s">
        <v>861</v>
      </c>
      <c r="C161" s="141" t="s">
        <v>395</v>
      </c>
      <c r="D161" t="s">
        <v>599</v>
      </c>
      <c r="E161" t="s">
        <v>600</v>
      </c>
      <c r="F161" s="1" t="str">
        <f t="shared" si="2"/>
        <v>PURPOSE: Unique identifier for {context}
ACTION: Automatically assigned
NOTE: This field is generated automatically. No manual input required. Used for system identification and linking.</v>
      </c>
      <c r="G161" s="1" t="s">
        <v>798</v>
      </c>
      <c r="H161" s="1" t="s">
        <v>704</v>
      </c>
      <c r="I161" s="1" t="s">
        <v>705</v>
      </c>
      <c r="L161" s="141" t="s">
        <v>247</v>
      </c>
    </row>
    <row r="162" spans="1:12" ht="75" hidden="1" x14ac:dyDescent="0.25">
      <c r="A162">
        <v>101</v>
      </c>
      <c r="B162" s="162" t="s">
        <v>862</v>
      </c>
      <c r="C162" s="141" t="s">
        <v>395</v>
      </c>
      <c r="D162" t="s">
        <v>599</v>
      </c>
      <c r="E162" t="s">
        <v>600</v>
      </c>
      <c r="F162" s="1" t="str">
        <f t="shared" si="2"/>
        <v>PURPOSE: Unique identifier for {context}
ACTION: Automatically assigned
NOTE: This field is generated automatically. No manual input required. Used for system identification and linking.</v>
      </c>
      <c r="G162" s="1" t="s">
        <v>798</v>
      </c>
      <c r="H162" s="1" t="s">
        <v>704</v>
      </c>
      <c r="I162" s="1" t="s">
        <v>705</v>
      </c>
      <c r="L162" s="141" t="s">
        <v>248</v>
      </c>
    </row>
    <row r="163" spans="1:12" ht="75" hidden="1" x14ac:dyDescent="0.25">
      <c r="A163">
        <v>78</v>
      </c>
      <c r="B163" t="s">
        <v>861</v>
      </c>
      <c r="C163" s="141" t="s">
        <v>405</v>
      </c>
      <c r="D163" t="s">
        <v>537</v>
      </c>
      <c r="E163" t="s">
        <v>495</v>
      </c>
      <c r="F163" s="1" t="str">
        <f t="shared" si="2"/>
        <v>PURPOSE: Defines the Water Content Transfer Coefficient for calculations
ACTION: Enter numerical value in specified unit
NOTE: Required for system calculations. Must be positive value. Used in MFA calculations.</v>
      </c>
      <c r="G163" s="1" t="s">
        <v>799</v>
      </c>
      <c r="H163" s="1" t="s">
        <v>760</v>
      </c>
      <c r="I163" s="1" t="s">
        <v>761</v>
      </c>
      <c r="L163" s="141" t="s">
        <v>383</v>
      </c>
    </row>
    <row r="164" spans="1:12" ht="75" hidden="1" x14ac:dyDescent="0.25">
      <c r="A164">
        <v>100</v>
      </c>
      <c r="B164" s="162" t="s">
        <v>862</v>
      </c>
      <c r="C164" s="141" t="s">
        <v>405</v>
      </c>
      <c r="D164" t="s">
        <v>537</v>
      </c>
      <c r="E164" t="s">
        <v>495</v>
      </c>
      <c r="F164" s="1" t="str">
        <f t="shared" si="2"/>
        <v>PURPOSE: Defines the Water Content Transfer Coefficient for calculations
ACTION: Enter numerical value in specified unit
NOTE: Required for system calculations. Must be positive value. Used in MFA calculations.</v>
      </c>
      <c r="G164" s="1" t="s">
        <v>799</v>
      </c>
      <c r="H164" s="1" t="s">
        <v>760</v>
      </c>
      <c r="I164" s="1" t="s">
        <v>761</v>
      </c>
      <c r="L164" s="141" t="s">
        <v>384</v>
      </c>
    </row>
    <row r="165" spans="1:12" ht="75" hidden="1" x14ac:dyDescent="0.25">
      <c r="A165">
        <v>84</v>
      </c>
      <c r="B165" t="s">
        <v>861</v>
      </c>
      <c r="C165" s="141" t="s">
        <v>10</v>
      </c>
      <c r="D165" t="s">
        <v>605</v>
      </c>
      <c r="E165" t="s">
        <v>606</v>
      </c>
      <c r="F165" s="1" t="str">
        <f t="shared" si="2"/>
        <v>PURPOSE: Data field for Year_publication in 2_3_static_TCs
ACTION: Enter appropriate value for Year_publication
NOTE: Please refer to BioDYM documentation for specific requirements.</v>
      </c>
      <c r="G165" s="1" t="s">
        <v>803</v>
      </c>
      <c r="H165" s="1" t="s">
        <v>608</v>
      </c>
      <c r="I165" s="1" t="s">
        <v>726</v>
      </c>
      <c r="L165" s="141" t="s">
        <v>385</v>
      </c>
    </row>
    <row r="166" spans="1:12" ht="75" hidden="1" x14ac:dyDescent="0.25">
      <c r="A166">
        <v>34</v>
      </c>
      <c r="B166" t="s">
        <v>472</v>
      </c>
      <c r="C166" s="141" t="s">
        <v>14</v>
      </c>
      <c r="D166" t="s">
        <v>535</v>
      </c>
      <c r="E166" t="s">
        <v>536</v>
      </c>
      <c r="F166" s="1" t="str">
        <f t="shared" si="2"/>
        <v>PURPOSE: Defines the {field_type} for temporal data organization
ACTION: Enter year (e.g., 2020, 2021, 2022)
NOTE: Must be consistent with analysis time period. Used for time-series data organization.</v>
      </c>
      <c r="G166" s="1" t="s">
        <v>747</v>
      </c>
      <c r="H166" s="1" t="s">
        <v>740</v>
      </c>
      <c r="I166" s="1" t="s">
        <v>741</v>
      </c>
      <c r="L166" s="141" t="s">
        <v>388</v>
      </c>
    </row>
    <row r="167" spans="1:12" ht="75" hidden="1" x14ac:dyDescent="0.25">
      <c r="A167">
        <v>87</v>
      </c>
      <c r="B167" t="s">
        <v>861</v>
      </c>
      <c r="C167" s="141" t="s">
        <v>463</v>
      </c>
      <c r="D167" t="s">
        <v>611</v>
      </c>
      <c r="E167" t="s">
        <v>612</v>
      </c>
      <c r="F167" s="1" t="str">
        <f t="shared" si="2"/>
        <v>PURPOSE: Data field for URL in 2_3_static_TCs
ACTION: Enter appropriate value for URL
NOTE: Please refer to BioDYM documentation for specific requirements.</v>
      </c>
      <c r="G167" s="1" t="s">
        <v>806</v>
      </c>
      <c r="H167" s="1" t="s">
        <v>544</v>
      </c>
      <c r="I167" s="1" t="s">
        <v>726</v>
      </c>
      <c r="L167" s="141" t="s">
        <v>386</v>
      </c>
    </row>
    <row r="168" spans="1:12" ht="75" hidden="1" x14ac:dyDescent="0.25">
      <c r="A168">
        <v>37</v>
      </c>
      <c r="B168" t="s">
        <v>472</v>
      </c>
      <c r="C168" s="141" t="s">
        <v>17</v>
      </c>
      <c r="D168" t="s">
        <v>541</v>
      </c>
      <c r="E168" t="s">
        <v>542</v>
      </c>
      <c r="F168" s="1" t="str">
        <f t="shared" si="2"/>
        <v>PURPOSE: Data field for URL in 1_2_Data_Flows
ACTION: Enter appropriate value for URL
NOTE: Please refer to BioDYM documentation for specific requirements.</v>
      </c>
      <c r="G168" s="1" t="s">
        <v>754</v>
      </c>
      <c r="H168" s="1" t="s">
        <v>544</v>
      </c>
      <c r="I168" s="1" t="s">
        <v>726</v>
      </c>
      <c r="L168" s="141" t="s">
        <v>389</v>
      </c>
    </row>
    <row r="169" spans="1:12" ht="75" hidden="1" x14ac:dyDescent="0.25">
      <c r="A169">
        <v>115</v>
      </c>
      <c r="B169" s="162" t="s">
        <v>863</v>
      </c>
      <c r="C169" s="141" t="s">
        <v>1</v>
      </c>
      <c r="D169" t="s">
        <v>617</v>
      </c>
      <c r="E169" t="s">
        <v>618</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763</v>
      </c>
      <c r="H169" s="1" t="s">
        <v>734</v>
      </c>
      <c r="I169" s="1" t="s">
        <v>811</v>
      </c>
      <c r="L169" s="141" t="s">
        <v>387</v>
      </c>
    </row>
    <row r="170" spans="1:12" ht="75" hidden="1" x14ac:dyDescent="0.25">
      <c r="A170">
        <v>56</v>
      </c>
      <c r="B170" t="s">
        <v>472</v>
      </c>
      <c r="C170" s="141" t="s">
        <v>36</v>
      </c>
      <c r="D170" t="s">
        <v>578</v>
      </c>
      <c r="E170" t="s">
        <v>579</v>
      </c>
      <c r="F170" s="1" t="str">
        <f t="shared" si="2"/>
        <v>PURPOSE: Flag this row as 100% complete for reporting and filtering purposes
ACTION: Click to select
NOTE: This input is optional. Leave blank if the process is ongoing. Used for progress tracking.</v>
      </c>
      <c r="G170" s="1" t="s">
        <v>777</v>
      </c>
      <c r="H170" s="1" t="s">
        <v>778</v>
      </c>
      <c r="I170" s="1" t="s">
        <v>779</v>
      </c>
      <c r="L170" s="141" t="s">
        <v>390</v>
      </c>
    </row>
    <row r="171" spans="1:12" ht="75" hidden="1" x14ac:dyDescent="0.25">
      <c r="A171">
        <v>52</v>
      </c>
      <c r="B171" t="s">
        <v>472</v>
      </c>
      <c r="C171" s="141" t="s">
        <v>37</v>
      </c>
      <c r="D171" t="s">
        <v>571</v>
      </c>
      <c r="E171" t="s">
        <v>572</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733</v>
      </c>
      <c r="H171" s="1" t="s">
        <v>734</v>
      </c>
      <c r="I171" s="1" t="s">
        <v>773</v>
      </c>
      <c r="L171" s="141" t="s">
        <v>4</v>
      </c>
    </row>
    <row r="172" spans="1:12" ht="90" hidden="1" x14ac:dyDescent="0.25">
      <c r="A172">
        <v>44</v>
      </c>
      <c r="B172" t="s">
        <v>472</v>
      </c>
      <c r="C172" s="164" t="s">
        <v>22</v>
      </c>
      <c r="D172" t="s">
        <v>555</v>
      </c>
      <c r="E172" t="s">
        <v>556</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763</v>
      </c>
      <c r="H172" s="1" t="s">
        <v>734</v>
      </c>
      <c r="I172" s="1" t="s">
        <v>764</v>
      </c>
    </row>
    <row r="173" spans="1:12" ht="90" hidden="1" x14ac:dyDescent="0.25">
      <c r="A173">
        <v>31</v>
      </c>
      <c r="B173" t="s">
        <v>472</v>
      </c>
      <c r="C173" s="141" t="s">
        <v>21</v>
      </c>
      <c r="D173" t="s">
        <v>529</v>
      </c>
      <c r="E173" t="s">
        <v>530</v>
      </c>
      <c r="F173" s="1" t="str">
        <f t="shared" si="2"/>
        <v>PURPOSE: Data field for Name_Source in 1_2_Data_Flows
ACTION: Enter appropriate value for Name_Source
NOTE: Please refer to BioDYM documentation for specific requirements.</v>
      </c>
      <c r="G173" s="1" t="s">
        <v>744</v>
      </c>
      <c r="H173" s="1" t="s">
        <v>532</v>
      </c>
      <c r="I173" s="1" t="s">
        <v>726</v>
      </c>
    </row>
    <row r="174" spans="1:12" ht="75" hidden="1" x14ac:dyDescent="0.25">
      <c r="A174">
        <v>48</v>
      </c>
      <c r="B174" t="s">
        <v>472</v>
      </c>
      <c r="C174" s="141" t="s">
        <v>38</v>
      </c>
      <c r="D174" t="s">
        <v>563</v>
      </c>
      <c r="E174" t="s">
        <v>564</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768</v>
      </c>
      <c r="H174" s="1" t="s">
        <v>734</v>
      </c>
      <c r="I174" s="1" t="s">
        <v>769</v>
      </c>
    </row>
    <row r="175" spans="1:12" ht="75" hidden="1" x14ac:dyDescent="0.25">
      <c r="A175">
        <v>38</v>
      </c>
      <c r="B175" t="s">
        <v>472</v>
      </c>
      <c r="C175" s="141" t="s">
        <v>3</v>
      </c>
      <c r="D175" t="s">
        <v>543</v>
      </c>
      <c r="E175" t="s">
        <v>544</v>
      </c>
      <c r="F175" s="1" t="str">
        <f t="shared" si="2"/>
        <v>PURPOSE: Data field for CF_required? in 1_2_Data_Flows
ACTION: Enter appropriate value for CF_required?
NOTE: Please refer to BioDYM documentation for specific requirements.</v>
      </c>
      <c r="G175" s="1" t="s">
        <v>755</v>
      </c>
      <c r="H175" s="1" t="s">
        <v>546</v>
      </c>
      <c r="I175" s="1" t="s">
        <v>726</v>
      </c>
    </row>
    <row r="176" spans="1:12" ht="75" hidden="1" x14ac:dyDescent="0.25">
      <c r="A176">
        <v>88</v>
      </c>
      <c r="B176" t="s">
        <v>861</v>
      </c>
      <c r="C176" s="141" t="s">
        <v>3</v>
      </c>
      <c r="D176" t="s">
        <v>543</v>
      </c>
      <c r="E176" t="s">
        <v>544</v>
      </c>
      <c r="F176" s="1" t="str">
        <f t="shared" si="2"/>
        <v>PURPOSE: Flag this row as 100% complete for reporting and filtering purposes
ACTION: Click to select
NOTE: This input is optional. Leave blank if the process is ongoing. Used for progress tracking.</v>
      </c>
      <c r="G176" s="1" t="s">
        <v>777</v>
      </c>
      <c r="H176" s="1" t="s">
        <v>778</v>
      </c>
      <c r="I176" s="1" t="s">
        <v>779</v>
      </c>
    </row>
    <row r="177" spans="1:11" ht="75" hidden="1" x14ac:dyDescent="0.25">
      <c r="A177">
        <v>148</v>
      </c>
      <c r="B177" t="s">
        <v>475</v>
      </c>
      <c r="C177" s="141" t="s">
        <v>166</v>
      </c>
      <c r="D177" t="s">
        <v>645</v>
      </c>
      <c r="E177" t="s">
        <v>646</v>
      </c>
      <c r="F177" s="1" t="str">
        <f t="shared" si="2"/>
        <v>PURPOSE: Unique identifier for data row
ACTION: Automatically assigned
NOTE: This field is generated automatically. No manual input required. Used for system identification and linking.</v>
      </c>
      <c r="G177" s="1" t="s">
        <v>703</v>
      </c>
      <c r="H177" s="1" t="s">
        <v>704</v>
      </c>
      <c r="I177" s="1" t="s">
        <v>705</v>
      </c>
    </row>
    <row r="178" spans="1:11" ht="75" x14ac:dyDescent="0.25">
      <c r="A178">
        <v>21</v>
      </c>
      <c r="B178" t="s">
        <v>464</v>
      </c>
      <c r="C178" s="141" t="s">
        <v>90</v>
      </c>
      <c r="D178" t="s">
        <v>521</v>
      </c>
      <c r="E178" t="s">
        <v>522</v>
      </c>
      <c r="F178" s="1" t="str">
        <f t="shared" si="2"/>
        <v>PURPOSE: Data field for CC_FM_source in 1_1_Definition_Flows
ACTION: Enter appropriate value for CC_FM_source
NOTE: Please refer to BioDYM documentation for specific requirements.</v>
      </c>
      <c r="G178" s="1" t="s">
        <v>738</v>
      </c>
      <c r="H178" s="1" t="s">
        <v>524</v>
      </c>
      <c r="I178" s="1" t="s">
        <v>726</v>
      </c>
    </row>
    <row r="179" spans="1:11" ht="90" hidden="1" x14ac:dyDescent="0.25">
      <c r="A179">
        <v>26</v>
      </c>
      <c r="B179" t="s">
        <v>472</v>
      </c>
      <c r="C179" s="141" t="s">
        <v>27</v>
      </c>
      <c r="D179" t="s">
        <v>499</v>
      </c>
      <c r="E179" t="s">
        <v>500</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719</v>
      </c>
      <c r="H179" s="1" t="s">
        <v>720</v>
      </c>
      <c r="I179" s="1" t="s">
        <v>721</v>
      </c>
    </row>
    <row r="180" spans="1:11" ht="75" hidden="1" x14ac:dyDescent="0.25">
      <c r="A180">
        <v>45</v>
      </c>
      <c r="B180" t="s">
        <v>472</v>
      </c>
      <c r="C180" s="141" t="s">
        <v>30</v>
      </c>
      <c r="D180" t="s">
        <v>557</v>
      </c>
      <c r="E180" t="s">
        <v>558</v>
      </c>
      <c r="F180" s="1" t="str">
        <f t="shared" si="2"/>
        <v>PURPOSE: Data field for Flow_WC_year_ID in 1_2_Data_Flows
ACTION: Enter appropriate value for Flow_WC_year_ID
NOTE: Please refer to BioDYM documentation for specific requirements.</v>
      </c>
      <c r="G180" s="1" t="s">
        <v>765</v>
      </c>
      <c r="H180" s="1" t="s">
        <v>560</v>
      </c>
      <c r="I180" s="1" t="s">
        <v>726</v>
      </c>
    </row>
    <row r="181" spans="1:11" ht="75" hidden="1" x14ac:dyDescent="0.25">
      <c r="A181">
        <v>47</v>
      </c>
      <c r="B181" t="s">
        <v>472</v>
      </c>
      <c r="C181" s="141" t="s">
        <v>35</v>
      </c>
      <c r="D181" t="s">
        <v>561</v>
      </c>
      <c r="E181" t="s">
        <v>562</v>
      </c>
      <c r="F181" s="1" t="str">
        <f t="shared" si="2"/>
        <v>PURPOSE: Data field for UoM_WC_Flow_Py in 1_2_Data_Flows
ACTION: Enter appropriate value for UoM_WC_Flow_Py
NOTE: Please refer to BioDYM documentation for specific requirements.</v>
      </c>
      <c r="G181" s="1" t="s">
        <v>767</v>
      </c>
      <c r="H181" s="1" t="s">
        <v>564</v>
      </c>
      <c r="I181" s="1" t="s">
        <v>726</v>
      </c>
    </row>
    <row r="182" spans="1:11" ht="90" x14ac:dyDescent="0.25">
      <c r="A182">
        <v>22</v>
      </c>
      <c r="B182" t="s">
        <v>464</v>
      </c>
      <c r="C182" s="141" t="s">
        <v>49</v>
      </c>
      <c r="D182" t="s">
        <v>523</v>
      </c>
      <c r="E182" t="s">
        <v>524</v>
      </c>
      <c r="F182" s="1" t="str">
        <f t="shared" si="2"/>
        <v>PURPOSE: Unique identifier for data row
ACTION: Automatically assigned
NOTE: This field is generated automatically. No manual input required. Used for system identification and linking.</v>
      </c>
      <c r="G182" s="1" t="s">
        <v>703</v>
      </c>
      <c r="H182" s="1" t="s">
        <v>704</v>
      </c>
      <c r="I182" s="1" t="s">
        <v>705</v>
      </c>
    </row>
    <row r="183" spans="1:11" ht="90" hidden="1" x14ac:dyDescent="0.25">
      <c r="A183">
        <v>178</v>
      </c>
      <c r="B183" t="s">
        <v>483</v>
      </c>
      <c r="C183" s="141" t="s">
        <v>387</v>
      </c>
      <c r="D183" t="s">
        <v>494</v>
      </c>
      <c r="E183" t="s">
        <v>495</v>
      </c>
      <c r="F183" s="1" t="str">
        <f t="shared" si="2"/>
        <v>PURPOSE: Unique identifier for material flow
ACTION: Automatically assigned
NOTE: This field is generated automatically. No manual input required. Used for system identification and linking.</v>
      </c>
      <c r="G183" s="1" t="s">
        <v>706</v>
      </c>
      <c r="H183" s="1" t="s">
        <v>704</v>
      </c>
      <c r="I183" s="1" t="s">
        <v>705</v>
      </c>
    </row>
    <row r="184" spans="1:11" ht="75" hidden="1" x14ac:dyDescent="0.25">
      <c r="A184">
        <v>178</v>
      </c>
      <c r="B184" t="s">
        <v>483</v>
      </c>
      <c r="C184" s="141" t="s">
        <v>386</v>
      </c>
      <c r="D184" t="s">
        <v>496</v>
      </c>
      <c r="E184" t="s">
        <v>495</v>
      </c>
      <c r="F184" s="1" t="str">
        <f t="shared" si="2"/>
        <v>PURPOSE: Data field for Name(EN) in 6_2_Visualization_Flows
ACTION: Enter appropriate value for Name(EN)
NOTE: Please refer to BioDYM documentation for specific requirements.</v>
      </c>
      <c r="G184" s="1" t="s">
        <v>858</v>
      </c>
      <c r="H184" s="1" t="s">
        <v>676</v>
      </c>
      <c r="I184" s="1" t="s">
        <v>726</v>
      </c>
    </row>
    <row r="185" spans="1:11" ht="75" hidden="1" x14ac:dyDescent="0.25">
      <c r="A185">
        <v>176</v>
      </c>
      <c r="B185" t="s">
        <v>483</v>
      </c>
      <c r="C185" s="141" t="s">
        <v>383</v>
      </c>
      <c r="D185" t="s">
        <v>683</v>
      </c>
      <c r="E185" t="s">
        <v>684</v>
      </c>
      <c r="F185" s="1" t="str">
        <f t="shared" si="2"/>
        <v>PURPOSE: Data field for Y_Position_Material in 6_1_Visualization_Processes
ACTION: Enter appropriate value for Y_Position_Material
NOTE: Please refer to BioDYM documentation for specific requirements.</v>
      </c>
      <c r="G185" s="1" t="s">
        <v>851</v>
      </c>
      <c r="H185" s="1" t="s">
        <v>686</v>
      </c>
      <c r="I185" s="1" t="s">
        <v>726</v>
      </c>
    </row>
    <row r="186" spans="1:11" ht="105" hidden="1" x14ac:dyDescent="0.25">
      <c r="A186">
        <v>178</v>
      </c>
      <c r="B186" t="s">
        <v>483</v>
      </c>
      <c r="C186" s="141" t="s">
        <v>385</v>
      </c>
      <c r="D186" t="s">
        <v>675</v>
      </c>
      <c r="E186" t="s">
        <v>676</v>
      </c>
      <c r="F186" s="1" t="str">
        <f t="shared" si="2"/>
        <v>PURPOSE: Data field for Flow_Color in 6_2_Visualization_Flows
ACTION: Enter appropriate value for Flow_Color
NOTE: Please refer to BioDYM documentation for specific requirements.</v>
      </c>
      <c r="G186" s="1" t="s">
        <v>859</v>
      </c>
      <c r="H186" s="1" t="s">
        <v>700</v>
      </c>
      <c r="I186" s="1" t="s">
        <v>726</v>
      </c>
      <c r="K186" s="141"/>
    </row>
    <row r="187" spans="1:11" ht="90" hidden="1" x14ac:dyDescent="0.25">
      <c r="A187">
        <v>178</v>
      </c>
      <c r="B187" t="s">
        <v>483</v>
      </c>
      <c r="C187" s="141" t="s">
        <v>390</v>
      </c>
      <c r="D187" t="s">
        <v>699</v>
      </c>
      <c r="E187" t="s">
        <v>700</v>
      </c>
      <c r="F187" s="1" t="str">
        <f t="shared" si="2"/>
        <v>PURPOSE: Data field for Flow_Color_# in 6_2_Visualization_Flows
ACTION: Enter appropriate value for Flow_Color_#
NOTE: Please refer to BioDYM documentation for specific requirements.</v>
      </c>
      <c r="G187" s="1" t="s">
        <v>860</v>
      </c>
      <c r="H187" s="1" t="s">
        <v>702</v>
      </c>
      <c r="I187" s="1" t="s">
        <v>726</v>
      </c>
      <c r="K187" s="141"/>
    </row>
    <row r="188" spans="1:11" ht="90" hidden="1" x14ac:dyDescent="0.25">
      <c r="A188">
        <v>178</v>
      </c>
      <c r="B188" t="s">
        <v>483</v>
      </c>
      <c r="C188" s="141" t="s">
        <v>389</v>
      </c>
      <c r="D188" t="s">
        <v>701</v>
      </c>
      <c r="E188" t="s">
        <v>702</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783</v>
      </c>
      <c r="H188" s="1" t="s">
        <v>784</v>
      </c>
      <c r="I188" s="1" t="s">
        <v>709</v>
      </c>
      <c r="K188" s="141"/>
    </row>
    <row r="189" spans="1:11" ht="75" hidden="1" x14ac:dyDescent="0.25">
      <c r="A189">
        <v>177</v>
      </c>
      <c r="B189" t="s">
        <v>483</v>
      </c>
      <c r="C189" s="141" t="s">
        <v>384</v>
      </c>
      <c r="D189" t="s">
        <v>685</v>
      </c>
      <c r="E189" t="s">
        <v>686</v>
      </c>
      <c r="F189" s="1" t="str">
        <f t="shared" si="2"/>
        <v>PURPOSE: Data field for X_Position_WC in 6_1_Visualization_Processes
ACTION: Enter appropriate value for X_Position_WC
NOTE: Please refer to BioDYM documentation for specific requirements.</v>
      </c>
      <c r="G189" s="1" t="s">
        <v>852</v>
      </c>
      <c r="H189" s="1" t="s">
        <v>688</v>
      </c>
      <c r="I189" s="1" t="s">
        <v>726</v>
      </c>
      <c r="K189" s="141"/>
    </row>
    <row r="190" spans="1:11" ht="75" hidden="1" x14ac:dyDescent="0.25">
      <c r="A190">
        <v>178</v>
      </c>
      <c r="B190" t="s">
        <v>483</v>
      </c>
      <c r="C190" s="141" t="s">
        <v>388</v>
      </c>
      <c r="D190" t="s">
        <v>585</v>
      </c>
      <c r="E190" t="s">
        <v>586</v>
      </c>
      <c r="F190" s="1" t="str">
        <f t="shared" si="2"/>
        <v xml:space="preserve">PURPOSE: 
ACTION: 
NOTE: </v>
      </c>
      <c r="K190" s="141"/>
    </row>
    <row r="191" spans="1:11" ht="75" hidden="1" x14ac:dyDescent="0.25">
      <c r="A191">
        <v>97</v>
      </c>
      <c r="B191" s="162" t="s">
        <v>862</v>
      </c>
      <c r="C191" s="141" t="s">
        <v>0</v>
      </c>
      <c r="D191" t="s">
        <v>613</v>
      </c>
      <c r="E191" t="s">
        <v>614</v>
      </c>
      <c r="F191" s="1" t="str">
        <f t="shared" si="2"/>
        <v>PURPOSE: Unique identifier for transfer coefficient material
ACTION: Automatically assigned
NOTE: This field is generated automatically. No manual input required. Used for system identification and linking.</v>
      </c>
      <c r="G191" s="1" t="s">
        <v>796</v>
      </c>
      <c r="H191" s="1" t="s">
        <v>704</v>
      </c>
      <c r="I191" s="1" t="s">
        <v>705</v>
      </c>
      <c r="K191" s="141"/>
    </row>
    <row r="192" spans="1:11" ht="105" hidden="1" x14ac:dyDescent="0.25">
      <c r="A192">
        <v>85</v>
      </c>
      <c r="B192" t="s">
        <v>861</v>
      </c>
      <c r="C192" s="141" t="s">
        <v>462</v>
      </c>
      <c r="D192" t="s">
        <v>607</v>
      </c>
      <c r="E192" t="s">
        <v>608</v>
      </c>
      <c r="F192" s="1" t="str">
        <f t="shared" si="2"/>
        <v>PURPOSE: Data field for Author in 2_3_static_TCs
ACTION: Enter appropriate value for Author
NOTE: Please refer to BioDYM documentation for specific requirements.</v>
      </c>
      <c r="G192" s="1" t="s">
        <v>804</v>
      </c>
      <c r="H192" s="1" t="s">
        <v>610</v>
      </c>
      <c r="I192" s="1" t="s">
        <v>726</v>
      </c>
    </row>
    <row r="193" spans="1:9" ht="75" hidden="1" x14ac:dyDescent="0.25">
      <c r="A193">
        <v>35</v>
      </c>
      <c r="B193" t="s">
        <v>472</v>
      </c>
      <c r="C193" s="141" t="s">
        <v>15</v>
      </c>
      <c r="D193" t="s">
        <v>537</v>
      </c>
      <c r="E193" t="s">
        <v>538</v>
      </c>
      <c r="F193" s="1" t="str">
        <f t="shared" si="2"/>
        <v>PURPOSE: Defines the Data Source Author for data traceability
ACTION: Enter author or organization information
NOTE: Required for data quality assessment and traceability. Include author, publication, or data source.</v>
      </c>
      <c r="G193" s="1" t="s">
        <v>748</v>
      </c>
      <c r="H193" s="1" t="s">
        <v>749</v>
      </c>
      <c r="I193" s="1" t="s">
        <v>750</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874</v>
      </c>
      <c r="B1" s="222"/>
      <c r="C1" s="222"/>
    </row>
    <row r="2" spans="1:3" x14ac:dyDescent="0.25">
      <c r="A2" s="11" t="s">
        <v>7</v>
      </c>
      <c r="B2" s="11" t="s">
        <v>873</v>
      </c>
      <c r="C2" s="11" t="s">
        <v>4</v>
      </c>
    </row>
    <row r="3" spans="1:3" x14ac:dyDescent="0.25">
      <c r="A3">
        <v>1</v>
      </c>
      <c r="B3" t="s">
        <v>5</v>
      </c>
    </row>
    <row r="4" spans="1:3" x14ac:dyDescent="0.25">
      <c r="A4">
        <v>2</v>
      </c>
      <c r="B4" t="s">
        <v>6</v>
      </c>
    </row>
    <row r="5" spans="1:3" x14ac:dyDescent="0.25">
      <c r="A5" t="s">
        <v>864</v>
      </c>
      <c r="C5">
        <f>SUBTOTAL(103,CL_YesNo[Description])</f>
        <v>0</v>
      </c>
    </row>
    <row r="8" spans="1:3" x14ac:dyDescent="0.25">
      <c r="A8" s="11" t="s">
        <v>7</v>
      </c>
      <c r="B8" s="11" t="s">
        <v>1038</v>
      </c>
      <c r="C8" s="11" t="s">
        <v>4</v>
      </c>
    </row>
    <row r="9" spans="1:3" x14ac:dyDescent="0.25">
      <c r="A9">
        <v>1</v>
      </c>
      <c r="B9" t="s">
        <v>1039</v>
      </c>
      <c r="C9" s="1"/>
    </row>
    <row r="10" spans="1:3" x14ac:dyDescent="0.25">
      <c r="A10">
        <v>2</v>
      </c>
      <c r="B10" t="s">
        <v>1040</v>
      </c>
      <c r="C10" s="1"/>
    </row>
    <row r="11" spans="1:3" x14ac:dyDescent="0.25">
      <c r="A11">
        <v>3</v>
      </c>
      <c r="B11" t="s">
        <v>1041</v>
      </c>
    </row>
    <row r="12" spans="1:3" x14ac:dyDescent="0.25">
      <c r="A12">
        <v>4</v>
      </c>
      <c r="B12" t="s">
        <v>164</v>
      </c>
    </row>
    <row r="13" spans="1:3" x14ac:dyDescent="0.25">
      <c r="A13">
        <v>5</v>
      </c>
      <c r="B13" t="s">
        <v>1042</v>
      </c>
    </row>
    <row r="14" spans="1:3" x14ac:dyDescent="0.25">
      <c r="A14">
        <v>6</v>
      </c>
    </row>
    <row r="15" spans="1:3" x14ac:dyDescent="0.25">
      <c r="A15">
        <v>7</v>
      </c>
    </row>
    <row r="16" spans="1:3" x14ac:dyDescent="0.25">
      <c r="A16" t="s">
        <v>864</v>
      </c>
      <c r="C16">
        <f>SUBTOTAL(103,CL_Process_Logic3[Description])</f>
        <v>0</v>
      </c>
    </row>
    <row r="24" spans="1:3" x14ac:dyDescent="0.25">
      <c r="A24" s="228" t="s">
        <v>868</v>
      </c>
      <c r="B24" s="228"/>
      <c r="C24" s="228"/>
    </row>
    <row r="26" spans="1:3" x14ac:dyDescent="0.25">
      <c r="A26" s="226" t="s">
        <v>865</v>
      </c>
      <c r="B26" s="226"/>
      <c r="C26" s="226"/>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864</v>
      </c>
      <c r="C35">
        <f>SUBTOTAL(103,CL_Process_Logic[Description])</f>
        <v>2</v>
      </c>
    </row>
    <row r="37" spans="1:3" x14ac:dyDescent="0.25">
      <c r="A37" s="226" t="s">
        <v>866</v>
      </c>
      <c r="B37" s="226"/>
      <c r="C37" s="226"/>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864</v>
      </c>
      <c r="C42">
        <f>SUBTOTAL(103,CL_TC_Configuration[Description])</f>
        <v>0</v>
      </c>
    </row>
    <row r="44" spans="1:3" x14ac:dyDescent="0.25">
      <c r="A44" s="226" t="s">
        <v>457</v>
      </c>
      <c r="B44" s="226"/>
      <c r="C44" s="226"/>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864</v>
      </c>
      <c r="C49">
        <f>SUBTOTAL(103,CL_Stock_Configuration[Description])</f>
        <v>0</v>
      </c>
    </row>
    <row r="51" spans="1:10" x14ac:dyDescent="0.25">
      <c r="A51" s="226" t="s">
        <v>867</v>
      </c>
      <c r="B51" s="226"/>
      <c r="C51" s="226"/>
    </row>
    <row r="52" spans="1:10" x14ac:dyDescent="0.25">
      <c r="A52" t="s">
        <v>7</v>
      </c>
      <c r="B52" t="s">
        <v>489</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864</v>
      </c>
      <c r="C62">
        <f>SUBTOTAL(103,Table35[Description])</f>
        <v>0</v>
      </c>
      <c r="E62" s="159"/>
      <c r="F62" s="159"/>
      <c r="G62" s="159"/>
      <c r="I62" s="145"/>
      <c r="J62" s="159"/>
    </row>
    <row r="63" spans="1:10" x14ac:dyDescent="0.25">
      <c r="E63" s="159"/>
      <c r="F63" s="159"/>
      <c r="G63" s="159"/>
      <c r="I63" s="145"/>
      <c r="J63" s="159"/>
    </row>
    <row r="64" spans="1:10" x14ac:dyDescent="0.25">
      <c r="A64" s="226" t="s">
        <v>1056</v>
      </c>
      <c r="B64" s="226"/>
      <c r="C64" s="226"/>
      <c r="E64" s="159"/>
      <c r="F64" s="159"/>
      <c r="G64" s="159"/>
      <c r="I64" s="145"/>
      <c r="J64" s="159"/>
    </row>
    <row r="65" spans="1:10" x14ac:dyDescent="0.25">
      <c r="A65" t="s">
        <v>7</v>
      </c>
      <c r="B65" t="s">
        <v>1054</v>
      </c>
      <c r="C65" t="s">
        <v>4</v>
      </c>
      <c r="E65" s="159"/>
      <c r="F65" s="159"/>
      <c r="G65" s="159"/>
      <c r="I65" s="145"/>
      <c r="J65" s="159"/>
    </row>
    <row r="66" spans="1:10" x14ac:dyDescent="0.25">
      <c r="A66">
        <v>1</v>
      </c>
      <c r="B66" t="s">
        <v>1057</v>
      </c>
      <c r="E66" s="159"/>
      <c r="F66" s="159"/>
      <c r="G66" s="159"/>
      <c r="I66" s="145"/>
      <c r="J66" s="159"/>
    </row>
    <row r="67" spans="1:10" x14ac:dyDescent="0.25">
      <c r="A67">
        <v>2</v>
      </c>
      <c r="B67" t="s">
        <v>1043</v>
      </c>
      <c r="E67" s="159"/>
      <c r="F67" s="159"/>
      <c r="G67" s="159"/>
      <c r="I67" s="145"/>
      <c r="J67" s="159"/>
    </row>
    <row r="68" spans="1:10" x14ac:dyDescent="0.25">
      <c r="A68">
        <v>3</v>
      </c>
      <c r="B68" t="s">
        <v>1044</v>
      </c>
      <c r="E68" s="159"/>
      <c r="F68" s="159"/>
      <c r="G68" s="159"/>
      <c r="I68" s="145"/>
      <c r="J68" s="159"/>
    </row>
    <row r="69" spans="1:10" x14ac:dyDescent="0.25">
      <c r="A69">
        <v>4</v>
      </c>
      <c r="B69" t="s">
        <v>1045</v>
      </c>
      <c r="E69" s="159"/>
      <c r="F69" s="159"/>
      <c r="G69" s="159"/>
      <c r="I69" s="145"/>
      <c r="J69" s="159"/>
    </row>
    <row r="70" spans="1:10" x14ac:dyDescent="0.25">
      <c r="A70">
        <v>5</v>
      </c>
      <c r="B70" t="s">
        <v>1058</v>
      </c>
      <c r="E70" s="159"/>
      <c r="F70" s="159"/>
      <c r="G70" s="159"/>
      <c r="I70" s="145"/>
      <c r="J70" s="159"/>
    </row>
    <row r="71" spans="1:10" x14ac:dyDescent="0.25">
      <c r="A71">
        <v>6</v>
      </c>
      <c r="B71" t="s">
        <v>1046</v>
      </c>
      <c r="E71" s="159"/>
      <c r="F71" s="159"/>
      <c r="G71" s="159"/>
      <c r="I71" s="145"/>
      <c r="J71" s="159"/>
    </row>
    <row r="72" spans="1:10" x14ac:dyDescent="0.25">
      <c r="A72">
        <v>7</v>
      </c>
      <c r="B72" t="s">
        <v>1047</v>
      </c>
      <c r="E72" s="159"/>
      <c r="F72" s="159"/>
      <c r="G72" s="159"/>
      <c r="I72" s="145"/>
      <c r="J72" s="159"/>
    </row>
    <row r="73" spans="1:10" x14ac:dyDescent="0.25">
      <c r="A73">
        <v>8</v>
      </c>
      <c r="B73" t="s">
        <v>1048</v>
      </c>
      <c r="E73" s="159"/>
      <c r="F73" s="159"/>
      <c r="G73" s="159"/>
      <c r="I73" s="145"/>
      <c r="J73" s="159"/>
    </row>
    <row r="74" spans="1:10" x14ac:dyDescent="0.25">
      <c r="A74">
        <v>9</v>
      </c>
      <c r="B74" t="s">
        <v>1049</v>
      </c>
      <c r="E74" s="159"/>
      <c r="F74" s="159"/>
      <c r="G74" s="159"/>
      <c r="I74" s="145"/>
      <c r="J74" s="159"/>
    </row>
    <row r="75" spans="1:10" x14ac:dyDescent="0.25">
      <c r="A75">
        <v>10</v>
      </c>
      <c r="B75" t="s">
        <v>1050</v>
      </c>
      <c r="E75" s="159"/>
      <c r="F75" s="159"/>
      <c r="G75" s="159"/>
      <c r="I75" s="145"/>
      <c r="J75" s="159"/>
    </row>
    <row r="76" spans="1:10" x14ac:dyDescent="0.25">
      <c r="A76">
        <v>11</v>
      </c>
      <c r="B76" t="s">
        <v>1051</v>
      </c>
      <c r="E76" s="159"/>
      <c r="F76" s="159"/>
      <c r="G76" s="159"/>
      <c r="I76" s="145"/>
      <c r="J76" s="159"/>
    </row>
    <row r="77" spans="1:10" x14ac:dyDescent="0.25">
      <c r="A77">
        <v>12</v>
      </c>
      <c r="B77" t="s">
        <v>1052</v>
      </c>
      <c r="E77" s="159"/>
      <c r="F77" s="159"/>
      <c r="G77" s="159"/>
      <c r="I77" s="145"/>
      <c r="J77" s="159"/>
    </row>
    <row r="78" spans="1:10" x14ac:dyDescent="0.25">
      <c r="A78">
        <v>13</v>
      </c>
      <c r="B78" t="s">
        <v>1053</v>
      </c>
      <c r="E78" s="159"/>
      <c r="F78" s="159"/>
      <c r="G78" s="159"/>
      <c r="I78" s="145"/>
      <c r="J78" s="159"/>
    </row>
    <row r="79" spans="1:10" x14ac:dyDescent="0.25">
      <c r="A79" t="s">
        <v>864</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226" t="s">
        <v>870</v>
      </c>
      <c r="B83" s="226"/>
      <c r="C83" s="226"/>
    </row>
    <row r="84" spans="1:10" x14ac:dyDescent="0.25">
      <c r="A84" t="s">
        <v>7</v>
      </c>
      <c r="B84" t="s">
        <v>869</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22"/>
      <c r="F92" s="222"/>
      <c r="G92" s="222"/>
    </row>
    <row r="93" spans="1:10" x14ac:dyDescent="0.25">
      <c r="A93">
        <v>9</v>
      </c>
      <c r="B93">
        <v>9</v>
      </c>
      <c r="E93" s="145"/>
      <c r="F93" s="145"/>
      <c r="G93" s="145"/>
    </row>
    <row r="94" spans="1:10" x14ac:dyDescent="0.25">
      <c r="A94" t="s">
        <v>864</v>
      </c>
      <c r="C94">
        <f>SUBTOTAL(103,CL_DSM_material_count[Description])</f>
        <v>0</v>
      </c>
      <c r="E94" s="145"/>
      <c r="F94" s="145"/>
      <c r="G94" s="145"/>
    </row>
    <row r="95" spans="1:10" x14ac:dyDescent="0.25">
      <c r="E95" s="145"/>
      <c r="F95" s="145"/>
      <c r="G95" s="145"/>
    </row>
    <row r="96" spans="1:10" x14ac:dyDescent="0.25">
      <c r="A96" s="226" t="s">
        <v>871</v>
      </c>
      <c r="B96" s="226"/>
      <c r="C96" s="226"/>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864</v>
      </c>
      <c r="C112">
        <f>SUBTOTAL(103,CL_DSM_Parameter_type[Description])</f>
        <v>3</v>
      </c>
      <c r="E112" s="145"/>
      <c r="F112" s="145"/>
      <c r="G112" s="145"/>
    </row>
    <row r="113" spans="1:9" x14ac:dyDescent="0.25">
      <c r="E113" s="145"/>
      <c r="F113" s="145"/>
      <c r="G113" s="145"/>
    </row>
    <row r="114" spans="1:9" x14ac:dyDescent="0.25">
      <c r="A114" s="226" t="s">
        <v>872</v>
      </c>
      <c r="B114" s="226"/>
      <c r="C114" s="226"/>
      <c r="E114" s="145"/>
      <c r="F114" s="145"/>
      <c r="G114" s="145"/>
    </row>
    <row r="115" spans="1:9" x14ac:dyDescent="0.25">
      <c r="A115" t="s">
        <v>7</v>
      </c>
      <c r="B115" t="s">
        <v>896</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222"/>
      <c r="B125" s="222"/>
      <c r="C125" s="222"/>
    </row>
    <row r="128" spans="1:9" x14ac:dyDescent="0.25">
      <c r="I128" s="145"/>
    </row>
    <row r="129" spans="1:9" x14ac:dyDescent="0.25">
      <c r="I129" s="159"/>
    </row>
    <row r="140" spans="1:9" x14ac:dyDescent="0.25">
      <c r="F140" s="222"/>
      <c r="G140" s="222"/>
      <c r="H140" s="222"/>
    </row>
    <row r="141" spans="1:9" x14ac:dyDescent="0.25">
      <c r="A141" s="227" t="s">
        <v>894</v>
      </c>
      <c r="B141" s="227"/>
      <c r="C141" s="227"/>
    </row>
    <row r="143" spans="1:9" x14ac:dyDescent="0.25">
      <c r="A143" s="226" t="s">
        <v>875</v>
      </c>
      <c r="B143" s="226"/>
      <c r="C143" s="226"/>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864</v>
      </c>
      <c r="C148">
        <f>SUBTOTAL(103,CL_Operation[Description])</f>
        <v>3</v>
      </c>
    </row>
    <row r="150" spans="1:10" x14ac:dyDescent="0.25">
      <c r="A150" s="226" t="s">
        <v>993</v>
      </c>
      <c r="B150" s="226"/>
      <c r="C150" s="226"/>
    </row>
    <row r="151" spans="1:10" x14ac:dyDescent="0.25">
      <c r="A151" t="s">
        <v>7</v>
      </c>
      <c r="B151" t="s">
        <v>994</v>
      </c>
      <c r="C151" t="s">
        <v>4</v>
      </c>
    </row>
    <row r="152" spans="1:10" x14ac:dyDescent="0.25">
      <c r="A152">
        <v>1</v>
      </c>
      <c r="B152" t="s">
        <v>172</v>
      </c>
      <c r="C152" t="s">
        <v>988</v>
      </c>
    </row>
    <row r="153" spans="1:10" x14ac:dyDescent="0.25">
      <c r="A153">
        <v>2</v>
      </c>
      <c r="B153" t="s">
        <v>989</v>
      </c>
      <c r="C153" t="s">
        <v>990</v>
      </c>
    </row>
    <row r="154" spans="1:10" x14ac:dyDescent="0.25">
      <c r="A154">
        <v>3</v>
      </c>
      <c r="B154" t="s">
        <v>991</v>
      </c>
      <c r="C154" t="s">
        <v>992</v>
      </c>
    </row>
    <row r="155" spans="1:10" x14ac:dyDescent="0.25">
      <c r="A155">
        <v>4</v>
      </c>
    </row>
    <row r="159" spans="1:10" x14ac:dyDescent="0.25">
      <c r="A159" t="s">
        <v>171</v>
      </c>
      <c r="B159" t="s">
        <v>1035</v>
      </c>
      <c r="C159" t="s">
        <v>1033</v>
      </c>
      <c r="D159" t="s">
        <v>1032</v>
      </c>
      <c r="E159" t="s">
        <v>190</v>
      </c>
      <c r="F159" t="s">
        <v>191</v>
      </c>
      <c r="G159" t="s">
        <v>193</v>
      </c>
      <c r="H159" t="s">
        <v>1031</v>
      </c>
      <c r="I159" t="s">
        <v>192</v>
      </c>
      <c r="J159" t="s">
        <v>1034</v>
      </c>
    </row>
    <row r="160" spans="1:10" x14ac:dyDescent="0.25">
      <c r="A160">
        <v>1</v>
      </c>
      <c r="B160" t="s">
        <v>1033</v>
      </c>
      <c r="C160" t="s">
        <v>404</v>
      </c>
      <c r="D160" t="s">
        <v>404</v>
      </c>
      <c r="E160" t="s">
        <v>197</v>
      </c>
      <c r="G160" t="s">
        <v>88</v>
      </c>
      <c r="I160" t="s">
        <v>435</v>
      </c>
      <c r="J160" t="s">
        <v>1036</v>
      </c>
    </row>
    <row r="161" spans="1:9" x14ac:dyDescent="0.25">
      <c r="A161">
        <v>2</v>
      </c>
      <c r="B161" t="s">
        <v>1032</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1034</v>
      </c>
      <c r="E165" t="s">
        <v>200</v>
      </c>
      <c r="I165" t="s">
        <v>444</v>
      </c>
    </row>
    <row r="166" spans="1:9" x14ac:dyDescent="0.25">
      <c r="A166">
        <v>7</v>
      </c>
      <c r="B166" t="s">
        <v>192</v>
      </c>
      <c r="E166" t="s">
        <v>203</v>
      </c>
      <c r="I166" t="s">
        <v>445</v>
      </c>
    </row>
    <row r="167" spans="1:9" x14ac:dyDescent="0.25">
      <c r="A167">
        <v>8</v>
      </c>
      <c r="B167" t="s">
        <v>1031</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76" t="str">
        <f>'2_1_Definition_Processes'!D2</f>
        <v>Environment</v>
      </c>
      <c r="C1" s="276"/>
      <c r="D1" s="276"/>
      <c r="E1" s="276"/>
      <c r="F1" s="276"/>
      <c r="G1" s="276"/>
      <c r="H1" s="276"/>
      <c r="I1" s="118" t="s">
        <v>160</v>
      </c>
      <c r="J1" s="277" t="s">
        <v>41</v>
      </c>
      <c r="K1" s="277"/>
      <c r="L1" s="277"/>
      <c r="M1" s="277"/>
    </row>
    <row r="2" spans="1:22" ht="16.5" thickBot="1" x14ac:dyDescent="0.3">
      <c r="A2" s="267" t="s">
        <v>159</v>
      </c>
      <c r="B2" s="268"/>
      <c r="C2" s="268"/>
      <c r="D2" s="268"/>
      <c r="E2" s="268"/>
      <c r="F2" s="268"/>
      <c r="G2" s="268"/>
      <c r="H2" s="268"/>
      <c r="I2" s="268"/>
      <c r="J2" s="268"/>
      <c r="K2" s="268"/>
      <c r="L2" s="268"/>
      <c r="M2" s="269"/>
    </row>
    <row r="3" spans="1:22" ht="126.75" customHeight="1" thickBot="1" x14ac:dyDescent="0.3">
      <c r="A3" s="278"/>
      <c r="B3" s="279"/>
      <c r="C3" s="279"/>
      <c r="D3" s="279"/>
      <c r="E3" s="279"/>
      <c r="F3" s="279"/>
      <c r="G3" s="279"/>
      <c r="H3" s="279"/>
      <c r="I3" s="279"/>
      <c r="J3" s="279"/>
      <c r="K3" s="279"/>
      <c r="L3" s="279"/>
      <c r="M3" s="280"/>
    </row>
    <row r="4" spans="1:22" ht="31.5" customHeight="1" x14ac:dyDescent="0.25">
      <c r="A4" s="117" t="s">
        <v>158</v>
      </c>
      <c r="B4" s="281"/>
      <c r="C4" s="282"/>
      <c r="D4" s="283"/>
      <c r="E4" s="284" t="s">
        <v>157</v>
      </c>
      <c r="F4" s="285"/>
      <c r="G4" s="122"/>
      <c r="H4" s="122"/>
      <c r="I4" s="116"/>
      <c r="J4" s="116"/>
      <c r="K4" s="116"/>
      <c r="L4" s="116"/>
      <c r="M4" s="116"/>
    </row>
    <row r="5" spans="1:22" ht="16.5" customHeight="1" x14ac:dyDescent="0.25">
      <c r="A5" s="119" t="s">
        <v>156</v>
      </c>
      <c r="B5" s="270" t="s">
        <v>194</v>
      </c>
      <c r="C5" s="270"/>
      <c r="D5" s="271"/>
      <c r="E5" s="119" t="s">
        <v>156</v>
      </c>
      <c r="F5" s="272" t="e">
        <f>_xlfn.XLOOKUP(J1,Tab_Def_Processes[Process_ID],#REF!,"No_flow.",0,1)</f>
        <v>#REF!</v>
      </c>
      <c r="G5" s="272"/>
      <c r="H5" s="273"/>
      <c r="I5" s="120"/>
      <c r="J5" s="115"/>
      <c r="K5" s="115"/>
      <c r="L5" s="115"/>
      <c r="M5" s="112"/>
    </row>
    <row r="6" spans="1:22" ht="16.5" customHeight="1" x14ac:dyDescent="0.25">
      <c r="A6" s="119" t="s">
        <v>155</v>
      </c>
      <c r="B6" s="272" t="s">
        <v>195</v>
      </c>
      <c r="C6" s="272"/>
      <c r="D6" s="273"/>
      <c r="E6" s="119" t="s">
        <v>155</v>
      </c>
      <c r="F6" s="272" t="e">
        <f>_xlfn.XLOOKUP(J1,Tab_Def_Processes[Process_ID],#REF!,"No_flow.",0,1)</f>
        <v>#REF!</v>
      </c>
      <c r="G6" s="272"/>
      <c r="H6" s="273"/>
      <c r="I6" s="120"/>
      <c r="J6" s="115"/>
      <c r="K6" s="115"/>
      <c r="L6" s="115"/>
      <c r="M6" s="112"/>
    </row>
    <row r="7" spans="1:22" ht="16.5" customHeight="1" x14ac:dyDescent="0.25">
      <c r="A7" s="114" t="s">
        <v>154</v>
      </c>
      <c r="B7" s="272" t="e">
        <f>_xlfn.XLOOKUP(J1,Tab_Def_Processes[Process_ID],#REF!,"No_flow.",0,1)</f>
        <v>#REF!</v>
      </c>
      <c r="C7" s="272"/>
      <c r="D7" s="273"/>
      <c r="E7" s="114" t="s">
        <v>154</v>
      </c>
      <c r="F7" s="272" t="e">
        <f>_xlfn.XLOOKUP(J1,Tab_Def_Processes[Process_ID],#REF!,"No_flow.",0,1)</f>
        <v>#REF!</v>
      </c>
      <c r="G7" s="272"/>
      <c r="H7" s="273"/>
      <c r="I7" s="121"/>
      <c r="J7" s="113"/>
      <c r="K7" s="113"/>
      <c r="L7" s="113"/>
      <c r="M7" s="112"/>
    </row>
    <row r="8" spans="1:22" ht="16.5" customHeight="1" x14ac:dyDescent="0.25">
      <c r="A8" s="114" t="s">
        <v>153</v>
      </c>
      <c r="B8" s="272" t="e">
        <f>_xlfn.XLOOKUP(J1,Tab_Def_Processes[Process_ID],#REF!,"No_flow.",0,1)</f>
        <v>#REF!</v>
      </c>
      <c r="C8" s="272"/>
      <c r="D8" s="273"/>
      <c r="E8" s="114" t="s">
        <v>153</v>
      </c>
      <c r="F8" s="272" t="e">
        <f>_xlfn.XLOOKUP(J1,Tab_Def_Processes[Process_ID],#REF!,"No_flow.",0,1)</f>
        <v>#REF!</v>
      </c>
      <c r="G8" s="272"/>
      <c r="H8" s="273"/>
      <c r="I8" s="121"/>
      <c r="J8" s="113"/>
      <c r="K8" s="113"/>
      <c r="L8" s="113"/>
      <c r="M8" s="112"/>
    </row>
    <row r="9" spans="1:22" ht="16.5" customHeight="1" x14ac:dyDescent="0.25">
      <c r="A9" s="114" t="s">
        <v>152</v>
      </c>
      <c r="B9" s="272" t="e">
        <f>_xlfn.XLOOKUP(J1,Tab_Def_Processes[Process_ID],#REF!,"No_flow.",0,1)</f>
        <v>#REF!</v>
      </c>
      <c r="C9" s="272"/>
      <c r="D9" s="273"/>
      <c r="E9" s="114" t="s">
        <v>152</v>
      </c>
      <c r="F9" s="272" t="e">
        <f>_xlfn.XLOOKUP(J1,Tab_Def_Processes[Process_ID],#REF!,"No_flow.",0,1)</f>
        <v>#REF!</v>
      </c>
      <c r="G9" s="272"/>
      <c r="H9" s="273"/>
      <c r="I9" s="121"/>
      <c r="J9" s="113"/>
      <c r="K9" s="113"/>
      <c r="L9" s="113"/>
      <c r="M9" s="112"/>
    </row>
    <row r="10" spans="1:22" ht="16.5" customHeight="1" thickBot="1" x14ac:dyDescent="0.3">
      <c r="A10" s="123" t="s">
        <v>151</v>
      </c>
      <c r="B10" s="274"/>
      <c r="C10" s="274"/>
      <c r="D10" s="275"/>
      <c r="E10" s="123" t="s">
        <v>151</v>
      </c>
      <c r="F10" s="274"/>
      <c r="G10" s="274"/>
      <c r="H10" s="275"/>
      <c r="I10" s="121"/>
      <c r="J10" s="113"/>
      <c r="K10" s="113"/>
      <c r="L10" s="113"/>
      <c r="M10" s="112"/>
    </row>
    <row r="11" spans="1:22" ht="16.5" thickBot="1" x14ac:dyDescent="0.3">
      <c r="A11" s="267" t="s">
        <v>150</v>
      </c>
      <c r="B11" s="268"/>
      <c r="C11" s="268"/>
      <c r="D11" s="268"/>
      <c r="E11" s="268"/>
      <c r="F11" s="268"/>
      <c r="G11" s="268"/>
      <c r="H11" s="268"/>
      <c r="I11" s="268"/>
      <c r="J11" s="268"/>
      <c r="K11" s="268"/>
      <c r="L11" s="268"/>
      <c r="M11" s="269"/>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42" t="s">
        <v>148</v>
      </c>
      <c r="B13" s="243"/>
      <c r="C13" s="243"/>
      <c r="D13" s="243"/>
      <c r="E13" s="243"/>
      <c r="F13" s="243"/>
      <c r="G13" s="243"/>
      <c r="H13" s="243"/>
      <c r="I13" s="243"/>
      <c r="J13" s="243"/>
      <c r="K13" s="243"/>
      <c r="L13" s="243"/>
      <c r="M13" s="244"/>
    </row>
    <row r="14" spans="1:22" ht="16.5" thickBot="1" x14ac:dyDescent="0.3">
      <c r="A14" s="69" t="s">
        <v>134</v>
      </c>
      <c r="B14" s="246" t="s">
        <v>146</v>
      </c>
      <c r="C14" s="247"/>
      <c r="D14" s="248"/>
      <c r="E14" s="249" t="s">
        <v>145</v>
      </c>
      <c r="F14" s="250"/>
      <c r="G14" s="250"/>
      <c r="H14" s="251"/>
      <c r="I14" s="252" t="s">
        <v>144</v>
      </c>
      <c r="J14" s="253"/>
      <c r="K14" s="253"/>
      <c r="L14" s="253"/>
      <c r="M14" s="254"/>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29" t="s">
        <v>133</v>
      </c>
      <c r="C23" s="230"/>
      <c r="D23" s="230"/>
      <c r="E23" s="230"/>
      <c r="F23" s="230"/>
      <c r="G23" s="230"/>
      <c r="H23" s="231"/>
      <c r="I23" s="232" t="s">
        <v>132</v>
      </c>
      <c r="J23" s="233"/>
      <c r="K23" s="233"/>
      <c r="L23" s="233"/>
      <c r="M23" s="23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5" t="s">
        <v>147</v>
      </c>
      <c r="B32" s="256"/>
      <c r="C32" s="256"/>
      <c r="D32" s="256"/>
      <c r="E32" s="256"/>
      <c r="F32" s="256"/>
      <c r="G32" s="256"/>
      <c r="H32" s="256"/>
      <c r="I32" s="256"/>
      <c r="J32" s="256"/>
      <c r="K32" s="256"/>
      <c r="L32" s="256"/>
      <c r="M32" s="257"/>
    </row>
    <row r="33" spans="1:18" ht="16.5" customHeight="1" thickBot="1" x14ac:dyDescent="0.3">
      <c r="A33" s="69" t="s">
        <v>134</v>
      </c>
      <c r="B33" s="258" t="s">
        <v>146</v>
      </c>
      <c r="C33" s="259"/>
      <c r="D33" s="260"/>
      <c r="E33" s="261" t="s">
        <v>145</v>
      </c>
      <c r="F33" s="262"/>
      <c r="G33" s="262"/>
      <c r="H33" s="263"/>
      <c r="I33" s="264" t="s">
        <v>144</v>
      </c>
      <c r="J33" s="265"/>
      <c r="K33" s="265"/>
      <c r="L33" s="265"/>
      <c r="M33" s="266"/>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29" t="s">
        <v>133</v>
      </c>
      <c r="C42" s="230"/>
      <c r="D42" s="230"/>
      <c r="E42" s="230"/>
      <c r="F42" s="230"/>
      <c r="G42" s="230"/>
      <c r="H42" s="231"/>
      <c r="I42" s="232" t="s">
        <v>132</v>
      </c>
      <c r="J42" s="233"/>
      <c r="K42" s="233"/>
      <c r="L42" s="233"/>
      <c r="M42" s="23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5" t="s">
        <v>119</v>
      </c>
      <c r="B51" s="236"/>
      <c r="C51" s="236"/>
      <c r="D51" s="236"/>
      <c r="E51" s="237"/>
      <c r="F51" s="238" t="s">
        <v>118</v>
      </c>
      <c r="G51" s="239"/>
      <c r="H51" s="239"/>
      <c r="I51" s="239"/>
      <c r="J51" s="239"/>
      <c r="K51" s="239"/>
      <c r="L51" s="239"/>
      <c r="M51" s="240"/>
    </row>
    <row r="52" spans="1:17" ht="16.5" thickBot="1" x14ac:dyDescent="0.3">
      <c r="A52" s="3" t="s">
        <v>117</v>
      </c>
      <c r="B52" s="43" t="s">
        <v>116</v>
      </c>
      <c r="C52" s="42" t="s">
        <v>89</v>
      </c>
      <c r="D52" s="41" t="s">
        <v>88</v>
      </c>
      <c r="E52" s="40" t="s">
        <v>115</v>
      </c>
      <c r="F52" s="225"/>
      <c r="G52" s="225"/>
      <c r="H52" s="225"/>
      <c r="I52" s="225"/>
      <c r="J52" s="225"/>
      <c r="K52" s="225"/>
      <c r="L52" s="225"/>
      <c r="M52" s="241"/>
    </row>
    <row r="53" spans="1:17" ht="15.75" x14ac:dyDescent="0.25">
      <c r="A53" s="4" t="s">
        <v>114</v>
      </c>
      <c r="B53" s="39">
        <f>B22</f>
        <v>721668.05</v>
      </c>
      <c r="C53" s="38">
        <f>F22</f>
        <v>101033.52700000002</v>
      </c>
      <c r="D53" s="37">
        <f>J22</f>
        <v>620634.52299999993</v>
      </c>
      <c r="E53" s="36">
        <f>C31</f>
        <v>297904.57</v>
      </c>
      <c r="F53" s="225"/>
      <c r="G53" s="225"/>
      <c r="H53" s="225"/>
      <c r="I53" s="225"/>
      <c r="J53" s="225"/>
      <c r="K53" s="225"/>
      <c r="L53" s="225"/>
      <c r="M53" s="241"/>
    </row>
    <row r="54" spans="1:17" ht="16.5" thickBot="1" x14ac:dyDescent="0.3">
      <c r="A54" s="4" t="s">
        <v>113</v>
      </c>
      <c r="B54" s="39">
        <f>B41</f>
        <v>721668.05</v>
      </c>
      <c r="C54" s="38">
        <f>F41</f>
        <v>101033.52700000002</v>
      </c>
      <c r="D54" s="37">
        <f>J41</f>
        <v>620634.52300000004</v>
      </c>
      <c r="E54" s="36">
        <f>C50</f>
        <v>297904.57104000001</v>
      </c>
      <c r="F54" s="225"/>
      <c r="G54" s="225"/>
      <c r="H54" s="225"/>
      <c r="I54" s="225"/>
      <c r="J54" s="225"/>
      <c r="K54" s="225"/>
      <c r="L54" s="225"/>
      <c r="M54" s="241"/>
    </row>
    <row r="55" spans="1:17" ht="15.75" x14ac:dyDescent="0.25">
      <c r="A55" s="3" t="s">
        <v>112</v>
      </c>
      <c r="B55" s="128">
        <f>B53-B54</f>
        <v>0</v>
      </c>
      <c r="C55" s="129">
        <f>C53-C54</f>
        <v>0</v>
      </c>
      <c r="D55" s="130">
        <f>D53-D54</f>
        <v>0</v>
      </c>
      <c r="E55" s="131">
        <f>E53-E54</f>
        <v>-1.0400000028312206E-3</v>
      </c>
      <c r="F55" s="225"/>
      <c r="G55" s="225"/>
      <c r="H55" s="225"/>
      <c r="I55" s="225"/>
      <c r="J55" s="225"/>
      <c r="K55" s="225"/>
      <c r="L55" s="225"/>
      <c r="M55" s="241"/>
    </row>
    <row r="56" spans="1:17" ht="16.5" thickBot="1" x14ac:dyDescent="0.3">
      <c r="A56" s="5" t="s">
        <v>111</v>
      </c>
      <c r="B56" s="35">
        <f>B53/B54</f>
        <v>1</v>
      </c>
      <c r="C56" s="33">
        <f>C53/C54</f>
        <v>1</v>
      </c>
      <c r="D56" s="32">
        <f>D53/D54</f>
        <v>0.99999999999999978</v>
      </c>
      <c r="E56" s="31">
        <f>E53/E54</f>
        <v>0.99999999650894911</v>
      </c>
      <c r="F56" s="225"/>
      <c r="G56" s="225"/>
      <c r="H56" s="225"/>
      <c r="I56" s="225"/>
      <c r="J56" s="225"/>
      <c r="K56" s="225"/>
      <c r="L56" s="225"/>
      <c r="M56" s="241"/>
    </row>
    <row r="57" spans="1:17" ht="15.75" thickBot="1" x14ac:dyDescent="0.3">
      <c r="A57" s="235" t="s">
        <v>110</v>
      </c>
      <c r="B57" s="236"/>
      <c r="C57" s="236"/>
      <c r="D57" s="236"/>
      <c r="E57" s="237"/>
      <c r="F57" s="225"/>
      <c r="G57" s="225"/>
      <c r="H57" s="225"/>
      <c r="I57" s="225"/>
      <c r="J57" s="225"/>
      <c r="K57" s="225"/>
      <c r="L57" s="225"/>
      <c r="M57" s="24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41"/>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41"/>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41"/>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41"/>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41"/>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41"/>
    </row>
    <row r="64" spans="1:17" ht="16.5" thickBot="1" x14ac:dyDescent="0.3">
      <c r="A64" s="3" t="s">
        <v>109</v>
      </c>
      <c r="B64" s="124">
        <f>SUM(B58:B63)</f>
        <v>1</v>
      </c>
      <c r="C64" s="125">
        <f>SUM(C58:C63)</f>
        <v>1</v>
      </c>
      <c r="D64" s="126">
        <f>SUM(D58:D63)</f>
        <v>1.0000000000000002</v>
      </c>
      <c r="E64" s="127" t="e">
        <f>SUM(E58:E63)</f>
        <v>#DIV/0!</v>
      </c>
      <c r="F64" s="225"/>
      <c r="G64" s="225"/>
      <c r="H64" s="225"/>
      <c r="I64" s="225"/>
      <c r="J64" s="225"/>
      <c r="K64" s="225"/>
      <c r="L64" s="225"/>
      <c r="M64" s="241"/>
    </row>
    <row r="65" spans="1:13" ht="16.5" thickBot="1" x14ac:dyDescent="0.3">
      <c r="A65" s="242" t="s">
        <v>108</v>
      </c>
      <c r="B65" s="243"/>
      <c r="C65" s="243"/>
      <c r="D65" s="243"/>
      <c r="E65" s="243"/>
      <c r="F65" s="243"/>
      <c r="G65" s="243"/>
      <c r="H65" s="243"/>
      <c r="I65" s="243"/>
      <c r="J65" s="243"/>
      <c r="K65" s="243"/>
      <c r="L65" s="243"/>
      <c r="M65" s="244"/>
    </row>
    <row r="66" spans="1:13" x14ac:dyDescent="0.25">
      <c r="A66" s="4" t="s">
        <v>107</v>
      </c>
      <c r="B66" s="245" t="s">
        <v>106</v>
      </c>
      <c r="C66" s="245"/>
      <c r="D66" s="245"/>
      <c r="E66" s="245"/>
      <c r="F66" s="245"/>
      <c r="G66" s="4" t="s">
        <v>105</v>
      </c>
      <c r="M66" s="25"/>
    </row>
    <row r="67" spans="1:13" ht="18.75" customHeight="1" x14ac:dyDescent="0.25">
      <c r="A67" s="4" t="s">
        <v>104</v>
      </c>
      <c r="B67" s="225" t="s">
        <v>91</v>
      </c>
      <c r="C67" s="225"/>
      <c r="D67" s="225"/>
      <c r="E67" s="225"/>
      <c r="F67" s="22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2025-10-27T16:03:24Z</dcterms:modified>
</cp:coreProperties>
</file>