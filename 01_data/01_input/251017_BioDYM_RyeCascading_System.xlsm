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5E2EEFE0-7FB5-4F92-9EBB-7F776FBA89B4}" xr6:coauthVersionLast="47" xr6:coauthVersionMax="47" xr10:uidLastSave="{00000000-0000-0000-0000-000000000000}"/>
  <bookViews>
    <workbookView xWindow="-19310" yWindow="-110" windowWidth="19420" windowHeight="11500" tabRatio="840" firstSheet="13" activeTab="2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2)" sheetId="57" r:id="rId19"/>
    <sheet name="PX - Template" sheetId="27" r:id="rId20"/>
    <sheet name="PX - Template (3)" sheetId="58" r:id="rId21"/>
    <sheet name="PX - Template (4)" sheetId="59" r:id="rId22"/>
    <sheet name="PX - Template (5)" sheetId="60" r:id="rId23"/>
    <sheet name="PX - Template (6)" sheetId="61" r:id="rId24"/>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 localSheetId="18">CL_Uncertainty_Parameters[List_DSM_Parameters]</definedName>
    <definedName name="List_DSM_Parameters" localSheetId="20">CL_Uncertainty_Parameters[List_DSM_Parameters]</definedName>
    <definedName name="List_DSM_Parameters" localSheetId="21">CL_Uncertainty_Parameters[List_DSM_Parameters]</definedName>
    <definedName name="List_DSM_Parameters" localSheetId="22">CL_Uncertainty_Parameters[List_DSM_Parameters]</definedName>
    <definedName name="List_DSM_Parameters" localSheetId="23">CL_Uncertainty_Parameters[List_DSM_Parameters]</definedName>
    <definedName name="List_DSM_Parameters">CL_Uncertainty_Parameters[List_DSM_Parameters]</definedName>
    <definedName name="List_dynamic_TC_Parameters" localSheetId="18">CL_Uncertainty_Parameters[List_dynamic_TC_Parameters]</definedName>
    <definedName name="List_dynamic_TC_Parameters" localSheetId="20">CL_Uncertainty_Parameters[List_dynamic_TC_Parameters]</definedName>
    <definedName name="List_dynamic_TC_Parameters" localSheetId="21">CL_Uncertainty_Parameters[List_dynamic_TC_Parameters]</definedName>
    <definedName name="List_dynamic_TC_Parameters" localSheetId="22">CL_Uncertainty_Parameters[List_dynamic_TC_Parameters]</definedName>
    <definedName name="List_dynamic_TC_Parameters" localSheetId="23">CL_Uncertainty_Parameters[List_dynamic_TC_Parameters]</definedName>
    <definedName name="List_dynamic_TC_Parameters">CL_Uncertainty_Parameters[List_dynamic_TC_Parameters]</definedName>
    <definedName name="List_Flow_Parameters">#REF!</definedName>
    <definedName name="List_FOMP_Parameters" localSheetId="18">CL_Uncertainty_Parameters[List_FOMP_Parameters]</definedName>
    <definedName name="List_FOMP_Parameters" localSheetId="20">CL_Uncertainty_Parameters[List_FOMP_Parameters]</definedName>
    <definedName name="List_FOMP_Parameters" localSheetId="21">CL_Uncertainty_Parameters[List_FOMP_Parameters]</definedName>
    <definedName name="List_FOMP_Parameters" localSheetId="22">CL_Uncertainty_Parameters[List_FOMP_Parameters]</definedName>
    <definedName name="List_FOMP_Parameters" localSheetId="23">CL_Uncertainty_Parameters[List_FOMP_Parameters]</definedName>
    <definedName name="List_FOMP_Parameters">CL_Uncertainty_Parameters[List_FOMP_Parameters]</definedName>
    <definedName name="List_Initial_Stock_Parameters" localSheetId="18">CL_Uncertainty_Parameters[List_Initial_Stock_Parameters]</definedName>
    <definedName name="List_Initial_Stock_Parameters" localSheetId="20">CL_Uncertainty_Parameters[List_Initial_Stock_Parameters]</definedName>
    <definedName name="List_Initial_Stock_Parameters" localSheetId="21">CL_Uncertainty_Parameters[List_Initial_Stock_Parameters]</definedName>
    <definedName name="List_Initial_Stock_Parameters" localSheetId="22">CL_Uncertainty_Parameters[List_Initial_Stock_Parameters]</definedName>
    <definedName name="List_Initial_Stock_Parameters" localSheetId="23">CL_Uncertainty_Parameters[List_Initial_Stock_Parameters]</definedName>
    <definedName name="List_Initial_Stock_Parameters">CL_Uncertainty_Parameters[List_Initial_Stock_Parameters]</definedName>
    <definedName name="List_static_TC_Parameters" localSheetId="18">CL_Uncertainty_Parameters[List_static_TC_Parameters]</definedName>
    <definedName name="List_static_TC_Parameters" localSheetId="20">CL_Uncertainty_Parameters[List_static_TC_Parameters]</definedName>
    <definedName name="List_static_TC_Parameters" localSheetId="21">CL_Uncertainty_Parameters[List_static_TC_Parameters]</definedName>
    <definedName name="List_static_TC_Parameters" localSheetId="22">CL_Uncertainty_Parameters[List_static_TC_Parameters]</definedName>
    <definedName name="List_static_TC_Parameters" localSheetId="23">CL_Uncertainty_Parameters[List_static_TC_Parameters]</definedName>
    <definedName name="List_static_TC_Parameters">CL_Uncertainty_Parameters[List_static_TC_Parameters]</definedName>
    <definedName name="List_Uncertainty_Parameters" localSheetId="18">CL_Uncertainty_Parameters[MC/Uncertainty_Parameters]</definedName>
    <definedName name="List_Uncertainty_Parameters" localSheetId="20">CL_Uncertainty_Parameters[MC/Uncertainty_Parameters]</definedName>
    <definedName name="List_Uncertainty_Parameters" localSheetId="21">CL_Uncertainty_Parameters[MC/Uncertainty_Parameters]</definedName>
    <definedName name="List_Uncertainty_Parameters" localSheetId="22">CL_Uncertainty_Parameters[MC/Uncertainty_Parameters]</definedName>
    <definedName name="List_Uncertainty_Parameters" localSheetId="23">CL_Uncertainty_Parameters[MC/Uncertainty_Parameters]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6" i="61" l="1"/>
  <c r="C37" i="61"/>
  <c r="C35" i="61"/>
  <c r="C59" i="61"/>
  <c r="C58" i="61"/>
  <c r="B36" i="61"/>
  <c r="K16" i="61"/>
  <c r="F16" i="61"/>
  <c r="B22" i="61"/>
  <c r="AD71" i="61"/>
  <c r="AD73" i="61" s="1"/>
  <c r="AC71" i="61"/>
  <c r="AA71" i="61"/>
  <c r="AD70" i="61"/>
  <c r="AE69" i="61"/>
  <c r="AC69" i="61"/>
  <c r="AC70" i="61" s="1"/>
  <c r="AA69" i="61"/>
  <c r="Y69" i="61"/>
  <c r="Y71" i="61" s="1"/>
  <c r="AA68" i="61"/>
  <c r="AE68" i="61" s="1"/>
  <c r="X68" i="61"/>
  <c r="Z68" i="61" s="1"/>
  <c r="AE67" i="61"/>
  <c r="AC67" i="61"/>
  <c r="X67" i="61"/>
  <c r="U65" i="61"/>
  <c r="W61" i="61"/>
  <c r="W62" i="61" s="1"/>
  <c r="X63" i="61" s="1"/>
  <c r="A61" i="61"/>
  <c r="AD56" i="61"/>
  <c r="Y56" i="61"/>
  <c r="W56" i="61"/>
  <c r="AD55" i="61"/>
  <c r="W55" i="61"/>
  <c r="AC54" i="61"/>
  <c r="AC55" i="61" s="1"/>
  <c r="AA54" i="61"/>
  <c r="AA55" i="61" s="1"/>
  <c r="Z54" i="61"/>
  <c r="Y54" i="61"/>
  <c r="Y55" i="61" s="1"/>
  <c r="AA53" i="61"/>
  <c r="AE53" i="61" s="1"/>
  <c r="X53" i="61"/>
  <c r="X56" i="61" s="1"/>
  <c r="AE52" i="61"/>
  <c r="AC52" i="61"/>
  <c r="AC56" i="61" s="1"/>
  <c r="AB52" i="61"/>
  <c r="Y52" i="61"/>
  <c r="Z52" i="61" s="1"/>
  <c r="V52" i="61"/>
  <c r="G49" i="61"/>
  <c r="F49" i="61"/>
  <c r="T48" i="61"/>
  <c r="G48" i="61"/>
  <c r="F48" i="61"/>
  <c r="T47" i="61"/>
  <c r="G47" i="61"/>
  <c r="F47" i="61"/>
  <c r="A47" i="61"/>
  <c r="AD46" i="61"/>
  <c r="AD47" i="61" s="1"/>
  <c r="AA46" i="61"/>
  <c r="AA47" i="61" s="1"/>
  <c r="G46" i="61"/>
  <c r="F46" i="61"/>
  <c r="F45" i="61"/>
  <c r="F44" i="61"/>
  <c r="P42" i="61"/>
  <c r="P41" i="61"/>
  <c r="X40" i="61"/>
  <c r="U40" i="61"/>
  <c r="J40" i="61"/>
  <c r="F40" i="61"/>
  <c r="C49" i="61" s="1"/>
  <c r="A40" i="61"/>
  <c r="A49" i="61" s="1"/>
  <c r="A63" i="61" s="1"/>
  <c r="J39" i="61"/>
  <c r="F39" i="61"/>
  <c r="J38" i="61"/>
  <c r="F38" i="61"/>
  <c r="C47" i="61" s="1"/>
  <c r="A38" i="61"/>
  <c r="J37" i="61"/>
  <c r="F37" i="61"/>
  <c r="A37" i="61"/>
  <c r="A46" i="61" s="1"/>
  <c r="A60" i="61" s="1"/>
  <c r="A36" i="61"/>
  <c r="A45" i="61" s="1"/>
  <c r="A59" i="61" s="1"/>
  <c r="I35" i="61"/>
  <c r="A35" i="61"/>
  <c r="A44" i="61" s="1"/>
  <c r="A58" i="61" s="1"/>
  <c r="G30" i="61"/>
  <c r="F30" i="61"/>
  <c r="C30" i="61"/>
  <c r="A30" i="61"/>
  <c r="G29" i="61"/>
  <c r="F29" i="61"/>
  <c r="A29" i="61"/>
  <c r="G28" i="61"/>
  <c r="F28" i="61"/>
  <c r="G27" i="61"/>
  <c r="F27" i="61"/>
  <c r="A27" i="61"/>
  <c r="G26" i="61"/>
  <c r="F26" i="61"/>
  <c r="A26" i="61"/>
  <c r="G25" i="61"/>
  <c r="P37" i="61" s="1"/>
  <c r="F25" i="61"/>
  <c r="C25" i="61"/>
  <c r="A25" i="61"/>
  <c r="W24" i="61"/>
  <c r="J21" i="61"/>
  <c r="F21" i="61"/>
  <c r="A21" i="61"/>
  <c r="J20" i="61"/>
  <c r="F20" i="61"/>
  <c r="C29" i="61" s="1"/>
  <c r="A20" i="61"/>
  <c r="J19" i="61"/>
  <c r="F19" i="61"/>
  <c r="J18" i="61"/>
  <c r="F18" i="61"/>
  <c r="A18" i="61"/>
  <c r="J17" i="61"/>
  <c r="A17" i="61"/>
  <c r="I16" i="61"/>
  <c r="J16" i="61" s="1"/>
  <c r="A16" i="61"/>
  <c r="W15" i="61"/>
  <c r="W14" i="61"/>
  <c r="F9" i="61"/>
  <c r="A39" i="61" s="1"/>
  <c r="A48" i="61" s="1"/>
  <c r="A62" i="61" s="1"/>
  <c r="B9" i="61"/>
  <c r="B8" i="61"/>
  <c r="A19" i="61" s="1"/>
  <c r="B1" i="61"/>
  <c r="P17" i="58"/>
  <c r="AD71" i="60"/>
  <c r="AD73" i="60" s="1"/>
  <c r="AC71" i="60"/>
  <c r="AC73" i="60" s="1"/>
  <c r="AD70" i="60"/>
  <c r="AE70" i="60" s="1"/>
  <c r="AC70" i="60"/>
  <c r="AA70" i="60"/>
  <c r="Y70" i="60"/>
  <c r="AC69" i="60"/>
  <c r="AA69" i="60"/>
  <c r="AE69" i="60" s="1"/>
  <c r="Y69" i="60"/>
  <c r="Y71" i="60" s="1"/>
  <c r="X69" i="60"/>
  <c r="AA68" i="60"/>
  <c r="AA71" i="60" s="1"/>
  <c r="X68" i="60"/>
  <c r="X71" i="60" s="1"/>
  <c r="AE67" i="60"/>
  <c r="AC67" i="60"/>
  <c r="Z67" i="60"/>
  <c r="X67" i="60"/>
  <c r="W62" i="60"/>
  <c r="X63" i="60" s="1"/>
  <c r="C62" i="60"/>
  <c r="W61" i="60"/>
  <c r="W64" i="60" s="1"/>
  <c r="X64" i="60" s="1"/>
  <c r="A60" i="60"/>
  <c r="C59" i="60"/>
  <c r="AD56" i="60"/>
  <c r="AC56" i="60"/>
  <c r="AA56" i="60"/>
  <c r="AA72" i="60" s="1"/>
  <c r="AD55" i="60"/>
  <c r="W55" i="60"/>
  <c r="W56" i="60" s="1"/>
  <c r="AC54" i="60"/>
  <c r="AC55" i="60" s="1"/>
  <c r="AA54" i="60"/>
  <c r="AA55" i="60" s="1"/>
  <c r="Z54" i="60"/>
  <c r="Y54" i="60"/>
  <c r="Y55" i="60" s="1"/>
  <c r="AA53" i="60"/>
  <c r="AE53" i="60" s="1"/>
  <c r="X53" i="60"/>
  <c r="X56" i="60" s="1"/>
  <c r="Q53" i="60"/>
  <c r="C53" i="60"/>
  <c r="B53" i="60"/>
  <c r="AE52" i="60"/>
  <c r="AC52" i="60"/>
  <c r="AB52" i="60"/>
  <c r="Y52" i="60"/>
  <c r="Y56" i="60" s="1"/>
  <c r="V52" i="60"/>
  <c r="G49" i="60"/>
  <c r="F49" i="60"/>
  <c r="T48" i="60"/>
  <c r="G48" i="60"/>
  <c r="F48" i="60"/>
  <c r="C48" i="60"/>
  <c r="T47" i="60"/>
  <c r="G47" i="60"/>
  <c r="F47" i="60"/>
  <c r="A47" i="60"/>
  <c r="A61" i="60" s="1"/>
  <c r="AD46" i="60"/>
  <c r="AD47" i="60" s="1"/>
  <c r="AA46" i="60"/>
  <c r="AA47" i="60" s="1"/>
  <c r="G46" i="60"/>
  <c r="F46" i="60"/>
  <c r="A46" i="60"/>
  <c r="F45" i="60"/>
  <c r="A45" i="60"/>
  <c r="A59" i="60" s="1"/>
  <c r="G44" i="60"/>
  <c r="F44" i="60"/>
  <c r="P41" i="60"/>
  <c r="X40" i="60"/>
  <c r="U40" i="60"/>
  <c r="J40" i="60"/>
  <c r="F40" i="60"/>
  <c r="C49" i="60" s="1"/>
  <c r="A40" i="60"/>
  <c r="A49" i="60" s="1"/>
  <c r="A63" i="60" s="1"/>
  <c r="J39" i="60"/>
  <c r="F39" i="60"/>
  <c r="A39" i="60"/>
  <c r="A48" i="60" s="1"/>
  <c r="A62" i="60" s="1"/>
  <c r="J38" i="60"/>
  <c r="F38" i="60"/>
  <c r="C47" i="60" s="1"/>
  <c r="A38" i="60"/>
  <c r="J37" i="60"/>
  <c r="F37" i="60"/>
  <c r="A37" i="60"/>
  <c r="J36" i="60"/>
  <c r="F36" i="60"/>
  <c r="B36" i="60"/>
  <c r="A36" i="60"/>
  <c r="I35" i="60"/>
  <c r="F35" i="60"/>
  <c r="F41" i="60" s="1"/>
  <c r="A35" i="60"/>
  <c r="A44" i="60" s="1"/>
  <c r="A58" i="60" s="1"/>
  <c r="G30" i="60"/>
  <c r="F30" i="60"/>
  <c r="A30" i="60"/>
  <c r="I29" i="60"/>
  <c r="M29" i="60" s="1"/>
  <c r="G29" i="60"/>
  <c r="F29" i="60"/>
  <c r="A29" i="60"/>
  <c r="G28" i="60"/>
  <c r="F28" i="60"/>
  <c r="J27" i="60"/>
  <c r="I27" i="60"/>
  <c r="M27" i="60" s="1"/>
  <c r="G27" i="60"/>
  <c r="F27" i="60"/>
  <c r="A27" i="60"/>
  <c r="G26" i="60"/>
  <c r="F26" i="60"/>
  <c r="A26" i="60"/>
  <c r="A25" i="60"/>
  <c r="W24" i="60"/>
  <c r="E22" i="60"/>
  <c r="C63" i="60" s="1"/>
  <c r="J21" i="60"/>
  <c r="F21" i="60"/>
  <c r="C30" i="60" s="1"/>
  <c r="C21" i="60"/>
  <c r="I30" i="60" s="1"/>
  <c r="A21" i="60"/>
  <c r="J20" i="60"/>
  <c r="G20" i="60"/>
  <c r="F20" i="60"/>
  <c r="C29" i="60" s="1"/>
  <c r="C20" i="60"/>
  <c r="A20" i="60"/>
  <c r="J19" i="60"/>
  <c r="F19" i="60"/>
  <c r="C28" i="60" s="1"/>
  <c r="C19" i="60"/>
  <c r="I28" i="60" s="1"/>
  <c r="J18" i="60"/>
  <c r="G18" i="60"/>
  <c r="F18" i="60"/>
  <c r="C18" i="60"/>
  <c r="A18" i="60"/>
  <c r="J17" i="60"/>
  <c r="I17" i="60"/>
  <c r="F17" i="60"/>
  <c r="F16" i="60" s="1"/>
  <c r="C17" i="60"/>
  <c r="I26" i="60" s="1"/>
  <c r="A17" i="60"/>
  <c r="C16" i="60"/>
  <c r="I25" i="60" s="1"/>
  <c r="B16" i="60"/>
  <c r="U65" i="60" s="1"/>
  <c r="A16" i="60"/>
  <c r="W15" i="60"/>
  <c r="W14" i="60"/>
  <c r="F9" i="60"/>
  <c r="B9" i="60"/>
  <c r="B8" i="60"/>
  <c r="A19" i="60" s="1"/>
  <c r="B1" i="60"/>
  <c r="J35" i="59"/>
  <c r="F35" i="59"/>
  <c r="B36" i="59"/>
  <c r="A36" i="59"/>
  <c r="I17" i="59"/>
  <c r="E16" i="59"/>
  <c r="F16" i="59"/>
  <c r="C17" i="59"/>
  <c r="B16" i="59"/>
  <c r="C26" i="58"/>
  <c r="AD73" i="59"/>
  <c r="AD71" i="59"/>
  <c r="AA71" i="59"/>
  <c r="Y71" i="59"/>
  <c r="AD70" i="59"/>
  <c r="AE70" i="59" s="1"/>
  <c r="AE69" i="59"/>
  <c r="AC69" i="59"/>
  <c r="AC70" i="59" s="1"/>
  <c r="AA69" i="59"/>
  <c r="AA70" i="59" s="1"/>
  <c r="Y69" i="59"/>
  <c r="AE68" i="59"/>
  <c r="AA68" i="59"/>
  <c r="X68" i="59" s="1"/>
  <c r="AE67" i="59"/>
  <c r="AC67" i="59"/>
  <c r="AC71" i="59" s="1"/>
  <c r="AB67" i="59"/>
  <c r="Z67" i="59"/>
  <c r="X67" i="59"/>
  <c r="U65" i="59"/>
  <c r="W61" i="59"/>
  <c r="W62" i="59" s="1"/>
  <c r="X63" i="59" s="1"/>
  <c r="AD56" i="59"/>
  <c r="W56" i="59"/>
  <c r="AD55" i="59"/>
  <c r="W55" i="59"/>
  <c r="AC54" i="59"/>
  <c r="AC55" i="59" s="1"/>
  <c r="Y54" i="59"/>
  <c r="Y56" i="59" s="1"/>
  <c r="AA53" i="59"/>
  <c r="AE53" i="59" s="1"/>
  <c r="AE52" i="59"/>
  <c r="AC52" i="59"/>
  <c r="AC56" i="59" s="1"/>
  <c r="AB52" i="59"/>
  <c r="Y52" i="59"/>
  <c r="Z52" i="59" s="1"/>
  <c r="V52" i="59"/>
  <c r="G49" i="59"/>
  <c r="F49" i="59"/>
  <c r="C49" i="59"/>
  <c r="T48" i="59"/>
  <c r="G48" i="59"/>
  <c r="F48" i="59"/>
  <c r="AD47" i="59"/>
  <c r="AA47" i="59"/>
  <c r="T47" i="59"/>
  <c r="G47" i="59"/>
  <c r="F47" i="59"/>
  <c r="C47" i="59"/>
  <c r="AD46" i="59"/>
  <c r="AA46" i="59"/>
  <c r="G46" i="59"/>
  <c r="F46" i="59"/>
  <c r="F45" i="59"/>
  <c r="F44" i="59"/>
  <c r="A44" i="59"/>
  <c r="A58" i="59" s="1"/>
  <c r="P42" i="59"/>
  <c r="P41" i="59"/>
  <c r="X40" i="59"/>
  <c r="U40" i="59"/>
  <c r="J40" i="59"/>
  <c r="F40" i="59"/>
  <c r="A40" i="59"/>
  <c r="A49" i="59" s="1"/>
  <c r="A63" i="59" s="1"/>
  <c r="J39" i="59"/>
  <c r="F39" i="59"/>
  <c r="J38" i="59"/>
  <c r="F38" i="59"/>
  <c r="A38" i="59"/>
  <c r="A47" i="59" s="1"/>
  <c r="A61" i="59" s="1"/>
  <c r="J37" i="59"/>
  <c r="F37" i="59"/>
  <c r="A37" i="59"/>
  <c r="A46" i="59" s="1"/>
  <c r="A60" i="59" s="1"/>
  <c r="G45" i="59"/>
  <c r="A45" i="59"/>
  <c r="A59" i="59" s="1"/>
  <c r="I35" i="59"/>
  <c r="A35" i="59"/>
  <c r="G30" i="59"/>
  <c r="F30" i="59"/>
  <c r="A30" i="59"/>
  <c r="G29" i="59"/>
  <c r="F29" i="59"/>
  <c r="C29" i="59"/>
  <c r="G28" i="59"/>
  <c r="F28" i="59"/>
  <c r="G27" i="59"/>
  <c r="F27" i="59"/>
  <c r="A27" i="59"/>
  <c r="G26" i="59"/>
  <c r="F26" i="59"/>
  <c r="A26" i="59"/>
  <c r="G25" i="59"/>
  <c r="P37" i="59" s="1"/>
  <c r="F25" i="59"/>
  <c r="C25" i="59"/>
  <c r="A25" i="59"/>
  <c r="W24" i="59"/>
  <c r="J21" i="59"/>
  <c r="F21" i="59"/>
  <c r="A21" i="59"/>
  <c r="J20" i="59"/>
  <c r="F20" i="59"/>
  <c r="G20" i="59" s="1"/>
  <c r="J19" i="59"/>
  <c r="F19" i="59"/>
  <c r="G19" i="59" s="1"/>
  <c r="J18" i="59"/>
  <c r="F18" i="59"/>
  <c r="A18" i="59"/>
  <c r="J17" i="59"/>
  <c r="F17" i="59"/>
  <c r="I26" i="59"/>
  <c r="A17" i="59"/>
  <c r="I16" i="59"/>
  <c r="J16" i="59" s="1"/>
  <c r="C16" i="59"/>
  <c r="I25" i="59" s="1"/>
  <c r="A16" i="59"/>
  <c r="W15" i="59"/>
  <c r="W14" i="59"/>
  <c r="F9" i="59"/>
  <c r="A39" i="59" s="1"/>
  <c r="A48" i="59" s="1"/>
  <c r="A62" i="59" s="1"/>
  <c r="B9" i="59"/>
  <c r="A29" i="59" s="1"/>
  <c r="B8" i="59"/>
  <c r="A19" i="59" s="1"/>
  <c r="B1" i="59"/>
  <c r="C19" i="61" l="1"/>
  <c r="I28" i="61" s="1"/>
  <c r="C20" i="61"/>
  <c r="I29" i="61" s="1"/>
  <c r="M29" i="61" s="1"/>
  <c r="C26" i="61"/>
  <c r="J22" i="61"/>
  <c r="K17" i="61" s="1"/>
  <c r="C21" i="61"/>
  <c r="I30" i="61" s="1"/>
  <c r="M30" i="61" s="1"/>
  <c r="C18" i="61"/>
  <c r="I27" i="61" s="1"/>
  <c r="M27" i="61" s="1"/>
  <c r="K20" i="61"/>
  <c r="I22" i="61"/>
  <c r="D62" i="61" s="1"/>
  <c r="K40" i="61"/>
  <c r="K29" i="61"/>
  <c r="J29" i="61"/>
  <c r="AE55" i="61"/>
  <c r="Y72" i="61"/>
  <c r="J28" i="61"/>
  <c r="K28" i="61"/>
  <c r="M28" i="61"/>
  <c r="AC73" i="61"/>
  <c r="AB55" i="61"/>
  <c r="Z53" i="61"/>
  <c r="B41" i="61"/>
  <c r="Y70" i="61"/>
  <c r="Z70" i="61" s="1"/>
  <c r="AE54" i="61"/>
  <c r="Y57" i="61"/>
  <c r="AB68" i="61"/>
  <c r="AA70" i="61"/>
  <c r="X70" i="61"/>
  <c r="X74" i="61" s="1"/>
  <c r="X75" i="61" s="1"/>
  <c r="AB54" i="61"/>
  <c r="C17" i="61"/>
  <c r="I26" i="61" s="1"/>
  <c r="A28" i="61"/>
  <c r="AB53" i="61"/>
  <c r="W64" i="61"/>
  <c r="X64" i="61" s="1"/>
  <c r="F17" i="61"/>
  <c r="C28" i="61"/>
  <c r="G31" i="61"/>
  <c r="H30" i="61" s="1"/>
  <c r="C48" i="61"/>
  <c r="X69" i="61"/>
  <c r="AB69" i="61" s="1"/>
  <c r="AA56" i="61"/>
  <c r="AA72" i="61" s="1"/>
  <c r="Z69" i="61"/>
  <c r="B53" i="61"/>
  <c r="Z67" i="61"/>
  <c r="Z71" i="61" s="1"/>
  <c r="Z72" i="61" s="1"/>
  <c r="C16" i="61"/>
  <c r="J36" i="61"/>
  <c r="X55" i="61"/>
  <c r="X58" i="61" s="1"/>
  <c r="P17" i="61" s="1"/>
  <c r="AB67" i="61"/>
  <c r="M30" i="60"/>
  <c r="K30" i="60"/>
  <c r="J30" i="60"/>
  <c r="L30" i="60" s="1"/>
  <c r="G39" i="60"/>
  <c r="C54" i="60"/>
  <c r="G35" i="60"/>
  <c r="X72" i="60"/>
  <c r="L27" i="60"/>
  <c r="K28" i="60"/>
  <c r="M28" i="60"/>
  <c r="J28" i="60"/>
  <c r="L28" i="60" s="1"/>
  <c r="I31" i="60"/>
  <c r="G36" i="60"/>
  <c r="AB55" i="60"/>
  <c r="Y72" i="60"/>
  <c r="Y57" i="60"/>
  <c r="M26" i="60"/>
  <c r="K26" i="60"/>
  <c r="J26" i="60"/>
  <c r="L26" i="60" s="1"/>
  <c r="G16" i="60"/>
  <c r="E16" i="60"/>
  <c r="G37" i="60"/>
  <c r="AE55" i="60"/>
  <c r="G17" i="60"/>
  <c r="J29" i="60"/>
  <c r="AB54" i="60"/>
  <c r="Z68" i="60"/>
  <c r="Z71" i="60" s="1"/>
  <c r="Z72" i="60" s="1"/>
  <c r="G19" i="60"/>
  <c r="G21" i="60"/>
  <c r="K29" i="60"/>
  <c r="G38" i="60"/>
  <c r="G40" i="60"/>
  <c r="Z53" i="60"/>
  <c r="AE54" i="60"/>
  <c r="AB68" i="60"/>
  <c r="X70" i="60"/>
  <c r="AB70" i="60" s="1"/>
  <c r="K27" i="60"/>
  <c r="P42" i="60"/>
  <c r="C45" i="60"/>
  <c r="Z52" i="60"/>
  <c r="AB53" i="60"/>
  <c r="AE68" i="60"/>
  <c r="C22" i="60"/>
  <c r="C58" i="60"/>
  <c r="A28" i="60"/>
  <c r="J35" i="60"/>
  <c r="B41" i="60"/>
  <c r="G45" i="60"/>
  <c r="Z69" i="60"/>
  <c r="X55" i="60"/>
  <c r="X58" i="60" s="1"/>
  <c r="AB67" i="60"/>
  <c r="AB69" i="60"/>
  <c r="G31" i="59"/>
  <c r="H26" i="59" s="1"/>
  <c r="J22" i="59"/>
  <c r="K17" i="59" s="1"/>
  <c r="G21" i="59"/>
  <c r="H30" i="59"/>
  <c r="AB68" i="59"/>
  <c r="Z68" i="59"/>
  <c r="X70" i="59"/>
  <c r="F31" i="59"/>
  <c r="E59" i="59" s="1"/>
  <c r="H28" i="59"/>
  <c r="H25" i="59"/>
  <c r="M26" i="59"/>
  <c r="K26" i="59"/>
  <c r="J26" i="59"/>
  <c r="C53" i="59"/>
  <c r="G16" i="59"/>
  <c r="G17" i="59"/>
  <c r="E22" i="59"/>
  <c r="C59" i="59" s="1"/>
  <c r="AB70" i="59"/>
  <c r="Y72" i="59"/>
  <c r="Y57" i="59"/>
  <c r="G18" i="59"/>
  <c r="C31" i="59"/>
  <c r="D29" i="59" s="1"/>
  <c r="M25" i="59"/>
  <c r="K25" i="59"/>
  <c r="J25" i="59"/>
  <c r="AC73" i="59"/>
  <c r="C18" i="59"/>
  <c r="I27" i="59" s="1"/>
  <c r="C20" i="59"/>
  <c r="I29" i="59" s="1"/>
  <c r="AA54" i="59"/>
  <c r="AA55" i="59"/>
  <c r="AA56" i="59"/>
  <c r="AA72" i="59" s="1"/>
  <c r="J36" i="59"/>
  <c r="X53" i="59"/>
  <c r="Y70" i="59"/>
  <c r="Z70" i="59" s="1"/>
  <c r="A20" i="59"/>
  <c r="Z54" i="59"/>
  <c r="F36" i="59"/>
  <c r="Y55" i="59"/>
  <c r="C30" i="59"/>
  <c r="A28" i="59"/>
  <c r="C45" i="59"/>
  <c r="AB53" i="59"/>
  <c r="W64" i="59"/>
  <c r="X64" i="59" s="1"/>
  <c r="C28" i="59"/>
  <c r="C48" i="59"/>
  <c r="X69" i="59"/>
  <c r="AB69" i="59" s="1"/>
  <c r="C19" i="59"/>
  <c r="I28" i="59" s="1"/>
  <c r="C21" i="59"/>
  <c r="I30" i="59" s="1"/>
  <c r="B53" i="59"/>
  <c r="H25" i="61" l="1"/>
  <c r="K18" i="61"/>
  <c r="D53" i="61"/>
  <c r="K21" i="61"/>
  <c r="C31" i="61"/>
  <c r="E53" i="61" s="1"/>
  <c r="H27" i="61"/>
  <c r="J27" i="61"/>
  <c r="K27" i="61"/>
  <c r="K19" i="61"/>
  <c r="J30" i="61"/>
  <c r="H28" i="61"/>
  <c r="K30" i="61"/>
  <c r="L30" i="61" s="1"/>
  <c r="D59" i="61"/>
  <c r="D63" i="61"/>
  <c r="H29" i="61"/>
  <c r="G44" i="61"/>
  <c r="D58" i="61"/>
  <c r="C44" i="61"/>
  <c r="J35" i="61"/>
  <c r="F35" i="61"/>
  <c r="X76" i="61"/>
  <c r="X73" i="61"/>
  <c r="D61" i="61"/>
  <c r="H26" i="61"/>
  <c r="F31" i="61"/>
  <c r="E58" i="61" s="1"/>
  <c r="AB70" i="61"/>
  <c r="F22" i="61"/>
  <c r="B31" i="61" s="1"/>
  <c r="L28" i="61"/>
  <c r="C22" i="61"/>
  <c r="I25" i="61"/>
  <c r="AE70" i="61"/>
  <c r="M26" i="61"/>
  <c r="K26" i="61"/>
  <c r="J26" i="61"/>
  <c r="L26" i="61" s="1"/>
  <c r="Z55" i="61"/>
  <c r="G45" i="61"/>
  <c r="C45" i="61"/>
  <c r="X71" i="61"/>
  <c r="X72" i="61" s="1"/>
  <c r="L29" i="61"/>
  <c r="B54" i="60"/>
  <c r="C39" i="60"/>
  <c r="C37" i="60"/>
  <c r="C40" i="60"/>
  <c r="C38" i="60"/>
  <c r="J41" i="60"/>
  <c r="H45" i="60"/>
  <c r="X74" i="60"/>
  <c r="X75" i="60" s="1"/>
  <c r="X76" i="60"/>
  <c r="X73" i="60"/>
  <c r="G41" i="60"/>
  <c r="C61" i="60" s="1"/>
  <c r="C64" i="60" s="1"/>
  <c r="F25" i="60"/>
  <c r="M25" i="60" s="1"/>
  <c r="M31" i="60" s="1"/>
  <c r="I16" i="60"/>
  <c r="G25" i="60"/>
  <c r="C25" i="60"/>
  <c r="G22" i="60"/>
  <c r="J25" i="60"/>
  <c r="Z70" i="60"/>
  <c r="C50" i="60"/>
  <c r="Z55" i="60"/>
  <c r="R35" i="60"/>
  <c r="C56" i="60"/>
  <c r="C55" i="60"/>
  <c r="G50" i="60"/>
  <c r="L29" i="60"/>
  <c r="E41" i="60"/>
  <c r="H27" i="59"/>
  <c r="H29" i="59"/>
  <c r="K19" i="59"/>
  <c r="K21" i="59"/>
  <c r="K18" i="59"/>
  <c r="K16" i="59"/>
  <c r="D53" i="59"/>
  <c r="K40" i="59"/>
  <c r="I22" i="59"/>
  <c r="D62" i="59" s="1"/>
  <c r="K20" i="59"/>
  <c r="L26" i="59"/>
  <c r="H31" i="59"/>
  <c r="D25" i="59"/>
  <c r="C63" i="59"/>
  <c r="M27" i="59"/>
  <c r="K27" i="59"/>
  <c r="J27" i="59"/>
  <c r="L27" i="59" s="1"/>
  <c r="X56" i="59"/>
  <c r="X72" i="59" s="1"/>
  <c r="X55" i="59"/>
  <c r="X58" i="59" s="1"/>
  <c r="Z53" i="59"/>
  <c r="K30" i="59"/>
  <c r="J30" i="59"/>
  <c r="L30" i="59" s="1"/>
  <c r="M30" i="59"/>
  <c r="Z69" i="59"/>
  <c r="Z71" i="59" s="1"/>
  <c r="Z72" i="59" s="1"/>
  <c r="E58" i="59"/>
  <c r="G44" i="59"/>
  <c r="C58" i="59"/>
  <c r="B41" i="59"/>
  <c r="D30" i="59"/>
  <c r="L25" i="59"/>
  <c r="E61" i="59"/>
  <c r="E63" i="59"/>
  <c r="D63" i="59"/>
  <c r="G22" i="59"/>
  <c r="AB55" i="59"/>
  <c r="X74" i="59"/>
  <c r="X75" i="59" s="1"/>
  <c r="X73" i="59"/>
  <c r="X76" i="59"/>
  <c r="M28" i="59"/>
  <c r="J28" i="59"/>
  <c r="K28" i="59"/>
  <c r="C62" i="59"/>
  <c r="AE54" i="59"/>
  <c r="AB54" i="59"/>
  <c r="I31" i="59"/>
  <c r="E60" i="59"/>
  <c r="C22" i="59"/>
  <c r="AE55" i="59"/>
  <c r="D26" i="59"/>
  <c r="D27" i="59"/>
  <c r="B31" i="59"/>
  <c r="E53" i="59"/>
  <c r="D28" i="59"/>
  <c r="M29" i="59"/>
  <c r="M31" i="59" s="1"/>
  <c r="K29" i="59"/>
  <c r="J29" i="59"/>
  <c r="L29" i="59" s="1"/>
  <c r="X71" i="59"/>
  <c r="E62" i="59"/>
  <c r="D29" i="61" l="1"/>
  <c r="D30" i="61"/>
  <c r="D26" i="61"/>
  <c r="K22" i="61"/>
  <c r="D27" i="61"/>
  <c r="D28" i="61"/>
  <c r="D25" i="61"/>
  <c r="D31" i="61" s="1"/>
  <c r="L27" i="61"/>
  <c r="H31" i="61"/>
  <c r="C50" i="61"/>
  <c r="J41" i="61"/>
  <c r="K35" i="61"/>
  <c r="C40" i="61"/>
  <c r="C38" i="61"/>
  <c r="B54" i="61"/>
  <c r="C39" i="61"/>
  <c r="I31" i="61"/>
  <c r="M25" i="61"/>
  <c r="M31" i="61" s="1"/>
  <c r="K25" i="61"/>
  <c r="K31" i="61" s="1"/>
  <c r="J25" i="61"/>
  <c r="G16" i="61"/>
  <c r="C53" i="61"/>
  <c r="E22" i="61"/>
  <c r="G21" i="61"/>
  <c r="G18" i="61"/>
  <c r="G20" i="61"/>
  <c r="G19" i="61"/>
  <c r="G17" i="61"/>
  <c r="E61" i="61"/>
  <c r="E62" i="61"/>
  <c r="E60" i="61"/>
  <c r="E59" i="61"/>
  <c r="E63" i="61"/>
  <c r="G50" i="61"/>
  <c r="H45" i="61" s="1"/>
  <c r="Q53" i="61"/>
  <c r="D64" i="61"/>
  <c r="D54" i="60"/>
  <c r="K36" i="60"/>
  <c r="I41" i="60"/>
  <c r="K39" i="60"/>
  <c r="K38" i="60"/>
  <c r="K37" i="60"/>
  <c r="E54" i="60"/>
  <c r="D44" i="60"/>
  <c r="B50" i="60"/>
  <c r="D46" i="60"/>
  <c r="D47" i="60"/>
  <c r="D49" i="60"/>
  <c r="D48" i="60"/>
  <c r="K35" i="60"/>
  <c r="C31" i="60"/>
  <c r="D25" i="60"/>
  <c r="P37" i="60"/>
  <c r="G31" i="60"/>
  <c r="H25" i="60"/>
  <c r="F50" i="60"/>
  <c r="H44" i="60"/>
  <c r="H48" i="60"/>
  <c r="H46" i="60"/>
  <c r="H49" i="60"/>
  <c r="H47" i="60"/>
  <c r="J16" i="60"/>
  <c r="K25" i="60"/>
  <c r="K31" i="60" s="1"/>
  <c r="D45" i="60"/>
  <c r="J31" i="60"/>
  <c r="L25" i="60"/>
  <c r="L31" i="60" s="1"/>
  <c r="C41" i="60"/>
  <c r="B56" i="60"/>
  <c r="B55" i="60"/>
  <c r="K22" i="59"/>
  <c r="D58" i="59"/>
  <c r="D61" i="59"/>
  <c r="D59" i="59"/>
  <c r="D31" i="59"/>
  <c r="K31" i="59"/>
  <c r="C50" i="59"/>
  <c r="J41" i="59"/>
  <c r="D64" i="59"/>
  <c r="F41" i="59"/>
  <c r="G35" i="59"/>
  <c r="Q53" i="59"/>
  <c r="G50" i="59"/>
  <c r="H44" i="59" s="1"/>
  <c r="L28" i="59"/>
  <c r="L31" i="59" s="1"/>
  <c r="B54" i="59"/>
  <c r="C39" i="59"/>
  <c r="C37" i="59"/>
  <c r="C38" i="59"/>
  <c r="C40" i="59"/>
  <c r="E64" i="59"/>
  <c r="Z55" i="59"/>
  <c r="J31" i="59"/>
  <c r="D45" i="61" l="1"/>
  <c r="F36" i="61"/>
  <c r="F41" i="61" s="1"/>
  <c r="G35" i="61" s="1"/>
  <c r="C41" i="61"/>
  <c r="B63" i="61" s="1"/>
  <c r="I49" i="61" s="1"/>
  <c r="E64" i="61"/>
  <c r="B56" i="61"/>
  <c r="B55" i="61"/>
  <c r="B58" i="61"/>
  <c r="B59" i="61"/>
  <c r="I45" i="61" s="1"/>
  <c r="E41" i="61"/>
  <c r="C54" i="61"/>
  <c r="R35" i="61" s="1"/>
  <c r="G39" i="61"/>
  <c r="G38" i="61"/>
  <c r="H49" i="61"/>
  <c r="H48" i="61"/>
  <c r="F50" i="61"/>
  <c r="H46" i="61"/>
  <c r="H47" i="61"/>
  <c r="C62" i="61"/>
  <c r="C63" i="61"/>
  <c r="H44" i="61"/>
  <c r="J31" i="61"/>
  <c r="L25" i="61"/>
  <c r="L31" i="61" s="1"/>
  <c r="I41" i="61"/>
  <c r="K39" i="61"/>
  <c r="D54" i="61"/>
  <c r="K38" i="61"/>
  <c r="K37" i="61"/>
  <c r="K36" i="61"/>
  <c r="K41" i="61"/>
  <c r="E54" i="61"/>
  <c r="B50" i="61"/>
  <c r="D46" i="61"/>
  <c r="D47" i="61"/>
  <c r="D49" i="61"/>
  <c r="D48" i="61"/>
  <c r="G22" i="61"/>
  <c r="D44" i="61"/>
  <c r="H29" i="60"/>
  <c r="H26" i="60"/>
  <c r="H31" i="60" s="1"/>
  <c r="F31" i="60"/>
  <c r="H28" i="60"/>
  <c r="H27" i="60"/>
  <c r="H30" i="60"/>
  <c r="H50" i="60"/>
  <c r="B63" i="60"/>
  <c r="I49" i="60" s="1"/>
  <c r="B61" i="60"/>
  <c r="I47" i="60" s="1"/>
  <c r="B58" i="60"/>
  <c r="B60" i="60"/>
  <c r="I46" i="60" s="1"/>
  <c r="B62" i="60"/>
  <c r="I48" i="60" s="1"/>
  <c r="B59" i="60"/>
  <c r="I45" i="60" s="1"/>
  <c r="D50" i="60"/>
  <c r="E53" i="60"/>
  <c r="D27" i="60"/>
  <c r="B31" i="60"/>
  <c r="D26" i="60"/>
  <c r="D31" i="60" s="1"/>
  <c r="D28" i="60"/>
  <c r="D30" i="60"/>
  <c r="D29" i="60"/>
  <c r="J22" i="60"/>
  <c r="K16" i="60" s="1"/>
  <c r="H49" i="59"/>
  <c r="H48" i="59"/>
  <c r="F50" i="59"/>
  <c r="H46" i="59"/>
  <c r="H47" i="59"/>
  <c r="H45" i="59"/>
  <c r="E41" i="59"/>
  <c r="C54" i="59"/>
  <c r="G37" i="59"/>
  <c r="G40" i="59"/>
  <c r="G38" i="59"/>
  <c r="G39" i="59"/>
  <c r="G36" i="59"/>
  <c r="D54" i="59"/>
  <c r="K37" i="59"/>
  <c r="K38" i="59"/>
  <c r="K39" i="59"/>
  <c r="I41" i="59"/>
  <c r="K36" i="59"/>
  <c r="C41" i="59"/>
  <c r="K35" i="59"/>
  <c r="K41" i="59" s="1"/>
  <c r="E54" i="59"/>
  <c r="D49" i="59"/>
  <c r="B50" i="59"/>
  <c r="D46" i="59"/>
  <c r="D47" i="59"/>
  <c r="D48" i="59"/>
  <c r="D45" i="59"/>
  <c r="B56" i="59"/>
  <c r="B55" i="59"/>
  <c r="D44" i="59"/>
  <c r="G36" i="61" l="1"/>
  <c r="G40" i="61"/>
  <c r="B60" i="61"/>
  <c r="I46" i="61" s="1"/>
  <c r="B62" i="61"/>
  <c r="I48" i="61" s="1"/>
  <c r="J48" i="61" s="1"/>
  <c r="G37" i="61"/>
  <c r="B61" i="61"/>
  <c r="I47" i="61" s="1"/>
  <c r="K47" i="61" s="1"/>
  <c r="D50" i="61"/>
  <c r="H50" i="61"/>
  <c r="G41" i="61"/>
  <c r="K45" i="61"/>
  <c r="J45" i="61"/>
  <c r="M45" i="61"/>
  <c r="I44" i="61"/>
  <c r="B64" i="61"/>
  <c r="K48" i="61"/>
  <c r="M48" i="61"/>
  <c r="J49" i="61"/>
  <c r="K49" i="61"/>
  <c r="M49" i="61"/>
  <c r="E56" i="61"/>
  <c r="E55" i="61"/>
  <c r="C55" i="61"/>
  <c r="D55" i="61"/>
  <c r="D56" i="61"/>
  <c r="M46" i="61"/>
  <c r="K46" i="61"/>
  <c r="J46" i="61"/>
  <c r="C56" i="61"/>
  <c r="K22" i="60"/>
  <c r="E56" i="60"/>
  <c r="E55" i="60"/>
  <c r="I44" i="60"/>
  <c r="B64" i="60"/>
  <c r="E58" i="60"/>
  <c r="E60" i="60"/>
  <c r="E62" i="60"/>
  <c r="E59" i="60"/>
  <c r="E63" i="60"/>
  <c r="E61" i="60"/>
  <c r="M46" i="60"/>
  <c r="K46" i="60"/>
  <c r="J46" i="60"/>
  <c r="L46" i="60" s="1"/>
  <c r="M47" i="60"/>
  <c r="K47" i="60"/>
  <c r="J47" i="60"/>
  <c r="K45" i="60"/>
  <c r="J45" i="60"/>
  <c r="L45" i="60" s="1"/>
  <c r="M45" i="60"/>
  <c r="J49" i="60"/>
  <c r="K49" i="60"/>
  <c r="M49" i="60"/>
  <c r="D53" i="60"/>
  <c r="I22" i="60"/>
  <c r="K20" i="60"/>
  <c r="K18" i="60"/>
  <c r="K40" i="60"/>
  <c r="K41" i="60" s="1"/>
  <c r="K17" i="60"/>
  <c r="K19" i="60"/>
  <c r="K21" i="60"/>
  <c r="J48" i="60"/>
  <c r="L48" i="60" s="1"/>
  <c r="K48" i="60"/>
  <c r="M48" i="60"/>
  <c r="H50" i="59"/>
  <c r="D50" i="59"/>
  <c r="G41" i="59"/>
  <c r="C61" i="59" s="1"/>
  <c r="C64" i="59" s="1"/>
  <c r="E56" i="59"/>
  <c r="E55" i="59"/>
  <c r="B63" i="59"/>
  <c r="I49" i="59" s="1"/>
  <c r="B61" i="59"/>
  <c r="I47" i="59" s="1"/>
  <c r="B60" i="59"/>
  <c r="I46" i="59" s="1"/>
  <c r="B62" i="59"/>
  <c r="I48" i="59" s="1"/>
  <c r="B59" i="59"/>
  <c r="I45" i="59" s="1"/>
  <c r="B58" i="59"/>
  <c r="D55" i="59"/>
  <c r="D56" i="59"/>
  <c r="R35" i="59"/>
  <c r="C55" i="59"/>
  <c r="C56" i="59"/>
  <c r="C61" i="61" l="1"/>
  <c r="C60" i="61"/>
  <c r="C64" i="61" s="1"/>
  <c r="M47" i="61"/>
  <c r="J47" i="61"/>
  <c r="L45" i="61"/>
  <c r="L46" i="61"/>
  <c r="L48" i="61"/>
  <c r="J44" i="61"/>
  <c r="K44" i="61"/>
  <c r="K50" i="61" s="1"/>
  <c r="I50" i="61"/>
  <c r="M44" i="61"/>
  <c r="M50" i="61" s="1"/>
  <c r="L49" i="61"/>
  <c r="L47" i="61"/>
  <c r="L49" i="60"/>
  <c r="D63" i="60"/>
  <c r="D61" i="60"/>
  <c r="D62" i="60"/>
  <c r="D59" i="60"/>
  <c r="D58" i="60"/>
  <c r="D56" i="60"/>
  <c r="D55" i="60"/>
  <c r="E64" i="60"/>
  <c r="L47" i="60"/>
  <c r="J44" i="60"/>
  <c r="I50" i="60"/>
  <c r="M44" i="60"/>
  <c r="M50" i="60" s="1"/>
  <c r="K44" i="60"/>
  <c r="K50" i="60" s="1"/>
  <c r="B64" i="59"/>
  <c r="I44" i="59"/>
  <c r="J45" i="59"/>
  <c r="M45" i="59"/>
  <c r="K45" i="59"/>
  <c r="M48" i="59"/>
  <c r="J48" i="59"/>
  <c r="K48" i="59"/>
  <c r="K46" i="59"/>
  <c r="J46" i="59"/>
  <c r="M46" i="59"/>
  <c r="K47" i="59"/>
  <c r="J47" i="59"/>
  <c r="M47" i="59"/>
  <c r="M49" i="59"/>
  <c r="K49" i="59"/>
  <c r="J49" i="59"/>
  <c r="J50" i="61" l="1"/>
  <c r="L44" i="61"/>
  <c r="L50" i="61" s="1"/>
  <c r="J50" i="60"/>
  <c r="L44" i="60"/>
  <c r="L50" i="60" s="1"/>
  <c r="D64" i="60"/>
  <c r="L46" i="59"/>
  <c r="L49" i="59"/>
  <c r="L48" i="59"/>
  <c r="L45" i="59"/>
  <c r="I50" i="59"/>
  <c r="J44" i="59"/>
  <c r="M44" i="59"/>
  <c r="M50" i="59" s="1"/>
  <c r="K44" i="59"/>
  <c r="K50" i="59" s="1"/>
  <c r="L47" i="59"/>
  <c r="J50" i="59" l="1"/>
  <c r="L44" i="59"/>
  <c r="L50" i="59" s="1"/>
  <c r="I36" i="58" l="1"/>
  <c r="X56" i="58"/>
  <c r="X72" i="58"/>
  <c r="X71" i="58"/>
  <c r="X69" i="58"/>
  <c r="X70" i="58"/>
  <c r="Z70" i="58"/>
  <c r="Y69" i="58"/>
  <c r="Y71" i="58" s="1"/>
  <c r="Y72" i="58" s="1"/>
  <c r="AA70" i="58"/>
  <c r="AA69" i="58"/>
  <c r="AA56" i="58"/>
  <c r="AA71" i="58"/>
  <c r="AA72" i="58" s="1"/>
  <c r="AC73" i="58"/>
  <c r="AC71" i="58"/>
  <c r="AC56" i="58"/>
  <c r="AD73" i="58"/>
  <c r="AD56" i="58"/>
  <c r="AD71" i="58"/>
  <c r="C25" i="58"/>
  <c r="B17" i="58"/>
  <c r="G26" i="58" s="1"/>
  <c r="AD46" i="58"/>
  <c r="AD47" i="58" s="1"/>
  <c r="F37" i="58"/>
  <c r="P42" i="58" s="1"/>
  <c r="F38" i="58"/>
  <c r="F39" i="58"/>
  <c r="C48" i="58" s="1"/>
  <c r="F40" i="58"/>
  <c r="AE67" i="58"/>
  <c r="I35" i="58"/>
  <c r="AC70" i="58"/>
  <c r="AD70" i="58"/>
  <c r="AE69" i="58"/>
  <c r="X67" i="58"/>
  <c r="AA68" i="58"/>
  <c r="AC67" i="58"/>
  <c r="AC69" i="58"/>
  <c r="F25" i="58"/>
  <c r="F26" i="58"/>
  <c r="AE52" i="58"/>
  <c r="AD55" i="58"/>
  <c r="AA46" i="58"/>
  <c r="AA47" i="58" s="1"/>
  <c r="Y54" i="58"/>
  <c r="Z54" i="58" s="1"/>
  <c r="AA53" i="58"/>
  <c r="AE53" i="58" s="1"/>
  <c r="V52" i="58"/>
  <c r="AC54" i="58"/>
  <c r="AA54" i="58" s="1"/>
  <c r="AE54" i="58" s="1"/>
  <c r="AC52" i="58"/>
  <c r="G27" i="58"/>
  <c r="U65" i="58"/>
  <c r="W61" i="58"/>
  <c r="W64" i="58" s="1"/>
  <c r="W55" i="58"/>
  <c r="W56" i="58" s="1"/>
  <c r="A17" i="58"/>
  <c r="I16" i="58"/>
  <c r="J16" i="58" s="1"/>
  <c r="I17" i="58"/>
  <c r="J17" i="58" s="1"/>
  <c r="X40" i="58"/>
  <c r="U40" i="58"/>
  <c r="G49" i="58"/>
  <c r="F49" i="58"/>
  <c r="T48" i="58"/>
  <c r="G48" i="58"/>
  <c r="F48" i="58"/>
  <c r="T47" i="58"/>
  <c r="G47" i="58"/>
  <c r="F47" i="58"/>
  <c r="G46" i="58"/>
  <c r="F46" i="58"/>
  <c r="P41" i="58"/>
  <c r="J40" i="58"/>
  <c r="A40" i="58"/>
  <c r="A49" i="58" s="1"/>
  <c r="A63" i="58" s="1"/>
  <c r="J39" i="58"/>
  <c r="J38" i="58"/>
  <c r="J37" i="58"/>
  <c r="A37" i="58"/>
  <c r="A46" i="58" s="1"/>
  <c r="A60" i="58" s="1"/>
  <c r="A36" i="58"/>
  <c r="A45" i="58" s="1"/>
  <c r="A59" i="58" s="1"/>
  <c r="A35" i="58"/>
  <c r="A44" i="58" s="1"/>
  <c r="A58" i="58" s="1"/>
  <c r="G30" i="58"/>
  <c r="F30" i="58"/>
  <c r="A30" i="58"/>
  <c r="G29" i="58"/>
  <c r="F29" i="58"/>
  <c r="G28" i="58"/>
  <c r="F28" i="58"/>
  <c r="F27" i="58"/>
  <c r="A27" i="58"/>
  <c r="A26" i="58"/>
  <c r="A25" i="58"/>
  <c r="W24" i="58"/>
  <c r="J21" i="58"/>
  <c r="F21" i="58"/>
  <c r="C30" i="58" s="1"/>
  <c r="A21" i="58"/>
  <c r="J20" i="58"/>
  <c r="F20" i="58"/>
  <c r="C29" i="58" s="1"/>
  <c r="J19" i="58"/>
  <c r="F19" i="58"/>
  <c r="C28" i="58" s="1"/>
  <c r="F17" i="58"/>
  <c r="A16" i="58"/>
  <c r="W15" i="58"/>
  <c r="W14" i="58"/>
  <c r="F9" i="58"/>
  <c r="A39" i="58" s="1"/>
  <c r="A48" i="58" s="1"/>
  <c r="A62" i="58" s="1"/>
  <c r="B9" i="58"/>
  <c r="A38" i="58"/>
  <c r="A47" i="58" s="1"/>
  <c r="A61" i="58" s="1"/>
  <c r="B8" i="58"/>
  <c r="A28" i="58" s="1"/>
  <c r="A18" i="58"/>
  <c r="B1" i="58"/>
  <c r="Y70" i="58" l="1"/>
  <c r="AB69" i="58"/>
  <c r="AC55" i="58"/>
  <c r="Y55" i="58"/>
  <c r="B22" i="58"/>
  <c r="B36" i="58" s="1"/>
  <c r="C45" i="58" s="1"/>
  <c r="X68" i="58"/>
  <c r="AE68" i="58"/>
  <c r="B35" i="58"/>
  <c r="C44" i="58" s="1"/>
  <c r="AA55" i="58"/>
  <c r="AE55" i="58" s="1"/>
  <c r="AE70" i="58"/>
  <c r="AB67" i="58"/>
  <c r="Z67" i="58"/>
  <c r="AB54" i="58"/>
  <c r="Y52" i="58"/>
  <c r="X53" i="58"/>
  <c r="W62" i="58"/>
  <c r="X63" i="58" s="1"/>
  <c r="G25" i="58"/>
  <c r="P37" i="58" s="1"/>
  <c r="J18" i="58"/>
  <c r="J22" i="58" s="1"/>
  <c r="K21" i="58" s="1"/>
  <c r="F18" i="58"/>
  <c r="A29" i="58"/>
  <c r="A20" i="58"/>
  <c r="A19" i="58"/>
  <c r="C47" i="58"/>
  <c r="C49" i="58"/>
  <c r="J36" i="58" l="1"/>
  <c r="Z69" i="58"/>
  <c r="Z71" i="58" s="1"/>
  <c r="Z72" i="58" s="1"/>
  <c r="Z68" i="58"/>
  <c r="AB70" i="58"/>
  <c r="AB68" i="58"/>
  <c r="F22" i="58"/>
  <c r="E22" i="58" s="1"/>
  <c r="C20" i="58"/>
  <c r="I29" i="58" s="1"/>
  <c r="K29" i="58" s="1"/>
  <c r="Z52" i="58"/>
  <c r="Y56" i="58"/>
  <c r="Y57" i="58" s="1"/>
  <c r="AB53" i="58"/>
  <c r="Z53" i="58"/>
  <c r="X55" i="58"/>
  <c r="X58" i="58" s="1"/>
  <c r="G31" i="58"/>
  <c r="H27" i="58" s="1"/>
  <c r="AB52" i="58"/>
  <c r="C19" i="58"/>
  <c r="I28" i="58" s="1"/>
  <c r="J28" i="58" s="1"/>
  <c r="C21" i="58"/>
  <c r="I30" i="58" s="1"/>
  <c r="J30" i="58" s="1"/>
  <c r="B53" i="58"/>
  <c r="C17" i="58"/>
  <c r="C16" i="58"/>
  <c r="C18" i="58"/>
  <c r="I27" i="58" s="1"/>
  <c r="M27" i="58" s="1"/>
  <c r="X64" i="58"/>
  <c r="I22" i="58"/>
  <c r="D53" i="58"/>
  <c r="K16" i="58"/>
  <c r="K18" i="58"/>
  <c r="K19" i="58"/>
  <c r="K17" i="58"/>
  <c r="K20" i="58"/>
  <c r="K40" i="58"/>
  <c r="G17" i="58"/>
  <c r="G19" i="58"/>
  <c r="G18" i="58"/>
  <c r="C31" i="58"/>
  <c r="C53" i="58"/>
  <c r="M29" i="58" l="1"/>
  <c r="J29" i="58"/>
  <c r="L29" i="58" s="1"/>
  <c r="X74" i="58"/>
  <c r="X75" i="58" s="1"/>
  <c r="X73" i="58"/>
  <c r="I25" i="58"/>
  <c r="C22" i="58"/>
  <c r="G21" i="58"/>
  <c r="G16" i="58"/>
  <c r="G22" i="58" s="1"/>
  <c r="G20" i="58"/>
  <c r="I26" i="58"/>
  <c r="J26" i="58" s="1"/>
  <c r="F35" i="58"/>
  <c r="B41" i="58"/>
  <c r="J35" i="58"/>
  <c r="F36" i="58"/>
  <c r="D58" i="58"/>
  <c r="F31" i="58"/>
  <c r="Z55" i="58"/>
  <c r="AB55" i="58"/>
  <c r="H30" i="58"/>
  <c r="K30" i="58"/>
  <c r="L30" i="58" s="1"/>
  <c r="H26" i="58"/>
  <c r="H25" i="58"/>
  <c r="H29" i="58"/>
  <c r="M30" i="58"/>
  <c r="M28" i="58"/>
  <c r="J27" i="58"/>
  <c r="H28" i="58"/>
  <c r="K28" i="58"/>
  <c r="L28" i="58" s="1"/>
  <c r="D59" i="58"/>
  <c r="D63" i="58"/>
  <c r="D61" i="58"/>
  <c r="D62" i="58"/>
  <c r="K27" i="58"/>
  <c r="K22" i="58"/>
  <c r="D25" i="58"/>
  <c r="D27" i="58"/>
  <c r="C59" i="58"/>
  <c r="C58" i="58"/>
  <c r="C63" i="58"/>
  <c r="C62" i="58"/>
  <c r="B31" i="58"/>
  <c r="E53" i="58"/>
  <c r="D29" i="58"/>
  <c r="D28" i="58"/>
  <c r="D26" i="58"/>
  <c r="D30" i="58"/>
  <c r="X76" i="58" l="1"/>
  <c r="M26" i="58"/>
  <c r="J41" i="58"/>
  <c r="C50" i="58"/>
  <c r="D48" i="58" s="1"/>
  <c r="C39" i="58"/>
  <c r="B54" i="58"/>
  <c r="C37" i="58"/>
  <c r="C40" i="58"/>
  <c r="C38" i="58"/>
  <c r="F41" i="58"/>
  <c r="G35" i="58"/>
  <c r="Q53" i="58"/>
  <c r="E62" i="58"/>
  <c r="E61" i="58"/>
  <c r="E60" i="58"/>
  <c r="E63" i="58"/>
  <c r="K26" i="58"/>
  <c r="L26" i="58" s="1"/>
  <c r="I31" i="58"/>
  <c r="H31" i="58"/>
  <c r="L27" i="58"/>
  <c r="D64" i="58"/>
  <c r="D46" i="58"/>
  <c r="D45" i="58"/>
  <c r="G44" i="58"/>
  <c r="M25" i="58"/>
  <c r="J25" i="58"/>
  <c r="K25" i="58"/>
  <c r="G45" i="58"/>
  <c r="F45" i="58"/>
  <c r="E59" i="58" s="1"/>
  <c r="D31" i="58"/>
  <c r="M31" i="58" l="1"/>
  <c r="L25" i="58"/>
  <c r="E54" i="58"/>
  <c r="E56" i="58" s="1"/>
  <c r="D44" i="58"/>
  <c r="G37" i="58"/>
  <c r="G40" i="58"/>
  <c r="E41" i="58"/>
  <c r="G38" i="58"/>
  <c r="G39" i="58"/>
  <c r="C54" i="58"/>
  <c r="B50" i="58"/>
  <c r="G36" i="58"/>
  <c r="C41" i="58"/>
  <c r="B56" i="58"/>
  <c r="B55" i="58"/>
  <c r="D47" i="58"/>
  <c r="K35" i="58"/>
  <c r="D54" i="58"/>
  <c r="I41" i="58"/>
  <c r="K38" i="58"/>
  <c r="K39" i="58"/>
  <c r="K37" i="58"/>
  <c r="K31" i="58"/>
  <c r="D49" i="58"/>
  <c r="K36" i="58"/>
  <c r="E55" i="58"/>
  <c r="F44" i="58"/>
  <c r="E58" i="58" s="1"/>
  <c r="E64" i="58" s="1"/>
  <c r="L31" i="58"/>
  <c r="J31" i="58"/>
  <c r="G50" i="58"/>
  <c r="H44" i="58" s="1"/>
  <c r="G41" i="58" l="1"/>
  <c r="C61" i="58" s="1"/>
  <c r="C64" i="58" s="1"/>
  <c r="D50" i="58"/>
  <c r="B59" i="58"/>
  <c r="I45" i="58" s="1"/>
  <c r="B62" i="58"/>
  <c r="I48" i="58" s="1"/>
  <c r="B63" i="58"/>
  <c r="I49" i="58" s="1"/>
  <c r="B58" i="58"/>
  <c r="B60" i="58"/>
  <c r="I46" i="58" s="1"/>
  <c r="B61" i="58"/>
  <c r="I47" i="58" s="1"/>
  <c r="R35" i="58"/>
  <c r="C55" i="58"/>
  <c r="C56" i="58"/>
  <c r="D56" i="58"/>
  <c r="D55" i="58"/>
  <c r="K41" i="58"/>
  <c r="H45" i="58"/>
  <c r="H49" i="58"/>
  <c r="H48" i="58"/>
  <c r="H46" i="58"/>
  <c r="F50" i="58"/>
  <c r="H47" i="58"/>
  <c r="K46" i="58" l="1"/>
  <c r="M46" i="58"/>
  <c r="J46" i="58"/>
  <c r="L46" i="58" s="1"/>
  <c r="K48" i="58"/>
  <c r="M48" i="58"/>
  <c r="J48" i="58"/>
  <c r="K47" i="58"/>
  <c r="J47" i="58"/>
  <c r="L47" i="58" s="1"/>
  <c r="M47" i="58"/>
  <c r="I44" i="58"/>
  <c r="B64" i="58"/>
  <c r="K49" i="58"/>
  <c r="M49" i="58"/>
  <c r="J49" i="58"/>
  <c r="K45" i="58"/>
  <c r="M45" i="58"/>
  <c r="J45" i="58"/>
  <c r="H50" i="58"/>
  <c r="I50" i="58" l="1"/>
  <c r="J44" i="58"/>
  <c r="K44" i="58"/>
  <c r="K50" i="58" s="1"/>
  <c r="M44" i="58"/>
  <c r="M50" i="58" s="1"/>
  <c r="L48" i="58"/>
  <c r="L45" i="58"/>
  <c r="L49" i="58"/>
  <c r="L44" i="58" l="1"/>
  <c r="L50" i="58" s="1"/>
  <c r="J50" i="58"/>
  <c r="F50" i="27" l="1"/>
  <c r="E59" i="27"/>
  <c r="C58" i="27"/>
  <c r="Q53" i="27"/>
  <c r="B60" i="27"/>
  <c r="D60" i="27"/>
  <c r="C60" i="27"/>
  <c r="C59" i="27"/>
  <c r="F36" i="57"/>
  <c r="T48" i="57"/>
  <c r="T47" i="57"/>
  <c r="F44" i="57"/>
  <c r="A60" i="57"/>
  <c r="C50" i="57"/>
  <c r="G49" i="57"/>
  <c r="F49" i="57"/>
  <c r="C49" i="57"/>
  <c r="G48" i="57"/>
  <c r="F48" i="57"/>
  <c r="C48" i="57"/>
  <c r="G47" i="57"/>
  <c r="F47" i="57"/>
  <c r="C47" i="57"/>
  <c r="G46" i="57"/>
  <c r="F46" i="57"/>
  <c r="C46" i="57"/>
  <c r="A46" i="57"/>
  <c r="G45" i="57"/>
  <c r="F45" i="57"/>
  <c r="A45" i="57"/>
  <c r="A59" i="57" s="1"/>
  <c r="G44" i="57"/>
  <c r="P42" i="57"/>
  <c r="P41" i="57"/>
  <c r="J40" i="57"/>
  <c r="F40" i="57"/>
  <c r="A40" i="57"/>
  <c r="A49" i="57" s="1"/>
  <c r="A63" i="57" s="1"/>
  <c r="J39" i="57"/>
  <c r="F39" i="57"/>
  <c r="J38" i="57"/>
  <c r="F38" i="57"/>
  <c r="A38" i="57"/>
  <c r="A47" i="57" s="1"/>
  <c r="A61" i="57" s="1"/>
  <c r="J37" i="57"/>
  <c r="B37" i="57"/>
  <c r="B41" i="57" s="1"/>
  <c r="A37" i="57"/>
  <c r="J36" i="57"/>
  <c r="A36" i="57"/>
  <c r="I35" i="57"/>
  <c r="J35" i="57" s="1"/>
  <c r="A35" i="57"/>
  <c r="A44" i="57" s="1"/>
  <c r="A58" i="57" s="1"/>
  <c r="G30" i="57"/>
  <c r="F30" i="57"/>
  <c r="A30" i="57"/>
  <c r="G29" i="57"/>
  <c r="F29" i="57"/>
  <c r="G28" i="57"/>
  <c r="F28" i="57"/>
  <c r="G27" i="57"/>
  <c r="F27" i="57"/>
  <c r="G26" i="57"/>
  <c r="F26" i="57"/>
  <c r="G25" i="57"/>
  <c r="P37" i="57" s="1"/>
  <c r="F25" i="57"/>
  <c r="A25" i="57"/>
  <c r="V24" i="57"/>
  <c r="B22" i="57"/>
  <c r="J21" i="57"/>
  <c r="F21" i="57"/>
  <c r="A21" i="57"/>
  <c r="J20" i="57"/>
  <c r="F20" i="57"/>
  <c r="C29" i="57" s="1"/>
  <c r="A20" i="57"/>
  <c r="J19" i="57"/>
  <c r="F19" i="57"/>
  <c r="J18" i="57"/>
  <c r="F18" i="57"/>
  <c r="C27" i="57" s="1"/>
  <c r="A18" i="57"/>
  <c r="J17" i="57"/>
  <c r="C26" i="57" s="1"/>
  <c r="F17" i="57"/>
  <c r="J16" i="57"/>
  <c r="J22" i="57" s="1"/>
  <c r="F16" i="57"/>
  <c r="C25" i="57" s="1"/>
  <c r="A16" i="57"/>
  <c r="V15" i="57"/>
  <c r="V14" i="57"/>
  <c r="F9" i="57"/>
  <c r="A39" i="57" s="1"/>
  <c r="A48" i="57" s="1"/>
  <c r="A62" i="57" s="1"/>
  <c r="B9" i="57"/>
  <c r="A29" i="57" s="1"/>
  <c r="F8" i="57"/>
  <c r="B8" i="57"/>
  <c r="A28" i="57" s="1"/>
  <c r="B7" i="57"/>
  <c r="A27" i="57" s="1"/>
  <c r="B6" i="57"/>
  <c r="A26" i="57" s="1"/>
  <c r="B1" i="57"/>
  <c r="P42" i="27"/>
  <c r="J37" i="27"/>
  <c r="P41" i="27"/>
  <c r="C64" i="27"/>
  <c r="G44" i="27"/>
  <c r="B37" i="27"/>
  <c r="F35" i="27"/>
  <c r="P37" i="27"/>
  <c r="C45" i="27"/>
  <c r="T48" i="27"/>
  <c r="T47" i="27"/>
  <c r="F44" i="27"/>
  <c r="K25" i="27"/>
  <c r="C25" i="27"/>
  <c r="B6" i="27"/>
  <c r="J27" i="39"/>
  <c r="B13" i="15"/>
  <c r="F13" i="15"/>
  <c r="H13" i="15"/>
  <c r="B46" i="15"/>
  <c r="B47" i="15"/>
  <c r="F46" i="15"/>
  <c r="F47" i="15"/>
  <c r="C47" i="15" s="1"/>
  <c r="H46" i="15"/>
  <c r="H47" i="15"/>
  <c r="B35" i="15"/>
  <c r="B36" i="15"/>
  <c r="F35" i="15"/>
  <c r="F36" i="15"/>
  <c r="H35" i="15"/>
  <c r="H36" i="15"/>
  <c r="B31" i="15"/>
  <c r="B32" i="15"/>
  <c r="F31" i="15"/>
  <c r="F32" i="15"/>
  <c r="H31" i="15"/>
  <c r="H32" i="15"/>
  <c r="B22" i="15"/>
  <c r="B23" i="15"/>
  <c r="F22" i="15"/>
  <c r="F23" i="15"/>
  <c r="H22" i="15"/>
  <c r="H23" i="15"/>
  <c r="B24" i="15"/>
  <c r="B25" i="15"/>
  <c r="B26" i="15"/>
  <c r="F24" i="15"/>
  <c r="F25" i="15"/>
  <c r="F26" i="15"/>
  <c r="H24" i="15"/>
  <c r="H25" i="15"/>
  <c r="H26" i="15"/>
  <c r="B39" i="15"/>
  <c r="B40" i="15"/>
  <c r="F39" i="15"/>
  <c r="F40" i="15"/>
  <c r="H39" i="15"/>
  <c r="H40" i="15"/>
  <c r="B11" i="15"/>
  <c r="B12" i="15"/>
  <c r="F11" i="15"/>
  <c r="F12" i="15"/>
  <c r="H11" i="15"/>
  <c r="H12" i="15"/>
  <c r="B18" i="15"/>
  <c r="B19" i="15"/>
  <c r="F18" i="15"/>
  <c r="F19" i="15"/>
  <c r="H18" i="15"/>
  <c r="H19" i="15"/>
  <c r="B16" i="15"/>
  <c r="B17" i="15"/>
  <c r="F16" i="15"/>
  <c r="F17" i="15"/>
  <c r="H16" i="15"/>
  <c r="H17" i="15"/>
  <c r="B3" i="15"/>
  <c r="B4" i="15"/>
  <c r="B5" i="15"/>
  <c r="B6" i="15"/>
  <c r="B7" i="15"/>
  <c r="B8" i="15"/>
  <c r="B9" i="15"/>
  <c r="F3" i="15"/>
  <c r="F4" i="15"/>
  <c r="F5" i="15"/>
  <c r="F6" i="15"/>
  <c r="F7" i="15"/>
  <c r="F8" i="15"/>
  <c r="F9" i="15"/>
  <c r="H3" i="15"/>
  <c r="H4" i="15"/>
  <c r="H5" i="15"/>
  <c r="H6" i="15"/>
  <c r="H7" i="15"/>
  <c r="H8" i="15"/>
  <c r="H9" i="15"/>
  <c r="G50" i="57" l="1"/>
  <c r="H45" i="57" s="1"/>
  <c r="D48" i="57"/>
  <c r="D45" i="57"/>
  <c r="D46" i="57"/>
  <c r="D47" i="57"/>
  <c r="D49" i="57"/>
  <c r="D53" i="57"/>
  <c r="K19" i="57"/>
  <c r="K17" i="57"/>
  <c r="I22" i="57"/>
  <c r="D58" i="57" s="1"/>
  <c r="K21" i="57"/>
  <c r="H26" i="57"/>
  <c r="D29" i="57"/>
  <c r="K40" i="57"/>
  <c r="J41" i="57"/>
  <c r="K38" i="57" s="1"/>
  <c r="K20" i="57"/>
  <c r="H27" i="57"/>
  <c r="C36" i="57"/>
  <c r="C40" i="57"/>
  <c r="C39" i="57"/>
  <c r="C37" i="57"/>
  <c r="C35" i="57"/>
  <c r="C38" i="57"/>
  <c r="B54" i="57"/>
  <c r="D26" i="57"/>
  <c r="D27" i="57"/>
  <c r="K18" i="57"/>
  <c r="H30" i="57"/>
  <c r="C31" i="57"/>
  <c r="D25" i="57" s="1"/>
  <c r="C18" i="57"/>
  <c r="I27" i="57" s="1"/>
  <c r="F22" i="57"/>
  <c r="G16" i="57" s="1"/>
  <c r="F35" i="57"/>
  <c r="D44" i="57"/>
  <c r="E54" i="57"/>
  <c r="K16" i="57"/>
  <c r="K22" i="57" s="1"/>
  <c r="C30" i="57"/>
  <c r="D63" i="57"/>
  <c r="C16" i="57"/>
  <c r="A17" i="57"/>
  <c r="A19" i="57"/>
  <c r="C17" i="57"/>
  <c r="I26" i="57" s="1"/>
  <c r="C19" i="57"/>
  <c r="I28" i="57" s="1"/>
  <c r="C21" i="57"/>
  <c r="I30" i="57" s="1"/>
  <c r="C28" i="57"/>
  <c r="G31" i="57"/>
  <c r="D61" i="57"/>
  <c r="D62" i="57"/>
  <c r="H25" i="57"/>
  <c r="D60" i="57"/>
  <c r="B53" i="57"/>
  <c r="C20" i="57"/>
  <c r="I29" i="57" s="1"/>
  <c r="C13" i="15"/>
  <c r="L13" i="15" s="1"/>
  <c r="C46" i="15"/>
  <c r="R46" i="15" s="1"/>
  <c r="R47" i="15"/>
  <c r="L47" i="15"/>
  <c r="O47" i="15"/>
  <c r="O46" i="15"/>
  <c r="C36" i="15"/>
  <c r="R36" i="15" s="1"/>
  <c r="C35" i="15"/>
  <c r="R35" i="15" s="1"/>
  <c r="C32" i="15"/>
  <c r="O32" i="15" s="1"/>
  <c r="C31" i="15"/>
  <c r="O31" i="15" s="1"/>
  <c r="C23" i="15"/>
  <c r="R23" i="15" s="1"/>
  <c r="C22" i="15"/>
  <c r="L22" i="15" s="1"/>
  <c r="C25" i="15"/>
  <c r="L25" i="15" s="1"/>
  <c r="C24" i="15"/>
  <c r="L24" i="15" s="1"/>
  <c r="C26" i="15"/>
  <c r="O26" i="15" s="1"/>
  <c r="C40" i="15"/>
  <c r="R40" i="15" s="1"/>
  <c r="C39" i="15"/>
  <c r="O39" i="15" s="1"/>
  <c r="C12" i="15"/>
  <c r="L12" i="15" s="1"/>
  <c r="C11" i="15"/>
  <c r="L11" i="15" s="1"/>
  <c r="C19" i="15"/>
  <c r="R19" i="15" s="1"/>
  <c r="C17" i="15"/>
  <c r="R17" i="15" s="1"/>
  <c r="C18" i="15"/>
  <c r="R18" i="15" s="1"/>
  <c r="C16" i="15"/>
  <c r="R16" i="15" s="1"/>
  <c r="C6" i="15"/>
  <c r="L6" i="15" s="1"/>
  <c r="C8" i="15"/>
  <c r="R8" i="15" s="1"/>
  <c r="C7" i="15"/>
  <c r="O7" i="15" s="1"/>
  <c r="C5" i="15"/>
  <c r="R5" i="15" s="1"/>
  <c r="C4" i="15"/>
  <c r="R4" i="15" s="1"/>
  <c r="C3" i="15"/>
  <c r="O3" i="15" s="1"/>
  <c r="C9" i="15"/>
  <c r="L9" i="15" s="1"/>
  <c r="F50" i="57" l="1"/>
  <c r="K36" i="57"/>
  <c r="H47" i="57"/>
  <c r="H48" i="57"/>
  <c r="H44" i="57"/>
  <c r="H46" i="57"/>
  <c r="H49" i="57"/>
  <c r="K39" i="57"/>
  <c r="K37" i="57"/>
  <c r="D50" i="57"/>
  <c r="B56" i="57"/>
  <c r="B55" i="57"/>
  <c r="F41" i="57"/>
  <c r="G35" i="57" s="1"/>
  <c r="K27" i="57"/>
  <c r="M27" i="57"/>
  <c r="J27" i="57"/>
  <c r="L27" i="57" s="1"/>
  <c r="I25" i="57"/>
  <c r="C22" i="57"/>
  <c r="I41" i="57"/>
  <c r="D54" i="57"/>
  <c r="D56" i="57" s="1"/>
  <c r="D30" i="57"/>
  <c r="H29" i="57"/>
  <c r="F31" i="57"/>
  <c r="H28" i="57"/>
  <c r="C41" i="57"/>
  <c r="M26" i="57"/>
  <c r="J26" i="57"/>
  <c r="K26" i="57"/>
  <c r="C53" i="57"/>
  <c r="E22" i="57"/>
  <c r="G19" i="57"/>
  <c r="G20" i="57"/>
  <c r="G17" i="57"/>
  <c r="G22" i="57" s="1"/>
  <c r="M29" i="57"/>
  <c r="J29" i="57"/>
  <c r="K29" i="57"/>
  <c r="D28" i="57"/>
  <c r="D31" i="57" s="1"/>
  <c r="K28" i="57"/>
  <c r="J28" i="57"/>
  <c r="L28" i="57" s="1"/>
  <c r="M28" i="57"/>
  <c r="G18" i="57"/>
  <c r="H31" i="57"/>
  <c r="E53" i="57"/>
  <c r="B31" i="57"/>
  <c r="G21" i="57"/>
  <c r="K35" i="57"/>
  <c r="D59" i="57"/>
  <c r="D64" i="57" s="1"/>
  <c r="J30" i="57"/>
  <c r="K30" i="57"/>
  <c r="M30" i="57"/>
  <c r="R13" i="15"/>
  <c r="O13" i="15"/>
  <c r="O35" i="15"/>
  <c r="L35" i="15"/>
  <c r="L31" i="15"/>
  <c r="L46" i="15"/>
  <c r="L32" i="15"/>
  <c r="R32" i="15"/>
  <c r="O36" i="15"/>
  <c r="L36" i="15"/>
  <c r="R31" i="15"/>
  <c r="R39" i="15"/>
  <c r="L39" i="15"/>
  <c r="O22" i="15"/>
  <c r="O23" i="15"/>
  <c r="R22" i="15"/>
  <c r="L23" i="15"/>
  <c r="R12" i="15"/>
  <c r="O12" i="15"/>
  <c r="R25" i="15"/>
  <c r="O25" i="15"/>
  <c r="R26" i="15"/>
  <c r="L26" i="15"/>
  <c r="R24" i="15"/>
  <c r="O24" i="15"/>
  <c r="L40" i="15"/>
  <c r="O40" i="15"/>
  <c r="O19" i="15"/>
  <c r="L19" i="15"/>
  <c r="R9" i="15"/>
  <c r="O11" i="15"/>
  <c r="R11" i="15"/>
  <c r="L17" i="15"/>
  <c r="O6" i="15"/>
  <c r="L8" i="15"/>
  <c r="O17" i="15"/>
  <c r="R6" i="15"/>
  <c r="O8" i="15"/>
  <c r="O18" i="15"/>
  <c r="L18" i="15"/>
  <c r="O16" i="15"/>
  <c r="L16" i="15"/>
  <c r="L4" i="15"/>
  <c r="O4" i="15"/>
  <c r="O9" i="15"/>
  <c r="L7" i="15"/>
  <c r="R7" i="15"/>
  <c r="L5" i="15"/>
  <c r="O5" i="15"/>
  <c r="R3" i="15"/>
  <c r="L3" i="15"/>
  <c r="H50" i="57" l="1"/>
  <c r="D55" i="57"/>
  <c r="K41" i="57"/>
  <c r="C62" i="57"/>
  <c r="C59" i="57"/>
  <c r="C63" i="57"/>
  <c r="C58" i="57"/>
  <c r="C60" i="57"/>
  <c r="B62" i="57"/>
  <c r="I48" i="57" s="1"/>
  <c r="B59" i="57"/>
  <c r="I45" i="57" s="1"/>
  <c r="B58" i="57"/>
  <c r="B61" i="57"/>
  <c r="I47" i="57" s="1"/>
  <c r="B63" i="57"/>
  <c r="I49" i="57" s="1"/>
  <c r="B60" i="57"/>
  <c r="I46" i="57" s="1"/>
  <c r="L30" i="57"/>
  <c r="L29" i="57"/>
  <c r="I31" i="57"/>
  <c r="M25" i="57"/>
  <c r="M31" i="57" s="1"/>
  <c r="J25" i="57"/>
  <c r="K25" i="57"/>
  <c r="K31" i="57" s="1"/>
  <c r="L26" i="57"/>
  <c r="G39" i="57"/>
  <c r="E41" i="57"/>
  <c r="G37" i="57"/>
  <c r="C54" i="57"/>
  <c r="R35" i="57" s="1"/>
  <c r="G36" i="57"/>
  <c r="G38" i="57"/>
  <c r="B50" i="57"/>
  <c r="G40" i="57"/>
  <c r="E61" i="57"/>
  <c r="E60" i="57"/>
  <c r="E62" i="57"/>
  <c r="E59" i="57"/>
  <c r="E63" i="57"/>
  <c r="E58" i="57"/>
  <c r="E56" i="57"/>
  <c r="E55" i="57"/>
  <c r="C79" i="17"/>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E64" i="57" l="1"/>
  <c r="G41" i="57"/>
  <c r="C61" i="57" s="1"/>
  <c r="C55" i="57"/>
  <c r="C56" i="57"/>
  <c r="J31" i="57"/>
  <c r="L25" i="57"/>
  <c r="L31" i="57" s="1"/>
  <c r="M49" i="57"/>
  <c r="K49" i="57"/>
  <c r="J49" i="57"/>
  <c r="M47" i="57"/>
  <c r="K47" i="57"/>
  <c r="J47" i="57"/>
  <c r="I44" i="57"/>
  <c r="B64" i="57"/>
  <c r="K45" i="57"/>
  <c r="J45" i="57"/>
  <c r="M45" i="57"/>
  <c r="M48" i="57"/>
  <c r="K48" i="57"/>
  <c r="J48" i="57"/>
  <c r="C64" i="57"/>
  <c r="M46" i="57"/>
  <c r="K46" i="57"/>
  <c r="J46" i="57"/>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L49" i="57" l="1"/>
  <c r="L45" i="57"/>
  <c r="L48" i="57"/>
  <c r="K44" i="57"/>
  <c r="K50" i="57" s="1"/>
  <c r="J44" i="57"/>
  <c r="I50" i="57"/>
  <c r="M44" i="57"/>
  <c r="M50" i="57" s="1"/>
  <c r="L46" i="57"/>
  <c r="L47" i="57"/>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5" i="15"/>
  <c r="U20" i="15"/>
  <c r="J50" i="57" l="1"/>
  <c r="L44" i="57"/>
  <c r="L50" i="57" s="1"/>
  <c r="AC3" i="2"/>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5" i="15"/>
  <c r="B15" i="15"/>
  <c r="B304" i="2" l="1"/>
  <c r="AD304" i="2" s="1"/>
  <c r="L95" i="15"/>
  <c r="O95" i="15"/>
  <c r="R95"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29" i="15"/>
  <c r="U30" i="15"/>
  <c r="U33" i="15"/>
  <c r="U34" i="15"/>
  <c r="U37" i="15"/>
  <c r="U38" i="15"/>
  <c r="U41" i="15"/>
  <c r="U42" i="15"/>
  <c r="U43" i="15"/>
  <c r="U44" i="15"/>
  <c r="U45"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90" i="15"/>
  <c r="U91" i="15"/>
  <c r="U92" i="15"/>
  <c r="U93" i="15"/>
  <c r="U94" i="15"/>
  <c r="U95"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V24" i="27"/>
  <c r="V15" i="27"/>
  <c r="V14" i="27"/>
  <c r="A18" i="42" l="1"/>
  <c r="A3" i="42"/>
  <c r="A2" i="42"/>
  <c r="A10" i="38" l="1"/>
  <c r="A11" i="38"/>
  <c r="A12" i="38"/>
  <c r="A13" i="38"/>
  <c r="A3" i="38"/>
  <c r="A4" i="38"/>
  <c r="A5" i="38"/>
  <c r="A6" i="38"/>
  <c r="A7" i="38"/>
  <c r="A8" i="38"/>
  <c r="A9" i="38"/>
  <c r="A2" i="38"/>
  <c r="B10" i="15"/>
  <c r="B14" i="15"/>
  <c r="B21" i="15"/>
  <c r="B27" i="15"/>
  <c r="B28" i="15"/>
  <c r="B29" i="15"/>
  <c r="B30" i="15"/>
  <c r="B33" i="15"/>
  <c r="B34" i="15"/>
  <c r="B37" i="15"/>
  <c r="B38" i="15"/>
  <c r="B41" i="15"/>
  <c r="B42" i="15"/>
  <c r="B43" i="15"/>
  <c r="B44" i="15"/>
  <c r="B45"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14" i="15"/>
  <c r="U2" i="15"/>
  <c r="U10" i="15"/>
  <c r="U21" i="15"/>
  <c r="B2" i="15"/>
  <c r="C21" i="37" l="1"/>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4" i="15"/>
  <c r="F21" i="15"/>
  <c r="F29" i="15"/>
  <c r="F41" i="15"/>
  <c r="F53" i="15"/>
  <c r="F65" i="15"/>
  <c r="F77" i="15"/>
  <c r="F89" i="15"/>
  <c r="H51" i="15"/>
  <c r="H63" i="15"/>
  <c r="H75" i="15"/>
  <c r="H87" i="15"/>
  <c r="F54" i="15"/>
  <c r="F66" i="15"/>
  <c r="F78" i="15"/>
  <c r="F90" i="15"/>
  <c r="H38" i="15"/>
  <c r="H52" i="15"/>
  <c r="H64" i="15"/>
  <c r="H76" i="15"/>
  <c r="H88" i="15"/>
  <c r="F67" i="15"/>
  <c r="F79" i="15"/>
  <c r="F91" i="15"/>
  <c r="H41" i="15"/>
  <c r="H53" i="15"/>
  <c r="H65" i="15"/>
  <c r="H89" i="15"/>
  <c r="F80" i="15"/>
  <c r="F92" i="15"/>
  <c r="H54" i="15"/>
  <c r="H78" i="15"/>
  <c r="H49" i="15"/>
  <c r="F38" i="15"/>
  <c r="F88" i="15"/>
  <c r="H62" i="15"/>
  <c r="F55" i="15"/>
  <c r="H77" i="15"/>
  <c r="H66" i="15"/>
  <c r="H61" i="15"/>
  <c r="F64" i="15"/>
  <c r="F42" i="15"/>
  <c r="F56" i="15"/>
  <c r="F68" i="15"/>
  <c r="H90" i="15"/>
  <c r="F52" i="15"/>
  <c r="H74" i="15"/>
  <c r="F43" i="15"/>
  <c r="F57" i="15"/>
  <c r="F69" i="15"/>
  <c r="F81" i="15"/>
  <c r="F93" i="15"/>
  <c r="H55" i="15"/>
  <c r="H67" i="15"/>
  <c r="H79" i="15"/>
  <c r="H91" i="15"/>
  <c r="F58" i="15"/>
  <c r="F70" i="15"/>
  <c r="F94" i="15"/>
  <c r="H56" i="15"/>
  <c r="H80" i="15"/>
  <c r="F45" i="15"/>
  <c r="F71" i="15"/>
  <c r="F83" i="15"/>
  <c r="H43" i="15"/>
  <c r="H57" i="15"/>
  <c r="H81" i="15"/>
  <c r="H48" i="15"/>
  <c r="F51" i="15"/>
  <c r="F75" i="15"/>
  <c r="H85" i="15"/>
  <c r="F76" i="15"/>
  <c r="H86" i="15"/>
  <c r="F44" i="15"/>
  <c r="F82" i="15"/>
  <c r="H42" i="15"/>
  <c r="H68" i="15"/>
  <c r="H92" i="15"/>
  <c r="F59" i="15"/>
  <c r="H69" i="15"/>
  <c r="H93" i="15"/>
  <c r="H72" i="15"/>
  <c r="F63" i="15"/>
  <c r="H50" i="15"/>
  <c r="F48" i="15"/>
  <c r="F60" i="15"/>
  <c r="F72" i="15"/>
  <c r="F84" i="15"/>
  <c r="H44" i="15"/>
  <c r="H58" i="15"/>
  <c r="H70" i="15"/>
  <c r="H82" i="15"/>
  <c r="H94" i="15"/>
  <c r="F49" i="15"/>
  <c r="F61" i="15"/>
  <c r="F73" i="15"/>
  <c r="F85" i="15"/>
  <c r="H45" i="15"/>
  <c r="H59" i="15"/>
  <c r="H71" i="15"/>
  <c r="H83" i="15"/>
  <c r="F50" i="15"/>
  <c r="F62" i="15"/>
  <c r="F74" i="15"/>
  <c r="F86" i="15"/>
  <c r="H60" i="15"/>
  <c r="H84" i="15"/>
  <c r="F87" i="15"/>
  <c r="H73" i="15"/>
  <c r="F37" i="15"/>
  <c r="H33" i="15"/>
  <c r="F34" i="15"/>
  <c r="H37" i="15"/>
  <c r="F33"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7" i="15"/>
  <c r="R87" i="15" s="1"/>
  <c r="C51"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59" i="15"/>
  <c r="C15" i="15"/>
  <c r="C86" i="15"/>
  <c r="L86" i="15" s="1"/>
  <c r="C50" i="15"/>
  <c r="O50" i="15" s="1"/>
  <c r="C20" i="15"/>
  <c r="C62" i="15"/>
  <c r="C64" i="15"/>
  <c r="C61" i="15"/>
  <c r="C38" i="15"/>
  <c r="C41" i="15"/>
  <c r="C30" i="15"/>
  <c r="C56" i="15"/>
  <c r="C74" i="15"/>
  <c r="C89" i="15"/>
  <c r="C80" i="15"/>
  <c r="C75" i="15"/>
  <c r="C84" i="15"/>
  <c r="C83" i="15"/>
  <c r="C60" i="15"/>
  <c r="B35" i="46" s="1"/>
  <c r="C44" i="15"/>
  <c r="C85" i="15"/>
  <c r="C34" i="15"/>
  <c r="J22" i="33"/>
  <c r="C33" i="15"/>
  <c r="C68" i="15"/>
  <c r="C42" i="15"/>
  <c r="C92" i="15"/>
  <c r="C77" i="15"/>
  <c r="C65" i="15"/>
  <c r="C37" i="15"/>
  <c r="C72" i="15"/>
  <c r="C82" i="15"/>
  <c r="C71" i="15"/>
  <c r="C93" i="15"/>
  <c r="C53" i="15"/>
  <c r="C90" i="15"/>
  <c r="C45" i="15"/>
  <c r="C48" i="15"/>
  <c r="C69" i="15"/>
  <c r="C78" i="15"/>
  <c r="C29" i="15"/>
  <c r="C73" i="15"/>
  <c r="C76" i="15"/>
  <c r="C57" i="15"/>
  <c r="C55" i="15"/>
  <c r="C66" i="15"/>
  <c r="C81" i="15"/>
  <c r="C63" i="15"/>
  <c r="C94" i="15"/>
  <c r="C43" i="15"/>
  <c r="C91" i="15"/>
  <c r="C54" i="15"/>
  <c r="C49" i="15"/>
  <c r="C70" i="15"/>
  <c r="C88" i="15"/>
  <c r="C79" i="15"/>
  <c r="C58" i="15"/>
  <c r="C52" i="15"/>
  <c r="C67" i="15"/>
  <c r="B46" i="46" l="1"/>
  <c r="B33" i="46"/>
  <c r="B36" i="46"/>
  <c r="B32" i="46"/>
  <c r="B47" i="46"/>
  <c r="B38" i="46"/>
  <c r="B31" i="46"/>
  <c r="B44" i="46"/>
  <c r="B48" i="46"/>
  <c r="B42" i="46"/>
  <c r="B51" i="46"/>
  <c r="B45" i="46"/>
  <c r="B41" i="46"/>
  <c r="B39" i="46"/>
  <c r="B40" i="46"/>
  <c r="B43" i="46"/>
  <c r="B50" i="46"/>
  <c r="B49" i="46"/>
  <c r="O87" i="15"/>
  <c r="O51" i="15"/>
  <c r="L51" i="15"/>
  <c r="R51" i="15"/>
  <c r="L59" i="15"/>
  <c r="B34" i="46"/>
  <c r="R62" i="15"/>
  <c r="B37" i="46"/>
  <c r="L87" i="15"/>
  <c r="J21" i="33"/>
  <c r="J25" i="33"/>
  <c r="R22" i="33"/>
  <c r="P22" i="33"/>
  <c r="N22" i="33"/>
  <c r="L22" i="33"/>
  <c r="O59" i="15"/>
  <c r="R59" i="15"/>
  <c r="O86" i="15"/>
  <c r="R50" i="15"/>
  <c r="R86" i="15"/>
  <c r="L50" i="15"/>
  <c r="O62" i="15"/>
  <c r="J9" i="33"/>
  <c r="J7" i="33"/>
  <c r="L62" i="15"/>
  <c r="O15" i="15"/>
  <c r="R15" i="15"/>
  <c r="L15" i="15"/>
  <c r="O20" i="15"/>
  <c r="L20" i="15"/>
  <c r="R20" i="15"/>
  <c r="O61" i="15"/>
  <c r="L61" i="15"/>
  <c r="R61" i="15"/>
  <c r="O88" i="15"/>
  <c r="R88" i="15"/>
  <c r="L88" i="15"/>
  <c r="O76" i="15"/>
  <c r="R76" i="15"/>
  <c r="L76" i="15"/>
  <c r="R72" i="15"/>
  <c r="L72" i="15"/>
  <c r="O72" i="15"/>
  <c r="R60" i="15"/>
  <c r="L60" i="15"/>
  <c r="O60" i="15"/>
  <c r="L38" i="15"/>
  <c r="R38" i="15"/>
  <c r="O38" i="15"/>
  <c r="L70" i="15"/>
  <c r="O70" i="15"/>
  <c r="R70" i="15"/>
  <c r="L73" i="15"/>
  <c r="R73" i="15"/>
  <c r="O73" i="15"/>
  <c r="L37" i="15"/>
  <c r="O37" i="15"/>
  <c r="R37" i="15"/>
  <c r="L83" i="15"/>
  <c r="R83" i="15"/>
  <c r="O83" i="15"/>
  <c r="O85" i="15"/>
  <c r="L85" i="15"/>
  <c r="R85" i="15"/>
  <c r="L49" i="15"/>
  <c r="O49" i="15"/>
  <c r="R49" i="15"/>
  <c r="L29" i="15"/>
  <c r="O29" i="15"/>
  <c r="R29" i="15"/>
  <c r="L65" i="15"/>
  <c r="R65" i="15"/>
  <c r="O65" i="15"/>
  <c r="R84" i="15"/>
  <c r="L84" i="15"/>
  <c r="O84" i="15"/>
  <c r="O79" i="15"/>
  <c r="L79" i="15"/>
  <c r="R79" i="15"/>
  <c r="R54" i="15"/>
  <c r="O54" i="15"/>
  <c r="L54" i="15"/>
  <c r="R78" i="15"/>
  <c r="O78" i="15"/>
  <c r="L78" i="15"/>
  <c r="L77" i="15"/>
  <c r="O77" i="15"/>
  <c r="R77" i="15"/>
  <c r="R75" i="15"/>
  <c r="O75" i="15"/>
  <c r="L75" i="15"/>
  <c r="O55" i="15"/>
  <c r="R55" i="15"/>
  <c r="L55" i="15"/>
  <c r="O91" i="15"/>
  <c r="R91" i="15"/>
  <c r="L91" i="15"/>
  <c r="R69" i="15"/>
  <c r="O69" i="15"/>
  <c r="L69" i="15"/>
  <c r="L92" i="15"/>
  <c r="O92" i="15"/>
  <c r="R92" i="15"/>
  <c r="L80" i="15"/>
  <c r="O80" i="15"/>
  <c r="R80" i="15"/>
  <c r="R57" i="15"/>
  <c r="L57" i="15"/>
  <c r="O57" i="15"/>
  <c r="O43" i="15"/>
  <c r="R43" i="15"/>
  <c r="L43" i="15"/>
  <c r="R48" i="15"/>
  <c r="L48" i="15"/>
  <c r="O48" i="15"/>
  <c r="L42" i="15"/>
  <c r="O42" i="15"/>
  <c r="R42" i="15"/>
  <c r="R89" i="15"/>
  <c r="L89" i="15"/>
  <c r="O89" i="15"/>
  <c r="L71" i="15"/>
  <c r="O71" i="15"/>
  <c r="R71" i="15"/>
  <c r="L94" i="15"/>
  <c r="O94" i="15"/>
  <c r="R94" i="15"/>
  <c r="L45" i="15"/>
  <c r="R45" i="15"/>
  <c r="O45" i="15"/>
  <c r="L68" i="15"/>
  <c r="O68" i="15"/>
  <c r="R68" i="15"/>
  <c r="L74" i="15"/>
  <c r="O74" i="15"/>
  <c r="R74" i="15"/>
  <c r="O64" i="15"/>
  <c r="R64" i="15"/>
  <c r="L64" i="15"/>
  <c r="L58" i="15"/>
  <c r="O58" i="15"/>
  <c r="R58" i="15"/>
  <c r="R63" i="15"/>
  <c r="O63" i="15"/>
  <c r="L63" i="15"/>
  <c r="R90" i="15"/>
  <c r="L90" i="15"/>
  <c r="O90" i="15"/>
  <c r="R33" i="15"/>
  <c r="L33" i="15"/>
  <c r="O33" i="15"/>
  <c r="L56" i="15"/>
  <c r="O56" i="15"/>
  <c r="R56" i="15"/>
  <c r="O44" i="15"/>
  <c r="L44" i="15"/>
  <c r="R44" i="15"/>
  <c r="O67" i="15"/>
  <c r="L67" i="15"/>
  <c r="R67" i="15"/>
  <c r="L81" i="15"/>
  <c r="O81" i="15"/>
  <c r="R81" i="15"/>
  <c r="O53" i="15"/>
  <c r="R53" i="15"/>
  <c r="L53" i="15"/>
  <c r="R30" i="15"/>
  <c r="L30" i="15"/>
  <c r="O30" i="15"/>
  <c r="O82" i="15"/>
  <c r="R82" i="15"/>
  <c r="L82" i="15"/>
  <c r="O52" i="15"/>
  <c r="R52" i="15"/>
  <c r="L52" i="15"/>
  <c r="R66" i="15"/>
  <c r="L66" i="15"/>
  <c r="O66" i="15"/>
  <c r="R93" i="15"/>
  <c r="O93" i="15"/>
  <c r="L93" i="15"/>
  <c r="O34" i="15"/>
  <c r="R34" i="15"/>
  <c r="L34" i="15"/>
  <c r="O41" i="15"/>
  <c r="L41" i="15"/>
  <c r="R41" i="15"/>
  <c r="R25" i="33" l="1"/>
  <c r="P25" i="33"/>
  <c r="L25" i="33"/>
  <c r="N25" i="33"/>
  <c r="P21" i="33"/>
  <c r="R21" i="33"/>
  <c r="N21" i="33"/>
  <c r="L21" i="33"/>
  <c r="R9" i="33"/>
  <c r="L9" i="33"/>
  <c r="N9" i="33"/>
  <c r="P9" i="33"/>
  <c r="L7" i="33"/>
  <c r="N7" i="33"/>
  <c r="P7" i="33"/>
  <c r="R7" i="33"/>
  <c r="AF6" i="2" l="1"/>
  <c r="B1" i="27" l="1"/>
  <c r="F16" i="27" l="1"/>
  <c r="J16" i="27"/>
  <c r="F17" i="27"/>
  <c r="J17" i="27"/>
  <c r="C26" i="27" s="1"/>
  <c r="F18" i="27"/>
  <c r="C27" i="27" s="1"/>
  <c r="J18" i="27"/>
  <c r="F19" i="27"/>
  <c r="J19" i="27"/>
  <c r="F20" i="27"/>
  <c r="J20" i="27"/>
  <c r="A21" i="27"/>
  <c r="F21" i="27"/>
  <c r="J21" i="27"/>
  <c r="B22" i="27"/>
  <c r="F25" i="27"/>
  <c r="G25" i="27"/>
  <c r="F26" i="27"/>
  <c r="G26" i="27"/>
  <c r="F27" i="27"/>
  <c r="G27" i="27"/>
  <c r="C28" i="27"/>
  <c r="F28" i="27"/>
  <c r="G28" i="27"/>
  <c r="C29" i="27"/>
  <c r="F29" i="27"/>
  <c r="G29" i="27"/>
  <c r="A30" i="27"/>
  <c r="C30" i="27"/>
  <c r="F30" i="27"/>
  <c r="G30" i="27"/>
  <c r="I35" i="27"/>
  <c r="F36" i="27"/>
  <c r="J36" i="27"/>
  <c r="C46" i="27"/>
  <c r="F38" i="27"/>
  <c r="C47" i="27" s="1"/>
  <c r="J38" i="27"/>
  <c r="F39" i="27"/>
  <c r="J39" i="27"/>
  <c r="A40" i="27"/>
  <c r="A49" i="27" s="1"/>
  <c r="A63" i="27" s="1"/>
  <c r="F40" i="27"/>
  <c r="J40" i="27"/>
  <c r="F45" i="27"/>
  <c r="G45" i="27"/>
  <c r="F46" i="27"/>
  <c r="G46" i="27"/>
  <c r="F47" i="27"/>
  <c r="G47" i="27"/>
  <c r="C48" i="27"/>
  <c r="F48" i="27"/>
  <c r="G48" i="27"/>
  <c r="C49" i="27"/>
  <c r="F49" i="27"/>
  <c r="G49" i="27"/>
  <c r="C16" i="27" l="1"/>
  <c r="J35" i="27"/>
  <c r="C50" i="27" s="1"/>
  <c r="G50" i="27"/>
  <c r="F22" i="27"/>
  <c r="G19" i="27" s="1"/>
  <c r="C19" i="27"/>
  <c r="I28" i="27" s="1"/>
  <c r="K28" i="27" s="1"/>
  <c r="B53" i="27"/>
  <c r="G31" i="27"/>
  <c r="H27" i="27" s="1"/>
  <c r="C21" i="27"/>
  <c r="I30" i="27" s="1"/>
  <c r="J30" i="27" s="1"/>
  <c r="G20" i="27"/>
  <c r="J22" i="27"/>
  <c r="K21" i="27" s="1"/>
  <c r="I25" i="27"/>
  <c r="C17" i="27"/>
  <c r="I26" i="27" s="1"/>
  <c r="C20" i="27"/>
  <c r="I29" i="27" s="1"/>
  <c r="C18" i="27"/>
  <c r="I27" i="27" s="1"/>
  <c r="G17" i="27" l="1"/>
  <c r="G18" i="27"/>
  <c r="J41" i="27"/>
  <c r="B41" i="27"/>
  <c r="M28" i="27"/>
  <c r="J28" i="27"/>
  <c r="L28" i="27" s="1"/>
  <c r="D45" i="27"/>
  <c r="E54" i="27"/>
  <c r="C53" i="27"/>
  <c r="G16" i="27"/>
  <c r="G22" i="27" s="1"/>
  <c r="H47" i="27"/>
  <c r="H46" i="27"/>
  <c r="H45" i="27"/>
  <c r="H49" i="27"/>
  <c r="D46" i="27"/>
  <c r="D48" i="27"/>
  <c r="H44" i="27"/>
  <c r="H48" i="27"/>
  <c r="F31" i="27"/>
  <c r="E60" i="27" s="1"/>
  <c r="H28" i="27"/>
  <c r="H30" i="27"/>
  <c r="H26" i="27"/>
  <c r="H29" i="27"/>
  <c r="E22" i="27"/>
  <c r="G21" i="27"/>
  <c r="H25" i="27"/>
  <c r="K19" i="27"/>
  <c r="M30" i="27"/>
  <c r="K30" i="27"/>
  <c r="K18" i="27"/>
  <c r="D49" i="27"/>
  <c r="C31" i="27"/>
  <c r="J27" i="27"/>
  <c r="K27" i="27"/>
  <c r="M27" i="27"/>
  <c r="J25" i="27"/>
  <c r="M25" i="27"/>
  <c r="I31" i="27"/>
  <c r="C22" i="27"/>
  <c r="D47" i="27"/>
  <c r="K17" i="27"/>
  <c r="K40" i="27"/>
  <c r="D53" i="27"/>
  <c r="K20" i="27"/>
  <c r="I22" i="27"/>
  <c r="L30" i="27"/>
  <c r="K16" i="27"/>
  <c r="J29" i="27"/>
  <c r="K29" i="27"/>
  <c r="M29" i="27"/>
  <c r="D44" i="27"/>
  <c r="J26" i="27"/>
  <c r="K26" i="27"/>
  <c r="M26" i="27"/>
  <c r="I41" i="27" l="1"/>
  <c r="K39" i="27"/>
  <c r="K36" i="27"/>
  <c r="K38" i="27"/>
  <c r="K37" i="27"/>
  <c r="K35" i="27"/>
  <c r="D54" i="27"/>
  <c r="D55" i="27" s="1"/>
  <c r="C36" i="27"/>
  <c r="C40" i="27"/>
  <c r="B54" i="27"/>
  <c r="C39" i="27"/>
  <c r="C37" i="27"/>
  <c r="C35" i="27"/>
  <c r="C38" i="27"/>
  <c r="C62" i="27"/>
  <c r="C63" i="27"/>
  <c r="E58" i="27"/>
  <c r="E61" i="27"/>
  <c r="E63" i="27"/>
  <c r="E62" i="27"/>
  <c r="H31" i="27"/>
  <c r="H50" i="27"/>
  <c r="M31" i="27"/>
  <c r="K22" i="27"/>
  <c r="D25" i="27"/>
  <c r="B31" i="27"/>
  <c r="D30" i="27"/>
  <c r="D28" i="27"/>
  <c r="E53" i="27"/>
  <c r="D29" i="27"/>
  <c r="D27" i="27"/>
  <c r="D26" i="27"/>
  <c r="D50" i="27"/>
  <c r="J31" i="27"/>
  <c r="L25" i="27"/>
  <c r="D63" i="27"/>
  <c r="D61" i="27"/>
  <c r="D59" i="27"/>
  <c r="D62" i="27"/>
  <c r="D58" i="27"/>
  <c r="K31" i="27"/>
  <c r="L29" i="27"/>
  <c r="L26" i="27"/>
  <c r="L27" i="27"/>
  <c r="K41" i="27" l="1"/>
  <c r="D56" i="27"/>
  <c r="C41" i="27"/>
  <c r="B56" i="27"/>
  <c r="B55" i="27"/>
  <c r="E64" i="27"/>
  <c r="L31" i="27"/>
  <c r="D64" i="27"/>
  <c r="E55" i="27"/>
  <c r="E56" i="27"/>
  <c r="D31" i="27"/>
  <c r="B59" i="27" l="1"/>
  <c r="I45" i="27" s="1"/>
  <c r="B62" i="27"/>
  <c r="I48" i="27" s="1"/>
  <c r="I46" i="27"/>
  <c r="B61" i="27"/>
  <c r="I47" i="27" s="1"/>
  <c r="B63" i="27"/>
  <c r="I49" i="27" s="1"/>
  <c r="B58" i="27"/>
  <c r="B64" i="27" l="1"/>
  <c r="I44" i="27"/>
  <c r="K49" i="27"/>
  <c r="J49" i="27"/>
  <c r="L49" i="27" s="1"/>
  <c r="M49" i="27"/>
  <c r="J47" i="27"/>
  <c r="K47" i="27"/>
  <c r="M47" i="27"/>
  <c r="K46" i="27"/>
  <c r="J46" i="27"/>
  <c r="M46" i="27"/>
  <c r="J48" i="27"/>
  <c r="L48" i="27" s="1"/>
  <c r="K48" i="27"/>
  <c r="M48" i="27"/>
  <c r="M45" i="27"/>
  <c r="K45" i="27"/>
  <c r="J45" i="27"/>
  <c r="L45" i="27" l="1"/>
  <c r="L46" i="27"/>
  <c r="L47" i="27"/>
  <c r="M44" i="27"/>
  <c r="M50" i="27" s="1"/>
  <c r="J44" i="27"/>
  <c r="K44" i="27"/>
  <c r="K50" i="27" s="1"/>
  <c r="I50" i="27"/>
  <c r="S346" i="2"/>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27" i="15"/>
  <c r="U28" i="15"/>
  <c r="L44" i="27" l="1"/>
  <c r="L50" i="27" s="1"/>
  <c r="J50" i="27"/>
  <c r="S60" i="2"/>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A36" i="27"/>
  <c r="A45" i="27" s="1"/>
  <c r="A59" i="27" s="1"/>
  <c r="A37" i="27"/>
  <c r="A46" i="27" s="1"/>
  <c r="A60" i="27" s="1"/>
  <c r="F8" i="27"/>
  <c r="A38" i="27" s="1"/>
  <c r="A47" i="27" s="1"/>
  <c r="A61" i="27" s="1"/>
  <c r="F9" i="27"/>
  <c r="A39" i="27" s="1"/>
  <c r="A48" i="27" s="1"/>
  <c r="A62" i="27" s="1"/>
  <c r="A17" i="27"/>
  <c r="B7" i="27"/>
  <c r="A18" i="27" s="1"/>
  <c r="B8" i="27"/>
  <c r="A19" i="27" s="1"/>
  <c r="A35" i="27"/>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 r="F41" i="27" l="1"/>
  <c r="G39" i="27" s="1"/>
  <c r="G36" i="27"/>
  <c r="G35" i="27" l="1"/>
  <c r="B50" i="27"/>
  <c r="E41" i="27"/>
  <c r="G40" i="27"/>
  <c r="G37" i="27"/>
  <c r="G38" i="27"/>
  <c r="C54" i="27"/>
  <c r="C56" i="27" l="1"/>
  <c r="R35" i="27"/>
  <c r="C55" i="27"/>
  <c r="G41" i="27"/>
  <c r="C61"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<sst xmlns="http://schemas.openxmlformats.org/spreadsheetml/2006/main" count="4976" uniqueCount="1167">
  <si>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</si>
  <si>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</si>
  <si>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</si>
  <si>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</si>
  <si>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</si>
  <si>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</si>
  <si>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</si>
  <si>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</si>
  <si>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</si>
  <si>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</si>
  <si>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</si>
  <si>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</si>
  <si>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</si>
  <si>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</si>
  <si>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</si>
  <si>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</si>
  <si>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</si>
  <si>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</si>
  <si>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</si>
  <si>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</si>
  <si>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</si>
  <si>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</si>
  <si>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</si>
  <si>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</si>
  <si>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</si>
  <si>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</si>
  <si>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</si>
  <si>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</si>
  <si>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</si>
  <si>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</si>
  <si>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</si>
  <si>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</si>
  <si>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</si>
  <si>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</si>
  <si>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</si>
  <si>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</si>
  <si>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</si>
  <si>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</si>
  <si>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</si>
  <si>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</si>
  <si>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</si>
  <si>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</si>
  <si>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</si>
  <si>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</si>
  <si>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</si>
  <si>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</si>
  <si>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</si>
  <si>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</si>
  <si>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</si>
  <si>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</si>
  <si>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</si>
  <si>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</si>
  <si>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</si>
  <si>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</si>
  <si>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</si>
  <si>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</si>
  <si>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</si>
  <si>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</si>
  <si>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</si>
  <si>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</si>
  <si>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</si>
  <si>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</si>
  <si>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</si>
  <si>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</si>
  <si>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</si>
  <si>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</si>
  <si>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</si>
  <si>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</si>
  <si>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</si>
  <si>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</si>
  <si>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</si>
  <si>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</si>
  <si>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</si>
  <si>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</si>
  <si>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</si>
  <si>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</si>
  <si>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</si>
  <si>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</si>
  <si>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</si>
  <si>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</si>
  <si>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</si>
  <si>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</si>
  <si>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</si>
  <si>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</si>
  <si>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</si>
  <si>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</si>
  <si>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</si>
  <si>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</si>
  <si>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</si>
  <si>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</si>
  <si>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</si>
  <si>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</si>
  <si>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</si>
  <si>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</si>
  <si>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</si>
  <si>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</si>
  <si>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</si>
  <si>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</si>
  <si>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</si>
  <si>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</si>
  <si>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</si>
  <si>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</si>
  <si>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</si>
  <si>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</si>
  <si>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</si>
  <si>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</si>
  <si>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</si>
  <si>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</si>
  <si>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</si>
  <si>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</si>
  <si>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</si>
  <si>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</si>
  <si>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</si>
  <si>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</si>
  <si>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</si>
  <si>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</si>
  <si>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</si>
  <si>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</si>
  <si>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</si>
  <si>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</si>
  <si>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</si>
  <si>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</si>
  <si>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</si>
  <si>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</si>
  <si>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</si>
  <si>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</si>
  <si>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</si>
  <si>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</si>
  <si>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</si>
  <si>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</si>
  <si>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</si>
  <si>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</si>
  <si>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</si>
  <si>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</si>
  <si>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</si>
  <si>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</si>
  <si>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</si>
  <si>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</si>
  <si>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</si>
  <si>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</si>
  <si>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</si>
  <si>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</si>
  <si>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</si>
  <si>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</si>
  <si>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</si>
  <si>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</si>
  <si>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</si>
  <si>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</si>
  <si>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</si>
  <si>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</si>
  <si>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</si>
  <si>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</si>
  <si>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</si>
  <si>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</si>
  <si>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</si>
  <si>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</si>
  <si>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</si>
  <si>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</si>
  <si>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</si>
  <si>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</si>
  <si>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</si>
  <si>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</si>
  <si>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</si>
  <si>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</si>
  <si>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</si>
  <si>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</si>
  <si>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</si>
  <si>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</si>
  <si>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</si>
  <si>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</si>
  <si>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</si>
  <si>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</si>
  <si>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</si>
  <si>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</si>
  <si>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</si>
  <si>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</si>
  <si>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</si>
  <si>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</si>
  <si>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</si>
  <si>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</si>
  <si>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</si>
  <si>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</si>
  <si>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</si>
  <si>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</si>
  <si>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</si>
  <si>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</si>
  <si>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</si>
  <si>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</si>
  <si>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</si>
  <si>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</si>
  <si>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</si>
  <si>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</si>
  <si>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</si>
  <si>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</si>
  <si>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</si>
  <si>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</si>
  <si>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</si>
  <si>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</si>
  <si>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</si>
  <si>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</si>
  <si>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</si>
  <si>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</si>
  <si>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</si>
  <si>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</si>
  <si>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</si>
  <si>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</si>
  <si>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</si>
  <si>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</si>
  <si>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</si>
  <si>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</si>
  <si>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</si>
  <si>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</si>
  <si>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</si>
  <si>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</si>
  <si>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</si>
  <si>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</si>
  <si>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</si>
  <si>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</si>
  <si>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</si>
  <si>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</si>
  <si>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</si>
  <si>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</si>
  <si>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</si>
  <si>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</si>
  <si>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</si>
  <si>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</si>
  <si>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</si>
  <si>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</si>
  <si>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</si>
  <si>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</si>
  <si>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</si>
  <si>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</si>
  <si>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</si>
  <si>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</si>
  <si>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</si>
  <si>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</si>
  <si>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</si>
  <si>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</si>
  <si>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</si>
  <si>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</si>
  <si>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</si>
  <si>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</si>
  <si>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</si>
  <si>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</si>
  <si>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</si>
  <si>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</si>
  <si>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</si>
  <si>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</si>
  <si>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</si>
  <si>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</si>
  <si>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</si>
  <si>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</si>
  <si>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</si>
  <si>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</si>
  <si>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</si>
  <si>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</si>
  <si>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</si>
  <si>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</si>
  <si>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</si>
  <si>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</si>
  <si>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</si>
  <si>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</si>
  <si>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</si>
  <si>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</si>
  <si>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</si>
  <si>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</si>
  <si>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</si>
  <si>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</si>
  <si>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</si>
  <si>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</si>
  <si>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</si>
  <si>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</si>
  <si>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</si>
  <si>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</si>
  <si>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</si>
  <si>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</si>
  <si>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</si>
  <si>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</si>
  <si>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</si>
  <si>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</si>
  <si>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</si>
  <si>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</si>
  <si>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</si>
  <si>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</si>
  <si>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</si>
  <si>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</si>
  <si>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</si>
  <si>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</si>
  <si>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</si>
  <si>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</si>
  <si>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</si>
  <si>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</si>
  <si>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</si>
  <si>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</si>
  <si>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</si>
  <si>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</si>
  <si>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</si>
  <si>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</si>
  <si>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</si>
  <si>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</si>
  <si>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</si>
  <si>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</si>
  <si>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</si>
  <si>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</si>
  <si>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</si>
  <si>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</si>
  <si>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</si>
  <si>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</si>
  <si>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</si>
  <si>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</si>
  <si>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</si>
  <si>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</si>
  <si>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</si>
  <si>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</si>
  <si>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</si>
  <si>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</si>
  <si>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</si>
  <si>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</si>
  <si>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</si>
  <si>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</si>
  <si>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</si>
  <si>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</si>
  <si>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</si>
  <si>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</si>
  <si>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</si>
  <si>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</si>
  <si>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</si>
  <si>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</si>
  <si>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</si>
  <si>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</si>
  <si>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</si>
  <si>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</si>
  <si>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</si>
  <si>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</si>
  <si>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</si>
  <si>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</si>
  <si>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</si>
  <si>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</si>
  <si>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</si>
  <si>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</si>
  <si>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</si>
  <si>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</si>
  <si>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</si>
  <si>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</si>
  <si>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</si>
  <si>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</si>
  <si>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</si>
  <si>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</si>
  <si>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</si>
  <si>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</si>
  <si>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</si>
  <si>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</si>
  <si>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</si>
  <si>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</si>
  <si>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</si>
  <si>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</si>
  <si>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</si>
  <si>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</si>
  <si>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</si>
  <si>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</si>
  <si>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</si>
  <si>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</si>
  <si>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</si>
  <si>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</si>
  <si>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</si>
  <si>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</si>
  <si>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</si>
  <si>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</si>
  <si>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</si>
  <si>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</si>
  <si>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</si>
  <si>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</si>
  <si>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</si>
  <si>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</si>
  <si>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</si>
  <si>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</si>
  <si>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</si>
  <si>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</si>
  <si>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</si>
  <si>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</si>
  <si>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</si>
  <si>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</si>
  <si>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</si>
  <si>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</si>
  <si>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</si>
  <si>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</si>
  <si>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</si>
  <si>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</si>
  <si>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</si>
  <si>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</si>
  <si>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</si>
  <si>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</si>
  <si>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</si>
  <si>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</si>
  <si>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</si>
  <si>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</si>
  <si>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</si>
  <si>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</si>
  <si>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</si>
  <si>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</si>
  <si>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</si>
  <si>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</si>
  <si>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</si>
  <si>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</si>
  <si>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</si>
  <si>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</si>
  <si>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</si>
  <si>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</si>
  <si>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</si>
  <si>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</si>
  <si>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</si>
  <si>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</si>
  <si>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</si>
  <si>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</si>
  <si>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</si>
  <si>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</si>
  <si>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</si>
  <si>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</si>
  <si>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</si>
  <si>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</si>
  <si>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</si>
  <si>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</si>
  <si>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</si>
  <si>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</si>
  <si>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</si>
  <si>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</si>
  <si>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</si>
  <si>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</si>
  <si>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</si>
  <si>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</si>
  <si>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</si>
  <si>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</si>
  <si>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</si>
  <si>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</si>
  <si>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</si>
  <si>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</si>
  <si>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</si>
  <si>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</si>
  <si>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</si>
  <si>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</si>
  <si>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</si>
  <si>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</si>
  <si>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</si>
  <si>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</si>
  <si>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</si>
  <si>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</si>
  <si>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</si>
  <si>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</si>
  <si>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</si>
  <si>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</si>
  <si>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</si>
  <si>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</si>
  <si>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</si>
  <si>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</si>
  <si>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</si>
  <si>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</si>
  <si>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</si>
  <si>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</si>
  <si>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</si>
  <si>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</si>
  <si>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</si>
  <si>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</si>
  <si>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</si>
  <si>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</si>
  <si>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</si>
  <si>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</si>
  <si>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</si>
  <si>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</si>
  <si>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</si>
  <si>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</si>
  <si>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</si>
  <si>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</si>
  <si>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</si>
  <si>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</si>
  <si>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</si>
  <si>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</si>
  <si>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</si>
  <si>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</si>
  <si>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</si>
  <si>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</si>
  <si>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</si>
  <si>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</si>
  <si>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</si>
  <si>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</si>
  <si>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</si>
  <si>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</si>
  <si>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</si>
  <si>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</si>
  <si>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</si>
  <si>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</si>
  <si>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</si>
  <si>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</si>
  <si>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</si>
  <si>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</si>
  <si>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</si>
  <si>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</si>
  <si>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</si>
  <si>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</si>
  <si>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</si>
  <si>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</si>
  <si>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</si>
  <si>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</si>
  <si>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</si>
  <si>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</si>
  <si>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</si>
  <si>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</si>
  <si>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</si>
  <si>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</si>
  <si>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</si>
  <si>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</si>
  <si>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</si>
  <si>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</si>
  <si>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</si>
  <si>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</si>
  <si>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</si>
  <si>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</si>
  <si>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</si>
  <si>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</si>
  <si>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</si>
  <si>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</si>
  <si>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</si>
  <si>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</si>
  <si>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</si>
  <si>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</si>
  <si>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</si>
  <si>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</si>
  <si>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</si>
  <si>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</si>
  <si>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</si>
  <si>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</si>
  <si>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</si>
  <si>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</si>
  <si>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</si>
  <si>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</si>
  <si>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</si>
  <si>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</si>
  <si>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</si>
  <si>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</si>
  <si>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</si>
  <si>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</si>
  <si>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</si>
  <si>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</si>
  <si>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</si>
  <si>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</si>
  <si>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</si>
  <si>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</si>
  <si>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</si>
  <si>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</si>
  <si>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</si>
  <si>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</si>
  <si>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</si>
  <si>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</si>
  <si>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</si>
  <si>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</si>
  <si>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</si>
  <si>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</si>
  <si>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</si>
  <si>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</si>
  <si>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</si>
  <si>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</si>
  <si>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</si>
  <si>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</si>
  <si>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</si>
  <si>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</si>
  <si>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</si>
  <si>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</si>
  <si>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</si>
  <si>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</si>
  <si>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</si>
  <si>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</si>
  <si>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</si>
  <si>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</si>
  <si>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</si>
  <si>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</si>
  <si>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</si>
  <si>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</si>
  <si>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</si>
  <si>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</si>
  <si>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</si>
  <si>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</si>
  <si>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</si>
  <si>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</si>
  <si>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</si>
  <si>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</si>
  <si>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</si>
  <si>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</si>
  <si>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</si>
  <si>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</si>
  <si>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</si>
  <si>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</si>
  <si>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</si>
  <si>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</si>
  <si>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</si>
  <si>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</si>
  <si>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</si>
  <si>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</si>
  <si>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</si>
  <si>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</si>
  <si>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</si>
  <si>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</si>
  <si>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</si>
  <si>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</si>
  <si>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</si>
  <si>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</si>
  <si>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</si>
  <si>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</si>
  <si>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</si>
  <si>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</si>
  <si>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</si>
  <si>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</si>
  <si>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</si>
  <si>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</si>
  <si>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</si>
  <si>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</si>
  <si>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</si>
  <si>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</si>
  <si>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</si>
  <si>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</si>
  <si>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</si>
  <si>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</si>
  <si>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</si>
  <si>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</si>
  <si>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</si>
  <si>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</si>
  <si>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</si>
  <si>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</si>
  <si>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</si>
  <si>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</si>
  <si>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</si>
  <si>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</si>
  <si>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</si>
  <si>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</si>
  <si>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</si>
  <si>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</si>
  <si>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</si>
  <si>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</si>
  <si>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</si>
  <si>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</si>
  <si>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</si>
  <si>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</si>
  <si>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</si>
  <si>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</si>
  <si>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</si>
  <si>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</si>
  <si>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</si>
  <si>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</si>
  <si>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</si>
  <si>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</si>
  <si>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</si>
  <si>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</si>
  <si>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</si>
  <si>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</si>
  <si>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</si>
  <si>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</si>
  <si>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</si>
  <si>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</si>
  <si>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</si>
  <si>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</si>
  <si>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</si>
  <si>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</si>
  <si>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</si>
  <si>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</si>
  <si>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</si>
  <si>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</si>
  <si>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</si>
  <si>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</si>
  <si>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</si>
  <si>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</si>
  <si>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</si>
  <si>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</si>
  <si>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</si>
  <si>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</si>
  <si>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</si>
  <si>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</si>
  <si>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</si>
  <si>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</si>
  <si>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</si>
  <si>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</si>
  <si>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</si>
  <si>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</si>
  <si>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</si>
  <si>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</si>
  <si>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</si>
  <si>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</si>
  <si>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</si>
  <si>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</si>
  <si>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</si>
  <si>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</si>
  <si>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</si>
  <si>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</si>
  <si>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</si>
  <si>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</si>
  <si>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</si>
  <si>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</si>
  <si>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</si>
  <si>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</si>
  <si>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</si>
  <si>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</si>
  <si>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</si>
  <si>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</si>
  <si>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</si>
  <si>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</si>
  <si>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</si>
  <si>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</si>
  <si>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</si>
  <si>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</si>
  <si>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</si>
  <si>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</si>
  <si>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</si>
  <si>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</si>
  <si>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</si>
  <si>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</si>
  <si>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</si>
  <si>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</si>
  <si>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</si>
  <si>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</si>
  <si>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</si>
  <si>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</si>
  <si>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</si>
  <si>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</si>
  <si>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</si>
  <si>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</si>
  <si>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</si>
  <si>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</si>
  <si>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</si>
  <si>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</si>
  <si>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</si>
  <si>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</si>
  <si>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</si>
  <si>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</si>
  <si>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</si>
  <si>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</si>
  <si>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</si>
  <si>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</si>
  <si>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</si>
  <si>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</si>
  <si>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</si>
  <si>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</si>
  <si>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</si>
  <si>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</si>
  <si>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</si>
  <si>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</si>
  <si>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</si>
  <si>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</si>
  <si>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</si>
  <si>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</si>
  <si>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</si>
  <si>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</si>
  <si>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</si>
  <si>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</si>
  <si>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</si>
  <si>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</si>
  <si>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</si>
  <si>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</si>
  <si>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</si>
  <si>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</si>
  <si>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</si>
  <si>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</si>
  <si>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</si>
  <si>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</si>
  <si>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</si>
  <si>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</si>
  <si>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</si>
  <si>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</si>
  <si>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</si>
  <si>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</si>
  <si>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</si>
  <si>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</si>
  <si>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</si>
  <si>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</si>
  <si>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</si>
  <si>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</si>
  <si>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</si>
  <si>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</si>
  <si>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</si>
  <si>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</si>
  <si>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</si>
  <si>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</si>
  <si>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</si>
  <si>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</si>
  <si>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</si>
  <si>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</si>
  <si>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</si>
  <si>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</si>
  <si>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</si>
  <si>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</si>
  <si>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</si>
  <si>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</si>
  <si>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</si>
  <si>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</si>
  <si>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</si>
  <si>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</si>
  <si>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</si>
  <si>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</si>
  <si>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</si>
  <si>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</si>
  <si>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</si>
  <si>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</si>
  <si>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</si>
  <si>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</si>
  <si>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</si>
  <si>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</si>
  <si>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</si>
  <si>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</si>
  <si>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</si>
  <si>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</si>
  <si>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</si>
  <si>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</si>
  <si>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</si>
  <si>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</si>
  <si>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</si>
  <si>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</si>
  <si>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</si>
  <si>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</si>
  <si>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</si>
  <si>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</si>
  <si>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</si>
  <si>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</si>
  <si>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</si>
  <si>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</si>
  <si>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</si>
  <si>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</si>
  <si>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</si>
  <si>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</si>
  <si>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</si>
  <si>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</si>
  <si>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</si>
  <si>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</si>
  <si>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</si>
  <si>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</si>
  <si>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</si>
  <si>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</si>
  <si>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</si>
  <si>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</si>
  <si>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</si>
  <si>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</si>
  <si>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</si>
  <si>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</si>
  <si>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</si>
  <si>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</si>
  <si>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</si>
  <si>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</si>
  <si>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</si>
  <si>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</si>
  <si>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</si>
  <si>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</si>
  <si>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</si>
  <si>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</si>
  <si>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</si>
  <si>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</si>
  <si>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</si>
  <si>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</si>
  <si>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</si>
  <si>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</si>
  <si>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</si>
  <si>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</si>
  <si>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</si>
  <si>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</si>
  <si>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</si>
  <si>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</si>
  <si>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</si>
  <si>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</si>
  <si>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</si>
  <si>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</si>
  <si>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</si>
  <si>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</si>
  <si>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</si>
  <si>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</si>
  <si>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</si>
  <si>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</si>
  <si>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</si>
  <si>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</si>
  <si>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</si>
  <si>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</si>
  <si>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</si>
  <si>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</si>
  <si>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</si>
  <si>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</si>
  <si>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</si>
  <si>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</si>
  <si>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</si>
  <si>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</si>
  <si>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</si>
  <si>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</si>
  <si>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</si>
  <si>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</si>
  <si>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</si>
  <si>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</si>
  <si>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</si>
  <si>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</si>
  <si>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</si>
  <si>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</si>
  <si>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</si>
  <si>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</si>
  <si>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</si>
  <si>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</si>
  <si>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</si>
  <si>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</si>
  <si>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</si>
  <si>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</si>
  <si>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</si>
  <si>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</si>
  <si>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</si>
  <si>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</si>
  <si>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</si>
  <si>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</si>
  <si>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</si>
  <si>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</si>
  <si>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</si>
  <si>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</si>
  <si>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</si>
  <si>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</si>
  <si>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</si>
  <si>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</si>
  <si>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</si>
  <si>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</si>
  <si>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</si>
  <si>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</si>
  <si>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</si>
  <si>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</si>
  <si>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</si>
  <si>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</si>
  <si>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</si>
  <si>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</si>
  <si>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</si>
  <si>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</si>
  <si>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</si>
  <si>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</si>
  <si>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</si>
  <si>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</si>
  <si>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</si>
  <si>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</si>
  <si>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</si>
  <si>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</si>
  <si>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</si>
  <si>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</si>
  <si>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</si>
  <si>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</si>
  <si>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</si>
  <si>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</si>
  <si>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</si>
  <si>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</si>
  <si>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</si>
  <si>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</si>
  <si>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</si>
  <si>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</si>
  <si>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</si>
  <si>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</si>
  <si>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</si>
  <si>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</si>
  <si>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</si>
  <si>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</si>
  <si>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</si>
  <si>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</si>
  <si>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</si>
  <si>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</si>
  <si>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</si>
  <si>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</si>
  <si>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</si>
  <si>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</si>
  <si>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</si>
  <si>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</si>
  <si>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</si>
  <si>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</si>
  <si>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</si>
  <si>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</si>
  <si>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</si>
  <si>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</si>
  <si>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</si>
  <si>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</si>
  <si>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</si>
  <si>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</si>
  <si>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</si>
  <si>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</si>
  <si>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</si>
  <si>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</si>
  <si>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</si>
  <si>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</si>
  <si>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</si>
  <si>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</si>
  <si>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</si>
  <si>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</si>
  <si>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</si>
  <si>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</si>
  <si>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</si>
  <si>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</si>
  <si>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</si>
  <si>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</si>
  <si>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</si>
  <si>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</si>
  <si>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</si>
  <si>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</si>
  <si>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</si>
  <si>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</si>
  <si>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</si>
  <si>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</si>
  <si>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</si>
  <si>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</si>
  <si>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</si>
  <si>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</si>
  <si>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</si>
  <si>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</si>
  <si>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</si>
  <si>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</si>
  <si>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</si>
  <si>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</si>
  <si>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</si>
  <si>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</si>
  <si>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</si>
  <si>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</si>
  <si>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</si>
  <si>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</si>
  <si>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</si>
  <si>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</si>
  <si>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</si>
  <si>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</si>
  <si>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</si>
  <si>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</si>
  <si>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</si>
  <si>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</si>
  <si>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</si>
  <si>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</si>
  <si>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</si>
  <si>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</si>
  <si>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</si>
  <si>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</si>
  <si>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</si>
  <si>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</si>
  <si>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</si>
  <si>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</si>
  <si>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</si>
  <si>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</si>
  <si>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</si>
  <si>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</si>
  <si>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</si>
  <si>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</si>
  <si>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</si>
  <si>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</si>
  <si>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</si>
  <si>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</si>
  <si>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</si>
  <si>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</si>
  <si>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</si>
  <si>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</si>
  <si>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</si>
  <si>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</si>
  <si>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</si>
  <si>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</si>
  <si>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</si>
  <si>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</si>
  <si>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</si>
  <si>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</si>
  <si>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</si>
  <si>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</si>
  <si>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</si>
  <si>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</si>
  <si>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</si>
  <si>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</si>
  <si>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</si>
  <si>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</si>
  <si>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</si>
  <si>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</si>
  <si>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</si>
  <si>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</si>
  <si>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</si>
  <si>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</si>
  <si>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</si>
  <si>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</si>
  <si>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</si>
  <si>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</si>
  <si>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</si>
  <si>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</si>
  <si>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</si>
  <si>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</si>
  <si>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</si>
  <si>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</si>
  <si>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</si>
  <si>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</si>
  <si>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</si>
  <si>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</si>
  <si>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</si>
  <si>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</si>
  <si>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</si>
  <si>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</si>
  <si>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</si>
  <si>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</si>
  <si>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</si>
  <si>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</si>
  <si>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</si>
  <si>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</si>
  <si>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</si>
  <si>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</si>
  <si>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</si>
  <si>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</si>
  <si>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</si>
  <si>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</si>
  <si>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</si>
  <si>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</si>
  <si>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</si>
  <si>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</si>
  <si>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</si>
  <si>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</si>
  <si>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</si>
  <si>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</si>
  <si>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</si>
  <si>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</si>
  <si>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</si>
  <si>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</si>
  <si>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</si>
  <si>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</si>
  <si>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</si>
  <si>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</si>
  <si>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</si>
  <si>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</si>
  <si>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</si>
  <si>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</si>
  <si>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</si>
  <si>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</si>
  <si>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</si>
  <si>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</si>
  <si>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</si>
  <si>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</si>
  <si>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</si>
  <si>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</si>
  <si>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</si>
  <si>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</si>
  <si>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</si>
  <si>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</si>
  <si>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</si>
  <si>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</si>
  <si>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</si>
  <si>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</si>
  <si>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</si>
  <si>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</si>
  <si>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</si>
  <si>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</si>
  <si>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</si>
  <si>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</si>
  <si>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</si>
  <si>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</si>
  <si>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</si>
  <si>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</si>
  <si>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</si>
  <si>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</si>
  <si>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</si>
  <si>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</si>
  <si>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</si>
  <si>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</si>
  <si>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Weizenstroh</t>
  </si>
  <si>
    <t>Pflanzenkohle</t>
  </si>
  <si>
    <t>Pyrolyse Emissionen C</t>
  </si>
  <si>
    <t>Pyrolyse Emissionen E</t>
  </si>
  <si>
    <t>wheat straw</t>
  </si>
  <si>
    <t>biogas</t>
  </si>
  <si>
    <t>Byproducts_C</t>
  </si>
  <si>
    <t>Lithosphere</t>
  </si>
  <si>
    <t>WS</t>
  </si>
  <si>
    <t>water + urea</t>
  </si>
  <si>
    <t>Inoculum</t>
  </si>
  <si>
    <t>c</t>
  </si>
  <si>
    <t>FM</t>
  </si>
  <si>
    <t>DM without C</t>
  </si>
  <si>
    <t xml:space="preserve">    </t>
  </si>
  <si>
    <t>Byproducts_E</t>
  </si>
  <si>
    <t>By-products</t>
  </si>
  <si>
    <t>biogas_incineration_Emissions_C</t>
  </si>
  <si>
    <t>biogas_incineration_Emissions_E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</si>
</sst>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74">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5" fontId="0" fillId="0" borderId="0" xfId="0" applyNumberFormat="1"/>
    <xf numFmtId="9" fontId="0" fillId="0" borderId="0" xfId="1" applyFont="1"/>
    <xf numFmtId="164" fontId="9" fillId="13" borderId="18" xfId="1" applyNumberFormat="1" applyFont="1" applyFill="1" applyBorder="1" applyAlignment="1">
      <alignment vertical="center" wrapText="1"/>
    </xf>
    <xf numFmtId="164" fontId="9" fillId="13" borderId="8" xfId="1" applyNumberFormat="1" applyFont="1" applyFill="1" applyBorder="1" applyAlignment="1">
      <alignment vertical="center" wrapText="1"/>
    </xf>
    <xf numFmtId="10" fontId="9" fillId="14" borderId="18" xfId="1" applyNumberFormat="1" applyFont="1" applyFill="1" applyBorder="1" applyAlignment="1">
      <alignment vertical="center" wrapText="1"/>
    </xf>
    <xf numFmtId="10" fontId="9" fillId="13" borderId="18" xfId="1" applyNumberFormat="1" applyFont="1" applyFill="1" applyBorder="1" applyAlignment="1">
      <alignment vertical="center" wrapText="1"/>
    </xf>
    <xf numFmtId="10" fontId="9" fillId="12" borderId="18" xfId="1" applyNumberFormat="1" applyFont="1" applyFill="1" applyBorder="1" applyAlignment="1">
      <alignment vertical="center" wrapText="1"/>
    </xf>
    <xf numFmtId="10" fontId="9" fillId="11" borderId="17" xfId="1" applyNumberFormat="1" applyFont="1" applyFill="1" applyBorder="1" applyAlignment="1">
      <alignment vertical="center" wrapText="1"/>
    </xf>
    <xf numFmtId="10" fontId="9" fillId="14" borderId="8" xfId="1" applyNumberFormat="1" applyFont="1" applyFill="1" applyBorder="1" applyAlignment="1">
      <alignment vertical="center" wrapText="1"/>
    </xf>
    <xf numFmtId="10" fontId="9" fillId="13" borderId="8" xfId="1" applyNumberFormat="1" applyFont="1" applyFill="1" applyBorder="1" applyAlignment="1">
      <alignment vertical="center" wrapText="1"/>
    </xf>
    <xf numFmtId="10" fontId="9" fillId="12" borderId="8" xfId="1" applyNumberFormat="1" applyFont="1" applyFill="1" applyBorder="1" applyAlignment="1">
      <alignment vertical="center" wrapText="1"/>
    </xf>
    <xf numFmtId="10" fontId="9" fillId="11" borderId="9" xfId="1" applyNumberFormat="1" applyFont="1" applyFill="1" applyBorder="1" applyAlignment="1">
      <alignment vertical="center" wrapText="1"/>
    </xf>
    <xf numFmtId="10" fontId="9" fillId="14" borderId="3" xfId="1" applyNumberFormat="1" applyFont="1" applyFill="1" applyBorder="1" applyAlignment="1">
      <alignment vertical="center" wrapText="1"/>
    </xf>
    <xf numFmtId="10" fontId="9" fillId="13" borderId="3" xfId="1" applyNumberFormat="1" applyFont="1" applyFill="1" applyBorder="1" applyAlignment="1">
      <alignment vertical="center" wrapText="1"/>
    </xf>
    <xf numFmtId="10" fontId="9" fillId="12" borderId="3" xfId="1" applyNumberFormat="1" applyFont="1" applyFill="1" applyBorder="1" applyAlignment="1">
      <alignment vertical="center" wrapText="1"/>
    </xf>
    <xf numFmtId="10" fontId="9" fillId="11" borderId="4" xfId="1" applyNumberFormat="1" applyFont="1" applyFill="1" applyBorder="1" applyAlignment="1">
      <alignment vertical="center" wrapText="1"/>
    </xf>
    <xf numFmtId="9" fontId="9" fillId="14" borderId="18" xfId="0" applyNumberFormat="1" applyFont="1" applyFill="1" applyBorder="1" applyAlignment="1">
      <alignment vertical="center" wrapText="1"/>
    </xf>
    <xf numFmtId="10" fontId="5" fillId="5" borderId="10" xfId="1" applyNumberFormat="1" applyFont="1" applyFill="1" applyBorder="1"/>
    <xf numFmtId="164" fontId="0" fillId="0" borderId="0" xfId="1" applyNumberFormat="1" applyFont="1"/>
    <xf numFmtId="167" fontId="0" fillId="0" borderId="0" xfId="1" applyNumberFormat="1" applyFont="1"/>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5" totalsRowShown="0" headerRowCellStyle="05_Header">
  <autoFilter ref="A1:V95"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4"/>
    </row>
    <row r="2" spans="5:5" x14ac:dyDescent="0.25">
      <c r="E2" s="174"/>
    </row>
    <row r="3" spans="5:5" x14ac:dyDescent="0.25">
      <c r="E3" s="174"/>
    </row>
    <row r="4" spans="5:5" x14ac:dyDescent="0.25">
      <c r="E4" s="174"/>
    </row>
    <row r="5" spans="5:5" x14ac:dyDescent="0.25">
      <c r="E5" s="174"/>
    </row>
    <row r="6" spans="5:5" x14ac:dyDescent="0.25">
      <c r="E6" s="174"/>
    </row>
    <row r="7" spans="5:5" x14ac:dyDescent="0.25">
      <c r="E7" s="174"/>
    </row>
    <row r="8" spans="5:5" x14ac:dyDescent="0.25">
      <c r="E8" s="174"/>
    </row>
    <row r="9" spans="5:5" x14ac:dyDescent="0.25">
      <c r="E9" s="174"/>
    </row>
    <row r="10" spans="5:5" x14ac:dyDescent="0.25">
      <c r="E10" s="174"/>
    </row>
    <row r="11" spans="5:5" x14ac:dyDescent="0.25">
      <c r="E11" s="174"/>
    </row>
    <row r="12" spans="5:5" x14ac:dyDescent="0.25">
      <c r="E12" s="174"/>
    </row>
    <row r="13" spans="5:5" x14ac:dyDescent="0.25">
      <c r="E13" s="174"/>
    </row>
    <row r="14" spans="5:5" x14ac:dyDescent="0.25">
      <c r="E14" s="174"/>
    </row>
    <row r="15" spans="5:5" x14ac:dyDescent="0.25">
      <c r="E15" s="174"/>
    </row>
    <row r="16" spans="5:5" x14ac:dyDescent="0.25">
      <c r="E16" s="174"/>
    </row>
    <row r="17" spans="1:5" ht="66" customHeight="1" x14ac:dyDescent="0.9">
      <c r="B17" s="211" t="s">
        <v>1034</v>
      </c>
      <c r="C17" s="212"/>
      <c r="D17" s="212"/>
      <c r="E17" s="174"/>
    </row>
    <row r="18" spans="1:5" x14ac:dyDescent="0.25">
      <c r="B18" s="1" t="s">
        <v>999</v>
      </c>
      <c r="C18" s="1" t="s">
        <v>1000</v>
      </c>
      <c r="E18" s="174"/>
    </row>
    <row r="19" spans="1:5" x14ac:dyDescent="0.25">
      <c r="B19" s="1" t="s">
        <v>1001</v>
      </c>
      <c r="C19" s="176">
        <v>45944</v>
      </c>
      <c r="E19" s="174"/>
    </row>
    <row r="20" spans="1:5" x14ac:dyDescent="0.25">
      <c r="B20" s="1" t="s">
        <v>1041</v>
      </c>
      <c r="C20" s="1" t="s">
        <v>1002</v>
      </c>
      <c r="E20" s="174"/>
    </row>
    <row r="21" spans="1:5" x14ac:dyDescent="0.25">
      <c r="C21" s="1" t="s">
        <v>163</v>
      </c>
      <c r="E21" s="174"/>
    </row>
    <row r="22" spans="1:5" x14ac:dyDescent="0.25">
      <c r="B22" s="1" t="s">
        <v>1003</v>
      </c>
      <c r="C22" s="177" t="s">
        <v>1004</v>
      </c>
      <c r="E22" s="174"/>
    </row>
    <row r="23" spans="1:5" x14ac:dyDescent="0.25">
      <c r="E23" s="174"/>
    </row>
    <row r="24" spans="1:5" x14ac:dyDescent="0.25">
      <c r="E24" s="174"/>
    </row>
    <row r="25" spans="1:5" ht="31.5" customHeight="1" x14ac:dyDescent="0.5">
      <c r="A25" s="209" t="s">
        <v>914</v>
      </c>
      <c r="B25" s="209"/>
      <c r="C25" s="209"/>
      <c r="D25" s="209"/>
      <c r="E25" s="174"/>
    </row>
    <row r="26" spans="1:5" x14ac:dyDescent="0.25">
      <c r="A26" s="183" t="s">
        <v>7</v>
      </c>
      <c r="B26" s="183" t="s">
        <v>1011</v>
      </c>
      <c r="C26" s="183" t="s">
        <v>1012</v>
      </c>
      <c r="D26" s="183" t="s">
        <v>1013</v>
      </c>
      <c r="E26" s="174"/>
    </row>
    <row r="27" spans="1:5" x14ac:dyDescent="0.25">
      <c r="A27" s="1">
        <v>1</v>
      </c>
      <c r="B27" s="1" t="s">
        <v>1017</v>
      </c>
      <c r="C27" s="1" t="s">
        <v>1018</v>
      </c>
      <c r="D27" s="1" t="s">
        <v>1019</v>
      </c>
      <c r="E27" s="174"/>
    </row>
    <row r="28" spans="1:5" ht="30" x14ac:dyDescent="0.25">
      <c r="A28" s="1">
        <v>2</v>
      </c>
      <c r="B28" s="1" t="s">
        <v>1016</v>
      </c>
      <c r="C28" s="1" t="s">
        <v>984</v>
      </c>
      <c r="D28" s="1" t="s">
        <v>985</v>
      </c>
      <c r="E28" s="174"/>
    </row>
    <row r="29" spans="1:5" ht="30" x14ac:dyDescent="0.25">
      <c r="A29" s="1">
        <v>3</v>
      </c>
      <c r="B29" s="1" t="s">
        <v>1014</v>
      </c>
      <c r="C29" s="1" t="s">
        <v>986</v>
      </c>
      <c r="D29" s="1" t="s">
        <v>987</v>
      </c>
      <c r="E29" s="174"/>
    </row>
    <row r="30" spans="1:5" ht="30" x14ac:dyDescent="0.25">
      <c r="A30" s="1">
        <v>4</v>
      </c>
      <c r="B30" s="1" t="s">
        <v>1015</v>
      </c>
      <c r="C30" s="1" t="s">
        <v>988</v>
      </c>
      <c r="D30" s="1" t="s">
        <v>989</v>
      </c>
      <c r="E30" s="174"/>
    </row>
    <row r="31" spans="1:5" x14ac:dyDescent="0.25">
      <c r="A31" s="210"/>
      <c r="B31" s="210"/>
      <c r="C31" s="210"/>
      <c r="D31" s="210"/>
      <c r="E31" s="174"/>
    </row>
    <row r="32" spans="1:5" x14ac:dyDescent="0.25">
      <c r="A32" t="s">
        <v>7</v>
      </c>
      <c r="B32" s="1" t="s">
        <v>1020</v>
      </c>
      <c r="C32" s="1" t="s">
        <v>1021</v>
      </c>
      <c r="D32" s="1" t="s">
        <v>913</v>
      </c>
      <c r="E32" s="174"/>
    </row>
    <row r="33" spans="1:5" x14ac:dyDescent="0.25">
      <c r="A33" s="178">
        <v>1</v>
      </c>
      <c r="B33" s="178" t="s">
        <v>1022</v>
      </c>
      <c r="C33" s="178" t="s">
        <v>1026</v>
      </c>
      <c r="D33" s="178" t="s">
        <v>1030</v>
      </c>
      <c r="E33" s="174"/>
    </row>
    <row r="34" spans="1:5" x14ac:dyDescent="0.25">
      <c r="A34" s="179">
        <v>2</v>
      </c>
      <c r="B34" s="179" t="s">
        <v>1023</v>
      </c>
      <c r="C34" s="179" t="s">
        <v>1027</v>
      </c>
      <c r="D34" s="179" t="s">
        <v>1031</v>
      </c>
      <c r="E34" s="174"/>
    </row>
    <row r="35" spans="1:5" x14ac:dyDescent="0.25">
      <c r="A35" s="180">
        <v>3</v>
      </c>
      <c r="B35" s="180" t="s">
        <v>1024</v>
      </c>
      <c r="C35" s="180" t="s">
        <v>1028</v>
      </c>
      <c r="D35" s="180" t="s">
        <v>1032</v>
      </c>
      <c r="E35" s="174"/>
    </row>
    <row r="36" spans="1:5" x14ac:dyDescent="0.25">
      <c r="A36" s="181">
        <v>4</v>
      </c>
      <c r="B36" s="181" t="s">
        <v>1025</v>
      </c>
      <c r="C36" s="181" t="s">
        <v>1029</v>
      </c>
      <c r="D36" s="181" t="s">
        <v>1033</v>
      </c>
      <c r="E36" s="174"/>
    </row>
    <row r="37" spans="1:5" ht="31.5" customHeight="1" x14ac:dyDescent="0.5">
      <c r="A37" s="209" t="s">
        <v>1010</v>
      </c>
      <c r="B37" s="209"/>
      <c r="C37" s="209"/>
      <c r="D37" s="209"/>
      <c r="E37" s="174"/>
    </row>
    <row r="38" spans="1:5" x14ac:dyDescent="0.25">
      <c r="A38" s="1" t="s">
        <v>7</v>
      </c>
      <c r="B38" s="1" t="s">
        <v>915</v>
      </c>
      <c r="C38" s="1" t="s">
        <v>916</v>
      </c>
      <c r="D38" s="163" t="s">
        <v>927</v>
      </c>
      <c r="E38" s="175"/>
    </row>
    <row r="39" spans="1:5" ht="30" x14ac:dyDescent="0.25">
      <c r="A39" s="1"/>
      <c r="B39" s="1" t="s">
        <v>1005</v>
      </c>
      <c r="C39" s="1" t="s">
        <v>918</v>
      </c>
      <c r="D39" s="1" t="s">
        <v>917</v>
      </c>
      <c r="E39" s="175"/>
    </row>
    <row r="40" spans="1:5" ht="30" x14ac:dyDescent="0.25">
      <c r="A40" s="1"/>
      <c r="B40" s="1" t="s">
        <v>1006</v>
      </c>
      <c r="C40" s="1" t="s">
        <v>920</v>
      </c>
      <c r="D40" s="1" t="s">
        <v>919</v>
      </c>
      <c r="E40" s="175"/>
    </row>
    <row r="41" spans="1:5" ht="30" x14ac:dyDescent="0.25">
      <c r="A41" s="1"/>
      <c r="B41" s="1" t="s">
        <v>1007</v>
      </c>
      <c r="C41" s="1" t="s">
        <v>922</v>
      </c>
      <c r="D41" s="1" t="s">
        <v>921</v>
      </c>
      <c r="E41" s="175"/>
    </row>
    <row r="42" spans="1:5" ht="30" x14ac:dyDescent="0.25">
      <c r="A42" s="1"/>
      <c r="B42" s="1" t="s">
        <v>1008</v>
      </c>
      <c r="C42" s="1" t="s">
        <v>924</v>
      </c>
      <c r="D42" s="1" t="s">
        <v>923</v>
      </c>
      <c r="E42" s="175"/>
    </row>
    <row r="43" spans="1:5" ht="30" x14ac:dyDescent="0.25">
      <c r="A43" s="1"/>
      <c r="B43" s="1" t="s">
        <v>1009</v>
      </c>
      <c r="C43" s="1" t="s">
        <v>925</v>
      </c>
      <c r="D43" s="1" t="s">
        <v>903</v>
      </c>
      <c r="E43" s="174"/>
    </row>
    <row r="44" spans="1:5" ht="31.5" x14ac:dyDescent="0.5">
      <c r="A44" s="209" t="s">
        <v>926</v>
      </c>
      <c r="B44" s="209"/>
      <c r="C44" s="209"/>
      <c r="D44" s="209"/>
      <c r="E44" s="174"/>
    </row>
    <row r="45" spans="1:5" x14ac:dyDescent="0.25">
      <c r="A45" s="1" t="s">
        <v>7</v>
      </c>
      <c r="B45" s="1" t="s">
        <v>904</v>
      </c>
      <c r="C45" s="1" t="s">
        <v>905</v>
      </c>
      <c r="D45" s="1" t="s">
        <v>927</v>
      </c>
      <c r="E45" s="174"/>
    </row>
    <row r="46" spans="1:5" x14ac:dyDescent="0.25">
      <c r="A46" s="1"/>
      <c r="B46" s="1" t="s">
        <v>468</v>
      </c>
      <c r="C46" s="1" t="s">
        <v>928</v>
      </c>
      <c r="E46" s="174"/>
    </row>
    <row r="47" spans="1:5" x14ac:dyDescent="0.25">
      <c r="A47" s="1"/>
      <c r="B47" s="1" t="s">
        <v>476</v>
      </c>
      <c r="C47" s="1" t="s">
        <v>929</v>
      </c>
      <c r="E47" s="174"/>
    </row>
    <row r="48" spans="1:5" x14ac:dyDescent="0.25">
      <c r="A48" s="1"/>
      <c r="B48" s="1" t="s">
        <v>477</v>
      </c>
      <c r="C48" s="1" t="s">
        <v>930</v>
      </c>
      <c r="E48" s="174"/>
    </row>
    <row r="49" spans="1:5" x14ac:dyDescent="0.25">
      <c r="A49" s="1"/>
      <c r="B49" s="1" t="s">
        <v>865</v>
      </c>
      <c r="C49" s="1" t="s">
        <v>931</v>
      </c>
      <c r="E49" s="174"/>
    </row>
    <row r="50" spans="1:5" x14ac:dyDescent="0.25">
      <c r="A50" s="1"/>
      <c r="B50" s="1" t="s">
        <v>866</v>
      </c>
      <c r="C50" s="1" t="s">
        <v>932</v>
      </c>
      <c r="E50" s="174"/>
    </row>
    <row r="51" spans="1:5" x14ac:dyDescent="0.25">
      <c r="A51" s="1"/>
      <c r="B51" s="1" t="s">
        <v>867</v>
      </c>
      <c r="C51" s="1" t="s">
        <v>933</v>
      </c>
      <c r="E51" s="174"/>
    </row>
    <row r="52" spans="1:5" x14ac:dyDescent="0.25">
      <c r="A52" s="1"/>
      <c r="B52" s="1" t="s">
        <v>478</v>
      </c>
      <c r="C52" s="1" t="s">
        <v>934</v>
      </c>
      <c r="E52" s="174"/>
    </row>
    <row r="53" spans="1:5" x14ac:dyDescent="0.25">
      <c r="A53" s="1"/>
      <c r="B53" s="1" t="s">
        <v>479</v>
      </c>
      <c r="C53" s="1" t="s">
        <v>935</v>
      </c>
      <c r="E53" s="174"/>
    </row>
    <row r="54" spans="1:5" x14ac:dyDescent="0.25">
      <c r="A54" s="1"/>
      <c r="B54" s="1" t="s">
        <v>481</v>
      </c>
      <c r="C54" s="1" t="s">
        <v>936</v>
      </c>
      <c r="E54" s="174"/>
    </row>
    <row r="55" spans="1:5" x14ac:dyDescent="0.25">
      <c r="A55" s="1"/>
      <c r="B55" s="1" t="s">
        <v>906</v>
      </c>
      <c r="C55" s="1" t="s">
        <v>937</v>
      </c>
      <c r="E55" s="174"/>
    </row>
    <row r="56" spans="1:5" x14ac:dyDescent="0.25">
      <c r="A56" s="1"/>
      <c r="B56" s="1" t="s">
        <v>487</v>
      </c>
      <c r="E56" s="174"/>
    </row>
    <row r="57" spans="1:5" x14ac:dyDescent="0.25">
      <c r="A57" s="1"/>
      <c r="B57" s="1" t="s">
        <v>907</v>
      </c>
      <c r="C57" s="1" t="s">
        <v>938</v>
      </c>
      <c r="E57" s="174"/>
    </row>
    <row r="58" spans="1:5" x14ac:dyDescent="0.25">
      <c r="E58" s="174"/>
    </row>
    <row r="59" spans="1:5" ht="31.5" customHeight="1" x14ac:dyDescent="0.5">
      <c r="A59" s="209" t="s">
        <v>939</v>
      </c>
      <c r="B59" s="209"/>
      <c r="C59" s="209"/>
      <c r="D59" s="209"/>
      <c r="E59" s="174"/>
    </row>
    <row r="60" spans="1:5" ht="30" x14ac:dyDescent="0.25">
      <c r="A60" s="1" t="s">
        <v>162</v>
      </c>
      <c r="B60" s="1" t="s">
        <v>940</v>
      </c>
      <c r="C60" s="1" t="s">
        <v>941</v>
      </c>
      <c r="D60" s="1" t="s">
        <v>913</v>
      </c>
      <c r="E60" s="174"/>
    </row>
    <row r="61" spans="1:5" ht="30" x14ac:dyDescent="0.25">
      <c r="A61" s="1"/>
      <c r="B61" s="1" t="s">
        <v>942</v>
      </c>
      <c r="C61" s="1" t="s">
        <v>943</v>
      </c>
      <c r="D61" s="1" t="s">
        <v>944</v>
      </c>
      <c r="E61" s="174"/>
    </row>
    <row r="62" spans="1:5" x14ac:dyDescent="0.25">
      <c r="A62" s="1"/>
      <c r="B62" s="1" t="s">
        <v>413</v>
      </c>
      <c r="C62" s="1" t="s">
        <v>945</v>
      </c>
      <c r="D62" s="1" t="s">
        <v>946</v>
      </c>
      <c r="E62" s="174"/>
    </row>
    <row r="63" spans="1:5" ht="30" x14ac:dyDescent="0.25">
      <c r="A63" s="1"/>
      <c r="B63" s="1" t="s">
        <v>396</v>
      </c>
      <c r="C63" s="1" t="s">
        <v>947</v>
      </c>
      <c r="D63" s="1" t="s">
        <v>948</v>
      </c>
      <c r="E63" s="174"/>
    </row>
    <row r="64" spans="1:5" ht="30" x14ac:dyDescent="0.25">
      <c r="A64" s="1"/>
      <c r="B64" s="1" t="s">
        <v>949</v>
      </c>
      <c r="C64" s="1" t="s">
        <v>950</v>
      </c>
      <c r="D64" s="1" t="s">
        <v>951</v>
      </c>
      <c r="E64" s="174"/>
    </row>
    <row r="65" spans="1:9" ht="30" x14ac:dyDescent="0.25">
      <c r="A65" s="1"/>
      <c r="B65" s="1" t="s">
        <v>952</v>
      </c>
      <c r="C65" s="1" t="s">
        <v>953</v>
      </c>
      <c r="D65" s="1" t="s">
        <v>954</v>
      </c>
      <c r="E65" s="174"/>
    </row>
    <row r="66" spans="1:9" ht="45" x14ac:dyDescent="0.25">
      <c r="A66" s="1"/>
      <c r="B66" s="1" t="s">
        <v>955</v>
      </c>
      <c r="C66" s="1" t="s">
        <v>956</v>
      </c>
      <c r="D66" s="1" t="s">
        <v>957</v>
      </c>
      <c r="E66" s="175" t="s">
        <v>903</v>
      </c>
      <c r="F66" s="172" t="s">
        <v>903</v>
      </c>
      <c r="G66" s="172" t="s">
        <v>903</v>
      </c>
      <c r="H66" s="172" t="s">
        <v>903</v>
      </c>
      <c r="I66" s="173" t="s">
        <v>903</v>
      </c>
    </row>
    <row r="67" spans="1:9" ht="31.5" customHeight="1" x14ac:dyDescent="0.5">
      <c r="A67" s="209" t="s">
        <v>958</v>
      </c>
      <c r="B67" s="209"/>
      <c r="C67" s="209"/>
      <c r="D67" s="209"/>
      <c r="E67" s="175" t="s">
        <v>903</v>
      </c>
      <c r="F67" s="172" t="s">
        <v>903</v>
      </c>
      <c r="G67" s="172" t="s">
        <v>903</v>
      </c>
      <c r="H67" s="172" t="s">
        <v>903</v>
      </c>
      <c r="I67" s="173" t="s">
        <v>903</v>
      </c>
    </row>
    <row r="68" spans="1:9" x14ac:dyDescent="0.25">
      <c r="A68" s="1" t="s">
        <v>7</v>
      </c>
      <c r="B68" s="1" t="s">
        <v>909</v>
      </c>
      <c r="C68" s="1" t="s">
        <v>910</v>
      </c>
      <c r="D68" s="1" t="s">
        <v>908</v>
      </c>
      <c r="E68" s="175" t="s">
        <v>903</v>
      </c>
      <c r="F68" s="172" t="s">
        <v>903</v>
      </c>
      <c r="G68" s="172" t="s">
        <v>903</v>
      </c>
      <c r="H68" s="172" t="s">
        <v>903</v>
      </c>
      <c r="I68" s="173" t="s">
        <v>903</v>
      </c>
    </row>
    <row r="69" spans="1:9" ht="30" x14ac:dyDescent="0.25">
      <c r="A69" s="1"/>
      <c r="B69" s="1" t="s">
        <v>959</v>
      </c>
      <c r="C69" s="1" t="s">
        <v>960</v>
      </c>
      <c r="D69" s="1" t="s">
        <v>961</v>
      </c>
      <c r="E69" s="175" t="s">
        <v>903</v>
      </c>
      <c r="F69" s="172" t="s">
        <v>903</v>
      </c>
      <c r="G69" s="172" t="s">
        <v>903</v>
      </c>
      <c r="H69" s="172" t="s">
        <v>903</v>
      </c>
      <c r="I69" s="173" t="s">
        <v>903</v>
      </c>
    </row>
    <row r="70" spans="1:9" ht="30" x14ac:dyDescent="0.25">
      <c r="A70" s="1"/>
      <c r="B70" s="1" t="s">
        <v>962</v>
      </c>
      <c r="C70" s="1" t="s">
        <v>963</v>
      </c>
      <c r="D70" s="1" t="s">
        <v>964</v>
      </c>
      <c r="E70" s="175" t="s">
        <v>903</v>
      </c>
      <c r="F70" s="172" t="s">
        <v>903</v>
      </c>
      <c r="G70" s="172" t="s">
        <v>903</v>
      </c>
      <c r="H70" s="172" t="s">
        <v>903</v>
      </c>
      <c r="I70" s="173" t="s">
        <v>903</v>
      </c>
    </row>
    <row r="71" spans="1:9" ht="30" x14ac:dyDescent="0.25">
      <c r="A71" s="1"/>
      <c r="B71" s="1" t="s">
        <v>965</v>
      </c>
      <c r="C71" s="1" t="s">
        <v>966</v>
      </c>
      <c r="D71" s="1" t="s">
        <v>967</v>
      </c>
      <c r="E71" s="175" t="s">
        <v>903</v>
      </c>
      <c r="F71" s="172" t="s">
        <v>903</v>
      </c>
      <c r="G71" s="172" t="s">
        <v>903</v>
      </c>
      <c r="H71" s="172" t="s">
        <v>903</v>
      </c>
      <c r="I71" s="173" t="s">
        <v>903</v>
      </c>
    </row>
    <row r="72" spans="1:9" ht="30" x14ac:dyDescent="0.25">
      <c r="A72" s="1"/>
      <c r="B72" s="1" t="s">
        <v>968</v>
      </c>
      <c r="C72" s="1" t="s">
        <v>969</v>
      </c>
      <c r="D72" s="1" t="s">
        <v>970</v>
      </c>
      <c r="E72" s="174"/>
    </row>
    <row r="73" spans="1:9" ht="31.5" customHeight="1" x14ac:dyDescent="0.5">
      <c r="A73" s="209" t="s">
        <v>971</v>
      </c>
      <c r="B73" s="209"/>
      <c r="C73" s="209"/>
      <c r="D73" s="209"/>
      <c r="E73" s="174"/>
    </row>
    <row r="74" spans="1:9" x14ac:dyDescent="0.25">
      <c r="A74" s="1" t="s">
        <v>7</v>
      </c>
      <c r="B74" s="1" t="s">
        <v>911</v>
      </c>
      <c r="C74" s="1" t="s">
        <v>912</v>
      </c>
      <c r="D74" s="1" t="s">
        <v>162</v>
      </c>
      <c r="E74" s="174"/>
    </row>
    <row r="75" spans="1:9" ht="30" x14ac:dyDescent="0.25">
      <c r="A75" s="1"/>
      <c r="B75" s="1" t="s">
        <v>972</v>
      </c>
      <c r="C75" s="1" t="s">
        <v>973</v>
      </c>
      <c r="D75" s="1" t="s">
        <v>974</v>
      </c>
      <c r="E75" s="174"/>
    </row>
    <row r="76" spans="1:9" ht="30" x14ac:dyDescent="0.25">
      <c r="A76" s="1"/>
      <c r="B76" s="1" t="s">
        <v>975</v>
      </c>
      <c r="C76" s="1" t="s">
        <v>976</v>
      </c>
      <c r="D76" s="1" t="s">
        <v>977</v>
      </c>
      <c r="E76" s="174"/>
    </row>
    <row r="77" spans="1:9" ht="30" x14ac:dyDescent="0.25">
      <c r="A77" s="1"/>
      <c r="B77" s="1" t="s">
        <v>978</v>
      </c>
      <c r="C77" s="1" t="s">
        <v>979</v>
      </c>
      <c r="D77" s="1" t="s">
        <v>980</v>
      </c>
      <c r="E77" s="174"/>
    </row>
    <row r="78" spans="1:9" ht="12" customHeight="1" x14ac:dyDescent="0.25">
      <c r="A78" s="1"/>
      <c r="B78" s="1" t="s">
        <v>981</v>
      </c>
      <c r="C78" s="1" t="s">
        <v>982</v>
      </c>
      <c r="D78" s="1" t="s">
        <v>983</v>
      </c>
      <c r="E78" s="174"/>
    </row>
    <row r="79" spans="1:9" x14ac:dyDescent="0.25">
      <c r="A79" s="174"/>
      <c r="B79" s="182"/>
      <c r="C79" s="182"/>
      <c r="D79" s="182"/>
      <c r="E79" s="174"/>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9" sqref="C9"/>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249</v>
      </c>
      <c r="B1" t="s">
        <v>465</v>
      </c>
      <c r="C1" t="s">
        <v>166</v>
      </c>
      <c r="D1" t="s">
        <v>4</v>
      </c>
      <c r="E1" t="s">
        <v>217</v>
      </c>
      <c r="F1" t="s">
        <v>218</v>
      </c>
    </row>
    <row r="2" spans="1:6" x14ac:dyDescent="0.25">
      <c r="A2" s="146" t="s">
        <v>216</v>
      </c>
      <c r="B2" s="146" t="s">
        <v>219</v>
      </c>
      <c r="C2" s="147">
        <v>2025</v>
      </c>
      <c r="D2" s="149" t="s">
        <v>220</v>
      </c>
      <c r="E2" s="149" t="s">
        <v>221</v>
      </c>
      <c r="F2" s="149" t="s">
        <v>222</v>
      </c>
    </row>
    <row r="3" spans="1:6" ht="15" customHeight="1" x14ac:dyDescent="0.25">
      <c r="A3" s="155"/>
      <c r="B3" s="6" t="s">
        <v>223</v>
      </c>
      <c r="C3" s="7">
        <v>2050</v>
      </c>
      <c r="D3" s="13" t="s">
        <v>224</v>
      </c>
      <c r="E3" s="13" t="s">
        <v>221</v>
      </c>
      <c r="F3" s="13" t="s">
        <v>222</v>
      </c>
    </row>
    <row r="4" spans="1:6" ht="15" customHeight="1" x14ac:dyDescent="0.25">
      <c r="A4" s="155"/>
      <c r="B4" s="6" t="s">
        <v>1042</v>
      </c>
      <c r="C4" s="134" t="s">
        <v>164</v>
      </c>
      <c r="D4" s="13"/>
      <c r="E4" s="13"/>
      <c r="F4" s="13"/>
    </row>
    <row r="5" spans="1:6" x14ac:dyDescent="0.25">
      <c r="A5" s="155"/>
      <c r="B5" s="6" t="s">
        <v>225</v>
      </c>
      <c r="C5" s="6" t="s">
        <v>183</v>
      </c>
      <c r="D5" s="13" t="s">
        <v>226</v>
      </c>
      <c r="E5" s="13" t="s">
        <v>221</v>
      </c>
      <c r="F5" s="13" t="s">
        <v>222</v>
      </c>
    </row>
    <row r="6" spans="1:6" x14ac:dyDescent="0.25">
      <c r="A6" s="155"/>
      <c r="B6" s="6" t="s">
        <v>227</v>
      </c>
      <c r="C6" s="6" t="s">
        <v>228</v>
      </c>
      <c r="D6" s="13" t="s">
        <v>229</v>
      </c>
      <c r="E6" s="13" t="s">
        <v>221</v>
      </c>
      <c r="F6" s="13" t="s">
        <v>222</v>
      </c>
    </row>
    <row r="7" spans="1:6" ht="15.75" thickBot="1" x14ac:dyDescent="0.3">
      <c r="A7" s="156"/>
      <c r="B7" s="10" t="s">
        <v>230</v>
      </c>
      <c r="C7" s="6" t="s">
        <v>182</v>
      </c>
      <c r="D7" s="150" t="s">
        <v>231</v>
      </c>
      <c r="E7" s="150" t="s">
        <v>221</v>
      </c>
      <c r="F7" s="150" t="s">
        <v>222</v>
      </c>
    </row>
    <row r="8" spans="1:6" x14ac:dyDescent="0.25">
      <c r="A8" s="146" t="s">
        <v>232</v>
      </c>
      <c r="B8" s="146" t="s">
        <v>233</v>
      </c>
      <c r="C8" s="169" t="b">
        <v>1</v>
      </c>
      <c r="D8" s="149" t="s">
        <v>234</v>
      </c>
      <c r="E8" s="149" t="s">
        <v>235</v>
      </c>
      <c r="F8" s="149" t="s">
        <v>222</v>
      </c>
    </row>
    <row r="9" spans="1:6" ht="15" customHeight="1" x14ac:dyDescent="0.25">
      <c r="A9" s="6"/>
      <c r="B9" s="6" t="s">
        <v>236</v>
      </c>
      <c r="C9" s="169" t="b">
        <v>1</v>
      </c>
      <c r="D9" s="13" t="s">
        <v>237</v>
      </c>
      <c r="E9" s="13" t="s">
        <v>235</v>
      </c>
      <c r="F9" s="13" t="s">
        <v>222</v>
      </c>
    </row>
    <row r="10" spans="1:6" x14ac:dyDescent="0.25">
      <c r="A10" s="6"/>
      <c r="B10" s="6" t="s">
        <v>250</v>
      </c>
      <c r="C10" s="169" t="b">
        <v>0</v>
      </c>
      <c r="D10" s="13" t="s">
        <v>238</v>
      </c>
      <c r="E10" s="13" t="s">
        <v>235</v>
      </c>
      <c r="F10" s="13" t="s">
        <v>239</v>
      </c>
    </row>
    <row r="11" spans="1:6" ht="15.75" thickBot="1" x14ac:dyDescent="0.3">
      <c r="A11" s="10"/>
      <c r="B11" s="10" t="s">
        <v>240</v>
      </c>
      <c r="C11" s="139">
        <v>150</v>
      </c>
      <c r="D11" s="150" t="s">
        <v>241</v>
      </c>
      <c r="E11" s="150" t="s">
        <v>235</v>
      </c>
      <c r="F11" s="150" t="s">
        <v>239</v>
      </c>
    </row>
    <row r="12" spans="1:6" ht="15" customHeight="1" x14ac:dyDescent="0.25">
      <c r="A12" s="146" t="s">
        <v>242</v>
      </c>
      <c r="B12" s="146" t="s">
        <v>215</v>
      </c>
      <c r="C12" s="169" t="b">
        <v>0</v>
      </c>
      <c r="D12" s="149" t="s">
        <v>243</v>
      </c>
      <c r="E12" s="149" t="s">
        <v>244</v>
      </c>
      <c r="F12" s="149" t="s">
        <v>239</v>
      </c>
    </row>
    <row r="13" spans="1:6" x14ac:dyDescent="0.25">
      <c r="A13" s="6"/>
      <c r="B13" s="6" t="s">
        <v>405</v>
      </c>
      <c r="C13" s="7" t="s">
        <v>1064</v>
      </c>
      <c r="D13" s="13" t="s">
        <v>245</v>
      </c>
      <c r="E13" s="13" t="s">
        <v>244</v>
      </c>
      <c r="F13" s="13" t="s">
        <v>239</v>
      </c>
    </row>
    <row r="14" spans="1:6" x14ac:dyDescent="0.25">
      <c r="A14" s="6"/>
      <c r="B14" s="6" t="s">
        <v>407</v>
      </c>
      <c r="C14" s="7" t="s">
        <v>1065</v>
      </c>
      <c r="D14" s="13" t="s">
        <v>246</v>
      </c>
      <c r="E14" s="13" t="s">
        <v>244</v>
      </c>
      <c r="F14" s="13" t="s">
        <v>239</v>
      </c>
    </row>
    <row r="15" spans="1:6" x14ac:dyDescent="0.25">
      <c r="A15" s="6"/>
      <c r="B15" s="6" t="s">
        <v>406</v>
      </c>
      <c r="C15" s="7" t="s">
        <v>1067</v>
      </c>
      <c r="D15" s="13"/>
      <c r="E15" s="13"/>
      <c r="F15" s="13"/>
    </row>
    <row r="16" spans="1:6" x14ac:dyDescent="0.25">
      <c r="A16" s="132"/>
      <c r="B16" s="132" t="s">
        <v>434</v>
      </c>
      <c r="C16" s="7" t="s">
        <v>1066</v>
      </c>
      <c r="D16" s="148" t="s">
        <v>247</v>
      </c>
      <c r="E16" s="148" t="s">
        <v>244</v>
      </c>
      <c r="F16" s="148" t="s">
        <v>239</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5"/>
  <sheetViews>
    <sheetView topLeftCell="B1" zoomScaleNormal="100" workbookViewId="0">
      <selection activeCell="G34" sqref="G34"/>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1"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37" t="s">
        <v>24</v>
      </c>
      <c r="B1" s="137" t="s">
        <v>7</v>
      </c>
      <c r="C1" s="137" t="s">
        <v>11</v>
      </c>
      <c r="D1" s="137" t="s">
        <v>423</v>
      </c>
      <c r="E1" s="137" t="s">
        <v>428</v>
      </c>
      <c r="F1" s="137" t="s">
        <v>429</v>
      </c>
      <c r="G1" s="137" t="s">
        <v>430</v>
      </c>
      <c r="H1" s="137" t="s">
        <v>427</v>
      </c>
      <c r="I1" s="137" t="s">
        <v>27</v>
      </c>
      <c r="J1" s="137" t="s">
        <v>29</v>
      </c>
      <c r="K1" s="137" t="s">
        <v>28</v>
      </c>
      <c r="L1" s="137" t="s">
        <v>489</v>
      </c>
      <c r="M1" s="137" t="s">
        <v>490</v>
      </c>
      <c r="N1" s="137" t="s">
        <v>31</v>
      </c>
      <c r="O1" s="137" t="s">
        <v>420</v>
      </c>
      <c r="P1" s="137" t="s">
        <v>491</v>
      </c>
      <c r="Q1" s="137" t="s">
        <v>33</v>
      </c>
      <c r="R1" s="137" t="s">
        <v>421</v>
      </c>
      <c r="S1" s="137" t="s">
        <v>426</v>
      </c>
      <c r="T1" s="137" t="s">
        <v>50</v>
      </c>
      <c r="U1" s="137" t="s">
        <v>492</v>
      </c>
      <c r="V1" s="137" t="s">
        <v>49</v>
      </c>
    </row>
    <row r="2" spans="1:24" x14ac:dyDescent="0.25">
      <c r="A2" s="138" t="b">
        <v>0</v>
      </c>
      <c r="B2" s="16">
        <f t="shared" ref="B2:B77" si="0">ROW()-1</f>
        <v>1</v>
      </c>
      <c r="C2" s="6" t="str">
        <f t="shared" ref="C2:C90" si="1">"F_"&amp;LEFT(F2,2)&amp;"_"&amp;LEFT(H2,2)</f>
        <v>F_01_02</v>
      </c>
      <c r="D2" s="186" t="s">
        <v>1110</v>
      </c>
      <c r="E2" s="134" t="s">
        <v>1101</v>
      </c>
      <c r="F2" s="6" t="str">
        <f>_xlfn.XLOOKUP(E2,Tab_Def_Processes[Process_Name],Tab_Def_Processes[Process_ID],,0,)</f>
        <v>01</v>
      </c>
      <c r="G2" s="134" t="s">
        <v>1094</v>
      </c>
      <c r="H2" s="9" t="str">
        <f>_xlfn.XLOOKUP(G2,Tab_Def_Processes[Process_Name],Tab_Def_Processes[Process_ID],,0,)</f>
        <v>02</v>
      </c>
      <c r="I2" s="134" t="s">
        <v>5</v>
      </c>
      <c r="J2" s="134" t="s">
        <v>5</v>
      </c>
      <c r="K2" s="134" t="s">
        <v>5</v>
      </c>
      <c r="L2" s="6" t="str">
        <f>Tab_Def_Flows[[#This Row],[Flow_ID]]&amp;"_WC"</f>
        <v>F_01_02_WC</v>
      </c>
      <c r="M2" s="131"/>
      <c r="N2" s="154"/>
      <c r="O2" s="6" t="str">
        <f>Tab_Def_Flows[[#This Row],[Flow_ID]]&amp;"_DM"</f>
        <v>F_01_02_DM</v>
      </c>
      <c r="Q2" s="154"/>
      <c r="R2" s="6" t="str">
        <f>Tab_Def_Flows[[#This Row],[Flow_ID]]&amp;"_CC"</f>
        <v>F_01_02_CC</v>
      </c>
      <c r="S2" s="131"/>
      <c r="T2" s="13"/>
      <c r="U2" s="135">
        <f>Tab_Def_Flows[[#This Row],[Flow_CC_DM'[%']]]*Tab_Def_Flows[[#This Row],[Flow_DM'[%']]]</f>
        <v>0</v>
      </c>
      <c r="V2" s="7"/>
    </row>
    <row r="3" spans="1:24" x14ac:dyDescent="0.25">
      <c r="A3" s="138" t="b">
        <v>0</v>
      </c>
      <c r="B3" s="16">
        <f t="shared" ref="B3:B9" si="2">ROW()-1</f>
        <v>2</v>
      </c>
      <c r="C3" s="6" t="str">
        <f t="shared" ref="C3:C9" si="3">"F_"&amp;LEFT(F3,2)&amp;"_"&amp;LEFT(H3,2)</f>
        <v>F_00_02</v>
      </c>
      <c r="D3" s="186" t="s">
        <v>1111</v>
      </c>
      <c r="E3" s="134" t="s">
        <v>1100</v>
      </c>
      <c r="F3" s="6" t="str">
        <f>_xlfn.XLOOKUP(E3,Tab_Def_Processes[Process_Name],Tab_Def_Processes[Process_ID],,0,)</f>
        <v>00</v>
      </c>
      <c r="G3" s="134" t="s">
        <v>1094</v>
      </c>
      <c r="H3" s="9" t="str">
        <f>_xlfn.XLOOKUP(G3,Tab_Def_Processes[Process_Name],Tab_Def_Processes[Process_ID],,0,)</f>
        <v>02</v>
      </c>
      <c r="I3" s="134" t="s">
        <v>5</v>
      </c>
      <c r="J3" s="134" t="s">
        <v>5</v>
      </c>
      <c r="K3" s="134" t="s">
        <v>5</v>
      </c>
      <c r="L3" s="6" t="str">
        <f>Tab_Def_Flows[[#This Row],[Flow_ID]]&amp;"_WC"</f>
        <v>F_00_02_WC</v>
      </c>
      <c r="M3" s="131"/>
      <c r="N3" s="13"/>
      <c r="O3" s="6" t="str">
        <f>Tab_Def_Flows[[#This Row],[Flow_ID]]&amp;"_DM"</f>
        <v>F_00_02_DM</v>
      </c>
      <c r="Q3" s="13"/>
      <c r="R3" s="6" t="str">
        <f>Tab_Def_Flows[[#This Row],[Flow_ID]]&amp;"_CC"</f>
        <v>F_00_02_CC</v>
      </c>
      <c r="S3" s="131"/>
      <c r="T3" s="13"/>
      <c r="U3" s="135"/>
      <c r="V3" s="7"/>
    </row>
    <row r="4" spans="1:24" x14ac:dyDescent="0.25">
      <c r="A4" s="138" t="b">
        <v>0</v>
      </c>
      <c r="B4" s="16">
        <f t="shared" si="2"/>
        <v>3</v>
      </c>
      <c r="C4" s="6" t="str">
        <f t="shared" si="3"/>
        <v>F_01_10</v>
      </c>
      <c r="D4" s="186" t="s">
        <v>1112</v>
      </c>
      <c r="E4" s="134" t="s">
        <v>1101</v>
      </c>
      <c r="F4" s="6" t="str">
        <f>_xlfn.XLOOKUP(E4,Tab_Def_Processes[Process_Name],Tab_Def_Processes[Process_ID],,0,)</f>
        <v>01</v>
      </c>
      <c r="G4" s="134" t="s">
        <v>1085</v>
      </c>
      <c r="H4" s="9" t="str">
        <f>_xlfn.XLOOKUP(G4,Tab_Def_Processes[Process_Name],Tab_Def_Processes[Process_ID],,0,)</f>
        <v>10</v>
      </c>
      <c r="I4" s="134" t="s">
        <v>5</v>
      </c>
      <c r="J4" s="134" t="s">
        <v>5</v>
      </c>
      <c r="K4" s="134" t="s">
        <v>5</v>
      </c>
      <c r="L4" s="6" t="str">
        <f>Tab_Def_Flows[[#This Row],[Flow_ID]]&amp;"_WC"</f>
        <v>F_01_10_WC</v>
      </c>
      <c r="M4" s="131"/>
      <c r="N4" s="13"/>
      <c r="O4" s="6" t="str">
        <f>Tab_Def_Flows[[#This Row],[Flow_ID]]&amp;"_DM"</f>
        <v>F_01_10_DM</v>
      </c>
      <c r="Q4" s="13"/>
      <c r="R4" s="6" t="str">
        <f>Tab_Def_Flows[[#This Row],[Flow_ID]]&amp;"_CC"</f>
        <v>F_01_10_CC</v>
      </c>
      <c r="S4" s="131"/>
      <c r="T4" s="13"/>
      <c r="U4" s="135"/>
      <c r="V4" s="7"/>
    </row>
    <row r="5" spans="1:24" x14ac:dyDescent="0.25">
      <c r="A5" s="138" t="b">
        <v>0</v>
      </c>
      <c r="B5" s="16">
        <f t="shared" si="2"/>
        <v>4</v>
      </c>
      <c r="C5" s="6" t="str">
        <f t="shared" si="3"/>
        <v>F_00_10</v>
      </c>
      <c r="D5" s="186" t="s">
        <v>1113</v>
      </c>
      <c r="E5" s="134" t="s">
        <v>1100</v>
      </c>
      <c r="F5" s="6" t="str">
        <f>_xlfn.XLOOKUP(E5,Tab_Def_Processes[Process_Name],Tab_Def_Processes[Process_ID],,0,)</f>
        <v>00</v>
      </c>
      <c r="G5" s="134" t="s">
        <v>1085</v>
      </c>
      <c r="H5" s="9" t="str">
        <f>_xlfn.XLOOKUP(G5,Tab_Def_Processes[Process_Name],Tab_Def_Processes[Process_ID],,0,)</f>
        <v>10</v>
      </c>
      <c r="I5" s="134" t="s">
        <v>5</v>
      </c>
      <c r="J5" s="134" t="s">
        <v>5</v>
      </c>
      <c r="K5" s="134" t="s">
        <v>5</v>
      </c>
      <c r="L5" s="6" t="str">
        <f>Tab_Def_Flows[[#This Row],[Flow_ID]]&amp;"_WC"</f>
        <v>F_00_10_WC</v>
      </c>
      <c r="M5" s="131"/>
      <c r="N5" s="13"/>
      <c r="O5" s="6" t="str">
        <f>Tab_Def_Flows[[#This Row],[Flow_ID]]&amp;"_DM"</f>
        <v>F_00_10_DM</v>
      </c>
      <c r="Q5" s="13"/>
      <c r="R5" s="6" t="str">
        <f>Tab_Def_Flows[[#This Row],[Flow_ID]]&amp;"_CC"</f>
        <v>F_00_10_CC</v>
      </c>
      <c r="S5" s="131"/>
      <c r="T5" s="13"/>
      <c r="U5" s="135"/>
      <c r="V5" s="7"/>
    </row>
    <row r="6" spans="1:24" x14ac:dyDescent="0.25">
      <c r="A6" s="138" t="b">
        <v>0</v>
      </c>
      <c r="B6" s="16">
        <f t="shared" si="2"/>
        <v>5</v>
      </c>
      <c r="C6" s="6" t="str">
        <f t="shared" si="3"/>
        <v>F_01_14</v>
      </c>
      <c r="D6" s="186" t="s">
        <v>1114</v>
      </c>
      <c r="E6" s="134" t="s">
        <v>1101</v>
      </c>
      <c r="F6" s="6" t="str">
        <f>_xlfn.XLOOKUP(E6,Tab_Def_Processes[Process_Name],Tab_Def_Processes[Process_ID],,0,)</f>
        <v>01</v>
      </c>
      <c r="G6" s="134" t="s">
        <v>1092</v>
      </c>
      <c r="H6" s="9" t="str">
        <f>_xlfn.XLOOKUP(G6,Tab_Def_Processes[Process_Name],Tab_Def_Processes[Process_ID],,0,)</f>
        <v>14</v>
      </c>
      <c r="I6" s="134" t="s">
        <v>5</v>
      </c>
      <c r="J6" s="134" t="s">
        <v>5</v>
      </c>
      <c r="K6" s="134" t="s">
        <v>5</v>
      </c>
      <c r="L6" s="6" t="str">
        <f>Tab_Def_Flows[[#This Row],[Flow_ID]]&amp;"_WC"</f>
        <v>F_01_14_WC</v>
      </c>
      <c r="M6" s="131"/>
      <c r="N6" s="13"/>
      <c r="O6" s="6" t="str">
        <f>Tab_Def_Flows[[#This Row],[Flow_ID]]&amp;"_DM"</f>
        <v>F_01_14_DM</v>
      </c>
      <c r="Q6" s="13"/>
      <c r="R6" s="6" t="str">
        <f>Tab_Def_Flows[[#This Row],[Flow_ID]]&amp;"_CC"</f>
        <v>F_01_14_CC</v>
      </c>
      <c r="S6" s="131"/>
      <c r="T6" s="13"/>
      <c r="U6" s="135"/>
      <c r="V6" s="7"/>
    </row>
    <row r="7" spans="1:24" x14ac:dyDescent="0.25">
      <c r="A7" s="138" t="b">
        <v>0</v>
      </c>
      <c r="B7" s="16">
        <f t="shared" si="2"/>
        <v>6</v>
      </c>
      <c r="C7" s="6" t="str">
        <f t="shared" si="3"/>
        <v>F_00_14</v>
      </c>
      <c r="D7" s="186" t="s">
        <v>1115</v>
      </c>
      <c r="E7" s="134" t="s">
        <v>1100</v>
      </c>
      <c r="F7" s="6" t="str">
        <f>_xlfn.XLOOKUP(E7,Tab_Def_Processes[Process_Name],Tab_Def_Processes[Process_ID],,0,)</f>
        <v>00</v>
      </c>
      <c r="G7" s="134" t="s">
        <v>1092</v>
      </c>
      <c r="H7" s="9" t="str">
        <f>_xlfn.XLOOKUP(G7,Tab_Def_Processes[Process_Name],Tab_Def_Processes[Process_ID],,0,)</f>
        <v>14</v>
      </c>
      <c r="I7" s="134" t="s">
        <v>5</v>
      </c>
      <c r="J7" s="134" t="s">
        <v>5</v>
      </c>
      <c r="K7" s="134" t="s">
        <v>5</v>
      </c>
      <c r="L7" s="6" t="str">
        <f>Tab_Def_Flows[[#This Row],[Flow_ID]]&amp;"_WC"</f>
        <v>F_00_14_WC</v>
      </c>
      <c r="M7" s="131"/>
      <c r="N7" s="13"/>
      <c r="O7" s="6" t="str">
        <f>Tab_Def_Flows[[#This Row],[Flow_ID]]&amp;"_DM"</f>
        <v>F_00_14_DM</v>
      </c>
      <c r="Q7" s="13"/>
      <c r="R7" s="6" t="str">
        <f>Tab_Def_Flows[[#This Row],[Flow_ID]]&amp;"_CC"</f>
        <v>F_00_14_CC</v>
      </c>
      <c r="S7" s="131"/>
      <c r="T7" s="13"/>
      <c r="U7" s="135"/>
      <c r="V7" s="7"/>
    </row>
    <row r="8" spans="1:24" x14ac:dyDescent="0.25">
      <c r="A8" s="138" t="b">
        <v>0</v>
      </c>
      <c r="B8" s="16">
        <f t="shared" si="2"/>
        <v>7</v>
      </c>
      <c r="C8" s="6" t="str">
        <f t="shared" si="3"/>
        <v>F_00_14</v>
      </c>
      <c r="D8" s="186" t="s">
        <v>1116</v>
      </c>
      <c r="E8" s="134" t="s">
        <v>1100</v>
      </c>
      <c r="F8" s="6" t="str">
        <f>_xlfn.XLOOKUP(E8,Tab_Def_Processes[Process_Name],Tab_Def_Processes[Process_ID],,0,)</f>
        <v>00</v>
      </c>
      <c r="G8" s="134" t="s">
        <v>1092</v>
      </c>
      <c r="H8" s="9" t="str">
        <f>_xlfn.XLOOKUP(G8,Tab_Def_Processes[Process_Name],Tab_Def_Processes[Process_ID],,0,)</f>
        <v>14</v>
      </c>
      <c r="I8" s="134" t="s">
        <v>5</v>
      </c>
      <c r="J8" s="134" t="s">
        <v>5</v>
      </c>
      <c r="K8" s="134" t="s">
        <v>5</v>
      </c>
      <c r="L8" s="6" t="str">
        <f>Tab_Def_Flows[[#This Row],[Flow_ID]]&amp;"_WC"</f>
        <v>F_00_14_WC</v>
      </c>
      <c r="M8" s="131"/>
      <c r="N8" s="13"/>
      <c r="O8" s="6" t="str">
        <f>Tab_Def_Flows[[#This Row],[Flow_ID]]&amp;"_DM"</f>
        <v>F_00_14_DM</v>
      </c>
      <c r="Q8" s="13"/>
      <c r="R8" s="6" t="str">
        <f>Tab_Def_Flows[[#This Row],[Flow_ID]]&amp;"_CC"</f>
        <v>F_00_14_CC</v>
      </c>
      <c r="S8" s="131"/>
      <c r="T8" s="13"/>
      <c r="U8" s="135"/>
      <c r="V8" s="7"/>
    </row>
    <row r="9" spans="1:24" x14ac:dyDescent="0.25">
      <c r="A9" s="138" t="b">
        <v>0</v>
      </c>
      <c r="B9" s="16">
        <f t="shared" si="2"/>
        <v>8</v>
      </c>
      <c r="C9" s="6" t="str">
        <f t="shared" si="3"/>
        <v>F_02_03</v>
      </c>
      <c r="D9" s="186" t="s">
        <v>1068</v>
      </c>
      <c r="E9" s="134" t="s">
        <v>1094</v>
      </c>
      <c r="F9" s="6" t="str">
        <f>_xlfn.XLOOKUP(E9,Tab_Def_Processes[Process_Name],Tab_Def_Processes[Process_ID],,0,)</f>
        <v>02</v>
      </c>
      <c r="G9" s="134" t="s">
        <v>1099</v>
      </c>
      <c r="H9" s="9" t="str">
        <f>_xlfn.XLOOKUP(G9,Tab_Def_Processes[Process_Name],Tab_Def_Processes[Process_ID],,0,)</f>
        <v>03</v>
      </c>
      <c r="I9" s="134" t="s">
        <v>5</v>
      </c>
      <c r="J9" s="134" t="s">
        <v>5</v>
      </c>
      <c r="K9" s="134" t="s">
        <v>5</v>
      </c>
      <c r="L9" s="6" t="str">
        <f>Tab_Def_Flows[[#This Row],[Flow_ID]]&amp;"_WC"</f>
        <v>F_02_03_WC</v>
      </c>
      <c r="M9" s="131"/>
      <c r="N9" s="13"/>
      <c r="O9" s="6" t="str">
        <f>Tab_Def_Flows[[#This Row],[Flow_ID]]&amp;"_DM"</f>
        <v>F_02_03_DM</v>
      </c>
      <c r="Q9" s="13"/>
      <c r="R9" s="6" t="str">
        <f>Tab_Def_Flows[[#This Row],[Flow_ID]]&amp;"_CC"</f>
        <v>F_02_03_CC</v>
      </c>
      <c r="S9" s="131"/>
      <c r="T9" s="13"/>
      <c r="U9" s="135"/>
      <c r="V9" s="7"/>
    </row>
    <row r="10" spans="1:24" x14ac:dyDescent="0.25">
      <c r="A10" s="138" t="b">
        <v>0</v>
      </c>
      <c r="B10" s="16">
        <f t="shared" si="0"/>
        <v>9</v>
      </c>
      <c r="C10" s="6" t="str">
        <f t="shared" si="1"/>
        <v>F_03_04</v>
      </c>
      <c r="D10" s="186" t="s">
        <v>1069</v>
      </c>
      <c r="E10" s="134" t="s">
        <v>1099</v>
      </c>
      <c r="F10" s="6" t="str">
        <f>_xlfn.XLOOKUP(E10,Tab_Def_Processes[Process_Name],Tab_Def_Processes[Process_ID],,0,)</f>
        <v>03</v>
      </c>
      <c r="G10" s="134" t="s">
        <v>1096</v>
      </c>
      <c r="H10" s="9" t="str">
        <f>_xlfn.XLOOKUP(G10,Tab_Def_Processes[Process_Name],Tab_Def_Processes[Process_ID],,0,)</f>
        <v>04</v>
      </c>
      <c r="I10" s="134" t="s">
        <v>5</v>
      </c>
      <c r="J10" s="134" t="s">
        <v>5</v>
      </c>
      <c r="K10" s="134" t="s">
        <v>5</v>
      </c>
      <c r="L10" s="6" t="str">
        <f>Tab_Def_Flows[[#This Row],[Flow_ID]]&amp;"_WC"</f>
        <v>F_03_04_WC</v>
      </c>
      <c r="M10" s="131"/>
      <c r="N10" s="154"/>
      <c r="O10" s="6" t="str">
        <f>Tab_Def_Flows[[#This Row],[Flow_ID]]&amp;"_DM"</f>
        <v>F_03_04_DM</v>
      </c>
      <c r="Q10" s="154"/>
      <c r="R10" s="6" t="str">
        <f>Tab_Def_Flows[[#This Row],[Flow_ID]]&amp;"_CC"</f>
        <v>F_03_04_CC</v>
      </c>
      <c r="S10" s="131"/>
      <c r="T10" s="13"/>
      <c r="U10" s="135">
        <f>Tab_Def_Flows[[#This Row],[Flow_CC_DM'[%']]]*Tab_Def_Flows[[#This Row],[Flow_DM'[%']]]</f>
        <v>0</v>
      </c>
      <c r="V10" s="7"/>
    </row>
    <row r="11" spans="1:24" x14ac:dyDescent="0.25">
      <c r="A11" s="138" t="b">
        <v>0</v>
      </c>
      <c r="B11" s="16">
        <f t="shared" ref="B11:B12" si="4">ROW()-1</f>
        <v>10</v>
      </c>
      <c r="C11" s="6" t="str">
        <f t="shared" ref="C11:C12" si="5">"F_"&amp;LEFT(F11,2)&amp;"_"&amp;LEFT(H11,2)</f>
        <v>F_04_01</v>
      </c>
      <c r="D11" s="186" t="s">
        <v>1121</v>
      </c>
      <c r="E11" s="134" t="s">
        <v>1096</v>
      </c>
      <c r="F11" s="6" t="str">
        <f>_xlfn.XLOOKUP(E11,Tab_Def_Processes[Process_Name],Tab_Def_Processes[Process_ID],,0,)</f>
        <v>04</v>
      </c>
      <c r="G11" s="134" t="s">
        <v>1101</v>
      </c>
      <c r="H11" s="9" t="str">
        <f>_xlfn.XLOOKUP(G11,Tab_Def_Processes[Process_Name],Tab_Def_Processes[Process_ID],,0,)</f>
        <v>01</v>
      </c>
      <c r="I11" s="134" t="s">
        <v>5</v>
      </c>
      <c r="J11" s="134" t="s">
        <v>5</v>
      </c>
      <c r="K11" s="134" t="s">
        <v>5</v>
      </c>
      <c r="L11" s="6" t="str">
        <f>Tab_Def_Flows[[#This Row],[Flow_ID]]&amp;"_WC"</f>
        <v>F_04_01_WC</v>
      </c>
      <c r="M11" s="131"/>
      <c r="N11" s="13"/>
      <c r="O11" s="6" t="str">
        <f>Tab_Def_Flows[[#This Row],[Flow_ID]]&amp;"_DM"</f>
        <v>F_04_01_DM</v>
      </c>
      <c r="Q11" s="13"/>
      <c r="R11" s="6" t="str">
        <f>Tab_Def_Flows[[#This Row],[Flow_ID]]&amp;"_CC"</f>
        <v>F_04_01_CC</v>
      </c>
      <c r="S11" s="131"/>
      <c r="T11" s="13"/>
      <c r="U11" s="135"/>
      <c r="V11" s="7"/>
    </row>
    <row r="12" spans="1:24" x14ac:dyDescent="0.25">
      <c r="A12" s="138" t="b">
        <v>0</v>
      </c>
      <c r="B12" s="16">
        <f t="shared" si="4"/>
        <v>11</v>
      </c>
      <c r="C12" s="6" t="str">
        <f t="shared" si="5"/>
        <v>F_04_00</v>
      </c>
      <c r="D12" s="186" t="s">
        <v>1122</v>
      </c>
      <c r="E12" s="134" t="s">
        <v>1096</v>
      </c>
      <c r="F12" s="6" t="str">
        <f>_xlfn.XLOOKUP(E12,Tab_Def_Processes[Process_Name],Tab_Def_Processes[Process_ID],,0,)</f>
        <v>04</v>
      </c>
      <c r="G12" s="134" t="s">
        <v>1100</v>
      </c>
      <c r="H12" s="9" t="str">
        <f>_xlfn.XLOOKUP(G12,Tab_Def_Processes[Process_Name],Tab_Def_Processes[Process_ID],,0,)</f>
        <v>00</v>
      </c>
      <c r="I12" s="134" t="s">
        <v>5</v>
      </c>
      <c r="J12" s="134" t="s">
        <v>5</v>
      </c>
      <c r="K12" s="134" t="s">
        <v>5</v>
      </c>
      <c r="L12" s="6" t="str">
        <f>Tab_Def_Flows[[#This Row],[Flow_ID]]&amp;"_WC"</f>
        <v>F_04_00_WC</v>
      </c>
      <c r="M12" s="131"/>
      <c r="N12" s="13"/>
      <c r="O12" s="6" t="str">
        <f>Tab_Def_Flows[[#This Row],[Flow_ID]]&amp;"_DM"</f>
        <v>F_04_00_DM</v>
      </c>
      <c r="Q12" s="13"/>
      <c r="R12" s="6" t="str">
        <f>Tab_Def_Flows[[#This Row],[Flow_ID]]&amp;"_CC"</f>
        <v>F_04_00_CC</v>
      </c>
      <c r="S12" s="131"/>
      <c r="T12" s="13"/>
      <c r="U12" s="135"/>
      <c r="V12" s="7"/>
    </row>
    <row r="13" spans="1:24" x14ac:dyDescent="0.25">
      <c r="A13" s="138" t="b">
        <v>0</v>
      </c>
      <c r="B13" s="16">
        <f>ROW()-1</f>
        <v>12</v>
      </c>
      <c r="C13" s="6" t="str">
        <f>"F_"&amp;LEFT(F13,2)&amp;"_"&amp;LEFT(H13,2)</f>
        <v>F_03_06</v>
      </c>
      <c r="D13" s="186" t="s">
        <v>1133</v>
      </c>
      <c r="E13" s="134" t="s">
        <v>1099</v>
      </c>
      <c r="F13" s="6" t="str">
        <f>_xlfn.XLOOKUP(E13,Tab_Def_Processes[Process_Name],Tab_Def_Processes[Process_ID],,0,)</f>
        <v>03</v>
      </c>
      <c r="G13" s="134" t="s">
        <v>1103</v>
      </c>
      <c r="H13" s="9" t="str">
        <f>_xlfn.XLOOKUP(G13,Tab_Def_Processes[Process_Name],Tab_Def_Processes[Process_ID],,0,)</f>
        <v>06</v>
      </c>
      <c r="I13" s="134"/>
      <c r="J13" s="134"/>
      <c r="K13" s="134"/>
      <c r="L13" s="6" t="str">
        <f>Tab_Def_Flows[[#This Row],[Flow_ID]]&amp;"_WC"</f>
        <v>F_03_06_WC</v>
      </c>
      <c r="M13" s="131"/>
      <c r="N13" s="13"/>
      <c r="O13" s="6" t="str">
        <f>Tab_Def_Flows[[#This Row],[Flow_ID]]&amp;"_DM"</f>
        <v>F_03_06_DM</v>
      </c>
      <c r="Q13" s="13"/>
      <c r="R13" s="6" t="str">
        <f>Tab_Def_Flows[[#This Row],[Flow_ID]]&amp;"_CC"</f>
        <v>F_03_06_CC</v>
      </c>
      <c r="S13" s="131"/>
      <c r="T13" s="13"/>
      <c r="U13" s="135"/>
      <c r="V13" s="7"/>
    </row>
    <row r="14" spans="1:24" x14ac:dyDescent="0.25">
      <c r="A14" s="138" t="b">
        <v>0</v>
      </c>
      <c r="B14" s="16">
        <f t="shared" si="0"/>
        <v>13</v>
      </c>
      <c r="C14" s="6" t="str">
        <f t="shared" si="1"/>
        <v>F_03_09</v>
      </c>
      <c r="D14" s="186" t="s">
        <v>1117</v>
      </c>
      <c r="E14" s="134" t="s">
        <v>1099</v>
      </c>
      <c r="F14" s="6" t="str">
        <f>_xlfn.XLOOKUP(E14,Tab_Def_Processes[Process_Name],Tab_Def_Processes[Process_ID],,0,)</f>
        <v>03</v>
      </c>
      <c r="G14" s="134" t="s">
        <v>1082</v>
      </c>
      <c r="H14" s="9" t="str">
        <f>_xlfn.XLOOKUP(G14,Tab_Def_Processes[Process_Name],Tab_Def_Processes[Process_ID],,0,)</f>
        <v>09</v>
      </c>
      <c r="I14" s="134" t="s">
        <v>5</v>
      </c>
      <c r="J14" s="134" t="s">
        <v>5</v>
      </c>
      <c r="K14" s="134" t="s">
        <v>5</v>
      </c>
      <c r="L14" s="6" t="str">
        <f>Tab_Def_Flows[[#This Row],[Flow_ID]]&amp;"_WC"</f>
        <v>F_03_09_WC</v>
      </c>
      <c r="M14" s="131"/>
      <c r="N14" s="13"/>
      <c r="O14" s="6" t="str">
        <f>Tab_Def_Flows[[#This Row],[Flow_ID]]&amp;"_DM"</f>
        <v>F_03_09_DM</v>
      </c>
      <c r="Q14" s="13"/>
      <c r="R14" s="6" t="str">
        <f>Tab_Def_Flows[[#This Row],[Flow_ID]]&amp;"_CC"</f>
        <v>F_03_09_CC</v>
      </c>
      <c r="S14" s="131"/>
      <c r="T14" s="13"/>
      <c r="U14" s="135">
        <f>Tab_Def_Flows[[#This Row],[Flow_CC_DM'[%']]]*Tab_Def_Flows[[#This Row],[Flow_DM'[%']]]</f>
        <v>0</v>
      </c>
      <c r="V14" s="7"/>
      <c r="X14" s="142"/>
    </row>
    <row r="15" spans="1:24" x14ac:dyDescent="0.25">
      <c r="A15" s="138" t="b">
        <v>0</v>
      </c>
      <c r="B15" s="16">
        <f>ROW()-1</f>
        <v>14</v>
      </c>
      <c r="C15" s="6" t="str">
        <f t="shared" si="1"/>
        <v>F_03_05</v>
      </c>
      <c r="D15" s="186" t="s">
        <v>1118</v>
      </c>
      <c r="E15" s="134" t="s">
        <v>1099</v>
      </c>
      <c r="F15" s="6" t="str">
        <f>_xlfn.XLOOKUP(E15,Tab_Def_Processes[Process_Name],Tab_Def_Processes[Process_ID],,0,)</f>
        <v>03</v>
      </c>
      <c r="G15" s="134" t="s">
        <v>1102</v>
      </c>
      <c r="H15" s="9" t="str">
        <f>_xlfn.XLOOKUP(G15,Tab_Def_Processes[Process_Name],Tab_Def_Processes[Process_ID],,0,)</f>
        <v>05</v>
      </c>
      <c r="I15" s="134" t="s">
        <v>5</v>
      </c>
      <c r="J15" s="134" t="s">
        <v>5</v>
      </c>
      <c r="K15" s="134" t="s">
        <v>5</v>
      </c>
      <c r="L15" s="6" t="str">
        <f>Tab_Def_Flows[[#This Row],[Flow_ID]]&amp;"_WC"</f>
        <v>F_03_05_WC</v>
      </c>
      <c r="M15" s="131"/>
      <c r="N15" s="13"/>
      <c r="O15" s="6" t="str">
        <f>Tab_Def_Flows[[#This Row],[Flow_ID]]&amp;"_DM"</f>
        <v>F_03_05_DM</v>
      </c>
      <c r="Q15" s="13"/>
      <c r="R15" s="6" t="str">
        <f>Tab_Def_Flows[[#This Row],[Flow_ID]]&amp;"_CC"</f>
        <v>F_03_05_CC</v>
      </c>
      <c r="S15" s="131"/>
      <c r="T15" s="13"/>
      <c r="U15" s="135">
        <f>Tab_Def_Flows[[#This Row],[Flow_CC_DM'[%']]]*Tab_Def_Flows[[#This Row],[Flow_DM'[%']]]</f>
        <v>0</v>
      </c>
      <c r="V15" s="7"/>
      <c r="X15" s="142"/>
    </row>
    <row r="16" spans="1:24" x14ac:dyDescent="0.25">
      <c r="A16" s="138" t="b">
        <v>0</v>
      </c>
      <c r="B16" s="16">
        <f t="shared" ref="B16:B17" si="6">ROW()-1</f>
        <v>15</v>
      </c>
      <c r="C16" s="6" t="str">
        <f t="shared" ref="C16:C17" si="7">"F_"&amp;LEFT(F16,2)&amp;"_"&amp;LEFT(H16,2)</f>
        <v>F_06_01</v>
      </c>
      <c r="D16" s="186" t="s">
        <v>1134</v>
      </c>
      <c r="E16" s="134" t="s">
        <v>1103</v>
      </c>
      <c r="F16" s="6" t="str">
        <f>_xlfn.XLOOKUP(E16,Tab_Def_Processes[Process_Name],Tab_Def_Processes[Process_ID],,0,)</f>
        <v>06</v>
      </c>
      <c r="G16" s="134" t="s">
        <v>1101</v>
      </c>
      <c r="H16" s="9" t="str">
        <f>_xlfn.XLOOKUP(G16,Tab_Def_Processes[Process_Name],Tab_Def_Processes[Process_ID],,0,)</f>
        <v>01</v>
      </c>
      <c r="I16" s="134" t="s">
        <v>5</v>
      </c>
      <c r="J16" s="134" t="s">
        <v>5</v>
      </c>
      <c r="K16" s="134" t="s">
        <v>5</v>
      </c>
      <c r="L16" s="6" t="str">
        <f>Tab_Def_Flows[[#This Row],[Flow_ID]]&amp;"_WC"</f>
        <v>F_06_01_WC</v>
      </c>
      <c r="M16" s="131"/>
      <c r="N16" s="13"/>
      <c r="O16" s="6" t="str">
        <f>Tab_Def_Flows[[#This Row],[Flow_ID]]&amp;"_DM"</f>
        <v>F_06_01_DM</v>
      </c>
      <c r="Q16" s="13"/>
      <c r="R16" s="6" t="str">
        <f>Tab_Def_Flows[[#This Row],[Flow_ID]]&amp;"_CC"</f>
        <v>F_06_01_CC</v>
      </c>
      <c r="S16" s="131"/>
      <c r="T16" s="13"/>
      <c r="U16" s="135"/>
      <c r="V16" s="7"/>
      <c r="X16" s="142"/>
    </row>
    <row r="17" spans="1:24" x14ac:dyDescent="0.25">
      <c r="A17" s="138" t="b">
        <v>0</v>
      </c>
      <c r="B17" s="16">
        <f t="shared" si="6"/>
        <v>16</v>
      </c>
      <c r="C17" s="6" t="str">
        <f t="shared" si="7"/>
        <v>F_06_00</v>
      </c>
      <c r="D17" s="186" t="s">
        <v>1135</v>
      </c>
      <c r="E17" s="134" t="s">
        <v>1103</v>
      </c>
      <c r="F17" s="6" t="str">
        <f>_xlfn.XLOOKUP(E17,Tab_Def_Processes[Process_Name],Tab_Def_Processes[Process_ID],,0,)</f>
        <v>06</v>
      </c>
      <c r="G17" s="134" t="s">
        <v>1100</v>
      </c>
      <c r="H17" s="9" t="str">
        <f>_xlfn.XLOOKUP(G17,Tab_Def_Processes[Process_Name],Tab_Def_Processes[Process_ID],,0,)</f>
        <v>00</v>
      </c>
      <c r="I17" s="134" t="s">
        <v>5</v>
      </c>
      <c r="J17" s="134" t="s">
        <v>5</v>
      </c>
      <c r="K17" s="134" t="s">
        <v>5</v>
      </c>
      <c r="L17" s="6" t="str">
        <f>Tab_Def_Flows[[#This Row],[Flow_ID]]&amp;"_WC"</f>
        <v>F_06_00_WC</v>
      </c>
      <c r="M17" s="131"/>
      <c r="N17" s="13"/>
      <c r="O17" s="6" t="str">
        <f>Tab_Def_Flows[[#This Row],[Flow_ID]]&amp;"_DM"</f>
        <v>F_06_00_DM</v>
      </c>
      <c r="Q17" s="13"/>
      <c r="R17" s="6" t="str">
        <f>Tab_Def_Flows[[#This Row],[Flow_ID]]&amp;"_CC"</f>
        <v>F_06_00_CC</v>
      </c>
      <c r="S17" s="131"/>
      <c r="T17" s="13"/>
      <c r="U17" s="135"/>
      <c r="V17" s="7"/>
      <c r="X17" s="142"/>
    </row>
    <row r="18" spans="1:24" x14ac:dyDescent="0.25">
      <c r="A18" s="138" t="b">
        <v>0</v>
      </c>
      <c r="B18" s="16">
        <f t="shared" ref="B18:B19" si="8">ROW()-1</f>
        <v>17</v>
      </c>
      <c r="C18" s="6" t="str">
        <f t="shared" ref="C18:C19" si="9">"F_"&amp;LEFT(F18,2)&amp;"_"&amp;LEFT(H18,2)</f>
        <v>F_05_01</v>
      </c>
      <c r="D18" s="186" t="s">
        <v>1119</v>
      </c>
      <c r="E18" s="134" t="s">
        <v>1102</v>
      </c>
      <c r="F18" s="6" t="str">
        <f>_xlfn.XLOOKUP(E18,Tab_Def_Processes[Process_Name],Tab_Def_Processes[Process_ID],,0,)</f>
        <v>05</v>
      </c>
      <c r="G18" s="134" t="s">
        <v>1101</v>
      </c>
      <c r="H18" s="9" t="str">
        <f>_xlfn.XLOOKUP(G18,Tab_Def_Processes[Process_Name],Tab_Def_Processes[Process_ID],,0,)</f>
        <v>01</v>
      </c>
      <c r="I18" s="134" t="s">
        <v>5</v>
      </c>
      <c r="J18" s="134" t="s">
        <v>5</v>
      </c>
      <c r="K18" s="134" t="s">
        <v>5</v>
      </c>
      <c r="L18" s="6" t="str">
        <f>Tab_Def_Flows[[#This Row],[Flow_ID]]&amp;"_WC"</f>
        <v>F_05_01_WC</v>
      </c>
      <c r="M18" s="131"/>
      <c r="N18" s="13"/>
      <c r="O18" s="6" t="str">
        <f>Tab_Def_Flows[[#This Row],[Flow_ID]]&amp;"_DM"</f>
        <v>F_05_01_DM</v>
      </c>
      <c r="Q18" s="13"/>
      <c r="R18" s="6" t="str">
        <f>Tab_Def_Flows[[#This Row],[Flow_ID]]&amp;"_CC"</f>
        <v>F_05_01_CC</v>
      </c>
      <c r="S18" s="131"/>
      <c r="T18" s="13"/>
      <c r="U18" s="135"/>
      <c r="V18" s="7"/>
      <c r="X18" s="142"/>
    </row>
    <row r="19" spans="1:24" x14ac:dyDescent="0.25">
      <c r="A19" s="138" t="b">
        <v>0</v>
      </c>
      <c r="B19" s="16">
        <f t="shared" si="8"/>
        <v>18</v>
      </c>
      <c r="C19" s="6" t="str">
        <f t="shared" si="9"/>
        <v>F_05_00</v>
      </c>
      <c r="D19" s="186" t="s">
        <v>1120</v>
      </c>
      <c r="E19" s="134" t="s">
        <v>1102</v>
      </c>
      <c r="F19" s="6" t="str">
        <f>_xlfn.XLOOKUP(E19,Tab_Def_Processes[Process_Name],Tab_Def_Processes[Process_ID],,0,)</f>
        <v>05</v>
      </c>
      <c r="G19" s="134" t="s">
        <v>1100</v>
      </c>
      <c r="H19" s="9" t="str">
        <f>_xlfn.XLOOKUP(G19,Tab_Def_Processes[Process_Name],Tab_Def_Processes[Process_ID],,0,)</f>
        <v>00</v>
      </c>
      <c r="I19" s="134" t="s">
        <v>5</v>
      </c>
      <c r="J19" s="134" t="s">
        <v>5</v>
      </c>
      <c r="K19" s="134" t="s">
        <v>5</v>
      </c>
      <c r="L19" s="6" t="str">
        <f>Tab_Def_Flows[[#This Row],[Flow_ID]]&amp;"_WC"</f>
        <v>F_05_00_WC</v>
      </c>
      <c r="M19" s="131"/>
      <c r="N19" s="13"/>
      <c r="O19" s="6" t="str">
        <f>Tab_Def_Flows[[#This Row],[Flow_ID]]&amp;"_DM"</f>
        <v>F_05_00_DM</v>
      </c>
      <c r="Q19" s="13"/>
      <c r="R19" s="6" t="str">
        <f>Tab_Def_Flows[[#This Row],[Flow_ID]]&amp;"_CC"</f>
        <v>F_05_00_CC</v>
      </c>
      <c r="S19" s="131"/>
      <c r="T19" s="13"/>
      <c r="U19" s="135"/>
      <c r="V19" s="7"/>
      <c r="X19" s="142"/>
    </row>
    <row r="20" spans="1:24" x14ac:dyDescent="0.25">
      <c r="A20" s="138" t="b">
        <v>0</v>
      </c>
      <c r="B20" s="16">
        <f>ROW()-1</f>
        <v>19</v>
      </c>
      <c r="C20" s="6" t="str">
        <f>"F_"&amp;LEFT(F20,2)&amp;"_"&amp;LEFT(H20,2)</f>
        <v>F_10_11</v>
      </c>
      <c r="D20" s="186" t="s">
        <v>1070</v>
      </c>
      <c r="E20" s="134" t="s">
        <v>1085</v>
      </c>
      <c r="F20" s="6" t="str">
        <f>_xlfn.XLOOKUP(E20,Tab_Def_Processes[Process_Name],Tab_Def_Processes[Process_ID],,0,)</f>
        <v>10</v>
      </c>
      <c r="G20" s="134" t="s">
        <v>1083</v>
      </c>
      <c r="H20" s="9" t="str">
        <f>_xlfn.XLOOKUP(G20,Tab_Def_Processes[Process_Name],Tab_Def_Processes[Process_ID],,0,)</f>
        <v>11</v>
      </c>
      <c r="I20" s="134" t="s">
        <v>5</v>
      </c>
      <c r="J20" s="134" t="s">
        <v>5</v>
      </c>
      <c r="K20" s="134" t="s">
        <v>5</v>
      </c>
      <c r="L20" s="6" t="str">
        <f>Tab_Def_Flows[[#This Row],[Flow_ID]]&amp;"_WC"</f>
        <v>F_10_11_WC</v>
      </c>
      <c r="M20" s="131"/>
      <c r="N20" s="13"/>
      <c r="O20" s="6" t="str">
        <f>Tab_Def_Flows[[#This Row],[Flow_ID]]&amp;"_DM"</f>
        <v>F_10_11_DM</v>
      </c>
      <c r="Q20" s="13"/>
      <c r="R20" s="6" t="str">
        <f>Tab_Def_Flows[[#This Row],[Flow_ID]]&amp;"_CC"</f>
        <v>F_10_11_CC</v>
      </c>
      <c r="S20" s="131"/>
      <c r="T20" s="13"/>
      <c r="U20" s="135">
        <f>Tab_Def_Flows[[#This Row],[Flow_CC_DM'[%']]]*Tab_Def_Flows[[#This Row],[Flow_DM'[%']]]</f>
        <v>0</v>
      </c>
      <c r="V20" s="7"/>
      <c r="X20" s="142"/>
    </row>
    <row r="21" spans="1:24" x14ac:dyDescent="0.25">
      <c r="A21" s="138" t="b">
        <v>0</v>
      </c>
      <c r="B21" s="16">
        <f t="shared" si="0"/>
        <v>20</v>
      </c>
      <c r="C21" s="6" t="str">
        <f t="shared" si="1"/>
        <v>F_09_07</v>
      </c>
      <c r="D21" s="186" t="s">
        <v>1071</v>
      </c>
      <c r="E21" s="134" t="s">
        <v>1082</v>
      </c>
      <c r="F21" s="6" t="str">
        <f>_xlfn.XLOOKUP(E21,Tab_Def_Processes[Process_Name],Tab_Def_Processes[Process_ID],,0,)</f>
        <v>09</v>
      </c>
      <c r="G21" s="134" t="s">
        <v>1086</v>
      </c>
      <c r="H21" s="9" t="str">
        <f>_xlfn.XLOOKUP(G21,Tab_Def_Processes[Process_Name],Tab_Def_Processes[Process_ID],,0,)</f>
        <v>07</v>
      </c>
      <c r="I21" s="134" t="s">
        <v>5</v>
      </c>
      <c r="J21" s="134" t="s">
        <v>5</v>
      </c>
      <c r="K21" s="134" t="s">
        <v>5</v>
      </c>
      <c r="L21" s="6" t="str">
        <f>Tab_Def_Flows[[#This Row],[Flow_ID]]&amp;"_WC"</f>
        <v>F_09_07_WC</v>
      </c>
      <c r="M21" s="131"/>
      <c r="N21" s="13"/>
      <c r="O21" s="6" t="str">
        <f>Tab_Def_Flows[[#This Row],[Flow_ID]]&amp;"_DM"</f>
        <v>F_09_07_DM</v>
      </c>
      <c r="Q21" s="13"/>
      <c r="R21" s="6" t="str">
        <f>Tab_Def_Flows[[#This Row],[Flow_ID]]&amp;"_CC"</f>
        <v>F_09_07_CC</v>
      </c>
      <c r="S21" s="131"/>
      <c r="T21" s="13"/>
      <c r="U21" s="135">
        <f>Tab_Def_Flows[[#This Row],[Flow_CC_DM'[%']]]*Tab_Def_Flows[[#This Row],[Flow_DM'[%']]]</f>
        <v>0</v>
      </c>
      <c r="V21" s="7"/>
    </row>
    <row r="22" spans="1:24" x14ac:dyDescent="0.25">
      <c r="A22" s="138" t="b">
        <v>0</v>
      </c>
      <c r="B22" s="16">
        <f t="shared" ref="B22:B23" si="10">ROW()-1</f>
        <v>21</v>
      </c>
      <c r="C22" s="6" t="str">
        <f t="shared" ref="C22:C23" si="11">"F_"&amp;LEFT(F22,2)&amp;"_"&amp;LEFT(H22,2)</f>
        <v>F_07_01</v>
      </c>
      <c r="D22" s="186" t="s">
        <v>1136</v>
      </c>
      <c r="E22" s="134" t="s">
        <v>1086</v>
      </c>
      <c r="F22" s="6" t="str">
        <f>_xlfn.XLOOKUP(E22,Tab_Def_Processes[Process_Name],Tab_Def_Processes[Process_ID],,0,)</f>
        <v>07</v>
      </c>
      <c r="G22" s="134" t="s">
        <v>1101</v>
      </c>
      <c r="H22" s="9" t="str">
        <f>_xlfn.XLOOKUP(G22,Tab_Def_Processes[Process_Name],Tab_Def_Processes[Process_ID],,0,)</f>
        <v>01</v>
      </c>
      <c r="I22" s="134" t="s">
        <v>5</v>
      </c>
      <c r="J22" s="134" t="s">
        <v>5</v>
      </c>
      <c r="K22" s="134" t="s">
        <v>5</v>
      </c>
      <c r="L22" s="6" t="str">
        <f>Tab_Def_Flows[[#This Row],[Flow_ID]]&amp;"_WC"</f>
        <v>F_07_01_WC</v>
      </c>
      <c r="M22" s="131"/>
      <c r="N22" s="13"/>
      <c r="O22" s="6" t="str">
        <f>Tab_Def_Flows[[#This Row],[Flow_ID]]&amp;"_DM"</f>
        <v>F_07_01_DM</v>
      </c>
      <c r="Q22" s="13"/>
      <c r="R22" s="6" t="str">
        <f>Tab_Def_Flows[[#This Row],[Flow_ID]]&amp;"_CC"</f>
        <v>F_07_01_CC</v>
      </c>
      <c r="S22" s="131"/>
      <c r="T22" s="13"/>
      <c r="U22" s="135"/>
      <c r="V22" s="7"/>
    </row>
    <row r="23" spans="1:24" x14ac:dyDescent="0.25">
      <c r="A23" s="138" t="b">
        <v>0</v>
      </c>
      <c r="B23" s="16">
        <f t="shared" si="10"/>
        <v>22</v>
      </c>
      <c r="C23" s="6" t="str">
        <f t="shared" si="11"/>
        <v>F_07_00</v>
      </c>
      <c r="D23" s="186" t="s">
        <v>1137</v>
      </c>
      <c r="E23" s="134" t="s">
        <v>1086</v>
      </c>
      <c r="F23" s="6" t="str">
        <f>_xlfn.XLOOKUP(E23,Tab_Def_Processes[Process_Name],Tab_Def_Processes[Process_ID],,0,)</f>
        <v>07</v>
      </c>
      <c r="G23" s="134" t="s">
        <v>1100</v>
      </c>
      <c r="H23" s="9" t="str">
        <f>_xlfn.XLOOKUP(G23,Tab_Def_Processes[Process_Name],Tab_Def_Processes[Process_ID],,0,)</f>
        <v>00</v>
      </c>
      <c r="I23" s="134" t="s">
        <v>5</v>
      </c>
      <c r="J23" s="134" t="s">
        <v>5</v>
      </c>
      <c r="K23" s="134" t="s">
        <v>5</v>
      </c>
      <c r="L23" s="6" t="str">
        <f>Tab_Def_Flows[[#This Row],[Flow_ID]]&amp;"_WC"</f>
        <v>F_07_00_WC</v>
      </c>
      <c r="M23" s="131"/>
      <c r="N23" s="13"/>
      <c r="O23" s="6" t="str">
        <f>Tab_Def_Flows[[#This Row],[Flow_ID]]&amp;"_DM"</f>
        <v>F_07_00_DM</v>
      </c>
      <c r="Q23" s="13"/>
      <c r="R23" s="6" t="str">
        <f>Tab_Def_Flows[[#This Row],[Flow_ID]]&amp;"_CC"</f>
        <v>F_07_00_CC</v>
      </c>
      <c r="S23" s="131"/>
      <c r="T23" s="13"/>
      <c r="U23" s="135"/>
      <c r="V23" s="7"/>
    </row>
    <row r="24" spans="1:24" x14ac:dyDescent="0.25">
      <c r="A24" s="138" t="b">
        <v>0</v>
      </c>
      <c r="B24" s="16">
        <f t="shared" ref="B24:B26" si="12">ROW()-1</f>
        <v>23</v>
      </c>
      <c r="C24" s="6" t="str">
        <f t="shared" ref="C24:C26" si="13">"F_"&amp;LEFT(F24,2)&amp;"_"&amp;LEFT(H24,2)</f>
        <v>F_09_08</v>
      </c>
      <c r="D24" s="186" t="s">
        <v>1081</v>
      </c>
      <c r="E24" s="134" t="s">
        <v>1082</v>
      </c>
      <c r="F24" s="6" t="str">
        <f>_xlfn.XLOOKUP(E24,Tab_Def_Processes[Process_Name],Tab_Def_Processes[Process_ID],,0,)</f>
        <v>09</v>
      </c>
      <c r="G24" s="134" t="s">
        <v>1104</v>
      </c>
      <c r="H24" s="9" t="str">
        <f>_xlfn.XLOOKUP(G24,Tab_Def_Processes[Process_Name],Tab_Def_Processes[Process_ID],,0,)</f>
        <v>08</v>
      </c>
      <c r="I24" s="134" t="s">
        <v>5</v>
      </c>
      <c r="J24" s="134" t="s">
        <v>5</v>
      </c>
      <c r="K24" s="134" t="s">
        <v>5</v>
      </c>
      <c r="L24" s="6" t="str">
        <f>Tab_Def_Flows[[#This Row],[Flow_ID]]&amp;"_WC"</f>
        <v>F_09_08_WC</v>
      </c>
      <c r="M24" s="131"/>
      <c r="N24" s="13"/>
      <c r="O24" s="6" t="str">
        <f>Tab_Def_Flows[[#This Row],[Flow_ID]]&amp;"_DM"</f>
        <v>F_09_08_DM</v>
      </c>
      <c r="Q24" s="13"/>
      <c r="R24" s="6" t="str">
        <f>Tab_Def_Flows[[#This Row],[Flow_ID]]&amp;"_CC"</f>
        <v>F_09_08_CC</v>
      </c>
      <c r="S24" s="131"/>
      <c r="T24" s="13"/>
      <c r="U24" s="135"/>
      <c r="V24" s="7"/>
    </row>
    <row r="25" spans="1:24" x14ac:dyDescent="0.25">
      <c r="A25" s="138" t="b">
        <v>0</v>
      </c>
      <c r="B25" s="16">
        <f t="shared" si="12"/>
        <v>24</v>
      </c>
      <c r="C25" s="6" t="str">
        <f t="shared" si="13"/>
        <v>F_08_01</v>
      </c>
      <c r="D25" s="186" t="s">
        <v>1109</v>
      </c>
      <c r="E25" s="134" t="s">
        <v>1104</v>
      </c>
      <c r="F25" s="6" t="str">
        <f>_xlfn.XLOOKUP(E25,Tab_Def_Processes[Process_Name],Tab_Def_Processes[Process_ID],,0,)</f>
        <v>08</v>
      </c>
      <c r="G25" s="134" t="s">
        <v>1101</v>
      </c>
      <c r="H25" s="9" t="str">
        <f>_xlfn.XLOOKUP(G25,Tab_Def_Processes[Process_Name],Tab_Def_Processes[Process_ID],,0,)</f>
        <v>01</v>
      </c>
      <c r="I25" s="134" t="s">
        <v>5</v>
      </c>
      <c r="J25" s="134" t="s">
        <v>5</v>
      </c>
      <c r="K25" s="134" t="s">
        <v>5</v>
      </c>
      <c r="L25" s="6" t="str">
        <f>Tab_Def_Flows[[#This Row],[Flow_ID]]&amp;"_WC"</f>
        <v>F_08_01_WC</v>
      </c>
      <c r="M25" s="131"/>
      <c r="N25" s="13"/>
      <c r="O25" s="6" t="str">
        <f>Tab_Def_Flows[[#This Row],[Flow_ID]]&amp;"_DM"</f>
        <v>F_08_01_DM</v>
      </c>
      <c r="Q25" s="13"/>
      <c r="R25" s="6" t="str">
        <f>Tab_Def_Flows[[#This Row],[Flow_ID]]&amp;"_CC"</f>
        <v>F_08_01_CC</v>
      </c>
      <c r="S25" s="131"/>
      <c r="T25" s="13"/>
      <c r="U25" s="135"/>
      <c r="V25" s="7"/>
    </row>
    <row r="26" spans="1:24" x14ac:dyDescent="0.25">
      <c r="A26" s="138" t="b">
        <v>0</v>
      </c>
      <c r="B26" s="16">
        <f t="shared" si="12"/>
        <v>25</v>
      </c>
      <c r="C26" s="6" t="str">
        <f t="shared" si="13"/>
        <v>F_08_00</v>
      </c>
      <c r="D26" s="186" t="s">
        <v>1108</v>
      </c>
      <c r="E26" s="134" t="s">
        <v>1104</v>
      </c>
      <c r="F26" s="6" t="str">
        <f>_xlfn.XLOOKUP(E26,Tab_Def_Processes[Process_Name],Tab_Def_Processes[Process_ID],,0,)</f>
        <v>08</v>
      </c>
      <c r="G26" s="134" t="s">
        <v>1100</v>
      </c>
      <c r="H26" s="9" t="str">
        <f>_xlfn.XLOOKUP(G26,Tab_Def_Processes[Process_Name],Tab_Def_Processes[Process_ID],,0,)</f>
        <v>00</v>
      </c>
      <c r="I26" s="134" t="s">
        <v>5</v>
      </c>
      <c r="J26" s="134" t="s">
        <v>5</v>
      </c>
      <c r="K26" s="134" t="s">
        <v>5</v>
      </c>
      <c r="L26" s="6" t="str">
        <f>Tab_Def_Flows[[#This Row],[Flow_ID]]&amp;"_WC"</f>
        <v>F_08_00_WC</v>
      </c>
      <c r="M26" s="131"/>
      <c r="N26" s="13"/>
      <c r="O26" s="6" t="str">
        <f>Tab_Def_Flows[[#This Row],[Flow_ID]]&amp;"_DM"</f>
        <v>F_08_00_DM</v>
      </c>
      <c r="Q26" s="13"/>
      <c r="R26" s="6" t="str">
        <f>Tab_Def_Flows[[#This Row],[Flow_ID]]&amp;"_CC"</f>
        <v>F_08_00_CC</v>
      </c>
      <c r="S26" s="131"/>
      <c r="T26" s="13"/>
      <c r="U26" s="135"/>
      <c r="V26" s="7"/>
    </row>
    <row r="27" spans="1:24" x14ac:dyDescent="0.25">
      <c r="A27" s="138" t="b">
        <v>0</v>
      </c>
      <c r="B27" s="16">
        <f t="shared" si="0"/>
        <v>26</v>
      </c>
      <c r="C27" s="6" t="str">
        <f t="shared" si="1"/>
        <v>F_09_11</v>
      </c>
      <c r="D27" s="186" t="s">
        <v>1072</v>
      </c>
      <c r="E27" s="134" t="s">
        <v>1082</v>
      </c>
      <c r="F27" s="6" t="str">
        <f>_xlfn.XLOOKUP(E27,Tab_Def_Processes[Process_Name],Tab_Def_Processes[Process_ID],,0,)</f>
        <v>09</v>
      </c>
      <c r="G27" s="134" t="s">
        <v>1083</v>
      </c>
      <c r="H27" s="9" t="str">
        <f>_xlfn.XLOOKUP(G27,Tab_Def_Processes[Process_Name],Tab_Def_Processes[Process_ID],,0,)</f>
        <v>11</v>
      </c>
      <c r="I27" s="134" t="s">
        <v>5</v>
      </c>
      <c r="J27" s="134" t="s">
        <v>5</v>
      </c>
      <c r="K27" s="134" t="s">
        <v>5</v>
      </c>
      <c r="L27" s="6" t="str">
        <f>Tab_Def_Flows[[#This Row],[Flow_ID]]&amp;"_WC"</f>
        <v>F_09_11_WC</v>
      </c>
      <c r="M27" s="131"/>
      <c r="N27" s="13"/>
      <c r="O27" s="6" t="str">
        <f>Tab_Def_Flows[[#This Row],[Flow_ID]]&amp;"_DM"</f>
        <v>F_09_11_DM</v>
      </c>
      <c r="Q27" s="13"/>
      <c r="R27" s="6" t="str">
        <f>Tab_Def_Flows[[#This Row],[Flow_ID]]&amp;"_CC"</f>
        <v>F_09_11_CC</v>
      </c>
      <c r="S27" s="131"/>
      <c r="T27" s="13"/>
      <c r="U27" s="135">
        <f>Tab_Def_Flows[[#This Row],[Flow_CC_DM'[%']]]*Tab_Def_Flows[[#This Row],[Flow_DM'[%']]]</f>
        <v>0</v>
      </c>
      <c r="V27" s="7"/>
    </row>
    <row r="28" spans="1:24" x14ac:dyDescent="0.25">
      <c r="A28" s="138" t="b">
        <v>0</v>
      </c>
      <c r="B28" s="16">
        <f t="shared" si="0"/>
        <v>27</v>
      </c>
      <c r="C28" s="6" t="str">
        <f t="shared" si="1"/>
        <v>F_11_15</v>
      </c>
      <c r="D28" s="186" t="s">
        <v>1073</v>
      </c>
      <c r="E28" s="134" t="s">
        <v>1083</v>
      </c>
      <c r="F28" s="6" t="str">
        <f>_xlfn.XLOOKUP(E28,Tab_Def_Processes[Process_Name],Tab_Def_Processes[Process_ID],,0,)</f>
        <v>11</v>
      </c>
      <c r="G28" s="134" t="s">
        <v>1084</v>
      </c>
      <c r="H28" s="9" t="str">
        <f>_xlfn.XLOOKUP(G28,Tab_Def_Processes[Process_Name],Tab_Def_Processes[Process_ID],,0,)</f>
        <v>15</v>
      </c>
      <c r="I28" s="134" t="s">
        <v>5</v>
      </c>
      <c r="J28" s="134" t="s">
        <v>5</v>
      </c>
      <c r="K28" s="134" t="s">
        <v>5</v>
      </c>
      <c r="L28" s="6" t="str">
        <f>Tab_Def_Flows[[#This Row],[Flow_ID]]&amp;"_WC"</f>
        <v>F_11_15_WC</v>
      </c>
      <c r="M28" s="131"/>
      <c r="N28" s="13"/>
      <c r="O28" s="6" t="str">
        <f>Tab_Def_Flows[[#This Row],[Flow_ID]]&amp;"_DM"</f>
        <v>F_11_15_DM</v>
      </c>
      <c r="Q28" s="13"/>
      <c r="R28" s="6" t="str">
        <f>Tab_Def_Flows[[#This Row],[Flow_ID]]&amp;"_CC"</f>
        <v>F_11_15_CC</v>
      </c>
      <c r="S28" s="131"/>
      <c r="T28" s="13"/>
      <c r="U28" s="135">
        <f>Tab_Def_Flows[[#This Row],[Flow_CC_DM'[%']]]*Tab_Def_Flows[[#This Row],[Flow_DM'[%']]]</f>
        <v>0</v>
      </c>
      <c r="V28" s="7"/>
    </row>
    <row r="29" spans="1:24" x14ac:dyDescent="0.25">
      <c r="A29" s="138" t="b">
        <v>0</v>
      </c>
      <c r="B29" s="16">
        <f t="shared" si="0"/>
        <v>28</v>
      </c>
      <c r="C29" s="6" t="str">
        <f t="shared" si="1"/>
        <v>F_15_16</v>
      </c>
      <c r="D29" s="186" t="s">
        <v>1074</v>
      </c>
      <c r="E29" s="134" t="s">
        <v>1084</v>
      </c>
      <c r="F29" s="6" t="str">
        <f>_xlfn.XLOOKUP(E29,Tab_Def_Processes[Process_Name],Tab_Def_Processes[Process_ID],,0,)</f>
        <v>15</v>
      </c>
      <c r="G29" s="134" t="s">
        <v>1088</v>
      </c>
      <c r="H29" s="9" t="str">
        <f>_xlfn.XLOOKUP(G29,Tab_Def_Processes[Process_Name],Tab_Def_Processes[Process_ID],,0,)</f>
        <v>16</v>
      </c>
      <c r="I29" s="134" t="s">
        <v>5</v>
      </c>
      <c r="J29" s="134" t="s">
        <v>5</v>
      </c>
      <c r="K29" s="134" t="s">
        <v>5</v>
      </c>
      <c r="L29" s="6" t="str">
        <f>Tab_Def_Flows[[#This Row],[Flow_ID]]&amp;"_WC"</f>
        <v>F_15_16_WC</v>
      </c>
      <c r="M29" s="131"/>
      <c r="N29" s="13"/>
      <c r="O29" s="6" t="str">
        <f>Tab_Def_Flows[[#This Row],[Flow_ID]]&amp;"_DM"</f>
        <v>F_15_16_DM</v>
      </c>
      <c r="Q29" s="13"/>
      <c r="R29" s="6" t="str">
        <f>Tab_Def_Flows[[#This Row],[Flow_ID]]&amp;"_CC"</f>
        <v>F_15_16_CC</v>
      </c>
      <c r="S29" s="131"/>
      <c r="T29" s="13"/>
      <c r="U29" s="135">
        <f>Tab_Def_Flows[[#This Row],[Flow_CC_DM'[%']]]*Tab_Def_Flows[[#This Row],[Flow_DM'[%']]]</f>
        <v>0</v>
      </c>
      <c r="V29" s="7"/>
    </row>
    <row r="30" spans="1:24" x14ac:dyDescent="0.25">
      <c r="A30" s="138" t="b">
        <v>0</v>
      </c>
      <c r="B30" s="16">
        <f t="shared" si="0"/>
        <v>29</v>
      </c>
      <c r="C30" s="6" t="str">
        <f t="shared" si="1"/>
        <v>F_11_12</v>
      </c>
      <c r="D30" s="186" t="s">
        <v>1075</v>
      </c>
      <c r="E30" s="134" t="s">
        <v>1083</v>
      </c>
      <c r="F30" s="6" t="str">
        <f>_xlfn.XLOOKUP(E30,Tab_Def_Processes[Process_Name],Tab_Def_Processes[Process_ID],,0,)</f>
        <v>11</v>
      </c>
      <c r="G30" s="134" t="s">
        <v>1087</v>
      </c>
      <c r="H30" s="9" t="str">
        <f>_xlfn.XLOOKUP(G30,Tab_Def_Processes[Process_Name],Tab_Def_Processes[Process_ID],,0,)</f>
        <v>12</v>
      </c>
      <c r="I30" s="134" t="s">
        <v>5</v>
      </c>
      <c r="J30" s="134" t="s">
        <v>5</v>
      </c>
      <c r="K30" s="134" t="s">
        <v>5</v>
      </c>
      <c r="L30" s="6" t="str">
        <f>Tab_Def_Flows[[#This Row],[Flow_ID]]&amp;"_WC"</f>
        <v>F_11_12_WC</v>
      </c>
      <c r="M30" s="131"/>
      <c r="N30" s="13"/>
      <c r="O30" s="6" t="str">
        <f>Tab_Def_Flows[[#This Row],[Flow_ID]]&amp;"_DM"</f>
        <v>F_11_12_DM</v>
      </c>
      <c r="Q30" s="13"/>
      <c r="R30" s="6" t="str">
        <f>Tab_Def_Flows[[#This Row],[Flow_ID]]&amp;"_CC"</f>
        <v>F_11_12_CC</v>
      </c>
      <c r="S30" s="131"/>
      <c r="T30" s="13"/>
      <c r="U30" s="135">
        <f>Tab_Def_Flows[[#This Row],[Flow_CC_DM'[%']]]*Tab_Def_Flows[[#This Row],[Flow_DM'[%']]]</f>
        <v>0</v>
      </c>
      <c r="V30" s="7"/>
    </row>
    <row r="31" spans="1:24" x14ac:dyDescent="0.25">
      <c r="A31" s="138" t="b">
        <v>0</v>
      </c>
      <c r="B31" s="16">
        <f t="shared" ref="B31:B32" si="14">ROW()-1</f>
        <v>30</v>
      </c>
      <c r="C31" s="6" t="str">
        <f t="shared" ref="C31:C32" si="15">"F_"&amp;LEFT(F31,2)&amp;"_"&amp;LEFT(H31,2)</f>
        <v>F_12_01</v>
      </c>
      <c r="D31" s="186" t="s">
        <v>1123</v>
      </c>
      <c r="E31" s="134" t="s">
        <v>1087</v>
      </c>
      <c r="F31" s="6" t="str">
        <f>_xlfn.XLOOKUP(E31,Tab_Def_Processes[Process_Name],Tab_Def_Processes[Process_ID],,0,)</f>
        <v>12</v>
      </c>
      <c r="G31" s="134" t="s">
        <v>1101</v>
      </c>
      <c r="H31" s="9" t="str">
        <f>_xlfn.XLOOKUP(G31,Tab_Def_Processes[Process_Name],Tab_Def_Processes[Process_ID],,0,)</f>
        <v>01</v>
      </c>
      <c r="I31" s="134" t="s">
        <v>5</v>
      </c>
      <c r="J31" s="134" t="s">
        <v>5</v>
      </c>
      <c r="K31" s="134" t="s">
        <v>5</v>
      </c>
      <c r="L31" s="6" t="str">
        <f>Tab_Def_Flows[[#This Row],[Flow_ID]]&amp;"_WC"</f>
        <v>F_12_01_WC</v>
      </c>
      <c r="M31" s="131"/>
      <c r="N31" s="13"/>
      <c r="O31" s="6" t="str">
        <f>Tab_Def_Flows[[#This Row],[Flow_ID]]&amp;"_DM"</f>
        <v>F_12_01_DM</v>
      </c>
      <c r="Q31" s="13"/>
      <c r="R31" s="6" t="str">
        <f>Tab_Def_Flows[[#This Row],[Flow_ID]]&amp;"_CC"</f>
        <v>F_12_01_CC</v>
      </c>
      <c r="S31" s="131"/>
      <c r="T31" s="13"/>
      <c r="U31" s="135"/>
      <c r="V31" s="7"/>
    </row>
    <row r="32" spans="1:24" x14ac:dyDescent="0.25">
      <c r="A32" s="138" t="b">
        <v>0</v>
      </c>
      <c r="B32" s="16">
        <f t="shared" si="14"/>
        <v>31</v>
      </c>
      <c r="C32" s="6" t="str">
        <f t="shared" si="15"/>
        <v>F_12_00</v>
      </c>
      <c r="D32" s="186" t="s">
        <v>1124</v>
      </c>
      <c r="E32" s="134" t="s">
        <v>1087</v>
      </c>
      <c r="F32" s="6" t="str">
        <f>_xlfn.XLOOKUP(E32,Tab_Def_Processes[Process_Name],Tab_Def_Processes[Process_ID],,0,)</f>
        <v>12</v>
      </c>
      <c r="G32" s="134" t="s">
        <v>1100</v>
      </c>
      <c r="H32" s="9" t="str">
        <f>_xlfn.XLOOKUP(G32,Tab_Def_Processes[Process_Name],Tab_Def_Processes[Process_ID],,0,)</f>
        <v>00</v>
      </c>
      <c r="I32" s="134" t="s">
        <v>5</v>
      </c>
      <c r="J32" s="134" t="s">
        <v>5</v>
      </c>
      <c r="K32" s="134" t="s">
        <v>5</v>
      </c>
      <c r="L32" s="6" t="str">
        <f>Tab_Def_Flows[[#This Row],[Flow_ID]]&amp;"_WC"</f>
        <v>F_12_00_WC</v>
      </c>
      <c r="M32" s="131"/>
      <c r="N32" s="13"/>
      <c r="O32" s="6" t="str">
        <f>Tab_Def_Flows[[#This Row],[Flow_ID]]&amp;"_DM"</f>
        <v>F_12_00_DM</v>
      </c>
      <c r="Q32" s="13"/>
      <c r="R32" s="6" t="str">
        <f>Tab_Def_Flows[[#This Row],[Flow_ID]]&amp;"_CC"</f>
        <v>F_12_00_CC</v>
      </c>
      <c r="S32" s="131"/>
      <c r="T32" s="13"/>
      <c r="U32" s="135"/>
      <c r="V32" s="7"/>
    </row>
    <row r="33" spans="1:22" x14ac:dyDescent="0.25">
      <c r="A33" s="138" t="b">
        <v>0</v>
      </c>
      <c r="B33" s="16">
        <f t="shared" si="0"/>
        <v>32</v>
      </c>
      <c r="C33" s="6" t="str">
        <f t="shared" si="1"/>
        <v>F_14_11</v>
      </c>
      <c r="D33" s="186" t="s">
        <v>1076</v>
      </c>
      <c r="E33" s="134" t="s">
        <v>1092</v>
      </c>
      <c r="F33" s="6" t="str">
        <f>_xlfn.XLOOKUP(E33,Tab_Def_Processes[Process_Name],Tab_Def_Processes[Process_ID],,0,)</f>
        <v>14</v>
      </c>
      <c r="G33" s="134" t="s">
        <v>1083</v>
      </c>
      <c r="H33" s="9" t="str">
        <f>_xlfn.XLOOKUP(G33,Tab_Def_Processes[Process_Name],Tab_Def_Processes[Process_ID],,0,)</f>
        <v>11</v>
      </c>
      <c r="I33" s="134" t="s">
        <v>5</v>
      </c>
      <c r="J33" s="134" t="s">
        <v>5</v>
      </c>
      <c r="K33" s="134" t="s">
        <v>5</v>
      </c>
      <c r="L33" s="6" t="str">
        <f>Tab_Def_Flows[[#This Row],[Flow_ID]]&amp;"_WC"</f>
        <v>F_14_11_WC</v>
      </c>
      <c r="M33" s="131"/>
      <c r="N33" s="13"/>
      <c r="O33" s="6" t="str">
        <f>Tab_Def_Flows[[#This Row],[Flow_ID]]&amp;"_DM"</f>
        <v>F_14_11_DM</v>
      </c>
      <c r="Q33" s="13"/>
      <c r="R33" s="6" t="str">
        <f>Tab_Def_Flows[[#This Row],[Flow_ID]]&amp;"_CC"</f>
        <v>F_14_11_CC</v>
      </c>
      <c r="S33" s="131"/>
      <c r="T33" s="13"/>
      <c r="U33" s="135">
        <f>Tab_Def_Flows[[#This Row],[Flow_CC_DM'[%']]]*Tab_Def_Flows[[#This Row],[Flow_DM'[%']]]</f>
        <v>0</v>
      </c>
      <c r="V33" s="7"/>
    </row>
    <row r="34" spans="1:22" x14ac:dyDescent="0.25">
      <c r="A34" s="138" t="b">
        <v>0</v>
      </c>
      <c r="B34" s="16">
        <f t="shared" si="0"/>
        <v>33</v>
      </c>
      <c r="C34" s="6" t="str">
        <f t="shared" si="1"/>
        <v>F_11_13</v>
      </c>
      <c r="D34" s="186" t="s">
        <v>1077</v>
      </c>
      <c r="E34" s="134" t="s">
        <v>1083</v>
      </c>
      <c r="F34" s="6" t="str">
        <f>_xlfn.XLOOKUP(E34,Tab_Def_Processes[Process_Name],Tab_Def_Processes[Process_ID],,0,)</f>
        <v>11</v>
      </c>
      <c r="G34" s="134" t="s">
        <v>1093</v>
      </c>
      <c r="H34" s="9" t="str">
        <f>_xlfn.XLOOKUP(G34,Tab_Def_Processes[Process_Name],Tab_Def_Processes[Process_ID],,0,)</f>
        <v>13</v>
      </c>
      <c r="I34" s="134" t="s">
        <v>5</v>
      </c>
      <c r="J34" s="134" t="s">
        <v>5</v>
      </c>
      <c r="K34" s="134" t="s">
        <v>5</v>
      </c>
      <c r="L34" s="6" t="str">
        <f>Tab_Def_Flows[[#This Row],[Flow_ID]]&amp;"_WC"</f>
        <v>F_11_13_WC</v>
      </c>
      <c r="M34" s="131"/>
      <c r="N34" s="13"/>
      <c r="O34" s="6" t="str">
        <f>Tab_Def_Flows[[#This Row],[Flow_ID]]&amp;"_DM"</f>
        <v>F_11_13_DM</v>
      </c>
      <c r="Q34" s="13"/>
      <c r="R34" s="6" t="str">
        <f>Tab_Def_Flows[[#This Row],[Flow_ID]]&amp;"_CC"</f>
        <v>F_11_13_CC</v>
      </c>
      <c r="S34" s="131"/>
      <c r="T34" s="13"/>
      <c r="U34" s="135">
        <f>Tab_Def_Flows[[#This Row],[Flow_CC_DM'[%']]]*Tab_Def_Flows[[#This Row],[Flow_DM'[%']]]</f>
        <v>0</v>
      </c>
      <c r="V34" s="7"/>
    </row>
    <row r="35" spans="1:22" x14ac:dyDescent="0.25">
      <c r="A35" s="138" t="b">
        <v>0</v>
      </c>
      <c r="B35" s="16">
        <f t="shared" ref="B35:B36" si="16">ROW()-1</f>
        <v>34</v>
      </c>
      <c r="C35" s="6" t="str">
        <f t="shared" ref="C35:C36" si="17">"F_"&amp;LEFT(F35,2)&amp;"_"&amp;LEFT(H35,2)</f>
        <v>F_13_01</v>
      </c>
      <c r="D35" s="186" t="s">
        <v>1125</v>
      </c>
      <c r="E35" s="134" t="s">
        <v>1093</v>
      </c>
      <c r="F35" s="6" t="str">
        <f>_xlfn.XLOOKUP(E35,Tab_Def_Processes[Process_Name],Tab_Def_Processes[Process_ID],,0,)</f>
        <v>13</v>
      </c>
      <c r="G35" s="134" t="s">
        <v>1101</v>
      </c>
      <c r="H35" s="9" t="str">
        <f>_xlfn.XLOOKUP(G35,Tab_Def_Processes[Process_Name],Tab_Def_Processes[Process_ID],,0,)</f>
        <v>01</v>
      </c>
      <c r="I35" s="134" t="s">
        <v>5</v>
      </c>
      <c r="J35" s="134" t="s">
        <v>5</v>
      </c>
      <c r="K35" s="134" t="s">
        <v>5</v>
      </c>
      <c r="L35" s="6" t="str">
        <f>Tab_Def_Flows[[#This Row],[Flow_ID]]&amp;"_WC"</f>
        <v>F_13_01_WC</v>
      </c>
      <c r="M35" s="131"/>
      <c r="N35" s="13"/>
      <c r="O35" s="6" t="str">
        <f>Tab_Def_Flows[[#This Row],[Flow_ID]]&amp;"_DM"</f>
        <v>F_13_01_DM</v>
      </c>
      <c r="Q35" s="13"/>
      <c r="R35" s="6" t="str">
        <f>Tab_Def_Flows[[#This Row],[Flow_ID]]&amp;"_CC"</f>
        <v>F_13_01_CC</v>
      </c>
      <c r="S35" s="131"/>
      <c r="T35" s="13"/>
      <c r="U35" s="135"/>
      <c r="V35" s="7"/>
    </row>
    <row r="36" spans="1:22" x14ac:dyDescent="0.25">
      <c r="A36" s="138" t="b">
        <v>0</v>
      </c>
      <c r="B36" s="16">
        <f t="shared" si="16"/>
        <v>35</v>
      </c>
      <c r="C36" s="6" t="str">
        <f t="shared" si="17"/>
        <v>F_13_00</v>
      </c>
      <c r="D36" s="186" t="s">
        <v>1126</v>
      </c>
      <c r="E36" s="134" t="s">
        <v>1093</v>
      </c>
      <c r="F36" s="6" t="str">
        <f>_xlfn.XLOOKUP(E36,Tab_Def_Processes[Process_Name],Tab_Def_Processes[Process_ID],,0,)</f>
        <v>13</v>
      </c>
      <c r="G36" s="134" t="s">
        <v>1100</v>
      </c>
      <c r="H36" s="9" t="str">
        <f>_xlfn.XLOOKUP(G36,Tab_Def_Processes[Process_Name],Tab_Def_Processes[Process_ID],,0,)</f>
        <v>00</v>
      </c>
      <c r="I36" s="134" t="s">
        <v>5</v>
      </c>
      <c r="J36" s="134" t="s">
        <v>5</v>
      </c>
      <c r="K36" s="134" t="s">
        <v>5</v>
      </c>
      <c r="L36" s="6" t="str">
        <f>Tab_Def_Flows[[#This Row],[Flow_ID]]&amp;"_WC"</f>
        <v>F_13_00_WC</v>
      </c>
      <c r="M36" s="131"/>
      <c r="N36" s="13"/>
      <c r="O36" s="6" t="str">
        <f>Tab_Def_Flows[[#This Row],[Flow_ID]]&amp;"_DM"</f>
        <v>F_13_00_DM</v>
      </c>
      <c r="Q36" s="13"/>
      <c r="R36" s="6" t="str">
        <f>Tab_Def_Flows[[#This Row],[Flow_ID]]&amp;"_CC"</f>
        <v>F_13_00_CC</v>
      </c>
      <c r="S36" s="131"/>
      <c r="T36" s="13"/>
      <c r="U36" s="135"/>
      <c r="V36" s="7"/>
    </row>
    <row r="37" spans="1:22" x14ac:dyDescent="0.25">
      <c r="A37" s="138" t="b">
        <v>0</v>
      </c>
      <c r="B37" s="16">
        <f t="shared" si="0"/>
        <v>36</v>
      </c>
      <c r="C37" s="6" t="str">
        <f t="shared" si="1"/>
        <v>F_16_17</v>
      </c>
      <c r="D37" s="186" t="s">
        <v>1078</v>
      </c>
      <c r="E37" s="134" t="s">
        <v>1088</v>
      </c>
      <c r="F37" s="6" t="str">
        <f>_xlfn.XLOOKUP(E37,Tab_Def_Processes[Process_Name],Tab_Def_Processes[Process_ID],,0,)</f>
        <v>16</v>
      </c>
      <c r="G37" s="134" t="s">
        <v>1090</v>
      </c>
      <c r="H37" s="9" t="str">
        <f>_xlfn.XLOOKUP(G37,Tab_Def_Processes[Process_Name],Tab_Def_Processes[Process_ID],,0,)</f>
        <v>17</v>
      </c>
      <c r="I37" s="134" t="s">
        <v>5</v>
      </c>
      <c r="J37" s="134" t="s">
        <v>5</v>
      </c>
      <c r="K37" s="134" t="s">
        <v>5</v>
      </c>
      <c r="L37" s="6" t="str">
        <f>Tab_Def_Flows[[#This Row],[Flow_ID]]&amp;"_WC"</f>
        <v>F_16_17_WC</v>
      </c>
      <c r="M37" s="131"/>
      <c r="N37" s="13"/>
      <c r="O37" s="6" t="str">
        <f>Tab_Def_Flows[[#This Row],[Flow_ID]]&amp;"_DM"</f>
        <v>F_16_17_DM</v>
      </c>
      <c r="Q37" s="13"/>
      <c r="R37" s="6" t="str">
        <f>Tab_Def_Flows[[#This Row],[Flow_ID]]&amp;"_CC"</f>
        <v>F_16_17_CC</v>
      </c>
      <c r="S37" s="131"/>
      <c r="T37" s="13"/>
      <c r="U37" s="135">
        <f>Tab_Def_Flows[[#This Row],[Flow_CC_DM'[%']]]*Tab_Def_Flows[[#This Row],[Flow_DM'[%']]]</f>
        <v>0</v>
      </c>
      <c r="V37" s="7"/>
    </row>
    <row r="38" spans="1:22" x14ac:dyDescent="0.25">
      <c r="A38" s="138" t="b">
        <v>0</v>
      </c>
      <c r="B38" s="16">
        <f t="shared" si="0"/>
        <v>37</v>
      </c>
      <c r="C38" s="6" t="str">
        <f t="shared" si="1"/>
        <v>F_16_18</v>
      </c>
      <c r="D38" s="186" t="s">
        <v>1079</v>
      </c>
      <c r="E38" s="134" t="s">
        <v>1088</v>
      </c>
      <c r="F38" s="6" t="str">
        <f>_xlfn.XLOOKUP(E38,Tab_Def_Processes[Process_Name],Tab_Def_Processes[Process_ID],,0,)</f>
        <v>16</v>
      </c>
      <c r="G38" s="134" t="s">
        <v>1091</v>
      </c>
      <c r="H38" s="9" t="str">
        <f>_xlfn.XLOOKUP(G38,Tab_Def_Processes[Process_Name],Tab_Def_Processes[Process_ID],,0,)</f>
        <v>18</v>
      </c>
      <c r="I38" s="134" t="s">
        <v>5</v>
      </c>
      <c r="J38" s="134" t="s">
        <v>5</v>
      </c>
      <c r="K38" s="134" t="s">
        <v>5</v>
      </c>
      <c r="L38" s="6" t="str">
        <f>Tab_Def_Flows[[#This Row],[Flow_ID]]&amp;"_WC"</f>
        <v>F_16_18_WC</v>
      </c>
      <c r="M38" s="131"/>
      <c r="N38" s="13"/>
      <c r="O38" s="6" t="str">
        <f>Tab_Def_Flows[[#This Row],[Flow_ID]]&amp;"_DM"</f>
        <v>F_16_18_DM</v>
      </c>
      <c r="Q38" s="13"/>
      <c r="R38" s="6" t="str">
        <f>Tab_Def_Flows[[#This Row],[Flow_ID]]&amp;"_CC"</f>
        <v>F_16_18_CC</v>
      </c>
      <c r="S38" s="131"/>
      <c r="T38" s="13"/>
      <c r="U38" s="135">
        <f>Tab_Def_Flows[[#This Row],[Flow_CC_DM'[%']]]*Tab_Def_Flows[[#This Row],[Flow_DM'[%']]]</f>
        <v>0</v>
      </c>
      <c r="V38" s="7"/>
    </row>
    <row r="39" spans="1:22" x14ac:dyDescent="0.25">
      <c r="A39" s="138" t="b">
        <v>0</v>
      </c>
      <c r="B39" s="16">
        <f t="shared" ref="B39:B40" si="18">ROW()-1</f>
        <v>38</v>
      </c>
      <c r="C39" s="6" t="str">
        <f t="shared" ref="C39:C40" si="19">"F_"&amp;LEFT(F39,2)&amp;"_"&amp;LEFT(H39,2)</f>
        <v>F_18_01</v>
      </c>
      <c r="D39" s="186" t="s">
        <v>1105</v>
      </c>
      <c r="E39" s="134" t="s">
        <v>1091</v>
      </c>
      <c r="F39" s="6" t="str">
        <f>_xlfn.XLOOKUP(E39,Tab_Def_Processes[Process_Name],Tab_Def_Processes[Process_ID],,0,)</f>
        <v>18</v>
      </c>
      <c r="G39" s="134" t="s">
        <v>1101</v>
      </c>
      <c r="H39" s="9" t="str">
        <f>_xlfn.XLOOKUP(G39,Tab_Def_Processes[Process_Name],Tab_Def_Processes[Process_ID],,0,)</f>
        <v>01</v>
      </c>
      <c r="I39" s="134" t="s">
        <v>5</v>
      </c>
      <c r="J39" s="134" t="s">
        <v>5</v>
      </c>
      <c r="K39" s="134" t="s">
        <v>5</v>
      </c>
      <c r="L39" s="6" t="str">
        <f>Tab_Def_Flows[[#This Row],[Flow_ID]]&amp;"_WC"</f>
        <v>F_18_01_WC</v>
      </c>
      <c r="M39" s="131"/>
      <c r="N39" s="13"/>
      <c r="O39" s="6" t="str">
        <f>Tab_Def_Flows[[#This Row],[Flow_ID]]&amp;"_DM"</f>
        <v>F_18_01_DM</v>
      </c>
      <c r="Q39" s="13"/>
      <c r="R39" s="6" t="str">
        <f>Tab_Def_Flows[[#This Row],[Flow_ID]]&amp;"_CC"</f>
        <v>F_18_01_CC</v>
      </c>
      <c r="S39" s="131"/>
      <c r="T39" s="13"/>
      <c r="U39" s="135"/>
      <c r="V39" s="7"/>
    </row>
    <row r="40" spans="1:22" x14ac:dyDescent="0.25">
      <c r="A40" s="138" t="b">
        <v>0</v>
      </c>
      <c r="B40" s="16">
        <f t="shared" si="18"/>
        <v>39</v>
      </c>
      <c r="C40" s="6" t="str">
        <f t="shared" si="19"/>
        <v>F_18_00</v>
      </c>
      <c r="D40" s="186" t="s">
        <v>1106</v>
      </c>
      <c r="E40" s="134" t="s">
        <v>1091</v>
      </c>
      <c r="F40" s="6" t="str">
        <f>_xlfn.XLOOKUP(E40,Tab_Def_Processes[Process_Name],Tab_Def_Processes[Process_ID],,0,)</f>
        <v>18</v>
      </c>
      <c r="G40" s="134" t="s">
        <v>1100</v>
      </c>
      <c r="H40" s="9" t="str">
        <f>_xlfn.XLOOKUP(G40,Tab_Def_Processes[Process_Name],Tab_Def_Processes[Process_ID],,0,)</f>
        <v>00</v>
      </c>
      <c r="I40" s="134" t="s">
        <v>5</v>
      </c>
      <c r="J40" s="134" t="s">
        <v>5</v>
      </c>
      <c r="K40" s="134" t="s">
        <v>5</v>
      </c>
      <c r="L40" s="6" t="str">
        <f>Tab_Def_Flows[[#This Row],[Flow_ID]]&amp;"_WC"</f>
        <v>F_18_00_WC</v>
      </c>
      <c r="M40" s="131"/>
      <c r="N40" s="13"/>
      <c r="O40" s="6" t="str">
        <f>Tab_Def_Flows[[#This Row],[Flow_ID]]&amp;"_DM"</f>
        <v>F_18_00_DM</v>
      </c>
      <c r="Q40" s="13"/>
      <c r="R40" s="6" t="str">
        <f>Tab_Def_Flows[[#This Row],[Flow_ID]]&amp;"_CC"</f>
        <v>F_18_00_CC</v>
      </c>
      <c r="S40" s="131"/>
      <c r="T40" s="13"/>
      <c r="U40" s="135"/>
      <c r="V40" s="7"/>
    </row>
    <row r="41" spans="1:22" x14ac:dyDescent="0.25">
      <c r="A41" s="138" t="b">
        <v>0</v>
      </c>
      <c r="B41" s="16">
        <f t="shared" si="0"/>
        <v>40</v>
      </c>
      <c r="C41" s="6" t="str">
        <f t="shared" si="1"/>
        <v>F_17_22</v>
      </c>
      <c r="D41" s="186" t="s">
        <v>1080</v>
      </c>
      <c r="E41" s="134" t="s">
        <v>1090</v>
      </c>
      <c r="F41" s="6" t="str">
        <f>_xlfn.XLOOKUP(E41,Tab_Def_Processes[Process_Name],Tab_Def_Processes[Process_ID],,0,)</f>
        <v>17</v>
      </c>
      <c r="G41" s="134" t="s">
        <v>1097</v>
      </c>
      <c r="H41" s="9" t="str">
        <f>_xlfn.XLOOKUP(G41,Tab_Def_Processes[Process_Name],Tab_Def_Processes[Process_ID],,0,)</f>
        <v>22</v>
      </c>
      <c r="I41" s="134" t="s">
        <v>5</v>
      </c>
      <c r="J41" s="134" t="s">
        <v>5</v>
      </c>
      <c r="K41" s="134" t="s">
        <v>5</v>
      </c>
      <c r="L41" s="6" t="str">
        <f>Tab_Def_Flows[[#This Row],[Flow_ID]]&amp;"_WC"</f>
        <v>F_17_22_WC</v>
      </c>
      <c r="M41" s="131"/>
      <c r="N41" s="13"/>
      <c r="O41" s="6" t="str">
        <f>Tab_Def_Flows[[#This Row],[Flow_ID]]&amp;"_DM"</f>
        <v>F_17_22_DM</v>
      </c>
      <c r="Q41" s="13"/>
      <c r="R41" s="6" t="str">
        <f>Tab_Def_Flows[[#This Row],[Flow_ID]]&amp;"_CC"</f>
        <v>F_17_22_CC</v>
      </c>
      <c r="S41" s="131"/>
      <c r="T41" s="13"/>
      <c r="U41" s="135">
        <f>Tab_Def_Flows[[#This Row],[Flow_CC_DM'[%']]]*Tab_Def_Flows[[#This Row],[Flow_DM'[%']]]</f>
        <v>0</v>
      </c>
      <c r="V41" s="7"/>
    </row>
    <row r="42" spans="1:22" x14ac:dyDescent="0.25">
      <c r="A42" s="138" t="b">
        <v>0</v>
      </c>
      <c r="B42" s="16">
        <f t="shared" si="0"/>
        <v>41</v>
      </c>
      <c r="C42" s="6" t="str">
        <f t="shared" si="1"/>
        <v>F_18_19</v>
      </c>
      <c r="D42" s="186" t="s">
        <v>1107</v>
      </c>
      <c r="E42" s="134" t="s">
        <v>1091</v>
      </c>
      <c r="F42" s="6" t="str">
        <f>_xlfn.XLOOKUP(E42,Tab_Def_Processes[Process_Name],Tab_Def_Processes[Process_ID],,0,)</f>
        <v>18</v>
      </c>
      <c r="G42" s="134" t="s">
        <v>1098</v>
      </c>
      <c r="H42" s="9" t="str">
        <f>_xlfn.XLOOKUP(G42,Tab_Def_Processes[Process_Name],Tab_Def_Processes[Process_ID],,0,)</f>
        <v>19</v>
      </c>
      <c r="I42" s="134" t="s">
        <v>5</v>
      </c>
      <c r="J42" s="134" t="s">
        <v>5</v>
      </c>
      <c r="K42" s="134" t="s">
        <v>5</v>
      </c>
      <c r="L42" s="6" t="str">
        <f>Tab_Def_Flows[[#This Row],[Flow_ID]]&amp;"_WC"</f>
        <v>F_18_19_WC</v>
      </c>
      <c r="M42" s="131"/>
      <c r="N42" s="13"/>
      <c r="O42" s="6" t="str">
        <f>Tab_Def_Flows[[#This Row],[Flow_ID]]&amp;"_DM"</f>
        <v>F_18_19_DM</v>
      </c>
      <c r="Q42" s="13"/>
      <c r="R42" s="6" t="str">
        <f>Tab_Def_Flows[[#This Row],[Flow_ID]]&amp;"_CC"</f>
        <v>F_18_19_CC</v>
      </c>
      <c r="S42" s="131"/>
      <c r="T42" s="13"/>
      <c r="U42" s="135">
        <f>Tab_Def_Flows[[#This Row],[Flow_CC_DM'[%']]]*Tab_Def_Flows[[#This Row],[Flow_DM'[%']]]</f>
        <v>0</v>
      </c>
      <c r="V42" s="7"/>
    </row>
    <row r="43" spans="1:22" x14ac:dyDescent="0.25">
      <c r="A43" s="138" t="b">
        <v>0</v>
      </c>
      <c r="B43" s="16">
        <f t="shared" si="0"/>
        <v>42</v>
      </c>
      <c r="C43" s="6" t="str">
        <f t="shared" si="1"/>
        <v>F_18_01</v>
      </c>
      <c r="D43" s="186" t="s">
        <v>1105</v>
      </c>
      <c r="E43" s="134" t="s">
        <v>1091</v>
      </c>
      <c r="F43" s="6" t="str">
        <f>_xlfn.XLOOKUP(E43,Tab_Def_Processes[Process_Name],Tab_Def_Processes[Process_ID],,0,)</f>
        <v>18</v>
      </c>
      <c r="G43" s="134" t="s">
        <v>1101</v>
      </c>
      <c r="H43" s="9" t="str">
        <f>_xlfn.XLOOKUP(G43,Tab_Def_Processes[Process_Name],Tab_Def_Processes[Process_ID],,0,)</f>
        <v>01</v>
      </c>
      <c r="I43" s="134" t="s">
        <v>5</v>
      </c>
      <c r="J43" s="134" t="s">
        <v>5</v>
      </c>
      <c r="K43" s="134" t="s">
        <v>5</v>
      </c>
      <c r="L43" s="6" t="str">
        <f>Tab_Def_Flows[[#This Row],[Flow_ID]]&amp;"_WC"</f>
        <v>F_18_01_WC</v>
      </c>
      <c r="M43" s="131"/>
      <c r="N43" s="13"/>
      <c r="O43" s="6" t="str">
        <f>Tab_Def_Flows[[#This Row],[Flow_ID]]&amp;"_DM"</f>
        <v>F_18_01_DM</v>
      </c>
      <c r="Q43" s="13"/>
      <c r="R43" s="6" t="str">
        <f>Tab_Def_Flows[[#This Row],[Flow_ID]]&amp;"_CC"</f>
        <v>F_18_01_CC</v>
      </c>
      <c r="S43" s="131"/>
      <c r="T43" s="13"/>
      <c r="U43" s="135">
        <f>Tab_Def_Flows[[#This Row],[Flow_CC_DM'[%']]]*Tab_Def_Flows[[#This Row],[Flow_DM'[%']]]</f>
        <v>0</v>
      </c>
      <c r="V43" s="7"/>
    </row>
    <row r="44" spans="1:22" x14ac:dyDescent="0.25">
      <c r="A44" s="138" t="b">
        <v>0</v>
      </c>
      <c r="B44" s="16">
        <f t="shared" si="0"/>
        <v>43</v>
      </c>
      <c r="C44" s="6" t="str">
        <f t="shared" si="1"/>
        <v>F_18_00</v>
      </c>
      <c r="D44" s="186" t="s">
        <v>1106</v>
      </c>
      <c r="E44" s="134" t="s">
        <v>1091</v>
      </c>
      <c r="F44" s="6" t="str">
        <f>_xlfn.XLOOKUP(E44,Tab_Def_Processes[Process_Name],Tab_Def_Processes[Process_ID],,0,)</f>
        <v>18</v>
      </c>
      <c r="G44" s="134" t="s">
        <v>1100</v>
      </c>
      <c r="H44" s="9" t="str">
        <f>_xlfn.XLOOKUP(G44,Tab_Def_Processes[Process_Name],Tab_Def_Processes[Process_ID],,0,)</f>
        <v>00</v>
      </c>
      <c r="I44" s="134" t="s">
        <v>5</v>
      </c>
      <c r="J44" s="134" t="s">
        <v>5</v>
      </c>
      <c r="K44" s="134" t="s">
        <v>5</v>
      </c>
      <c r="L44" s="6" t="str">
        <f>Tab_Def_Flows[[#This Row],[Flow_ID]]&amp;"_WC"</f>
        <v>F_18_00_WC</v>
      </c>
      <c r="M44" s="131"/>
      <c r="N44" s="13"/>
      <c r="O44" s="6" t="str">
        <f>Tab_Def_Flows[[#This Row],[Flow_ID]]&amp;"_DM"</f>
        <v>F_18_00_DM</v>
      </c>
      <c r="Q44" s="13"/>
      <c r="R44" s="6" t="str">
        <f>Tab_Def_Flows[[#This Row],[Flow_ID]]&amp;"_CC"</f>
        <v>F_18_00_CC</v>
      </c>
      <c r="S44" s="131"/>
      <c r="T44" s="13"/>
      <c r="U44" s="135">
        <f>Tab_Def_Flows[[#This Row],[Flow_CC_DM'[%']]]*Tab_Def_Flows[[#This Row],[Flow_DM'[%']]]</f>
        <v>0</v>
      </c>
      <c r="V44" s="7"/>
    </row>
    <row r="45" spans="1:22" x14ac:dyDescent="0.25">
      <c r="A45" s="138" t="b">
        <v>0</v>
      </c>
      <c r="B45" s="16">
        <f t="shared" si="0"/>
        <v>44</v>
      </c>
      <c r="C45" s="6" t="str">
        <f t="shared" si="1"/>
        <v>F_17_22</v>
      </c>
      <c r="D45" s="186" t="s">
        <v>1080</v>
      </c>
      <c r="E45" s="134" t="s">
        <v>1090</v>
      </c>
      <c r="F45" s="6" t="str">
        <f>_xlfn.XLOOKUP(E45,Tab_Def_Processes[Process_Name],Tab_Def_Processes[Process_ID],,0,)</f>
        <v>17</v>
      </c>
      <c r="G45" s="134" t="s">
        <v>1097</v>
      </c>
      <c r="H45" s="9" t="str">
        <f>_xlfn.XLOOKUP(G45,Tab_Def_Processes[Process_Name],Tab_Def_Processes[Process_ID],,0,)</f>
        <v>22</v>
      </c>
      <c r="I45" s="134" t="s">
        <v>5</v>
      </c>
      <c r="J45" s="134" t="s">
        <v>5</v>
      </c>
      <c r="K45" s="134" t="s">
        <v>5</v>
      </c>
      <c r="L45" s="6" t="str">
        <f>Tab_Def_Flows[[#This Row],[Flow_ID]]&amp;"_WC"</f>
        <v>F_17_22_WC</v>
      </c>
      <c r="M45" s="131"/>
      <c r="N45" s="13"/>
      <c r="O45" s="6" t="str">
        <f>Tab_Def_Flows[[#This Row],[Flow_ID]]&amp;"_DM"</f>
        <v>F_17_22_DM</v>
      </c>
      <c r="Q45" s="13"/>
      <c r="R45" s="6" t="str">
        <f>Tab_Def_Flows[[#This Row],[Flow_ID]]&amp;"_CC"</f>
        <v>F_17_22_CC</v>
      </c>
      <c r="S45" s="131"/>
      <c r="T45" s="13"/>
      <c r="U45" s="135">
        <f>Tab_Def_Flows[[#This Row],[Flow_CC_DM'[%']]]*Tab_Def_Flows[[#This Row],[Flow_DM'[%']]]</f>
        <v>0</v>
      </c>
      <c r="V45" s="7"/>
    </row>
    <row r="46" spans="1:22" x14ac:dyDescent="0.25">
      <c r="A46" s="138" t="b">
        <v>0</v>
      </c>
      <c r="B46" s="16">
        <f t="shared" ref="B46:B47" si="20">ROW()-1</f>
        <v>45</v>
      </c>
      <c r="C46" s="6" t="str">
        <f t="shared" ref="C46:C47" si="21">"F_"&amp;LEFT(F46,2)&amp;"_"&amp;LEFT(H46,2)</f>
        <v>F_17_01</v>
      </c>
      <c r="D46" s="186" t="s">
        <v>1129</v>
      </c>
      <c r="E46" s="134" t="s">
        <v>1090</v>
      </c>
      <c r="F46" s="6" t="str">
        <f>_xlfn.XLOOKUP(E46,Tab_Def_Processes[Process_Name],Tab_Def_Processes[Process_ID],,0,)</f>
        <v>17</v>
      </c>
      <c r="G46" s="134" t="s">
        <v>1101</v>
      </c>
      <c r="H46" s="9" t="str">
        <f>_xlfn.XLOOKUP(G46,Tab_Def_Processes[Process_Name],Tab_Def_Processes[Process_ID],,0,)</f>
        <v>01</v>
      </c>
      <c r="I46" s="134" t="s">
        <v>5</v>
      </c>
      <c r="J46" s="134" t="s">
        <v>5</v>
      </c>
      <c r="K46" s="134" t="s">
        <v>5</v>
      </c>
      <c r="L46" s="6" t="str">
        <f>Tab_Def_Flows[[#This Row],[Flow_ID]]&amp;"_WC"</f>
        <v>F_17_01_WC</v>
      </c>
      <c r="M46" s="131"/>
      <c r="N46" s="13"/>
      <c r="O46" s="6" t="str">
        <f>Tab_Def_Flows[[#This Row],[Flow_ID]]&amp;"_DM"</f>
        <v>F_17_01_DM</v>
      </c>
      <c r="Q46" s="13"/>
      <c r="R46" s="6" t="str">
        <f>Tab_Def_Flows[[#This Row],[Flow_ID]]&amp;"_CC"</f>
        <v>F_17_01_CC</v>
      </c>
      <c r="S46" s="131"/>
      <c r="T46" s="13"/>
      <c r="U46" s="135"/>
      <c r="V46" s="7"/>
    </row>
    <row r="47" spans="1:22" x14ac:dyDescent="0.25">
      <c r="A47" s="138" t="b">
        <v>0</v>
      </c>
      <c r="B47" s="16">
        <f t="shared" si="20"/>
        <v>46</v>
      </c>
      <c r="C47" s="6" t="str">
        <f t="shared" si="21"/>
        <v>F_17_00</v>
      </c>
      <c r="D47" s="186" t="s">
        <v>1130</v>
      </c>
      <c r="E47" s="134" t="s">
        <v>1090</v>
      </c>
      <c r="F47" s="6" t="str">
        <f>_xlfn.XLOOKUP(E47,Tab_Def_Processes[Process_Name],Tab_Def_Processes[Process_ID],,0,)</f>
        <v>17</v>
      </c>
      <c r="G47" s="134" t="s">
        <v>1100</v>
      </c>
      <c r="H47" s="9" t="str">
        <f>_xlfn.XLOOKUP(G47,Tab_Def_Processes[Process_Name],Tab_Def_Processes[Process_ID],,0,)</f>
        <v>00</v>
      </c>
      <c r="I47" s="134" t="s">
        <v>5</v>
      </c>
      <c r="J47" s="134" t="s">
        <v>5</v>
      </c>
      <c r="K47" s="134" t="s">
        <v>5</v>
      </c>
      <c r="L47" s="6" t="str">
        <f>Tab_Def_Flows[[#This Row],[Flow_ID]]&amp;"_WC"</f>
        <v>F_17_00_WC</v>
      </c>
      <c r="M47" s="131"/>
      <c r="N47" s="13"/>
      <c r="O47" s="6" t="str">
        <f>Tab_Def_Flows[[#This Row],[Flow_ID]]&amp;"_DM"</f>
        <v>F_17_00_DM</v>
      </c>
      <c r="Q47" s="13"/>
      <c r="R47" s="6" t="str">
        <f>Tab_Def_Flows[[#This Row],[Flow_ID]]&amp;"_CC"</f>
        <v>F_17_00_CC</v>
      </c>
      <c r="S47" s="131"/>
      <c r="T47" s="13"/>
      <c r="U47" s="135"/>
      <c r="V47" s="7"/>
    </row>
    <row r="48" spans="1:22" x14ac:dyDescent="0.25">
      <c r="A48" s="138" t="b">
        <v>0</v>
      </c>
      <c r="B48" s="16">
        <f t="shared" si="0"/>
        <v>47</v>
      </c>
      <c r="C48" s="6" t="str">
        <f t="shared" si="1"/>
        <v>F_22_01</v>
      </c>
      <c r="D48" s="186" t="s">
        <v>1127</v>
      </c>
      <c r="E48" s="134" t="s">
        <v>1097</v>
      </c>
      <c r="F48" s="6" t="str">
        <f>_xlfn.XLOOKUP(E48,Tab_Def_Processes[Process_Name],Tab_Def_Processes[Process_ID],,0,)</f>
        <v>22</v>
      </c>
      <c r="G48" s="134" t="s">
        <v>1101</v>
      </c>
      <c r="H48" s="9" t="str">
        <f>_xlfn.XLOOKUP(G48,Tab_Def_Processes[Process_Name],Tab_Def_Processes[Process_ID],,0,)</f>
        <v>01</v>
      </c>
      <c r="I48" s="134" t="s">
        <v>5</v>
      </c>
      <c r="J48" s="134" t="s">
        <v>5</v>
      </c>
      <c r="K48" s="134" t="s">
        <v>5</v>
      </c>
      <c r="L48" s="6" t="str">
        <f>Tab_Def_Flows[[#This Row],[Flow_ID]]&amp;"_WC"</f>
        <v>F_22_01_WC</v>
      </c>
      <c r="M48" s="131"/>
      <c r="N48" s="13"/>
      <c r="O48" s="6" t="str">
        <f>Tab_Def_Flows[[#This Row],[Flow_ID]]&amp;"_DM"</f>
        <v>F_22_01_DM</v>
      </c>
      <c r="Q48" s="13"/>
      <c r="R48" s="6" t="str">
        <f>Tab_Def_Flows[[#This Row],[Flow_ID]]&amp;"_CC"</f>
        <v>F_22_01_CC</v>
      </c>
      <c r="S48" s="131"/>
      <c r="T48" s="13"/>
      <c r="U48" s="135">
        <f>Tab_Def_Flows[[#This Row],[Flow_CC_DM'[%']]]*Tab_Def_Flows[[#This Row],[Flow_DM'[%']]]</f>
        <v>0</v>
      </c>
      <c r="V48" s="7"/>
    </row>
    <row r="49" spans="1:22" x14ac:dyDescent="0.25">
      <c r="A49" s="138" t="b">
        <v>0</v>
      </c>
      <c r="B49" s="16">
        <f t="shared" si="0"/>
        <v>48</v>
      </c>
      <c r="C49" s="6" t="str">
        <f t="shared" si="1"/>
        <v>F_22_00</v>
      </c>
      <c r="D49" s="186" t="s">
        <v>1128</v>
      </c>
      <c r="E49" s="134" t="s">
        <v>1097</v>
      </c>
      <c r="F49" s="6" t="str">
        <f>_xlfn.XLOOKUP(E49,Tab_Def_Processes[Process_Name],Tab_Def_Processes[Process_ID],,0,)</f>
        <v>22</v>
      </c>
      <c r="G49" s="134" t="s">
        <v>1100</v>
      </c>
      <c r="H49" s="9" t="str">
        <f>_xlfn.XLOOKUP(G49,Tab_Def_Processes[Process_Name],Tab_Def_Processes[Process_ID],,0,)</f>
        <v>00</v>
      </c>
      <c r="I49" s="134" t="s">
        <v>5</v>
      </c>
      <c r="J49" s="134" t="s">
        <v>5</v>
      </c>
      <c r="K49" s="134" t="s">
        <v>5</v>
      </c>
      <c r="L49" s="6" t="str">
        <f>Tab_Def_Flows[[#This Row],[Flow_ID]]&amp;"_WC"</f>
        <v>F_22_00_WC</v>
      </c>
      <c r="M49" s="131"/>
      <c r="N49" s="13"/>
      <c r="O49" s="6" t="str">
        <f>Tab_Def_Flows[[#This Row],[Flow_ID]]&amp;"_DM"</f>
        <v>F_22_00_DM</v>
      </c>
      <c r="Q49" s="13"/>
      <c r="R49" s="6" t="str">
        <f>Tab_Def_Flows[[#This Row],[Flow_ID]]&amp;"_CC"</f>
        <v>F_22_00_CC</v>
      </c>
      <c r="S49" s="131"/>
      <c r="T49" s="13"/>
      <c r="U49" s="135">
        <f>Tab_Def_Flows[[#This Row],[Flow_CC_DM'[%']]]*Tab_Def_Flows[[#This Row],[Flow_DM'[%']]]</f>
        <v>0</v>
      </c>
      <c r="V49" s="7"/>
    </row>
    <row r="50" spans="1:22" x14ac:dyDescent="0.25">
      <c r="A50" s="138" t="b">
        <v>0</v>
      </c>
      <c r="B50" s="16">
        <f t="shared" si="0"/>
        <v>49</v>
      </c>
      <c r="C50" s="6" t="str">
        <f t="shared" si="1"/>
        <v>F_19_01</v>
      </c>
      <c r="D50" s="186" t="s">
        <v>1131</v>
      </c>
      <c r="E50" s="134" t="s">
        <v>1098</v>
      </c>
      <c r="F50" s="6" t="str">
        <f>_xlfn.XLOOKUP(E50,Tab_Def_Processes[Process_Name],Tab_Def_Processes[Process_ID],,0,)</f>
        <v>19</v>
      </c>
      <c r="G50" s="134" t="s">
        <v>1101</v>
      </c>
      <c r="H50" s="9" t="str">
        <f>_xlfn.XLOOKUP(G50,Tab_Def_Processes[Process_Name],Tab_Def_Processes[Process_ID],,0,)</f>
        <v>01</v>
      </c>
      <c r="I50" s="134" t="s">
        <v>5</v>
      </c>
      <c r="J50" s="134" t="s">
        <v>5</v>
      </c>
      <c r="K50" s="134" t="s">
        <v>5</v>
      </c>
      <c r="L50" s="6" t="str">
        <f>Tab_Def_Flows[[#This Row],[Flow_ID]]&amp;"_WC"</f>
        <v>F_19_01_WC</v>
      </c>
      <c r="M50" s="131"/>
      <c r="N50" s="13"/>
      <c r="O50" s="6" t="str">
        <f>Tab_Def_Flows[[#This Row],[Flow_ID]]&amp;"_DM"</f>
        <v>F_19_01_DM</v>
      </c>
      <c r="Q50" s="13"/>
      <c r="R50" s="6" t="str">
        <f>Tab_Def_Flows[[#This Row],[Flow_ID]]&amp;"_CC"</f>
        <v>F_19_01_CC</v>
      </c>
      <c r="S50" s="131"/>
      <c r="T50" s="13"/>
      <c r="U50" s="135">
        <f>Tab_Def_Flows[[#This Row],[Flow_CC_DM'[%']]]*Tab_Def_Flows[[#This Row],[Flow_DM'[%']]]</f>
        <v>0</v>
      </c>
      <c r="V50" s="7"/>
    </row>
    <row r="51" spans="1:22" x14ac:dyDescent="0.25">
      <c r="A51" s="138" t="b">
        <v>0</v>
      </c>
      <c r="B51" s="16">
        <f t="shared" si="0"/>
        <v>50</v>
      </c>
      <c r="C51" s="6" t="str">
        <f t="shared" si="1"/>
        <v>F_19_00</v>
      </c>
      <c r="D51" s="186" t="s">
        <v>1132</v>
      </c>
      <c r="E51" s="134" t="s">
        <v>1098</v>
      </c>
      <c r="F51" s="6" t="str">
        <f>_xlfn.XLOOKUP(E51,Tab_Def_Processes[Process_Name],Tab_Def_Processes[Process_ID],,0,)</f>
        <v>19</v>
      </c>
      <c r="G51" s="134" t="s">
        <v>1100</v>
      </c>
      <c r="H51" s="9" t="str">
        <f>_xlfn.XLOOKUP(G51,Tab_Def_Processes[Process_Name],Tab_Def_Processes[Process_ID],,0,)</f>
        <v>00</v>
      </c>
      <c r="I51" s="134" t="s">
        <v>5</v>
      </c>
      <c r="J51" s="134" t="s">
        <v>5</v>
      </c>
      <c r="K51" s="134" t="s">
        <v>5</v>
      </c>
      <c r="L51" s="6" t="str">
        <f>Tab_Def_Flows[[#This Row],[Flow_ID]]&amp;"_WC"</f>
        <v>F_19_00_WC</v>
      </c>
      <c r="M51" s="131"/>
      <c r="N51" s="13"/>
      <c r="O51" s="6" t="str">
        <f>Tab_Def_Flows[[#This Row],[Flow_ID]]&amp;"_DM"</f>
        <v>F_19_00_DM</v>
      </c>
      <c r="Q51" s="13"/>
      <c r="R51" s="6" t="str">
        <f>Tab_Def_Flows[[#This Row],[Flow_ID]]&amp;"_CC"</f>
        <v>F_19_00_CC</v>
      </c>
      <c r="S51" s="131"/>
      <c r="T51" s="13"/>
      <c r="U51" s="135">
        <f>Tab_Def_Flows[[#This Row],[Flow_CC_DM'[%']]]*Tab_Def_Flows[[#This Row],[Flow_DM'[%']]]</f>
        <v>0</v>
      </c>
      <c r="V51" s="7"/>
    </row>
    <row r="52" spans="1:22" x14ac:dyDescent="0.25">
      <c r="A52" s="138" t="b">
        <v>0</v>
      </c>
      <c r="B52" s="16">
        <f t="shared" si="0"/>
        <v>51</v>
      </c>
      <c r="C52" s="6" t="str">
        <f t="shared" si="1"/>
        <v>F_23_23</v>
      </c>
      <c r="D52" s="186"/>
      <c r="E52" s="134"/>
      <c r="F52" s="6" t="str">
        <f>_xlfn.XLOOKUP(E52,Tab_Def_Processes[Process_Name],Tab_Def_Processes[Process_ID],,0,)</f>
        <v>23</v>
      </c>
      <c r="G52" s="134"/>
      <c r="H52" s="9" t="str">
        <f>_xlfn.XLOOKUP(G52,Tab_Def_Processes[Process_Name],Tab_Def_Processes[Process_ID],,0,)</f>
        <v>23</v>
      </c>
      <c r="I52" s="134" t="s">
        <v>5</v>
      </c>
      <c r="J52" s="134" t="s">
        <v>5</v>
      </c>
      <c r="K52" s="134" t="s">
        <v>5</v>
      </c>
      <c r="L52" s="6" t="str">
        <f>Tab_Def_Flows[[#This Row],[Flow_ID]]&amp;"_WC"</f>
        <v>F_23_23_WC</v>
      </c>
      <c r="M52" s="131"/>
      <c r="N52" s="13"/>
      <c r="O52" s="6" t="str">
        <f>Tab_Def_Flows[[#This Row],[Flow_ID]]&amp;"_DM"</f>
        <v>F_23_23_DM</v>
      </c>
      <c r="Q52" s="13"/>
      <c r="R52" s="6" t="str">
        <f>Tab_Def_Flows[[#This Row],[Flow_ID]]&amp;"_CC"</f>
        <v>F_23_23_CC</v>
      </c>
      <c r="S52" s="131"/>
      <c r="T52" s="13"/>
      <c r="U52" s="135">
        <f>Tab_Def_Flows[[#This Row],[Flow_CC_DM'[%']]]*Tab_Def_Flows[[#This Row],[Flow_DM'[%']]]</f>
        <v>0</v>
      </c>
      <c r="V52" s="7"/>
    </row>
    <row r="53" spans="1:22" x14ac:dyDescent="0.25">
      <c r="A53" s="138" t="b">
        <v>0</v>
      </c>
      <c r="B53" s="16">
        <f t="shared" si="0"/>
        <v>52</v>
      </c>
      <c r="C53" s="6" t="str">
        <f t="shared" si="1"/>
        <v>F_23_23</v>
      </c>
      <c r="D53" s="186"/>
      <c r="E53" s="134"/>
      <c r="F53" s="6" t="str">
        <f>_xlfn.XLOOKUP(E53,Tab_Def_Processes[Process_Name],Tab_Def_Processes[Process_ID],,0,)</f>
        <v>23</v>
      </c>
      <c r="G53" s="134"/>
      <c r="H53" s="9" t="str">
        <f>_xlfn.XLOOKUP(G53,Tab_Def_Processes[Process_Name],Tab_Def_Processes[Process_ID],,0,)</f>
        <v>23</v>
      </c>
      <c r="I53" s="134" t="s">
        <v>5</v>
      </c>
      <c r="J53" s="134" t="s">
        <v>5</v>
      </c>
      <c r="K53" s="134" t="s">
        <v>5</v>
      </c>
      <c r="L53" s="6" t="str">
        <f>Tab_Def_Flows[[#This Row],[Flow_ID]]&amp;"_WC"</f>
        <v>F_23_23_WC</v>
      </c>
      <c r="M53" s="131"/>
      <c r="N53" s="13"/>
      <c r="O53" s="6" t="str">
        <f>Tab_Def_Flows[[#This Row],[Flow_ID]]&amp;"_DM"</f>
        <v>F_23_23_DM</v>
      </c>
      <c r="Q53" s="13"/>
      <c r="R53" s="6" t="str">
        <f>Tab_Def_Flows[[#This Row],[Flow_ID]]&amp;"_CC"</f>
        <v>F_23_23_CC</v>
      </c>
      <c r="S53" s="131"/>
      <c r="T53" s="13"/>
      <c r="U53" s="135">
        <f>Tab_Def_Flows[[#This Row],[Flow_CC_DM'[%']]]*Tab_Def_Flows[[#This Row],[Flow_DM'[%']]]</f>
        <v>0</v>
      </c>
      <c r="V53" s="7"/>
    </row>
    <row r="54" spans="1:22" x14ac:dyDescent="0.25">
      <c r="A54" s="138" t="b">
        <v>0</v>
      </c>
      <c r="B54" s="16">
        <f t="shared" si="0"/>
        <v>53</v>
      </c>
      <c r="C54" s="6" t="str">
        <f t="shared" si="1"/>
        <v>F_23_23</v>
      </c>
      <c r="D54" s="186"/>
      <c r="E54" s="134"/>
      <c r="F54" s="6" t="str">
        <f>_xlfn.XLOOKUP(E54,Tab_Def_Processes[Process_Name],Tab_Def_Processes[Process_ID],,0,)</f>
        <v>23</v>
      </c>
      <c r="G54" s="134"/>
      <c r="H54" s="9" t="str">
        <f>_xlfn.XLOOKUP(G54,Tab_Def_Processes[Process_Name],Tab_Def_Processes[Process_ID],,0,)</f>
        <v>23</v>
      </c>
      <c r="I54" s="134" t="s">
        <v>5</v>
      </c>
      <c r="J54" s="134" t="s">
        <v>5</v>
      </c>
      <c r="K54" s="134" t="s">
        <v>5</v>
      </c>
      <c r="L54" s="6" t="str">
        <f>Tab_Def_Flows[[#This Row],[Flow_ID]]&amp;"_WC"</f>
        <v>F_23_23_WC</v>
      </c>
      <c r="M54" s="131"/>
      <c r="N54" s="13"/>
      <c r="O54" s="6" t="str">
        <f>Tab_Def_Flows[[#This Row],[Flow_ID]]&amp;"_DM"</f>
        <v>F_23_23_DM</v>
      </c>
      <c r="Q54" s="13"/>
      <c r="R54" s="6" t="str">
        <f>Tab_Def_Flows[[#This Row],[Flow_ID]]&amp;"_CC"</f>
        <v>F_23_23_CC</v>
      </c>
      <c r="S54" s="131"/>
      <c r="T54" s="13"/>
      <c r="U54" s="135">
        <f>Tab_Def_Flows[[#This Row],[Flow_CC_DM'[%']]]*Tab_Def_Flows[[#This Row],[Flow_DM'[%']]]</f>
        <v>0</v>
      </c>
      <c r="V54" s="7"/>
    </row>
    <row r="55" spans="1:22" x14ac:dyDescent="0.25">
      <c r="A55" s="138" t="b">
        <v>0</v>
      </c>
      <c r="B55" s="16">
        <f t="shared" si="0"/>
        <v>54</v>
      </c>
      <c r="C55" s="6" t="str">
        <f t="shared" si="1"/>
        <v>F_23_23</v>
      </c>
      <c r="D55" s="186"/>
      <c r="E55" s="134"/>
      <c r="F55" s="6" t="str">
        <f>_xlfn.XLOOKUP(E55,Tab_Def_Processes[Process_Name],Tab_Def_Processes[Process_ID],,0,)</f>
        <v>23</v>
      </c>
      <c r="G55" s="134"/>
      <c r="H55" s="9" t="str">
        <f>_xlfn.XLOOKUP(G55,Tab_Def_Processes[Process_Name],Tab_Def_Processes[Process_ID],,0,)</f>
        <v>23</v>
      </c>
      <c r="I55" s="134" t="s">
        <v>5</v>
      </c>
      <c r="J55" s="134" t="s">
        <v>5</v>
      </c>
      <c r="K55" s="134" t="s">
        <v>5</v>
      </c>
      <c r="L55" s="6" t="str">
        <f>Tab_Def_Flows[[#This Row],[Flow_ID]]&amp;"_WC"</f>
        <v>F_23_23_WC</v>
      </c>
      <c r="M55" s="131"/>
      <c r="N55" s="13"/>
      <c r="O55" s="6" t="str">
        <f>Tab_Def_Flows[[#This Row],[Flow_ID]]&amp;"_DM"</f>
        <v>F_23_23_DM</v>
      </c>
      <c r="Q55" s="13"/>
      <c r="R55" s="6" t="str">
        <f>Tab_Def_Flows[[#This Row],[Flow_ID]]&amp;"_CC"</f>
        <v>F_23_23_CC</v>
      </c>
      <c r="S55" s="131"/>
      <c r="T55" s="13"/>
      <c r="U55" s="135">
        <f>Tab_Def_Flows[[#This Row],[Flow_CC_DM'[%']]]*Tab_Def_Flows[[#This Row],[Flow_DM'[%']]]</f>
        <v>0</v>
      </c>
      <c r="V55" s="7"/>
    </row>
    <row r="56" spans="1:22" x14ac:dyDescent="0.25">
      <c r="A56" s="138" t="b">
        <v>0</v>
      </c>
      <c r="B56" s="16">
        <f t="shared" si="0"/>
        <v>55</v>
      </c>
      <c r="C56" s="6" t="str">
        <f t="shared" si="1"/>
        <v>F_23_23</v>
      </c>
      <c r="D56" s="186"/>
      <c r="E56" s="134"/>
      <c r="F56" s="6" t="str">
        <f>_xlfn.XLOOKUP(E56,Tab_Def_Processes[Process_Name],Tab_Def_Processes[Process_ID],,0,)</f>
        <v>23</v>
      </c>
      <c r="G56" s="134"/>
      <c r="H56" s="9" t="str">
        <f>_xlfn.XLOOKUP(G56,Tab_Def_Processes[Process_Name],Tab_Def_Processes[Process_ID],,0,)</f>
        <v>23</v>
      </c>
      <c r="I56" s="134" t="s">
        <v>5</v>
      </c>
      <c r="J56" s="134" t="s">
        <v>5</v>
      </c>
      <c r="K56" s="134" t="s">
        <v>5</v>
      </c>
      <c r="L56" s="6" t="str">
        <f>Tab_Def_Flows[[#This Row],[Flow_ID]]&amp;"_WC"</f>
        <v>F_23_23_WC</v>
      </c>
      <c r="M56" s="131"/>
      <c r="N56" s="13"/>
      <c r="O56" s="6" t="str">
        <f>Tab_Def_Flows[[#This Row],[Flow_ID]]&amp;"_DM"</f>
        <v>F_23_23_DM</v>
      </c>
      <c r="Q56" s="13"/>
      <c r="R56" s="6" t="str">
        <f>Tab_Def_Flows[[#This Row],[Flow_ID]]&amp;"_CC"</f>
        <v>F_23_23_CC</v>
      </c>
      <c r="S56" s="131"/>
      <c r="T56" s="13"/>
      <c r="U56" s="135">
        <f>Tab_Def_Flows[[#This Row],[Flow_CC_DM'[%']]]*Tab_Def_Flows[[#This Row],[Flow_DM'[%']]]</f>
        <v>0</v>
      </c>
      <c r="V56" s="7"/>
    </row>
    <row r="57" spans="1:22" x14ac:dyDescent="0.25">
      <c r="A57" s="138" t="b">
        <v>0</v>
      </c>
      <c r="B57" s="16">
        <f t="shared" si="0"/>
        <v>56</v>
      </c>
      <c r="C57" s="6" t="str">
        <f t="shared" si="1"/>
        <v>F_23_23</v>
      </c>
      <c r="D57" s="186"/>
      <c r="E57" s="134"/>
      <c r="F57" s="6" t="str">
        <f>_xlfn.XLOOKUP(E57,Tab_Def_Processes[Process_Name],Tab_Def_Processes[Process_ID],,0,)</f>
        <v>23</v>
      </c>
      <c r="G57" s="134"/>
      <c r="H57" s="9" t="str">
        <f>_xlfn.XLOOKUP(G57,Tab_Def_Processes[Process_Name],Tab_Def_Processes[Process_ID],,0,)</f>
        <v>23</v>
      </c>
      <c r="I57" s="134" t="s">
        <v>5</v>
      </c>
      <c r="J57" s="134" t="s">
        <v>5</v>
      </c>
      <c r="K57" s="134" t="s">
        <v>5</v>
      </c>
      <c r="L57" s="6" t="str">
        <f>Tab_Def_Flows[[#This Row],[Flow_ID]]&amp;"_WC"</f>
        <v>F_23_23_WC</v>
      </c>
      <c r="M57" s="131"/>
      <c r="N57" s="13"/>
      <c r="O57" s="6" t="str">
        <f>Tab_Def_Flows[[#This Row],[Flow_ID]]&amp;"_DM"</f>
        <v>F_23_23_DM</v>
      </c>
      <c r="Q57" s="13"/>
      <c r="R57" s="6" t="str">
        <f>Tab_Def_Flows[[#This Row],[Flow_ID]]&amp;"_CC"</f>
        <v>F_23_23_CC</v>
      </c>
      <c r="S57" s="131"/>
      <c r="T57" s="13"/>
      <c r="U57" s="135">
        <f>Tab_Def_Flows[[#This Row],[Flow_CC_DM'[%']]]*Tab_Def_Flows[[#This Row],[Flow_DM'[%']]]</f>
        <v>0</v>
      </c>
      <c r="V57" s="7"/>
    </row>
    <row r="58" spans="1:22" x14ac:dyDescent="0.25">
      <c r="A58" s="138" t="b">
        <v>0</v>
      </c>
      <c r="B58" s="16">
        <f t="shared" si="0"/>
        <v>57</v>
      </c>
      <c r="C58" s="6" t="str">
        <f t="shared" si="1"/>
        <v>F_23_23</v>
      </c>
      <c r="D58" s="186"/>
      <c r="E58" s="134"/>
      <c r="F58" s="6" t="str">
        <f>_xlfn.XLOOKUP(E58,Tab_Def_Processes[Process_Name],Tab_Def_Processes[Process_ID],,0,)</f>
        <v>23</v>
      </c>
      <c r="G58" s="134"/>
      <c r="H58" s="9" t="str">
        <f>_xlfn.XLOOKUP(G58,Tab_Def_Processes[Process_Name],Tab_Def_Processes[Process_ID],,0,)</f>
        <v>23</v>
      </c>
      <c r="I58" s="134" t="s">
        <v>5</v>
      </c>
      <c r="J58" s="134" t="s">
        <v>5</v>
      </c>
      <c r="K58" s="134" t="s">
        <v>5</v>
      </c>
      <c r="L58" s="6" t="str">
        <f>Tab_Def_Flows[[#This Row],[Flow_ID]]&amp;"_WC"</f>
        <v>F_23_23_WC</v>
      </c>
      <c r="M58" s="131"/>
      <c r="N58" s="13"/>
      <c r="O58" s="6" t="str">
        <f>Tab_Def_Flows[[#This Row],[Flow_ID]]&amp;"_DM"</f>
        <v>F_23_23_DM</v>
      </c>
      <c r="Q58" s="13"/>
      <c r="R58" s="6" t="str">
        <f>Tab_Def_Flows[[#This Row],[Flow_ID]]&amp;"_CC"</f>
        <v>F_23_23_CC</v>
      </c>
      <c r="S58" s="131"/>
      <c r="T58" s="13"/>
      <c r="U58" s="135">
        <f>Tab_Def_Flows[[#This Row],[Flow_CC_DM'[%']]]*Tab_Def_Flows[[#This Row],[Flow_DM'[%']]]</f>
        <v>0</v>
      </c>
      <c r="V58" s="7"/>
    </row>
    <row r="59" spans="1:22" x14ac:dyDescent="0.25">
      <c r="A59" s="138" t="b">
        <v>0</v>
      </c>
      <c r="B59" s="16">
        <f t="shared" si="0"/>
        <v>58</v>
      </c>
      <c r="C59" s="6" t="str">
        <f t="shared" si="1"/>
        <v>F_23_23</v>
      </c>
      <c r="D59" s="186"/>
      <c r="E59" s="134"/>
      <c r="F59" s="6" t="str">
        <f>_xlfn.XLOOKUP(E59,Tab_Def_Processes[Process_Name],Tab_Def_Processes[Process_ID],,0,)</f>
        <v>23</v>
      </c>
      <c r="G59" s="134"/>
      <c r="H59" s="9" t="str">
        <f>_xlfn.XLOOKUP(G59,Tab_Def_Processes[Process_Name],Tab_Def_Processes[Process_ID],,0,)</f>
        <v>23</v>
      </c>
      <c r="I59" s="134" t="s">
        <v>5</v>
      </c>
      <c r="J59" s="134" t="s">
        <v>5</v>
      </c>
      <c r="K59" s="134" t="s">
        <v>5</v>
      </c>
      <c r="L59" s="6" t="str">
        <f>Tab_Def_Flows[[#This Row],[Flow_ID]]&amp;"_WC"</f>
        <v>F_23_23_WC</v>
      </c>
      <c r="M59" s="131"/>
      <c r="N59" s="13"/>
      <c r="O59" s="6" t="str">
        <f>Tab_Def_Flows[[#This Row],[Flow_ID]]&amp;"_DM"</f>
        <v>F_23_23_DM</v>
      </c>
      <c r="Q59" s="13"/>
      <c r="R59" s="6" t="str">
        <f>Tab_Def_Flows[[#This Row],[Flow_ID]]&amp;"_CC"</f>
        <v>F_23_23_CC</v>
      </c>
      <c r="S59" s="131"/>
      <c r="T59" s="13"/>
      <c r="U59" s="135">
        <f>Tab_Def_Flows[[#This Row],[Flow_CC_DM'[%']]]*Tab_Def_Flows[[#This Row],[Flow_DM'[%']]]</f>
        <v>0</v>
      </c>
      <c r="V59" s="7"/>
    </row>
    <row r="60" spans="1:22" x14ac:dyDescent="0.25">
      <c r="A60" s="138" t="b">
        <v>0</v>
      </c>
      <c r="B60" s="16">
        <f t="shared" si="0"/>
        <v>59</v>
      </c>
      <c r="C60" s="6" t="str">
        <f t="shared" si="1"/>
        <v>F_23_23</v>
      </c>
      <c r="D60" s="186"/>
      <c r="E60" s="134"/>
      <c r="F60" s="6" t="str">
        <f>_xlfn.XLOOKUP(E60,Tab_Def_Processes[Process_Name],Tab_Def_Processes[Process_ID],,0,)</f>
        <v>23</v>
      </c>
      <c r="G60" s="134"/>
      <c r="H60" s="9" t="str">
        <f>_xlfn.XLOOKUP(G60,Tab_Def_Processes[Process_Name],Tab_Def_Processes[Process_ID],,0,)</f>
        <v>23</v>
      </c>
      <c r="I60" s="134" t="s">
        <v>5</v>
      </c>
      <c r="J60" s="134" t="s">
        <v>5</v>
      </c>
      <c r="K60" s="134" t="s">
        <v>5</v>
      </c>
      <c r="L60" s="6" t="str">
        <f>Tab_Def_Flows[[#This Row],[Flow_ID]]&amp;"_WC"</f>
        <v>F_23_23_WC</v>
      </c>
      <c r="M60" s="131"/>
      <c r="N60" s="13"/>
      <c r="O60" s="6" t="str">
        <f>Tab_Def_Flows[[#This Row],[Flow_ID]]&amp;"_DM"</f>
        <v>F_23_23_DM</v>
      </c>
      <c r="Q60" s="13"/>
      <c r="R60" s="6" t="str">
        <f>Tab_Def_Flows[[#This Row],[Flow_ID]]&amp;"_CC"</f>
        <v>F_23_23_CC</v>
      </c>
      <c r="S60" s="131"/>
      <c r="T60" s="13"/>
      <c r="U60" s="135">
        <f>Tab_Def_Flows[[#This Row],[Flow_CC_DM'[%']]]*Tab_Def_Flows[[#This Row],[Flow_DM'[%']]]</f>
        <v>0</v>
      </c>
      <c r="V60" s="7"/>
    </row>
    <row r="61" spans="1:22" ht="15.75" customHeight="1" x14ac:dyDescent="0.25">
      <c r="A61" s="138" t="b">
        <v>0</v>
      </c>
      <c r="B61" s="16">
        <f t="shared" si="0"/>
        <v>60</v>
      </c>
      <c r="C61" s="6" t="str">
        <f t="shared" si="1"/>
        <v>F_23_23</v>
      </c>
      <c r="D61" s="186"/>
      <c r="E61" s="134"/>
      <c r="F61" s="6" t="str">
        <f>_xlfn.XLOOKUP(E61,Tab_Def_Processes[Process_Name],Tab_Def_Processes[Process_ID],,0,)</f>
        <v>23</v>
      </c>
      <c r="G61" s="134"/>
      <c r="H61" s="9" t="str">
        <f>_xlfn.XLOOKUP(G61,Tab_Def_Processes[Process_Name],Tab_Def_Processes[Process_ID],,0,)</f>
        <v>23</v>
      </c>
      <c r="I61" s="134" t="s">
        <v>5</v>
      </c>
      <c r="J61" s="134" t="s">
        <v>5</v>
      </c>
      <c r="K61" s="134" t="s">
        <v>5</v>
      </c>
      <c r="L61" s="6" t="str">
        <f>Tab_Def_Flows[[#This Row],[Flow_ID]]&amp;"_WC"</f>
        <v>F_23_23_WC</v>
      </c>
      <c r="M61" s="131"/>
      <c r="N61" s="13"/>
      <c r="O61" s="6" t="str">
        <f>Tab_Def_Flows[[#This Row],[Flow_ID]]&amp;"_DM"</f>
        <v>F_23_23_DM</v>
      </c>
      <c r="Q61" s="13"/>
      <c r="R61" s="6" t="str">
        <f>Tab_Def_Flows[[#This Row],[Flow_ID]]&amp;"_CC"</f>
        <v>F_23_23_CC</v>
      </c>
      <c r="S61" s="131"/>
      <c r="T61" s="13"/>
      <c r="U61" s="135">
        <f>Tab_Def_Flows[[#This Row],[Flow_CC_DM'[%']]]*Tab_Def_Flows[[#This Row],[Flow_DM'[%']]]</f>
        <v>0</v>
      </c>
      <c r="V61" s="7"/>
    </row>
    <row r="62" spans="1:22" x14ac:dyDescent="0.25">
      <c r="A62" s="138" t="b">
        <v>0</v>
      </c>
      <c r="B62" s="16">
        <f t="shared" si="0"/>
        <v>61</v>
      </c>
      <c r="C62" s="6" t="str">
        <f t="shared" si="1"/>
        <v>F_23_23</v>
      </c>
      <c r="D62" s="186"/>
      <c r="E62" s="134"/>
      <c r="F62" s="6" t="str">
        <f>_xlfn.XLOOKUP(E62,Tab_Def_Processes[Process_Name],Tab_Def_Processes[Process_ID],,0,)</f>
        <v>23</v>
      </c>
      <c r="G62" s="134"/>
      <c r="H62" s="9" t="str">
        <f>_xlfn.XLOOKUP(G62,Tab_Def_Processes[Process_Name],Tab_Def_Processes[Process_ID],,0,)</f>
        <v>23</v>
      </c>
      <c r="I62" s="134" t="s">
        <v>5</v>
      </c>
      <c r="J62" s="134" t="s">
        <v>5</v>
      </c>
      <c r="K62" s="134" t="s">
        <v>5</v>
      </c>
      <c r="L62" s="6" t="str">
        <f>Tab_Def_Flows[[#This Row],[Flow_ID]]&amp;"_WC"</f>
        <v>F_23_23_WC</v>
      </c>
      <c r="M62" s="131"/>
      <c r="N62" s="13"/>
      <c r="O62" s="6" t="str">
        <f>Tab_Def_Flows[[#This Row],[Flow_ID]]&amp;"_DM"</f>
        <v>F_23_23_DM</v>
      </c>
      <c r="Q62" s="13"/>
      <c r="R62" s="6" t="str">
        <f>Tab_Def_Flows[[#This Row],[Flow_ID]]&amp;"_CC"</f>
        <v>F_23_23_CC</v>
      </c>
      <c r="S62" s="131"/>
      <c r="T62" s="13"/>
      <c r="U62" s="135">
        <f>Tab_Def_Flows[[#This Row],[Flow_CC_DM'[%']]]*Tab_Def_Flows[[#This Row],[Flow_DM'[%']]]</f>
        <v>0</v>
      </c>
      <c r="V62" s="7"/>
    </row>
    <row r="63" spans="1:22" x14ac:dyDescent="0.25">
      <c r="A63" s="138" t="b">
        <v>0</v>
      </c>
      <c r="B63" s="16">
        <f t="shared" si="0"/>
        <v>62</v>
      </c>
      <c r="C63" s="6" t="str">
        <f t="shared" si="1"/>
        <v>F_23_23</v>
      </c>
      <c r="D63" s="186"/>
      <c r="E63" s="134"/>
      <c r="F63" s="6" t="str">
        <f>_xlfn.XLOOKUP(E63,Tab_Def_Processes[Process_Name],Tab_Def_Processes[Process_ID],,0,)</f>
        <v>23</v>
      </c>
      <c r="G63" s="134"/>
      <c r="H63" s="9" t="str">
        <f>_xlfn.XLOOKUP(G63,Tab_Def_Processes[Process_Name],Tab_Def_Processes[Process_ID],,0,)</f>
        <v>23</v>
      </c>
      <c r="I63" s="134" t="s">
        <v>5</v>
      </c>
      <c r="J63" s="134" t="s">
        <v>5</v>
      </c>
      <c r="K63" s="134" t="s">
        <v>5</v>
      </c>
      <c r="L63" s="6" t="str">
        <f>Tab_Def_Flows[[#This Row],[Flow_ID]]&amp;"_WC"</f>
        <v>F_23_23_WC</v>
      </c>
      <c r="M63" s="131"/>
      <c r="N63" s="13"/>
      <c r="O63" s="6" t="str">
        <f>Tab_Def_Flows[[#This Row],[Flow_ID]]&amp;"_DM"</f>
        <v>F_23_23_DM</v>
      </c>
      <c r="Q63" s="13"/>
      <c r="R63" s="6" t="str">
        <f>Tab_Def_Flows[[#This Row],[Flow_ID]]&amp;"_CC"</f>
        <v>F_23_23_CC</v>
      </c>
      <c r="S63" s="131"/>
      <c r="T63" s="13"/>
      <c r="U63" s="135">
        <f>Tab_Def_Flows[[#This Row],[Flow_CC_DM'[%']]]*Tab_Def_Flows[[#This Row],[Flow_DM'[%']]]</f>
        <v>0</v>
      </c>
      <c r="V63" s="7"/>
    </row>
    <row r="64" spans="1:22" x14ac:dyDescent="0.25">
      <c r="A64" s="138" t="b">
        <v>0</v>
      </c>
      <c r="B64" s="16">
        <f t="shared" si="0"/>
        <v>63</v>
      </c>
      <c r="C64" s="6" t="str">
        <f t="shared" si="1"/>
        <v>F_23_23</v>
      </c>
      <c r="D64" s="186"/>
      <c r="E64" s="134"/>
      <c r="F64" s="6" t="str">
        <f>_xlfn.XLOOKUP(E64,Tab_Def_Processes[Process_Name],Tab_Def_Processes[Process_ID],,0,)</f>
        <v>23</v>
      </c>
      <c r="G64" s="134"/>
      <c r="H64" s="9" t="str">
        <f>_xlfn.XLOOKUP(G64,Tab_Def_Processes[Process_Name],Tab_Def_Processes[Process_ID],,0,)</f>
        <v>23</v>
      </c>
      <c r="I64" s="134" t="s">
        <v>5</v>
      </c>
      <c r="J64" s="134" t="s">
        <v>5</v>
      </c>
      <c r="K64" s="134" t="s">
        <v>5</v>
      </c>
      <c r="L64" s="6" t="str">
        <f>Tab_Def_Flows[[#This Row],[Flow_ID]]&amp;"_WC"</f>
        <v>F_23_23_WC</v>
      </c>
      <c r="M64" s="131"/>
      <c r="N64" s="13"/>
      <c r="O64" s="6" t="str">
        <f>Tab_Def_Flows[[#This Row],[Flow_ID]]&amp;"_DM"</f>
        <v>F_23_23_DM</v>
      </c>
      <c r="Q64" s="13"/>
      <c r="R64" s="6" t="str">
        <f>Tab_Def_Flows[[#This Row],[Flow_ID]]&amp;"_CC"</f>
        <v>F_23_23_CC</v>
      </c>
      <c r="S64" s="131"/>
      <c r="T64" s="13"/>
      <c r="U64" s="135">
        <f>Tab_Def_Flows[[#This Row],[Flow_CC_DM'[%']]]*Tab_Def_Flows[[#This Row],[Flow_DM'[%']]]</f>
        <v>0</v>
      </c>
      <c r="V64" s="7"/>
    </row>
    <row r="65" spans="1:22" x14ac:dyDescent="0.25">
      <c r="A65" s="138" t="b">
        <v>0</v>
      </c>
      <c r="B65" s="16">
        <f t="shared" si="0"/>
        <v>64</v>
      </c>
      <c r="C65" s="6" t="str">
        <f t="shared" si="1"/>
        <v>F_23_23</v>
      </c>
      <c r="D65" s="186"/>
      <c r="E65" s="134"/>
      <c r="F65" s="6" t="str">
        <f>_xlfn.XLOOKUP(E65,Tab_Def_Processes[Process_Name],Tab_Def_Processes[Process_ID],,0,)</f>
        <v>23</v>
      </c>
      <c r="G65" s="134"/>
      <c r="H65" s="9" t="str">
        <f>_xlfn.XLOOKUP(G65,Tab_Def_Processes[Process_Name],Tab_Def_Processes[Process_ID],,0,)</f>
        <v>23</v>
      </c>
      <c r="I65" s="134" t="s">
        <v>5</v>
      </c>
      <c r="J65" s="134" t="s">
        <v>5</v>
      </c>
      <c r="K65" s="134" t="s">
        <v>5</v>
      </c>
      <c r="L65" s="6" t="str">
        <f>Tab_Def_Flows[[#This Row],[Flow_ID]]&amp;"_WC"</f>
        <v>F_23_23_WC</v>
      </c>
      <c r="M65" s="131"/>
      <c r="N65" s="13"/>
      <c r="O65" s="6" t="str">
        <f>Tab_Def_Flows[[#This Row],[Flow_ID]]&amp;"_DM"</f>
        <v>F_23_23_DM</v>
      </c>
      <c r="Q65" s="13"/>
      <c r="R65" s="6" t="str">
        <f>Tab_Def_Flows[[#This Row],[Flow_ID]]&amp;"_CC"</f>
        <v>F_23_23_CC</v>
      </c>
      <c r="S65" s="131"/>
      <c r="T65" s="13"/>
      <c r="U65" s="135">
        <f>Tab_Def_Flows[[#This Row],[Flow_CC_DM'[%']]]*Tab_Def_Flows[[#This Row],[Flow_DM'[%']]]</f>
        <v>0</v>
      </c>
      <c r="V65" s="7"/>
    </row>
    <row r="66" spans="1:22" x14ac:dyDescent="0.25">
      <c r="A66" s="138" t="b">
        <v>0</v>
      </c>
      <c r="B66" s="16">
        <f t="shared" si="0"/>
        <v>65</v>
      </c>
      <c r="C66" s="6" t="str">
        <f t="shared" si="1"/>
        <v>F_23_23</v>
      </c>
      <c r="D66" s="186"/>
      <c r="E66" s="134"/>
      <c r="F66" s="6" t="str">
        <f>_xlfn.XLOOKUP(E66,Tab_Def_Processes[Process_Name],Tab_Def_Processes[Process_ID],,0,)</f>
        <v>23</v>
      </c>
      <c r="G66" s="134"/>
      <c r="H66" s="9" t="str">
        <f>_xlfn.XLOOKUP(G66,Tab_Def_Processes[Process_Name],Tab_Def_Processes[Process_ID],,0,)</f>
        <v>23</v>
      </c>
      <c r="I66" s="134" t="s">
        <v>5</v>
      </c>
      <c r="J66" s="134" t="s">
        <v>5</v>
      </c>
      <c r="K66" s="134" t="s">
        <v>5</v>
      </c>
      <c r="L66" s="6" t="str">
        <f>Tab_Def_Flows[[#This Row],[Flow_ID]]&amp;"_WC"</f>
        <v>F_23_23_WC</v>
      </c>
      <c r="M66" s="131"/>
      <c r="N66" s="13"/>
      <c r="O66" s="6" t="str">
        <f>Tab_Def_Flows[[#This Row],[Flow_ID]]&amp;"_DM"</f>
        <v>F_23_23_DM</v>
      </c>
      <c r="Q66" s="13"/>
      <c r="R66" s="6" t="str">
        <f>Tab_Def_Flows[[#This Row],[Flow_ID]]&amp;"_CC"</f>
        <v>F_23_23_CC</v>
      </c>
      <c r="S66" s="131"/>
      <c r="T66" s="13"/>
      <c r="U66" s="135">
        <f>Tab_Def_Flows[[#This Row],[Flow_CC_DM'[%']]]*Tab_Def_Flows[[#This Row],[Flow_DM'[%']]]</f>
        <v>0</v>
      </c>
      <c r="V66" s="7"/>
    </row>
    <row r="67" spans="1:22" x14ac:dyDescent="0.25">
      <c r="A67" s="138" t="b">
        <v>0</v>
      </c>
      <c r="B67" s="16">
        <f t="shared" si="0"/>
        <v>66</v>
      </c>
      <c r="C67" s="6" t="str">
        <f t="shared" si="1"/>
        <v>F_23_23</v>
      </c>
      <c r="D67" s="186"/>
      <c r="E67" s="134"/>
      <c r="F67" s="6" t="str">
        <f>_xlfn.XLOOKUP(E67,Tab_Def_Processes[Process_Name],Tab_Def_Processes[Process_ID],,0,)</f>
        <v>23</v>
      </c>
      <c r="G67" s="134"/>
      <c r="H67" s="9" t="str">
        <f>_xlfn.XLOOKUP(G67,Tab_Def_Processes[Process_Name],Tab_Def_Processes[Process_ID],,0,)</f>
        <v>23</v>
      </c>
      <c r="I67" s="134" t="s">
        <v>5</v>
      </c>
      <c r="J67" s="134" t="s">
        <v>5</v>
      </c>
      <c r="K67" s="134" t="s">
        <v>5</v>
      </c>
      <c r="L67" s="6" t="str">
        <f>Tab_Def_Flows[[#This Row],[Flow_ID]]&amp;"_WC"</f>
        <v>F_23_23_WC</v>
      </c>
      <c r="M67" s="131"/>
      <c r="N67" s="13"/>
      <c r="O67" s="6" t="str">
        <f>Tab_Def_Flows[[#This Row],[Flow_ID]]&amp;"_DM"</f>
        <v>F_23_23_DM</v>
      </c>
      <c r="Q67" s="13"/>
      <c r="R67" s="6" t="str">
        <f>Tab_Def_Flows[[#This Row],[Flow_ID]]&amp;"_CC"</f>
        <v>F_23_23_CC</v>
      </c>
      <c r="S67" s="131"/>
      <c r="T67" s="13"/>
      <c r="U67" s="135">
        <f>Tab_Def_Flows[[#This Row],[Flow_CC_DM'[%']]]*Tab_Def_Flows[[#This Row],[Flow_DM'[%']]]</f>
        <v>0</v>
      </c>
      <c r="V67" s="7"/>
    </row>
    <row r="68" spans="1:22" x14ac:dyDescent="0.25">
      <c r="A68" s="138" t="b">
        <v>0</v>
      </c>
      <c r="B68" s="16">
        <f t="shared" si="0"/>
        <v>67</v>
      </c>
      <c r="C68" s="6" t="str">
        <f t="shared" si="1"/>
        <v>F_23_23</v>
      </c>
      <c r="D68" s="186"/>
      <c r="E68" s="134"/>
      <c r="F68" s="6" t="str">
        <f>_xlfn.XLOOKUP(E68,Tab_Def_Processes[Process_Name],Tab_Def_Processes[Process_ID],,0,)</f>
        <v>23</v>
      </c>
      <c r="G68" s="134"/>
      <c r="H68" s="9" t="str">
        <f>_xlfn.XLOOKUP(G68,Tab_Def_Processes[Process_Name],Tab_Def_Processes[Process_ID],,0,)</f>
        <v>23</v>
      </c>
      <c r="I68" s="134" t="s">
        <v>5</v>
      </c>
      <c r="J68" s="134" t="s">
        <v>5</v>
      </c>
      <c r="K68" s="134" t="s">
        <v>5</v>
      </c>
      <c r="L68" s="6" t="str">
        <f>Tab_Def_Flows[[#This Row],[Flow_ID]]&amp;"_WC"</f>
        <v>F_23_23_WC</v>
      </c>
      <c r="M68" s="131"/>
      <c r="N68" s="13"/>
      <c r="O68" s="6" t="str">
        <f>Tab_Def_Flows[[#This Row],[Flow_ID]]&amp;"_DM"</f>
        <v>F_23_23_DM</v>
      </c>
      <c r="Q68" s="13"/>
      <c r="R68" s="6" t="str">
        <f>Tab_Def_Flows[[#This Row],[Flow_ID]]&amp;"_CC"</f>
        <v>F_23_23_CC</v>
      </c>
      <c r="S68" s="131"/>
      <c r="T68" s="13"/>
      <c r="U68" s="135">
        <f>Tab_Def_Flows[[#This Row],[Flow_CC_DM'[%']]]*Tab_Def_Flows[[#This Row],[Flow_DM'[%']]]</f>
        <v>0</v>
      </c>
      <c r="V68" s="7"/>
    </row>
    <row r="69" spans="1:22" x14ac:dyDescent="0.25">
      <c r="A69" s="138" t="b">
        <v>0</v>
      </c>
      <c r="B69" s="16">
        <f t="shared" si="0"/>
        <v>68</v>
      </c>
      <c r="C69" s="6" t="str">
        <f t="shared" si="1"/>
        <v>F_23_23</v>
      </c>
      <c r="D69" s="186"/>
      <c r="E69" s="134"/>
      <c r="F69" s="6" t="str">
        <f>_xlfn.XLOOKUP(E69,Tab_Def_Processes[Process_Name],Tab_Def_Processes[Process_ID],,0,)</f>
        <v>23</v>
      </c>
      <c r="G69" s="134"/>
      <c r="H69" s="9" t="str">
        <f>_xlfn.XLOOKUP(G69,Tab_Def_Processes[Process_Name],Tab_Def_Processes[Process_ID],,0,)</f>
        <v>23</v>
      </c>
      <c r="I69" s="134" t="s">
        <v>5</v>
      </c>
      <c r="J69" s="134" t="s">
        <v>5</v>
      </c>
      <c r="K69" s="134" t="s">
        <v>5</v>
      </c>
      <c r="L69" s="6" t="str">
        <f>Tab_Def_Flows[[#This Row],[Flow_ID]]&amp;"_WC"</f>
        <v>F_23_23_WC</v>
      </c>
      <c r="M69" s="131"/>
      <c r="N69" s="13"/>
      <c r="O69" s="6" t="str">
        <f>Tab_Def_Flows[[#This Row],[Flow_ID]]&amp;"_DM"</f>
        <v>F_23_23_DM</v>
      </c>
      <c r="Q69" s="13"/>
      <c r="R69" s="6" t="str">
        <f>Tab_Def_Flows[[#This Row],[Flow_ID]]&amp;"_CC"</f>
        <v>F_23_23_CC</v>
      </c>
      <c r="S69" s="131"/>
      <c r="T69" s="13"/>
      <c r="U69" s="135">
        <f>Tab_Def_Flows[[#This Row],[Flow_CC_DM'[%']]]*Tab_Def_Flows[[#This Row],[Flow_DM'[%']]]</f>
        <v>0</v>
      </c>
      <c r="V69" s="7"/>
    </row>
    <row r="70" spans="1:22" ht="15" customHeight="1" x14ac:dyDescent="0.25">
      <c r="A70" s="138" t="b">
        <v>0</v>
      </c>
      <c r="B70" s="16">
        <f t="shared" si="0"/>
        <v>69</v>
      </c>
      <c r="C70" s="6" t="str">
        <f t="shared" si="1"/>
        <v>F_23_23</v>
      </c>
      <c r="D70" s="186"/>
      <c r="E70" s="134"/>
      <c r="F70" s="6" t="str">
        <f>_xlfn.XLOOKUP(E70,Tab_Def_Processes[Process_Name],Tab_Def_Processes[Process_ID],,0,)</f>
        <v>23</v>
      </c>
      <c r="G70" s="134"/>
      <c r="H70" s="9" t="str">
        <f>_xlfn.XLOOKUP(G70,Tab_Def_Processes[Process_Name],Tab_Def_Processes[Process_ID],,0,)</f>
        <v>23</v>
      </c>
      <c r="I70" s="134" t="s">
        <v>5</v>
      </c>
      <c r="J70" s="134" t="s">
        <v>5</v>
      </c>
      <c r="K70" s="134" t="s">
        <v>5</v>
      </c>
      <c r="L70" s="6" t="str">
        <f>Tab_Def_Flows[[#This Row],[Flow_ID]]&amp;"_WC"</f>
        <v>F_23_23_WC</v>
      </c>
      <c r="M70" s="131"/>
      <c r="N70" s="13"/>
      <c r="O70" s="6" t="str">
        <f>Tab_Def_Flows[[#This Row],[Flow_ID]]&amp;"_DM"</f>
        <v>F_23_23_DM</v>
      </c>
      <c r="Q70" s="13"/>
      <c r="R70" s="6" t="str">
        <f>Tab_Def_Flows[[#This Row],[Flow_ID]]&amp;"_CC"</f>
        <v>F_23_23_CC</v>
      </c>
      <c r="S70" s="131"/>
      <c r="T70" s="13"/>
      <c r="U70" s="135">
        <f>Tab_Def_Flows[[#This Row],[Flow_CC_DM'[%']]]*Tab_Def_Flows[[#This Row],[Flow_DM'[%']]]</f>
        <v>0</v>
      </c>
      <c r="V70" s="7"/>
    </row>
    <row r="71" spans="1:22" ht="15" customHeight="1" x14ac:dyDescent="0.25">
      <c r="A71" s="138" t="b">
        <v>0</v>
      </c>
      <c r="B71" s="16">
        <f t="shared" si="0"/>
        <v>70</v>
      </c>
      <c r="C71" s="6" t="str">
        <f t="shared" si="1"/>
        <v>F_23_23</v>
      </c>
      <c r="D71" s="186"/>
      <c r="E71" s="134"/>
      <c r="F71" s="6" t="str">
        <f>_xlfn.XLOOKUP(E71,Tab_Def_Processes[Process_Name],Tab_Def_Processes[Process_ID],,0,)</f>
        <v>23</v>
      </c>
      <c r="G71" s="134"/>
      <c r="H71" s="9" t="str">
        <f>_xlfn.XLOOKUP(G71,Tab_Def_Processes[Process_Name],Tab_Def_Processes[Process_ID],,0,)</f>
        <v>23</v>
      </c>
      <c r="I71" s="134" t="s">
        <v>5</v>
      </c>
      <c r="J71" s="134" t="s">
        <v>5</v>
      </c>
      <c r="K71" s="134" t="s">
        <v>5</v>
      </c>
      <c r="L71" s="6" t="str">
        <f>Tab_Def_Flows[[#This Row],[Flow_ID]]&amp;"_WC"</f>
        <v>F_23_23_WC</v>
      </c>
      <c r="M71" s="131"/>
      <c r="N71" s="13"/>
      <c r="O71" s="6" t="str">
        <f>Tab_Def_Flows[[#This Row],[Flow_ID]]&amp;"_DM"</f>
        <v>F_23_23_DM</v>
      </c>
      <c r="Q71" s="13"/>
      <c r="R71" s="6" t="str">
        <f>Tab_Def_Flows[[#This Row],[Flow_ID]]&amp;"_CC"</f>
        <v>F_23_23_CC</v>
      </c>
      <c r="S71" s="131"/>
      <c r="T71" s="13"/>
      <c r="U71" s="135">
        <f>Tab_Def_Flows[[#This Row],[Flow_CC_DM'[%']]]*Tab_Def_Flows[[#This Row],[Flow_DM'[%']]]</f>
        <v>0</v>
      </c>
      <c r="V71" s="7"/>
    </row>
    <row r="72" spans="1:22" ht="15" customHeight="1" x14ac:dyDescent="0.25">
      <c r="A72" s="138" t="b">
        <v>0</v>
      </c>
      <c r="B72" s="16">
        <f t="shared" si="0"/>
        <v>71</v>
      </c>
      <c r="C72" s="6" t="str">
        <f t="shared" si="1"/>
        <v>F_23_23</v>
      </c>
      <c r="D72" s="186"/>
      <c r="E72" s="134"/>
      <c r="F72" s="6" t="str">
        <f>_xlfn.XLOOKUP(E72,Tab_Def_Processes[Process_Name],Tab_Def_Processes[Process_ID],,0,)</f>
        <v>23</v>
      </c>
      <c r="G72" s="134"/>
      <c r="H72" s="9" t="str">
        <f>_xlfn.XLOOKUP(G72,Tab_Def_Processes[Process_Name],Tab_Def_Processes[Process_ID],,0,)</f>
        <v>23</v>
      </c>
      <c r="I72" s="134" t="s">
        <v>5</v>
      </c>
      <c r="J72" s="134" t="s">
        <v>5</v>
      </c>
      <c r="K72" s="134" t="s">
        <v>5</v>
      </c>
      <c r="L72" s="6" t="str">
        <f>Tab_Def_Flows[[#This Row],[Flow_ID]]&amp;"_WC"</f>
        <v>F_23_23_WC</v>
      </c>
      <c r="M72" s="131"/>
      <c r="N72" s="13"/>
      <c r="O72" s="6" t="str">
        <f>Tab_Def_Flows[[#This Row],[Flow_ID]]&amp;"_DM"</f>
        <v>F_23_23_DM</v>
      </c>
      <c r="Q72" s="13"/>
      <c r="R72" s="6" t="str">
        <f>Tab_Def_Flows[[#This Row],[Flow_ID]]&amp;"_CC"</f>
        <v>F_23_23_CC</v>
      </c>
      <c r="S72" s="131"/>
      <c r="T72" s="13"/>
      <c r="U72" s="135">
        <f>Tab_Def_Flows[[#This Row],[Flow_CC_DM'[%']]]*Tab_Def_Flows[[#This Row],[Flow_DM'[%']]]</f>
        <v>0</v>
      </c>
      <c r="V72" s="7"/>
    </row>
    <row r="73" spans="1:22" ht="15" customHeight="1" x14ac:dyDescent="0.25">
      <c r="A73" s="138" t="b">
        <v>0</v>
      </c>
      <c r="B73" s="16">
        <f t="shared" si="0"/>
        <v>72</v>
      </c>
      <c r="C73" s="6" t="str">
        <f t="shared" si="1"/>
        <v>F_23_23</v>
      </c>
      <c r="D73" s="186"/>
      <c r="E73" s="134"/>
      <c r="F73" s="6" t="str">
        <f>_xlfn.XLOOKUP(E73,Tab_Def_Processes[Process_Name],Tab_Def_Processes[Process_ID],,0,)</f>
        <v>23</v>
      </c>
      <c r="G73" s="134"/>
      <c r="H73" s="9" t="str">
        <f>_xlfn.XLOOKUP(G73,Tab_Def_Processes[Process_Name],Tab_Def_Processes[Process_ID],,0,)</f>
        <v>23</v>
      </c>
      <c r="I73" s="134" t="s">
        <v>5</v>
      </c>
      <c r="J73" s="134" t="s">
        <v>5</v>
      </c>
      <c r="K73" s="134" t="s">
        <v>5</v>
      </c>
      <c r="L73" s="6" t="str">
        <f>Tab_Def_Flows[[#This Row],[Flow_ID]]&amp;"_WC"</f>
        <v>F_23_23_WC</v>
      </c>
      <c r="M73" s="131"/>
      <c r="N73" s="13"/>
      <c r="O73" s="6" t="str">
        <f>Tab_Def_Flows[[#This Row],[Flow_ID]]&amp;"_DM"</f>
        <v>F_23_23_DM</v>
      </c>
      <c r="Q73" s="13"/>
      <c r="R73" s="6" t="str">
        <f>Tab_Def_Flows[[#This Row],[Flow_ID]]&amp;"_CC"</f>
        <v>F_23_23_CC</v>
      </c>
      <c r="S73" s="131"/>
      <c r="T73" s="13"/>
      <c r="U73" s="135">
        <f>Tab_Def_Flows[[#This Row],[Flow_CC_DM'[%']]]*Tab_Def_Flows[[#This Row],[Flow_DM'[%']]]</f>
        <v>0</v>
      </c>
      <c r="V73" s="7"/>
    </row>
    <row r="74" spans="1:22" ht="15" customHeight="1" x14ac:dyDescent="0.25">
      <c r="A74" s="138" t="b">
        <v>0</v>
      </c>
      <c r="B74" s="16">
        <f t="shared" si="0"/>
        <v>73</v>
      </c>
      <c r="C74" s="6" t="str">
        <f t="shared" si="1"/>
        <v>F_23_23</v>
      </c>
      <c r="D74" s="186"/>
      <c r="E74" s="134"/>
      <c r="F74" s="6" t="str">
        <f>_xlfn.XLOOKUP(E74,Tab_Def_Processes[Process_Name],Tab_Def_Processes[Process_ID],,0,)</f>
        <v>23</v>
      </c>
      <c r="G74" s="134"/>
      <c r="H74" s="9" t="str">
        <f>_xlfn.XLOOKUP(G74,Tab_Def_Processes[Process_Name],Tab_Def_Processes[Process_ID],,0,)</f>
        <v>23</v>
      </c>
      <c r="I74" s="134" t="s">
        <v>5</v>
      </c>
      <c r="J74" s="134" t="s">
        <v>5</v>
      </c>
      <c r="K74" s="134" t="s">
        <v>5</v>
      </c>
      <c r="L74" s="6" t="str">
        <f>Tab_Def_Flows[[#This Row],[Flow_ID]]&amp;"_WC"</f>
        <v>F_23_23_WC</v>
      </c>
      <c r="M74" s="131"/>
      <c r="N74" s="13"/>
      <c r="O74" s="6" t="str">
        <f>Tab_Def_Flows[[#This Row],[Flow_ID]]&amp;"_DM"</f>
        <v>F_23_23_DM</v>
      </c>
      <c r="Q74" s="13"/>
      <c r="R74" s="6" t="str">
        <f>Tab_Def_Flows[[#This Row],[Flow_ID]]&amp;"_CC"</f>
        <v>F_23_23_CC</v>
      </c>
      <c r="S74" s="131"/>
      <c r="T74" s="13"/>
      <c r="U74" s="135">
        <f>Tab_Def_Flows[[#This Row],[Flow_CC_DM'[%']]]*Tab_Def_Flows[[#This Row],[Flow_DM'[%']]]</f>
        <v>0</v>
      </c>
      <c r="V74" s="7"/>
    </row>
    <row r="75" spans="1:22" ht="15" customHeight="1" x14ac:dyDescent="0.25">
      <c r="A75" s="138" t="b">
        <v>0</v>
      </c>
      <c r="B75" s="16">
        <f t="shared" si="0"/>
        <v>74</v>
      </c>
      <c r="C75" s="6" t="str">
        <f t="shared" si="1"/>
        <v>F_23_23</v>
      </c>
      <c r="D75" s="7"/>
      <c r="E75" s="134"/>
      <c r="F75" s="6" t="str">
        <f>_xlfn.XLOOKUP(E75,Tab_Def_Processes[Process_Name],Tab_Def_Processes[Process_ID],,0,)</f>
        <v>23</v>
      </c>
      <c r="G75" s="134"/>
      <c r="H75" s="9" t="str">
        <f>_xlfn.XLOOKUP(G75,Tab_Def_Processes[Process_Name],Tab_Def_Processes[Process_ID],,0,)</f>
        <v>23</v>
      </c>
      <c r="I75" s="134" t="s">
        <v>5</v>
      </c>
      <c r="J75" s="134" t="s">
        <v>5</v>
      </c>
      <c r="K75" s="134" t="s">
        <v>5</v>
      </c>
      <c r="L75" s="6" t="str">
        <f>Tab_Def_Flows[[#This Row],[Flow_ID]]&amp;"_WC"</f>
        <v>F_23_23_WC</v>
      </c>
      <c r="M75" s="131"/>
      <c r="N75" s="13"/>
      <c r="O75" s="6" t="str">
        <f>Tab_Def_Flows[[#This Row],[Flow_ID]]&amp;"_DM"</f>
        <v>F_23_23_DM</v>
      </c>
      <c r="Q75" s="13"/>
      <c r="R75" s="6" t="str">
        <f>Tab_Def_Flows[[#This Row],[Flow_ID]]&amp;"_CC"</f>
        <v>F_23_23_CC</v>
      </c>
      <c r="S75" s="131"/>
      <c r="T75" s="13"/>
      <c r="U75" s="135">
        <f>Tab_Def_Flows[[#This Row],[Flow_CC_DM'[%']]]*Tab_Def_Flows[[#This Row],[Flow_DM'[%']]]</f>
        <v>0</v>
      </c>
      <c r="V75" s="7"/>
    </row>
    <row r="76" spans="1:22" ht="15" customHeight="1" x14ac:dyDescent="0.25">
      <c r="A76" s="138" t="b">
        <v>0</v>
      </c>
      <c r="B76" s="16">
        <f t="shared" si="0"/>
        <v>75</v>
      </c>
      <c r="C76" s="6" t="str">
        <f t="shared" si="1"/>
        <v>F_23_23</v>
      </c>
      <c r="D76" s="7"/>
      <c r="E76" s="134"/>
      <c r="F76" s="6" t="str">
        <f>_xlfn.XLOOKUP(E76,Tab_Def_Processes[Process_Name],Tab_Def_Processes[Process_ID],,0,)</f>
        <v>23</v>
      </c>
      <c r="G76" s="134"/>
      <c r="H76" s="9" t="str">
        <f>_xlfn.XLOOKUP(G76,Tab_Def_Processes[Process_Name],Tab_Def_Processes[Process_ID],,0,)</f>
        <v>23</v>
      </c>
      <c r="I76" s="134" t="s">
        <v>5</v>
      </c>
      <c r="J76" s="134" t="s">
        <v>5</v>
      </c>
      <c r="K76" s="134" t="s">
        <v>5</v>
      </c>
      <c r="L76" s="6" t="str">
        <f>Tab_Def_Flows[[#This Row],[Flow_ID]]&amp;"_WC"</f>
        <v>F_23_23_WC</v>
      </c>
      <c r="M76" s="131"/>
      <c r="N76" s="13"/>
      <c r="O76" s="6" t="str">
        <f>Tab_Def_Flows[[#This Row],[Flow_ID]]&amp;"_DM"</f>
        <v>F_23_23_DM</v>
      </c>
      <c r="Q76" s="13"/>
      <c r="R76" s="6" t="str">
        <f>Tab_Def_Flows[[#This Row],[Flow_ID]]&amp;"_CC"</f>
        <v>F_23_23_CC</v>
      </c>
      <c r="S76" s="131"/>
      <c r="T76" s="13"/>
      <c r="U76" s="135">
        <f>Tab_Def_Flows[[#This Row],[Flow_CC_DM'[%']]]*Tab_Def_Flows[[#This Row],[Flow_DM'[%']]]</f>
        <v>0</v>
      </c>
      <c r="V76" s="7"/>
    </row>
    <row r="77" spans="1:22" ht="15" customHeight="1" x14ac:dyDescent="0.25">
      <c r="A77" s="138" t="b">
        <v>0</v>
      </c>
      <c r="B77" s="16">
        <f t="shared" si="0"/>
        <v>76</v>
      </c>
      <c r="C77" s="6" t="str">
        <f t="shared" si="1"/>
        <v>F_23_23</v>
      </c>
      <c r="D77" s="7"/>
      <c r="E77" s="134"/>
      <c r="F77" s="6" t="str">
        <f>_xlfn.XLOOKUP(E77,Tab_Def_Processes[Process_Name],Tab_Def_Processes[Process_ID],,0,)</f>
        <v>23</v>
      </c>
      <c r="G77" s="134"/>
      <c r="H77" s="9" t="str">
        <f>_xlfn.XLOOKUP(G77,Tab_Def_Processes[Process_Name],Tab_Def_Processes[Process_ID],,0,)</f>
        <v>23</v>
      </c>
      <c r="I77" s="134" t="s">
        <v>5</v>
      </c>
      <c r="J77" s="134" t="s">
        <v>5</v>
      </c>
      <c r="K77" s="134" t="s">
        <v>5</v>
      </c>
      <c r="L77" s="6" t="str">
        <f>Tab_Def_Flows[[#This Row],[Flow_ID]]&amp;"_WC"</f>
        <v>F_23_23_WC</v>
      </c>
      <c r="M77" s="131"/>
      <c r="N77" s="13"/>
      <c r="O77" s="6" t="str">
        <f>Tab_Def_Flows[[#This Row],[Flow_ID]]&amp;"_DM"</f>
        <v>F_23_23_DM</v>
      </c>
      <c r="Q77" s="13"/>
      <c r="R77" s="6" t="str">
        <f>Tab_Def_Flows[[#This Row],[Flow_ID]]&amp;"_CC"</f>
        <v>F_23_23_CC</v>
      </c>
      <c r="S77" s="131"/>
      <c r="T77" s="13"/>
      <c r="U77" s="135">
        <f>Tab_Def_Flows[[#This Row],[Flow_CC_DM'[%']]]*Tab_Def_Flows[[#This Row],[Flow_DM'[%']]]</f>
        <v>0</v>
      </c>
      <c r="V77" s="7"/>
    </row>
    <row r="78" spans="1:22" x14ac:dyDescent="0.25">
      <c r="A78" s="138" t="b">
        <v>0</v>
      </c>
      <c r="B78" s="16">
        <f t="shared" ref="B78:B95" si="22">ROW()-1</f>
        <v>77</v>
      </c>
      <c r="C78" s="6" t="str">
        <f t="shared" si="1"/>
        <v>F_23_23</v>
      </c>
      <c r="D78" s="7"/>
      <c r="E78" s="134"/>
      <c r="F78" s="6" t="str">
        <f>_xlfn.XLOOKUP(E78,Tab_Def_Processes[Process_Name],Tab_Def_Processes[Process_ID],,0,)</f>
        <v>23</v>
      </c>
      <c r="G78" s="134"/>
      <c r="H78" s="9" t="str">
        <f>_xlfn.XLOOKUP(G78,Tab_Def_Processes[Process_Name],Tab_Def_Processes[Process_ID],,0,)</f>
        <v>23</v>
      </c>
      <c r="I78" s="134" t="s">
        <v>5</v>
      </c>
      <c r="J78" s="134" t="s">
        <v>5</v>
      </c>
      <c r="K78" s="134" t="s">
        <v>5</v>
      </c>
      <c r="L78" s="6" t="str">
        <f>Tab_Def_Flows[[#This Row],[Flow_ID]]&amp;"_WC"</f>
        <v>F_23_23_WC</v>
      </c>
      <c r="M78" s="131"/>
      <c r="N78" s="13"/>
      <c r="O78" s="6" t="str">
        <f>Tab_Def_Flows[[#This Row],[Flow_ID]]&amp;"_DM"</f>
        <v>F_23_23_DM</v>
      </c>
      <c r="Q78" s="13"/>
      <c r="R78" s="6" t="str">
        <f>Tab_Def_Flows[[#This Row],[Flow_ID]]&amp;"_CC"</f>
        <v>F_23_23_CC</v>
      </c>
      <c r="S78" s="131"/>
      <c r="T78" s="13"/>
      <c r="U78" s="135">
        <f>Tab_Def_Flows[[#This Row],[Flow_CC_DM'[%']]]*Tab_Def_Flows[[#This Row],[Flow_DM'[%']]]</f>
        <v>0</v>
      </c>
      <c r="V78" s="7"/>
    </row>
    <row r="79" spans="1:22" x14ac:dyDescent="0.25">
      <c r="A79" s="138" t="b">
        <v>0</v>
      </c>
      <c r="B79" s="16">
        <f t="shared" si="22"/>
        <v>78</v>
      </c>
      <c r="C79" s="6" t="str">
        <f t="shared" si="1"/>
        <v>F_23_23</v>
      </c>
      <c r="D79" s="7"/>
      <c r="E79" s="134"/>
      <c r="F79" s="6" t="str">
        <f>_xlfn.XLOOKUP(E79,Tab_Def_Processes[Process_Name],Tab_Def_Processes[Process_ID],,0,)</f>
        <v>23</v>
      </c>
      <c r="G79" s="134"/>
      <c r="H79" s="9" t="str">
        <f>_xlfn.XLOOKUP(G79,Tab_Def_Processes[Process_Name],Tab_Def_Processes[Process_ID],,0,)</f>
        <v>23</v>
      </c>
      <c r="I79" s="134" t="s">
        <v>5</v>
      </c>
      <c r="J79" s="134" t="s">
        <v>5</v>
      </c>
      <c r="K79" s="134" t="s">
        <v>5</v>
      </c>
      <c r="L79" s="6" t="str">
        <f>Tab_Def_Flows[[#This Row],[Flow_ID]]&amp;"_WC"</f>
        <v>F_23_23_WC</v>
      </c>
      <c r="M79" s="131"/>
      <c r="N79" s="13"/>
      <c r="O79" s="6" t="str">
        <f>Tab_Def_Flows[[#This Row],[Flow_ID]]&amp;"_DM"</f>
        <v>F_23_23_DM</v>
      </c>
      <c r="Q79" s="13"/>
      <c r="R79" s="6" t="str">
        <f>Tab_Def_Flows[[#This Row],[Flow_ID]]&amp;"_CC"</f>
        <v>F_23_23_CC</v>
      </c>
      <c r="S79" s="131"/>
      <c r="T79" s="13"/>
      <c r="U79" s="135">
        <f>Tab_Def_Flows[[#This Row],[Flow_CC_DM'[%']]]*Tab_Def_Flows[[#This Row],[Flow_DM'[%']]]</f>
        <v>0</v>
      </c>
      <c r="V79" s="7"/>
    </row>
    <row r="80" spans="1:22" x14ac:dyDescent="0.25">
      <c r="A80" s="138" t="b">
        <v>0</v>
      </c>
      <c r="B80" s="16">
        <f t="shared" si="22"/>
        <v>79</v>
      </c>
      <c r="C80" s="6" t="str">
        <f t="shared" si="1"/>
        <v>F_23_23</v>
      </c>
      <c r="D80" s="7"/>
      <c r="E80" s="134"/>
      <c r="F80" s="6" t="str">
        <f>_xlfn.XLOOKUP(E80,Tab_Def_Processes[Process_Name],Tab_Def_Processes[Process_ID],,0,)</f>
        <v>23</v>
      </c>
      <c r="G80" s="134"/>
      <c r="H80" s="9" t="str">
        <f>_xlfn.XLOOKUP(G80,Tab_Def_Processes[Process_Name],Tab_Def_Processes[Process_ID],,0,)</f>
        <v>23</v>
      </c>
      <c r="I80" s="134" t="s">
        <v>5</v>
      </c>
      <c r="J80" s="134" t="s">
        <v>5</v>
      </c>
      <c r="K80" s="134" t="s">
        <v>5</v>
      </c>
      <c r="L80" s="6" t="str">
        <f>Tab_Def_Flows[[#This Row],[Flow_ID]]&amp;"_WC"</f>
        <v>F_23_23_WC</v>
      </c>
      <c r="M80" s="131"/>
      <c r="N80" s="13"/>
      <c r="O80" s="6" t="str">
        <f>Tab_Def_Flows[[#This Row],[Flow_ID]]&amp;"_DM"</f>
        <v>F_23_23_DM</v>
      </c>
      <c r="Q80" s="13"/>
      <c r="R80" s="6" t="str">
        <f>Tab_Def_Flows[[#This Row],[Flow_ID]]&amp;"_CC"</f>
        <v>F_23_23_CC</v>
      </c>
      <c r="S80" s="131"/>
      <c r="T80" s="13"/>
      <c r="U80" s="135">
        <f>Tab_Def_Flows[[#This Row],[Flow_CC_DM'[%']]]*Tab_Def_Flows[[#This Row],[Flow_DM'[%']]]</f>
        <v>0</v>
      </c>
      <c r="V80" s="7"/>
    </row>
    <row r="81" spans="1:22" x14ac:dyDescent="0.25">
      <c r="A81" s="138" t="b">
        <v>0</v>
      </c>
      <c r="B81" s="16">
        <f t="shared" si="22"/>
        <v>80</v>
      </c>
      <c r="C81" s="6" t="str">
        <f t="shared" si="1"/>
        <v>F_23_23</v>
      </c>
      <c r="D81" s="7"/>
      <c r="E81" s="134"/>
      <c r="F81" s="6" t="str">
        <f>_xlfn.XLOOKUP(E81,Tab_Def_Processes[Process_Name],Tab_Def_Processes[Process_ID],,0,)</f>
        <v>23</v>
      </c>
      <c r="G81" s="134"/>
      <c r="H81" s="9" t="str">
        <f>_xlfn.XLOOKUP(G81,Tab_Def_Processes[Process_Name],Tab_Def_Processes[Process_ID],,0,)</f>
        <v>23</v>
      </c>
      <c r="I81" s="134" t="s">
        <v>5</v>
      </c>
      <c r="J81" s="134" t="s">
        <v>5</v>
      </c>
      <c r="K81" s="134" t="s">
        <v>5</v>
      </c>
      <c r="L81" s="6" t="str">
        <f>Tab_Def_Flows[[#This Row],[Flow_ID]]&amp;"_WC"</f>
        <v>F_23_23_WC</v>
      </c>
      <c r="M81" s="131"/>
      <c r="N81" s="13"/>
      <c r="O81" s="6" t="str">
        <f>Tab_Def_Flows[[#This Row],[Flow_ID]]&amp;"_DM"</f>
        <v>F_23_23_DM</v>
      </c>
      <c r="Q81" s="13"/>
      <c r="R81" s="6" t="str">
        <f>Tab_Def_Flows[[#This Row],[Flow_ID]]&amp;"_CC"</f>
        <v>F_23_23_CC</v>
      </c>
      <c r="S81" s="131"/>
      <c r="T81" s="13"/>
      <c r="U81" s="135">
        <f>Tab_Def_Flows[[#This Row],[Flow_CC_DM'[%']]]*Tab_Def_Flows[[#This Row],[Flow_DM'[%']]]</f>
        <v>0</v>
      </c>
      <c r="V81" s="7"/>
    </row>
    <row r="82" spans="1:22" x14ac:dyDescent="0.25">
      <c r="A82" s="138" t="b">
        <v>0</v>
      </c>
      <c r="B82" s="16">
        <f t="shared" si="22"/>
        <v>81</v>
      </c>
      <c r="C82" s="6" t="str">
        <f t="shared" si="1"/>
        <v>F_23_23</v>
      </c>
      <c r="D82" s="7"/>
      <c r="E82" s="134"/>
      <c r="F82" s="6" t="str">
        <f>_xlfn.XLOOKUP(E82,Tab_Def_Processes[Process_Name],Tab_Def_Processes[Process_ID],,0,)</f>
        <v>23</v>
      </c>
      <c r="G82" s="134"/>
      <c r="H82" s="9" t="str">
        <f>_xlfn.XLOOKUP(G82,Tab_Def_Processes[Process_Name],Tab_Def_Processes[Process_ID],,0,)</f>
        <v>23</v>
      </c>
      <c r="I82" s="134" t="s">
        <v>5</v>
      </c>
      <c r="J82" s="134" t="s">
        <v>5</v>
      </c>
      <c r="K82" s="134" t="s">
        <v>5</v>
      </c>
      <c r="L82" s="6" t="str">
        <f>Tab_Def_Flows[[#This Row],[Flow_ID]]&amp;"_WC"</f>
        <v>F_23_23_WC</v>
      </c>
      <c r="M82" s="131"/>
      <c r="N82" s="13"/>
      <c r="O82" s="6" t="str">
        <f>Tab_Def_Flows[[#This Row],[Flow_ID]]&amp;"_DM"</f>
        <v>F_23_23_DM</v>
      </c>
      <c r="Q82" s="13"/>
      <c r="R82" s="6" t="str">
        <f>Tab_Def_Flows[[#This Row],[Flow_ID]]&amp;"_CC"</f>
        <v>F_23_23_CC</v>
      </c>
      <c r="S82" s="131"/>
      <c r="T82" s="13"/>
      <c r="U82" s="135">
        <f>Tab_Def_Flows[[#This Row],[Flow_CC_DM'[%']]]*Tab_Def_Flows[[#This Row],[Flow_DM'[%']]]</f>
        <v>0</v>
      </c>
      <c r="V82" s="7"/>
    </row>
    <row r="83" spans="1:22" x14ac:dyDescent="0.25">
      <c r="A83" s="138" t="b">
        <v>0</v>
      </c>
      <c r="B83" s="16">
        <f t="shared" si="22"/>
        <v>82</v>
      </c>
      <c r="C83" s="6" t="str">
        <f t="shared" si="1"/>
        <v>F_23_23</v>
      </c>
      <c r="D83" s="186"/>
      <c r="E83" s="134"/>
      <c r="F83" s="6" t="str">
        <f>_xlfn.XLOOKUP(E83,Tab_Def_Processes[Process_Name],Tab_Def_Processes[Process_ID],,0,)</f>
        <v>23</v>
      </c>
      <c r="G83" s="134"/>
      <c r="H83" s="9" t="str">
        <f>_xlfn.XLOOKUP(G83,Tab_Def_Processes[Process_Name],Tab_Def_Processes[Process_ID],,0,)</f>
        <v>23</v>
      </c>
      <c r="I83" s="134" t="s">
        <v>5</v>
      </c>
      <c r="J83" s="134" t="s">
        <v>5</v>
      </c>
      <c r="K83" s="134" t="s">
        <v>5</v>
      </c>
      <c r="L83" s="6" t="str">
        <f>Tab_Def_Flows[[#This Row],[Flow_ID]]&amp;"_WC"</f>
        <v>F_23_23_WC</v>
      </c>
      <c r="M83" s="131"/>
      <c r="N83" s="13"/>
      <c r="O83" s="6" t="str">
        <f>Tab_Def_Flows[[#This Row],[Flow_ID]]&amp;"_DM"</f>
        <v>F_23_23_DM</v>
      </c>
      <c r="Q83" s="13"/>
      <c r="R83" s="6" t="str">
        <f>Tab_Def_Flows[[#This Row],[Flow_ID]]&amp;"_CC"</f>
        <v>F_23_23_CC</v>
      </c>
      <c r="S83" s="131"/>
      <c r="T83" s="13"/>
      <c r="U83" s="135">
        <f>Tab_Def_Flows[[#This Row],[Flow_CC_DM'[%']]]*Tab_Def_Flows[[#This Row],[Flow_DM'[%']]]</f>
        <v>0</v>
      </c>
      <c r="V83" s="7"/>
    </row>
    <row r="84" spans="1:22" x14ac:dyDescent="0.25">
      <c r="A84" s="138" t="b">
        <v>0</v>
      </c>
      <c r="B84" s="16">
        <f t="shared" si="22"/>
        <v>83</v>
      </c>
      <c r="C84" s="6" t="str">
        <f t="shared" si="1"/>
        <v>F_23_23</v>
      </c>
      <c r="D84" s="186"/>
      <c r="E84" s="134"/>
      <c r="F84" s="6" t="str">
        <f>_xlfn.XLOOKUP(E84,Tab_Def_Processes[Process_Name],Tab_Def_Processes[Process_ID],,0,)</f>
        <v>23</v>
      </c>
      <c r="G84" s="134"/>
      <c r="H84" s="9" t="str">
        <f>_xlfn.XLOOKUP(G84,Tab_Def_Processes[Process_Name],Tab_Def_Processes[Process_ID],,0,)</f>
        <v>23</v>
      </c>
      <c r="I84" s="134" t="s">
        <v>5</v>
      </c>
      <c r="J84" s="134" t="s">
        <v>5</v>
      </c>
      <c r="K84" s="134" t="s">
        <v>5</v>
      </c>
      <c r="L84" s="6" t="str">
        <f>Tab_Def_Flows[[#This Row],[Flow_ID]]&amp;"_WC"</f>
        <v>F_23_23_WC</v>
      </c>
      <c r="M84" s="131"/>
      <c r="N84" s="13"/>
      <c r="O84" s="6" t="str">
        <f>Tab_Def_Flows[[#This Row],[Flow_ID]]&amp;"_DM"</f>
        <v>F_23_23_DM</v>
      </c>
      <c r="Q84" s="13"/>
      <c r="R84" s="6" t="str">
        <f>Tab_Def_Flows[[#This Row],[Flow_ID]]&amp;"_CC"</f>
        <v>F_23_23_CC</v>
      </c>
      <c r="S84" s="131"/>
      <c r="T84" s="13"/>
      <c r="U84" s="135">
        <f>Tab_Def_Flows[[#This Row],[Flow_CC_DM'[%']]]*Tab_Def_Flows[[#This Row],[Flow_DM'[%']]]</f>
        <v>0</v>
      </c>
      <c r="V84" s="7"/>
    </row>
    <row r="85" spans="1:22" x14ac:dyDescent="0.25">
      <c r="A85" s="138" t="b">
        <v>0</v>
      </c>
      <c r="B85" s="16">
        <f t="shared" si="22"/>
        <v>84</v>
      </c>
      <c r="C85" s="6" t="str">
        <f t="shared" si="1"/>
        <v>F_23_23</v>
      </c>
      <c r="D85" s="186"/>
      <c r="E85" s="134"/>
      <c r="F85" s="6" t="str">
        <f>_xlfn.XLOOKUP(E85,Tab_Def_Processes[Process_Name],Tab_Def_Processes[Process_ID],,0,)</f>
        <v>23</v>
      </c>
      <c r="G85" s="134"/>
      <c r="H85" s="9" t="str">
        <f>_xlfn.XLOOKUP(G85,Tab_Def_Processes[Process_Name],Tab_Def_Processes[Process_ID],,0,)</f>
        <v>23</v>
      </c>
      <c r="I85" s="134" t="s">
        <v>5</v>
      </c>
      <c r="J85" s="134" t="s">
        <v>5</v>
      </c>
      <c r="K85" s="134" t="s">
        <v>5</v>
      </c>
      <c r="L85" s="6" t="str">
        <f>Tab_Def_Flows[[#This Row],[Flow_ID]]&amp;"_WC"</f>
        <v>F_23_23_WC</v>
      </c>
      <c r="M85" s="131"/>
      <c r="N85" s="13"/>
      <c r="O85" s="6" t="str">
        <f>Tab_Def_Flows[[#This Row],[Flow_ID]]&amp;"_DM"</f>
        <v>F_23_23_DM</v>
      </c>
      <c r="Q85" s="13"/>
      <c r="R85" s="6" t="str">
        <f>Tab_Def_Flows[[#This Row],[Flow_ID]]&amp;"_CC"</f>
        <v>F_23_23_CC</v>
      </c>
      <c r="S85" s="131"/>
      <c r="T85" s="13"/>
      <c r="U85" s="135">
        <f>Tab_Def_Flows[[#This Row],[Flow_CC_DM'[%']]]*Tab_Def_Flows[[#This Row],[Flow_DM'[%']]]</f>
        <v>0</v>
      </c>
      <c r="V85" s="7"/>
    </row>
    <row r="86" spans="1:22" x14ac:dyDescent="0.25">
      <c r="A86" s="138" t="b">
        <v>0</v>
      </c>
      <c r="B86" s="16">
        <f t="shared" si="22"/>
        <v>85</v>
      </c>
      <c r="C86" s="6" t="str">
        <f t="shared" si="1"/>
        <v>F_23_23</v>
      </c>
      <c r="D86" s="186"/>
      <c r="E86" s="134"/>
      <c r="F86" s="6" t="str">
        <f>_xlfn.XLOOKUP(E86,Tab_Def_Processes[Process_Name],Tab_Def_Processes[Process_ID],,0,)</f>
        <v>23</v>
      </c>
      <c r="G86" s="134"/>
      <c r="H86" s="9" t="str">
        <f>_xlfn.XLOOKUP(G86,Tab_Def_Processes[Process_Name],Tab_Def_Processes[Process_ID],,0,)</f>
        <v>23</v>
      </c>
      <c r="I86" s="134" t="s">
        <v>5</v>
      </c>
      <c r="J86" s="134" t="s">
        <v>5</v>
      </c>
      <c r="K86" s="134" t="s">
        <v>5</v>
      </c>
      <c r="L86" s="6" t="str">
        <f>Tab_Def_Flows[[#This Row],[Flow_ID]]&amp;"_WC"</f>
        <v>F_23_23_WC</v>
      </c>
      <c r="M86" s="131"/>
      <c r="N86" s="13"/>
      <c r="O86" s="6" t="str">
        <f>Tab_Def_Flows[[#This Row],[Flow_ID]]&amp;"_DM"</f>
        <v>F_23_23_DM</v>
      </c>
      <c r="Q86" s="13"/>
      <c r="R86" s="6" t="str">
        <f>Tab_Def_Flows[[#This Row],[Flow_ID]]&amp;"_CC"</f>
        <v>F_23_23_CC</v>
      </c>
      <c r="S86" s="131"/>
      <c r="T86" s="13"/>
      <c r="U86" s="135">
        <f>Tab_Def_Flows[[#This Row],[Flow_CC_DM'[%']]]*Tab_Def_Flows[[#This Row],[Flow_DM'[%']]]</f>
        <v>0</v>
      </c>
      <c r="V86" s="7"/>
    </row>
    <row r="87" spans="1:22" x14ac:dyDescent="0.25">
      <c r="A87" s="138" t="b">
        <v>0</v>
      </c>
      <c r="B87" s="16">
        <f t="shared" si="22"/>
        <v>86</v>
      </c>
      <c r="C87" s="6" t="str">
        <f t="shared" si="1"/>
        <v>F_23_23</v>
      </c>
      <c r="D87" s="186"/>
      <c r="E87" s="134"/>
      <c r="F87" s="6" t="str">
        <f>_xlfn.XLOOKUP(E87,Tab_Def_Processes[Process_Name],Tab_Def_Processes[Process_ID],,0,)</f>
        <v>23</v>
      </c>
      <c r="G87" s="134"/>
      <c r="H87" s="9" t="str">
        <f>_xlfn.XLOOKUP(G87,Tab_Def_Processes[Process_Name],Tab_Def_Processes[Process_ID],,0,)</f>
        <v>23</v>
      </c>
      <c r="I87" s="134" t="s">
        <v>5</v>
      </c>
      <c r="J87" s="134" t="s">
        <v>5</v>
      </c>
      <c r="K87" s="134" t="s">
        <v>5</v>
      </c>
      <c r="L87" s="6" t="str">
        <f>Tab_Def_Flows[[#This Row],[Flow_ID]]&amp;"_WC"</f>
        <v>F_23_23_WC</v>
      </c>
      <c r="M87" s="131"/>
      <c r="N87" s="13"/>
      <c r="O87" s="6" t="str">
        <f>Tab_Def_Flows[[#This Row],[Flow_ID]]&amp;"_DM"</f>
        <v>F_23_23_DM</v>
      </c>
      <c r="Q87" s="13"/>
      <c r="R87" s="6" t="str">
        <f>Tab_Def_Flows[[#This Row],[Flow_ID]]&amp;"_CC"</f>
        <v>F_23_23_CC</v>
      </c>
      <c r="S87" s="131"/>
      <c r="T87" s="13"/>
      <c r="U87" s="135">
        <f>Tab_Def_Flows[[#This Row],[Flow_CC_DM'[%']]]*Tab_Def_Flows[[#This Row],[Flow_DM'[%']]]</f>
        <v>0</v>
      </c>
      <c r="V87" s="7"/>
    </row>
    <row r="88" spans="1:22" x14ac:dyDescent="0.25">
      <c r="A88" s="138" t="b">
        <v>0</v>
      </c>
      <c r="B88" s="16">
        <f t="shared" si="22"/>
        <v>87</v>
      </c>
      <c r="C88" s="6" t="str">
        <f t="shared" si="1"/>
        <v>F_23_23</v>
      </c>
      <c r="D88" s="186"/>
      <c r="E88" s="134"/>
      <c r="F88" s="6" t="str">
        <f>_xlfn.XLOOKUP(E88,Tab_Def_Processes[Process_Name],Tab_Def_Processes[Process_ID],,0,)</f>
        <v>23</v>
      </c>
      <c r="G88" s="134"/>
      <c r="H88" s="9" t="str">
        <f>_xlfn.XLOOKUP(G88,Tab_Def_Processes[Process_Name],Tab_Def_Processes[Process_ID],,0,)</f>
        <v>23</v>
      </c>
      <c r="I88" s="134" t="s">
        <v>5</v>
      </c>
      <c r="J88" s="134" t="s">
        <v>5</v>
      </c>
      <c r="K88" s="134" t="s">
        <v>5</v>
      </c>
      <c r="L88" s="6" t="str">
        <f>Tab_Def_Flows[[#This Row],[Flow_ID]]&amp;"_WC"</f>
        <v>F_23_23_WC</v>
      </c>
      <c r="M88" s="131"/>
      <c r="N88" s="13"/>
      <c r="O88" s="6" t="str">
        <f>Tab_Def_Flows[[#This Row],[Flow_ID]]&amp;"_DM"</f>
        <v>F_23_23_DM</v>
      </c>
      <c r="Q88" s="13"/>
      <c r="R88" s="6" t="str">
        <f>Tab_Def_Flows[[#This Row],[Flow_ID]]&amp;"_CC"</f>
        <v>F_23_23_CC</v>
      </c>
      <c r="S88" s="131"/>
      <c r="T88" s="13"/>
      <c r="U88" s="135">
        <f>Tab_Def_Flows[[#This Row],[Flow_CC_DM'[%']]]*Tab_Def_Flows[[#This Row],[Flow_DM'[%']]]</f>
        <v>0</v>
      </c>
      <c r="V88" s="7"/>
    </row>
    <row r="89" spans="1:22" x14ac:dyDescent="0.25">
      <c r="A89" s="138" t="b">
        <v>0</v>
      </c>
      <c r="B89" s="16">
        <f t="shared" si="22"/>
        <v>88</v>
      </c>
      <c r="C89" s="6" t="str">
        <f t="shared" si="1"/>
        <v>F_23_23</v>
      </c>
      <c r="D89" s="186"/>
      <c r="E89" s="134"/>
      <c r="F89" s="6" t="str">
        <f>_xlfn.XLOOKUP(E89,Tab_Def_Processes[Process_Name],Tab_Def_Processes[Process_ID],,0,)</f>
        <v>23</v>
      </c>
      <c r="G89" s="134"/>
      <c r="H89" s="9" t="str">
        <f>_xlfn.XLOOKUP(G89,Tab_Def_Processes[Process_Name],Tab_Def_Processes[Process_ID],,0,)</f>
        <v>23</v>
      </c>
      <c r="I89" s="134" t="s">
        <v>5</v>
      </c>
      <c r="J89" s="134" t="s">
        <v>5</v>
      </c>
      <c r="K89" s="134" t="s">
        <v>5</v>
      </c>
      <c r="L89" s="6" t="str">
        <f>Tab_Def_Flows[[#This Row],[Flow_ID]]&amp;"_WC"</f>
        <v>F_23_23_WC</v>
      </c>
      <c r="M89" s="131"/>
      <c r="N89" s="13"/>
      <c r="O89" s="6" t="str">
        <f>Tab_Def_Flows[[#This Row],[Flow_ID]]&amp;"_DM"</f>
        <v>F_23_23_DM</v>
      </c>
      <c r="Q89" s="13"/>
      <c r="R89" s="6" t="str">
        <f>Tab_Def_Flows[[#This Row],[Flow_ID]]&amp;"_CC"</f>
        <v>F_23_23_CC</v>
      </c>
      <c r="S89" s="131"/>
      <c r="T89" s="13"/>
      <c r="U89" s="135">
        <f>Tab_Def_Flows[[#This Row],[Flow_CC_DM'[%']]]*Tab_Def_Flows[[#This Row],[Flow_DM'[%']]]</f>
        <v>0</v>
      </c>
      <c r="V89" s="7"/>
    </row>
    <row r="90" spans="1:22" x14ac:dyDescent="0.25">
      <c r="A90" s="138" t="b">
        <v>0</v>
      </c>
      <c r="B90" s="16">
        <f t="shared" si="22"/>
        <v>89</v>
      </c>
      <c r="C90" s="6" t="str">
        <f t="shared" si="1"/>
        <v>F_23_23</v>
      </c>
      <c r="D90" s="7"/>
      <c r="E90" s="134"/>
      <c r="F90" s="6" t="str">
        <f>_xlfn.XLOOKUP(E90,Tab_Def_Processes[Process_Name],Tab_Def_Processes[Process_ID],,0,)</f>
        <v>23</v>
      </c>
      <c r="G90" s="134"/>
      <c r="H90" s="9" t="str">
        <f>_xlfn.XLOOKUP(G90,Tab_Def_Processes[Process_Name],Tab_Def_Processes[Process_ID],,0,)</f>
        <v>23</v>
      </c>
      <c r="I90" s="134" t="s">
        <v>5</v>
      </c>
      <c r="J90" s="134" t="s">
        <v>5</v>
      </c>
      <c r="K90" s="134" t="s">
        <v>5</v>
      </c>
      <c r="L90" s="6" t="str">
        <f>Tab_Def_Flows[[#This Row],[Flow_ID]]&amp;"_WC"</f>
        <v>F_23_23_WC</v>
      </c>
      <c r="M90" s="131"/>
      <c r="N90" s="13"/>
      <c r="O90" s="6" t="str">
        <f>Tab_Def_Flows[[#This Row],[Flow_ID]]&amp;"_DM"</f>
        <v>F_23_23_DM</v>
      </c>
      <c r="Q90" s="13"/>
      <c r="R90" s="6" t="str">
        <f>Tab_Def_Flows[[#This Row],[Flow_ID]]&amp;"_CC"</f>
        <v>F_23_23_CC</v>
      </c>
      <c r="S90" s="131"/>
      <c r="T90" s="13"/>
      <c r="U90" s="135">
        <f>Tab_Def_Flows[[#This Row],[Flow_CC_DM'[%']]]*Tab_Def_Flows[[#This Row],[Flow_DM'[%']]]</f>
        <v>0</v>
      </c>
      <c r="V90" s="7"/>
    </row>
    <row r="91" spans="1:22" x14ac:dyDescent="0.25">
      <c r="A91" s="138" t="b">
        <v>0</v>
      </c>
      <c r="B91" s="16">
        <f t="shared" si="22"/>
        <v>90</v>
      </c>
      <c r="C91" s="6" t="str">
        <f t="shared" ref="C91:C95" si="23">"F_"&amp;LEFT(F91,2)&amp;"_"&amp;LEFT(H91,2)</f>
        <v>F_23_23</v>
      </c>
      <c r="D91" s="7"/>
      <c r="E91" s="134"/>
      <c r="F91" s="6" t="str">
        <f>_xlfn.XLOOKUP(E91,Tab_Def_Processes[Process_Name],Tab_Def_Processes[Process_ID],,0,)</f>
        <v>23</v>
      </c>
      <c r="G91" s="134"/>
      <c r="H91" s="9" t="str">
        <f>_xlfn.XLOOKUP(G91,Tab_Def_Processes[Process_Name],Tab_Def_Processes[Process_ID],,0,)</f>
        <v>23</v>
      </c>
      <c r="I91" s="134" t="s">
        <v>5</v>
      </c>
      <c r="J91" s="134" t="s">
        <v>5</v>
      </c>
      <c r="K91" s="134" t="s">
        <v>5</v>
      </c>
      <c r="L91" s="6" t="str">
        <f>Tab_Def_Flows[[#This Row],[Flow_ID]]&amp;"_WC"</f>
        <v>F_23_23_WC</v>
      </c>
      <c r="M91" s="131"/>
      <c r="N91" s="13"/>
      <c r="O91" s="6" t="str">
        <f>Tab_Def_Flows[[#This Row],[Flow_ID]]&amp;"_DM"</f>
        <v>F_23_23_DM</v>
      </c>
      <c r="Q91" s="13"/>
      <c r="R91" s="6" t="str">
        <f>Tab_Def_Flows[[#This Row],[Flow_ID]]&amp;"_CC"</f>
        <v>F_23_23_CC</v>
      </c>
      <c r="S91" s="131"/>
      <c r="T91" s="13"/>
      <c r="U91" s="135">
        <f>Tab_Def_Flows[[#This Row],[Flow_CC_DM'[%']]]*Tab_Def_Flows[[#This Row],[Flow_DM'[%']]]</f>
        <v>0</v>
      </c>
      <c r="V91" s="7"/>
    </row>
    <row r="92" spans="1:22" x14ac:dyDescent="0.25">
      <c r="A92" s="138" t="b">
        <v>0</v>
      </c>
      <c r="B92" s="16">
        <f t="shared" si="22"/>
        <v>91</v>
      </c>
      <c r="C92" s="6" t="str">
        <f t="shared" si="23"/>
        <v>F_23_23</v>
      </c>
      <c r="D92" s="7"/>
      <c r="E92" s="134"/>
      <c r="F92" s="6" t="str">
        <f>_xlfn.XLOOKUP(E92,Tab_Def_Processes[Process_Name],Tab_Def_Processes[Process_ID],,0,)</f>
        <v>23</v>
      </c>
      <c r="G92" s="134"/>
      <c r="H92" s="9" t="str">
        <f>_xlfn.XLOOKUP(G92,Tab_Def_Processes[Process_Name],Tab_Def_Processes[Process_ID],,0,)</f>
        <v>23</v>
      </c>
      <c r="I92" s="134" t="s">
        <v>5</v>
      </c>
      <c r="J92" s="134" t="s">
        <v>5</v>
      </c>
      <c r="K92" s="134" t="s">
        <v>5</v>
      </c>
      <c r="L92" s="6" t="str">
        <f>Tab_Def_Flows[[#This Row],[Flow_ID]]&amp;"_WC"</f>
        <v>F_23_23_WC</v>
      </c>
      <c r="M92" s="131"/>
      <c r="N92" s="13"/>
      <c r="O92" s="6" t="str">
        <f>Tab_Def_Flows[[#This Row],[Flow_ID]]&amp;"_DM"</f>
        <v>F_23_23_DM</v>
      </c>
      <c r="Q92" s="13"/>
      <c r="R92" s="6" t="str">
        <f>Tab_Def_Flows[[#This Row],[Flow_ID]]&amp;"_CC"</f>
        <v>F_23_23_CC</v>
      </c>
      <c r="S92" s="131"/>
      <c r="T92" s="13"/>
      <c r="U92" s="135">
        <f>Tab_Def_Flows[[#This Row],[Flow_CC_DM'[%']]]*Tab_Def_Flows[[#This Row],[Flow_DM'[%']]]</f>
        <v>0</v>
      </c>
      <c r="V92" s="7"/>
    </row>
    <row r="93" spans="1:22" x14ac:dyDescent="0.25">
      <c r="A93" s="138" t="b">
        <v>0</v>
      </c>
      <c r="B93" s="16">
        <f t="shared" si="22"/>
        <v>92</v>
      </c>
      <c r="C93" s="6" t="str">
        <f t="shared" si="23"/>
        <v>F_23_23</v>
      </c>
      <c r="D93" s="7"/>
      <c r="E93" s="134"/>
      <c r="F93" s="6" t="str">
        <f>_xlfn.XLOOKUP(E93,Tab_Def_Processes[Process_Name],Tab_Def_Processes[Process_ID],,0,)</f>
        <v>23</v>
      </c>
      <c r="G93" s="134"/>
      <c r="H93" s="9" t="str">
        <f>_xlfn.XLOOKUP(G93,Tab_Def_Processes[Process_Name],Tab_Def_Processes[Process_ID],,0,)</f>
        <v>23</v>
      </c>
      <c r="I93" s="134" t="s">
        <v>5</v>
      </c>
      <c r="J93" s="134" t="s">
        <v>5</v>
      </c>
      <c r="K93" s="134" t="s">
        <v>5</v>
      </c>
      <c r="L93" s="6" t="str">
        <f>Tab_Def_Flows[[#This Row],[Flow_ID]]&amp;"_WC"</f>
        <v>F_23_23_WC</v>
      </c>
      <c r="M93" s="131"/>
      <c r="N93" s="13"/>
      <c r="O93" s="6" t="str">
        <f>Tab_Def_Flows[[#This Row],[Flow_ID]]&amp;"_DM"</f>
        <v>F_23_23_DM</v>
      </c>
      <c r="Q93" s="13"/>
      <c r="R93" s="6" t="str">
        <f>Tab_Def_Flows[[#This Row],[Flow_ID]]&amp;"_CC"</f>
        <v>F_23_23_CC</v>
      </c>
      <c r="S93" s="131"/>
      <c r="T93" s="13"/>
      <c r="U93" s="135">
        <f>Tab_Def_Flows[[#This Row],[Flow_CC_DM'[%']]]*Tab_Def_Flows[[#This Row],[Flow_DM'[%']]]</f>
        <v>0</v>
      </c>
      <c r="V93" s="7"/>
    </row>
    <row r="94" spans="1:22" x14ac:dyDescent="0.25">
      <c r="A94" s="138" t="b">
        <v>0</v>
      </c>
      <c r="B94" s="16">
        <f t="shared" si="22"/>
        <v>93</v>
      </c>
      <c r="C94" s="6" t="str">
        <f t="shared" si="23"/>
        <v>F_23_23</v>
      </c>
      <c r="D94" s="7"/>
      <c r="E94" s="134"/>
      <c r="F94" s="6" t="str">
        <f>_xlfn.XLOOKUP(E94,Tab_Def_Processes[Process_Name],Tab_Def_Processes[Process_ID],,0,)</f>
        <v>23</v>
      </c>
      <c r="G94" s="134"/>
      <c r="H94" s="9" t="str">
        <f>_xlfn.XLOOKUP(G94,Tab_Def_Processes[Process_Name],Tab_Def_Processes[Process_ID],,0,)</f>
        <v>23</v>
      </c>
      <c r="I94" s="134" t="s">
        <v>5</v>
      </c>
      <c r="J94" s="134" t="s">
        <v>5</v>
      </c>
      <c r="K94" s="134" t="s">
        <v>5</v>
      </c>
      <c r="L94" s="6" t="str">
        <f>Tab_Def_Flows[[#This Row],[Flow_ID]]&amp;"_WC"</f>
        <v>F_23_23_WC</v>
      </c>
      <c r="M94" s="131"/>
      <c r="N94" s="13"/>
      <c r="O94" s="6" t="str">
        <f>Tab_Def_Flows[[#This Row],[Flow_ID]]&amp;"_DM"</f>
        <v>F_23_23_DM</v>
      </c>
      <c r="Q94" s="13"/>
      <c r="R94" s="6" t="str">
        <f>Tab_Def_Flows[[#This Row],[Flow_ID]]&amp;"_CC"</f>
        <v>F_23_23_CC</v>
      </c>
      <c r="S94" s="131"/>
      <c r="T94" s="13"/>
      <c r="U94" s="135">
        <f>Tab_Def_Flows[[#This Row],[Flow_CC_DM'[%']]]*Tab_Def_Flows[[#This Row],[Flow_DM'[%']]]</f>
        <v>0</v>
      </c>
      <c r="V94" s="7"/>
    </row>
    <row r="95" spans="1:22" x14ac:dyDescent="0.25">
      <c r="A95" s="138" t="b">
        <v>0</v>
      </c>
      <c r="B95" s="16">
        <f t="shared" si="22"/>
        <v>94</v>
      </c>
      <c r="C95" s="6" t="str">
        <f t="shared" si="23"/>
        <v>F__</v>
      </c>
      <c r="D95" s="7" t="s">
        <v>8</v>
      </c>
      <c r="E95" s="134"/>
      <c r="F95" s="6"/>
      <c r="G95" s="134"/>
      <c r="H95" s="9"/>
      <c r="I95" s="134" t="s">
        <v>5</v>
      </c>
      <c r="J95" s="134" t="s">
        <v>5</v>
      </c>
      <c r="K95" s="134" t="s">
        <v>5</v>
      </c>
      <c r="L95" s="6" t="str">
        <f>Tab_Def_Flows[[#This Row],[Flow_ID]]&amp;"_WC"</f>
        <v>F___WC</v>
      </c>
      <c r="M95" s="131"/>
      <c r="N95" s="13"/>
      <c r="O95" s="6" t="str">
        <f>Tab_Def_Flows[[#This Row],[Flow_ID]]&amp;"_DM"</f>
        <v>F___DM</v>
      </c>
      <c r="Q95" s="13"/>
      <c r="R95" s="6" t="str">
        <f>Tab_Def_Flows[[#This Row],[Flow_ID]]&amp;"_CC"</f>
        <v>F___CC</v>
      </c>
      <c r="S95" s="131"/>
      <c r="T95" s="13"/>
      <c r="U95" s="135">
        <f>Tab_Def_Flows[[#This Row],[Flow_CC_DM'[%']]]*Tab_Def_Flows[[#This Row],[Flow_DM'[%']]]</f>
        <v>0</v>
      </c>
      <c r="V95"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E2:E95 G2:G95</xm:sqref>
        </x14:dataValidation>
        <x14:dataValidation type="list" allowBlank="1" showInputMessage="1" showErrorMessage="1" xr:uid="{CB86BBCA-BDCE-4D1A-8B11-508B05897210}">
          <x14:formula1>
            <xm:f>'7_2_Codelists'!$B$3:$B$4</xm:f>
          </x14:formula1>
          <xm:sqref>I2:K95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131" zoomScale="130" zoomScaleNormal="130" workbookViewId="0">
      <selection activeCell="C140" sqref="C140"/>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37" t="s">
        <v>7</v>
      </c>
      <c r="B1" s="137" t="s">
        <v>11</v>
      </c>
      <c r="C1" s="137" t="s">
        <v>423</v>
      </c>
      <c r="D1" s="137" t="s">
        <v>27</v>
      </c>
      <c r="E1" s="137" t="s">
        <v>29</v>
      </c>
      <c r="F1" s="137" t="s">
        <v>28</v>
      </c>
      <c r="G1" s="137" t="s">
        <v>412</v>
      </c>
      <c r="H1" s="137" t="s">
        <v>413</v>
      </c>
      <c r="I1" s="137" t="s">
        <v>21</v>
      </c>
      <c r="J1" s="137" t="s">
        <v>494</v>
      </c>
      <c r="K1" s="137" t="s">
        <v>466</v>
      </c>
      <c r="L1" s="137" t="s">
        <v>495</v>
      </c>
      <c r="M1" s="137" t="s">
        <v>496</v>
      </c>
      <c r="N1" s="137" t="s">
        <v>497</v>
      </c>
      <c r="O1" s="137" t="s">
        <v>18</v>
      </c>
      <c r="P1" s="137" t="s">
        <v>19</v>
      </c>
      <c r="Q1" s="137" t="s">
        <v>20</v>
      </c>
      <c r="R1" s="137" t="s">
        <v>415</v>
      </c>
      <c r="S1" s="137" t="s">
        <v>414</v>
      </c>
      <c r="T1" s="137" t="s">
        <v>22</v>
      </c>
      <c r="U1" s="137" t="s">
        <v>30</v>
      </c>
      <c r="V1" s="137" t="s">
        <v>416</v>
      </c>
      <c r="W1" s="137" t="s">
        <v>35</v>
      </c>
      <c r="X1" s="137" t="s">
        <v>38</v>
      </c>
      <c r="Y1" s="137" t="s">
        <v>32</v>
      </c>
      <c r="Z1" s="137" t="s">
        <v>417</v>
      </c>
      <c r="AA1" s="137" t="s">
        <v>422</v>
      </c>
      <c r="AB1" s="137" t="s">
        <v>37</v>
      </c>
      <c r="AC1" s="137" t="s">
        <v>34</v>
      </c>
      <c r="AD1" s="137" t="s">
        <v>418</v>
      </c>
      <c r="AE1" s="137" t="s">
        <v>39</v>
      </c>
      <c r="AF1" s="137" t="s">
        <v>36</v>
      </c>
      <c r="AG1"/>
    </row>
    <row r="2" spans="1:33" x14ac:dyDescent="0.25">
      <c r="A2" s="8">
        <f>ROW()-1</f>
        <v>1</v>
      </c>
      <c r="B2" s="6" t="str">
        <f>_xlfn.XLOOKUP(C2,Tab_Def_Flows[Flow_Name],Tab_Def_Flows[Flow_ID],,0,)</f>
        <v>F_01_02</v>
      </c>
      <c r="C2" s="134" t="s">
        <v>1110</v>
      </c>
      <c r="D2" s="9" t="str">
        <f>_xlfn.XLOOKUP(C2,Tab_Def_Flows[Flow_Name],Tab_Def_Flows[WC?],,0,)</f>
        <v>Yes</v>
      </c>
      <c r="E2" s="9" t="str">
        <f>_xlfn.XLOOKUP(C2,Tab_Def_Flows[Flow_Name],Tab_Def_Flows[DM?],,0,)</f>
        <v>Yes</v>
      </c>
      <c r="F2" s="9" t="str">
        <f>_xlfn.XLOOKUP(C2,Tab_Def_Flows[Flow_Name],Tab_Def_Flows[CC?],,0,)</f>
        <v>Yes</v>
      </c>
      <c r="G2" s="186">
        <v>2025</v>
      </c>
      <c r="H2" s="187">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5">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5">
        <f>INDEX(Tab_Def_Flows[[Flow_ID]:[CC_DM_source]],MATCH(Tab_Data_Flows[[#This Row],[Flow_Name]],Tab_Def_Flows[Flow_Name],0),14)</f>
        <v>0</v>
      </c>
      <c r="Z2" s="6" t="str">
        <f>Tab_Data_Flows[[#This Row],[Flow_ID]]&amp;"_"&amp;"DM_"&amp;Tab_Data_Flows[[#This Row],[Flow_Data_Year]]</f>
        <v>F_01_02_DM_2025</v>
      </c>
      <c r="AA2" s="6">
        <f>IF(E2="Yes",Y2*Tab_Data_Flows[[#This Row],[Flow_Material]],"N.A.")</f>
        <v>0</v>
      </c>
      <c r="AB2" s="6" t="str">
        <f>Tab_Data_Flows[[#This Row],[UoM_Flow_Py]]</f>
        <v>Mg</v>
      </c>
      <c r="AC2" s="135">
        <f>INDEX(Tab_Def_Flows[[Flow_ID]:[CC_DM_source]],MATCH(Tab_Data_Flows[[#This Row],[Flow_Name]],Tab_Def_Flows[Flow_Name],0),17)</f>
        <v>0</v>
      </c>
      <c r="AD2" s="6" t="str">
        <f>Tab_Data_Flows[[#This Row],[Flow_ID]]&amp;"_"&amp;"CC_"&amp;Tab_Data_Flows[[#This Row],[Flow_Data_Year]]</f>
        <v>F_01_02_CC_2025</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F_01_02</v>
      </c>
      <c r="C3" s="134" t="s">
        <v>1110</v>
      </c>
      <c r="D3" s="9" t="str">
        <f>_xlfn.XLOOKUP(C3,Tab_Def_Flows[Flow_Name],Tab_Def_Flows[WC?],,0,)</f>
        <v>Yes</v>
      </c>
      <c r="E3" s="9" t="str">
        <f>_xlfn.XLOOKUP(C3,Tab_Def_Flows[Flow_Name],Tab_Def_Flows[DM?],,0,)</f>
        <v>Yes</v>
      </c>
      <c r="F3" s="9" t="str">
        <f>_xlfn.XLOOKUP(C3,Tab_Def_Flows[Flow_Name],Tab_Def_Flows[CC?],,0,)</f>
        <v>Yes</v>
      </c>
      <c r="G3" s="186">
        <v>2026</v>
      </c>
      <c r="H3" s="187">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5">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5">
        <f>INDEX(Tab_Def_Flows[[Flow_ID]:[CC_DM_source]],MATCH(Tab_Data_Flows[[#This Row],[Flow_Name]],Tab_Def_Flows[Flow_Name],0),14)</f>
        <v>0</v>
      </c>
      <c r="Z3" s="6" t="str">
        <f>Tab_Data_Flows[[#This Row],[Flow_ID]]&amp;"_"&amp;"DM_"&amp;Tab_Data_Flows[[#This Row],[Flow_Data_Year]]</f>
        <v>F_01_02_DM_2026</v>
      </c>
      <c r="AA3" s="6">
        <f>IF(E3="Yes",Y3*Tab_Data_Flows[[#This Row],[Flow_Material]],"N.A.")</f>
        <v>0</v>
      </c>
      <c r="AB3" s="6" t="str">
        <f>Tab_Data_Flows[[#This Row],[UoM_Flow_Py]]</f>
        <v>Mg</v>
      </c>
      <c r="AC3" s="135">
        <f>INDEX(Tab_Def_Flows[[Flow_ID]:[CC_DM_source]],MATCH(Tab_Data_Flows[[#This Row],[Flow_Name]],Tab_Def_Flows[Flow_Name],0),17)</f>
        <v>0</v>
      </c>
      <c r="AD3" s="6" t="str">
        <f>Tab_Data_Flows[[#This Row],[Flow_ID]]&amp;"_"&amp;"CC_"&amp;Tab_Data_Flows[[#This Row],[Flow_Data_Year]]</f>
        <v>F_01_02_CC_2026</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F_01_02</v>
      </c>
      <c r="C4" s="134" t="s">
        <v>1110</v>
      </c>
      <c r="D4" s="9" t="str">
        <f>_xlfn.XLOOKUP(C4,Tab_Def_Flows[Flow_Name],Tab_Def_Flows[WC?],,0,)</f>
        <v>Yes</v>
      </c>
      <c r="E4" s="9" t="str">
        <f>_xlfn.XLOOKUP(C4,Tab_Def_Flows[Flow_Name],Tab_Def_Flows[DM?],,0,)</f>
        <v>Yes</v>
      </c>
      <c r="F4" s="9" t="str">
        <f>_xlfn.XLOOKUP(C4,Tab_Def_Flows[Flow_Name],Tab_Def_Flows[CC?],,0,)</f>
        <v>Yes</v>
      </c>
      <c r="G4" s="186">
        <v>2027</v>
      </c>
      <c r="H4" s="187">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5">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5">
        <f>INDEX(Tab_Def_Flows[[Flow_ID]:[CC_DM_source]],MATCH(Tab_Data_Flows[[#This Row],[Flow_Name]],Tab_Def_Flows[Flow_Name],0),14)</f>
        <v>0</v>
      </c>
      <c r="Z4" s="6" t="str">
        <f>Tab_Data_Flows[[#This Row],[Flow_ID]]&amp;"_"&amp;"DM_"&amp;Tab_Data_Flows[[#This Row],[Flow_Data_Year]]</f>
        <v>F_01_02_DM_2027</v>
      </c>
      <c r="AA4" s="6">
        <f>IF(E4="Yes",Y4*Tab_Data_Flows[[#This Row],[Flow_Material]],"N.A.")</f>
        <v>0</v>
      </c>
      <c r="AB4" s="6" t="str">
        <f>Tab_Data_Flows[[#This Row],[UoM_Flow_Py]]</f>
        <v>Mg</v>
      </c>
      <c r="AC4" s="135">
        <f>INDEX(Tab_Def_Flows[[Flow_ID]:[CC_DM_source]],MATCH(Tab_Data_Flows[[#This Row],[Flow_Name]],Tab_Def_Flows[Flow_Name],0),17)</f>
        <v>0</v>
      </c>
      <c r="AD4" s="6" t="str">
        <f>Tab_Data_Flows[[#This Row],[Flow_ID]]&amp;"_"&amp;"CC_"&amp;Tab_Data_Flows[[#This Row],[Flow_Data_Year]]</f>
        <v>F_01_02_CC_2027</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F_01_02</v>
      </c>
      <c r="C5" s="134" t="s">
        <v>1110</v>
      </c>
      <c r="D5" s="9" t="str">
        <f>_xlfn.XLOOKUP(C5,Tab_Def_Flows[Flow_Name],Tab_Def_Flows[WC?],,0,)</f>
        <v>Yes</v>
      </c>
      <c r="E5" s="9" t="str">
        <f>_xlfn.XLOOKUP(C5,Tab_Def_Flows[Flow_Name],Tab_Def_Flows[DM?],,0,)</f>
        <v>Yes</v>
      </c>
      <c r="F5" s="9" t="str">
        <f>_xlfn.XLOOKUP(C5,Tab_Def_Flows[Flow_Name],Tab_Def_Flows[CC?],,0,)</f>
        <v>Yes</v>
      </c>
      <c r="G5" s="186">
        <v>2028</v>
      </c>
      <c r="H5" s="187">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5">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5">
        <f>INDEX(Tab_Def_Flows[[Flow_ID]:[CC_DM_source]],MATCH(Tab_Data_Flows[[#This Row],[Flow_Name]],Tab_Def_Flows[Flow_Name],0),14)</f>
        <v>0</v>
      </c>
      <c r="Z5" s="6" t="str">
        <f>Tab_Data_Flows[[#This Row],[Flow_ID]]&amp;"_"&amp;"DM_"&amp;Tab_Data_Flows[[#This Row],[Flow_Data_Year]]</f>
        <v>F_01_02_DM_2028</v>
      </c>
      <c r="AA5" s="6">
        <f>IF(E5="Yes",Y5*Tab_Data_Flows[[#This Row],[Flow_Material]],"N.A.")</f>
        <v>0</v>
      </c>
      <c r="AB5" s="6" t="str">
        <f>Tab_Data_Flows[[#This Row],[UoM_Flow_Py]]</f>
        <v>Mg</v>
      </c>
      <c r="AC5" s="135">
        <f>INDEX(Tab_Def_Flows[[Flow_ID]:[CC_DM_source]],MATCH(Tab_Data_Flows[[#This Row],[Flow_Name]],Tab_Def_Flows[Flow_Name],0),17)</f>
        <v>0</v>
      </c>
      <c r="AD5" s="6" t="str">
        <f>Tab_Data_Flows[[#This Row],[Flow_ID]]&amp;"_"&amp;"CC_"&amp;Tab_Data_Flows[[#This Row],[Flow_Data_Year]]</f>
        <v>F_01_02_CC_2028</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F_01_02</v>
      </c>
      <c r="C6" s="134" t="s">
        <v>1110</v>
      </c>
      <c r="D6" s="9" t="str">
        <f>_xlfn.XLOOKUP(C6,Tab_Def_Flows[Flow_Name],Tab_Def_Flows[WC?],,0,)</f>
        <v>Yes</v>
      </c>
      <c r="E6" s="9" t="str">
        <f>_xlfn.XLOOKUP(C6,Tab_Def_Flows[Flow_Name],Tab_Def_Flows[DM?],,0,)</f>
        <v>Yes</v>
      </c>
      <c r="F6" s="9" t="str">
        <f>_xlfn.XLOOKUP(C6,Tab_Def_Flows[Flow_Name],Tab_Def_Flows[CC?],,0,)</f>
        <v>Yes</v>
      </c>
      <c r="G6" s="186">
        <v>2029</v>
      </c>
      <c r="H6" s="187">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5">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5">
        <f>INDEX(Tab_Def_Flows[[Flow_ID]:[CC_DM_source]],MATCH(Tab_Data_Flows[[#This Row],[Flow_Name]],Tab_Def_Flows[Flow_Name],0),14)</f>
        <v>0</v>
      </c>
      <c r="Z6" s="6" t="str">
        <f>Tab_Data_Flows[[#This Row],[Flow_ID]]&amp;"_"&amp;"DM_"&amp;Tab_Data_Flows[[#This Row],[Flow_Data_Year]]</f>
        <v>F_01_02_DM_2029</v>
      </c>
      <c r="AA6" s="6">
        <f>IF(E6="Yes",Y6*Tab_Data_Flows[[#This Row],[Flow_Material]],"N.A.")</f>
        <v>0</v>
      </c>
      <c r="AB6" s="6" t="str">
        <f>Tab_Data_Flows[[#This Row],[UoM_Flow_Py]]</f>
        <v>Mg</v>
      </c>
      <c r="AC6" s="135">
        <f>INDEX(Tab_Def_Flows[[Flow_ID]:[CC_DM_source]],MATCH(Tab_Data_Flows[[#This Row],[Flow_Name]],Tab_Def_Flows[Flow_Name],0),17)</f>
        <v>0</v>
      </c>
      <c r="AD6" s="6" t="str">
        <f>Tab_Data_Flows[[#This Row],[Flow_ID]]&amp;"_"&amp;"CC_"&amp;Tab_Data_Flows[[#This Row],[Flow_Data_Year]]</f>
        <v>F_01_02_CC_2029</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F_01_02</v>
      </c>
      <c r="C7" s="134" t="s">
        <v>1110</v>
      </c>
      <c r="D7" s="9" t="str">
        <f>_xlfn.XLOOKUP(C7,Tab_Def_Flows[Flow_Name],Tab_Def_Flows[WC?],,0,)</f>
        <v>Yes</v>
      </c>
      <c r="E7" s="9" t="str">
        <f>_xlfn.XLOOKUP(C7,Tab_Def_Flows[Flow_Name],Tab_Def_Flows[DM?],,0,)</f>
        <v>Yes</v>
      </c>
      <c r="F7" s="9" t="str">
        <f>_xlfn.XLOOKUP(C7,Tab_Def_Flows[Flow_Name],Tab_Def_Flows[CC?],,0,)</f>
        <v>Yes</v>
      </c>
      <c r="G7" s="186">
        <v>2030</v>
      </c>
      <c r="H7" s="187">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5">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5">
        <f>INDEX(Tab_Def_Flows[[Flow_ID]:[CC_DM_source]],MATCH(Tab_Data_Flows[[#This Row],[Flow_Name]],Tab_Def_Flows[Flow_Name],0),14)</f>
        <v>0</v>
      </c>
      <c r="Z7" s="6" t="str">
        <f>Tab_Data_Flows[[#This Row],[Flow_ID]]&amp;"_"&amp;"DM_"&amp;Tab_Data_Flows[[#This Row],[Flow_Data_Year]]</f>
        <v>F_01_02_DM_2030</v>
      </c>
      <c r="AA7" s="6">
        <f>IF(E7="Yes",Y7*Tab_Data_Flows[[#This Row],[Flow_Material]],"N.A.")</f>
        <v>0</v>
      </c>
      <c r="AB7" s="6" t="str">
        <f>Tab_Data_Flows[[#This Row],[UoM_Flow_Py]]</f>
        <v>Mg</v>
      </c>
      <c r="AC7" s="135">
        <f>INDEX(Tab_Def_Flows[[Flow_ID]:[CC_DM_source]],MATCH(Tab_Data_Flows[[#This Row],[Flow_Name]],Tab_Def_Flows[Flow_Name],0),17)</f>
        <v>0</v>
      </c>
      <c r="AD7" s="6" t="str">
        <f>Tab_Data_Flows[[#This Row],[Flow_ID]]&amp;"_"&amp;"CC_"&amp;Tab_Data_Flows[[#This Row],[Flow_Data_Year]]</f>
        <v>F_01_02_CC_2030</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F_01_02</v>
      </c>
      <c r="C8" s="134" t="s">
        <v>1110</v>
      </c>
      <c r="D8" s="9" t="str">
        <f>_xlfn.XLOOKUP(C8,Tab_Def_Flows[Flow_Name],Tab_Def_Flows[WC?],,0,)</f>
        <v>Yes</v>
      </c>
      <c r="E8" s="9" t="str">
        <f>_xlfn.XLOOKUP(C8,Tab_Def_Flows[Flow_Name],Tab_Def_Flows[DM?],,0,)</f>
        <v>Yes</v>
      </c>
      <c r="F8" s="9" t="str">
        <f>_xlfn.XLOOKUP(C8,Tab_Def_Flows[Flow_Name],Tab_Def_Flows[CC?],,0,)</f>
        <v>Yes</v>
      </c>
      <c r="G8" s="186">
        <v>2031</v>
      </c>
      <c r="H8" s="187">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5">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5">
        <f>INDEX(Tab_Def_Flows[[Flow_ID]:[CC_DM_source]],MATCH(Tab_Data_Flows[[#This Row],[Flow_Name]],Tab_Def_Flows[Flow_Name],0),14)</f>
        <v>0</v>
      </c>
      <c r="Z8" s="6" t="str">
        <f>Tab_Data_Flows[[#This Row],[Flow_ID]]&amp;"_"&amp;"DM_"&amp;Tab_Data_Flows[[#This Row],[Flow_Data_Year]]</f>
        <v>F_01_02_DM_2031</v>
      </c>
      <c r="AA8" s="6">
        <f>IF(E8="Yes",Y8*Tab_Data_Flows[[#This Row],[Flow_Material]],"N.A.")</f>
        <v>0</v>
      </c>
      <c r="AB8" s="6" t="str">
        <f>Tab_Data_Flows[[#This Row],[UoM_Flow_Py]]</f>
        <v>Mg</v>
      </c>
      <c r="AC8" s="135">
        <f>INDEX(Tab_Def_Flows[[Flow_ID]:[CC_DM_source]],MATCH(Tab_Data_Flows[[#This Row],[Flow_Name]],Tab_Def_Flows[Flow_Name],0),17)</f>
        <v>0</v>
      </c>
      <c r="AD8" s="6" t="str">
        <f>Tab_Data_Flows[[#This Row],[Flow_ID]]&amp;"_"&amp;"CC_"&amp;Tab_Data_Flows[[#This Row],[Flow_Data_Year]]</f>
        <v>F_01_02_CC_2031</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F_01_02</v>
      </c>
      <c r="C9" s="134" t="s">
        <v>1110</v>
      </c>
      <c r="D9" s="9" t="str">
        <f>_xlfn.XLOOKUP(C9,Tab_Def_Flows[Flow_Name],Tab_Def_Flows[WC?],,0,)</f>
        <v>Yes</v>
      </c>
      <c r="E9" s="9" t="str">
        <f>_xlfn.XLOOKUP(C9,Tab_Def_Flows[Flow_Name],Tab_Def_Flows[DM?],,0,)</f>
        <v>Yes</v>
      </c>
      <c r="F9" s="9" t="str">
        <f>_xlfn.XLOOKUP(C9,Tab_Def_Flows[Flow_Name],Tab_Def_Flows[CC?],,0,)</f>
        <v>Yes</v>
      </c>
      <c r="G9" s="186">
        <v>2032</v>
      </c>
      <c r="H9" s="187">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5">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5">
        <f>INDEX(Tab_Def_Flows[[Flow_ID]:[CC_DM_source]],MATCH(Tab_Data_Flows[[#This Row],[Flow_Name]],Tab_Def_Flows[Flow_Name],0),14)</f>
        <v>0</v>
      </c>
      <c r="Z9" s="6" t="str">
        <f>Tab_Data_Flows[[#This Row],[Flow_ID]]&amp;"_"&amp;"DM_"&amp;Tab_Data_Flows[[#This Row],[Flow_Data_Year]]</f>
        <v>F_01_02_DM_2032</v>
      </c>
      <c r="AA9" s="6">
        <f>IF(E9="Yes",Y9*Tab_Data_Flows[[#This Row],[Flow_Material]],"N.A.")</f>
        <v>0</v>
      </c>
      <c r="AB9" s="6" t="str">
        <f>Tab_Data_Flows[[#This Row],[UoM_Flow_Py]]</f>
        <v>Mg</v>
      </c>
      <c r="AC9" s="135">
        <f>INDEX(Tab_Def_Flows[[Flow_ID]:[CC_DM_source]],MATCH(Tab_Data_Flows[[#This Row],[Flow_Name]],Tab_Def_Flows[Flow_Name],0),17)</f>
        <v>0</v>
      </c>
      <c r="AD9" s="6" t="str">
        <f>Tab_Data_Flows[[#This Row],[Flow_ID]]&amp;"_"&amp;"CC_"&amp;Tab_Data_Flows[[#This Row],[Flow_Data_Year]]</f>
        <v>F_01_02_CC_2032</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F_01_02</v>
      </c>
      <c r="C10" s="134" t="s">
        <v>1110</v>
      </c>
      <c r="D10" s="9" t="str">
        <f>_xlfn.XLOOKUP(C10,Tab_Def_Flows[Flow_Name],Tab_Def_Flows[WC?],,0,)</f>
        <v>Yes</v>
      </c>
      <c r="E10" s="9" t="str">
        <f>_xlfn.XLOOKUP(C10,Tab_Def_Flows[Flow_Name],Tab_Def_Flows[DM?],,0,)</f>
        <v>Yes</v>
      </c>
      <c r="F10" s="9" t="str">
        <f>_xlfn.XLOOKUP(C10,Tab_Def_Flows[Flow_Name],Tab_Def_Flows[CC?],,0,)</f>
        <v>Yes</v>
      </c>
      <c r="G10" s="186">
        <v>2033</v>
      </c>
      <c r="H10" s="187">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5">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5">
        <f>INDEX(Tab_Def_Flows[[Flow_ID]:[CC_DM_source]],MATCH(Tab_Data_Flows[[#This Row],[Flow_Name]],Tab_Def_Flows[Flow_Name],0),14)</f>
        <v>0</v>
      </c>
      <c r="Z10" s="6" t="str">
        <f>Tab_Data_Flows[[#This Row],[Flow_ID]]&amp;"_"&amp;"DM_"&amp;Tab_Data_Flows[[#This Row],[Flow_Data_Year]]</f>
        <v>F_01_02_DM_2033</v>
      </c>
      <c r="AA10" s="6">
        <f>IF(E10="Yes",Y10*Tab_Data_Flows[[#This Row],[Flow_Material]],"N.A.")</f>
        <v>0</v>
      </c>
      <c r="AB10" s="6" t="str">
        <f>Tab_Data_Flows[[#This Row],[UoM_Flow_Py]]</f>
        <v>Mg</v>
      </c>
      <c r="AC10" s="135">
        <f>INDEX(Tab_Def_Flows[[Flow_ID]:[CC_DM_source]],MATCH(Tab_Data_Flows[[#This Row],[Flow_Name]],Tab_Def_Flows[Flow_Name],0),17)</f>
        <v>0</v>
      </c>
      <c r="AD10" s="6" t="str">
        <f>Tab_Data_Flows[[#This Row],[Flow_ID]]&amp;"_"&amp;"CC_"&amp;Tab_Data_Flows[[#This Row],[Flow_Data_Year]]</f>
        <v>F_01_02_CC_2033</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F_01_02</v>
      </c>
      <c r="C11" s="134" t="s">
        <v>1110</v>
      </c>
      <c r="D11" s="9" t="str">
        <f>_xlfn.XLOOKUP(C11,Tab_Def_Flows[Flow_Name],Tab_Def_Flows[WC?],,0,)</f>
        <v>Yes</v>
      </c>
      <c r="E11" s="9" t="str">
        <f>_xlfn.XLOOKUP(C11,Tab_Def_Flows[Flow_Name],Tab_Def_Flows[DM?],,0,)</f>
        <v>Yes</v>
      </c>
      <c r="F11" s="9" t="str">
        <f>_xlfn.XLOOKUP(C11,Tab_Def_Flows[Flow_Name],Tab_Def_Flows[CC?],,0,)</f>
        <v>Yes</v>
      </c>
      <c r="G11" s="186">
        <v>2034</v>
      </c>
      <c r="H11" s="187">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5">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5">
        <f>INDEX(Tab_Def_Flows[[Flow_ID]:[CC_DM_source]],MATCH(Tab_Data_Flows[[#This Row],[Flow_Name]],Tab_Def_Flows[Flow_Name],0),14)</f>
        <v>0</v>
      </c>
      <c r="Z11" s="6" t="str">
        <f>Tab_Data_Flows[[#This Row],[Flow_ID]]&amp;"_"&amp;"DM_"&amp;Tab_Data_Flows[[#This Row],[Flow_Data_Year]]</f>
        <v>F_01_02_DM_2034</v>
      </c>
      <c r="AA11" s="6">
        <f>IF(E11="Yes",Y11*Tab_Data_Flows[[#This Row],[Flow_Material]],"N.A.")</f>
        <v>0</v>
      </c>
      <c r="AB11" s="6" t="str">
        <f>Tab_Data_Flows[[#This Row],[UoM_Flow_Py]]</f>
        <v>Mg</v>
      </c>
      <c r="AC11" s="135">
        <f>INDEX(Tab_Def_Flows[[Flow_ID]:[CC_DM_source]],MATCH(Tab_Data_Flows[[#This Row],[Flow_Name]],Tab_Def_Flows[Flow_Name],0),17)</f>
        <v>0</v>
      </c>
      <c r="AD11" s="6" t="str">
        <f>Tab_Data_Flows[[#This Row],[Flow_ID]]&amp;"_"&amp;"CC_"&amp;Tab_Data_Flows[[#This Row],[Flow_Data_Year]]</f>
        <v>F_01_02_CC_2034</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F_01_02</v>
      </c>
      <c r="C12" s="134" t="s">
        <v>1110</v>
      </c>
      <c r="D12" s="9" t="str">
        <f>_xlfn.XLOOKUP(C12,Tab_Def_Flows[Flow_Name],Tab_Def_Flows[WC?],,0,)</f>
        <v>Yes</v>
      </c>
      <c r="E12" s="9" t="str">
        <f>_xlfn.XLOOKUP(C12,Tab_Def_Flows[Flow_Name],Tab_Def_Flows[DM?],,0,)</f>
        <v>Yes</v>
      </c>
      <c r="F12" s="9" t="str">
        <f>_xlfn.XLOOKUP(C12,Tab_Def_Flows[Flow_Name],Tab_Def_Flows[CC?],,0,)</f>
        <v>Yes</v>
      </c>
      <c r="G12" s="186">
        <v>2035</v>
      </c>
      <c r="H12" s="187">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5">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5">
        <f>INDEX(Tab_Def_Flows[[Flow_ID]:[CC_DM_source]],MATCH(Tab_Data_Flows[[#This Row],[Flow_Name]],Tab_Def_Flows[Flow_Name],0),14)</f>
        <v>0</v>
      </c>
      <c r="Z12" s="6" t="str">
        <f>Tab_Data_Flows[[#This Row],[Flow_ID]]&amp;"_"&amp;"DM_"&amp;Tab_Data_Flows[[#This Row],[Flow_Data_Year]]</f>
        <v>F_01_02_DM_2035</v>
      </c>
      <c r="AA12" s="6">
        <f>IF(E12="Yes",Y12*Tab_Data_Flows[[#This Row],[Flow_Material]],"N.A.")</f>
        <v>0</v>
      </c>
      <c r="AB12" s="6" t="str">
        <f>Tab_Data_Flows[[#This Row],[UoM_Flow_Py]]</f>
        <v>Mg</v>
      </c>
      <c r="AC12" s="135">
        <f>INDEX(Tab_Def_Flows[[Flow_ID]:[CC_DM_source]],MATCH(Tab_Data_Flows[[#This Row],[Flow_Name]],Tab_Def_Flows[Flow_Name],0),17)</f>
        <v>0</v>
      </c>
      <c r="AD12" s="6" t="str">
        <f>Tab_Data_Flows[[#This Row],[Flow_ID]]&amp;"_"&amp;"CC_"&amp;Tab_Data_Flows[[#This Row],[Flow_Data_Year]]</f>
        <v>F_01_02_CC_2035</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F_01_02</v>
      </c>
      <c r="C13" s="134" t="s">
        <v>1110</v>
      </c>
      <c r="D13" s="9" t="str">
        <f>_xlfn.XLOOKUP(C13,Tab_Def_Flows[Flow_Name],Tab_Def_Flows[WC?],,0,)</f>
        <v>Yes</v>
      </c>
      <c r="E13" s="9" t="str">
        <f>_xlfn.XLOOKUP(C13,Tab_Def_Flows[Flow_Name],Tab_Def_Flows[DM?],,0,)</f>
        <v>Yes</v>
      </c>
      <c r="F13" s="9" t="str">
        <f>_xlfn.XLOOKUP(C13,Tab_Def_Flows[Flow_Name],Tab_Def_Flows[CC?],,0,)</f>
        <v>Yes</v>
      </c>
      <c r="G13" s="186">
        <v>2036</v>
      </c>
      <c r="H13" s="187">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5">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5">
        <f>INDEX(Tab_Def_Flows[[Flow_ID]:[CC_DM_source]],MATCH(Tab_Data_Flows[[#This Row],[Flow_Name]],Tab_Def_Flows[Flow_Name],0),14)</f>
        <v>0</v>
      </c>
      <c r="Z13" s="6" t="str">
        <f>Tab_Data_Flows[[#This Row],[Flow_ID]]&amp;"_"&amp;"DM_"&amp;Tab_Data_Flows[[#This Row],[Flow_Data_Year]]</f>
        <v>F_01_02_DM_2036</v>
      </c>
      <c r="AA13" s="6">
        <f>IF(E13="Yes",Y13*Tab_Data_Flows[[#This Row],[Flow_Material]],"N.A.")</f>
        <v>0</v>
      </c>
      <c r="AB13" s="6" t="str">
        <f>Tab_Data_Flows[[#This Row],[UoM_Flow_Py]]</f>
        <v>Mg</v>
      </c>
      <c r="AC13" s="135">
        <f>INDEX(Tab_Def_Flows[[Flow_ID]:[CC_DM_source]],MATCH(Tab_Data_Flows[[#This Row],[Flow_Name]],Tab_Def_Flows[Flow_Name],0),17)</f>
        <v>0</v>
      </c>
      <c r="AD13" s="6" t="str">
        <f>Tab_Data_Flows[[#This Row],[Flow_ID]]&amp;"_"&amp;"CC_"&amp;Tab_Data_Flows[[#This Row],[Flow_Data_Year]]</f>
        <v>F_01_02_CC_2036</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F_01_02</v>
      </c>
      <c r="C14" s="134" t="s">
        <v>1110</v>
      </c>
      <c r="D14" s="9" t="str">
        <f>_xlfn.XLOOKUP(C14,Tab_Def_Flows[Flow_Name],Tab_Def_Flows[WC?],,0,)</f>
        <v>Yes</v>
      </c>
      <c r="E14" s="9" t="str">
        <f>_xlfn.XLOOKUP(C14,Tab_Def_Flows[Flow_Name],Tab_Def_Flows[DM?],,0,)</f>
        <v>Yes</v>
      </c>
      <c r="F14" s="9" t="str">
        <f>_xlfn.XLOOKUP(C14,Tab_Def_Flows[Flow_Name],Tab_Def_Flows[CC?],,0,)</f>
        <v>Yes</v>
      </c>
      <c r="G14" s="186">
        <v>2037</v>
      </c>
      <c r="H14" s="187">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5">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5">
        <f>INDEX(Tab_Def_Flows[[Flow_ID]:[CC_DM_source]],MATCH(Tab_Data_Flows[[#This Row],[Flow_Name]],Tab_Def_Flows[Flow_Name],0),14)</f>
        <v>0</v>
      </c>
      <c r="Z14" s="6" t="str">
        <f>Tab_Data_Flows[[#This Row],[Flow_ID]]&amp;"_"&amp;"DM_"&amp;Tab_Data_Flows[[#This Row],[Flow_Data_Year]]</f>
        <v>F_01_02_DM_2037</v>
      </c>
      <c r="AA14" s="6">
        <f>IF(E14="Yes",Y14*Tab_Data_Flows[[#This Row],[Flow_Material]],"N.A.")</f>
        <v>0</v>
      </c>
      <c r="AB14" s="6" t="str">
        <f>Tab_Data_Flows[[#This Row],[UoM_Flow_Py]]</f>
        <v>Mg</v>
      </c>
      <c r="AC14" s="135">
        <f>INDEX(Tab_Def_Flows[[Flow_ID]:[CC_DM_source]],MATCH(Tab_Data_Flows[[#This Row],[Flow_Name]],Tab_Def_Flows[Flow_Name],0),17)</f>
        <v>0</v>
      </c>
      <c r="AD14" s="6" t="str">
        <f>Tab_Data_Flows[[#This Row],[Flow_ID]]&amp;"_"&amp;"CC_"&amp;Tab_Data_Flows[[#This Row],[Flow_Data_Year]]</f>
        <v>F_01_02_CC_2037</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F_01_02</v>
      </c>
      <c r="C15" s="134" t="s">
        <v>1110</v>
      </c>
      <c r="D15" s="9" t="str">
        <f>_xlfn.XLOOKUP(C15,Tab_Def_Flows[Flow_Name],Tab_Def_Flows[WC?],,0,)</f>
        <v>Yes</v>
      </c>
      <c r="E15" s="9" t="str">
        <f>_xlfn.XLOOKUP(C15,Tab_Def_Flows[Flow_Name],Tab_Def_Flows[DM?],,0,)</f>
        <v>Yes</v>
      </c>
      <c r="F15" s="9" t="str">
        <f>_xlfn.XLOOKUP(C15,Tab_Def_Flows[Flow_Name],Tab_Def_Flows[CC?],,0,)</f>
        <v>Yes</v>
      </c>
      <c r="G15" s="186">
        <v>2038</v>
      </c>
      <c r="H15" s="187">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5">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5">
        <f>INDEX(Tab_Def_Flows[[Flow_ID]:[CC_DM_source]],MATCH(Tab_Data_Flows[[#This Row],[Flow_Name]],Tab_Def_Flows[Flow_Name],0),14)</f>
        <v>0</v>
      </c>
      <c r="Z15" s="6" t="str">
        <f>Tab_Data_Flows[[#This Row],[Flow_ID]]&amp;"_"&amp;"DM_"&amp;Tab_Data_Flows[[#This Row],[Flow_Data_Year]]</f>
        <v>F_01_02_DM_2038</v>
      </c>
      <c r="AA15" s="6">
        <f>IF(E15="Yes",Y15*Tab_Data_Flows[[#This Row],[Flow_Material]],"N.A.")</f>
        <v>0</v>
      </c>
      <c r="AB15" s="6" t="str">
        <f>Tab_Data_Flows[[#This Row],[UoM_Flow_Py]]</f>
        <v>Mg</v>
      </c>
      <c r="AC15" s="135">
        <f>INDEX(Tab_Def_Flows[[Flow_ID]:[CC_DM_source]],MATCH(Tab_Data_Flows[[#This Row],[Flow_Name]],Tab_Def_Flows[Flow_Name],0),17)</f>
        <v>0</v>
      </c>
      <c r="AD15" s="6" t="str">
        <f>Tab_Data_Flows[[#This Row],[Flow_ID]]&amp;"_"&amp;"CC_"&amp;Tab_Data_Flows[[#This Row],[Flow_Data_Year]]</f>
        <v>F_01_02_CC_2038</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F_01_02</v>
      </c>
      <c r="C16" s="134" t="s">
        <v>1110</v>
      </c>
      <c r="D16" s="9" t="str">
        <f>_xlfn.XLOOKUP(C16,Tab_Def_Flows[Flow_Name],Tab_Def_Flows[WC?],,0,)</f>
        <v>Yes</v>
      </c>
      <c r="E16" s="9" t="str">
        <f>_xlfn.XLOOKUP(C16,Tab_Def_Flows[Flow_Name],Tab_Def_Flows[DM?],,0,)</f>
        <v>Yes</v>
      </c>
      <c r="F16" s="9" t="str">
        <f>_xlfn.XLOOKUP(C16,Tab_Def_Flows[Flow_Name],Tab_Def_Flows[CC?],,0,)</f>
        <v>Yes</v>
      </c>
      <c r="G16" s="186">
        <v>2039</v>
      </c>
      <c r="H16" s="187">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5">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5">
        <f>INDEX(Tab_Def_Flows[[Flow_ID]:[CC_DM_source]],MATCH(Tab_Data_Flows[[#This Row],[Flow_Name]],Tab_Def_Flows[Flow_Name],0),14)</f>
        <v>0</v>
      </c>
      <c r="Z16" s="6" t="str">
        <f>Tab_Data_Flows[[#This Row],[Flow_ID]]&amp;"_"&amp;"DM_"&amp;Tab_Data_Flows[[#This Row],[Flow_Data_Year]]</f>
        <v>F_01_02_DM_2039</v>
      </c>
      <c r="AA16" s="6">
        <f>IF(E16="Yes",Y16*Tab_Data_Flows[[#This Row],[Flow_Material]],"N.A.")</f>
        <v>0</v>
      </c>
      <c r="AB16" s="6" t="str">
        <f>Tab_Data_Flows[[#This Row],[UoM_Flow_Py]]</f>
        <v>Mg</v>
      </c>
      <c r="AC16" s="135">
        <f>INDEX(Tab_Def_Flows[[Flow_ID]:[CC_DM_source]],MATCH(Tab_Data_Flows[[#This Row],[Flow_Name]],Tab_Def_Flows[Flow_Name],0),17)</f>
        <v>0</v>
      </c>
      <c r="AD16" s="6" t="str">
        <f>Tab_Data_Flows[[#This Row],[Flow_ID]]&amp;"_"&amp;"CC_"&amp;Tab_Data_Flows[[#This Row],[Flow_Data_Year]]</f>
        <v>F_01_02_CC_2039</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F_01_02</v>
      </c>
      <c r="C17" s="134" t="s">
        <v>1110</v>
      </c>
      <c r="D17" s="9" t="str">
        <f>_xlfn.XLOOKUP(C17,Tab_Def_Flows[Flow_Name],Tab_Def_Flows[WC?],,0,)</f>
        <v>Yes</v>
      </c>
      <c r="E17" s="9" t="str">
        <f>_xlfn.XLOOKUP(C17,Tab_Def_Flows[Flow_Name],Tab_Def_Flows[DM?],,0,)</f>
        <v>Yes</v>
      </c>
      <c r="F17" s="9" t="str">
        <f>_xlfn.XLOOKUP(C17,Tab_Def_Flows[Flow_Name],Tab_Def_Flows[CC?],,0,)</f>
        <v>Yes</v>
      </c>
      <c r="G17" s="186">
        <v>2040</v>
      </c>
      <c r="H17" s="187">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5">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5">
        <f>INDEX(Tab_Def_Flows[[Flow_ID]:[CC_DM_source]],MATCH(Tab_Data_Flows[[#This Row],[Flow_Name]],Tab_Def_Flows[Flow_Name],0),14)</f>
        <v>0</v>
      </c>
      <c r="Z17" s="6" t="str">
        <f>Tab_Data_Flows[[#This Row],[Flow_ID]]&amp;"_"&amp;"DM_"&amp;Tab_Data_Flows[[#This Row],[Flow_Data_Year]]</f>
        <v>F_01_02_DM_2040</v>
      </c>
      <c r="AA17" s="6">
        <f>IF(E17="Yes",Y17*Tab_Data_Flows[[#This Row],[Flow_Material]],"N.A.")</f>
        <v>0</v>
      </c>
      <c r="AB17" s="6" t="str">
        <f>Tab_Data_Flows[[#This Row],[UoM_Flow_Py]]</f>
        <v>Mg</v>
      </c>
      <c r="AC17" s="135">
        <f>INDEX(Tab_Def_Flows[[Flow_ID]:[CC_DM_source]],MATCH(Tab_Data_Flows[[#This Row],[Flow_Name]],Tab_Def_Flows[Flow_Name],0),17)</f>
        <v>0</v>
      </c>
      <c r="AD17" s="6" t="str">
        <f>Tab_Data_Flows[[#This Row],[Flow_ID]]&amp;"_"&amp;"CC_"&amp;Tab_Data_Flows[[#This Row],[Flow_Data_Year]]</f>
        <v>F_01_02_CC_2040</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F_01_02</v>
      </c>
      <c r="C18" s="134" t="s">
        <v>1110</v>
      </c>
      <c r="D18" s="9" t="str">
        <f>_xlfn.XLOOKUP(C18,Tab_Def_Flows[Flow_Name],Tab_Def_Flows[WC?],,0,)</f>
        <v>Yes</v>
      </c>
      <c r="E18" s="9" t="str">
        <f>_xlfn.XLOOKUP(C18,Tab_Def_Flows[Flow_Name],Tab_Def_Flows[DM?],,0,)</f>
        <v>Yes</v>
      </c>
      <c r="F18" s="9" t="str">
        <f>_xlfn.XLOOKUP(C18,Tab_Def_Flows[Flow_Name],Tab_Def_Flows[CC?],,0,)</f>
        <v>Yes</v>
      </c>
      <c r="G18" s="186">
        <v>2041</v>
      </c>
      <c r="H18" s="187">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5">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5">
        <f>INDEX(Tab_Def_Flows[[Flow_ID]:[CC_DM_source]],MATCH(Tab_Data_Flows[[#This Row],[Flow_Name]],Tab_Def_Flows[Flow_Name],0),14)</f>
        <v>0</v>
      </c>
      <c r="Z18" s="6" t="str">
        <f>Tab_Data_Flows[[#This Row],[Flow_ID]]&amp;"_"&amp;"DM_"&amp;Tab_Data_Flows[[#This Row],[Flow_Data_Year]]</f>
        <v>F_01_02_DM_2041</v>
      </c>
      <c r="AA18" s="6">
        <f>IF(E18="Yes",Y18*Tab_Data_Flows[[#This Row],[Flow_Material]],"N.A.")</f>
        <v>0</v>
      </c>
      <c r="AB18" s="6" t="str">
        <f>Tab_Data_Flows[[#This Row],[UoM_Flow_Py]]</f>
        <v>Mg</v>
      </c>
      <c r="AC18" s="135">
        <f>INDEX(Tab_Def_Flows[[Flow_ID]:[CC_DM_source]],MATCH(Tab_Data_Flows[[#This Row],[Flow_Name]],Tab_Def_Flows[Flow_Name],0),17)</f>
        <v>0</v>
      </c>
      <c r="AD18" s="6" t="str">
        <f>Tab_Data_Flows[[#This Row],[Flow_ID]]&amp;"_"&amp;"CC_"&amp;Tab_Data_Flows[[#This Row],[Flow_Data_Year]]</f>
        <v>F_01_02_CC_2041</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F_01_02</v>
      </c>
      <c r="C19" s="134" t="s">
        <v>1110</v>
      </c>
      <c r="D19" s="9" t="str">
        <f>_xlfn.XLOOKUP(C19,Tab_Def_Flows[Flow_Name],Tab_Def_Flows[WC?],,0,)</f>
        <v>Yes</v>
      </c>
      <c r="E19" s="9" t="str">
        <f>_xlfn.XLOOKUP(C19,Tab_Def_Flows[Flow_Name],Tab_Def_Flows[DM?],,0,)</f>
        <v>Yes</v>
      </c>
      <c r="F19" s="9" t="str">
        <f>_xlfn.XLOOKUP(C19,Tab_Def_Flows[Flow_Name],Tab_Def_Flows[CC?],,0,)</f>
        <v>Yes</v>
      </c>
      <c r="G19" s="186">
        <v>2042</v>
      </c>
      <c r="H19" s="187">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5">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5">
        <f>INDEX(Tab_Def_Flows[[Flow_ID]:[CC_DM_source]],MATCH(Tab_Data_Flows[[#This Row],[Flow_Name]],Tab_Def_Flows[Flow_Name],0),14)</f>
        <v>0</v>
      </c>
      <c r="Z19" s="6" t="str">
        <f>Tab_Data_Flows[[#This Row],[Flow_ID]]&amp;"_"&amp;"DM_"&amp;Tab_Data_Flows[[#This Row],[Flow_Data_Year]]</f>
        <v>F_01_02_DM_2042</v>
      </c>
      <c r="AA19" s="6">
        <f>IF(E19="Yes",Y19*Tab_Data_Flows[[#This Row],[Flow_Material]],"N.A.")</f>
        <v>0</v>
      </c>
      <c r="AB19" s="6" t="str">
        <f>Tab_Data_Flows[[#This Row],[UoM_Flow_Py]]</f>
        <v>Mg</v>
      </c>
      <c r="AC19" s="135">
        <f>INDEX(Tab_Def_Flows[[Flow_ID]:[CC_DM_source]],MATCH(Tab_Data_Flows[[#This Row],[Flow_Name]],Tab_Def_Flows[Flow_Name],0),17)</f>
        <v>0</v>
      </c>
      <c r="AD19" s="6" t="str">
        <f>Tab_Data_Flows[[#This Row],[Flow_ID]]&amp;"_"&amp;"CC_"&amp;Tab_Data_Flows[[#This Row],[Flow_Data_Year]]</f>
        <v>F_01_02_CC_2042</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F_01_02</v>
      </c>
      <c r="C20" s="134" t="s">
        <v>1110</v>
      </c>
      <c r="D20" s="9" t="str">
        <f>_xlfn.XLOOKUP(C20,Tab_Def_Flows[Flow_Name],Tab_Def_Flows[WC?],,0,)</f>
        <v>Yes</v>
      </c>
      <c r="E20" s="9" t="str">
        <f>_xlfn.XLOOKUP(C20,Tab_Def_Flows[Flow_Name],Tab_Def_Flows[DM?],,0,)</f>
        <v>Yes</v>
      </c>
      <c r="F20" s="9" t="str">
        <f>_xlfn.XLOOKUP(C20,Tab_Def_Flows[Flow_Name],Tab_Def_Flows[CC?],,0,)</f>
        <v>Yes</v>
      </c>
      <c r="G20" s="186">
        <v>2043</v>
      </c>
      <c r="H20" s="187">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5">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5">
        <f>INDEX(Tab_Def_Flows[[Flow_ID]:[CC_DM_source]],MATCH(Tab_Data_Flows[[#This Row],[Flow_Name]],Tab_Def_Flows[Flow_Name],0),14)</f>
        <v>0</v>
      </c>
      <c r="Z20" s="6" t="str">
        <f>Tab_Data_Flows[[#This Row],[Flow_ID]]&amp;"_"&amp;"DM_"&amp;Tab_Data_Flows[[#This Row],[Flow_Data_Year]]</f>
        <v>F_01_02_DM_2043</v>
      </c>
      <c r="AA20" s="6">
        <f>IF(E20="Yes",Y20*Tab_Data_Flows[[#This Row],[Flow_Material]],"N.A.")</f>
        <v>0</v>
      </c>
      <c r="AB20" s="6" t="str">
        <f>Tab_Data_Flows[[#This Row],[UoM_Flow_Py]]</f>
        <v>Mg</v>
      </c>
      <c r="AC20" s="135">
        <f>INDEX(Tab_Def_Flows[[Flow_ID]:[CC_DM_source]],MATCH(Tab_Data_Flows[[#This Row],[Flow_Name]],Tab_Def_Flows[Flow_Name],0),17)</f>
        <v>0</v>
      </c>
      <c r="AD20" s="6" t="str">
        <f>Tab_Data_Flows[[#This Row],[Flow_ID]]&amp;"_"&amp;"CC_"&amp;Tab_Data_Flows[[#This Row],[Flow_Data_Year]]</f>
        <v>F_01_02_CC_2043</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F_01_02</v>
      </c>
      <c r="C21" s="134" t="s">
        <v>1110</v>
      </c>
      <c r="D21" s="9" t="str">
        <f>_xlfn.XLOOKUP(C21,Tab_Def_Flows[Flow_Name],Tab_Def_Flows[WC?],,0,)</f>
        <v>Yes</v>
      </c>
      <c r="E21" s="9" t="str">
        <f>_xlfn.XLOOKUP(C21,Tab_Def_Flows[Flow_Name],Tab_Def_Flows[DM?],,0,)</f>
        <v>Yes</v>
      </c>
      <c r="F21" s="9" t="str">
        <f>_xlfn.XLOOKUP(C21,Tab_Def_Flows[Flow_Name],Tab_Def_Flows[CC?],,0,)</f>
        <v>Yes</v>
      </c>
      <c r="G21" s="186">
        <v>2044</v>
      </c>
      <c r="H21" s="187">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5">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5">
        <f>INDEX(Tab_Def_Flows[[Flow_ID]:[CC_DM_source]],MATCH(Tab_Data_Flows[[#This Row],[Flow_Name]],Tab_Def_Flows[Flow_Name],0),14)</f>
        <v>0</v>
      </c>
      <c r="Z21" s="6" t="str">
        <f>Tab_Data_Flows[[#This Row],[Flow_ID]]&amp;"_"&amp;"DM_"&amp;Tab_Data_Flows[[#This Row],[Flow_Data_Year]]</f>
        <v>F_01_02_DM_2044</v>
      </c>
      <c r="AA21" s="6">
        <f>IF(E21="Yes",Y21*Tab_Data_Flows[[#This Row],[Flow_Material]],"N.A.")</f>
        <v>0</v>
      </c>
      <c r="AB21" s="6" t="str">
        <f>Tab_Data_Flows[[#This Row],[UoM_Flow_Py]]</f>
        <v>Mg</v>
      </c>
      <c r="AC21" s="135">
        <f>INDEX(Tab_Def_Flows[[Flow_ID]:[CC_DM_source]],MATCH(Tab_Data_Flows[[#This Row],[Flow_Name]],Tab_Def_Flows[Flow_Name],0),17)</f>
        <v>0</v>
      </c>
      <c r="AD21" s="6" t="str">
        <f>Tab_Data_Flows[[#This Row],[Flow_ID]]&amp;"_"&amp;"CC_"&amp;Tab_Data_Flows[[#This Row],[Flow_Data_Year]]</f>
        <v>F_01_02_CC_2044</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F_01_02</v>
      </c>
      <c r="C22" s="134" t="s">
        <v>1110</v>
      </c>
      <c r="D22" s="9" t="str">
        <f>_xlfn.XLOOKUP(C22,Tab_Def_Flows[Flow_Name],Tab_Def_Flows[WC?],,0,)</f>
        <v>Yes</v>
      </c>
      <c r="E22" s="9" t="str">
        <f>_xlfn.XLOOKUP(C22,Tab_Def_Flows[Flow_Name],Tab_Def_Flows[DM?],,0,)</f>
        <v>Yes</v>
      </c>
      <c r="F22" s="9" t="str">
        <f>_xlfn.XLOOKUP(C22,Tab_Def_Flows[Flow_Name],Tab_Def_Flows[CC?],,0,)</f>
        <v>Yes</v>
      </c>
      <c r="G22" s="186">
        <v>2045</v>
      </c>
      <c r="H22" s="187">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5">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5">
        <f>INDEX(Tab_Def_Flows[[Flow_ID]:[CC_DM_source]],MATCH(Tab_Data_Flows[[#This Row],[Flow_Name]],Tab_Def_Flows[Flow_Name],0),14)</f>
        <v>0</v>
      </c>
      <c r="Z22" s="6" t="str">
        <f>Tab_Data_Flows[[#This Row],[Flow_ID]]&amp;"_"&amp;"DM_"&amp;Tab_Data_Flows[[#This Row],[Flow_Data_Year]]</f>
        <v>F_01_02_DM_2045</v>
      </c>
      <c r="AA22" s="6">
        <f>IF(E22="Yes",Y22*Tab_Data_Flows[[#This Row],[Flow_Material]],"N.A.")</f>
        <v>0</v>
      </c>
      <c r="AB22" s="6" t="str">
        <f>Tab_Data_Flows[[#This Row],[UoM_Flow_Py]]</f>
        <v>Mg</v>
      </c>
      <c r="AC22" s="135">
        <f>INDEX(Tab_Def_Flows[[Flow_ID]:[CC_DM_source]],MATCH(Tab_Data_Flows[[#This Row],[Flow_Name]],Tab_Def_Flows[Flow_Name],0),17)</f>
        <v>0</v>
      </c>
      <c r="AD22" s="6" t="str">
        <f>Tab_Data_Flows[[#This Row],[Flow_ID]]&amp;"_"&amp;"CC_"&amp;Tab_Data_Flows[[#This Row],[Flow_Data_Year]]</f>
        <v>F_01_02_CC_2045</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F_01_02</v>
      </c>
      <c r="C23" s="134" t="s">
        <v>1110</v>
      </c>
      <c r="D23" s="9" t="str">
        <f>_xlfn.XLOOKUP(C23,Tab_Def_Flows[Flow_Name],Tab_Def_Flows[WC?],,0,)</f>
        <v>Yes</v>
      </c>
      <c r="E23" s="9" t="str">
        <f>_xlfn.XLOOKUP(C23,Tab_Def_Flows[Flow_Name],Tab_Def_Flows[DM?],,0,)</f>
        <v>Yes</v>
      </c>
      <c r="F23" s="9" t="str">
        <f>_xlfn.XLOOKUP(C23,Tab_Def_Flows[Flow_Name],Tab_Def_Flows[CC?],,0,)</f>
        <v>Yes</v>
      </c>
      <c r="G23" s="186">
        <v>2046</v>
      </c>
      <c r="H23" s="187">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5">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5">
        <f>INDEX(Tab_Def_Flows[[Flow_ID]:[CC_DM_source]],MATCH(Tab_Data_Flows[[#This Row],[Flow_Name]],Tab_Def_Flows[Flow_Name],0),14)</f>
        <v>0</v>
      </c>
      <c r="Z23" s="6" t="str">
        <f>Tab_Data_Flows[[#This Row],[Flow_ID]]&amp;"_"&amp;"DM_"&amp;Tab_Data_Flows[[#This Row],[Flow_Data_Year]]</f>
        <v>F_01_02_DM_2046</v>
      </c>
      <c r="AA23" s="6">
        <f>IF(E23="Yes",Y23*Tab_Data_Flows[[#This Row],[Flow_Material]],"N.A.")</f>
        <v>0</v>
      </c>
      <c r="AB23" s="6" t="str">
        <f>Tab_Data_Flows[[#This Row],[UoM_Flow_Py]]</f>
        <v>Mg</v>
      </c>
      <c r="AC23" s="135">
        <f>INDEX(Tab_Def_Flows[[Flow_ID]:[CC_DM_source]],MATCH(Tab_Data_Flows[[#This Row],[Flow_Name]],Tab_Def_Flows[Flow_Name],0),17)</f>
        <v>0</v>
      </c>
      <c r="AD23" s="6" t="str">
        <f>Tab_Data_Flows[[#This Row],[Flow_ID]]&amp;"_"&amp;"CC_"&amp;Tab_Data_Flows[[#This Row],[Flow_Data_Year]]</f>
        <v>F_01_02_CC_2046</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F_01_02</v>
      </c>
      <c r="C24" s="134" t="s">
        <v>1110</v>
      </c>
      <c r="D24" s="9" t="str">
        <f>_xlfn.XLOOKUP(C24,Tab_Def_Flows[Flow_Name],Tab_Def_Flows[WC?],,0,)</f>
        <v>Yes</v>
      </c>
      <c r="E24" s="9" t="str">
        <f>_xlfn.XLOOKUP(C24,Tab_Def_Flows[Flow_Name],Tab_Def_Flows[DM?],,0,)</f>
        <v>Yes</v>
      </c>
      <c r="F24" s="9" t="str">
        <f>_xlfn.XLOOKUP(C24,Tab_Def_Flows[Flow_Name],Tab_Def_Flows[CC?],,0,)</f>
        <v>Yes</v>
      </c>
      <c r="G24" s="186">
        <v>2047</v>
      </c>
      <c r="H24" s="187">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5">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5">
        <f>INDEX(Tab_Def_Flows[[Flow_ID]:[CC_DM_source]],MATCH(Tab_Data_Flows[[#This Row],[Flow_Name]],Tab_Def_Flows[Flow_Name],0),14)</f>
        <v>0</v>
      </c>
      <c r="Z24" s="6" t="str">
        <f>Tab_Data_Flows[[#This Row],[Flow_ID]]&amp;"_"&amp;"DM_"&amp;Tab_Data_Flows[[#This Row],[Flow_Data_Year]]</f>
        <v>F_01_02_DM_2047</v>
      </c>
      <c r="AA24" s="6">
        <f>IF(E24="Yes",Y24*Tab_Data_Flows[[#This Row],[Flow_Material]],"N.A.")</f>
        <v>0</v>
      </c>
      <c r="AB24" s="6" t="str">
        <f>Tab_Data_Flows[[#This Row],[UoM_Flow_Py]]</f>
        <v>Mg</v>
      </c>
      <c r="AC24" s="135">
        <f>INDEX(Tab_Def_Flows[[Flow_ID]:[CC_DM_source]],MATCH(Tab_Data_Flows[[#This Row],[Flow_Name]],Tab_Def_Flows[Flow_Name],0),17)</f>
        <v>0</v>
      </c>
      <c r="AD24" s="6" t="str">
        <f>Tab_Data_Flows[[#This Row],[Flow_ID]]&amp;"_"&amp;"CC_"&amp;Tab_Data_Flows[[#This Row],[Flow_Data_Year]]</f>
        <v>F_01_02_CC_2047</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F_01_02</v>
      </c>
      <c r="C25" s="134" t="s">
        <v>1110</v>
      </c>
      <c r="D25" s="9" t="str">
        <f>_xlfn.XLOOKUP(C25,Tab_Def_Flows[Flow_Name],Tab_Def_Flows[WC?],,0,)</f>
        <v>Yes</v>
      </c>
      <c r="E25" s="9" t="str">
        <f>_xlfn.XLOOKUP(C25,Tab_Def_Flows[Flow_Name],Tab_Def_Flows[DM?],,0,)</f>
        <v>Yes</v>
      </c>
      <c r="F25" s="9" t="str">
        <f>_xlfn.XLOOKUP(C25,Tab_Def_Flows[Flow_Name],Tab_Def_Flows[CC?],,0,)</f>
        <v>Yes</v>
      </c>
      <c r="G25" s="186">
        <v>2048</v>
      </c>
      <c r="H25" s="187">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5">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5">
        <f>INDEX(Tab_Def_Flows[[Flow_ID]:[CC_DM_source]],MATCH(Tab_Data_Flows[[#This Row],[Flow_Name]],Tab_Def_Flows[Flow_Name],0),14)</f>
        <v>0</v>
      </c>
      <c r="Z25" s="6" t="str">
        <f>Tab_Data_Flows[[#This Row],[Flow_ID]]&amp;"_"&amp;"DM_"&amp;Tab_Data_Flows[[#This Row],[Flow_Data_Year]]</f>
        <v>F_01_02_DM_2048</v>
      </c>
      <c r="AA25" s="6">
        <f>IF(E25="Yes",Y25*Tab_Data_Flows[[#This Row],[Flow_Material]],"N.A.")</f>
        <v>0</v>
      </c>
      <c r="AB25" s="6" t="str">
        <f>Tab_Data_Flows[[#This Row],[UoM_Flow_Py]]</f>
        <v>Mg</v>
      </c>
      <c r="AC25" s="135">
        <f>INDEX(Tab_Def_Flows[[Flow_ID]:[CC_DM_source]],MATCH(Tab_Data_Flows[[#This Row],[Flow_Name]],Tab_Def_Flows[Flow_Name],0),17)</f>
        <v>0</v>
      </c>
      <c r="AD25" s="6" t="str">
        <f>Tab_Data_Flows[[#This Row],[Flow_ID]]&amp;"_"&amp;"CC_"&amp;Tab_Data_Flows[[#This Row],[Flow_Data_Year]]</f>
        <v>F_01_02_CC_2048</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F_01_02</v>
      </c>
      <c r="C26" s="134" t="s">
        <v>1110</v>
      </c>
      <c r="D26" s="9" t="str">
        <f>_xlfn.XLOOKUP(C26,Tab_Def_Flows[Flow_Name],Tab_Def_Flows[WC?],,0,)</f>
        <v>Yes</v>
      </c>
      <c r="E26" s="9" t="str">
        <f>_xlfn.XLOOKUP(C26,Tab_Def_Flows[Flow_Name],Tab_Def_Flows[DM?],,0,)</f>
        <v>Yes</v>
      </c>
      <c r="F26" s="9" t="str">
        <f>_xlfn.XLOOKUP(C26,Tab_Def_Flows[Flow_Name],Tab_Def_Flows[CC?],,0,)</f>
        <v>Yes</v>
      </c>
      <c r="G26" s="186">
        <v>2049</v>
      </c>
      <c r="H26" s="187">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5">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5">
        <f>INDEX(Tab_Def_Flows[[Flow_ID]:[CC_DM_source]],MATCH(Tab_Data_Flows[[#This Row],[Flow_Name]],Tab_Def_Flows[Flow_Name],0),14)</f>
        <v>0</v>
      </c>
      <c r="Z26" s="6" t="str">
        <f>Tab_Data_Flows[[#This Row],[Flow_ID]]&amp;"_"&amp;"DM_"&amp;Tab_Data_Flows[[#This Row],[Flow_Data_Year]]</f>
        <v>F_01_02_DM_2049</v>
      </c>
      <c r="AA26" s="6">
        <f>IF(E26="Yes",Y26*Tab_Data_Flows[[#This Row],[Flow_Material]],"N.A.")</f>
        <v>0</v>
      </c>
      <c r="AB26" s="6" t="str">
        <f>Tab_Data_Flows[[#This Row],[UoM_Flow_Py]]</f>
        <v>Mg</v>
      </c>
      <c r="AC26" s="135">
        <f>INDEX(Tab_Def_Flows[[Flow_ID]:[CC_DM_source]],MATCH(Tab_Data_Flows[[#This Row],[Flow_Name]],Tab_Def_Flows[Flow_Name],0),17)</f>
        <v>0</v>
      </c>
      <c r="AD26" s="6" t="str">
        <f>Tab_Data_Flows[[#This Row],[Flow_ID]]&amp;"_"&amp;"CC_"&amp;Tab_Data_Flows[[#This Row],[Flow_Data_Year]]</f>
        <v>F_01_02_CC_2049</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F_01_02</v>
      </c>
      <c r="C27" s="134" t="s">
        <v>1110</v>
      </c>
      <c r="D27" s="9" t="str">
        <f>_xlfn.XLOOKUP(C27,Tab_Def_Flows[Flow_Name],Tab_Def_Flows[WC?],,0,)</f>
        <v>Yes</v>
      </c>
      <c r="E27" s="9" t="str">
        <f>_xlfn.XLOOKUP(C27,Tab_Def_Flows[Flow_Name],Tab_Def_Flows[DM?],,0,)</f>
        <v>Yes</v>
      </c>
      <c r="F27" s="9" t="str">
        <f>_xlfn.XLOOKUP(C27,Tab_Def_Flows[Flow_Name],Tab_Def_Flows[CC?],,0,)</f>
        <v>Yes</v>
      </c>
      <c r="G27" s="186">
        <v>2050</v>
      </c>
      <c r="H27" s="187">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5">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5">
        <f>INDEX(Tab_Def_Flows[[Flow_ID]:[CC_DM_source]],MATCH(Tab_Data_Flows[[#This Row],[Flow_Name]],Tab_Def_Flows[Flow_Name],0),14)</f>
        <v>0</v>
      </c>
      <c r="Z27" s="6" t="str">
        <f>Tab_Data_Flows[[#This Row],[Flow_ID]]&amp;"_"&amp;"DM_"&amp;Tab_Data_Flows[[#This Row],[Flow_Data_Year]]</f>
        <v>F_01_02_DM_2050</v>
      </c>
      <c r="AA27" s="6">
        <f>IF(E27="Yes",Y27*Tab_Data_Flows[[#This Row],[Flow_Material]],"N.A.")</f>
        <v>0</v>
      </c>
      <c r="AB27" s="6" t="str">
        <f>Tab_Data_Flows[[#This Row],[UoM_Flow_Py]]</f>
        <v>Mg</v>
      </c>
      <c r="AC27" s="135">
        <f>INDEX(Tab_Def_Flows[[Flow_ID]:[CC_DM_source]],MATCH(Tab_Data_Flows[[#This Row],[Flow_Name]],Tab_Def_Flows[Flow_Name],0),17)</f>
        <v>0</v>
      </c>
      <c r="AD27" s="6" t="str">
        <f>Tab_Data_Flows[[#This Row],[Flow_ID]]&amp;"_"&amp;"CC_"&amp;Tab_Data_Flows[[#This Row],[Flow_Data_Year]]</f>
        <v>F_01_02_CC_2050</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F_00_02</v>
      </c>
      <c r="C28" s="134" t="s">
        <v>1111</v>
      </c>
      <c r="D28" s="9" t="str">
        <f>_xlfn.XLOOKUP(C28,Tab_Def_Flows[Flow_Name],Tab_Def_Flows[WC?],,0,)</f>
        <v>Yes</v>
      </c>
      <c r="E28" s="9" t="str">
        <f>_xlfn.XLOOKUP(C28,Tab_Def_Flows[Flow_Name],Tab_Def_Flows[DM?],,0,)</f>
        <v>Yes</v>
      </c>
      <c r="F28" s="9" t="str">
        <f>_xlfn.XLOOKUP(C28,Tab_Def_Flows[Flow_Name],Tab_Def_Flows[CC?],,0,)</f>
        <v>Yes</v>
      </c>
      <c r="G28" s="186">
        <v>2025</v>
      </c>
      <c r="H28" s="187">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5">
        <f>INDEX(Tab_Def_Flows[[Flow_ID]:[CC_DM_source]],MATCH(Tab_Data_Flows[[#This Row],[Flow_Name]],Tab_Def_Flows[Flow_Name],0),11)</f>
        <v>0</v>
      </c>
      <c r="V28" s="6" t="str">
        <f>Tab_Data_Flows[[#This Row],[Flow_ID]]&amp;"_"&amp;"WC_"&amp;Tab_Data_Flows[[#This Row],[Flow_Data_Year]]</f>
        <v>F_00_02_WC_2025</v>
      </c>
      <c r="W28" s="6">
        <f>IF(D28="Yes",S28*Tab_Data_Flows[[#This Row],[WC_'[%']]],"N.A.")</f>
        <v>0</v>
      </c>
      <c r="X28" s="6" t="str">
        <f>Tab_Data_Flows[[#This Row],[UoM_Flow_Py]]</f>
        <v>Mg</v>
      </c>
      <c r="Y28" s="135">
        <f>INDEX(Tab_Def_Flows[[Flow_ID]:[CC_DM_source]],MATCH(Tab_Data_Flows[[#This Row],[Flow_Name]],Tab_Def_Flows[Flow_Name],0),14)</f>
        <v>0</v>
      </c>
      <c r="Z28" s="6" t="str">
        <f>Tab_Data_Flows[[#This Row],[Flow_ID]]&amp;"_"&amp;"DM_"&amp;Tab_Data_Flows[[#This Row],[Flow_Data_Year]]</f>
        <v>F_00_02_DM_2025</v>
      </c>
      <c r="AA28" s="6">
        <f>IF(E28="Yes",Y28*Tab_Data_Flows[[#This Row],[Flow_Material]],"N.A.")</f>
        <v>0</v>
      </c>
      <c r="AB28" s="6" t="str">
        <f>Tab_Data_Flows[[#This Row],[UoM_Flow_Py]]</f>
        <v>Mg</v>
      </c>
      <c r="AC28" s="135">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4" t="s">
        <v>1111</v>
      </c>
      <c r="D29" s="9" t="str">
        <f>_xlfn.XLOOKUP(C29,Tab_Def_Flows[Flow_Name],Tab_Def_Flows[WC?],,0,)</f>
        <v>Yes</v>
      </c>
      <c r="E29" s="9" t="str">
        <f>_xlfn.XLOOKUP(C29,Tab_Def_Flows[Flow_Name],Tab_Def_Flows[DM?],,0,)</f>
        <v>Yes</v>
      </c>
      <c r="F29" s="9" t="str">
        <f>_xlfn.XLOOKUP(C29,Tab_Def_Flows[Flow_Name],Tab_Def_Flows[CC?],,0,)</f>
        <v>Yes</v>
      </c>
      <c r="G29" s="186">
        <v>2026</v>
      </c>
      <c r="H29" s="187">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5">
        <f>INDEX(Tab_Def_Flows[[Flow_ID]:[CC_DM_source]],MATCH(Tab_Data_Flows[[#This Row],[Flow_Name]],Tab_Def_Flows[Flow_Name],0),11)</f>
        <v>0</v>
      </c>
      <c r="V29" s="6" t="str">
        <f>Tab_Data_Flows[[#This Row],[Flow_ID]]&amp;"_"&amp;"WC_"&amp;Tab_Data_Flows[[#This Row],[Flow_Data_Year]]</f>
        <v>F_00_02_WC_2026</v>
      </c>
      <c r="W29" s="6">
        <f>IF(D29="Yes",S29*Tab_Data_Flows[[#This Row],[WC_'[%']]],"N.A.")</f>
        <v>0</v>
      </c>
      <c r="X29" s="6" t="str">
        <f>Tab_Data_Flows[[#This Row],[UoM_Flow_Py]]</f>
        <v>Mg</v>
      </c>
      <c r="Y29" s="135">
        <f>INDEX(Tab_Def_Flows[[Flow_ID]:[CC_DM_source]],MATCH(Tab_Data_Flows[[#This Row],[Flow_Name]],Tab_Def_Flows[Flow_Name],0),14)</f>
        <v>0</v>
      </c>
      <c r="Z29" s="6" t="str">
        <f>Tab_Data_Flows[[#This Row],[Flow_ID]]&amp;"_"&amp;"DM_"&amp;Tab_Data_Flows[[#This Row],[Flow_Data_Year]]</f>
        <v>F_00_02_DM_2026</v>
      </c>
      <c r="AA29" s="6">
        <f>IF(E29="Yes",Y29*Tab_Data_Flows[[#This Row],[Flow_Material]],"N.A.")</f>
        <v>0</v>
      </c>
      <c r="AB29" s="6" t="str">
        <f>Tab_Data_Flows[[#This Row],[UoM_Flow_Py]]</f>
        <v>Mg</v>
      </c>
      <c r="AC29" s="135">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4" t="s">
        <v>1111</v>
      </c>
      <c r="D30" s="9" t="str">
        <f>_xlfn.XLOOKUP(C30,Tab_Def_Flows[Flow_Name],Tab_Def_Flows[WC?],,0,)</f>
        <v>Yes</v>
      </c>
      <c r="E30" s="9" t="str">
        <f>_xlfn.XLOOKUP(C30,Tab_Def_Flows[Flow_Name],Tab_Def_Flows[DM?],,0,)</f>
        <v>Yes</v>
      </c>
      <c r="F30" s="9" t="str">
        <f>_xlfn.XLOOKUP(C30,Tab_Def_Flows[Flow_Name],Tab_Def_Flows[CC?],,0,)</f>
        <v>Yes</v>
      </c>
      <c r="G30" s="186">
        <v>2027</v>
      </c>
      <c r="H30" s="187">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5">
        <f>INDEX(Tab_Def_Flows[[Flow_ID]:[CC_DM_source]],MATCH(Tab_Data_Flows[[#This Row],[Flow_Name]],Tab_Def_Flows[Flow_Name],0),11)</f>
        <v>0</v>
      </c>
      <c r="V30" s="6" t="str">
        <f>Tab_Data_Flows[[#This Row],[Flow_ID]]&amp;"_"&amp;"WC_"&amp;Tab_Data_Flows[[#This Row],[Flow_Data_Year]]</f>
        <v>F_00_02_WC_2027</v>
      </c>
      <c r="W30" s="6">
        <f>IF(D30="Yes",S30*Tab_Data_Flows[[#This Row],[WC_'[%']]],"N.A.")</f>
        <v>0</v>
      </c>
      <c r="X30" s="6" t="str">
        <f>Tab_Data_Flows[[#This Row],[UoM_Flow_Py]]</f>
        <v>Mg</v>
      </c>
      <c r="Y30" s="135">
        <f>INDEX(Tab_Def_Flows[[Flow_ID]:[CC_DM_source]],MATCH(Tab_Data_Flows[[#This Row],[Flow_Name]],Tab_Def_Flows[Flow_Name],0),14)</f>
        <v>0</v>
      </c>
      <c r="Z30" s="6" t="str">
        <f>Tab_Data_Flows[[#This Row],[Flow_ID]]&amp;"_"&amp;"DM_"&amp;Tab_Data_Flows[[#This Row],[Flow_Data_Year]]</f>
        <v>F_00_02_DM_2027</v>
      </c>
      <c r="AA30" s="6">
        <f>IF(E30="Yes",Y30*Tab_Data_Flows[[#This Row],[Flow_Material]],"N.A.")</f>
        <v>0</v>
      </c>
      <c r="AB30" s="6" t="str">
        <f>Tab_Data_Flows[[#This Row],[UoM_Flow_Py]]</f>
        <v>Mg</v>
      </c>
      <c r="AC30" s="135">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4" t="s">
        <v>1111</v>
      </c>
      <c r="D31" s="9" t="str">
        <f>_xlfn.XLOOKUP(C31,Tab_Def_Flows[Flow_Name],Tab_Def_Flows[WC?],,0,)</f>
        <v>Yes</v>
      </c>
      <c r="E31" s="9" t="str">
        <f>_xlfn.XLOOKUP(C31,Tab_Def_Flows[Flow_Name],Tab_Def_Flows[DM?],,0,)</f>
        <v>Yes</v>
      </c>
      <c r="F31" s="9" t="str">
        <f>_xlfn.XLOOKUP(C31,Tab_Def_Flows[Flow_Name],Tab_Def_Flows[CC?],,0,)</f>
        <v>Yes</v>
      </c>
      <c r="G31" s="186">
        <v>2028</v>
      </c>
      <c r="H31" s="187">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5">
        <f>INDEX(Tab_Def_Flows[[Flow_ID]:[CC_DM_source]],MATCH(Tab_Data_Flows[[#This Row],[Flow_Name]],Tab_Def_Flows[Flow_Name],0),11)</f>
        <v>0</v>
      </c>
      <c r="V31" s="6" t="str">
        <f>Tab_Data_Flows[[#This Row],[Flow_ID]]&amp;"_"&amp;"WC_"&amp;Tab_Data_Flows[[#This Row],[Flow_Data_Year]]</f>
        <v>F_00_02_WC_2028</v>
      </c>
      <c r="W31" s="6">
        <f>IF(D31="Yes",S31*Tab_Data_Flows[[#This Row],[WC_'[%']]],"N.A.")</f>
        <v>0</v>
      </c>
      <c r="X31" s="6" t="str">
        <f>Tab_Data_Flows[[#This Row],[UoM_Flow_Py]]</f>
        <v>Mg</v>
      </c>
      <c r="Y31" s="135">
        <f>INDEX(Tab_Def_Flows[[Flow_ID]:[CC_DM_source]],MATCH(Tab_Data_Flows[[#This Row],[Flow_Name]],Tab_Def_Flows[Flow_Name],0),14)</f>
        <v>0</v>
      </c>
      <c r="Z31" s="6" t="str">
        <f>Tab_Data_Flows[[#This Row],[Flow_ID]]&amp;"_"&amp;"DM_"&amp;Tab_Data_Flows[[#This Row],[Flow_Data_Year]]</f>
        <v>F_00_02_DM_2028</v>
      </c>
      <c r="AA31" s="6">
        <f>IF(E31="Yes",Y31*Tab_Data_Flows[[#This Row],[Flow_Material]],"N.A.")</f>
        <v>0</v>
      </c>
      <c r="AB31" s="6" t="str">
        <f>Tab_Data_Flows[[#This Row],[UoM_Flow_Py]]</f>
        <v>Mg</v>
      </c>
      <c r="AC31" s="135">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4" t="s">
        <v>1111</v>
      </c>
      <c r="D32" s="9" t="str">
        <f>_xlfn.XLOOKUP(C32,Tab_Def_Flows[Flow_Name],Tab_Def_Flows[WC?],,0,)</f>
        <v>Yes</v>
      </c>
      <c r="E32" s="9" t="str">
        <f>_xlfn.XLOOKUP(C32,Tab_Def_Flows[Flow_Name],Tab_Def_Flows[DM?],,0,)</f>
        <v>Yes</v>
      </c>
      <c r="F32" s="9" t="str">
        <f>_xlfn.XLOOKUP(C32,Tab_Def_Flows[Flow_Name],Tab_Def_Flows[CC?],,0,)</f>
        <v>Yes</v>
      </c>
      <c r="G32" s="186">
        <v>2029</v>
      </c>
      <c r="H32" s="187">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5">
        <f>INDEX(Tab_Def_Flows[[Flow_ID]:[CC_DM_source]],MATCH(Tab_Data_Flows[[#This Row],[Flow_Name]],Tab_Def_Flows[Flow_Name],0),11)</f>
        <v>0</v>
      </c>
      <c r="V32" s="6" t="str">
        <f>Tab_Data_Flows[[#This Row],[Flow_ID]]&amp;"_"&amp;"WC_"&amp;Tab_Data_Flows[[#This Row],[Flow_Data_Year]]</f>
        <v>F_00_02_WC_2029</v>
      </c>
      <c r="W32" s="6">
        <f>IF(D32="Yes",S32*Tab_Data_Flows[[#This Row],[WC_'[%']]],"N.A.")</f>
        <v>0</v>
      </c>
      <c r="X32" s="6" t="str">
        <f>Tab_Data_Flows[[#This Row],[UoM_Flow_Py]]</f>
        <v>Mg</v>
      </c>
      <c r="Y32" s="135">
        <f>INDEX(Tab_Def_Flows[[Flow_ID]:[CC_DM_source]],MATCH(Tab_Data_Flows[[#This Row],[Flow_Name]],Tab_Def_Flows[Flow_Name],0),14)</f>
        <v>0</v>
      </c>
      <c r="Z32" s="6" t="str">
        <f>Tab_Data_Flows[[#This Row],[Flow_ID]]&amp;"_"&amp;"DM_"&amp;Tab_Data_Flows[[#This Row],[Flow_Data_Year]]</f>
        <v>F_00_02_DM_2029</v>
      </c>
      <c r="AA32" s="6">
        <f>IF(E32="Yes",Y32*Tab_Data_Flows[[#This Row],[Flow_Material]],"N.A.")</f>
        <v>0</v>
      </c>
      <c r="AB32" s="6" t="str">
        <f>Tab_Data_Flows[[#This Row],[UoM_Flow_Py]]</f>
        <v>Mg</v>
      </c>
      <c r="AC32" s="135">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4" t="s">
        <v>1111</v>
      </c>
      <c r="D33" s="9" t="str">
        <f>_xlfn.XLOOKUP(C33,Tab_Def_Flows[Flow_Name],Tab_Def_Flows[WC?],,0,)</f>
        <v>Yes</v>
      </c>
      <c r="E33" s="9" t="str">
        <f>_xlfn.XLOOKUP(C33,Tab_Def_Flows[Flow_Name],Tab_Def_Flows[DM?],,0,)</f>
        <v>Yes</v>
      </c>
      <c r="F33" s="9" t="str">
        <f>_xlfn.XLOOKUP(C33,Tab_Def_Flows[Flow_Name],Tab_Def_Flows[CC?],,0,)</f>
        <v>Yes</v>
      </c>
      <c r="G33" s="186">
        <v>2030</v>
      </c>
      <c r="H33" s="187">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5">
        <f>INDEX(Tab_Def_Flows[[Flow_ID]:[CC_DM_source]],MATCH(Tab_Data_Flows[[#This Row],[Flow_Name]],Tab_Def_Flows[Flow_Name],0),11)</f>
        <v>0</v>
      </c>
      <c r="V33" s="6" t="str">
        <f>Tab_Data_Flows[[#This Row],[Flow_ID]]&amp;"_"&amp;"WC_"&amp;Tab_Data_Flows[[#This Row],[Flow_Data_Year]]</f>
        <v>F_00_02_WC_2030</v>
      </c>
      <c r="W33" s="6">
        <f>IF(D33="Yes",S33*Tab_Data_Flows[[#This Row],[WC_'[%']]],"N.A.")</f>
        <v>0</v>
      </c>
      <c r="X33" s="6" t="str">
        <f>Tab_Data_Flows[[#This Row],[UoM_Flow_Py]]</f>
        <v>Mg</v>
      </c>
      <c r="Y33" s="135">
        <f>INDEX(Tab_Def_Flows[[Flow_ID]:[CC_DM_source]],MATCH(Tab_Data_Flows[[#This Row],[Flow_Name]],Tab_Def_Flows[Flow_Name],0),14)</f>
        <v>0</v>
      </c>
      <c r="Z33" s="6" t="str">
        <f>Tab_Data_Flows[[#This Row],[Flow_ID]]&amp;"_"&amp;"DM_"&amp;Tab_Data_Flows[[#This Row],[Flow_Data_Year]]</f>
        <v>F_00_02_DM_2030</v>
      </c>
      <c r="AA33" s="6">
        <f>IF(E33="Yes",Y33*Tab_Data_Flows[[#This Row],[Flow_Material]],"N.A.")</f>
        <v>0</v>
      </c>
      <c r="AB33" s="6" t="str">
        <f>Tab_Data_Flows[[#This Row],[UoM_Flow_Py]]</f>
        <v>Mg</v>
      </c>
      <c r="AC33" s="135">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4" t="s">
        <v>1111</v>
      </c>
      <c r="D34" s="9" t="str">
        <f>_xlfn.XLOOKUP(C34,Tab_Def_Flows[Flow_Name],Tab_Def_Flows[WC?],,0,)</f>
        <v>Yes</v>
      </c>
      <c r="E34" s="9" t="str">
        <f>_xlfn.XLOOKUP(C34,Tab_Def_Flows[Flow_Name],Tab_Def_Flows[DM?],,0,)</f>
        <v>Yes</v>
      </c>
      <c r="F34" s="9" t="str">
        <f>_xlfn.XLOOKUP(C34,Tab_Def_Flows[Flow_Name],Tab_Def_Flows[CC?],,0,)</f>
        <v>Yes</v>
      </c>
      <c r="G34" s="186">
        <v>2031</v>
      </c>
      <c r="H34" s="187">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5">
        <f>INDEX(Tab_Def_Flows[[Flow_ID]:[CC_DM_source]],MATCH(Tab_Data_Flows[[#This Row],[Flow_Name]],Tab_Def_Flows[Flow_Name],0),11)</f>
        <v>0</v>
      </c>
      <c r="V34" s="6" t="str">
        <f>Tab_Data_Flows[[#This Row],[Flow_ID]]&amp;"_"&amp;"WC_"&amp;Tab_Data_Flows[[#This Row],[Flow_Data_Year]]</f>
        <v>F_00_02_WC_2031</v>
      </c>
      <c r="W34" s="6">
        <f>IF(D34="Yes",S34*Tab_Data_Flows[[#This Row],[WC_'[%']]],"N.A.")</f>
        <v>0</v>
      </c>
      <c r="X34" s="6" t="str">
        <f>Tab_Data_Flows[[#This Row],[UoM_Flow_Py]]</f>
        <v>Mg</v>
      </c>
      <c r="Y34" s="135">
        <f>INDEX(Tab_Def_Flows[[Flow_ID]:[CC_DM_source]],MATCH(Tab_Data_Flows[[#This Row],[Flow_Name]],Tab_Def_Flows[Flow_Name],0),14)</f>
        <v>0</v>
      </c>
      <c r="Z34" s="6" t="str">
        <f>Tab_Data_Flows[[#This Row],[Flow_ID]]&amp;"_"&amp;"DM_"&amp;Tab_Data_Flows[[#This Row],[Flow_Data_Year]]</f>
        <v>F_00_02_DM_2031</v>
      </c>
      <c r="AA34" s="6">
        <f>IF(E34="Yes",Y34*Tab_Data_Flows[[#This Row],[Flow_Material]],"N.A.")</f>
        <v>0</v>
      </c>
      <c r="AB34" s="6" t="str">
        <f>Tab_Data_Flows[[#This Row],[UoM_Flow_Py]]</f>
        <v>Mg</v>
      </c>
      <c r="AC34" s="135">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4" t="s">
        <v>1111</v>
      </c>
      <c r="D35" s="9" t="str">
        <f>_xlfn.XLOOKUP(C35,Tab_Def_Flows[Flow_Name],Tab_Def_Flows[WC?],,0,)</f>
        <v>Yes</v>
      </c>
      <c r="E35" s="9" t="str">
        <f>_xlfn.XLOOKUP(C35,Tab_Def_Flows[Flow_Name],Tab_Def_Flows[DM?],,0,)</f>
        <v>Yes</v>
      </c>
      <c r="F35" s="9" t="str">
        <f>_xlfn.XLOOKUP(C35,Tab_Def_Flows[Flow_Name],Tab_Def_Flows[CC?],,0,)</f>
        <v>Yes</v>
      </c>
      <c r="G35" s="186">
        <v>2032</v>
      </c>
      <c r="H35" s="187">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5">
        <f>INDEX(Tab_Def_Flows[[Flow_ID]:[CC_DM_source]],MATCH(Tab_Data_Flows[[#This Row],[Flow_Name]],Tab_Def_Flows[Flow_Name],0),11)</f>
        <v>0</v>
      </c>
      <c r="V35" s="6" t="str">
        <f>Tab_Data_Flows[[#This Row],[Flow_ID]]&amp;"_"&amp;"WC_"&amp;Tab_Data_Flows[[#This Row],[Flow_Data_Year]]</f>
        <v>F_00_02_WC_2032</v>
      </c>
      <c r="W35" s="6">
        <f>IF(D35="Yes",S35*Tab_Data_Flows[[#This Row],[WC_'[%']]],"N.A.")</f>
        <v>0</v>
      </c>
      <c r="X35" s="6" t="str">
        <f>Tab_Data_Flows[[#This Row],[UoM_Flow_Py]]</f>
        <v>Mg</v>
      </c>
      <c r="Y35" s="135">
        <f>INDEX(Tab_Def_Flows[[Flow_ID]:[CC_DM_source]],MATCH(Tab_Data_Flows[[#This Row],[Flow_Name]],Tab_Def_Flows[Flow_Name],0),14)</f>
        <v>0</v>
      </c>
      <c r="Z35" s="6" t="str">
        <f>Tab_Data_Flows[[#This Row],[Flow_ID]]&amp;"_"&amp;"DM_"&amp;Tab_Data_Flows[[#This Row],[Flow_Data_Year]]</f>
        <v>F_00_02_DM_2032</v>
      </c>
      <c r="AA35" s="6">
        <f>IF(E35="Yes",Y35*Tab_Data_Flows[[#This Row],[Flow_Material]],"N.A.")</f>
        <v>0</v>
      </c>
      <c r="AB35" s="6" t="str">
        <f>Tab_Data_Flows[[#This Row],[UoM_Flow_Py]]</f>
        <v>Mg</v>
      </c>
      <c r="AC35" s="135">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4" t="s">
        <v>1111</v>
      </c>
      <c r="D36" s="9" t="str">
        <f>_xlfn.XLOOKUP(C36,Tab_Def_Flows[Flow_Name],Tab_Def_Flows[WC?],,0,)</f>
        <v>Yes</v>
      </c>
      <c r="E36" s="9" t="str">
        <f>_xlfn.XLOOKUP(C36,Tab_Def_Flows[Flow_Name],Tab_Def_Flows[DM?],,0,)</f>
        <v>Yes</v>
      </c>
      <c r="F36" s="9" t="str">
        <f>_xlfn.XLOOKUP(C36,Tab_Def_Flows[Flow_Name],Tab_Def_Flows[CC?],,0,)</f>
        <v>Yes</v>
      </c>
      <c r="G36" s="186">
        <v>2033</v>
      </c>
      <c r="H36" s="187">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5">
        <f>INDEX(Tab_Def_Flows[[Flow_ID]:[CC_DM_source]],MATCH(Tab_Data_Flows[[#This Row],[Flow_Name]],Tab_Def_Flows[Flow_Name],0),11)</f>
        <v>0</v>
      </c>
      <c r="V36" s="6" t="str">
        <f>Tab_Data_Flows[[#This Row],[Flow_ID]]&amp;"_"&amp;"WC_"&amp;Tab_Data_Flows[[#This Row],[Flow_Data_Year]]</f>
        <v>F_00_02_WC_2033</v>
      </c>
      <c r="W36" s="6">
        <f>IF(D36="Yes",S36*Tab_Data_Flows[[#This Row],[WC_'[%']]],"N.A.")</f>
        <v>0</v>
      </c>
      <c r="X36" s="6" t="str">
        <f>Tab_Data_Flows[[#This Row],[UoM_Flow_Py]]</f>
        <v>Mg</v>
      </c>
      <c r="Y36" s="135">
        <f>INDEX(Tab_Def_Flows[[Flow_ID]:[CC_DM_source]],MATCH(Tab_Data_Flows[[#This Row],[Flow_Name]],Tab_Def_Flows[Flow_Name],0),14)</f>
        <v>0</v>
      </c>
      <c r="Z36" s="6" t="str">
        <f>Tab_Data_Flows[[#This Row],[Flow_ID]]&amp;"_"&amp;"DM_"&amp;Tab_Data_Flows[[#This Row],[Flow_Data_Year]]</f>
        <v>F_00_02_DM_2033</v>
      </c>
      <c r="AA36" s="6">
        <f>IF(E36="Yes",Y36*Tab_Data_Flows[[#This Row],[Flow_Material]],"N.A.")</f>
        <v>0</v>
      </c>
      <c r="AB36" s="6" t="str">
        <f>Tab_Data_Flows[[#This Row],[UoM_Flow_Py]]</f>
        <v>Mg</v>
      </c>
      <c r="AC36" s="135">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4" t="s">
        <v>1111</v>
      </c>
      <c r="D37" s="9" t="str">
        <f>_xlfn.XLOOKUP(C37,Tab_Def_Flows[Flow_Name],Tab_Def_Flows[WC?],,0,)</f>
        <v>Yes</v>
      </c>
      <c r="E37" s="9" t="str">
        <f>_xlfn.XLOOKUP(C37,Tab_Def_Flows[Flow_Name],Tab_Def_Flows[DM?],,0,)</f>
        <v>Yes</v>
      </c>
      <c r="F37" s="9" t="str">
        <f>_xlfn.XLOOKUP(C37,Tab_Def_Flows[Flow_Name],Tab_Def_Flows[CC?],,0,)</f>
        <v>Yes</v>
      </c>
      <c r="G37" s="186">
        <v>2034</v>
      </c>
      <c r="H37" s="187">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5">
        <f>INDEX(Tab_Def_Flows[[Flow_ID]:[CC_DM_source]],MATCH(Tab_Data_Flows[[#This Row],[Flow_Name]],Tab_Def_Flows[Flow_Name],0),11)</f>
        <v>0</v>
      </c>
      <c r="V37" s="6" t="str">
        <f>Tab_Data_Flows[[#This Row],[Flow_ID]]&amp;"_"&amp;"WC_"&amp;Tab_Data_Flows[[#This Row],[Flow_Data_Year]]</f>
        <v>F_00_02_WC_2034</v>
      </c>
      <c r="W37" s="6">
        <f>IF(D37="Yes",S37*Tab_Data_Flows[[#This Row],[WC_'[%']]],"N.A.")</f>
        <v>0</v>
      </c>
      <c r="X37" s="6" t="str">
        <f>Tab_Data_Flows[[#This Row],[UoM_Flow_Py]]</f>
        <v>Mg</v>
      </c>
      <c r="Y37" s="135">
        <f>INDEX(Tab_Def_Flows[[Flow_ID]:[CC_DM_source]],MATCH(Tab_Data_Flows[[#This Row],[Flow_Name]],Tab_Def_Flows[Flow_Name],0),14)</f>
        <v>0</v>
      </c>
      <c r="Z37" s="6" t="str">
        <f>Tab_Data_Flows[[#This Row],[Flow_ID]]&amp;"_"&amp;"DM_"&amp;Tab_Data_Flows[[#This Row],[Flow_Data_Year]]</f>
        <v>F_00_02_DM_2034</v>
      </c>
      <c r="AA37" s="6">
        <f>IF(E37="Yes",Y37*Tab_Data_Flows[[#This Row],[Flow_Material]],"N.A.")</f>
        <v>0</v>
      </c>
      <c r="AB37" s="6" t="str">
        <f>Tab_Data_Flows[[#This Row],[UoM_Flow_Py]]</f>
        <v>Mg</v>
      </c>
      <c r="AC37" s="135">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4" t="s">
        <v>1111</v>
      </c>
      <c r="D38" s="9" t="str">
        <f>_xlfn.XLOOKUP(C38,Tab_Def_Flows[Flow_Name],Tab_Def_Flows[WC?],,0,)</f>
        <v>Yes</v>
      </c>
      <c r="E38" s="9" t="str">
        <f>_xlfn.XLOOKUP(C38,Tab_Def_Flows[Flow_Name],Tab_Def_Flows[DM?],,0,)</f>
        <v>Yes</v>
      </c>
      <c r="F38" s="9" t="str">
        <f>_xlfn.XLOOKUP(C38,Tab_Def_Flows[Flow_Name],Tab_Def_Flows[CC?],,0,)</f>
        <v>Yes</v>
      </c>
      <c r="G38" s="186">
        <v>2035</v>
      </c>
      <c r="H38" s="187">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5">
        <f>INDEX(Tab_Def_Flows[[Flow_ID]:[CC_DM_source]],MATCH(Tab_Data_Flows[[#This Row],[Flow_Name]],Tab_Def_Flows[Flow_Name],0),11)</f>
        <v>0</v>
      </c>
      <c r="V38" s="6" t="str">
        <f>Tab_Data_Flows[[#This Row],[Flow_ID]]&amp;"_"&amp;"WC_"&amp;Tab_Data_Flows[[#This Row],[Flow_Data_Year]]</f>
        <v>F_00_02_WC_2035</v>
      </c>
      <c r="W38" s="6">
        <f>IF(D38="Yes",S38*Tab_Data_Flows[[#This Row],[WC_'[%']]],"N.A.")</f>
        <v>0</v>
      </c>
      <c r="X38" s="6" t="str">
        <f>Tab_Data_Flows[[#This Row],[UoM_Flow_Py]]</f>
        <v>Mg</v>
      </c>
      <c r="Y38" s="135">
        <f>INDEX(Tab_Def_Flows[[Flow_ID]:[CC_DM_source]],MATCH(Tab_Data_Flows[[#This Row],[Flow_Name]],Tab_Def_Flows[Flow_Name],0),14)</f>
        <v>0</v>
      </c>
      <c r="Z38" s="6" t="str">
        <f>Tab_Data_Flows[[#This Row],[Flow_ID]]&amp;"_"&amp;"DM_"&amp;Tab_Data_Flows[[#This Row],[Flow_Data_Year]]</f>
        <v>F_00_02_DM_2035</v>
      </c>
      <c r="AA38" s="6">
        <f>IF(E38="Yes",Y38*Tab_Data_Flows[[#This Row],[Flow_Material]],"N.A.")</f>
        <v>0</v>
      </c>
      <c r="AB38" s="6" t="str">
        <f>Tab_Data_Flows[[#This Row],[UoM_Flow_Py]]</f>
        <v>Mg</v>
      </c>
      <c r="AC38" s="135">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4" t="s">
        <v>1111</v>
      </c>
      <c r="D39" s="9" t="str">
        <f>_xlfn.XLOOKUP(C39,Tab_Def_Flows[Flow_Name],Tab_Def_Flows[WC?],,0,)</f>
        <v>Yes</v>
      </c>
      <c r="E39" s="9" t="str">
        <f>_xlfn.XLOOKUP(C39,Tab_Def_Flows[Flow_Name],Tab_Def_Flows[DM?],,0,)</f>
        <v>Yes</v>
      </c>
      <c r="F39" s="9" t="str">
        <f>_xlfn.XLOOKUP(C39,Tab_Def_Flows[Flow_Name],Tab_Def_Flows[CC?],,0,)</f>
        <v>Yes</v>
      </c>
      <c r="G39" s="186">
        <v>2036</v>
      </c>
      <c r="H39" s="187">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5">
        <f>INDEX(Tab_Def_Flows[[Flow_ID]:[CC_DM_source]],MATCH(Tab_Data_Flows[[#This Row],[Flow_Name]],Tab_Def_Flows[Flow_Name],0),11)</f>
        <v>0</v>
      </c>
      <c r="V39" s="6" t="str">
        <f>Tab_Data_Flows[[#This Row],[Flow_ID]]&amp;"_"&amp;"WC_"&amp;Tab_Data_Flows[[#This Row],[Flow_Data_Year]]</f>
        <v>F_00_02_WC_2036</v>
      </c>
      <c r="W39" s="6">
        <f>IF(D39="Yes",S39*Tab_Data_Flows[[#This Row],[WC_'[%']]],"N.A.")</f>
        <v>0</v>
      </c>
      <c r="X39" s="6" t="str">
        <f>Tab_Data_Flows[[#This Row],[UoM_Flow_Py]]</f>
        <v>Mg</v>
      </c>
      <c r="Y39" s="135">
        <f>INDEX(Tab_Def_Flows[[Flow_ID]:[CC_DM_source]],MATCH(Tab_Data_Flows[[#This Row],[Flow_Name]],Tab_Def_Flows[Flow_Name],0),14)</f>
        <v>0</v>
      </c>
      <c r="Z39" s="6" t="str">
        <f>Tab_Data_Flows[[#This Row],[Flow_ID]]&amp;"_"&amp;"DM_"&amp;Tab_Data_Flows[[#This Row],[Flow_Data_Year]]</f>
        <v>F_00_02_DM_2036</v>
      </c>
      <c r="AA39" s="6">
        <f>IF(E39="Yes",Y39*Tab_Data_Flows[[#This Row],[Flow_Material]],"N.A.")</f>
        <v>0</v>
      </c>
      <c r="AB39" s="6" t="str">
        <f>Tab_Data_Flows[[#This Row],[UoM_Flow_Py]]</f>
        <v>Mg</v>
      </c>
      <c r="AC39" s="135">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4" t="s">
        <v>1111</v>
      </c>
      <c r="D40" s="9" t="str">
        <f>_xlfn.XLOOKUP(C40,Tab_Def_Flows[Flow_Name],Tab_Def_Flows[WC?],,0,)</f>
        <v>Yes</v>
      </c>
      <c r="E40" s="9" t="str">
        <f>_xlfn.XLOOKUP(C40,Tab_Def_Flows[Flow_Name],Tab_Def_Flows[DM?],,0,)</f>
        <v>Yes</v>
      </c>
      <c r="F40" s="9" t="str">
        <f>_xlfn.XLOOKUP(C40,Tab_Def_Flows[Flow_Name],Tab_Def_Flows[CC?],,0,)</f>
        <v>Yes</v>
      </c>
      <c r="G40" s="186">
        <v>2037</v>
      </c>
      <c r="H40" s="187">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5">
        <f>INDEX(Tab_Def_Flows[[Flow_ID]:[CC_DM_source]],MATCH(Tab_Data_Flows[[#This Row],[Flow_Name]],Tab_Def_Flows[Flow_Name],0),11)</f>
        <v>0</v>
      </c>
      <c r="V40" s="6" t="str">
        <f>Tab_Data_Flows[[#This Row],[Flow_ID]]&amp;"_"&amp;"WC_"&amp;Tab_Data_Flows[[#This Row],[Flow_Data_Year]]</f>
        <v>F_00_02_WC_2037</v>
      </c>
      <c r="W40" s="6">
        <f>IF(D40="Yes",S40*Tab_Data_Flows[[#This Row],[WC_'[%']]],"N.A.")</f>
        <v>0</v>
      </c>
      <c r="X40" s="6" t="str">
        <f>Tab_Data_Flows[[#This Row],[UoM_Flow_Py]]</f>
        <v>Mg</v>
      </c>
      <c r="Y40" s="135">
        <f>INDEX(Tab_Def_Flows[[Flow_ID]:[CC_DM_source]],MATCH(Tab_Data_Flows[[#This Row],[Flow_Name]],Tab_Def_Flows[Flow_Name],0),14)</f>
        <v>0</v>
      </c>
      <c r="Z40" s="6" t="str">
        <f>Tab_Data_Flows[[#This Row],[Flow_ID]]&amp;"_"&amp;"DM_"&amp;Tab_Data_Flows[[#This Row],[Flow_Data_Year]]</f>
        <v>F_00_02_DM_2037</v>
      </c>
      <c r="AA40" s="6">
        <f>IF(E40="Yes",Y40*Tab_Data_Flows[[#This Row],[Flow_Material]],"N.A.")</f>
        <v>0</v>
      </c>
      <c r="AB40" s="6" t="str">
        <f>Tab_Data_Flows[[#This Row],[UoM_Flow_Py]]</f>
        <v>Mg</v>
      </c>
      <c r="AC40" s="135">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4" t="s">
        <v>1111</v>
      </c>
      <c r="D41" s="9" t="str">
        <f>_xlfn.XLOOKUP(C41,Tab_Def_Flows[Flow_Name],Tab_Def_Flows[WC?],,0,)</f>
        <v>Yes</v>
      </c>
      <c r="E41" s="9" t="str">
        <f>_xlfn.XLOOKUP(C41,Tab_Def_Flows[Flow_Name],Tab_Def_Flows[DM?],,0,)</f>
        <v>Yes</v>
      </c>
      <c r="F41" s="9" t="str">
        <f>_xlfn.XLOOKUP(C41,Tab_Def_Flows[Flow_Name],Tab_Def_Flows[CC?],,0,)</f>
        <v>Yes</v>
      </c>
      <c r="G41" s="186">
        <v>2038</v>
      </c>
      <c r="H41" s="187">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5">
        <f>INDEX(Tab_Def_Flows[[Flow_ID]:[CC_DM_source]],MATCH(Tab_Data_Flows[[#This Row],[Flow_Name]],Tab_Def_Flows[Flow_Name],0),11)</f>
        <v>0</v>
      </c>
      <c r="V41" s="6" t="str">
        <f>Tab_Data_Flows[[#This Row],[Flow_ID]]&amp;"_"&amp;"WC_"&amp;Tab_Data_Flows[[#This Row],[Flow_Data_Year]]</f>
        <v>F_00_02_WC_2038</v>
      </c>
      <c r="W41" s="6">
        <f>IF(D41="Yes",S41*Tab_Data_Flows[[#This Row],[WC_'[%']]],"N.A.")</f>
        <v>0</v>
      </c>
      <c r="X41" s="6" t="str">
        <f>Tab_Data_Flows[[#This Row],[UoM_Flow_Py]]</f>
        <v>Mg</v>
      </c>
      <c r="Y41" s="135">
        <f>INDEX(Tab_Def_Flows[[Flow_ID]:[CC_DM_source]],MATCH(Tab_Data_Flows[[#This Row],[Flow_Name]],Tab_Def_Flows[Flow_Name],0),14)</f>
        <v>0</v>
      </c>
      <c r="Z41" s="6" t="str">
        <f>Tab_Data_Flows[[#This Row],[Flow_ID]]&amp;"_"&amp;"DM_"&amp;Tab_Data_Flows[[#This Row],[Flow_Data_Year]]</f>
        <v>F_00_02_DM_2038</v>
      </c>
      <c r="AA41" s="6">
        <f>IF(E41="Yes",Y41*Tab_Data_Flows[[#This Row],[Flow_Material]],"N.A.")</f>
        <v>0</v>
      </c>
      <c r="AB41" s="6" t="str">
        <f>Tab_Data_Flows[[#This Row],[UoM_Flow_Py]]</f>
        <v>Mg</v>
      </c>
      <c r="AC41" s="135">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4" t="s">
        <v>1111</v>
      </c>
      <c r="D42" s="9" t="str">
        <f>_xlfn.XLOOKUP(C42,Tab_Def_Flows[Flow_Name],Tab_Def_Flows[WC?],,0,)</f>
        <v>Yes</v>
      </c>
      <c r="E42" s="9" t="str">
        <f>_xlfn.XLOOKUP(C42,Tab_Def_Flows[Flow_Name],Tab_Def_Flows[DM?],,0,)</f>
        <v>Yes</v>
      </c>
      <c r="F42" s="9" t="str">
        <f>_xlfn.XLOOKUP(C42,Tab_Def_Flows[Flow_Name],Tab_Def_Flows[CC?],,0,)</f>
        <v>Yes</v>
      </c>
      <c r="G42" s="186">
        <v>2039</v>
      </c>
      <c r="H42" s="187">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5">
        <f>INDEX(Tab_Def_Flows[[Flow_ID]:[CC_DM_source]],MATCH(Tab_Data_Flows[[#This Row],[Flow_Name]],Tab_Def_Flows[Flow_Name],0),11)</f>
        <v>0</v>
      </c>
      <c r="V42" s="6" t="str">
        <f>Tab_Data_Flows[[#This Row],[Flow_ID]]&amp;"_"&amp;"WC_"&amp;Tab_Data_Flows[[#This Row],[Flow_Data_Year]]</f>
        <v>F_00_02_WC_2039</v>
      </c>
      <c r="W42" s="6">
        <f>IF(D42="Yes",S42*Tab_Data_Flows[[#This Row],[WC_'[%']]],"N.A.")</f>
        <v>0</v>
      </c>
      <c r="X42" s="6" t="str">
        <f>Tab_Data_Flows[[#This Row],[UoM_Flow_Py]]</f>
        <v>Mg</v>
      </c>
      <c r="Y42" s="135">
        <f>INDEX(Tab_Def_Flows[[Flow_ID]:[CC_DM_source]],MATCH(Tab_Data_Flows[[#This Row],[Flow_Name]],Tab_Def_Flows[Flow_Name],0),14)</f>
        <v>0</v>
      </c>
      <c r="Z42" s="6" t="str">
        <f>Tab_Data_Flows[[#This Row],[Flow_ID]]&amp;"_"&amp;"DM_"&amp;Tab_Data_Flows[[#This Row],[Flow_Data_Year]]</f>
        <v>F_00_02_DM_2039</v>
      </c>
      <c r="AA42" s="6">
        <f>IF(E42="Yes",Y42*Tab_Data_Flows[[#This Row],[Flow_Material]],"N.A.")</f>
        <v>0</v>
      </c>
      <c r="AB42" s="6" t="str">
        <f>Tab_Data_Flows[[#This Row],[UoM_Flow_Py]]</f>
        <v>Mg</v>
      </c>
      <c r="AC42" s="135">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4" t="s">
        <v>1111</v>
      </c>
      <c r="D43" s="9" t="str">
        <f>_xlfn.XLOOKUP(C43,Tab_Def_Flows[Flow_Name],Tab_Def_Flows[WC?],,0,)</f>
        <v>Yes</v>
      </c>
      <c r="E43" s="9" t="str">
        <f>_xlfn.XLOOKUP(C43,Tab_Def_Flows[Flow_Name],Tab_Def_Flows[DM?],,0,)</f>
        <v>Yes</v>
      </c>
      <c r="F43" s="9" t="str">
        <f>_xlfn.XLOOKUP(C43,Tab_Def_Flows[Flow_Name],Tab_Def_Flows[CC?],,0,)</f>
        <v>Yes</v>
      </c>
      <c r="G43" s="186">
        <v>2040</v>
      </c>
      <c r="H43" s="187">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5">
        <f>INDEX(Tab_Def_Flows[[Flow_ID]:[CC_DM_source]],MATCH(Tab_Data_Flows[[#This Row],[Flow_Name]],Tab_Def_Flows[Flow_Name],0),11)</f>
        <v>0</v>
      </c>
      <c r="V43" s="6" t="str">
        <f>Tab_Data_Flows[[#This Row],[Flow_ID]]&amp;"_"&amp;"WC_"&amp;Tab_Data_Flows[[#This Row],[Flow_Data_Year]]</f>
        <v>F_00_02_WC_2040</v>
      </c>
      <c r="W43" s="6">
        <f>IF(D43="Yes",S43*Tab_Data_Flows[[#This Row],[WC_'[%']]],"N.A.")</f>
        <v>0</v>
      </c>
      <c r="X43" s="6" t="str">
        <f>Tab_Data_Flows[[#This Row],[UoM_Flow_Py]]</f>
        <v>Mg</v>
      </c>
      <c r="Y43" s="135">
        <f>INDEX(Tab_Def_Flows[[Flow_ID]:[CC_DM_source]],MATCH(Tab_Data_Flows[[#This Row],[Flow_Name]],Tab_Def_Flows[Flow_Name],0),14)</f>
        <v>0</v>
      </c>
      <c r="Z43" s="6" t="str">
        <f>Tab_Data_Flows[[#This Row],[Flow_ID]]&amp;"_"&amp;"DM_"&amp;Tab_Data_Flows[[#This Row],[Flow_Data_Year]]</f>
        <v>F_00_02_DM_2040</v>
      </c>
      <c r="AA43" s="6">
        <f>IF(E43="Yes",Y43*Tab_Data_Flows[[#This Row],[Flow_Material]],"N.A.")</f>
        <v>0</v>
      </c>
      <c r="AB43" s="6" t="str">
        <f>Tab_Data_Flows[[#This Row],[UoM_Flow_Py]]</f>
        <v>Mg</v>
      </c>
      <c r="AC43" s="135">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4" t="s">
        <v>1111</v>
      </c>
      <c r="D44" s="9" t="str">
        <f>_xlfn.XLOOKUP(C44,Tab_Def_Flows[Flow_Name],Tab_Def_Flows[WC?],,0,)</f>
        <v>Yes</v>
      </c>
      <c r="E44" s="9" t="str">
        <f>_xlfn.XLOOKUP(C44,Tab_Def_Flows[Flow_Name],Tab_Def_Flows[DM?],,0,)</f>
        <v>Yes</v>
      </c>
      <c r="F44" s="9" t="str">
        <f>_xlfn.XLOOKUP(C44,Tab_Def_Flows[Flow_Name],Tab_Def_Flows[CC?],,0,)</f>
        <v>Yes</v>
      </c>
      <c r="G44" s="186">
        <v>2041</v>
      </c>
      <c r="H44" s="187">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5">
        <f>INDEX(Tab_Def_Flows[[Flow_ID]:[CC_DM_source]],MATCH(Tab_Data_Flows[[#This Row],[Flow_Name]],Tab_Def_Flows[Flow_Name],0),11)</f>
        <v>0</v>
      </c>
      <c r="V44" s="6" t="str">
        <f>Tab_Data_Flows[[#This Row],[Flow_ID]]&amp;"_"&amp;"WC_"&amp;Tab_Data_Flows[[#This Row],[Flow_Data_Year]]</f>
        <v>F_00_02_WC_2041</v>
      </c>
      <c r="W44" s="6">
        <f>IF(D44="Yes",S44*Tab_Data_Flows[[#This Row],[WC_'[%']]],"N.A.")</f>
        <v>0</v>
      </c>
      <c r="X44" s="6" t="str">
        <f>Tab_Data_Flows[[#This Row],[UoM_Flow_Py]]</f>
        <v>Mg</v>
      </c>
      <c r="Y44" s="135">
        <f>INDEX(Tab_Def_Flows[[Flow_ID]:[CC_DM_source]],MATCH(Tab_Data_Flows[[#This Row],[Flow_Name]],Tab_Def_Flows[Flow_Name],0),14)</f>
        <v>0</v>
      </c>
      <c r="Z44" s="6" t="str">
        <f>Tab_Data_Flows[[#This Row],[Flow_ID]]&amp;"_"&amp;"DM_"&amp;Tab_Data_Flows[[#This Row],[Flow_Data_Year]]</f>
        <v>F_00_02_DM_2041</v>
      </c>
      <c r="AA44" s="6">
        <f>IF(E44="Yes",Y44*Tab_Data_Flows[[#This Row],[Flow_Material]],"N.A.")</f>
        <v>0</v>
      </c>
      <c r="AB44" s="6" t="str">
        <f>Tab_Data_Flows[[#This Row],[UoM_Flow_Py]]</f>
        <v>Mg</v>
      </c>
      <c r="AC44" s="135">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4" t="s">
        <v>1111</v>
      </c>
      <c r="D45" s="9" t="str">
        <f>_xlfn.XLOOKUP(C45,Tab_Def_Flows[Flow_Name],Tab_Def_Flows[WC?],,0,)</f>
        <v>Yes</v>
      </c>
      <c r="E45" s="9" t="str">
        <f>_xlfn.XLOOKUP(C45,Tab_Def_Flows[Flow_Name],Tab_Def_Flows[DM?],,0,)</f>
        <v>Yes</v>
      </c>
      <c r="F45" s="9" t="str">
        <f>_xlfn.XLOOKUP(C45,Tab_Def_Flows[Flow_Name],Tab_Def_Flows[CC?],,0,)</f>
        <v>Yes</v>
      </c>
      <c r="G45" s="186">
        <v>2042</v>
      </c>
      <c r="H45" s="187">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5">
        <f>INDEX(Tab_Def_Flows[[Flow_ID]:[CC_DM_source]],MATCH(Tab_Data_Flows[[#This Row],[Flow_Name]],Tab_Def_Flows[Flow_Name],0),11)</f>
        <v>0</v>
      </c>
      <c r="V45" s="6" t="str">
        <f>Tab_Data_Flows[[#This Row],[Flow_ID]]&amp;"_"&amp;"WC_"&amp;Tab_Data_Flows[[#This Row],[Flow_Data_Year]]</f>
        <v>F_00_02_WC_2042</v>
      </c>
      <c r="W45" s="6">
        <f>IF(D45="Yes",S45*Tab_Data_Flows[[#This Row],[WC_'[%']]],"N.A.")</f>
        <v>0</v>
      </c>
      <c r="X45" s="6" t="str">
        <f>Tab_Data_Flows[[#This Row],[UoM_Flow_Py]]</f>
        <v>Mg</v>
      </c>
      <c r="Y45" s="135">
        <f>INDEX(Tab_Def_Flows[[Flow_ID]:[CC_DM_source]],MATCH(Tab_Data_Flows[[#This Row],[Flow_Name]],Tab_Def_Flows[Flow_Name],0),14)</f>
        <v>0</v>
      </c>
      <c r="Z45" s="6" t="str">
        <f>Tab_Data_Flows[[#This Row],[Flow_ID]]&amp;"_"&amp;"DM_"&amp;Tab_Data_Flows[[#This Row],[Flow_Data_Year]]</f>
        <v>F_00_02_DM_2042</v>
      </c>
      <c r="AA45" s="6">
        <f>IF(E45="Yes",Y45*Tab_Data_Flows[[#This Row],[Flow_Material]],"N.A.")</f>
        <v>0</v>
      </c>
      <c r="AB45" s="6" t="str">
        <f>Tab_Data_Flows[[#This Row],[UoM_Flow_Py]]</f>
        <v>Mg</v>
      </c>
      <c r="AC45" s="135">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4" t="s">
        <v>1111</v>
      </c>
      <c r="D46" s="9" t="str">
        <f>_xlfn.XLOOKUP(C46,Tab_Def_Flows[Flow_Name],Tab_Def_Flows[WC?],,0,)</f>
        <v>Yes</v>
      </c>
      <c r="E46" s="9" t="str">
        <f>_xlfn.XLOOKUP(C46,Tab_Def_Flows[Flow_Name],Tab_Def_Flows[DM?],,0,)</f>
        <v>Yes</v>
      </c>
      <c r="F46" s="9" t="str">
        <f>_xlfn.XLOOKUP(C46,Tab_Def_Flows[Flow_Name],Tab_Def_Flows[CC?],,0,)</f>
        <v>Yes</v>
      </c>
      <c r="G46" s="186">
        <v>2043</v>
      </c>
      <c r="H46" s="187">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5">
        <f>INDEX(Tab_Def_Flows[[Flow_ID]:[CC_DM_source]],MATCH(Tab_Data_Flows[[#This Row],[Flow_Name]],Tab_Def_Flows[Flow_Name],0),11)</f>
        <v>0</v>
      </c>
      <c r="V46" s="6" t="str">
        <f>Tab_Data_Flows[[#This Row],[Flow_ID]]&amp;"_"&amp;"WC_"&amp;Tab_Data_Flows[[#This Row],[Flow_Data_Year]]</f>
        <v>F_00_02_WC_2043</v>
      </c>
      <c r="W46" s="6">
        <f>IF(D46="Yes",S46*Tab_Data_Flows[[#This Row],[WC_'[%']]],"N.A.")</f>
        <v>0</v>
      </c>
      <c r="X46" s="6" t="str">
        <f>Tab_Data_Flows[[#This Row],[UoM_Flow_Py]]</f>
        <v>Mg</v>
      </c>
      <c r="Y46" s="135">
        <f>INDEX(Tab_Def_Flows[[Flow_ID]:[CC_DM_source]],MATCH(Tab_Data_Flows[[#This Row],[Flow_Name]],Tab_Def_Flows[Flow_Name],0),14)</f>
        <v>0</v>
      </c>
      <c r="Z46" s="6" t="str">
        <f>Tab_Data_Flows[[#This Row],[Flow_ID]]&amp;"_"&amp;"DM_"&amp;Tab_Data_Flows[[#This Row],[Flow_Data_Year]]</f>
        <v>F_00_02_DM_2043</v>
      </c>
      <c r="AA46" s="6">
        <f>IF(E46="Yes",Y46*Tab_Data_Flows[[#This Row],[Flow_Material]],"N.A.")</f>
        <v>0</v>
      </c>
      <c r="AB46" s="6" t="str">
        <f>Tab_Data_Flows[[#This Row],[UoM_Flow_Py]]</f>
        <v>Mg</v>
      </c>
      <c r="AC46" s="135">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4" t="s">
        <v>1111</v>
      </c>
      <c r="D47" s="9" t="str">
        <f>_xlfn.XLOOKUP(C47,Tab_Def_Flows[Flow_Name],Tab_Def_Flows[WC?],,0,)</f>
        <v>Yes</v>
      </c>
      <c r="E47" s="9" t="str">
        <f>_xlfn.XLOOKUP(C47,Tab_Def_Flows[Flow_Name],Tab_Def_Flows[DM?],,0,)</f>
        <v>Yes</v>
      </c>
      <c r="F47" s="9" t="str">
        <f>_xlfn.XLOOKUP(C47,Tab_Def_Flows[Flow_Name],Tab_Def_Flows[CC?],,0,)</f>
        <v>Yes</v>
      </c>
      <c r="G47" s="186">
        <v>2044</v>
      </c>
      <c r="H47" s="187">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5">
        <f>INDEX(Tab_Def_Flows[[Flow_ID]:[CC_DM_source]],MATCH(Tab_Data_Flows[[#This Row],[Flow_Name]],Tab_Def_Flows[Flow_Name],0),11)</f>
        <v>0</v>
      </c>
      <c r="V47" s="6" t="str">
        <f>Tab_Data_Flows[[#This Row],[Flow_ID]]&amp;"_"&amp;"WC_"&amp;Tab_Data_Flows[[#This Row],[Flow_Data_Year]]</f>
        <v>F_00_02_WC_2044</v>
      </c>
      <c r="W47" s="6">
        <f>IF(D47="Yes",S47*Tab_Data_Flows[[#This Row],[WC_'[%']]],"N.A.")</f>
        <v>0</v>
      </c>
      <c r="X47" s="6" t="str">
        <f>Tab_Data_Flows[[#This Row],[UoM_Flow_Py]]</f>
        <v>Mg</v>
      </c>
      <c r="Y47" s="135">
        <f>INDEX(Tab_Def_Flows[[Flow_ID]:[CC_DM_source]],MATCH(Tab_Data_Flows[[#This Row],[Flow_Name]],Tab_Def_Flows[Flow_Name],0),14)</f>
        <v>0</v>
      </c>
      <c r="Z47" s="6" t="str">
        <f>Tab_Data_Flows[[#This Row],[Flow_ID]]&amp;"_"&amp;"DM_"&amp;Tab_Data_Flows[[#This Row],[Flow_Data_Year]]</f>
        <v>F_00_02_DM_2044</v>
      </c>
      <c r="AA47" s="6">
        <f>IF(E47="Yes",Y47*Tab_Data_Flows[[#This Row],[Flow_Material]],"N.A.")</f>
        <v>0</v>
      </c>
      <c r="AB47" s="6" t="str">
        <f>Tab_Data_Flows[[#This Row],[UoM_Flow_Py]]</f>
        <v>Mg</v>
      </c>
      <c r="AC47" s="135">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4" t="s">
        <v>1111</v>
      </c>
      <c r="D48" s="9" t="str">
        <f>_xlfn.XLOOKUP(C48,Tab_Def_Flows[Flow_Name],Tab_Def_Flows[WC?],,0,)</f>
        <v>Yes</v>
      </c>
      <c r="E48" s="9" t="str">
        <f>_xlfn.XLOOKUP(C48,Tab_Def_Flows[Flow_Name],Tab_Def_Flows[DM?],,0,)</f>
        <v>Yes</v>
      </c>
      <c r="F48" s="9" t="str">
        <f>_xlfn.XLOOKUP(C48,Tab_Def_Flows[Flow_Name],Tab_Def_Flows[CC?],,0,)</f>
        <v>Yes</v>
      </c>
      <c r="G48" s="186">
        <v>2045</v>
      </c>
      <c r="H48" s="187">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5">
        <f>INDEX(Tab_Def_Flows[[Flow_ID]:[CC_DM_source]],MATCH(Tab_Data_Flows[[#This Row],[Flow_Name]],Tab_Def_Flows[Flow_Name],0),11)</f>
        <v>0</v>
      </c>
      <c r="V48" s="6" t="str">
        <f>Tab_Data_Flows[[#This Row],[Flow_ID]]&amp;"_"&amp;"WC_"&amp;Tab_Data_Flows[[#This Row],[Flow_Data_Year]]</f>
        <v>F_00_02_WC_2045</v>
      </c>
      <c r="W48" s="6">
        <f>IF(D48="Yes",S48*Tab_Data_Flows[[#This Row],[WC_'[%']]],"N.A.")</f>
        <v>0</v>
      </c>
      <c r="X48" s="6" t="str">
        <f>Tab_Data_Flows[[#This Row],[UoM_Flow_Py]]</f>
        <v>Mg</v>
      </c>
      <c r="Y48" s="135">
        <f>INDEX(Tab_Def_Flows[[Flow_ID]:[CC_DM_source]],MATCH(Tab_Data_Flows[[#This Row],[Flow_Name]],Tab_Def_Flows[Flow_Name],0),14)</f>
        <v>0</v>
      </c>
      <c r="Z48" s="6" t="str">
        <f>Tab_Data_Flows[[#This Row],[Flow_ID]]&amp;"_"&amp;"DM_"&amp;Tab_Data_Flows[[#This Row],[Flow_Data_Year]]</f>
        <v>F_00_02_DM_2045</v>
      </c>
      <c r="AA48" s="6">
        <f>IF(E48="Yes",Y48*Tab_Data_Flows[[#This Row],[Flow_Material]],"N.A.")</f>
        <v>0</v>
      </c>
      <c r="AB48" s="6" t="str">
        <f>Tab_Data_Flows[[#This Row],[UoM_Flow_Py]]</f>
        <v>Mg</v>
      </c>
      <c r="AC48" s="135">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4" t="s">
        <v>1111</v>
      </c>
      <c r="D49" s="9" t="str">
        <f>_xlfn.XLOOKUP(C49,Tab_Def_Flows[Flow_Name],Tab_Def_Flows[WC?],,0,)</f>
        <v>Yes</v>
      </c>
      <c r="E49" s="9" t="str">
        <f>_xlfn.XLOOKUP(C49,Tab_Def_Flows[Flow_Name],Tab_Def_Flows[DM?],,0,)</f>
        <v>Yes</v>
      </c>
      <c r="F49" s="9" t="str">
        <f>_xlfn.XLOOKUP(C49,Tab_Def_Flows[Flow_Name],Tab_Def_Flows[CC?],,0,)</f>
        <v>Yes</v>
      </c>
      <c r="G49" s="186">
        <v>2046</v>
      </c>
      <c r="H49" s="187">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5">
        <f>INDEX(Tab_Def_Flows[[Flow_ID]:[CC_DM_source]],MATCH(Tab_Data_Flows[[#This Row],[Flow_Name]],Tab_Def_Flows[Flow_Name],0),11)</f>
        <v>0</v>
      </c>
      <c r="V49" s="6" t="str">
        <f>Tab_Data_Flows[[#This Row],[Flow_ID]]&amp;"_"&amp;"WC_"&amp;Tab_Data_Flows[[#This Row],[Flow_Data_Year]]</f>
        <v>F_00_02_WC_2046</v>
      </c>
      <c r="W49" s="6">
        <f>IF(D49="Yes",S49*Tab_Data_Flows[[#This Row],[WC_'[%']]],"N.A.")</f>
        <v>0</v>
      </c>
      <c r="X49" s="6" t="str">
        <f>Tab_Data_Flows[[#This Row],[UoM_Flow_Py]]</f>
        <v>Mg</v>
      </c>
      <c r="Y49" s="135">
        <f>INDEX(Tab_Def_Flows[[Flow_ID]:[CC_DM_source]],MATCH(Tab_Data_Flows[[#This Row],[Flow_Name]],Tab_Def_Flows[Flow_Name],0),14)</f>
        <v>0</v>
      </c>
      <c r="Z49" s="6" t="str">
        <f>Tab_Data_Flows[[#This Row],[Flow_ID]]&amp;"_"&amp;"DM_"&amp;Tab_Data_Flows[[#This Row],[Flow_Data_Year]]</f>
        <v>F_00_02_DM_2046</v>
      </c>
      <c r="AA49" s="6">
        <f>IF(E49="Yes",Y49*Tab_Data_Flows[[#This Row],[Flow_Material]],"N.A.")</f>
        <v>0</v>
      </c>
      <c r="AB49" s="6" t="str">
        <f>Tab_Data_Flows[[#This Row],[UoM_Flow_Py]]</f>
        <v>Mg</v>
      </c>
      <c r="AC49" s="135">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4" t="s">
        <v>1111</v>
      </c>
      <c r="D50" s="9" t="str">
        <f>_xlfn.XLOOKUP(C50,Tab_Def_Flows[Flow_Name],Tab_Def_Flows[WC?],,0,)</f>
        <v>Yes</v>
      </c>
      <c r="E50" s="9" t="str">
        <f>_xlfn.XLOOKUP(C50,Tab_Def_Flows[Flow_Name],Tab_Def_Flows[DM?],,0,)</f>
        <v>Yes</v>
      </c>
      <c r="F50" s="9" t="str">
        <f>_xlfn.XLOOKUP(C50,Tab_Def_Flows[Flow_Name],Tab_Def_Flows[CC?],,0,)</f>
        <v>Yes</v>
      </c>
      <c r="G50" s="186">
        <v>2047</v>
      </c>
      <c r="H50" s="187">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5">
        <f>INDEX(Tab_Def_Flows[[Flow_ID]:[CC_DM_source]],MATCH(Tab_Data_Flows[[#This Row],[Flow_Name]],Tab_Def_Flows[Flow_Name],0),11)</f>
        <v>0</v>
      </c>
      <c r="V50" s="6" t="str">
        <f>Tab_Data_Flows[[#This Row],[Flow_ID]]&amp;"_"&amp;"WC_"&amp;Tab_Data_Flows[[#This Row],[Flow_Data_Year]]</f>
        <v>F_00_02_WC_2047</v>
      </c>
      <c r="W50" s="6">
        <f>IF(D50="Yes",S50*Tab_Data_Flows[[#This Row],[WC_'[%']]],"N.A.")</f>
        <v>0</v>
      </c>
      <c r="X50" s="6" t="str">
        <f>Tab_Data_Flows[[#This Row],[UoM_Flow_Py]]</f>
        <v>Mg</v>
      </c>
      <c r="Y50" s="135">
        <f>INDEX(Tab_Def_Flows[[Flow_ID]:[CC_DM_source]],MATCH(Tab_Data_Flows[[#This Row],[Flow_Name]],Tab_Def_Flows[Flow_Name],0),14)</f>
        <v>0</v>
      </c>
      <c r="Z50" s="6" t="str">
        <f>Tab_Data_Flows[[#This Row],[Flow_ID]]&amp;"_"&amp;"DM_"&amp;Tab_Data_Flows[[#This Row],[Flow_Data_Year]]</f>
        <v>F_00_02_DM_2047</v>
      </c>
      <c r="AA50" s="6">
        <f>IF(E50="Yes",Y50*Tab_Data_Flows[[#This Row],[Flow_Material]],"N.A.")</f>
        <v>0</v>
      </c>
      <c r="AB50" s="6" t="str">
        <f>Tab_Data_Flows[[#This Row],[UoM_Flow_Py]]</f>
        <v>Mg</v>
      </c>
      <c r="AC50" s="135">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4" t="s">
        <v>1111</v>
      </c>
      <c r="D51" s="9" t="str">
        <f>_xlfn.XLOOKUP(C51,Tab_Def_Flows[Flow_Name],Tab_Def_Flows[WC?],,0,)</f>
        <v>Yes</v>
      </c>
      <c r="E51" s="9" t="str">
        <f>_xlfn.XLOOKUP(C51,Tab_Def_Flows[Flow_Name],Tab_Def_Flows[DM?],,0,)</f>
        <v>Yes</v>
      </c>
      <c r="F51" s="9" t="str">
        <f>_xlfn.XLOOKUP(C51,Tab_Def_Flows[Flow_Name],Tab_Def_Flows[CC?],,0,)</f>
        <v>Yes</v>
      </c>
      <c r="G51" s="186">
        <v>2048</v>
      </c>
      <c r="H51" s="187">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5">
        <f>INDEX(Tab_Def_Flows[[Flow_ID]:[CC_DM_source]],MATCH(Tab_Data_Flows[[#This Row],[Flow_Name]],Tab_Def_Flows[Flow_Name],0),11)</f>
        <v>0</v>
      </c>
      <c r="V51" s="6" t="str">
        <f>Tab_Data_Flows[[#This Row],[Flow_ID]]&amp;"_"&amp;"WC_"&amp;Tab_Data_Flows[[#This Row],[Flow_Data_Year]]</f>
        <v>F_00_02_WC_2048</v>
      </c>
      <c r="W51" s="6">
        <f>IF(D51="Yes",S51*Tab_Data_Flows[[#This Row],[WC_'[%']]],"N.A.")</f>
        <v>0</v>
      </c>
      <c r="X51" s="6" t="str">
        <f>Tab_Data_Flows[[#This Row],[UoM_Flow_Py]]</f>
        <v>Mg</v>
      </c>
      <c r="Y51" s="135">
        <f>INDEX(Tab_Def_Flows[[Flow_ID]:[CC_DM_source]],MATCH(Tab_Data_Flows[[#This Row],[Flow_Name]],Tab_Def_Flows[Flow_Name],0),14)</f>
        <v>0</v>
      </c>
      <c r="Z51" s="6" t="str">
        <f>Tab_Data_Flows[[#This Row],[Flow_ID]]&amp;"_"&amp;"DM_"&amp;Tab_Data_Flows[[#This Row],[Flow_Data_Year]]</f>
        <v>F_00_02_DM_2048</v>
      </c>
      <c r="AA51" s="6">
        <f>IF(E51="Yes",Y51*Tab_Data_Flows[[#This Row],[Flow_Material]],"N.A.")</f>
        <v>0</v>
      </c>
      <c r="AB51" s="6" t="str">
        <f>Tab_Data_Flows[[#This Row],[UoM_Flow_Py]]</f>
        <v>Mg</v>
      </c>
      <c r="AC51" s="135">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4" t="s">
        <v>1111</v>
      </c>
      <c r="D52" s="9" t="str">
        <f>_xlfn.XLOOKUP(C52,Tab_Def_Flows[Flow_Name],Tab_Def_Flows[WC?],,0,)</f>
        <v>Yes</v>
      </c>
      <c r="E52" s="9" t="str">
        <f>_xlfn.XLOOKUP(C52,Tab_Def_Flows[Flow_Name],Tab_Def_Flows[DM?],,0,)</f>
        <v>Yes</v>
      </c>
      <c r="F52" s="9" t="str">
        <f>_xlfn.XLOOKUP(C52,Tab_Def_Flows[Flow_Name],Tab_Def_Flows[CC?],,0,)</f>
        <v>Yes</v>
      </c>
      <c r="G52" s="186">
        <v>2049</v>
      </c>
      <c r="H52" s="187">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5">
        <f>INDEX(Tab_Def_Flows[[Flow_ID]:[CC_DM_source]],MATCH(Tab_Data_Flows[[#This Row],[Flow_Name]],Tab_Def_Flows[Flow_Name],0),11)</f>
        <v>0</v>
      </c>
      <c r="V52" s="6" t="str">
        <f>Tab_Data_Flows[[#This Row],[Flow_ID]]&amp;"_"&amp;"WC_"&amp;Tab_Data_Flows[[#This Row],[Flow_Data_Year]]</f>
        <v>F_00_02_WC_2049</v>
      </c>
      <c r="W52" s="6">
        <f>IF(D52="Yes",S52*Tab_Data_Flows[[#This Row],[WC_'[%']]],"N.A.")</f>
        <v>0</v>
      </c>
      <c r="X52" s="6" t="str">
        <f>Tab_Data_Flows[[#This Row],[UoM_Flow_Py]]</f>
        <v>Mg</v>
      </c>
      <c r="Y52" s="135">
        <f>INDEX(Tab_Def_Flows[[Flow_ID]:[CC_DM_source]],MATCH(Tab_Data_Flows[[#This Row],[Flow_Name]],Tab_Def_Flows[Flow_Name],0),14)</f>
        <v>0</v>
      </c>
      <c r="Z52" s="6" t="str">
        <f>Tab_Data_Flows[[#This Row],[Flow_ID]]&amp;"_"&amp;"DM_"&amp;Tab_Data_Flows[[#This Row],[Flow_Data_Year]]</f>
        <v>F_00_02_DM_2049</v>
      </c>
      <c r="AA52" s="6">
        <f>IF(E52="Yes",Y52*Tab_Data_Flows[[#This Row],[Flow_Material]],"N.A.")</f>
        <v>0</v>
      </c>
      <c r="AB52" s="6" t="str">
        <f>Tab_Data_Flows[[#This Row],[UoM_Flow_Py]]</f>
        <v>Mg</v>
      </c>
      <c r="AC52" s="135">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4" t="s">
        <v>1111</v>
      </c>
      <c r="D53" s="9" t="str">
        <f>_xlfn.XLOOKUP(C53,Tab_Def_Flows[Flow_Name],Tab_Def_Flows[WC?],,0,)</f>
        <v>Yes</v>
      </c>
      <c r="E53" s="9" t="str">
        <f>_xlfn.XLOOKUP(C53,Tab_Def_Flows[Flow_Name],Tab_Def_Flows[DM?],,0,)</f>
        <v>Yes</v>
      </c>
      <c r="F53" s="9" t="str">
        <f>_xlfn.XLOOKUP(C53,Tab_Def_Flows[Flow_Name],Tab_Def_Flows[CC?],,0,)</f>
        <v>Yes</v>
      </c>
      <c r="G53" s="186">
        <v>2050</v>
      </c>
      <c r="H53" s="187">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5">
        <f>INDEX(Tab_Def_Flows[[Flow_ID]:[CC_DM_source]],MATCH(Tab_Data_Flows[[#This Row],[Flow_Name]],Tab_Def_Flows[Flow_Name],0),11)</f>
        <v>0</v>
      </c>
      <c r="V53" s="6" t="str">
        <f>Tab_Data_Flows[[#This Row],[Flow_ID]]&amp;"_"&amp;"WC_"&amp;Tab_Data_Flows[[#This Row],[Flow_Data_Year]]</f>
        <v>F_00_02_WC_2050</v>
      </c>
      <c r="W53" s="6">
        <f>IF(D53="Yes",S53*Tab_Data_Flows[[#This Row],[WC_'[%']]],"N.A.")</f>
        <v>0</v>
      </c>
      <c r="X53" s="6" t="str">
        <f>Tab_Data_Flows[[#This Row],[UoM_Flow_Py]]</f>
        <v>Mg</v>
      </c>
      <c r="Y53" s="135">
        <f>INDEX(Tab_Def_Flows[[Flow_ID]:[CC_DM_source]],MATCH(Tab_Data_Flows[[#This Row],[Flow_Name]],Tab_Def_Flows[Flow_Name],0),14)</f>
        <v>0</v>
      </c>
      <c r="Z53" s="6" t="str">
        <f>Tab_Data_Flows[[#This Row],[Flow_ID]]&amp;"_"&amp;"DM_"&amp;Tab_Data_Flows[[#This Row],[Flow_Data_Year]]</f>
        <v>F_00_02_DM_2050</v>
      </c>
      <c r="AA53" s="6">
        <f>IF(E53="Yes",Y53*Tab_Data_Flows[[#This Row],[Flow_Material]],"N.A.")</f>
        <v>0</v>
      </c>
      <c r="AB53" s="6" t="str">
        <f>Tab_Data_Flows[[#This Row],[UoM_Flow_Py]]</f>
        <v>Mg</v>
      </c>
      <c r="AC53" s="135">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4" t="s">
        <v>1112</v>
      </c>
      <c r="D54" s="9" t="str">
        <f>_xlfn.XLOOKUP(C54,Tab_Def_Flows[Flow_Name],Tab_Def_Flows[WC?],,0,)</f>
        <v>Yes</v>
      </c>
      <c r="E54" s="9" t="str">
        <f>_xlfn.XLOOKUP(C54,Tab_Def_Flows[Flow_Name],Tab_Def_Flows[DM?],,0,)</f>
        <v>Yes</v>
      </c>
      <c r="F54" s="9" t="str">
        <f>_xlfn.XLOOKUP(C54,Tab_Def_Flows[Flow_Name],Tab_Def_Flows[CC?],,0,)</f>
        <v>Yes</v>
      </c>
      <c r="G54" s="186">
        <v>2025</v>
      </c>
      <c r="H54" s="187">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5">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5">
        <f>INDEX(Tab_Def_Flows[[Flow_ID]:[CC_DM_source]],MATCH(Tab_Data_Flows[[#This Row],[Flow_Name]],Tab_Def_Flows[Flow_Name],0),14)</f>
        <v>0</v>
      </c>
      <c r="Z54" s="6" t="str">
        <f>Tab_Data_Flows[[#This Row],[Flow_ID]]&amp;"_"&amp;"DM_"&amp;Tab_Data_Flows[[#This Row],[Flow_Data_Year]]</f>
        <v>F_01_10_DM_2025</v>
      </c>
      <c r="AA54" s="6">
        <f>IF(E54="Yes",Y54*Tab_Data_Flows[[#This Row],[Flow_Material]],"N.A.")</f>
        <v>0</v>
      </c>
      <c r="AB54" s="6" t="str">
        <f>Tab_Data_Flows[[#This Row],[UoM_Flow_Py]]</f>
        <v>Mg</v>
      </c>
      <c r="AC54" s="135">
        <f>INDEX(Tab_Def_Flows[[Flow_ID]:[CC_DM_source]],MATCH(Tab_Data_Flows[[#This Row],[Flow_Name]],Tab_Def_Flows[Flow_Name],0),17)</f>
        <v>0</v>
      </c>
      <c r="AD54" s="6" t="str">
        <f>Tab_Data_Flows[[#This Row],[Flow_ID]]&amp;"_"&amp;"CC_"&amp;Tab_Data_Flows[[#This Row],[Flow_Data_Year]]</f>
        <v>F_01_10_CC_2025</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F_01_10</v>
      </c>
      <c r="C55" s="134" t="s">
        <v>1112</v>
      </c>
      <c r="D55" s="9" t="str">
        <f>_xlfn.XLOOKUP(C55,Tab_Def_Flows[Flow_Name],Tab_Def_Flows[WC?],,0,)</f>
        <v>Yes</v>
      </c>
      <c r="E55" s="9" t="str">
        <f>_xlfn.XLOOKUP(C55,Tab_Def_Flows[Flow_Name],Tab_Def_Flows[DM?],,0,)</f>
        <v>Yes</v>
      </c>
      <c r="F55" s="9" t="str">
        <f>_xlfn.XLOOKUP(C55,Tab_Def_Flows[Flow_Name],Tab_Def_Flows[CC?],,0,)</f>
        <v>Yes</v>
      </c>
      <c r="G55" s="186">
        <v>2026</v>
      </c>
      <c r="H55" s="187">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5">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5">
        <f>INDEX(Tab_Def_Flows[[Flow_ID]:[CC_DM_source]],MATCH(Tab_Data_Flows[[#This Row],[Flow_Name]],Tab_Def_Flows[Flow_Name],0),14)</f>
        <v>0</v>
      </c>
      <c r="Z55" s="6" t="str">
        <f>Tab_Data_Flows[[#This Row],[Flow_ID]]&amp;"_"&amp;"DM_"&amp;Tab_Data_Flows[[#This Row],[Flow_Data_Year]]</f>
        <v>F_01_10_DM_2026</v>
      </c>
      <c r="AA55" s="6">
        <f>IF(E55="Yes",Y55*Tab_Data_Flows[[#This Row],[Flow_Material]],"N.A.")</f>
        <v>0</v>
      </c>
      <c r="AB55" s="6" t="str">
        <f>Tab_Data_Flows[[#This Row],[UoM_Flow_Py]]</f>
        <v>Mg</v>
      </c>
      <c r="AC55" s="135">
        <f>INDEX(Tab_Def_Flows[[Flow_ID]:[CC_DM_source]],MATCH(Tab_Data_Flows[[#This Row],[Flow_Name]],Tab_Def_Flows[Flow_Name],0),17)</f>
        <v>0</v>
      </c>
      <c r="AD55" s="6" t="str">
        <f>Tab_Data_Flows[[#This Row],[Flow_ID]]&amp;"_"&amp;"CC_"&amp;Tab_Data_Flows[[#This Row],[Flow_Data_Year]]</f>
        <v>F_01_10_CC_2026</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F_01_10</v>
      </c>
      <c r="C56" s="134" t="s">
        <v>1112</v>
      </c>
      <c r="D56" s="9" t="str">
        <f>_xlfn.XLOOKUP(C56,Tab_Def_Flows[Flow_Name],Tab_Def_Flows[WC?],,0,)</f>
        <v>Yes</v>
      </c>
      <c r="E56" s="9" t="str">
        <f>_xlfn.XLOOKUP(C56,Tab_Def_Flows[Flow_Name],Tab_Def_Flows[DM?],,0,)</f>
        <v>Yes</v>
      </c>
      <c r="F56" s="9" t="str">
        <f>_xlfn.XLOOKUP(C56,Tab_Def_Flows[Flow_Name],Tab_Def_Flows[CC?],,0,)</f>
        <v>Yes</v>
      </c>
      <c r="G56" s="186">
        <v>2027</v>
      </c>
      <c r="H56" s="187">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5">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5">
        <f>INDEX(Tab_Def_Flows[[Flow_ID]:[CC_DM_source]],MATCH(Tab_Data_Flows[[#This Row],[Flow_Name]],Tab_Def_Flows[Flow_Name],0),14)</f>
        <v>0</v>
      </c>
      <c r="Z56" s="6" t="str">
        <f>Tab_Data_Flows[[#This Row],[Flow_ID]]&amp;"_"&amp;"DM_"&amp;Tab_Data_Flows[[#This Row],[Flow_Data_Year]]</f>
        <v>F_01_10_DM_2027</v>
      </c>
      <c r="AA56" s="6">
        <f>IF(E56="Yes",Y56*Tab_Data_Flows[[#This Row],[Flow_Material]],"N.A.")</f>
        <v>0</v>
      </c>
      <c r="AB56" s="6" t="str">
        <f>Tab_Data_Flows[[#This Row],[UoM_Flow_Py]]</f>
        <v>Mg</v>
      </c>
      <c r="AC56" s="135">
        <f>INDEX(Tab_Def_Flows[[Flow_ID]:[CC_DM_source]],MATCH(Tab_Data_Flows[[#This Row],[Flow_Name]],Tab_Def_Flows[Flow_Name],0),17)</f>
        <v>0</v>
      </c>
      <c r="AD56" s="6" t="str">
        <f>Tab_Data_Flows[[#This Row],[Flow_ID]]&amp;"_"&amp;"CC_"&amp;Tab_Data_Flows[[#This Row],[Flow_Data_Year]]</f>
        <v>F_01_10_CC_2027</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F_01_10</v>
      </c>
      <c r="C57" s="134" t="s">
        <v>1112</v>
      </c>
      <c r="D57" s="9" t="str">
        <f>_xlfn.XLOOKUP(C57,Tab_Def_Flows[Flow_Name],Tab_Def_Flows[WC?],,0,)</f>
        <v>Yes</v>
      </c>
      <c r="E57" s="9" t="str">
        <f>_xlfn.XLOOKUP(C57,Tab_Def_Flows[Flow_Name],Tab_Def_Flows[DM?],,0,)</f>
        <v>Yes</v>
      </c>
      <c r="F57" s="9" t="str">
        <f>_xlfn.XLOOKUP(C57,Tab_Def_Flows[Flow_Name],Tab_Def_Flows[CC?],,0,)</f>
        <v>Yes</v>
      </c>
      <c r="G57" s="186">
        <v>2028</v>
      </c>
      <c r="H57" s="187">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5">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5">
        <f>INDEX(Tab_Def_Flows[[Flow_ID]:[CC_DM_source]],MATCH(Tab_Data_Flows[[#This Row],[Flow_Name]],Tab_Def_Flows[Flow_Name],0),14)</f>
        <v>0</v>
      </c>
      <c r="Z57" s="6" t="str">
        <f>Tab_Data_Flows[[#This Row],[Flow_ID]]&amp;"_"&amp;"DM_"&amp;Tab_Data_Flows[[#This Row],[Flow_Data_Year]]</f>
        <v>F_01_10_DM_2028</v>
      </c>
      <c r="AA57" s="6">
        <f>IF(E57="Yes",Y57*Tab_Data_Flows[[#This Row],[Flow_Material]],"N.A.")</f>
        <v>0</v>
      </c>
      <c r="AB57" s="6" t="str">
        <f>Tab_Data_Flows[[#This Row],[UoM_Flow_Py]]</f>
        <v>Mg</v>
      </c>
      <c r="AC57" s="135">
        <f>INDEX(Tab_Def_Flows[[Flow_ID]:[CC_DM_source]],MATCH(Tab_Data_Flows[[#This Row],[Flow_Name]],Tab_Def_Flows[Flow_Name],0),17)</f>
        <v>0</v>
      </c>
      <c r="AD57" s="6" t="str">
        <f>Tab_Data_Flows[[#This Row],[Flow_ID]]&amp;"_"&amp;"CC_"&amp;Tab_Data_Flows[[#This Row],[Flow_Data_Year]]</f>
        <v>F_01_10_CC_2028</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F_01_10</v>
      </c>
      <c r="C58" s="134" t="s">
        <v>1112</v>
      </c>
      <c r="D58" s="9" t="str">
        <f>_xlfn.XLOOKUP(C58,Tab_Def_Flows[Flow_Name],Tab_Def_Flows[WC?],,0,)</f>
        <v>Yes</v>
      </c>
      <c r="E58" s="9" t="str">
        <f>_xlfn.XLOOKUP(C58,Tab_Def_Flows[Flow_Name],Tab_Def_Flows[DM?],,0,)</f>
        <v>Yes</v>
      </c>
      <c r="F58" s="9" t="str">
        <f>_xlfn.XLOOKUP(C58,Tab_Def_Flows[Flow_Name],Tab_Def_Flows[CC?],,0,)</f>
        <v>Yes</v>
      </c>
      <c r="G58" s="186">
        <v>2029</v>
      </c>
      <c r="H58" s="187">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5">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5">
        <f>INDEX(Tab_Def_Flows[[Flow_ID]:[CC_DM_source]],MATCH(Tab_Data_Flows[[#This Row],[Flow_Name]],Tab_Def_Flows[Flow_Name],0),14)</f>
        <v>0</v>
      </c>
      <c r="Z58" s="6" t="str">
        <f>Tab_Data_Flows[[#This Row],[Flow_ID]]&amp;"_"&amp;"DM_"&amp;Tab_Data_Flows[[#This Row],[Flow_Data_Year]]</f>
        <v>F_01_10_DM_2029</v>
      </c>
      <c r="AA58" s="6">
        <f>IF(E58="Yes",Y58*Tab_Data_Flows[[#This Row],[Flow_Material]],"N.A.")</f>
        <v>0</v>
      </c>
      <c r="AB58" s="6" t="str">
        <f>Tab_Data_Flows[[#This Row],[UoM_Flow_Py]]</f>
        <v>Mg</v>
      </c>
      <c r="AC58" s="135">
        <f>INDEX(Tab_Def_Flows[[Flow_ID]:[CC_DM_source]],MATCH(Tab_Data_Flows[[#This Row],[Flow_Name]],Tab_Def_Flows[Flow_Name],0),17)</f>
        <v>0</v>
      </c>
      <c r="AD58" s="6" t="str">
        <f>Tab_Data_Flows[[#This Row],[Flow_ID]]&amp;"_"&amp;"CC_"&amp;Tab_Data_Flows[[#This Row],[Flow_Data_Year]]</f>
        <v>F_01_10_CC_2029</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F_01_10</v>
      </c>
      <c r="C59" s="134" t="s">
        <v>1112</v>
      </c>
      <c r="D59" s="9" t="str">
        <f>_xlfn.XLOOKUP(C59,Tab_Def_Flows[Flow_Name],Tab_Def_Flows[WC?],,0,)</f>
        <v>Yes</v>
      </c>
      <c r="E59" s="9" t="str">
        <f>_xlfn.XLOOKUP(C59,Tab_Def_Flows[Flow_Name],Tab_Def_Flows[DM?],,0,)</f>
        <v>Yes</v>
      </c>
      <c r="F59" s="9" t="str">
        <f>_xlfn.XLOOKUP(C59,Tab_Def_Flows[Flow_Name],Tab_Def_Flows[CC?],,0,)</f>
        <v>Yes</v>
      </c>
      <c r="G59" s="186">
        <v>2030</v>
      </c>
      <c r="H59" s="187">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5">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5">
        <f>INDEX(Tab_Def_Flows[[Flow_ID]:[CC_DM_source]],MATCH(Tab_Data_Flows[[#This Row],[Flow_Name]],Tab_Def_Flows[Flow_Name],0),14)</f>
        <v>0</v>
      </c>
      <c r="Z59" s="6" t="str">
        <f>Tab_Data_Flows[[#This Row],[Flow_ID]]&amp;"_"&amp;"DM_"&amp;Tab_Data_Flows[[#This Row],[Flow_Data_Year]]</f>
        <v>F_01_10_DM_2030</v>
      </c>
      <c r="AA59" s="6">
        <f>IF(E59="Yes",Y59*Tab_Data_Flows[[#This Row],[Flow_Material]],"N.A.")</f>
        <v>0</v>
      </c>
      <c r="AB59" s="6" t="str">
        <f>Tab_Data_Flows[[#This Row],[UoM_Flow_Py]]</f>
        <v>Mg</v>
      </c>
      <c r="AC59" s="135">
        <f>INDEX(Tab_Def_Flows[[Flow_ID]:[CC_DM_source]],MATCH(Tab_Data_Flows[[#This Row],[Flow_Name]],Tab_Def_Flows[Flow_Name],0),17)</f>
        <v>0</v>
      </c>
      <c r="AD59" s="6" t="str">
        <f>Tab_Data_Flows[[#This Row],[Flow_ID]]&amp;"_"&amp;"CC_"&amp;Tab_Data_Flows[[#This Row],[Flow_Data_Year]]</f>
        <v>F_01_10_CC_2030</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F_01_10</v>
      </c>
      <c r="C60" s="134" t="s">
        <v>1112</v>
      </c>
      <c r="D60" s="9" t="str">
        <f>_xlfn.XLOOKUP(C60,Tab_Def_Flows[Flow_Name],Tab_Def_Flows[WC?],,0,)</f>
        <v>Yes</v>
      </c>
      <c r="E60" s="9" t="str">
        <f>_xlfn.XLOOKUP(C60,Tab_Def_Flows[Flow_Name],Tab_Def_Flows[DM?],,0,)</f>
        <v>Yes</v>
      </c>
      <c r="F60" s="9" t="str">
        <f>_xlfn.XLOOKUP(C60,Tab_Def_Flows[Flow_Name],Tab_Def_Flows[CC?],,0,)</f>
        <v>Yes</v>
      </c>
      <c r="G60" s="186">
        <v>2031</v>
      </c>
      <c r="H60" s="187">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5">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5">
        <f>INDEX(Tab_Def_Flows[[Flow_ID]:[CC_DM_source]],MATCH(Tab_Data_Flows[[#This Row],[Flow_Name]],Tab_Def_Flows[Flow_Name],0),14)</f>
        <v>0</v>
      </c>
      <c r="Z60" s="6" t="str">
        <f>Tab_Data_Flows[[#This Row],[Flow_ID]]&amp;"_"&amp;"DM_"&amp;Tab_Data_Flows[[#This Row],[Flow_Data_Year]]</f>
        <v>F_01_10_DM_2031</v>
      </c>
      <c r="AA60" s="6">
        <f>IF(E60="Yes",Y60*Tab_Data_Flows[[#This Row],[Flow_Material]],"N.A.")</f>
        <v>0</v>
      </c>
      <c r="AB60" s="6" t="str">
        <f>Tab_Data_Flows[[#This Row],[UoM_Flow_Py]]</f>
        <v>Mg</v>
      </c>
      <c r="AC60" s="135">
        <f>INDEX(Tab_Def_Flows[[Flow_ID]:[CC_DM_source]],MATCH(Tab_Data_Flows[[#This Row],[Flow_Name]],Tab_Def_Flows[Flow_Name],0),17)</f>
        <v>0</v>
      </c>
      <c r="AD60" s="6" t="str">
        <f>Tab_Data_Flows[[#This Row],[Flow_ID]]&amp;"_"&amp;"CC_"&amp;Tab_Data_Flows[[#This Row],[Flow_Data_Year]]</f>
        <v>F_01_10_CC_2031</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F_01_10</v>
      </c>
      <c r="C61" s="134" t="s">
        <v>1112</v>
      </c>
      <c r="D61" s="9" t="str">
        <f>_xlfn.XLOOKUP(C61,Tab_Def_Flows[Flow_Name],Tab_Def_Flows[WC?],,0,)</f>
        <v>Yes</v>
      </c>
      <c r="E61" s="9" t="str">
        <f>_xlfn.XLOOKUP(C61,Tab_Def_Flows[Flow_Name],Tab_Def_Flows[DM?],,0,)</f>
        <v>Yes</v>
      </c>
      <c r="F61" s="9" t="str">
        <f>_xlfn.XLOOKUP(C61,Tab_Def_Flows[Flow_Name],Tab_Def_Flows[CC?],,0,)</f>
        <v>Yes</v>
      </c>
      <c r="G61" s="186">
        <v>2032</v>
      </c>
      <c r="H61" s="187">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5">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5">
        <f>INDEX(Tab_Def_Flows[[Flow_ID]:[CC_DM_source]],MATCH(Tab_Data_Flows[[#This Row],[Flow_Name]],Tab_Def_Flows[Flow_Name],0),14)</f>
        <v>0</v>
      </c>
      <c r="Z61" s="6" t="str">
        <f>Tab_Data_Flows[[#This Row],[Flow_ID]]&amp;"_"&amp;"DM_"&amp;Tab_Data_Flows[[#This Row],[Flow_Data_Year]]</f>
        <v>F_01_10_DM_2032</v>
      </c>
      <c r="AA61" s="6">
        <f>IF(E61="Yes",Y61*Tab_Data_Flows[[#This Row],[Flow_Material]],"N.A.")</f>
        <v>0</v>
      </c>
      <c r="AB61" s="6" t="str">
        <f>Tab_Data_Flows[[#This Row],[UoM_Flow_Py]]</f>
        <v>Mg</v>
      </c>
      <c r="AC61" s="135">
        <f>INDEX(Tab_Def_Flows[[Flow_ID]:[CC_DM_source]],MATCH(Tab_Data_Flows[[#This Row],[Flow_Name]],Tab_Def_Flows[Flow_Name],0),17)</f>
        <v>0</v>
      </c>
      <c r="AD61" s="6" t="str">
        <f>Tab_Data_Flows[[#This Row],[Flow_ID]]&amp;"_"&amp;"CC_"&amp;Tab_Data_Flows[[#This Row],[Flow_Data_Year]]</f>
        <v>F_01_10_CC_2032</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F_01_10</v>
      </c>
      <c r="C62" s="134" t="s">
        <v>1112</v>
      </c>
      <c r="D62" s="9" t="str">
        <f>_xlfn.XLOOKUP(C62,Tab_Def_Flows[Flow_Name],Tab_Def_Flows[WC?],,0,)</f>
        <v>Yes</v>
      </c>
      <c r="E62" s="9" t="str">
        <f>_xlfn.XLOOKUP(C62,Tab_Def_Flows[Flow_Name],Tab_Def_Flows[DM?],,0,)</f>
        <v>Yes</v>
      </c>
      <c r="F62" s="9" t="str">
        <f>_xlfn.XLOOKUP(C62,Tab_Def_Flows[Flow_Name],Tab_Def_Flows[CC?],,0,)</f>
        <v>Yes</v>
      </c>
      <c r="G62" s="186">
        <v>2033</v>
      </c>
      <c r="H62" s="187">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5">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5">
        <f>INDEX(Tab_Def_Flows[[Flow_ID]:[CC_DM_source]],MATCH(Tab_Data_Flows[[#This Row],[Flow_Name]],Tab_Def_Flows[Flow_Name],0),14)</f>
        <v>0</v>
      </c>
      <c r="Z62" s="6" t="str">
        <f>Tab_Data_Flows[[#This Row],[Flow_ID]]&amp;"_"&amp;"DM_"&amp;Tab_Data_Flows[[#This Row],[Flow_Data_Year]]</f>
        <v>F_01_10_DM_2033</v>
      </c>
      <c r="AA62" s="6">
        <f>IF(E62="Yes",Y62*Tab_Data_Flows[[#This Row],[Flow_Material]],"N.A.")</f>
        <v>0</v>
      </c>
      <c r="AB62" s="6" t="str">
        <f>Tab_Data_Flows[[#This Row],[UoM_Flow_Py]]</f>
        <v>Mg</v>
      </c>
      <c r="AC62" s="135">
        <f>INDEX(Tab_Def_Flows[[Flow_ID]:[CC_DM_source]],MATCH(Tab_Data_Flows[[#This Row],[Flow_Name]],Tab_Def_Flows[Flow_Name],0),17)</f>
        <v>0</v>
      </c>
      <c r="AD62" s="6" t="str">
        <f>Tab_Data_Flows[[#This Row],[Flow_ID]]&amp;"_"&amp;"CC_"&amp;Tab_Data_Flows[[#This Row],[Flow_Data_Year]]</f>
        <v>F_01_10_CC_2033</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F_01_10</v>
      </c>
      <c r="C63" s="134" t="s">
        <v>1112</v>
      </c>
      <c r="D63" s="9" t="str">
        <f>_xlfn.XLOOKUP(C63,Tab_Def_Flows[Flow_Name],Tab_Def_Flows[WC?],,0,)</f>
        <v>Yes</v>
      </c>
      <c r="E63" s="9" t="str">
        <f>_xlfn.XLOOKUP(C63,Tab_Def_Flows[Flow_Name],Tab_Def_Flows[DM?],,0,)</f>
        <v>Yes</v>
      </c>
      <c r="F63" s="9" t="str">
        <f>_xlfn.XLOOKUP(C63,Tab_Def_Flows[Flow_Name],Tab_Def_Flows[CC?],,0,)</f>
        <v>Yes</v>
      </c>
      <c r="G63" s="186">
        <v>2034</v>
      </c>
      <c r="H63" s="187">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5">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5">
        <f>INDEX(Tab_Def_Flows[[Flow_ID]:[CC_DM_source]],MATCH(Tab_Data_Flows[[#This Row],[Flow_Name]],Tab_Def_Flows[Flow_Name],0),14)</f>
        <v>0</v>
      </c>
      <c r="Z63" s="6" t="str">
        <f>Tab_Data_Flows[[#This Row],[Flow_ID]]&amp;"_"&amp;"DM_"&amp;Tab_Data_Flows[[#This Row],[Flow_Data_Year]]</f>
        <v>F_01_10_DM_2034</v>
      </c>
      <c r="AA63" s="6">
        <f>IF(E63="Yes",Y63*Tab_Data_Flows[[#This Row],[Flow_Material]],"N.A.")</f>
        <v>0</v>
      </c>
      <c r="AB63" s="6" t="str">
        <f>Tab_Data_Flows[[#This Row],[UoM_Flow_Py]]</f>
        <v>Mg</v>
      </c>
      <c r="AC63" s="135">
        <f>INDEX(Tab_Def_Flows[[Flow_ID]:[CC_DM_source]],MATCH(Tab_Data_Flows[[#This Row],[Flow_Name]],Tab_Def_Flows[Flow_Name],0),17)</f>
        <v>0</v>
      </c>
      <c r="AD63" s="6" t="str">
        <f>Tab_Data_Flows[[#This Row],[Flow_ID]]&amp;"_"&amp;"CC_"&amp;Tab_Data_Flows[[#This Row],[Flow_Data_Year]]</f>
        <v>F_01_10_CC_2034</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F_01_10</v>
      </c>
      <c r="C64" s="134" t="s">
        <v>1112</v>
      </c>
      <c r="D64" s="9" t="str">
        <f>_xlfn.XLOOKUP(C64,Tab_Def_Flows[Flow_Name],Tab_Def_Flows[WC?],,0,)</f>
        <v>Yes</v>
      </c>
      <c r="E64" s="9" t="str">
        <f>_xlfn.XLOOKUP(C64,Tab_Def_Flows[Flow_Name],Tab_Def_Flows[DM?],,0,)</f>
        <v>Yes</v>
      </c>
      <c r="F64" s="9" t="str">
        <f>_xlfn.XLOOKUP(C64,Tab_Def_Flows[Flow_Name],Tab_Def_Flows[CC?],,0,)</f>
        <v>Yes</v>
      </c>
      <c r="G64" s="186">
        <v>2035</v>
      </c>
      <c r="H64" s="187">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5">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5">
        <f>INDEX(Tab_Def_Flows[[Flow_ID]:[CC_DM_source]],MATCH(Tab_Data_Flows[[#This Row],[Flow_Name]],Tab_Def_Flows[Flow_Name],0),14)</f>
        <v>0</v>
      </c>
      <c r="Z64" s="6" t="str">
        <f>Tab_Data_Flows[[#This Row],[Flow_ID]]&amp;"_"&amp;"DM_"&amp;Tab_Data_Flows[[#This Row],[Flow_Data_Year]]</f>
        <v>F_01_10_DM_2035</v>
      </c>
      <c r="AA64" s="6">
        <f>IF(E64="Yes",Y64*Tab_Data_Flows[[#This Row],[Flow_Material]],"N.A.")</f>
        <v>0</v>
      </c>
      <c r="AB64" s="6" t="str">
        <f>Tab_Data_Flows[[#This Row],[UoM_Flow_Py]]</f>
        <v>Mg</v>
      </c>
      <c r="AC64" s="135">
        <f>INDEX(Tab_Def_Flows[[Flow_ID]:[CC_DM_source]],MATCH(Tab_Data_Flows[[#This Row],[Flow_Name]],Tab_Def_Flows[Flow_Name],0),17)</f>
        <v>0</v>
      </c>
      <c r="AD64" s="6" t="str">
        <f>Tab_Data_Flows[[#This Row],[Flow_ID]]&amp;"_"&amp;"CC_"&amp;Tab_Data_Flows[[#This Row],[Flow_Data_Year]]</f>
        <v>F_01_10_CC_2035</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F_01_10</v>
      </c>
      <c r="C65" s="134" t="s">
        <v>1112</v>
      </c>
      <c r="D65" s="9" t="str">
        <f>_xlfn.XLOOKUP(C65,Tab_Def_Flows[Flow_Name],Tab_Def_Flows[WC?],,0,)</f>
        <v>Yes</v>
      </c>
      <c r="E65" s="9" t="str">
        <f>_xlfn.XLOOKUP(C65,Tab_Def_Flows[Flow_Name],Tab_Def_Flows[DM?],,0,)</f>
        <v>Yes</v>
      </c>
      <c r="F65" s="9" t="str">
        <f>_xlfn.XLOOKUP(C65,Tab_Def_Flows[Flow_Name],Tab_Def_Flows[CC?],,0,)</f>
        <v>Yes</v>
      </c>
      <c r="G65" s="186">
        <v>2036</v>
      </c>
      <c r="H65" s="187">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5">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5">
        <f>INDEX(Tab_Def_Flows[[Flow_ID]:[CC_DM_source]],MATCH(Tab_Data_Flows[[#This Row],[Flow_Name]],Tab_Def_Flows[Flow_Name],0),14)</f>
        <v>0</v>
      </c>
      <c r="Z65" s="6" t="str">
        <f>Tab_Data_Flows[[#This Row],[Flow_ID]]&amp;"_"&amp;"DM_"&amp;Tab_Data_Flows[[#This Row],[Flow_Data_Year]]</f>
        <v>F_01_10_DM_2036</v>
      </c>
      <c r="AA65" s="6">
        <f>IF(E65="Yes",Y65*Tab_Data_Flows[[#This Row],[Flow_Material]],"N.A.")</f>
        <v>0</v>
      </c>
      <c r="AB65" s="6" t="str">
        <f>Tab_Data_Flows[[#This Row],[UoM_Flow_Py]]</f>
        <v>Mg</v>
      </c>
      <c r="AC65" s="135">
        <f>INDEX(Tab_Def_Flows[[Flow_ID]:[CC_DM_source]],MATCH(Tab_Data_Flows[[#This Row],[Flow_Name]],Tab_Def_Flows[Flow_Name],0),17)</f>
        <v>0</v>
      </c>
      <c r="AD65" s="6" t="str">
        <f>Tab_Data_Flows[[#This Row],[Flow_ID]]&amp;"_"&amp;"CC_"&amp;Tab_Data_Flows[[#This Row],[Flow_Data_Year]]</f>
        <v>F_01_10_CC_2036</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F_01_10</v>
      </c>
      <c r="C66" s="134" t="s">
        <v>1112</v>
      </c>
      <c r="D66" s="9" t="str">
        <f>_xlfn.XLOOKUP(C66,Tab_Def_Flows[Flow_Name],Tab_Def_Flows[WC?],,0,)</f>
        <v>Yes</v>
      </c>
      <c r="E66" s="9" t="str">
        <f>_xlfn.XLOOKUP(C66,Tab_Def_Flows[Flow_Name],Tab_Def_Flows[DM?],,0,)</f>
        <v>Yes</v>
      </c>
      <c r="F66" s="9" t="str">
        <f>_xlfn.XLOOKUP(C66,Tab_Def_Flows[Flow_Name],Tab_Def_Flows[CC?],,0,)</f>
        <v>Yes</v>
      </c>
      <c r="G66" s="186">
        <v>2037</v>
      </c>
      <c r="H66" s="187">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5">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5">
        <f>INDEX(Tab_Def_Flows[[Flow_ID]:[CC_DM_source]],MATCH(Tab_Data_Flows[[#This Row],[Flow_Name]],Tab_Def_Flows[Flow_Name],0),14)</f>
        <v>0</v>
      </c>
      <c r="Z66" s="6" t="str">
        <f>Tab_Data_Flows[[#This Row],[Flow_ID]]&amp;"_"&amp;"DM_"&amp;Tab_Data_Flows[[#This Row],[Flow_Data_Year]]</f>
        <v>F_01_10_DM_2037</v>
      </c>
      <c r="AA66" s="6">
        <f>IF(E66="Yes",Y66*Tab_Data_Flows[[#This Row],[Flow_Material]],"N.A.")</f>
        <v>0</v>
      </c>
      <c r="AB66" s="6" t="str">
        <f>Tab_Data_Flows[[#This Row],[UoM_Flow_Py]]</f>
        <v>Mg</v>
      </c>
      <c r="AC66" s="135">
        <f>INDEX(Tab_Def_Flows[[Flow_ID]:[CC_DM_source]],MATCH(Tab_Data_Flows[[#This Row],[Flow_Name]],Tab_Def_Flows[Flow_Name],0),17)</f>
        <v>0</v>
      </c>
      <c r="AD66" s="6" t="str">
        <f>Tab_Data_Flows[[#This Row],[Flow_ID]]&amp;"_"&amp;"CC_"&amp;Tab_Data_Flows[[#This Row],[Flow_Data_Year]]</f>
        <v>F_01_10_CC_2037</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F_01_10</v>
      </c>
      <c r="C67" s="134" t="s">
        <v>1112</v>
      </c>
      <c r="D67" s="9" t="str">
        <f>_xlfn.XLOOKUP(C67,Tab_Def_Flows[Flow_Name],Tab_Def_Flows[WC?],,0,)</f>
        <v>Yes</v>
      </c>
      <c r="E67" s="9" t="str">
        <f>_xlfn.XLOOKUP(C67,Tab_Def_Flows[Flow_Name],Tab_Def_Flows[DM?],,0,)</f>
        <v>Yes</v>
      </c>
      <c r="F67" s="9" t="str">
        <f>_xlfn.XLOOKUP(C67,Tab_Def_Flows[Flow_Name],Tab_Def_Flows[CC?],,0,)</f>
        <v>Yes</v>
      </c>
      <c r="G67" s="186">
        <v>2038</v>
      </c>
      <c r="H67" s="187">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5">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5">
        <f>INDEX(Tab_Def_Flows[[Flow_ID]:[CC_DM_source]],MATCH(Tab_Data_Flows[[#This Row],[Flow_Name]],Tab_Def_Flows[Flow_Name],0),14)</f>
        <v>0</v>
      </c>
      <c r="Z67" s="6" t="str">
        <f>Tab_Data_Flows[[#This Row],[Flow_ID]]&amp;"_"&amp;"DM_"&amp;Tab_Data_Flows[[#This Row],[Flow_Data_Year]]</f>
        <v>F_01_10_DM_2038</v>
      </c>
      <c r="AA67" s="6">
        <f>IF(E67="Yes",Y67*Tab_Data_Flows[[#This Row],[Flow_Material]],"N.A.")</f>
        <v>0</v>
      </c>
      <c r="AB67" s="6" t="str">
        <f>Tab_Data_Flows[[#This Row],[UoM_Flow_Py]]</f>
        <v>Mg</v>
      </c>
      <c r="AC67" s="135">
        <f>INDEX(Tab_Def_Flows[[Flow_ID]:[CC_DM_source]],MATCH(Tab_Data_Flows[[#This Row],[Flow_Name]],Tab_Def_Flows[Flow_Name],0),17)</f>
        <v>0</v>
      </c>
      <c r="AD67" s="6" t="str">
        <f>Tab_Data_Flows[[#This Row],[Flow_ID]]&amp;"_"&amp;"CC_"&amp;Tab_Data_Flows[[#This Row],[Flow_Data_Year]]</f>
        <v>F_01_10_CC_2038</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F_01_10</v>
      </c>
      <c r="C68" s="134" t="s">
        <v>1112</v>
      </c>
      <c r="D68" s="9" t="str">
        <f>_xlfn.XLOOKUP(C68,Tab_Def_Flows[Flow_Name],Tab_Def_Flows[WC?],,0,)</f>
        <v>Yes</v>
      </c>
      <c r="E68" s="9" t="str">
        <f>_xlfn.XLOOKUP(C68,Tab_Def_Flows[Flow_Name],Tab_Def_Flows[DM?],,0,)</f>
        <v>Yes</v>
      </c>
      <c r="F68" s="9" t="str">
        <f>_xlfn.XLOOKUP(C68,Tab_Def_Flows[Flow_Name],Tab_Def_Flows[CC?],,0,)</f>
        <v>Yes</v>
      </c>
      <c r="G68" s="186">
        <v>2039</v>
      </c>
      <c r="H68" s="187">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5">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5">
        <f>INDEX(Tab_Def_Flows[[Flow_ID]:[CC_DM_source]],MATCH(Tab_Data_Flows[[#This Row],[Flow_Name]],Tab_Def_Flows[Flow_Name],0),14)</f>
        <v>0</v>
      </c>
      <c r="Z68" s="6" t="str">
        <f>Tab_Data_Flows[[#This Row],[Flow_ID]]&amp;"_"&amp;"DM_"&amp;Tab_Data_Flows[[#This Row],[Flow_Data_Year]]</f>
        <v>F_01_10_DM_2039</v>
      </c>
      <c r="AA68" s="6">
        <f>IF(E68="Yes",Y68*Tab_Data_Flows[[#This Row],[Flow_Material]],"N.A.")</f>
        <v>0</v>
      </c>
      <c r="AB68" s="6" t="str">
        <f>Tab_Data_Flows[[#This Row],[UoM_Flow_Py]]</f>
        <v>Mg</v>
      </c>
      <c r="AC68" s="135">
        <f>INDEX(Tab_Def_Flows[[Flow_ID]:[CC_DM_source]],MATCH(Tab_Data_Flows[[#This Row],[Flow_Name]],Tab_Def_Flows[Flow_Name],0),17)</f>
        <v>0</v>
      </c>
      <c r="AD68" s="6" t="str">
        <f>Tab_Data_Flows[[#This Row],[Flow_ID]]&amp;"_"&amp;"CC_"&amp;Tab_Data_Flows[[#This Row],[Flow_Data_Year]]</f>
        <v>F_01_10_CC_2039</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F_01_10</v>
      </c>
      <c r="C69" s="134" t="s">
        <v>1112</v>
      </c>
      <c r="D69" s="9" t="str">
        <f>_xlfn.XLOOKUP(C69,Tab_Def_Flows[Flow_Name],Tab_Def_Flows[WC?],,0,)</f>
        <v>Yes</v>
      </c>
      <c r="E69" s="9" t="str">
        <f>_xlfn.XLOOKUP(C69,Tab_Def_Flows[Flow_Name],Tab_Def_Flows[DM?],,0,)</f>
        <v>Yes</v>
      </c>
      <c r="F69" s="9" t="str">
        <f>_xlfn.XLOOKUP(C69,Tab_Def_Flows[Flow_Name],Tab_Def_Flows[CC?],,0,)</f>
        <v>Yes</v>
      </c>
      <c r="G69" s="186">
        <v>2040</v>
      </c>
      <c r="H69" s="187">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5">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5">
        <f>INDEX(Tab_Def_Flows[[Flow_ID]:[CC_DM_source]],MATCH(Tab_Data_Flows[[#This Row],[Flow_Name]],Tab_Def_Flows[Flow_Name],0),14)</f>
        <v>0</v>
      </c>
      <c r="Z69" s="6" t="str">
        <f>Tab_Data_Flows[[#This Row],[Flow_ID]]&amp;"_"&amp;"DM_"&amp;Tab_Data_Flows[[#This Row],[Flow_Data_Year]]</f>
        <v>F_01_10_DM_2040</v>
      </c>
      <c r="AA69" s="6">
        <f>IF(E69="Yes",Y69*Tab_Data_Flows[[#This Row],[Flow_Material]],"N.A.")</f>
        <v>0</v>
      </c>
      <c r="AB69" s="6" t="str">
        <f>Tab_Data_Flows[[#This Row],[UoM_Flow_Py]]</f>
        <v>Mg</v>
      </c>
      <c r="AC69" s="135">
        <f>INDEX(Tab_Def_Flows[[Flow_ID]:[CC_DM_source]],MATCH(Tab_Data_Flows[[#This Row],[Flow_Name]],Tab_Def_Flows[Flow_Name],0),17)</f>
        <v>0</v>
      </c>
      <c r="AD69" s="6" t="str">
        <f>Tab_Data_Flows[[#This Row],[Flow_ID]]&amp;"_"&amp;"CC_"&amp;Tab_Data_Flows[[#This Row],[Flow_Data_Year]]</f>
        <v>F_01_10_CC_2040</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F_01_10</v>
      </c>
      <c r="C70" s="134" t="s">
        <v>1112</v>
      </c>
      <c r="D70" s="9" t="str">
        <f>_xlfn.XLOOKUP(C70,Tab_Def_Flows[Flow_Name],Tab_Def_Flows[WC?],,0,)</f>
        <v>Yes</v>
      </c>
      <c r="E70" s="9" t="str">
        <f>_xlfn.XLOOKUP(C70,Tab_Def_Flows[Flow_Name],Tab_Def_Flows[DM?],,0,)</f>
        <v>Yes</v>
      </c>
      <c r="F70" s="9" t="str">
        <f>_xlfn.XLOOKUP(C70,Tab_Def_Flows[Flow_Name],Tab_Def_Flows[CC?],,0,)</f>
        <v>Yes</v>
      </c>
      <c r="G70" s="186">
        <v>2041</v>
      </c>
      <c r="H70" s="187">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5">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5">
        <f>INDEX(Tab_Def_Flows[[Flow_ID]:[CC_DM_source]],MATCH(Tab_Data_Flows[[#This Row],[Flow_Name]],Tab_Def_Flows[Flow_Name],0),14)</f>
        <v>0</v>
      </c>
      <c r="Z70" s="6" t="str">
        <f>Tab_Data_Flows[[#This Row],[Flow_ID]]&amp;"_"&amp;"DM_"&amp;Tab_Data_Flows[[#This Row],[Flow_Data_Year]]</f>
        <v>F_01_10_DM_2041</v>
      </c>
      <c r="AA70" s="6">
        <f>IF(E70="Yes",Y70*Tab_Data_Flows[[#This Row],[Flow_Material]],"N.A.")</f>
        <v>0</v>
      </c>
      <c r="AB70" s="6" t="str">
        <f>Tab_Data_Flows[[#This Row],[UoM_Flow_Py]]</f>
        <v>Mg</v>
      </c>
      <c r="AC70" s="135">
        <f>INDEX(Tab_Def_Flows[[Flow_ID]:[CC_DM_source]],MATCH(Tab_Data_Flows[[#This Row],[Flow_Name]],Tab_Def_Flows[Flow_Name],0),17)</f>
        <v>0</v>
      </c>
      <c r="AD70" s="6" t="str">
        <f>Tab_Data_Flows[[#This Row],[Flow_ID]]&amp;"_"&amp;"CC_"&amp;Tab_Data_Flows[[#This Row],[Flow_Data_Year]]</f>
        <v>F_01_10_CC_2041</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F_01_10</v>
      </c>
      <c r="C71" s="134" t="s">
        <v>1112</v>
      </c>
      <c r="D71" s="9" t="str">
        <f>_xlfn.XLOOKUP(C71,Tab_Def_Flows[Flow_Name],Tab_Def_Flows[WC?],,0,)</f>
        <v>Yes</v>
      </c>
      <c r="E71" s="9" t="str">
        <f>_xlfn.XLOOKUP(C71,Tab_Def_Flows[Flow_Name],Tab_Def_Flows[DM?],,0,)</f>
        <v>Yes</v>
      </c>
      <c r="F71" s="9" t="str">
        <f>_xlfn.XLOOKUP(C71,Tab_Def_Flows[Flow_Name],Tab_Def_Flows[CC?],,0,)</f>
        <v>Yes</v>
      </c>
      <c r="G71" s="186">
        <v>2042</v>
      </c>
      <c r="H71" s="187">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5">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5">
        <f>INDEX(Tab_Def_Flows[[Flow_ID]:[CC_DM_source]],MATCH(Tab_Data_Flows[[#This Row],[Flow_Name]],Tab_Def_Flows[Flow_Name],0),14)</f>
        <v>0</v>
      </c>
      <c r="Z71" s="6" t="str">
        <f>Tab_Data_Flows[[#This Row],[Flow_ID]]&amp;"_"&amp;"DM_"&amp;Tab_Data_Flows[[#This Row],[Flow_Data_Year]]</f>
        <v>F_01_10_DM_2042</v>
      </c>
      <c r="AA71" s="6">
        <f>IF(E71="Yes",Y71*Tab_Data_Flows[[#This Row],[Flow_Material]],"N.A.")</f>
        <v>0</v>
      </c>
      <c r="AB71" s="6" t="str">
        <f>Tab_Data_Flows[[#This Row],[UoM_Flow_Py]]</f>
        <v>Mg</v>
      </c>
      <c r="AC71" s="135">
        <f>INDEX(Tab_Def_Flows[[Flow_ID]:[CC_DM_source]],MATCH(Tab_Data_Flows[[#This Row],[Flow_Name]],Tab_Def_Flows[Flow_Name],0),17)</f>
        <v>0</v>
      </c>
      <c r="AD71" s="6" t="str">
        <f>Tab_Data_Flows[[#This Row],[Flow_ID]]&amp;"_"&amp;"CC_"&amp;Tab_Data_Flows[[#This Row],[Flow_Data_Year]]</f>
        <v>F_01_10_CC_2042</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F_01_10</v>
      </c>
      <c r="C72" s="134" t="s">
        <v>1112</v>
      </c>
      <c r="D72" s="9" t="str">
        <f>_xlfn.XLOOKUP(C72,Tab_Def_Flows[Flow_Name],Tab_Def_Flows[WC?],,0,)</f>
        <v>Yes</v>
      </c>
      <c r="E72" s="9" t="str">
        <f>_xlfn.XLOOKUP(C72,Tab_Def_Flows[Flow_Name],Tab_Def_Flows[DM?],,0,)</f>
        <v>Yes</v>
      </c>
      <c r="F72" s="9" t="str">
        <f>_xlfn.XLOOKUP(C72,Tab_Def_Flows[Flow_Name],Tab_Def_Flows[CC?],,0,)</f>
        <v>Yes</v>
      </c>
      <c r="G72" s="186">
        <v>2043</v>
      </c>
      <c r="H72" s="187">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5">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5">
        <f>INDEX(Tab_Def_Flows[[Flow_ID]:[CC_DM_source]],MATCH(Tab_Data_Flows[[#This Row],[Flow_Name]],Tab_Def_Flows[Flow_Name],0),14)</f>
        <v>0</v>
      </c>
      <c r="Z72" s="6" t="str">
        <f>Tab_Data_Flows[[#This Row],[Flow_ID]]&amp;"_"&amp;"DM_"&amp;Tab_Data_Flows[[#This Row],[Flow_Data_Year]]</f>
        <v>F_01_10_DM_2043</v>
      </c>
      <c r="AA72" s="6">
        <f>IF(E72="Yes",Y72*Tab_Data_Flows[[#This Row],[Flow_Material]],"N.A.")</f>
        <v>0</v>
      </c>
      <c r="AB72" s="6" t="str">
        <f>Tab_Data_Flows[[#This Row],[UoM_Flow_Py]]</f>
        <v>Mg</v>
      </c>
      <c r="AC72" s="135">
        <f>INDEX(Tab_Def_Flows[[Flow_ID]:[CC_DM_source]],MATCH(Tab_Data_Flows[[#This Row],[Flow_Name]],Tab_Def_Flows[Flow_Name],0),17)</f>
        <v>0</v>
      </c>
      <c r="AD72" s="6" t="str">
        <f>Tab_Data_Flows[[#This Row],[Flow_ID]]&amp;"_"&amp;"CC_"&amp;Tab_Data_Flows[[#This Row],[Flow_Data_Year]]</f>
        <v>F_01_10_CC_2043</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F_01_10</v>
      </c>
      <c r="C73" s="134" t="s">
        <v>1112</v>
      </c>
      <c r="D73" s="9" t="str">
        <f>_xlfn.XLOOKUP(C73,Tab_Def_Flows[Flow_Name],Tab_Def_Flows[WC?],,0,)</f>
        <v>Yes</v>
      </c>
      <c r="E73" s="9" t="str">
        <f>_xlfn.XLOOKUP(C73,Tab_Def_Flows[Flow_Name],Tab_Def_Flows[DM?],,0,)</f>
        <v>Yes</v>
      </c>
      <c r="F73" s="9" t="str">
        <f>_xlfn.XLOOKUP(C73,Tab_Def_Flows[Flow_Name],Tab_Def_Flows[CC?],,0,)</f>
        <v>Yes</v>
      </c>
      <c r="G73" s="186">
        <v>2044</v>
      </c>
      <c r="H73" s="187">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5">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5">
        <f>INDEX(Tab_Def_Flows[[Flow_ID]:[CC_DM_source]],MATCH(Tab_Data_Flows[[#This Row],[Flow_Name]],Tab_Def_Flows[Flow_Name],0),14)</f>
        <v>0</v>
      </c>
      <c r="Z73" s="6" t="str">
        <f>Tab_Data_Flows[[#This Row],[Flow_ID]]&amp;"_"&amp;"DM_"&amp;Tab_Data_Flows[[#This Row],[Flow_Data_Year]]</f>
        <v>F_01_10_DM_2044</v>
      </c>
      <c r="AA73" s="6">
        <f>IF(E73="Yes",Y73*Tab_Data_Flows[[#This Row],[Flow_Material]],"N.A.")</f>
        <v>0</v>
      </c>
      <c r="AB73" s="6" t="str">
        <f>Tab_Data_Flows[[#This Row],[UoM_Flow_Py]]</f>
        <v>Mg</v>
      </c>
      <c r="AC73" s="135">
        <f>INDEX(Tab_Def_Flows[[Flow_ID]:[CC_DM_source]],MATCH(Tab_Data_Flows[[#This Row],[Flow_Name]],Tab_Def_Flows[Flow_Name],0),17)</f>
        <v>0</v>
      </c>
      <c r="AD73" s="6" t="str">
        <f>Tab_Data_Flows[[#This Row],[Flow_ID]]&amp;"_"&amp;"CC_"&amp;Tab_Data_Flows[[#This Row],[Flow_Data_Year]]</f>
        <v>F_01_10_CC_2044</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F_01_10</v>
      </c>
      <c r="C74" s="134" t="s">
        <v>1112</v>
      </c>
      <c r="D74" s="9" t="str">
        <f>_xlfn.XLOOKUP(C74,Tab_Def_Flows[Flow_Name],Tab_Def_Flows[WC?],,0,)</f>
        <v>Yes</v>
      </c>
      <c r="E74" s="9" t="str">
        <f>_xlfn.XLOOKUP(C74,Tab_Def_Flows[Flow_Name],Tab_Def_Flows[DM?],,0,)</f>
        <v>Yes</v>
      </c>
      <c r="F74" s="9" t="str">
        <f>_xlfn.XLOOKUP(C74,Tab_Def_Flows[Flow_Name],Tab_Def_Flows[CC?],,0,)</f>
        <v>Yes</v>
      </c>
      <c r="G74" s="186">
        <v>2045</v>
      </c>
      <c r="H74" s="187">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5">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5">
        <f>INDEX(Tab_Def_Flows[[Flow_ID]:[CC_DM_source]],MATCH(Tab_Data_Flows[[#This Row],[Flow_Name]],Tab_Def_Flows[Flow_Name],0),14)</f>
        <v>0</v>
      </c>
      <c r="Z74" s="6" t="str">
        <f>Tab_Data_Flows[[#This Row],[Flow_ID]]&amp;"_"&amp;"DM_"&amp;Tab_Data_Flows[[#This Row],[Flow_Data_Year]]</f>
        <v>F_01_10_DM_2045</v>
      </c>
      <c r="AA74" s="6">
        <f>IF(E74="Yes",Y74*Tab_Data_Flows[[#This Row],[Flow_Material]],"N.A.")</f>
        <v>0</v>
      </c>
      <c r="AB74" s="6" t="str">
        <f>Tab_Data_Flows[[#This Row],[UoM_Flow_Py]]</f>
        <v>Mg</v>
      </c>
      <c r="AC74" s="135">
        <f>INDEX(Tab_Def_Flows[[Flow_ID]:[CC_DM_source]],MATCH(Tab_Data_Flows[[#This Row],[Flow_Name]],Tab_Def_Flows[Flow_Name],0),17)</f>
        <v>0</v>
      </c>
      <c r="AD74" s="6" t="str">
        <f>Tab_Data_Flows[[#This Row],[Flow_ID]]&amp;"_"&amp;"CC_"&amp;Tab_Data_Flows[[#This Row],[Flow_Data_Year]]</f>
        <v>F_01_10_CC_2045</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F_01_10</v>
      </c>
      <c r="C75" s="134" t="s">
        <v>1112</v>
      </c>
      <c r="D75" s="9" t="str">
        <f>_xlfn.XLOOKUP(C75,Tab_Def_Flows[Flow_Name],Tab_Def_Flows[WC?],,0,)</f>
        <v>Yes</v>
      </c>
      <c r="E75" s="9" t="str">
        <f>_xlfn.XLOOKUP(C75,Tab_Def_Flows[Flow_Name],Tab_Def_Flows[DM?],,0,)</f>
        <v>Yes</v>
      </c>
      <c r="F75" s="9" t="str">
        <f>_xlfn.XLOOKUP(C75,Tab_Def_Flows[Flow_Name],Tab_Def_Flows[CC?],,0,)</f>
        <v>Yes</v>
      </c>
      <c r="G75" s="186">
        <v>2046</v>
      </c>
      <c r="H75" s="187">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5">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5">
        <f>INDEX(Tab_Def_Flows[[Flow_ID]:[CC_DM_source]],MATCH(Tab_Data_Flows[[#This Row],[Flow_Name]],Tab_Def_Flows[Flow_Name],0),14)</f>
        <v>0</v>
      </c>
      <c r="Z75" s="6" t="str">
        <f>Tab_Data_Flows[[#This Row],[Flow_ID]]&amp;"_"&amp;"DM_"&amp;Tab_Data_Flows[[#This Row],[Flow_Data_Year]]</f>
        <v>F_01_10_DM_2046</v>
      </c>
      <c r="AA75" s="6">
        <f>IF(E75="Yes",Y75*Tab_Data_Flows[[#This Row],[Flow_Material]],"N.A.")</f>
        <v>0</v>
      </c>
      <c r="AB75" s="6" t="str">
        <f>Tab_Data_Flows[[#This Row],[UoM_Flow_Py]]</f>
        <v>Mg</v>
      </c>
      <c r="AC75" s="135">
        <f>INDEX(Tab_Def_Flows[[Flow_ID]:[CC_DM_source]],MATCH(Tab_Data_Flows[[#This Row],[Flow_Name]],Tab_Def_Flows[Flow_Name],0),17)</f>
        <v>0</v>
      </c>
      <c r="AD75" s="6" t="str">
        <f>Tab_Data_Flows[[#This Row],[Flow_ID]]&amp;"_"&amp;"CC_"&amp;Tab_Data_Flows[[#This Row],[Flow_Data_Year]]</f>
        <v>F_01_10_CC_2046</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F_01_10</v>
      </c>
      <c r="C76" s="134" t="s">
        <v>1112</v>
      </c>
      <c r="D76" s="9" t="str">
        <f>_xlfn.XLOOKUP(C76,Tab_Def_Flows[Flow_Name],Tab_Def_Flows[WC?],,0,)</f>
        <v>Yes</v>
      </c>
      <c r="E76" s="9" t="str">
        <f>_xlfn.XLOOKUP(C76,Tab_Def_Flows[Flow_Name],Tab_Def_Flows[DM?],,0,)</f>
        <v>Yes</v>
      </c>
      <c r="F76" s="9" t="str">
        <f>_xlfn.XLOOKUP(C76,Tab_Def_Flows[Flow_Name],Tab_Def_Flows[CC?],,0,)</f>
        <v>Yes</v>
      </c>
      <c r="G76" s="186">
        <v>2047</v>
      </c>
      <c r="H76" s="187">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5">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5">
        <f>INDEX(Tab_Def_Flows[[Flow_ID]:[CC_DM_source]],MATCH(Tab_Data_Flows[[#This Row],[Flow_Name]],Tab_Def_Flows[Flow_Name],0),14)</f>
        <v>0</v>
      </c>
      <c r="Z76" s="6" t="str">
        <f>Tab_Data_Flows[[#This Row],[Flow_ID]]&amp;"_"&amp;"DM_"&amp;Tab_Data_Flows[[#This Row],[Flow_Data_Year]]</f>
        <v>F_01_10_DM_2047</v>
      </c>
      <c r="AA76" s="6">
        <f>IF(E76="Yes",Y76*Tab_Data_Flows[[#This Row],[Flow_Material]],"N.A.")</f>
        <v>0</v>
      </c>
      <c r="AB76" s="6" t="str">
        <f>Tab_Data_Flows[[#This Row],[UoM_Flow_Py]]</f>
        <v>Mg</v>
      </c>
      <c r="AC76" s="135">
        <f>INDEX(Tab_Def_Flows[[Flow_ID]:[CC_DM_source]],MATCH(Tab_Data_Flows[[#This Row],[Flow_Name]],Tab_Def_Flows[Flow_Name],0),17)</f>
        <v>0</v>
      </c>
      <c r="AD76" s="6" t="str">
        <f>Tab_Data_Flows[[#This Row],[Flow_ID]]&amp;"_"&amp;"CC_"&amp;Tab_Data_Flows[[#This Row],[Flow_Data_Year]]</f>
        <v>F_01_10_CC_2047</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F_01_10</v>
      </c>
      <c r="C77" s="134" t="s">
        <v>1112</v>
      </c>
      <c r="D77" s="9" t="str">
        <f>_xlfn.XLOOKUP(C77,Tab_Def_Flows[Flow_Name],Tab_Def_Flows[WC?],,0,)</f>
        <v>Yes</v>
      </c>
      <c r="E77" s="9" t="str">
        <f>_xlfn.XLOOKUP(C77,Tab_Def_Flows[Flow_Name],Tab_Def_Flows[DM?],,0,)</f>
        <v>Yes</v>
      </c>
      <c r="F77" s="9" t="str">
        <f>_xlfn.XLOOKUP(C77,Tab_Def_Flows[Flow_Name],Tab_Def_Flows[CC?],,0,)</f>
        <v>Yes</v>
      </c>
      <c r="G77" s="186">
        <v>2048</v>
      </c>
      <c r="H77" s="187">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5">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5">
        <f>INDEX(Tab_Def_Flows[[Flow_ID]:[CC_DM_source]],MATCH(Tab_Data_Flows[[#This Row],[Flow_Name]],Tab_Def_Flows[Flow_Name],0),14)</f>
        <v>0</v>
      </c>
      <c r="Z77" s="6" t="str">
        <f>Tab_Data_Flows[[#This Row],[Flow_ID]]&amp;"_"&amp;"DM_"&amp;Tab_Data_Flows[[#This Row],[Flow_Data_Year]]</f>
        <v>F_01_10_DM_2048</v>
      </c>
      <c r="AA77" s="6">
        <f>IF(E77="Yes",Y77*Tab_Data_Flows[[#This Row],[Flow_Material]],"N.A.")</f>
        <v>0</v>
      </c>
      <c r="AB77" s="6" t="str">
        <f>Tab_Data_Flows[[#This Row],[UoM_Flow_Py]]</f>
        <v>Mg</v>
      </c>
      <c r="AC77" s="135">
        <f>INDEX(Tab_Def_Flows[[Flow_ID]:[CC_DM_source]],MATCH(Tab_Data_Flows[[#This Row],[Flow_Name]],Tab_Def_Flows[Flow_Name],0),17)</f>
        <v>0</v>
      </c>
      <c r="AD77" s="6" t="str">
        <f>Tab_Data_Flows[[#This Row],[Flow_ID]]&amp;"_"&amp;"CC_"&amp;Tab_Data_Flows[[#This Row],[Flow_Data_Year]]</f>
        <v>F_01_10_CC_2048</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F_01_10</v>
      </c>
      <c r="C78" s="134" t="s">
        <v>1112</v>
      </c>
      <c r="D78" s="9" t="str">
        <f>_xlfn.XLOOKUP(C78,Tab_Def_Flows[Flow_Name],Tab_Def_Flows[WC?],,0,)</f>
        <v>Yes</v>
      </c>
      <c r="E78" s="9" t="str">
        <f>_xlfn.XLOOKUP(C78,Tab_Def_Flows[Flow_Name],Tab_Def_Flows[DM?],,0,)</f>
        <v>Yes</v>
      </c>
      <c r="F78" s="9" t="str">
        <f>_xlfn.XLOOKUP(C78,Tab_Def_Flows[Flow_Name],Tab_Def_Flows[CC?],,0,)</f>
        <v>Yes</v>
      </c>
      <c r="G78" s="186">
        <v>2049</v>
      </c>
      <c r="H78" s="187">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5">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5">
        <f>INDEX(Tab_Def_Flows[[Flow_ID]:[CC_DM_source]],MATCH(Tab_Data_Flows[[#This Row],[Flow_Name]],Tab_Def_Flows[Flow_Name],0),14)</f>
        <v>0</v>
      </c>
      <c r="Z78" s="6" t="str">
        <f>Tab_Data_Flows[[#This Row],[Flow_ID]]&amp;"_"&amp;"DM_"&amp;Tab_Data_Flows[[#This Row],[Flow_Data_Year]]</f>
        <v>F_01_10_DM_2049</v>
      </c>
      <c r="AA78" s="6">
        <f>IF(E78="Yes",Y78*Tab_Data_Flows[[#This Row],[Flow_Material]],"N.A.")</f>
        <v>0</v>
      </c>
      <c r="AB78" s="6" t="str">
        <f>Tab_Data_Flows[[#This Row],[UoM_Flow_Py]]</f>
        <v>Mg</v>
      </c>
      <c r="AC78" s="135">
        <f>INDEX(Tab_Def_Flows[[Flow_ID]:[CC_DM_source]],MATCH(Tab_Data_Flows[[#This Row],[Flow_Name]],Tab_Def_Flows[Flow_Name],0),17)</f>
        <v>0</v>
      </c>
      <c r="AD78" s="6" t="str">
        <f>Tab_Data_Flows[[#This Row],[Flow_ID]]&amp;"_"&amp;"CC_"&amp;Tab_Data_Flows[[#This Row],[Flow_Data_Year]]</f>
        <v>F_01_10_CC_2049</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F_01_10</v>
      </c>
      <c r="C79" s="134" t="s">
        <v>1112</v>
      </c>
      <c r="D79" s="9" t="str">
        <f>_xlfn.XLOOKUP(C79,Tab_Def_Flows[Flow_Name],Tab_Def_Flows[WC?],,0,)</f>
        <v>Yes</v>
      </c>
      <c r="E79" s="9" t="str">
        <f>_xlfn.XLOOKUP(C79,Tab_Def_Flows[Flow_Name],Tab_Def_Flows[DM?],,0,)</f>
        <v>Yes</v>
      </c>
      <c r="F79" s="9" t="str">
        <f>_xlfn.XLOOKUP(C79,Tab_Def_Flows[Flow_Name],Tab_Def_Flows[CC?],,0,)</f>
        <v>Yes</v>
      </c>
      <c r="G79" s="186">
        <v>2050</v>
      </c>
      <c r="H79" s="187">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5">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5">
        <f>INDEX(Tab_Def_Flows[[Flow_ID]:[CC_DM_source]],MATCH(Tab_Data_Flows[[#This Row],[Flow_Name]],Tab_Def_Flows[Flow_Name],0),14)</f>
        <v>0</v>
      </c>
      <c r="Z79" s="6" t="str">
        <f>Tab_Data_Flows[[#This Row],[Flow_ID]]&amp;"_"&amp;"DM_"&amp;Tab_Data_Flows[[#This Row],[Flow_Data_Year]]</f>
        <v>F_01_10_DM_2050</v>
      </c>
      <c r="AA79" s="6">
        <f>IF(E79="Yes",Y79*Tab_Data_Flows[[#This Row],[Flow_Material]],"N.A.")</f>
        <v>0</v>
      </c>
      <c r="AB79" s="6" t="str">
        <f>Tab_Data_Flows[[#This Row],[UoM_Flow_Py]]</f>
        <v>Mg</v>
      </c>
      <c r="AC79" s="135">
        <f>INDEX(Tab_Def_Flows[[Flow_ID]:[CC_DM_source]],MATCH(Tab_Data_Flows[[#This Row],[Flow_Name]],Tab_Def_Flows[Flow_Name],0),17)</f>
        <v>0</v>
      </c>
      <c r="AD79" s="6" t="str">
        <f>Tab_Data_Flows[[#This Row],[Flow_ID]]&amp;"_"&amp;"CC_"&amp;Tab_Data_Flows[[#This Row],[Flow_Data_Year]]</f>
        <v>F_01_10_CC_2050</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F_00_10</v>
      </c>
      <c r="C80" s="134" t="s">
        <v>1113</v>
      </c>
      <c r="D80" s="9" t="str">
        <f>_xlfn.XLOOKUP(C80,Tab_Def_Flows[Flow_Name],Tab_Def_Flows[WC?],,0,)</f>
        <v>Yes</v>
      </c>
      <c r="E80" s="9" t="str">
        <f>_xlfn.XLOOKUP(C80,Tab_Def_Flows[Flow_Name],Tab_Def_Flows[DM?],,0,)</f>
        <v>Yes</v>
      </c>
      <c r="F80" s="9" t="str">
        <f>_xlfn.XLOOKUP(C80,Tab_Def_Flows[Flow_Name],Tab_Def_Flows[CC?],,0,)</f>
        <v>Yes</v>
      </c>
      <c r="G80" s="186">
        <v>2025</v>
      </c>
      <c r="H80" s="187">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5">
        <f>INDEX(Tab_Def_Flows[[Flow_ID]:[CC_DM_source]],MATCH(Tab_Data_Flows[[#This Row],[Flow_Name]],Tab_Def_Flows[Flow_Name],0),11)</f>
        <v>0</v>
      </c>
      <c r="V80" s="6" t="str">
        <f>Tab_Data_Flows[[#This Row],[Flow_ID]]&amp;"_"&amp;"WC_"&amp;Tab_Data_Flows[[#This Row],[Flow_Data_Year]]</f>
        <v>F_00_10_WC_2025</v>
      </c>
      <c r="W80" s="6">
        <f>IF(D80="Yes",S80*Tab_Data_Flows[[#This Row],[WC_'[%']]],"N.A.")</f>
        <v>0</v>
      </c>
      <c r="X80" s="6" t="str">
        <f>Tab_Data_Flows[[#This Row],[UoM_Flow_Py]]</f>
        <v>Mg</v>
      </c>
      <c r="Y80" s="135">
        <f>INDEX(Tab_Def_Flows[[Flow_ID]:[CC_DM_source]],MATCH(Tab_Data_Flows[[#This Row],[Flow_Name]],Tab_Def_Flows[Flow_Name],0),14)</f>
        <v>0</v>
      </c>
      <c r="Z80" s="6" t="str">
        <f>Tab_Data_Flows[[#This Row],[Flow_ID]]&amp;"_"&amp;"DM_"&amp;Tab_Data_Flows[[#This Row],[Flow_Data_Year]]</f>
        <v>F_00_10_DM_2025</v>
      </c>
      <c r="AA80" s="6">
        <f>IF(E80="Yes",Y80*Tab_Data_Flows[[#This Row],[Flow_Material]],"N.A.")</f>
        <v>0</v>
      </c>
      <c r="AB80" s="6" t="str">
        <f>Tab_Data_Flows[[#This Row],[UoM_Flow_Py]]</f>
        <v>Mg</v>
      </c>
      <c r="AC80" s="135">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4" t="s">
        <v>1113</v>
      </c>
      <c r="D81" s="9" t="str">
        <f>_xlfn.XLOOKUP(C81,Tab_Def_Flows[Flow_Name],Tab_Def_Flows[WC?],,0,)</f>
        <v>Yes</v>
      </c>
      <c r="E81" s="9" t="str">
        <f>_xlfn.XLOOKUP(C81,Tab_Def_Flows[Flow_Name],Tab_Def_Flows[DM?],,0,)</f>
        <v>Yes</v>
      </c>
      <c r="F81" s="9" t="str">
        <f>_xlfn.XLOOKUP(C81,Tab_Def_Flows[Flow_Name],Tab_Def_Flows[CC?],,0,)</f>
        <v>Yes</v>
      </c>
      <c r="G81" s="186">
        <v>2026</v>
      </c>
      <c r="H81" s="187">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5">
        <f>INDEX(Tab_Def_Flows[[Flow_ID]:[CC_DM_source]],MATCH(Tab_Data_Flows[[#This Row],[Flow_Name]],Tab_Def_Flows[Flow_Name],0),11)</f>
        <v>0</v>
      </c>
      <c r="V81" s="6" t="str">
        <f>Tab_Data_Flows[[#This Row],[Flow_ID]]&amp;"_"&amp;"WC_"&amp;Tab_Data_Flows[[#This Row],[Flow_Data_Year]]</f>
        <v>F_00_10_WC_2026</v>
      </c>
      <c r="W81" s="6">
        <f>IF(D81="Yes",S81*Tab_Data_Flows[[#This Row],[WC_'[%']]],"N.A.")</f>
        <v>0</v>
      </c>
      <c r="X81" s="6" t="str">
        <f>Tab_Data_Flows[[#This Row],[UoM_Flow_Py]]</f>
        <v>Mg</v>
      </c>
      <c r="Y81" s="135">
        <f>INDEX(Tab_Def_Flows[[Flow_ID]:[CC_DM_source]],MATCH(Tab_Data_Flows[[#This Row],[Flow_Name]],Tab_Def_Flows[Flow_Name],0),14)</f>
        <v>0</v>
      </c>
      <c r="Z81" s="6" t="str">
        <f>Tab_Data_Flows[[#This Row],[Flow_ID]]&amp;"_"&amp;"DM_"&amp;Tab_Data_Flows[[#This Row],[Flow_Data_Year]]</f>
        <v>F_00_10_DM_2026</v>
      </c>
      <c r="AA81" s="6">
        <f>IF(E81="Yes",Y81*Tab_Data_Flows[[#This Row],[Flow_Material]],"N.A.")</f>
        <v>0</v>
      </c>
      <c r="AB81" s="6" t="str">
        <f>Tab_Data_Flows[[#This Row],[UoM_Flow_Py]]</f>
        <v>Mg</v>
      </c>
      <c r="AC81" s="135">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4" t="s">
        <v>1113</v>
      </c>
      <c r="D82" s="9" t="str">
        <f>_xlfn.XLOOKUP(C82,Tab_Def_Flows[Flow_Name],Tab_Def_Flows[WC?],,0,)</f>
        <v>Yes</v>
      </c>
      <c r="E82" s="9" t="str">
        <f>_xlfn.XLOOKUP(C82,Tab_Def_Flows[Flow_Name],Tab_Def_Flows[DM?],,0,)</f>
        <v>Yes</v>
      </c>
      <c r="F82" s="9" t="str">
        <f>_xlfn.XLOOKUP(C82,Tab_Def_Flows[Flow_Name],Tab_Def_Flows[CC?],,0,)</f>
        <v>Yes</v>
      </c>
      <c r="G82" s="186">
        <v>2027</v>
      </c>
      <c r="H82" s="187">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5">
        <f>INDEX(Tab_Def_Flows[[Flow_ID]:[CC_DM_source]],MATCH(Tab_Data_Flows[[#This Row],[Flow_Name]],Tab_Def_Flows[Flow_Name],0),11)</f>
        <v>0</v>
      </c>
      <c r="V82" s="6" t="str">
        <f>Tab_Data_Flows[[#This Row],[Flow_ID]]&amp;"_"&amp;"WC_"&amp;Tab_Data_Flows[[#This Row],[Flow_Data_Year]]</f>
        <v>F_00_10_WC_2027</v>
      </c>
      <c r="W82" s="6">
        <f>IF(D82="Yes",S82*Tab_Data_Flows[[#This Row],[WC_'[%']]],"N.A.")</f>
        <v>0</v>
      </c>
      <c r="X82" s="6" t="str">
        <f>Tab_Data_Flows[[#This Row],[UoM_Flow_Py]]</f>
        <v>Mg</v>
      </c>
      <c r="Y82" s="135">
        <f>INDEX(Tab_Def_Flows[[Flow_ID]:[CC_DM_source]],MATCH(Tab_Data_Flows[[#This Row],[Flow_Name]],Tab_Def_Flows[Flow_Name],0),14)</f>
        <v>0</v>
      </c>
      <c r="Z82" s="6" t="str">
        <f>Tab_Data_Flows[[#This Row],[Flow_ID]]&amp;"_"&amp;"DM_"&amp;Tab_Data_Flows[[#This Row],[Flow_Data_Year]]</f>
        <v>F_00_10_DM_2027</v>
      </c>
      <c r="AA82" s="6">
        <f>IF(E82="Yes",Y82*Tab_Data_Flows[[#This Row],[Flow_Material]],"N.A.")</f>
        <v>0</v>
      </c>
      <c r="AB82" s="6" t="str">
        <f>Tab_Data_Flows[[#This Row],[UoM_Flow_Py]]</f>
        <v>Mg</v>
      </c>
      <c r="AC82" s="135">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4" t="s">
        <v>1113</v>
      </c>
      <c r="D83" s="9" t="str">
        <f>_xlfn.XLOOKUP(C83,Tab_Def_Flows[Flow_Name],Tab_Def_Flows[WC?],,0,)</f>
        <v>Yes</v>
      </c>
      <c r="E83" s="9" t="str">
        <f>_xlfn.XLOOKUP(C83,Tab_Def_Flows[Flow_Name],Tab_Def_Flows[DM?],,0,)</f>
        <v>Yes</v>
      </c>
      <c r="F83" s="9" t="str">
        <f>_xlfn.XLOOKUP(C83,Tab_Def_Flows[Flow_Name],Tab_Def_Flows[CC?],,0,)</f>
        <v>Yes</v>
      </c>
      <c r="G83" s="186">
        <v>2028</v>
      </c>
      <c r="H83" s="187">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5">
        <f>INDEX(Tab_Def_Flows[[Flow_ID]:[CC_DM_source]],MATCH(Tab_Data_Flows[[#This Row],[Flow_Name]],Tab_Def_Flows[Flow_Name],0),11)</f>
        <v>0</v>
      </c>
      <c r="V83" s="6" t="str">
        <f>Tab_Data_Flows[[#This Row],[Flow_ID]]&amp;"_"&amp;"WC_"&amp;Tab_Data_Flows[[#This Row],[Flow_Data_Year]]</f>
        <v>F_00_10_WC_2028</v>
      </c>
      <c r="W83" s="6">
        <f>IF(D83="Yes",S83*Tab_Data_Flows[[#This Row],[WC_'[%']]],"N.A.")</f>
        <v>0</v>
      </c>
      <c r="X83" s="6" t="str">
        <f>Tab_Data_Flows[[#This Row],[UoM_Flow_Py]]</f>
        <v>Mg</v>
      </c>
      <c r="Y83" s="135">
        <f>INDEX(Tab_Def_Flows[[Flow_ID]:[CC_DM_source]],MATCH(Tab_Data_Flows[[#This Row],[Flow_Name]],Tab_Def_Flows[Flow_Name],0),14)</f>
        <v>0</v>
      </c>
      <c r="Z83" s="6" t="str">
        <f>Tab_Data_Flows[[#This Row],[Flow_ID]]&amp;"_"&amp;"DM_"&amp;Tab_Data_Flows[[#This Row],[Flow_Data_Year]]</f>
        <v>F_00_10_DM_2028</v>
      </c>
      <c r="AA83" s="6">
        <f>IF(E83="Yes",Y83*Tab_Data_Flows[[#This Row],[Flow_Material]],"N.A.")</f>
        <v>0</v>
      </c>
      <c r="AB83" s="6" t="str">
        <f>Tab_Data_Flows[[#This Row],[UoM_Flow_Py]]</f>
        <v>Mg</v>
      </c>
      <c r="AC83" s="135">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4" t="s">
        <v>1113</v>
      </c>
      <c r="D84" s="9" t="str">
        <f>_xlfn.XLOOKUP(C84,Tab_Def_Flows[Flow_Name],Tab_Def_Flows[WC?],,0,)</f>
        <v>Yes</v>
      </c>
      <c r="E84" s="9" t="str">
        <f>_xlfn.XLOOKUP(C84,Tab_Def_Flows[Flow_Name],Tab_Def_Flows[DM?],,0,)</f>
        <v>Yes</v>
      </c>
      <c r="F84" s="9" t="str">
        <f>_xlfn.XLOOKUP(C84,Tab_Def_Flows[Flow_Name],Tab_Def_Flows[CC?],,0,)</f>
        <v>Yes</v>
      </c>
      <c r="G84" s="186">
        <v>2029</v>
      </c>
      <c r="H84" s="187">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5">
        <f>INDEX(Tab_Def_Flows[[Flow_ID]:[CC_DM_source]],MATCH(Tab_Data_Flows[[#This Row],[Flow_Name]],Tab_Def_Flows[Flow_Name],0),11)</f>
        <v>0</v>
      </c>
      <c r="V84" s="6" t="str">
        <f>Tab_Data_Flows[[#This Row],[Flow_ID]]&amp;"_"&amp;"WC_"&amp;Tab_Data_Flows[[#This Row],[Flow_Data_Year]]</f>
        <v>F_00_10_WC_2029</v>
      </c>
      <c r="W84" s="6">
        <f>IF(D84="Yes",S84*Tab_Data_Flows[[#This Row],[WC_'[%']]],"N.A.")</f>
        <v>0</v>
      </c>
      <c r="X84" s="6" t="str">
        <f>Tab_Data_Flows[[#This Row],[UoM_Flow_Py]]</f>
        <v>Mg</v>
      </c>
      <c r="Y84" s="135">
        <f>INDEX(Tab_Def_Flows[[Flow_ID]:[CC_DM_source]],MATCH(Tab_Data_Flows[[#This Row],[Flow_Name]],Tab_Def_Flows[Flow_Name],0),14)</f>
        <v>0</v>
      </c>
      <c r="Z84" s="6" t="str">
        <f>Tab_Data_Flows[[#This Row],[Flow_ID]]&amp;"_"&amp;"DM_"&amp;Tab_Data_Flows[[#This Row],[Flow_Data_Year]]</f>
        <v>F_00_10_DM_2029</v>
      </c>
      <c r="AA84" s="6">
        <f>IF(E84="Yes",Y84*Tab_Data_Flows[[#This Row],[Flow_Material]],"N.A.")</f>
        <v>0</v>
      </c>
      <c r="AB84" s="6" t="str">
        <f>Tab_Data_Flows[[#This Row],[UoM_Flow_Py]]</f>
        <v>Mg</v>
      </c>
      <c r="AC84" s="135">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4" t="s">
        <v>1113</v>
      </c>
      <c r="D85" s="9" t="str">
        <f>_xlfn.XLOOKUP(C85,Tab_Def_Flows[Flow_Name],Tab_Def_Flows[WC?],,0,)</f>
        <v>Yes</v>
      </c>
      <c r="E85" s="9" t="str">
        <f>_xlfn.XLOOKUP(C85,Tab_Def_Flows[Flow_Name],Tab_Def_Flows[DM?],,0,)</f>
        <v>Yes</v>
      </c>
      <c r="F85" s="9" t="str">
        <f>_xlfn.XLOOKUP(C85,Tab_Def_Flows[Flow_Name],Tab_Def_Flows[CC?],,0,)</f>
        <v>Yes</v>
      </c>
      <c r="G85" s="186">
        <v>2030</v>
      </c>
      <c r="H85" s="187">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5">
        <f>INDEX(Tab_Def_Flows[[Flow_ID]:[CC_DM_source]],MATCH(Tab_Data_Flows[[#This Row],[Flow_Name]],Tab_Def_Flows[Flow_Name],0),11)</f>
        <v>0</v>
      </c>
      <c r="V85" s="6" t="str">
        <f>Tab_Data_Flows[[#This Row],[Flow_ID]]&amp;"_"&amp;"WC_"&amp;Tab_Data_Flows[[#This Row],[Flow_Data_Year]]</f>
        <v>F_00_10_WC_2030</v>
      </c>
      <c r="W85" s="6">
        <f>IF(D85="Yes",S85*Tab_Data_Flows[[#This Row],[WC_'[%']]],"N.A.")</f>
        <v>0</v>
      </c>
      <c r="X85" s="6" t="str">
        <f>Tab_Data_Flows[[#This Row],[UoM_Flow_Py]]</f>
        <v>Mg</v>
      </c>
      <c r="Y85" s="135">
        <f>INDEX(Tab_Def_Flows[[Flow_ID]:[CC_DM_source]],MATCH(Tab_Data_Flows[[#This Row],[Flow_Name]],Tab_Def_Flows[Flow_Name],0),14)</f>
        <v>0</v>
      </c>
      <c r="Z85" s="6" t="str">
        <f>Tab_Data_Flows[[#This Row],[Flow_ID]]&amp;"_"&amp;"DM_"&amp;Tab_Data_Flows[[#This Row],[Flow_Data_Year]]</f>
        <v>F_00_10_DM_2030</v>
      </c>
      <c r="AA85" s="6">
        <f>IF(E85="Yes",Y85*Tab_Data_Flows[[#This Row],[Flow_Material]],"N.A.")</f>
        <v>0</v>
      </c>
      <c r="AB85" s="6" t="str">
        <f>Tab_Data_Flows[[#This Row],[UoM_Flow_Py]]</f>
        <v>Mg</v>
      </c>
      <c r="AC85" s="135">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4" t="s">
        <v>1113</v>
      </c>
      <c r="D86" s="9" t="str">
        <f>_xlfn.XLOOKUP(C86,Tab_Def_Flows[Flow_Name],Tab_Def_Flows[WC?],,0,)</f>
        <v>Yes</v>
      </c>
      <c r="E86" s="9" t="str">
        <f>_xlfn.XLOOKUP(C86,Tab_Def_Flows[Flow_Name],Tab_Def_Flows[DM?],,0,)</f>
        <v>Yes</v>
      </c>
      <c r="F86" s="9" t="str">
        <f>_xlfn.XLOOKUP(C86,Tab_Def_Flows[Flow_Name],Tab_Def_Flows[CC?],,0,)</f>
        <v>Yes</v>
      </c>
      <c r="G86" s="186">
        <v>2031</v>
      </c>
      <c r="H86" s="187">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5">
        <f>INDEX(Tab_Def_Flows[[Flow_ID]:[CC_DM_source]],MATCH(Tab_Data_Flows[[#This Row],[Flow_Name]],Tab_Def_Flows[Flow_Name],0),11)</f>
        <v>0</v>
      </c>
      <c r="V86" s="6" t="str">
        <f>Tab_Data_Flows[[#This Row],[Flow_ID]]&amp;"_"&amp;"WC_"&amp;Tab_Data_Flows[[#This Row],[Flow_Data_Year]]</f>
        <v>F_00_10_WC_2031</v>
      </c>
      <c r="W86" s="6">
        <f>IF(D86="Yes",S86*Tab_Data_Flows[[#This Row],[WC_'[%']]],"N.A.")</f>
        <v>0</v>
      </c>
      <c r="X86" s="6" t="str">
        <f>Tab_Data_Flows[[#This Row],[UoM_Flow_Py]]</f>
        <v>Mg</v>
      </c>
      <c r="Y86" s="135">
        <f>INDEX(Tab_Def_Flows[[Flow_ID]:[CC_DM_source]],MATCH(Tab_Data_Flows[[#This Row],[Flow_Name]],Tab_Def_Flows[Flow_Name],0),14)</f>
        <v>0</v>
      </c>
      <c r="Z86" s="6" t="str">
        <f>Tab_Data_Flows[[#This Row],[Flow_ID]]&amp;"_"&amp;"DM_"&amp;Tab_Data_Flows[[#This Row],[Flow_Data_Year]]</f>
        <v>F_00_10_DM_2031</v>
      </c>
      <c r="AA86" s="6">
        <f>IF(E86="Yes",Y86*Tab_Data_Flows[[#This Row],[Flow_Material]],"N.A.")</f>
        <v>0</v>
      </c>
      <c r="AB86" s="6" t="str">
        <f>Tab_Data_Flows[[#This Row],[UoM_Flow_Py]]</f>
        <v>Mg</v>
      </c>
      <c r="AC86" s="135">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4" t="s">
        <v>1113</v>
      </c>
      <c r="D87" s="9" t="str">
        <f>_xlfn.XLOOKUP(C87,Tab_Def_Flows[Flow_Name],Tab_Def_Flows[WC?],,0,)</f>
        <v>Yes</v>
      </c>
      <c r="E87" s="9" t="str">
        <f>_xlfn.XLOOKUP(C87,Tab_Def_Flows[Flow_Name],Tab_Def_Flows[DM?],,0,)</f>
        <v>Yes</v>
      </c>
      <c r="F87" s="9" t="str">
        <f>_xlfn.XLOOKUP(C87,Tab_Def_Flows[Flow_Name],Tab_Def_Flows[CC?],,0,)</f>
        <v>Yes</v>
      </c>
      <c r="G87" s="186">
        <v>2032</v>
      </c>
      <c r="H87" s="187">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5">
        <f>INDEX(Tab_Def_Flows[[Flow_ID]:[CC_DM_source]],MATCH(Tab_Data_Flows[[#This Row],[Flow_Name]],Tab_Def_Flows[Flow_Name],0),11)</f>
        <v>0</v>
      </c>
      <c r="V87" s="6" t="str">
        <f>Tab_Data_Flows[[#This Row],[Flow_ID]]&amp;"_"&amp;"WC_"&amp;Tab_Data_Flows[[#This Row],[Flow_Data_Year]]</f>
        <v>F_00_10_WC_2032</v>
      </c>
      <c r="W87" s="6">
        <f>IF(D87="Yes",S87*Tab_Data_Flows[[#This Row],[WC_'[%']]],"N.A.")</f>
        <v>0</v>
      </c>
      <c r="X87" s="6" t="str">
        <f>Tab_Data_Flows[[#This Row],[UoM_Flow_Py]]</f>
        <v>Mg</v>
      </c>
      <c r="Y87" s="135">
        <f>INDEX(Tab_Def_Flows[[Flow_ID]:[CC_DM_source]],MATCH(Tab_Data_Flows[[#This Row],[Flow_Name]],Tab_Def_Flows[Flow_Name],0),14)</f>
        <v>0</v>
      </c>
      <c r="Z87" s="6" t="str">
        <f>Tab_Data_Flows[[#This Row],[Flow_ID]]&amp;"_"&amp;"DM_"&amp;Tab_Data_Flows[[#This Row],[Flow_Data_Year]]</f>
        <v>F_00_10_DM_2032</v>
      </c>
      <c r="AA87" s="6">
        <f>IF(E87="Yes",Y87*Tab_Data_Flows[[#This Row],[Flow_Material]],"N.A.")</f>
        <v>0</v>
      </c>
      <c r="AB87" s="6" t="str">
        <f>Tab_Data_Flows[[#This Row],[UoM_Flow_Py]]</f>
        <v>Mg</v>
      </c>
      <c r="AC87" s="135">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4" t="s">
        <v>1113</v>
      </c>
      <c r="D88" s="9" t="str">
        <f>_xlfn.XLOOKUP(C88,Tab_Def_Flows[Flow_Name],Tab_Def_Flows[WC?],,0,)</f>
        <v>Yes</v>
      </c>
      <c r="E88" s="9" t="str">
        <f>_xlfn.XLOOKUP(C88,Tab_Def_Flows[Flow_Name],Tab_Def_Flows[DM?],,0,)</f>
        <v>Yes</v>
      </c>
      <c r="F88" s="9" t="str">
        <f>_xlfn.XLOOKUP(C88,Tab_Def_Flows[Flow_Name],Tab_Def_Flows[CC?],,0,)</f>
        <v>Yes</v>
      </c>
      <c r="G88" s="186">
        <v>2033</v>
      </c>
      <c r="H88" s="187">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5">
        <f>INDEX(Tab_Def_Flows[[Flow_ID]:[CC_DM_source]],MATCH(Tab_Data_Flows[[#This Row],[Flow_Name]],Tab_Def_Flows[Flow_Name],0),11)</f>
        <v>0</v>
      </c>
      <c r="V88" s="6" t="str">
        <f>Tab_Data_Flows[[#This Row],[Flow_ID]]&amp;"_"&amp;"WC_"&amp;Tab_Data_Flows[[#This Row],[Flow_Data_Year]]</f>
        <v>F_00_10_WC_2033</v>
      </c>
      <c r="W88" s="6">
        <f>IF(D88="Yes",S88*Tab_Data_Flows[[#This Row],[WC_'[%']]],"N.A.")</f>
        <v>0</v>
      </c>
      <c r="X88" s="6" t="str">
        <f>Tab_Data_Flows[[#This Row],[UoM_Flow_Py]]</f>
        <v>Mg</v>
      </c>
      <c r="Y88" s="135">
        <f>INDEX(Tab_Def_Flows[[Flow_ID]:[CC_DM_source]],MATCH(Tab_Data_Flows[[#This Row],[Flow_Name]],Tab_Def_Flows[Flow_Name],0),14)</f>
        <v>0</v>
      </c>
      <c r="Z88" s="6" t="str">
        <f>Tab_Data_Flows[[#This Row],[Flow_ID]]&amp;"_"&amp;"DM_"&amp;Tab_Data_Flows[[#This Row],[Flow_Data_Year]]</f>
        <v>F_00_10_DM_2033</v>
      </c>
      <c r="AA88" s="6">
        <f>IF(E88="Yes",Y88*Tab_Data_Flows[[#This Row],[Flow_Material]],"N.A.")</f>
        <v>0</v>
      </c>
      <c r="AB88" s="6" t="str">
        <f>Tab_Data_Flows[[#This Row],[UoM_Flow_Py]]</f>
        <v>Mg</v>
      </c>
      <c r="AC88" s="135">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4" t="s">
        <v>1113</v>
      </c>
      <c r="D89" s="9" t="str">
        <f>_xlfn.XLOOKUP(C89,Tab_Def_Flows[Flow_Name],Tab_Def_Flows[WC?],,0,)</f>
        <v>Yes</v>
      </c>
      <c r="E89" s="9" t="str">
        <f>_xlfn.XLOOKUP(C89,Tab_Def_Flows[Flow_Name],Tab_Def_Flows[DM?],,0,)</f>
        <v>Yes</v>
      </c>
      <c r="F89" s="9" t="str">
        <f>_xlfn.XLOOKUP(C89,Tab_Def_Flows[Flow_Name],Tab_Def_Flows[CC?],,0,)</f>
        <v>Yes</v>
      </c>
      <c r="G89" s="186">
        <v>2034</v>
      </c>
      <c r="H89" s="187">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5">
        <f>INDEX(Tab_Def_Flows[[Flow_ID]:[CC_DM_source]],MATCH(Tab_Data_Flows[[#This Row],[Flow_Name]],Tab_Def_Flows[Flow_Name],0),11)</f>
        <v>0</v>
      </c>
      <c r="V89" s="6" t="str">
        <f>Tab_Data_Flows[[#This Row],[Flow_ID]]&amp;"_"&amp;"WC_"&amp;Tab_Data_Flows[[#This Row],[Flow_Data_Year]]</f>
        <v>F_00_10_WC_2034</v>
      </c>
      <c r="W89" s="6">
        <f>IF(D89="Yes",S89*Tab_Data_Flows[[#This Row],[WC_'[%']]],"N.A.")</f>
        <v>0</v>
      </c>
      <c r="X89" s="6" t="str">
        <f>Tab_Data_Flows[[#This Row],[UoM_Flow_Py]]</f>
        <v>Mg</v>
      </c>
      <c r="Y89" s="135">
        <f>INDEX(Tab_Def_Flows[[Flow_ID]:[CC_DM_source]],MATCH(Tab_Data_Flows[[#This Row],[Flow_Name]],Tab_Def_Flows[Flow_Name],0),14)</f>
        <v>0</v>
      </c>
      <c r="Z89" s="6" t="str">
        <f>Tab_Data_Flows[[#This Row],[Flow_ID]]&amp;"_"&amp;"DM_"&amp;Tab_Data_Flows[[#This Row],[Flow_Data_Year]]</f>
        <v>F_00_10_DM_2034</v>
      </c>
      <c r="AA89" s="6">
        <f>IF(E89="Yes",Y89*Tab_Data_Flows[[#This Row],[Flow_Material]],"N.A.")</f>
        <v>0</v>
      </c>
      <c r="AB89" s="6" t="str">
        <f>Tab_Data_Flows[[#This Row],[UoM_Flow_Py]]</f>
        <v>Mg</v>
      </c>
      <c r="AC89" s="135">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4" t="s">
        <v>1113</v>
      </c>
      <c r="D90" s="9" t="str">
        <f>_xlfn.XLOOKUP(C90,Tab_Def_Flows[Flow_Name],Tab_Def_Flows[WC?],,0,)</f>
        <v>Yes</v>
      </c>
      <c r="E90" s="9" t="str">
        <f>_xlfn.XLOOKUP(C90,Tab_Def_Flows[Flow_Name],Tab_Def_Flows[DM?],,0,)</f>
        <v>Yes</v>
      </c>
      <c r="F90" s="9" t="str">
        <f>_xlfn.XLOOKUP(C90,Tab_Def_Flows[Flow_Name],Tab_Def_Flows[CC?],,0,)</f>
        <v>Yes</v>
      </c>
      <c r="G90" s="186">
        <v>2035</v>
      </c>
      <c r="H90" s="187">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5">
        <f>INDEX(Tab_Def_Flows[[Flow_ID]:[CC_DM_source]],MATCH(Tab_Data_Flows[[#This Row],[Flow_Name]],Tab_Def_Flows[Flow_Name],0),11)</f>
        <v>0</v>
      </c>
      <c r="V90" s="6" t="str">
        <f>Tab_Data_Flows[[#This Row],[Flow_ID]]&amp;"_"&amp;"WC_"&amp;Tab_Data_Flows[[#This Row],[Flow_Data_Year]]</f>
        <v>F_00_10_WC_2035</v>
      </c>
      <c r="W90" s="6">
        <f>IF(D90="Yes",S90*Tab_Data_Flows[[#This Row],[WC_'[%']]],"N.A.")</f>
        <v>0</v>
      </c>
      <c r="X90" s="6" t="str">
        <f>Tab_Data_Flows[[#This Row],[UoM_Flow_Py]]</f>
        <v>Mg</v>
      </c>
      <c r="Y90" s="135">
        <f>INDEX(Tab_Def_Flows[[Flow_ID]:[CC_DM_source]],MATCH(Tab_Data_Flows[[#This Row],[Flow_Name]],Tab_Def_Flows[Flow_Name],0),14)</f>
        <v>0</v>
      </c>
      <c r="Z90" s="6" t="str">
        <f>Tab_Data_Flows[[#This Row],[Flow_ID]]&amp;"_"&amp;"DM_"&amp;Tab_Data_Flows[[#This Row],[Flow_Data_Year]]</f>
        <v>F_00_10_DM_2035</v>
      </c>
      <c r="AA90" s="6">
        <f>IF(E90="Yes",Y90*Tab_Data_Flows[[#This Row],[Flow_Material]],"N.A.")</f>
        <v>0</v>
      </c>
      <c r="AB90" s="6" t="str">
        <f>Tab_Data_Flows[[#This Row],[UoM_Flow_Py]]</f>
        <v>Mg</v>
      </c>
      <c r="AC90" s="135">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4" t="s">
        <v>1113</v>
      </c>
      <c r="D91" s="9" t="str">
        <f>_xlfn.XLOOKUP(C91,Tab_Def_Flows[Flow_Name],Tab_Def_Flows[WC?],,0,)</f>
        <v>Yes</v>
      </c>
      <c r="E91" s="9" t="str">
        <f>_xlfn.XLOOKUP(C91,Tab_Def_Flows[Flow_Name],Tab_Def_Flows[DM?],,0,)</f>
        <v>Yes</v>
      </c>
      <c r="F91" s="9" t="str">
        <f>_xlfn.XLOOKUP(C91,Tab_Def_Flows[Flow_Name],Tab_Def_Flows[CC?],,0,)</f>
        <v>Yes</v>
      </c>
      <c r="G91" s="186">
        <v>2036</v>
      </c>
      <c r="H91" s="187">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5">
        <f>INDEX(Tab_Def_Flows[[Flow_ID]:[CC_DM_source]],MATCH(Tab_Data_Flows[[#This Row],[Flow_Name]],Tab_Def_Flows[Flow_Name],0),11)</f>
        <v>0</v>
      </c>
      <c r="V91" s="6" t="str">
        <f>Tab_Data_Flows[[#This Row],[Flow_ID]]&amp;"_"&amp;"WC_"&amp;Tab_Data_Flows[[#This Row],[Flow_Data_Year]]</f>
        <v>F_00_10_WC_2036</v>
      </c>
      <c r="W91" s="6">
        <f>IF(D91="Yes",S91*Tab_Data_Flows[[#This Row],[WC_'[%']]],"N.A.")</f>
        <v>0</v>
      </c>
      <c r="X91" s="6" t="str">
        <f>Tab_Data_Flows[[#This Row],[UoM_Flow_Py]]</f>
        <v>Mg</v>
      </c>
      <c r="Y91" s="135">
        <f>INDEX(Tab_Def_Flows[[Flow_ID]:[CC_DM_source]],MATCH(Tab_Data_Flows[[#This Row],[Flow_Name]],Tab_Def_Flows[Flow_Name],0),14)</f>
        <v>0</v>
      </c>
      <c r="Z91" s="6" t="str">
        <f>Tab_Data_Flows[[#This Row],[Flow_ID]]&amp;"_"&amp;"DM_"&amp;Tab_Data_Flows[[#This Row],[Flow_Data_Year]]</f>
        <v>F_00_10_DM_2036</v>
      </c>
      <c r="AA91" s="6">
        <f>IF(E91="Yes",Y91*Tab_Data_Flows[[#This Row],[Flow_Material]],"N.A.")</f>
        <v>0</v>
      </c>
      <c r="AB91" s="6" t="str">
        <f>Tab_Data_Flows[[#This Row],[UoM_Flow_Py]]</f>
        <v>Mg</v>
      </c>
      <c r="AC91" s="135">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4" t="s">
        <v>1113</v>
      </c>
      <c r="D92" s="9" t="str">
        <f>_xlfn.XLOOKUP(C92,Tab_Def_Flows[Flow_Name],Tab_Def_Flows[WC?],,0,)</f>
        <v>Yes</v>
      </c>
      <c r="E92" s="9" t="str">
        <f>_xlfn.XLOOKUP(C92,Tab_Def_Flows[Flow_Name],Tab_Def_Flows[DM?],,0,)</f>
        <v>Yes</v>
      </c>
      <c r="F92" s="9" t="str">
        <f>_xlfn.XLOOKUP(C92,Tab_Def_Flows[Flow_Name],Tab_Def_Flows[CC?],,0,)</f>
        <v>Yes</v>
      </c>
      <c r="G92" s="186">
        <v>2037</v>
      </c>
      <c r="H92" s="187">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5">
        <f>INDEX(Tab_Def_Flows[[Flow_ID]:[CC_DM_source]],MATCH(Tab_Data_Flows[[#This Row],[Flow_Name]],Tab_Def_Flows[Flow_Name],0),11)</f>
        <v>0</v>
      </c>
      <c r="V92" s="6" t="str">
        <f>Tab_Data_Flows[[#This Row],[Flow_ID]]&amp;"_"&amp;"WC_"&amp;Tab_Data_Flows[[#This Row],[Flow_Data_Year]]</f>
        <v>F_00_10_WC_2037</v>
      </c>
      <c r="W92" s="6">
        <f>IF(D92="Yes",S92*Tab_Data_Flows[[#This Row],[WC_'[%']]],"N.A.")</f>
        <v>0</v>
      </c>
      <c r="X92" s="6" t="str">
        <f>Tab_Data_Flows[[#This Row],[UoM_Flow_Py]]</f>
        <v>Mg</v>
      </c>
      <c r="Y92" s="135">
        <f>INDEX(Tab_Def_Flows[[Flow_ID]:[CC_DM_source]],MATCH(Tab_Data_Flows[[#This Row],[Flow_Name]],Tab_Def_Flows[Flow_Name],0),14)</f>
        <v>0</v>
      </c>
      <c r="Z92" s="6" t="str">
        <f>Tab_Data_Flows[[#This Row],[Flow_ID]]&amp;"_"&amp;"DM_"&amp;Tab_Data_Flows[[#This Row],[Flow_Data_Year]]</f>
        <v>F_00_10_DM_2037</v>
      </c>
      <c r="AA92" s="6">
        <f>IF(E92="Yes",Y92*Tab_Data_Flows[[#This Row],[Flow_Material]],"N.A.")</f>
        <v>0</v>
      </c>
      <c r="AB92" s="6" t="str">
        <f>Tab_Data_Flows[[#This Row],[UoM_Flow_Py]]</f>
        <v>Mg</v>
      </c>
      <c r="AC92" s="135">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4" t="s">
        <v>1113</v>
      </c>
      <c r="D93" s="9" t="str">
        <f>_xlfn.XLOOKUP(C93,Tab_Def_Flows[Flow_Name],Tab_Def_Flows[WC?],,0,)</f>
        <v>Yes</v>
      </c>
      <c r="E93" s="9" t="str">
        <f>_xlfn.XLOOKUP(C93,Tab_Def_Flows[Flow_Name],Tab_Def_Flows[DM?],,0,)</f>
        <v>Yes</v>
      </c>
      <c r="F93" s="9" t="str">
        <f>_xlfn.XLOOKUP(C93,Tab_Def_Flows[Flow_Name],Tab_Def_Flows[CC?],,0,)</f>
        <v>Yes</v>
      </c>
      <c r="G93" s="186">
        <v>2038</v>
      </c>
      <c r="H93" s="187">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5">
        <f>INDEX(Tab_Def_Flows[[Flow_ID]:[CC_DM_source]],MATCH(Tab_Data_Flows[[#This Row],[Flow_Name]],Tab_Def_Flows[Flow_Name],0),11)</f>
        <v>0</v>
      </c>
      <c r="V93" s="6" t="str">
        <f>Tab_Data_Flows[[#This Row],[Flow_ID]]&amp;"_"&amp;"WC_"&amp;Tab_Data_Flows[[#This Row],[Flow_Data_Year]]</f>
        <v>F_00_10_WC_2038</v>
      </c>
      <c r="W93" s="6">
        <f>IF(D93="Yes",S93*Tab_Data_Flows[[#This Row],[WC_'[%']]],"N.A.")</f>
        <v>0</v>
      </c>
      <c r="X93" s="6" t="str">
        <f>Tab_Data_Flows[[#This Row],[UoM_Flow_Py]]</f>
        <v>Mg</v>
      </c>
      <c r="Y93" s="135">
        <f>INDEX(Tab_Def_Flows[[Flow_ID]:[CC_DM_source]],MATCH(Tab_Data_Flows[[#This Row],[Flow_Name]],Tab_Def_Flows[Flow_Name],0),14)</f>
        <v>0</v>
      </c>
      <c r="Z93" s="6" t="str">
        <f>Tab_Data_Flows[[#This Row],[Flow_ID]]&amp;"_"&amp;"DM_"&amp;Tab_Data_Flows[[#This Row],[Flow_Data_Year]]</f>
        <v>F_00_10_DM_2038</v>
      </c>
      <c r="AA93" s="6">
        <f>IF(E93="Yes",Y93*Tab_Data_Flows[[#This Row],[Flow_Material]],"N.A.")</f>
        <v>0</v>
      </c>
      <c r="AB93" s="6" t="str">
        <f>Tab_Data_Flows[[#This Row],[UoM_Flow_Py]]</f>
        <v>Mg</v>
      </c>
      <c r="AC93" s="135">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4" t="s">
        <v>1113</v>
      </c>
      <c r="D94" s="9" t="str">
        <f>_xlfn.XLOOKUP(C94,Tab_Def_Flows[Flow_Name],Tab_Def_Flows[WC?],,0,)</f>
        <v>Yes</v>
      </c>
      <c r="E94" s="9" t="str">
        <f>_xlfn.XLOOKUP(C94,Tab_Def_Flows[Flow_Name],Tab_Def_Flows[DM?],,0,)</f>
        <v>Yes</v>
      </c>
      <c r="F94" s="9" t="str">
        <f>_xlfn.XLOOKUP(C94,Tab_Def_Flows[Flow_Name],Tab_Def_Flows[CC?],,0,)</f>
        <v>Yes</v>
      </c>
      <c r="G94" s="186">
        <v>2039</v>
      </c>
      <c r="H94" s="187">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5">
        <f>INDEX(Tab_Def_Flows[[Flow_ID]:[CC_DM_source]],MATCH(Tab_Data_Flows[[#This Row],[Flow_Name]],Tab_Def_Flows[Flow_Name],0),11)</f>
        <v>0</v>
      </c>
      <c r="V94" s="6" t="str">
        <f>Tab_Data_Flows[[#This Row],[Flow_ID]]&amp;"_"&amp;"WC_"&amp;Tab_Data_Flows[[#This Row],[Flow_Data_Year]]</f>
        <v>F_00_10_WC_2039</v>
      </c>
      <c r="W94" s="6">
        <f>IF(D94="Yes",S94*Tab_Data_Flows[[#This Row],[WC_'[%']]],"N.A.")</f>
        <v>0</v>
      </c>
      <c r="X94" s="6" t="str">
        <f>Tab_Data_Flows[[#This Row],[UoM_Flow_Py]]</f>
        <v>Mg</v>
      </c>
      <c r="Y94" s="135">
        <f>INDEX(Tab_Def_Flows[[Flow_ID]:[CC_DM_source]],MATCH(Tab_Data_Flows[[#This Row],[Flow_Name]],Tab_Def_Flows[Flow_Name],0),14)</f>
        <v>0</v>
      </c>
      <c r="Z94" s="6" t="str">
        <f>Tab_Data_Flows[[#This Row],[Flow_ID]]&amp;"_"&amp;"DM_"&amp;Tab_Data_Flows[[#This Row],[Flow_Data_Year]]</f>
        <v>F_00_10_DM_2039</v>
      </c>
      <c r="AA94" s="6">
        <f>IF(E94="Yes",Y94*Tab_Data_Flows[[#This Row],[Flow_Material]],"N.A.")</f>
        <v>0</v>
      </c>
      <c r="AB94" s="6" t="str">
        <f>Tab_Data_Flows[[#This Row],[UoM_Flow_Py]]</f>
        <v>Mg</v>
      </c>
      <c r="AC94" s="135">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4" t="s">
        <v>1113</v>
      </c>
      <c r="D95" s="9" t="str">
        <f>_xlfn.XLOOKUP(C95,Tab_Def_Flows[Flow_Name],Tab_Def_Flows[WC?],,0,)</f>
        <v>Yes</v>
      </c>
      <c r="E95" s="9" t="str">
        <f>_xlfn.XLOOKUP(C95,Tab_Def_Flows[Flow_Name],Tab_Def_Flows[DM?],,0,)</f>
        <v>Yes</v>
      </c>
      <c r="F95" s="9" t="str">
        <f>_xlfn.XLOOKUP(C95,Tab_Def_Flows[Flow_Name],Tab_Def_Flows[CC?],,0,)</f>
        <v>Yes</v>
      </c>
      <c r="G95" s="186">
        <v>2040</v>
      </c>
      <c r="H95" s="187">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5">
        <f>INDEX(Tab_Def_Flows[[Flow_ID]:[CC_DM_source]],MATCH(Tab_Data_Flows[[#This Row],[Flow_Name]],Tab_Def_Flows[Flow_Name],0),11)</f>
        <v>0</v>
      </c>
      <c r="V95" s="6" t="str">
        <f>Tab_Data_Flows[[#This Row],[Flow_ID]]&amp;"_"&amp;"WC_"&amp;Tab_Data_Flows[[#This Row],[Flow_Data_Year]]</f>
        <v>F_00_10_WC_2040</v>
      </c>
      <c r="W95" s="6">
        <f>IF(D95="Yes",S95*Tab_Data_Flows[[#This Row],[WC_'[%']]],"N.A.")</f>
        <v>0</v>
      </c>
      <c r="X95" s="6" t="str">
        <f>Tab_Data_Flows[[#This Row],[UoM_Flow_Py]]</f>
        <v>Mg</v>
      </c>
      <c r="Y95" s="135">
        <f>INDEX(Tab_Def_Flows[[Flow_ID]:[CC_DM_source]],MATCH(Tab_Data_Flows[[#This Row],[Flow_Name]],Tab_Def_Flows[Flow_Name],0),14)</f>
        <v>0</v>
      </c>
      <c r="Z95" s="6" t="str">
        <f>Tab_Data_Flows[[#This Row],[Flow_ID]]&amp;"_"&amp;"DM_"&amp;Tab_Data_Flows[[#This Row],[Flow_Data_Year]]</f>
        <v>F_00_10_DM_2040</v>
      </c>
      <c r="AA95" s="6">
        <f>IF(E95="Yes",Y95*Tab_Data_Flows[[#This Row],[Flow_Material]],"N.A.")</f>
        <v>0</v>
      </c>
      <c r="AB95" s="6" t="str">
        <f>Tab_Data_Flows[[#This Row],[UoM_Flow_Py]]</f>
        <v>Mg</v>
      </c>
      <c r="AC95" s="135">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4" t="s">
        <v>1113</v>
      </c>
      <c r="D96" s="9" t="str">
        <f>_xlfn.XLOOKUP(C96,Tab_Def_Flows[Flow_Name],Tab_Def_Flows[WC?],,0,)</f>
        <v>Yes</v>
      </c>
      <c r="E96" s="9" t="str">
        <f>_xlfn.XLOOKUP(C96,Tab_Def_Flows[Flow_Name],Tab_Def_Flows[DM?],,0,)</f>
        <v>Yes</v>
      </c>
      <c r="F96" s="9" t="str">
        <f>_xlfn.XLOOKUP(C96,Tab_Def_Flows[Flow_Name],Tab_Def_Flows[CC?],,0,)</f>
        <v>Yes</v>
      </c>
      <c r="G96" s="186">
        <v>2041</v>
      </c>
      <c r="H96" s="187">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5">
        <f>INDEX(Tab_Def_Flows[[Flow_ID]:[CC_DM_source]],MATCH(Tab_Data_Flows[[#This Row],[Flow_Name]],Tab_Def_Flows[Flow_Name],0),11)</f>
        <v>0</v>
      </c>
      <c r="V96" s="6" t="str">
        <f>Tab_Data_Flows[[#This Row],[Flow_ID]]&amp;"_"&amp;"WC_"&amp;Tab_Data_Flows[[#This Row],[Flow_Data_Year]]</f>
        <v>F_00_10_WC_2041</v>
      </c>
      <c r="W96" s="6">
        <f>IF(D96="Yes",S96*Tab_Data_Flows[[#This Row],[WC_'[%']]],"N.A.")</f>
        <v>0</v>
      </c>
      <c r="X96" s="6" t="str">
        <f>Tab_Data_Flows[[#This Row],[UoM_Flow_Py]]</f>
        <v>Mg</v>
      </c>
      <c r="Y96" s="135">
        <f>INDEX(Tab_Def_Flows[[Flow_ID]:[CC_DM_source]],MATCH(Tab_Data_Flows[[#This Row],[Flow_Name]],Tab_Def_Flows[Flow_Name],0),14)</f>
        <v>0</v>
      </c>
      <c r="Z96" s="6" t="str">
        <f>Tab_Data_Flows[[#This Row],[Flow_ID]]&amp;"_"&amp;"DM_"&amp;Tab_Data_Flows[[#This Row],[Flow_Data_Year]]</f>
        <v>F_00_10_DM_2041</v>
      </c>
      <c r="AA96" s="6">
        <f>IF(E96="Yes",Y96*Tab_Data_Flows[[#This Row],[Flow_Material]],"N.A.")</f>
        <v>0</v>
      </c>
      <c r="AB96" s="6" t="str">
        <f>Tab_Data_Flows[[#This Row],[UoM_Flow_Py]]</f>
        <v>Mg</v>
      </c>
      <c r="AC96" s="135">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4" t="s">
        <v>1113</v>
      </c>
      <c r="D97" s="9" t="str">
        <f>_xlfn.XLOOKUP(C97,Tab_Def_Flows[Flow_Name],Tab_Def_Flows[WC?],,0,)</f>
        <v>Yes</v>
      </c>
      <c r="E97" s="9" t="str">
        <f>_xlfn.XLOOKUP(C97,Tab_Def_Flows[Flow_Name],Tab_Def_Flows[DM?],,0,)</f>
        <v>Yes</v>
      </c>
      <c r="F97" s="9" t="str">
        <f>_xlfn.XLOOKUP(C97,Tab_Def_Flows[Flow_Name],Tab_Def_Flows[CC?],,0,)</f>
        <v>Yes</v>
      </c>
      <c r="G97" s="186">
        <v>2042</v>
      </c>
      <c r="H97" s="187">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5">
        <f>INDEX(Tab_Def_Flows[[Flow_ID]:[CC_DM_source]],MATCH(Tab_Data_Flows[[#This Row],[Flow_Name]],Tab_Def_Flows[Flow_Name],0),11)</f>
        <v>0</v>
      </c>
      <c r="V97" s="6" t="str">
        <f>Tab_Data_Flows[[#This Row],[Flow_ID]]&amp;"_"&amp;"WC_"&amp;Tab_Data_Flows[[#This Row],[Flow_Data_Year]]</f>
        <v>F_00_10_WC_2042</v>
      </c>
      <c r="W97" s="6">
        <f>IF(D97="Yes",S97*Tab_Data_Flows[[#This Row],[WC_'[%']]],"N.A.")</f>
        <v>0</v>
      </c>
      <c r="X97" s="6" t="str">
        <f>Tab_Data_Flows[[#This Row],[UoM_Flow_Py]]</f>
        <v>Mg</v>
      </c>
      <c r="Y97" s="135">
        <f>INDEX(Tab_Def_Flows[[Flow_ID]:[CC_DM_source]],MATCH(Tab_Data_Flows[[#This Row],[Flow_Name]],Tab_Def_Flows[Flow_Name],0),14)</f>
        <v>0</v>
      </c>
      <c r="Z97" s="6" t="str">
        <f>Tab_Data_Flows[[#This Row],[Flow_ID]]&amp;"_"&amp;"DM_"&amp;Tab_Data_Flows[[#This Row],[Flow_Data_Year]]</f>
        <v>F_00_10_DM_2042</v>
      </c>
      <c r="AA97" s="6">
        <f>IF(E97="Yes",Y97*Tab_Data_Flows[[#This Row],[Flow_Material]],"N.A.")</f>
        <v>0</v>
      </c>
      <c r="AB97" s="6" t="str">
        <f>Tab_Data_Flows[[#This Row],[UoM_Flow_Py]]</f>
        <v>Mg</v>
      </c>
      <c r="AC97" s="135">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4" t="s">
        <v>1113</v>
      </c>
      <c r="D98" s="9" t="str">
        <f>_xlfn.XLOOKUP(C98,Tab_Def_Flows[Flow_Name],Tab_Def_Flows[WC?],,0,)</f>
        <v>Yes</v>
      </c>
      <c r="E98" s="9" t="str">
        <f>_xlfn.XLOOKUP(C98,Tab_Def_Flows[Flow_Name],Tab_Def_Flows[DM?],,0,)</f>
        <v>Yes</v>
      </c>
      <c r="F98" s="9" t="str">
        <f>_xlfn.XLOOKUP(C98,Tab_Def_Flows[Flow_Name],Tab_Def_Flows[CC?],,0,)</f>
        <v>Yes</v>
      </c>
      <c r="G98" s="186">
        <v>2043</v>
      </c>
      <c r="H98" s="187">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5">
        <f>INDEX(Tab_Def_Flows[[Flow_ID]:[CC_DM_source]],MATCH(Tab_Data_Flows[[#This Row],[Flow_Name]],Tab_Def_Flows[Flow_Name],0),11)</f>
        <v>0</v>
      </c>
      <c r="V98" s="6" t="str">
        <f>Tab_Data_Flows[[#This Row],[Flow_ID]]&amp;"_"&amp;"WC_"&amp;Tab_Data_Flows[[#This Row],[Flow_Data_Year]]</f>
        <v>F_00_10_WC_2043</v>
      </c>
      <c r="W98" s="6">
        <f>IF(D98="Yes",S98*Tab_Data_Flows[[#This Row],[WC_'[%']]],"N.A.")</f>
        <v>0</v>
      </c>
      <c r="X98" s="6" t="str">
        <f>Tab_Data_Flows[[#This Row],[UoM_Flow_Py]]</f>
        <v>Mg</v>
      </c>
      <c r="Y98" s="135">
        <f>INDEX(Tab_Def_Flows[[Flow_ID]:[CC_DM_source]],MATCH(Tab_Data_Flows[[#This Row],[Flow_Name]],Tab_Def_Flows[Flow_Name],0),14)</f>
        <v>0</v>
      </c>
      <c r="Z98" s="6" t="str">
        <f>Tab_Data_Flows[[#This Row],[Flow_ID]]&amp;"_"&amp;"DM_"&amp;Tab_Data_Flows[[#This Row],[Flow_Data_Year]]</f>
        <v>F_00_10_DM_2043</v>
      </c>
      <c r="AA98" s="6">
        <f>IF(E98="Yes",Y98*Tab_Data_Flows[[#This Row],[Flow_Material]],"N.A.")</f>
        <v>0</v>
      </c>
      <c r="AB98" s="6" t="str">
        <f>Tab_Data_Flows[[#This Row],[UoM_Flow_Py]]</f>
        <v>Mg</v>
      </c>
      <c r="AC98" s="135">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4" t="s">
        <v>1113</v>
      </c>
      <c r="D99" s="9" t="str">
        <f>_xlfn.XLOOKUP(C99,Tab_Def_Flows[Flow_Name],Tab_Def_Flows[WC?],,0,)</f>
        <v>Yes</v>
      </c>
      <c r="E99" s="9" t="str">
        <f>_xlfn.XLOOKUP(C99,Tab_Def_Flows[Flow_Name],Tab_Def_Flows[DM?],,0,)</f>
        <v>Yes</v>
      </c>
      <c r="F99" s="9" t="str">
        <f>_xlfn.XLOOKUP(C99,Tab_Def_Flows[Flow_Name],Tab_Def_Flows[CC?],,0,)</f>
        <v>Yes</v>
      </c>
      <c r="G99" s="186">
        <v>2044</v>
      </c>
      <c r="H99" s="187">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5">
        <f>INDEX(Tab_Def_Flows[[Flow_ID]:[CC_DM_source]],MATCH(Tab_Data_Flows[[#This Row],[Flow_Name]],Tab_Def_Flows[Flow_Name],0),11)</f>
        <v>0</v>
      </c>
      <c r="V99" s="6" t="str">
        <f>Tab_Data_Flows[[#This Row],[Flow_ID]]&amp;"_"&amp;"WC_"&amp;Tab_Data_Flows[[#This Row],[Flow_Data_Year]]</f>
        <v>F_00_10_WC_2044</v>
      </c>
      <c r="W99" s="6">
        <f>IF(D99="Yes",S99*Tab_Data_Flows[[#This Row],[WC_'[%']]],"N.A.")</f>
        <v>0</v>
      </c>
      <c r="X99" s="6" t="str">
        <f>Tab_Data_Flows[[#This Row],[UoM_Flow_Py]]</f>
        <v>Mg</v>
      </c>
      <c r="Y99" s="135">
        <f>INDEX(Tab_Def_Flows[[Flow_ID]:[CC_DM_source]],MATCH(Tab_Data_Flows[[#This Row],[Flow_Name]],Tab_Def_Flows[Flow_Name],0),14)</f>
        <v>0</v>
      </c>
      <c r="Z99" s="6" t="str">
        <f>Tab_Data_Flows[[#This Row],[Flow_ID]]&amp;"_"&amp;"DM_"&amp;Tab_Data_Flows[[#This Row],[Flow_Data_Year]]</f>
        <v>F_00_10_DM_2044</v>
      </c>
      <c r="AA99" s="6">
        <f>IF(E99="Yes",Y99*Tab_Data_Flows[[#This Row],[Flow_Material]],"N.A.")</f>
        <v>0</v>
      </c>
      <c r="AB99" s="6" t="str">
        <f>Tab_Data_Flows[[#This Row],[UoM_Flow_Py]]</f>
        <v>Mg</v>
      </c>
      <c r="AC99" s="135">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4" t="s">
        <v>1113</v>
      </c>
      <c r="D100" s="9" t="str">
        <f>_xlfn.XLOOKUP(C100,Tab_Def_Flows[Flow_Name],Tab_Def_Flows[WC?],,0,)</f>
        <v>Yes</v>
      </c>
      <c r="E100" s="9" t="str">
        <f>_xlfn.XLOOKUP(C100,Tab_Def_Flows[Flow_Name],Tab_Def_Flows[DM?],,0,)</f>
        <v>Yes</v>
      </c>
      <c r="F100" s="9" t="str">
        <f>_xlfn.XLOOKUP(C100,Tab_Def_Flows[Flow_Name],Tab_Def_Flows[CC?],,0,)</f>
        <v>Yes</v>
      </c>
      <c r="G100" s="186">
        <v>2045</v>
      </c>
      <c r="H100" s="187">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5">
        <f>INDEX(Tab_Def_Flows[[Flow_ID]:[CC_DM_source]],MATCH(Tab_Data_Flows[[#This Row],[Flow_Name]],Tab_Def_Flows[Flow_Name],0),11)</f>
        <v>0</v>
      </c>
      <c r="V100" s="6" t="str">
        <f>Tab_Data_Flows[[#This Row],[Flow_ID]]&amp;"_"&amp;"WC_"&amp;Tab_Data_Flows[[#This Row],[Flow_Data_Year]]</f>
        <v>F_00_10_WC_2045</v>
      </c>
      <c r="W100" s="6">
        <f>IF(D100="Yes",S100*Tab_Data_Flows[[#This Row],[WC_'[%']]],"N.A.")</f>
        <v>0</v>
      </c>
      <c r="X100" s="6" t="str">
        <f>Tab_Data_Flows[[#This Row],[UoM_Flow_Py]]</f>
        <v>Mg</v>
      </c>
      <c r="Y100" s="135">
        <f>INDEX(Tab_Def_Flows[[Flow_ID]:[CC_DM_source]],MATCH(Tab_Data_Flows[[#This Row],[Flow_Name]],Tab_Def_Flows[Flow_Name],0),14)</f>
        <v>0</v>
      </c>
      <c r="Z100" s="6" t="str">
        <f>Tab_Data_Flows[[#This Row],[Flow_ID]]&amp;"_"&amp;"DM_"&amp;Tab_Data_Flows[[#This Row],[Flow_Data_Year]]</f>
        <v>F_00_10_DM_2045</v>
      </c>
      <c r="AA100" s="6">
        <f>IF(E100="Yes",Y100*Tab_Data_Flows[[#This Row],[Flow_Material]],"N.A.")</f>
        <v>0</v>
      </c>
      <c r="AB100" s="6" t="str">
        <f>Tab_Data_Flows[[#This Row],[UoM_Flow_Py]]</f>
        <v>Mg</v>
      </c>
      <c r="AC100" s="135">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4" t="s">
        <v>1113</v>
      </c>
      <c r="D101" s="9" t="str">
        <f>_xlfn.XLOOKUP(C101,Tab_Def_Flows[Flow_Name],Tab_Def_Flows[WC?],,0,)</f>
        <v>Yes</v>
      </c>
      <c r="E101" s="9" t="str">
        <f>_xlfn.XLOOKUP(C101,Tab_Def_Flows[Flow_Name],Tab_Def_Flows[DM?],,0,)</f>
        <v>Yes</v>
      </c>
      <c r="F101" s="9" t="str">
        <f>_xlfn.XLOOKUP(C101,Tab_Def_Flows[Flow_Name],Tab_Def_Flows[CC?],,0,)</f>
        <v>Yes</v>
      </c>
      <c r="G101" s="186">
        <v>2046</v>
      </c>
      <c r="H101" s="187">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5">
        <f>INDEX(Tab_Def_Flows[[Flow_ID]:[CC_DM_source]],MATCH(Tab_Data_Flows[[#This Row],[Flow_Name]],Tab_Def_Flows[Flow_Name],0),11)</f>
        <v>0</v>
      </c>
      <c r="V101" s="6" t="str">
        <f>Tab_Data_Flows[[#This Row],[Flow_ID]]&amp;"_"&amp;"WC_"&amp;Tab_Data_Flows[[#This Row],[Flow_Data_Year]]</f>
        <v>F_00_10_WC_2046</v>
      </c>
      <c r="W101" s="6">
        <f>IF(D101="Yes",S101*Tab_Data_Flows[[#This Row],[WC_'[%']]],"N.A.")</f>
        <v>0</v>
      </c>
      <c r="X101" s="6" t="str">
        <f>Tab_Data_Flows[[#This Row],[UoM_Flow_Py]]</f>
        <v>Mg</v>
      </c>
      <c r="Y101" s="135">
        <f>INDEX(Tab_Def_Flows[[Flow_ID]:[CC_DM_source]],MATCH(Tab_Data_Flows[[#This Row],[Flow_Name]],Tab_Def_Flows[Flow_Name],0),14)</f>
        <v>0</v>
      </c>
      <c r="Z101" s="6" t="str">
        <f>Tab_Data_Flows[[#This Row],[Flow_ID]]&amp;"_"&amp;"DM_"&amp;Tab_Data_Flows[[#This Row],[Flow_Data_Year]]</f>
        <v>F_00_10_DM_2046</v>
      </c>
      <c r="AA101" s="6">
        <f>IF(E101="Yes",Y101*Tab_Data_Flows[[#This Row],[Flow_Material]],"N.A.")</f>
        <v>0</v>
      </c>
      <c r="AB101" s="6" t="str">
        <f>Tab_Data_Flows[[#This Row],[UoM_Flow_Py]]</f>
        <v>Mg</v>
      </c>
      <c r="AC101" s="135">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4" t="s">
        <v>1113</v>
      </c>
      <c r="D102" s="9" t="str">
        <f>_xlfn.XLOOKUP(C102,Tab_Def_Flows[Flow_Name],Tab_Def_Flows[WC?],,0,)</f>
        <v>Yes</v>
      </c>
      <c r="E102" s="9" t="str">
        <f>_xlfn.XLOOKUP(C102,Tab_Def_Flows[Flow_Name],Tab_Def_Flows[DM?],,0,)</f>
        <v>Yes</v>
      </c>
      <c r="F102" s="9" t="str">
        <f>_xlfn.XLOOKUP(C102,Tab_Def_Flows[Flow_Name],Tab_Def_Flows[CC?],,0,)</f>
        <v>Yes</v>
      </c>
      <c r="G102" s="186">
        <v>2047</v>
      </c>
      <c r="H102" s="187">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5">
        <f>INDEX(Tab_Def_Flows[[Flow_ID]:[CC_DM_source]],MATCH(Tab_Data_Flows[[#This Row],[Flow_Name]],Tab_Def_Flows[Flow_Name],0),11)</f>
        <v>0</v>
      </c>
      <c r="V102" s="6" t="str">
        <f>Tab_Data_Flows[[#This Row],[Flow_ID]]&amp;"_"&amp;"WC_"&amp;Tab_Data_Flows[[#This Row],[Flow_Data_Year]]</f>
        <v>F_00_10_WC_2047</v>
      </c>
      <c r="W102" s="6">
        <f>IF(D102="Yes",S102*Tab_Data_Flows[[#This Row],[WC_'[%']]],"N.A.")</f>
        <v>0</v>
      </c>
      <c r="X102" s="6" t="str">
        <f>Tab_Data_Flows[[#This Row],[UoM_Flow_Py]]</f>
        <v>Mg</v>
      </c>
      <c r="Y102" s="135">
        <f>INDEX(Tab_Def_Flows[[Flow_ID]:[CC_DM_source]],MATCH(Tab_Data_Flows[[#This Row],[Flow_Name]],Tab_Def_Flows[Flow_Name],0),14)</f>
        <v>0</v>
      </c>
      <c r="Z102" s="6" t="str">
        <f>Tab_Data_Flows[[#This Row],[Flow_ID]]&amp;"_"&amp;"DM_"&amp;Tab_Data_Flows[[#This Row],[Flow_Data_Year]]</f>
        <v>F_00_10_DM_2047</v>
      </c>
      <c r="AA102" s="6">
        <f>IF(E102="Yes",Y102*Tab_Data_Flows[[#This Row],[Flow_Material]],"N.A.")</f>
        <v>0</v>
      </c>
      <c r="AB102" s="6" t="str">
        <f>Tab_Data_Flows[[#This Row],[UoM_Flow_Py]]</f>
        <v>Mg</v>
      </c>
      <c r="AC102" s="135">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4" t="s">
        <v>1113</v>
      </c>
      <c r="D103" s="9" t="str">
        <f>_xlfn.XLOOKUP(C103,Tab_Def_Flows[Flow_Name],Tab_Def_Flows[WC?],,0,)</f>
        <v>Yes</v>
      </c>
      <c r="E103" s="9" t="str">
        <f>_xlfn.XLOOKUP(C103,Tab_Def_Flows[Flow_Name],Tab_Def_Flows[DM?],,0,)</f>
        <v>Yes</v>
      </c>
      <c r="F103" s="9" t="str">
        <f>_xlfn.XLOOKUP(C103,Tab_Def_Flows[Flow_Name],Tab_Def_Flows[CC?],,0,)</f>
        <v>Yes</v>
      </c>
      <c r="G103" s="186">
        <v>2048</v>
      </c>
      <c r="H103" s="187">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5">
        <f>INDEX(Tab_Def_Flows[[Flow_ID]:[CC_DM_source]],MATCH(Tab_Data_Flows[[#This Row],[Flow_Name]],Tab_Def_Flows[Flow_Name],0),11)</f>
        <v>0</v>
      </c>
      <c r="V103" s="6" t="str">
        <f>Tab_Data_Flows[[#This Row],[Flow_ID]]&amp;"_"&amp;"WC_"&amp;Tab_Data_Flows[[#This Row],[Flow_Data_Year]]</f>
        <v>F_00_10_WC_2048</v>
      </c>
      <c r="W103" s="6">
        <f>IF(D103="Yes",S103*Tab_Data_Flows[[#This Row],[WC_'[%']]],"N.A.")</f>
        <v>0</v>
      </c>
      <c r="X103" s="6" t="str">
        <f>Tab_Data_Flows[[#This Row],[UoM_Flow_Py]]</f>
        <v>Mg</v>
      </c>
      <c r="Y103" s="135">
        <f>INDEX(Tab_Def_Flows[[Flow_ID]:[CC_DM_source]],MATCH(Tab_Data_Flows[[#This Row],[Flow_Name]],Tab_Def_Flows[Flow_Name],0),14)</f>
        <v>0</v>
      </c>
      <c r="Z103" s="6" t="str">
        <f>Tab_Data_Flows[[#This Row],[Flow_ID]]&amp;"_"&amp;"DM_"&amp;Tab_Data_Flows[[#This Row],[Flow_Data_Year]]</f>
        <v>F_00_10_DM_2048</v>
      </c>
      <c r="AA103" s="6">
        <f>IF(E103="Yes",Y103*Tab_Data_Flows[[#This Row],[Flow_Material]],"N.A.")</f>
        <v>0</v>
      </c>
      <c r="AB103" s="6" t="str">
        <f>Tab_Data_Flows[[#This Row],[UoM_Flow_Py]]</f>
        <v>Mg</v>
      </c>
      <c r="AC103" s="135">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4" t="s">
        <v>1113</v>
      </c>
      <c r="D104" s="9" t="str">
        <f>_xlfn.XLOOKUP(C104,Tab_Def_Flows[Flow_Name],Tab_Def_Flows[WC?],,0,)</f>
        <v>Yes</v>
      </c>
      <c r="E104" s="9" t="str">
        <f>_xlfn.XLOOKUP(C104,Tab_Def_Flows[Flow_Name],Tab_Def_Flows[DM?],,0,)</f>
        <v>Yes</v>
      </c>
      <c r="F104" s="9" t="str">
        <f>_xlfn.XLOOKUP(C104,Tab_Def_Flows[Flow_Name],Tab_Def_Flows[CC?],,0,)</f>
        <v>Yes</v>
      </c>
      <c r="G104" s="186">
        <v>2049</v>
      </c>
      <c r="H104" s="187">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5">
        <f>INDEX(Tab_Def_Flows[[Flow_ID]:[CC_DM_source]],MATCH(Tab_Data_Flows[[#This Row],[Flow_Name]],Tab_Def_Flows[Flow_Name],0),11)</f>
        <v>0</v>
      </c>
      <c r="V104" s="6" t="str">
        <f>Tab_Data_Flows[[#This Row],[Flow_ID]]&amp;"_"&amp;"WC_"&amp;Tab_Data_Flows[[#This Row],[Flow_Data_Year]]</f>
        <v>F_00_10_WC_2049</v>
      </c>
      <c r="W104" s="6">
        <f>IF(D104="Yes",S104*Tab_Data_Flows[[#This Row],[WC_'[%']]],"N.A.")</f>
        <v>0</v>
      </c>
      <c r="X104" s="6" t="str">
        <f>Tab_Data_Flows[[#This Row],[UoM_Flow_Py]]</f>
        <v>Mg</v>
      </c>
      <c r="Y104" s="135">
        <f>INDEX(Tab_Def_Flows[[Flow_ID]:[CC_DM_source]],MATCH(Tab_Data_Flows[[#This Row],[Flow_Name]],Tab_Def_Flows[Flow_Name],0),14)</f>
        <v>0</v>
      </c>
      <c r="Z104" s="6" t="str">
        <f>Tab_Data_Flows[[#This Row],[Flow_ID]]&amp;"_"&amp;"DM_"&amp;Tab_Data_Flows[[#This Row],[Flow_Data_Year]]</f>
        <v>F_00_10_DM_2049</v>
      </c>
      <c r="AA104" s="6">
        <f>IF(E104="Yes",Y104*Tab_Data_Flows[[#This Row],[Flow_Material]],"N.A.")</f>
        <v>0</v>
      </c>
      <c r="AB104" s="6" t="str">
        <f>Tab_Data_Flows[[#This Row],[UoM_Flow_Py]]</f>
        <v>Mg</v>
      </c>
      <c r="AC104" s="135">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4" t="s">
        <v>1113</v>
      </c>
      <c r="D105" s="9" t="str">
        <f>_xlfn.XLOOKUP(C105,Tab_Def_Flows[Flow_Name],Tab_Def_Flows[WC?],,0,)</f>
        <v>Yes</v>
      </c>
      <c r="E105" s="9" t="str">
        <f>_xlfn.XLOOKUP(C105,Tab_Def_Flows[Flow_Name],Tab_Def_Flows[DM?],,0,)</f>
        <v>Yes</v>
      </c>
      <c r="F105" s="9" t="str">
        <f>_xlfn.XLOOKUP(C105,Tab_Def_Flows[Flow_Name],Tab_Def_Flows[CC?],,0,)</f>
        <v>Yes</v>
      </c>
      <c r="G105" s="186">
        <v>2050</v>
      </c>
      <c r="H105" s="187">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5">
        <f>INDEX(Tab_Def_Flows[[Flow_ID]:[CC_DM_source]],MATCH(Tab_Data_Flows[[#This Row],[Flow_Name]],Tab_Def_Flows[Flow_Name],0),11)</f>
        <v>0</v>
      </c>
      <c r="V105" s="6" t="str">
        <f>Tab_Data_Flows[[#This Row],[Flow_ID]]&amp;"_"&amp;"WC_"&amp;Tab_Data_Flows[[#This Row],[Flow_Data_Year]]</f>
        <v>F_00_10_WC_2050</v>
      </c>
      <c r="W105" s="6">
        <f>IF(D105="Yes",S105*Tab_Data_Flows[[#This Row],[WC_'[%']]],"N.A.")</f>
        <v>0</v>
      </c>
      <c r="X105" s="6" t="str">
        <f>Tab_Data_Flows[[#This Row],[UoM_Flow_Py]]</f>
        <v>Mg</v>
      </c>
      <c r="Y105" s="135">
        <f>INDEX(Tab_Def_Flows[[Flow_ID]:[CC_DM_source]],MATCH(Tab_Data_Flows[[#This Row],[Flow_Name]],Tab_Def_Flows[Flow_Name],0),14)</f>
        <v>0</v>
      </c>
      <c r="Z105" s="6" t="str">
        <f>Tab_Data_Flows[[#This Row],[Flow_ID]]&amp;"_"&amp;"DM_"&amp;Tab_Data_Flows[[#This Row],[Flow_Data_Year]]</f>
        <v>F_00_10_DM_2050</v>
      </c>
      <c r="AA105" s="6">
        <f>IF(E105="Yes",Y105*Tab_Data_Flows[[#This Row],[Flow_Material]],"N.A.")</f>
        <v>0</v>
      </c>
      <c r="AB105" s="6" t="str">
        <f>Tab_Data_Flows[[#This Row],[UoM_Flow_Py]]</f>
        <v>Mg</v>
      </c>
      <c r="AC105" s="135">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4" t="s">
        <v>1114</v>
      </c>
      <c r="D106" s="9" t="str">
        <f>_xlfn.XLOOKUP(C106,Tab_Def_Flows[Flow_Name],Tab_Def_Flows[WC?],,0,)</f>
        <v>Yes</v>
      </c>
      <c r="E106" s="9" t="str">
        <f>_xlfn.XLOOKUP(C106,Tab_Def_Flows[Flow_Name],Tab_Def_Flows[DM?],,0,)</f>
        <v>Yes</v>
      </c>
      <c r="F106" s="9" t="str">
        <f>_xlfn.XLOOKUP(C106,Tab_Def_Flows[Flow_Name],Tab_Def_Flows[CC?],,0,)</f>
        <v>Yes</v>
      </c>
      <c r="G106" s="186">
        <v>2025</v>
      </c>
      <c r="H106" s="187">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5">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5">
        <f>INDEX(Tab_Def_Flows[[Flow_ID]:[CC_DM_source]],MATCH(Tab_Data_Flows[[#This Row],[Flow_Name]],Tab_Def_Flows[Flow_Name],0),14)</f>
        <v>0</v>
      </c>
      <c r="Z106" s="6" t="str">
        <f>Tab_Data_Flows[[#This Row],[Flow_ID]]&amp;"_"&amp;"DM_"&amp;Tab_Data_Flows[[#This Row],[Flow_Data_Year]]</f>
        <v>F_01_14_DM_2025</v>
      </c>
      <c r="AA106" s="6">
        <f>IF(E106="Yes",Y106*Tab_Data_Flows[[#This Row],[Flow_Material]],"N.A.")</f>
        <v>0</v>
      </c>
      <c r="AB106" s="6" t="str">
        <f>Tab_Data_Flows[[#This Row],[UoM_Flow_Py]]</f>
        <v>Mg</v>
      </c>
      <c r="AC106" s="135">
        <f>INDEX(Tab_Def_Flows[[Flow_ID]:[CC_DM_source]],MATCH(Tab_Data_Flows[[#This Row],[Flow_Name]],Tab_Def_Flows[Flow_Name],0),17)</f>
        <v>0</v>
      </c>
      <c r="AD106" s="6" t="str">
        <f>Tab_Data_Flows[[#This Row],[Flow_ID]]&amp;"_"&amp;"CC_"&amp;Tab_Data_Flows[[#This Row],[Flow_Data_Year]]</f>
        <v>F_01_14_CC_2025</v>
      </c>
      <c r="AE106" s="6">
        <f>IF(F106="Yes",AC106*Tab_Data_Flows[[#This Row],[Flow_Material]]*Tab_Data_Flows[[#This Row],[DM_'[%']]],"N.A.")</f>
        <v>0</v>
      </c>
      <c r="AF106" s="6" t="str">
        <f>Tab_Data_Flows[[#This Row],[UoM_Flow_Py]]</f>
        <v>Mg</v>
      </c>
      <c r="AG106"/>
    </row>
    <row r="107" spans="1:33" x14ac:dyDescent="0.25">
      <c r="A107" s="8">
        <f t="shared" si="3"/>
        <v>106</v>
      </c>
      <c r="B107" s="6" t="str">
        <f>_xlfn.XLOOKUP(C107,Tab_Def_Flows[Flow_Name],Tab_Def_Flows[Flow_ID],,0,)</f>
        <v>F_01_14</v>
      </c>
      <c r="C107" s="134" t="s">
        <v>1114</v>
      </c>
      <c r="D107" s="9" t="str">
        <f>_xlfn.XLOOKUP(C107,Tab_Def_Flows[Flow_Name],Tab_Def_Flows[WC?],,0,)</f>
        <v>Yes</v>
      </c>
      <c r="E107" s="9" t="str">
        <f>_xlfn.XLOOKUP(C107,Tab_Def_Flows[Flow_Name],Tab_Def_Flows[DM?],,0,)</f>
        <v>Yes</v>
      </c>
      <c r="F107" s="9" t="str">
        <f>_xlfn.XLOOKUP(C107,Tab_Def_Flows[Flow_Name],Tab_Def_Flows[CC?],,0,)</f>
        <v>Yes</v>
      </c>
      <c r="G107" s="186">
        <v>2026</v>
      </c>
      <c r="H107" s="187">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5">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5">
        <f>INDEX(Tab_Def_Flows[[Flow_ID]:[CC_DM_source]],MATCH(Tab_Data_Flows[[#This Row],[Flow_Name]],Tab_Def_Flows[Flow_Name],0),14)</f>
        <v>0</v>
      </c>
      <c r="Z107" s="6" t="str">
        <f>Tab_Data_Flows[[#This Row],[Flow_ID]]&amp;"_"&amp;"DM_"&amp;Tab_Data_Flows[[#This Row],[Flow_Data_Year]]</f>
        <v>F_01_14_DM_2026</v>
      </c>
      <c r="AA107" s="6">
        <f>IF(E107="Yes",Y107*Tab_Data_Flows[[#This Row],[Flow_Material]],"N.A.")</f>
        <v>0</v>
      </c>
      <c r="AB107" s="6" t="str">
        <f>Tab_Data_Flows[[#This Row],[UoM_Flow_Py]]</f>
        <v>Mg</v>
      </c>
      <c r="AC107" s="135">
        <f>INDEX(Tab_Def_Flows[[Flow_ID]:[CC_DM_source]],MATCH(Tab_Data_Flows[[#This Row],[Flow_Name]],Tab_Def_Flows[Flow_Name],0),17)</f>
        <v>0</v>
      </c>
      <c r="AD107" s="6" t="str">
        <f>Tab_Data_Flows[[#This Row],[Flow_ID]]&amp;"_"&amp;"CC_"&amp;Tab_Data_Flows[[#This Row],[Flow_Data_Year]]</f>
        <v>F_01_14_CC_2026</v>
      </c>
      <c r="AE107" s="6">
        <f>IF(F107="Yes",AC107*Tab_Data_Flows[[#This Row],[Flow_Material]]*Tab_Data_Flows[[#This Row],[DM_'[%']]],"N.A.")</f>
        <v>0</v>
      </c>
      <c r="AF107" s="6" t="str">
        <f>Tab_Data_Flows[[#This Row],[UoM_Flow_Py]]</f>
        <v>Mg</v>
      </c>
      <c r="AG107"/>
    </row>
    <row r="108" spans="1:33" x14ac:dyDescent="0.25">
      <c r="A108" s="8">
        <f t="shared" si="3"/>
        <v>107</v>
      </c>
      <c r="B108" s="6" t="str">
        <f>_xlfn.XLOOKUP(C108,Tab_Def_Flows[Flow_Name],Tab_Def_Flows[Flow_ID],,0,)</f>
        <v>F_01_14</v>
      </c>
      <c r="C108" s="134" t="s">
        <v>1114</v>
      </c>
      <c r="D108" s="9" t="str">
        <f>_xlfn.XLOOKUP(C108,Tab_Def_Flows[Flow_Name],Tab_Def_Flows[WC?],,0,)</f>
        <v>Yes</v>
      </c>
      <c r="E108" s="9" t="str">
        <f>_xlfn.XLOOKUP(C108,Tab_Def_Flows[Flow_Name],Tab_Def_Flows[DM?],,0,)</f>
        <v>Yes</v>
      </c>
      <c r="F108" s="9" t="str">
        <f>_xlfn.XLOOKUP(C108,Tab_Def_Flows[Flow_Name],Tab_Def_Flows[CC?],,0,)</f>
        <v>Yes</v>
      </c>
      <c r="G108" s="186">
        <v>2027</v>
      </c>
      <c r="H108" s="187">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5">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5">
        <f>INDEX(Tab_Def_Flows[[Flow_ID]:[CC_DM_source]],MATCH(Tab_Data_Flows[[#This Row],[Flow_Name]],Tab_Def_Flows[Flow_Name],0),14)</f>
        <v>0</v>
      </c>
      <c r="Z108" s="6" t="str">
        <f>Tab_Data_Flows[[#This Row],[Flow_ID]]&amp;"_"&amp;"DM_"&amp;Tab_Data_Flows[[#This Row],[Flow_Data_Year]]</f>
        <v>F_01_14_DM_2027</v>
      </c>
      <c r="AA108" s="6">
        <f>IF(E108="Yes",Y108*Tab_Data_Flows[[#This Row],[Flow_Material]],"N.A.")</f>
        <v>0</v>
      </c>
      <c r="AB108" s="6" t="str">
        <f>Tab_Data_Flows[[#This Row],[UoM_Flow_Py]]</f>
        <v>Mg</v>
      </c>
      <c r="AC108" s="135">
        <f>INDEX(Tab_Def_Flows[[Flow_ID]:[CC_DM_source]],MATCH(Tab_Data_Flows[[#This Row],[Flow_Name]],Tab_Def_Flows[Flow_Name],0),17)</f>
        <v>0</v>
      </c>
      <c r="AD108" s="6" t="str">
        <f>Tab_Data_Flows[[#This Row],[Flow_ID]]&amp;"_"&amp;"CC_"&amp;Tab_Data_Flows[[#This Row],[Flow_Data_Year]]</f>
        <v>F_01_14_CC_2027</v>
      </c>
      <c r="AE108" s="6">
        <f>IF(F108="Yes",AC108*Tab_Data_Flows[[#This Row],[Flow_Material]]*Tab_Data_Flows[[#This Row],[DM_'[%']]],"N.A.")</f>
        <v>0</v>
      </c>
      <c r="AF108" s="6" t="str">
        <f>Tab_Data_Flows[[#This Row],[UoM_Flow_Py]]</f>
        <v>Mg</v>
      </c>
      <c r="AG108"/>
    </row>
    <row r="109" spans="1:33" x14ac:dyDescent="0.25">
      <c r="A109" s="8">
        <f t="shared" si="3"/>
        <v>108</v>
      </c>
      <c r="B109" s="6" t="str">
        <f>_xlfn.XLOOKUP(C109,Tab_Def_Flows[Flow_Name],Tab_Def_Flows[Flow_ID],,0,)</f>
        <v>F_01_14</v>
      </c>
      <c r="C109" s="134" t="s">
        <v>1114</v>
      </c>
      <c r="D109" s="9" t="str">
        <f>_xlfn.XLOOKUP(C109,Tab_Def_Flows[Flow_Name],Tab_Def_Flows[WC?],,0,)</f>
        <v>Yes</v>
      </c>
      <c r="E109" s="9" t="str">
        <f>_xlfn.XLOOKUP(C109,Tab_Def_Flows[Flow_Name],Tab_Def_Flows[DM?],,0,)</f>
        <v>Yes</v>
      </c>
      <c r="F109" s="9" t="str">
        <f>_xlfn.XLOOKUP(C109,Tab_Def_Flows[Flow_Name],Tab_Def_Flows[CC?],,0,)</f>
        <v>Yes</v>
      </c>
      <c r="G109" s="186">
        <v>2028</v>
      </c>
      <c r="H109" s="187">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5">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5">
        <f>INDEX(Tab_Def_Flows[[Flow_ID]:[CC_DM_source]],MATCH(Tab_Data_Flows[[#This Row],[Flow_Name]],Tab_Def_Flows[Flow_Name],0),14)</f>
        <v>0</v>
      </c>
      <c r="Z109" s="6" t="str">
        <f>Tab_Data_Flows[[#This Row],[Flow_ID]]&amp;"_"&amp;"DM_"&amp;Tab_Data_Flows[[#This Row],[Flow_Data_Year]]</f>
        <v>F_01_14_DM_2028</v>
      </c>
      <c r="AA109" s="6">
        <f>IF(E109="Yes",Y109*Tab_Data_Flows[[#This Row],[Flow_Material]],"N.A.")</f>
        <v>0</v>
      </c>
      <c r="AB109" s="6" t="str">
        <f>Tab_Data_Flows[[#This Row],[UoM_Flow_Py]]</f>
        <v>Mg</v>
      </c>
      <c r="AC109" s="135">
        <f>INDEX(Tab_Def_Flows[[Flow_ID]:[CC_DM_source]],MATCH(Tab_Data_Flows[[#This Row],[Flow_Name]],Tab_Def_Flows[Flow_Name],0),17)</f>
        <v>0</v>
      </c>
      <c r="AD109" s="6" t="str">
        <f>Tab_Data_Flows[[#This Row],[Flow_ID]]&amp;"_"&amp;"CC_"&amp;Tab_Data_Flows[[#This Row],[Flow_Data_Year]]</f>
        <v>F_01_14_CC_2028</v>
      </c>
      <c r="AE109" s="6">
        <f>IF(F109="Yes",AC109*Tab_Data_Flows[[#This Row],[Flow_Material]]*Tab_Data_Flows[[#This Row],[DM_'[%']]],"N.A.")</f>
        <v>0</v>
      </c>
      <c r="AF109" s="6" t="str">
        <f>Tab_Data_Flows[[#This Row],[UoM_Flow_Py]]</f>
        <v>Mg</v>
      </c>
      <c r="AG109"/>
    </row>
    <row r="110" spans="1:33" x14ac:dyDescent="0.25">
      <c r="A110" s="8">
        <f t="shared" si="3"/>
        <v>109</v>
      </c>
      <c r="B110" s="6" t="str">
        <f>_xlfn.XLOOKUP(C110,Tab_Def_Flows[Flow_Name],Tab_Def_Flows[Flow_ID],,0,)</f>
        <v>F_01_14</v>
      </c>
      <c r="C110" s="134" t="s">
        <v>1114</v>
      </c>
      <c r="D110" s="9" t="str">
        <f>_xlfn.XLOOKUP(C110,Tab_Def_Flows[Flow_Name],Tab_Def_Flows[WC?],,0,)</f>
        <v>Yes</v>
      </c>
      <c r="E110" s="9" t="str">
        <f>_xlfn.XLOOKUP(C110,Tab_Def_Flows[Flow_Name],Tab_Def_Flows[DM?],,0,)</f>
        <v>Yes</v>
      </c>
      <c r="F110" s="9" t="str">
        <f>_xlfn.XLOOKUP(C110,Tab_Def_Flows[Flow_Name],Tab_Def_Flows[CC?],,0,)</f>
        <v>Yes</v>
      </c>
      <c r="G110" s="186">
        <v>2029</v>
      </c>
      <c r="H110" s="187">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5">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5">
        <f>INDEX(Tab_Def_Flows[[Flow_ID]:[CC_DM_source]],MATCH(Tab_Data_Flows[[#This Row],[Flow_Name]],Tab_Def_Flows[Flow_Name],0),14)</f>
        <v>0</v>
      </c>
      <c r="Z110" s="6" t="str">
        <f>Tab_Data_Flows[[#This Row],[Flow_ID]]&amp;"_"&amp;"DM_"&amp;Tab_Data_Flows[[#This Row],[Flow_Data_Year]]</f>
        <v>F_01_14_DM_2029</v>
      </c>
      <c r="AA110" s="6">
        <f>IF(E110="Yes",Y110*Tab_Data_Flows[[#This Row],[Flow_Material]],"N.A.")</f>
        <v>0</v>
      </c>
      <c r="AB110" s="6" t="str">
        <f>Tab_Data_Flows[[#This Row],[UoM_Flow_Py]]</f>
        <v>Mg</v>
      </c>
      <c r="AC110" s="135">
        <f>INDEX(Tab_Def_Flows[[Flow_ID]:[CC_DM_source]],MATCH(Tab_Data_Flows[[#This Row],[Flow_Name]],Tab_Def_Flows[Flow_Name],0),17)</f>
        <v>0</v>
      </c>
      <c r="AD110" s="6" t="str">
        <f>Tab_Data_Flows[[#This Row],[Flow_ID]]&amp;"_"&amp;"CC_"&amp;Tab_Data_Flows[[#This Row],[Flow_Data_Year]]</f>
        <v>F_01_14_CC_2029</v>
      </c>
      <c r="AE110" s="6">
        <f>IF(F110="Yes",AC110*Tab_Data_Flows[[#This Row],[Flow_Material]]*Tab_Data_Flows[[#This Row],[DM_'[%']]],"N.A.")</f>
        <v>0</v>
      </c>
      <c r="AF110" s="6" t="str">
        <f>Tab_Data_Flows[[#This Row],[UoM_Flow_Py]]</f>
        <v>Mg</v>
      </c>
      <c r="AG110"/>
    </row>
    <row r="111" spans="1:33" x14ac:dyDescent="0.25">
      <c r="A111" s="8">
        <f t="shared" si="3"/>
        <v>110</v>
      </c>
      <c r="B111" s="6" t="str">
        <f>_xlfn.XLOOKUP(C111,Tab_Def_Flows[Flow_Name],Tab_Def_Flows[Flow_ID],,0,)</f>
        <v>F_01_14</v>
      </c>
      <c r="C111" s="134" t="s">
        <v>1114</v>
      </c>
      <c r="D111" s="9" t="str">
        <f>_xlfn.XLOOKUP(C111,Tab_Def_Flows[Flow_Name],Tab_Def_Flows[WC?],,0,)</f>
        <v>Yes</v>
      </c>
      <c r="E111" s="9" t="str">
        <f>_xlfn.XLOOKUP(C111,Tab_Def_Flows[Flow_Name],Tab_Def_Flows[DM?],,0,)</f>
        <v>Yes</v>
      </c>
      <c r="F111" s="9" t="str">
        <f>_xlfn.XLOOKUP(C111,Tab_Def_Flows[Flow_Name],Tab_Def_Flows[CC?],,0,)</f>
        <v>Yes</v>
      </c>
      <c r="G111" s="186">
        <v>2030</v>
      </c>
      <c r="H111" s="187">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5">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5">
        <f>INDEX(Tab_Def_Flows[[Flow_ID]:[CC_DM_source]],MATCH(Tab_Data_Flows[[#This Row],[Flow_Name]],Tab_Def_Flows[Flow_Name],0),14)</f>
        <v>0</v>
      </c>
      <c r="Z111" s="6" t="str">
        <f>Tab_Data_Flows[[#This Row],[Flow_ID]]&amp;"_"&amp;"DM_"&amp;Tab_Data_Flows[[#This Row],[Flow_Data_Year]]</f>
        <v>F_01_14_DM_2030</v>
      </c>
      <c r="AA111" s="6">
        <f>IF(E111="Yes",Y111*Tab_Data_Flows[[#This Row],[Flow_Material]],"N.A.")</f>
        <v>0</v>
      </c>
      <c r="AB111" s="6" t="str">
        <f>Tab_Data_Flows[[#This Row],[UoM_Flow_Py]]</f>
        <v>Mg</v>
      </c>
      <c r="AC111" s="135">
        <f>INDEX(Tab_Def_Flows[[Flow_ID]:[CC_DM_source]],MATCH(Tab_Data_Flows[[#This Row],[Flow_Name]],Tab_Def_Flows[Flow_Name],0),17)</f>
        <v>0</v>
      </c>
      <c r="AD111" s="6" t="str">
        <f>Tab_Data_Flows[[#This Row],[Flow_ID]]&amp;"_"&amp;"CC_"&amp;Tab_Data_Flows[[#This Row],[Flow_Data_Year]]</f>
        <v>F_01_14_CC_2030</v>
      </c>
      <c r="AE111" s="6">
        <f>IF(F111="Yes",AC111*Tab_Data_Flows[[#This Row],[Flow_Material]]*Tab_Data_Flows[[#This Row],[DM_'[%']]],"N.A.")</f>
        <v>0</v>
      </c>
      <c r="AF111" s="6" t="str">
        <f>Tab_Data_Flows[[#This Row],[UoM_Flow_Py]]</f>
        <v>Mg</v>
      </c>
      <c r="AG111"/>
    </row>
    <row r="112" spans="1:33" x14ac:dyDescent="0.25">
      <c r="A112" s="8">
        <f t="shared" si="3"/>
        <v>111</v>
      </c>
      <c r="B112" s="6" t="str">
        <f>_xlfn.XLOOKUP(C112,Tab_Def_Flows[Flow_Name],Tab_Def_Flows[Flow_ID],,0,)</f>
        <v>F_01_14</v>
      </c>
      <c r="C112" s="134" t="s">
        <v>1114</v>
      </c>
      <c r="D112" s="9" t="str">
        <f>_xlfn.XLOOKUP(C112,Tab_Def_Flows[Flow_Name],Tab_Def_Flows[WC?],,0,)</f>
        <v>Yes</v>
      </c>
      <c r="E112" s="9" t="str">
        <f>_xlfn.XLOOKUP(C112,Tab_Def_Flows[Flow_Name],Tab_Def_Flows[DM?],,0,)</f>
        <v>Yes</v>
      </c>
      <c r="F112" s="9" t="str">
        <f>_xlfn.XLOOKUP(C112,Tab_Def_Flows[Flow_Name],Tab_Def_Flows[CC?],,0,)</f>
        <v>Yes</v>
      </c>
      <c r="G112" s="186">
        <v>2031</v>
      </c>
      <c r="H112" s="187">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5">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5">
        <f>INDEX(Tab_Def_Flows[[Flow_ID]:[CC_DM_source]],MATCH(Tab_Data_Flows[[#This Row],[Flow_Name]],Tab_Def_Flows[Flow_Name],0),14)</f>
        <v>0</v>
      </c>
      <c r="Z112" s="6" t="str">
        <f>Tab_Data_Flows[[#This Row],[Flow_ID]]&amp;"_"&amp;"DM_"&amp;Tab_Data_Flows[[#This Row],[Flow_Data_Year]]</f>
        <v>F_01_14_DM_2031</v>
      </c>
      <c r="AA112" s="6">
        <f>IF(E112="Yes",Y112*Tab_Data_Flows[[#This Row],[Flow_Material]],"N.A.")</f>
        <v>0</v>
      </c>
      <c r="AB112" s="6" t="str">
        <f>Tab_Data_Flows[[#This Row],[UoM_Flow_Py]]</f>
        <v>Mg</v>
      </c>
      <c r="AC112" s="135">
        <f>INDEX(Tab_Def_Flows[[Flow_ID]:[CC_DM_source]],MATCH(Tab_Data_Flows[[#This Row],[Flow_Name]],Tab_Def_Flows[Flow_Name],0),17)</f>
        <v>0</v>
      </c>
      <c r="AD112" s="6" t="str">
        <f>Tab_Data_Flows[[#This Row],[Flow_ID]]&amp;"_"&amp;"CC_"&amp;Tab_Data_Flows[[#This Row],[Flow_Data_Year]]</f>
        <v>F_01_14_CC_2031</v>
      </c>
      <c r="AE112" s="6">
        <f>IF(F112="Yes",AC112*Tab_Data_Flows[[#This Row],[Flow_Material]]*Tab_Data_Flows[[#This Row],[DM_'[%']]],"N.A.")</f>
        <v>0</v>
      </c>
      <c r="AF112" s="6" t="str">
        <f>Tab_Data_Flows[[#This Row],[UoM_Flow_Py]]</f>
        <v>Mg</v>
      </c>
      <c r="AG112"/>
    </row>
    <row r="113" spans="1:33" x14ac:dyDescent="0.25">
      <c r="A113" s="8">
        <f t="shared" si="3"/>
        <v>112</v>
      </c>
      <c r="B113" s="6" t="str">
        <f>_xlfn.XLOOKUP(C113,Tab_Def_Flows[Flow_Name],Tab_Def_Flows[Flow_ID],,0,)</f>
        <v>F_01_14</v>
      </c>
      <c r="C113" s="134" t="s">
        <v>1114</v>
      </c>
      <c r="D113" s="9" t="str">
        <f>_xlfn.XLOOKUP(C113,Tab_Def_Flows[Flow_Name],Tab_Def_Flows[WC?],,0,)</f>
        <v>Yes</v>
      </c>
      <c r="E113" s="9" t="str">
        <f>_xlfn.XLOOKUP(C113,Tab_Def_Flows[Flow_Name],Tab_Def_Flows[DM?],,0,)</f>
        <v>Yes</v>
      </c>
      <c r="F113" s="9" t="str">
        <f>_xlfn.XLOOKUP(C113,Tab_Def_Flows[Flow_Name],Tab_Def_Flows[CC?],,0,)</f>
        <v>Yes</v>
      </c>
      <c r="G113" s="186">
        <v>2032</v>
      </c>
      <c r="H113" s="187">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5">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5">
        <f>INDEX(Tab_Def_Flows[[Flow_ID]:[CC_DM_source]],MATCH(Tab_Data_Flows[[#This Row],[Flow_Name]],Tab_Def_Flows[Flow_Name],0),14)</f>
        <v>0</v>
      </c>
      <c r="Z113" s="6" t="str">
        <f>Tab_Data_Flows[[#This Row],[Flow_ID]]&amp;"_"&amp;"DM_"&amp;Tab_Data_Flows[[#This Row],[Flow_Data_Year]]</f>
        <v>F_01_14_DM_2032</v>
      </c>
      <c r="AA113" s="6">
        <f>IF(E113="Yes",Y113*Tab_Data_Flows[[#This Row],[Flow_Material]],"N.A.")</f>
        <v>0</v>
      </c>
      <c r="AB113" s="6" t="str">
        <f>Tab_Data_Flows[[#This Row],[UoM_Flow_Py]]</f>
        <v>Mg</v>
      </c>
      <c r="AC113" s="135">
        <f>INDEX(Tab_Def_Flows[[Flow_ID]:[CC_DM_source]],MATCH(Tab_Data_Flows[[#This Row],[Flow_Name]],Tab_Def_Flows[Flow_Name],0),17)</f>
        <v>0</v>
      </c>
      <c r="AD113" s="6" t="str">
        <f>Tab_Data_Flows[[#This Row],[Flow_ID]]&amp;"_"&amp;"CC_"&amp;Tab_Data_Flows[[#This Row],[Flow_Data_Year]]</f>
        <v>F_01_14_CC_2032</v>
      </c>
      <c r="AE113" s="6">
        <f>IF(F113="Yes",AC113*Tab_Data_Flows[[#This Row],[Flow_Material]]*Tab_Data_Flows[[#This Row],[DM_'[%']]],"N.A.")</f>
        <v>0</v>
      </c>
      <c r="AF113" s="6" t="str">
        <f>Tab_Data_Flows[[#This Row],[UoM_Flow_Py]]</f>
        <v>Mg</v>
      </c>
      <c r="AG113"/>
    </row>
    <row r="114" spans="1:33" x14ac:dyDescent="0.25">
      <c r="A114" s="8">
        <f t="shared" si="3"/>
        <v>113</v>
      </c>
      <c r="B114" s="6" t="str">
        <f>_xlfn.XLOOKUP(C114,Tab_Def_Flows[Flow_Name],Tab_Def_Flows[Flow_ID],,0,)</f>
        <v>F_01_14</v>
      </c>
      <c r="C114" s="134" t="s">
        <v>1114</v>
      </c>
      <c r="D114" s="9" t="str">
        <f>_xlfn.XLOOKUP(C114,Tab_Def_Flows[Flow_Name],Tab_Def_Flows[WC?],,0,)</f>
        <v>Yes</v>
      </c>
      <c r="E114" s="9" t="str">
        <f>_xlfn.XLOOKUP(C114,Tab_Def_Flows[Flow_Name],Tab_Def_Flows[DM?],,0,)</f>
        <v>Yes</v>
      </c>
      <c r="F114" s="9" t="str">
        <f>_xlfn.XLOOKUP(C114,Tab_Def_Flows[Flow_Name],Tab_Def_Flows[CC?],,0,)</f>
        <v>Yes</v>
      </c>
      <c r="G114" s="186">
        <v>2033</v>
      </c>
      <c r="H114" s="187">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5">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5">
        <f>INDEX(Tab_Def_Flows[[Flow_ID]:[CC_DM_source]],MATCH(Tab_Data_Flows[[#This Row],[Flow_Name]],Tab_Def_Flows[Flow_Name],0),14)</f>
        <v>0</v>
      </c>
      <c r="Z114" s="6" t="str">
        <f>Tab_Data_Flows[[#This Row],[Flow_ID]]&amp;"_"&amp;"DM_"&amp;Tab_Data_Flows[[#This Row],[Flow_Data_Year]]</f>
        <v>F_01_14_DM_2033</v>
      </c>
      <c r="AA114" s="6">
        <f>IF(E114="Yes",Y114*Tab_Data_Flows[[#This Row],[Flow_Material]],"N.A.")</f>
        <v>0</v>
      </c>
      <c r="AB114" s="6" t="str">
        <f>Tab_Data_Flows[[#This Row],[UoM_Flow_Py]]</f>
        <v>Mg</v>
      </c>
      <c r="AC114" s="135">
        <f>INDEX(Tab_Def_Flows[[Flow_ID]:[CC_DM_source]],MATCH(Tab_Data_Flows[[#This Row],[Flow_Name]],Tab_Def_Flows[Flow_Name],0),17)</f>
        <v>0</v>
      </c>
      <c r="AD114" s="6" t="str">
        <f>Tab_Data_Flows[[#This Row],[Flow_ID]]&amp;"_"&amp;"CC_"&amp;Tab_Data_Flows[[#This Row],[Flow_Data_Year]]</f>
        <v>F_01_14_CC_2033</v>
      </c>
      <c r="AE114" s="6">
        <f>IF(F114="Yes",AC114*Tab_Data_Flows[[#This Row],[Flow_Material]]*Tab_Data_Flows[[#This Row],[DM_'[%']]],"N.A.")</f>
        <v>0</v>
      </c>
      <c r="AF114" s="6" t="str">
        <f>Tab_Data_Flows[[#This Row],[UoM_Flow_Py]]</f>
        <v>Mg</v>
      </c>
      <c r="AG114"/>
    </row>
    <row r="115" spans="1:33" x14ac:dyDescent="0.25">
      <c r="A115" s="8">
        <f t="shared" si="3"/>
        <v>114</v>
      </c>
      <c r="B115" s="6" t="str">
        <f>_xlfn.XLOOKUP(C115,Tab_Def_Flows[Flow_Name],Tab_Def_Flows[Flow_ID],,0,)</f>
        <v>F_01_14</v>
      </c>
      <c r="C115" s="134" t="s">
        <v>1114</v>
      </c>
      <c r="D115" s="9" t="str">
        <f>_xlfn.XLOOKUP(C115,Tab_Def_Flows[Flow_Name],Tab_Def_Flows[WC?],,0,)</f>
        <v>Yes</v>
      </c>
      <c r="E115" s="9" t="str">
        <f>_xlfn.XLOOKUP(C115,Tab_Def_Flows[Flow_Name],Tab_Def_Flows[DM?],,0,)</f>
        <v>Yes</v>
      </c>
      <c r="F115" s="9" t="str">
        <f>_xlfn.XLOOKUP(C115,Tab_Def_Flows[Flow_Name],Tab_Def_Flows[CC?],,0,)</f>
        <v>Yes</v>
      </c>
      <c r="G115" s="186">
        <v>2034</v>
      </c>
      <c r="H115" s="187">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5">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5">
        <f>INDEX(Tab_Def_Flows[[Flow_ID]:[CC_DM_source]],MATCH(Tab_Data_Flows[[#This Row],[Flow_Name]],Tab_Def_Flows[Flow_Name],0),14)</f>
        <v>0</v>
      </c>
      <c r="Z115" s="6" t="str">
        <f>Tab_Data_Flows[[#This Row],[Flow_ID]]&amp;"_"&amp;"DM_"&amp;Tab_Data_Flows[[#This Row],[Flow_Data_Year]]</f>
        <v>F_01_14_DM_2034</v>
      </c>
      <c r="AA115" s="6">
        <f>IF(E115="Yes",Y115*Tab_Data_Flows[[#This Row],[Flow_Material]],"N.A.")</f>
        <v>0</v>
      </c>
      <c r="AB115" s="6" t="str">
        <f>Tab_Data_Flows[[#This Row],[UoM_Flow_Py]]</f>
        <v>Mg</v>
      </c>
      <c r="AC115" s="135">
        <f>INDEX(Tab_Def_Flows[[Flow_ID]:[CC_DM_source]],MATCH(Tab_Data_Flows[[#This Row],[Flow_Name]],Tab_Def_Flows[Flow_Name],0),17)</f>
        <v>0</v>
      </c>
      <c r="AD115" s="6" t="str">
        <f>Tab_Data_Flows[[#This Row],[Flow_ID]]&amp;"_"&amp;"CC_"&amp;Tab_Data_Flows[[#This Row],[Flow_Data_Year]]</f>
        <v>F_01_14_CC_2034</v>
      </c>
      <c r="AE115" s="6">
        <f>IF(F115="Yes",AC115*Tab_Data_Flows[[#This Row],[Flow_Material]]*Tab_Data_Flows[[#This Row],[DM_'[%']]],"N.A.")</f>
        <v>0</v>
      </c>
      <c r="AF115" s="6" t="str">
        <f>Tab_Data_Flows[[#This Row],[UoM_Flow_Py]]</f>
        <v>Mg</v>
      </c>
      <c r="AG115"/>
    </row>
    <row r="116" spans="1:33" x14ac:dyDescent="0.25">
      <c r="A116" s="8">
        <f t="shared" si="3"/>
        <v>115</v>
      </c>
      <c r="B116" s="6" t="str">
        <f>_xlfn.XLOOKUP(C116,Tab_Def_Flows[Flow_Name],Tab_Def_Flows[Flow_ID],,0,)</f>
        <v>F_01_14</v>
      </c>
      <c r="C116" s="134" t="s">
        <v>1114</v>
      </c>
      <c r="D116" s="9" t="str">
        <f>_xlfn.XLOOKUP(C116,Tab_Def_Flows[Flow_Name],Tab_Def_Flows[WC?],,0,)</f>
        <v>Yes</v>
      </c>
      <c r="E116" s="9" t="str">
        <f>_xlfn.XLOOKUP(C116,Tab_Def_Flows[Flow_Name],Tab_Def_Flows[DM?],,0,)</f>
        <v>Yes</v>
      </c>
      <c r="F116" s="9" t="str">
        <f>_xlfn.XLOOKUP(C116,Tab_Def_Flows[Flow_Name],Tab_Def_Flows[CC?],,0,)</f>
        <v>Yes</v>
      </c>
      <c r="G116" s="186">
        <v>2035</v>
      </c>
      <c r="H116" s="187">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5">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5">
        <f>INDEX(Tab_Def_Flows[[Flow_ID]:[CC_DM_source]],MATCH(Tab_Data_Flows[[#This Row],[Flow_Name]],Tab_Def_Flows[Flow_Name],0),14)</f>
        <v>0</v>
      </c>
      <c r="Z116" s="6" t="str">
        <f>Tab_Data_Flows[[#This Row],[Flow_ID]]&amp;"_"&amp;"DM_"&amp;Tab_Data_Flows[[#This Row],[Flow_Data_Year]]</f>
        <v>F_01_14_DM_2035</v>
      </c>
      <c r="AA116" s="6">
        <f>IF(E116="Yes",Y116*Tab_Data_Flows[[#This Row],[Flow_Material]],"N.A.")</f>
        <v>0</v>
      </c>
      <c r="AB116" s="6" t="str">
        <f>Tab_Data_Flows[[#This Row],[UoM_Flow_Py]]</f>
        <v>Mg</v>
      </c>
      <c r="AC116" s="135">
        <f>INDEX(Tab_Def_Flows[[Flow_ID]:[CC_DM_source]],MATCH(Tab_Data_Flows[[#This Row],[Flow_Name]],Tab_Def_Flows[Flow_Name],0),17)</f>
        <v>0</v>
      </c>
      <c r="AD116" s="6" t="str">
        <f>Tab_Data_Flows[[#This Row],[Flow_ID]]&amp;"_"&amp;"CC_"&amp;Tab_Data_Flows[[#This Row],[Flow_Data_Year]]</f>
        <v>F_01_14_CC_2035</v>
      </c>
      <c r="AE116" s="6">
        <f>IF(F116="Yes",AC116*Tab_Data_Flows[[#This Row],[Flow_Material]]*Tab_Data_Flows[[#This Row],[DM_'[%']]],"N.A.")</f>
        <v>0</v>
      </c>
      <c r="AF116" s="6" t="str">
        <f>Tab_Data_Flows[[#This Row],[UoM_Flow_Py]]</f>
        <v>Mg</v>
      </c>
      <c r="AG116"/>
    </row>
    <row r="117" spans="1:33" x14ac:dyDescent="0.25">
      <c r="A117" s="8">
        <f t="shared" si="3"/>
        <v>116</v>
      </c>
      <c r="B117" s="6" t="str">
        <f>_xlfn.XLOOKUP(C117,Tab_Def_Flows[Flow_Name],Tab_Def_Flows[Flow_ID],,0,)</f>
        <v>F_01_14</v>
      </c>
      <c r="C117" s="134" t="s">
        <v>1114</v>
      </c>
      <c r="D117" s="9" t="str">
        <f>_xlfn.XLOOKUP(C117,Tab_Def_Flows[Flow_Name],Tab_Def_Flows[WC?],,0,)</f>
        <v>Yes</v>
      </c>
      <c r="E117" s="9" t="str">
        <f>_xlfn.XLOOKUP(C117,Tab_Def_Flows[Flow_Name],Tab_Def_Flows[DM?],,0,)</f>
        <v>Yes</v>
      </c>
      <c r="F117" s="9" t="str">
        <f>_xlfn.XLOOKUP(C117,Tab_Def_Flows[Flow_Name],Tab_Def_Flows[CC?],,0,)</f>
        <v>Yes</v>
      </c>
      <c r="G117" s="186">
        <v>2036</v>
      </c>
      <c r="H117" s="187">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5">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5">
        <f>INDEX(Tab_Def_Flows[[Flow_ID]:[CC_DM_source]],MATCH(Tab_Data_Flows[[#This Row],[Flow_Name]],Tab_Def_Flows[Flow_Name],0),14)</f>
        <v>0</v>
      </c>
      <c r="Z117" s="6" t="str">
        <f>Tab_Data_Flows[[#This Row],[Flow_ID]]&amp;"_"&amp;"DM_"&amp;Tab_Data_Flows[[#This Row],[Flow_Data_Year]]</f>
        <v>F_01_14_DM_2036</v>
      </c>
      <c r="AA117" s="6">
        <f>IF(E117="Yes",Y117*Tab_Data_Flows[[#This Row],[Flow_Material]],"N.A.")</f>
        <v>0</v>
      </c>
      <c r="AB117" s="6" t="str">
        <f>Tab_Data_Flows[[#This Row],[UoM_Flow_Py]]</f>
        <v>Mg</v>
      </c>
      <c r="AC117" s="135">
        <f>INDEX(Tab_Def_Flows[[Flow_ID]:[CC_DM_source]],MATCH(Tab_Data_Flows[[#This Row],[Flow_Name]],Tab_Def_Flows[Flow_Name],0),17)</f>
        <v>0</v>
      </c>
      <c r="AD117" s="6" t="str">
        <f>Tab_Data_Flows[[#This Row],[Flow_ID]]&amp;"_"&amp;"CC_"&amp;Tab_Data_Flows[[#This Row],[Flow_Data_Year]]</f>
        <v>F_01_14_CC_2036</v>
      </c>
      <c r="AE117" s="6">
        <f>IF(F117="Yes",AC117*Tab_Data_Flows[[#This Row],[Flow_Material]]*Tab_Data_Flows[[#This Row],[DM_'[%']]],"N.A.")</f>
        <v>0</v>
      </c>
      <c r="AF117" s="6" t="str">
        <f>Tab_Data_Flows[[#This Row],[UoM_Flow_Py]]</f>
        <v>Mg</v>
      </c>
      <c r="AG117"/>
    </row>
    <row r="118" spans="1:33" x14ac:dyDescent="0.25">
      <c r="A118" s="8">
        <f t="shared" si="3"/>
        <v>117</v>
      </c>
      <c r="B118" s="6" t="str">
        <f>_xlfn.XLOOKUP(C118,Tab_Def_Flows[Flow_Name],Tab_Def_Flows[Flow_ID],,0,)</f>
        <v>F_01_14</v>
      </c>
      <c r="C118" s="134" t="s">
        <v>1114</v>
      </c>
      <c r="D118" s="9" t="str">
        <f>_xlfn.XLOOKUP(C118,Tab_Def_Flows[Flow_Name],Tab_Def_Flows[WC?],,0,)</f>
        <v>Yes</v>
      </c>
      <c r="E118" s="9" t="str">
        <f>_xlfn.XLOOKUP(C118,Tab_Def_Flows[Flow_Name],Tab_Def_Flows[DM?],,0,)</f>
        <v>Yes</v>
      </c>
      <c r="F118" s="9" t="str">
        <f>_xlfn.XLOOKUP(C118,Tab_Def_Flows[Flow_Name],Tab_Def_Flows[CC?],,0,)</f>
        <v>Yes</v>
      </c>
      <c r="G118" s="186">
        <v>2037</v>
      </c>
      <c r="H118" s="187">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5">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5">
        <f>INDEX(Tab_Def_Flows[[Flow_ID]:[CC_DM_source]],MATCH(Tab_Data_Flows[[#This Row],[Flow_Name]],Tab_Def_Flows[Flow_Name],0),14)</f>
        <v>0</v>
      </c>
      <c r="Z118" s="6" t="str">
        <f>Tab_Data_Flows[[#This Row],[Flow_ID]]&amp;"_"&amp;"DM_"&amp;Tab_Data_Flows[[#This Row],[Flow_Data_Year]]</f>
        <v>F_01_14_DM_2037</v>
      </c>
      <c r="AA118" s="6">
        <f>IF(E118="Yes",Y118*Tab_Data_Flows[[#This Row],[Flow_Material]],"N.A.")</f>
        <v>0</v>
      </c>
      <c r="AB118" s="6" t="str">
        <f>Tab_Data_Flows[[#This Row],[UoM_Flow_Py]]</f>
        <v>Mg</v>
      </c>
      <c r="AC118" s="135">
        <f>INDEX(Tab_Def_Flows[[Flow_ID]:[CC_DM_source]],MATCH(Tab_Data_Flows[[#This Row],[Flow_Name]],Tab_Def_Flows[Flow_Name],0),17)</f>
        <v>0</v>
      </c>
      <c r="AD118" s="6" t="str">
        <f>Tab_Data_Flows[[#This Row],[Flow_ID]]&amp;"_"&amp;"CC_"&amp;Tab_Data_Flows[[#This Row],[Flow_Data_Year]]</f>
        <v>F_01_14_CC_2037</v>
      </c>
      <c r="AE118" s="6">
        <f>IF(F118="Yes",AC118*Tab_Data_Flows[[#This Row],[Flow_Material]]*Tab_Data_Flows[[#This Row],[DM_'[%']]],"N.A.")</f>
        <v>0</v>
      </c>
      <c r="AF118" s="6" t="str">
        <f>Tab_Data_Flows[[#This Row],[UoM_Flow_Py]]</f>
        <v>Mg</v>
      </c>
      <c r="AG118"/>
    </row>
    <row r="119" spans="1:33" x14ac:dyDescent="0.25">
      <c r="A119" s="8">
        <f t="shared" si="3"/>
        <v>118</v>
      </c>
      <c r="B119" s="6" t="str">
        <f>_xlfn.XLOOKUP(C119,Tab_Def_Flows[Flow_Name],Tab_Def_Flows[Flow_ID],,0,)</f>
        <v>F_01_14</v>
      </c>
      <c r="C119" s="134" t="s">
        <v>1114</v>
      </c>
      <c r="D119" s="9" t="str">
        <f>_xlfn.XLOOKUP(C119,Tab_Def_Flows[Flow_Name],Tab_Def_Flows[WC?],,0,)</f>
        <v>Yes</v>
      </c>
      <c r="E119" s="9" t="str">
        <f>_xlfn.XLOOKUP(C119,Tab_Def_Flows[Flow_Name],Tab_Def_Flows[DM?],,0,)</f>
        <v>Yes</v>
      </c>
      <c r="F119" s="9" t="str">
        <f>_xlfn.XLOOKUP(C119,Tab_Def_Flows[Flow_Name],Tab_Def_Flows[CC?],,0,)</f>
        <v>Yes</v>
      </c>
      <c r="G119" s="186">
        <v>2038</v>
      </c>
      <c r="H119" s="187">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5">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5">
        <f>INDEX(Tab_Def_Flows[[Flow_ID]:[CC_DM_source]],MATCH(Tab_Data_Flows[[#This Row],[Flow_Name]],Tab_Def_Flows[Flow_Name],0),14)</f>
        <v>0</v>
      </c>
      <c r="Z119" s="6" t="str">
        <f>Tab_Data_Flows[[#This Row],[Flow_ID]]&amp;"_"&amp;"DM_"&amp;Tab_Data_Flows[[#This Row],[Flow_Data_Year]]</f>
        <v>F_01_14_DM_2038</v>
      </c>
      <c r="AA119" s="6">
        <f>IF(E119="Yes",Y119*Tab_Data_Flows[[#This Row],[Flow_Material]],"N.A.")</f>
        <v>0</v>
      </c>
      <c r="AB119" s="6" t="str">
        <f>Tab_Data_Flows[[#This Row],[UoM_Flow_Py]]</f>
        <v>Mg</v>
      </c>
      <c r="AC119" s="135">
        <f>INDEX(Tab_Def_Flows[[Flow_ID]:[CC_DM_source]],MATCH(Tab_Data_Flows[[#This Row],[Flow_Name]],Tab_Def_Flows[Flow_Name],0),17)</f>
        <v>0</v>
      </c>
      <c r="AD119" s="6" t="str">
        <f>Tab_Data_Flows[[#This Row],[Flow_ID]]&amp;"_"&amp;"CC_"&amp;Tab_Data_Flows[[#This Row],[Flow_Data_Year]]</f>
        <v>F_01_14_CC_2038</v>
      </c>
      <c r="AE119" s="6">
        <f>IF(F119="Yes",AC119*Tab_Data_Flows[[#This Row],[Flow_Material]]*Tab_Data_Flows[[#This Row],[DM_'[%']]],"N.A.")</f>
        <v>0</v>
      </c>
      <c r="AF119" s="6" t="str">
        <f>Tab_Data_Flows[[#This Row],[UoM_Flow_Py]]</f>
        <v>Mg</v>
      </c>
      <c r="AG119"/>
    </row>
    <row r="120" spans="1:33" x14ac:dyDescent="0.25">
      <c r="A120" s="8">
        <f t="shared" si="3"/>
        <v>119</v>
      </c>
      <c r="B120" s="6" t="str">
        <f>_xlfn.XLOOKUP(C120,Tab_Def_Flows[Flow_Name],Tab_Def_Flows[Flow_ID],,0,)</f>
        <v>F_01_14</v>
      </c>
      <c r="C120" s="134" t="s">
        <v>1114</v>
      </c>
      <c r="D120" s="9" t="str">
        <f>_xlfn.XLOOKUP(C120,Tab_Def_Flows[Flow_Name],Tab_Def_Flows[WC?],,0,)</f>
        <v>Yes</v>
      </c>
      <c r="E120" s="9" t="str">
        <f>_xlfn.XLOOKUP(C120,Tab_Def_Flows[Flow_Name],Tab_Def_Flows[DM?],,0,)</f>
        <v>Yes</v>
      </c>
      <c r="F120" s="9" t="str">
        <f>_xlfn.XLOOKUP(C120,Tab_Def_Flows[Flow_Name],Tab_Def_Flows[CC?],,0,)</f>
        <v>Yes</v>
      </c>
      <c r="G120" s="186">
        <v>2039</v>
      </c>
      <c r="H120" s="187">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5">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5">
        <f>INDEX(Tab_Def_Flows[[Flow_ID]:[CC_DM_source]],MATCH(Tab_Data_Flows[[#This Row],[Flow_Name]],Tab_Def_Flows[Flow_Name],0),14)</f>
        <v>0</v>
      </c>
      <c r="Z120" s="6" t="str">
        <f>Tab_Data_Flows[[#This Row],[Flow_ID]]&amp;"_"&amp;"DM_"&amp;Tab_Data_Flows[[#This Row],[Flow_Data_Year]]</f>
        <v>F_01_14_DM_2039</v>
      </c>
      <c r="AA120" s="6">
        <f>IF(E120="Yes",Y120*Tab_Data_Flows[[#This Row],[Flow_Material]],"N.A.")</f>
        <v>0</v>
      </c>
      <c r="AB120" s="6" t="str">
        <f>Tab_Data_Flows[[#This Row],[UoM_Flow_Py]]</f>
        <v>Mg</v>
      </c>
      <c r="AC120" s="135">
        <f>INDEX(Tab_Def_Flows[[Flow_ID]:[CC_DM_source]],MATCH(Tab_Data_Flows[[#This Row],[Flow_Name]],Tab_Def_Flows[Flow_Name],0),17)</f>
        <v>0</v>
      </c>
      <c r="AD120" s="6" t="str">
        <f>Tab_Data_Flows[[#This Row],[Flow_ID]]&amp;"_"&amp;"CC_"&amp;Tab_Data_Flows[[#This Row],[Flow_Data_Year]]</f>
        <v>F_01_14_CC_2039</v>
      </c>
      <c r="AE120" s="6">
        <f>IF(F120="Yes",AC120*Tab_Data_Flows[[#This Row],[Flow_Material]]*Tab_Data_Flows[[#This Row],[DM_'[%']]],"N.A.")</f>
        <v>0</v>
      </c>
      <c r="AF120" s="6" t="str">
        <f>Tab_Data_Flows[[#This Row],[UoM_Flow_Py]]</f>
        <v>Mg</v>
      </c>
      <c r="AG120"/>
    </row>
    <row r="121" spans="1:33" x14ac:dyDescent="0.25">
      <c r="A121" s="8">
        <f t="shared" si="3"/>
        <v>120</v>
      </c>
      <c r="B121" s="6" t="str">
        <f>_xlfn.XLOOKUP(C121,Tab_Def_Flows[Flow_Name],Tab_Def_Flows[Flow_ID],,0,)</f>
        <v>F_01_14</v>
      </c>
      <c r="C121" s="134" t="s">
        <v>1114</v>
      </c>
      <c r="D121" s="9" t="str">
        <f>_xlfn.XLOOKUP(C121,Tab_Def_Flows[Flow_Name],Tab_Def_Flows[WC?],,0,)</f>
        <v>Yes</v>
      </c>
      <c r="E121" s="9" t="str">
        <f>_xlfn.XLOOKUP(C121,Tab_Def_Flows[Flow_Name],Tab_Def_Flows[DM?],,0,)</f>
        <v>Yes</v>
      </c>
      <c r="F121" s="9" t="str">
        <f>_xlfn.XLOOKUP(C121,Tab_Def_Flows[Flow_Name],Tab_Def_Flows[CC?],,0,)</f>
        <v>Yes</v>
      </c>
      <c r="G121" s="186">
        <v>2040</v>
      </c>
      <c r="H121" s="187">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5">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5">
        <f>INDEX(Tab_Def_Flows[[Flow_ID]:[CC_DM_source]],MATCH(Tab_Data_Flows[[#This Row],[Flow_Name]],Tab_Def_Flows[Flow_Name],0),14)</f>
        <v>0</v>
      </c>
      <c r="Z121" s="6" t="str">
        <f>Tab_Data_Flows[[#This Row],[Flow_ID]]&amp;"_"&amp;"DM_"&amp;Tab_Data_Flows[[#This Row],[Flow_Data_Year]]</f>
        <v>F_01_14_DM_2040</v>
      </c>
      <c r="AA121" s="6">
        <f>IF(E121="Yes",Y121*Tab_Data_Flows[[#This Row],[Flow_Material]],"N.A.")</f>
        <v>0</v>
      </c>
      <c r="AB121" s="6" t="str">
        <f>Tab_Data_Flows[[#This Row],[UoM_Flow_Py]]</f>
        <v>Mg</v>
      </c>
      <c r="AC121" s="135">
        <f>INDEX(Tab_Def_Flows[[Flow_ID]:[CC_DM_source]],MATCH(Tab_Data_Flows[[#This Row],[Flow_Name]],Tab_Def_Flows[Flow_Name],0),17)</f>
        <v>0</v>
      </c>
      <c r="AD121" s="6" t="str">
        <f>Tab_Data_Flows[[#This Row],[Flow_ID]]&amp;"_"&amp;"CC_"&amp;Tab_Data_Flows[[#This Row],[Flow_Data_Year]]</f>
        <v>F_01_14_CC_2040</v>
      </c>
      <c r="AE121" s="6">
        <f>IF(F121="Yes",AC121*Tab_Data_Flows[[#This Row],[Flow_Material]]*Tab_Data_Flows[[#This Row],[DM_'[%']]],"N.A.")</f>
        <v>0</v>
      </c>
      <c r="AF121" s="6" t="str">
        <f>Tab_Data_Flows[[#This Row],[UoM_Flow_Py]]</f>
        <v>Mg</v>
      </c>
      <c r="AG121"/>
    </row>
    <row r="122" spans="1:33" x14ac:dyDescent="0.25">
      <c r="A122" s="8">
        <f t="shared" si="3"/>
        <v>121</v>
      </c>
      <c r="B122" s="6" t="str">
        <f>_xlfn.XLOOKUP(C122,Tab_Def_Flows[Flow_Name],Tab_Def_Flows[Flow_ID],,0,)</f>
        <v>F_01_14</v>
      </c>
      <c r="C122" s="134" t="s">
        <v>1114</v>
      </c>
      <c r="D122" s="9" t="str">
        <f>_xlfn.XLOOKUP(C122,Tab_Def_Flows[Flow_Name],Tab_Def_Flows[WC?],,0,)</f>
        <v>Yes</v>
      </c>
      <c r="E122" s="9" t="str">
        <f>_xlfn.XLOOKUP(C122,Tab_Def_Flows[Flow_Name],Tab_Def_Flows[DM?],,0,)</f>
        <v>Yes</v>
      </c>
      <c r="F122" s="9" t="str">
        <f>_xlfn.XLOOKUP(C122,Tab_Def_Flows[Flow_Name],Tab_Def_Flows[CC?],,0,)</f>
        <v>Yes</v>
      </c>
      <c r="G122" s="186">
        <v>2041</v>
      </c>
      <c r="H122" s="187">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5">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5">
        <f>INDEX(Tab_Def_Flows[[Flow_ID]:[CC_DM_source]],MATCH(Tab_Data_Flows[[#This Row],[Flow_Name]],Tab_Def_Flows[Flow_Name],0),14)</f>
        <v>0</v>
      </c>
      <c r="Z122" s="6" t="str">
        <f>Tab_Data_Flows[[#This Row],[Flow_ID]]&amp;"_"&amp;"DM_"&amp;Tab_Data_Flows[[#This Row],[Flow_Data_Year]]</f>
        <v>F_01_14_DM_2041</v>
      </c>
      <c r="AA122" s="6">
        <f>IF(E122="Yes",Y122*Tab_Data_Flows[[#This Row],[Flow_Material]],"N.A.")</f>
        <v>0</v>
      </c>
      <c r="AB122" s="6" t="str">
        <f>Tab_Data_Flows[[#This Row],[UoM_Flow_Py]]</f>
        <v>Mg</v>
      </c>
      <c r="AC122" s="135">
        <f>INDEX(Tab_Def_Flows[[Flow_ID]:[CC_DM_source]],MATCH(Tab_Data_Flows[[#This Row],[Flow_Name]],Tab_Def_Flows[Flow_Name],0),17)</f>
        <v>0</v>
      </c>
      <c r="AD122" s="6" t="str">
        <f>Tab_Data_Flows[[#This Row],[Flow_ID]]&amp;"_"&amp;"CC_"&amp;Tab_Data_Flows[[#This Row],[Flow_Data_Year]]</f>
        <v>F_01_14_CC_2041</v>
      </c>
      <c r="AE122" s="6">
        <f>IF(F122="Yes",AC122*Tab_Data_Flows[[#This Row],[Flow_Material]]*Tab_Data_Flows[[#This Row],[DM_'[%']]],"N.A.")</f>
        <v>0</v>
      </c>
      <c r="AF122" s="6" t="str">
        <f>Tab_Data_Flows[[#This Row],[UoM_Flow_Py]]</f>
        <v>Mg</v>
      </c>
      <c r="AG122"/>
    </row>
    <row r="123" spans="1:33" x14ac:dyDescent="0.25">
      <c r="A123" s="8">
        <f t="shared" si="3"/>
        <v>122</v>
      </c>
      <c r="B123" s="6" t="str">
        <f>_xlfn.XLOOKUP(C123,Tab_Def_Flows[Flow_Name],Tab_Def_Flows[Flow_ID],,0,)</f>
        <v>F_01_14</v>
      </c>
      <c r="C123" s="134" t="s">
        <v>1114</v>
      </c>
      <c r="D123" s="9" t="str">
        <f>_xlfn.XLOOKUP(C123,Tab_Def_Flows[Flow_Name],Tab_Def_Flows[WC?],,0,)</f>
        <v>Yes</v>
      </c>
      <c r="E123" s="9" t="str">
        <f>_xlfn.XLOOKUP(C123,Tab_Def_Flows[Flow_Name],Tab_Def_Flows[DM?],,0,)</f>
        <v>Yes</v>
      </c>
      <c r="F123" s="9" t="str">
        <f>_xlfn.XLOOKUP(C123,Tab_Def_Flows[Flow_Name],Tab_Def_Flows[CC?],,0,)</f>
        <v>Yes</v>
      </c>
      <c r="G123" s="186">
        <v>2042</v>
      </c>
      <c r="H123" s="187">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5">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5">
        <f>INDEX(Tab_Def_Flows[[Flow_ID]:[CC_DM_source]],MATCH(Tab_Data_Flows[[#This Row],[Flow_Name]],Tab_Def_Flows[Flow_Name],0),14)</f>
        <v>0</v>
      </c>
      <c r="Z123" s="6" t="str">
        <f>Tab_Data_Flows[[#This Row],[Flow_ID]]&amp;"_"&amp;"DM_"&amp;Tab_Data_Flows[[#This Row],[Flow_Data_Year]]</f>
        <v>F_01_14_DM_2042</v>
      </c>
      <c r="AA123" s="6">
        <f>IF(E123="Yes",Y123*Tab_Data_Flows[[#This Row],[Flow_Material]],"N.A.")</f>
        <v>0</v>
      </c>
      <c r="AB123" s="6" t="str">
        <f>Tab_Data_Flows[[#This Row],[UoM_Flow_Py]]</f>
        <v>Mg</v>
      </c>
      <c r="AC123" s="135">
        <f>INDEX(Tab_Def_Flows[[Flow_ID]:[CC_DM_source]],MATCH(Tab_Data_Flows[[#This Row],[Flow_Name]],Tab_Def_Flows[Flow_Name],0),17)</f>
        <v>0</v>
      </c>
      <c r="AD123" s="6" t="str">
        <f>Tab_Data_Flows[[#This Row],[Flow_ID]]&amp;"_"&amp;"CC_"&amp;Tab_Data_Flows[[#This Row],[Flow_Data_Year]]</f>
        <v>F_01_14_CC_2042</v>
      </c>
      <c r="AE123" s="6">
        <f>IF(F123="Yes",AC123*Tab_Data_Flows[[#This Row],[Flow_Material]]*Tab_Data_Flows[[#This Row],[DM_'[%']]],"N.A.")</f>
        <v>0</v>
      </c>
      <c r="AF123" s="6" t="str">
        <f>Tab_Data_Flows[[#This Row],[UoM_Flow_Py]]</f>
        <v>Mg</v>
      </c>
      <c r="AG123"/>
    </row>
    <row r="124" spans="1:33" x14ac:dyDescent="0.25">
      <c r="A124" s="8">
        <f t="shared" si="3"/>
        <v>123</v>
      </c>
      <c r="B124" s="6" t="str">
        <f>_xlfn.XLOOKUP(C124,Tab_Def_Flows[Flow_Name],Tab_Def_Flows[Flow_ID],,0,)</f>
        <v>F_01_14</v>
      </c>
      <c r="C124" s="134" t="s">
        <v>1114</v>
      </c>
      <c r="D124" s="9" t="str">
        <f>_xlfn.XLOOKUP(C124,Tab_Def_Flows[Flow_Name],Tab_Def_Flows[WC?],,0,)</f>
        <v>Yes</v>
      </c>
      <c r="E124" s="9" t="str">
        <f>_xlfn.XLOOKUP(C124,Tab_Def_Flows[Flow_Name],Tab_Def_Flows[DM?],,0,)</f>
        <v>Yes</v>
      </c>
      <c r="F124" s="9" t="str">
        <f>_xlfn.XLOOKUP(C124,Tab_Def_Flows[Flow_Name],Tab_Def_Flows[CC?],,0,)</f>
        <v>Yes</v>
      </c>
      <c r="G124" s="186">
        <v>2043</v>
      </c>
      <c r="H124" s="187">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5">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5">
        <f>INDEX(Tab_Def_Flows[[Flow_ID]:[CC_DM_source]],MATCH(Tab_Data_Flows[[#This Row],[Flow_Name]],Tab_Def_Flows[Flow_Name],0),14)</f>
        <v>0</v>
      </c>
      <c r="Z124" s="6" t="str">
        <f>Tab_Data_Flows[[#This Row],[Flow_ID]]&amp;"_"&amp;"DM_"&amp;Tab_Data_Flows[[#This Row],[Flow_Data_Year]]</f>
        <v>F_01_14_DM_2043</v>
      </c>
      <c r="AA124" s="6">
        <f>IF(E124="Yes",Y124*Tab_Data_Flows[[#This Row],[Flow_Material]],"N.A.")</f>
        <v>0</v>
      </c>
      <c r="AB124" s="6" t="str">
        <f>Tab_Data_Flows[[#This Row],[UoM_Flow_Py]]</f>
        <v>Mg</v>
      </c>
      <c r="AC124" s="135">
        <f>INDEX(Tab_Def_Flows[[Flow_ID]:[CC_DM_source]],MATCH(Tab_Data_Flows[[#This Row],[Flow_Name]],Tab_Def_Flows[Flow_Name],0),17)</f>
        <v>0</v>
      </c>
      <c r="AD124" s="6" t="str">
        <f>Tab_Data_Flows[[#This Row],[Flow_ID]]&amp;"_"&amp;"CC_"&amp;Tab_Data_Flows[[#This Row],[Flow_Data_Year]]</f>
        <v>F_01_14_CC_2043</v>
      </c>
      <c r="AE124" s="6">
        <f>IF(F124="Yes",AC124*Tab_Data_Flows[[#This Row],[Flow_Material]]*Tab_Data_Flows[[#This Row],[DM_'[%']]],"N.A.")</f>
        <v>0</v>
      </c>
      <c r="AF124" s="6" t="str">
        <f>Tab_Data_Flows[[#This Row],[UoM_Flow_Py]]</f>
        <v>Mg</v>
      </c>
      <c r="AG124"/>
    </row>
    <row r="125" spans="1:33" x14ac:dyDescent="0.25">
      <c r="A125" s="8">
        <f t="shared" si="3"/>
        <v>124</v>
      </c>
      <c r="B125" s="6" t="str">
        <f>_xlfn.XLOOKUP(C125,Tab_Def_Flows[Flow_Name],Tab_Def_Flows[Flow_ID],,0,)</f>
        <v>F_01_14</v>
      </c>
      <c r="C125" s="134" t="s">
        <v>1114</v>
      </c>
      <c r="D125" s="9" t="str">
        <f>_xlfn.XLOOKUP(C125,Tab_Def_Flows[Flow_Name],Tab_Def_Flows[WC?],,0,)</f>
        <v>Yes</v>
      </c>
      <c r="E125" s="9" t="str">
        <f>_xlfn.XLOOKUP(C125,Tab_Def_Flows[Flow_Name],Tab_Def_Flows[DM?],,0,)</f>
        <v>Yes</v>
      </c>
      <c r="F125" s="9" t="str">
        <f>_xlfn.XLOOKUP(C125,Tab_Def_Flows[Flow_Name],Tab_Def_Flows[CC?],,0,)</f>
        <v>Yes</v>
      </c>
      <c r="G125" s="186">
        <v>2044</v>
      </c>
      <c r="H125" s="187">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5">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5">
        <f>INDEX(Tab_Def_Flows[[Flow_ID]:[CC_DM_source]],MATCH(Tab_Data_Flows[[#This Row],[Flow_Name]],Tab_Def_Flows[Flow_Name],0),14)</f>
        <v>0</v>
      </c>
      <c r="Z125" s="6" t="str">
        <f>Tab_Data_Flows[[#This Row],[Flow_ID]]&amp;"_"&amp;"DM_"&amp;Tab_Data_Flows[[#This Row],[Flow_Data_Year]]</f>
        <v>F_01_14_DM_2044</v>
      </c>
      <c r="AA125" s="6">
        <f>IF(E125="Yes",Y125*Tab_Data_Flows[[#This Row],[Flow_Material]],"N.A.")</f>
        <v>0</v>
      </c>
      <c r="AB125" s="6" t="str">
        <f>Tab_Data_Flows[[#This Row],[UoM_Flow_Py]]</f>
        <v>Mg</v>
      </c>
      <c r="AC125" s="135">
        <f>INDEX(Tab_Def_Flows[[Flow_ID]:[CC_DM_source]],MATCH(Tab_Data_Flows[[#This Row],[Flow_Name]],Tab_Def_Flows[Flow_Name],0),17)</f>
        <v>0</v>
      </c>
      <c r="AD125" s="6" t="str">
        <f>Tab_Data_Flows[[#This Row],[Flow_ID]]&amp;"_"&amp;"CC_"&amp;Tab_Data_Flows[[#This Row],[Flow_Data_Year]]</f>
        <v>F_01_14_CC_2044</v>
      </c>
      <c r="AE125" s="6">
        <f>IF(F125="Yes",AC125*Tab_Data_Flows[[#This Row],[Flow_Material]]*Tab_Data_Flows[[#This Row],[DM_'[%']]],"N.A.")</f>
        <v>0</v>
      </c>
      <c r="AF125" s="6" t="str">
        <f>Tab_Data_Flows[[#This Row],[UoM_Flow_Py]]</f>
        <v>Mg</v>
      </c>
      <c r="AG125"/>
    </row>
    <row r="126" spans="1:33" x14ac:dyDescent="0.25">
      <c r="A126" s="8">
        <f t="shared" si="3"/>
        <v>125</v>
      </c>
      <c r="B126" s="6" t="str">
        <f>_xlfn.XLOOKUP(C126,Tab_Def_Flows[Flow_Name],Tab_Def_Flows[Flow_ID],,0,)</f>
        <v>F_01_14</v>
      </c>
      <c r="C126" s="134" t="s">
        <v>1114</v>
      </c>
      <c r="D126" s="9" t="str">
        <f>_xlfn.XLOOKUP(C126,Tab_Def_Flows[Flow_Name],Tab_Def_Flows[WC?],,0,)</f>
        <v>Yes</v>
      </c>
      <c r="E126" s="9" t="str">
        <f>_xlfn.XLOOKUP(C126,Tab_Def_Flows[Flow_Name],Tab_Def_Flows[DM?],,0,)</f>
        <v>Yes</v>
      </c>
      <c r="F126" s="9" t="str">
        <f>_xlfn.XLOOKUP(C126,Tab_Def_Flows[Flow_Name],Tab_Def_Flows[CC?],,0,)</f>
        <v>Yes</v>
      </c>
      <c r="G126" s="186">
        <v>2045</v>
      </c>
      <c r="H126" s="187">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5">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5">
        <f>INDEX(Tab_Def_Flows[[Flow_ID]:[CC_DM_source]],MATCH(Tab_Data_Flows[[#This Row],[Flow_Name]],Tab_Def_Flows[Flow_Name],0),14)</f>
        <v>0</v>
      </c>
      <c r="Z126" s="6" t="str">
        <f>Tab_Data_Flows[[#This Row],[Flow_ID]]&amp;"_"&amp;"DM_"&amp;Tab_Data_Flows[[#This Row],[Flow_Data_Year]]</f>
        <v>F_01_14_DM_2045</v>
      </c>
      <c r="AA126" s="6">
        <f>IF(E126="Yes",Y126*Tab_Data_Flows[[#This Row],[Flow_Material]],"N.A.")</f>
        <v>0</v>
      </c>
      <c r="AB126" s="6" t="str">
        <f>Tab_Data_Flows[[#This Row],[UoM_Flow_Py]]</f>
        <v>Mg</v>
      </c>
      <c r="AC126" s="135">
        <f>INDEX(Tab_Def_Flows[[Flow_ID]:[CC_DM_source]],MATCH(Tab_Data_Flows[[#This Row],[Flow_Name]],Tab_Def_Flows[Flow_Name],0),17)</f>
        <v>0</v>
      </c>
      <c r="AD126" s="6" t="str">
        <f>Tab_Data_Flows[[#This Row],[Flow_ID]]&amp;"_"&amp;"CC_"&amp;Tab_Data_Flows[[#This Row],[Flow_Data_Year]]</f>
        <v>F_01_14_CC_2045</v>
      </c>
      <c r="AE126" s="6">
        <f>IF(F126="Yes",AC126*Tab_Data_Flows[[#This Row],[Flow_Material]]*Tab_Data_Flows[[#This Row],[DM_'[%']]],"N.A.")</f>
        <v>0</v>
      </c>
      <c r="AF126" s="6" t="str">
        <f>Tab_Data_Flows[[#This Row],[UoM_Flow_Py]]</f>
        <v>Mg</v>
      </c>
      <c r="AG126"/>
    </row>
    <row r="127" spans="1:33" x14ac:dyDescent="0.25">
      <c r="A127" s="8">
        <f t="shared" si="3"/>
        <v>126</v>
      </c>
      <c r="B127" s="6" t="str">
        <f>_xlfn.XLOOKUP(C127,Tab_Def_Flows[Flow_Name],Tab_Def_Flows[Flow_ID],,0,)</f>
        <v>F_01_14</v>
      </c>
      <c r="C127" s="134" t="s">
        <v>1114</v>
      </c>
      <c r="D127" s="9" t="str">
        <f>_xlfn.XLOOKUP(C127,Tab_Def_Flows[Flow_Name],Tab_Def_Flows[WC?],,0,)</f>
        <v>Yes</v>
      </c>
      <c r="E127" s="9" t="str">
        <f>_xlfn.XLOOKUP(C127,Tab_Def_Flows[Flow_Name],Tab_Def_Flows[DM?],,0,)</f>
        <v>Yes</v>
      </c>
      <c r="F127" s="9" t="str">
        <f>_xlfn.XLOOKUP(C127,Tab_Def_Flows[Flow_Name],Tab_Def_Flows[CC?],,0,)</f>
        <v>Yes</v>
      </c>
      <c r="G127" s="186">
        <v>2046</v>
      </c>
      <c r="H127" s="187">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5">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5">
        <f>INDEX(Tab_Def_Flows[[Flow_ID]:[CC_DM_source]],MATCH(Tab_Data_Flows[[#This Row],[Flow_Name]],Tab_Def_Flows[Flow_Name],0),14)</f>
        <v>0</v>
      </c>
      <c r="Z127" s="6" t="str">
        <f>Tab_Data_Flows[[#This Row],[Flow_ID]]&amp;"_"&amp;"DM_"&amp;Tab_Data_Flows[[#This Row],[Flow_Data_Year]]</f>
        <v>F_01_14_DM_2046</v>
      </c>
      <c r="AA127" s="6">
        <f>IF(E127="Yes",Y127*Tab_Data_Flows[[#This Row],[Flow_Material]],"N.A.")</f>
        <v>0</v>
      </c>
      <c r="AB127" s="6" t="str">
        <f>Tab_Data_Flows[[#This Row],[UoM_Flow_Py]]</f>
        <v>Mg</v>
      </c>
      <c r="AC127" s="135">
        <f>INDEX(Tab_Def_Flows[[Flow_ID]:[CC_DM_source]],MATCH(Tab_Data_Flows[[#This Row],[Flow_Name]],Tab_Def_Flows[Flow_Name],0),17)</f>
        <v>0</v>
      </c>
      <c r="AD127" s="6" t="str">
        <f>Tab_Data_Flows[[#This Row],[Flow_ID]]&amp;"_"&amp;"CC_"&amp;Tab_Data_Flows[[#This Row],[Flow_Data_Year]]</f>
        <v>F_01_14_CC_2046</v>
      </c>
      <c r="AE127" s="6">
        <f>IF(F127="Yes",AC127*Tab_Data_Flows[[#This Row],[Flow_Material]]*Tab_Data_Flows[[#This Row],[DM_'[%']]],"N.A.")</f>
        <v>0</v>
      </c>
      <c r="AF127" s="6" t="str">
        <f>Tab_Data_Flows[[#This Row],[UoM_Flow_Py]]</f>
        <v>Mg</v>
      </c>
      <c r="AG127"/>
    </row>
    <row r="128" spans="1:33" x14ac:dyDescent="0.25">
      <c r="A128" s="8">
        <f t="shared" si="3"/>
        <v>127</v>
      </c>
      <c r="B128" s="6" t="str">
        <f>_xlfn.XLOOKUP(C128,Tab_Def_Flows[Flow_Name],Tab_Def_Flows[Flow_ID],,0,)</f>
        <v>F_01_14</v>
      </c>
      <c r="C128" s="134" t="s">
        <v>1114</v>
      </c>
      <c r="D128" s="9" t="str">
        <f>_xlfn.XLOOKUP(C128,Tab_Def_Flows[Flow_Name],Tab_Def_Flows[WC?],,0,)</f>
        <v>Yes</v>
      </c>
      <c r="E128" s="9" t="str">
        <f>_xlfn.XLOOKUP(C128,Tab_Def_Flows[Flow_Name],Tab_Def_Flows[DM?],,0,)</f>
        <v>Yes</v>
      </c>
      <c r="F128" s="9" t="str">
        <f>_xlfn.XLOOKUP(C128,Tab_Def_Flows[Flow_Name],Tab_Def_Flows[CC?],,0,)</f>
        <v>Yes</v>
      </c>
      <c r="G128" s="186">
        <v>2047</v>
      </c>
      <c r="H128" s="187">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5">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5">
        <f>INDEX(Tab_Def_Flows[[Flow_ID]:[CC_DM_source]],MATCH(Tab_Data_Flows[[#This Row],[Flow_Name]],Tab_Def_Flows[Flow_Name],0),14)</f>
        <v>0</v>
      </c>
      <c r="Z128" s="6" t="str">
        <f>Tab_Data_Flows[[#This Row],[Flow_ID]]&amp;"_"&amp;"DM_"&amp;Tab_Data_Flows[[#This Row],[Flow_Data_Year]]</f>
        <v>F_01_14_DM_2047</v>
      </c>
      <c r="AA128" s="6">
        <f>IF(E128="Yes",Y128*Tab_Data_Flows[[#This Row],[Flow_Material]],"N.A.")</f>
        <v>0</v>
      </c>
      <c r="AB128" s="6" t="str">
        <f>Tab_Data_Flows[[#This Row],[UoM_Flow_Py]]</f>
        <v>Mg</v>
      </c>
      <c r="AC128" s="135">
        <f>INDEX(Tab_Def_Flows[[Flow_ID]:[CC_DM_source]],MATCH(Tab_Data_Flows[[#This Row],[Flow_Name]],Tab_Def_Flows[Flow_Name],0),17)</f>
        <v>0</v>
      </c>
      <c r="AD128" s="6" t="str">
        <f>Tab_Data_Flows[[#This Row],[Flow_ID]]&amp;"_"&amp;"CC_"&amp;Tab_Data_Flows[[#This Row],[Flow_Data_Year]]</f>
        <v>F_01_14_CC_2047</v>
      </c>
      <c r="AE128" s="6">
        <f>IF(F128="Yes",AC128*Tab_Data_Flows[[#This Row],[Flow_Material]]*Tab_Data_Flows[[#This Row],[DM_'[%']]],"N.A.")</f>
        <v>0</v>
      </c>
      <c r="AF128" s="6" t="str">
        <f>Tab_Data_Flows[[#This Row],[UoM_Flow_Py]]</f>
        <v>Mg</v>
      </c>
      <c r="AG128"/>
    </row>
    <row r="129" spans="1:33" x14ac:dyDescent="0.25">
      <c r="A129" s="8">
        <f t="shared" si="3"/>
        <v>128</v>
      </c>
      <c r="B129" s="6" t="str">
        <f>_xlfn.XLOOKUP(C129,Tab_Def_Flows[Flow_Name],Tab_Def_Flows[Flow_ID],,0,)</f>
        <v>F_01_14</v>
      </c>
      <c r="C129" s="134" t="s">
        <v>1114</v>
      </c>
      <c r="D129" s="9" t="str">
        <f>_xlfn.XLOOKUP(C129,Tab_Def_Flows[Flow_Name],Tab_Def_Flows[WC?],,0,)</f>
        <v>Yes</v>
      </c>
      <c r="E129" s="9" t="str">
        <f>_xlfn.XLOOKUP(C129,Tab_Def_Flows[Flow_Name],Tab_Def_Flows[DM?],,0,)</f>
        <v>Yes</v>
      </c>
      <c r="F129" s="9" t="str">
        <f>_xlfn.XLOOKUP(C129,Tab_Def_Flows[Flow_Name],Tab_Def_Flows[CC?],,0,)</f>
        <v>Yes</v>
      </c>
      <c r="G129" s="186">
        <v>2048</v>
      </c>
      <c r="H129" s="187">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5">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5">
        <f>INDEX(Tab_Def_Flows[[Flow_ID]:[CC_DM_source]],MATCH(Tab_Data_Flows[[#This Row],[Flow_Name]],Tab_Def_Flows[Flow_Name],0),14)</f>
        <v>0</v>
      </c>
      <c r="Z129" s="6" t="str">
        <f>Tab_Data_Flows[[#This Row],[Flow_ID]]&amp;"_"&amp;"DM_"&amp;Tab_Data_Flows[[#This Row],[Flow_Data_Year]]</f>
        <v>F_01_14_DM_2048</v>
      </c>
      <c r="AA129" s="6">
        <f>IF(E129="Yes",Y129*Tab_Data_Flows[[#This Row],[Flow_Material]],"N.A.")</f>
        <v>0</v>
      </c>
      <c r="AB129" s="6" t="str">
        <f>Tab_Data_Flows[[#This Row],[UoM_Flow_Py]]</f>
        <v>Mg</v>
      </c>
      <c r="AC129" s="135">
        <f>INDEX(Tab_Def_Flows[[Flow_ID]:[CC_DM_source]],MATCH(Tab_Data_Flows[[#This Row],[Flow_Name]],Tab_Def_Flows[Flow_Name],0),17)</f>
        <v>0</v>
      </c>
      <c r="AD129" s="6" t="str">
        <f>Tab_Data_Flows[[#This Row],[Flow_ID]]&amp;"_"&amp;"CC_"&amp;Tab_Data_Flows[[#This Row],[Flow_Data_Year]]</f>
        <v>F_01_14_CC_2048</v>
      </c>
      <c r="AE129" s="6">
        <f>IF(F129="Yes",AC129*Tab_Data_Flows[[#This Row],[Flow_Material]]*Tab_Data_Flows[[#This Row],[DM_'[%']]],"N.A.")</f>
        <v>0</v>
      </c>
      <c r="AF129" s="6" t="str">
        <f>Tab_Data_Flows[[#This Row],[UoM_Flow_Py]]</f>
        <v>Mg</v>
      </c>
      <c r="AG129"/>
    </row>
    <row r="130" spans="1:33" x14ac:dyDescent="0.25">
      <c r="A130" s="8">
        <f t="shared" si="3"/>
        <v>129</v>
      </c>
      <c r="B130" s="6" t="str">
        <f>_xlfn.XLOOKUP(C130,Tab_Def_Flows[Flow_Name],Tab_Def_Flows[Flow_ID],,0,)</f>
        <v>F_01_14</v>
      </c>
      <c r="C130" s="134" t="s">
        <v>1114</v>
      </c>
      <c r="D130" s="9" t="str">
        <f>_xlfn.XLOOKUP(C130,Tab_Def_Flows[Flow_Name],Tab_Def_Flows[WC?],,0,)</f>
        <v>Yes</v>
      </c>
      <c r="E130" s="9" t="str">
        <f>_xlfn.XLOOKUP(C130,Tab_Def_Flows[Flow_Name],Tab_Def_Flows[DM?],,0,)</f>
        <v>Yes</v>
      </c>
      <c r="F130" s="9" t="str">
        <f>_xlfn.XLOOKUP(C130,Tab_Def_Flows[Flow_Name],Tab_Def_Flows[CC?],,0,)</f>
        <v>Yes</v>
      </c>
      <c r="G130" s="186">
        <v>2049</v>
      </c>
      <c r="H130" s="187">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5">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5">
        <f>INDEX(Tab_Def_Flows[[Flow_ID]:[CC_DM_source]],MATCH(Tab_Data_Flows[[#This Row],[Flow_Name]],Tab_Def_Flows[Flow_Name],0),14)</f>
        <v>0</v>
      </c>
      <c r="Z130" s="6" t="str">
        <f>Tab_Data_Flows[[#This Row],[Flow_ID]]&amp;"_"&amp;"DM_"&amp;Tab_Data_Flows[[#This Row],[Flow_Data_Year]]</f>
        <v>F_01_14_DM_2049</v>
      </c>
      <c r="AA130" s="6">
        <f>IF(E130="Yes",Y130*Tab_Data_Flows[[#This Row],[Flow_Material]],"N.A.")</f>
        <v>0</v>
      </c>
      <c r="AB130" s="6" t="str">
        <f>Tab_Data_Flows[[#This Row],[UoM_Flow_Py]]</f>
        <v>Mg</v>
      </c>
      <c r="AC130" s="135">
        <f>INDEX(Tab_Def_Flows[[Flow_ID]:[CC_DM_source]],MATCH(Tab_Data_Flows[[#This Row],[Flow_Name]],Tab_Def_Flows[Flow_Name],0),17)</f>
        <v>0</v>
      </c>
      <c r="AD130" s="6" t="str">
        <f>Tab_Data_Flows[[#This Row],[Flow_ID]]&amp;"_"&amp;"CC_"&amp;Tab_Data_Flows[[#This Row],[Flow_Data_Year]]</f>
        <v>F_01_14_CC_2049</v>
      </c>
      <c r="AE130" s="6">
        <f>IF(F130="Yes",AC130*Tab_Data_Flows[[#This Row],[Flow_Material]]*Tab_Data_Flows[[#This Row],[DM_'[%']]],"N.A.")</f>
        <v>0</v>
      </c>
      <c r="AF130" s="6" t="str">
        <f>Tab_Data_Flows[[#This Row],[UoM_Flow_Py]]</f>
        <v>Mg</v>
      </c>
      <c r="AG130"/>
    </row>
    <row r="131" spans="1:33" x14ac:dyDescent="0.25">
      <c r="A131" s="8">
        <f t="shared" ref="A131:A194" si="5">ROW()-1</f>
        <v>130</v>
      </c>
      <c r="B131" s="6" t="str">
        <f>_xlfn.XLOOKUP(C131,Tab_Def_Flows[Flow_Name],Tab_Def_Flows[Flow_ID],,0,)</f>
        <v>F_01_14</v>
      </c>
      <c r="C131" s="134" t="s">
        <v>1114</v>
      </c>
      <c r="D131" s="9" t="str">
        <f>_xlfn.XLOOKUP(C131,Tab_Def_Flows[Flow_Name],Tab_Def_Flows[WC?],,0,)</f>
        <v>Yes</v>
      </c>
      <c r="E131" s="9" t="str">
        <f>_xlfn.XLOOKUP(C131,Tab_Def_Flows[Flow_Name],Tab_Def_Flows[DM?],,0,)</f>
        <v>Yes</v>
      </c>
      <c r="F131" s="9" t="str">
        <f>_xlfn.XLOOKUP(C131,Tab_Def_Flows[Flow_Name],Tab_Def_Flows[CC?],,0,)</f>
        <v>Yes</v>
      </c>
      <c r="G131" s="186">
        <v>2050</v>
      </c>
      <c r="H131" s="187">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5">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5">
        <f>INDEX(Tab_Def_Flows[[Flow_ID]:[CC_DM_source]],MATCH(Tab_Data_Flows[[#This Row],[Flow_Name]],Tab_Def_Flows[Flow_Name],0),14)</f>
        <v>0</v>
      </c>
      <c r="Z131" s="6" t="str">
        <f>Tab_Data_Flows[[#This Row],[Flow_ID]]&amp;"_"&amp;"DM_"&amp;Tab_Data_Flows[[#This Row],[Flow_Data_Year]]</f>
        <v>F_01_14_DM_2050</v>
      </c>
      <c r="AA131" s="6">
        <f>IF(E131="Yes",Y131*Tab_Data_Flows[[#This Row],[Flow_Material]],"N.A.")</f>
        <v>0</v>
      </c>
      <c r="AB131" s="6" t="str">
        <f>Tab_Data_Flows[[#This Row],[UoM_Flow_Py]]</f>
        <v>Mg</v>
      </c>
      <c r="AC131" s="135">
        <f>INDEX(Tab_Def_Flows[[Flow_ID]:[CC_DM_source]],MATCH(Tab_Data_Flows[[#This Row],[Flow_Name]],Tab_Def_Flows[Flow_Name],0),17)</f>
        <v>0</v>
      </c>
      <c r="AD131" s="6" t="str">
        <f>Tab_Data_Flows[[#This Row],[Flow_ID]]&amp;"_"&amp;"CC_"&amp;Tab_Data_Flows[[#This Row],[Flow_Data_Year]]</f>
        <v>F_01_14_CC_2050</v>
      </c>
      <c r="AE131" s="6">
        <f>IF(F131="Yes",AC131*Tab_Data_Flows[[#This Row],[Flow_Material]]*Tab_Data_Flows[[#This Row],[DM_'[%']]],"N.A.")</f>
        <v>0</v>
      </c>
      <c r="AF131" s="6" t="str">
        <f>Tab_Data_Flows[[#This Row],[UoM_Flow_Py]]</f>
        <v>Mg</v>
      </c>
      <c r="AG131"/>
    </row>
    <row r="132" spans="1:33" x14ac:dyDescent="0.25">
      <c r="A132" s="8">
        <f t="shared" si="5"/>
        <v>131</v>
      </c>
      <c r="B132" s="6" t="str">
        <f>_xlfn.XLOOKUP(C132,Tab_Def_Flows[Flow_Name],Tab_Def_Flows[Flow_ID],,0,)</f>
        <v>F_00_14</v>
      </c>
      <c r="C132" s="134" t="s">
        <v>1115</v>
      </c>
      <c r="D132" s="9" t="str">
        <f>_xlfn.XLOOKUP(C132,Tab_Def_Flows[Flow_Name],Tab_Def_Flows[WC?],,0,)</f>
        <v>Yes</v>
      </c>
      <c r="E132" s="9" t="str">
        <f>_xlfn.XLOOKUP(C132,Tab_Def_Flows[Flow_Name],Tab_Def_Flows[DM?],,0,)</f>
        <v>Yes</v>
      </c>
      <c r="F132" s="9" t="str">
        <f>_xlfn.XLOOKUP(C132,Tab_Def_Flows[Flow_Name],Tab_Def_Flows[CC?],,0,)</f>
        <v>Yes</v>
      </c>
      <c r="G132" s="186">
        <v>2025</v>
      </c>
      <c r="H132" s="187">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5">
        <f>INDEX(Tab_Def_Flows[[Flow_ID]:[CC_DM_source]],MATCH(Tab_Data_Flows[[#This Row],[Flow_Name]],Tab_Def_Flows[Flow_Name],0),11)</f>
        <v>0</v>
      </c>
      <c r="V132" s="6" t="str">
        <f>Tab_Data_Flows[[#This Row],[Flow_ID]]&amp;"_"&amp;"WC_"&amp;Tab_Data_Flows[[#This Row],[Flow_Data_Year]]</f>
        <v>F_00_14_WC_2025</v>
      </c>
      <c r="W132" s="6">
        <f>IF(D132="Yes",S132*Tab_Data_Flows[[#This Row],[WC_'[%']]],"N.A.")</f>
        <v>0</v>
      </c>
      <c r="X132" s="6" t="str">
        <f>Tab_Data_Flows[[#This Row],[UoM_Flow_Py]]</f>
        <v>Mg</v>
      </c>
      <c r="Y132" s="135">
        <f>INDEX(Tab_Def_Flows[[Flow_ID]:[CC_DM_source]],MATCH(Tab_Data_Flows[[#This Row],[Flow_Name]],Tab_Def_Flows[Flow_Name],0),14)</f>
        <v>0</v>
      </c>
      <c r="Z132" s="6" t="str">
        <f>Tab_Data_Flows[[#This Row],[Flow_ID]]&amp;"_"&amp;"DM_"&amp;Tab_Data_Flows[[#This Row],[Flow_Data_Year]]</f>
        <v>F_00_14_DM_2025</v>
      </c>
      <c r="AA132" s="6">
        <f>IF(E132="Yes",Y132*Tab_Data_Flows[[#This Row],[Flow_Material]],"N.A.")</f>
        <v>0</v>
      </c>
      <c r="AB132" s="6" t="str">
        <f>Tab_Data_Flows[[#This Row],[UoM_Flow_Py]]</f>
        <v>Mg</v>
      </c>
      <c r="AC132" s="135">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4" t="s">
        <v>1115</v>
      </c>
      <c r="D133" s="9" t="str">
        <f>_xlfn.XLOOKUP(C133,Tab_Def_Flows[Flow_Name],Tab_Def_Flows[WC?],,0,)</f>
        <v>Yes</v>
      </c>
      <c r="E133" s="9" t="str">
        <f>_xlfn.XLOOKUP(C133,Tab_Def_Flows[Flow_Name],Tab_Def_Flows[DM?],,0,)</f>
        <v>Yes</v>
      </c>
      <c r="F133" s="9" t="str">
        <f>_xlfn.XLOOKUP(C133,Tab_Def_Flows[Flow_Name],Tab_Def_Flows[CC?],,0,)</f>
        <v>Yes</v>
      </c>
      <c r="G133" s="186">
        <v>2026</v>
      </c>
      <c r="H133" s="187">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5">
        <f>INDEX(Tab_Def_Flows[[Flow_ID]:[CC_DM_source]],MATCH(Tab_Data_Flows[[#This Row],[Flow_Name]],Tab_Def_Flows[Flow_Name],0),11)</f>
        <v>0</v>
      </c>
      <c r="V133" s="6" t="str">
        <f>Tab_Data_Flows[[#This Row],[Flow_ID]]&amp;"_"&amp;"WC_"&amp;Tab_Data_Flows[[#This Row],[Flow_Data_Year]]</f>
        <v>F_00_14_WC_2026</v>
      </c>
      <c r="W133" s="6">
        <f>IF(D133="Yes",S133*Tab_Data_Flows[[#This Row],[WC_'[%']]],"N.A.")</f>
        <v>0</v>
      </c>
      <c r="X133" s="6" t="str">
        <f>Tab_Data_Flows[[#This Row],[UoM_Flow_Py]]</f>
        <v>Mg</v>
      </c>
      <c r="Y133" s="135">
        <f>INDEX(Tab_Def_Flows[[Flow_ID]:[CC_DM_source]],MATCH(Tab_Data_Flows[[#This Row],[Flow_Name]],Tab_Def_Flows[Flow_Name],0),14)</f>
        <v>0</v>
      </c>
      <c r="Z133" s="6" t="str">
        <f>Tab_Data_Flows[[#This Row],[Flow_ID]]&amp;"_"&amp;"DM_"&amp;Tab_Data_Flows[[#This Row],[Flow_Data_Year]]</f>
        <v>F_00_14_DM_2026</v>
      </c>
      <c r="AA133" s="6">
        <f>IF(E133="Yes",Y133*Tab_Data_Flows[[#This Row],[Flow_Material]],"N.A.")</f>
        <v>0</v>
      </c>
      <c r="AB133" s="6" t="str">
        <f>Tab_Data_Flows[[#This Row],[UoM_Flow_Py]]</f>
        <v>Mg</v>
      </c>
      <c r="AC133" s="135">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4" t="s">
        <v>1115</v>
      </c>
      <c r="D134" s="9" t="str">
        <f>_xlfn.XLOOKUP(C134,Tab_Def_Flows[Flow_Name],Tab_Def_Flows[WC?],,0,)</f>
        <v>Yes</v>
      </c>
      <c r="E134" s="9" t="str">
        <f>_xlfn.XLOOKUP(C134,Tab_Def_Flows[Flow_Name],Tab_Def_Flows[DM?],,0,)</f>
        <v>Yes</v>
      </c>
      <c r="F134" s="9" t="str">
        <f>_xlfn.XLOOKUP(C134,Tab_Def_Flows[Flow_Name],Tab_Def_Flows[CC?],,0,)</f>
        <v>Yes</v>
      </c>
      <c r="G134" s="186">
        <v>2027</v>
      </c>
      <c r="H134" s="187">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5">
        <f>INDEX(Tab_Def_Flows[[Flow_ID]:[CC_DM_source]],MATCH(Tab_Data_Flows[[#This Row],[Flow_Name]],Tab_Def_Flows[Flow_Name],0),11)</f>
        <v>0</v>
      </c>
      <c r="V134" s="6" t="str">
        <f>Tab_Data_Flows[[#This Row],[Flow_ID]]&amp;"_"&amp;"WC_"&amp;Tab_Data_Flows[[#This Row],[Flow_Data_Year]]</f>
        <v>F_00_14_WC_2027</v>
      </c>
      <c r="W134" s="6">
        <f>IF(D134="Yes",S134*Tab_Data_Flows[[#This Row],[WC_'[%']]],"N.A.")</f>
        <v>0</v>
      </c>
      <c r="X134" s="6" t="str">
        <f>Tab_Data_Flows[[#This Row],[UoM_Flow_Py]]</f>
        <v>Mg</v>
      </c>
      <c r="Y134" s="135">
        <f>INDEX(Tab_Def_Flows[[Flow_ID]:[CC_DM_source]],MATCH(Tab_Data_Flows[[#This Row],[Flow_Name]],Tab_Def_Flows[Flow_Name],0),14)</f>
        <v>0</v>
      </c>
      <c r="Z134" s="6" t="str">
        <f>Tab_Data_Flows[[#This Row],[Flow_ID]]&amp;"_"&amp;"DM_"&amp;Tab_Data_Flows[[#This Row],[Flow_Data_Year]]</f>
        <v>F_00_14_DM_2027</v>
      </c>
      <c r="AA134" s="6">
        <f>IF(E134="Yes",Y134*Tab_Data_Flows[[#This Row],[Flow_Material]],"N.A.")</f>
        <v>0</v>
      </c>
      <c r="AB134" s="6" t="str">
        <f>Tab_Data_Flows[[#This Row],[UoM_Flow_Py]]</f>
        <v>Mg</v>
      </c>
      <c r="AC134" s="135">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4" t="s">
        <v>1115</v>
      </c>
      <c r="D135" s="9" t="str">
        <f>_xlfn.XLOOKUP(C135,Tab_Def_Flows[Flow_Name],Tab_Def_Flows[WC?],,0,)</f>
        <v>Yes</v>
      </c>
      <c r="E135" s="9" t="str">
        <f>_xlfn.XLOOKUP(C135,Tab_Def_Flows[Flow_Name],Tab_Def_Flows[DM?],,0,)</f>
        <v>Yes</v>
      </c>
      <c r="F135" s="9" t="str">
        <f>_xlfn.XLOOKUP(C135,Tab_Def_Flows[Flow_Name],Tab_Def_Flows[CC?],,0,)</f>
        <v>Yes</v>
      </c>
      <c r="G135" s="186">
        <v>2028</v>
      </c>
      <c r="H135" s="187">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5">
        <f>INDEX(Tab_Def_Flows[[Flow_ID]:[CC_DM_source]],MATCH(Tab_Data_Flows[[#This Row],[Flow_Name]],Tab_Def_Flows[Flow_Name],0),11)</f>
        <v>0</v>
      </c>
      <c r="V135" s="6" t="str">
        <f>Tab_Data_Flows[[#This Row],[Flow_ID]]&amp;"_"&amp;"WC_"&amp;Tab_Data_Flows[[#This Row],[Flow_Data_Year]]</f>
        <v>F_00_14_WC_2028</v>
      </c>
      <c r="W135" s="6">
        <f>IF(D135="Yes",S135*Tab_Data_Flows[[#This Row],[WC_'[%']]],"N.A.")</f>
        <v>0</v>
      </c>
      <c r="X135" s="6" t="str">
        <f>Tab_Data_Flows[[#This Row],[UoM_Flow_Py]]</f>
        <v>Mg</v>
      </c>
      <c r="Y135" s="135">
        <f>INDEX(Tab_Def_Flows[[Flow_ID]:[CC_DM_source]],MATCH(Tab_Data_Flows[[#This Row],[Flow_Name]],Tab_Def_Flows[Flow_Name],0),14)</f>
        <v>0</v>
      </c>
      <c r="Z135" s="6" t="str">
        <f>Tab_Data_Flows[[#This Row],[Flow_ID]]&amp;"_"&amp;"DM_"&amp;Tab_Data_Flows[[#This Row],[Flow_Data_Year]]</f>
        <v>F_00_14_DM_2028</v>
      </c>
      <c r="AA135" s="6">
        <f>IF(E135="Yes",Y135*Tab_Data_Flows[[#This Row],[Flow_Material]],"N.A.")</f>
        <v>0</v>
      </c>
      <c r="AB135" s="6" t="str">
        <f>Tab_Data_Flows[[#This Row],[UoM_Flow_Py]]</f>
        <v>Mg</v>
      </c>
      <c r="AC135" s="135">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4" t="s">
        <v>1115</v>
      </c>
      <c r="D136" s="9" t="str">
        <f>_xlfn.XLOOKUP(C136,Tab_Def_Flows[Flow_Name],Tab_Def_Flows[WC?],,0,)</f>
        <v>Yes</v>
      </c>
      <c r="E136" s="9" t="str">
        <f>_xlfn.XLOOKUP(C136,Tab_Def_Flows[Flow_Name],Tab_Def_Flows[DM?],,0,)</f>
        <v>Yes</v>
      </c>
      <c r="F136" s="9" t="str">
        <f>_xlfn.XLOOKUP(C136,Tab_Def_Flows[Flow_Name],Tab_Def_Flows[CC?],,0,)</f>
        <v>Yes</v>
      </c>
      <c r="G136" s="186">
        <v>2029</v>
      </c>
      <c r="H136" s="187">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5">
        <f>INDEX(Tab_Def_Flows[[Flow_ID]:[CC_DM_source]],MATCH(Tab_Data_Flows[[#This Row],[Flow_Name]],Tab_Def_Flows[Flow_Name],0),11)</f>
        <v>0</v>
      </c>
      <c r="V136" s="6" t="str">
        <f>Tab_Data_Flows[[#This Row],[Flow_ID]]&amp;"_"&amp;"WC_"&amp;Tab_Data_Flows[[#This Row],[Flow_Data_Year]]</f>
        <v>F_00_14_WC_2029</v>
      </c>
      <c r="W136" s="6">
        <f>IF(D136="Yes",S136*Tab_Data_Flows[[#This Row],[WC_'[%']]],"N.A.")</f>
        <v>0</v>
      </c>
      <c r="X136" s="6" t="str">
        <f>Tab_Data_Flows[[#This Row],[UoM_Flow_Py]]</f>
        <v>Mg</v>
      </c>
      <c r="Y136" s="135">
        <f>INDEX(Tab_Def_Flows[[Flow_ID]:[CC_DM_source]],MATCH(Tab_Data_Flows[[#This Row],[Flow_Name]],Tab_Def_Flows[Flow_Name],0),14)</f>
        <v>0</v>
      </c>
      <c r="Z136" s="6" t="str">
        <f>Tab_Data_Flows[[#This Row],[Flow_ID]]&amp;"_"&amp;"DM_"&amp;Tab_Data_Flows[[#This Row],[Flow_Data_Year]]</f>
        <v>F_00_14_DM_2029</v>
      </c>
      <c r="AA136" s="6">
        <f>IF(E136="Yes",Y136*Tab_Data_Flows[[#This Row],[Flow_Material]],"N.A.")</f>
        <v>0</v>
      </c>
      <c r="AB136" s="6" t="str">
        <f>Tab_Data_Flows[[#This Row],[UoM_Flow_Py]]</f>
        <v>Mg</v>
      </c>
      <c r="AC136" s="135">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4" t="s">
        <v>1115</v>
      </c>
      <c r="D137" s="9" t="str">
        <f>_xlfn.XLOOKUP(C137,Tab_Def_Flows[Flow_Name],Tab_Def_Flows[WC?],,0,)</f>
        <v>Yes</v>
      </c>
      <c r="E137" s="9" t="str">
        <f>_xlfn.XLOOKUP(C137,Tab_Def_Flows[Flow_Name],Tab_Def_Flows[DM?],,0,)</f>
        <v>Yes</v>
      </c>
      <c r="F137" s="9" t="str">
        <f>_xlfn.XLOOKUP(C137,Tab_Def_Flows[Flow_Name],Tab_Def_Flows[CC?],,0,)</f>
        <v>Yes</v>
      </c>
      <c r="G137" s="186">
        <v>2030</v>
      </c>
      <c r="H137" s="187">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5">
        <f>INDEX(Tab_Def_Flows[[Flow_ID]:[CC_DM_source]],MATCH(Tab_Data_Flows[[#This Row],[Flow_Name]],Tab_Def_Flows[Flow_Name],0),11)</f>
        <v>0</v>
      </c>
      <c r="V137" s="6" t="str">
        <f>Tab_Data_Flows[[#This Row],[Flow_ID]]&amp;"_"&amp;"WC_"&amp;Tab_Data_Flows[[#This Row],[Flow_Data_Year]]</f>
        <v>F_00_14_WC_2030</v>
      </c>
      <c r="W137" s="6">
        <f>IF(D137="Yes",S137*Tab_Data_Flows[[#This Row],[WC_'[%']]],"N.A.")</f>
        <v>0</v>
      </c>
      <c r="X137" s="6" t="str">
        <f>Tab_Data_Flows[[#This Row],[UoM_Flow_Py]]</f>
        <v>Mg</v>
      </c>
      <c r="Y137" s="135">
        <f>INDEX(Tab_Def_Flows[[Flow_ID]:[CC_DM_source]],MATCH(Tab_Data_Flows[[#This Row],[Flow_Name]],Tab_Def_Flows[Flow_Name],0),14)</f>
        <v>0</v>
      </c>
      <c r="Z137" s="6" t="str">
        <f>Tab_Data_Flows[[#This Row],[Flow_ID]]&amp;"_"&amp;"DM_"&amp;Tab_Data_Flows[[#This Row],[Flow_Data_Year]]</f>
        <v>F_00_14_DM_2030</v>
      </c>
      <c r="AA137" s="6">
        <f>IF(E137="Yes",Y137*Tab_Data_Flows[[#This Row],[Flow_Material]],"N.A.")</f>
        <v>0</v>
      </c>
      <c r="AB137" s="6" t="str">
        <f>Tab_Data_Flows[[#This Row],[UoM_Flow_Py]]</f>
        <v>Mg</v>
      </c>
      <c r="AC137" s="135">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4" t="s">
        <v>1115</v>
      </c>
      <c r="D138" s="9" t="str">
        <f>_xlfn.XLOOKUP(C138,Tab_Def_Flows[Flow_Name],Tab_Def_Flows[WC?],,0,)</f>
        <v>Yes</v>
      </c>
      <c r="E138" s="9" t="str">
        <f>_xlfn.XLOOKUP(C138,Tab_Def_Flows[Flow_Name],Tab_Def_Flows[DM?],,0,)</f>
        <v>Yes</v>
      </c>
      <c r="F138" s="9" t="str">
        <f>_xlfn.XLOOKUP(C138,Tab_Def_Flows[Flow_Name],Tab_Def_Flows[CC?],,0,)</f>
        <v>Yes</v>
      </c>
      <c r="G138" s="186">
        <v>2031</v>
      </c>
      <c r="H138" s="187">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5">
        <f>INDEX(Tab_Def_Flows[[Flow_ID]:[CC_DM_source]],MATCH(Tab_Data_Flows[[#This Row],[Flow_Name]],Tab_Def_Flows[Flow_Name],0),11)</f>
        <v>0</v>
      </c>
      <c r="V138" s="6" t="str">
        <f>Tab_Data_Flows[[#This Row],[Flow_ID]]&amp;"_"&amp;"WC_"&amp;Tab_Data_Flows[[#This Row],[Flow_Data_Year]]</f>
        <v>F_00_14_WC_2031</v>
      </c>
      <c r="W138" s="6">
        <f>IF(D138="Yes",S138*Tab_Data_Flows[[#This Row],[WC_'[%']]],"N.A.")</f>
        <v>0</v>
      </c>
      <c r="X138" s="6" t="str">
        <f>Tab_Data_Flows[[#This Row],[UoM_Flow_Py]]</f>
        <v>Mg</v>
      </c>
      <c r="Y138" s="135">
        <f>INDEX(Tab_Def_Flows[[Flow_ID]:[CC_DM_source]],MATCH(Tab_Data_Flows[[#This Row],[Flow_Name]],Tab_Def_Flows[Flow_Name],0),14)</f>
        <v>0</v>
      </c>
      <c r="Z138" s="6" t="str">
        <f>Tab_Data_Flows[[#This Row],[Flow_ID]]&amp;"_"&amp;"DM_"&amp;Tab_Data_Flows[[#This Row],[Flow_Data_Year]]</f>
        <v>F_00_14_DM_2031</v>
      </c>
      <c r="AA138" s="6">
        <f>IF(E138="Yes",Y138*Tab_Data_Flows[[#This Row],[Flow_Material]],"N.A.")</f>
        <v>0</v>
      </c>
      <c r="AB138" s="6" t="str">
        <f>Tab_Data_Flows[[#This Row],[UoM_Flow_Py]]</f>
        <v>Mg</v>
      </c>
      <c r="AC138" s="135">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4" t="s">
        <v>1115</v>
      </c>
      <c r="D139" s="9" t="str">
        <f>_xlfn.XLOOKUP(C139,Tab_Def_Flows[Flow_Name],Tab_Def_Flows[WC?],,0,)</f>
        <v>Yes</v>
      </c>
      <c r="E139" s="9" t="str">
        <f>_xlfn.XLOOKUP(C139,Tab_Def_Flows[Flow_Name],Tab_Def_Flows[DM?],,0,)</f>
        <v>Yes</v>
      </c>
      <c r="F139" s="9" t="str">
        <f>_xlfn.XLOOKUP(C139,Tab_Def_Flows[Flow_Name],Tab_Def_Flows[CC?],,0,)</f>
        <v>Yes</v>
      </c>
      <c r="G139" s="186">
        <v>2032</v>
      </c>
      <c r="H139" s="187">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5">
        <f>INDEX(Tab_Def_Flows[[Flow_ID]:[CC_DM_source]],MATCH(Tab_Data_Flows[[#This Row],[Flow_Name]],Tab_Def_Flows[Flow_Name],0),11)</f>
        <v>0</v>
      </c>
      <c r="V139" s="6" t="str">
        <f>Tab_Data_Flows[[#This Row],[Flow_ID]]&amp;"_"&amp;"WC_"&amp;Tab_Data_Flows[[#This Row],[Flow_Data_Year]]</f>
        <v>F_00_14_WC_2032</v>
      </c>
      <c r="W139" s="6">
        <f>IF(D139="Yes",S139*Tab_Data_Flows[[#This Row],[WC_'[%']]],"N.A.")</f>
        <v>0</v>
      </c>
      <c r="X139" s="6" t="str">
        <f>Tab_Data_Flows[[#This Row],[UoM_Flow_Py]]</f>
        <v>Mg</v>
      </c>
      <c r="Y139" s="135">
        <f>INDEX(Tab_Def_Flows[[Flow_ID]:[CC_DM_source]],MATCH(Tab_Data_Flows[[#This Row],[Flow_Name]],Tab_Def_Flows[Flow_Name],0),14)</f>
        <v>0</v>
      </c>
      <c r="Z139" s="6" t="str">
        <f>Tab_Data_Flows[[#This Row],[Flow_ID]]&amp;"_"&amp;"DM_"&amp;Tab_Data_Flows[[#This Row],[Flow_Data_Year]]</f>
        <v>F_00_14_DM_2032</v>
      </c>
      <c r="AA139" s="6">
        <f>IF(E139="Yes",Y139*Tab_Data_Flows[[#This Row],[Flow_Material]],"N.A.")</f>
        <v>0</v>
      </c>
      <c r="AB139" s="6" t="str">
        <f>Tab_Data_Flows[[#This Row],[UoM_Flow_Py]]</f>
        <v>Mg</v>
      </c>
      <c r="AC139" s="135">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4" t="s">
        <v>1115</v>
      </c>
      <c r="D140" s="9" t="str">
        <f>_xlfn.XLOOKUP(C140,Tab_Def_Flows[Flow_Name],Tab_Def_Flows[WC?],,0,)</f>
        <v>Yes</v>
      </c>
      <c r="E140" s="9" t="str">
        <f>_xlfn.XLOOKUP(C140,Tab_Def_Flows[Flow_Name],Tab_Def_Flows[DM?],,0,)</f>
        <v>Yes</v>
      </c>
      <c r="F140" s="9" t="str">
        <f>_xlfn.XLOOKUP(C140,Tab_Def_Flows[Flow_Name],Tab_Def_Flows[CC?],,0,)</f>
        <v>Yes</v>
      </c>
      <c r="G140" s="186">
        <v>2033</v>
      </c>
      <c r="H140" s="187">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5">
        <f>INDEX(Tab_Def_Flows[[Flow_ID]:[CC_DM_source]],MATCH(Tab_Data_Flows[[#This Row],[Flow_Name]],Tab_Def_Flows[Flow_Name],0),11)</f>
        <v>0</v>
      </c>
      <c r="V140" s="6" t="str">
        <f>Tab_Data_Flows[[#This Row],[Flow_ID]]&amp;"_"&amp;"WC_"&amp;Tab_Data_Flows[[#This Row],[Flow_Data_Year]]</f>
        <v>F_00_14_WC_2033</v>
      </c>
      <c r="W140" s="6">
        <f>IF(D140="Yes",S140*Tab_Data_Flows[[#This Row],[WC_'[%']]],"N.A.")</f>
        <v>0</v>
      </c>
      <c r="X140" s="6" t="str">
        <f>Tab_Data_Flows[[#This Row],[UoM_Flow_Py]]</f>
        <v>Mg</v>
      </c>
      <c r="Y140" s="135">
        <f>INDEX(Tab_Def_Flows[[Flow_ID]:[CC_DM_source]],MATCH(Tab_Data_Flows[[#This Row],[Flow_Name]],Tab_Def_Flows[Flow_Name],0),14)</f>
        <v>0</v>
      </c>
      <c r="Z140" s="6" t="str">
        <f>Tab_Data_Flows[[#This Row],[Flow_ID]]&amp;"_"&amp;"DM_"&amp;Tab_Data_Flows[[#This Row],[Flow_Data_Year]]</f>
        <v>F_00_14_DM_2033</v>
      </c>
      <c r="AA140" s="6">
        <f>IF(E140="Yes",Y140*Tab_Data_Flows[[#This Row],[Flow_Material]],"N.A.")</f>
        <v>0</v>
      </c>
      <c r="AB140" s="6" t="str">
        <f>Tab_Data_Flows[[#This Row],[UoM_Flow_Py]]</f>
        <v>Mg</v>
      </c>
      <c r="AC140" s="135">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4" t="s">
        <v>1115</v>
      </c>
      <c r="D141" s="9" t="str">
        <f>_xlfn.XLOOKUP(C141,Tab_Def_Flows[Flow_Name],Tab_Def_Flows[WC?],,0,)</f>
        <v>Yes</v>
      </c>
      <c r="E141" s="9" t="str">
        <f>_xlfn.XLOOKUP(C141,Tab_Def_Flows[Flow_Name],Tab_Def_Flows[DM?],,0,)</f>
        <v>Yes</v>
      </c>
      <c r="F141" s="9" t="str">
        <f>_xlfn.XLOOKUP(C141,Tab_Def_Flows[Flow_Name],Tab_Def_Flows[CC?],,0,)</f>
        <v>Yes</v>
      </c>
      <c r="G141" s="186">
        <v>2034</v>
      </c>
      <c r="H141" s="187">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5">
        <f>INDEX(Tab_Def_Flows[[Flow_ID]:[CC_DM_source]],MATCH(Tab_Data_Flows[[#This Row],[Flow_Name]],Tab_Def_Flows[Flow_Name],0),11)</f>
        <v>0</v>
      </c>
      <c r="V141" s="6" t="str">
        <f>Tab_Data_Flows[[#This Row],[Flow_ID]]&amp;"_"&amp;"WC_"&amp;Tab_Data_Flows[[#This Row],[Flow_Data_Year]]</f>
        <v>F_00_14_WC_2034</v>
      </c>
      <c r="W141" s="6">
        <f>IF(D141="Yes",S141*Tab_Data_Flows[[#This Row],[WC_'[%']]],"N.A.")</f>
        <v>0</v>
      </c>
      <c r="X141" s="6" t="str">
        <f>Tab_Data_Flows[[#This Row],[UoM_Flow_Py]]</f>
        <v>Mg</v>
      </c>
      <c r="Y141" s="135">
        <f>INDEX(Tab_Def_Flows[[Flow_ID]:[CC_DM_source]],MATCH(Tab_Data_Flows[[#This Row],[Flow_Name]],Tab_Def_Flows[Flow_Name],0),14)</f>
        <v>0</v>
      </c>
      <c r="Z141" s="6" t="str">
        <f>Tab_Data_Flows[[#This Row],[Flow_ID]]&amp;"_"&amp;"DM_"&amp;Tab_Data_Flows[[#This Row],[Flow_Data_Year]]</f>
        <v>F_00_14_DM_2034</v>
      </c>
      <c r="AA141" s="6">
        <f>IF(E141="Yes",Y141*Tab_Data_Flows[[#This Row],[Flow_Material]],"N.A.")</f>
        <v>0</v>
      </c>
      <c r="AB141" s="6" t="str">
        <f>Tab_Data_Flows[[#This Row],[UoM_Flow_Py]]</f>
        <v>Mg</v>
      </c>
      <c r="AC141" s="135">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4" t="s">
        <v>1115</v>
      </c>
      <c r="D142" s="9" t="str">
        <f>_xlfn.XLOOKUP(C142,Tab_Def_Flows[Flow_Name],Tab_Def_Flows[WC?],,0,)</f>
        <v>Yes</v>
      </c>
      <c r="E142" s="9" t="str">
        <f>_xlfn.XLOOKUP(C142,Tab_Def_Flows[Flow_Name],Tab_Def_Flows[DM?],,0,)</f>
        <v>Yes</v>
      </c>
      <c r="F142" s="9" t="str">
        <f>_xlfn.XLOOKUP(C142,Tab_Def_Flows[Flow_Name],Tab_Def_Flows[CC?],,0,)</f>
        <v>Yes</v>
      </c>
      <c r="G142" s="186">
        <v>2035</v>
      </c>
      <c r="H142" s="187">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5">
        <f>INDEX(Tab_Def_Flows[[Flow_ID]:[CC_DM_source]],MATCH(Tab_Data_Flows[[#This Row],[Flow_Name]],Tab_Def_Flows[Flow_Name],0),11)</f>
        <v>0</v>
      </c>
      <c r="V142" s="6" t="str">
        <f>Tab_Data_Flows[[#This Row],[Flow_ID]]&amp;"_"&amp;"WC_"&amp;Tab_Data_Flows[[#This Row],[Flow_Data_Year]]</f>
        <v>F_00_14_WC_2035</v>
      </c>
      <c r="W142" s="6">
        <f>IF(D142="Yes",S142*Tab_Data_Flows[[#This Row],[WC_'[%']]],"N.A.")</f>
        <v>0</v>
      </c>
      <c r="X142" s="6" t="str">
        <f>Tab_Data_Flows[[#This Row],[UoM_Flow_Py]]</f>
        <v>Mg</v>
      </c>
      <c r="Y142" s="135">
        <f>INDEX(Tab_Def_Flows[[Flow_ID]:[CC_DM_source]],MATCH(Tab_Data_Flows[[#This Row],[Flow_Name]],Tab_Def_Flows[Flow_Name],0),14)</f>
        <v>0</v>
      </c>
      <c r="Z142" s="6" t="str">
        <f>Tab_Data_Flows[[#This Row],[Flow_ID]]&amp;"_"&amp;"DM_"&amp;Tab_Data_Flows[[#This Row],[Flow_Data_Year]]</f>
        <v>F_00_14_DM_2035</v>
      </c>
      <c r="AA142" s="6">
        <f>IF(E142="Yes",Y142*Tab_Data_Flows[[#This Row],[Flow_Material]],"N.A.")</f>
        <v>0</v>
      </c>
      <c r="AB142" s="6" t="str">
        <f>Tab_Data_Flows[[#This Row],[UoM_Flow_Py]]</f>
        <v>Mg</v>
      </c>
      <c r="AC142" s="135">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4" t="s">
        <v>1115</v>
      </c>
      <c r="D143" s="9" t="str">
        <f>_xlfn.XLOOKUP(C143,Tab_Def_Flows[Flow_Name],Tab_Def_Flows[WC?],,0,)</f>
        <v>Yes</v>
      </c>
      <c r="E143" s="9" t="str">
        <f>_xlfn.XLOOKUP(C143,Tab_Def_Flows[Flow_Name],Tab_Def_Flows[DM?],,0,)</f>
        <v>Yes</v>
      </c>
      <c r="F143" s="9" t="str">
        <f>_xlfn.XLOOKUP(C143,Tab_Def_Flows[Flow_Name],Tab_Def_Flows[CC?],,0,)</f>
        <v>Yes</v>
      </c>
      <c r="G143" s="186">
        <v>2036</v>
      </c>
      <c r="H143" s="187">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5">
        <f>INDEX(Tab_Def_Flows[[Flow_ID]:[CC_DM_source]],MATCH(Tab_Data_Flows[[#This Row],[Flow_Name]],Tab_Def_Flows[Flow_Name],0),11)</f>
        <v>0</v>
      </c>
      <c r="V143" s="6" t="str">
        <f>Tab_Data_Flows[[#This Row],[Flow_ID]]&amp;"_"&amp;"WC_"&amp;Tab_Data_Flows[[#This Row],[Flow_Data_Year]]</f>
        <v>F_00_14_WC_2036</v>
      </c>
      <c r="W143" s="6">
        <f>IF(D143="Yes",S143*Tab_Data_Flows[[#This Row],[WC_'[%']]],"N.A.")</f>
        <v>0</v>
      </c>
      <c r="X143" s="6" t="str">
        <f>Tab_Data_Flows[[#This Row],[UoM_Flow_Py]]</f>
        <v>Mg</v>
      </c>
      <c r="Y143" s="135">
        <f>INDEX(Tab_Def_Flows[[Flow_ID]:[CC_DM_source]],MATCH(Tab_Data_Flows[[#This Row],[Flow_Name]],Tab_Def_Flows[Flow_Name],0),14)</f>
        <v>0</v>
      </c>
      <c r="Z143" s="6" t="str">
        <f>Tab_Data_Flows[[#This Row],[Flow_ID]]&amp;"_"&amp;"DM_"&amp;Tab_Data_Flows[[#This Row],[Flow_Data_Year]]</f>
        <v>F_00_14_DM_2036</v>
      </c>
      <c r="AA143" s="6">
        <f>IF(E143="Yes",Y143*Tab_Data_Flows[[#This Row],[Flow_Material]],"N.A.")</f>
        <v>0</v>
      </c>
      <c r="AB143" s="6" t="str">
        <f>Tab_Data_Flows[[#This Row],[UoM_Flow_Py]]</f>
        <v>Mg</v>
      </c>
      <c r="AC143" s="135">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4" t="s">
        <v>1115</v>
      </c>
      <c r="D144" s="9" t="str">
        <f>_xlfn.XLOOKUP(C144,Tab_Def_Flows[Flow_Name],Tab_Def_Flows[WC?],,0,)</f>
        <v>Yes</v>
      </c>
      <c r="E144" s="9" t="str">
        <f>_xlfn.XLOOKUP(C144,Tab_Def_Flows[Flow_Name],Tab_Def_Flows[DM?],,0,)</f>
        <v>Yes</v>
      </c>
      <c r="F144" s="9" t="str">
        <f>_xlfn.XLOOKUP(C144,Tab_Def_Flows[Flow_Name],Tab_Def_Flows[CC?],,0,)</f>
        <v>Yes</v>
      </c>
      <c r="G144" s="186">
        <v>2037</v>
      </c>
      <c r="H144" s="187">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5">
        <f>INDEX(Tab_Def_Flows[[Flow_ID]:[CC_DM_source]],MATCH(Tab_Data_Flows[[#This Row],[Flow_Name]],Tab_Def_Flows[Flow_Name],0),11)</f>
        <v>0</v>
      </c>
      <c r="V144" s="6" t="str">
        <f>Tab_Data_Flows[[#This Row],[Flow_ID]]&amp;"_"&amp;"WC_"&amp;Tab_Data_Flows[[#This Row],[Flow_Data_Year]]</f>
        <v>F_00_14_WC_2037</v>
      </c>
      <c r="W144" s="6">
        <f>IF(D144="Yes",S144*Tab_Data_Flows[[#This Row],[WC_'[%']]],"N.A.")</f>
        <v>0</v>
      </c>
      <c r="X144" s="6" t="str">
        <f>Tab_Data_Flows[[#This Row],[UoM_Flow_Py]]</f>
        <v>Mg</v>
      </c>
      <c r="Y144" s="135">
        <f>INDEX(Tab_Def_Flows[[Flow_ID]:[CC_DM_source]],MATCH(Tab_Data_Flows[[#This Row],[Flow_Name]],Tab_Def_Flows[Flow_Name],0),14)</f>
        <v>0</v>
      </c>
      <c r="Z144" s="6" t="str">
        <f>Tab_Data_Flows[[#This Row],[Flow_ID]]&amp;"_"&amp;"DM_"&amp;Tab_Data_Flows[[#This Row],[Flow_Data_Year]]</f>
        <v>F_00_14_DM_2037</v>
      </c>
      <c r="AA144" s="6">
        <f>IF(E144="Yes",Y144*Tab_Data_Flows[[#This Row],[Flow_Material]],"N.A.")</f>
        <v>0</v>
      </c>
      <c r="AB144" s="6" t="str">
        <f>Tab_Data_Flows[[#This Row],[UoM_Flow_Py]]</f>
        <v>Mg</v>
      </c>
      <c r="AC144" s="135">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4" t="s">
        <v>1115</v>
      </c>
      <c r="D145" s="9" t="str">
        <f>_xlfn.XLOOKUP(C145,Tab_Def_Flows[Flow_Name],Tab_Def_Flows[WC?],,0,)</f>
        <v>Yes</v>
      </c>
      <c r="E145" s="9" t="str">
        <f>_xlfn.XLOOKUP(C145,Tab_Def_Flows[Flow_Name],Tab_Def_Flows[DM?],,0,)</f>
        <v>Yes</v>
      </c>
      <c r="F145" s="9" t="str">
        <f>_xlfn.XLOOKUP(C145,Tab_Def_Flows[Flow_Name],Tab_Def_Flows[CC?],,0,)</f>
        <v>Yes</v>
      </c>
      <c r="G145" s="186">
        <v>2038</v>
      </c>
      <c r="H145" s="187">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5">
        <f>INDEX(Tab_Def_Flows[[Flow_ID]:[CC_DM_source]],MATCH(Tab_Data_Flows[[#This Row],[Flow_Name]],Tab_Def_Flows[Flow_Name],0),11)</f>
        <v>0</v>
      </c>
      <c r="V145" s="6" t="str">
        <f>Tab_Data_Flows[[#This Row],[Flow_ID]]&amp;"_"&amp;"WC_"&amp;Tab_Data_Flows[[#This Row],[Flow_Data_Year]]</f>
        <v>F_00_14_WC_2038</v>
      </c>
      <c r="W145" s="6">
        <f>IF(D145="Yes",S145*Tab_Data_Flows[[#This Row],[WC_'[%']]],"N.A.")</f>
        <v>0</v>
      </c>
      <c r="X145" s="6" t="str">
        <f>Tab_Data_Flows[[#This Row],[UoM_Flow_Py]]</f>
        <v>Mg</v>
      </c>
      <c r="Y145" s="135">
        <f>INDEX(Tab_Def_Flows[[Flow_ID]:[CC_DM_source]],MATCH(Tab_Data_Flows[[#This Row],[Flow_Name]],Tab_Def_Flows[Flow_Name],0),14)</f>
        <v>0</v>
      </c>
      <c r="Z145" s="6" t="str">
        <f>Tab_Data_Flows[[#This Row],[Flow_ID]]&amp;"_"&amp;"DM_"&amp;Tab_Data_Flows[[#This Row],[Flow_Data_Year]]</f>
        <v>F_00_14_DM_2038</v>
      </c>
      <c r="AA145" s="6">
        <f>IF(E145="Yes",Y145*Tab_Data_Flows[[#This Row],[Flow_Material]],"N.A.")</f>
        <v>0</v>
      </c>
      <c r="AB145" s="6" t="str">
        <f>Tab_Data_Flows[[#This Row],[UoM_Flow_Py]]</f>
        <v>Mg</v>
      </c>
      <c r="AC145" s="135">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4" t="s">
        <v>1115</v>
      </c>
      <c r="D146" s="9" t="str">
        <f>_xlfn.XLOOKUP(C146,Tab_Def_Flows[Flow_Name],Tab_Def_Flows[WC?],,0,)</f>
        <v>Yes</v>
      </c>
      <c r="E146" s="9" t="str">
        <f>_xlfn.XLOOKUP(C146,Tab_Def_Flows[Flow_Name],Tab_Def_Flows[DM?],,0,)</f>
        <v>Yes</v>
      </c>
      <c r="F146" s="9" t="str">
        <f>_xlfn.XLOOKUP(C146,Tab_Def_Flows[Flow_Name],Tab_Def_Flows[CC?],,0,)</f>
        <v>Yes</v>
      </c>
      <c r="G146" s="186">
        <v>2039</v>
      </c>
      <c r="H146" s="187">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5">
        <f>INDEX(Tab_Def_Flows[[Flow_ID]:[CC_DM_source]],MATCH(Tab_Data_Flows[[#This Row],[Flow_Name]],Tab_Def_Flows[Flow_Name],0),11)</f>
        <v>0</v>
      </c>
      <c r="V146" s="6" t="str">
        <f>Tab_Data_Flows[[#This Row],[Flow_ID]]&amp;"_"&amp;"WC_"&amp;Tab_Data_Flows[[#This Row],[Flow_Data_Year]]</f>
        <v>F_00_14_WC_2039</v>
      </c>
      <c r="W146" s="6">
        <f>IF(D146="Yes",S146*Tab_Data_Flows[[#This Row],[WC_'[%']]],"N.A.")</f>
        <v>0</v>
      </c>
      <c r="X146" s="6" t="str">
        <f>Tab_Data_Flows[[#This Row],[UoM_Flow_Py]]</f>
        <v>Mg</v>
      </c>
      <c r="Y146" s="135">
        <f>INDEX(Tab_Def_Flows[[Flow_ID]:[CC_DM_source]],MATCH(Tab_Data_Flows[[#This Row],[Flow_Name]],Tab_Def_Flows[Flow_Name],0),14)</f>
        <v>0</v>
      </c>
      <c r="Z146" s="6" t="str">
        <f>Tab_Data_Flows[[#This Row],[Flow_ID]]&amp;"_"&amp;"DM_"&amp;Tab_Data_Flows[[#This Row],[Flow_Data_Year]]</f>
        <v>F_00_14_DM_2039</v>
      </c>
      <c r="AA146" s="6">
        <f>IF(E146="Yes",Y146*Tab_Data_Flows[[#This Row],[Flow_Material]],"N.A.")</f>
        <v>0</v>
      </c>
      <c r="AB146" s="6" t="str">
        <f>Tab_Data_Flows[[#This Row],[UoM_Flow_Py]]</f>
        <v>Mg</v>
      </c>
      <c r="AC146" s="135">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4" t="s">
        <v>1115</v>
      </c>
      <c r="D147" s="9" t="str">
        <f>_xlfn.XLOOKUP(C147,Tab_Def_Flows[Flow_Name],Tab_Def_Flows[WC?],,0,)</f>
        <v>Yes</v>
      </c>
      <c r="E147" s="9" t="str">
        <f>_xlfn.XLOOKUP(C147,Tab_Def_Flows[Flow_Name],Tab_Def_Flows[DM?],,0,)</f>
        <v>Yes</v>
      </c>
      <c r="F147" s="9" t="str">
        <f>_xlfn.XLOOKUP(C147,Tab_Def_Flows[Flow_Name],Tab_Def_Flows[CC?],,0,)</f>
        <v>Yes</v>
      </c>
      <c r="G147" s="186">
        <v>2040</v>
      </c>
      <c r="H147" s="187">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5">
        <f>INDEX(Tab_Def_Flows[[Flow_ID]:[CC_DM_source]],MATCH(Tab_Data_Flows[[#This Row],[Flow_Name]],Tab_Def_Flows[Flow_Name],0),11)</f>
        <v>0</v>
      </c>
      <c r="V147" s="6" t="str">
        <f>Tab_Data_Flows[[#This Row],[Flow_ID]]&amp;"_"&amp;"WC_"&amp;Tab_Data_Flows[[#This Row],[Flow_Data_Year]]</f>
        <v>F_00_14_WC_2040</v>
      </c>
      <c r="W147" s="6">
        <f>IF(D147="Yes",S147*Tab_Data_Flows[[#This Row],[WC_'[%']]],"N.A.")</f>
        <v>0</v>
      </c>
      <c r="X147" s="6" t="str">
        <f>Tab_Data_Flows[[#This Row],[UoM_Flow_Py]]</f>
        <v>Mg</v>
      </c>
      <c r="Y147" s="135">
        <f>INDEX(Tab_Def_Flows[[Flow_ID]:[CC_DM_source]],MATCH(Tab_Data_Flows[[#This Row],[Flow_Name]],Tab_Def_Flows[Flow_Name],0),14)</f>
        <v>0</v>
      </c>
      <c r="Z147" s="6" t="str">
        <f>Tab_Data_Flows[[#This Row],[Flow_ID]]&amp;"_"&amp;"DM_"&amp;Tab_Data_Flows[[#This Row],[Flow_Data_Year]]</f>
        <v>F_00_14_DM_2040</v>
      </c>
      <c r="AA147" s="6">
        <f>IF(E147="Yes",Y147*Tab_Data_Flows[[#This Row],[Flow_Material]],"N.A.")</f>
        <v>0</v>
      </c>
      <c r="AB147" s="6" t="str">
        <f>Tab_Data_Flows[[#This Row],[UoM_Flow_Py]]</f>
        <v>Mg</v>
      </c>
      <c r="AC147" s="135">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4" t="s">
        <v>1115</v>
      </c>
      <c r="D148" s="9" t="str">
        <f>_xlfn.XLOOKUP(C148,Tab_Def_Flows[Flow_Name],Tab_Def_Flows[WC?],,0,)</f>
        <v>Yes</v>
      </c>
      <c r="E148" s="9" t="str">
        <f>_xlfn.XLOOKUP(C148,Tab_Def_Flows[Flow_Name],Tab_Def_Flows[DM?],,0,)</f>
        <v>Yes</v>
      </c>
      <c r="F148" s="9" t="str">
        <f>_xlfn.XLOOKUP(C148,Tab_Def_Flows[Flow_Name],Tab_Def_Flows[CC?],,0,)</f>
        <v>Yes</v>
      </c>
      <c r="G148" s="186">
        <v>2041</v>
      </c>
      <c r="H148" s="187">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5">
        <f>INDEX(Tab_Def_Flows[[Flow_ID]:[CC_DM_source]],MATCH(Tab_Data_Flows[[#This Row],[Flow_Name]],Tab_Def_Flows[Flow_Name],0),11)</f>
        <v>0</v>
      </c>
      <c r="V148" s="6" t="str">
        <f>Tab_Data_Flows[[#This Row],[Flow_ID]]&amp;"_"&amp;"WC_"&amp;Tab_Data_Flows[[#This Row],[Flow_Data_Year]]</f>
        <v>F_00_14_WC_2041</v>
      </c>
      <c r="W148" s="6">
        <f>IF(D148="Yes",S148*Tab_Data_Flows[[#This Row],[WC_'[%']]],"N.A.")</f>
        <v>0</v>
      </c>
      <c r="X148" s="6" t="str">
        <f>Tab_Data_Flows[[#This Row],[UoM_Flow_Py]]</f>
        <v>Mg</v>
      </c>
      <c r="Y148" s="135">
        <f>INDEX(Tab_Def_Flows[[Flow_ID]:[CC_DM_source]],MATCH(Tab_Data_Flows[[#This Row],[Flow_Name]],Tab_Def_Flows[Flow_Name],0),14)</f>
        <v>0</v>
      </c>
      <c r="Z148" s="6" t="str">
        <f>Tab_Data_Flows[[#This Row],[Flow_ID]]&amp;"_"&amp;"DM_"&amp;Tab_Data_Flows[[#This Row],[Flow_Data_Year]]</f>
        <v>F_00_14_DM_2041</v>
      </c>
      <c r="AA148" s="6">
        <f>IF(E148="Yes",Y148*Tab_Data_Flows[[#This Row],[Flow_Material]],"N.A.")</f>
        <v>0</v>
      </c>
      <c r="AB148" s="6" t="str">
        <f>Tab_Data_Flows[[#This Row],[UoM_Flow_Py]]</f>
        <v>Mg</v>
      </c>
      <c r="AC148" s="135">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4" t="s">
        <v>1115</v>
      </c>
      <c r="D149" s="9" t="str">
        <f>_xlfn.XLOOKUP(C149,Tab_Def_Flows[Flow_Name],Tab_Def_Flows[WC?],,0,)</f>
        <v>Yes</v>
      </c>
      <c r="E149" s="9" t="str">
        <f>_xlfn.XLOOKUP(C149,Tab_Def_Flows[Flow_Name],Tab_Def_Flows[DM?],,0,)</f>
        <v>Yes</v>
      </c>
      <c r="F149" s="9" t="str">
        <f>_xlfn.XLOOKUP(C149,Tab_Def_Flows[Flow_Name],Tab_Def_Flows[CC?],,0,)</f>
        <v>Yes</v>
      </c>
      <c r="G149" s="186">
        <v>2042</v>
      </c>
      <c r="H149" s="187">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5">
        <f>INDEX(Tab_Def_Flows[[Flow_ID]:[CC_DM_source]],MATCH(Tab_Data_Flows[[#This Row],[Flow_Name]],Tab_Def_Flows[Flow_Name],0),11)</f>
        <v>0</v>
      </c>
      <c r="V149" s="6" t="str">
        <f>Tab_Data_Flows[[#This Row],[Flow_ID]]&amp;"_"&amp;"WC_"&amp;Tab_Data_Flows[[#This Row],[Flow_Data_Year]]</f>
        <v>F_00_14_WC_2042</v>
      </c>
      <c r="W149" s="6">
        <f>IF(D149="Yes",S149*Tab_Data_Flows[[#This Row],[WC_'[%']]],"N.A.")</f>
        <v>0</v>
      </c>
      <c r="X149" s="6" t="str">
        <f>Tab_Data_Flows[[#This Row],[UoM_Flow_Py]]</f>
        <v>Mg</v>
      </c>
      <c r="Y149" s="135">
        <f>INDEX(Tab_Def_Flows[[Flow_ID]:[CC_DM_source]],MATCH(Tab_Data_Flows[[#This Row],[Flow_Name]],Tab_Def_Flows[Flow_Name],0),14)</f>
        <v>0</v>
      </c>
      <c r="Z149" s="6" t="str">
        <f>Tab_Data_Flows[[#This Row],[Flow_ID]]&amp;"_"&amp;"DM_"&amp;Tab_Data_Flows[[#This Row],[Flow_Data_Year]]</f>
        <v>F_00_14_DM_2042</v>
      </c>
      <c r="AA149" s="6">
        <f>IF(E149="Yes",Y149*Tab_Data_Flows[[#This Row],[Flow_Material]],"N.A.")</f>
        <v>0</v>
      </c>
      <c r="AB149" s="6" t="str">
        <f>Tab_Data_Flows[[#This Row],[UoM_Flow_Py]]</f>
        <v>Mg</v>
      </c>
      <c r="AC149" s="135">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4" t="s">
        <v>1115</v>
      </c>
      <c r="D150" s="9" t="str">
        <f>_xlfn.XLOOKUP(C150,Tab_Def_Flows[Flow_Name],Tab_Def_Flows[WC?],,0,)</f>
        <v>Yes</v>
      </c>
      <c r="E150" s="9" t="str">
        <f>_xlfn.XLOOKUP(C150,Tab_Def_Flows[Flow_Name],Tab_Def_Flows[DM?],,0,)</f>
        <v>Yes</v>
      </c>
      <c r="F150" s="9" t="str">
        <f>_xlfn.XLOOKUP(C150,Tab_Def_Flows[Flow_Name],Tab_Def_Flows[CC?],,0,)</f>
        <v>Yes</v>
      </c>
      <c r="G150" s="186">
        <v>2043</v>
      </c>
      <c r="H150" s="187">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5">
        <f>INDEX(Tab_Def_Flows[[Flow_ID]:[CC_DM_source]],MATCH(Tab_Data_Flows[[#This Row],[Flow_Name]],Tab_Def_Flows[Flow_Name],0),11)</f>
        <v>0</v>
      </c>
      <c r="V150" s="6" t="str">
        <f>Tab_Data_Flows[[#This Row],[Flow_ID]]&amp;"_"&amp;"WC_"&amp;Tab_Data_Flows[[#This Row],[Flow_Data_Year]]</f>
        <v>F_00_14_WC_2043</v>
      </c>
      <c r="W150" s="6">
        <f>IF(D150="Yes",S150*Tab_Data_Flows[[#This Row],[WC_'[%']]],"N.A.")</f>
        <v>0</v>
      </c>
      <c r="X150" s="6" t="str">
        <f>Tab_Data_Flows[[#This Row],[UoM_Flow_Py]]</f>
        <v>Mg</v>
      </c>
      <c r="Y150" s="135">
        <f>INDEX(Tab_Def_Flows[[Flow_ID]:[CC_DM_source]],MATCH(Tab_Data_Flows[[#This Row],[Flow_Name]],Tab_Def_Flows[Flow_Name],0),14)</f>
        <v>0</v>
      </c>
      <c r="Z150" s="6" t="str">
        <f>Tab_Data_Flows[[#This Row],[Flow_ID]]&amp;"_"&amp;"DM_"&amp;Tab_Data_Flows[[#This Row],[Flow_Data_Year]]</f>
        <v>F_00_14_DM_2043</v>
      </c>
      <c r="AA150" s="6">
        <f>IF(E150="Yes",Y150*Tab_Data_Flows[[#This Row],[Flow_Material]],"N.A.")</f>
        <v>0</v>
      </c>
      <c r="AB150" s="6" t="str">
        <f>Tab_Data_Flows[[#This Row],[UoM_Flow_Py]]</f>
        <v>Mg</v>
      </c>
      <c r="AC150" s="135">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4" t="s">
        <v>1115</v>
      </c>
      <c r="D151" s="9" t="str">
        <f>_xlfn.XLOOKUP(C151,Tab_Def_Flows[Flow_Name],Tab_Def_Flows[WC?],,0,)</f>
        <v>Yes</v>
      </c>
      <c r="E151" s="9" t="str">
        <f>_xlfn.XLOOKUP(C151,Tab_Def_Flows[Flow_Name],Tab_Def_Flows[DM?],,0,)</f>
        <v>Yes</v>
      </c>
      <c r="F151" s="9" t="str">
        <f>_xlfn.XLOOKUP(C151,Tab_Def_Flows[Flow_Name],Tab_Def_Flows[CC?],,0,)</f>
        <v>Yes</v>
      </c>
      <c r="G151" s="186">
        <v>2044</v>
      </c>
      <c r="H151" s="187">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5">
        <f>INDEX(Tab_Def_Flows[[Flow_ID]:[CC_DM_source]],MATCH(Tab_Data_Flows[[#This Row],[Flow_Name]],Tab_Def_Flows[Flow_Name],0),11)</f>
        <v>0</v>
      </c>
      <c r="V151" s="6" t="str">
        <f>Tab_Data_Flows[[#This Row],[Flow_ID]]&amp;"_"&amp;"WC_"&amp;Tab_Data_Flows[[#This Row],[Flow_Data_Year]]</f>
        <v>F_00_14_WC_2044</v>
      </c>
      <c r="W151" s="6">
        <f>IF(D151="Yes",S151*Tab_Data_Flows[[#This Row],[WC_'[%']]],"N.A.")</f>
        <v>0</v>
      </c>
      <c r="X151" s="6" t="str">
        <f>Tab_Data_Flows[[#This Row],[UoM_Flow_Py]]</f>
        <v>Mg</v>
      </c>
      <c r="Y151" s="135">
        <f>INDEX(Tab_Def_Flows[[Flow_ID]:[CC_DM_source]],MATCH(Tab_Data_Flows[[#This Row],[Flow_Name]],Tab_Def_Flows[Flow_Name],0),14)</f>
        <v>0</v>
      </c>
      <c r="Z151" s="6" t="str">
        <f>Tab_Data_Flows[[#This Row],[Flow_ID]]&amp;"_"&amp;"DM_"&amp;Tab_Data_Flows[[#This Row],[Flow_Data_Year]]</f>
        <v>F_00_14_DM_2044</v>
      </c>
      <c r="AA151" s="6">
        <f>IF(E151="Yes",Y151*Tab_Data_Flows[[#This Row],[Flow_Material]],"N.A.")</f>
        <v>0</v>
      </c>
      <c r="AB151" s="6" t="str">
        <f>Tab_Data_Flows[[#This Row],[UoM_Flow_Py]]</f>
        <v>Mg</v>
      </c>
      <c r="AC151" s="135">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4" t="s">
        <v>1115</v>
      </c>
      <c r="D152" s="9" t="str">
        <f>_xlfn.XLOOKUP(C152,Tab_Def_Flows[Flow_Name],Tab_Def_Flows[WC?],,0,)</f>
        <v>Yes</v>
      </c>
      <c r="E152" s="9" t="str">
        <f>_xlfn.XLOOKUP(C152,Tab_Def_Flows[Flow_Name],Tab_Def_Flows[DM?],,0,)</f>
        <v>Yes</v>
      </c>
      <c r="F152" s="9" t="str">
        <f>_xlfn.XLOOKUP(C152,Tab_Def_Flows[Flow_Name],Tab_Def_Flows[CC?],,0,)</f>
        <v>Yes</v>
      </c>
      <c r="G152" s="186">
        <v>2045</v>
      </c>
      <c r="H152" s="187">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5">
        <f>INDEX(Tab_Def_Flows[[Flow_ID]:[CC_DM_source]],MATCH(Tab_Data_Flows[[#This Row],[Flow_Name]],Tab_Def_Flows[Flow_Name],0),11)</f>
        <v>0</v>
      </c>
      <c r="V152" s="6" t="str">
        <f>Tab_Data_Flows[[#This Row],[Flow_ID]]&amp;"_"&amp;"WC_"&amp;Tab_Data_Flows[[#This Row],[Flow_Data_Year]]</f>
        <v>F_00_14_WC_2045</v>
      </c>
      <c r="W152" s="6">
        <f>IF(D152="Yes",S152*Tab_Data_Flows[[#This Row],[WC_'[%']]],"N.A.")</f>
        <v>0</v>
      </c>
      <c r="X152" s="6" t="str">
        <f>Tab_Data_Flows[[#This Row],[UoM_Flow_Py]]</f>
        <v>Mg</v>
      </c>
      <c r="Y152" s="135">
        <f>INDEX(Tab_Def_Flows[[Flow_ID]:[CC_DM_source]],MATCH(Tab_Data_Flows[[#This Row],[Flow_Name]],Tab_Def_Flows[Flow_Name],0),14)</f>
        <v>0</v>
      </c>
      <c r="Z152" s="6" t="str">
        <f>Tab_Data_Flows[[#This Row],[Flow_ID]]&amp;"_"&amp;"DM_"&amp;Tab_Data_Flows[[#This Row],[Flow_Data_Year]]</f>
        <v>F_00_14_DM_2045</v>
      </c>
      <c r="AA152" s="6">
        <f>IF(E152="Yes",Y152*Tab_Data_Flows[[#This Row],[Flow_Material]],"N.A.")</f>
        <v>0</v>
      </c>
      <c r="AB152" s="6" t="str">
        <f>Tab_Data_Flows[[#This Row],[UoM_Flow_Py]]</f>
        <v>Mg</v>
      </c>
      <c r="AC152" s="135">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4" t="s">
        <v>1115</v>
      </c>
      <c r="D153" s="9" t="str">
        <f>_xlfn.XLOOKUP(C153,Tab_Def_Flows[Flow_Name],Tab_Def_Flows[WC?],,0,)</f>
        <v>Yes</v>
      </c>
      <c r="E153" s="9" t="str">
        <f>_xlfn.XLOOKUP(C153,Tab_Def_Flows[Flow_Name],Tab_Def_Flows[DM?],,0,)</f>
        <v>Yes</v>
      </c>
      <c r="F153" s="9" t="str">
        <f>_xlfn.XLOOKUP(C153,Tab_Def_Flows[Flow_Name],Tab_Def_Flows[CC?],,0,)</f>
        <v>Yes</v>
      </c>
      <c r="G153" s="186">
        <v>2046</v>
      </c>
      <c r="H153" s="187">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5">
        <f>INDEX(Tab_Def_Flows[[Flow_ID]:[CC_DM_source]],MATCH(Tab_Data_Flows[[#This Row],[Flow_Name]],Tab_Def_Flows[Flow_Name],0),11)</f>
        <v>0</v>
      </c>
      <c r="V153" s="6" t="str">
        <f>Tab_Data_Flows[[#This Row],[Flow_ID]]&amp;"_"&amp;"WC_"&amp;Tab_Data_Flows[[#This Row],[Flow_Data_Year]]</f>
        <v>F_00_14_WC_2046</v>
      </c>
      <c r="W153" s="6">
        <f>IF(D153="Yes",S153*Tab_Data_Flows[[#This Row],[WC_'[%']]],"N.A.")</f>
        <v>0</v>
      </c>
      <c r="X153" s="6" t="str">
        <f>Tab_Data_Flows[[#This Row],[UoM_Flow_Py]]</f>
        <v>Mg</v>
      </c>
      <c r="Y153" s="135">
        <f>INDEX(Tab_Def_Flows[[Flow_ID]:[CC_DM_source]],MATCH(Tab_Data_Flows[[#This Row],[Flow_Name]],Tab_Def_Flows[Flow_Name],0),14)</f>
        <v>0</v>
      </c>
      <c r="Z153" s="6" t="str">
        <f>Tab_Data_Flows[[#This Row],[Flow_ID]]&amp;"_"&amp;"DM_"&amp;Tab_Data_Flows[[#This Row],[Flow_Data_Year]]</f>
        <v>F_00_14_DM_2046</v>
      </c>
      <c r="AA153" s="6">
        <f>IF(E153="Yes",Y153*Tab_Data_Flows[[#This Row],[Flow_Material]],"N.A.")</f>
        <v>0</v>
      </c>
      <c r="AB153" s="6" t="str">
        <f>Tab_Data_Flows[[#This Row],[UoM_Flow_Py]]</f>
        <v>Mg</v>
      </c>
      <c r="AC153" s="135">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4" t="s">
        <v>1115</v>
      </c>
      <c r="D154" s="9" t="str">
        <f>_xlfn.XLOOKUP(C154,Tab_Def_Flows[Flow_Name],Tab_Def_Flows[WC?],,0,)</f>
        <v>Yes</v>
      </c>
      <c r="E154" s="9" t="str">
        <f>_xlfn.XLOOKUP(C154,Tab_Def_Flows[Flow_Name],Tab_Def_Flows[DM?],,0,)</f>
        <v>Yes</v>
      </c>
      <c r="F154" s="9" t="str">
        <f>_xlfn.XLOOKUP(C154,Tab_Def_Flows[Flow_Name],Tab_Def_Flows[CC?],,0,)</f>
        <v>Yes</v>
      </c>
      <c r="G154" s="186">
        <v>2047</v>
      </c>
      <c r="H154" s="187">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5">
        <f>INDEX(Tab_Def_Flows[[Flow_ID]:[CC_DM_source]],MATCH(Tab_Data_Flows[[#This Row],[Flow_Name]],Tab_Def_Flows[Flow_Name],0),11)</f>
        <v>0</v>
      </c>
      <c r="V154" s="6" t="str">
        <f>Tab_Data_Flows[[#This Row],[Flow_ID]]&amp;"_"&amp;"WC_"&amp;Tab_Data_Flows[[#This Row],[Flow_Data_Year]]</f>
        <v>F_00_14_WC_2047</v>
      </c>
      <c r="W154" s="6">
        <f>IF(D154="Yes",S154*Tab_Data_Flows[[#This Row],[WC_'[%']]],"N.A.")</f>
        <v>0</v>
      </c>
      <c r="X154" s="6" t="str">
        <f>Tab_Data_Flows[[#This Row],[UoM_Flow_Py]]</f>
        <v>Mg</v>
      </c>
      <c r="Y154" s="135">
        <f>INDEX(Tab_Def_Flows[[Flow_ID]:[CC_DM_source]],MATCH(Tab_Data_Flows[[#This Row],[Flow_Name]],Tab_Def_Flows[Flow_Name],0),14)</f>
        <v>0</v>
      </c>
      <c r="Z154" s="6" t="str">
        <f>Tab_Data_Flows[[#This Row],[Flow_ID]]&amp;"_"&amp;"DM_"&amp;Tab_Data_Flows[[#This Row],[Flow_Data_Year]]</f>
        <v>F_00_14_DM_2047</v>
      </c>
      <c r="AA154" s="6">
        <f>IF(E154="Yes",Y154*Tab_Data_Flows[[#This Row],[Flow_Material]],"N.A.")</f>
        <v>0</v>
      </c>
      <c r="AB154" s="6" t="str">
        <f>Tab_Data_Flows[[#This Row],[UoM_Flow_Py]]</f>
        <v>Mg</v>
      </c>
      <c r="AC154" s="135">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4" t="s">
        <v>1115</v>
      </c>
      <c r="D155" s="9" t="str">
        <f>_xlfn.XLOOKUP(C155,Tab_Def_Flows[Flow_Name],Tab_Def_Flows[WC?],,0,)</f>
        <v>Yes</v>
      </c>
      <c r="E155" s="9" t="str">
        <f>_xlfn.XLOOKUP(C155,Tab_Def_Flows[Flow_Name],Tab_Def_Flows[DM?],,0,)</f>
        <v>Yes</v>
      </c>
      <c r="F155" s="9" t="str">
        <f>_xlfn.XLOOKUP(C155,Tab_Def_Flows[Flow_Name],Tab_Def_Flows[CC?],,0,)</f>
        <v>Yes</v>
      </c>
      <c r="G155" s="186">
        <v>2048</v>
      </c>
      <c r="H155" s="187">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5">
        <f>INDEX(Tab_Def_Flows[[Flow_ID]:[CC_DM_source]],MATCH(Tab_Data_Flows[[#This Row],[Flow_Name]],Tab_Def_Flows[Flow_Name],0),11)</f>
        <v>0</v>
      </c>
      <c r="V155" s="6" t="str">
        <f>Tab_Data_Flows[[#This Row],[Flow_ID]]&amp;"_"&amp;"WC_"&amp;Tab_Data_Flows[[#This Row],[Flow_Data_Year]]</f>
        <v>F_00_14_WC_2048</v>
      </c>
      <c r="W155" s="6">
        <f>IF(D155="Yes",S155*Tab_Data_Flows[[#This Row],[WC_'[%']]],"N.A.")</f>
        <v>0</v>
      </c>
      <c r="X155" s="6" t="str">
        <f>Tab_Data_Flows[[#This Row],[UoM_Flow_Py]]</f>
        <v>Mg</v>
      </c>
      <c r="Y155" s="135">
        <f>INDEX(Tab_Def_Flows[[Flow_ID]:[CC_DM_source]],MATCH(Tab_Data_Flows[[#This Row],[Flow_Name]],Tab_Def_Flows[Flow_Name],0),14)</f>
        <v>0</v>
      </c>
      <c r="Z155" s="6" t="str">
        <f>Tab_Data_Flows[[#This Row],[Flow_ID]]&amp;"_"&amp;"DM_"&amp;Tab_Data_Flows[[#This Row],[Flow_Data_Year]]</f>
        <v>F_00_14_DM_2048</v>
      </c>
      <c r="AA155" s="6">
        <f>IF(E155="Yes",Y155*Tab_Data_Flows[[#This Row],[Flow_Material]],"N.A.")</f>
        <v>0</v>
      </c>
      <c r="AB155" s="6" t="str">
        <f>Tab_Data_Flows[[#This Row],[UoM_Flow_Py]]</f>
        <v>Mg</v>
      </c>
      <c r="AC155" s="135">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4" t="s">
        <v>1115</v>
      </c>
      <c r="D156" s="9" t="str">
        <f>_xlfn.XLOOKUP(C156,Tab_Def_Flows[Flow_Name],Tab_Def_Flows[WC?],,0,)</f>
        <v>Yes</v>
      </c>
      <c r="E156" s="9" t="str">
        <f>_xlfn.XLOOKUP(C156,Tab_Def_Flows[Flow_Name],Tab_Def_Flows[DM?],,0,)</f>
        <v>Yes</v>
      </c>
      <c r="F156" s="9" t="str">
        <f>_xlfn.XLOOKUP(C156,Tab_Def_Flows[Flow_Name],Tab_Def_Flows[CC?],,0,)</f>
        <v>Yes</v>
      </c>
      <c r="G156" s="186">
        <v>2049</v>
      </c>
      <c r="H156" s="187">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5">
        <f>INDEX(Tab_Def_Flows[[Flow_ID]:[CC_DM_source]],MATCH(Tab_Data_Flows[[#This Row],[Flow_Name]],Tab_Def_Flows[Flow_Name],0),11)</f>
        <v>0</v>
      </c>
      <c r="V156" s="6" t="str">
        <f>Tab_Data_Flows[[#This Row],[Flow_ID]]&amp;"_"&amp;"WC_"&amp;Tab_Data_Flows[[#This Row],[Flow_Data_Year]]</f>
        <v>F_00_14_WC_2049</v>
      </c>
      <c r="W156" s="6">
        <f>IF(D156="Yes",S156*Tab_Data_Flows[[#This Row],[WC_'[%']]],"N.A.")</f>
        <v>0</v>
      </c>
      <c r="X156" s="6" t="str">
        <f>Tab_Data_Flows[[#This Row],[UoM_Flow_Py]]</f>
        <v>Mg</v>
      </c>
      <c r="Y156" s="135">
        <f>INDEX(Tab_Def_Flows[[Flow_ID]:[CC_DM_source]],MATCH(Tab_Data_Flows[[#This Row],[Flow_Name]],Tab_Def_Flows[Flow_Name],0),14)</f>
        <v>0</v>
      </c>
      <c r="Z156" s="6" t="str">
        <f>Tab_Data_Flows[[#This Row],[Flow_ID]]&amp;"_"&amp;"DM_"&amp;Tab_Data_Flows[[#This Row],[Flow_Data_Year]]</f>
        <v>F_00_14_DM_2049</v>
      </c>
      <c r="AA156" s="6">
        <f>IF(E156="Yes",Y156*Tab_Data_Flows[[#This Row],[Flow_Material]],"N.A.")</f>
        <v>0</v>
      </c>
      <c r="AB156" s="6" t="str">
        <f>Tab_Data_Flows[[#This Row],[UoM_Flow_Py]]</f>
        <v>Mg</v>
      </c>
      <c r="AC156" s="135">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4" t="s">
        <v>1115</v>
      </c>
      <c r="D157" s="9" t="str">
        <f>_xlfn.XLOOKUP(C157,Tab_Def_Flows[Flow_Name],Tab_Def_Flows[WC?],,0,)</f>
        <v>Yes</v>
      </c>
      <c r="E157" s="9" t="str">
        <f>_xlfn.XLOOKUP(C157,Tab_Def_Flows[Flow_Name],Tab_Def_Flows[DM?],,0,)</f>
        <v>Yes</v>
      </c>
      <c r="F157" s="9" t="str">
        <f>_xlfn.XLOOKUP(C157,Tab_Def_Flows[Flow_Name],Tab_Def_Flows[CC?],,0,)</f>
        <v>Yes</v>
      </c>
      <c r="G157" s="186">
        <v>2050</v>
      </c>
      <c r="H157" s="187">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5">
        <f>INDEX(Tab_Def_Flows[[Flow_ID]:[CC_DM_source]],MATCH(Tab_Data_Flows[[#This Row],[Flow_Name]],Tab_Def_Flows[Flow_Name],0),11)</f>
        <v>0</v>
      </c>
      <c r="V157" s="6" t="str">
        <f>Tab_Data_Flows[[#This Row],[Flow_ID]]&amp;"_"&amp;"WC_"&amp;Tab_Data_Flows[[#This Row],[Flow_Data_Year]]</f>
        <v>F_00_14_WC_2050</v>
      </c>
      <c r="W157" s="6">
        <f>IF(D157="Yes",S157*Tab_Data_Flows[[#This Row],[WC_'[%']]],"N.A.")</f>
        <v>0</v>
      </c>
      <c r="X157" s="6" t="str">
        <f>Tab_Data_Flows[[#This Row],[UoM_Flow_Py]]</f>
        <v>Mg</v>
      </c>
      <c r="Y157" s="135">
        <f>INDEX(Tab_Def_Flows[[Flow_ID]:[CC_DM_source]],MATCH(Tab_Data_Flows[[#This Row],[Flow_Name]],Tab_Def_Flows[Flow_Name],0),14)</f>
        <v>0</v>
      </c>
      <c r="Z157" s="6" t="str">
        <f>Tab_Data_Flows[[#This Row],[Flow_ID]]&amp;"_"&amp;"DM_"&amp;Tab_Data_Flows[[#This Row],[Flow_Data_Year]]</f>
        <v>F_00_14_DM_2050</v>
      </c>
      <c r="AA157" s="6">
        <f>IF(E157="Yes",Y157*Tab_Data_Flows[[#This Row],[Flow_Material]],"N.A.")</f>
        <v>0</v>
      </c>
      <c r="AB157" s="6" t="str">
        <f>Tab_Data_Flows[[#This Row],[UoM_Flow_Py]]</f>
        <v>Mg</v>
      </c>
      <c r="AC157" s="135">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F_00_14</v>
      </c>
      <c r="C158" s="134" t="s">
        <v>1116</v>
      </c>
      <c r="D158" s="9" t="str">
        <f>_xlfn.XLOOKUP(C158,Tab_Def_Flows[Flow_Name],Tab_Def_Flows[WC?],,0,)</f>
        <v>Yes</v>
      </c>
      <c r="E158" s="9" t="str">
        <f>_xlfn.XLOOKUP(C158,Tab_Def_Flows[Flow_Name],Tab_Def_Flows[DM?],,0,)</f>
        <v>Yes</v>
      </c>
      <c r="F158" s="9" t="str">
        <f>_xlfn.XLOOKUP(C158,Tab_Def_Flows[Flow_Name],Tab_Def_Flows[CC?],,0,)</f>
        <v>Yes</v>
      </c>
      <c r="G158" s="186">
        <v>2025</v>
      </c>
      <c r="H158" s="187">
        <v>27014.216366592012</v>
      </c>
      <c r="I158" s="6" t="str">
        <f>'0_Configuration'!$C$4</f>
        <v>Mg</v>
      </c>
      <c r="J158" s="13"/>
      <c r="K158" s="13"/>
      <c r="L158" s="13"/>
      <c r="M158" s="13"/>
      <c r="N158" s="13"/>
      <c r="O158" s="7" t="s">
        <v>6</v>
      </c>
      <c r="P158" s="7"/>
      <c r="Q158" s="7"/>
      <c r="R158" s="6" t="str">
        <f>Tab_Data_Flows[[#This Row],[Flow_ID]]&amp;"_"&amp;"material_"&amp;Tab_Data_Flows[[#This Row],[Flow_Data_Year]]</f>
        <v>F_00_14_material_2025</v>
      </c>
      <c r="S158" s="12">
        <f t="shared" si="4"/>
        <v>27014.216366592012</v>
      </c>
      <c r="T158" s="6" t="str">
        <f>Tab_Data_Flows[[#This Row],[UoM_Source]]</f>
        <v>Mg</v>
      </c>
      <c r="U158" s="135">
        <f>INDEX(Tab_Def_Flows[[Flow_ID]:[CC_DM_source]],MATCH(Tab_Data_Flows[[#This Row],[Flow_Name]],Tab_Def_Flows[Flow_Name],0),11)</f>
        <v>0</v>
      </c>
      <c r="V158" s="6" t="str">
        <f>Tab_Data_Flows[[#This Row],[Flow_ID]]&amp;"_"&amp;"WC_"&amp;Tab_Data_Flows[[#This Row],[Flow_Data_Year]]</f>
        <v>F_00_14_WC_2025</v>
      </c>
      <c r="W158" s="6">
        <f>IF(D158="Yes",S158*Tab_Data_Flows[[#This Row],[WC_'[%']]],"N.A.")</f>
        <v>0</v>
      </c>
      <c r="X158" s="6" t="str">
        <f>Tab_Data_Flows[[#This Row],[UoM_Flow_Py]]</f>
        <v>Mg</v>
      </c>
      <c r="Y158" s="135">
        <f>INDEX(Tab_Def_Flows[[Flow_ID]:[CC_DM_source]],MATCH(Tab_Data_Flows[[#This Row],[Flow_Name]],Tab_Def_Flows[Flow_Name],0),14)</f>
        <v>0</v>
      </c>
      <c r="Z158" s="6" t="str">
        <f>Tab_Data_Flows[[#This Row],[Flow_ID]]&amp;"_"&amp;"DM_"&amp;Tab_Data_Flows[[#This Row],[Flow_Data_Year]]</f>
        <v>F_00_14_DM_2025</v>
      </c>
      <c r="AA158" s="6">
        <f>IF(E158="Yes",Y158*Tab_Data_Flows[[#This Row],[Flow_Material]],"N.A.")</f>
        <v>0</v>
      </c>
      <c r="AB158" s="6" t="str">
        <f>Tab_Data_Flows[[#This Row],[UoM_Flow_Py]]</f>
        <v>Mg</v>
      </c>
      <c r="AC158" s="135">
        <f>INDEX(Tab_Def_Flows[[Flow_ID]:[CC_DM_source]],MATCH(Tab_Data_Flows[[#This Row],[Flow_Name]],Tab_Def_Flows[Flow_Name],0),17)</f>
        <v>0</v>
      </c>
      <c r="AD158" s="6" t="str">
        <f>Tab_Data_Flows[[#This Row],[Flow_ID]]&amp;"_"&amp;"CC_"&amp;Tab_Data_Flows[[#This Row],[Flow_Data_Year]]</f>
        <v>F_00_14_CC_2025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F_00_14</v>
      </c>
      <c r="C159" s="134" t="s">
        <v>1116</v>
      </c>
      <c r="D159" s="9" t="str">
        <f>_xlfn.XLOOKUP(C159,Tab_Def_Flows[Flow_Name],Tab_Def_Flows[WC?],,0,)</f>
        <v>Yes</v>
      </c>
      <c r="E159" s="9" t="str">
        <f>_xlfn.XLOOKUP(C159,Tab_Def_Flows[Flow_Name],Tab_Def_Flows[DM?],,0,)</f>
        <v>Yes</v>
      </c>
      <c r="F159" s="9" t="str">
        <f>_xlfn.XLOOKUP(C159,Tab_Def_Flows[Flow_Name],Tab_Def_Flows[CC?],,0,)</f>
        <v>Yes</v>
      </c>
      <c r="G159" s="186">
        <v>2026</v>
      </c>
      <c r="H159" s="187">
        <v>22767.428436480008</v>
      </c>
      <c r="I159" s="6" t="str">
        <f>'0_Configuration'!$C$4</f>
        <v>Mg</v>
      </c>
      <c r="J159" s="13"/>
      <c r="K159" s="13"/>
      <c r="L159" s="13"/>
      <c r="M159" s="13"/>
      <c r="N159" s="13"/>
      <c r="O159" s="7" t="s">
        <v>6</v>
      </c>
      <c r="P159" s="7"/>
      <c r="Q159" s="7"/>
      <c r="R159" s="6" t="str">
        <f>Tab_Data_Flows[[#This Row],[Flow_ID]]&amp;"_"&amp;"material_"&amp;Tab_Data_Flows[[#This Row],[Flow_Data_Year]]</f>
        <v>F_00_14_material_2026</v>
      </c>
      <c r="S159" s="12">
        <f t="shared" si="4"/>
        <v>22767.428436480008</v>
      </c>
      <c r="T159" s="6" t="str">
        <f>Tab_Data_Flows[[#This Row],[UoM_Source]]</f>
        <v>Mg</v>
      </c>
      <c r="U159" s="135">
        <f>INDEX(Tab_Def_Flows[[Flow_ID]:[CC_DM_source]],MATCH(Tab_Data_Flows[[#This Row],[Flow_Name]],Tab_Def_Flows[Flow_Name],0),11)</f>
        <v>0</v>
      </c>
      <c r="V159" s="6" t="str">
        <f>Tab_Data_Flows[[#This Row],[Flow_ID]]&amp;"_"&amp;"WC_"&amp;Tab_Data_Flows[[#This Row],[Flow_Data_Year]]</f>
        <v>F_00_14_WC_2026</v>
      </c>
      <c r="W159" s="6">
        <f>IF(D159="Yes",S159*Tab_Data_Flows[[#This Row],[WC_'[%']]],"N.A.")</f>
        <v>0</v>
      </c>
      <c r="X159" s="6" t="str">
        <f>Tab_Data_Flows[[#This Row],[UoM_Flow_Py]]</f>
        <v>Mg</v>
      </c>
      <c r="Y159" s="135">
        <f>INDEX(Tab_Def_Flows[[Flow_ID]:[CC_DM_source]],MATCH(Tab_Data_Flows[[#This Row],[Flow_Name]],Tab_Def_Flows[Flow_Name],0),14)</f>
        <v>0</v>
      </c>
      <c r="Z159" s="6" t="str">
        <f>Tab_Data_Flows[[#This Row],[Flow_ID]]&amp;"_"&amp;"DM_"&amp;Tab_Data_Flows[[#This Row],[Flow_Data_Year]]</f>
        <v>F_00_14_DM_2026</v>
      </c>
      <c r="AA159" s="6">
        <f>IF(E159="Yes",Y159*Tab_Data_Flows[[#This Row],[Flow_Material]],"N.A.")</f>
        <v>0</v>
      </c>
      <c r="AB159" s="6" t="str">
        <f>Tab_Data_Flows[[#This Row],[UoM_Flow_Py]]</f>
        <v>Mg</v>
      </c>
      <c r="AC159" s="135">
        <f>INDEX(Tab_Def_Flows[[Flow_ID]:[CC_DM_source]],MATCH(Tab_Data_Flows[[#This Row],[Flow_Name]],Tab_Def_Flows[Flow_Name],0),17)</f>
        <v>0</v>
      </c>
      <c r="AD159" s="6" t="str">
        <f>Tab_Data_Flows[[#This Row],[Flow_ID]]&amp;"_"&amp;"CC_"&amp;Tab_Data_Flows[[#This Row],[Flow_Data_Year]]</f>
        <v>F_00_14_CC_2026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F_00_14</v>
      </c>
      <c r="C160" s="134" t="s">
        <v>1116</v>
      </c>
      <c r="D160" s="9" t="str">
        <f>_xlfn.XLOOKUP(C160,Tab_Def_Flows[Flow_Name],Tab_Def_Flows[WC?],,0,)</f>
        <v>Yes</v>
      </c>
      <c r="E160" s="9" t="str">
        <f>_xlfn.XLOOKUP(C160,Tab_Def_Flows[Flow_Name],Tab_Def_Flows[DM?],,0,)</f>
        <v>Yes</v>
      </c>
      <c r="F160" s="9" t="str">
        <f>_xlfn.XLOOKUP(C160,Tab_Def_Flows[Flow_Name],Tab_Def_Flows[CC?],,0,)</f>
        <v>Yes</v>
      </c>
      <c r="G160" s="186">
        <v>2027</v>
      </c>
      <c r="H160" s="187">
        <v>28023.969931776006</v>
      </c>
      <c r="I160" s="6" t="str">
        <f>'0_Configuration'!$C$4</f>
        <v>Mg</v>
      </c>
      <c r="J160" s="13"/>
      <c r="K160" s="13"/>
      <c r="L160" s="13"/>
      <c r="M160" s="13"/>
      <c r="N160" s="13"/>
      <c r="O160" s="7" t="s">
        <v>6</v>
      </c>
      <c r="P160" s="7"/>
      <c r="Q160" s="7"/>
      <c r="R160" s="6" t="str">
        <f>Tab_Data_Flows[[#This Row],[Flow_ID]]&amp;"_"&amp;"material_"&amp;Tab_Data_Flows[[#This Row],[Flow_Data_Year]]</f>
        <v>F_00_14_material_2027</v>
      </c>
      <c r="S160" s="12">
        <f t="shared" si="4"/>
        <v>28023.969931776006</v>
      </c>
      <c r="T160" s="6" t="str">
        <f>Tab_Data_Flows[[#This Row],[UoM_Source]]</f>
        <v>Mg</v>
      </c>
      <c r="U160" s="135">
        <f>INDEX(Tab_Def_Flows[[Flow_ID]:[CC_DM_source]],MATCH(Tab_Data_Flows[[#This Row],[Flow_Name]],Tab_Def_Flows[Flow_Name],0),11)</f>
        <v>0</v>
      </c>
      <c r="V160" s="6" t="str">
        <f>Tab_Data_Flows[[#This Row],[Flow_ID]]&amp;"_"&amp;"WC_"&amp;Tab_Data_Flows[[#This Row],[Flow_Data_Year]]</f>
        <v>F_00_14_WC_2027</v>
      </c>
      <c r="W160" s="6">
        <f>IF(D160="Yes",S160*Tab_Data_Flows[[#This Row],[WC_'[%']]],"N.A.")</f>
        <v>0</v>
      </c>
      <c r="X160" s="6" t="str">
        <f>Tab_Data_Flows[[#This Row],[UoM_Flow_Py]]</f>
        <v>Mg</v>
      </c>
      <c r="Y160" s="135">
        <f>INDEX(Tab_Def_Flows[[Flow_ID]:[CC_DM_source]],MATCH(Tab_Data_Flows[[#This Row],[Flow_Name]],Tab_Def_Flows[Flow_Name],0),14)</f>
        <v>0</v>
      </c>
      <c r="Z160" s="6" t="str">
        <f>Tab_Data_Flows[[#This Row],[Flow_ID]]&amp;"_"&amp;"DM_"&amp;Tab_Data_Flows[[#This Row],[Flow_Data_Year]]</f>
        <v>F_00_14_DM_2027</v>
      </c>
      <c r="AA160" s="6">
        <f>IF(E160="Yes",Y160*Tab_Data_Flows[[#This Row],[Flow_Material]],"N.A.")</f>
        <v>0</v>
      </c>
      <c r="AB160" s="6" t="str">
        <f>Tab_Data_Flows[[#This Row],[UoM_Flow_Py]]</f>
        <v>Mg</v>
      </c>
      <c r="AC160" s="135">
        <f>INDEX(Tab_Def_Flows[[Flow_ID]:[CC_DM_source]],MATCH(Tab_Data_Flows[[#This Row],[Flow_Name]],Tab_Def_Flows[Flow_Name],0),17)</f>
        <v>0</v>
      </c>
      <c r="AD160" s="6" t="str">
        <f>Tab_Data_Flows[[#This Row],[Flow_ID]]&amp;"_"&amp;"CC_"&amp;Tab_Data_Flows[[#This Row],[Flow_Data_Year]]</f>
        <v>F_00_14_CC_2027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F_00_14</v>
      </c>
      <c r="C161" s="134" t="s">
        <v>1116</v>
      </c>
      <c r="D161" s="9" t="str">
        <f>_xlfn.XLOOKUP(C161,Tab_Def_Flows[Flow_Name],Tab_Def_Flows[WC?],,0,)</f>
        <v>Yes</v>
      </c>
      <c r="E161" s="9" t="str">
        <f>_xlfn.XLOOKUP(C161,Tab_Def_Flows[Flow_Name],Tab_Def_Flows[DM?],,0,)</f>
        <v>Yes</v>
      </c>
      <c r="F161" s="9" t="str">
        <f>_xlfn.XLOOKUP(C161,Tab_Def_Flows[Flow_Name],Tab_Def_Flows[CC?],,0,)</f>
        <v>Yes</v>
      </c>
      <c r="G161" s="186">
        <v>2028</v>
      </c>
      <c r="H161" s="187">
        <v>33878.357001216013</v>
      </c>
      <c r="I161" s="6" t="str">
        <f>'0_Configuration'!$C$4</f>
        <v>Mg</v>
      </c>
      <c r="J161" s="13"/>
      <c r="K161" s="13"/>
      <c r="L161" s="13"/>
      <c r="M161" s="13"/>
      <c r="N161" s="13"/>
      <c r="O161" s="7" t="s">
        <v>6</v>
      </c>
      <c r="P161" s="7"/>
      <c r="Q161" s="7"/>
      <c r="R161" s="6" t="str">
        <f>Tab_Data_Flows[[#This Row],[Flow_ID]]&amp;"_"&amp;"material_"&amp;Tab_Data_Flows[[#This Row],[Flow_Data_Year]]</f>
        <v>F_00_14_material_2028</v>
      </c>
      <c r="S161" s="12">
        <f t="shared" si="4"/>
        <v>33878.357001216013</v>
      </c>
      <c r="T161" s="6" t="str">
        <f>Tab_Data_Flows[[#This Row],[UoM_Source]]</f>
        <v>Mg</v>
      </c>
      <c r="U161" s="135">
        <f>INDEX(Tab_Def_Flows[[Flow_ID]:[CC_DM_source]],MATCH(Tab_Data_Flows[[#This Row],[Flow_Name]],Tab_Def_Flows[Flow_Name],0),11)</f>
        <v>0</v>
      </c>
      <c r="V161" s="6" t="str">
        <f>Tab_Data_Flows[[#This Row],[Flow_ID]]&amp;"_"&amp;"WC_"&amp;Tab_Data_Flows[[#This Row],[Flow_Data_Year]]</f>
        <v>F_00_14_WC_2028</v>
      </c>
      <c r="W161" s="6">
        <f>IF(D161="Yes",S161*Tab_Data_Flows[[#This Row],[WC_'[%']]],"N.A.")</f>
        <v>0</v>
      </c>
      <c r="X161" s="6" t="str">
        <f>Tab_Data_Flows[[#This Row],[UoM_Flow_Py]]</f>
        <v>Mg</v>
      </c>
      <c r="Y161" s="135">
        <f>INDEX(Tab_Def_Flows[[Flow_ID]:[CC_DM_source]],MATCH(Tab_Data_Flows[[#This Row],[Flow_Name]],Tab_Def_Flows[Flow_Name],0),14)</f>
        <v>0</v>
      </c>
      <c r="Z161" s="6" t="str">
        <f>Tab_Data_Flows[[#This Row],[Flow_ID]]&amp;"_"&amp;"DM_"&amp;Tab_Data_Flows[[#This Row],[Flow_Data_Year]]</f>
        <v>F_00_14_DM_2028</v>
      </c>
      <c r="AA161" s="6">
        <f>IF(E161="Yes",Y161*Tab_Data_Flows[[#This Row],[Flow_Material]],"N.A.")</f>
        <v>0</v>
      </c>
      <c r="AB161" s="6" t="str">
        <f>Tab_Data_Flows[[#This Row],[UoM_Flow_Py]]</f>
        <v>Mg</v>
      </c>
      <c r="AC161" s="135">
        <f>INDEX(Tab_Def_Flows[[Flow_ID]:[CC_DM_source]],MATCH(Tab_Data_Flows[[#This Row],[Flow_Name]],Tab_Def_Flows[Flow_Name],0),17)</f>
        <v>0</v>
      </c>
      <c r="AD161" s="6" t="str">
        <f>Tab_Data_Flows[[#This Row],[Flow_ID]]&amp;"_"&amp;"CC_"&amp;Tab_Data_Flows[[#This Row],[Flow_Data_Year]]</f>
        <v>F_00_14_CC_2028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F_00_14</v>
      </c>
      <c r="C162" s="134" t="s">
        <v>1116</v>
      </c>
      <c r="D162" s="9" t="str">
        <f>_xlfn.XLOOKUP(C162,Tab_Def_Flows[Flow_Name],Tab_Def_Flows[WC?],,0,)</f>
        <v>Yes</v>
      </c>
      <c r="E162" s="9" t="str">
        <f>_xlfn.XLOOKUP(C162,Tab_Def_Flows[Flow_Name],Tab_Def_Flows[DM?],,0,)</f>
        <v>Yes</v>
      </c>
      <c r="F162" s="9" t="str">
        <f>_xlfn.XLOOKUP(C162,Tab_Def_Flows[Flow_Name],Tab_Def_Flows[CC?],,0,)</f>
        <v>Yes</v>
      </c>
      <c r="G162" s="186">
        <v>2029</v>
      </c>
      <c r="H162" s="187">
        <v>22126.241539584007</v>
      </c>
      <c r="I162" s="6" t="str">
        <f>'0_Configuration'!$C$4</f>
        <v>Mg</v>
      </c>
      <c r="J162" s="13"/>
      <c r="K162" s="13"/>
      <c r="L162" s="13"/>
      <c r="M162" s="13"/>
      <c r="N162" s="13"/>
      <c r="O162" s="7" t="s">
        <v>6</v>
      </c>
      <c r="P162" s="7"/>
      <c r="Q162" s="7"/>
      <c r="R162" s="6" t="str">
        <f>Tab_Data_Flows[[#This Row],[Flow_ID]]&amp;"_"&amp;"material_"&amp;Tab_Data_Flows[[#This Row],[Flow_Data_Year]]</f>
        <v>F_00_14_material_2029</v>
      </c>
      <c r="S162" s="12">
        <f t="shared" si="4"/>
        <v>22126.241539584007</v>
      </c>
      <c r="T162" s="6" t="str">
        <f>Tab_Data_Flows[[#This Row],[UoM_Source]]</f>
        <v>Mg</v>
      </c>
      <c r="U162" s="135">
        <f>INDEX(Tab_Def_Flows[[Flow_ID]:[CC_DM_source]],MATCH(Tab_Data_Flows[[#This Row],[Flow_Name]],Tab_Def_Flows[Flow_Name],0),11)</f>
        <v>0</v>
      </c>
      <c r="V162" s="6" t="str">
        <f>Tab_Data_Flows[[#This Row],[Flow_ID]]&amp;"_"&amp;"WC_"&amp;Tab_Data_Flows[[#This Row],[Flow_Data_Year]]</f>
        <v>F_00_14_WC_2029</v>
      </c>
      <c r="W162" s="6">
        <f>IF(D162="Yes",S162*Tab_Data_Flows[[#This Row],[WC_'[%']]],"N.A.")</f>
        <v>0</v>
      </c>
      <c r="X162" s="6" t="str">
        <f>Tab_Data_Flows[[#This Row],[UoM_Flow_Py]]</f>
        <v>Mg</v>
      </c>
      <c r="Y162" s="135">
        <f>INDEX(Tab_Def_Flows[[Flow_ID]:[CC_DM_source]],MATCH(Tab_Data_Flows[[#This Row],[Flow_Name]],Tab_Def_Flows[Flow_Name],0),14)</f>
        <v>0</v>
      </c>
      <c r="Z162" s="6" t="str">
        <f>Tab_Data_Flows[[#This Row],[Flow_ID]]&amp;"_"&amp;"DM_"&amp;Tab_Data_Flows[[#This Row],[Flow_Data_Year]]</f>
        <v>F_00_14_DM_2029</v>
      </c>
      <c r="AA162" s="6">
        <f>IF(E162="Yes",Y162*Tab_Data_Flows[[#This Row],[Flow_Material]],"N.A.")</f>
        <v>0</v>
      </c>
      <c r="AB162" s="6" t="str">
        <f>Tab_Data_Flows[[#This Row],[UoM_Flow_Py]]</f>
        <v>Mg</v>
      </c>
      <c r="AC162" s="135">
        <f>INDEX(Tab_Def_Flows[[Flow_ID]:[CC_DM_source]],MATCH(Tab_Data_Flows[[#This Row],[Flow_Name]],Tab_Def_Flows[Flow_Name],0),17)</f>
        <v>0</v>
      </c>
      <c r="AD162" s="6" t="str">
        <f>Tab_Data_Flows[[#This Row],[Flow_ID]]&amp;"_"&amp;"CC_"&amp;Tab_Data_Flows[[#This Row],[Flow_Data_Year]]</f>
        <v>F_00_14_CC_2029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F_00_14</v>
      </c>
      <c r="C163" s="134" t="s">
        <v>1116</v>
      </c>
      <c r="D163" s="9" t="str">
        <f>_xlfn.XLOOKUP(C163,Tab_Def_Flows[Flow_Name],Tab_Def_Flows[WC?],,0,)</f>
        <v>Yes</v>
      </c>
      <c r="E163" s="9" t="str">
        <f>_xlfn.XLOOKUP(C163,Tab_Def_Flows[Flow_Name],Tab_Def_Flows[DM?],,0,)</f>
        <v>Yes</v>
      </c>
      <c r="F163" s="9" t="str">
        <f>_xlfn.XLOOKUP(C163,Tab_Def_Flows[Flow_Name],Tab_Def_Flows[CC?],,0,)</f>
        <v>Yes</v>
      </c>
      <c r="G163" s="186">
        <v>2030</v>
      </c>
      <c r="H163" s="187">
        <v>22126.241539584007</v>
      </c>
      <c r="I163" s="6" t="str">
        <f>'0_Configuration'!$C$4</f>
        <v>Mg</v>
      </c>
      <c r="J163" s="13"/>
      <c r="K163" s="13"/>
      <c r="L163" s="13"/>
      <c r="M163" s="13"/>
      <c r="N163" s="13"/>
      <c r="O163" s="7" t="s">
        <v>6</v>
      </c>
      <c r="P163" s="7"/>
      <c r="Q163" s="7"/>
      <c r="R163" s="6" t="str">
        <f>Tab_Data_Flows[[#This Row],[Flow_ID]]&amp;"_"&amp;"material_"&amp;Tab_Data_Flows[[#This Row],[Flow_Data_Year]]</f>
        <v>F_00_14_material_2030</v>
      </c>
      <c r="S163" s="12">
        <f t="shared" si="4"/>
        <v>22126.241539584007</v>
      </c>
      <c r="T163" s="6" t="str">
        <f>Tab_Data_Flows[[#This Row],[UoM_Source]]</f>
        <v>Mg</v>
      </c>
      <c r="U163" s="135">
        <f>INDEX(Tab_Def_Flows[[Flow_ID]:[CC_DM_source]],MATCH(Tab_Data_Flows[[#This Row],[Flow_Name]],Tab_Def_Flows[Flow_Name],0),11)</f>
        <v>0</v>
      </c>
      <c r="V163" s="6" t="str">
        <f>Tab_Data_Flows[[#This Row],[Flow_ID]]&amp;"_"&amp;"WC_"&amp;Tab_Data_Flows[[#This Row],[Flow_Data_Year]]</f>
        <v>F_00_14_WC_2030</v>
      </c>
      <c r="W163" s="6">
        <f>IF(D163="Yes",S163*Tab_Data_Flows[[#This Row],[WC_'[%']]],"N.A.")</f>
        <v>0</v>
      </c>
      <c r="X163" s="6" t="str">
        <f>Tab_Data_Flows[[#This Row],[UoM_Flow_Py]]</f>
        <v>Mg</v>
      </c>
      <c r="Y163" s="135">
        <f>INDEX(Tab_Def_Flows[[Flow_ID]:[CC_DM_source]],MATCH(Tab_Data_Flows[[#This Row],[Flow_Name]],Tab_Def_Flows[Flow_Name],0),14)</f>
        <v>0</v>
      </c>
      <c r="Z163" s="6" t="str">
        <f>Tab_Data_Flows[[#This Row],[Flow_ID]]&amp;"_"&amp;"DM_"&amp;Tab_Data_Flows[[#This Row],[Flow_Data_Year]]</f>
        <v>F_00_14_DM_2030</v>
      </c>
      <c r="AA163" s="6">
        <f>IF(E163="Yes",Y163*Tab_Data_Flows[[#This Row],[Flow_Material]],"N.A.")</f>
        <v>0</v>
      </c>
      <c r="AB163" s="6" t="str">
        <f>Tab_Data_Flows[[#This Row],[UoM_Flow_Py]]</f>
        <v>Mg</v>
      </c>
      <c r="AC163" s="135">
        <f>INDEX(Tab_Def_Flows[[Flow_ID]:[CC_DM_source]],MATCH(Tab_Data_Flows[[#This Row],[Flow_Name]],Tab_Def_Flows[Flow_Name],0),17)</f>
        <v>0</v>
      </c>
      <c r="AD163" s="6" t="str">
        <f>Tab_Data_Flows[[#This Row],[Flow_ID]]&amp;"_"&amp;"CC_"&amp;Tab_Data_Flows[[#This Row],[Flow_Data_Year]]</f>
        <v>F_00_14_CC_2030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F_00_14</v>
      </c>
      <c r="C164" s="134" t="s">
        <v>1116</v>
      </c>
      <c r="D164" s="9" t="str">
        <f>_xlfn.XLOOKUP(C164,Tab_Def_Flows[Flow_Name],Tab_Def_Flows[WC?],,0,)</f>
        <v>Yes</v>
      </c>
      <c r="E164" s="9" t="str">
        <f>_xlfn.XLOOKUP(C164,Tab_Def_Flows[Flow_Name],Tab_Def_Flows[DM?],,0,)</f>
        <v>Yes</v>
      </c>
      <c r="F164" s="9" t="str">
        <f>_xlfn.XLOOKUP(C164,Tab_Def_Flows[Flow_Name],Tab_Def_Flows[CC?],,0,)</f>
        <v>Yes</v>
      </c>
      <c r="G164" s="186">
        <v>2031</v>
      </c>
      <c r="H164" s="187">
        <v>34253.871515136008</v>
      </c>
      <c r="I164" s="6" t="str">
        <f>'0_Configuration'!$C$4</f>
        <v>Mg</v>
      </c>
      <c r="J164" s="13"/>
      <c r="K164" s="13"/>
      <c r="L164" s="13"/>
      <c r="M164" s="13"/>
      <c r="N164" s="13"/>
      <c r="O164" s="7" t="s">
        <v>6</v>
      </c>
      <c r="P164" s="7"/>
      <c r="Q164" s="7"/>
      <c r="R164" s="6" t="str">
        <f>Tab_Data_Flows[[#This Row],[Flow_ID]]&amp;"_"&amp;"material_"&amp;Tab_Data_Flows[[#This Row],[Flow_Data_Year]]</f>
        <v>F_00_14_material_2031</v>
      </c>
      <c r="S164" s="12">
        <f t="shared" si="4"/>
        <v>34253.871515136008</v>
      </c>
      <c r="T164" s="6" t="str">
        <f>Tab_Data_Flows[[#This Row],[UoM_Source]]</f>
        <v>Mg</v>
      </c>
      <c r="U164" s="135">
        <f>INDEX(Tab_Def_Flows[[Flow_ID]:[CC_DM_source]],MATCH(Tab_Data_Flows[[#This Row],[Flow_Name]],Tab_Def_Flows[Flow_Name],0),11)</f>
        <v>0</v>
      </c>
      <c r="V164" s="6" t="str">
        <f>Tab_Data_Flows[[#This Row],[Flow_ID]]&amp;"_"&amp;"WC_"&amp;Tab_Data_Flows[[#This Row],[Flow_Data_Year]]</f>
        <v>F_00_14_WC_2031</v>
      </c>
      <c r="W164" s="6">
        <f>IF(D164="Yes",S164*Tab_Data_Flows[[#This Row],[WC_'[%']]],"N.A.")</f>
        <v>0</v>
      </c>
      <c r="X164" s="6" t="str">
        <f>Tab_Data_Flows[[#This Row],[UoM_Flow_Py]]</f>
        <v>Mg</v>
      </c>
      <c r="Y164" s="135">
        <f>INDEX(Tab_Def_Flows[[Flow_ID]:[CC_DM_source]],MATCH(Tab_Data_Flows[[#This Row],[Flow_Name]],Tab_Def_Flows[Flow_Name],0),14)</f>
        <v>0</v>
      </c>
      <c r="Z164" s="6" t="str">
        <f>Tab_Data_Flows[[#This Row],[Flow_ID]]&amp;"_"&amp;"DM_"&amp;Tab_Data_Flows[[#This Row],[Flow_Data_Year]]</f>
        <v>F_00_14_DM_2031</v>
      </c>
      <c r="AA164" s="6">
        <f>IF(E164="Yes",Y164*Tab_Data_Flows[[#This Row],[Flow_Material]],"N.A.")</f>
        <v>0</v>
      </c>
      <c r="AB164" s="6" t="str">
        <f>Tab_Data_Flows[[#This Row],[UoM_Flow_Py]]</f>
        <v>Mg</v>
      </c>
      <c r="AC164" s="135">
        <f>INDEX(Tab_Def_Flows[[Flow_ID]:[CC_DM_source]],MATCH(Tab_Data_Flows[[#This Row],[Flow_Name]],Tab_Def_Flows[Flow_Name],0),17)</f>
        <v>0</v>
      </c>
      <c r="AD164" s="6" t="str">
        <f>Tab_Data_Flows[[#This Row],[Flow_ID]]&amp;"_"&amp;"CC_"&amp;Tab_Data_Flows[[#This Row],[Flow_Data_Year]]</f>
        <v>F_00_14_CC_2031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F_00_14</v>
      </c>
      <c r="C165" s="134" t="s">
        <v>1116</v>
      </c>
      <c r="D165" s="9" t="str">
        <f>_xlfn.XLOOKUP(C165,Tab_Def_Flows[Flow_Name],Tab_Def_Flows[WC?],,0,)</f>
        <v>Yes</v>
      </c>
      <c r="E165" s="9" t="str">
        <f>_xlfn.XLOOKUP(C165,Tab_Def_Flows[Flow_Name],Tab_Def_Flows[DM?],,0,)</f>
        <v>Yes</v>
      </c>
      <c r="F165" s="9" t="str">
        <f>_xlfn.XLOOKUP(C165,Tab_Def_Flows[Flow_Name],Tab_Def_Flows[CC?],,0,)</f>
        <v>Yes</v>
      </c>
      <c r="G165" s="186">
        <v>2032</v>
      </c>
      <c r="H165" s="187">
        <v>28824.626428416013</v>
      </c>
      <c r="I165" s="6" t="str">
        <f>'0_Configuration'!$C$4</f>
        <v>Mg</v>
      </c>
      <c r="J165" s="13"/>
      <c r="K165" s="13"/>
      <c r="L165" s="13"/>
      <c r="M165" s="13"/>
      <c r="N165" s="13"/>
      <c r="O165" s="7" t="s">
        <v>6</v>
      </c>
      <c r="P165" s="7"/>
      <c r="Q165" s="7"/>
      <c r="R165" s="6" t="str">
        <f>Tab_Data_Flows[[#This Row],[Flow_ID]]&amp;"_"&amp;"material_"&amp;Tab_Data_Flows[[#This Row],[Flow_Data_Year]]</f>
        <v>F_00_14_material_2032</v>
      </c>
      <c r="S165" s="12">
        <f t="shared" si="4"/>
        <v>28824.626428416013</v>
      </c>
      <c r="T165" s="6" t="str">
        <f>Tab_Data_Flows[[#This Row],[UoM_Source]]</f>
        <v>Mg</v>
      </c>
      <c r="U165" s="135">
        <f>INDEX(Tab_Def_Flows[[Flow_ID]:[CC_DM_source]],MATCH(Tab_Data_Flows[[#This Row],[Flow_Name]],Tab_Def_Flows[Flow_Name],0),11)</f>
        <v>0</v>
      </c>
      <c r="V165" s="6" t="str">
        <f>Tab_Data_Flows[[#This Row],[Flow_ID]]&amp;"_"&amp;"WC_"&amp;Tab_Data_Flows[[#This Row],[Flow_Data_Year]]</f>
        <v>F_00_14_WC_2032</v>
      </c>
      <c r="W165" s="6">
        <f>IF(D165="Yes",S165*Tab_Data_Flows[[#This Row],[WC_'[%']]],"N.A.")</f>
        <v>0</v>
      </c>
      <c r="X165" s="6" t="str">
        <f>Tab_Data_Flows[[#This Row],[UoM_Flow_Py]]</f>
        <v>Mg</v>
      </c>
      <c r="Y165" s="135">
        <f>INDEX(Tab_Def_Flows[[Flow_ID]:[CC_DM_source]],MATCH(Tab_Data_Flows[[#This Row],[Flow_Name]],Tab_Def_Flows[Flow_Name],0),14)</f>
        <v>0</v>
      </c>
      <c r="Z165" s="6" t="str">
        <f>Tab_Data_Flows[[#This Row],[Flow_ID]]&amp;"_"&amp;"DM_"&amp;Tab_Data_Flows[[#This Row],[Flow_Data_Year]]</f>
        <v>F_00_14_DM_2032</v>
      </c>
      <c r="AA165" s="6">
        <f>IF(E165="Yes",Y165*Tab_Data_Flows[[#This Row],[Flow_Material]],"N.A.")</f>
        <v>0</v>
      </c>
      <c r="AB165" s="6" t="str">
        <f>Tab_Data_Flows[[#This Row],[UoM_Flow_Py]]</f>
        <v>Mg</v>
      </c>
      <c r="AC165" s="135">
        <f>INDEX(Tab_Def_Flows[[Flow_ID]:[CC_DM_source]],MATCH(Tab_Data_Flows[[#This Row],[Flow_Name]],Tab_Def_Flows[Flow_Name],0),17)</f>
        <v>0</v>
      </c>
      <c r="AD165" s="6" t="str">
        <f>Tab_Data_Flows[[#This Row],[Flow_ID]]&amp;"_"&amp;"CC_"&amp;Tab_Data_Flows[[#This Row],[Flow_Data_Year]]</f>
        <v>F_00_14_CC_2032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F_00_14</v>
      </c>
      <c r="C166" s="134" t="s">
        <v>1116</v>
      </c>
      <c r="D166" s="9" t="str">
        <f>_xlfn.XLOOKUP(C166,Tab_Def_Flows[Flow_Name],Tab_Def_Flows[WC?],,0,)</f>
        <v>Yes</v>
      </c>
      <c r="E166" s="9" t="str">
        <f>_xlfn.XLOOKUP(C166,Tab_Def_Flows[Flow_Name],Tab_Def_Flows[DM?],,0,)</f>
        <v>Yes</v>
      </c>
      <c r="F166" s="9" t="str">
        <f>_xlfn.XLOOKUP(C166,Tab_Def_Flows[Flow_Name],Tab_Def_Flows[CC?],,0,)</f>
        <v>Yes</v>
      </c>
      <c r="G166" s="186">
        <v>2033</v>
      </c>
      <c r="H166" s="187">
        <v>20552.389079040007</v>
      </c>
      <c r="I166" s="6" t="str">
        <f>'0_Configuration'!$C$4</f>
        <v>Mg</v>
      </c>
      <c r="J166" s="13"/>
      <c r="K166" s="13"/>
      <c r="L166" s="13"/>
      <c r="M166" s="13"/>
      <c r="N166" s="13"/>
      <c r="O166" s="7" t="s">
        <v>6</v>
      </c>
      <c r="P166" s="7"/>
      <c r="Q166" s="7"/>
      <c r="R166" s="6" t="str">
        <f>Tab_Data_Flows[[#This Row],[Flow_ID]]&amp;"_"&amp;"material_"&amp;Tab_Data_Flows[[#This Row],[Flow_Data_Year]]</f>
        <v>F_00_14_material_2033</v>
      </c>
      <c r="S166" s="12">
        <f t="shared" si="4"/>
        <v>20552.389079040007</v>
      </c>
      <c r="T166" s="6" t="str">
        <f>Tab_Data_Flows[[#This Row],[UoM_Source]]</f>
        <v>Mg</v>
      </c>
      <c r="U166" s="135">
        <f>INDEX(Tab_Def_Flows[[Flow_ID]:[CC_DM_source]],MATCH(Tab_Data_Flows[[#This Row],[Flow_Name]],Tab_Def_Flows[Flow_Name],0),11)</f>
        <v>0</v>
      </c>
      <c r="V166" s="6" t="str">
        <f>Tab_Data_Flows[[#This Row],[Flow_ID]]&amp;"_"&amp;"WC_"&amp;Tab_Data_Flows[[#This Row],[Flow_Data_Year]]</f>
        <v>F_00_14_WC_2033</v>
      </c>
      <c r="W166" s="6">
        <f>IF(D166="Yes",S166*Tab_Data_Flows[[#This Row],[WC_'[%']]],"N.A.")</f>
        <v>0</v>
      </c>
      <c r="X166" s="6" t="str">
        <f>Tab_Data_Flows[[#This Row],[UoM_Flow_Py]]</f>
        <v>Mg</v>
      </c>
      <c r="Y166" s="135">
        <f>INDEX(Tab_Def_Flows[[Flow_ID]:[CC_DM_source]],MATCH(Tab_Data_Flows[[#This Row],[Flow_Name]],Tab_Def_Flows[Flow_Name],0),14)</f>
        <v>0</v>
      </c>
      <c r="Z166" s="6" t="str">
        <f>Tab_Data_Flows[[#This Row],[Flow_ID]]&amp;"_"&amp;"DM_"&amp;Tab_Data_Flows[[#This Row],[Flow_Data_Year]]</f>
        <v>F_00_14_DM_2033</v>
      </c>
      <c r="AA166" s="6">
        <f>IF(E166="Yes",Y166*Tab_Data_Flows[[#This Row],[Flow_Material]],"N.A.")</f>
        <v>0</v>
      </c>
      <c r="AB166" s="6" t="str">
        <f>Tab_Data_Flows[[#This Row],[UoM_Flow_Py]]</f>
        <v>Mg</v>
      </c>
      <c r="AC166" s="135">
        <f>INDEX(Tab_Def_Flows[[Flow_ID]:[CC_DM_source]],MATCH(Tab_Data_Flows[[#This Row],[Flow_Name]],Tab_Def_Flows[Flow_Name],0),17)</f>
        <v>0</v>
      </c>
      <c r="AD166" s="6" t="str">
        <f>Tab_Data_Flows[[#This Row],[Flow_ID]]&amp;"_"&amp;"CC_"&amp;Tab_Data_Flows[[#This Row],[Flow_Data_Year]]</f>
        <v>F_00_14_CC_2033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F_00_14</v>
      </c>
      <c r="C167" s="134" t="s">
        <v>1116</v>
      </c>
      <c r="D167" s="9" t="str">
        <f>_xlfn.XLOOKUP(C167,Tab_Def_Flows[Flow_Name],Tab_Def_Flows[WC?],,0,)</f>
        <v>Yes</v>
      </c>
      <c r="E167" s="9" t="str">
        <f>_xlfn.XLOOKUP(C167,Tab_Def_Flows[Flow_Name],Tab_Def_Flows[DM?],,0,)</f>
        <v>Yes</v>
      </c>
      <c r="F167" s="9" t="str">
        <f>_xlfn.XLOOKUP(C167,Tab_Def_Flows[Flow_Name],Tab_Def_Flows[CC?],,0,)</f>
        <v>Yes</v>
      </c>
      <c r="G167" s="186">
        <v>2034</v>
      </c>
      <c r="H167" s="187">
        <v>27320.914123776009</v>
      </c>
      <c r="I167" s="6" t="str">
        <f>'0_Configuration'!$C$4</f>
        <v>Mg</v>
      </c>
      <c r="J167" s="13"/>
      <c r="K167" s="13"/>
      <c r="L167" s="13"/>
      <c r="M167" s="13"/>
      <c r="N167" s="13"/>
      <c r="O167" s="7" t="s">
        <v>6</v>
      </c>
      <c r="P167" s="7"/>
      <c r="Q167" s="7"/>
      <c r="R167" s="6" t="str">
        <f>Tab_Data_Flows[[#This Row],[Flow_ID]]&amp;"_"&amp;"material_"&amp;Tab_Data_Flows[[#This Row],[Flow_Data_Year]]</f>
        <v>F_00_14_material_2034</v>
      </c>
      <c r="S167" s="12">
        <f t="shared" si="4"/>
        <v>27320.914123776009</v>
      </c>
      <c r="T167" s="6" t="str">
        <f>Tab_Data_Flows[[#This Row],[UoM_Source]]</f>
        <v>Mg</v>
      </c>
      <c r="U167" s="135">
        <f>INDEX(Tab_Def_Flows[[Flow_ID]:[CC_DM_source]],MATCH(Tab_Data_Flows[[#This Row],[Flow_Name]],Tab_Def_Flows[Flow_Name],0),11)</f>
        <v>0</v>
      </c>
      <c r="V167" s="6" t="str">
        <f>Tab_Data_Flows[[#This Row],[Flow_ID]]&amp;"_"&amp;"WC_"&amp;Tab_Data_Flows[[#This Row],[Flow_Data_Year]]</f>
        <v>F_00_14_WC_2034</v>
      </c>
      <c r="W167" s="6">
        <f>IF(D167="Yes",S167*Tab_Data_Flows[[#This Row],[WC_'[%']]],"N.A.")</f>
        <v>0</v>
      </c>
      <c r="X167" s="6" t="str">
        <f>Tab_Data_Flows[[#This Row],[UoM_Flow_Py]]</f>
        <v>Mg</v>
      </c>
      <c r="Y167" s="135">
        <f>INDEX(Tab_Def_Flows[[Flow_ID]:[CC_DM_source]],MATCH(Tab_Data_Flows[[#This Row],[Flow_Name]],Tab_Def_Flows[Flow_Name],0),14)</f>
        <v>0</v>
      </c>
      <c r="Z167" s="6" t="str">
        <f>Tab_Data_Flows[[#This Row],[Flow_ID]]&amp;"_"&amp;"DM_"&amp;Tab_Data_Flows[[#This Row],[Flow_Data_Year]]</f>
        <v>F_00_14_DM_2034</v>
      </c>
      <c r="AA167" s="6">
        <f>IF(E167="Yes",Y167*Tab_Data_Flows[[#This Row],[Flow_Material]],"N.A.")</f>
        <v>0</v>
      </c>
      <c r="AB167" s="6" t="str">
        <f>Tab_Data_Flows[[#This Row],[UoM_Flow_Py]]</f>
        <v>Mg</v>
      </c>
      <c r="AC167" s="135">
        <f>INDEX(Tab_Def_Flows[[Flow_ID]:[CC_DM_source]],MATCH(Tab_Data_Flows[[#This Row],[Flow_Name]],Tab_Def_Flows[Flow_Name],0),17)</f>
        <v>0</v>
      </c>
      <c r="AD167" s="6" t="str">
        <f>Tab_Data_Flows[[#This Row],[Flow_ID]]&amp;"_"&amp;"CC_"&amp;Tab_Data_Flows[[#This Row],[Flow_Data_Year]]</f>
        <v>F_00_14_CC_2034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F_00_14</v>
      </c>
      <c r="C168" s="134" t="s">
        <v>1116</v>
      </c>
      <c r="D168" s="9" t="str">
        <f>_xlfn.XLOOKUP(C168,Tab_Def_Flows[Flow_Name],Tab_Def_Flows[WC?],,0,)</f>
        <v>Yes</v>
      </c>
      <c r="E168" s="9" t="str">
        <f>_xlfn.XLOOKUP(C168,Tab_Def_Flows[Flow_Name],Tab_Def_Flows[DM?],,0,)</f>
        <v>Yes</v>
      </c>
      <c r="F168" s="9" t="str">
        <f>_xlfn.XLOOKUP(C168,Tab_Def_Flows[Flow_Name],Tab_Def_Flows[CC?],,0,)</f>
        <v>Yes</v>
      </c>
      <c r="G168" s="186">
        <v>2035</v>
      </c>
      <c r="H168" s="187">
        <v>20592.752753664005</v>
      </c>
      <c r="I168" s="6" t="str">
        <f>'0_Configuration'!$C$4</f>
        <v>Mg</v>
      </c>
      <c r="J168" s="13"/>
      <c r="K168" s="13"/>
      <c r="L168" s="13"/>
      <c r="M168" s="13"/>
      <c r="N168" s="13"/>
      <c r="O168" s="7" t="s">
        <v>6</v>
      </c>
      <c r="P168" s="7"/>
      <c r="Q168" s="7"/>
      <c r="R168" s="6" t="str">
        <f>Tab_Data_Flows[[#This Row],[Flow_ID]]&amp;"_"&amp;"material_"&amp;Tab_Data_Flows[[#This Row],[Flow_Data_Year]]</f>
        <v>F_00_14_material_2035</v>
      </c>
      <c r="S168" s="12">
        <f t="shared" si="4"/>
        <v>20592.752753664005</v>
      </c>
      <c r="T168" s="6" t="str">
        <f>Tab_Data_Flows[[#This Row],[UoM_Source]]</f>
        <v>Mg</v>
      </c>
      <c r="U168" s="135">
        <f>INDEX(Tab_Def_Flows[[Flow_ID]:[CC_DM_source]],MATCH(Tab_Data_Flows[[#This Row],[Flow_Name]],Tab_Def_Flows[Flow_Name],0),11)</f>
        <v>0</v>
      </c>
      <c r="V168" s="6" t="str">
        <f>Tab_Data_Flows[[#This Row],[Flow_ID]]&amp;"_"&amp;"WC_"&amp;Tab_Data_Flows[[#This Row],[Flow_Data_Year]]</f>
        <v>F_00_14_WC_2035</v>
      </c>
      <c r="W168" s="6">
        <f>IF(D168="Yes",S168*Tab_Data_Flows[[#This Row],[WC_'[%']]],"N.A.")</f>
        <v>0</v>
      </c>
      <c r="X168" s="6" t="str">
        <f>Tab_Data_Flows[[#This Row],[UoM_Flow_Py]]</f>
        <v>Mg</v>
      </c>
      <c r="Y168" s="135">
        <f>INDEX(Tab_Def_Flows[[Flow_ID]:[CC_DM_source]],MATCH(Tab_Data_Flows[[#This Row],[Flow_Name]],Tab_Def_Flows[Flow_Name],0),14)</f>
        <v>0</v>
      </c>
      <c r="Z168" s="6" t="str">
        <f>Tab_Data_Flows[[#This Row],[Flow_ID]]&amp;"_"&amp;"DM_"&amp;Tab_Data_Flows[[#This Row],[Flow_Data_Year]]</f>
        <v>F_00_14_DM_2035</v>
      </c>
      <c r="AA168" s="6">
        <f>IF(E168="Yes",Y168*Tab_Data_Flows[[#This Row],[Flow_Material]],"N.A.")</f>
        <v>0</v>
      </c>
      <c r="AB168" s="6" t="str">
        <f>Tab_Data_Flows[[#This Row],[UoM_Flow_Py]]</f>
        <v>Mg</v>
      </c>
      <c r="AC168" s="135">
        <f>INDEX(Tab_Def_Flows[[Flow_ID]:[CC_DM_source]],MATCH(Tab_Data_Flows[[#This Row],[Flow_Name]],Tab_Def_Flows[Flow_Name],0),17)</f>
        <v>0</v>
      </c>
      <c r="AD168" s="6" t="str">
        <f>Tab_Data_Flows[[#This Row],[Flow_ID]]&amp;"_"&amp;"CC_"&amp;Tab_Data_Flows[[#This Row],[Flow_Data_Year]]</f>
        <v>F_00_14_CC_2035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F_00_14</v>
      </c>
      <c r="C169" s="134" t="s">
        <v>1116</v>
      </c>
      <c r="D169" s="9" t="str">
        <f>_xlfn.XLOOKUP(C169,Tab_Def_Flows[Flow_Name],Tab_Def_Flows[WC?],,0,)</f>
        <v>Yes</v>
      </c>
      <c r="E169" s="9" t="str">
        <f>_xlfn.XLOOKUP(C169,Tab_Def_Flows[Flow_Name],Tab_Def_Flows[DM?],,0,)</f>
        <v>Yes</v>
      </c>
      <c r="F169" s="9" t="str">
        <f>_xlfn.XLOOKUP(C169,Tab_Def_Flows[Flow_Name],Tab_Def_Flows[CC?],,0,)</f>
        <v>Yes</v>
      </c>
      <c r="G169" s="186">
        <v>2036</v>
      </c>
      <c r="H169" s="187">
        <v>20577.202813440006</v>
      </c>
      <c r="I169" s="6" t="str">
        <f>'0_Configuration'!$C$4</f>
        <v>Mg</v>
      </c>
      <c r="J169" s="13"/>
      <c r="K169" s="13"/>
      <c r="L169" s="13"/>
      <c r="M169" s="13"/>
      <c r="N169" s="13"/>
      <c r="O169" s="7" t="s">
        <v>6</v>
      </c>
      <c r="P169" s="7"/>
      <c r="Q169" s="7"/>
      <c r="R169" s="6" t="str">
        <f>Tab_Data_Flows[[#This Row],[Flow_ID]]&amp;"_"&amp;"material_"&amp;Tab_Data_Flows[[#This Row],[Flow_Data_Year]]</f>
        <v>F_00_14_material_2036</v>
      </c>
      <c r="S169" s="12">
        <f t="shared" si="4"/>
        <v>20577.202813440006</v>
      </c>
      <c r="T169" s="6" t="str">
        <f>Tab_Data_Flows[[#This Row],[UoM_Source]]</f>
        <v>Mg</v>
      </c>
      <c r="U169" s="135">
        <f>INDEX(Tab_Def_Flows[[Flow_ID]:[CC_DM_source]],MATCH(Tab_Data_Flows[[#This Row],[Flow_Name]],Tab_Def_Flows[Flow_Name],0),11)</f>
        <v>0</v>
      </c>
      <c r="V169" s="6" t="str">
        <f>Tab_Data_Flows[[#This Row],[Flow_ID]]&amp;"_"&amp;"WC_"&amp;Tab_Data_Flows[[#This Row],[Flow_Data_Year]]</f>
        <v>F_00_14_WC_2036</v>
      </c>
      <c r="W169" s="6">
        <f>IF(D169="Yes",S169*Tab_Data_Flows[[#This Row],[WC_'[%']]],"N.A.")</f>
        <v>0</v>
      </c>
      <c r="X169" s="6" t="str">
        <f>Tab_Data_Flows[[#This Row],[UoM_Flow_Py]]</f>
        <v>Mg</v>
      </c>
      <c r="Y169" s="135">
        <f>INDEX(Tab_Def_Flows[[Flow_ID]:[CC_DM_source]],MATCH(Tab_Data_Flows[[#This Row],[Flow_Name]],Tab_Def_Flows[Flow_Name],0),14)</f>
        <v>0</v>
      </c>
      <c r="Z169" s="6" t="str">
        <f>Tab_Data_Flows[[#This Row],[Flow_ID]]&amp;"_"&amp;"DM_"&amp;Tab_Data_Flows[[#This Row],[Flow_Data_Year]]</f>
        <v>F_00_14_DM_2036</v>
      </c>
      <c r="AA169" s="6">
        <f>IF(E169="Yes",Y169*Tab_Data_Flows[[#This Row],[Flow_Material]],"N.A.")</f>
        <v>0</v>
      </c>
      <c r="AB169" s="6" t="str">
        <f>Tab_Data_Flows[[#This Row],[UoM_Flow_Py]]</f>
        <v>Mg</v>
      </c>
      <c r="AC169" s="135">
        <f>INDEX(Tab_Def_Flows[[Flow_ID]:[CC_DM_source]],MATCH(Tab_Data_Flows[[#This Row],[Flow_Name]],Tab_Def_Flows[Flow_Name],0),17)</f>
        <v>0</v>
      </c>
      <c r="AD169" s="6" t="str">
        <f>Tab_Data_Flows[[#This Row],[Flow_ID]]&amp;"_"&amp;"CC_"&amp;Tab_Data_Flows[[#This Row],[Flow_Data_Year]]</f>
        <v>F_00_14_CC_2036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F_00_14</v>
      </c>
      <c r="C170" s="134" t="s">
        <v>1116</v>
      </c>
      <c r="D170" s="9" t="str">
        <f>_xlfn.XLOOKUP(C170,Tab_Def_Flows[Flow_Name],Tab_Def_Flows[WC?],,0,)</f>
        <v>Yes</v>
      </c>
      <c r="E170" s="9" t="str">
        <f>_xlfn.XLOOKUP(C170,Tab_Def_Flows[Flow_Name],Tab_Def_Flows[DM?],,0,)</f>
        <v>Yes</v>
      </c>
      <c r="F170" s="9" t="str">
        <f>_xlfn.XLOOKUP(C170,Tab_Def_Flows[Flow_Name],Tab_Def_Flows[CC?],,0,)</f>
        <v>Yes</v>
      </c>
      <c r="G170" s="186">
        <v>2037</v>
      </c>
      <c r="H170" s="187">
        <v>25310.339937792007</v>
      </c>
      <c r="I170" s="6" t="str">
        <f>'0_Configuration'!$C$4</f>
        <v>Mg</v>
      </c>
      <c r="J170" s="13"/>
      <c r="K170" s="13"/>
      <c r="L170" s="13"/>
      <c r="M170" s="13"/>
      <c r="N170" s="13"/>
      <c r="O170" s="7" t="s">
        <v>6</v>
      </c>
      <c r="P170" s="7"/>
      <c r="Q170" s="7"/>
      <c r="R170" s="6" t="str">
        <f>Tab_Data_Flows[[#This Row],[Flow_ID]]&amp;"_"&amp;"material_"&amp;Tab_Data_Flows[[#This Row],[Flow_Data_Year]]</f>
        <v>F_00_14_material_2037</v>
      </c>
      <c r="S170" s="12">
        <f t="shared" si="4"/>
        <v>25310.339937792007</v>
      </c>
      <c r="T170" s="6" t="str">
        <f>Tab_Data_Flows[[#This Row],[UoM_Source]]</f>
        <v>Mg</v>
      </c>
      <c r="U170" s="135">
        <f>INDEX(Tab_Def_Flows[[Flow_ID]:[CC_DM_source]],MATCH(Tab_Data_Flows[[#This Row],[Flow_Name]],Tab_Def_Flows[Flow_Name],0),11)</f>
        <v>0</v>
      </c>
      <c r="V170" s="6" t="str">
        <f>Tab_Data_Flows[[#This Row],[Flow_ID]]&amp;"_"&amp;"WC_"&amp;Tab_Data_Flows[[#This Row],[Flow_Data_Year]]</f>
        <v>F_00_14_WC_2037</v>
      </c>
      <c r="W170" s="6">
        <f>IF(D170="Yes",S170*Tab_Data_Flows[[#This Row],[WC_'[%']]],"N.A.")</f>
        <v>0</v>
      </c>
      <c r="X170" s="6" t="str">
        <f>Tab_Data_Flows[[#This Row],[UoM_Flow_Py]]</f>
        <v>Mg</v>
      </c>
      <c r="Y170" s="135">
        <f>INDEX(Tab_Def_Flows[[Flow_ID]:[CC_DM_source]],MATCH(Tab_Data_Flows[[#This Row],[Flow_Name]],Tab_Def_Flows[Flow_Name],0),14)</f>
        <v>0</v>
      </c>
      <c r="Z170" s="6" t="str">
        <f>Tab_Data_Flows[[#This Row],[Flow_ID]]&amp;"_"&amp;"DM_"&amp;Tab_Data_Flows[[#This Row],[Flow_Data_Year]]</f>
        <v>F_00_14_DM_2037</v>
      </c>
      <c r="AA170" s="6">
        <f>IF(E170="Yes",Y170*Tab_Data_Flows[[#This Row],[Flow_Material]],"N.A.")</f>
        <v>0</v>
      </c>
      <c r="AB170" s="6" t="str">
        <f>Tab_Data_Flows[[#This Row],[UoM_Flow_Py]]</f>
        <v>Mg</v>
      </c>
      <c r="AC170" s="135">
        <f>INDEX(Tab_Def_Flows[[Flow_ID]:[CC_DM_source]],MATCH(Tab_Data_Flows[[#This Row],[Flow_Name]],Tab_Def_Flows[Flow_Name],0),17)</f>
        <v>0</v>
      </c>
      <c r="AD170" s="6" t="str">
        <f>Tab_Data_Flows[[#This Row],[Flow_ID]]&amp;"_"&amp;"CC_"&amp;Tab_Data_Flows[[#This Row],[Flow_Data_Year]]</f>
        <v>F_00_14_CC_2037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F_00_14</v>
      </c>
      <c r="C171" s="134" t="s">
        <v>1116</v>
      </c>
      <c r="D171" s="9" t="str">
        <f>_xlfn.XLOOKUP(C171,Tab_Def_Flows[Flow_Name],Tab_Def_Flows[WC?],,0,)</f>
        <v>Yes</v>
      </c>
      <c r="E171" s="9" t="str">
        <f>_xlfn.XLOOKUP(C171,Tab_Def_Flows[Flow_Name],Tab_Def_Flows[DM?],,0,)</f>
        <v>Yes</v>
      </c>
      <c r="F171" s="9" t="str">
        <f>_xlfn.XLOOKUP(C171,Tab_Def_Flows[Flow_Name],Tab_Def_Flows[CC?],,0,)</f>
        <v>Yes</v>
      </c>
      <c r="G171" s="186">
        <v>2038</v>
      </c>
      <c r="H171" s="187">
        <v>10896.207049728004</v>
      </c>
      <c r="I171" s="6" t="str">
        <f>'0_Configuration'!$C$4</f>
        <v>Mg</v>
      </c>
      <c r="J171" s="13"/>
      <c r="K171" s="13"/>
      <c r="L171" s="13"/>
      <c r="M171" s="13"/>
      <c r="N171" s="13"/>
      <c r="O171" s="7" t="s">
        <v>6</v>
      </c>
      <c r="P171" s="7"/>
      <c r="Q171" s="7"/>
      <c r="R171" s="6" t="str">
        <f>Tab_Data_Flows[[#This Row],[Flow_ID]]&amp;"_"&amp;"material_"&amp;Tab_Data_Flows[[#This Row],[Flow_Data_Year]]</f>
        <v>F_00_14_material_2038</v>
      </c>
      <c r="S171" s="12">
        <f t="shared" si="4"/>
        <v>10896.207049728004</v>
      </c>
      <c r="T171" s="6" t="str">
        <f>Tab_Data_Flows[[#This Row],[UoM_Source]]</f>
        <v>Mg</v>
      </c>
      <c r="U171" s="135">
        <f>INDEX(Tab_Def_Flows[[Flow_ID]:[CC_DM_source]],MATCH(Tab_Data_Flows[[#This Row],[Flow_Name]],Tab_Def_Flows[Flow_Name],0),11)</f>
        <v>0</v>
      </c>
      <c r="V171" s="6" t="str">
        <f>Tab_Data_Flows[[#This Row],[Flow_ID]]&amp;"_"&amp;"WC_"&amp;Tab_Data_Flows[[#This Row],[Flow_Data_Year]]</f>
        <v>F_00_14_WC_2038</v>
      </c>
      <c r="W171" s="6">
        <f>IF(D171="Yes",S171*Tab_Data_Flows[[#This Row],[WC_'[%']]],"N.A.")</f>
        <v>0</v>
      </c>
      <c r="X171" s="6" t="str">
        <f>Tab_Data_Flows[[#This Row],[UoM_Flow_Py]]</f>
        <v>Mg</v>
      </c>
      <c r="Y171" s="135">
        <f>INDEX(Tab_Def_Flows[[Flow_ID]:[CC_DM_source]],MATCH(Tab_Data_Flows[[#This Row],[Flow_Name]],Tab_Def_Flows[Flow_Name],0),14)</f>
        <v>0</v>
      </c>
      <c r="Z171" s="6" t="str">
        <f>Tab_Data_Flows[[#This Row],[Flow_ID]]&amp;"_"&amp;"DM_"&amp;Tab_Data_Flows[[#This Row],[Flow_Data_Year]]</f>
        <v>F_00_14_DM_2038</v>
      </c>
      <c r="AA171" s="6">
        <f>IF(E171="Yes",Y171*Tab_Data_Flows[[#This Row],[Flow_Material]],"N.A.")</f>
        <v>0</v>
      </c>
      <c r="AB171" s="6" t="str">
        <f>Tab_Data_Flows[[#This Row],[UoM_Flow_Py]]</f>
        <v>Mg</v>
      </c>
      <c r="AC171" s="135">
        <f>INDEX(Tab_Def_Flows[[Flow_ID]:[CC_DM_source]],MATCH(Tab_Data_Flows[[#This Row],[Flow_Name]],Tab_Def_Flows[Flow_Name],0),17)</f>
        <v>0</v>
      </c>
      <c r="AD171" s="6" t="str">
        <f>Tab_Data_Flows[[#This Row],[Flow_ID]]&amp;"_"&amp;"CC_"&amp;Tab_Data_Flows[[#This Row],[Flow_Data_Year]]</f>
        <v>F_00_14_CC_2038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F_00_14</v>
      </c>
      <c r="C172" s="134" t="s">
        <v>1116</v>
      </c>
      <c r="D172" s="9" t="str">
        <f>_xlfn.XLOOKUP(C172,Tab_Def_Flows[Flow_Name],Tab_Def_Flows[WC?],,0,)</f>
        <v>Yes</v>
      </c>
      <c r="E172" s="9" t="str">
        <f>_xlfn.XLOOKUP(C172,Tab_Def_Flows[Flow_Name],Tab_Def_Flows[DM?],,0,)</f>
        <v>Yes</v>
      </c>
      <c r="F172" s="9" t="str">
        <f>_xlfn.XLOOKUP(C172,Tab_Def_Flows[Flow_Name],Tab_Def_Flows[CC?],,0,)</f>
        <v>Yes</v>
      </c>
      <c r="G172" s="186">
        <v>2039</v>
      </c>
      <c r="H172" s="187">
        <v>12155.752207872005</v>
      </c>
      <c r="I172" s="6" t="str">
        <f>'0_Configuration'!$C$4</f>
        <v>Mg</v>
      </c>
      <c r="J172" s="13"/>
      <c r="K172" s="13"/>
      <c r="L172" s="13"/>
      <c r="M172" s="13"/>
      <c r="N172" s="13"/>
      <c r="O172" s="7" t="s">
        <v>6</v>
      </c>
      <c r="P172" s="7"/>
      <c r="Q172" s="7"/>
      <c r="R172" s="6" t="str">
        <f>Tab_Data_Flows[[#This Row],[Flow_ID]]&amp;"_"&amp;"material_"&amp;Tab_Data_Flows[[#This Row],[Flow_Data_Year]]</f>
        <v>F_00_14_material_2039</v>
      </c>
      <c r="S172" s="12">
        <f t="shared" si="4"/>
        <v>12155.752207872005</v>
      </c>
      <c r="T172" s="6" t="str">
        <f>Tab_Data_Flows[[#This Row],[UoM_Source]]</f>
        <v>Mg</v>
      </c>
      <c r="U172" s="135">
        <f>INDEX(Tab_Def_Flows[[Flow_ID]:[CC_DM_source]],MATCH(Tab_Data_Flows[[#This Row],[Flow_Name]],Tab_Def_Flows[Flow_Name],0),11)</f>
        <v>0</v>
      </c>
      <c r="V172" s="6" t="str">
        <f>Tab_Data_Flows[[#This Row],[Flow_ID]]&amp;"_"&amp;"WC_"&amp;Tab_Data_Flows[[#This Row],[Flow_Data_Year]]</f>
        <v>F_00_14_WC_2039</v>
      </c>
      <c r="W172" s="6">
        <f>IF(D172="Yes",S172*Tab_Data_Flows[[#This Row],[WC_'[%']]],"N.A.")</f>
        <v>0</v>
      </c>
      <c r="X172" s="6" t="str">
        <f>Tab_Data_Flows[[#This Row],[UoM_Flow_Py]]</f>
        <v>Mg</v>
      </c>
      <c r="Y172" s="135">
        <f>INDEX(Tab_Def_Flows[[Flow_ID]:[CC_DM_source]],MATCH(Tab_Data_Flows[[#This Row],[Flow_Name]],Tab_Def_Flows[Flow_Name],0),14)</f>
        <v>0</v>
      </c>
      <c r="Z172" s="6" t="str">
        <f>Tab_Data_Flows[[#This Row],[Flow_ID]]&amp;"_"&amp;"DM_"&amp;Tab_Data_Flows[[#This Row],[Flow_Data_Year]]</f>
        <v>F_00_14_DM_2039</v>
      </c>
      <c r="AA172" s="6">
        <f>IF(E172="Yes",Y172*Tab_Data_Flows[[#This Row],[Flow_Material]],"N.A.")</f>
        <v>0</v>
      </c>
      <c r="AB172" s="6" t="str">
        <f>Tab_Data_Flows[[#This Row],[UoM_Flow_Py]]</f>
        <v>Mg</v>
      </c>
      <c r="AC172" s="135">
        <f>INDEX(Tab_Def_Flows[[Flow_ID]:[CC_DM_source]],MATCH(Tab_Data_Flows[[#This Row],[Flow_Name]],Tab_Def_Flows[Flow_Name],0),17)</f>
        <v>0</v>
      </c>
      <c r="AD172" s="6" t="str">
        <f>Tab_Data_Flows[[#This Row],[Flow_ID]]&amp;"_"&amp;"CC_"&amp;Tab_Data_Flows[[#This Row],[Flow_Data_Year]]</f>
        <v>F_00_14_CC_2039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F_00_14</v>
      </c>
      <c r="C173" s="134" t="s">
        <v>1116</v>
      </c>
      <c r="D173" s="9" t="str">
        <f>_xlfn.XLOOKUP(C173,Tab_Def_Flows[Flow_Name],Tab_Def_Flows[WC?],,0,)</f>
        <v>Yes</v>
      </c>
      <c r="E173" s="9" t="str">
        <f>_xlfn.XLOOKUP(C173,Tab_Def_Flows[Flow_Name],Tab_Def_Flows[DM?],,0,)</f>
        <v>Yes</v>
      </c>
      <c r="F173" s="9" t="str">
        <f>_xlfn.XLOOKUP(C173,Tab_Def_Flows[Flow_Name],Tab_Def_Flows[CC?],,0,)</f>
        <v>Yes</v>
      </c>
      <c r="G173" s="186">
        <v>2040</v>
      </c>
      <c r="H173" s="187">
        <v>19931.714869248008</v>
      </c>
      <c r="I173" s="6" t="str">
        <f>'0_Configuration'!$C$4</f>
        <v>Mg</v>
      </c>
      <c r="J173" s="13"/>
      <c r="K173" s="13"/>
      <c r="L173" s="13"/>
      <c r="M173" s="13"/>
      <c r="N173" s="13"/>
      <c r="O173" s="7" t="s">
        <v>6</v>
      </c>
      <c r="P173" s="7"/>
      <c r="Q173" s="7"/>
      <c r="R173" s="6" t="str">
        <f>Tab_Data_Flows[[#This Row],[Flow_ID]]&amp;"_"&amp;"material_"&amp;Tab_Data_Flows[[#This Row],[Flow_Data_Year]]</f>
        <v>F_00_14_material_2040</v>
      </c>
      <c r="S173" s="12">
        <f t="shared" si="4"/>
        <v>19931.714869248008</v>
      </c>
      <c r="T173" s="6" t="str">
        <f>Tab_Data_Flows[[#This Row],[UoM_Source]]</f>
        <v>Mg</v>
      </c>
      <c r="U173" s="135">
        <f>INDEX(Tab_Def_Flows[[Flow_ID]:[CC_DM_source]],MATCH(Tab_Data_Flows[[#This Row],[Flow_Name]],Tab_Def_Flows[Flow_Name],0),11)</f>
        <v>0</v>
      </c>
      <c r="V173" s="6" t="str">
        <f>Tab_Data_Flows[[#This Row],[Flow_ID]]&amp;"_"&amp;"WC_"&amp;Tab_Data_Flows[[#This Row],[Flow_Data_Year]]</f>
        <v>F_00_14_WC_2040</v>
      </c>
      <c r="W173" s="6">
        <f>IF(D173="Yes",S173*Tab_Data_Flows[[#This Row],[WC_'[%']]],"N.A.")</f>
        <v>0</v>
      </c>
      <c r="X173" s="6" t="str">
        <f>Tab_Data_Flows[[#This Row],[UoM_Flow_Py]]</f>
        <v>Mg</v>
      </c>
      <c r="Y173" s="135">
        <f>INDEX(Tab_Def_Flows[[Flow_ID]:[CC_DM_source]],MATCH(Tab_Data_Flows[[#This Row],[Flow_Name]],Tab_Def_Flows[Flow_Name],0),14)</f>
        <v>0</v>
      </c>
      <c r="Z173" s="6" t="str">
        <f>Tab_Data_Flows[[#This Row],[Flow_ID]]&amp;"_"&amp;"DM_"&amp;Tab_Data_Flows[[#This Row],[Flow_Data_Year]]</f>
        <v>F_00_14_DM_2040</v>
      </c>
      <c r="AA173" s="6">
        <f>IF(E173="Yes",Y173*Tab_Data_Flows[[#This Row],[Flow_Material]],"N.A.")</f>
        <v>0</v>
      </c>
      <c r="AB173" s="6" t="str">
        <f>Tab_Data_Flows[[#This Row],[UoM_Flow_Py]]</f>
        <v>Mg</v>
      </c>
      <c r="AC173" s="135">
        <f>INDEX(Tab_Def_Flows[[Flow_ID]:[CC_DM_source]],MATCH(Tab_Data_Flows[[#This Row],[Flow_Name]],Tab_Def_Flows[Flow_Name],0),17)</f>
        <v>0</v>
      </c>
      <c r="AD173" s="6" t="str">
        <f>Tab_Data_Flows[[#This Row],[Flow_ID]]&amp;"_"&amp;"CC_"&amp;Tab_Data_Flows[[#This Row],[Flow_Data_Year]]</f>
        <v>F_00_14_CC_2040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F_00_14</v>
      </c>
      <c r="C174" s="134" t="s">
        <v>1116</v>
      </c>
      <c r="D174" s="9" t="str">
        <f>_xlfn.XLOOKUP(C174,Tab_Def_Flows[Flow_Name],Tab_Def_Flows[WC?],,0,)</f>
        <v>Yes</v>
      </c>
      <c r="E174" s="9" t="str">
        <f>_xlfn.XLOOKUP(C174,Tab_Def_Flows[Flow_Name],Tab_Def_Flows[DM?],,0,)</f>
        <v>Yes</v>
      </c>
      <c r="F174" s="9" t="str">
        <f>_xlfn.XLOOKUP(C174,Tab_Def_Flows[Flow_Name],Tab_Def_Flows[CC?],,0,)</f>
        <v>Yes</v>
      </c>
      <c r="G174" s="186">
        <v>2041</v>
      </c>
      <c r="H174" s="187">
        <v>16918.334963712005</v>
      </c>
      <c r="I174" s="6" t="str">
        <f>'0_Configuration'!$C$4</f>
        <v>Mg</v>
      </c>
      <c r="J174" s="13"/>
      <c r="K174" s="13"/>
      <c r="L174" s="13"/>
      <c r="M174" s="13"/>
      <c r="N174" s="13"/>
      <c r="O174" s="7" t="s">
        <v>6</v>
      </c>
      <c r="P174" s="7"/>
      <c r="Q174" s="7"/>
      <c r="R174" s="6" t="str">
        <f>Tab_Data_Flows[[#This Row],[Flow_ID]]&amp;"_"&amp;"material_"&amp;Tab_Data_Flows[[#This Row],[Flow_Data_Year]]</f>
        <v>F_00_14_material_2041</v>
      </c>
      <c r="S174" s="12">
        <f t="shared" si="4"/>
        <v>16918.334963712005</v>
      </c>
      <c r="T174" s="6" t="str">
        <f>Tab_Data_Flows[[#This Row],[UoM_Source]]</f>
        <v>Mg</v>
      </c>
      <c r="U174" s="135">
        <f>INDEX(Tab_Def_Flows[[Flow_ID]:[CC_DM_source]],MATCH(Tab_Data_Flows[[#This Row],[Flow_Name]],Tab_Def_Flows[Flow_Name],0),11)</f>
        <v>0</v>
      </c>
      <c r="V174" s="6" t="str">
        <f>Tab_Data_Flows[[#This Row],[Flow_ID]]&amp;"_"&amp;"WC_"&amp;Tab_Data_Flows[[#This Row],[Flow_Data_Year]]</f>
        <v>F_00_14_WC_2041</v>
      </c>
      <c r="W174" s="6">
        <f>IF(D174="Yes",S174*Tab_Data_Flows[[#This Row],[WC_'[%']]],"N.A.")</f>
        <v>0</v>
      </c>
      <c r="X174" s="6" t="str">
        <f>Tab_Data_Flows[[#This Row],[UoM_Flow_Py]]</f>
        <v>Mg</v>
      </c>
      <c r="Y174" s="135">
        <f>INDEX(Tab_Def_Flows[[Flow_ID]:[CC_DM_source]],MATCH(Tab_Data_Flows[[#This Row],[Flow_Name]],Tab_Def_Flows[Flow_Name],0),14)</f>
        <v>0</v>
      </c>
      <c r="Z174" s="6" t="str">
        <f>Tab_Data_Flows[[#This Row],[Flow_ID]]&amp;"_"&amp;"DM_"&amp;Tab_Data_Flows[[#This Row],[Flow_Data_Year]]</f>
        <v>F_00_14_DM_2041</v>
      </c>
      <c r="AA174" s="6">
        <f>IF(E174="Yes",Y174*Tab_Data_Flows[[#This Row],[Flow_Material]],"N.A.")</f>
        <v>0</v>
      </c>
      <c r="AB174" s="6" t="str">
        <f>Tab_Data_Flows[[#This Row],[UoM_Flow_Py]]</f>
        <v>Mg</v>
      </c>
      <c r="AC174" s="135">
        <f>INDEX(Tab_Def_Flows[[Flow_ID]:[CC_DM_source]],MATCH(Tab_Data_Flows[[#This Row],[Flow_Name]],Tab_Def_Flows[Flow_Name],0),17)</f>
        <v>0</v>
      </c>
      <c r="AD174" s="6" t="str">
        <f>Tab_Data_Flows[[#This Row],[Flow_ID]]&amp;"_"&amp;"CC_"&amp;Tab_Data_Flows[[#This Row],[Flow_Data_Year]]</f>
        <v>F_00_14_CC_2041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F_00_14</v>
      </c>
      <c r="C175" s="134" t="s">
        <v>1116</v>
      </c>
      <c r="D175" s="9" t="str">
        <f>_xlfn.XLOOKUP(C175,Tab_Def_Flows[Flow_Name],Tab_Def_Flows[WC?],,0,)</f>
        <v>Yes</v>
      </c>
      <c r="E175" s="9" t="str">
        <f>_xlfn.XLOOKUP(C175,Tab_Def_Flows[Flow_Name],Tab_Def_Flows[DM?],,0,)</f>
        <v>Yes</v>
      </c>
      <c r="F175" s="9" t="str">
        <f>_xlfn.XLOOKUP(C175,Tab_Def_Flows[Flow_Name],Tab_Def_Flows[CC?],,0,)</f>
        <v>Yes</v>
      </c>
      <c r="G175" s="186">
        <v>2042</v>
      </c>
      <c r="H175" s="187">
        <v>25793.711483904008</v>
      </c>
      <c r="I175" s="6" t="str">
        <f>'0_Configuration'!$C$4</f>
        <v>Mg</v>
      </c>
      <c r="J175" s="13"/>
      <c r="K175" s="13"/>
      <c r="L175" s="13"/>
      <c r="M175" s="13"/>
      <c r="N175" s="13"/>
      <c r="O175" s="7" t="s">
        <v>6</v>
      </c>
      <c r="P175" s="7"/>
      <c r="Q175" s="7"/>
      <c r="R175" s="6" t="str">
        <f>Tab_Data_Flows[[#This Row],[Flow_ID]]&amp;"_"&amp;"material_"&amp;Tab_Data_Flows[[#This Row],[Flow_Data_Year]]</f>
        <v>F_00_14_material_2042</v>
      </c>
      <c r="S175" s="12">
        <f t="shared" si="4"/>
        <v>25793.711483904008</v>
      </c>
      <c r="T175" s="6" t="str">
        <f>Tab_Data_Flows[[#This Row],[UoM_Source]]</f>
        <v>Mg</v>
      </c>
      <c r="U175" s="135">
        <f>INDEX(Tab_Def_Flows[[Flow_ID]:[CC_DM_source]],MATCH(Tab_Data_Flows[[#This Row],[Flow_Name]],Tab_Def_Flows[Flow_Name],0),11)</f>
        <v>0</v>
      </c>
      <c r="V175" s="6" t="str">
        <f>Tab_Data_Flows[[#This Row],[Flow_ID]]&amp;"_"&amp;"WC_"&amp;Tab_Data_Flows[[#This Row],[Flow_Data_Year]]</f>
        <v>F_00_14_WC_2042</v>
      </c>
      <c r="W175" s="6">
        <f>IF(D175="Yes",S175*Tab_Data_Flows[[#This Row],[WC_'[%']]],"N.A.")</f>
        <v>0</v>
      </c>
      <c r="X175" s="6" t="str">
        <f>Tab_Data_Flows[[#This Row],[UoM_Flow_Py]]</f>
        <v>Mg</v>
      </c>
      <c r="Y175" s="135">
        <f>INDEX(Tab_Def_Flows[[Flow_ID]:[CC_DM_source]],MATCH(Tab_Data_Flows[[#This Row],[Flow_Name]],Tab_Def_Flows[Flow_Name],0),14)</f>
        <v>0</v>
      </c>
      <c r="Z175" s="6" t="str">
        <f>Tab_Data_Flows[[#This Row],[Flow_ID]]&amp;"_"&amp;"DM_"&amp;Tab_Data_Flows[[#This Row],[Flow_Data_Year]]</f>
        <v>F_00_14_DM_2042</v>
      </c>
      <c r="AA175" s="6">
        <f>IF(E175="Yes",Y175*Tab_Data_Flows[[#This Row],[Flow_Material]],"N.A.")</f>
        <v>0</v>
      </c>
      <c r="AB175" s="6" t="str">
        <f>Tab_Data_Flows[[#This Row],[UoM_Flow_Py]]</f>
        <v>Mg</v>
      </c>
      <c r="AC175" s="135">
        <f>INDEX(Tab_Def_Flows[[Flow_ID]:[CC_DM_source]],MATCH(Tab_Data_Flows[[#This Row],[Flow_Name]],Tab_Def_Flows[Flow_Name],0),17)</f>
        <v>0</v>
      </c>
      <c r="AD175" s="6" t="str">
        <f>Tab_Data_Flows[[#This Row],[Flow_ID]]&amp;"_"&amp;"CC_"&amp;Tab_Data_Flows[[#This Row],[Flow_Data_Year]]</f>
        <v>F_00_14_CC_2042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F_00_14</v>
      </c>
      <c r="C176" s="134" t="s">
        <v>1116</v>
      </c>
      <c r="D176" s="9" t="str">
        <f>_xlfn.XLOOKUP(C176,Tab_Def_Flows[Flow_Name],Tab_Def_Flows[WC?],,0,)</f>
        <v>Yes</v>
      </c>
      <c r="E176" s="9" t="str">
        <f>_xlfn.XLOOKUP(C176,Tab_Def_Flows[Flow_Name],Tab_Def_Flows[DM?],,0,)</f>
        <v>Yes</v>
      </c>
      <c r="F176" s="9" t="str">
        <f>_xlfn.XLOOKUP(C176,Tab_Def_Flows[Flow_Name],Tab_Def_Flows[CC?],,0,)</f>
        <v>Yes</v>
      </c>
      <c r="G176" s="186">
        <v>2043</v>
      </c>
      <c r="H176" s="187">
        <v>17619.405672960005</v>
      </c>
      <c r="I176" s="6" t="str">
        <f>'0_Configuration'!$C$4</f>
        <v>Mg</v>
      </c>
      <c r="J176" s="13"/>
      <c r="K176" s="13"/>
      <c r="L176" s="13"/>
      <c r="M176" s="13"/>
      <c r="N176" s="13"/>
      <c r="O176" s="7" t="s">
        <v>6</v>
      </c>
      <c r="P176" s="14"/>
      <c r="Q176" s="7"/>
      <c r="R176" s="6" t="str">
        <f>Tab_Data_Flows[[#This Row],[Flow_ID]]&amp;"_"&amp;"material_"&amp;Tab_Data_Flows[[#This Row],[Flow_Data_Year]]</f>
        <v>F_00_14_material_2043</v>
      </c>
      <c r="S176" s="12">
        <f t="shared" si="4"/>
        <v>17619.405672960005</v>
      </c>
      <c r="T176" s="6" t="str">
        <f>Tab_Data_Flows[[#This Row],[UoM_Source]]</f>
        <v>Mg</v>
      </c>
      <c r="U176" s="135">
        <f>INDEX(Tab_Def_Flows[[Flow_ID]:[CC_DM_source]],MATCH(Tab_Data_Flows[[#This Row],[Flow_Name]],Tab_Def_Flows[Flow_Name],0),11)</f>
        <v>0</v>
      </c>
      <c r="V176" s="6" t="str">
        <f>Tab_Data_Flows[[#This Row],[Flow_ID]]&amp;"_"&amp;"WC_"&amp;Tab_Data_Flows[[#This Row],[Flow_Data_Year]]</f>
        <v>F_00_14_WC_2043</v>
      </c>
      <c r="W176" s="6">
        <f>IF(D176="Yes",S176*Tab_Data_Flows[[#This Row],[WC_'[%']]],"N.A.")</f>
        <v>0</v>
      </c>
      <c r="X176" s="6" t="str">
        <f>Tab_Data_Flows[[#This Row],[UoM_Flow_Py]]</f>
        <v>Mg</v>
      </c>
      <c r="Y176" s="135">
        <f>INDEX(Tab_Def_Flows[[Flow_ID]:[CC_DM_source]],MATCH(Tab_Data_Flows[[#This Row],[Flow_Name]],Tab_Def_Flows[Flow_Name],0),14)</f>
        <v>0</v>
      </c>
      <c r="Z176" s="6" t="str">
        <f>Tab_Data_Flows[[#This Row],[Flow_ID]]&amp;"_"&amp;"DM_"&amp;Tab_Data_Flows[[#This Row],[Flow_Data_Year]]</f>
        <v>F_00_14_DM_2043</v>
      </c>
      <c r="AA176" s="6">
        <f>IF(E176="Yes",Y176*Tab_Data_Flows[[#This Row],[Flow_Material]],"N.A.")</f>
        <v>0</v>
      </c>
      <c r="AB176" s="6" t="str">
        <f>Tab_Data_Flows[[#This Row],[UoM_Flow_Py]]</f>
        <v>Mg</v>
      </c>
      <c r="AC176" s="135">
        <f>INDEX(Tab_Def_Flows[[Flow_ID]:[CC_DM_source]],MATCH(Tab_Data_Flows[[#This Row],[Flow_Name]],Tab_Def_Flows[Flow_Name],0),17)</f>
        <v>0</v>
      </c>
      <c r="AD176" s="6" t="str">
        <f>Tab_Data_Flows[[#This Row],[Flow_ID]]&amp;"_"&amp;"CC_"&amp;Tab_Data_Flows[[#This Row],[Flow_Data_Year]]</f>
        <v>F_00_14_CC_2043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F_00_14</v>
      </c>
      <c r="C177" s="134" t="s">
        <v>1116</v>
      </c>
      <c r="D177" s="9" t="str">
        <f>_xlfn.XLOOKUP(C177,Tab_Def_Flows[Flow_Name],Tab_Def_Flows[WC?],,0,)</f>
        <v>Yes</v>
      </c>
      <c r="E177" s="9" t="str">
        <f>_xlfn.XLOOKUP(C177,Tab_Def_Flows[Flow_Name],Tab_Def_Flows[DM?],,0,)</f>
        <v>Yes</v>
      </c>
      <c r="F177" s="9" t="str">
        <f>_xlfn.XLOOKUP(C177,Tab_Def_Flows[Flow_Name],Tab_Def_Flows[CC?],,0,)</f>
        <v>Yes</v>
      </c>
      <c r="G177" s="186">
        <v>2044</v>
      </c>
      <c r="H177" s="187">
        <v>14246.722893312004</v>
      </c>
      <c r="I177" s="6" t="str">
        <f>'0_Configuration'!$C$4</f>
        <v>Mg</v>
      </c>
      <c r="J177" s="13"/>
      <c r="K177" s="13"/>
      <c r="L177" s="13"/>
      <c r="M177" s="13"/>
      <c r="N177" s="13"/>
      <c r="O177" s="7" t="s">
        <v>6</v>
      </c>
      <c r="P177" s="14"/>
      <c r="Q177" s="7"/>
      <c r="R177" s="6" t="str">
        <f>Tab_Data_Flows[[#This Row],[Flow_ID]]&amp;"_"&amp;"material_"&amp;Tab_Data_Flows[[#This Row],[Flow_Data_Year]]</f>
        <v>F_00_14_material_2044</v>
      </c>
      <c r="S177" s="12">
        <f t="shared" si="4"/>
        <v>14246.722893312004</v>
      </c>
      <c r="T177" s="6" t="str">
        <f>Tab_Data_Flows[[#This Row],[UoM_Source]]</f>
        <v>Mg</v>
      </c>
      <c r="U177" s="135">
        <f>INDEX(Tab_Def_Flows[[Flow_ID]:[CC_DM_source]],MATCH(Tab_Data_Flows[[#This Row],[Flow_Name]],Tab_Def_Flows[Flow_Name],0),11)</f>
        <v>0</v>
      </c>
      <c r="V177" s="6" t="str">
        <f>Tab_Data_Flows[[#This Row],[Flow_ID]]&amp;"_"&amp;"WC_"&amp;Tab_Data_Flows[[#This Row],[Flow_Data_Year]]</f>
        <v>F_00_14_WC_2044</v>
      </c>
      <c r="W177" s="6">
        <f>IF(D177="Yes",S177*Tab_Data_Flows[[#This Row],[WC_'[%']]],"N.A.")</f>
        <v>0</v>
      </c>
      <c r="X177" s="6" t="str">
        <f>Tab_Data_Flows[[#This Row],[UoM_Flow_Py]]</f>
        <v>Mg</v>
      </c>
      <c r="Y177" s="135">
        <f>INDEX(Tab_Def_Flows[[Flow_ID]:[CC_DM_source]],MATCH(Tab_Data_Flows[[#This Row],[Flow_Name]],Tab_Def_Flows[Flow_Name],0),14)</f>
        <v>0</v>
      </c>
      <c r="Z177" s="6" t="str">
        <f>Tab_Data_Flows[[#This Row],[Flow_ID]]&amp;"_"&amp;"DM_"&amp;Tab_Data_Flows[[#This Row],[Flow_Data_Year]]</f>
        <v>F_00_14_DM_2044</v>
      </c>
      <c r="AA177" s="6">
        <f>IF(E177="Yes",Y177*Tab_Data_Flows[[#This Row],[Flow_Material]],"N.A.")</f>
        <v>0</v>
      </c>
      <c r="AB177" s="6" t="str">
        <f>Tab_Data_Flows[[#This Row],[UoM_Flow_Py]]</f>
        <v>Mg</v>
      </c>
      <c r="AC177" s="135">
        <f>INDEX(Tab_Def_Flows[[Flow_ID]:[CC_DM_source]],MATCH(Tab_Data_Flows[[#This Row],[Flow_Name]],Tab_Def_Flows[Flow_Name],0),17)</f>
        <v>0</v>
      </c>
      <c r="AD177" s="6" t="str">
        <f>Tab_Data_Flows[[#This Row],[Flow_ID]]&amp;"_"&amp;"CC_"&amp;Tab_Data_Flows[[#This Row],[Flow_Data_Year]]</f>
        <v>F_00_14_CC_2044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F_00_14</v>
      </c>
      <c r="C178" s="134" t="s">
        <v>1116</v>
      </c>
      <c r="D178" s="9" t="str">
        <f>_xlfn.XLOOKUP(C178,Tab_Def_Flows[Flow_Name],Tab_Def_Flows[WC?],,0,)</f>
        <v>Yes</v>
      </c>
      <c r="E178" s="9" t="str">
        <f>_xlfn.XLOOKUP(C178,Tab_Def_Flows[Flow_Name],Tab_Def_Flows[DM?],,0,)</f>
        <v>Yes</v>
      </c>
      <c r="F178" s="9" t="str">
        <f>_xlfn.XLOOKUP(C178,Tab_Def_Flows[Flow_Name],Tab_Def_Flows[CC?],,0,)</f>
        <v>Yes</v>
      </c>
      <c r="G178" s="186">
        <v>2045</v>
      </c>
      <c r="H178" s="187">
        <v>33494.571242496015</v>
      </c>
      <c r="I178" s="6" t="str">
        <f>'0_Configuration'!$C$4</f>
        <v>Mg</v>
      </c>
      <c r="J178" s="13"/>
      <c r="K178" s="13"/>
      <c r="L178" s="13"/>
      <c r="M178" s="13"/>
      <c r="N178" s="13"/>
      <c r="O178" s="7" t="s">
        <v>6</v>
      </c>
      <c r="P178" s="14"/>
      <c r="Q178" s="7"/>
      <c r="R178" s="6" t="str">
        <f>Tab_Data_Flows[[#This Row],[Flow_ID]]&amp;"_"&amp;"material_"&amp;Tab_Data_Flows[[#This Row],[Flow_Data_Year]]</f>
        <v>F_00_14_material_2045</v>
      </c>
      <c r="S178" s="12">
        <f t="shared" si="4"/>
        <v>33494.571242496015</v>
      </c>
      <c r="T178" s="6" t="str">
        <f>Tab_Data_Flows[[#This Row],[UoM_Source]]</f>
        <v>Mg</v>
      </c>
      <c r="U178" s="135">
        <f>INDEX(Tab_Def_Flows[[Flow_ID]:[CC_DM_source]],MATCH(Tab_Data_Flows[[#This Row],[Flow_Name]],Tab_Def_Flows[Flow_Name],0),11)</f>
        <v>0</v>
      </c>
      <c r="V178" s="6" t="str">
        <f>Tab_Data_Flows[[#This Row],[Flow_ID]]&amp;"_"&amp;"WC_"&amp;Tab_Data_Flows[[#This Row],[Flow_Data_Year]]</f>
        <v>F_00_14_WC_2045</v>
      </c>
      <c r="W178" s="6">
        <f>IF(D178="Yes",S178*Tab_Data_Flows[[#This Row],[WC_'[%']]],"N.A.")</f>
        <v>0</v>
      </c>
      <c r="X178" s="6" t="str">
        <f>Tab_Data_Flows[[#This Row],[UoM_Flow_Py]]</f>
        <v>Mg</v>
      </c>
      <c r="Y178" s="135">
        <f>INDEX(Tab_Def_Flows[[Flow_ID]:[CC_DM_source]],MATCH(Tab_Data_Flows[[#This Row],[Flow_Name]],Tab_Def_Flows[Flow_Name],0),14)</f>
        <v>0</v>
      </c>
      <c r="Z178" s="6" t="str">
        <f>Tab_Data_Flows[[#This Row],[Flow_ID]]&amp;"_"&amp;"DM_"&amp;Tab_Data_Flows[[#This Row],[Flow_Data_Year]]</f>
        <v>F_00_14_DM_2045</v>
      </c>
      <c r="AA178" s="6">
        <f>IF(E178="Yes",Y178*Tab_Data_Flows[[#This Row],[Flow_Material]],"N.A.")</f>
        <v>0</v>
      </c>
      <c r="AB178" s="6" t="str">
        <f>Tab_Data_Flows[[#This Row],[UoM_Flow_Py]]</f>
        <v>Mg</v>
      </c>
      <c r="AC178" s="135">
        <f>INDEX(Tab_Def_Flows[[Flow_ID]:[CC_DM_source]],MATCH(Tab_Data_Flows[[#This Row],[Flow_Name]],Tab_Def_Flows[Flow_Name],0),17)</f>
        <v>0</v>
      </c>
      <c r="AD178" s="6" t="str">
        <f>Tab_Data_Flows[[#This Row],[Flow_ID]]&amp;"_"&amp;"CC_"&amp;Tab_Data_Flows[[#This Row],[Flow_Data_Year]]</f>
        <v>F_00_14_CC_2045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F_00_14</v>
      </c>
      <c r="C179" s="134" t="s">
        <v>1116</v>
      </c>
      <c r="D179" s="9" t="str">
        <f>_xlfn.XLOOKUP(C179,Tab_Def_Flows[Flow_Name],Tab_Def_Flows[WC?],,0,)</f>
        <v>Yes</v>
      </c>
      <c r="E179" s="9" t="str">
        <f>_xlfn.XLOOKUP(C179,Tab_Def_Flows[Flow_Name],Tab_Def_Flows[DM?],,0,)</f>
        <v>Yes</v>
      </c>
      <c r="F179" s="9" t="str">
        <f>_xlfn.XLOOKUP(C179,Tab_Def_Flows[Flow_Name],Tab_Def_Flows[CC?],,0,)</f>
        <v>Yes</v>
      </c>
      <c r="G179" s="186">
        <v>2046</v>
      </c>
      <c r="H179" s="187">
        <v>22182.155154432006</v>
      </c>
      <c r="I179" s="6" t="str">
        <f>'0_Configuration'!$C$4</f>
        <v>Mg</v>
      </c>
      <c r="J179" s="13"/>
      <c r="K179" s="13"/>
      <c r="L179" s="13"/>
      <c r="M179" s="13"/>
      <c r="N179" s="13"/>
      <c r="O179" s="7" t="s">
        <v>6</v>
      </c>
      <c r="P179" s="14"/>
      <c r="Q179" s="7"/>
      <c r="R179" s="6" t="str">
        <f>Tab_Data_Flows[[#This Row],[Flow_ID]]&amp;"_"&amp;"material_"&amp;Tab_Data_Flows[[#This Row],[Flow_Data_Year]]</f>
        <v>F_00_14_material_2046</v>
      </c>
      <c r="S179" s="12">
        <f t="shared" si="4"/>
        <v>22182.155154432006</v>
      </c>
      <c r="T179" s="6" t="str">
        <f>Tab_Data_Flows[[#This Row],[UoM_Source]]</f>
        <v>Mg</v>
      </c>
      <c r="U179" s="135">
        <f>INDEX(Tab_Def_Flows[[Flow_ID]:[CC_DM_source]],MATCH(Tab_Data_Flows[[#This Row],[Flow_Name]],Tab_Def_Flows[Flow_Name],0),11)</f>
        <v>0</v>
      </c>
      <c r="V179" s="6" t="str">
        <f>Tab_Data_Flows[[#This Row],[Flow_ID]]&amp;"_"&amp;"WC_"&amp;Tab_Data_Flows[[#This Row],[Flow_Data_Year]]</f>
        <v>F_00_14_WC_2046</v>
      </c>
      <c r="W179" s="6">
        <f>IF(D179="Yes",S179*Tab_Data_Flows[[#This Row],[WC_'[%']]],"N.A.")</f>
        <v>0</v>
      </c>
      <c r="X179" s="6" t="str">
        <f>Tab_Data_Flows[[#This Row],[UoM_Flow_Py]]</f>
        <v>Mg</v>
      </c>
      <c r="Y179" s="135">
        <f>INDEX(Tab_Def_Flows[[Flow_ID]:[CC_DM_source]],MATCH(Tab_Data_Flows[[#This Row],[Flow_Name]],Tab_Def_Flows[Flow_Name],0),14)</f>
        <v>0</v>
      </c>
      <c r="Z179" s="6" t="str">
        <f>Tab_Data_Flows[[#This Row],[Flow_ID]]&amp;"_"&amp;"DM_"&amp;Tab_Data_Flows[[#This Row],[Flow_Data_Year]]</f>
        <v>F_00_14_DM_2046</v>
      </c>
      <c r="AA179" s="6">
        <f>IF(E179="Yes",Y179*Tab_Data_Flows[[#This Row],[Flow_Material]],"N.A.")</f>
        <v>0</v>
      </c>
      <c r="AB179" s="6" t="str">
        <f>Tab_Data_Flows[[#This Row],[UoM_Flow_Py]]</f>
        <v>Mg</v>
      </c>
      <c r="AC179" s="135">
        <f>INDEX(Tab_Def_Flows[[Flow_ID]:[CC_DM_source]],MATCH(Tab_Data_Flows[[#This Row],[Flow_Name]],Tab_Def_Flows[Flow_Name],0),17)</f>
        <v>0</v>
      </c>
      <c r="AD179" s="6" t="str">
        <f>Tab_Data_Flows[[#This Row],[Flow_ID]]&amp;"_"&amp;"CC_"&amp;Tab_Data_Flows[[#This Row],[Flow_Data_Year]]</f>
        <v>F_00_14_CC_2046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F_00_14</v>
      </c>
      <c r="C180" s="134" t="s">
        <v>1116</v>
      </c>
      <c r="D180" s="9" t="str">
        <f>_xlfn.XLOOKUP(C180,Tab_Def_Flows[Flow_Name],Tab_Def_Flows[WC?],,0,)</f>
        <v>Yes</v>
      </c>
      <c r="E180" s="9" t="str">
        <f>_xlfn.XLOOKUP(C180,Tab_Def_Flows[Flow_Name],Tab_Def_Flows[DM?],,0,)</f>
        <v>Yes</v>
      </c>
      <c r="F180" s="9" t="str">
        <f>_xlfn.XLOOKUP(C180,Tab_Def_Flows[Flow_Name],Tab_Def_Flows[CC?],,0,)</f>
        <v>Yes</v>
      </c>
      <c r="G180" s="186">
        <v>2047</v>
      </c>
      <c r="H180" s="187">
        <v>24143.763571200008</v>
      </c>
      <c r="I180" s="6" t="str">
        <f>'0_Configuration'!$C$4</f>
        <v>Mg</v>
      </c>
      <c r="J180" s="13"/>
      <c r="K180" s="13"/>
      <c r="L180" s="13"/>
      <c r="M180" s="13"/>
      <c r="N180" s="13"/>
      <c r="O180" s="7" t="s">
        <v>6</v>
      </c>
      <c r="P180" s="14"/>
      <c r="Q180" s="7"/>
      <c r="R180" s="6" t="str">
        <f>Tab_Data_Flows[[#This Row],[Flow_ID]]&amp;"_"&amp;"material_"&amp;Tab_Data_Flows[[#This Row],[Flow_Data_Year]]</f>
        <v>F_00_14_material_2047</v>
      </c>
      <c r="S180" s="12">
        <f t="shared" si="4"/>
        <v>24143.763571200008</v>
      </c>
      <c r="T180" s="6" t="str">
        <f>Tab_Data_Flows[[#This Row],[UoM_Source]]</f>
        <v>Mg</v>
      </c>
      <c r="U180" s="135">
        <f>INDEX(Tab_Def_Flows[[Flow_ID]:[CC_DM_source]],MATCH(Tab_Data_Flows[[#This Row],[Flow_Name]],Tab_Def_Flows[Flow_Name],0),11)</f>
        <v>0</v>
      </c>
      <c r="V180" s="6" t="str">
        <f>Tab_Data_Flows[[#This Row],[Flow_ID]]&amp;"_"&amp;"WC_"&amp;Tab_Data_Flows[[#This Row],[Flow_Data_Year]]</f>
        <v>F_00_14_WC_2047</v>
      </c>
      <c r="W180" s="6">
        <f>IF(D180="Yes",S180*Tab_Data_Flows[[#This Row],[WC_'[%']]],"N.A.")</f>
        <v>0</v>
      </c>
      <c r="X180" s="6" t="str">
        <f>Tab_Data_Flows[[#This Row],[UoM_Flow_Py]]</f>
        <v>Mg</v>
      </c>
      <c r="Y180" s="135">
        <f>INDEX(Tab_Def_Flows[[Flow_ID]:[CC_DM_source]],MATCH(Tab_Data_Flows[[#This Row],[Flow_Name]],Tab_Def_Flows[Flow_Name],0),14)</f>
        <v>0</v>
      </c>
      <c r="Z180" s="6" t="str">
        <f>Tab_Data_Flows[[#This Row],[Flow_ID]]&amp;"_"&amp;"DM_"&amp;Tab_Data_Flows[[#This Row],[Flow_Data_Year]]</f>
        <v>F_00_14_DM_2047</v>
      </c>
      <c r="AA180" s="6">
        <f>IF(E180="Yes",Y180*Tab_Data_Flows[[#This Row],[Flow_Material]],"N.A.")</f>
        <v>0</v>
      </c>
      <c r="AB180" s="6" t="str">
        <f>Tab_Data_Flows[[#This Row],[UoM_Flow_Py]]</f>
        <v>Mg</v>
      </c>
      <c r="AC180" s="135">
        <f>INDEX(Tab_Def_Flows[[Flow_ID]:[CC_DM_source]],MATCH(Tab_Data_Flows[[#This Row],[Flow_Name]],Tab_Def_Flows[Flow_Name],0),17)</f>
        <v>0</v>
      </c>
      <c r="AD180" s="6" t="str">
        <f>Tab_Data_Flows[[#This Row],[Flow_ID]]&amp;"_"&amp;"CC_"&amp;Tab_Data_Flows[[#This Row],[Flow_Data_Year]]</f>
        <v>F_00_14_CC_2047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F_00_14</v>
      </c>
      <c r="C181" s="134" t="s">
        <v>1116</v>
      </c>
      <c r="D181" s="9" t="str">
        <f>_xlfn.XLOOKUP(C181,Tab_Def_Flows[Flow_Name],Tab_Def_Flows[WC?],,0,)</f>
        <v>Yes</v>
      </c>
      <c r="E181" s="9" t="str">
        <f>_xlfn.XLOOKUP(C181,Tab_Def_Flows[Flow_Name],Tab_Def_Flows[DM?],,0,)</f>
        <v>Yes</v>
      </c>
      <c r="F181" s="9" t="str">
        <f>_xlfn.XLOOKUP(C181,Tab_Def_Flows[Flow_Name],Tab_Def_Flows[CC?],,0,)</f>
        <v>Yes</v>
      </c>
      <c r="G181" s="186">
        <v>2048</v>
      </c>
      <c r="H181" s="187">
        <v>14163.348745728004</v>
      </c>
      <c r="I181" s="6" t="str">
        <f>'0_Configuration'!$C$4</f>
        <v>Mg</v>
      </c>
      <c r="J181" s="13"/>
      <c r="K181" s="13"/>
      <c r="L181" s="13"/>
      <c r="M181" s="13"/>
      <c r="N181" s="13"/>
      <c r="O181" s="7" t="s">
        <v>6</v>
      </c>
      <c r="P181" s="14"/>
      <c r="Q181" s="7"/>
      <c r="R181" s="6" t="str">
        <f>Tab_Data_Flows[[#This Row],[Flow_ID]]&amp;"_"&amp;"material_"&amp;Tab_Data_Flows[[#This Row],[Flow_Data_Year]]</f>
        <v>F_00_14_material_2048</v>
      </c>
      <c r="S181" s="12">
        <f t="shared" si="4"/>
        <v>14163.348745728004</v>
      </c>
      <c r="T181" s="6" t="str">
        <f>Tab_Data_Flows[[#This Row],[UoM_Source]]</f>
        <v>Mg</v>
      </c>
      <c r="U181" s="135">
        <f>INDEX(Tab_Def_Flows[[Flow_ID]:[CC_DM_source]],MATCH(Tab_Data_Flows[[#This Row],[Flow_Name]],Tab_Def_Flows[Flow_Name],0),11)</f>
        <v>0</v>
      </c>
      <c r="V181" s="6" t="str">
        <f>Tab_Data_Flows[[#This Row],[Flow_ID]]&amp;"_"&amp;"WC_"&amp;Tab_Data_Flows[[#This Row],[Flow_Data_Year]]</f>
        <v>F_00_14_WC_2048</v>
      </c>
      <c r="W181" s="6">
        <f>IF(D181="Yes",S181*Tab_Data_Flows[[#This Row],[WC_'[%']]],"N.A.")</f>
        <v>0</v>
      </c>
      <c r="X181" s="6" t="str">
        <f>Tab_Data_Flows[[#This Row],[UoM_Flow_Py]]</f>
        <v>Mg</v>
      </c>
      <c r="Y181" s="135">
        <f>INDEX(Tab_Def_Flows[[Flow_ID]:[CC_DM_source]],MATCH(Tab_Data_Flows[[#This Row],[Flow_Name]],Tab_Def_Flows[Flow_Name],0),14)</f>
        <v>0</v>
      </c>
      <c r="Z181" s="6" t="str">
        <f>Tab_Data_Flows[[#This Row],[Flow_ID]]&amp;"_"&amp;"DM_"&amp;Tab_Data_Flows[[#This Row],[Flow_Data_Year]]</f>
        <v>F_00_14_DM_2048</v>
      </c>
      <c r="AA181" s="6">
        <f>IF(E181="Yes",Y181*Tab_Data_Flows[[#This Row],[Flow_Material]],"N.A.")</f>
        <v>0</v>
      </c>
      <c r="AB181" s="6" t="str">
        <f>Tab_Data_Flows[[#This Row],[UoM_Flow_Py]]</f>
        <v>Mg</v>
      </c>
      <c r="AC181" s="135">
        <f>INDEX(Tab_Def_Flows[[Flow_ID]:[CC_DM_source]],MATCH(Tab_Data_Flows[[#This Row],[Flow_Name]],Tab_Def_Flows[Flow_Name],0),17)</f>
        <v>0</v>
      </c>
      <c r="AD181" s="6" t="str">
        <f>Tab_Data_Flows[[#This Row],[Flow_ID]]&amp;"_"&amp;"CC_"&amp;Tab_Data_Flows[[#This Row],[Flow_Data_Year]]</f>
        <v>F_00_14_CC_2048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F_00_14</v>
      </c>
      <c r="C182" s="134" t="s">
        <v>1116</v>
      </c>
      <c r="D182" s="9" t="str">
        <f>_xlfn.XLOOKUP(C182,Tab_Def_Flows[Flow_Name],Tab_Def_Flows[WC?],,0,)</f>
        <v>Yes</v>
      </c>
      <c r="E182" s="9" t="str">
        <f>_xlfn.XLOOKUP(C182,Tab_Def_Flows[Flow_Name],Tab_Def_Flows[DM?],,0,)</f>
        <v>Yes</v>
      </c>
      <c r="F182" s="9" t="str">
        <f>_xlfn.XLOOKUP(C182,Tab_Def_Flows[Flow_Name],Tab_Def_Flows[CC?],,0,)</f>
        <v>Yes</v>
      </c>
      <c r="G182" s="186">
        <v>2049</v>
      </c>
      <c r="H182" s="187">
        <v>20051.151644160007</v>
      </c>
      <c r="I182" s="6" t="str">
        <f>'0_Configuration'!$C$4</f>
        <v>Mg</v>
      </c>
      <c r="J182" s="13"/>
      <c r="K182" s="13"/>
      <c r="L182" s="13"/>
      <c r="M182" s="13"/>
      <c r="N182" s="13"/>
      <c r="O182" s="7" t="s">
        <v>6</v>
      </c>
      <c r="P182" s="14"/>
      <c r="Q182" s="7"/>
      <c r="R182" s="6" t="str">
        <f>Tab_Data_Flows[[#This Row],[Flow_ID]]&amp;"_"&amp;"material_"&amp;Tab_Data_Flows[[#This Row],[Flow_Data_Year]]</f>
        <v>F_00_14_material_2049</v>
      </c>
      <c r="S182" s="12">
        <f t="shared" si="4"/>
        <v>20051.151644160007</v>
      </c>
      <c r="T182" s="6" t="str">
        <f>Tab_Data_Flows[[#This Row],[UoM_Source]]</f>
        <v>Mg</v>
      </c>
      <c r="U182" s="135">
        <f>INDEX(Tab_Def_Flows[[Flow_ID]:[CC_DM_source]],MATCH(Tab_Data_Flows[[#This Row],[Flow_Name]],Tab_Def_Flows[Flow_Name],0),11)</f>
        <v>0</v>
      </c>
      <c r="V182" s="6" t="str">
        <f>Tab_Data_Flows[[#This Row],[Flow_ID]]&amp;"_"&amp;"WC_"&amp;Tab_Data_Flows[[#This Row],[Flow_Data_Year]]</f>
        <v>F_00_14_WC_2049</v>
      </c>
      <c r="W182" s="6">
        <f>IF(D182="Yes",S182*Tab_Data_Flows[[#This Row],[WC_'[%']]],"N.A.")</f>
        <v>0</v>
      </c>
      <c r="X182" s="6" t="str">
        <f>Tab_Data_Flows[[#This Row],[UoM_Flow_Py]]</f>
        <v>Mg</v>
      </c>
      <c r="Y182" s="135">
        <f>INDEX(Tab_Def_Flows[[Flow_ID]:[CC_DM_source]],MATCH(Tab_Data_Flows[[#This Row],[Flow_Name]],Tab_Def_Flows[Flow_Name],0),14)</f>
        <v>0</v>
      </c>
      <c r="Z182" s="6" t="str">
        <f>Tab_Data_Flows[[#This Row],[Flow_ID]]&amp;"_"&amp;"DM_"&amp;Tab_Data_Flows[[#This Row],[Flow_Data_Year]]</f>
        <v>F_00_14_DM_2049</v>
      </c>
      <c r="AA182" s="6">
        <f>IF(E182="Yes",Y182*Tab_Data_Flows[[#This Row],[Flow_Material]],"N.A.")</f>
        <v>0</v>
      </c>
      <c r="AB182" s="6" t="str">
        <f>Tab_Data_Flows[[#This Row],[UoM_Flow_Py]]</f>
        <v>Mg</v>
      </c>
      <c r="AC182" s="135">
        <f>INDEX(Tab_Def_Flows[[Flow_ID]:[CC_DM_source]],MATCH(Tab_Data_Flows[[#This Row],[Flow_Name]],Tab_Def_Flows[Flow_Name],0),17)</f>
        <v>0</v>
      </c>
      <c r="AD182" s="6" t="str">
        <f>Tab_Data_Flows[[#This Row],[Flow_ID]]&amp;"_"&amp;"CC_"&amp;Tab_Data_Flows[[#This Row],[Flow_Data_Year]]</f>
        <v>F_00_14_CC_2049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F_00_14</v>
      </c>
      <c r="C183" s="134" t="s">
        <v>1116</v>
      </c>
      <c r="D183" s="9" t="str">
        <f>_xlfn.XLOOKUP(C183,Tab_Def_Flows[Flow_Name],Tab_Def_Flows[WC?],,0,)</f>
        <v>Yes</v>
      </c>
      <c r="E183" s="9" t="str">
        <f>_xlfn.XLOOKUP(C183,Tab_Def_Flows[Flow_Name],Tab_Def_Flows[DM?],,0,)</f>
        <v>Yes</v>
      </c>
      <c r="F183" s="9" t="str">
        <f>_xlfn.XLOOKUP(C183,Tab_Def_Flows[Flow_Name],Tab_Def_Flows[CC?],,0,)</f>
        <v>Yes</v>
      </c>
      <c r="G183" s="186">
        <v>2050</v>
      </c>
      <c r="H183" s="187">
        <v>24433.918838784008</v>
      </c>
      <c r="I183" s="6" t="str">
        <f>'0_Configuration'!$C$4</f>
        <v>Mg</v>
      </c>
      <c r="J183" s="13"/>
      <c r="K183" s="13"/>
      <c r="L183" s="13"/>
      <c r="M183" s="13"/>
      <c r="N183" s="13"/>
      <c r="O183" s="7" t="s">
        <v>6</v>
      </c>
      <c r="P183" s="7"/>
      <c r="Q183" s="7"/>
      <c r="R183" s="6" t="str">
        <f>Tab_Data_Flows[[#This Row],[Flow_ID]]&amp;"_"&amp;"material_"&amp;Tab_Data_Flows[[#This Row],[Flow_Data_Year]]</f>
        <v>F_00_14_material_2050</v>
      </c>
      <c r="S183" s="12">
        <f t="shared" si="4"/>
        <v>24433.918838784008</v>
      </c>
      <c r="T183" s="6" t="str">
        <f>Tab_Data_Flows[[#This Row],[UoM_Source]]</f>
        <v>Mg</v>
      </c>
      <c r="U183" s="135">
        <f>INDEX(Tab_Def_Flows[[Flow_ID]:[CC_DM_source]],MATCH(Tab_Data_Flows[[#This Row],[Flow_Name]],Tab_Def_Flows[Flow_Name],0),11)</f>
        <v>0</v>
      </c>
      <c r="V183" s="6" t="str">
        <f>Tab_Data_Flows[[#This Row],[Flow_ID]]&amp;"_"&amp;"WC_"&amp;Tab_Data_Flows[[#This Row],[Flow_Data_Year]]</f>
        <v>F_00_14_WC_2050</v>
      </c>
      <c r="W183" s="6">
        <f>IF(D183="Yes",S183*Tab_Data_Flows[[#This Row],[WC_'[%']]],"N.A.")</f>
        <v>0</v>
      </c>
      <c r="X183" s="6" t="str">
        <f>Tab_Data_Flows[[#This Row],[UoM_Flow_Py]]</f>
        <v>Mg</v>
      </c>
      <c r="Y183" s="135">
        <f>INDEX(Tab_Def_Flows[[Flow_ID]:[CC_DM_source]],MATCH(Tab_Data_Flows[[#This Row],[Flow_Name]],Tab_Def_Flows[Flow_Name],0),14)</f>
        <v>0</v>
      </c>
      <c r="Z183" s="6" t="str">
        <f>Tab_Data_Flows[[#This Row],[Flow_ID]]&amp;"_"&amp;"DM_"&amp;Tab_Data_Flows[[#This Row],[Flow_Data_Year]]</f>
        <v>F_00_14_DM_2050</v>
      </c>
      <c r="AA183" s="6">
        <f>IF(E183="Yes",Y183*Tab_Data_Flows[[#This Row],[Flow_Material]],"N.A.")</f>
        <v>0</v>
      </c>
      <c r="AB183" s="6" t="str">
        <f>Tab_Data_Flows[[#This Row],[UoM_Flow_Py]]</f>
        <v>Mg</v>
      </c>
      <c r="AC183" s="135">
        <f>INDEX(Tab_Def_Flows[[Flow_ID]:[CC_DM_source]],MATCH(Tab_Data_Flows[[#This Row],[Flow_Name]],Tab_Def_Flows[Flow_Name],0),17)</f>
        <v>0</v>
      </c>
      <c r="AD183" s="6" t="str">
        <f>Tab_Data_Flows[[#This Row],[Flow_ID]]&amp;"_"&amp;"CC_"&amp;Tab_Data_Flows[[#This Row],[Flow_Data_Year]]</f>
        <v>F_00_14_CC_2050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4"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5">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5">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5">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4"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5">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5">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5">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4"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5">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5">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5">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4"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5">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5">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5">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4"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5">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5">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5">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4"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5">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5">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5">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4"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5">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5">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5">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4"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5">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5">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5">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4"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5">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5">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5">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4"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5">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5">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5">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4"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5">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5">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5">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4"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5">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5">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5">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4"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5">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5">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5">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4"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5">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5">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5">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4"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5">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5">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5">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4"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5">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5">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5">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4"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5">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5">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5">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4"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5">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5">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5">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4"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5">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5">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5">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4"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5">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5">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5">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4"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5">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5">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5">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4"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5">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5">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5">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4"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5">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5">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5">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4"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5">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5">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5">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4"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5">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5">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5">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4"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5">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5">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5">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4"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5">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5">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5">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4"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5">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5">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5">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4"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5">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5">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5">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4"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5">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5">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5">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4"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5">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5">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5">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4"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5">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5">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5">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4"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5">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5">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5">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4"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5">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5">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5">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4"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5">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5">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5">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4"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5">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5">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5">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4"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5">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5">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5">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4"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5">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5">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5">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4"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5">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5">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5">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4"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5">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5">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5">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4"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5">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5">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5">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4"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5">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5">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5">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4"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5">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5">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5">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4"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5">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5">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5">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4"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5">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5">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5">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4"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5">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5">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5">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4"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5">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5">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5">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4"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5">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5">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5">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4"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5">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5">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5">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4"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5">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5">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5">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4"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5">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5">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5">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4"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5">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5">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5">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4"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5">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5">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5">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4"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5">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5">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5">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4"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5">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5">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5">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4"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5">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5">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5">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4"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5">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5">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5">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4"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5">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5">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5">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4"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5">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5">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5">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4"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5">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5">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5">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4"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5">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5">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5">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4"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5">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5">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5">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4"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5">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5">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5">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4"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5">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5">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5">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4"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5">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5">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5">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4"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5">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5">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5">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4"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5">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5">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5">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4"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5">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5">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5">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4"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5">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5">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5">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4"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5">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5">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5">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4"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5">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5">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5">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4"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5">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5">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5">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4"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5">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5">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5">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4"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5">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5">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5">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4"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5">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5">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5">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4"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5">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5">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5">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4"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5">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5">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5">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4"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5">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5">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5">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4"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5">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5">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5">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4"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5">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5">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5">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4"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5">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5">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5">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4"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5">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5">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5">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4"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5">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5">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5">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4"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5">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5">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5">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4"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5">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5">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5">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4"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5">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5">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5">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4"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5">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5">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5">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4"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5">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5">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5">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4"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5">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5">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5">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4"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5">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5">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5">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4"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5">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5">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5">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4"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5">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5">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5">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4"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5">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5">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5">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4"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5">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5">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5">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4"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5">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5">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5">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4"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5">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5">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5">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4"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5">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5">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5">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4"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5">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5">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5">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4"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5">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5">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5">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4"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5">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5">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5">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4"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5">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5">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5">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4"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5">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5">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5">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4"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5">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5">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5">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4"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5">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5">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5">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4"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5">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5">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5">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4"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5">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5">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5">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4"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5">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5">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5">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4"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5">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5">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5">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4"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5">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5">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5">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4"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5">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5">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5">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4"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5">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5">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5">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4"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5">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5">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5">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4"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5">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5">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5">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4"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5">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5">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5">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4"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5">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5">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5">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4"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5">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5">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5">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4"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5">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5">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5">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4"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5">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5">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5">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4"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5">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5">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5">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4"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5">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5">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5">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4"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5">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5">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5">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4"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5">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5">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5">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4"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5">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5">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5">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4"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5">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5">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5">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4"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5">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5">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5">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4"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5">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5">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5">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4"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5">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5">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5">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4"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5">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5">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5">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4"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5">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5">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5">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4"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5">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5">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5">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4"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5">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5">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5">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4"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5">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5">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5">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4"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5">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5">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5">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4"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5">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5">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5">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4"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5">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5">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5">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4"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5">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5">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5">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4"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5">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5">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5">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4"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5">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5">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5">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4"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5">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5">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5">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4"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5">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5">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5">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4"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5">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5">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5">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4"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5">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5">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5">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4"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5">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5">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5">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4"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5">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5">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5">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4"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5">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5">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5">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4"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5">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5">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5">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4"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5">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5">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5">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4"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5">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5">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5">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4"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5">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5">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5">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4"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5">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5">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5">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4"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5">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5">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5">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4"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5">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5">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5">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4"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5">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5">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5">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4"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5">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5">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5">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4"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5">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5">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5">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4"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5">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5">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5">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4"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5">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5">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5">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4"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5">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5">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5">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4"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5">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5">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5">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4"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5">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5">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5">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4"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5">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5">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5">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4"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5">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5">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5">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4"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5">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5">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5">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4"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5">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5">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5">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4"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5">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5">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5">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4"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5">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5">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5">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4"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5">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5">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5">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'1_1_Definition_Flows'!$D$2:$D$95</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F1" activePane="topRight" state="frozen"/>
      <selection pane="topRight" activeCell="G12" sqref="G12"/>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37" t="s">
        <v>24</v>
      </c>
      <c r="B1" s="137" t="s">
        <v>7</v>
      </c>
      <c r="C1" s="137" t="s">
        <v>23</v>
      </c>
      <c r="D1" s="137" t="s">
        <v>431</v>
      </c>
      <c r="E1" s="137" t="s">
        <v>4</v>
      </c>
      <c r="F1" s="137" t="s">
        <v>396</v>
      </c>
      <c r="G1" s="137" t="s">
        <v>459</v>
      </c>
      <c r="H1" s="137" t="s">
        <v>460</v>
      </c>
      <c r="I1" s="137" t="s">
        <v>493</v>
      </c>
    </row>
    <row r="2" spans="1:9" x14ac:dyDescent="0.25">
      <c r="A2" s="138" t="b">
        <v>0</v>
      </c>
      <c r="B2" s="16" t="s">
        <v>51</v>
      </c>
      <c r="C2" s="6" t="str">
        <f>LEFT(B2,2)</f>
        <v>00</v>
      </c>
      <c r="D2" s="186" t="s">
        <v>1100</v>
      </c>
      <c r="E2" s="13"/>
      <c r="F2" s="134" t="s">
        <v>397</v>
      </c>
      <c r="G2" s="134" t="s">
        <v>436</v>
      </c>
      <c r="H2" s="134" t="s">
        <v>464</v>
      </c>
      <c r="I2" s="134">
        <v>4</v>
      </c>
    </row>
    <row r="3" spans="1:9" x14ac:dyDescent="0.25">
      <c r="A3" s="138" t="b">
        <v>0</v>
      </c>
      <c r="B3" s="16" t="s">
        <v>40</v>
      </c>
      <c r="C3" s="6" t="str">
        <f t="shared" ref="C3:C47" si="0">LEFT(B3,2)</f>
        <v>01</v>
      </c>
      <c r="D3" s="186" t="s">
        <v>1101</v>
      </c>
      <c r="E3" s="13"/>
      <c r="F3" s="134" t="s">
        <v>397</v>
      </c>
      <c r="G3" s="134" t="s">
        <v>436</v>
      </c>
      <c r="H3" s="134" t="s">
        <v>464</v>
      </c>
      <c r="I3" s="134">
        <v>3</v>
      </c>
    </row>
    <row r="4" spans="1:9" x14ac:dyDescent="0.25">
      <c r="A4" s="138" t="b">
        <v>0</v>
      </c>
      <c r="B4" s="16" t="s">
        <v>41</v>
      </c>
      <c r="C4" s="6" t="str">
        <f t="shared" si="0"/>
        <v>02</v>
      </c>
      <c r="D4" s="186" t="s">
        <v>1094</v>
      </c>
      <c r="E4" s="13"/>
      <c r="F4" s="134" t="s">
        <v>398</v>
      </c>
      <c r="G4" s="134" t="s">
        <v>436</v>
      </c>
      <c r="H4" s="134" t="s">
        <v>463</v>
      </c>
      <c r="I4" s="134">
        <v>1</v>
      </c>
    </row>
    <row r="5" spans="1:9" x14ac:dyDescent="0.25">
      <c r="A5" s="138" t="b">
        <v>0</v>
      </c>
      <c r="B5" s="16" t="s">
        <v>42</v>
      </c>
      <c r="C5" s="6" t="str">
        <f t="shared" si="0"/>
        <v>03</v>
      </c>
      <c r="D5" s="186" t="s">
        <v>1099</v>
      </c>
      <c r="E5" s="13"/>
      <c r="F5" s="134" t="s">
        <v>397</v>
      </c>
      <c r="G5" s="134" t="s">
        <v>436</v>
      </c>
      <c r="H5" s="134" t="s">
        <v>463</v>
      </c>
      <c r="I5" s="134">
        <v>4</v>
      </c>
    </row>
    <row r="6" spans="1:9" x14ac:dyDescent="0.25">
      <c r="A6" s="138" t="b">
        <v>0</v>
      </c>
      <c r="B6" s="16" t="s">
        <v>43</v>
      </c>
      <c r="C6" s="6" t="str">
        <f t="shared" si="0"/>
        <v>04</v>
      </c>
      <c r="D6" s="186" t="s">
        <v>1096</v>
      </c>
      <c r="E6" s="13"/>
      <c r="F6" s="134" t="s">
        <v>398</v>
      </c>
      <c r="G6" s="134" t="s">
        <v>436</v>
      </c>
      <c r="H6" s="134" t="s">
        <v>463</v>
      </c>
      <c r="I6" s="134">
        <v>2</v>
      </c>
    </row>
    <row r="7" spans="1:9" x14ac:dyDescent="0.25">
      <c r="A7" s="138" t="b">
        <v>0</v>
      </c>
      <c r="B7" s="16" t="s">
        <v>44</v>
      </c>
      <c r="C7" s="6" t="str">
        <f t="shared" si="0"/>
        <v>05</v>
      </c>
      <c r="D7" s="186" t="s">
        <v>1102</v>
      </c>
      <c r="E7" s="13"/>
      <c r="F7" s="134" t="s">
        <v>248</v>
      </c>
      <c r="G7" s="134" t="s">
        <v>436</v>
      </c>
      <c r="H7" s="134" t="s">
        <v>464</v>
      </c>
      <c r="I7" s="134">
        <v>2</v>
      </c>
    </row>
    <row r="8" spans="1:9" x14ac:dyDescent="0.25">
      <c r="A8" s="138" t="b">
        <v>0</v>
      </c>
      <c r="B8" s="16" t="s">
        <v>45</v>
      </c>
      <c r="C8" s="6" t="str">
        <f t="shared" si="0"/>
        <v>06</v>
      </c>
      <c r="D8" s="186" t="s">
        <v>1103</v>
      </c>
      <c r="E8" s="13"/>
      <c r="F8" s="134" t="s">
        <v>398</v>
      </c>
      <c r="G8" s="134" t="s">
        <v>436</v>
      </c>
      <c r="H8" s="134" t="s">
        <v>463</v>
      </c>
      <c r="I8" s="134">
        <v>2</v>
      </c>
    </row>
    <row r="9" spans="1:9" x14ac:dyDescent="0.25">
      <c r="A9" s="138" t="b">
        <v>0</v>
      </c>
      <c r="B9" s="16" t="s">
        <v>46</v>
      </c>
      <c r="C9" s="6" t="str">
        <f t="shared" si="0"/>
        <v>07</v>
      </c>
      <c r="D9" s="186" t="s">
        <v>1086</v>
      </c>
      <c r="E9" s="13"/>
      <c r="F9" s="134" t="s">
        <v>398</v>
      </c>
      <c r="G9" s="134" t="s">
        <v>436</v>
      </c>
      <c r="H9" s="134" t="s">
        <v>463</v>
      </c>
      <c r="I9" s="134">
        <v>2</v>
      </c>
    </row>
    <row r="10" spans="1:9" x14ac:dyDescent="0.25">
      <c r="A10" s="138" t="b">
        <v>0</v>
      </c>
      <c r="B10" s="16" t="s">
        <v>47</v>
      </c>
      <c r="C10" s="6" t="str">
        <f t="shared" si="0"/>
        <v>08</v>
      </c>
      <c r="D10" s="186" t="s">
        <v>1104</v>
      </c>
      <c r="E10" s="13"/>
      <c r="F10" s="134" t="s">
        <v>398</v>
      </c>
      <c r="G10" s="134" t="s">
        <v>436</v>
      </c>
      <c r="H10" s="134" t="s">
        <v>463</v>
      </c>
      <c r="I10" s="134">
        <v>2</v>
      </c>
    </row>
    <row r="11" spans="1:9" x14ac:dyDescent="0.25">
      <c r="A11" s="138" t="b">
        <v>0</v>
      </c>
      <c r="B11" s="16" t="s">
        <v>48</v>
      </c>
      <c r="C11" s="6" t="str">
        <f t="shared" si="0"/>
        <v>09</v>
      </c>
      <c r="D11" s="186" t="s">
        <v>1082</v>
      </c>
      <c r="E11" s="13"/>
      <c r="F11" s="134" t="s">
        <v>398</v>
      </c>
      <c r="G11" s="134" t="s">
        <v>436</v>
      </c>
      <c r="H11" s="134" t="s">
        <v>463</v>
      </c>
      <c r="I11" s="134">
        <v>3</v>
      </c>
    </row>
    <row r="12" spans="1:9" x14ac:dyDescent="0.25">
      <c r="A12" s="138" t="b">
        <v>0</v>
      </c>
      <c r="B12" s="16" t="s">
        <v>52</v>
      </c>
      <c r="C12" s="6" t="str">
        <f t="shared" si="0"/>
        <v>10</v>
      </c>
      <c r="D12" s="186" t="s">
        <v>1085</v>
      </c>
      <c r="E12" s="13"/>
      <c r="F12" s="134" t="s">
        <v>398</v>
      </c>
      <c r="G12" s="134" t="s">
        <v>436</v>
      </c>
      <c r="H12" s="134" t="s">
        <v>463</v>
      </c>
      <c r="I12" s="134">
        <v>1</v>
      </c>
    </row>
    <row r="13" spans="1:9" x14ac:dyDescent="0.25">
      <c r="A13" s="138" t="b">
        <v>0</v>
      </c>
      <c r="B13" s="16" t="s">
        <v>53</v>
      </c>
      <c r="C13" s="6" t="str">
        <f t="shared" si="0"/>
        <v>11</v>
      </c>
      <c r="D13" s="186" t="s">
        <v>1083</v>
      </c>
      <c r="E13" s="13"/>
      <c r="F13" s="134" t="s">
        <v>398</v>
      </c>
      <c r="G13" s="134" t="s">
        <v>436</v>
      </c>
      <c r="H13" s="134" t="s">
        <v>463</v>
      </c>
      <c r="I13" s="134">
        <v>3</v>
      </c>
    </row>
    <row r="14" spans="1:9" x14ac:dyDescent="0.25">
      <c r="A14" s="138" t="b">
        <v>0</v>
      </c>
      <c r="B14" s="16" t="s">
        <v>54</v>
      </c>
      <c r="C14" s="6" t="str">
        <f t="shared" si="0"/>
        <v>12</v>
      </c>
      <c r="D14" s="186" t="s">
        <v>1087</v>
      </c>
      <c r="E14" s="13"/>
      <c r="F14" s="134" t="s">
        <v>398</v>
      </c>
      <c r="G14" s="134" t="s">
        <v>436</v>
      </c>
      <c r="H14" s="134" t="s">
        <v>463</v>
      </c>
      <c r="I14" s="134">
        <v>2</v>
      </c>
    </row>
    <row r="15" spans="1:9" x14ac:dyDescent="0.25">
      <c r="A15" s="138" t="b">
        <v>0</v>
      </c>
      <c r="B15" s="16" t="s">
        <v>55</v>
      </c>
      <c r="C15" s="6" t="str">
        <f t="shared" si="0"/>
        <v>13</v>
      </c>
      <c r="D15" s="186" t="s">
        <v>1093</v>
      </c>
      <c r="E15" s="13"/>
      <c r="F15" s="134" t="s">
        <v>397</v>
      </c>
      <c r="G15" s="134" t="s">
        <v>436</v>
      </c>
      <c r="H15" s="134" t="s">
        <v>463</v>
      </c>
      <c r="I15" s="134">
        <v>2</v>
      </c>
    </row>
    <row r="16" spans="1:9" x14ac:dyDescent="0.25">
      <c r="A16" s="138" t="b">
        <v>0</v>
      </c>
      <c r="B16" s="16" t="s">
        <v>56</v>
      </c>
      <c r="C16" s="6" t="str">
        <f t="shared" si="0"/>
        <v>14</v>
      </c>
      <c r="D16" s="186" t="s">
        <v>1092</v>
      </c>
      <c r="E16" s="13"/>
      <c r="F16" s="134" t="s">
        <v>398</v>
      </c>
      <c r="G16" s="134" t="s">
        <v>436</v>
      </c>
      <c r="H16" s="134" t="s">
        <v>463</v>
      </c>
      <c r="I16" s="134">
        <v>1</v>
      </c>
    </row>
    <row r="17" spans="1:9" x14ac:dyDescent="0.25">
      <c r="A17" s="138" t="b">
        <v>0</v>
      </c>
      <c r="B17" s="16" t="s">
        <v>57</v>
      </c>
      <c r="C17" s="6" t="str">
        <f t="shared" si="0"/>
        <v>15</v>
      </c>
      <c r="D17" s="186" t="s">
        <v>1084</v>
      </c>
      <c r="E17" s="13"/>
      <c r="F17" s="134" t="s">
        <v>458</v>
      </c>
      <c r="G17" s="134" t="s">
        <v>436</v>
      </c>
      <c r="H17" s="134" t="s">
        <v>464</v>
      </c>
      <c r="I17" s="134">
        <v>1</v>
      </c>
    </row>
    <row r="18" spans="1:9" x14ac:dyDescent="0.25">
      <c r="A18" s="138" t="b">
        <v>0</v>
      </c>
      <c r="B18" s="16" t="s">
        <v>58</v>
      </c>
      <c r="C18" s="6" t="str">
        <f t="shared" si="0"/>
        <v>16</v>
      </c>
      <c r="D18" s="186" t="s">
        <v>1088</v>
      </c>
      <c r="E18" s="13"/>
      <c r="F18" s="134" t="s">
        <v>397</v>
      </c>
      <c r="G18" s="134" t="s">
        <v>436</v>
      </c>
      <c r="H18" s="134" t="s">
        <v>463</v>
      </c>
      <c r="I18" s="134">
        <v>2</v>
      </c>
    </row>
    <row r="19" spans="1:9" x14ac:dyDescent="0.25">
      <c r="A19" s="138" t="b">
        <v>0</v>
      </c>
      <c r="B19" s="16" t="s">
        <v>59</v>
      </c>
      <c r="C19" s="6" t="str">
        <f t="shared" si="0"/>
        <v>17</v>
      </c>
      <c r="D19" s="186" t="s">
        <v>1090</v>
      </c>
      <c r="E19" s="13"/>
      <c r="F19" s="134" t="s">
        <v>398</v>
      </c>
      <c r="G19" s="134" t="s">
        <v>436</v>
      </c>
      <c r="H19" s="134" t="s">
        <v>463</v>
      </c>
      <c r="I19" s="134">
        <v>3</v>
      </c>
    </row>
    <row r="20" spans="1:9" x14ac:dyDescent="0.25">
      <c r="A20" s="138" t="b">
        <v>0</v>
      </c>
      <c r="B20" s="16" t="s">
        <v>60</v>
      </c>
      <c r="C20" s="6" t="str">
        <f t="shared" si="0"/>
        <v>18</v>
      </c>
      <c r="D20" s="186" t="s">
        <v>1091</v>
      </c>
      <c r="E20" s="13"/>
      <c r="F20" s="134" t="s">
        <v>398</v>
      </c>
      <c r="G20" s="134" t="s">
        <v>436</v>
      </c>
      <c r="H20" s="134" t="s">
        <v>463</v>
      </c>
      <c r="I20" s="134">
        <v>2</v>
      </c>
    </row>
    <row r="21" spans="1:9" x14ac:dyDescent="0.25">
      <c r="A21" s="138" t="b">
        <v>0</v>
      </c>
      <c r="B21" s="16" t="s">
        <v>61</v>
      </c>
      <c r="C21" s="6" t="str">
        <f t="shared" si="0"/>
        <v>19</v>
      </c>
      <c r="D21" s="186" t="s">
        <v>1098</v>
      </c>
      <c r="E21" s="13"/>
      <c r="F21" s="134" t="s">
        <v>398</v>
      </c>
      <c r="G21" s="134" t="s">
        <v>436</v>
      </c>
      <c r="H21" s="134" t="s">
        <v>463</v>
      </c>
      <c r="I21" s="134">
        <v>2</v>
      </c>
    </row>
    <row r="22" spans="1:9" x14ac:dyDescent="0.25">
      <c r="A22" s="138" t="b">
        <v>0</v>
      </c>
      <c r="B22" s="16" t="s">
        <v>62</v>
      </c>
      <c r="C22" s="6" t="str">
        <f t="shared" si="0"/>
        <v>20</v>
      </c>
      <c r="D22" s="186" t="s">
        <v>1089</v>
      </c>
      <c r="E22" s="13"/>
      <c r="F22" s="134" t="s">
        <v>397</v>
      </c>
      <c r="G22" s="134" t="s">
        <v>436</v>
      </c>
      <c r="H22" s="134" t="s">
        <v>463</v>
      </c>
      <c r="I22" s="134">
        <v>1</v>
      </c>
    </row>
    <row r="23" spans="1:9" x14ac:dyDescent="0.25">
      <c r="A23" s="138" t="b">
        <v>0</v>
      </c>
      <c r="B23" s="16" t="s">
        <v>63</v>
      </c>
      <c r="C23" s="6" t="str">
        <f t="shared" si="0"/>
        <v>21</v>
      </c>
      <c r="D23" s="186" t="s">
        <v>1095</v>
      </c>
      <c r="E23" s="13"/>
      <c r="F23" s="134" t="s">
        <v>397</v>
      </c>
      <c r="G23" s="134" t="s">
        <v>436</v>
      </c>
      <c r="H23" s="134" t="s">
        <v>463</v>
      </c>
      <c r="I23" s="134">
        <v>1</v>
      </c>
    </row>
    <row r="24" spans="1:9" x14ac:dyDescent="0.25">
      <c r="A24" s="138" t="b">
        <v>0</v>
      </c>
      <c r="B24" s="16" t="s">
        <v>64</v>
      </c>
      <c r="C24" s="6" t="str">
        <f t="shared" si="0"/>
        <v>22</v>
      </c>
      <c r="D24" s="186" t="s">
        <v>1097</v>
      </c>
      <c r="E24" s="13"/>
      <c r="F24" s="134" t="s">
        <v>397</v>
      </c>
      <c r="G24" s="134" t="s">
        <v>436</v>
      </c>
      <c r="H24" s="134" t="s">
        <v>464</v>
      </c>
      <c r="I24" s="134">
        <v>2</v>
      </c>
    </row>
    <row r="25" spans="1:9" x14ac:dyDescent="0.25">
      <c r="A25" s="138" t="b">
        <v>0</v>
      </c>
      <c r="B25" s="16" t="s">
        <v>65</v>
      </c>
      <c r="C25" s="6" t="str">
        <f t="shared" si="0"/>
        <v>23</v>
      </c>
      <c r="D25" s="186"/>
      <c r="E25" s="13"/>
      <c r="F25" s="134"/>
      <c r="G25" s="134"/>
      <c r="H25" s="134"/>
      <c r="I25" s="134"/>
    </row>
    <row r="26" spans="1:9" x14ac:dyDescent="0.25">
      <c r="A26" s="138" t="b">
        <v>0</v>
      </c>
      <c r="B26" s="16" t="s">
        <v>66</v>
      </c>
      <c r="C26" s="6" t="str">
        <f t="shared" si="0"/>
        <v>24</v>
      </c>
      <c r="D26" s="7"/>
      <c r="E26" s="13"/>
      <c r="F26" s="134"/>
      <c r="G26" s="134"/>
      <c r="H26" s="134"/>
      <c r="I26" s="134"/>
    </row>
    <row r="27" spans="1:9" x14ac:dyDescent="0.25">
      <c r="A27" s="138" t="b">
        <v>0</v>
      </c>
      <c r="B27" s="16" t="s">
        <v>67</v>
      </c>
      <c r="C27" s="6" t="str">
        <f t="shared" si="0"/>
        <v>25</v>
      </c>
      <c r="D27" s="7"/>
      <c r="E27" s="13"/>
      <c r="F27" s="134"/>
      <c r="G27" s="134"/>
      <c r="H27" s="134"/>
      <c r="I27" s="134"/>
    </row>
    <row r="28" spans="1:9" x14ac:dyDescent="0.25">
      <c r="A28" s="138" t="b">
        <v>0</v>
      </c>
      <c r="B28" s="16" t="s">
        <v>68</v>
      </c>
      <c r="C28" s="6" t="str">
        <f t="shared" si="0"/>
        <v>26</v>
      </c>
      <c r="D28" s="7"/>
      <c r="E28" s="13"/>
      <c r="F28" s="134"/>
      <c r="G28" s="134"/>
      <c r="H28" s="134"/>
      <c r="I28" s="134"/>
    </row>
    <row r="29" spans="1:9" x14ac:dyDescent="0.25">
      <c r="A29" s="138" t="b">
        <v>0</v>
      </c>
      <c r="B29" s="16" t="s">
        <v>69</v>
      </c>
      <c r="C29" s="6" t="str">
        <f t="shared" si="0"/>
        <v>27</v>
      </c>
      <c r="D29" s="7"/>
      <c r="E29" s="13"/>
      <c r="F29" s="134"/>
      <c r="G29" s="134"/>
      <c r="H29" s="134"/>
      <c r="I29" s="134"/>
    </row>
    <row r="30" spans="1:9" x14ac:dyDescent="0.25">
      <c r="A30" s="138" t="b">
        <v>0</v>
      </c>
      <c r="B30" s="16" t="s">
        <v>70</v>
      </c>
      <c r="C30" s="6" t="str">
        <f t="shared" si="0"/>
        <v>28</v>
      </c>
      <c r="D30" s="7"/>
      <c r="E30" s="13"/>
      <c r="F30" s="134"/>
      <c r="G30" s="134"/>
      <c r="H30" s="134"/>
      <c r="I30" s="134"/>
    </row>
    <row r="31" spans="1:9" x14ac:dyDescent="0.25">
      <c r="A31" s="138" t="b">
        <v>0</v>
      </c>
      <c r="B31" s="16" t="s">
        <v>71</v>
      </c>
      <c r="C31" s="6" t="str">
        <f t="shared" si="0"/>
        <v>29</v>
      </c>
      <c r="D31" s="7"/>
      <c r="E31" s="13"/>
      <c r="F31" s="134"/>
      <c r="G31" s="134"/>
      <c r="H31" s="134"/>
      <c r="I31" s="134"/>
    </row>
    <row r="32" spans="1:9" x14ac:dyDescent="0.25">
      <c r="A32" s="138" t="b">
        <v>0</v>
      </c>
      <c r="B32" s="16" t="s">
        <v>72</v>
      </c>
      <c r="C32" s="6" t="str">
        <f t="shared" si="0"/>
        <v>30</v>
      </c>
      <c r="D32" s="7"/>
      <c r="E32" s="13"/>
      <c r="F32" s="134"/>
      <c r="G32" s="134"/>
      <c r="H32" s="134"/>
      <c r="I32" s="134"/>
    </row>
    <row r="33" spans="1:9" x14ac:dyDescent="0.25">
      <c r="A33" s="138" t="b">
        <v>0</v>
      </c>
      <c r="B33" s="16" t="s">
        <v>73</v>
      </c>
      <c r="C33" s="6" t="str">
        <f t="shared" si="0"/>
        <v>31</v>
      </c>
      <c r="D33" s="7"/>
      <c r="E33" s="13"/>
      <c r="F33" s="134"/>
      <c r="G33" s="134"/>
      <c r="H33" s="134"/>
      <c r="I33" s="134"/>
    </row>
    <row r="34" spans="1:9" x14ac:dyDescent="0.25">
      <c r="A34" s="138" t="b">
        <v>0</v>
      </c>
      <c r="B34" s="16" t="s">
        <v>74</v>
      </c>
      <c r="C34" s="6" t="str">
        <f t="shared" si="0"/>
        <v>32</v>
      </c>
      <c r="D34" s="7"/>
      <c r="E34" s="13"/>
      <c r="F34" s="134"/>
      <c r="G34" s="134"/>
      <c r="H34" s="134"/>
      <c r="I34" s="134"/>
    </row>
    <row r="35" spans="1:9" x14ac:dyDescent="0.25">
      <c r="A35" s="138" t="b">
        <v>0</v>
      </c>
      <c r="B35" s="16" t="s">
        <v>75</v>
      </c>
      <c r="C35" s="6" t="str">
        <f t="shared" si="0"/>
        <v>33</v>
      </c>
      <c r="D35" s="7"/>
      <c r="E35" s="13"/>
      <c r="F35" s="134"/>
      <c r="G35" s="134"/>
      <c r="H35" s="134"/>
      <c r="I35" s="134"/>
    </row>
    <row r="36" spans="1:9" x14ac:dyDescent="0.25">
      <c r="A36" s="138" t="b">
        <v>0</v>
      </c>
      <c r="B36" s="16" t="s">
        <v>76</v>
      </c>
      <c r="C36" s="6" t="str">
        <f t="shared" si="0"/>
        <v>34</v>
      </c>
      <c r="D36" s="7"/>
      <c r="E36" s="13"/>
      <c r="F36" s="134"/>
      <c r="G36" s="134"/>
      <c r="H36" s="134"/>
      <c r="I36" s="134"/>
    </row>
    <row r="37" spans="1:9" x14ac:dyDescent="0.25">
      <c r="A37" s="138" t="b">
        <v>0</v>
      </c>
      <c r="B37" s="16" t="s">
        <v>77</v>
      </c>
      <c r="C37" s="6" t="str">
        <f t="shared" si="0"/>
        <v>35</v>
      </c>
      <c r="D37" s="7"/>
      <c r="E37" s="13"/>
      <c r="F37" s="134"/>
      <c r="G37" s="134"/>
      <c r="H37" s="134"/>
      <c r="I37" s="134"/>
    </row>
    <row r="38" spans="1:9" x14ac:dyDescent="0.25">
      <c r="A38" s="138" t="b">
        <v>0</v>
      </c>
      <c r="B38" s="16" t="s">
        <v>78</v>
      </c>
      <c r="C38" s="6" t="str">
        <f t="shared" si="0"/>
        <v>36</v>
      </c>
      <c r="D38" s="7"/>
      <c r="E38" s="13"/>
      <c r="F38" s="134"/>
      <c r="G38" s="134"/>
      <c r="H38" s="134"/>
      <c r="I38" s="134"/>
    </row>
    <row r="39" spans="1:9" x14ac:dyDescent="0.25">
      <c r="A39" s="138" t="b">
        <v>0</v>
      </c>
      <c r="B39" s="16" t="s">
        <v>79</v>
      </c>
      <c r="C39" s="6" t="str">
        <f t="shared" si="0"/>
        <v>37</v>
      </c>
      <c r="D39" s="7"/>
      <c r="E39" s="13"/>
      <c r="F39" s="134"/>
      <c r="G39" s="134"/>
      <c r="H39" s="134"/>
      <c r="I39" s="134"/>
    </row>
    <row r="40" spans="1:9" x14ac:dyDescent="0.25">
      <c r="A40" s="138" t="b">
        <v>0</v>
      </c>
      <c r="B40" s="16" t="s">
        <v>80</v>
      </c>
      <c r="C40" s="6" t="str">
        <f t="shared" si="0"/>
        <v>38</v>
      </c>
      <c r="D40" s="7"/>
      <c r="E40" s="13"/>
      <c r="F40" s="134"/>
      <c r="G40" s="134"/>
      <c r="H40" s="134"/>
      <c r="I40" s="134"/>
    </row>
    <row r="41" spans="1:9" x14ac:dyDescent="0.25">
      <c r="A41" s="138" t="b">
        <v>0</v>
      </c>
      <c r="B41" s="16" t="s">
        <v>81</v>
      </c>
      <c r="C41" s="6" t="str">
        <f t="shared" si="0"/>
        <v>39</v>
      </c>
      <c r="D41" s="7"/>
      <c r="E41" s="13"/>
      <c r="F41" s="134"/>
      <c r="G41" s="134"/>
      <c r="H41" s="134"/>
      <c r="I41" s="134"/>
    </row>
    <row r="42" spans="1:9" x14ac:dyDescent="0.25">
      <c r="A42" s="138" t="b">
        <v>0</v>
      </c>
      <c r="B42" s="16" t="s">
        <v>82</v>
      </c>
      <c r="C42" s="6" t="str">
        <f t="shared" si="0"/>
        <v>40</v>
      </c>
      <c r="D42" s="7"/>
      <c r="E42" s="13"/>
      <c r="F42" s="134"/>
      <c r="G42" s="134"/>
      <c r="H42" s="134"/>
      <c r="I42" s="134"/>
    </row>
    <row r="43" spans="1:9" x14ac:dyDescent="0.25">
      <c r="A43" s="138" t="b">
        <v>0</v>
      </c>
      <c r="B43" s="16" t="s">
        <v>83</v>
      </c>
      <c r="C43" s="6" t="str">
        <f t="shared" si="0"/>
        <v>41</v>
      </c>
      <c r="D43" s="7"/>
      <c r="E43" s="13"/>
      <c r="F43" s="134"/>
      <c r="G43" s="134"/>
      <c r="H43" s="134"/>
      <c r="I43" s="134"/>
    </row>
    <row r="44" spans="1:9" x14ac:dyDescent="0.25">
      <c r="A44" s="138" t="b">
        <v>0</v>
      </c>
      <c r="B44" s="16" t="s">
        <v>84</v>
      </c>
      <c r="C44" s="6" t="str">
        <f t="shared" si="0"/>
        <v>42</v>
      </c>
      <c r="D44" s="7"/>
      <c r="E44" s="13"/>
      <c r="F44" s="134"/>
      <c r="G44" s="134"/>
      <c r="H44" s="134"/>
      <c r="I44" s="134"/>
    </row>
    <row r="45" spans="1:9" x14ac:dyDescent="0.25">
      <c r="A45" s="138" t="b">
        <v>0</v>
      </c>
      <c r="B45" s="16" t="s">
        <v>85</v>
      </c>
      <c r="C45" s="6" t="str">
        <f t="shared" si="0"/>
        <v>43</v>
      </c>
      <c r="D45" s="7"/>
      <c r="E45" s="13"/>
      <c r="F45" s="134"/>
      <c r="G45" s="134"/>
      <c r="H45" s="134"/>
      <c r="I45" s="134"/>
    </row>
    <row r="46" spans="1:9" x14ac:dyDescent="0.25">
      <c r="A46" s="138" t="b">
        <v>0</v>
      </c>
      <c r="B46" s="16" t="s">
        <v>86</v>
      </c>
      <c r="C46" s="6" t="str">
        <f t="shared" si="0"/>
        <v>44</v>
      </c>
      <c r="D46" s="7"/>
      <c r="E46" s="13"/>
      <c r="F46" s="134"/>
      <c r="G46" s="134"/>
      <c r="H46" s="134"/>
      <c r="I46" s="134"/>
    </row>
    <row r="47" spans="1:9" x14ac:dyDescent="0.25">
      <c r="A47" s="138" t="b">
        <v>0</v>
      </c>
      <c r="B47" s="16" t="s">
        <v>87</v>
      </c>
      <c r="C47" s="6" t="str">
        <f t="shared" si="0"/>
        <v>45</v>
      </c>
      <c r="D47" s="7"/>
      <c r="E47" s="13"/>
      <c r="F47" s="134"/>
      <c r="G47" s="134"/>
      <c r="H47" s="134"/>
      <c r="I47" s="134"/>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70" zoomScaleNormal="70" workbookViewId="0">
      <pane xSplit="4" topLeftCell="E1" activePane="topRight" state="frozen"/>
      <selection pane="topRight" activeCell="D14" sqref="D14:R16"/>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37" t="s">
        <v>24</v>
      </c>
      <c r="B1" s="137" t="s">
        <v>7</v>
      </c>
      <c r="C1" s="137" t="s">
        <v>23</v>
      </c>
      <c r="D1" s="137" t="s">
        <v>431</v>
      </c>
      <c r="E1" s="137" t="s">
        <v>396</v>
      </c>
      <c r="F1" s="137" t="s">
        <v>459</v>
      </c>
      <c r="G1" s="137" t="s">
        <v>460</v>
      </c>
      <c r="H1" s="137" t="s">
        <v>493</v>
      </c>
      <c r="I1" s="137" t="s">
        <v>165</v>
      </c>
      <c r="J1" s="137" t="s">
        <v>11</v>
      </c>
      <c r="K1" s="137" t="s">
        <v>408</v>
      </c>
      <c r="L1" s="137" t="s">
        <v>404</v>
      </c>
      <c r="M1" s="137" t="s">
        <v>409</v>
      </c>
      <c r="N1" s="137" t="s">
        <v>399</v>
      </c>
      <c r="O1" s="137" t="s">
        <v>410</v>
      </c>
      <c r="P1" t="s">
        <v>400</v>
      </c>
      <c r="Q1" t="s">
        <v>411</v>
      </c>
      <c r="R1" t="s">
        <v>401</v>
      </c>
      <c r="S1" s="137" t="s">
        <v>494</v>
      </c>
      <c r="T1" s="137" t="s">
        <v>466</v>
      </c>
      <c r="U1" s="137" t="s">
        <v>495</v>
      </c>
      <c r="V1" s="137" t="s">
        <v>496</v>
      </c>
      <c r="W1" s="137" t="s">
        <v>497</v>
      </c>
    </row>
    <row r="2" spans="1:23" x14ac:dyDescent="0.25">
      <c r="A2" s="138" t="b">
        <v>0</v>
      </c>
      <c r="B2" s="6">
        <f t="shared" ref="B2" si="0">ROW()-1</f>
        <v>1</v>
      </c>
      <c r="C2" s="20" t="str">
        <f>_xlfn.XLOOKUP($D2,Tab_Def_Processes[Process_Name],Tab_Def_Processes[ID],,0,)</f>
        <v>02</v>
      </c>
      <c r="D2" s="134" t="s">
        <v>1094</v>
      </c>
      <c r="E2" s="6" t="str">
        <f>_xlfn.XLOOKUP($D2,Tab_Def_Processes[Process_Name],Tab_Def_Processes[Process_Logic],,0,)</f>
        <v>Transformer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4" t="s">
        <v>1069</v>
      </c>
      <c r="J2" s="130" t="str">
        <f>_xlfn.XLOOKUP($I2,Tab_Def_Flows[Flow_Name],Tab_Def_Flows[Flow_ID],,0,)</f>
        <v>F_03_04</v>
      </c>
      <c r="K2" s="15" t="str">
        <f t="shared" ref="K2" si="1">"TC_material"&amp;"_"&amp;RIGHT(J2,5)</f>
        <v>TC_material_03_04</v>
      </c>
      <c r="L2" s="136"/>
      <c r="M2" s="15" t="str">
        <f t="shared" ref="M2:M50" si="2">"TC_WC"&amp;"_"&amp;RIGHT(J2,5)</f>
        <v>TC_WC_03_04</v>
      </c>
      <c r="N2" s="136">
        <v>1</v>
      </c>
      <c r="O2" s="15" t="str">
        <f t="shared" ref="O2:O50" si="3">"TC_DM"&amp;"_"&amp;RIGHT(J2,5)</f>
        <v>TC_DM_03_04</v>
      </c>
      <c r="P2" s="136">
        <v>1</v>
      </c>
      <c r="Q2" s="6" t="str">
        <f t="shared" ref="Q2:Q50" si="4">"TC_CC"&amp;"_"&amp;RIGHT(J2,5)</f>
        <v>TC_CC_03_04</v>
      </c>
      <c r="R2" s="136">
        <v>1</v>
      </c>
      <c r="S2" s="13"/>
      <c r="T2" s="13"/>
      <c r="U2" s="13"/>
      <c r="V2" s="13"/>
      <c r="W2" s="13"/>
    </row>
    <row r="3" spans="1:23" x14ac:dyDescent="0.25">
      <c r="A3" s="138" t="b">
        <v>0</v>
      </c>
      <c r="B3" s="6">
        <f t="shared" ref="B3:B50" si="5">ROW()-1</f>
        <v>2</v>
      </c>
      <c r="C3" s="20" t="str">
        <f>_xlfn.XLOOKUP($D3,Tab_Def_Processes[Process_Name],Tab_Def_Processes[ID],,0,)</f>
        <v>03</v>
      </c>
      <c r="D3" s="134" t="s">
        <v>1099</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4" t="s">
        <v>1069</v>
      </c>
      <c r="J3" s="130" t="str">
        <f>_xlfn.XLOOKUP($I3,Tab_Def_Flows[Flow_Name],Tab_Def_Flows[Flow_ID],,0,)</f>
        <v>F_03_04</v>
      </c>
      <c r="K3" s="15" t="str">
        <f t="shared" ref="K3:K50" si="6">"TC_material"&amp;"_"&amp;RIGHT(J3,5)</f>
        <v>TC_material_03_04</v>
      </c>
      <c r="L3" s="136">
        <v>0.47399999999999998</v>
      </c>
      <c r="M3" s="15" t="str">
        <f t="shared" si="2"/>
        <v>TC_WC_03_04</v>
      </c>
      <c r="N3" s="136"/>
      <c r="O3" s="15" t="str">
        <f t="shared" si="3"/>
        <v>TC_DM_03_04</v>
      </c>
      <c r="P3" s="136"/>
      <c r="Q3" s="6" t="str">
        <f t="shared" si="4"/>
        <v>TC_CC_03_04</v>
      </c>
      <c r="R3" s="136"/>
      <c r="S3" s="13"/>
      <c r="T3" s="13"/>
      <c r="U3" s="13"/>
      <c r="V3" s="13"/>
      <c r="W3" s="13"/>
    </row>
    <row r="4" spans="1:23" x14ac:dyDescent="0.25">
      <c r="A4" s="138" t="b">
        <v>0</v>
      </c>
      <c r="B4" s="6">
        <f t="shared" si="5"/>
        <v>3</v>
      </c>
      <c r="C4" s="20" t="str">
        <f>_xlfn.XLOOKUP($D4,Tab_Def_Processes[Process_Name],Tab_Def_Processes[ID],,0,)</f>
        <v>03</v>
      </c>
      <c r="D4" s="134" t="s">
        <v>1099</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4" t="s">
        <v>1117</v>
      </c>
      <c r="J4" s="130" t="str">
        <f>_xlfn.XLOOKUP($I4,Tab_Def_Flows[Flow_Name],Tab_Def_Flows[Flow_ID],,0,)</f>
        <v>F_03_09</v>
      </c>
      <c r="K4" s="15" t="str">
        <f t="shared" si="6"/>
        <v>TC_material_03_09</v>
      </c>
      <c r="L4" s="136">
        <v>7.3850399999999899E-2</v>
      </c>
      <c r="M4" s="15" t="str">
        <f t="shared" si="2"/>
        <v>TC_WC_03_09</v>
      </c>
      <c r="N4" s="136"/>
      <c r="O4" s="15" t="str">
        <f t="shared" si="3"/>
        <v>TC_DM_03_09</v>
      </c>
      <c r="P4" s="136"/>
      <c r="Q4" s="6" t="str">
        <f t="shared" si="4"/>
        <v>TC_CC_03_09</v>
      </c>
      <c r="R4" s="136"/>
      <c r="S4" s="13"/>
      <c r="T4" s="13"/>
      <c r="U4" s="13"/>
      <c r="V4" s="13"/>
      <c r="W4" s="13"/>
    </row>
    <row r="5" spans="1:23" x14ac:dyDescent="0.25">
      <c r="A5" s="138" t="b">
        <v>0</v>
      </c>
      <c r="B5" s="6">
        <f>ROW()-1</f>
        <v>4</v>
      </c>
      <c r="C5" s="20" t="str">
        <f>_xlfn.XLOOKUP($D5,Tab_Def_Processes[Process_Name],Tab_Def_Processes[ID],,0,)</f>
        <v>03</v>
      </c>
      <c r="D5" s="134" t="s">
        <v>1099</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4" t="s">
        <v>1118</v>
      </c>
      <c r="J5" s="130" t="str">
        <f>_xlfn.XLOOKUP($I5,Tab_Def_Flows[Flow_Name],Tab_Def_Flows[Flow_ID],,0,)</f>
        <v>F_03_05</v>
      </c>
      <c r="K5" s="15" t="str">
        <f>"TC_material"&amp;"_"&amp;RIGHT(J5,5)</f>
        <v>TC_material_03_05</v>
      </c>
      <c r="L5" s="136">
        <v>0.38923999999999997</v>
      </c>
      <c r="M5" s="15" t="str">
        <f t="shared" si="2"/>
        <v>TC_WC_03_05</v>
      </c>
      <c r="N5" s="136"/>
      <c r="O5" s="15" t="str">
        <f t="shared" si="3"/>
        <v>TC_DM_03_05</v>
      </c>
      <c r="P5" s="136"/>
      <c r="Q5" s="6" t="str">
        <f t="shared" si="4"/>
        <v>TC_CC_03_05</v>
      </c>
      <c r="R5" s="136"/>
      <c r="S5" s="13"/>
      <c r="T5" s="13"/>
      <c r="U5" s="13"/>
      <c r="V5" s="13"/>
      <c r="W5" s="13"/>
    </row>
    <row r="6" spans="1:23" x14ac:dyDescent="0.25">
      <c r="A6" s="138" t="b">
        <v>0</v>
      </c>
      <c r="B6" s="6">
        <f t="shared" si="5"/>
        <v>5</v>
      </c>
      <c r="C6" s="20" t="str">
        <f>_xlfn.XLOOKUP($D6,Tab_Def_Processes[Process_Name],Tab_Def_Processes[ID],,0,)</f>
        <v>03</v>
      </c>
      <c r="D6" s="134" t="s">
        <v>1099</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4" t="s">
        <v>1133</v>
      </c>
      <c r="J6" s="130" t="str">
        <f>_xlfn.XLOOKUP($I6,Tab_Def_Flows[Flow_Name],Tab_Def_Flows[Flow_ID],,0,)</f>
        <v>F_03_06</v>
      </c>
      <c r="K6" s="15" t="str">
        <f t="shared" si="6"/>
        <v>TC_material_03_06</v>
      </c>
      <c r="L6" s="136">
        <v>6.2909599999999996E-2</v>
      </c>
      <c r="M6" s="15" t="str">
        <f t="shared" si="2"/>
        <v>TC_WC_03_06</v>
      </c>
      <c r="N6" s="136"/>
      <c r="O6" s="15" t="str">
        <f t="shared" si="3"/>
        <v>TC_DM_03_06</v>
      </c>
      <c r="P6" s="136"/>
      <c r="Q6" s="6" t="str">
        <f t="shared" si="4"/>
        <v>TC_CC_03_06</v>
      </c>
      <c r="R6" s="136"/>
      <c r="S6" s="13"/>
      <c r="T6" s="13"/>
      <c r="U6" s="13"/>
      <c r="V6" s="13"/>
      <c r="W6" s="13"/>
    </row>
    <row r="7" spans="1:23" x14ac:dyDescent="0.25">
      <c r="A7" s="138" t="b">
        <v>0</v>
      </c>
      <c r="B7" s="6">
        <f t="shared" si="5"/>
        <v>6</v>
      </c>
      <c r="C7" s="20" t="str">
        <f>_xlfn.XLOOKUP($D7,Tab_Def_Processes[Process_Name],Tab_Def_Processes[ID],,0,)</f>
        <v>04</v>
      </c>
      <c r="D7" s="134" t="s">
        <v>1096</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4" t="s">
        <v>1121</v>
      </c>
      <c r="J7" s="130" t="str">
        <f>_xlfn.XLOOKUP($I7,Tab_Def_Flows[Flow_Name],Tab_Def_Flows[Flow_ID],,0,)</f>
        <v>F_04_01</v>
      </c>
      <c r="K7" s="15" t="str">
        <f t="shared" si="6"/>
        <v>TC_material_04_01</v>
      </c>
      <c r="L7" s="136">
        <v>0.4128</v>
      </c>
      <c r="M7" s="15" t="str">
        <f t="shared" si="2"/>
        <v>TC_WC_04_01</v>
      </c>
      <c r="N7" s="136"/>
      <c r="O7" s="15" t="str">
        <f t="shared" si="3"/>
        <v>TC_DM_04_01</v>
      </c>
      <c r="P7" s="136"/>
      <c r="Q7" s="6" t="str">
        <f t="shared" si="4"/>
        <v>TC_CC_04_01</v>
      </c>
      <c r="R7" s="136"/>
      <c r="S7" s="13"/>
      <c r="T7" s="13"/>
      <c r="U7" s="13"/>
      <c r="V7" s="13"/>
      <c r="W7" s="13"/>
    </row>
    <row r="8" spans="1:23" x14ac:dyDescent="0.25">
      <c r="A8" s="138" t="b">
        <v>0</v>
      </c>
      <c r="B8" s="6">
        <f t="shared" si="5"/>
        <v>7</v>
      </c>
      <c r="C8" s="20" t="str">
        <f>_xlfn.XLOOKUP($D8,Tab_Def_Processes[Process_Name],Tab_Def_Processes[ID],,0,)</f>
        <v>04</v>
      </c>
      <c r="D8" s="134" t="s">
        <v>1096</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4" t="s">
        <v>1122</v>
      </c>
      <c r="J8" s="130" t="str">
        <f>_xlfn.XLOOKUP($I8,Tab_Def_Flows[Flow_Name],Tab_Def_Flows[Flow_ID],,0,)</f>
        <v>F_04_00</v>
      </c>
      <c r="K8" s="15" t="str">
        <f t="shared" si="6"/>
        <v>TC_material_04_00</v>
      </c>
      <c r="L8" s="136">
        <v>0.58720000000000006</v>
      </c>
      <c r="M8" s="15" t="str">
        <f t="shared" si="2"/>
        <v>TC_WC_04_00</v>
      </c>
      <c r="N8" s="136"/>
      <c r="O8" s="15" t="str">
        <f t="shared" si="3"/>
        <v>TC_DM_04_00</v>
      </c>
      <c r="P8" s="136"/>
      <c r="Q8" s="6" t="str">
        <f t="shared" si="4"/>
        <v>TC_CC_04_00</v>
      </c>
      <c r="R8" s="136"/>
      <c r="S8" s="13"/>
      <c r="T8" s="13"/>
      <c r="U8" s="13"/>
      <c r="V8" s="13"/>
      <c r="W8" s="13"/>
    </row>
    <row r="9" spans="1:23" x14ac:dyDescent="0.25">
      <c r="A9" s="138" t="b">
        <v>0</v>
      </c>
      <c r="B9" s="6">
        <f t="shared" si="5"/>
        <v>8</v>
      </c>
      <c r="C9" s="20" t="str">
        <f>_xlfn.XLOOKUP($D9,Tab_Def_Processes[Process_Name],Tab_Def_Processes[ID],,0,)</f>
        <v>06</v>
      </c>
      <c r="D9" s="134" t="s">
        <v>1103</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4" t="s">
        <v>1134</v>
      </c>
      <c r="J9" s="130" t="str">
        <f>_xlfn.XLOOKUP($I9,Tab_Def_Flows[Flow_Name],Tab_Def_Flows[Flow_ID],,0,)</f>
        <v>F_06_01</v>
      </c>
      <c r="K9" s="15" t="str">
        <f t="shared" si="6"/>
        <v>TC_material_06_01</v>
      </c>
      <c r="L9" s="136">
        <v>0.4128</v>
      </c>
      <c r="M9" s="15" t="str">
        <f t="shared" si="2"/>
        <v>TC_WC_06_01</v>
      </c>
      <c r="N9" s="136"/>
      <c r="O9" s="15" t="str">
        <f t="shared" si="3"/>
        <v>TC_DM_06_01</v>
      </c>
      <c r="P9" s="136"/>
      <c r="Q9" s="6" t="str">
        <f t="shared" si="4"/>
        <v>TC_CC_06_01</v>
      </c>
      <c r="R9" s="136"/>
      <c r="S9" s="13"/>
      <c r="T9" s="13"/>
      <c r="U9" s="13"/>
      <c r="V9" s="13"/>
      <c r="W9" s="13"/>
    </row>
    <row r="10" spans="1:23" x14ac:dyDescent="0.25">
      <c r="A10" s="138" t="b">
        <v>0</v>
      </c>
      <c r="B10" s="6">
        <f t="shared" si="5"/>
        <v>9</v>
      </c>
      <c r="C10" s="20" t="str">
        <f>_xlfn.XLOOKUP($D10,Tab_Def_Processes[Process_Name],Tab_Def_Processes[ID],,0,)</f>
        <v>06</v>
      </c>
      <c r="D10" s="134" t="s">
        <v>1103</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4" t="s">
        <v>1135</v>
      </c>
      <c r="J10" s="130" t="str">
        <f>_xlfn.XLOOKUP($I10,Tab_Def_Flows[Flow_Name],Tab_Def_Flows[Flow_ID],,0,)</f>
        <v>F_06_00</v>
      </c>
      <c r="K10" s="15" t="str">
        <f t="shared" si="6"/>
        <v>TC_material_06_00</v>
      </c>
      <c r="L10" s="136">
        <v>0.58720000000000006</v>
      </c>
      <c r="M10" s="15" t="str">
        <f t="shared" si="2"/>
        <v>TC_WC_06_00</v>
      </c>
      <c r="N10" s="136"/>
      <c r="O10" s="15" t="str">
        <f t="shared" si="3"/>
        <v>TC_DM_06_00</v>
      </c>
      <c r="P10" s="136"/>
      <c r="Q10" s="6" t="str">
        <f t="shared" si="4"/>
        <v>TC_CC_06_00</v>
      </c>
      <c r="R10" s="136"/>
      <c r="S10" s="13"/>
      <c r="T10" s="13"/>
      <c r="U10" s="13"/>
      <c r="V10" s="13"/>
      <c r="W10" s="13"/>
    </row>
    <row r="11" spans="1:23" x14ac:dyDescent="0.25">
      <c r="A11" s="138" t="b">
        <v>0</v>
      </c>
      <c r="B11" s="6">
        <f t="shared" si="5"/>
        <v>10</v>
      </c>
      <c r="C11" s="20" t="str">
        <f>_xlfn.XLOOKUP($D11,Tab_Def_Processes[Process_Name],Tab_Def_Processes[ID],,0,)</f>
        <v>05</v>
      </c>
      <c r="D11" s="134" t="s">
        <v>1102</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4" t="s">
        <v>1119</v>
      </c>
      <c r="J11" s="130" t="str">
        <f>_xlfn.XLOOKUP($I11,Tab_Def_Flows[Flow_Name],Tab_Def_Flows[Flow_ID],,0,)</f>
        <v>F_05_01</v>
      </c>
      <c r="K11" s="15" t="str">
        <f t="shared" si="6"/>
        <v>TC_material_05_01</v>
      </c>
      <c r="L11" s="136">
        <v>0.4128</v>
      </c>
      <c r="M11" s="15" t="str">
        <f t="shared" si="2"/>
        <v>TC_WC_05_01</v>
      </c>
      <c r="N11" s="136"/>
      <c r="O11" s="15" t="str">
        <f t="shared" si="3"/>
        <v>TC_DM_05_01</v>
      </c>
      <c r="P11" s="136"/>
      <c r="Q11" s="6" t="str">
        <f t="shared" si="4"/>
        <v>TC_CC_05_01</v>
      </c>
      <c r="R11" s="136"/>
      <c r="S11" s="13"/>
      <c r="T11" s="13"/>
      <c r="U11" s="13"/>
      <c r="V11" s="13"/>
      <c r="W11" s="13"/>
    </row>
    <row r="12" spans="1:23" x14ac:dyDescent="0.25">
      <c r="A12" s="138" t="b">
        <v>0</v>
      </c>
      <c r="B12" s="6">
        <f t="shared" si="5"/>
        <v>11</v>
      </c>
      <c r="C12" s="20" t="str">
        <f>_xlfn.XLOOKUP($D12,Tab_Def_Processes[Process_Name],Tab_Def_Processes[ID],,0,)</f>
        <v>05</v>
      </c>
      <c r="D12" s="134" t="s">
        <v>1102</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4" t="s">
        <v>1120</v>
      </c>
      <c r="J12" s="130" t="str">
        <f>_xlfn.XLOOKUP($I12,Tab_Def_Flows[Flow_Name],Tab_Def_Flows[Flow_ID],,0,)</f>
        <v>F_05_00</v>
      </c>
      <c r="K12" s="15" t="str">
        <f t="shared" si="6"/>
        <v>TC_material_05_00</v>
      </c>
      <c r="L12" s="136">
        <v>0.58720000000000006</v>
      </c>
      <c r="M12" s="15" t="str">
        <f t="shared" si="2"/>
        <v>TC_WC_05_00</v>
      </c>
      <c r="N12" s="136"/>
      <c r="O12" s="15" t="str">
        <f t="shared" si="3"/>
        <v>TC_DM_05_00</v>
      </c>
      <c r="P12" s="136"/>
      <c r="Q12" s="6" t="str">
        <f t="shared" si="4"/>
        <v>TC_CC_05_00</v>
      </c>
      <c r="R12" s="136"/>
      <c r="S12" s="13"/>
      <c r="T12" s="13"/>
      <c r="U12" s="13"/>
      <c r="V12" s="13"/>
      <c r="W12" s="13"/>
    </row>
    <row r="13" spans="1:23" x14ac:dyDescent="0.25">
      <c r="A13" s="138" t="b">
        <v>0</v>
      </c>
      <c r="B13" s="6">
        <f>ROW()-1</f>
        <v>12</v>
      </c>
      <c r="C13" s="20" t="str">
        <f>_xlfn.XLOOKUP($D13,Tab_Def_Processes[Process_Name],Tab_Def_Processes[ID],,0,)</f>
        <v>10</v>
      </c>
      <c r="D13" s="134" t="s">
        <v>1085</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4" t="s">
        <v>1070</v>
      </c>
      <c r="J13" s="130" t="str">
        <f>_xlfn.XLOOKUP($I13,Tab_Def_Flows[Flow_Name],Tab_Def_Flows[Flow_ID],,0,)</f>
        <v>F_10_11</v>
      </c>
      <c r="K13" s="15" t="str">
        <f>"TC_material"&amp;"_"&amp;RIGHT(J13,5)</f>
        <v>TC_material_10_11</v>
      </c>
      <c r="L13" s="136"/>
      <c r="M13" s="15" t="str">
        <f t="shared" si="2"/>
        <v>TC_WC_10_11</v>
      </c>
      <c r="N13" s="136">
        <v>0.93799999999999994</v>
      </c>
      <c r="O13" s="15" t="str">
        <f t="shared" si="3"/>
        <v>TC_DM_10_11</v>
      </c>
      <c r="P13" s="136">
        <v>6.2E-2</v>
      </c>
      <c r="Q13" s="6" t="str">
        <f t="shared" si="4"/>
        <v>TC_CC_10_11</v>
      </c>
      <c r="R13" s="136">
        <v>0.49</v>
      </c>
      <c r="S13" s="13"/>
      <c r="T13" s="13"/>
      <c r="U13" s="13"/>
      <c r="V13" s="13"/>
      <c r="W13" s="13"/>
    </row>
    <row r="14" spans="1:23" x14ac:dyDescent="0.25">
      <c r="A14" s="138" t="b">
        <v>0</v>
      </c>
      <c r="B14" s="6">
        <f t="shared" si="5"/>
        <v>13</v>
      </c>
      <c r="C14" s="20" t="str">
        <f>_xlfn.XLOOKUP($D14,Tab_Def_Processes[Process_Name],Tab_Def_Processes[ID],,0,)</f>
        <v>09</v>
      </c>
      <c r="D14" s="134" t="s">
        <v>1082</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4" t="s">
        <v>1071</v>
      </c>
      <c r="J14" s="130" t="str">
        <f>_xlfn.XLOOKUP($I14,Tab_Def_Flows[Flow_Name],Tab_Def_Flows[Flow_ID],,0,)</f>
        <v>F_09_07</v>
      </c>
      <c r="K14" s="15" t="str">
        <f t="shared" si="6"/>
        <v>TC_material_09_07</v>
      </c>
      <c r="L14" s="136"/>
      <c r="M14" s="15" t="str">
        <f t="shared" si="2"/>
        <v>TC_WC_09_07</v>
      </c>
      <c r="N14" s="136">
        <v>0</v>
      </c>
      <c r="O14" s="15" t="str">
        <f t="shared" si="3"/>
        <v>TC_DM_09_07</v>
      </c>
      <c r="P14" s="136">
        <v>1</v>
      </c>
      <c r="Q14" s="6" t="str">
        <f t="shared" si="4"/>
        <v>TC_CC_09_07</v>
      </c>
      <c r="R14" s="136">
        <v>0.38</v>
      </c>
      <c r="S14" s="13"/>
      <c r="T14" s="13"/>
      <c r="U14" s="13"/>
      <c r="V14" s="13"/>
      <c r="W14" s="13"/>
    </row>
    <row r="15" spans="1:23" x14ac:dyDescent="0.25">
      <c r="A15" s="138" t="b">
        <v>0</v>
      </c>
      <c r="B15" s="6">
        <f t="shared" si="5"/>
        <v>14</v>
      </c>
      <c r="C15" s="20" t="str">
        <f>_xlfn.XLOOKUP($D15,Tab_Def_Processes[Process_Name],Tab_Def_Processes[ID],,0,)</f>
        <v>09</v>
      </c>
      <c r="D15" s="134" t="s">
        <v>1082</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4" t="s">
        <v>1081</v>
      </c>
      <c r="J15" s="130" t="str">
        <f>_xlfn.XLOOKUP($I15,Tab_Def_Flows[Flow_Name],Tab_Def_Flows[Flow_ID],,0,)</f>
        <v>F_09_08</v>
      </c>
      <c r="K15" s="15" t="str">
        <f t="shared" si="6"/>
        <v>TC_material_09_08</v>
      </c>
      <c r="L15" s="136"/>
      <c r="M15" s="15" t="str">
        <f t="shared" si="2"/>
        <v>TC_WC_09_08</v>
      </c>
      <c r="N15" s="136">
        <v>0</v>
      </c>
      <c r="O15" s="15" t="str">
        <f t="shared" si="3"/>
        <v>TC_DM_09_08</v>
      </c>
      <c r="P15" s="136">
        <v>1</v>
      </c>
      <c r="Q15" s="6" t="str">
        <f t="shared" si="4"/>
        <v>TC_CC_09_08</v>
      </c>
      <c r="R15" s="136">
        <v>0.8541850533807821</v>
      </c>
      <c r="S15" s="13"/>
      <c r="T15" s="13"/>
      <c r="U15" s="13"/>
      <c r="V15" s="13"/>
      <c r="W15" s="13"/>
    </row>
    <row r="16" spans="1:23" x14ac:dyDescent="0.25">
      <c r="A16" s="138" t="b">
        <v>0</v>
      </c>
      <c r="B16" s="6">
        <f t="shared" si="5"/>
        <v>15</v>
      </c>
      <c r="C16" s="20" t="str">
        <f>_xlfn.XLOOKUP($D16,Tab_Def_Processes[Process_Name],Tab_Def_Processes[ID],,0,)</f>
        <v>09</v>
      </c>
      <c r="D16" s="134" t="s">
        <v>1082</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4" t="s">
        <v>1072</v>
      </c>
      <c r="J16" s="130" t="str">
        <f>_xlfn.XLOOKUP($I16,Tab_Def_Flows[Flow_Name],Tab_Def_Flows[Flow_ID],,0,)</f>
        <v>F_09_11</v>
      </c>
      <c r="K16" s="15" t="str">
        <f t="shared" si="6"/>
        <v>TC_material_09_11</v>
      </c>
      <c r="L16" s="136"/>
      <c r="M16" s="15" t="str">
        <f t="shared" si="2"/>
        <v>TC_WC_09_11</v>
      </c>
      <c r="N16" s="136">
        <v>0.67767062314540061</v>
      </c>
      <c r="O16" s="15" t="str">
        <f t="shared" si="3"/>
        <v>TC_DM_09_11</v>
      </c>
      <c r="P16" s="136">
        <v>0.32232937685459945</v>
      </c>
      <c r="Q16" s="6" t="str">
        <f t="shared" si="4"/>
        <v>TC_CC_09_11</v>
      </c>
      <c r="R16" s="136">
        <v>0.38200000000000001</v>
      </c>
      <c r="S16" s="13"/>
      <c r="T16" s="13"/>
      <c r="U16" s="13"/>
      <c r="V16" s="13"/>
      <c r="W16" s="13"/>
    </row>
    <row r="17" spans="1:23" x14ac:dyDescent="0.25">
      <c r="A17" s="138" t="b">
        <v>0</v>
      </c>
      <c r="B17" s="6">
        <f t="shared" si="5"/>
        <v>16</v>
      </c>
      <c r="C17" s="20" t="str">
        <f>_xlfn.XLOOKUP($D17,Tab_Def_Processes[Process_Name],Tab_Def_Processes[ID],,0,)</f>
        <v>07</v>
      </c>
      <c r="D17" s="134" t="s">
        <v>1086</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4" t="s">
        <v>1136</v>
      </c>
      <c r="J17" s="130" t="str">
        <f>_xlfn.XLOOKUP($I17,Tab_Def_Flows[Flow_Name],Tab_Def_Flows[Flow_ID],,0,)</f>
        <v>F_07_01</v>
      </c>
      <c r="K17" s="15" t="str">
        <f t="shared" si="6"/>
        <v>TC_material_07_01</v>
      </c>
      <c r="L17" s="136"/>
      <c r="M17" s="15" t="str">
        <f t="shared" si="2"/>
        <v>TC_WC_07_01</v>
      </c>
      <c r="N17" s="136">
        <v>0</v>
      </c>
      <c r="O17" s="15" t="str">
        <f t="shared" si="3"/>
        <v>TC_DM_07_01</v>
      </c>
      <c r="P17" s="136"/>
      <c r="Q17" s="6" t="str">
        <f t="shared" si="4"/>
        <v>TC_CC_07_01</v>
      </c>
      <c r="R17" s="136"/>
      <c r="S17" s="13"/>
      <c r="T17" s="13"/>
      <c r="U17" s="13"/>
      <c r="V17" s="13"/>
      <c r="W17" s="13"/>
    </row>
    <row r="18" spans="1:23" x14ac:dyDescent="0.25">
      <c r="A18" s="138" t="b">
        <v>0</v>
      </c>
      <c r="B18" s="6">
        <f t="shared" si="5"/>
        <v>17</v>
      </c>
      <c r="C18" s="20" t="str">
        <f>_xlfn.XLOOKUP($D18,Tab_Def_Processes[Process_Name],Tab_Def_Processes[ID],,0,)</f>
        <v>07</v>
      </c>
      <c r="D18" s="134" t="s">
        <v>1086</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4" t="s">
        <v>1137</v>
      </c>
      <c r="J18" s="130" t="str">
        <f>_xlfn.XLOOKUP($I18,Tab_Def_Flows[Flow_Name],Tab_Def_Flows[Flow_ID],,0,)</f>
        <v>F_07_00</v>
      </c>
      <c r="K18" s="15" t="str">
        <f t="shared" si="6"/>
        <v>TC_material_07_00</v>
      </c>
      <c r="L18" s="136"/>
      <c r="M18" s="15" t="str">
        <f t="shared" si="2"/>
        <v>TC_WC_07_00</v>
      </c>
      <c r="N18" s="136">
        <v>1</v>
      </c>
      <c r="O18" s="15" t="str">
        <f t="shared" si="3"/>
        <v>TC_DM_07_00</v>
      </c>
      <c r="P18" s="136"/>
      <c r="Q18" s="6" t="str">
        <f t="shared" si="4"/>
        <v>TC_CC_07_00</v>
      </c>
      <c r="R18" s="136"/>
      <c r="S18" s="13"/>
      <c r="T18" s="13"/>
      <c r="U18" s="13"/>
      <c r="V18" s="13"/>
      <c r="W18" s="13"/>
    </row>
    <row r="19" spans="1:23" x14ac:dyDescent="0.25">
      <c r="A19" s="138" t="b">
        <v>0</v>
      </c>
      <c r="B19" s="6">
        <f t="shared" si="5"/>
        <v>18</v>
      </c>
      <c r="C19" s="20" t="str">
        <f>_xlfn.XLOOKUP($D19,Tab_Def_Processes[Process_Name],Tab_Def_Processes[ID],,0,)</f>
        <v>08</v>
      </c>
      <c r="D19" s="134" t="s">
        <v>1104</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4" t="s">
        <v>1109</v>
      </c>
      <c r="J19" s="130" t="str">
        <f>_xlfn.XLOOKUP($I19,Tab_Def_Flows[Flow_Name],Tab_Def_Flows[Flow_ID],,0,)</f>
        <v>F_08_01</v>
      </c>
      <c r="K19" s="15" t="str">
        <f t="shared" si="6"/>
        <v>TC_material_08_01</v>
      </c>
      <c r="L19" s="136"/>
      <c r="M19" s="15" t="str">
        <f t="shared" si="2"/>
        <v>TC_WC_08_01</v>
      </c>
      <c r="N19" s="136"/>
      <c r="O19" s="15" t="str">
        <f t="shared" si="3"/>
        <v>TC_DM_08_01</v>
      </c>
      <c r="P19" s="136"/>
      <c r="Q19" s="6" t="str">
        <f t="shared" si="4"/>
        <v>TC_CC_08_01</v>
      </c>
      <c r="R19" s="136"/>
      <c r="S19" s="13"/>
      <c r="T19" s="13"/>
      <c r="U19" s="13"/>
      <c r="V19" s="13"/>
      <c r="W19" s="13"/>
    </row>
    <row r="20" spans="1:23" x14ac:dyDescent="0.25">
      <c r="A20" s="138" t="b">
        <v>0</v>
      </c>
      <c r="B20" s="6">
        <f t="shared" si="5"/>
        <v>19</v>
      </c>
      <c r="C20" s="20" t="str">
        <f>_xlfn.XLOOKUP($D20,Tab_Def_Processes[Process_Name],Tab_Def_Processes[ID],,0,)</f>
        <v>08</v>
      </c>
      <c r="D20" s="134" t="s">
        <v>1104</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4" t="s">
        <v>1108</v>
      </c>
      <c r="J20" s="130" t="str">
        <f>_xlfn.XLOOKUP($I20,Tab_Def_Flows[Flow_Name],Tab_Def_Flows[Flow_ID],,0,)</f>
        <v>F_08_00</v>
      </c>
      <c r="K20" s="15" t="str">
        <f t="shared" si="6"/>
        <v>TC_material_08_00</v>
      </c>
      <c r="L20" s="136"/>
      <c r="M20" s="15" t="str">
        <f t="shared" si="2"/>
        <v>TC_WC_08_00</v>
      </c>
      <c r="N20" s="136"/>
      <c r="O20" s="15" t="str">
        <f t="shared" si="3"/>
        <v>TC_DM_08_00</v>
      </c>
      <c r="P20" s="136"/>
      <c r="Q20" s="6" t="str">
        <f t="shared" si="4"/>
        <v>TC_CC_08_00</v>
      </c>
      <c r="R20" s="136"/>
      <c r="S20" s="13"/>
      <c r="T20" s="13"/>
      <c r="U20" s="13"/>
      <c r="V20" s="13"/>
      <c r="W20" s="13"/>
    </row>
    <row r="21" spans="1:23" x14ac:dyDescent="0.25">
      <c r="A21" s="138" t="b">
        <v>0</v>
      </c>
      <c r="B21" s="6">
        <f t="shared" si="5"/>
        <v>20</v>
      </c>
      <c r="C21" s="20" t="str">
        <f>_xlfn.XLOOKUP($D21,Tab_Def_Processes[Process_Name],Tab_Def_Processes[ID],,0,)</f>
        <v>14</v>
      </c>
      <c r="D21" s="134" t="s">
        <v>1092</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4" t="s">
        <v>1076</v>
      </c>
      <c r="J21" s="130" t="str">
        <f>_xlfn.XLOOKUP($I21,Tab_Def_Flows[Flow_Name],Tab_Def_Flows[Flow_ID],,0,)</f>
        <v>F_14_11</v>
      </c>
      <c r="K21" s="15" t="str">
        <f t="shared" si="6"/>
        <v>TC_material_14_11</v>
      </c>
      <c r="L21" s="136"/>
      <c r="M21" s="15" t="str">
        <f t="shared" si="2"/>
        <v>TC_WC_14_11</v>
      </c>
      <c r="N21" s="136"/>
      <c r="O21" s="15" t="str">
        <f t="shared" si="3"/>
        <v>TC_DM_14_11</v>
      </c>
      <c r="P21" s="136"/>
      <c r="Q21" s="6" t="str">
        <f t="shared" si="4"/>
        <v>TC_CC_14_11</v>
      </c>
      <c r="R21" s="136"/>
      <c r="S21" s="13"/>
      <c r="T21" s="13"/>
      <c r="U21" s="13"/>
      <c r="V21" s="13"/>
      <c r="W21" s="13"/>
    </row>
    <row r="22" spans="1:23" x14ac:dyDescent="0.25">
      <c r="A22" s="138" t="b">
        <v>0</v>
      </c>
      <c r="B22" s="6">
        <f t="shared" si="5"/>
        <v>21</v>
      </c>
      <c r="C22" s="20" t="str">
        <f>_xlfn.XLOOKUP($D22,Tab_Def_Processes[Process_Name],Tab_Def_Processes[ID],,0,)</f>
        <v>11</v>
      </c>
      <c r="D22" s="134" t="s">
        <v>1083</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3</v>
      </c>
      <c r="I22" s="134" t="s">
        <v>1073</v>
      </c>
      <c r="J22" s="130" t="str">
        <f>_xlfn.XLOOKUP($I22,Tab_Def_Flows[Flow_Name],Tab_Def_Flows[Flow_ID],,0,)</f>
        <v>F_11_15</v>
      </c>
      <c r="K22" s="15" t="str">
        <f t="shared" si="6"/>
        <v>TC_material_11_15</v>
      </c>
      <c r="L22" s="136"/>
      <c r="M22" s="15" t="str">
        <f t="shared" si="2"/>
        <v>TC_WC_11_15</v>
      </c>
      <c r="N22" s="136"/>
      <c r="O22" s="15" t="str">
        <f t="shared" si="3"/>
        <v>TC_DM_11_15</v>
      </c>
      <c r="P22" s="136"/>
      <c r="Q22" s="6" t="str">
        <f t="shared" si="4"/>
        <v>TC_CC_11_15</v>
      </c>
      <c r="R22" s="136"/>
      <c r="S22" s="13"/>
      <c r="T22" s="13"/>
      <c r="U22" s="13"/>
      <c r="V22" s="13"/>
      <c r="W22" s="13"/>
    </row>
    <row r="23" spans="1:23" x14ac:dyDescent="0.25">
      <c r="A23" s="138" t="b">
        <v>0</v>
      </c>
      <c r="B23" s="6">
        <f t="shared" si="5"/>
        <v>22</v>
      </c>
      <c r="C23" s="20" t="str">
        <f>_xlfn.XLOOKUP($D23,Tab_Def_Processes[Process_Name],Tab_Def_Processes[ID],,0,)</f>
        <v>11</v>
      </c>
      <c r="D23" s="134" t="s">
        <v>1083</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3</v>
      </c>
      <c r="I23" s="134" t="s">
        <v>1075</v>
      </c>
      <c r="J23" s="130" t="str">
        <f>_xlfn.XLOOKUP($I23,Tab_Def_Flows[Flow_Name],Tab_Def_Flows[Flow_ID],,0,)</f>
        <v>F_11_12</v>
      </c>
      <c r="K23" s="15" t="str">
        <f t="shared" si="6"/>
        <v>TC_material_11_12</v>
      </c>
      <c r="L23" s="136"/>
      <c r="M23" s="15" t="str">
        <f t="shared" si="2"/>
        <v>TC_WC_11_12</v>
      </c>
      <c r="N23" s="136"/>
      <c r="O23" s="15" t="str">
        <f t="shared" si="3"/>
        <v>TC_DM_11_12</v>
      </c>
      <c r="P23" s="136"/>
      <c r="Q23" s="6" t="str">
        <f t="shared" si="4"/>
        <v>TC_CC_11_12</v>
      </c>
      <c r="R23" s="136"/>
      <c r="S23" s="13"/>
      <c r="T23" s="13"/>
      <c r="U23" s="13"/>
      <c r="V23" s="13"/>
      <c r="W23" s="13"/>
    </row>
    <row r="24" spans="1:23" x14ac:dyDescent="0.25">
      <c r="A24" s="138" t="b">
        <v>0</v>
      </c>
      <c r="B24" s="6">
        <f t="shared" si="5"/>
        <v>23</v>
      </c>
      <c r="C24" s="20" t="str">
        <f>_xlfn.XLOOKUP($D24,Tab_Def_Processes[Process_Name],Tab_Def_Processes[ID],,0,)</f>
        <v>11</v>
      </c>
      <c r="D24" s="134" t="s">
        <v>1083</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3</v>
      </c>
      <c r="I24" s="134" t="s">
        <v>1077</v>
      </c>
      <c r="J24" s="130" t="str">
        <f>_xlfn.XLOOKUP($I24,Tab_Def_Flows[Flow_Name],Tab_Def_Flows[Flow_ID],,0,)</f>
        <v>F_11_13</v>
      </c>
      <c r="K24" s="15" t="str">
        <f t="shared" si="6"/>
        <v>TC_material_11_13</v>
      </c>
      <c r="L24" s="136"/>
      <c r="M24" s="15" t="str">
        <f t="shared" si="2"/>
        <v>TC_WC_11_13</v>
      </c>
      <c r="N24" s="136"/>
      <c r="O24" s="15" t="str">
        <f t="shared" si="3"/>
        <v>TC_DM_11_13</v>
      </c>
      <c r="P24" s="136"/>
      <c r="Q24" s="6" t="str">
        <f t="shared" si="4"/>
        <v>TC_CC_11_13</v>
      </c>
      <c r="R24" s="136"/>
      <c r="S24" s="13"/>
      <c r="T24" s="13"/>
      <c r="U24" s="13"/>
      <c r="V24" s="13"/>
      <c r="W24" s="13"/>
    </row>
    <row r="25" spans="1:23" x14ac:dyDescent="0.25">
      <c r="A25" s="138" t="b">
        <v>0</v>
      </c>
      <c r="B25" s="6">
        <f t="shared" si="5"/>
        <v>24</v>
      </c>
      <c r="C25" s="20" t="str">
        <f>_xlfn.XLOOKUP($D25,Tab_Def_Processes[Process_Name],Tab_Def_Processes[ID],,0,)</f>
        <v>12</v>
      </c>
      <c r="D25" s="134" t="s">
        <v>1087</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2</v>
      </c>
      <c r="I25" s="134" t="s">
        <v>1123</v>
      </c>
      <c r="J25" s="130" t="str">
        <f>_xlfn.XLOOKUP($I25,Tab_Def_Flows[Flow_Name],Tab_Def_Flows[Flow_ID],,0,)</f>
        <v>F_12_01</v>
      </c>
      <c r="K25" s="15" t="str">
        <f t="shared" si="6"/>
        <v>TC_material_12_01</v>
      </c>
      <c r="L25" s="136"/>
      <c r="M25" s="15" t="str">
        <f t="shared" si="2"/>
        <v>TC_WC_12_01</v>
      </c>
      <c r="N25" s="136"/>
      <c r="O25" s="15" t="str">
        <f t="shared" si="3"/>
        <v>TC_DM_12_01</v>
      </c>
      <c r="P25" s="136"/>
      <c r="Q25" s="6" t="str">
        <f t="shared" si="4"/>
        <v>TC_CC_12_01</v>
      </c>
      <c r="R25" s="136"/>
      <c r="S25" s="13"/>
      <c r="T25" s="13"/>
      <c r="U25" s="13"/>
      <c r="V25" s="13"/>
      <c r="W25" s="13"/>
    </row>
    <row r="26" spans="1:23" x14ac:dyDescent="0.25">
      <c r="A26" s="138" t="b">
        <v>0</v>
      </c>
      <c r="B26" s="6">
        <f t="shared" si="5"/>
        <v>25</v>
      </c>
      <c r="C26" s="20" t="str">
        <f>_xlfn.XLOOKUP($D26,Tab_Def_Processes[Process_Name],Tab_Def_Processes[ID],,0,)</f>
        <v>12</v>
      </c>
      <c r="D26" s="134" t="s">
        <v>1087</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4" t="s">
        <v>1124</v>
      </c>
      <c r="J26" s="130" t="str">
        <f>_xlfn.XLOOKUP($I26,Tab_Def_Flows[Flow_Name],Tab_Def_Flows[Flow_ID],,0,)</f>
        <v>F_12_00</v>
      </c>
      <c r="K26" s="15" t="str">
        <f t="shared" si="6"/>
        <v>TC_material_12_00</v>
      </c>
      <c r="L26" s="136"/>
      <c r="M26" s="15" t="str">
        <f t="shared" si="2"/>
        <v>TC_WC_12_00</v>
      </c>
      <c r="N26" s="136"/>
      <c r="O26" s="15" t="str">
        <f t="shared" si="3"/>
        <v>TC_DM_12_00</v>
      </c>
      <c r="P26" s="136"/>
      <c r="Q26" s="6" t="str">
        <f t="shared" si="4"/>
        <v>TC_CC_12_00</v>
      </c>
      <c r="R26" s="136"/>
      <c r="S26" s="13"/>
      <c r="T26" s="13"/>
      <c r="U26" s="13"/>
      <c r="V26" s="13"/>
      <c r="W26" s="13"/>
    </row>
    <row r="27" spans="1:23" x14ac:dyDescent="0.25">
      <c r="A27" s="138" t="b">
        <v>0</v>
      </c>
      <c r="B27" s="6">
        <f t="shared" si="5"/>
        <v>26</v>
      </c>
      <c r="C27" s="20" t="str">
        <f>_xlfn.XLOOKUP($D27,Tab_Def_Processes[Process_Name],Tab_Def_Processes[ID],,0,)</f>
        <v>15</v>
      </c>
      <c r="D27" s="134" t="s">
        <v>1084</v>
      </c>
      <c r="E27" s="6" t="str">
        <f>_xlfn.XLOOKUP($D27,Tab_Def_Processes[Process_Name],Tab_Def_Processes[Process_Logic],,0,)</f>
        <v>DSM</v>
      </c>
      <c r="F27" s="6" t="str">
        <f>_xlfn.XLOOKUP($D27,Tab_Def_Processes[Process_Name],Tab_Def_Processes[TC_Configuration],,0,)</f>
        <v>Static</v>
      </c>
      <c r="G27" s="6" t="str">
        <f>_xlfn.XLOOKUP($D27,Tab_Def_Processes[Process_Name],Tab_Def_Processes[Stock_Configuration],,0,)</f>
        <v>Stock</v>
      </c>
      <c r="H27" s="6">
        <f>_xlfn.XLOOKUP($D27,Tab_Def_Processes[Process_Name],Tab_Def_Processes[Outflow_count],,0,)</f>
        <v>1</v>
      </c>
      <c r="I27" s="134" t="s">
        <v>1074</v>
      </c>
      <c r="J27" s="130" t="str">
        <f>_xlfn.XLOOKUP($I27,Tab_Def_Flows[Flow_Name],Tab_Def_Flows[Flow_ID],,0,)</f>
        <v>F_15_16</v>
      </c>
      <c r="K27" s="15" t="str">
        <f t="shared" si="6"/>
        <v>TC_material_15_16</v>
      </c>
      <c r="L27" s="136"/>
      <c r="M27" s="15" t="str">
        <f t="shared" si="2"/>
        <v>TC_WC_15_16</v>
      </c>
      <c r="N27" s="136"/>
      <c r="O27" s="15" t="str">
        <f t="shared" si="3"/>
        <v>TC_DM_15_16</v>
      </c>
      <c r="P27" s="136"/>
      <c r="Q27" s="6" t="str">
        <f t="shared" si="4"/>
        <v>TC_CC_15_16</v>
      </c>
      <c r="R27" s="136"/>
      <c r="S27" s="13"/>
      <c r="T27" s="13"/>
      <c r="U27" s="13"/>
      <c r="V27" s="13"/>
      <c r="W27" s="13"/>
    </row>
    <row r="28" spans="1:23" x14ac:dyDescent="0.25">
      <c r="A28" s="138" t="b">
        <v>0</v>
      </c>
      <c r="B28" s="6">
        <f t="shared" si="5"/>
        <v>27</v>
      </c>
      <c r="C28" s="20" t="str">
        <f>_xlfn.XLOOKUP($D28,Tab_Def_Processes[Process_Name],Tab_Def_Processes[ID],,0,)</f>
        <v>16</v>
      </c>
      <c r="D28" s="134" t="s">
        <v>1088</v>
      </c>
      <c r="E28" s="6" t="str">
        <f>_xlfn.XLOOKUP($D28,Tab_Def_Processes[Process_Name],Tab_Def_Processes[Process_Logic],,0,)</f>
        <v>Splitter</v>
      </c>
      <c r="F28" s="6" t="str">
        <f>_xlfn.XLOOKUP($D28,Tab_Def_Processes[Process_Name],Tab_Def_Processes[TC_Configuration],,0,)</f>
        <v>Static</v>
      </c>
      <c r="G28" s="6" t="str">
        <f>_xlfn.XLOOKUP($D28,Tab_Def_Processes[Process_Name],Tab_Def_Processes[Stock_Configuration],,0,)</f>
        <v>No_Stock</v>
      </c>
      <c r="H28" s="6">
        <f>_xlfn.XLOOKUP($D28,Tab_Def_Processes[Process_Name],Tab_Def_Processes[Outflow_count],,0,)</f>
        <v>2</v>
      </c>
      <c r="I28" s="134" t="s">
        <v>1078</v>
      </c>
      <c r="J28" s="130" t="str">
        <f>_xlfn.XLOOKUP($I28,Tab_Def_Flows[Flow_Name],Tab_Def_Flows[Flow_ID],,0,)</f>
        <v>F_16_17</v>
      </c>
      <c r="K28" s="15" t="str">
        <f t="shared" si="6"/>
        <v>TC_material_16_17</v>
      </c>
      <c r="L28" s="136"/>
      <c r="M28" s="15" t="str">
        <f t="shared" si="2"/>
        <v>TC_WC_16_17</v>
      </c>
      <c r="N28" s="136"/>
      <c r="O28" s="15" t="str">
        <f t="shared" si="3"/>
        <v>TC_DM_16_17</v>
      </c>
      <c r="P28" s="136"/>
      <c r="Q28" s="6" t="str">
        <f t="shared" si="4"/>
        <v>TC_CC_16_17</v>
      </c>
      <c r="R28" s="136"/>
      <c r="S28" s="13"/>
      <c r="T28" s="13"/>
      <c r="U28" s="13"/>
      <c r="V28" s="13"/>
      <c r="W28" s="13"/>
    </row>
    <row r="29" spans="1:23" x14ac:dyDescent="0.25">
      <c r="A29" s="138" t="b">
        <v>0</v>
      </c>
      <c r="B29" s="6">
        <f t="shared" si="5"/>
        <v>28</v>
      </c>
      <c r="C29" s="20" t="str">
        <f>_xlfn.XLOOKUP($D29,Tab_Def_Processes[Process_Name],Tab_Def_Processes[ID],,0,)</f>
        <v>16</v>
      </c>
      <c r="D29" s="134" t="s">
        <v>1088</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4" t="s">
        <v>1079</v>
      </c>
      <c r="J29" s="130" t="str">
        <f>_xlfn.XLOOKUP($I29,Tab_Def_Flows[Flow_Name],Tab_Def_Flows[Flow_ID],,0,)</f>
        <v>F_16_18</v>
      </c>
      <c r="K29" s="15" t="str">
        <f t="shared" si="6"/>
        <v>TC_material_16_18</v>
      </c>
      <c r="L29" s="136"/>
      <c r="M29" s="15" t="str">
        <f t="shared" si="2"/>
        <v>TC_WC_16_18</v>
      </c>
      <c r="N29" s="136"/>
      <c r="O29" s="15" t="str">
        <f t="shared" si="3"/>
        <v>TC_DM_16_18</v>
      </c>
      <c r="P29" s="136"/>
      <c r="Q29" s="6" t="str">
        <f t="shared" si="4"/>
        <v>TC_CC_16_18</v>
      </c>
      <c r="R29" s="136"/>
      <c r="S29" s="13"/>
      <c r="T29" s="13"/>
      <c r="U29" s="13"/>
      <c r="V29" s="13"/>
      <c r="W29" s="13"/>
    </row>
    <row r="30" spans="1:23" x14ac:dyDescent="0.25">
      <c r="A30" s="138" t="b">
        <v>0</v>
      </c>
      <c r="B30" s="6">
        <f t="shared" si="5"/>
        <v>29</v>
      </c>
      <c r="C30" s="20" t="str">
        <f>_xlfn.XLOOKUP($D30,Tab_Def_Processes[Process_Name],Tab_Def_Processes[ID],,0,)</f>
        <v>18</v>
      </c>
      <c r="D30" s="134" t="s">
        <v>1091</v>
      </c>
      <c r="E30" s="6" t="str">
        <f>_xlfn.XLOOKUP($D30,Tab_Def_Processes[Process_Name],Tab_Def_Processes[Process_Logic],,0,)</f>
        <v>Transformer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4" t="s">
        <v>1105</v>
      </c>
      <c r="J30" s="130" t="str">
        <f>_xlfn.XLOOKUP($I30,Tab_Def_Flows[Flow_Name],Tab_Def_Flows[Flow_ID],,0,)</f>
        <v>F_18_01</v>
      </c>
      <c r="K30" s="15" t="str">
        <f t="shared" si="6"/>
        <v>TC_material_18_01</v>
      </c>
      <c r="L30" s="136"/>
      <c r="M30" s="15" t="str">
        <f t="shared" si="2"/>
        <v>TC_WC_18_01</v>
      </c>
      <c r="N30" s="136"/>
      <c r="O30" s="15" t="str">
        <f t="shared" si="3"/>
        <v>TC_DM_18_01</v>
      </c>
      <c r="P30" s="136"/>
      <c r="Q30" s="6" t="str">
        <f t="shared" si="4"/>
        <v>TC_CC_18_01</v>
      </c>
      <c r="R30" s="136"/>
      <c r="S30" s="13"/>
      <c r="T30" s="13"/>
      <c r="U30" s="13"/>
      <c r="V30" s="13"/>
      <c r="W30" s="13"/>
    </row>
    <row r="31" spans="1:23" x14ac:dyDescent="0.25">
      <c r="A31" s="138" t="b">
        <v>0</v>
      </c>
      <c r="B31" s="6">
        <f t="shared" si="5"/>
        <v>30</v>
      </c>
      <c r="C31" s="20" t="str">
        <f>_xlfn.XLOOKUP($D31,Tab_Def_Processes[Process_Name],Tab_Def_Processes[ID],,0,)</f>
        <v>18</v>
      </c>
      <c r="D31" s="134" t="s">
        <v>1091</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4" t="s">
        <v>1106</v>
      </c>
      <c r="J31" s="130" t="str">
        <f>_xlfn.XLOOKUP($I31,Tab_Def_Flows[Flow_Name],Tab_Def_Flows[Flow_ID],,0,)</f>
        <v>F_18_00</v>
      </c>
      <c r="K31" s="15" t="str">
        <f t="shared" si="6"/>
        <v>TC_material_18_00</v>
      </c>
      <c r="L31" s="136"/>
      <c r="M31" s="15" t="str">
        <f t="shared" si="2"/>
        <v>TC_WC_18_00</v>
      </c>
      <c r="N31" s="136"/>
      <c r="O31" s="15" t="str">
        <f t="shared" si="3"/>
        <v>TC_DM_18_00</v>
      </c>
      <c r="P31" s="136"/>
      <c r="Q31" s="6" t="str">
        <f t="shared" si="4"/>
        <v>TC_CC_18_00</v>
      </c>
      <c r="R31" s="136"/>
      <c r="S31" s="13"/>
      <c r="T31" s="13"/>
      <c r="U31" s="13"/>
      <c r="V31" s="13"/>
      <c r="W31" s="13"/>
    </row>
    <row r="32" spans="1:23" x14ac:dyDescent="0.25">
      <c r="A32" s="138" t="b">
        <v>0</v>
      </c>
      <c r="B32" s="6">
        <f t="shared" si="5"/>
        <v>31</v>
      </c>
      <c r="C32" s="20" t="str">
        <f>_xlfn.XLOOKUP($D32,Tab_Def_Processes[Process_Name],Tab_Def_Processes[ID],,0,)</f>
        <v>18</v>
      </c>
      <c r="D32" s="134" t="s">
        <v>1091</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4" t="s">
        <v>1107</v>
      </c>
      <c r="J32" s="130" t="str">
        <f>_xlfn.XLOOKUP($I32,Tab_Def_Flows[Flow_Name],Tab_Def_Flows[Flow_ID],,0,)</f>
        <v>F_18_19</v>
      </c>
      <c r="K32" s="15" t="str">
        <f t="shared" si="6"/>
        <v>TC_material_18_19</v>
      </c>
      <c r="L32" s="136"/>
      <c r="M32" s="15" t="str">
        <f t="shared" si="2"/>
        <v>TC_WC_18_19</v>
      </c>
      <c r="N32" s="136"/>
      <c r="O32" s="15" t="str">
        <f t="shared" si="3"/>
        <v>TC_DM_18_19</v>
      </c>
      <c r="P32" s="136"/>
      <c r="Q32" s="6" t="str">
        <f t="shared" si="4"/>
        <v>TC_CC_18_19</v>
      </c>
      <c r="R32" s="136"/>
      <c r="S32" s="13"/>
      <c r="T32" s="13"/>
      <c r="U32" s="13"/>
      <c r="V32" s="13"/>
      <c r="W32" s="13"/>
    </row>
    <row r="33" spans="1:23" x14ac:dyDescent="0.25">
      <c r="A33" s="138" t="b">
        <v>0</v>
      </c>
      <c r="B33" s="6">
        <f t="shared" si="5"/>
        <v>32</v>
      </c>
      <c r="C33" s="20" t="str">
        <f>_xlfn.XLOOKUP($D33,Tab_Def_Processes[Process_Name],Tab_Def_Processes[ID],,0,)</f>
        <v>19</v>
      </c>
      <c r="D33" s="134" t="s">
        <v>1098</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4" t="s">
        <v>1131</v>
      </c>
      <c r="J33" s="130" t="str">
        <f>_xlfn.XLOOKUP($I33,Tab_Def_Flows[Flow_Name],Tab_Def_Flows[Flow_ID],,0,)</f>
        <v>F_19_01</v>
      </c>
      <c r="K33" s="15" t="str">
        <f t="shared" si="6"/>
        <v>TC_material_19_01</v>
      </c>
      <c r="L33" s="136"/>
      <c r="M33" s="15" t="str">
        <f t="shared" si="2"/>
        <v>TC_WC_19_01</v>
      </c>
      <c r="N33" s="136"/>
      <c r="O33" s="15" t="str">
        <f t="shared" si="3"/>
        <v>TC_DM_19_01</v>
      </c>
      <c r="P33" s="136"/>
      <c r="Q33" s="6" t="str">
        <f t="shared" si="4"/>
        <v>TC_CC_19_01</v>
      </c>
      <c r="R33" s="136"/>
      <c r="S33" s="13"/>
      <c r="T33" s="13"/>
      <c r="U33" s="13"/>
      <c r="V33" s="13"/>
      <c r="W33" s="13"/>
    </row>
    <row r="34" spans="1:23" x14ac:dyDescent="0.25">
      <c r="A34" s="138" t="b">
        <v>0</v>
      </c>
      <c r="B34" s="6">
        <f t="shared" si="5"/>
        <v>33</v>
      </c>
      <c r="C34" s="20" t="str">
        <f>_xlfn.XLOOKUP($D34,Tab_Def_Processes[Process_Name],Tab_Def_Processes[ID],,0,)</f>
        <v>19</v>
      </c>
      <c r="D34" s="134" t="s">
        <v>1098</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4" t="s">
        <v>1132</v>
      </c>
      <c r="J34" s="130" t="str">
        <f>_xlfn.XLOOKUP($I34,Tab_Def_Flows[Flow_Name],Tab_Def_Flows[Flow_ID],,0,)</f>
        <v>F_19_00</v>
      </c>
      <c r="K34" s="15" t="str">
        <f t="shared" si="6"/>
        <v>TC_material_19_00</v>
      </c>
      <c r="L34" s="136"/>
      <c r="M34" s="15" t="str">
        <f t="shared" si="2"/>
        <v>TC_WC_19_00</v>
      </c>
      <c r="N34" s="136"/>
      <c r="O34" s="15" t="str">
        <f t="shared" si="3"/>
        <v>TC_DM_19_00</v>
      </c>
      <c r="P34" s="136"/>
      <c r="Q34" s="6" t="str">
        <f t="shared" si="4"/>
        <v>TC_CC_19_00</v>
      </c>
      <c r="R34" s="136"/>
      <c r="S34" s="13"/>
      <c r="T34" s="13"/>
      <c r="U34" s="13"/>
      <c r="V34" s="13"/>
      <c r="W34" s="13"/>
    </row>
    <row r="35" spans="1:23" x14ac:dyDescent="0.25">
      <c r="A35" s="138" t="b">
        <v>0</v>
      </c>
      <c r="B35" s="6">
        <f t="shared" si="5"/>
        <v>34</v>
      </c>
      <c r="C35" s="20" t="str">
        <f>_xlfn.XLOOKUP($D35,Tab_Def_Processes[Process_Name],Tab_Def_Processes[ID],,0,)</f>
        <v>17</v>
      </c>
      <c r="D35" s="134" t="s">
        <v>1090</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3</v>
      </c>
      <c r="I35" s="134" t="s">
        <v>1080</v>
      </c>
      <c r="J35" s="130" t="str">
        <f>_xlfn.XLOOKUP($I35,Tab_Def_Flows[Flow_Name],Tab_Def_Flows[Flow_ID],,0,)</f>
        <v>F_17_22</v>
      </c>
      <c r="K35" s="15" t="str">
        <f t="shared" si="6"/>
        <v>TC_material_17_22</v>
      </c>
      <c r="L35" s="136"/>
      <c r="M35" s="15" t="str">
        <f t="shared" si="2"/>
        <v>TC_WC_17_22</v>
      </c>
      <c r="N35" s="136"/>
      <c r="O35" s="15" t="str">
        <f t="shared" si="3"/>
        <v>TC_DM_17_22</v>
      </c>
      <c r="P35" s="136"/>
      <c r="Q35" s="6" t="str">
        <f t="shared" si="4"/>
        <v>TC_CC_17_22</v>
      </c>
      <c r="R35" s="136"/>
      <c r="S35" s="13"/>
      <c r="T35" s="13"/>
      <c r="U35" s="13"/>
      <c r="V35" s="13"/>
      <c r="W35" s="13"/>
    </row>
    <row r="36" spans="1:23" x14ac:dyDescent="0.25">
      <c r="A36" s="138" t="b">
        <v>0</v>
      </c>
      <c r="B36" s="6">
        <f t="shared" si="5"/>
        <v>35</v>
      </c>
      <c r="C36" s="20" t="str">
        <f>_xlfn.XLOOKUP($D36,Tab_Def_Processes[Process_Name],Tab_Def_Processes[ID],,0,)</f>
        <v>17</v>
      </c>
      <c r="D36" s="134" t="s">
        <v>1090</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4" t="s">
        <v>1129</v>
      </c>
      <c r="J36" s="130" t="str">
        <f>_xlfn.XLOOKUP($I36,Tab_Def_Flows[Flow_Name],Tab_Def_Flows[Flow_ID],,0,)</f>
        <v>F_17_01</v>
      </c>
      <c r="K36" s="15" t="str">
        <f t="shared" si="6"/>
        <v>TC_material_17_01</v>
      </c>
      <c r="L36" s="136"/>
      <c r="M36" s="15" t="str">
        <f t="shared" si="2"/>
        <v>TC_WC_17_01</v>
      </c>
      <c r="N36" s="136"/>
      <c r="O36" s="15" t="str">
        <f t="shared" si="3"/>
        <v>TC_DM_17_01</v>
      </c>
      <c r="P36" s="136"/>
      <c r="Q36" s="6" t="str">
        <f t="shared" si="4"/>
        <v>TC_CC_17_01</v>
      </c>
      <c r="R36" s="136"/>
      <c r="S36" s="13"/>
      <c r="T36" s="13"/>
      <c r="U36" s="13"/>
      <c r="V36" s="13"/>
      <c r="W36" s="13"/>
    </row>
    <row r="37" spans="1:23" x14ac:dyDescent="0.25">
      <c r="A37" s="138" t="b">
        <v>0</v>
      </c>
      <c r="B37" s="6">
        <f t="shared" si="5"/>
        <v>36</v>
      </c>
      <c r="C37" s="20" t="str">
        <f>_xlfn.XLOOKUP($D37,Tab_Def_Processes[Process_Name],Tab_Def_Processes[ID],,0,)</f>
        <v>17</v>
      </c>
      <c r="D37" s="134" t="s">
        <v>1090</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4" t="s">
        <v>1130</v>
      </c>
      <c r="J37" s="130" t="str">
        <f>_xlfn.XLOOKUP($I37,Tab_Def_Flows[Flow_Name],Tab_Def_Flows[Flow_ID],,0,)</f>
        <v>F_17_00</v>
      </c>
      <c r="K37" s="15" t="str">
        <f t="shared" si="6"/>
        <v>TC_material_17_00</v>
      </c>
      <c r="L37" s="136"/>
      <c r="M37" s="15" t="str">
        <f t="shared" si="2"/>
        <v>TC_WC_17_00</v>
      </c>
      <c r="N37" s="136"/>
      <c r="O37" s="15" t="str">
        <f t="shared" si="3"/>
        <v>TC_DM_17_00</v>
      </c>
      <c r="P37" s="136"/>
      <c r="Q37" s="6" t="str">
        <f t="shared" si="4"/>
        <v>TC_CC_17_00</v>
      </c>
      <c r="R37" s="136"/>
      <c r="S37" s="13"/>
      <c r="T37" s="13"/>
      <c r="U37" s="13"/>
      <c r="V37" s="13"/>
      <c r="W37" s="13"/>
    </row>
    <row r="38" spans="1:23" x14ac:dyDescent="0.25">
      <c r="A38" s="138" t="b">
        <v>0</v>
      </c>
      <c r="B38" s="6">
        <f t="shared" si="5"/>
        <v>37</v>
      </c>
      <c r="C38" s="20" t="str">
        <f>_xlfn.XLOOKUP($D38,Tab_Def_Processes[Process_Name],Tab_Def_Processes[ID],,0,)</f>
        <v>22</v>
      </c>
      <c r="D38" s="134" t="s">
        <v>1097</v>
      </c>
      <c r="E38" s="6" t="str">
        <f>_xlfn.XLOOKUP($D38,Tab_Def_Processes[Process_Name],Tab_Def_Processes[Process_Logic],,0,)</f>
        <v>Splitter</v>
      </c>
      <c r="F38" s="6" t="str">
        <f>_xlfn.XLOOKUP($D38,Tab_Def_Processes[Process_Name],Tab_Def_Processes[TC_Configuration],,0,)</f>
        <v>Static</v>
      </c>
      <c r="G38" s="6" t="str">
        <f>_xlfn.XLOOKUP($D38,Tab_Def_Processes[Process_Name],Tab_Def_Processes[Stock_Configuration],,0,)</f>
        <v>Stock</v>
      </c>
      <c r="H38" s="6">
        <f>_xlfn.XLOOKUP($D38,Tab_Def_Processes[Process_Name],Tab_Def_Processes[Outflow_count],,0,)</f>
        <v>2</v>
      </c>
      <c r="I38" s="134" t="s">
        <v>1127</v>
      </c>
      <c r="J38" s="130" t="str">
        <f>_xlfn.XLOOKUP($I38,Tab_Def_Flows[Flow_Name],Tab_Def_Flows[Flow_ID],,0,)</f>
        <v>F_22_01</v>
      </c>
      <c r="K38" s="15" t="str">
        <f t="shared" si="6"/>
        <v>TC_material_22_01</v>
      </c>
      <c r="L38" s="136"/>
      <c r="M38" s="15" t="str">
        <f t="shared" si="2"/>
        <v>TC_WC_22_01</v>
      </c>
      <c r="N38" s="136"/>
      <c r="O38" s="15" t="str">
        <f t="shared" si="3"/>
        <v>TC_DM_22_01</v>
      </c>
      <c r="P38" s="136"/>
      <c r="Q38" s="6" t="str">
        <f t="shared" si="4"/>
        <v>TC_CC_22_01</v>
      </c>
      <c r="R38" s="136"/>
      <c r="S38" s="13"/>
      <c r="T38" s="13"/>
      <c r="U38" s="13"/>
      <c r="V38" s="13"/>
      <c r="W38" s="13"/>
    </row>
    <row r="39" spans="1:23" x14ac:dyDescent="0.25">
      <c r="A39" s="138" t="b">
        <v>0</v>
      </c>
      <c r="B39" s="6">
        <f t="shared" si="5"/>
        <v>38</v>
      </c>
      <c r="C39" s="20" t="str">
        <f>_xlfn.XLOOKUP($D39,Tab_Def_Processes[Process_Name],Tab_Def_Processes[ID],,0,)</f>
        <v>22</v>
      </c>
      <c r="D39" s="134" t="s">
        <v>1097</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4" t="s">
        <v>1128</v>
      </c>
      <c r="J39" s="130" t="str">
        <f>_xlfn.XLOOKUP($I39,Tab_Def_Flows[Flow_Name],Tab_Def_Flows[Flow_ID],,0,)</f>
        <v>F_22_00</v>
      </c>
      <c r="K39" s="15" t="str">
        <f t="shared" si="6"/>
        <v>TC_material_22_00</v>
      </c>
      <c r="L39" s="136"/>
      <c r="M39" s="15" t="str">
        <f t="shared" si="2"/>
        <v>TC_WC_22_00</v>
      </c>
      <c r="N39" s="136"/>
      <c r="O39" s="15" t="str">
        <f t="shared" si="3"/>
        <v>TC_DM_22_00</v>
      </c>
      <c r="P39" s="136"/>
      <c r="Q39" s="6" t="str">
        <f t="shared" si="4"/>
        <v>TC_CC_22_00</v>
      </c>
      <c r="R39" s="136"/>
      <c r="S39" s="13"/>
      <c r="T39" s="13"/>
      <c r="U39" s="13"/>
      <c r="V39" s="13"/>
      <c r="W39" s="13"/>
    </row>
    <row r="40" spans="1:23" x14ac:dyDescent="0.25">
      <c r="A40" s="138" t="b">
        <v>0</v>
      </c>
      <c r="B40" s="6">
        <f t="shared" si="5"/>
        <v>39</v>
      </c>
      <c r="C40" s="20" t="str">
        <f>_xlfn.XLOOKUP($D40,Tab_Def_Processes[Process_Name],Tab_Def_Processes[ID],,0,)</f>
        <v>13</v>
      </c>
      <c r="D40" s="134"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No_Stock</v>
      </c>
      <c r="H40" s="6">
        <f>_xlfn.XLOOKUP($D40,Tab_Def_Processes[Process_Name],Tab_Def_Processes[Outflow_count],,0,)</f>
        <v>2</v>
      </c>
      <c r="I40" s="134" t="s">
        <v>1125</v>
      </c>
      <c r="J40" s="130" t="str">
        <f>_xlfn.XLOOKUP($I40,Tab_Def_Flows[Flow_Name],Tab_Def_Flows[Flow_ID],,0,)</f>
        <v>F_13_01</v>
      </c>
      <c r="K40" s="15" t="str">
        <f t="shared" si="6"/>
        <v>TC_material_13_01</v>
      </c>
      <c r="L40" s="136"/>
      <c r="M40" s="15" t="str">
        <f t="shared" si="2"/>
        <v>TC_WC_13_01</v>
      </c>
      <c r="N40" s="136"/>
      <c r="O40" s="15" t="str">
        <f t="shared" si="3"/>
        <v>TC_DM_13_01</v>
      </c>
      <c r="P40" s="136"/>
      <c r="Q40" s="6" t="str">
        <f t="shared" si="4"/>
        <v>TC_CC_13_01</v>
      </c>
      <c r="R40" s="136"/>
      <c r="S40" s="13"/>
      <c r="T40" s="13"/>
      <c r="U40" s="13"/>
      <c r="V40" s="13"/>
      <c r="W40" s="13"/>
    </row>
    <row r="41" spans="1:23" x14ac:dyDescent="0.25">
      <c r="A41" s="138" t="b">
        <v>0</v>
      </c>
      <c r="B41" s="6">
        <f t="shared" si="5"/>
        <v>40</v>
      </c>
      <c r="C41" s="20" t="str">
        <f>_xlfn.XLOOKUP($D41,Tab_Def_Processes[Process_Name],Tab_Def_Processes[ID],,0,)</f>
        <v>13</v>
      </c>
      <c r="D41" s="134" t="s">
        <v>1093</v>
      </c>
      <c r="E41" s="6" t="str">
        <f>_xlfn.XLOOKUP($D41,Tab_Def_Processes[Process_Name],Tab_Def_Processes[Process_Logic],,0,)</f>
        <v>Splitter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4" t="s">
        <v>1126</v>
      </c>
      <c r="J41" s="130" t="str">
        <f>_xlfn.XLOOKUP($I41,Tab_Def_Flows[Flow_Name],Tab_Def_Flows[Flow_ID],,0,)</f>
        <v>F_13_00</v>
      </c>
      <c r="K41" s="15" t="str">
        <f t="shared" si="6"/>
        <v>TC_material_13_00</v>
      </c>
      <c r="L41" s="136"/>
      <c r="M41" s="15" t="str">
        <f t="shared" si="2"/>
        <v>TC_WC_13_00</v>
      </c>
      <c r="N41" s="136"/>
      <c r="O41" s="15" t="str">
        <f t="shared" si="3"/>
        <v>TC_DM_13_00</v>
      </c>
      <c r="P41" s="136"/>
      <c r="Q41" s="6" t="str">
        <f t="shared" si="4"/>
        <v>TC_CC_13_00</v>
      </c>
      <c r="R41" s="136"/>
      <c r="S41" s="13"/>
      <c r="T41" s="13"/>
      <c r="U41" s="13"/>
      <c r="V41" s="13"/>
      <c r="W41" s="13"/>
    </row>
    <row r="42" spans="1:23" x14ac:dyDescent="0.25">
      <c r="A42" s="138" t="b">
        <v>0</v>
      </c>
      <c r="B42" s="6">
        <f t="shared" si="5"/>
        <v>41</v>
      </c>
      <c r="C42" s="20" t="str">
        <f>_xlfn.XLOOKUP($D42,Tab_Def_Processes[Process_Name],Tab_Def_Processes[ID],,0,)</f>
        <v>01</v>
      </c>
      <c r="D42" s="134" t="s">
        <v>1101</v>
      </c>
      <c r="E42" s="6" t="str">
        <f>_xlfn.XLOOKUP($D42,Tab_Def_Processes[Process_Name],Tab_Def_Processes[Process_Logic],,0,)</f>
        <v>Splitter</v>
      </c>
      <c r="F42" s="6" t="str">
        <f>_xlfn.XLOOKUP($D42,Tab_Def_Processes[Process_Name],Tab_Def_Processes[TC_Configuration],,0,)</f>
        <v>Static</v>
      </c>
      <c r="G42" s="6" t="str">
        <f>_xlfn.XLOOKUP($D42,Tab_Def_Processes[Process_Name],Tab_Def_Processes[Stock_Configuration],,0,)</f>
        <v>Stock</v>
      </c>
      <c r="H42" s="6">
        <f>_xlfn.XLOOKUP($D42,Tab_Def_Processes[Process_Name],Tab_Def_Processes[Outflow_count],,0,)</f>
        <v>3</v>
      </c>
      <c r="I42" s="134" t="s">
        <v>1110</v>
      </c>
      <c r="J42" s="130" t="str">
        <f>_xlfn.XLOOKUP($I42,Tab_Def_Flows[Flow_Name],Tab_Def_Flows[Flow_ID],,0,)</f>
        <v>F_01_02</v>
      </c>
      <c r="K42" s="15" t="str">
        <f t="shared" si="6"/>
        <v>TC_material_01_02</v>
      </c>
      <c r="L42" s="136"/>
      <c r="M42" s="15" t="str">
        <f t="shared" si="2"/>
        <v>TC_WC_01_02</v>
      </c>
      <c r="N42" s="136"/>
      <c r="O42" s="15" t="str">
        <f t="shared" si="3"/>
        <v>TC_DM_01_02</v>
      </c>
      <c r="P42" s="136"/>
      <c r="Q42" s="6" t="str">
        <f t="shared" si="4"/>
        <v>TC_CC_01_02</v>
      </c>
      <c r="R42" s="136"/>
      <c r="S42" s="13"/>
      <c r="T42" s="13"/>
      <c r="U42" s="13"/>
      <c r="V42" s="13"/>
      <c r="W42" s="13"/>
    </row>
    <row r="43" spans="1:23" x14ac:dyDescent="0.25">
      <c r="A43" s="138" t="b">
        <v>0</v>
      </c>
      <c r="B43" s="6">
        <f t="shared" si="5"/>
        <v>42</v>
      </c>
      <c r="C43" s="20" t="str">
        <f>_xlfn.XLOOKUP($D43,Tab_Def_Processes[Process_Name],Tab_Def_Processes[ID],,0,)</f>
        <v>01</v>
      </c>
      <c r="D43" s="134" t="s">
        <v>1101</v>
      </c>
      <c r="E43" s="6" t="str">
        <f>_xlfn.XLOOKUP($D43,Tab_Def_Processes[Process_Name],Tab_Def_Processes[Process_Logic],,0,)</f>
        <v>Splitter</v>
      </c>
      <c r="F43" s="6" t="str">
        <f>_xlfn.XLOOKUP($D43,Tab_Def_Processes[Process_Name],Tab_Def_Processes[TC_Configuration],,0,)</f>
        <v>Static</v>
      </c>
      <c r="G43" s="6" t="str">
        <f>_xlfn.XLOOKUP($D43,Tab_Def_Processes[Process_Name],Tab_Def_Processes[Stock_Configuration],,0,)</f>
        <v>Stock</v>
      </c>
      <c r="H43" s="6">
        <f>_xlfn.XLOOKUP($D43,Tab_Def_Processes[Process_Name],Tab_Def_Processes[Outflow_count],,0,)</f>
        <v>3</v>
      </c>
      <c r="I43" s="134" t="s">
        <v>1112</v>
      </c>
      <c r="J43" s="130" t="str">
        <f>_xlfn.XLOOKUP($I43,Tab_Def_Flows[Flow_Name],Tab_Def_Flows[Flow_ID],,0,)</f>
        <v>F_01_10</v>
      </c>
      <c r="K43" s="15" t="str">
        <f t="shared" si="6"/>
        <v>TC_material_01_10</v>
      </c>
      <c r="L43" s="136"/>
      <c r="M43" s="15" t="str">
        <f t="shared" si="2"/>
        <v>TC_WC_01_10</v>
      </c>
      <c r="N43" s="136"/>
      <c r="O43" s="15" t="str">
        <f t="shared" si="3"/>
        <v>TC_DM_01_10</v>
      </c>
      <c r="P43" s="136"/>
      <c r="Q43" s="6" t="str">
        <f t="shared" si="4"/>
        <v>TC_CC_01_10</v>
      </c>
      <c r="R43" s="136"/>
      <c r="S43" s="13"/>
      <c r="T43" s="13"/>
      <c r="U43" s="13"/>
      <c r="V43" s="13"/>
      <c r="W43" s="13"/>
    </row>
    <row r="44" spans="1:23" x14ac:dyDescent="0.25">
      <c r="A44" s="138" t="b">
        <v>0</v>
      </c>
      <c r="B44" s="6">
        <f t="shared" si="5"/>
        <v>43</v>
      </c>
      <c r="C44" s="20" t="str">
        <f>_xlfn.XLOOKUP($D44,Tab_Def_Processes[Process_Name],Tab_Def_Processes[ID],,0,)</f>
        <v>01</v>
      </c>
      <c r="D44" s="134" t="s">
        <v>1101</v>
      </c>
      <c r="E44" s="6" t="str">
        <f>_xlfn.XLOOKUP($D44,Tab_Def_Processes[Process_Name],Tab_Def_Processes[Process_Logic],,0,)</f>
        <v>Splitter</v>
      </c>
      <c r="F44" s="6" t="str">
        <f>_xlfn.XLOOKUP($D44,Tab_Def_Processes[Process_Name],Tab_Def_Processes[TC_Configuration],,0,)</f>
        <v>Static</v>
      </c>
      <c r="G44" s="6" t="str">
        <f>_xlfn.XLOOKUP($D44,Tab_Def_Processes[Process_Name],Tab_Def_Processes[Stock_Configuration],,0,)</f>
        <v>Stock</v>
      </c>
      <c r="H44" s="6">
        <f>_xlfn.XLOOKUP($D44,Tab_Def_Processes[Process_Name],Tab_Def_Processes[Outflow_count],,0,)</f>
        <v>3</v>
      </c>
      <c r="I44" s="134" t="s">
        <v>1114</v>
      </c>
      <c r="J44" s="130" t="str">
        <f>_xlfn.XLOOKUP($I44,Tab_Def_Flows[Flow_Name],Tab_Def_Flows[Flow_ID],,0,)</f>
        <v>F_01_14</v>
      </c>
      <c r="K44" s="15" t="str">
        <f t="shared" si="6"/>
        <v>TC_material_01_14</v>
      </c>
      <c r="L44" s="136"/>
      <c r="M44" s="15" t="str">
        <f t="shared" si="2"/>
        <v>TC_WC_01_14</v>
      </c>
      <c r="N44" s="136"/>
      <c r="O44" s="15" t="str">
        <f t="shared" si="3"/>
        <v>TC_DM_01_14</v>
      </c>
      <c r="P44" s="136"/>
      <c r="Q44" s="6" t="str">
        <f t="shared" si="4"/>
        <v>TC_CC_01_14</v>
      </c>
      <c r="R44" s="136"/>
      <c r="S44" s="13"/>
      <c r="T44" s="13"/>
      <c r="U44" s="13"/>
      <c r="V44" s="13"/>
      <c r="W44" s="13"/>
    </row>
    <row r="45" spans="1:23" x14ac:dyDescent="0.25">
      <c r="A45" s="138" t="b">
        <v>0</v>
      </c>
      <c r="B45" s="6">
        <f t="shared" si="5"/>
        <v>44</v>
      </c>
      <c r="C45" s="20" t="str">
        <f>_xlfn.XLOOKUP($D45,Tab_Def_Processes[Process_Name],Tab_Def_Processes[ID],,0,)</f>
        <v>00</v>
      </c>
      <c r="D45" s="134" t="s">
        <v>1100</v>
      </c>
      <c r="E45" s="6" t="str">
        <f>_xlfn.XLOOKUP($D45,Tab_Def_Processes[Process_Name],Tab_Def_Processes[Process_Logic],,0,)</f>
        <v>Splitter</v>
      </c>
      <c r="F45" s="6" t="str">
        <f>_xlfn.XLOOKUP($D45,Tab_Def_Processes[Process_Name],Tab_Def_Processes[TC_Configuration],,0,)</f>
        <v>Static</v>
      </c>
      <c r="G45" s="6" t="str">
        <f>_xlfn.XLOOKUP($D45,Tab_Def_Processes[Process_Name],Tab_Def_Processes[Stock_Configuration],,0,)</f>
        <v>Stock</v>
      </c>
      <c r="H45" s="6">
        <f>_xlfn.XLOOKUP($D45,Tab_Def_Processes[Process_Name],Tab_Def_Processes[Outflow_count],,0,)</f>
        <v>4</v>
      </c>
      <c r="I45" s="134"/>
      <c r="J45" s="130" t="str">
        <f>_xlfn.XLOOKUP($I45,Tab_Def_Flows[Flow_Name],Tab_Def_Flows[Flow_ID],,0,)</f>
        <v>F_23_23</v>
      </c>
      <c r="K45" s="15" t="str">
        <f t="shared" si="6"/>
        <v>TC_material_23_23</v>
      </c>
      <c r="L45" s="136"/>
      <c r="M45" s="15" t="str">
        <f t="shared" si="2"/>
        <v>TC_WC_23_23</v>
      </c>
      <c r="N45" s="136"/>
      <c r="O45" s="15" t="str">
        <f t="shared" si="3"/>
        <v>TC_DM_23_23</v>
      </c>
      <c r="P45" s="136"/>
      <c r="Q45" s="6" t="str">
        <f t="shared" si="4"/>
        <v>TC_CC_23_23</v>
      </c>
      <c r="R45" s="136"/>
      <c r="S45" s="13"/>
      <c r="T45" s="13"/>
      <c r="U45" s="13"/>
      <c r="V45" s="13"/>
      <c r="W45" s="13"/>
    </row>
    <row r="46" spans="1:23" x14ac:dyDescent="0.25">
      <c r="A46" s="138" t="b">
        <v>0</v>
      </c>
      <c r="B46" s="6">
        <f t="shared" si="5"/>
        <v>45</v>
      </c>
      <c r="C46" s="20" t="str">
        <f>_xlfn.XLOOKUP($D46,Tab_Def_Processes[Process_Name],Tab_Def_Processes[ID],,0,)</f>
        <v>00</v>
      </c>
      <c r="D46" s="134" t="s">
        <v>1100</v>
      </c>
      <c r="E46" s="6" t="str">
        <f>_xlfn.XLOOKUP($D46,Tab_Def_Processes[Process_Name],Tab_Def_Processes[Process_Logic],,0,)</f>
        <v>Splitter</v>
      </c>
      <c r="F46" s="6" t="str">
        <f>_xlfn.XLOOKUP($D46,Tab_Def_Processes[Process_Name],Tab_Def_Processes[TC_Configuration],,0,)</f>
        <v>Static</v>
      </c>
      <c r="G46" s="6" t="str">
        <f>_xlfn.XLOOKUP($D46,Tab_Def_Processes[Process_Name],Tab_Def_Processes[Stock_Configuration],,0,)</f>
        <v>Stock</v>
      </c>
      <c r="H46" s="6">
        <f>_xlfn.XLOOKUP($D46,Tab_Def_Processes[Process_Name],Tab_Def_Processes[Outflow_count],,0,)</f>
        <v>4</v>
      </c>
      <c r="I46" s="134"/>
      <c r="J46" s="130" t="str">
        <f>_xlfn.XLOOKUP($I46,Tab_Def_Flows[Flow_Name],Tab_Def_Flows[Flow_ID],,0,)</f>
        <v>F_23_23</v>
      </c>
      <c r="K46" s="15" t="str">
        <f t="shared" si="6"/>
        <v>TC_material_23_23</v>
      </c>
      <c r="L46" s="136"/>
      <c r="M46" s="15" t="str">
        <f t="shared" si="2"/>
        <v>TC_WC_23_23</v>
      </c>
      <c r="N46" s="136"/>
      <c r="O46" s="15" t="str">
        <f t="shared" si="3"/>
        <v>TC_DM_23_23</v>
      </c>
      <c r="P46" s="136"/>
      <c r="Q46" s="6" t="str">
        <f t="shared" si="4"/>
        <v>TC_CC_23_23</v>
      </c>
      <c r="R46" s="136"/>
      <c r="S46" s="13"/>
      <c r="T46" s="13"/>
      <c r="U46" s="13"/>
      <c r="V46" s="13"/>
      <c r="W46" s="13"/>
    </row>
    <row r="47" spans="1:23" x14ac:dyDescent="0.25">
      <c r="A47" s="138" t="b">
        <v>0</v>
      </c>
      <c r="B47" s="6">
        <f t="shared" si="5"/>
        <v>46</v>
      </c>
      <c r="C47" s="20" t="str">
        <f>_xlfn.XLOOKUP($D47,Tab_Def_Processes[Process_Name],Tab_Def_Processes[ID],,0,)</f>
        <v>00</v>
      </c>
      <c r="D47" s="134" t="s">
        <v>1100</v>
      </c>
      <c r="E47" s="6" t="str">
        <f>_xlfn.XLOOKUP($D47,Tab_Def_Processes[Process_Name],Tab_Def_Processes[Process_Logic],,0,)</f>
        <v>Splitter</v>
      </c>
      <c r="F47" s="6" t="str">
        <f>_xlfn.XLOOKUP($D47,Tab_Def_Processes[Process_Name],Tab_Def_Processes[TC_Configuration],,0,)</f>
        <v>Static</v>
      </c>
      <c r="G47" s="6" t="str">
        <f>_xlfn.XLOOKUP($D47,Tab_Def_Processes[Process_Name],Tab_Def_Processes[Stock_Configuration],,0,)</f>
        <v>Stock</v>
      </c>
      <c r="H47" s="6">
        <f>_xlfn.XLOOKUP($D47,Tab_Def_Processes[Process_Name],Tab_Def_Processes[Outflow_count],,0,)</f>
        <v>4</v>
      </c>
      <c r="I47" s="134"/>
      <c r="J47" s="130" t="str">
        <f>_xlfn.XLOOKUP($I47,Tab_Def_Flows[Flow_Name],Tab_Def_Flows[Flow_ID],,0,)</f>
        <v>F_23_23</v>
      </c>
      <c r="K47" s="15" t="str">
        <f t="shared" si="6"/>
        <v>TC_material_23_23</v>
      </c>
      <c r="L47" s="136"/>
      <c r="M47" s="15" t="str">
        <f t="shared" si="2"/>
        <v>TC_WC_23_23</v>
      </c>
      <c r="N47" s="136"/>
      <c r="O47" s="15" t="str">
        <f t="shared" si="3"/>
        <v>TC_DM_23_23</v>
      </c>
      <c r="P47" s="136"/>
      <c r="Q47" s="6" t="str">
        <f t="shared" si="4"/>
        <v>TC_CC_23_23</v>
      </c>
      <c r="R47" s="136"/>
      <c r="S47" s="13"/>
      <c r="T47" s="13"/>
      <c r="U47" s="13"/>
      <c r="V47" s="13"/>
      <c r="W47" s="13"/>
    </row>
    <row r="48" spans="1:23" x14ac:dyDescent="0.25">
      <c r="A48" s="138" t="b">
        <v>0</v>
      </c>
      <c r="B48" s="6">
        <f t="shared" si="5"/>
        <v>47</v>
      </c>
      <c r="C48" s="20" t="str">
        <f>_xlfn.XLOOKUP($D48,Tab_Def_Processes[Process_Name],Tab_Def_Processes[ID],,0,)</f>
        <v>00</v>
      </c>
      <c r="D48" s="134" t="s">
        <v>1100</v>
      </c>
      <c r="E48" s="6" t="str">
        <f>_xlfn.XLOOKUP($D48,Tab_Def_Processes[Process_Name],Tab_Def_Processes[Process_Logic],,0,)</f>
        <v>Splitter</v>
      </c>
      <c r="F48" s="6" t="str">
        <f>_xlfn.XLOOKUP($D48,Tab_Def_Processes[Process_Name],Tab_Def_Processes[TC_Configuration],,0,)</f>
        <v>Static</v>
      </c>
      <c r="G48" s="6" t="str">
        <f>_xlfn.XLOOKUP($D48,Tab_Def_Processes[Process_Name],Tab_Def_Processes[Stock_Configuration],,0,)</f>
        <v>Stock</v>
      </c>
      <c r="H48" s="6">
        <f>_xlfn.XLOOKUP($D48,Tab_Def_Processes[Process_Name],Tab_Def_Processes[Outflow_count],,0,)</f>
        <v>4</v>
      </c>
      <c r="I48" s="134"/>
      <c r="J48" s="130" t="str">
        <f>_xlfn.XLOOKUP($I48,Tab_Def_Flows[Flow_Name],Tab_Def_Flows[Flow_ID],,0,)</f>
        <v>F_23_23</v>
      </c>
      <c r="K48" s="15" t="str">
        <f t="shared" si="6"/>
        <v>TC_material_23_23</v>
      </c>
      <c r="L48" s="136"/>
      <c r="M48" s="15" t="str">
        <f t="shared" si="2"/>
        <v>TC_WC_23_23</v>
      </c>
      <c r="N48" s="136"/>
      <c r="O48" s="15" t="str">
        <f t="shared" si="3"/>
        <v>TC_DM_23_23</v>
      </c>
      <c r="P48" s="136"/>
      <c r="Q48" s="6" t="str">
        <f t="shared" si="4"/>
        <v>TC_CC_23_23</v>
      </c>
      <c r="R48" s="136"/>
      <c r="S48" s="13"/>
      <c r="T48" s="13"/>
      <c r="U48" s="13"/>
      <c r="V48" s="13"/>
      <c r="W48" s="13"/>
    </row>
    <row r="49" spans="1:23" x14ac:dyDescent="0.25">
      <c r="A49" s="138" t="b">
        <v>0</v>
      </c>
      <c r="B49" s="6">
        <f t="shared" si="5"/>
        <v>48</v>
      </c>
      <c r="C49" s="20" t="str">
        <f>_xlfn.XLOOKUP($D49,Tab_Def_Processes[Process_Name],Tab_Def_Processes[ID],,0,)</f>
        <v>23</v>
      </c>
      <c r="D49" s="134"/>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4"/>
      <c r="J49" s="130" t="str">
        <f>_xlfn.XLOOKUP($I49,Tab_Def_Flows[Flow_Name],Tab_Def_Flows[Flow_ID],,0,)</f>
        <v>F_23_23</v>
      </c>
      <c r="K49" s="15" t="str">
        <f t="shared" si="6"/>
        <v>TC_material_23_23</v>
      </c>
      <c r="L49" s="136"/>
      <c r="M49" s="15" t="str">
        <f t="shared" si="2"/>
        <v>TC_WC_23_23</v>
      </c>
      <c r="N49" s="136"/>
      <c r="O49" s="15" t="str">
        <f t="shared" si="3"/>
        <v>TC_DM_23_23</v>
      </c>
      <c r="P49" s="136"/>
      <c r="Q49" s="6" t="str">
        <f t="shared" si="4"/>
        <v>TC_CC_23_23</v>
      </c>
      <c r="R49" s="136"/>
      <c r="S49" s="13"/>
      <c r="T49" s="13"/>
      <c r="U49" s="13"/>
      <c r="V49" s="13"/>
      <c r="W49" s="13"/>
    </row>
    <row r="50" spans="1:23" x14ac:dyDescent="0.25">
      <c r="A50" s="138" t="b">
        <v>0</v>
      </c>
      <c r="B50" s="6">
        <f t="shared" si="5"/>
        <v>49</v>
      </c>
      <c r="C50" s="20" t="str">
        <f>_xlfn.XLOOKUP($D50,Tab_Def_Processes[Process_Name],Tab_Def_Processes[ID],,0,)</f>
        <v>23</v>
      </c>
      <c r="D50" s="134"/>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4"/>
      <c r="J50" s="130" t="str">
        <f>_xlfn.XLOOKUP($I50,Tab_Def_Flows[Flow_Name],Tab_Def_Flows[Flow_ID],,0,)</f>
        <v>F_23_23</v>
      </c>
      <c r="K50" s="15" t="str">
        <f t="shared" si="6"/>
        <v>TC_material_23_23</v>
      </c>
      <c r="L50" s="136"/>
      <c r="M50" s="15" t="str">
        <f t="shared" si="2"/>
        <v>TC_WC_23_23</v>
      </c>
      <c r="N50" s="136"/>
      <c r="O50" s="15" t="str">
        <f t="shared" si="3"/>
        <v>TC_DM_23_23</v>
      </c>
      <c r="P50" s="136"/>
      <c r="Q50" s="6" t="str">
        <f t="shared" si="4"/>
        <v>TC_CC_23_23</v>
      </c>
      <c r="R50" s="136"/>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'1_1_Definition_Flows'!$D$2:$D$95</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37" t="s">
        <v>24</v>
      </c>
      <c r="B1" s="137" t="s">
        <v>7</v>
      </c>
      <c r="C1" s="137" t="s">
        <v>23</v>
      </c>
      <c r="D1" s="137" t="s">
        <v>431</v>
      </c>
      <c r="E1" s="137" t="s">
        <v>165</v>
      </c>
      <c r="F1" s="137" t="s">
        <v>396</v>
      </c>
      <c r="G1" s="137" t="s">
        <v>459</v>
      </c>
      <c r="H1" s="137" t="s">
        <v>460</v>
      </c>
      <c r="I1" s="137" t="s">
        <v>493</v>
      </c>
      <c r="J1" s="137" t="s">
        <v>11</v>
      </c>
      <c r="K1" s="137" t="s">
        <v>0</v>
      </c>
      <c r="L1" s="137" t="s">
        <v>408</v>
      </c>
      <c r="M1" s="137" t="s">
        <v>404</v>
      </c>
      <c r="N1" s="137" t="s">
        <v>409</v>
      </c>
      <c r="O1" s="137" t="s">
        <v>399</v>
      </c>
      <c r="P1" s="137" t="s">
        <v>410</v>
      </c>
      <c r="Q1" s="137" t="s">
        <v>400</v>
      </c>
      <c r="R1" s="137" t="s">
        <v>411</v>
      </c>
      <c r="S1" s="137" t="s">
        <v>401</v>
      </c>
      <c r="T1" s="137" t="s">
        <v>494</v>
      </c>
      <c r="U1" s="137" t="s">
        <v>466</v>
      </c>
      <c r="V1" s="137" t="s">
        <v>495</v>
      </c>
      <c r="W1" s="137" t="s">
        <v>496</v>
      </c>
      <c r="X1" s="137" t="s">
        <v>497</v>
      </c>
    </row>
    <row r="2" spans="1:24" x14ac:dyDescent="0.25">
      <c r="A2" s="138" t="b">
        <v>0</v>
      </c>
      <c r="B2" s="6">
        <f t="shared" ref="B2:B33" si="0">ROW()-1</f>
        <v>1</v>
      </c>
      <c r="C2" s="20" t="e">
        <f>_xlfn.XLOOKUP($D2,Tab_Def_Processes[Process_Name],Tab_Def_Processes[Process_ID],,0,)</f>
        <v>#N/A</v>
      </c>
      <c r="D2" s="134" t="s">
        <v>8</v>
      </c>
      <c r="E2" s="134"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36"/>
      <c r="N2" s="15" t="str">
        <f>"TC_WC"&amp;"_"&amp;RIGHT(J2,5)</f>
        <v>TC_WC_F__</v>
      </c>
      <c r="O2" s="136"/>
      <c r="P2" s="15" t="str">
        <f>"TC_DM"&amp;"_"&amp;RIGHT(J2,5)</f>
        <v>TC_DM_F__</v>
      </c>
      <c r="Q2" s="136"/>
      <c r="R2" s="15" t="str">
        <f>"TC_CC"&amp;"_"&amp;RIGHT(J2,5)</f>
        <v>TC_CC_F__</v>
      </c>
      <c r="S2" s="7"/>
      <c r="T2" s="13"/>
      <c r="U2" s="13"/>
      <c r="V2" s="13"/>
      <c r="W2" s="13"/>
      <c r="X2" s="13"/>
    </row>
    <row r="3" spans="1:24" x14ac:dyDescent="0.25">
      <c r="A3" s="138" t="b">
        <v>0</v>
      </c>
      <c r="B3" s="6">
        <f t="shared" si="0"/>
        <v>2</v>
      </c>
      <c r="C3" s="20" t="e">
        <f>_xlfn.XLOOKUP($D3,Tab_Def_Processes[Process_Name],Tab_Def_Processes[Process_ID],,0,)</f>
        <v>#N/A</v>
      </c>
      <c r="D3" s="134" t="s">
        <v>8</v>
      </c>
      <c r="E3" s="134"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36"/>
      <c r="N3" s="15" t="str">
        <f t="shared" ref="N3:N68" si="2">"TC_WC"&amp;"_"&amp;RIGHT(J3,5)</f>
        <v>TC_WC_F__</v>
      </c>
      <c r="O3" s="136"/>
      <c r="P3" s="15" t="str">
        <f t="shared" ref="P3:P68" si="3">"TC_DM"&amp;"_"&amp;RIGHT(J3,5)</f>
        <v>TC_DM_F__</v>
      </c>
      <c r="Q3" s="136"/>
      <c r="R3" s="15" t="str">
        <f t="shared" ref="R3:R68" si="4">"TC_CC"&amp;"_"&amp;RIGHT(J3,5)</f>
        <v>TC_CC_F__</v>
      </c>
      <c r="S3" s="7"/>
      <c r="T3" s="13"/>
      <c r="U3" s="13"/>
      <c r="V3" s="13"/>
      <c r="W3" s="13"/>
      <c r="X3" s="13"/>
    </row>
    <row r="4" spans="1:24" x14ac:dyDescent="0.25">
      <c r="A4" s="138" t="b">
        <v>0</v>
      </c>
      <c r="B4" s="6">
        <f t="shared" si="0"/>
        <v>3</v>
      </c>
      <c r="C4" s="20" t="e">
        <f>_xlfn.XLOOKUP($D4,Tab_Def_Processes[Process_Name],Tab_Def_Processes[Process_ID],,0,)</f>
        <v>#N/A</v>
      </c>
      <c r="D4" s="134" t="s">
        <v>8</v>
      </c>
      <c r="E4" s="134"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36"/>
      <c r="N4" s="15" t="str">
        <f t="shared" si="2"/>
        <v>TC_WC_F__</v>
      </c>
      <c r="O4" s="136"/>
      <c r="P4" s="15" t="str">
        <f t="shared" si="3"/>
        <v>TC_DM_F__</v>
      </c>
      <c r="Q4" s="136"/>
      <c r="R4" s="15" t="str">
        <f t="shared" si="4"/>
        <v>TC_CC_F__</v>
      </c>
      <c r="S4" s="7"/>
      <c r="T4" s="13"/>
      <c r="U4" s="13"/>
      <c r="V4" s="13"/>
      <c r="W4" s="13"/>
      <c r="X4" s="13"/>
    </row>
    <row r="5" spans="1:24" x14ac:dyDescent="0.25">
      <c r="A5" s="138" t="b">
        <v>0</v>
      </c>
      <c r="B5" s="6">
        <f t="shared" si="0"/>
        <v>4</v>
      </c>
      <c r="C5" s="20" t="e">
        <f>_xlfn.XLOOKUP($D5,Tab_Def_Processes[Process_Name],Tab_Def_Processes[Process_ID],,0,)</f>
        <v>#N/A</v>
      </c>
      <c r="D5" s="134" t="s">
        <v>8</v>
      </c>
      <c r="E5" s="134"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36"/>
      <c r="N5" s="15" t="str">
        <f t="shared" si="2"/>
        <v>TC_WC_F__</v>
      </c>
      <c r="O5" s="136"/>
      <c r="P5" s="15" t="str">
        <f t="shared" si="3"/>
        <v>TC_DM_F__</v>
      </c>
      <c r="Q5" s="136"/>
      <c r="R5" s="15" t="str">
        <f t="shared" si="4"/>
        <v>TC_CC_F__</v>
      </c>
      <c r="S5" s="7"/>
      <c r="T5" s="13"/>
      <c r="U5" s="13"/>
      <c r="V5" s="13"/>
      <c r="W5" s="13"/>
      <c r="X5" s="13"/>
    </row>
    <row r="6" spans="1:24" x14ac:dyDescent="0.25">
      <c r="A6" s="138" t="b">
        <v>0</v>
      </c>
      <c r="B6" s="6">
        <f t="shared" si="0"/>
        <v>5</v>
      </c>
      <c r="C6" s="20" t="e">
        <f>_xlfn.XLOOKUP($D6,Tab_Def_Processes[Process_Name],Tab_Def_Processes[Process_ID],,0,)</f>
        <v>#N/A</v>
      </c>
      <c r="D6" s="134" t="s">
        <v>8</v>
      </c>
      <c r="E6" s="134"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36"/>
      <c r="N6" s="15" t="str">
        <f t="shared" si="2"/>
        <v>TC_WC_F__</v>
      </c>
      <c r="O6" s="136"/>
      <c r="P6" s="15" t="str">
        <f t="shared" si="3"/>
        <v>TC_DM_F__</v>
      </c>
      <c r="Q6" s="136"/>
      <c r="R6" s="15" t="str">
        <f t="shared" si="4"/>
        <v>TC_CC_F__</v>
      </c>
      <c r="S6" s="7"/>
      <c r="T6" s="13"/>
      <c r="U6" s="13"/>
      <c r="V6" s="13"/>
      <c r="W6" s="13"/>
      <c r="X6" s="13"/>
    </row>
    <row r="7" spans="1:24" x14ac:dyDescent="0.25">
      <c r="A7" s="138" t="b">
        <v>0</v>
      </c>
      <c r="B7" s="6">
        <f t="shared" si="0"/>
        <v>6</v>
      </c>
      <c r="C7" s="20" t="e">
        <f>_xlfn.XLOOKUP($D7,Tab_Def_Processes[Process_Name],Tab_Def_Processes[Process_ID],,0,)</f>
        <v>#N/A</v>
      </c>
      <c r="D7" s="134" t="s">
        <v>8</v>
      </c>
      <c r="E7" s="134"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36"/>
      <c r="N7" s="15" t="str">
        <f t="shared" si="2"/>
        <v>TC_WC_F__</v>
      </c>
      <c r="O7" s="136"/>
      <c r="P7" s="15" t="str">
        <f t="shared" si="3"/>
        <v>TC_DM_F__</v>
      </c>
      <c r="Q7" s="136"/>
      <c r="R7" s="15" t="str">
        <f t="shared" si="4"/>
        <v>TC_CC_F__</v>
      </c>
      <c r="S7" s="7"/>
      <c r="T7" s="13"/>
      <c r="U7" s="13"/>
      <c r="V7" s="13"/>
      <c r="W7" s="13"/>
      <c r="X7" s="13"/>
    </row>
    <row r="8" spans="1:24" x14ac:dyDescent="0.25">
      <c r="A8" s="138" t="b">
        <v>0</v>
      </c>
      <c r="B8" s="6">
        <f t="shared" si="0"/>
        <v>7</v>
      </c>
      <c r="C8" s="20" t="e">
        <f>_xlfn.XLOOKUP($D8,Tab_Def_Processes[Process_Name],Tab_Def_Processes[Process_ID],,0,)</f>
        <v>#N/A</v>
      </c>
      <c r="D8" s="134" t="s">
        <v>8</v>
      </c>
      <c r="E8" s="134"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36"/>
      <c r="N8" s="15" t="str">
        <f t="shared" si="2"/>
        <v>TC_WC_F__</v>
      </c>
      <c r="O8" s="136"/>
      <c r="P8" s="15" t="str">
        <f t="shared" si="3"/>
        <v>TC_DM_F__</v>
      </c>
      <c r="Q8" s="136"/>
      <c r="R8" s="15" t="str">
        <f t="shared" si="4"/>
        <v>TC_CC_F__</v>
      </c>
      <c r="S8" s="7"/>
      <c r="T8" s="13"/>
      <c r="U8" s="13"/>
      <c r="V8" s="13"/>
      <c r="W8" s="13"/>
      <c r="X8" s="13"/>
    </row>
    <row r="9" spans="1:24" x14ac:dyDescent="0.25">
      <c r="A9" s="138" t="b">
        <v>0</v>
      </c>
      <c r="B9" s="6">
        <f t="shared" si="0"/>
        <v>8</v>
      </c>
      <c r="C9" s="20" t="e">
        <f>_xlfn.XLOOKUP($D9,Tab_Def_Processes[Process_Name],Tab_Def_Processes[Process_ID],,0,)</f>
        <v>#N/A</v>
      </c>
      <c r="D9" s="134" t="s">
        <v>8</v>
      </c>
      <c r="E9" s="134"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36"/>
      <c r="N9" s="15" t="str">
        <f t="shared" si="2"/>
        <v>TC_WC_F__</v>
      </c>
      <c r="O9" s="136"/>
      <c r="P9" s="15" t="str">
        <f t="shared" si="3"/>
        <v>TC_DM_F__</v>
      </c>
      <c r="Q9" s="136"/>
      <c r="R9" s="15" t="str">
        <f t="shared" si="4"/>
        <v>TC_CC_F__</v>
      </c>
      <c r="S9" s="7"/>
      <c r="T9" s="13"/>
      <c r="U9" s="13"/>
      <c r="V9" s="13"/>
      <c r="W9" s="13"/>
      <c r="X9" s="13"/>
    </row>
    <row r="10" spans="1:24" x14ac:dyDescent="0.25">
      <c r="A10" s="138" t="b">
        <v>0</v>
      </c>
      <c r="B10" s="6">
        <f t="shared" si="0"/>
        <v>9</v>
      </c>
      <c r="C10" s="20" t="e">
        <f>_xlfn.XLOOKUP($D10,Tab_Def_Processes[Process_Name],Tab_Def_Processes[Process_ID],,0,)</f>
        <v>#N/A</v>
      </c>
      <c r="D10" s="134" t="s">
        <v>8</v>
      </c>
      <c r="E10" s="134"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36"/>
      <c r="N10" s="15" t="str">
        <f t="shared" si="2"/>
        <v>TC_WC_F__</v>
      </c>
      <c r="O10" s="136"/>
      <c r="P10" s="15" t="str">
        <f t="shared" si="3"/>
        <v>TC_DM_F__</v>
      </c>
      <c r="Q10" s="136"/>
      <c r="R10" s="15" t="str">
        <f t="shared" si="4"/>
        <v>TC_CC_F__</v>
      </c>
      <c r="S10" s="7"/>
      <c r="T10" s="13"/>
      <c r="U10" s="13"/>
      <c r="V10" s="13"/>
      <c r="W10" s="13"/>
      <c r="X10" s="13"/>
    </row>
    <row r="11" spans="1:24" x14ac:dyDescent="0.25">
      <c r="A11" s="138" t="b">
        <v>0</v>
      </c>
      <c r="B11" s="6">
        <f t="shared" si="0"/>
        <v>10</v>
      </c>
      <c r="C11" s="20" t="e">
        <f>_xlfn.XLOOKUP($D11,Tab_Def_Processes[Process_Name],Tab_Def_Processes[Process_ID],,0,)</f>
        <v>#N/A</v>
      </c>
      <c r="D11" s="134" t="s">
        <v>8</v>
      </c>
      <c r="E11" s="134"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36"/>
      <c r="N11" s="15" t="str">
        <f t="shared" si="2"/>
        <v>TC_WC_F__</v>
      </c>
      <c r="O11" s="136"/>
      <c r="P11" s="15" t="str">
        <f t="shared" si="3"/>
        <v>TC_DM_F__</v>
      </c>
      <c r="Q11" s="136"/>
      <c r="R11" s="15" t="str">
        <f t="shared" si="4"/>
        <v>TC_CC_F__</v>
      </c>
      <c r="S11" s="7"/>
      <c r="T11" s="13"/>
      <c r="U11" s="13"/>
      <c r="V11" s="13"/>
      <c r="W11" s="13"/>
      <c r="X11" s="13"/>
    </row>
    <row r="12" spans="1:24" x14ac:dyDescent="0.25">
      <c r="A12" s="138" t="b">
        <v>0</v>
      </c>
      <c r="B12" s="6">
        <f t="shared" si="0"/>
        <v>11</v>
      </c>
      <c r="C12" s="20" t="e">
        <f>_xlfn.XLOOKUP($D12,Tab_Def_Processes[Process_Name],Tab_Def_Processes[Process_ID],,0,)</f>
        <v>#N/A</v>
      </c>
      <c r="D12" s="134" t="s">
        <v>8</v>
      </c>
      <c r="E12" s="134"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36"/>
      <c r="N12" s="15" t="str">
        <f t="shared" si="2"/>
        <v>TC_WC_F__</v>
      </c>
      <c r="O12" s="136"/>
      <c r="P12" s="15" t="str">
        <f t="shared" si="3"/>
        <v>TC_DM_F__</v>
      </c>
      <c r="Q12" s="136"/>
      <c r="R12" s="15" t="str">
        <f t="shared" si="4"/>
        <v>TC_CC_F__</v>
      </c>
      <c r="S12" s="7"/>
      <c r="T12" s="13"/>
      <c r="U12" s="13"/>
      <c r="V12" s="13"/>
      <c r="W12" s="13"/>
      <c r="X12" s="13"/>
    </row>
    <row r="13" spans="1:24" x14ac:dyDescent="0.25">
      <c r="A13" s="138" t="b">
        <v>0</v>
      </c>
      <c r="B13" s="6">
        <f t="shared" si="0"/>
        <v>12</v>
      </c>
      <c r="C13" s="20" t="e">
        <f>_xlfn.XLOOKUP($D13,Tab_Def_Processes[Process_Name],Tab_Def_Processes[Process_ID],,0,)</f>
        <v>#N/A</v>
      </c>
      <c r="D13" s="134" t="s">
        <v>8</v>
      </c>
      <c r="E13" s="134"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36"/>
      <c r="N13" s="15" t="str">
        <f t="shared" si="2"/>
        <v>TC_WC_F__</v>
      </c>
      <c r="O13" s="136"/>
      <c r="P13" s="15" t="str">
        <f t="shared" si="3"/>
        <v>TC_DM_F__</v>
      </c>
      <c r="Q13" s="136"/>
      <c r="R13" s="15" t="str">
        <f t="shared" si="4"/>
        <v>TC_CC_F__</v>
      </c>
      <c r="S13" s="7"/>
      <c r="T13" s="13"/>
      <c r="U13" s="13"/>
      <c r="V13" s="13"/>
      <c r="W13" s="13"/>
      <c r="X13" s="13"/>
    </row>
    <row r="14" spans="1:24" x14ac:dyDescent="0.25">
      <c r="A14" s="138" t="b">
        <v>0</v>
      </c>
      <c r="B14" s="6">
        <f t="shared" si="0"/>
        <v>13</v>
      </c>
      <c r="C14" s="20" t="e">
        <f>_xlfn.XLOOKUP($D14,Tab_Def_Processes[Process_Name],Tab_Def_Processes[Process_ID],,0,)</f>
        <v>#N/A</v>
      </c>
      <c r="D14" s="134" t="s">
        <v>8</v>
      </c>
      <c r="E14" s="134"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36"/>
      <c r="N14" s="15" t="str">
        <f t="shared" si="2"/>
        <v>TC_WC_F__</v>
      </c>
      <c r="O14" s="136"/>
      <c r="P14" s="15" t="str">
        <f t="shared" si="3"/>
        <v>TC_DM_F__</v>
      </c>
      <c r="Q14" s="136"/>
      <c r="R14" s="15" t="str">
        <f t="shared" si="4"/>
        <v>TC_CC_F__</v>
      </c>
      <c r="S14" s="7"/>
      <c r="T14" s="13"/>
      <c r="U14" s="13"/>
      <c r="V14" s="13"/>
      <c r="W14" s="13"/>
      <c r="X14" s="13"/>
    </row>
    <row r="15" spans="1:24" x14ac:dyDescent="0.25">
      <c r="A15" s="138" t="b">
        <v>0</v>
      </c>
      <c r="B15" s="6">
        <f t="shared" si="0"/>
        <v>14</v>
      </c>
      <c r="C15" s="20" t="e">
        <f>_xlfn.XLOOKUP($D15,Tab_Def_Processes[Process_Name],Tab_Def_Processes[Process_ID],,0,)</f>
        <v>#N/A</v>
      </c>
      <c r="D15" s="134" t="s">
        <v>8</v>
      </c>
      <c r="E15" s="134"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36"/>
      <c r="N15" s="15" t="str">
        <f t="shared" si="2"/>
        <v>TC_WC_F__</v>
      </c>
      <c r="O15" s="136"/>
      <c r="P15" s="15" t="str">
        <f t="shared" si="3"/>
        <v>TC_DM_F__</v>
      </c>
      <c r="Q15" s="136"/>
      <c r="R15" s="15" t="str">
        <f t="shared" si="4"/>
        <v>TC_CC_F__</v>
      </c>
      <c r="S15" s="7"/>
      <c r="T15" s="13"/>
      <c r="U15" s="13"/>
      <c r="V15" s="13"/>
      <c r="W15" s="13"/>
      <c r="X15" s="13"/>
    </row>
    <row r="16" spans="1:24" x14ac:dyDescent="0.25">
      <c r="A16" s="138" t="b">
        <v>0</v>
      </c>
      <c r="B16" s="6">
        <f t="shared" si="0"/>
        <v>15</v>
      </c>
      <c r="C16" s="20" t="e">
        <f>_xlfn.XLOOKUP($D16,Tab_Def_Processes[Process_Name],Tab_Def_Processes[Process_ID],,0,)</f>
        <v>#N/A</v>
      </c>
      <c r="D16" s="134" t="s">
        <v>8</v>
      </c>
      <c r="E16" s="134"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36"/>
      <c r="N16" s="15" t="str">
        <f t="shared" si="2"/>
        <v>TC_WC_F__</v>
      </c>
      <c r="O16" s="136"/>
      <c r="P16" s="15" t="str">
        <f t="shared" si="3"/>
        <v>TC_DM_F__</v>
      </c>
      <c r="Q16" s="136"/>
      <c r="R16" s="15" t="str">
        <f t="shared" si="4"/>
        <v>TC_CC_F__</v>
      </c>
      <c r="S16" s="7"/>
      <c r="T16" s="13"/>
      <c r="U16" s="13"/>
      <c r="V16" s="13"/>
      <c r="W16" s="13"/>
      <c r="X16" s="13"/>
    </row>
    <row r="17" spans="1:24" x14ac:dyDescent="0.25">
      <c r="A17" s="138" t="b">
        <v>0</v>
      </c>
      <c r="B17" s="6">
        <f>ROW()-1</f>
        <v>16</v>
      </c>
      <c r="C17" s="20" t="e">
        <f>_xlfn.XLOOKUP($D17,Tab_Def_Processes[Process_Name],Tab_Def_Processes[Process_ID],,0,)</f>
        <v>#N/A</v>
      </c>
      <c r="D17" s="134" t="s">
        <v>8</v>
      </c>
      <c r="E17" s="134"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36"/>
      <c r="N17" s="15" t="str">
        <f>"TC_WC"&amp;"_"&amp;RIGHT(J17,5)</f>
        <v>TC_WC_F__</v>
      </c>
      <c r="O17" s="136"/>
      <c r="P17" s="15" t="str">
        <f t="shared" si="3"/>
        <v>TC_DM_F__</v>
      </c>
      <c r="Q17" s="136"/>
      <c r="R17" s="15" t="str">
        <f t="shared" si="4"/>
        <v>TC_CC_F__</v>
      </c>
      <c r="S17" s="7"/>
      <c r="T17" s="13"/>
      <c r="U17" s="13"/>
      <c r="V17" s="13"/>
      <c r="W17" s="13"/>
      <c r="X17" s="13"/>
    </row>
    <row r="18" spans="1:24" x14ac:dyDescent="0.25">
      <c r="A18" s="138" t="b">
        <v>0</v>
      </c>
      <c r="B18" s="6">
        <f>ROW()-1</f>
        <v>17</v>
      </c>
      <c r="C18" s="20" t="e">
        <f>_xlfn.XLOOKUP($D18,Tab_Def_Processes[Process_Name],Tab_Def_Processes[Process_ID],,0,)</f>
        <v>#N/A</v>
      </c>
      <c r="D18" s="134" t="s">
        <v>8</v>
      </c>
      <c r="E18" s="134"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36"/>
      <c r="N18" s="15" t="str">
        <f>"TC_WC"&amp;"_"&amp;RIGHT(J18,5)</f>
        <v>TC_WC_F__</v>
      </c>
      <c r="O18" s="136"/>
      <c r="P18" s="15" t="str">
        <f t="shared" si="3"/>
        <v>TC_DM_F__</v>
      </c>
      <c r="Q18" s="136"/>
      <c r="R18" s="15" t="str">
        <f t="shared" si="4"/>
        <v>TC_CC_F__</v>
      </c>
      <c r="S18" s="7"/>
      <c r="T18" s="13"/>
      <c r="U18" s="13"/>
      <c r="V18" s="13"/>
      <c r="W18" s="13"/>
      <c r="X18" s="13"/>
    </row>
    <row r="19" spans="1:24" x14ac:dyDescent="0.25">
      <c r="A19" s="138" t="b">
        <v>0</v>
      </c>
      <c r="B19" s="6">
        <f t="shared" si="0"/>
        <v>18</v>
      </c>
      <c r="C19" s="20" t="e">
        <f>_xlfn.XLOOKUP($D19,Tab_Def_Processes[Process_Name],Tab_Def_Processes[Process_ID],,0,)</f>
        <v>#N/A</v>
      </c>
      <c r="D19" s="134" t="s">
        <v>8</v>
      </c>
      <c r="E19" s="134"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36"/>
      <c r="N19" s="15" t="str">
        <f t="shared" si="2"/>
        <v>TC_WC_F__</v>
      </c>
      <c r="O19" s="136"/>
      <c r="P19" s="15" t="str">
        <f t="shared" si="3"/>
        <v>TC_DM_F__</v>
      </c>
      <c r="Q19" s="136"/>
      <c r="R19" s="15" t="str">
        <f t="shared" si="4"/>
        <v>TC_CC_F__</v>
      </c>
      <c r="S19" s="7"/>
      <c r="T19" s="13"/>
      <c r="U19" s="13"/>
      <c r="V19" s="13"/>
      <c r="W19" s="13"/>
      <c r="X19" s="13"/>
    </row>
    <row r="20" spans="1:24" ht="16.5" customHeight="1" x14ac:dyDescent="0.25">
      <c r="A20" s="138" t="b">
        <v>0</v>
      </c>
      <c r="B20" s="6">
        <f t="shared" si="0"/>
        <v>19</v>
      </c>
      <c r="C20" s="20" t="e">
        <f>_xlfn.XLOOKUP($D20,Tab_Def_Processes[Process_Name],Tab_Def_Processes[Process_ID],,0,)</f>
        <v>#N/A</v>
      </c>
      <c r="D20" s="134" t="s">
        <v>8</v>
      </c>
      <c r="E20" s="134"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36"/>
      <c r="N20" s="15" t="str">
        <f t="shared" si="2"/>
        <v>TC_WC_F__</v>
      </c>
      <c r="O20" s="136"/>
      <c r="P20" s="15" t="str">
        <f t="shared" si="3"/>
        <v>TC_DM_F__</v>
      </c>
      <c r="Q20" s="136"/>
      <c r="R20" s="15" t="str">
        <f t="shared" si="4"/>
        <v>TC_CC_F__</v>
      </c>
      <c r="S20" s="7"/>
      <c r="T20" s="13"/>
      <c r="U20" s="13"/>
      <c r="V20" s="13"/>
      <c r="W20" s="13"/>
      <c r="X20" s="13"/>
    </row>
    <row r="21" spans="1:24" ht="16.5" customHeight="1" x14ac:dyDescent="0.25">
      <c r="A21" s="138" t="b">
        <v>0</v>
      </c>
      <c r="B21" s="6">
        <f>ROW()-1</f>
        <v>20</v>
      </c>
      <c r="C21" s="20" t="e">
        <f>_xlfn.XLOOKUP($D21,Tab_Def_Processes[Process_Name],Tab_Def_Processes[Process_ID],,0,)</f>
        <v>#N/A</v>
      </c>
      <c r="D21" s="134" t="s">
        <v>8</v>
      </c>
      <c r="E21" s="134"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36"/>
      <c r="N21" s="15" t="str">
        <f>"TC_WC"&amp;"_"&amp;RIGHT(J21,5)</f>
        <v>TC_WC_F__</v>
      </c>
      <c r="O21" s="136"/>
      <c r="P21" s="15" t="str">
        <f t="shared" si="3"/>
        <v>TC_DM_F__</v>
      </c>
      <c r="Q21" s="136"/>
      <c r="R21" s="15" t="str">
        <f t="shared" si="4"/>
        <v>TC_CC_F__</v>
      </c>
      <c r="S21" s="7"/>
      <c r="T21" s="13"/>
      <c r="U21" s="13"/>
      <c r="V21" s="13"/>
      <c r="W21" s="13"/>
      <c r="X21" s="13"/>
    </row>
    <row r="22" spans="1:24" ht="16.5" customHeight="1" x14ac:dyDescent="0.25">
      <c r="A22" s="138" t="b">
        <v>0</v>
      </c>
      <c r="B22" s="6">
        <f>ROW()-1</f>
        <v>21</v>
      </c>
      <c r="C22" s="20" t="e">
        <f>_xlfn.XLOOKUP($D22,Tab_Def_Processes[Process_Name],Tab_Def_Processes[Process_ID],,0,)</f>
        <v>#N/A</v>
      </c>
      <c r="D22" s="134" t="s">
        <v>8</v>
      </c>
      <c r="E22" s="134"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36"/>
      <c r="N22" s="15" t="str">
        <f>"TC_WC"&amp;"_"&amp;RIGHT(J22,5)</f>
        <v>TC_WC_F__</v>
      </c>
      <c r="O22" s="136"/>
      <c r="P22" s="15" t="str">
        <f t="shared" si="3"/>
        <v>TC_DM_F__</v>
      </c>
      <c r="Q22" s="136"/>
      <c r="R22" s="15" t="str">
        <f t="shared" si="4"/>
        <v>TC_CC_F__</v>
      </c>
      <c r="S22" s="7"/>
      <c r="T22" s="13"/>
      <c r="U22" s="13"/>
      <c r="V22" s="13"/>
      <c r="W22" s="13"/>
      <c r="X22" s="13"/>
    </row>
    <row r="23" spans="1:24" x14ac:dyDescent="0.25">
      <c r="A23" s="138" t="b">
        <v>0</v>
      </c>
      <c r="B23" s="6">
        <f t="shared" si="0"/>
        <v>22</v>
      </c>
      <c r="C23" s="20" t="e">
        <f>_xlfn.XLOOKUP($D23,Tab_Def_Processes[Process_Name],Tab_Def_Processes[Process_ID],,0,)</f>
        <v>#N/A</v>
      </c>
      <c r="D23" s="134" t="s">
        <v>8</v>
      </c>
      <c r="E23" s="134"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36"/>
      <c r="N23" s="15" t="str">
        <f t="shared" si="2"/>
        <v>TC_WC_F__</v>
      </c>
      <c r="O23" s="136"/>
      <c r="P23" s="15" t="str">
        <f t="shared" si="3"/>
        <v>TC_DM_F__</v>
      </c>
      <c r="Q23" s="136"/>
      <c r="R23" s="15" t="str">
        <f t="shared" si="4"/>
        <v>TC_CC_F__</v>
      </c>
      <c r="S23" s="7"/>
      <c r="T23" s="13"/>
      <c r="U23" s="13"/>
      <c r="V23" s="13"/>
      <c r="W23" s="13"/>
      <c r="X23" s="13"/>
    </row>
    <row r="24" spans="1:24" x14ac:dyDescent="0.25">
      <c r="A24" s="138" t="b">
        <v>0</v>
      </c>
      <c r="B24" s="6">
        <f t="shared" si="0"/>
        <v>23</v>
      </c>
      <c r="C24" s="20" t="e">
        <f>_xlfn.XLOOKUP($D24,Tab_Def_Processes[Process_Name],Tab_Def_Processes[Process_ID],,0,)</f>
        <v>#N/A</v>
      </c>
      <c r="D24" s="134" t="s">
        <v>8</v>
      </c>
      <c r="E24" s="134"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36"/>
      <c r="N24" s="15" t="str">
        <f t="shared" si="2"/>
        <v>TC_WC_F__</v>
      </c>
      <c r="O24" s="136"/>
      <c r="P24" s="15" t="str">
        <f t="shared" si="3"/>
        <v>TC_DM_F__</v>
      </c>
      <c r="Q24" s="136"/>
      <c r="R24" s="15" t="str">
        <f t="shared" si="4"/>
        <v>TC_CC_F__</v>
      </c>
      <c r="S24" s="7"/>
      <c r="T24" s="13"/>
      <c r="U24" s="13"/>
      <c r="V24" s="13"/>
      <c r="W24" s="13"/>
      <c r="X24" s="13"/>
    </row>
    <row r="25" spans="1:24" x14ac:dyDescent="0.25">
      <c r="A25" s="138" t="b">
        <v>0</v>
      </c>
      <c r="B25" s="6">
        <f t="shared" si="0"/>
        <v>24</v>
      </c>
      <c r="C25" s="20" t="e">
        <f>_xlfn.XLOOKUP($D25,Tab_Def_Processes[Process_Name],Tab_Def_Processes[Process_ID],,0,)</f>
        <v>#N/A</v>
      </c>
      <c r="D25" s="134" t="s">
        <v>8</v>
      </c>
      <c r="E25" s="134"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36"/>
      <c r="N25" s="15" t="str">
        <f t="shared" si="2"/>
        <v>TC_WC_F__</v>
      </c>
      <c r="O25" s="136"/>
      <c r="P25" s="15" t="str">
        <f t="shared" si="3"/>
        <v>TC_DM_F__</v>
      </c>
      <c r="Q25" s="136"/>
      <c r="R25" s="15" t="str">
        <f t="shared" si="4"/>
        <v>TC_CC_F__</v>
      </c>
      <c r="S25" s="7"/>
      <c r="T25" s="13"/>
      <c r="U25" s="13"/>
      <c r="V25" s="13"/>
      <c r="W25" s="13"/>
      <c r="X25" s="13"/>
    </row>
    <row r="26" spans="1:24" x14ac:dyDescent="0.25">
      <c r="A26" s="138" t="b">
        <v>0</v>
      </c>
      <c r="B26" s="6">
        <f t="shared" si="0"/>
        <v>25</v>
      </c>
      <c r="C26" s="20" t="e">
        <f>_xlfn.XLOOKUP($D26,Tab_Def_Processes[Process_Name],Tab_Def_Processes[Process_ID],,0,)</f>
        <v>#N/A</v>
      </c>
      <c r="D26" s="134" t="s">
        <v>8</v>
      </c>
      <c r="E26" s="134"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36"/>
      <c r="N26" s="15" t="str">
        <f t="shared" si="2"/>
        <v>TC_WC_F__</v>
      </c>
      <c r="O26" s="136"/>
      <c r="P26" s="15" t="str">
        <f t="shared" si="3"/>
        <v>TC_DM_F__</v>
      </c>
      <c r="Q26" s="136"/>
      <c r="R26" s="15" t="str">
        <f t="shared" si="4"/>
        <v>TC_CC_F__</v>
      </c>
      <c r="S26" s="7"/>
      <c r="T26" s="13"/>
      <c r="U26" s="13"/>
      <c r="V26" s="13"/>
      <c r="W26" s="13"/>
      <c r="X26" s="13"/>
    </row>
    <row r="27" spans="1:24" x14ac:dyDescent="0.25">
      <c r="A27" s="138" t="b">
        <v>0</v>
      </c>
      <c r="B27" s="6">
        <f t="shared" si="0"/>
        <v>26</v>
      </c>
      <c r="C27" s="20" t="e">
        <f>_xlfn.XLOOKUP($D27,Tab_Def_Processes[Process_Name],Tab_Def_Processes[Process_ID],,0,)</f>
        <v>#N/A</v>
      </c>
      <c r="D27" s="134" t="s">
        <v>8</v>
      </c>
      <c r="E27" s="134"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36"/>
      <c r="N27" s="15" t="str">
        <f t="shared" si="2"/>
        <v>TC_WC_F__</v>
      </c>
      <c r="O27" s="136"/>
      <c r="P27" s="15" t="str">
        <f t="shared" si="3"/>
        <v>TC_DM_F__</v>
      </c>
      <c r="Q27" s="136"/>
      <c r="R27" s="15" t="str">
        <f t="shared" si="4"/>
        <v>TC_CC_F__</v>
      </c>
      <c r="S27" s="7"/>
      <c r="T27" s="13"/>
      <c r="U27" s="13"/>
      <c r="V27" s="13"/>
      <c r="W27" s="13"/>
      <c r="X27" s="13"/>
    </row>
    <row r="28" spans="1:24" x14ac:dyDescent="0.25">
      <c r="A28" s="138" t="b">
        <v>0</v>
      </c>
      <c r="B28" s="6">
        <f t="shared" si="0"/>
        <v>27</v>
      </c>
      <c r="C28" s="20" t="e">
        <f>_xlfn.XLOOKUP($D28,Tab_Def_Processes[Process_Name],Tab_Def_Processes[Process_ID],,0,)</f>
        <v>#N/A</v>
      </c>
      <c r="D28" s="134" t="s">
        <v>8</v>
      </c>
      <c r="E28" s="134"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36"/>
      <c r="N28" s="15" t="str">
        <f t="shared" si="2"/>
        <v>TC_WC_F__</v>
      </c>
      <c r="O28" s="136"/>
      <c r="P28" s="15" t="str">
        <f t="shared" si="3"/>
        <v>TC_DM_F__</v>
      </c>
      <c r="Q28" s="136"/>
      <c r="R28" s="15" t="str">
        <f t="shared" si="4"/>
        <v>TC_CC_F__</v>
      </c>
      <c r="S28" s="7"/>
      <c r="T28" s="13"/>
      <c r="U28" s="13"/>
      <c r="V28" s="13"/>
      <c r="W28" s="13"/>
      <c r="X28" s="13"/>
    </row>
    <row r="29" spans="1:24" x14ac:dyDescent="0.25">
      <c r="A29" s="138" t="b">
        <v>0</v>
      </c>
      <c r="B29" s="6">
        <f t="shared" si="0"/>
        <v>28</v>
      </c>
      <c r="C29" s="20" t="e">
        <f>_xlfn.XLOOKUP($D29,Tab_Def_Processes[Process_Name],Tab_Def_Processes[Process_ID],,0,)</f>
        <v>#N/A</v>
      </c>
      <c r="D29" s="134" t="s">
        <v>8</v>
      </c>
      <c r="E29" s="134"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36"/>
      <c r="N29" s="15" t="str">
        <f t="shared" si="2"/>
        <v>TC_WC_F__</v>
      </c>
      <c r="O29" s="136"/>
      <c r="P29" s="15" t="str">
        <f t="shared" si="3"/>
        <v>TC_DM_F__</v>
      </c>
      <c r="Q29" s="136"/>
      <c r="R29" s="15" t="str">
        <f t="shared" si="4"/>
        <v>TC_CC_F__</v>
      </c>
      <c r="S29" s="7"/>
      <c r="T29" s="13"/>
      <c r="U29" s="13"/>
      <c r="V29" s="13"/>
      <c r="W29" s="13"/>
      <c r="X29" s="13"/>
    </row>
    <row r="30" spans="1:24" x14ac:dyDescent="0.25">
      <c r="A30" s="138" t="b">
        <v>0</v>
      </c>
      <c r="B30" s="6">
        <f t="shared" si="0"/>
        <v>29</v>
      </c>
      <c r="C30" s="20" t="e">
        <f>_xlfn.XLOOKUP($D30,Tab_Def_Processes[Process_Name],Tab_Def_Processes[Process_ID],,0,)</f>
        <v>#N/A</v>
      </c>
      <c r="D30" s="134" t="s">
        <v>8</v>
      </c>
      <c r="E30" s="134"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36"/>
      <c r="N30" s="15" t="str">
        <f t="shared" si="2"/>
        <v>TC_WC_F__</v>
      </c>
      <c r="O30" s="136"/>
      <c r="P30" s="15" t="str">
        <f t="shared" si="3"/>
        <v>TC_DM_F__</v>
      </c>
      <c r="Q30" s="136"/>
      <c r="R30" s="15" t="str">
        <f t="shared" si="4"/>
        <v>TC_CC_F__</v>
      </c>
      <c r="S30" s="7"/>
      <c r="T30" s="13"/>
      <c r="U30" s="13"/>
      <c r="V30" s="13"/>
      <c r="W30" s="13"/>
      <c r="X30" s="13"/>
    </row>
    <row r="31" spans="1:24" x14ac:dyDescent="0.25">
      <c r="A31" s="138" t="b">
        <v>0</v>
      </c>
      <c r="B31" s="6">
        <f t="shared" si="0"/>
        <v>30</v>
      </c>
      <c r="C31" s="20" t="e">
        <f>_xlfn.XLOOKUP($D31,Tab_Def_Processes[Process_Name],Tab_Def_Processes[Process_ID],,0,)</f>
        <v>#N/A</v>
      </c>
      <c r="D31" s="134" t="s">
        <v>8</v>
      </c>
      <c r="E31" s="134"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36"/>
      <c r="N31" s="15" t="str">
        <f t="shared" si="2"/>
        <v>TC_WC_F__</v>
      </c>
      <c r="O31" s="136"/>
      <c r="P31" s="15" t="str">
        <f t="shared" si="3"/>
        <v>TC_DM_F__</v>
      </c>
      <c r="Q31" s="136"/>
      <c r="R31" s="15" t="str">
        <f t="shared" si="4"/>
        <v>TC_CC_F__</v>
      </c>
      <c r="S31" s="7"/>
      <c r="T31" s="13"/>
      <c r="U31" s="13"/>
      <c r="V31" s="13"/>
      <c r="W31" s="13"/>
      <c r="X31" s="13"/>
    </row>
    <row r="32" spans="1:24" x14ac:dyDescent="0.25">
      <c r="A32" s="138" t="b">
        <v>0</v>
      </c>
      <c r="B32" s="6">
        <f t="shared" si="0"/>
        <v>31</v>
      </c>
      <c r="C32" s="20" t="e">
        <f>_xlfn.XLOOKUP($D32,Tab_Def_Processes[Process_Name],Tab_Def_Processes[Process_ID],,0,)</f>
        <v>#N/A</v>
      </c>
      <c r="D32" s="134" t="s">
        <v>8</v>
      </c>
      <c r="E32" s="134"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36"/>
      <c r="N32" s="15" t="str">
        <f t="shared" si="2"/>
        <v>TC_WC_F__</v>
      </c>
      <c r="O32" s="136"/>
      <c r="P32" s="15" t="str">
        <f t="shared" si="3"/>
        <v>TC_DM_F__</v>
      </c>
      <c r="Q32" s="136"/>
      <c r="R32" s="15" t="str">
        <f t="shared" si="4"/>
        <v>TC_CC_F__</v>
      </c>
      <c r="S32" s="7"/>
      <c r="T32" s="13"/>
      <c r="U32" s="13"/>
      <c r="V32" s="13"/>
      <c r="W32" s="13"/>
      <c r="X32" s="13"/>
    </row>
    <row r="33" spans="1:24" x14ac:dyDescent="0.25">
      <c r="A33" s="138" t="b">
        <v>0</v>
      </c>
      <c r="B33" s="6">
        <f t="shared" si="0"/>
        <v>32</v>
      </c>
      <c r="C33" s="20" t="e">
        <f>_xlfn.XLOOKUP($D33,Tab_Def_Processes[Process_Name],Tab_Def_Processes[Process_ID],,0,)</f>
        <v>#N/A</v>
      </c>
      <c r="D33" s="134" t="s">
        <v>8</v>
      </c>
      <c r="E33" s="134"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36"/>
      <c r="N33" s="15" t="str">
        <f t="shared" si="2"/>
        <v>TC_WC_F__</v>
      </c>
      <c r="O33" s="136"/>
      <c r="P33" s="15" t="str">
        <f t="shared" si="3"/>
        <v>TC_DM_F__</v>
      </c>
      <c r="Q33" s="136"/>
      <c r="R33" s="15" t="str">
        <f t="shared" si="4"/>
        <v>TC_CC_F__</v>
      </c>
      <c r="S33" s="7"/>
      <c r="T33" s="13"/>
      <c r="U33" s="13"/>
      <c r="V33" s="13"/>
      <c r="W33" s="13"/>
      <c r="X33" s="13"/>
    </row>
    <row r="34" spans="1:24" x14ac:dyDescent="0.25">
      <c r="A34" s="138" t="b">
        <v>0</v>
      </c>
      <c r="B34" s="6">
        <f t="shared" ref="B34:B65" si="5">ROW()-1</f>
        <v>33</v>
      </c>
      <c r="C34" s="20" t="e">
        <f>_xlfn.XLOOKUP($D34,Tab_Def_Processes[Process_Name],Tab_Def_Processes[Process_ID],,0,)</f>
        <v>#N/A</v>
      </c>
      <c r="D34" s="134" t="s">
        <v>8</v>
      </c>
      <c r="E34" s="134"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36"/>
      <c r="N34" s="15" t="str">
        <f t="shared" si="2"/>
        <v>TC_WC_F__</v>
      </c>
      <c r="O34" s="136"/>
      <c r="P34" s="15" t="str">
        <f t="shared" si="3"/>
        <v>TC_DM_F__</v>
      </c>
      <c r="Q34" s="136"/>
      <c r="R34" s="15" t="str">
        <f t="shared" si="4"/>
        <v>TC_CC_F__</v>
      </c>
      <c r="S34" s="7"/>
      <c r="T34" s="13"/>
      <c r="U34" s="13"/>
      <c r="V34" s="13"/>
      <c r="W34" s="13"/>
      <c r="X34" s="13"/>
    </row>
    <row r="35" spans="1:24" x14ac:dyDescent="0.25">
      <c r="A35" s="138" t="b">
        <v>0</v>
      </c>
      <c r="B35" s="6">
        <f t="shared" si="5"/>
        <v>34</v>
      </c>
      <c r="C35" s="20" t="e">
        <f>_xlfn.XLOOKUP($D35,Tab_Def_Processes[Process_Name],Tab_Def_Processes[Process_ID],,0,)</f>
        <v>#N/A</v>
      </c>
      <c r="D35" s="134" t="s">
        <v>8</v>
      </c>
      <c r="E35" s="134"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36"/>
      <c r="N35" s="15" t="str">
        <f t="shared" si="2"/>
        <v>TC_WC_F__</v>
      </c>
      <c r="O35" s="136"/>
      <c r="P35" s="15" t="str">
        <f t="shared" si="3"/>
        <v>TC_DM_F__</v>
      </c>
      <c r="Q35" s="136"/>
      <c r="R35" s="15" t="str">
        <f t="shared" si="4"/>
        <v>TC_CC_F__</v>
      </c>
      <c r="S35" s="7"/>
      <c r="T35" s="13"/>
      <c r="U35" s="13"/>
      <c r="V35" s="13"/>
      <c r="W35" s="13"/>
      <c r="X35" s="13"/>
    </row>
    <row r="36" spans="1:24" x14ac:dyDescent="0.25">
      <c r="A36" s="138" t="b">
        <v>0</v>
      </c>
      <c r="B36" s="6">
        <f t="shared" si="5"/>
        <v>35</v>
      </c>
      <c r="C36" s="20" t="e">
        <f>_xlfn.XLOOKUP($D36,Tab_Def_Processes[Process_Name],Tab_Def_Processes[Process_ID],,0,)</f>
        <v>#N/A</v>
      </c>
      <c r="D36" s="134" t="s">
        <v>8</v>
      </c>
      <c r="E36" s="134"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36"/>
      <c r="N36" s="15" t="str">
        <f t="shared" si="2"/>
        <v>TC_WC_F__</v>
      </c>
      <c r="O36" s="136"/>
      <c r="P36" s="15" t="str">
        <f t="shared" si="3"/>
        <v>TC_DM_F__</v>
      </c>
      <c r="Q36" s="136"/>
      <c r="R36" s="15" t="str">
        <f t="shared" si="4"/>
        <v>TC_CC_F__</v>
      </c>
      <c r="S36" s="7"/>
      <c r="T36" s="13"/>
      <c r="U36" s="13"/>
      <c r="V36" s="13"/>
      <c r="W36" s="13"/>
      <c r="X36" s="13"/>
    </row>
    <row r="37" spans="1:24" x14ac:dyDescent="0.25">
      <c r="A37" s="138" t="b">
        <v>0</v>
      </c>
      <c r="B37" s="6">
        <f t="shared" si="5"/>
        <v>36</v>
      </c>
      <c r="C37" s="20" t="e">
        <f>_xlfn.XLOOKUP($D37,Tab_Def_Processes[Process_Name],Tab_Def_Processes[Process_ID],,0,)</f>
        <v>#N/A</v>
      </c>
      <c r="D37" s="134" t="s">
        <v>8</v>
      </c>
      <c r="E37" s="134"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36"/>
      <c r="N37" s="15" t="str">
        <f t="shared" si="2"/>
        <v>TC_WC_F__</v>
      </c>
      <c r="O37" s="136"/>
      <c r="P37" s="15" t="str">
        <f t="shared" si="3"/>
        <v>TC_DM_F__</v>
      </c>
      <c r="Q37" s="136"/>
      <c r="R37" s="15" t="str">
        <f t="shared" si="4"/>
        <v>TC_CC_F__</v>
      </c>
      <c r="S37" s="7"/>
      <c r="T37" s="13"/>
      <c r="U37" s="13"/>
      <c r="V37" s="13"/>
      <c r="W37" s="13"/>
      <c r="X37" s="13"/>
    </row>
    <row r="38" spans="1:24" x14ac:dyDescent="0.25">
      <c r="A38" s="138" t="b">
        <v>0</v>
      </c>
      <c r="B38" s="6">
        <f t="shared" si="5"/>
        <v>37</v>
      </c>
      <c r="C38" s="20" t="e">
        <f>_xlfn.XLOOKUP($D38,Tab_Def_Processes[Process_Name],Tab_Def_Processes[Process_ID],,0,)</f>
        <v>#N/A</v>
      </c>
      <c r="D38" s="134" t="s">
        <v>8</v>
      </c>
      <c r="E38" s="134"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36"/>
      <c r="N38" s="15" t="str">
        <f t="shared" si="2"/>
        <v>TC_WC_F__</v>
      </c>
      <c r="O38" s="136"/>
      <c r="P38" s="15" t="str">
        <f t="shared" si="3"/>
        <v>TC_DM_F__</v>
      </c>
      <c r="Q38" s="136"/>
      <c r="R38" s="15" t="str">
        <f t="shared" si="4"/>
        <v>TC_CC_F__</v>
      </c>
      <c r="S38" s="7"/>
      <c r="T38" s="13"/>
      <c r="U38" s="13"/>
      <c r="V38" s="13"/>
      <c r="W38" s="13"/>
      <c r="X38" s="13"/>
    </row>
    <row r="39" spans="1:24" x14ac:dyDescent="0.25">
      <c r="A39" s="138" t="b">
        <v>0</v>
      </c>
      <c r="B39" s="6">
        <f t="shared" si="5"/>
        <v>38</v>
      </c>
      <c r="C39" s="20" t="e">
        <f>_xlfn.XLOOKUP($D39,Tab_Def_Processes[Process_Name],Tab_Def_Processes[Process_ID],,0,)</f>
        <v>#N/A</v>
      </c>
      <c r="D39" s="134" t="s">
        <v>8</v>
      </c>
      <c r="E39" s="134"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36"/>
      <c r="N39" s="15" t="str">
        <f t="shared" si="2"/>
        <v>TC_WC_F__</v>
      </c>
      <c r="O39" s="136"/>
      <c r="P39" s="15" t="str">
        <f t="shared" si="3"/>
        <v>TC_DM_F__</v>
      </c>
      <c r="Q39" s="136"/>
      <c r="R39" s="15" t="str">
        <f t="shared" si="4"/>
        <v>TC_CC_F__</v>
      </c>
      <c r="S39" s="7"/>
      <c r="T39" s="13"/>
      <c r="U39" s="13"/>
      <c r="V39" s="13"/>
      <c r="W39" s="13"/>
      <c r="X39" s="13"/>
    </row>
    <row r="40" spans="1:24" x14ac:dyDescent="0.25">
      <c r="A40" s="138" t="b">
        <v>0</v>
      </c>
      <c r="B40" s="6">
        <f t="shared" si="5"/>
        <v>39</v>
      </c>
      <c r="C40" s="20" t="e">
        <f>_xlfn.XLOOKUP($D40,Tab_Def_Processes[Process_Name],Tab_Def_Processes[Process_ID],,0,)</f>
        <v>#N/A</v>
      </c>
      <c r="D40" s="134" t="s">
        <v>8</v>
      </c>
      <c r="E40" s="134"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36"/>
      <c r="N40" s="15" t="str">
        <f t="shared" si="2"/>
        <v>TC_WC_F__</v>
      </c>
      <c r="O40" s="136"/>
      <c r="P40" s="15" t="str">
        <f t="shared" si="3"/>
        <v>TC_DM_F__</v>
      </c>
      <c r="Q40" s="136"/>
      <c r="R40" s="15" t="str">
        <f t="shared" si="4"/>
        <v>TC_CC_F__</v>
      </c>
      <c r="S40" s="7"/>
      <c r="T40" s="13"/>
      <c r="U40" s="13"/>
      <c r="V40" s="13"/>
      <c r="W40" s="13"/>
      <c r="X40" s="13"/>
    </row>
    <row r="41" spans="1:24" x14ac:dyDescent="0.25">
      <c r="A41" s="138" t="b">
        <v>0</v>
      </c>
      <c r="B41" s="6">
        <f t="shared" si="5"/>
        <v>40</v>
      </c>
      <c r="C41" s="20" t="e">
        <f>_xlfn.XLOOKUP($D41,Tab_Def_Processes[Process_Name],Tab_Def_Processes[Process_ID],,0,)</f>
        <v>#N/A</v>
      </c>
      <c r="D41" s="134" t="s">
        <v>8</v>
      </c>
      <c r="E41" s="134"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36"/>
      <c r="N41" s="15" t="str">
        <f t="shared" si="2"/>
        <v>TC_WC_F__</v>
      </c>
      <c r="O41" s="136"/>
      <c r="P41" s="15" t="str">
        <f t="shared" si="3"/>
        <v>TC_DM_F__</v>
      </c>
      <c r="Q41" s="136"/>
      <c r="R41" s="15" t="str">
        <f t="shared" si="4"/>
        <v>TC_CC_F__</v>
      </c>
      <c r="S41" s="7"/>
      <c r="T41" s="13"/>
      <c r="U41" s="13"/>
      <c r="V41" s="13"/>
      <c r="W41" s="13"/>
      <c r="X41" s="13"/>
    </row>
    <row r="42" spans="1:24" x14ac:dyDescent="0.25">
      <c r="A42" s="138" t="b">
        <v>0</v>
      </c>
      <c r="B42" s="6">
        <f t="shared" si="5"/>
        <v>41</v>
      </c>
      <c r="C42" s="20" t="e">
        <f>_xlfn.XLOOKUP($D42,Tab_Def_Processes[Process_Name],Tab_Def_Processes[Process_ID],,0,)</f>
        <v>#N/A</v>
      </c>
      <c r="D42" s="134" t="s">
        <v>8</v>
      </c>
      <c r="E42" s="134"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36"/>
      <c r="N42" s="15" t="str">
        <f t="shared" si="2"/>
        <v>TC_WC_F__</v>
      </c>
      <c r="O42" s="136"/>
      <c r="P42" s="15" t="str">
        <f t="shared" si="3"/>
        <v>TC_DM_F__</v>
      </c>
      <c r="Q42" s="136"/>
      <c r="R42" s="15" t="str">
        <f t="shared" si="4"/>
        <v>TC_CC_F__</v>
      </c>
      <c r="S42" s="7"/>
      <c r="T42" s="13"/>
      <c r="U42" s="13"/>
      <c r="V42" s="13"/>
      <c r="W42" s="13"/>
      <c r="X42" s="13"/>
    </row>
    <row r="43" spans="1:24" x14ac:dyDescent="0.25">
      <c r="A43" s="138" t="b">
        <v>0</v>
      </c>
      <c r="B43" s="6">
        <f t="shared" si="5"/>
        <v>42</v>
      </c>
      <c r="C43" s="20" t="e">
        <f>_xlfn.XLOOKUP($D43,Tab_Def_Processes[Process_Name],Tab_Def_Processes[Process_ID],,0,)</f>
        <v>#N/A</v>
      </c>
      <c r="D43" s="134" t="s">
        <v>8</v>
      </c>
      <c r="E43" s="134"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36"/>
      <c r="N43" s="15" t="str">
        <f t="shared" si="2"/>
        <v>TC_WC_F__</v>
      </c>
      <c r="O43" s="136"/>
      <c r="P43" s="15" t="str">
        <f t="shared" si="3"/>
        <v>TC_DM_F__</v>
      </c>
      <c r="Q43" s="136"/>
      <c r="R43" s="15" t="str">
        <f t="shared" si="4"/>
        <v>TC_CC_F__</v>
      </c>
      <c r="S43" s="7"/>
      <c r="T43" s="13"/>
      <c r="U43" s="13"/>
      <c r="V43" s="13"/>
      <c r="W43" s="13"/>
      <c r="X43" s="13"/>
    </row>
    <row r="44" spans="1:24" x14ac:dyDescent="0.25">
      <c r="A44" s="138" t="b">
        <v>0</v>
      </c>
      <c r="B44" s="6">
        <f t="shared" si="5"/>
        <v>43</v>
      </c>
      <c r="C44" s="20" t="e">
        <f>_xlfn.XLOOKUP($D44,Tab_Def_Processes[Process_Name],Tab_Def_Processes[Process_ID],,0,)</f>
        <v>#N/A</v>
      </c>
      <c r="D44" s="134" t="s">
        <v>8</v>
      </c>
      <c r="E44" s="134"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36"/>
      <c r="N44" s="15" t="str">
        <f t="shared" si="2"/>
        <v>TC_WC_F__</v>
      </c>
      <c r="O44" s="136"/>
      <c r="P44" s="15" t="str">
        <f t="shared" si="3"/>
        <v>TC_DM_F__</v>
      </c>
      <c r="Q44" s="136"/>
      <c r="R44" s="15" t="str">
        <f t="shared" si="4"/>
        <v>TC_CC_F__</v>
      </c>
      <c r="S44" s="7"/>
      <c r="T44" s="13"/>
      <c r="U44" s="13"/>
      <c r="V44" s="13"/>
      <c r="W44" s="13"/>
      <c r="X44" s="13"/>
    </row>
    <row r="45" spans="1:24" x14ac:dyDescent="0.25">
      <c r="A45" s="138" t="b">
        <v>0</v>
      </c>
      <c r="B45" s="6">
        <f t="shared" si="5"/>
        <v>44</v>
      </c>
      <c r="C45" s="20" t="e">
        <f>_xlfn.XLOOKUP($D45,Tab_Def_Processes[Process_Name],Tab_Def_Processes[Process_ID],,0,)</f>
        <v>#N/A</v>
      </c>
      <c r="D45" s="134" t="s">
        <v>8</v>
      </c>
      <c r="E45" s="134"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36"/>
      <c r="N45" s="15" t="str">
        <f t="shared" si="2"/>
        <v>TC_WC_F__</v>
      </c>
      <c r="O45" s="136"/>
      <c r="P45" s="15" t="str">
        <f t="shared" si="3"/>
        <v>TC_DM_F__</v>
      </c>
      <c r="Q45" s="136"/>
      <c r="R45" s="15" t="str">
        <f t="shared" si="4"/>
        <v>TC_CC_F__</v>
      </c>
      <c r="S45" s="7"/>
      <c r="T45" s="13"/>
      <c r="U45" s="13"/>
      <c r="V45" s="13"/>
      <c r="W45" s="13"/>
      <c r="X45" s="13"/>
    </row>
    <row r="46" spans="1:24" x14ac:dyDescent="0.25">
      <c r="A46" s="138" t="b">
        <v>0</v>
      </c>
      <c r="B46" s="6">
        <f t="shared" si="5"/>
        <v>45</v>
      </c>
      <c r="C46" s="20" t="e">
        <f>_xlfn.XLOOKUP($D46,Tab_Def_Processes[Process_Name],Tab_Def_Processes[Process_ID],,0,)</f>
        <v>#N/A</v>
      </c>
      <c r="D46" s="134" t="s">
        <v>8</v>
      </c>
      <c r="E46" s="134"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36"/>
      <c r="N46" s="15" t="str">
        <f t="shared" si="2"/>
        <v>TC_WC_F__</v>
      </c>
      <c r="O46" s="136"/>
      <c r="P46" s="15" t="str">
        <f t="shared" si="3"/>
        <v>TC_DM_F__</v>
      </c>
      <c r="Q46" s="136"/>
      <c r="R46" s="15" t="str">
        <f t="shared" si="4"/>
        <v>TC_CC_F__</v>
      </c>
      <c r="S46" s="7"/>
      <c r="T46" s="13"/>
      <c r="U46" s="13"/>
      <c r="V46" s="13"/>
      <c r="W46" s="13"/>
      <c r="X46" s="13"/>
    </row>
    <row r="47" spans="1:24" x14ac:dyDescent="0.25">
      <c r="A47" s="138" t="b">
        <v>0</v>
      </c>
      <c r="B47" s="6">
        <f t="shared" si="5"/>
        <v>46</v>
      </c>
      <c r="C47" s="20" t="e">
        <f>_xlfn.XLOOKUP($D47,Tab_Def_Processes[Process_Name],Tab_Def_Processes[Process_ID],,0,)</f>
        <v>#N/A</v>
      </c>
      <c r="D47" s="134" t="s">
        <v>8</v>
      </c>
      <c r="E47" s="134"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36"/>
      <c r="N47" s="15" t="str">
        <f t="shared" si="2"/>
        <v>TC_WC_F__</v>
      </c>
      <c r="O47" s="136"/>
      <c r="P47" s="15" t="str">
        <f t="shared" si="3"/>
        <v>TC_DM_F__</v>
      </c>
      <c r="Q47" s="136"/>
      <c r="R47" s="15" t="str">
        <f t="shared" si="4"/>
        <v>TC_CC_F__</v>
      </c>
      <c r="S47" s="7"/>
      <c r="T47" s="13"/>
      <c r="U47" s="13"/>
      <c r="V47" s="13"/>
      <c r="W47" s="13"/>
      <c r="X47" s="13"/>
    </row>
    <row r="48" spans="1:24" x14ac:dyDescent="0.25">
      <c r="A48" s="138" t="b">
        <v>0</v>
      </c>
      <c r="B48" s="6">
        <f t="shared" si="5"/>
        <v>47</v>
      </c>
      <c r="C48" s="20" t="e">
        <f>_xlfn.XLOOKUP($D48,Tab_Def_Processes[Process_Name],Tab_Def_Processes[Process_ID],,0,)</f>
        <v>#N/A</v>
      </c>
      <c r="D48" s="134" t="s">
        <v>8</v>
      </c>
      <c r="E48" s="134"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36"/>
      <c r="N48" s="15" t="str">
        <f t="shared" si="2"/>
        <v>TC_WC_F__</v>
      </c>
      <c r="O48" s="136"/>
      <c r="P48" s="15" t="str">
        <f t="shared" si="3"/>
        <v>TC_DM_F__</v>
      </c>
      <c r="Q48" s="136"/>
      <c r="R48" s="15" t="str">
        <f t="shared" si="4"/>
        <v>TC_CC_F__</v>
      </c>
      <c r="S48" s="7"/>
      <c r="T48" s="13"/>
      <c r="U48" s="13"/>
      <c r="V48" s="13"/>
      <c r="W48" s="13"/>
      <c r="X48" s="13"/>
    </row>
    <row r="49" spans="1:24" x14ac:dyDescent="0.25">
      <c r="A49" s="138" t="b">
        <v>0</v>
      </c>
      <c r="B49" s="6">
        <f t="shared" si="5"/>
        <v>48</v>
      </c>
      <c r="C49" s="20" t="e">
        <f>_xlfn.XLOOKUP($D49,Tab_Def_Processes[Process_Name],Tab_Def_Processes[Process_ID],,0,)</f>
        <v>#N/A</v>
      </c>
      <c r="D49" s="134" t="s">
        <v>8</v>
      </c>
      <c r="E49" s="134"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36"/>
      <c r="N49" s="15" t="str">
        <f t="shared" si="2"/>
        <v>TC_WC_F__</v>
      </c>
      <c r="O49" s="136"/>
      <c r="P49" s="15" t="str">
        <f t="shared" si="3"/>
        <v>TC_DM_F__</v>
      </c>
      <c r="Q49" s="136"/>
      <c r="R49" s="15" t="str">
        <f t="shared" si="4"/>
        <v>TC_CC_F__</v>
      </c>
      <c r="S49" s="7"/>
      <c r="T49" s="13"/>
      <c r="U49" s="13"/>
      <c r="V49" s="13"/>
      <c r="W49" s="13"/>
      <c r="X49" s="13"/>
    </row>
    <row r="50" spans="1:24" x14ac:dyDescent="0.25">
      <c r="A50" s="138" t="b">
        <v>0</v>
      </c>
      <c r="B50" s="6">
        <f t="shared" si="5"/>
        <v>49</v>
      </c>
      <c r="C50" s="20" t="e">
        <f>_xlfn.XLOOKUP($D50,Tab_Def_Processes[Process_Name],Tab_Def_Processes[Process_ID],,0,)</f>
        <v>#N/A</v>
      </c>
      <c r="D50" s="134" t="s">
        <v>8</v>
      </c>
      <c r="E50" s="134"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36"/>
      <c r="N50" s="15" t="str">
        <f t="shared" si="2"/>
        <v>TC_WC_F__</v>
      </c>
      <c r="O50" s="136"/>
      <c r="P50" s="15" t="str">
        <f t="shared" si="3"/>
        <v>TC_DM_F__</v>
      </c>
      <c r="Q50" s="136"/>
      <c r="R50" s="15" t="str">
        <f t="shared" si="4"/>
        <v>TC_CC_F__</v>
      </c>
      <c r="S50" s="7"/>
      <c r="T50" s="13"/>
      <c r="U50" s="13"/>
      <c r="V50" s="13"/>
      <c r="W50" s="13"/>
      <c r="X50" s="13"/>
    </row>
    <row r="51" spans="1:24" x14ac:dyDescent="0.25">
      <c r="A51" s="138" t="b">
        <v>0</v>
      </c>
      <c r="B51" s="6">
        <f t="shared" si="5"/>
        <v>50</v>
      </c>
      <c r="C51" s="20" t="e">
        <f>_xlfn.XLOOKUP($D51,Tab_Def_Processes[Process_Name],Tab_Def_Processes[Process_ID],,0,)</f>
        <v>#N/A</v>
      </c>
      <c r="D51" s="134" t="s">
        <v>8</v>
      </c>
      <c r="E51" s="134"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36"/>
      <c r="N51" s="15" t="str">
        <f t="shared" si="2"/>
        <v>TC_WC_F__</v>
      </c>
      <c r="O51" s="136"/>
      <c r="P51" s="15" t="str">
        <f t="shared" si="3"/>
        <v>TC_DM_F__</v>
      </c>
      <c r="Q51" s="136"/>
      <c r="R51" s="15" t="str">
        <f t="shared" si="4"/>
        <v>TC_CC_F__</v>
      </c>
      <c r="S51" s="7"/>
      <c r="T51" s="13"/>
      <c r="U51" s="13"/>
      <c r="V51" s="13"/>
      <c r="W51" s="13"/>
      <c r="X51" s="13"/>
    </row>
    <row r="52" spans="1:24" x14ac:dyDescent="0.25">
      <c r="A52" s="138" t="b">
        <v>0</v>
      </c>
      <c r="B52" s="6">
        <f t="shared" si="5"/>
        <v>51</v>
      </c>
      <c r="C52" s="20" t="e">
        <f>_xlfn.XLOOKUP($D52,Tab_Def_Processes[Process_Name],Tab_Def_Processes[Process_ID],,0,)</f>
        <v>#N/A</v>
      </c>
      <c r="D52" s="134" t="s">
        <v>8</v>
      </c>
      <c r="E52" s="134"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36"/>
      <c r="N52" s="15" t="str">
        <f t="shared" si="2"/>
        <v>TC_WC_F__</v>
      </c>
      <c r="O52" s="136"/>
      <c r="P52" s="15" t="str">
        <f t="shared" si="3"/>
        <v>TC_DM_F__</v>
      </c>
      <c r="Q52" s="136"/>
      <c r="R52" s="15" t="str">
        <f t="shared" si="4"/>
        <v>TC_CC_F__</v>
      </c>
      <c r="S52" s="7"/>
      <c r="T52" s="13"/>
      <c r="U52" s="13"/>
      <c r="V52" s="13"/>
      <c r="W52" s="13"/>
      <c r="X52" s="13"/>
    </row>
    <row r="53" spans="1:24" x14ac:dyDescent="0.25">
      <c r="A53" s="138" t="b">
        <v>0</v>
      </c>
      <c r="B53" s="6">
        <f t="shared" si="5"/>
        <v>52</v>
      </c>
      <c r="C53" s="20" t="e">
        <f>_xlfn.XLOOKUP($D53,Tab_Def_Processes[Process_Name],Tab_Def_Processes[Process_ID],,0,)</f>
        <v>#N/A</v>
      </c>
      <c r="D53" s="134" t="s">
        <v>8</v>
      </c>
      <c r="E53" s="134"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36"/>
      <c r="N53" s="15" t="str">
        <f t="shared" si="2"/>
        <v>TC_WC_F__</v>
      </c>
      <c r="O53" s="136"/>
      <c r="P53" s="15" t="str">
        <f t="shared" si="3"/>
        <v>TC_DM_F__</v>
      </c>
      <c r="Q53" s="136"/>
      <c r="R53" s="15" t="str">
        <f t="shared" si="4"/>
        <v>TC_CC_F__</v>
      </c>
      <c r="S53" s="7"/>
      <c r="T53" s="13"/>
      <c r="U53" s="13"/>
      <c r="V53" s="13"/>
      <c r="W53" s="13"/>
      <c r="X53" s="13"/>
    </row>
    <row r="54" spans="1:24" x14ac:dyDescent="0.25">
      <c r="A54" s="138" t="b">
        <v>0</v>
      </c>
      <c r="B54" s="6">
        <f t="shared" si="5"/>
        <v>53</v>
      </c>
      <c r="C54" s="20" t="e">
        <f>_xlfn.XLOOKUP($D54,Tab_Def_Processes[Process_Name],Tab_Def_Processes[Process_ID],,0,)</f>
        <v>#N/A</v>
      </c>
      <c r="D54" s="134" t="s">
        <v>8</v>
      </c>
      <c r="E54" s="134"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36"/>
      <c r="N54" s="15" t="str">
        <f t="shared" si="2"/>
        <v>TC_WC_F__</v>
      </c>
      <c r="O54" s="136"/>
      <c r="P54" s="15" t="str">
        <f t="shared" si="3"/>
        <v>TC_DM_F__</v>
      </c>
      <c r="Q54" s="136"/>
      <c r="R54" s="15" t="str">
        <f t="shared" si="4"/>
        <v>TC_CC_F__</v>
      </c>
      <c r="S54" s="7"/>
      <c r="T54" s="13"/>
      <c r="U54" s="13"/>
      <c r="V54" s="13"/>
      <c r="W54" s="13"/>
      <c r="X54" s="13"/>
    </row>
    <row r="55" spans="1:24" x14ac:dyDescent="0.25">
      <c r="A55" s="138" t="b">
        <v>0</v>
      </c>
      <c r="B55" s="6">
        <f t="shared" si="5"/>
        <v>54</v>
      </c>
      <c r="C55" s="20" t="e">
        <f>_xlfn.XLOOKUP($D55,Tab_Def_Processes[Process_Name],Tab_Def_Processes[Process_ID],,0,)</f>
        <v>#N/A</v>
      </c>
      <c r="D55" s="134" t="s">
        <v>8</v>
      </c>
      <c r="E55" s="134"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36"/>
      <c r="N55" s="15" t="str">
        <f t="shared" si="2"/>
        <v>TC_WC_F__</v>
      </c>
      <c r="O55" s="136"/>
      <c r="P55" s="15" t="str">
        <f t="shared" si="3"/>
        <v>TC_DM_F__</v>
      </c>
      <c r="Q55" s="136"/>
      <c r="R55" s="15" t="str">
        <f t="shared" si="4"/>
        <v>TC_CC_F__</v>
      </c>
      <c r="S55" s="7"/>
      <c r="T55" s="13"/>
      <c r="U55" s="13"/>
      <c r="V55" s="13"/>
      <c r="W55" s="13"/>
      <c r="X55" s="13"/>
    </row>
    <row r="56" spans="1:24" x14ac:dyDescent="0.25">
      <c r="A56" s="138" t="b">
        <v>0</v>
      </c>
      <c r="B56" s="6">
        <f t="shared" si="5"/>
        <v>55</v>
      </c>
      <c r="C56" s="20" t="e">
        <f>_xlfn.XLOOKUP($D56,Tab_Def_Processes[Process_Name],Tab_Def_Processes[Process_ID],,0,)</f>
        <v>#N/A</v>
      </c>
      <c r="D56" s="134" t="s">
        <v>8</v>
      </c>
      <c r="E56" s="134"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36"/>
      <c r="N56" s="15" t="str">
        <f t="shared" si="2"/>
        <v>TC_WC_F__</v>
      </c>
      <c r="O56" s="136"/>
      <c r="P56" s="15" t="str">
        <f t="shared" si="3"/>
        <v>TC_DM_F__</v>
      </c>
      <c r="Q56" s="136"/>
      <c r="R56" s="15" t="str">
        <f t="shared" si="4"/>
        <v>TC_CC_F__</v>
      </c>
      <c r="S56" s="7"/>
      <c r="T56" s="13"/>
      <c r="U56" s="13"/>
      <c r="V56" s="13"/>
      <c r="W56" s="13"/>
      <c r="X56" s="13"/>
    </row>
    <row r="57" spans="1:24" x14ac:dyDescent="0.25">
      <c r="A57" s="138" t="b">
        <v>0</v>
      </c>
      <c r="B57" s="6">
        <f t="shared" si="5"/>
        <v>56</v>
      </c>
      <c r="C57" s="20" t="e">
        <f>_xlfn.XLOOKUP($D57,Tab_Def_Processes[Process_Name],Tab_Def_Processes[Process_ID],,0,)</f>
        <v>#N/A</v>
      </c>
      <c r="D57" s="134" t="s">
        <v>8</v>
      </c>
      <c r="E57" s="134"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36"/>
      <c r="N57" s="15" t="str">
        <f t="shared" si="2"/>
        <v>TC_WC_F__</v>
      </c>
      <c r="O57" s="136"/>
      <c r="P57" s="15" t="str">
        <f t="shared" si="3"/>
        <v>TC_DM_F__</v>
      </c>
      <c r="Q57" s="136"/>
      <c r="R57" s="15" t="str">
        <f t="shared" si="4"/>
        <v>TC_CC_F__</v>
      </c>
      <c r="S57" s="7"/>
      <c r="T57" s="13"/>
      <c r="U57" s="13"/>
      <c r="V57" s="13"/>
      <c r="W57" s="13"/>
      <c r="X57" s="13"/>
    </row>
    <row r="58" spans="1:24" x14ac:dyDescent="0.25">
      <c r="A58" s="138" t="b">
        <v>0</v>
      </c>
      <c r="B58" s="6">
        <f t="shared" si="5"/>
        <v>57</v>
      </c>
      <c r="C58" s="20" t="e">
        <f>_xlfn.XLOOKUP($D58,Tab_Def_Processes[Process_Name],Tab_Def_Processes[Process_ID],,0,)</f>
        <v>#N/A</v>
      </c>
      <c r="D58" s="134" t="s">
        <v>8</v>
      </c>
      <c r="E58" s="134"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36"/>
      <c r="N58" s="15" t="str">
        <f t="shared" si="2"/>
        <v>TC_WC_F__</v>
      </c>
      <c r="O58" s="136"/>
      <c r="P58" s="15" t="str">
        <f t="shared" si="3"/>
        <v>TC_DM_F__</v>
      </c>
      <c r="Q58" s="136"/>
      <c r="R58" s="15" t="str">
        <f t="shared" si="4"/>
        <v>TC_CC_F__</v>
      </c>
      <c r="S58" s="7"/>
      <c r="T58" s="13"/>
      <c r="U58" s="13"/>
      <c r="V58" s="13"/>
      <c r="W58" s="13"/>
      <c r="X58" s="13"/>
    </row>
    <row r="59" spans="1:24" x14ac:dyDescent="0.25">
      <c r="A59" s="138" t="b">
        <v>0</v>
      </c>
      <c r="B59" s="6">
        <f t="shared" si="5"/>
        <v>58</v>
      </c>
      <c r="C59" s="20" t="e">
        <f>_xlfn.XLOOKUP($D59,Tab_Def_Processes[Process_Name],Tab_Def_Processes[Process_ID],,0,)</f>
        <v>#N/A</v>
      </c>
      <c r="D59" s="134" t="s">
        <v>8</v>
      </c>
      <c r="E59" s="134"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36"/>
      <c r="N59" s="15" t="str">
        <f t="shared" si="2"/>
        <v>TC_WC_F__</v>
      </c>
      <c r="O59" s="136"/>
      <c r="P59" s="15" t="str">
        <f t="shared" si="3"/>
        <v>TC_DM_F__</v>
      </c>
      <c r="Q59" s="136"/>
      <c r="R59" s="15" t="str">
        <f t="shared" si="4"/>
        <v>TC_CC_F__</v>
      </c>
      <c r="S59" s="7"/>
      <c r="T59" s="13"/>
      <c r="U59" s="13"/>
      <c r="V59" s="13"/>
      <c r="W59" s="13"/>
      <c r="X59" s="13"/>
    </row>
    <row r="60" spans="1:24" x14ac:dyDescent="0.25">
      <c r="A60" s="138" t="b">
        <v>0</v>
      </c>
      <c r="B60" s="6">
        <f t="shared" si="5"/>
        <v>59</v>
      </c>
      <c r="C60" s="20" t="e">
        <f>_xlfn.XLOOKUP($D60,Tab_Def_Processes[Process_Name],Tab_Def_Processes[Process_ID],,0,)</f>
        <v>#N/A</v>
      </c>
      <c r="D60" s="134" t="s">
        <v>8</v>
      </c>
      <c r="E60" s="134"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36"/>
      <c r="N60" s="15" t="str">
        <f t="shared" si="2"/>
        <v>TC_WC_F__</v>
      </c>
      <c r="O60" s="136"/>
      <c r="P60" s="15" t="str">
        <f t="shared" si="3"/>
        <v>TC_DM_F__</v>
      </c>
      <c r="Q60" s="136"/>
      <c r="R60" s="15" t="str">
        <f t="shared" si="4"/>
        <v>TC_CC_F__</v>
      </c>
      <c r="S60" s="7"/>
      <c r="T60" s="13"/>
      <c r="U60" s="13"/>
      <c r="V60" s="13"/>
      <c r="W60" s="13"/>
      <c r="X60" s="13"/>
    </row>
    <row r="61" spans="1:24" x14ac:dyDescent="0.25">
      <c r="A61" s="138" t="b">
        <v>0</v>
      </c>
      <c r="B61" s="6">
        <f t="shared" si="5"/>
        <v>60</v>
      </c>
      <c r="C61" s="20" t="e">
        <f>_xlfn.XLOOKUP($D61,Tab_Def_Processes[Process_Name],Tab_Def_Processes[Process_ID],,0,)</f>
        <v>#N/A</v>
      </c>
      <c r="D61" s="134" t="s">
        <v>8</v>
      </c>
      <c r="E61" s="134"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36"/>
      <c r="N61" s="15" t="str">
        <f t="shared" si="2"/>
        <v>TC_WC_F__</v>
      </c>
      <c r="O61" s="136"/>
      <c r="P61" s="15" t="str">
        <f t="shared" si="3"/>
        <v>TC_DM_F__</v>
      </c>
      <c r="Q61" s="136"/>
      <c r="R61" s="15" t="str">
        <f t="shared" si="4"/>
        <v>TC_CC_F__</v>
      </c>
      <c r="S61" s="7"/>
      <c r="T61" s="13"/>
      <c r="U61" s="13"/>
      <c r="V61" s="13"/>
      <c r="W61" s="13"/>
      <c r="X61" s="13"/>
    </row>
    <row r="62" spans="1:24" x14ac:dyDescent="0.25">
      <c r="A62" s="138" t="b">
        <v>0</v>
      </c>
      <c r="B62" s="6">
        <f t="shared" si="5"/>
        <v>61</v>
      </c>
      <c r="C62" s="20" t="e">
        <f>_xlfn.XLOOKUP($D62,Tab_Def_Processes[Process_Name],Tab_Def_Processes[Process_ID],,0,)</f>
        <v>#N/A</v>
      </c>
      <c r="D62" s="134" t="s">
        <v>8</v>
      </c>
      <c r="E62" s="134"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36"/>
      <c r="N62" s="15" t="str">
        <f t="shared" si="2"/>
        <v>TC_WC_F__</v>
      </c>
      <c r="O62" s="136"/>
      <c r="P62" s="15" t="str">
        <f t="shared" si="3"/>
        <v>TC_DM_F__</v>
      </c>
      <c r="Q62" s="136"/>
      <c r="R62" s="15" t="str">
        <f t="shared" si="4"/>
        <v>TC_CC_F__</v>
      </c>
      <c r="S62" s="7"/>
      <c r="T62" s="13"/>
      <c r="U62" s="13"/>
      <c r="V62" s="13"/>
      <c r="W62" s="13"/>
      <c r="X62" s="13"/>
    </row>
    <row r="63" spans="1:24" x14ac:dyDescent="0.25">
      <c r="A63" s="138" t="b">
        <v>0</v>
      </c>
      <c r="B63" s="6">
        <f t="shared" si="5"/>
        <v>62</v>
      </c>
      <c r="C63" s="20" t="e">
        <f>_xlfn.XLOOKUP($D63,Tab_Def_Processes[Process_Name],Tab_Def_Processes[Process_ID],,0,)</f>
        <v>#N/A</v>
      </c>
      <c r="D63" s="134" t="s">
        <v>8</v>
      </c>
      <c r="E63" s="134"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36"/>
      <c r="N63" s="15" t="str">
        <f t="shared" si="2"/>
        <v>TC_WC_F__</v>
      </c>
      <c r="O63" s="136"/>
      <c r="P63" s="15" t="str">
        <f t="shared" si="3"/>
        <v>TC_DM_F__</v>
      </c>
      <c r="Q63" s="136"/>
      <c r="R63" s="15" t="str">
        <f t="shared" si="4"/>
        <v>TC_CC_F__</v>
      </c>
      <c r="S63" s="7"/>
      <c r="T63" s="13"/>
      <c r="U63" s="13"/>
      <c r="V63" s="13"/>
      <c r="W63" s="13"/>
      <c r="X63" s="13"/>
    </row>
    <row r="64" spans="1:24" x14ac:dyDescent="0.25">
      <c r="A64" s="138" t="b">
        <v>0</v>
      </c>
      <c r="B64" s="6">
        <f t="shared" si="5"/>
        <v>63</v>
      </c>
      <c r="C64" s="20" t="e">
        <f>_xlfn.XLOOKUP($D64,Tab_Def_Processes[Process_Name],Tab_Def_Processes[Process_ID],,0,)</f>
        <v>#N/A</v>
      </c>
      <c r="D64" s="134" t="s">
        <v>8</v>
      </c>
      <c r="E64" s="134"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36"/>
      <c r="N64" s="15" t="str">
        <f t="shared" si="2"/>
        <v>TC_WC_F__</v>
      </c>
      <c r="O64" s="136"/>
      <c r="P64" s="15" t="str">
        <f t="shared" si="3"/>
        <v>TC_DM_F__</v>
      </c>
      <c r="Q64" s="136"/>
      <c r="R64" s="15" t="str">
        <f t="shared" si="4"/>
        <v>TC_CC_F__</v>
      </c>
      <c r="S64" s="7"/>
      <c r="T64" s="13"/>
      <c r="U64" s="13"/>
      <c r="V64" s="13"/>
      <c r="W64" s="13"/>
      <c r="X64" s="13"/>
    </row>
    <row r="65" spans="1:24" x14ac:dyDescent="0.25">
      <c r="A65" s="138" t="b">
        <v>0</v>
      </c>
      <c r="B65" s="6">
        <f t="shared" si="5"/>
        <v>64</v>
      </c>
      <c r="C65" s="20" t="e">
        <f>_xlfn.XLOOKUP($D65,Tab_Def_Processes[Process_Name],Tab_Def_Processes[Process_ID],,0,)</f>
        <v>#N/A</v>
      </c>
      <c r="D65" s="134" t="s">
        <v>8</v>
      </c>
      <c r="E65" s="134"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36"/>
      <c r="N65" s="15" t="str">
        <f t="shared" si="2"/>
        <v>TC_WC_F__</v>
      </c>
      <c r="O65" s="136"/>
      <c r="P65" s="15" t="str">
        <f t="shared" si="3"/>
        <v>TC_DM_F__</v>
      </c>
      <c r="Q65" s="136"/>
      <c r="R65" s="15" t="str">
        <f t="shared" si="4"/>
        <v>TC_CC_F__</v>
      </c>
      <c r="S65" s="7"/>
      <c r="T65" s="13"/>
      <c r="U65" s="13"/>
      <c r="V65" s="13"/>
      <c r="W65" s="13"/>
      <c r="X65" s="13"/>
    </row>
    <row r="66" spans="1:24" x14ac:dyDescent="0.25">
      <c r="A66" s="138" t="b">
        <v>0</v>
      </c>
      <c r="B66" s="6">
        <f t="shared" ref="B66:B97" si="6">ROW()-1</f>
        <v>65</v>
      </c>
      <c r="C66" s="20" t="e">
        <f>_xlfn.XLOOKUP($D66,Tab_Def_Processes[Process_Name],Tab_Def_Processes[Process_ID],,0,)</f>
        <v>#N/A</v>
      </c>
      <c r="D66" s="134" t="s">
        <v>8</v>
      </c>
      <c r="E66" s="134"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36"/>
      <c r="N66" s="15" t="str">
        <f t="shared" si="2"/>
        <v>TC_WC_F__</v>
      </c>
      <c r="O66" s="136"/>
      <c r="P66" s="15" t="str">
        <f t="shared" si="3"/>
        <v>TC_DM_F__</v>
      </c>
      <c r="Q66" s="136"/>
      <c r="R66" s="15" t="str">
        <f t="shared" si="4"/>
        <v>TC_CC_F__</v>
      </c>
      <c r="S66" s="7"/>
      <c r="T66" s="13"/>
      <c r="U66" s="13"/>
      <c r="V66" s="13"/>
      <c r="W66" s="13"/>
      <c r="X66" s="13"/>
    </row>
    <row r="67" spans="1:24" x14ac:dyDescent="0.25">
      <c r="A67" s="138" t="b">
        <v>0</v>
      </c>
      <c r="B67" s="6">
        <f t="shared" si="6"/>
        <v>66</v>
      </c>
      <c r="C67" s="20" t="e">
        <f>_xlfn.XLOOKUP($D67,Tab_Def_Processes[Process_Name],Tab_Def_Processes[Process_ID],,0,)</f>
        <v>#N/A</v>
      </c>
      <c r="D67" s="134" t="s">
        <v>8</v>
      </c>
      <c r="E67" s="134"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36"/>
      <c r="N67" s="15" t="str">
        <f t="shared" si="2"/>
        <v>TC_WC_F__</v>
      </c>
      <c r="O67" s="136"/>
      <c r="P67" s="15" t="str">
        <f t="shared" si="3"/>
        <v>TC_DM_F__</v>
      </c>
      <c r="Q67" s="136"/>
      <c r="R67" s="15" t="str">
        <f t="shared" si="4"/>
        <v>TC_CC_F__</v>
      </c>
      <c r="S67" s="7"/>
      <c r="T67" s="13"/>
      <c r="U67" s="13"/>
      <c r="V67" s="13"/>
      <c r="W67" s="13"/>
      <c r="X67" s="13"/>
    </row>
    <row r="68" spans="1:24" x14ac:dyDescent="0.25">
      <c r="A68" s="138" t="b">
        <v>0</v>
      </c>
      <c r="B68" s="6">
        <f t="shared" si="6"/>
        <v>67</v>
      </c>
      <c r="C68" s="20" t="e">
        <f>_xlfn.XLOOKUP($D68,Tab_Def_Processes[Process_Name],Tab_Def_Processes[Process_ID],,0,)</f>
        <v>#N/A</v>
      </c>
      <c r="D68" s="134" t="s">
        <v>8</v>
      </c>
      <c r="E68" s="134"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36"/>
      <c r="N68" s="15" t="str">
        <f t="shared" si="2"/>
        <v>TC_WC_F__</v>
      </c>
      <c r="O68" s="136"/>
      <c r="P68" s="15" t="str">
        <f t="shared" si="3"/>
        <v>TC_DM_F__</v>
      </c>
      <c r="Q68" s="136"/>
      <c r="R68" s="15" t="str">
        <f t="shared" si="4"/>
        <v>TC_CC_F__</v>
      </c>
      <c r="S68" s="7"/>
      <c r="T68" s="13"/>
      <c r="U68" s="13"/>
      <c r="V68" s="13"/>
      <c r="W68" s="13"/>
      <c r="X68" s="13"/>
    </row>
    <row r="69" spans="1:24" x14ac:dyDescent="0.25">
      <c r="A69" s="138" t="b">
        <v>0</v>
      </c>
      <c r="B69" s="6">
        <f t="shared" si="6"/>
        <v>68</v>
      </c>
      <c r="C69" s="20" t="e">
        <f>_xlfn.XLOOKUP($D69,Tab_Def_Processes[Process_Name],Tab_Def_Processes[Process_ID],,0,)</f>
        <v>#N/A</v>
      </c>
      <c r="D69" s="134" t="s">
        <v>8</v>
      </c>
      <c r="E69" s="134"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36"/>
      <c r="N69" s="15" t="str">
        <f t="shared" ref="N69:N132" si="8">"TC_WC"&amp;"_"&amp;RIGHT(J69,5)</f>
        <v>TC_WC_F__</v>
      </c>
      <c r="O69" s="136"/>
      <c r="P69" s="15" t="str">
        <f t="shared" ref="P69:P132" si="9">"TC_DM"&amp;"_"&amp;RIGHT(J69,5)</f>
        <v>TC_DM_F__</v>
      </c>
      <c r="Q69" s="136"/>
      <c r="R69" s="15" t="str">
        <f t="shared" ref="R69:R132" si="10">"TC_CC"&amp;"_"&amp;RIGHT(J69,5)</f>
        <v>TC_CC_F__</v>
      </c>
      <c r="S69" s="7"/>
      <c r="T69" s="13"/>
      <c r="U69" s="13"/>
      <c r="V69" s="13"/>
      <c r="W69" s="13"/>
      <c r="X69" s="13"/>
    </row>
    <row r="70" spans="1:24" x14ac:dyDescent="0.25">
      <c r="A70" s="138" t="b">
        <v>0</v>
      </c>
      <c r="B70" s="6">
        <f t="shared" si="6"/>
        <v>69</v>
      </c>
      <c r="C70" s="20" t="e">
        <f>_xlfn.XLOOKUP($D70,Tab_Def_Processes[Process_Name],Tab_Def_Processes[Process_ID],,0,)</f>
        <v>#N/A</v>
      </c>
      <c r="D70" s="134" t="s">
        <v>8</v>
      </c>
      <c r="E70" s="134"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36"/>
      <c r="N70" s="15" t="str">
        <f t="shared" si="8"/>
        <v>TC_WC_F__</v>
      </c>
      <c r="O70" s="136"/>
      <c r="P70" s="15" t="str">
        <f t="shared" si="9"/>
        <v>TC_DM_F__</v>
      </c>
      <c r="Q70" s="136"/>
      <c r="R70" s="15" t="str">
        <f t="shared" si="10"/>
        <v>TC_CC_F__</v>
      </c>
      <c r="S70" s="7"/>
      <c r="T70" s="13"/>
      <c r="U70" s="13"/>
      <c r="V70" s="13"/>
      <c r="W70" s="13"/>
      <c r="X70" s="13"/>
    </row>
    <row r="71" spans="1:24" x14ac:dyDescent="0.25">
      <c r="A71" s="138" t="b">
        <v>0</v>
      </c>
      <c r="B71" s="6">
        <f t="shared" si="6"/>
        <v>70</v>
      </c>
      <c r="C71" s="20" t="e">
        <f>_xlfn.XLOOKUP($D71,Tab_Def_Processes[Process_Name],Tab_Def_Processes[Process_ID],,0,)</f>
        <v>#N/A</v>
      </c>
      <c r="D71" s="134" t="s">
        <v>8</v>
      </c>
      <c r="E71" s="134"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36"/>
      <c r="N71" s="15" t="str">
        <f t="shared" si="8"/>
        <v>TC_WC_F__</v>
      </c>
      <c r="O71" s="136"/>
      <c r="P71" s="15" t="str">
        <f t="shared" si="9"/>
        <v>TC_DM_F__</v>
      </c>
      <c r="Q71" s="136"/>
      <c r="R71" s="15" t="str">
        <f t="shared" si="10"/>
        <v>TC_CC_F__</v>
      </c>
      <c r="S71" s="7"/>
      <c r="T71" s="13"/>
      <c r="U71" s="13"/>
      <c r="V71" s="13"/>
      <c r="W71" s="13"/>
      <c r="X71" s="13"/>
    </row>
    <row r="72" spans="1:24" x14ac:dyDescent="0.25">
      <c r="A72" s="138" t="b">
        <v>0</v>
      </c>
      <c r="B72" s="6">
        <f t="shared" si="6"/>
        <v>71</v>
      </c>
      <c r="C72" s="20" t="e">
        <f>_xlfn.XLOOKUP($D72,Tab_Def_Processes[Process_Name],Tab_Def_Processes[Process_ID],,0,)</f>
        <v>#N/A</v>
      </c>
      <c r="D72" s="134" t="s">
        <v>8</v>
      </c>
      <c r="E72" s="134"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36"/>
      <c r="N72" s="15" t="str">
        <f t="shared" si="8"/>
        <v>TC_WC_F__</v>
      </c>
      <c r="O72" s="136"/>
      <c r="P72" s="15" t="str">
        <f t="shared" si="9"/>
        <v>TC_DM_F__</v>
      </c>
      <c r="Q72" s="136"/>
      <c r="R72" s="15" t="str">
        <f t="shared" si="10"/>
        <v>TC_CC_F__</v>
      </c>
      <c r="S72" s="7"/>
      <c r="T72" s="13"/>
      <c r="U72" s="13"/>
      <c r="V72" s="13"/>
      <c r="W72" s="13"/>
      <c r="X72" s="13"/>
    </row>
    <row r="73" spans="1:24" x14ac:dyDescent="0.25">
      <c r="A73" s="138" t="b">
        <v>0</v>
      </c>
      <c r="B73" s="6">
        <f t="shared" si="6"/>
        <v>72</v>
      </c>
      <c r="C73" s="20" t="e">
        <f>_xlfn.XLOOKUP($D73,Tab_Def_Processes[Process_Name],Tab_Def_Processes[Process_ID],,0,)</f>
        <v>#N/A</v>
      </c>
      <c r="D73" s="134" t="s">
        <v>8</v>
      </c>
      <c r="E73" s="134"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36"/>
      <c r="N73" s="15" t="str">
        <f t="shared" si="8"/>
        <v>TC_WC_F__</v>
      </c>
      <c r="O73" s="136"/>
      <c r="P73" s="15" t="str">
        <f t="shared" si="9"/>
        <v>TC_DM_F__</v>
      </c>
      <c r="Q73" s="136"/>
      <c r="R73" s="15" t="str">
        <f t="shared" si="10"/>
        <v>TC_CC_F__</v>
      </c>
      <c r="S73" s="7"/>
      <c r="T73" s="13"/>
      <c r="U73" s="13"/>
      <c r="V73" s="13"/>
      <c r="W73" s="13"/>
      <c r="X73" s="13"/>
    </row>
    <row r="74" spans="1:24" x14ac:dyDescent="0.25">
      <c r="A74" s="138" t="b">
        <v>0</v>
      </c>
      <c r="B74" s="6">
        <f t="shared" si="6"/>
        <v>73</v>
      </c>
      <c r="C74" s="20" t="e">
        <f>_xlfn.XLOOKUP($D74,Tab_Def_Processes[Process_Name],Tab_Def_Processes[Process_ID],,0,)</f>
        <v>#N/A</v>
      </c>
      <c r="D74" s="134" t="s">
        <v>8</v>
      </c>
      <c r="E74" s="134"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36"/>
      <c r="N74" s="15" t="str">
        <f t="shared" si="8"/>
        <v>TC_WC_F__</v>
      </c>
      <c r="O74" s="136"/>
      <c r="P74" s="15" t="str">
        <f t="shared" si="9"/>
        <v>TC_DM_F__</v>
      </c>
      <c r="Q74" s="136"/>
      <c r="R74" s="15" t="str">
        <f t="shared" si="10"/>
        <v>TC_CC_F__</v>
      </c>
      <c r="S74" s="7"/>
      <c r="T74" s="13"/>
      <c r="U74" s="13"/>
      <c r="V74" s="13"/>
      <c r="W74" s="13"/>
      <c r="X74" s="13"/>
    </row>
    <row r="75" spans="1:24" x14ac:dyDescent="0.25">
      <c r="A75" s="138" t="b">
        <v>0</v>
      </c>
      <c r="B75" s="6">
        <f t="shared" si="6"/>
        <v>74</v>
      </c>
      <c r="C75" s="20" t="e">
        <f>_xlfn.XLOOKUP($D75,Tab_Def_Processes[Process_Name],Tab_Def_Processes[Process_ID],,0,)</f>
        <v>#N/A</v>
      </c>
      <c r="D75" s="134" t="s">
        <v>8</v>
      </c>
      <c r="E75" s="134"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36"/>
      <c r="N75" s="15" t="str">
        <f t="shared" si="8"/>
        <v>TC_WC_F__</v>
      </c>
      <c r="O75" s="136"/>
      <c r="P75" s="15" t="str">
        <f t="shared" si="9"/>
        <v>TC_DM_F__</v>
      </c>
      <c r="Q75" s="136"/>
      <c r="R75" s="15" t="str">
        <f t="shared" si="10"/>
        <v>TC_CC_F__</v>
      </c>
      <c r="S75" s="7"/>
      <c r="T75" s="13"/>
      <c r="U75" s="13"/>
      <c r="V75" s="13"/>
      <c r="W75" s="13"/>
      <c r="X75" s="13"/>
    </row>
    <row r="76" spans="1:24" x14ac:dyDescent="0.25">
      <c r="A76" s="138" t="b">
        <v>0</v>
      </c>
      <c r="B76" s="6">
        <f t="shared" si="6"/>
        <v>75</v>
      </c>
      <c r="C76" s="20" t="e">
        <f>_xlfn.XLOOKUP($D76,Tab_Def_Processes[Process_Name],Tab_Def_Processes[Process_ID],,0,)</f>
        <v>#N/A</v>
      </c>
      <c r="D76" s="134" t="s">
        <v>8</v>
      </c>
      <c r="E76" s="134"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36"/>
      <c r="N76" s="15" t="str">
        <f t="shared" si="8"/>
        <v>TC_WC_F__</v>
      </c>
      <c r="O76" s="136"/>
      <c r="P76" s="15" t="str">
        <f t="shared" si="9"/>
        <v>TC_DM_F__</v>
      </c>
      <c r="Q76" s="136"/>
      <c r="R76" s="15" t="str">
        <f t="shared" si="10"/>
        <v>TC_CC_F__</v>
      </c>
      <c r="S76" s="7"/>
      <c r="T76" s="13"/>
      <c r="U76" s="13"/>
      <c r="V76" s="13"/>
      <c r="W76" s="13"/>
      <c r="X76" s="13"/>
    </row>
    <row r="77" spans="1:24" x14ac:dyDescent="0.25">
      <c r="A77" s="138" t="b">
        <v>0</v>
      </c>
      <c r="B77" s="6">
        <f t="shared" si="6"/>
        <v>76</v>
      </c>
      <c r="C77" s="20" t="e">
        <f>_xlfn.XLOOKUP($D77,Tab_Def_Processes[Process_Name],Tab_Def_Processes[Process_ID],,0,)</f>
        <v>#N/A</v>
      </c>
      <c r="D77" s="134" t="s">
        <v>8</v>
      </c>
      <c r="E77" s="134"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36"/>
      <c r="N77" s="15" t="str">
        <f t="shared" si="8"/>
        <v>TC_WC_F__</v>
      </c>
      <c r="O77" s="136"/>
      <c r="P77" s="15" t="str">
        <f t="shared" si="9"/>
        <v>TC_DM_F__</v>
      </c>
      <c r="Q77" s="136"/>
      <c r="R77" s="15" t="str">
        <f t="shared" si="10"/>
        <v>TC_CC_F__</v>
      </c>
      <c r="S77" s="7"/>
      <c r="T77" s="13"/>
      <c r="U77" s="13"/>
      <c r="V77" s="13"/>
      <c r="W77" s="13"/>
      <c r="X77" s="13"/>
    </row>
    <row r="78" spans="1:24" x14ac:dyDescent="0.25">
      <c r="A78" s="138" t="b">
        <v>0</v>
      </c>
      <c r="B78" s="6">
        <f t="shared" si="6"/>
        <v>77</v>
      </c>
      <c r="C78" s="20" t="e">
        <f>_xlfn.XLOOKUP($D78,Tab_Def_Processes[Process_Name],Tab_Def_Processes[Process_ID],,0,)</f>
        <v>#N/A</v>
      </c>
      <c r="D78" s="134" t="s">
        <v>8</v>
      </c>
      <c r="E78" s="134"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36"/>
      <c r="N78" s="15" t="str">
        <f t="shared" si="8"/>
        <v>TC_WC_F__</v>
      </c>
      <c r="O78" s="136"/>
      <c r="P78" s="15" t="str">
        <f t="shared" si="9"/>
        <v>TC_DM_F__</v>
      </c>
      <c r="Q78" s="136"/>
      <c r="R78" s="15" t="str">
        <f t="shared" si="10"/>
        <v>TC_CC_F__</v>
      </c>
      <c r="S78" s="7"/>
      <c r="T78" s="13"/>
      <c r="U78" s="13"/>
      <c r="V78" s="13"/>
      <c r="W78" s="13"/>
      <c r="X78" s="13"/>
    </row>
    <row r="79" spans="1:24" x14ac:dyDescent="0.25">
      <c r="A79" s="138" t="b">
        <v>0</v>
      </c>
      <c r="B79" s="6">
        <f t="shared" si="6"/>
        <v>78</v>
      </c>
      <c r="C79" s="20" t="e">
        <f>_xlfn.XLOOKUP($D79,Tab_Def_Processes[Process_Name],Tab_Def_Processes[Process_ID],,0,)</f>
        <v>#N/A</v>
      </c>
      <c r="D79" s="134" t="s">
        <v>8</v>
      </c>
      <c r="E79" s="134"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36"/>
      <c r="N79" s="15" t="str">
        <f t="shared" si="8"/>
        <v>TC_WC_F__</v>
      </c>
      <c r="O79" s="136"/>
      <c r="P79" s="15" t="str">
        <f t="shared" si="9"/>
        <v>TC_DM_F__</v>
      </c>
      <c r="Q79" s="136"/>
      <c r="R79" s="15" t="str">
        <f t="shared" si="10"/>
        <v>TC_CC_F__</v>
      </c>
      <c r="S79" s="7"/>
      <c r="T79" s="13"/>
      <c r="U79" s="13"/>
      <c r="V79" s="13"/>
      <c r="W79" s="13"/>
      <c r="X79" s="13"/>
    </row>
    <row r="80" spans="1:24" x14ac:dyDescent="0.25">
      <c r="A80" s="138" t="b">
        <v>0</v>
      </c>
      <c r="B80" s="6">
        <f t="shared" si="6"/>
        <v>79</v>
      </c>
      <c r="C80" s="20" t="e">
        <f>_xlfn.XLOOKUP($D80,Tab_Def_Processes[Process_Name],Tab_Def_Processes[Process_ID],,0,)</f>
        <v>#N/A</v>
      </c>
      <c r="D80" s="134" t="s">
        <v>8</v>
      </c>
      <c r="E80" s="134"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36"/>
      <c r="N80" s="15" t="str">
        <f t="shared" si="8"/>
        <v>TC_WC_F__</v>
      </c>
      <c r="O80" s="136"/>
      <c r="P80" s="15" t="str">
        <f t="shared" si="9"/>
        <v>TC_DM_F__</v>
      </c>
      <c r="Q80" s="136"/>
      <c r="R80" s="15" t="str">
        <f t="shared" si="10"/>
        <v>TC_CC_F__</v>
      </c>
      <c r="S80" s="7"/>
      <c r="T80" s="13"/>
      <c r="U80" s="13"/>
      <c r="V80" s="13"/>
      <c r="W80" s="13"/>
      <c r="X80" s="13"/>
    </row>
    <row r="81" spans="1:24" x14ac:dyDescent="0.25">
      <c r="A81" s="138" t="b">
        <v>0</v>
      </c>
      <c r="B81" s="6">
        <f t="shared" si="6"/>
        <v>80</v>
      </c>
      <c r="C81" s="20" t="e">
        <f>_xlfn.XLOOKUP($D81,Tab_Def_Processes[Process_Name],Tab_Def_Processes[Process_ID],,0,)</f>
        <v>#N/A</v>
      </c>
      <c r="D81" s="134" t="s">
        <v>8</v>
      </c>
      <c r="E81" s="134"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36"/>
      <c r="N81" s="15" t="str">
        <f t="shared" si="8"/>
        <v>TC_WC_F__</v>
      </c>
      <c r="O81" s="136"/>
      <c r="P81" s="15" t="str">
        <f t="shared" si="9"/>
        <v>TC_DM_F__</v>
      </c>
      <c r="Q81" s="136"/>
      <c r="R81" s="15" t="str">
        <f t="shared" si="10"/>
        <v>TC_CC_F__</v>
      </c>
      <c r="S81" s="7"/>
      <c r="T81" s="13"/>
      <c r="U81" s="13"/>
      <c r="V81" s="13"/>
      <c r="W81" s="13"/>
      <c r="X81" s="13"/>
    </row>
    <row r="82" spans="1:24" x14ac:dyDescent="0.25">
      <c r="A82" s="138" t="b">
        <v>0</v>
      </c>
      <c r="B82" s="6">
        <f t="shared" si="6"/>
        <v>81</v>
      </c>
      <c r="C82" s="20" t="e">
        <f>_xlfn.XLOOKUP($D82,Tab_Def_Processes[Process_Name],Tab_Def_Processes[Process_ID],,0,)</f>
        <v>#N/A</v>
      </c>
      <c r="D82" s="134" t="s">
        <v>8</v>
      </c>
      <c r="E82" s="134"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36"/>
      <c r="N82" s="15" t="str">
        <f t="shared" si="8"/>
        <v>TC_WC_F__</v>
      </c>
      <c r="O82" s="136"/>
      <c r="P82" s="15" t="str">
        <f t="shared" si="9"/>
        <v>TC_DM_F__</v>
      </c>
      <c r="Q82" s="136"/>
      <c r="R82" s="15" t="str">
        <f t="shared" si="10"/>
        <v>TC_CC_F__</v>
      </c>
      <c r="S82" s="7"/>
      <c r="T82" s="13"/>
      <c r="U82" s="13"/>
      <c r="V82" s="13"/>
      <c r="W82" s="13"/>
      <c r="X82" s="13"/>
    </row>
    <row r="83" spans="1:24" x14ac:dyDescent="0.25">
      <c r="A83" s="138" t="b">
        <v>0</v>
      </c>
      <c r="B83" s="6">
        <f t="shared" si="6"/>
        <v>82</v>
      </c>
      <c r="C83" s="20" t="e">
        <f>_xlfn.XLOOKUP($D83,Tab_Def_Processes[Process_Name],Tab_Def_Processes[Process_ID],,0,)</f>
        <v>#N/A</v>
      </c>
      <c r="D83" s="134" t="s">
        <v>8</v>
      </c>
      <c r="E83" s="134"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36"/>
      <c r="N83" s="15" t="str">
        <f t="shared" si="8"/>
        <v>TC_WC_F__</v>
      </c>
      <c r="O83" s="136"/>
      <c r="P83" s="15" t="str">
        <f t="shared" si="9"/>
        <v>TC_DM_F__</v>
      </c>
      <c r="Q83" s="136"/>
      <c r="R83" s="15" t="str">
        <f t="shared" si="10"/>
        <v>TC_CC_F__</v>
      </c>
      <c r="S83" s="7"/>
      <c r="T83" s="13"/>
      <c r="U83" s="13"/>
      <c r="V83" s="13"/>
      <c r="W83" s="13"/>
      <c r="X83" s="13"/>
    </row>
    <row r="84" spans="1:24" x14ac:dyDescent="0.25">
      <c r="A84" s="138" t="b">
        <v>0</v>
      </c>
      <c r="B84" s="6">
        <f t="shared" si="6"/>
        <v>83</v>
      </c>
      <c r="C84" s="20" t="e">
        <f>_xlfn.XLOOKUP($D84,Tab_Def_Processes[Process_Name],Tab_Def_Processes[Process_ID],,0,)</f>
        <v>#N/A</v>
      </c>
      <c r="D84" s="134" t="s">
        <v>8</v>
      </c>
      <c r="E84" s="134"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36"/>
      <c r="N84" s="15" t="str">
        <f t="shared" si="8"/>
        <v>TC_WC_F__</v>
      </c>
      <c r="O84" s="136"/>
      <c r="P84" s="15" t="str">
        <f t="shared" si="9"/>
        <v>TC_DM_F__</v>
      </c>
      <c r="Q84" s="136"/>
      <c r="R84" s="15" t="str">
        <f t="shared" si="10"/>
        <v>TC_CC_F__</v>
      </c>
      <c r="S84" s="7"/>
      <c r="T84" s="13"/>
      <c r="U84" s="13"/>
      <c r="V84" s="13"/>
      <c r="W84" s="13"/>
      <c r="X84" s="13"/>
    </row>
    <row r="85" spans="1:24" x14ac:dyDescent="0.25">
      <c r="A85" s="138" t="b">
        <v>0</v>
      </c>
      <c r="B85" s="6">
        <f t="shared" si="6"/>
        <v>84</v>
      </c>
      <c r="C85" s="20" t="e">
        <f>_xlfn.XLOOKUP($D85,Tab_Def_Processes[Process_Name],Tab_Def_Processes[Process_ID],,0,)</f>
        <v>#N/A</v>
      </c>
      <c r="D85" s="134" t="s">
        <v>8</v>
      </c>
      <c r="E85" s="134"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36"/>
      <c r="N85" s="15" t="str">
        <f t="shared" si="8"/>
        <v>TC_WC_F__</v>
      </c>
      <c r="O85" s="136"/>
      <c r="P85" s="15" t="str">
        <f t="shared" si="9"/>
        <v>TC_DM_F__</v>
      </c>
      <c r="Q85" s="136"/>
      <c r="R85" s="15" t="str">
        <f t="shared" si="10"/>
        <v>TC_CC_F__</v>
      </c>
      <c r="S85" s="7"/>
      <c r="T85" s="13"/>
      <c r="U85" s="13"/>
      <c r="V85" s="13"/>
      <c r="W85" s="13"/>
      <c r="X85" s="13"/>
    </row>
    <row r="86" spans="1:24" x14ac:dyDescent="0.25">
      <c r="A86" s="138" t="b">
        <v>0</v>
      </c>
      <c r="B86" s="6">
        <f t="shared" si="6"/>
        <v>85</v>
      </c>
      <c r="C86" s="20" t="e">
        <f>_xlfn.XLOOKUP($D86,Tab_Def_Processes[Process_Name],Tab_Def_Processes[Process_ID],,0,)</f>
        <v>#N/A</v>
      </c>
      <c r="D86" s="134" t="s">
        <v>8</v>
      </c>
      <c r="E86" s="134"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36"/>
      <c r="N86" s="15" t="str">
        <f t="shared" si="8"/>
        <v>TC_WC_F__</v>
      </c>
      <c r="O86" s="136"/>
      <c r="P86" s="15" t="str">
        <f t="shared" si="9"/>
        <v>TC_DM_F__</v>
      </c>
      <c r="Q86" s="136"/>
      <c r="R86" s="15" t="str">
        <f t="shared" si="10"/>
        <v>TC_CC_F__</v>
      </c>
      <c r="S86" s="7"/>
      <c r="T86" s="13"/>
      <c r="U86" s="13"/>
      <c r="V86" s="13"/>
      <c r="W86" s="13"/>
      <c r="X86" s="13"/>
    </row>
    <row r="87" spans="1:24" x14ac:dyDescent="0.25">
      <c r="A87" s="138" t="b">
        <v>0</v>
      </c>
      <c r="B87" s="6">
        <f t="shared" si="6"/>
        <v>86</v>
      </c>
      <c r="C87" s="20" t="e">
        <f>_xlfn.XLOOKUP($D87,Tab_Def_Processes[Process_Name],Tab_Def_Processes[Process_ID],,0,)</f>
        <v>#N/A</v>
      </c>
      <c r="D87" s="134" t="s">
        <v>8</v>
      </c>
      <c r="E87" s="134"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36"/>
      <c r="N87" s="15" t="str">
        <f t="shared" si="8"/>
        <v>TC_WC_F__</v>
      </c>
      <c r="O87" s="136"/>
      <c r="P87" s="15" t="str">
        <f t="shared" si="9"/>
        <v>TC_DM_F__</v>
      </c>
      <c r="Q87" s="136"/>
      <c r="R87" s="15" t="str">
        <f t="shared" si="10"/>
        <v>TC_CC_F__</v>
      </c>
      <c r="S87" s="7"/>
      <c r="T87" s="13"/>
      <c r="U87" s="13"/>
      <c r="V87" s="13"/>
      <c r="W87" s="13"/>
      <c r="X87" s="13"/>
    </row>
    <row r="88" spans="1:24" x14ac:dyDescent="0.25">
      <c r="A88" s="138" t="b">
        <v>0</v>
      </c>
      <c r="B88" s="6">
        <f t="shared" si="6"/>
        <v>87</v>
      </c>
      <c r="C88" s="20" t="e">
        <f>_xlfn.XLOOKUP($D88,Tab_Def_Processes[Process_Name],Tab_Def_Processes[Process_ID],,0,)</f>
        <v>#N/A</v>
      </c>
      <c r="D88" s="134" t="s">
        <v>8</v>
      </c>
      <c r="E88" s="134"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36"/>
      <c r="N88" s="15" t="str">
        <f t="shared" si="8"/>
        <v>TC_WC_F__</v>
      </c>
      <c r="O88" s="136"/>
      <c r="P88" s="15" t="str">
        <f t="shared" si="9"/>
        <v>TC_DM_F__</v>
      </c>
      <c r="Q88" s="136"/>
      <c r="R88" s="15" t="str">
        <f t="shared" si="10"/>
        <v>TC_CC_F__</v>
      </c>
      <c r="S88" s="7"/>
      <c r="T88" s="13"/>
      <c r="U88" s="13"/>
      <c r="V88" s="13"/>
      <c r="W88" s="13"/>
      <c r="X88" s="13"/>
    </row>
    <row r="89" spans="1:24" x14ac:dyDescent="0.25">
      <c r="A89" s="138" t="b">
        <v>0</v>
      </c>
      <c r="B89" s="6">
        <f t="shared" si="6"/>
        <v>88</v>
      </c>
      <c r="C89" s="20" t="e">
        <f>_xlfn.XLOOKUP($D89,Tab_Def_Processes[Process_Name],Tab_Def_Processes[Process_ID],,0,)</f>
        <v>#N/A</v>
      </c>
      <c r="D89" s="134" t="s">
        <v>8</v>
      </c>
      <c r="E89" s="134"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36"/>
      <c r="N89" s="15" t="str">
        <f t="shared" si="8"/>
        <v>TC_WC_F__</v>
      </c>
      <c r="O89" s="136"/>
      <c r="P89" s="15" t="str">
        <f t="shared" si="9"/>
        <v>TC_DM_F__</v>
      </c>
      <c r="Q89" s="136"/>
      <c r="R89" s="15" t="str">
        <f t="shared" si="10"/>
        <v>TC_CC_F__</v>
      </c>
      <c r="S89" s="7"/>
      <c r="T89" s="13"/>
      <c r="U89" s="13"/>
      <c r="V89" s="13"/>
      <c r="W89" s="13"/>
      <c r="X89" s="13"/>
    </row>
    <row r="90" spans="1:24" x14ac:dyDescent="0.25">
      <c r="A90" s="138" t="b">
        <v>0</v>
      </c>
      <c r="B90" s="6">
        <f t="shared" si="6"/>
        <v>89</v>
      </c>
      <c r="C90" s="20" t="e">
        <f>_xlfn.XLOOKUP($D90,Tab_Def_Processes[Process_Name],Tab_Def_Processes[Process_ID],,0,)</f>
        <v>#N/A</v>
      </c>
      <c r="D90" s="134" t="s">
        <v>8</v>
      </c>
      <c r="E90" s="134"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36"/>
      <c r="N90" s="15" t="str">
        <f t="shared" si="8"/>
        <v>TC_WC_F__</v>
      </c>
      <c r="O90" s="136"/>
      <c r="P90" s="15" t="str">
        <f t="shared" si="9"/>
        <v>TC_DM_F__</v>
      </c>
      <c r="Q90" s="136"/>
      <c r="R90" s="15" t="str">
        <f t="shared" si="10"/>
        <v>TC_CC_F__</v>
      </c>
      <c r="S90" s="7"/>
      <c r="T90" s="13"/>
      <c r="U90" s="13"/>
      <c r="V90" s="13"/>
      <c r="W90" s="13"/>
      <c r="X90" s="13"/>
    </row>
    <row r="91" spans="1:24" x14ac:dyDescent="0.25">
      <c r="A91" s="138" t="b">
        <v>0</v>
      </c>
      <c r="B91" s="6">
        <f t="shared" si="6"/>
        <v>90</v>
      </c>
      <c r="C91" s="20" t="e">
        <f>_xlfn.XLOOKUP($D91,Tab_Def_Processes[Process_Name],Tab_Def_Processes[Process_ID],,0,)</f>
        <v>#N/A</v>
      </c>
      <c r="D91" s="134" t="s">
        <v>8</v>
      </c>
      <c r="E91" s="134"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36"/>
      <c r="N91" s="15" t="str">
        <f t="shared" si="8"/>
        <v>TC_WC_F__</v>
      </c>
      <c r="O91" s="136"/>
      <c r="P91" s="15" t="str">
        <f t="shared" si="9"/>
        <v>TC_DM_F__</v>
      </c>
      <c r="Q91" s="136"/>
      <c r="R91" s="15" t="str">
        <f t="shared" si="10"/>
        <v>TC_CC_F__</v>
      </c>
      <c r="S91" s="7"/>
      <c r="T91" s="13"/>
      <c r="U91" s="13"/>
      <c r="V91" s="13"/>
      <c r="W91" s="13"/>
      <c r="X91" s="13"/>
    </row>
    <row r="92" spans="1:24" x14ac:dyDescent="0.25">
      <c r="A92" s="138" t="b">
        <v>0</v>
      </c>
      <c r="B92" s="6">
        <f t="shared" si="6"/>
        <v>91</v>
      </c>
      <c r="C92" s="20" t="e">
        <f>_xlfn.XLOOKUP($D92,Tab_Def_Processes[Process_Name],Tab_Def_Processes[Process_ID],,0,)</f>
        <v>#N/A</v>
      </c>
      <c r="D92" s="134" t="s">
        <v>8</v>
      </c>
      <c r="E92" s="134"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36"/>
      <c r="N92" s="15" t="str">
        <f t="shared" si="8"/>
        <v>TC_WC_F__</v>
      </c>
      <c r="O92" s="136"/>
      <c r="P92" s="15" t="str">
        <f t="shared" si="9"/>
        <v>TC_DM_F__</v>
      </c>
      <c r="Q92" s="136"/>
      <c r="R92" s="15" t="str">
        <f t="shared" si="10"/>
        <v>TC_CC_F__</v>
      </c>
      <c r="S92" s="7"/>
      <c r="T92" s="13"/>
      <c r="U92" s="13"/>
      <c r="V92" s="13"/>
      <c r="W92" s="13"/>
      <c r="X92" s="13"/>
    </row>
    <row r="93" spans="1:24" x14ac:dyDescent="0.25">
      <c r="A93" s="138" t="b">
        <v>0</v>
      </c>
      <c r="B93" s="6">
        <f t="shared" si="6"/>
        <v>92</v>
      </c>
      <c r="C93" s="20" t="e">
        <f>_xlfn.XLOOKUP($D93,Tab_Def_Processes[Process_Name],Tab_Def_Processes[Process_ID],,0,)</f>
        <v>#N/A</v>
      </c>
      <c r="D93" s="134" t="s">
        <v>8</v>
      </c>
      <c r="E93" s="134"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36"/>
      <c r="N93" s="15" t="str">
        <f t="shared" si="8"/>
        <v>TC_WC_F__</v>
      </c>
      <c r="O93" s="136"/>
      <c r="P93" s="15" t="str">
        <f t="shared" si="9"/>
        <v>TC_DM_F__</v>
      </c>
      <c r="Q93" s="136"/>
      <c r="R93" s="15" t="str">
        <f t="shared" si="10"/>
        <v>TC_CC_F__</v>
      </c>
      <c r="S93" s="7"/>
      <c r="T93" s="13"/>
      <c r="U93" s="13"/>
      <c r="V93" s="13"/>
      <c r="W93" s="13"/>
      <c r="X93" s="13"/>
    </row>
    <row r="94" spans="1:24" x14ac:dyDescent="0.25">
      <c r="A94" s="138" t="b">
        <v>0</v>
      </c>
      <c r="B94" s="6">
        <f t="shared" si="6"/>
        <v>93</v>
      </c>
      <c r="C94" s="20" t="e">
        <f>_xlfn.XLOOKUP($D94,Tab_Def_Processes[Process_Name],Tab_Def_Processes[Process_ID],,0,)</f>
        <v>#N/A</v>
      </c>
      <c r="D94" s="134" t="s">
        <v>8</v>
      </c>
      <c r="E94" s="134"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36"/>
      <c r="N94" s="15" t="str">
        <f t="shared" si="8"/>
        <v>TC_WC_F__</v>
      </c>
      <c r="O94" s="136"/>
      <c r="P94" s="15" t="str">
        <f t="shared" si="9"/>
        <v>TC_DM_F__</v>
      </c>
      <c r="Q94" s="136"/>
      <c r="R94" s="15" t="str">
        <f t="shared" si="10"/>
        <v>TC_CC_F__</v>
      </c>
      <c r="S94" s="7"/>
      <c r="T94" s="13"/>
      <c r="U94" s="13"/>
      <c r="V94" s="13"/>
      <c r="W94" s="13"/>
      <c r="X94" s="13"/>
    </row>
    <row r="95" spans="1:24" x14ac:dyDescent="0.25">
      <c r="A95" s="138" t="b">
        <v>0</v>
      </c>
      <c r="B95" s="6">
        <f t="shared" si="6"/>
        <v>94</v>
      </c>
      <c r="C95" s="20" t="e">
        <f>_xlfn.XLOOKUP($D95,Tab_Def_Processes[Process_Name],Tab_Def_Processes[Process_ID],,0,)</f>
        <v>#N/A</v>
      </c>
      <c r="D95" s="134" t="s">
        <v>8</v>
      </c>
      <c r="E95" s="134"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36"/>
      <c r="N95" s="15" t="str">
        <f t="shared" si="8"/>
        <v>TC_WC_F__</v>
      </c>
      <c r="O95" s="136"/>
      <c r="P95" s="15" t="str">
        <f t="shared" si="9"/>
        <v>TC_DM_F__</v>
      </c>
      <c r="Q95" s="136"/>
      <c r="R95" s="15" t="str">
        <f t="shared" si="10"/>
        <v>TC_CC_F__</v>
      </c>
      <c r="S95" s="7"/>
      <c r="T95" s="13"/>
      <c r="U95" s="13"/>
      <c r="V95" s="13"/>
      <c r="W95" s="13"/>
      <c r="X95" s="13"/>
    </row>
    <row r="96" spans="1:24" x14ac:dyDescent="0.25">
      <c r="A96" s="138" t="b">
        <v>0</v>
      </c>
      <c r="B96" s="6">
        <f t="shared" si="6"/>
        <v>95</v>
      </c>
      <c r="C96" s="20" t="e">
        <f>_xlfn.XLOOKUP($D96,Tab_Def_Processes[Process_Name],Tab_Def_Processes[Process_ID],,0,)</f>
        <v>#N/A</v>
      </c>
      <c r="D96" s="134" t="s">
        <v>8</v>
      </c>
      <c r="E96" s="134"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36"/>
      <c r="N96" s="15" t="str">
        <f t="shared" si="8"/>
        <v>TC_WC_F__</v>
      </c>
      <c r="O96" s="136"/>
      <c r="P96" s="15" t="str">
        <f t="shared" si="9"/>
        <v>TC_DM_F__</v>
      </c>
      <c r="Q96" s="136"/>
      <c r="R96" s="15" t="str">
        <f t="shared" si="10"/>
        <v>TC_CC_F__</v>
      </c>
      <c r="S96" s="7"/>
      <c r="T96" s="13"/>
      <c r="U96" s="13"/>
      <c r="V96" s="13"/>
      <c r="W96" s="13"/>
      <c r="X96" s="13"/>
    </row>
    <row r="97" spans="1:24" x14ac:dyDescent="0.25">
      <c r="A97" s="138" t="b">
        <v>0</v>
      </c>
      <c r="B97" s="6">
        <f t="shared" si="6"/>
        <v>96</v>
      </c>
      <c r="C97" s="20" t="e">
        <f>_xlfn.XLOOKUP($D97,Tab_Def_Processes[Process_Name],Tab_Def_Processes[Process_ID],,0,)</f>
        <v>#N/A</v>
      </c>
      <c r="D97" s="134" t="s">
        <v>8</v>
      </c>
      <c r="E97" s="134"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36"/>
      <c r="N97" s="15" t="str">
        <f t="shared" si="8"/>
        <v>TC_WC_F__</v>
      </c>
      <c r="O97" s="136"/>
      <c r="P97" s="15" t="str">
        <f t="shared" si="9"/>
        <v>TC_DM_F__</v>
      </c>
      <c r="Q97" s="136"/>
      <c r="R97" s="15" t="str">
        <f t="shared" si="10"/>
        <v>TC_CC_F__</v>
      </c>
      <c r="S97" s="7"/>
      <c r="T97" s="13"/>
      <c r="U97" s="13"/>
      <c r="V97" s="13"/>
      <c r="W97" s="13"/>
      <c r="X97" s="13"/>
    </row>
    <row r="98" spans="1:24" x14ac:dyDescent="0.25">
      <c r="A98" s="138" t="b">
        <v>0</v>
      </c>
      <c r="B98" s="6">
        <f t="shared" ref="B98:B129" si="11">ROW()-1</f>
        <v>97</v>
      </c>
      <c r="C98" s="20" t="e">
        <f>_xlfn.XLOOKUP($D98,Tab_Def_Processes[Process_Name],Tab_Def_Processes[Process_ID],,0,)</f>
        <v>#N/A</v>
      </c>
      <c r="D98" s="134" t="s">
        <v>8</v>
      </c>
      <c r="E98" s="134"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36"/>
      <c r="N98" s="15" t="str">
        <f t="shared" si="8"/>
        <v>TC_WC_F__</v>
      </c>
      <c r="O98" s="136"/>
      <c r="P98" s="15" t="str">
        <f t="shared" si="9"/>
        <v>TC_DM_F__</v>
      </c>
      <c r="Q98" s="136"/>
      <c r="R98" s="15" t="str">
        <f t="shared" si="10"/>
        <v>TC_CC_F__</v>
      </c>
      <c r="S98" s="7"/>
      <c r="T98" s="13"/>
      <c r="U98" s="13"/>
      <c r="V98" s="13"/>
      <c r="W98" s="13"/>
      <c r="X98" s="13"/>
    </row>
    <row r="99" spans="1:24" x14ac:dyDescent="0.25">
      <c r="A99" s="138" t="b">
        <v>0</v>
      </c>
      <c r="B99" s="6">
        <f t="shared" si="11"/>
        <v>98</v>
      </c>
      <c r="C99" s="20" t="e">
        <f>_xlfn.XLOOKUP($D99,Tab_Def_Processes[Process_Name],Tab_Def_Processes[Process_ID],,0,)</f>
        <v>#N/A</v>
      </c>
      <c r="D99" s="134" t="s">
        <v>8</v>
      </c>
      <c r="E99" s="134"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36"/>
      <c r="N99" s="15" t="str">
        <f t="shared" si="8"/>
        <v>TC_WC_F__</v>
      </c>
      <c r="O99" s="136"/>
      <c r="P99" s="15" t="str">
        <f t="shared" si="9"/>
        <v>TC_DM_F__</v>
      </c>
      <c r="Q99" s="136"/>
      <c r="R99" s="15" t="str">
        <f t="shared" si="10"/>
        <v>TC_CC_F__</v>
      </c>
      <c r="S99" s="7"/>
      <c r="T99" s="13"/>
      <c r="U99" s="13"/>
      <c r="V99" s="13"/>
      <c r="W99" s="13"/>
      <c r="X99" s="13"/>
    </row>
    <row r="100" spans="1:24" x14ac:dyDescent="0.25">
      <c r="A100" s="138" t="b">
        <v>0</v>
      </c>
      <c r="B100" s="6">
        <f t="shared" si="11"/>
        <v>99</v>
      </c>
      <c r="C100" s="20" t="e">
        <f>_xlfn.XLOOKUP($D100,Tab_Def_Processes[Process_Name],Tab_Def_Processes[Process_ID],,0,)</f>
        <v>#N/A</v>
      </c>
      <c r="D100" s="134" t="s">
        <v>8</v>
      </c>
      <c r="E100" s="134"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36"/>
      <c r="N100" s="15" t="str">
        <f t="shared" si="8"/>
        <v>TC_WC_F__</v>
      </c>
      <c r="O100" s="136"/>
      <c r="P100" s="15" t="str">
        <f t="shared" si="9"/>
        <v>TC_DM_F__</v>
      </c>
      <c r="Q100" s="136"/>
      <c r="R100" s="15" t="str">
        <f t="shared" si="10"/>
        <v>TC_CC_F__</v>
      </c>
      <c r="S100" s="7"/>
      <c r="T100" s="13"/>
      <c r="U100" s="13"/>
      <c r="V100" s="13"/>
      <c r="W100" s="13"/>
      <c r="X100" s="13"/>
    </row>
    <row r="101" spans="1:24" x14ac:dyDescent="0.25">
      <c r="A101" s="138" t="b">
        <v>0</v>
      </c>
      <c r="B101" s="6">
        <f t="shared" si="11"/>
        <v>100</v>
      </c>
      <c r="C101" s="20" t="e">
        <f>_xlfn.XLOOKUP($D101,Tab_Def_Processes[Process_Name],Tab_Def_Processes[Process_ID],,0,)</f>
        <v>#N/A</v>
      </c>
      <c r="D101" s="134" t="s">
        <v>8</v>
      </c>
      <c r="E101" s="134"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36"/>
      <c r="N101" s="15" t="str">
        <f t="shared" si="8"/>
        <v>TC_WC_F__</v>
      </c>
      <c r="O101" s="136"/>
      <c r="P101" s="15" t="str">
        <f t="shared" si="9"/>
        <v>TC_DM_F__</v>
      </c>
      <c r="Q101" s="136"/>
      <c r="R101" s="15" t="str">
        <f t="shared" si="10"/>
        <v>TC_CC_F__</v>
      </c>
      <c r="S101" s="7"/>
      <c r="T101" s="13"/>
      <c r="U101" s="13"/>
      <c r="V101" s="13"/>
      <c r="W101" s="13"/>
      <c r="X101" s="13"/>
    </row>
    <row r="102" spans="1:24" x14ac:dyDescent="0.25">
      <c r="A102" s="138" t="b">
        <v>0</v>
      </c>
      <c r="B102" s="6">
        <f t="shared" si="11"/>
        <v>101</v>
      </c>
      <c r="C102" s="20" t="e">
        <f>_xlfn.XLOOKUP($D102,Tab_Def_Processes[Process_Name],Tab_Def_Processes[Process_ID],,0,)</f>
        <v>#N/A</v>
      </c>
      <c r="D102" s="134" t="s">
        <v>8</v>
      </c>
      <c r="E102" s="134"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36"/>
      <c r="N102" s="15" t="str">
        <f t="shared" si="8"/>
        <v>TC_WC_F__</v>
      </c>
      <c r="O102" s="136"/>
      <c r="P102" s="15" t="str">
        <f t="shared" si="9"/>
        <v>TC_DM_F__</v>
      </c>
      <c r="Q102" s="136"/>
      <c r="R102" s="15" t="str">
        <f t="shared" si="10"/>
        <v>TC_CC_F__</v>
      </c>
      <c r="S102" s="7"/>
      <c r="T102" s="13"/>
      <c r="U102" s="13"/>
      <c r="V102" s="13"/>
      <c r="W102" s="13"/>
      <c r="X102" s="13"/>
    </row>
    <row r="103" spans="1:24" x14ac:dyDescent="0.25">
      <c r="A103" s="138" t="b">
        <v>0</v>
      </c>
      <c r="B103" s="6">
        <f t="shared" si="11"/>
        <v>102</v>
      </c>
      <c r="C103" s="20" t="e">
        <f>_xlfn.XLOOKUP($D103,Tab_Def_Processes[Process_Name],Tab_Def_Processes[Process_ID],,0,)</f>
        <v>#N/A</v>
      </c>
      <c r="D103" s="134" t="s">
        <v>8</v>
      </c>
      <c r="E103" s="134"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36"/>
      <c r="N103" s="15" t="str">
        <f t="shared" si="8"/>
        <v>TC_WC_F__</v>
      </c>
      <c r="O103" s="136"/>
      <c r="P103" s="15" t="str">
        <f t="shared" si="9"/>
        <v>TC_DM_F__</v>
      </c>
      <c r="Q103" s="136"/>
      <c r="R103" s="15" t="str">
        <f t="shared" si="10"/>
        <v>TC_CC_F__</v>
      </c>
      <c r="S103" s="7"/>
      <c r="T103" s="13"/>
      <c r="U103" s="13"/>
      <c r="V103" s="13"/>
      <c r="W103" s="13"/>
      <c r="X103" s="13"/>
    </row>
    <row r="104" spans="1:24" x14ac:dyDescent="0.25">
      <c r="A104" s="138" t="b">
        <v>0</v>
      </c>
      <c r="B104" s="6">
        <f t="shared" si="11"/>
        <v>103</v>
      </c>
      <c r="C104" s="20" t="e">
        <f>_xlfn.XLOOKUP($D104,Tab_Def_Processes[Process_Name],Tab_Def_Processes[Process_ID],,0,)</f>
        <v>#N/A</v>
      </c>
      <c r="D104" s="134" t="s">
        <v>8</v>
      </c>
      <c r="E104" s="134"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36"/>
      <c r="N104" s="15" t="str">
        <f t="shared" si="8"/>
        <v>TC_WC_F__</v>
      </c>
      <c r="O104" s="136"/>
      <c r="P104" s="15" t="str">
        <f t="shared" si="9"/>
        <v>TC_DM_F__</v>
      </c>
      <c r="Q104" s="136"/>
      <c r="R104" s="15" t="str">
        <f t="shared" si="10"/>
        <v>TC_CC_F__</v>
      </c>
      <c r="S104" s="7"/>
      <c r="T104" s="13"/>
      <c r="U104" s="13"/>
      <c r="V104" s="13"/>
      <c r="W104" s="13"/>
      <c r="X104" s="13"/>
    </row>
    <row r="105" spans="1:24" x14ac:dyDescent="0.25">
      <c r="A105" s="138" t="b">
        <v>0</v>
      </c>
      <c r="B105" s="6">
        <f t="shared" si="11"/>
        <v>104</v>
      </c>
      <c r="C105" s="20" t="e">
        <f>_xlfn.XLOOKUP($D105,Tab_Def_Processes[Process_Name],Tab_Def_Processes[Process_ID],,0,)</f>
        <v>#N/A</v>
      </c>
      <c r="D105" s="134" t="s">
        <v>8</v>
      </c>
      <c r="E105" s="134"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36"/>
      <c r="N105" s="15" t="str">
        <f t="shared" si="8"/>
        <v>TC_WC_F__</v>
      </c>
      <c r="O105" s="136"/>
      <c r="P105" s="15" t="str">
        <f t="shared" si="9"/>
        <v>TC_DM_F__</v>
      </c>
      <c r="Q105" s="136"/>
      <c r="R105" s="15" t="str">
        <f t="shared" si="10"/>
        <v>TC_CC_F__</v>
      </c>
      <c r="S105" s="7"/>
      <c r="T105" s="13"/>
      <c r="U105" s="13"/>
      <c r="V105" s="13"/>
      <c r="W105" s="13"/>
      <c r="X105" s="13"/>
    </row>
    <row r="106" spans="1:24" x14ac:dyDescent="0.25">
      <c r="A106" s="138" t="b">
        <v>0</v>
      </c>
      <c r="B106" s="6">
        <f t="shared" si="11"/>
        <v>105</v>
      </c>
      <c r="C106" s="20" t="e">
        <f>_xlfn.XLOOKUP($D106,Tab_Def_Processes[Process_Name],Tab_Def_Processes[Process_ID],,0,)</f>
        <v>#N/A</v>
      </c>
      <c r="D106" s="134" t="s">
        <v>8</v>
      </c>
      <c r="E106" s="134"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36"/>
      <c r="N106" s="15" t="str">
        <f t="shared" si="8"/>
        <v>TC_WC_F__</v>
      </c>
      <c r="O106" s="136"/>
      <c r="P106" s="15" t="str">
        <f t="shared" si="9"/>
        <v>TC_DM_F__</v>
      </c>
      <c r="Q106" s="136"/>
      <c r="R106" s="15" t="str">
        <f t="shared" si="10"/>
        <v>TC_CC_F__</v>
      </c>
      <c r="S106" s="7"/>
      <c r="T106" s="13"/>
      <c r="U106" s="13"/>
      <c r="V106" s="13"/>
      <c r="W106" s="13"/>
      <c r="X106" s="13"/>
    </row>
    <row r="107" spans="1:24" x14ac:dyDescent="0.25">
      <c r="A107" s="138" t="b">
        <v>0</v>
      </c>
      <c r="B107" s="6">
        <f t="shared" si="11"/>
        <v>106</v>
      </c>
      <c r="C107" s="20" t="e">
        <f>_xlfn.XLOOKUP($D107,Tab_Def_Processes[Process_Name],Tab_Def_Processes[Process_ID],,0,)</f>
        <v>#N/A</v>
      </c>
      <c r="D107" s="134" t="s">
        <v>8</v>
      </c>
      <c r="E107" s="134"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36"/>
      <c r="N107" s="15" t="str">
        <f t="shared" si="8"/>
        <v>TC_WC_F__</v>
      </c>
      <c r="O107" s="136"/>
      <c r="P107" s="15" t="str">
        <f t="shared" si="9"/>
        <v>TC_DM_F__</v>
      </c>
      <c r="Q107" s="136"/>
      <c r="R107" s="15" t="str">
        <f t="shared" si="10"/>
        <v>TC_CC_F__</v>
      </c>
      <c r="S107" s="7"/>
      <c r="T107" s="13"/>
      <c r="U107" s="13"/>
      <c r="V107" s="13"/>
      <c r="W107" s="13"/>
      <c r="X107" s="13"/>
    </row>
    <row r="108" spans="1:24" x14ac:dyDescent="0.25">
      <c r="A108" s="138" t="b">
        <v>0</v>
      </c>
      <c r="B108" s="6">
        <f t="shared" si="11"/>
        <v>107</v>
      </c>
      <c r="C108" s="20" t="e">
        <f>_xlfn.XLOOKUP($D108,Tab_Def_Processes[Process_Name],Tab_Def_Processes[Process_ID],,0,)</f>
        <v>#N/A</v>
      </c>
      <c r="D108" s="134" t="s">
        <v>8</v>
      </c>
      <c r="E108" s="134"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36"/>
      <c r="N108" s="15" t="str">
        <f t="shared" si="8"/>
        <v>TC_WC_F__</v>
      </c>
      <c r="O108" s="136"/>
      <c r="P108" s="15" t="str">
        <f t="shared" si="9"/>
        <v>TC_DM_F__</v>
      </c>
      <c r="Q108" s="136"/>
      <c r="R108" s="15" t="str">
        <f t="shared" si="10"/>
        <v>TC_CC_F__</v>
      </c>
      <c r="S108" s="7"/>
      <c r="T108" s="13"/>
      <c r="U108" s="13"/>
      <c r="V108" s="13"/>
      <c r="W108" s="13"/>
      <c r="X108" s="13"/>
    </row>
    <row r="109" spans="1:24" x14ac:dyDescent="0.25">
      <c r="A109" s="138" t="b">
        <v>0</v>
      </c>
      <c r="B109" s="6">
        <f t="shared" si="11"/>
        <v>108</v>
      </c>
      <c r="C109" s="20" t="e">
        <f>_xlfn.XLOOKUP($D109,Tab_Def_Processes[Process_Name],Tab_Def_Processes[Process_ID],,0,)</f>
        <v>#N/A</v>
      </c>
      <c r="D109" s="134" t="s">
        <v>8</v>
      </c>
      <c r="E109" s="134"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36"/>
      <c r="N109" s="15" t="str">
        <f t="shared" si="8"/>
        <v>TC_WC_F__</v>
      </c>
      <c r="O109" s="136"/>
      <c r="P109" s="15" t="str">
        <f t="shared" si="9"/>
        <v>TC_DM_F__</v>
      </c>
      <c r="Q109" s="136"/>
      <c r="R109" s="15" t="str">
        <f t="shared" si="10"/>
        <v>TC_CC_F__</v>
      </c>
      <c r="S109" s="7"/>
      <c r="T109" s="13"/>
      <c r="U109" s="13"/>
      <c r="V109" s="13"/>
      <c r="W109" s="13"/>
      <c r="X109" s="13"/>
    </row>
    <row r="110" spans="1:24" x14ac:dyDescent="0.25">
      <c r="A110" s="138" t="b">
        <v>0</v>
      </c>
      <c r="B110" s="6">
        <f t="shared" si="11"/>
        <v>109</v>
      </c>
      <c r="C110" s="20" t="e">
        <f>_xlfn.XLOOKUP($D110,Tab_Def_Processes[Process_Name],Tab_Def_Processes[Process_ID],,0,)</f>
        <v>#N/A</v>
      </c>
      <c r="D110" s="134" t="s">
        <v>8</v>
      </c>
      <c r="E110" s="134"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36"/>
      <c r="N110" s="15" t="str">
        <f t="shared" si="8"/>
        <v>TC_WC_F__</v>
      </c>
      <c r="O110" s="136"/>
      <c r="P110" s="15" t="str">
        <f t="shared" si="9"/>
        <v>TC_DM_F__</v>
      </c>
      <c r="Q110" s="136"/>
      <c r="R110" s="15" t="str">
        <f t="shared" si="10"/>
        <v>TC_CC_F__</v>
      </c>
      <c r="S110" s="7"/>
      <c r="T110" s="13"/>
      <c r="U110" s="13"/>
      <c r="V110" s="13"/>
      <c r="W110" s="13"/>
      <c r="X110" s="13"/>
    </row>
    <row r="111" spans="1:24" x14ac:dyDescent="0.25">
      <c r="A111" s="138" t="b">
        <v>0</v>
      </c>
      <c r="B111" s="6">
        <f t="shared" si="11"/>
        <v>110</v>
      </c>
      <c r="C111" s="20" t="e">
        <f>_xlfn.XLOOKUP($D111,Tab_Def_Processes[Process_Name],Tab_Def_Processes[Process_ID],,0,)</f>
        <v>#N/A</v>
      </c>
      <c r="D111" s="134" t="s">
        <v>8</v>
      </c>
      <c r="E111" s="134"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36"/>
      <c r="N111" s="15" t="str">
        <f t="shared" si="8"/>
        <v>TC_WC_F__</v>
      </c>
      <c r="O111" s="136"/>
      <c r="P111" s="15" t="str">
        <f t="shared" si="9"/>
        <v>TC_DM_F__</v>
      </c>
      <c r="Q111" s="136"/>
      <c r="R111" s="15" t="str">
        <f t="shared" si="10"/>
        <v>TC_CC_F__</v>
      </c>
      <c r="S111" s="7"/>
      <c r="T111" s="13"/>
      <c r="U111" s="13"/>
      <c r="V111" s="13"/>
      <c r="W111" s="13"/>
      <c r="X111" s="13"/>
    </row>
    <row r="112" spans="1:24" x14ac:dyDescent="0.25">
      <c r="A112" s="138" t="b">
        <v>0</v>
      </c>
      <c r="B112" s="6">
        <f t="shared" si="11"/>
        <v>111</v>
      </c>
      <c r="C112" s="20" t="e">
        <f>_xlfn.XLOOKUP($D112,Tab_Def_Processes[Process_Name],Tab_Def_Processes[Process_ID],,0,)</f>
        <v>#N/A</v>
      </c>
      <c r="D112" s="134" t="s">
        <v>8</v>
      </c>
      <c r="E112" s="134"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36"/>
      <c r="N112" s="15" t="str">
        <f t="shared" si="8"/>
        <v>TC_WC_F__</v>
      </c>
      <c r="O112" s="136"/>
      <c r="P112" s="15" t="str">
        <f t="shared" si="9"/>
        <v>TC_DM_F__</v>
      </c>
      <c r="Q112" s="136"/>
      <c r="R112" s="15" t="str">
        <f t="shared" si="10"/>
        <v>TC_CC_F__</v>
      </c>
      <c r="S112" s="7"/>
      <c r="T112" s="13"/>
      <c r="U112" s="13"/>
      <c r="V112" s="13"/>
      <c r="W112" s="13"/>
      <c r="X112" s="13"/>
    </row>
    <row r="113" spans="1:24" x14ac:dyDescent="0.25">
      <c r="A113" s="138" t="b">
        <v>0</v>
      </c>
      <c r="B113" s="6">
        <f t="shared" si="11"/>
        <v>112</v>
      </c>
      <c r="C113" s="20" t="e">
        <f>_xlfn.XLOOKUP($D113,Tab_Def_Processes[Process_Name],Tab_Def_Processes[Process_ID],,0,)</f>
        <v>#N/A</v>
      </c>
      <c r="D113" s="134" t="s">
        <v>8</v>
      </c>
      <c r="E113" s="134"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36"/>
      <c r="N113" s="15" t="str">
        <f t="shared" si="8"/>
        <v>TC_WC_F__</v>
      </c>
      <c r="O113" s="136"/>
      <c r="P113" s="15" t="str">
        <f t="shared" si="9"/>
        <v>TC_DM_F__</v>
      </c>
      <c r="Q113" s="136"/>
      <c r="R113" s="15" t="str">
        <f t="shared" si="10"/>
        <v>TC_CC_F__</v>
      </c>
      <c r="S113" s="7"/>
      <c r="T113" s="13"/>
      <c r="U113" s="13"/>
      <c r="V113" s="13"/>
      <c r="W113" s="13"/>
      <c r="X113" s="13"/>
    </row>
    <row r="114" spans="1:24" x14ac:dyDescent="0.25">
      <c r="A114" s="138" t="b">
        <v>0</v>
      </c>
      <c r="B114" s="6">
        <f t="shared" si="11"/>
        <v>113</v>
      </c>
      <c r="C114" s="20" t="e">
        <f>_xlfn.XLOOKUP($D114,Tab_Def_Processes[Process_Name],Tab_Def_Processes[Process_ID],,0,)</f>
        <v>#N/A</v>
      </c>
      <c r="D114" s="134" t="s">
        <v>8</v>
      </c>
      <c r="E114" s="134"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36"/>
      <c r="N114" s="15" t="str">
        <f t="shared" si="8"/>
        <v>TC_WC_F__</v>
      </c>
      <c r="O114" s="136"/>
      <c r="P114" s="15" t="str">
        <f t="shared" si="9"/>
        <v>TC_DM_F__</v>
      </c>
      <c r="Q114" s="136"/>
      <c r="R114" s="15" t="str">
        <f t="shared" si="10"/>
        <v>TC_CC_F__</v>
      </c>
      <c r="S114" s="7"/>
      <c r="T114" s="13"/>
      <c r="U114" s="13"/>
      <c r="V114" s="13"/>
      <c r="W114" s="13"/>
      <c r="X114" s="13"/>
    </row>
    <row r="115" spans="1:24" x14ac:dyDescent="0.25">
      <c r="A115" s="138" t="b">
        <v>0</v>
      </c>
      <c r="B115" s="6">
        <f t="shared" si="11"/>
        <v>114</v>
      </c>
      <c r="C115" s="20" t="e">
        <f>_xlfn.XLOOKUP($D115,Tab_Def_Processes[Process_Name],Tab_Def_Processes[Process_ID],,0,)</f>
        <v>#N/A</v>
      </c>
      <c r="D115" s="134" t="s">
        <v>8</v>
      </c>
      <c r="E115" s="134"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36"/>
      <c r="N115" s="15" t="str">
        <f t="shared" si="8"/>
        <v>TC_WC_F__</v>
      </c>
      <c r="O115" s="136"/>
      <c r="P115" s="15" t="str">
        <f t="shared" si="9"/>
        <v>TC_DM_F__</v>
      </c>
      <c r="Q115" s="136"/>
      <c r="R115" s="15" t="str">
        <f t="shared" si="10"/>
        <v>TC_CC_F__</v>
      </c>
      <c r="S115" s="7"/>
      <c r="T115" s="13"/>
      <c r="U115" s="13"/>
      <c r="V115" s="13"/>
      <c r="W115" s="13"/>
      <c r="X115" s="13"/>
    </row>
    <row r="116" spans="1:24" x14ac:dyDescent="0.25">
      <c r="A116" s="138" t="b">
        <v>0</v>
      </c>
      <c r="B116" s="6">
        <f t="shared" si="11"/>
        <v>115</v>
      </c>
      <c r="C116" s="20" t="e">
        <f>_xlfn.XLOOKUP($D116,Tab_Def_Processes[Process_Name],Tab_Def_Processes[Process_ID],,0,)</f>
        <v>#N/A</v>
      </c>
      <c r="D116" s="134" t="s">
        <v>8</v>
      </c>
      <c r="E116" s="134"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36"/>
      <c r="N116" s="15" t="str">
        <f t="shared" si="8"/>
        <v>TC_WC_F__</v>
      </c>
      <c r="O116" s="136"/>
      <c r="P116" s="15" t="str">
        <f t="shared" si="9"/>
        <v>TC_DM_F__</v>
      </c>
      <c r="Q116" s="136"/>
      <c r="R116" s="15" t="str">
        <f t="shared" si="10"/>
        <v>TC_CC_F__</v>
      </c>
      <c r="S116" s="7"/>
      <c r="T116" s="13"/>
      <c r="U116" s="13"/>
      <c r="V116" s="13"/>
      <c r="W116" s="13"/>
      <c r="X116" s="13"/>
    </row>
    <row r="117" spans="1:24" x14ac:dyDescent="0.25">
      <c r="A117" s="138" t="b">
        <v>0</v>
      </c>
      <c r="B117" s="6">
        <f t="shared" si="11"/>
        <v>116</v>
      </c>
      <c r="C117" s="20" t="e">
        <f>_xlfn.XLOOKUP($D117,Tab_Def_Processes[Process_Name],Tab_Def_Processes[Process_ID],,0,)</f>
        <v>#N/A</v>
      </c>
      <c r="D117" s="134" t="s">
        <v>8</v>
      </c>
      <c r="E117" s="134"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36"/>
      <c r="N117" s="15" t="str">
        <f t="shared" si="8"/>
        <v>TC_WC_F__</v>
      </c>
      <c r="O117" s="136"/>
      <c r="P117" s="15" t="str">
        <f t="shared" si="9"/>
        <v>TC_DM_F__</v>
      </c>
      <c r="Q117" s="136"/>
      <c r="R117" s="15" t="str">
        <f t="shared" si="10"/>
        <v>TC_CC_F__</v>
      </c>
      <c r="S117" s="7"/>
      <c r="T117" s="13"/>
      <c r="U117" s="13"/>
      <c r="V117" s="13"/>
      <c r="W117" s="13"/>
      <c r="X117" s="13"/>
    </row>
    <row r="118" spans="1:24" x14ac:dyDescent="0.25">
      <c r="A118" s="138" t="b">
        <v>0</v>
      </c>
      <c r="B118" s="6">
        <f t="shared" si="11"/>
        <v>117</v>
      </c>
      <c r="C118" s="20" t="e">
        <f>_xlfn.XLOOKUP($D118,Tab_Def_Processes[Process_Name],Tab_Def_Processes[Process_ID],,0,)</f>
        <v>#N/A</v>
      </c>
      <c r="D118" s="134" t="s">
        <v>8</v>
      </c>
      <c r="E118" s="134"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36"/>
      <c r="N118" s="15" t="str">
        <f t="shared" si="8"/>
        <v>TC_WC_F__</v>
      </c>
      <c r="O118" s="136"/>
      <c r="P118" s="15" t="str">
        <f t="shared" si="9"/>
        <v>TC_DM_F__</v>
      </c>
      <c r="Q118" s="136"/>
      <c r="R118" s="15" t="str">
        <f t="shared" si="10"/>
        <v>TC_CC_F__</v>
      </c>
      <c r="S118" s="7"/>
      <c r="T118" s="13"/>
      <c r="U118" s="13"/>
      <c r="V118" s="13"/>
      <c r="W118" s="13"/>
      <c r="X118" s="13"/>
    </row>
    <row r="119" spans="1:24" x14ac:dyDescent="0.25">
      <c r="A119" s="138" t="b">
        <v>0</v>
      </c>
      <c r="B119" s="6">
        <f t="shared" si="11"/>
        <v>118</v>
      </c>
      <c r="C119" s="20" t="e">
        <f>_xlfn.XLOOKUP($D119,Tab_Def_Processes[Process_Name],Tab_Def_Processes[Process_ID],,0,)</f>
        <v>#N/A</v>
      </c>
      <c r="D119" s="134" t="s">
        <v>8</v>
      </c>
      <c r="E119" s="134"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36"/>
      <c r="N119" s="15" t="str">
        <f t="shared" si="8"/>
        <v>TC_WC_F__</v>
      </c>
      <c r="O119" s="136"/>
      <c r="P119" s="15" t="str">
        <f t="shared" si="9"/>
        <v>TC_DM_F__</v>
      </c>
      <c r="Q119" s="136"/>
      <c r="R119" s="15" t="str">
        <f t="shared" si="10"/>
        <v>TC_CC_F__</v>
      </c>
      <c r="S119" s="7"/>
      <c r="T119" s="13"/>
      <c r="U119" s="13"/>
      <c r="V119" s="13"/>
      <c r="W119" s="13"/>
      <c r="X119" s="13"/>
    </row>
    <row r="120" spans="1:24" x14ac:dyDescent="0.25">
      <c r="A120" s="138" t="b">
        <v>0</v>
      </c>
      <c r="B120" s="6">
        <f t="shared" si="11"/>
        <v>119</v>
      </c>
      <c r="C120" s="20" t="e">
        <f>_xlfn.XLOOKUP($D120,Tab_Def_Processes[Process_Name],Tab_Def_Processes[Process_ID],,0,)</f>
        <v>#N/A</v>
      </c>
      <c r="D120" s="134" t="s">
        <v>8</v>
      </c>
      <c r="E120" s="134"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36"/>
      <c r="N120" s="15" t="str">
        <f t="shared" si="8"/>
        <v>TC_WC_F__</v>
      </c>
      <c r="O120" s="136"/>
      <c r="P120" s="15" t="str">
        <f t="shared" si="9"/>
        <v>TC_DM_F__</v>
      </c>
      <c r="Q120" s="136"/>
      <c r="R120" s="15" t="str">
        <f t="shared" si="10"/>
        <v>TC_CC_F__</v>
      </c>
      <c r="S120" s="7"/>
      <c r="T120" s="13"/>
      <c r="U120" s="13"/>
      <c r="V120" s="13"/>
      <c r="W120" s="13"/>
      <c r="X120" s="13"/>
    </row>
    <row r="121" spans="1:24" x14ac:dyDescent="0.25">
      <c r="A121" s="138" t="b">
        <v>0</v>
      </c>
      <c r="B121" s="6">
        <f t="shared" si="11"/>
        <v>120</v>
      </c>
      <c r="C121" s="20" t="e">
        <f>_xlfn.XLOOKUP($D121,Tab_Def_Processes[Process_Name],Tab_Def_Processes[Process_ID],,0,)</f>
        <v>#N/A</v>
      </c>
      <c r="D121" s="134" t="s">
        <v>8</v>
      </c>
      <c r="E121" s="134"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36"/>
      <c r="N121" s="15" t="str">
        <f t="shared" si="8"/>
        <v>TC_WC_F__</v>
      </c>
      <c r="O121" s="136"/>
      <c r="P121" s="15" t="str">
        <f t="shared" si="9"/>
        <v>TC_DM_F__</v>
      </c>
      <c r="Q121" s="136"/>
      <c r="R121" s="15" t="str">
        <f t="shared" si="10"/>
        <v>TC_CC_F__</v>
      </c>
      <c r="S121" s="7"/>
      <c r="T121" s="13"/>
      <c r="U121" s="13"/>
      <c r="V121" s="13"/>
      <c r="W121" s="13"/>
      <c r="X121" s="13"/>
    </row>
    <row r="122" spans="1:24" x14ac:dyDescent="0.25">
      <c r="A122" s="138" t="b">
        <v>0</v>
      </c>
      <c r="B122" s="6">
        <f t="shared" si="11"/>
        <v>121</v>
      </c>
      <c r="C122" s="20" t="e">
        <f>_xlfn.XLOOKUP($D122,Tab_Def_Processes[Process_Name],Tab_Def_Processes[Process_ID],,0,)</f>
        <v>#N/A</v>
      </c>
      <c r="D122" s="134" t="s">
        <v>8</v>
      </c>
      <c r="E122" s="134"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36"/>
      <c r="N122" s="15" t="str">
        <f t="shared" si="8"/>
        <v>TC_WC_F__</v>
      </c>
      <c r="O122" s="136"/>
      <c r="P122" s="15" t="str">
        <f t="shared" si="9"/>
        <v>TC_DM_F__</v>
      </c>
      <c r="Q122" s="136"/>
      <c r="R122" s="15" t="str">
        <f t="shared" si="10"/>
        <v>TC_CC_F__</v>
      </c>
      <c r="S122" s="7"/>
      <c r="T122" s="13"/>
      <c r="U122" s="13"/>
      <c r="V122" s="13"/>
      <c r="W122" s="13"/>
      <c r="X122" s="13"/>
    </row>
    <row r="123" spans="1:24" x14ac:dyDescent="0.25">
      <c r="A123" s="138" t="b">
        <v>0</v>
      </c>
      <c r="B123" s="6">
        <f t="shared" si="11"/>
        <v>122</v>
      </c>
      <c r="C123" s="20" t="e">
        <f>_xlfn.XLOOKUP($D123,Tab_Def_Processes[Process_Name],Tab_Def_Processes[Process_ID],,0,)</f>
        <v>#N/A</v>
      </c>
      <c r="D123" s="134" t="s">
        <v>8</v>
      </c>
      <c r="E123" s="134"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36"/>
      <c r="N123" s="15" t="str">
        <f t="shared" si="8"/>
        <v>TC_WC_F__</v>
      </c>
      <c r="O123" s="136"/>
      <c r="P123" s="15" t="str">
        <f t="shared" si="9"/>
        <v>TC_DM_F__</v>
      </c>
      <c r="Q123" s="136"/>
      <c r="R123" s="15" t="str">
        <f t="shared" si="10"/>
        <v>TC_CC_F__</v>
      </c>
      <c r="S123" s="7"/>
      <c r="T123" s="13"/>
      <c r="U123" s="13"/>
      <c r="V123" s="13"/>
      <c r="W123" s="13"/>
      <c r="X123" s="13"/>
    </row>
    <row r="124" spans="1:24" x14ac:dyDescent="0.25">
      <c r="A124" s="138" t="b">
        <v>0</v>
      </c>
      <c r="B124" s="6">
        <f t="shared" si="11"/>
        <v>123</v>
      </c>
      <c r="C124" s="20" t="e">
        <f>_xlfn.XLOOKUP($D124,Tab_Def_Processes[Process_Name],Tab_Def_Processes[Process_ID],,0,)</f>
        <v>#N/A</v>
      </c>
      <c r="D124" s="134" t="s">
        <v>8</v>
      </c>
      <c r="E124" s="134"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36"/>
      <c r="N124" s="15" t="str">
        <f t="shared" si="8"/>
        <v>TC_WC_F__</v>
      </c>
      <c r="O124" s="136"/>
      <c r="P124" s="15" t="str">
        <f t="shared" si="9"/>
        <v>TC_DM_F__</v>
      </c>
      <c r="Q124" s="136"/>
      <c r="R124" s="15" t="str">
        <f t="shared" si="10"/>
        <v>TC_CC_F__</v>
      </c>
      <c r="S124" s="7"/>
      <c r="T124" s="13"/>
      <c r="U124" s="13"/>
      <c r="V124" s="13"/>
      <c r="W124" s="13"/>
      <c r="X124" s="13"/>
    </row>
    <row r="125" spans="1:24" x14ac:dyDescent="0.25">
      <c r="A125" s="138" t="b">
        <v>0</v>
      </c>
      <c r="B125" s="6">
        <f t="shared" si="11"/>
        <v>124</v>
      </c>
      <c r="C125" s="20" t="e">
        <f>_xlfn.XLOOKUP($D125,Tab_Def_Processes[Process_Name],Tab_Def_Processes[Process_ID],,0,)</f>
        <v>#N/A</v>
      </c>
      <c r="D125" s="134" t="s">
        <v>8</v>
      </c>
      <c r="E125" s="134"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36"/>
      <c r="N125" s="15" t="str">
        <f t="shared" si="8"/>
        <v>TC_WC_F__</v>
      </c>
      <c r="O125" s="136"/>
      <c r="P125" s="15" t="str">
        <f t="shared" si="9"/>
        <v>TC_DM_F__</v>
      </c>
      <c r="Q125" s="136"/>
      <c r="R125" s="15" t="str">
        <f t="shared" si="10"/>
        <v>TC_CC_F__</v>
      </c>
      <c r="S125" s="7"/>
      <c r="T125" s="13"/>
      <c r="U125" s="13"/>
      <c r="V125" s="13"/>
      <c r="W125" s="13"/>
      <c r="X125" s="13"/>
    </row>
    <row r="126" spans="1:24" x14ac:dyDescent="0.25">
      <c r="A126" s="138" t="b">
        <v>0</v>
      </c>
      <c r="B126" s="6">
        <f t="shared" si="11"/>
        <v>125</v>
      </c>
      <c r="C126" s="20" t="e">
        <f>_xlfn.XLOOKUP($D126,Tab_Def_Processes[Process_Name],Tab_Def_Processes[Process_ID],,0,)</f>
        <v>#N/A</v>
      </c>
      <c r="D126" s="134" t="s">
        <v>8</v>
      </c>
      <c r="E126" s="134"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36"/>
      <c r="N126" s="15" t="str">
        <f t="shared" si="8"/>
        <v>TC_WC_F__</v>
      </c>
      <c r="O126" s="136"/>
      <c r="P126" s="15" t="str">
        <f t="shared" si="9"/>
        <v>TC_DM_F__</v>
      </c>
      <c r="Q126" s="136"/>
      <c r="R126" s="15" t="str">
        <f t="shared" si="10"/>
        <v>TC_CC_F__</v>
      </c>
      <c r="S126" s="7"/>
      <c r="T126" s="13"/>
      <c r="U126" s="13"/>
      <c r="V126" s="13"/>
      <c r="W126" s="13"/>
      <c r="X126" s="13"/>
    </row>
    <row r="127" spans="1:24" x14ac:dyDescent="0.25">
      <c r="A127" s="138" t="b">
        <v>0</v>
      </c>
      <c r="B127" s="6">
        <f t="shared" si="11"/>
        <v>126</v>
      </c>
      <c r="C127" s="20" t="e">
        <f>_xlfn.XLOOKUP($D127,Tab_Def_Processes[Process_Name],Tab_Def_Processes[Process_ID],,0,)</f>
        <v>#N/A</v>
      </c>
      <c r="D127" s="134" t="s">
        <v>8</v>
      </c>
      <c r="E127" s="134"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36"/>
      <c r="N127" s="15" t="str">
        <f t="shared" si="8"/>
        <v>TC_WC_F__</v>
      </c>
      <c r="O127" s="136"/>
      <c r="P127" s="15" t="str">
        <f t="shared" si="9"/>
        <v>TC_DM_F__</v>
      </c>
      <c r="Q127" s="136"/>
      <c r="R127" s="15" t="str">
        <f t="shared" si="10"/>
        <v>TC_CC_F__</v>
      </c>
      <c r="S127" s="7"/>
      <c r="T127" s="13"/>
      <c r="U127" s="13"/>
      <c r="V127" s="13"/>
      <c r="W127" s="13"/>
      <c r="X127" s="13"/>
    </row>
    <row r="128" spans="1:24" x14ac:dyDescent="0.25">
      <c r="A128" s="138" t="b">
        <v>0</v>
      </c>
      <c r="B128" s="6">
        <f t="shared" si="11"/>
        <v>127</v>
      </c>
      <c r="C128" s="20" t="e">
        <f>_xlfn.XLOOKUP($D128,Tab_Def_Processes[Process_Name],Tab_Def_Processes[Process_ID],,0,)</f>
        <v>#N/A</v>
      </c>
      <c r="D128" s="134" t="s">
        <v>8</v>
      </c>
      <c r="E128" s="134"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36"/>
      <c r="N128" s="15" t="str">
        <f t="shared" si="8"/>
        <v>TC_WC_F__</v>
      </c>
      <c r="O128" s="136"/>
      <c r="P128" s="15" t="str">
        <f t="shared" si="9"/>
        <v>TC_DM_F__</v>
      </c>
      <c r="Q128" s="136"/>
      <c r="R128" s="15" t="str">
        <f t="shared" si="10"/>
        <v>TC_CC_F__</v>
      </c>
      <c r="S128" s="7"/>
      <c r="T128" s="13"/>
      <c r="U128" s="13"/>
      <c r="V128" s="13"/>
      <c r="W128" s="13"/>
      <c r="X128" s="13"/>
    </row>
    <row r="129" spans="1:24" x14ac:dyDescent="0.25">
      <c r="A129" s="138" t="b">
        <v>0</v>
      </c>
      <c r="B129" s="6">
        <f t="shared" si="11"/>
        <v>128</v>
      </c>
      <c r="C129" s="20" t="e">
        <f>_xlfn.XLOOKUP($D129,Tab_Def_Processes[Process_Name],Tab_Def_Processes[Process_ID],,0,)</f>
        <v>#N/A</v>
      </c>
      <c r="D129" s="134" t="s">
        <v>8</v>
      </c>
      <c r="E129" s="134"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36"/>
      <c r="N129" s="15" t="str">
        <f t="shared" si="8"/>
        <v>TC_WC_F__</v>
      </c>
      <c r="O129" s="136"/>
      <c r="P129" s="15" t="str">
        <f t="shared" si="9"/>
        <v>TC_DM_F__</v>
      </c>
      <c r="Q129" s="136"/>
      <c r="R129" s="15" t="str">
        <f t="shared" si="10"/>
        <v>TC_CC_F__</v>
      </c>
      <c r="S129" s="7"/>
      <c r="T129" s="13"/>
      <c r="U129" s="13"/>
      <c r="V129" s="13"/>
      <c r="W129" s="13"/>
      <c r="X129" s="13"/>
    </row>
    <row r="130" spans="1:24" x14ac:dyDescent="0.25">
      <c r="A130" s="138" t="b">
        <v>0</v>
      </c>
      <c r="B130" s="6">
        <f t="shared" ref="B130:B151" si="12">ROW()-1</f>
        <v>129</v>
      </c>
      <c r="C130" s="20" t="e">
        <f>_xlfn.XLOOKUP($D130,Tab_Def_Processes[Process_Name],Tab_Def_Processes[Process_ID],,0,)</f>
        <v>#N/A</v>
      </c>
      <c r="D130" s="134" t="s">
        <v>8</v>
      </c>
      <c r="E130" s="134"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36"/>
      <c r="N130" s="15" t="str">
        <f t="shared" si="8"/>
        <v>TC_WC_F__</v>
      </c>
      <c r="O130" s="136"/>
      <c r="P130" s="15" t="str">
        <f t="shared" si="9"/>
        <v>TC_DM_F__</v>
      </c>
      <c r="Q130" s="136"/>
      <c r="R130" s="15" t="str">
        <f t="shared" si="10"/>
        <v>TC_CC_F__</v>
      </c>
      <c r="S130" s="7"/>
      <c r="T130" s="13"/>
      <c r="U130" s="13"/>
      <c r="V130" s="13"/>
      <c r="W130" s="13"/>
      <c r="X130" s="13"/>
    </row>
    <row r="131" spans="1:24" x14ac:dyDescent="0.25">
      <c r="A131" s="138" t="b">
        <v>0</v>
      </c>
      <c r="B131" s="6">
        <f t="shared" si="12"/>
        <v>130</v>
      </c>
      <c r="C131" s="20" t="e">
        <f>_xlfn.XLOOKUP($D131,Tab_Def_Processes[Process_Name],Tab_Def_Processes[Process_ID],,0,)</f>
        <v>#N/A</v>
      </c>
      <c r="D131" s="134" t="s">
        <v>8</v>
      </c>
      <c r="E131" s="134"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36"/>
      <c r="N131" s="15" t="str">
        <f t="shared" si="8"/>
        <v>TC_WC_F__</v>
      </c>
      <c r="O131" s="136"/>
      <c r="P131" s="15" t="str">
        <f t="shared" si="9"/>
        <v>TC_DM_F__</v>
      </c>
      <c r="Q131" s="136"/>
      <c r="R131" s="15" t="str">
        <f t="shared" si="10"/>
        <v>TC_CC_F__</v>
      </c>
      <c r="S131" s="7"/>
      <c r="T131" s="13"/>
      <c r="U131" s="13"/>
      <c r="V131" s="13"/>
      <c r="W131" s="13"/>
      <c r="X131" s="13"/>
    </row>
    <row r="132" spans="1:24" x14ac:dyDescent="0.25">
      <c r="A132" s="138" t="b">
        <v>0</v>
      </c>
      <c r="B132" s="6">
        <f t="shared" si="12"/>
        <v>131</v>
      </c>
      <c r="C132" s="20" t="e">
        <f>_xlfn.XLOOKUP($D132,Tab_Def_Processes[Process_Name],Tab_Def_Processes[Process_ID],,0,)</f>
        <v>#N/A</v>
      </c>
      <c r="D132" s="134" t="s">
        <v>8</v>
      </c>
      <c r="E132" s="134"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36"/>
      <c r="N132" s="15" t="str">
        <f t="shared" si="8"/>
        <v>TC_WC_F__</v>
      </c>
      <c r="O132" s="136"/>
      <c r="P132" s="15" t="str">
        <f t="shared" si="9"/>
        <v>TC_DM_F__</v>
      </c>
      <c r="Q132" s="136"/>
      <c r="R132" s="15" t="str">
        <f t="shared" si="10"/>
        <v>TC_CC_F__</v>
      </c>
      <c r="S132" s="7"/>
      <c r="T132" s="13"/>
      <c r="U132" s="13"/>
      <c r="V132" s="13"/>
      <c r="W132" s="13"/>
      <c r="X132" s="13"/>
    </row>
    <row r="133" spans="1:24" x14ac:dyDescent="0.25">
      <c r="A133" s="138" t="b">
        <v>0</v>
      </c>
      <c r="B133" s="6">
        <f t="shared" si="12"/>
        <v>132</v>
      </c>
      <c r="C133" s="20" t="e">
        <f>_xlfn.XLOOKUP($D133,Tab_Def_Processes[Process_Name],Tab_Def_Processes[Process_ID],,0,)</f>
        <v>#N/A</v>
      </c>
      <c r="D133" s="134" t="s">
        <v>8</v>
      </c>
      <c r="E133" s="134"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36"/>
      <c r="N133" s="15" t="str">
        <f t="shared" ref="N133:N151" si="14">"TC_WC"&amp;"_"&amp;RIGHT(J133,5)</f>
        <v>TC_WC_F__</v>
      </c>
      <c r="O133" s="136"/>
      <c r="P133" s="15" t="str">
        <f t="shared" ref="P133:P151" si="15">"TC_DM"&amp;"_"&amp;RIGHT(J133,5)</f>
        <v>TC_DM_F__</v>
      </c>
      <c r="Q133" s="136"/>
      <c r="R133" s="15" t="str">
        <f t="shared" ref="R133:R151" si="16">"TC_CC"&amp;"_"&amp;RIGHT(J133,5)</f>
        <v>TC_CC_F__</v>
      </c>
      <c r="S133" s="7"/>
      <c r="T133" s="13"/>
      <c r="U133" s="13"/>
      <c r="V133" s="13"/>
      <c r="W133" s="13"/>
      <c r="X133" s="13"/>
    </row>
    <row r="134" spans="1:24" x14ac:dyDescent="0.25">
      <c r="A134" s="138" t="b">
        <v>0</v>
      </c>
      <c r="B134" s="6">
        <f t="shared" si="12"/>
        <v>133</v>
      </c>
      <c r="C134" s="20" t="e">
        <f>_xlfn.XLOOKUP($D134,Tab_Def_Processes[Process_Name],Tab_Def_Processes[Process_ID],,0,)</f>
        <v>#N/A</v>
      </c>
      <c r="D134" s="134" t="s">
        <v>8</v>
      </c>
      <c r="E134" s="134"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36"/>
      <c r="N134" s="15" t="str">
        <f t="shared" si="14"/>
        <v>TC_WC_F__</v>
      </c>
      <c r="O134" s="136"/>
      <c r="P134" s="15" t="str">
        <f t="shared" si="15"/>
        <v>TC_DM_F__</v>
      </c>
      <c r="Q134" s="136"/>
      <c r="R134" s="15" t="str">
        <f t="shared" si="16"/>
        <v>TC_CC_F__</v>
      </c>
      <c r="S134" s="7"/>
      <c r="T134" s="13"/>
      <c r="U134" s="13"/>
      <c r="V134" s="13"/>
      <c r="W134" s="13"/>
      <c r="X134" s="13"/>
    </row>
    <row r="135" spans="1:24" x14ac:dyDescent="0.25">
      <c r="A135" s="138" t="b">
        <v>0</v>
      </c>
      <c r="B135" s="6">
        <f t="shared" si="12"/>
        <v>134</v>
      </c>
      <c r="C135" s="20" t="e">
        <f>_xlfn.XLOOKUP($D135,Tab_Def_Processes[Process_Name],Tab_Def_Processes[Process_ID],,0,)</f>
        <v>#N/A</v>
      </c>
      <c r="D135" s="134" t="s">
        <v>8</v>
      </c>
      <c r="E135" s="134"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36"/>
      <c r="N135" s="15" t="str">
        <f t="shared" si="14"/>
        <v>TC_WC_F__</v>
      </c>
      <c r="O135" s="136"/>
      <c r="P135" s="15" t="str">
        <f t="shared" si="15"/>
        <v>TC_DM_F__</v>
      </c>
      <c r="Q135" s="136"/>
      <c r="R135" s="15" t="str">
        <f t="shared" si="16"/>
        <v>TC_CC_F__</v>
      </c>
      <c r="S135" s="7"/>
      <c r="T135" s="13"/>
      <c r="U135" s="13"/>
      <c r="V135" s="13"/>
      <c r="W135" s="13"/>
      <c r="X135" s="13"/>
    </row>
    <row r="136" spans="1:24" x14ac:dyDescent="0.25">
      <c r="A136" s="138" t="b">
        <v>0</v>
      </c>
      <c r="B136" s="6">
        <f t="shared" si="12"/>
        <v>135</v>
      </c>
      <c r="C136" s="20" t="e">
        <f>_xlfn.XLOOKUP($D136,Tab_Def_Processes[Process_Name],Tab_Def_Processes[Process_ID],,0,)</f>
        <v>#N/A</v>
      </c>
      <c r="D136" s="134" t="s">
        <v>8</v>
      </c>
      <c r="E136" s="134"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36"/>
      <c r="N136" s="15" t="str">
        <f t="shared" si="14"/>
        <v>TC_WC_F__</v>
      </c>
      <c r="O136" s="136"/>
      <c r="P136" s="15" t="str">
        <f t="shared" si="15"/>
        <v>TC_DM_F__</v>
      </c>
      <c r="Q136" s="136"/>
      <c r="R136" s="15" t="str">
        <f t="shared" si="16"/>
        <v>TC_CC_F__</v>
      </c>
      <c r="S136" s="7"/>
      <c r="T136" s="13"/>
      <c r="U136" s="13"/>
      <c r="V136" s="13"/>
      <c r="W136" s="13"/>
      <c r="X136" s="13"/>
    </row>
    <row r="137" spans="1:24" x14ac:dyDescent="0.25">
      <c r="A137" s="138" t="b">
        <v>0</v>
      </c>
      <c r="B137" s="6">
        <f t="shared" si="12"/>
        <v>136</v>
      </c>
      <c r="C137" s="20" t="e">
        <f>_xlfn.XLOOKUP($D137,Tab_Def_Processes[Process_Name],Tab_Def_Processes[Process_ID],,0,)</f>
        <v>#N/A</v>
      </c>
      <c r="D137" s="134" t="s">
        <v>8</v>
      </c>
      <c r="E137" s="134"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36"/>
      <c r="N137" s="15" t="str">
        <f t="shared" si="14"/>
        <v>TC_WC_F__</v>
      </c>
      <c r="O137" s="136"/>
      <c r="P137" s="15" t="str">
        <f t="shared" si="15"/>
        <v>TC_DM_F__</v>
      </c>
      <c r="Q137" s="136"/>
      <c r="R137" s="15" t="str">
        <f t="shared" si="16"/>
        <v>TC_CC_F__</v>
      </c>
      <c r="S137" s="7"/>
      <c r="T137" s="13"/>
      <c r="U137" s="13"/>
      <c r="V137" s="13"/>
      <c r="W137" s="13"/>
      <c r="X137" s="13"/>
    </row>
    <row r="138" spans="1:24" x14ac:dyDescent="0.25">
      <c r="A138" s="138" t="b">
        <v>0</v>
      </c>
      <c r="B138" s="6">
        <f t="shared" si="12"/>
        <v>137</v>
      </c>
      <c r="C138" s="20" t="e">
        <f>_xlfn.XLOOKUP($D138,Tab_Def_Processes[Process_Name],Tab_Def_Processes[Process_ID],,0,)</f>
        <v>#N/A</v>
      </c>
      <c r="D138" s="134" t="s">
        <v>8</v>
      </c>
      <c r="E138" s="134"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36"/>
      <c r="N138" s="15" t="str">
        <f t="shared" si="14"/>
        <v>TC_WC_F__</v>
      </c>
      <c r="O138" s="136"/>
      <c r="P138" s="15" t="str">
        <f t="shared" si="15"/>
        <v>TC_DM_F__</v>
      </c>
      <c r="Q138" s="136"/>
      <c r="R138" s="15" t="str">
        <f t="shared" si="16"/>
        <v>TC_CC_F__</v>
      </c>
      <c r="S138" s="7"/>
      <c r="T138" s="13"/>
      <c r="U138" s="13"/>
      <c r="V138" s="13"/>
      <c r="W138" s="13"/>
      <c r="X138" s="13"/>
    </row>
    <row r="139" spans="1:24" x14ac:dyDescent="0.25">
      <c r="A139" s="138" t="b">
        <v>0</v>
      </c>
      <c r="B139" s="6">
        <f t="shared" si="12"/>
        <v>138</v>
      </c>
      <c r="C139" s="20" t="e">
        <f>_xlfn.XLOOKUP($D139,Tab_Def_Processes[Process_Name],Tab_Def_Processes[Process_ID],,0,)</f>
        <v>#N/A</v>
      </c>
      <c r="D139" s="134" t="s">
        <v>8</v>
      </c>
      <c r="E139" s="134"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36"/>
      <c r="N139" s="15" t="str">
        <f t="shared" si="14"/>
        <v>TC_WC_F__</v>
      </c>
      <c r="O139" s="136"/>
      <c r="P139" s="15" t="str">
        <f t="shared" si="15"/>
        <v>TC_DM_F__</v>
      </c>
      <c r="Q139" s="136"/>
      <c r="R139" s="15" t="str">
        <f t="shared" si="16"/>
        <v>TC_CC_F__</v>
      </c>
      <c r="S139" s="7"/>
      <c r="T139" s="13"/>
      <c r="U139" s="13"/>
      <c r="V139" s="13"/>
      <c r="W139" s="13"/>
      <c r="X139" s="13"/>
    </row>
    <row r="140" spans="1:24" x14ac:dyDescent="0.25">
      <c r="A140" s="138" t="b">
        <v>0</v>
      </c>
      <c r="B140" s="6">
        <f t="shared" si="12"/>
        <v>139</v>
      </c>
      <c r="C140" s="20" t="e">
        <f>_xlfn.XLOOKUP($D140,Tab_Def_Processes[Process_Name],Tab_Def_Processes[Process_ID],,0,)</f>
        <v>#N/A</v>
      </c>
      <c r="D140" s="134" t="s">
        <v>8</v>
      </c>
      <c r="E140" s="134"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36"/>
      <c r="N140" s="15" t="str">
        <f t="shared" si="14"/>
        <v>TC_WC_F__</v>
      </c>
      <c r="O140" s="136"/>
      <c r="P140" s="15" t="str">
        <f t="shared" si="15"/>
        <v>TC_DM_F__</v>
      </c>
      <c r="Q140" s="136"/>
      <c r="R140" s="15" t="str">
        <f t="shared" si="16"/>
        <v>TC_CC_F__</v>
      </c>
      <c r="S140" s="7"/>
      <c r="T140" s="13"/>
      <c r="U140" s="13"/>
      <c r="V140" s="13"/>
      <c r="W140" s="13"/>
      <c r="X140" s="13"/>
    </row>
    <row r="141" spans="1:24" x14ac:dyDescent="0.25">
      <c r="A141" s="138" t="b">
        <v>0</v>
      </c>
      <c r="B141" s="6">
        <f t="shared" si="12"/>
        <v>140</v>
      </c>
      <c r="C141" s="20" t="e">
        <f>_xlfn.XLOOKUP($D141,Tab_Def_Processes[Process_Name],Tab_Def_Processes[Process_ID],,0,)</f>
        <v>#N/A</v>
      </c>
      <c r="D141" s="134" t="s">
        <v>8</v>
      </c>
      <c r="E141" s="134"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36"/>
      <c r="N141" s="15" t="str">
        <f t="shared" si="14"/>
        <v>TC_WC_F__</v>
      </c>
      <c r="O141" s="136"/>
      <c r="P141" s="15" t="str">
        <f t="shared" si="15"/>
        <v>TC_DM_F__</v>
      </c>
      <c r="Q141" s="136"/>
      <c r="R141" s="15" t="str">
        <f t="shared" si="16"/>
        <v>TC_CC_F__</v>
      </c>
      <c r="S141" s="7"/>
      <c r="T141" s="13"/>
      <c r="U141" s="13"/>
      <c r="V141" s="13"/>
      <c r="W141" s="13"/>
      <c r="X141" s="13"/>
    </row>
    <row r="142" spans="1:24" x14ac:dyDescent="0.25">
      <c r="A142" s="138" t="b">
        <v>0</v>
      </c>
      <c r="B142" s="6">
        <f t="shared" si="12"/>
        <v>141</v>
      </c>
      <c r="C142" s="20" t="e">
        <f>_xlfn.XLOOKUP($D142,Tab_Def_Processes[Process_Name],Tab_Def_Processes[Process_ID],,0,)</f>
        <v>#N/A</v>
      </c>
      <c r="D142" s="134" t="s">
        <v>8</v>
      </c>
      <c r="E142" s="134"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36"/>
      <c r="N142" s="15" t="str">
        <f t="shared" si="14"/>
        <v>TC_WC_F__</v>
      </c>
      <c r="O142" s="136"/>
      <c r="P142" s="15" t="str">
        <f t="shared" si="15"/>
        <v>TC_DM_F__</v>
      </c>
      <c r="Q142" s="136"/>
      <c r="R142" s="15" t="str">
        <f t="shared" si="16"/>
        <v>TC_CC_F__</v>
      </c>
      <c r="S142" s="7"/>
      <c r="T142" s="13"/>
      <c r="U142" s="13"/>
      <c r="V142" s="13"/>
      <c r="W142" s="13"/>
      <c r="X142" s="13"/>
    </row>
    <row r="143" spans="1:24" x14ac:dyDescent="0.25">
      <c r="A143" s="138" t="b">
        <v>0</v>
      </c>
      <c r="B143" s="6">
        <f t="shared" si="12"/>
        <v>142</v>
      </c>
      <c r="C143" s="20" t="e">
        <f>_xlfn.XLOOKUP($D143,Tab_Def_Processes[Process_Name],Tab_Def_Processes[Process_ID],,0,)</f>
        <v>#N/A</v>
      </c>
      <c r="D143" s="134" t="s">
        <v>8</v>
      </c>
      <c r="E143" s="134"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36"/>
      <c r="N143" s="15" t="str">
        <f t="shared" si="14"/>
        <v>TC_WC_F__</v>
      </c>
      <c r="O143" s="136"/>
      <c r="P143" s="15" t="str">
        <f t="shared" si="15"/>
        <v>TC_DM_F__</v>
      </c>
      <c r="Q143" s="136"/>
      <c r="R143" s="15" t="str">
        <f t="shared" si="16"/>
        <v>TC_CC_F__</v>
      </c>
      <c r="S143" s="7"/>
      <c r="T143" s="13"/>
      <c r="U143" s="13"/>
      <c r="V143" s="13"/>
      <c r="W143" s="13"/>
      <c r="X143" s="13"/>
    </row>
    <row r="144" spans="1:24" x14ac:dyDescent="0.25">
      <c r="A144" s="138" t="b">
        <v>0</v>
      </c>
      <c r="B144" s="6">
        <f t="shared" si="12"/>
        <v>143</v>
      </c>
      <c r="C144" s="20" t="e">
        <f>_xlfn.XLOOKUP($D144,Tab_Def_Processes[Process_Name],Tab_Def_Processes[Process_ID],,0,)</f>
        <v>#N/A</v>
      </c>
      <c r="D144" s="134" t="s">
        <v>8</v>
      </c>
      <c r="E144" s="134"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36"/>
      <c r="N144" s="15" t="str">
        <f t="shared" si="14"/>
        <v>TC_WC_F__</v>
      </c>
      <c r="O144" s="136"/>
      <c r="P144" s="15" t="str">
        <f t="shared" si="15"/>
        <v>TC_DM_F__</v>
      </c>
      <c r="Q144" s="136"/>
      <c r="R144" s="15" t="str">
        <f t="shared" si="16"/>
        <v>TC_CC_F__</v>
      </c>
      <c r="S144" s="7"/>
      <c r="T144" s="13"/>
      <c r="U144" s="13"/>
      <c r="V144" s="13"/>
      <c r="W144" s="13"/>
      <c r="X144" s="13"/>
    </row>
    <row r="145" spans="1:24" x14ac:dyDescent="0.25">
      <c r="A145" s="138" t="b">
        <v>0</v>
      </c>
      <c r="B145" s="6">
        <f t="shared" si="12"/>
        <v>144</v>
      </c>
      <c r="C145" s="20" t="e">
        <f>_xlfn.XLOOKUP($D145,Tab_Def_Processes[Process_Name],Tab_Def_Processes[Process_ID],,0,)</f>
        <v>#N/A</v>
      </c>
      <c r="D145" s="134" t="s">
        <v>8</v>
      </c>
      <c r="E145" s="134"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36"/>
      <c r="N145" s="15" t="str">
        <f t="shared" si="14"/>
        <v>TC_WC_F__</v>
      </c>
      <c r="O145" s="136"/>
      <c r="P145" s="15" t="str">
        <f t="shared" si="15"/>
        <v>TC_DM_F__</v>
      </c>
      <c r="Q145" s="136"/>
      <c r="R145" s="15" t="str">
        <f t="shared" si="16"/>
        <v>TC_CC_F__</v>
      </c>
      <c r="S145" s="7"/>
      <c r="T145" s="13"/>
      <c r="U145" s="13"/>
      <c r="V145" s="13"/>
      <c r="W145" s="13"/>
      <c r="X145" s="13"/>
    </row>
    <row r="146" spans="1:24" x14ac:dyDescent="0.25">
      <c r="A146" s="138" t="b">
        <v>0</v>
      </c>
      <c r="B146" s="6">
        <f t="shared" si="12"/>
        <v>145</v>
      </c>
      <c r="C146" s="20" t="e">
        <f>_xlfn.XLOOKUP($D146,Tab_Def_Processes[Process_Name],Tab_Def_Processes[Process_ID],,0,)</f>
        <v>#N/A</v>
      </c>
      <c r="D146" s="134" t="s">
        <v>8</v>
      </c>
      <c r="E146" s="134"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36"/>
      <c r="N146" s="15" t="str">
        <f t="shared" si="14"/>
        <v>TC_WC_F__</v>
      </c>
      <c r="O146" s="136"/>
      <c r="P146" s="15" t="str">
        <f t="shared" si="15"/>
        <v>TC_DM_F__</v>
      </c>
      <c r="Q146" s="136"/>
      <c r="R146" s="15" t="str">
        <f t="shared" si="16"/>
        <v>TC_CC_F__</v>
      </c>
      <c r="S146" s="7"/>
      <c r="T146" s="13"/>
      <c r="U146" s="13"/>
      <c r="V146" s="13"/>
      <c r="W146" s="13"/>
      <c r="X146" s="13"/>
    </row>
    <row r="147" spans="1:24" x14ac:dyDescent="0.25">
      <c r="A147" s="138" t="b">
        <v>0</v>
      </c>
      <c r="B147" s="6">
        <f t="shared" si="12"/>
        <v>146</v>
      </c>
      <c r="C147" s="20" t="e">
        <f>_xlfn.XLOOKUP($D147,Tab_Def_Processes[Process_Name],Tab_Def_Processes[Process_ID],,0,)</f>
        <v>#N/A</v>
      </c>
      <c r="D147" s="134" t="s">
        <v>8</v>
      </c>
      <c r="E147" s="134"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36"/>
      <c r="N147" s="15" t="str">
        <f t="shared" si="14"/>
        <v>TC_WC_F__</v>
      </c>
      <c r="O147" s="136"/>
      <c r="P147" s="15" t="str">
        <f t="shared" si="15"/>
        <v>TC_DM_F__</v>
      </c>
      <c r="Q147" s="136"/>
      <c r="R147" s="15" t="str">
        <f t="shared" si="16"/>
        <v>TC_CC_F__</v>
      </c>
      <c r="S147" s="7"/>
      <c r="T147" s="13"/>
      <c r="U147" s="13"/>
      <c r="V147" s="13"/>
      <c r="W147" s="13"/>
      <c r="X147" s="13"/>
    </row>
    <row r="148" spans="1:24" x14ac:dyDescent="0.25">
      <c r="A148" s="138" t="b">
        <v>0</v>
      </c>
      <c r="B148" s="6">
        <f t="shared" si="12"/>
        <v>147</v>
      </c>
      <c r="C148" s="20" t="e">
        <f>_xlfn.XLOOKUP($D148,Tab_Def_Processes[Process_Name],Tab_Def_Processes[Process_ID],,0,)</f>
        <v>#N/A</v>
      </c>
      <c r="D148" s="134" t="s">
        <v>8</v>
      </c>
      <c r="E148" s="134"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36"/>
      <c r="N148" s="15" t="str">
        <f t="shared" si="14"/>
        <v>TC_WC_F__</v>
      </c>
      <c r="O148" s="136"/>
      <c r="P148" s="15" t="str">
        <f t="shared" si="15"/>
        <v>TC_DM_F__</v>
      </c>
      <c r="Q148" s="136"/>
      <c r="R148" s="15" t="str">
        <f t="shared" si="16"/>
        <v>TC_CC_F__</v>
      </c>
      <c r="S148" s="7"/>
      <c r="T148" s="13"/>
      <c r="U148" s="13"/>
      <c r="V148" s="13"/>
      <c r="W148" s="13"/>
      <c r="X148" s="13"/>
    </row>
    <row r="149" spans="1:24" x14ac:dyDescent="0.25">
      <c r="A149" s="138" t="b">
        <v>0</v>
      </c>
      <c r="B149" s="6">
        <f t="shared" si="12"/>
        <v>148</v>
      </c>
      <c r="C149" s="20" t="e">
        <f>_xlfn.XLOOKUP($D149,Tab_Def_Processes[Process_Name],Tab_Def_Processes[Process_ID],,0,)</f>
        <v>#N/A</v>
      </c>
      <c r="D149" s="134" t="s">
        <v>8</v>
      </c>
      <c r="E149" s="134"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36"/>
      <c r="N149" s="15" t="str">
        <f t="shared" si="14"/>
        <v>TC_WC_F__</v>
      </c>
      <c r="O149" s="136"/>
      <c r="P149" s="15" t="str">
        <f t="shared" si="15"/>
        <v>TC_DM_F__</v>
      </c>
      <c r="Q149" s="136"/>
      <c r="R149" s="15" t="str">
        <f t="shared" si="16"/>
        <v>TC_CC_F__</v>
      </c>
      <c r="S149" s="7"/>
      <c r="T149" s="13"/>
      <c r="U149" s="13"/>
      <c r="V149" s="13"/>
      <c r="W149" s="13"/>
      <c r="X149" s="13"/>
    </row>
    <row r="150" spans="1:24" x14ac:dyDescent="0.25">
      <c r="A150" s="138" t="b">
        <v>0</v>
      </c>
      <c r="B150" s="6">
        <f t="shared" si="12"/>
        <v>149</v>
      </c>
      <c r="C150" s="20" t="e">
        <f>_xlfn.XLOOKUP($D150,Tab_Def_Processes[Process_Name],Tab_Def_Processes[Process_ID],,0,)</f>
        <v>#N/A</v>
      </c>
      <c r="D150" s="134" t="s">
        <v>8</v>
      </c>
      <c r="E150" s="134"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36"/>
      <c r="N150" s="15" t="str">
        <f t="shared" si="14"/>
        <v>TC_WC_F__</v>
      </c>
      <c r="O150" s="136"/>
      <c r="P150" s="15" t="str">
        <f t="shared" si="15"/>
        <v>TC_DM_F__</v>
      </c>
      <c r="Q150" s="136"/>
      <c r="R150" s="15" t="str">
        <f t="shared" si="16"/>
        <v>TC_CC_F__</v>
      </c>
      <c r="S150" s="7"/>
      <c r="T150" s="13"/>
      <c r="U150" s="13"/>
      <c r="V150" s="13"/>
      <c r="W150" s="13"/>
      <c r="X150" s="13"/>
    </row>
    <row r="151" spans="1:24" x14ac:dyDescent="0.25">
      <c r="A151" s="138" t="b">
        <v>0</v>
      </c>
      <c r="B151" s="6">
        <f t="shared" si="12"/>
        <v>150</v>
      </c>
      <c r="C151" s="20" t="e">
        <f>_xlfn.XLOOKUP($D151,Tab_Def_Processes[Process_Name],Tab_Def_Processes[Process_ID],,0,)</f>
        <v>#N/A</v>
      </c>
      <c r="D151" s="134" t="s">
        <v>8</v>
      </c>
      <c r="E151" s="134"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36"/>
      <c r="N151" s="15" t="str">
        <f t="shared" si="14"/>
        <v>TC_WC_F__</v>
      </c>
      <c r="O151" s="136"/>
      <c r="P151" s="15" t="str">
        <f t="shared" si="15"/>
        <v>TC_DM_F__</v>
      </c>
      <c r="Q151" s="136"/>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'1_1_Definition_Flows'!$D$2:$D$95</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37" t="s">
        <v>24</v>
      </c>
      <c r="B1" s="137" t="s">
        <v>7</v>
      </c>
      <c r="C1" s="137" t="s">
        <v>25</v>
      </c>
      <c r="D1" s="137" t="s">
        <v>23</v>
      </c>
      <c r="E1" s="137" t="s">
        <v>431</v>
      </c>
      <c r="F1" s="137" t="s">
        <v>396</v>
      </c>
      <c r="G1" s="137" t="s">
        <v>459</v>
      </c>
      <c r="H1" s="137" t="s">
        <v>460</v>
      </c>
      <c r="I1" s="137" t="s">
        <v>493</v>
      </c>
      <c r="J1" s="137" t="s">
        <v>1059</v>
      </c>
      <c r="K1" s="137" t="s">
        <v>1058</v>
      </c>
      <c r="L1" s="137" t="s">
        <v>1063</v>
      </c>
    </row>
    <row r="2" spans="1:12" x14ac:dyDescent="0.25">
      <c r="A2" s="138" t="b">
        <v>0</v>
      </c>
      <c r="B2" s="6">
        <f t="shared" ref="B2:B33" si="0">ROW()-1</f>
        <v>1</v>
      </c>
      <c r="C2" s="6" t="e">
        <f>"S"&amp;"_"&amp;LEFT(D2,2)</f>
        <v>#N/A</v>
      </c>
      <c r="D2" s="6" t="e">
        <f>_xlfn.XLOOKUP($E2,Tab_Def_Processes[Process_Name],Tab_Def_Processes[Process_ID],,0,)</f>
        <v>#N/A</v>
      </c>
      <c r="E2" s="134"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5"/>
      <c r="L2" s="184"/>
    </row>
    <row r="3" spans="1:12" x14ac:dyDescent="0.25">
      <c r="A3" s="138" t="b">
        <v>0</v>
      </c>
      <c r="B3" s="6">
        <f t="shared" si="0"/>
        <v>2</v>
      </c>
      <c r="C3" s="6" t="e">
        <f t="shared" ref="C3:C51" si="1">"S"&amp;"_"&amp;LEFT(D3,2)</f>
        <v>#N/A</v>
      </c>
      <c r="D3" s="6" t="e">
        <f>_xlfn.XLOOKUP($E3,Tab_Def_Processes[Process_Name],Tab_Def_Processes[Process_ID],,0,)</f>
        <v>#N/A</v>
      </c>
      <c r="E3" s="134"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5"/>
      <c r="L3" s="184"/>
    </row>
    <row r="4" spans="1:12" x14ac:dyDescent="0.25">
      <c r="A4" s="138" t="b">
        <v>0</v>
      </c>
      <c r="B4" s="6">
        <f t="shared" si="0"/>
        <v>3</v>
      </c>
      <c r="C4" s="6" t="e">
        <f t="shared" si="1"/>
        <v>#N/A</v>
      </c>
      <c r="D4" s="6" t="e">
        <f>_xlfn.XLOOKUP($E4,Tab_Def_Processes[Process_Name],Tab_Def_Processes[Process_ID],,0,)</f>
        <v>#N/A</v>
      </c>
      <c r="E4" s="134"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5"/>
      <c r="L4" s="184"/>
    </row>
    <row r="5" spans="1:12" x14ac:dyDescent="0.25">
      <c r="A5" s="138" t="b">
        <v>0</v>
      </c>
      <c r="B5" s="6">
        <f t="shared" si="0"/>
        <v>4</v>
      </c>
      <c r="C5" s="6" t="e">
        <f t="shared" si="1"/>
        <v>#N/A</v>
      </c>
      <c r="D5" s="6" t="e">
        <f>_xlfn.XLOOKUP($E5,Tab_Def_Processes[Process_Name],Tab_Def_Processes[Process_ID],,0,)</f>
        <v>#N/A</v>
      </c>
      <c r="E5" s="134"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5"/>
      <c r="L5" s="184"/>
    </row>
    <row r="6" spans="1:12" x14ac:dyDescent="0.25">
      <c r="A6" s="138" t="b">
        <v>0</v>
      </c>
      <c r="B6" s="6">
        <f t="shared" si="0"/>
        <v>5</v>
      </c>
      <c r="C6" s="6" t="e">
        <f t="shared" si="1"/>
        <v>#N/A</v>
      </c>
      <c r="D6" s="6" t="e">
        <f>_xlfn.XLOOKUP($E6,Tab_Def_Processes[Process_Name],Tab_Def_Processes[Process_ID],,0,)</f>
        <v>#N/A</v>
      </c>
      <c r="E6" s="134"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5"/>
      <c r="L6" s="184"/>
    </row>
    <row r="7" spans="1:12" x14ac:dyDescent="0.25">
      <c r="A7" s="138" t="b">
        <v>0</v>
      </c>
      <c r="B7" s="6">
        <f t="shared" si="0"/>
        <v>6</v>
      </c>
      <c r="C7" s="6" t="e">
        <f t="shared" si="1"/>
        <v>#N/A</v>
      </c>
      <c r="D7" s="6" t="e">
        <f>_xlfn.XLOOKUP($E7,Tab_Def_Processes[Process_Name],Tab_Def_Processes[Process_ID],,0,)</f>
        <v>#N/A</v>
      </c>
      <c r="E7" s="134"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5"/>
      <c r="L7" s="184"/>
    </row>
    <row r="8" spans="1:12" x14ac:dyDescent="0.25">
      <c r="A8" s="138" t="b">
        <v>0</v>
      </c>
      <c r="B8" s="6">
        <f t="shared" si="0"/>
        <v>7</v>
      </c>
      <c r="C8" s="6" t="e">
        <f t="shared" si="1"/>
        <v>#N/A</v>
      </c>
      <c r="D8" s="6" t="e">
        <f>_xlfn.XLOOKUP($E8,Tab_Def_Processes[Process_Name],Tab_Def_Processes[Process_ID],,0,)</f>
        <v>#N/A</v>
      </c>
      <c r="E8" s="134"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5"/>
      <c r="L8" s="184"/>
    </row>
    <row r="9" spans="1:12" x14ac:dyDescent="0.25">
      <c r="A9" s="138" t="b">
        <v>0</v>
      </c>
      <c r="B9" s="6">
        <f t="shared" si="0"/>
        <v>8</v>
      </c>
      <c r="C9" s="6" t="e">
        <f t="shared" si="1"/>
        <v>#N/A</v>
      </c>
      <c r="D9" s="6" t="e">
        <f>_xlfn.XLOOKUP($E9,Tab_Def_Processes[Process_Name],Tab_Def_Processes[Process_ID],,0,)</f>
        <v>#N/A</v>
      </c>
      <c r="E9" s="134"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5"/>
      <c r="L9" s="184"/>
    </row>
    <row r="10" spans="1:12" x14ac:dyDescent="0.25">
      <c r="A10" s="138" t="b">
        <v>0</v>
      </c>
      <c r="B10" s="6">
        <f t="shared" si="0"/>
        <v>9</v>
      </c>
      <c r="C10" s="6" t="e">
        <f t="shared" si="1"/>
        <v>#N/A</v>
      </c>
      <c r="D10" s="6" t="e">
        <f>_xlfn.XLOOKUP($E10,Tab_Def_Processes[Process_Name],Tab_Def_Processes[Process_ID],,0,)</f>
        <v>#N/A</v>
      </c>
      <c r="E10" s="134"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5"/>
      <c r="L10" s="184"/>
    </row>
    <row r="11" spans="1:12" x14ac:dyDescent="0.25">
      <c r="A11" s="138" t="b">
        <v>0</v>
      </c>
      <c r="B11" s="6">
        <f t="shared" si="0"/>
        <v>10</v>
      </c>
      <c r="C11" s="6" t="e">
        <f t="shared" si="1"/>
        <v>#N/A</v>
      </c>
      <c r="D11" s="6" t="e">
        <f>_xlfn.XLOOKUP($E11,Tab_Def_Processes[Process_Name],Tab_Def_Processes[Process_ID],,0,)</f>
        <v>#N/A</v>
      </c>
      <c r="E11" s="134"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5"/>
      <c r="L11" s="184"/>
    </row>
    <row r="12" spans="1:12" x14ac:dyDescent="0.25">
      <c r="A12" s="138" t="b">
        <v>0</v>
      </c>
      <c r="B12" s="6">
        <f t="shared" si="0"/>
        <v>11</v>
      </c>
      <c r="C12" s="6" t="e">
        <f t="shared" si="1"/>
        <v>#N/A</v>
      </c>
      <c r="D12" s="6" t="e">
        <f>_xlfn.XLOOKUP($E12,Tab_Def_Processes[Process_Name],Tab_Def_Processes[Process_ID],,0,)</f>
        <v>#N/A</v>
      </c>
      <c r="E12" s="134"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5"/>
      <c r="L12" s="184"/>
    </row>
    <row r="13" spans="1:12" x14ac:dyDescent="0.25">
      <c r="A13" s="138" t="b">
        <v>0</v>
      </c>
      <c r="B13" s="6">
        <f t="shared" si="0"/>
        <v>12</v>
      </c>
      <c r="C13" s="6" t="e">
        <f t="shared" si="1"/>
        <v>#N/A</v>
      </c>
      <c r="D13" s="6" t="e">
        <f>_xlfn.XLOOKUP($E13,Tab_Def_Processes[Process_Name],Tab_Def_Processes[Process_ID],,0,)</f>
        <v>#N/A</v>
      </c>
      <c r="E13" s="134"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5"/>
      <c r="L13" s="184"/>
    </row>
    <row r="14" spans="1:12" x14ac:dyDescent="0.25">
      <c r="A14" s="138" t="b">
        <v>0</v>
      </c>
      <c r="B14" s="6">
        <f t="shared" si="0"/>
        <v>13</v>
      </c>
      <c r="C14" s="6" t="e">
        <f t="shared" si="1"/>
        <v>#N/A</v>
      </c>
      <c r="D14" s="6" t="e">
        <f>_xlfn.XLOOKUP($E14,Tab_Def_Processes[Process_Name],Tab_Def_Processes[Process_ID],,0,)</f>
        <v>#N/A</v>
      </c>
      <c r="E14" s="134"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5"/>
      <c r="L14" s="184"/>
    </row>
    <row r="15" spans="1:12" x14ac:dyDescent="0.25">
      <c r="A15" s="138" t="b">
        <v>0</v>
      </c>
      <c r="B15" s="6">
        <f t="shared" si="0"/>
        <v>14</v>
      </c>
      <c r="C15" s="6" t="e">
        <f t="shared" si="1"/>
        <v>#N/A</v>
      </c>
      <c r="D15" s="6" t="e">
        <f>_xlfn.XLOOKUP($E15,Tab_Def_Processes[Process_Name],Tab_Def_Processes[Process_ID],,0,)</f>
        <v>#N/A</v>
      </c>
      <c r="E15" s="134"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5"/>
      <c r="L15" s="184"/>
    </row>
    <row r="16" spans="1:12" x14ac:dyDescent="0.25">
      <c r="A16" s="138" t="b">
        <v>0</v>
      </c>
      <c r="B16" s="6">
        <f t="shared" si="0"/>
        <v>15</v>
      </c>
      <c r="C16" s="6" t="e">
        <f t="shared" si="1"/>
        <v>#N/A</v>
      </c>
      <c r="D16" s="6" t="e">
        <f>_xlfn.XLOOKUP($E16,Tab_Def_Processes[Process_Name],Tab_Def_Processes[Process_ID],,0,)</f>
        <v>#N/A</v>
      </c>
      <c r="E16" s="134"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5"/>
      <c r="L16" s="184"/>
    </row>
    <row r="17" spans="1:12" x14ac:dyDescent="0.25">
      <c r="A17" s="138" t="b">
        <v>0</v>
      </c>
      <c r="B17" s="6">
        <f t="shared" si="0"/>
        <v>16</v>
      </c>
      <c r="C17" s="6" t="e">
        <f t="shared" si="1"/>
        <v>#N/A</v>
      </c>
      <c r="D17" s="6" t="e">
        <f>_xlfn.XLOOKUP($E17,Tab_Def_Processes[Process_Name],Tab_Def_Processes[Process_ID],,0,)</f>
        <v>#N/A</v>
      </c>
      <c r="E17" s="134"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5"/>
      <c r="L17" s="184"/>
    </row>
    <row r="18" spans="1:12" x14ac:dyDescent="0.25">
      <c r="A18" s="138" t="b">
        <v>0</v>
      </c>
      <c r="B18" s="6">
        <f t="shared" si="0"/>
        <v>17</v>
      </c>
      <c r="C18" s="6" t="e">
        <f t="shared" si="1"/>
        <v>#N/A</v>
      </c>
      <c r="D18" s="6" t="e">
        <f>_xlfn.XLOOKUP($E18,Tab_Def_Processes[Process_Name],Tab_Def_Processes[Process_ID],,0,)</f>
        <v>#N/A</v>
      </c>
      <c r="E18" s="134"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5"/>
      <c r="L18" s="184"/>
    </row>
    <row r="19" spans="1:12" x14ac:dyDescent="0.25">
      <c r="A19" s="138" t="b">
        <v>0</v>
      </c>
      <c r="B19" s="6">
        <f t="shared" si="0"/>
        <v>18</v>
      </c>
      <c r="C19" s="6" t="e">
        <f t="shared" si="1"/>
        <v>#N/A</v>
      </c>
      <c r="D19" s="6" t="e">
        <f>_xlfn.XLOOKUP($E19,Tab_Def_Processes[Process_Name],Tab_Def_Processes[Process_ID],,0,)</f>
        <v>#N/A</v>
      </c>
      <c r="E19" s="134"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5"/>
      <c r="L19" s="184"/>
    </row>
    <row r="20" spans="1:12" x14ac:dyDescent="0.25">
      <c r="A20" s="138" t="b">
        <v>0</v>
      </c>
      <c r="B20" s="6">
        <f t="shared" si="0"/>
        <v>19</v>
      </c>
      <c r="C20" s="6" t="e">
        <f t="shared" si="1"/>
        <v>#N/A</v>
      </c>
      <c r="D20" s="6" t="e">
        <f>_xlfn.XLOOKUP($E20,Tab_Def_Processes[Process_Name],Tab_Def_Processes[Process_ID],,0,)</f>
        <v>#N/A</v>
      </c>
      <c r="E20" s="134"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5"/>
      <c r="L20" s="184"/>
    </row>
    <row r="21" spans="1:12" x14ac:dyDescent="0.25">
      <c r="A21" s="138" t="b">
        <v>0</v>
      </c>
      <c r="B21" s="6">
        <f t="shared" si="0"/>
        <v>20</v>
      </c>
      <c r="C21" s="6" t="e">
        <f t="shared" si="1"/>
        <v>#N/A</v>
      </c>
      <c r="D21" s="6" t="e">
        <f>_xlfn.XLOOKUP($E21,Tab_Def_Processes[Process_Name],Tab_Def_Processes[Process_ID],,0,)</f>
        <v>#N/A</v>
      </c>
      <c r="E21" s="134"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5"/>
      <c r="L21" s="184"/>
    </row>
    <row r="22" spans="1:12" x14ac:dyDescent="0.25">
      <c r="A22" s="138" t="b">
        <v>0</v>
      </c>
      <c r="B22" s="6">
        <f t="shared" si="0"/>
        <v>21</v>
      </c>
      <c r="C22" s="6" t="e">
        <f t="shared" si="1"/>
        <v>#N/A</v>
      </c>
      <c r="D22" s="6" t="e">
        <f>_xlfn.XLOOKUP($E22,Tab_Def_Processes[Process_Name],Tab_Def_Processes[Process_ID],,0,)</f>
        <v>#N/A</v>
      </c>
      <c r="E22" s="134"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5"/>
      <c r="L22" s="184"/>
    </row>
    <row r="23" spans="1:12" x14ac:dyDescent="0.25">
      <c r="A23" s="138" t="b">
        <v>0</v>
      </c>
      <c r="B23" s="6">
        <f t="shared" si="0"/>
        <v>22</v>
      </c>
      <c r="C23" s="6" t="e">
        <f t="shared" si="1"/>
        <v>#N/A</v>
      </c>
      <c r="D23" s="6" t="e">
        <f>_xlfn.XLOOKUP($E23,Tab_Def_Processes[Process_Name],Tab_Def_Processes[Process_ID],,0,)</f>
        <v>#N/A</v>
      </c>
      <c r="E23" s="134"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5"/>
      <c r="L23" s="184"/>
    </row>
    <row r="24" spans="1:12" x14ac:dyDescent="0.25">
      <c r="A24" s="138" t="b">
        <v>0</v>
      </c>
      <c r="B24" s="6">
        <f t="shared" si="0"/>
        <v>23</v>
      </c>
      <c r="C24" s="6" t="e">
        <f t="shared" si="1"/>
        <v>#N/A</v>
      </c>
      <c r="D24" s="6" t="e">
        <f>_xlfn.XLOOKUP($E24,Tab_Def_Processes[Process_Name],Tab_Def_Processes[Process_ID],,0,)</f>
        <v>#N/A</v>
      </c>
      <c r="E24" s="134"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5"/>
      <c r="L24" s="184"/>
    </row>
    <row r="25" spans="1:12" x14ac:dyDescent="0.25">
      <c r="A25" s="138" t="b">
        <v>0</v>
      </c>
      <c r="B25" s="6">
        <f t="shared" si="0"/>
        <v>24</v>
      </c>
      <c r="C25" s="6" t="e">
        <f t="shared" si="1"/>
        <v>#N/A</v>
      </c>
      <c r="D25" s="6" t="e">
        <f>_xlfn.XLOOKUP($E25,Tab_Def_Processes[Process_Name],Tab_Def_Processes[Process_ID],,0,)</f>
        <v>#N/A</v>
      </c>
      <c r="E25" s="134"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5"/>
      <c r="L25" s="184"/>
    </row>
    <row r="26" spans="1:12" x14ac:dyDescent="0.25">
      <c r="A26" s="138" t="b">
        <v>0</v>
      </c>
      <c r="B26" s="6">
        <f t="shared" si="0"/>
        <v>25</v>
      </c>
      <c r="C26" s="6" t="e">
        <f t="shared" si="1"/>
        <v>#N/A</v>
      </c>
      <c r="D26" s="6" t="e">
        <f>_xlfn.XLOOKUP($E26,Tab_Def_Processes[Process_Name],Tab_Def_Processes[Process_ID],,0,)</f>
        <v>#N/A</v>
      </c>
      <c r="E26" s="134"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5"/>
      <c r="L26" s="184"/>
    </row>
    <row r="27" spans="1:12" x14ac:dyDescent="0.25">
      <c r="A27" s="138" t="b">
        <v>0</v>
      </c>
      <c r="B27" s="6">
        <f t="shared" si="0"/>
        <v>26</v>
      </c>
      <c r="C27" s="6" t="e">
        <f t="shared" si="1"/>
        <v>#N/A</v>
      </c>
      <c r="D27" s="6" t="e">
        <f>_xlfn.XLOOKUP($E27,Tab_Def_Processes[Process_Name],Tab_Def_Processes[Process_ID],,0,)</f>
        <v>#N/A</v>
      </c>
      <c r="E27" s="134"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5"/>
      <c r="L27" s="184"/>
    </row>
    <row r="28" spans="1:12" x14ac:dyDescent="0.25">
      <c r="A28" s="138" t="b">
        <v>0</v>
      </c>
      <c r="B28" s="6">
        <f t="shared" si="0"/>
        <v>27</v>
      </c>
      <c r="C28" s="6" t="e">
        <f t="shared" si="1"/>
        <v>#N/A</v>
      </c>
      <c r="D28" s="6" t="e">
        <f>_xlfn.XLOOKUP($E28,Tab_Def_Processes[Process_Name],Tab_Def_Processes[Process_ID],,0,)</f>
        <v>#N/A</v>
      </c>
      <c r="E28" s="134"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5"/>
      <c r="L28" s="184"/>
    </row>
    <row r="29" spans="1:12" x14ac:dyDescent="0.25">
      <c r="A29" s="138" t="b">
        <v>0</v>
      </c>
      <c r="B29" s="6">
        <f t="shared" si="0"/>
        <v>28</v>
      </c>
      <c r="C29" s="6" t="e">
        <f t="shared" si="1"/>
        <v>#N/A</v>
      </c>
      <c r="D29" s="6" t="e">
        <f>_xlfn.XLOOKUP($E29,Tab_Def_Processes[Process_Name],Tab_Def_Processes[Process_ID],,0,)</f>
        <v>#N/A</v>
      </c>
      <c r="E29" s="134"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5"/>
      <c r="L29" s="184"/>
    </row>
    <row r="30" spans="1:12" x14ac:dyDescent="0.25">
      <c r="A30" s="138" t="b">
        <v>0</v>
      </c>
      <c r="B30" s="6">
        <f t="shared" si="0"/>
        <v>29</v>
      </c>
      <c r="C30" s="6" t="e">
        <f t="shared" si="1"/>
        <v>#N/A</v>
      </c>
      <c r="D30" s="6" t="e">
        <f>_xlfn.XLOOKUP($E30,Tab_Def_Processes[Process_Name],Tab_Def_Processes[Process_ID],,0,)</f>
        <v>#N/A</v>
      </c>
      <c r="E30" s="134"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5"/>
      <c r="L30" s="184"/>
    </row>
    <row r="31" spans="1:12" x14ac:dyDescent="0.25">
      <c r="A31" s="138" t="b">
        <v>0</v>
      </c>
      <c r="B31" s="6">
        <f t="shared" si="0"/>
        <v>30</v>
      </c>
      <c r="C31" s="6" t="e">
        <f t="shared" si="1"/>
        <v>#N/A</v>
      </c>
      <c r="D31" s="6" t="e">
        <f>_xlfn.XLOOKUP($E31,Tab_Def_Processes[Process_Name],Tab_Def_Processes[Process_ID],,0,)</f>
        <v>#N/A</v>
      </c>
      <c r="E31" s="134"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5"/>
      <c r="L31" s="184"/>
    </row>
    <row r="32" spans="1:12" x14ac:dyDescent="0.25">
      <c r="A32" s="138" t="b">
        <v>0</v>
      </c>
      <c r="B32" s="6">
        <f t="shared" si="0"/>
        <v>31</v>
      </c>
      <c r="C32" s="6" t="e">
        <f t="shared" si="1"/>
        <v>#N/A</v>
      </c>
      <c r="D32" s="6" t="e">
        <f>_xlfn.XLOOKUP($E32,Tab_Def_Processes[Process_Name],Tab_Def_Processes[Process_ID],,0,)</f>
        <v>#N/A</v>
      </c>
      <c r="E32" s="134"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5"/>
      <c r="L32" s="184"/>
    </row>
    <row r="33" spans="1:12" x14ac:dyDescent="0.25">
      <c r="A33" s="138" t="b">
        <v>0</v>
      </c>
      <c r="B33" s="6">
        <f t="shared" si="0"/>
        <v>32</v>
      </c>
      <c r="C33" s="6" t="e">
        <f t="shared" si="1"/>
        <v>#N/A</v>
      </c>
      <c r="D33" s="6" t="e">
        <f>_xlfn.XLOOKUP($E33,Tab_Def_Processes[Process_Name],Tab_Def_Processes[Process_ID],,0,)</f>
        <v>#N/A</v>
      </c>
      <c r="E33" s="134"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5"/>
      <c r="L33" s="184"/>
    </row>
    <row r="34" spans="1:12" x14ac:dyDescent="0.25">
      <c r="A34" s="138" t="b">
        <v>0</v>
      </c>
      <c r="B34" s="6">
        <f t="shared" ref="B34:B51" si="2">ROW()-1</f>
        <v>33</v>
      </c>
      <c r="C34" s="6" t="e">
        <f t="shared" si="1"/>
        <v>#N/A</v>
      </c>
      <c r="D34" s="6" t="e">
        <f>_xlfn.XLOOKUP($E34,Tab_Def_Processes[Process_Name],Tab_Def_Processes[Process_ID],,0,)</f>
        <v>#N/A</v>
      </c>
      <c r="E34" s="134"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5"/>
      <c r="L34" s="184"/>
    </row>
    <row r="35" spans="1:12" x14ac:dyDescent="0.25">
      <c r="A35" s="138" t="b">
        <v>0</v>
      </c>
      <c r="B35" s="6">
        <f t="shared" si="2"/>
        <v>34</v>
      </c>
      <c r="C35" s="6" t="e">
        <f t="shared" si="1"/>
        <v>#N/A</v>
      </c>
      <c r="D35" s="6" t="e">
        <f>_xlfn.XLOOKUP($E35,Tab_Def_Processes[Process_Name],Tab_Def_Processes[Process_ID],,0,)</f>
        <v>#N/A</v>
      </c>
      <c r="E35" s="134"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5"/>
      <c r="L35" s="184"/>
    </row>
    <row r="36" spans="1:12" x14ac:dyDescent="0.25">
      <c r="A36" s="138" t="b">
        <v>0</v>
      </c>
      <c r="B36" s="6">
        <f t="shared" si="2"/>
        <v>35</v>
      </c>
      <c r="C36" s="6" t="e">
        <f t="shared" si="1"/>
        <v>#N/A</v>
      </c>
      <c r="D36" s="6" t="e">
        <f>_xlfn.XLOOKUP($E36,Tab_Def_Processes[Process_Name],Tab_Def_Processes[Process_ID],,0,)</f>
        <v>#N/A</v>
      </c>
      <c r="E36" s="134"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5"/>
      <c r="L36" s="184"/>
    </row>
    <row r="37" spans="1:12" x14ac:dyDescent="0.25">
      <c r="A37" s="138" t="b">
        <v>0</v>
      </c>
      <c r="B37" s="6">
        <f t="shared" si="2"/>
        <v>36</v>
      </c>
      <c r="C37" s="6" t="e">
        <f t="shared" si="1"/>
        <v>#N/A</v>
      </c>
      <c r="D37" s="6" t="e">
        <f>_xlfn.XLOOKUP($E37,Tab_Def_Processes[Process_Name],Tab_Def_Processes[Process_ID],,0,)</f>
        <v>#N/A</v>
      </c>
      <c r="E37" s="134"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5"/>
      <c r="L37" s="184"/>
    </row>
    <row r="38" spans="1:12" x14ac:dyDescent="0.25">
      <c r="A38" s="138" t="b">
        <v>0</v>
      </c>
      <c r="B38" s="6">
        <f t="shared" si="2"/>
        <v>37</v>
      </c>
      <c r="C38" s="6" t="e">
        <f t="shared" si="1"/>
        <v>#N/A</v>
      </c>
      <c r="D38" s="6" t="e">
        <f>_xlfn.XLOOKUP($E38,Tab_Def_Processes[Process_Name],Tab_Def_Processes[Process_ID],,0,)</f>
        <v>#N/A</v>
      </c>
      <c r="E38" s="134"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5"/>
      <c r="L38" s="184"/>
    </row>
    <row r="39" spans="1:12" x14ac:dyDescent="0.25">
      <c r="A39" s="138" t="b">
        <v>0</v>
      </c>
      <c r="B39" s="6">
        <f t="shared" si="2"/>
        <v>38</v>
      </c>
      <c r="C39" s="6" t="e">
        <f t="shared" si="1"/>
        <v>#N/A</v>
      </c>
      <c r="D39" s="6" t="e">
        <f>_xlfn.XLOOKUP($E39,Tab_Def_Processes[Process_Name],Tab_Def_Processes[Process_ID],,0,)</f>
        <v>#N/A</v>
      </c>
      <c r="E39" s="134"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5"/>
      <c r="L39" s="184"/>
    </row>
    <row r="40" spans="1:12" x14ac:dyDescent="0.25">
      <c r="A40" s="138" t="b">
        <v>0</v>
      </c>
      <c r="B40" s="6">
        <f t="shared" si="2"/>
        <v>39</v>
      </c>
      <c r="C40" s="6" t="e">
        <f t="shared" si="1"/>
        <v>#N/A</v>
      </c>
      <c r="D40" s="6" t="e">
        <f>_xlfn.XLOOKUP($E40,Tab_Def_Processes[Process_Name],Tab_Def_Processes[Process_ID],,0,)</f>
        <v>#N/A</v>
      </c>
      <c r="E40" s="134"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5"/>
      <c r="L40" s="184"/>
    </row>
    <row r="41" spans="1:12" x14ac:dyDescent="0.25">
      <c r="A41" s="138" t="b">
        <v>0</v>
      </c>
      <c r="B41" s="6">
        <f t="shared" si="2"/>
        <v>40</v>
      </c>
      <c r="C41" s="6" t="e">
        <f t="shared" si="1"/>
        <v>#N/A</v>
      </c>
      <c r="D41" s="6" t="e">
        <f>_xlfn.XLOOKUP($E41,Tab_Def_Processes[Process_Name],Tab_Def_Processes[Process_ID],,0,)</f>
        <v>#N/A</v>
      </c>
      <c r="E41" s="134"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5"/>
      <c r="L41" s="184"/>
    </row>
    <row r="42" spans="1:12" x14ac:dyDescent="0.25">
      <c r="A42" s="138" t="b">
        <v>0</v>
      </c>
      <c r="B42" s="6">
        <f t="shared" si="2"/>
        <v>41</v>
      </c>
      <c r="C42" s="6" t="e">
        <f t="shared" si="1"/>
        <v>#N/A</v>
      </c>
      <c r="D42" s="6" t="e">
        <f>_xlfn.XLOOKUP($E42,Tab_Def_Processes[Process_Name],Tab_Def_Processes[Process_ID],,0,)</f>
        <v>#N/A</v>
      </c>
      <c r="E42" s="134"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5"/>
      <c r="L42" s="184"/>
    </row>
    <row r="43" spans="1:12" x14ac:dyDescent="0.25">
      <c r="A43" s="138" t="b">
        <v>0</v>
      </c>
      <c r="B43" s="6">
        <f t="shared" si="2"/>
        <v>42</v>
      </c>
      <c r="C43" s="6" t="e">
        <f t="shared" si="1"/>
        <v>#N/A</v>
      </c>
      <c r="D43" s="6" t="e">
        <f>_xlfn.XLOOKUP($E43,Tab_Def_Processes[Process_Name],Tab_Def_Processes[Process_ID],,0,)</f>
        <v>#N/A</v>
      </c>
      <c r="E43" s="134"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5"/>
      <c r="L43" s="184"/>
    </row>
    <row r="44" spans="1:12" x14ac:dyDescent="0.25">
      <c r="A44" s="138" t="b">
        <v>0</v>
      </c>
      <c r="B44" s="6">
        <f t="shared" si="2"/>
        <v>43</v>
      </c>
      <c r="C44" s="6" t="e">
        <f t="shared" si="1"/>
        <v>#N/A</v>
      </c>
      <c r="D44" s="6" t="e">
        <f>_xlfn.XLOOKUP($E44,Tab_Def_Processes[Process_Name],Tab_Def_Processes[Process_ID],,0,)</f>
        <v>#N/A</v>
      </c>
      <c r="E44" s="134"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5"/>
      <c r="L44" s="184"/>
    </row>
    <row r="45" spans="1:12" x14ac:dyDescent="0.25">
      <c r="A45" s="138" t="b">
        <v>0</v>
      </c>
      <c r="B45" s="6">
        <f t="shared" si="2"/>
        <v>44</v>
      </c>
      <c r="C45" s="6" t="e">
        <f t="shared" si="1"/>
        <v>#N/A</v>
      </c>
      <c r="D45" s="6" t="e">
        <f>_xlfn.XLOOKUP($E45,Tab_Def_Processes[Process_Name],Tab_Def_Processes[Process_ID],,0,)</f>
        <v>#N/A</v>
      </c>
      <c r="E45" s="134"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5"/>
      <c r="L45" s="184"/>
    </row>
    <row r="46" spans="1:12" x14ac:dyDescent="0.25">
      <c r="A46" s="138" t="b">
        <v>0</v>
      </c>
      <c r="B46" s="6">
        <f t="shared" si="2"/>
        <v>45</v>
      </c>
      <c r="C46" s="6" t="e">
        <f t="shared" si="1"/>
        <v>#N/A</v>
      </c>
      <c r="D46" s="6" t="e">
        <f>_xlfn.XLOOKUP($E46,Tab_Def_Processes[Process_Name],Tab_Def_Processes[Process_ID],,0,)</f>
        <v>#N/A</v>
      </c>
      <c r="E46" s="134"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5"/>
      <c r="L46" s="184"/>
    </row>
    <row r="47" spans="1:12" x14ac:dyDescent="0.25">
      <c r="A47" s="138" t="b">
        <v>0</v>
      </c>
      <c r="B47" s="6">
        <f t="shared" si="2"/>
        <v>46</v>
      </c>
      <c r="C47" s="6" t="e">
        <f t="shared" si="1"/>
        <v>#N/A</v>
      </c>
      <c r="D47" s="6" t="e">
        <f>_xlfn.XLOOKUP($E47,Tab_Def_Processes[Process_Name],Tab_Def_Processes[Process_ID],,0,)</f>
        <v>#N/A</v>
      </c>
      <c r="E47" s="134"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5"/>
      <c r="L47" s="184"/>
    </row>
    <row r="48" spans="1:12" x14ac:dyDescent="0.25">
      <c r="A48" s="138" t="b">
        <v>0</v>
      </c>
      <c r="B48" s="6">
        <f t="shared" si="2"/>
        <v>47</v>
      </c>
      <c r="C48" s="6" t="e">
        <f t="shared" si="1"/>
        <v>#N/A</v>
      </c>
      <c r="D48" s="6" t="e">
        <f>_xlfn.XLOOKUP($E48,Tab_Def_Processes[Process_Name],Tab_Def_Processes[Process_ID],,0,)</f>
        <v>#N/A</v>
      </c>
      <c r="E48" s="134"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5"/>
      <c r="L48" s="184"/>
    </row>
    <row r="49" spans="1:12" x14ac:dyDescent="0.25">
      <c r="A49" s="138" t="b">
        <v>0</v>
      </c>
      <c r="B49" s="6">
        <f t="shared" si="2"/>
        <v>48</v>
      </c>
      <c r="C49" s="6" t="e">
        <f t="shared" si="1"/>
        <v>#N/A</v>
      </c>
      <c r="D49" s="6" t="e">
        <f>_xlfn.XLOOKUP($E49,Tab_Def_Processes[Process_Name],Tab_Def_Processes[Process_ID],,0,)</f>
        <v>#N/A</v>
      </c>
      <c r="E49" s="134"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5"/>
      <c r="L49" s="184"/>
    </row>
    <row r="50" spans="1:12" x14ac:dyDescent="0.25">
      <c r="A50" s="138" t="b">
        <v>0</v>
      </c>
      <c r="B50" s="6">
        <f t="shared" si="2"/>
        <v>49</v>
      </c>
      <c r="C50" s="6" t="e">
        <f t="shared" si="1"/>
        <v>#N/A</v>
      </c>
      <c r="D50" s="6" t="e">
        <f>_xlfn.XLOOKUP($E50,Tab_Def_Processes[Process_Name],Tab_Def_Processes[Process_ID],,0,)</f>
        <v>#N/A</v>
      </c>
      <c r="E50" s="134"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5"/>
      <c r="L50" s="184"/>
    </row>
    <row r="51" spans="1:12" x14ac:dyDescent="0.25">
      <c r="A51" s="138" t="b">
        <v>0</v>
      </c>
      <c r="B51" s="6">
        <f t="shared" si="2"/>
        <v>50</v>
      </c>
      <c r="C51" s="6" t="e">
        <f t="shared" si="1"/>
        <v>#N/A</v>
      </c>
      <c r="D51" s="6" t="e">
        <f>_xlfn.XLOOKUP($E51,Tab_Def_Processes[Process_Name],Tab_Def_Processes[Process_ID],,0,)</f>
        <v>#N/A</v>
      </c>
      <c r="E51" s="134"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5"/>
      <c r="L51" s="184"/>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37" t="s">
        <v>24</v>
      </c>
      <c r="B1" s="137" t="s">
        <v>7</v>
      </c>
      <c r="C1" s="137" t="s">
        <v>23</v>
      </c>
      <c r="D1" s="137" t="s">
        <v>431</v>
      </c>
      <c r="E1" s="137" t="s">
        <v>396</v>
      </c>
      <c r="F1" s="137" t="s">
        <v>459</v>
      </c>
      <c r="G1" s="137" t="s">
        <v>460</v>
      </c>
      <c r="H1" s="137" t="s">
        <v>493</v>
      </c>
      <c r="I1" s="137" t="s">
        <v>873</v>
      </c>
      <c r="J1" s="137" t="s">
        <v>445</v>
      </c>
      <c r="K1" s="137" t="s">
        <v>901</v>
      </c>
      <c r="L1" s="137" t="s">
        <v>447</v>
      </c>
    </row>
    <row r="2" spans="1:12" x14ac:dyDescent="0.25">
      <c r="A2" s="138" t="b">
        <v>0</v>
      </c>
      <c r="B2" s="6">
        <f t="shared" ref="B2:B81" si="0">ROW()-1</f>
        <v>1</v>
      </c>
      <c r="C2" s="6" t="str">
        <f>_xlfn.XLOOKUP($D2,Tab_Def_Processes[Process_Name],Tab_Def_Processes[Process_ID],,0,)</f>
        <v>15</v>
      </c>
      <c r="D2" s="134" t="s">
        <v>1084</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4">
        <v>1</v>
      </c>
      <c r="J2" s="134" t="s">
        <v>439</v>
      </c>
      <c r="K2" s="6" t="str">
        <f>Tab_DSM[[#This Row],[DSM_Parameter_type]]&amp;"_Cat_"&amp;Tab_DSM[[#This Row],[DSM_material_count]]</f>
        <v>DSM_Category_Name_Cat_1</v>
      </c>
      <c r="L2" s="7" t="s">
        <v>1138</v>
      </c>
    </row>
    <row r="3" spans="1:12" x14ac:dyDescent="0.25">
      <c r="A3" s="138" t="b">
        <v>0</v>
      </c>
      <c r="B3" s="6">
        <f t="shared" si="0"/>
        <v>2</v>
      </c>
      <c r="C3" s="6" t="str">
        <f>_xlfn.XLOOKUP($D3,Tab_Def_Processes[Process_Name],Tab_Def_Processes[Process_ID],,0,)</f>
        <v>15</v>
      </c>
      <c r="D3" s="134" t="s">
        <v>1084</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4">
        <v>1</v>
      </c>
      <c r="J3" s="134" t="s">
        <v>440</v>
      </c>
      <c r="K3" s="6" t="str">
        <f>Tab_DSM[[#This Row],[DSM_Parameter_type]]&amp;"_Cat_"&amp;Tab_DSM[[#This Row],[DSM_material_count]]</f>
        <v>DSM_Inflow_Split_[%]_Cat_1</v>
      </c>
      <c r="L3" s="7" t="s">
        <v>1141</v>
      </c>
    </row>
    <row r="4" spans="1:12" x14ac:dyDescent="0.25">
      <c r="A4" s="138" t="b">
        <v>0</v>
      </c>
      <c r="B4" s="6">
        <f t="shared" si="0"/>
        <v>3</v>
      </c>
      <c r="C4" s="6" t="str">
        <f>_xlfn.XLOOKUP($D4,Tab_Def_Processes[Process_Name],Tab_Def_Processes[Process_ID],,0,)</f>
        <v>15</v>
      </c>
      <c r="D4" s="134" t="s">
        <v>1084</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4">
        <v>1</v>
      </c>
      <c r="J4" s="134" t="s">
        <v>441</v>
      </c>
      <c r="K4" s="6" t="str">
        <f>Tab_DSM[[#This Row],[DSM_Parameter_type]]&amp;"_Cat_"&amp;Tab_DSM[[#This Row],[DSM_material_count]]</f>
        <v>DSM_Lifetime_Type_Cat_1</v>
      </c>
      <c r="L4" s="7" t="s">
        <v>172</v>
      </c>
    </row>
    <row r="5" spans="1:12" x14ac:dyDescent="0.25">
      <c r="A5" s="138" t="b">
        <v>0</v>
      </c>
      <c r="B5" s="6">
        <f t="shared" si="0"/>
        <v>4</v>
      </c>
      <c r="C5" s="6" t="str">
        <f>_xlfn.XLOOKUP($D5,Tab_Def_Processes[Process_Name],Tab_Def_Processes[Process_ID],,0,)</f>
        <v>15</v>
      </c>
      <c r="D5" s="134" t="s">
        <v>1084</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4">
        <v>1</v>
      </c>
      <c r="J5" s="134" t="s">
        <v>442</v>
      </c>
      <c r="K5" s="6" t="str">
        <f>Tab_DSM[[#This Row],[DSM_Parameter_type]]&amp;"_Cat_"&amp;Tab_DSM[[#This Row],[DSM_material_count]]</f>
        <v>DSM_Lifetime_Mean_Cat_1</v>
      </c>
      <c r="L5" s="7">
        <v>1</v>
      </c>
    </row>
    <row r="6" spans="1:12" x14ac:dyDescent="0.25">
      <c r="A6" s="138" t="b">
        <v>0</v>
      </c>
      <c r="B6" s="6">
        <f t="shared" si="0"/>
        <v>5</v>
      </c>
      <c r="C6" s="6" t="str">
        <f>_xlfn.XLOOKUP($D6,Tab_Def_Processes[Process_Name],Tab_Def_Processes[Process_ID],,0,)</f>
        <v>15</v>
      </c>
      <c r="D6" s="134" t="s">
        <v>1084</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4">
        <v>1</v>
      </c>
      <c r="J6" s="134" t="s">
        <v>443</v>
      </c>
      <c r="K6" s="6" t="str">
        <f>Tab_DSM[[#This Row],[DSM_Parameter_type]]&amp;"_Cat_"&amp;Tab_DSM[[#This Row],[DSM_material_count]]</f>
        <v>DSM_Lifetime_StdDev_Cat_1</v>
      </c>
      <c r="L6" s="7">
        <v>1</v>
      </c>
    </row>
    <row r="7" spans="1:12" x14ac:dyDescent="0.25">
      <c r="A7" s="138" t="b">
        <v>0</v>
      </c>
      <c r="B7" s="6">
        <f t="shared" si="0"/>
        <v>6</v>
      </c>
      <c r="C7" s="6" t="str">
        <f>_xlfn.XLOOKUP($D7,Tab_Def_Processes[Process_Name],Tab_Def_Processes[Process_ID],,0,)</f>
        <v>15</v>
      </c>
      <c r="D7" s="134" t="s">
        <v>1084</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4">
        <v>1</v>
      </c>
      <c r="J7" s="134" t="s">
        <v>448</v>
      </c>
      <c r="K7" s="6" t="str">
        <f>Tab_DSM[[#This Row],[DSM_Parameter_type]]&amp;"_Cat_"&amp;Tab_DSM[[#This Row],[DSM_material_count]]</f>
        <v>DSM_Output_1_Flow_ID_Cat_1</v>
      </c>
      <c r="L7" s="7" t="s">
        <v>1143</v>
      </c>
    </row>
    <row r="8" spans="1:12" x14ac:dyDescent="0.25">
      <c r="A8" s="138" t="b">
        <v>0</v>
      </c>
      <c r="B8" s="6">
        <f t="shared" si="0"/>
        <v>7</v>
      </c>
      <c r="C8" s="6" t="str">
        <f>_xlfn.XLOOKUP($D8,Tab_Def_Processes[Process_Name],Tab_Def_Processes[Process_ID],,0,)</f>
        <v>15</v>
      </c>
      <c r="D8" s="134" t="s">
        <v>1084</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4">
        <v>1</v>
      </c>
      <c r="J8" s="134" t="s">
        <v>450</v>
      </c>
      <c r="K8" s="6" t="str">
        <f>Tab_DSM[[#This Row],[DSM_Parameter_type]]&amp;"_Cat_"&amp;Tab_DSM[[#This Row],[DSM_material_count]]</f>
        <v>DSM_Output_1_Split_[%]_Cat_1</v>
      </c>
      <c r="L8" s="7">
        <v>1</v>
      </c>
    </row>
    <row r="9" spans="1:12" x14ac:dyDescent="0.25">
      <c r="A9" s="138" t="b">
        <v>0</v>
      </c>
      <c r="B9" s="6">
        <f t="shared" si="0"/>
        <v>8</v>
      </c>
      <c r="C9" s="6" t="str">
        <f>_xlfn.XLOOKUP($D9,Tab_Def_Processes[Process_Name],Tab_Def_Processes[Process_ID],,0,)</f>
        <v>15</v>
      </c>
      <c r="D9" s="134" t="s">
        <v>1084</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4">
        <v>2</v>
      </c>
      <c r="J9" s="134" t="s">
        <v>439</v>
      </c>
      <c r="K9" s="6" t="str">
        <f>Tab_DSM[[#This Row],[DSM_Parameter_type]]&amp;"_Cat_"&amp;Tab_DSM[[#This Row],[DSM_material_count]]</f>
        <v>DSM_Category_Name_Cat_2</v>
      </c>
      <c r="L9" s="7" t="s">
        <v>1139</v>
      </c>
    </row>
    <row r="10" spans="1:12" x14ac:dyDescent="0.25">
      <c r="A10" s="138" t="b">
        <v>0</v>
      </c>
      <c r="B10" s="6">
        <f t="shared" si="0"/>
        <v>9</v>
      </c>
      <c r="C10" s="6" t="str">
        <f>_xlfn.XLOOKUP($D10,Tab_Def_Processes[Process_Name],Tab_Def_Processes[Process_ID],,0,)</f>
        <v>15</v>
      </c>
      <c r="D10" s="134" t="s">
        <v>1084</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4">
        <v>2</v>
      </c>
      <c r="J10" s="134" t="s">
        <v>440</v>
      </c>
      <c r="K10" s="6" t="str">
        <f>Tab_DSM[[#This Row],[DSM_Parameter_type]]&amp;"_Cat_"&amp;Tab_DSM[[#This Row],[DSM_material_count]]</f>
        <v>DSM_Inflow_Split_[%]_Cat_2</v>
      </c>
      <c r="L10" s="7" t="s">
        <v>1142</v>
      </c>
    </row>
    <row r="11" spans="1:12" x14ac:dyDescent="0.25">
      <c r="A11" s="138" t="b">
        <v>0</v>
      </c>
      <c r="B11" s="6">
        <f t="shared" si="0"/>
        <v>10</v>
      </c>
      <c r="C11" s="6" t="str">
        <f>_xlfn.XLOOKUP($D11,Tab_Def_Processes[Process_Name],Tab_Def_Processes[Process_ID],,0,)</f>
        <v>15</v>
      </c>
      <c r="D11" s="134" t="s">
        <v>1084</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4">
        <v>2</v>
      </c>
      <c r="J11" s="134" t="s">
        <v>441</v>
      </c>
      <c r="K11" s="6" t="str">
        <f>Tab_DSM[[#This Row],[DSM_Parameter_type]]&amp;"_Cat_"&amp;Tab_DSM[[#This Row],[DSM_material_count]]</f>
        <v>DSM_Lifetime_Type_Cat_2</v>
      </c>
      <c r="L11" s="7" t="s">
        <v>172</v>
      </c>
    </row>
    <row r="12" spans="1:12" x14ac:dyDescent="0.25">
      <c r="A12" s="138" t="b">
        <v>0</v>
      </c>
      <c r="B12" s="6">
        <f t="shared" si="0"/>
        <v>11</v>
      </c>
      <c r="C12" s="6" t="str">
        <f>_xlfn.XLOOKUP($D12,Tab_Def_Processes[Process_Name],Tab_Def_Processes[Process_ID],,0,)</f>
        <v>15</v>
      </c>
      <c r="D12" s="134" t="s">
        <v>1084</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4">
        <v>2</v>
      </c>
      <c r="J12" s="134" t="s">
        <v>442</v>
      </c>
      <c r="K12" s="6" t="str">
        <f>Tab_DSM[[#This Row],[DSM_Parameter_type]]&amp;"_Cat_"&amp;Tab_DSM[[#This Row],[DSM_material_count]]</f>
        <v>DSM_Lifetime_Mean_Cat_2</v>
      </c>
      <c r="L12" s="7">
        <v>5</v>
      </c>
    </row>
    <row r="13" spans="1:12" x14ac:dyDescent="0.25">
      <c r="A13" s="138" t="b">
        <v>0</v>
      </c>
      <c r="B13" s="6">
        <f t="shared" si="0"/>
        <v>12</v>
      </c>
      <c r="C13" s="6" t="str">
        <f>_xlfn.XLOOKUP($D13,Tab_Def_Processes[Process_Name],Tab_Def_Processes[Process_ID],,0,)</f>
        <v>15</v>
      </c>
      <c r="D13" s="134" t="s">
        <v>1084</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4">
        <v>2</v>
      </c>
      <c r="J13" s="134" t="s">
        <v>443</v>
      </c>
      <c r="K13" s="6" t="str">
        <f>Tab_DSM[[#This Row],[DSM_Parameter_type]]&amp;"_Cat_"&amp;Tab_DSM[[#This Row],[DSM_material_count]]</f>
        <v>DSM_Lifetime_StdDev_Cat_2</v>
      </c>
      <c r="L13" s="7">
        <v>2</v>
      </c>
    </row>
    <row r="14" spans="1:12" x14ac:dyDescent="0.25">
      <c r="A14" s="138" t="b">
        <v>0</v>
      </c>
      <c r="B14" s="6">
        <f t="shared" si="0"/>
        <v>13</v>
      </c>
      <c r="C14" s="6" t="str">
        <f>_xlfn.XLOOKUP($D14,Tab_Def_Processes[Process_Name],Tab_Def_Processes[Process_ID],,0,)</f>
        <v>15</v>
      </c>
      <c r="D14" s="134" t="s">
        <v>1084</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4">
        <v>2</v>
      </c>
      <c r="J14" s="134" t="s">
        <v>448</v>
      </c>
      <c r="K14" s="6" t="str">
        <f>Tab_DSM[[#This Row],[DSM_Parameter_type]]&amp;"_Cat_"&amp;Tab_DSM[[#This Row],[DSM_material_count]]</f>
        <v>DSM_Output_1_Flow_ID_Cat_2</v>
      </c>
      <c r="L14" s="7" t="s">
        <v>1143</v>
      </c>
    </row>
    <row r="15" spans="1:12" x14ac:dyDescent="0.25">
      <c r="A15" s="138" t="b">
        <v>0</v>
      </c>
      <c r="B15" s="6">
        <f t="shared" si="0"/>
        <v>14</v>
      </c>
      <c r="C15" s="6" t="str">
        <f>_xlfn.XLOOKUP($D15,Tab_Def_Processes[Process_Name],Tab_Def_Processes[Process_ID],,0,)</f>
        <v>15</v>
      </c>
      <c r="D15" s="134" t="s">
        <v>1084</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4">
        <v>2</v>
      </c>
      <c r="J15" s="134" t="s">
        <v>450</v>
      </c>
      <c r="K15" s="6" t="str">
        <f>Tab_DSM[[#This Row],[DSM_Parameter_type]]&amp;"_Cat_"&amp;Tab_DSM[[#This Row],[DSM_material_count]]</f>
        <v>DSM_Output_1_Split_[%]_Cat_2</v>
      </c>
      <c r="L15" s="7">
        <v>1</v>
      </c>
    </row>
    <row r="16" spans="1:12" ht="30" x14ac:dyDescent="0.25">
      <c r="A16" s="138" t="b">
        <v>0</v>
      </c>
      <c r="B16" s="6">
        <f t="shared" si="0"/>
        <v>15</v>
      </c>
      <c r="C16" s="6" t="str">
        <f>_xlfn.XLOOKUP($D16,Tab_Def_Processes[Process_Name],Tab_Def_Processes[Process_ID],,0,)</f>
        <v>15</v>
      </c>
      <c r="D16" s="134" t="s">
        <v>1084</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4">
        <v>3</v>
      </c>
      <c r="J16" s="134" t="s">
        <v>439</v>
      </c>
      <c r="K16" s="6" t="str">
        <f>Tab_DSM[[#This Row],[DSM_Parameter_type]]&amp;"_Cat_"&amp;Tab_DSM[[#This Row],[DSM_material_count]]</f>
        <v>DSM_Category_Name_Cat_3</v>
      </c>
      <c r="L16" s="188" t="s">
        <v>1140</v>
      </c>
    </row>
    <row r="17" spans="1:12" x14ac:dyDescent="0.25">
      <c r="A17" s="138" t="b">
        <v>0</v>
      </c>
      <c r="B17" s="6">
        <f t="shared" si="0"/>
        <v>16</v>
      </c>
      <c r="C17" s="6" t="str">
        <f>_xlfn.XLOOKUP($D17,Tab_Def_Processes[Process_Name],Tab_Def_Processes[Process_ID],,0,)</f>
        <v>15</v>
      </c>
      <c r="D17" s="134" t="s">
        <v>1084</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4">
        <v>3</v>
      </c>
      <c r="J17" s="134" t="s">
        <v>440</v>
      </c>
      <c r="K17" s="6" t="str">
        <f>Tab_DSM[[#This Row],[DSM_Parameter_type]]&amp;"_Cat_"&amp;Tab_DSM[[#This Row],[DSM_material_count]]</f>
        <v>DSM_Inflow_Split_[%]_Cat_3</v>
      </c>
      <c r="L17" s="7" t="s">
        <v>1142</v>
      </c>
    </row>
    <row r="18" spans="1:12" x14ac:dyDescent="0.25">
      <c r="A18" s="138" t="b">
        <v>0</v>
      </c>
      <c r="B18" s="6">
        <f t="shared" si="0"/>
        <v>17</v>
      </c>
      <c r="C18" s="6" t="str">
        <f>_xlfn.XLOOKUP($D18,Tab_Def_Processes[Process_Name],Tab_Def_Processes[Process_ID],,0,)</f>
        <v>15</v>
      </c>
      <c r="D18" s="134" t="s">
        <v>1084</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4">
        <v>3</v>
      </c>
      <c r="J18" s="134" t="s">
        <v>441</v>
      </c>
      <c r="K18" s="6" t="str">
        <f>Tab_DSM[[#This Row],[DSM_Parameter_type]]&amp;"_Cat_"&amp;Tab_DSM[[#This Row],[DSM_material_count]]</f>
        <v>DSM_Lifetime_Type_Cat_3</v>
      </c>
      <c r="L18" s="7" t="s">
        <v>172</v>
      </c>
    </row>
    <row r="19" spans="1:12" x14ac:dyDescent="0.25">
      <c r="A19" s="138" t="b">
        <v>0</v>
      </c>
      <c r="B19" s="6">
        <f t="shared" si="0"/>
        <v>18</v>
      </c>
      <c r="C19" s="6" t="str">
        <f>_xlfn.XLOOKUP($D19,Tab_Def_Processes[Process_Name],Tab_Def_Processes[Process_ID],,0,)</f>
        <v>15</v>
      </c>
      <c r="D19" s="134" t="s">
        <v>1084</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4">
        <v>3</v>
      </c>
      <c r="J19" s="134" t="s">
        <v>442</v>
      </c>
      <c r="K19" s="6" t="str">
        <f>Tab_DSM[[#This Row],[DSM_Parameter_type]]&amp;"_Cat_"&amp;Tab_DSM[[#This Row],[DSM_material_count]]</f>
        <v>DSM_Lifetime_Mean_Cat_3</v>
      </c>
      <c r="L19" s="7">
        <v>10</v>
      </c>
    </row>
    <row r="20" spans="1:12" x14ac:dyDescent="0.25">
      <c r="A20" s="138" t="b">
        <v>0</v>
      </c>
      <c r="B20" s="6">
        <f t="shared" si="0"/>
        <v>19</v>
      </c>
      <c r="C20" s="6" t="str">
        <f>_xlfn.XLOOKUP($D20,Tab_Def_Processes[Process_Name],Tab_Def_Processes[Process_ID],,0,)</f>
        <v>15</v>
      </c>
      <c r="D20" s="134" t="s">
        <v>1084</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4">
        <v>3</v>
      </c>
      <c r="J20" s="134" t="s">
        <v>443</v>
      </c>
      <c r="K20" s="6" t="str">
        <f>Tab_DSM[[#This Row],[DSM_Parameter_type]]&amp;"_Cat_"&amp;Tab_DSM[[#This Row],[DSM_material_count]]</f>
        <v>DSM_Lifetime_StdDev_Cat_3</v>
      </c>
      <c r="L20" s="7">
        <v>4</v>
      </c>
    </row>
    <row r="21" spans="1:12" x14ac:dyDescent="0.25">
      <c r="A21" s="138" t="b">
        <v>0</v>
      </c>
      <c r="B21" s="6">
        <f t="shared" si="0"/>
        <v>20</v>
      </c>
      <c r="C21" s="6" t="str">
        <f>_xlfn.XLOOKUP($D21,Tab_Def_Processes[Process_Name],Tab_Def_Processes[Process_ID],,0,)</f>
        <v>15</v>
      </c>
      <c r="D21" s="134" t="s">
        <v>1084</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4">
        <v>3</v>
      </c>
      <c r="J21" s="134" t="s">
        <v>448</v>
      </c>
      <c r="K21" s="6" t="str">
        <f>Tab_DSM[[#This Row],[DSM_Parameter_type]]&amp;"_Cat_"&amp;Tab_DSM[[#This Row],[DSM_material_count]]</f>
        <v>DSM_Output_1_Flow_ID_Cat_3</v>
      </c>
      <c r="L21" s="7" t="s">
        <v>1143</v>
      </c>
    </row>
    <row r="22" spans="1:12" x14ac:dyDescent="0.25">
      <c r="A22" s="138" t="b">
        <v>0</v>
      </c>
      <c r="B22" s="6">
        <f t="shared" si="0"/>
        <v>21</v>
      </c>
      <c r="C22" s="6" t="str">
        <f>_xlfn.XLOOKUP($D22,Tab_Def_Processes[Process_Name],Tab_Def_Processes[Process_ID],,0,)</f>
        <v>15</v>
      </c>
      <c r="D22" s="134" t="s">
        <v>1084</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4">
        <v>3</v>
      </c>
      <c r="J22" s="134" t="s">
        <v>450</v>
      </c>
      <c r="K22" s="6" t="str">
        <f>Tab_DSM[[#This Row],[DSM_Parameter_type]]&amp;"_Cat_"&amp;Tab_DSM[[#This Row],[DSM_material_count]]</f>
        <v>DSM_Output_1_Split_[%]_Cat_3</v>
      </c>
      <c r="L22" s="7">
        <v>1</v>
      </c>
    </row>
    <row r="23" spans="1:12" x14ac:dyDescent="0.25">
      <c r="A23" s="138" t="b">
        <v>0</v>
      </c>
      <c r="B23" s="6">
        <f t="shared" si="0"/>
        <v>22</v>
      </c>
      <c r="C23" s="6" t="e">
        <f>_xlfn.XLOOKUP($D23,Tab_Def_Processes[Process_Name],Tab_Def_Processes[Process_ID],,0,)</f>
        <v>#N/A</v>
      </c>
      <c r="D23" s="134"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4"/>
      <c r="J23" s="134"/>
      <c r="K23" s="6" t="str">
        <f>Tab_DSM[[#This Row],[DSM_Parameter_type]]&amp;"_Cat_"&amp;Tab_DSM[[#This Row],[DSM_material_count]]</f>
        <v>_Cat_</v>
      </c>
      <c r="L23" s="7"/>
    </row>
    <row r="24" spans="1:12" x14ac:dyDescent="0.25">
      <c r="A24" s="138" t="b">
        <v>0</v>
      </c>
      <c r="B24" s="6">
        <f t="shared" si="0"/>
        <v>23</v>
      </c>
      <c r="C24" s="6" t="e">
        <f>_xlfn.XLOOKUP($D24,Tab_Def_Processes[Process_Name],Tab_Def_Processes[Process_ID],,0,)</f>
        <v>#N/A</v>
      </c>
      <c r="D24" s="134"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4"/>
      <c r="J24" s="134"/>
      <c r="K24" s="6" t="str">
        <f>Tab_DSM[[#This Row],[DSM_Parameter_type]]&amp;"_Cat_"&amp;Tab_DSM[[#This Row],[DSM_material_count]]</f>
        <v>_Cat_</v>
      </c>
      <c r="L24" s="7"/>
    </row>
    <row r="25" spans="1:12" x14ac:dyDescent="0.25">
      <c r="A25" s="138" t="b">
        <v>0</v>
      </c>
      <c r="B25" s="6">
        <f t="shared" si="0"/>
        <v>24</v>
      </c>
      <c r="C25" s="6" t="e">
        <f>_xlfn.XLOOKUP($D25,Tab_Def_Processes[Process_Name],Tab_Def_Processes[Process_ID],,0,)</f>
        <v>#N/A</v>
      </c>
      <c r="D25" s="134"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4"/>
      <c r="J25" s="134"/>
      <c r="K25" s="6" t="str">
        <f>Tab_DSM[[#This Row],[DSM_Parameter_type]]&amp;"_Cat_"&amp;Tab_DSM[[#This Row],[DSM_material_count]]</f>
        <v>_Cat_</v>
      </c>
      <c r="L25" s="7"/>
    </row>
    <row r="26" spans="1:12" x14ac:dyDescent="0.25">
      <c r="A26" s="138" t="b">
        <v>0</v>
      </c>
      <c r="B26" s="6">
        <f t="shared" si="0"/>
        <v>25</v>
      </c>
      <c r="C26" s="6" t="e">
        <f>_xlfn.XLOOKUP($D26,Tab_Def_Processes[Process_Name],Tab_Def_Processes[Process_ID],,0,)</f>
        <v>#N/A</v>
      </c>
      <c r="D26" s="134"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4"/>
      <c r="J26" s="134"/>
      <c r="K26" s="6" t="str">
        <f>Tab_DSM[[#This Row],[DSM_Parameter_type]]&amp;"_Cat_"&amp;Tab_DSM[[#This Row],[DSM_material_count]]</f>
        <v>_Cat_</v>
      </c>
      <c r="L26" s="7"/>
    </row>
    <row r="27" spans="1:12" x14ac:dyDescent="0.25">
      <c r="A27" s="138" t="b">
        <v>0</v>
      </c>
      <c r="B27" s="6">
        <f t="shared" si="0"/>
        <v>26</v>
      </c>
      <c r="C27" s="6" t="e">
        <f>_xlfn.XLOOKUP($D27,Tab_Def_Processes[Process_Name],Tab_Def_Processes[Process_ID],,0,)</f>
        <v>#N/A</v>
      </c>
      <c r="D27" s="134"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4"/>
      <c r="J27" s="134"/>
      <c r="K27" s="6" t="str">
        <f>Tab_DSM[[#This Row],[DSM_Parameter_type]]&amp;"_Cat_"&amp;Tab_DSM[[#This Row],[DSM_material_count]]</f>
        <v>_Cat_</v>
      </c>
      <c r="L27" s="7"/>
    </row>
    <row r="28" spans="1:12" x14ac:dyDescent="0.25">
      <c r="A28" s="138" t="b">
        <v>0</v>
      </c>
      <c r="B28" s="6">
        <f t="shared" si="0"/>
        <v>27</v>
      </c>
      <c r="C28" s="6" t="e">
        <f>_xlfn.XLOOKUP($D28,Tab_Def_Processes[Process_Name],Tab_Def_Processes[Process_ID],,0,)</f>
        <v>#N/A</v>
      </c>
      <c r="D28" s="134"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4"/>
      <c r="J28" s="134"/>
      <c r="K28" s="6" t="str">
        <f>Tab_DSM[[#This Row],[DSM_Parameter_type]]&amp;"_Cat_"&amp;Tab_DSM[[#This Row],[DSM_material_count]]</f>
        <v>_Cat_</v>
      </c>
      <c r="L28" s="7"/>
    </row>
    <row r="29" spans="1:12" x14ac:dyDescent="0.25">
      <c r="A29" s="138" t="b">
        <v>0</v>
      </c>
      <c r="B29" s="6">
        <f t="shared" si="0"/>
        <v>28</v>
      </c>
      <c r="C29" s="6" t="e">
        <f>_xlfn.XLOOKUP($D29,Tab_Def_Processes[Process_Name],Tab_Def_Processes[Process_ID],,0,)</f>
        <v>#N/A</v>
      </c>
      <c r="D29" s="134"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4"/>
      <c r="J29" s="134"/>
      <c r="K29" s="6" t="str">
        <f>Tab_DSM[[#This Row],[DSM_Parameter_type]]&amp;"_Cat_"&amp;Tab_DSM[[#This Row],[DSM_material_count]]</f>
        <v>_Cat_</v>
      </c>
      <c r="L29" s="7"/>
    </row>
    <row r="30" spans="1:12" x14ac:dyDescent="0.25">
      <c r="A30" s="138" t="b">
        <v>0</v>
      </c>
      <c r="B30" s="6">
        <f t="shared" si="0"/>
        <v>29</v>
      </c>
      <c r="C30" s="6" t="e">
        <f>_xlfn.XLOOKUP($D30,Tab_Def_Processes[Process_Name],Tab_Def_Processes[Process_ID],,0,)</f>
        <v>#N/A</v>
      </c>
      <c r="D30" s="134"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4"/>
      <c r="J30" s="134"/>
      <c r="K30" s="6" t="str">
        <f>Tab_DSM[[#This Row],[DSM_Parameter_type]]&amp;"_Cat_"&amp;Tab_DSM[[#This Row],[DSM_material_count]]</f>
        <v>_Cat_</v>
      </c>
      <c r="L30" s="7"/>
    </row>
    <row r="31" spans="1:12" x14ac:dyDescent="0.25">
      <c r="A31" s="138" t="b">
        <v>0</v>
      </c>
      <c r="B31" s="6">
        <f t="shared" si="0"/>
        <v>30</v>
      </c>
      <c r="C31" s="6" t="e">
        <f>_xlfn.XLOOKUP($D31,Tab_Def_Processes[Process_Name],Tab_Def_Processes[Process_ID],,0,)</f>
        <v>#N/A</v>
      </c>
      <c r="D31" s="134"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4"/>
      <c r="J31" s="134"/>
      <c r="K31" s="6" t="str">
        <f>Tab_DSM[[#This Row],[DSM_Parameter_type]]&amp;"_Cat_"&amp;Tab_DSM[[#This Row],[DSM_material_count]]</f>
        <v>_Cat_</v>
      </c>
      <c r="L31" s="7"/>
    </row>
    <row r="32" spans="1:12" x14ac:dyDescent="0.25">
      <c r="A32" s="138" t="b">
        <v>0</v>
      </c>
      <c r="B32" s="6">
        <f t="shared" si="0"/>
        <v>31</v>
      </c>
      <c r="C32" s="6" t="e">
        <f>_xlfn.XLOOKUP($D32,Tab_Def_Processes[Process_Name],Tab_Def_Processes[Process_ID],,0,)</f>
        <v>#N/A</v>
      </c>
      <c r="D32" s="134"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4"/>
      <c r="J32" s="134"/>
      <c r="K32" s="6" t="str">
        <f>Tab_DSM[[#This Row],[DSM_Parameter_type]]&amp;"_Cat_"&amp;Tab_DSM[[#This Row],[DSM_material_count]]</f>
        <v>_Cat_</v>
      </c>
      <c r="L32" s="7"/>
    </row>
    <row r="33" spans="1:12" x14ac:dyDescent="0.25">
      <c r="A33" s="138" t="b">
        <v>0</v>
      </c>
      <c r="B33" s="6">
        <f t="shared" si="0"/>
        <v>32</v>
      </c>
      <c r="C33" s="6" t="e">
        <f>_xlfn.XLOOKUP($D33,Tab_Def_Processes[Process_Name],Tab_Def_Processes[Process_ID],,0,)</f>
        <v>#N/A</v>
      </c>
      <c r="D33" s="134"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4"/>
      <c r="J33" s="134"/>
      <c r="K33" s="6" t="str">
        <f>Tab_DSM[[#This Row],[DSM_Parameter_type]]&amp;"_Cat_"&amp;Tab_DSM[[#This Row],[DSM_material_count]]</f>
        <v>_Cat_</v>
      </c>
      <c r="L33" s="7"/>
    </row>
    <row r="34" spans="1:12" x14ac:dyDescent="0.25">
      <c r="A34" s="138" t="b">
        <v>0</v>
      </c>
      <c r="B34" s="6">
        <f t="shared" si="0"/>
        <v>33</v>
      </c>
      <c r="C34" s="6" t="e">
        <f>_xlfn.XLOOKUP($D34,Tab_Def_Processes[Process_Name],Tab_Def_Processes[Process_ID],,0,)</f>
        <v>#N/A</v>
      </c>
      <c r="D34" s="134"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4"/>
      <c r="J34" s="134"/>
      <c r="K34" s="6" t="str">
        <f>Tab_DSM[[#This Row],[DSM_Parameter_type]]&amp;"_Cat_"&amp;Tab_DSM[[#This Row],[DSM_material_count]]</f>
        <v>_Cat_</v>
      </c>
      <c r="L34" s="7"/>
    </row>
    <row r="35" spans="1:12" x14ac:dyDescent="0.25">
      <c r="A35" s="138" t="b">
        <v>0</v>
      </c>
      <c r="B35" s="6">
        <f t="shared" si="0"/>
        <v>34</v>
      </c>
      <c r="C35" s="6" t="e">
        <f>_xlfn.XLOOKUP($D35,Tab_Def_Processes[Process_Name],Tab_Def_Processes[Process_ID],,0,)</f>
        <v>#N/A</v>
      </c>
      <c r="D35" s="134"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4"/>
      <c r="J35" s="134"/>
      <c r="K35" s="6" t="str">
        <f>Tab_DSM[[#This Row],[DSM_Parameter_type]]&amp;"_Cat_"&amp;Tab_DSM[[#This Row],[DSM_material_count]]</f>
        <v>_Cat_</v>
      </c>
      <c r="L35" s="7"/>
    </row>
    <row r="36" spans="1:12" x14ac:dyDescent="0.25">
      <c r="A36" s="138" t="b">
        <v>0</v>
      </c>
      <c r="B36" s="6">
        <f t="shared" si="0"/>
        <v>35</v>
      </c>
      <c r="C36" s="6" t="e">
        <f>_xlfn.XLOOKUP($D36,Tab_Def_Processes[Process_Name],Tab_Def_Processes[Process_ID],,0,)</f>
        <v>#N/A</v>
      </c>
      <c r="D36" s="134"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4"/>
      <c r="J36" s="134"/>
      <c r="K36" s="6" t="str">
        <f>Tab_DSM[[#This Row],[DSM_Parameter_type]]&amp;"_Cat_"&amp;Tab_DSM[[#This Row],[DSM_material_count]]</f>
        <v>_Cat_</v>
      </c>
      <c r="L36" s="7"/>
    </row>
    <row r="37" spans="1:12" x14ac:dyDescent="0.25">
      <c r="A37" s="138" t="b">
        <v>0</v>
      </c>
      <c r="B37" s="6">
        <f t="shared" si="0"/>
        <v>36</v>
      </c>
      <c r="C37" s="6" t="e">
        <f>_xlfn.XLOOKUP($D37,Tab_Def_Processes[Process_Name],Tab_Def_Processes[Process_ID],,0,)</f>
        <v>#N/A</v>
      </c>
      <c r="D37" s="134"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4"/>
      <c r="J37" s="134"/>
      <c r="K37" s="6" t="str">
        <f>Tab_DSM[[#This Row],[DSM_Parameter_type]]&amp;"_Cat_"&amp;Tab_DSM[[#This Row],[DSM_material_count]]</f>
        <v>_Cat_</v>
      </c>
      <c r="L37" s="7"/>
    </row>
    <row r="38" spans="1:12" x14ac:dyDescent="0.25">
      <c r="A38" s="138" t="b">
        <v>0</v>
      </c>
      <c r="B38" s="6">
        <f t="shared" si="0"/>
        <v>37</v>
      </c>
      <c r="C38" s="6" t="e">
        <f>_xlfn.XLOOKUP($D38,Tab_Def_Processes[Process_Name],Tab_Def_Processes[Process_ID],,0,)</f>
        <v>#N/A</v>
      </c>
      <c r="D38" s="134"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4"/>
      <c r="J38" s="134"/>
      <c r="K38" s="6" t="str">
        <f>Tab_DSM[[#This Row],[DSM_Parameter_type]]&amp;"_Cat_"&amp;Tab_DSM[[#This Row],[DSM_material_count]]</f>
        <v>_Cat_</v>
      </c>
      <c r="L38" s="7"/>
    </row>
    <row r="39" spans="1:12" x14ac:dyDescent="0.25">
      <c r="A39" s="138" t="b">
        <v>0</v>
      </c>
      <c r="B39" s="6">
        <f t="shared" si="0"/>
        <v>38</v>
      </c>
      <c r="C39" s="6" t="e">
        <f>_xlfn.XLOOKUP($D39,Tab_Def_Processes[Process_Name],Tab_Def_Processes[Process_ID],,0,)</f>
        <v>#N/A</v>
      </c>
      <c r="D39" s="134"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4"/>
      <c r="J39" s="134"/>
      <c r="K39" s="6" t="str">
        <f>Tab_DSM[[#This Row],[DSM_Parameter_type]]&amp;"_Cat_"&amp;Tab_DSM[[#This Row],[DSM_material_count]]</f>
        <v>_Cat_</v>
      </c>
      <c r="L39" s="7"/>
    </row>
    <row r="40" spans="1:12" x14ac:dyDescent="0.25">
      <c r="A40" s="138" t="b">
        <v>0</v>
      </c>
      <c r="B40" s="6">
        <f t="shared" si="0"/>
        <v>39</v>
      </c>
      <c r="C40" s="6" t="e">
        <f>_xlfn.XLOOKUP($D40,Tab_Def_Processes[Process_Name],Tab_Def_Processes[Process_ID],,0,)</f>
        <v>#N/A</v>
      </c>
      <c r="D40" s="134"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4"/>
      <c r="J40" s="134"/>
      <c r="K40" s="6" t="str">
        <f>Tab_DSM[[#This Row],[DSM_Parameter_type]]&amp;"_Cat_"&amp;Tab_DSM[[#This Row],[DSM_material_count]]</f>
        <v>_Cat_</v>
      </c>
      <c r="L40" s="7"/>
    </row>
    <row r="41" spans="1:12" x14ac:dyDescent="0.25">
      <c r="A41" s="138" t="b">
        <v>0</v>
      </c>
      <c r="B41" s="6">
        <f t="shared" si="0"/>
        <v>40</v>
      </c>
      <c r="C41" s="6" t="e">
        <f>_xlfn.XLOOKUP($D41,Tab_Def_Processes[Process_Name],Tab_Def_Processes[Process_ID],,0,)</f>
        <v>#N/A</v>
      </c>
      <c r="D41" s="134"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4"/>
      <c r="J41" s="134"/>
      <c r="K41" s="6" t="str">
        <f>Tab_DSM[[#This Row],[DSM_Parameter_type]]&amp;"_Cat_"&amp;Tab_DSM[[#This Row],[DSM_material_count]]</f>
        <v>_Cat_</v>
      </c>
      <c r="L41" s="7"/>
    </row>
    <row r="42" spans="1:12" x14ac:dyDescent="0.25">
      <c r="A42" s="138" t="b">
        <v>0</v>
      </c>
      <c r="B42" s="6">
        <f t="shared" si="0"/>
        <v>41</v>
      </c>
      <c r="C42" s="6" t="e">
        <f>_xlfn.XLOOKUP($D42,Tab_Def_Processes[Process_Name],Tab_Def_Processes[Process_ID],,0,)</f>
        <v>#N/A</v>
      </c>
      <c r="D42" s="134"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4"/>
      <c r="J42" s="134"/>
      <c r="K42" s="6" t="str">
        <f>Tab_DSM[[#This Row],[DSM_Parameter_type]]&amp;"_Cat_"&amp;Tab_DSM[[#This Row],[DSM_material_count]]</f>
        <v>_Cat_</v>
      </c>
      <c r="L42" s="7"/>
    </row>
    <row r="43" spans="1:12" x14ac:dyDescent="0.25">
      <c r="A43" s="138" t="b">
        <v>0</v>
      </c>
      <c r="B43" s="6">
        <f t="shared" si="0"/>
        <v>42</v>
      </c>
      <c r="C43" s="6" t="e">
        <f>_xlfn.XLOOKUP($D43,Tab_Def_Processes[Process_Name],Tab_Def_Processes[Process_ID],,0,)</f>
        <v>#N/A</v>
      </c>
      <c r="D43" s="134"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4"/>
      <c r="J43" s="134"/>
      <c r="K43" s="6" t="str">
        <f>Tab_DSM[[#This Row],[DSM_Parameter_type]]&amp;"_Cat_"&amp;Tab_DSM[[#This Row],[DSM_material_count]]</f>
        <v>_Cat_</v>
      </c>
      <c r="L43" s="7"/>
    </row>
    <row r="44" spans="1:12" x14ac:dyDescent="0.25">
      <c r="A44" s="138" t="b">
        <v>0</v>
      </c>
      <c r="B44" s="6">
        <f t="shared" si="0"/>
        <v>43</v>
      </c>
      <c r="C44" s="6" t="e">
        <f>_xlfn.XLOOKUP($D44,Tab_Def_Processes[Process_Name],Tab_Def_Processes[Process_ID],,0,)</f>
        <v>#N/A</v>
      </c>
      <c r="D44" s="134"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4"/>
      <c r="J44" s="134"/>
      <c r="K44" s="6" t="str">
        <f>Tab_DSM[[#This Row],[DSM_Parameter_type]]&amp;"_Cat_"&amp;Tab_DSM[[#This Row],[DSM_material_count]]</f>
        <v>_Cat_</v>
      </c>
      <c r="L44" s="7"/>
    </row>
    <row r="45" spans="1:12" x14ac:dyDescent="0.25">
      <c r="A45" s="138" t="b">
        <v>0</v>
      </c>
      <c r="B45" s="6">
        <f t="shared" si="0"/>
        <v>44</v>
      </c>
      <c r="C45" s="6" t="e">
        <f>_xlfn.XLOOKUP($D45,Tab_Def_Processes[Process_Name],Tab_Def_Processes[Process_ID],,0,)</f>
        <v>#N/A</v>
      </c>
      <c r="D45" s="134"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4"/>
      <c r="J45" s="134"/>
      <c r="K45" s="6" t="str">
        <f>Tab_DSM[[#This Row],[DSM_Parameter_type]]&amp;"_Cat_"&amp;Tab_DSM[[#This Row],[DSM_material_count]]</f>
        <v>_Cat_</v>
      </c>
      <c r="L45" s="7"/>
    </row>
    <row r="46" spans="1:12" x14ac:dyDescent="0.25">
      <c r="A46" s="138" t="b">
        <v>0</v>
      </c>
      <c r="B46" s="6">
        <f t="shared" si="0"/>
        <v>45</v>
      </c>
      <c r="C46" s="6" t="e">
        <f>_xlfn.XLOOKUP($D46,Tab_Def_Processes[Process_Name],Tab_Def_Processes[Process_ID],,0,)</f>
        <v>#N/A</v>
      </c>
      <c r="D46" s="134"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4"/>
      <c r="J46" s="134"/>
      <c r="K46" s="6" t="str">
        <f>Tab_DSM[[#This Row],[DSM_Parameter_type]]&amp;"_Cat_"&amp;Tab_DSM[[#This Row],[DSM_material_count]]</f>
        <v>_Cat_</v>
      </c>
      <c r="L46" s="7"/>
    </row>
    <row r="47" spans="1:12" x14ac:dyDescent="0.25">
      <c r="A47" s="138" t="b">
        <v>0</v>
      </c>
      <c r="B47" s="6">
        <f t="shared" si="0"/>
        <v>46</v>
      </c>
      <c r="C47" s="6" t="e">
        <f>_xlfn.XLOOKUP($D47,Tab_Def_Processes[Process_Name],Tab_Def_Processes[Process_ID],,0,)</f>
        <v>#N/A</v>
      </c>
      <c r="D47" s="134"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4"/>
      <c r="J47" s="134"/>
      <c r="K47" s="6" t="str">
        <f>Tab_DSM[[#This Row],[DSM_Parameter_type]]&amp;"_Cat_"&amp;Tab_DSM[[#This Row],[DSM_material_count]]</f>
        <v>_Cat_</v>
      </c>
      <c r="L47" s="7"/>
    </row>
    <row r="48" spans="1:12" x14ac:dyDescent="0.25">
      <c r="A48" s="138" t="b">
        <v>0</v>
      </c>
      <c r="B48" s="6">
        <f t="shared" si="0"/>
        <v>47</v>
      </c>
      <c r="C48" s="6" t="e">
        <f>_xlfn.XLOOKUP($D48,Tab_Def_Processes[Process_Name],Tab_Def_Processes[Process_ID],,0,)</f>
        <v>#N/A</v>
      </c>
      <c r="D48" s="134"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4"/>
      <c r="J48" s="134"/>
      <c r="K48" s="6" t="str">
        <f>Tab_DSM[[#This Row],[DSM_Parameter_type]]&amp;"_Cat_"&amp;Tab_DSM[[#This Row],[DSM_material_count]]</f>
        <v>_Cat_</v>
      </c>
      <c r="L48" s="7"/>
    </row>
    <row r="49" spans="1:12" x14ac:dyDescent="0.25">
      <c r="A49" s="138" t="b">
        <v>0</v>
      </c>
      <c r="B49" s="6">
        <f t="shared" si="0"/>
        <v>48</v>
      </c>
      <c r="C49" s="6" t="e">
        <f>_xlfn.XLOOKUP($D49,Tab_Def_Processes[Process_Name],Tab_Def_Processes[Process_ID],,0,)</f>
        <v>#N/A</v>
      </c>
      <c r="D49" s="134"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4"/>
      <c r="J49" s="134"/>
      <c r="K49" s="6" t="str">
        <f>Tab_DSM[[#This Row],[DSM_Parameter_type]]&amp;"_Cat_"&amp;Tab_DSM[[#This Row],[DSM_material_count]]</f>
        <v>_Cat_</v>
      </c>
      <c r="L49" s="7"/>
    </row>
    <row r="50" spans="1:12" x14ac:dyDescent="0.25">
      <c r="A50" s="138" t="b">
        <v>0</v>
      </c>
      <c r="B50" s="6">
        <f t="shared" si="0"/>
        <v>49</v>
      </c>
      <c r="C50" s="6" t="e">
        <f>_xlfn.XLOOKUP($D50,Tab_Def_Processes[Process_Name],Tab_Def_Processes[Process_ID],,0,)</f>
        <v>#N/A</v>
      </c>
      <c r="D50" s="134"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4"/>
      <c r="J50" s="134"/>
      <c r="K50" s="6" t="str">
        <f>Tab_DSM[[#This Row],[DSM_Parameter_type]]&amp;"_Cat_"&amp;Tab_DSM[[#This Row],[DSM_material_count]]</f>
        <v>_Cat_</v>
      </c>
      <c r="L50" s="7"/>
    </row>
    <row r="51" spans="1:12" x14ac:dyDescent="0.25">
      <c r="A51" s="138" t="b">
        <v>0</v>
      </c>
      <c r="B51" s="6">
        <f t="shared" si="0"/>
        <v>50</v>
      </c>
      <c r="C51" s="6" t="e">
        <f>_xlfn.XLOOKUP($D51,Tab_Def_Processes[Process_Name],Tab_Def_Processes[Process_ID],,0,)</f>
        <v>#N/A</v>
      </c>
      <c r="D51" s="134"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4"/>
      <c r="J51" s="134"/>
      <c r="K51" s="6" t="str">
        <f>Tab_DSM[[#This Row],[DSM_Parameter_type]]&amp;"_Cat_"&amp;Tab_DSM[[#This Row],[DSM_material_count]]</f>
        <v>_Cat_</v>
      </c>
      <c r="L51" s="7"/>
    </row>
    <row r="52" spans="1:12" x14ac:dyDescent="0.25">
      <c r="A52" s="138" t="b">
        <v>0</v>
      </c>
      <c r="B52" s="6">
        <f t="shared" si="0"/>
        <v>51</v>
      </c>
      <c r="C52" s="6" t="e">
        <f>_xlfn.XLOOKUP($D52,Tab_Def_Processes[Process_Name],Tab_Def_Processes[Process_ID],,0,)</f>
        <v>#N/A</v>
      </c>
      <c r="D52" s="134"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4"/>
      <c r="J52" s="134"/>
      <c r="K52" s="6" t="str">
        <f>Tab_DSM[[#This Row],[DSM_Parameter_type]]&amp;"_Cat_"&amp;Tab_DSM[[#This Row],[DSM_material_count]]</f>
        <v>_Cat_</v>
      </c>
      <c r="L52" s="7"/>
    </row>
    <row r="53" spans="1:12" x14ac:dyDescent="0.25">
      <c r="A53" s="138" t="b">
        <v>0</v>
      </c>
      <c r="B53" s="6">
        <f t="shared" si="0"/>
        <v>52</v>
      </c>
      <c r="C53" s="6" t="e">
        <f>_xlfn.XLOOKUP($D53,Tab_Def_Processes[Process_Name],Tab_Def_Processes[Process_ID],,0,)</f>
        <v>#N/A</v>
      </c>
      <c r="D53" s="134"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4"/>
      <c r="J53" s="134"/>
      <c r="K53" s="6" t="str">
        <f>Tab_DSM[[#This Row],[DSM_Parameter_type]]&amp;"_Cat_"&amp;Tab_DSM[[#This Row],[DSM_material_count]]</f>
        <v>_Cat_</v>
      </c>
      <c r="L53" s="7"/>
    </row>
    <row r="54" spans="1:12" x14ac:dyDescent="0.25">
      <c r="A54" s="138" t="b">
        <v>0</v>
      </c>
      <c r="B54" s="6">
        <f t="shared" si="0"/>
        <v>53</v>
      </c>
      <c r="C54" s="6" t="e">
        <f>_xlfn.XLOOKUP($D54,Tab_Def_Processes[Process_Name],Tab_Def_Processes[Process_ID],,0,)</f>
        <v>#N/A</v>
      </c>
      <c r="D54" s="134"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4"/>
      <c r="J54" s="134"/>
      <c r="K54" s="6" t="str">
        <f>Tab_DSM[[#This Row],[DSM_Parameter_type]]&amp;"_Cat_"&amp;Tab_DSM[[#This Row],[DSM_material_count]]</f>
        <v>_Cat_</v>
      </c>
      <c r="L54" s="7"/>
    </row>
    <row r="55" spans="1:12" x14ac:dyDescent="0.25">
      <c r="A55" s="138" t="b">
        <v>0</v>
      </c>
      <c r="B55" s="6">
        <f t="shared" si="0"/>
        <v>54</v>
      </c>
      <c r="C55" s="6" t="e">
        <f>_xlfn.XLOOKUP($D55,Tab_Def_Processes[Process_Name],Tab_Def_Processes[Process_ID],,0,)</f>
        <v>#N/A</v>
      </c>
      <c r="D55" s="134"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4"/>
      <c r="J55" s="134"/>
      <c r="K55" s="6" t="str">
        <f>Tab_DSM[[#This Row],[DSM_Parameter_type]]&amp;"_Cat_"&amp;Tab_DSM[[#This Row],[DSM_material_count]]</f>
        <v>_Cat_</v>
      </c>
      <c r="L55" s="7"/>
    </row>
    <row r="56" spans="1:12" x14ac:dyDescent="0.25">
      <c r="A56" s="138" t="b">
        <v>0</v>
      </c>
      <c r="B56" s="6">
        <f t="shared" si="0"/>
        <v>55</v>
      </c>
      <c r="C56" s="6" t="e">
        <f>_xlfn.XLOOKUP($D56,Tab_Def_Processes[Process_Name],Tab_Def_Processes[Process_ID],,0,)</f>
        <v>#N/A</v>
      </c>
      <c r="D56" s="134"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4"/>
      <c r="J56" s="134"/>
      <c r="K56" s="6" t="str">
        <f>Tab_DSM[[#This Row],[DSM_Parameter_type]]&amp;"_Cat_"&amp;Tab_DSM[[#This Row],[DSM_material_count]]</f>
        <v>_Cat_</v>
      </c>
      <c r="L56" s="7"/>
    </row>
    <row r="57" spans="1:12" x14ac:dyDescent="0.25">
      <c r="A57" s="138" t="b">
        <v>0</v>
      </c>
      <c r="B57" s="6">
        <f t="shared" si="0"/>
        <v>56</v>
      </c>
      <c r="C57" s="6" t="e">
        <f>_xlfn.XLOOKUP($D57,Tab_Def_Processes[Process_Name],Tab_Def_Processes[Process_ID],,0,)</f>
        <v>#N/A</v>
      </c>
      <c r="D57" s="134"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4"/>
      <c r="J57" s="134"/>
      <c r="K57" s="6" t="str">
        <f>Tab_DSM[[#This Row],[DSM_Parameter_type]]&amp;"_Cat_"&amp;Tab_DSM[[#This Row],[DSM_material_count]]</f>
        <v>_Cat_</v>
      </c>
      <c r="L57" s="7"/>
    </row>
    <row r="58" spans="1:12" x14ac:dyDescent="0.25">
      <c r="A58" s="138" t="b">
        <v>0</v>
      </c>
      <c r="B58" s="6">
        <f t="shared" si="0"/>
        <v>57</v>
      </c>
      <c r="C58" s="6" t="e">
        <f>_xlfn.XLOOKUP($D58,Tab_Def_Processes[Process_Name],Tab_Def_Processes[Process_ID],,0,)</f>
        <v>#N/A</v>
      </c>
      <c r="D58" s="134"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4"/>
      <c r="J58" s="134"/>
      <c r="K58" s="6" t="str">
        <f>Tab_DSM[[#This Row],[DSM_Parameter_type]]&amp;"_Cat_"&amp;Tab_DSM[[#This Row],[DSM_material_count]]</f>
        <v>_Cat_</v>
      </c>
      <c r="L58" s="7"/>
    </row>
    <row r="59" spans="1:12" x14ac:dyDescent="0.25">
      <c r="A59" s="138" t="b">
        <v>0</v>
      </c>
      <c r="B59" s="6">
        <f t="shared" si="0"/>
        <v>58</v>
      </c>
      <c r="C59" s="6" t="e">
        <f>_xlfn.XLOOKUP($D59,Tab_Def_Processes[Process_Name],Tab_Def_Processes[Process_ID],,0,)</f>
        <v>#N/A</v>
      </c>
      <c r="D59" s="134"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4"/>
      <c r="J59" s="134"/>
      <c r="K59" s="6" t="str">
        <f>Tab_DSM[[#This Row],[DSM_Parameter_type]]&amp;"_Cat_"&amp;Tab_DSM[[#This Row],[DSM_material_count]]</f>
        <v>_Cat_</v>
      </c>
      <c r="L59" s="7"/>
    </row>
    <row r="60" spans="1:12" x14ac:dyDescent="0.25">
      <c r="A60" s="138" t="b">
        <v>0</v>
      </c>
      <c r="B60" s="6">
        <f t="shared" si="0"/>
        <v>59</v>
      </c>
      <c r="C60" s="6" t="e">
        <f>_xlfn.XLOOKUP($D60,Tab_Def_Processes[Process_Name],Tab_Def_Processes[Process_ID],,0,)</f>
        <v>#N/A</v>
      </c>
      <c r="D60" s="134"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4"/>
      <c r="J60" s="134"/>
      <c r="K60" s="6" t="str">
        <f>Tab_DSM[[#This Row],[DSM_Parameter_type]]&amp;"_Cat_"&amp;Tab_DSM[[#This Row],[DSM_material_count]]</f>
        <v>_Cat_</v>
      </c>
      <c r="L60" s="7"/>
    </row>
    <row r="61" spans="1:12" x14ac:dyDescent="0.25">
      <c r="A61" s="138" t="b">
        <v>0</v>
      </c>
      <c r="B61" s="6">
        <f t="shared" si="0"/>
        <v>60</v>
      </c>
      <c r="C61" s="6" t="e">
        <f>_xlfn.XLOOKUP($D61,Tab_Def_Processes[Process_Name],Tab_Def_Processes[Process_ID],,0,)</f>
        <v>#N/A</v>
      </c>
      <c r="D61" s="134"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4"/>
      <c r="J61" s="134"/>
      <c r="K61" s="6" t="str">
        <f>Tab_DSM[[#This Row],[DSM_Parameter_type]]&amp;"_Cat_"&amp;Tab_DSM[[#This Row],[DSM_material_count]]</f>
        <v>_Cat_</v>
      </c>
      <c r="L61" s="7"/>
    </row>
    <row r="62" spans="1:12" x14ac:dyDescent="0.25">
      <c r="A62" s="138" t="b">
        <v>0</v>
      </c>
      <c r="B62" s="6">
        <f t="shared" si="0"/>
        <v>61</v>
      </c>
      <c r="C62" s="6" t="e">
        <f>_xlfn.XLOOKUP($D62,Tab_Def_Processes[Process_Name],Tab_Def_Processes[Process_ID],,0,)</f>
        <v>#N/A</v>
      </c>
      <c r="D62" s="134"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4"/>
      <c r="J62" s="134"/>
      <c r="K62" s="6" t="str">
        <f>Tab_DSM[[#This Row],[DSM_Parameter_type]]&amp;"_Cat_"&amp;Tab_DSM[[#This Row],[DSM_material_count]]</f>
        <v>_Cat_</v>
      </c>
      <c r="L62" s="7"/>
    </row>
    <row r="63" spans="1:12" x14ac:dyDescent="0.25">
      <c r="A63" s="138" t="b">
        <v>0</v>
      </c>
      <c r="B63" s="6">
        <f t="shared" si="0"/>
        <v>62</v>
      </c>
      <c r="C63" s="6" t="e">
        <f>_xlfn.XLOOKUP($D63,Tab_Def_Processes[Process_Name],Tab_Def_Processes[Process_ID],,0,)</f>
        <v>#N/A</v>
      </c>
      <c r="D63" s="134"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4"/>
      <c r="J63" s="134"/>
      <c r="K63" s="6" t="str">
        <f>Tab_DSM[[#This Row],[DSM_Parameter_type]]&amp;"_Cat_"&amp;Tab_DSM[[#This Row],[DSM_material_count]]</f>
        <v>_Cat_</v>
      </c>
      <c r="L63" s="7"/>
    </row>
    <row r="64" spans="1:12" x14ac:dyDescent="0.25">
      <c r="A64" s="138" t="b">
        <v>0</v>
      </c>
      <c r="B64" s="6">
        <f t="shared" si="0"/>
        <v>63</v>
      </c>
      <c r="C64" s="6" t="e">
        <f>_xlfn.XLOOKUP($D64,Tab_Def_Processes[Process_Name],Tab_Def_Processes[Process_ID],,0,)</f>
        <v>#N/A</v>
      </c>
      <c r="D64" s="134"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4"/>
      <c r="J64" s="134"/>
      <c r="K64" s="6" t="str">
        <f>Tab_DSM[[#This Row],[DSM_Parameter_type]]&amp;"_Cat_"&amp;Tab_DSM[[#This Row],[DSM_material_count]]</f>
        <v>_Cat_</v>
      </c>
      <c r="L64" s="7"/>
    </row>
    <row r="65" spans="1:12" x14ac:dyDescent="0.25">
      <c r="A65" s="138" t="b">
        <v>0</v>
      </c>
      <c r="B65" s="6">
        <f t="shared" si="0"/>
        <v>64</v>
      </c>
      <c r="C65" s="6" t="e">
        <f>_xlfn.XLOOKUP($D65,Tab_Def_Processes[Process_Name],Tab_Def_Processes[Process_ID],,0,)</f>
        <v>#N/A</v>
      </c>
      <c r="D65" s="134"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4"/>
      <c r="J65" s="134"/>
      <c r="K65" s="6" t="str">
        <f>Tab_DSM[[#This Row],[DSM_Parameter_type]]&amp;"_Cat_"&amp;Tab_DSM[[#This Row],[DSM_material_count]]</f>
        <v>_Cat_</v>
      </c>
      <c r="L65" s="7"/>
    </row>
    <row r="66" spans="1:12" x14ac:dyDescent="0.25">
      <c r="A66" s="138" t="b">
        <v>0</v>
      </c>
      <c r="B66" s="6">
        <f t="shared" si="0"/>
        <v>65</v>
      </c>
      <c r="C66" s="6" t="e">
        <f>_xlfn.XLOOKUP($D66,Tab_Def_Processes[Process_Name],Tab_Def_Processes[Process_ID],,0,)</f>
        <v>#N/A</v>
      </c>
      <c r="D66" s="134"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4"/>
      <c r="J66" s="134"/>
      <c r="K66" s="6" t="str">
        <f>Tab_DSM[[#This Row],[DSM_Parameter_type]]&amp;"_Cat_"&amp;Tab_DSM[[#This Row],[DSM_material_count]]</f>
        <v>_Cat_</v>
      </c>
      <c r="L66" s="7"/>
    </row>
    <row r="67" spans="1:12" x14ac:dyDescent="0.25">
      <c r="A67" s="138" t="b">
        <v>0</v>
      </c>
      <c r="B67" s="6">
        <f t="shared" si="0"/>
        <v>66</v>
      </c>
      <c r="C67" s="6" t="e">
        <f>_xlfn.XLOOKUP($D67,Tab_Def_Processes[Process_Name],Tab_Def_Processes[Process_ID],,0,)</f>
        <v>#N/A</v>
      </c>
      <c r="D67" s="134"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4"/>
      <c r="J67" s="134"/>
      <c r="K67" s="6" t="str">
        <f>Tab_DSM[[#This Row],[DSM_Parameter_type]]&amp;"_Cat_"&amp;Tab_DSM[[#This Row],[DSM_material_count]]</f>
        <v>_Cat_</v>
      </c>
      <c r="L67" s="7"/>
    </row>
    <row r="68" spans="1:12" x14ac:dyDescent="0.25">
      <c r="A68" s="138" t="b">
        <v>0</v>
      </c>
      <c r="B68" s="6">
        <f t="shared" si="0"/>
        <v>67</v>
      </c>
      <c r="C68" s="6" t="e">
        <f>_xlfn.XLOOKUP($D68,Tab_Def_Processes[Process_Name],Tab_Def_Processes[Process_ID],,0,)</f>
        <v>#N/A</v>
      </c>
      <c r="D68" s="134"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4"/>
      <c r="J68" s="134"/>
      <c r="K68" s="6" t="str">
        <f>Tab_DSM[[#This Row],[DSM_Parameter_type]]&amp;"_Cat_"&amp;Tab_DSM[[#This Row],[DSM_material_count]]</f>
        <v>_Cat_</v>
      </c>
      <c r="L68" s="7"/>
    </row>
    <row r="69" spans="1:12" x14ac:dyDescent="0.25">
      <c r="A69" s="138" t="b">
        <v>0</v>
      </c>
      <c r="B69" s="6">
        <f t="shared" si="0"/>
        <v>68</v>
      </c>
      <c r="C69" s="6" t="e">
        <f>_xlfn.XLOOKUP($D69,Tab_Def_Processes[Process_Name],Tab_Def_Processes[Process_ID],,0,)</f>
        <v>#N/A</v>
      </c>
      <c r="D69" s="134"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4"/>
      <c r="J69" s="134"/>
      <c r="K69" s="6" t="str">
        <f>Tab_DSM[[#This Row],[DSM_Parameter_type]]&amp;"_Cat_"&amp;Tab_DSM[[#This Row],[DSM_material_count]]</f>
        <v>_Cat_</v>
      </c>
      <c r="L69" s="7"/>
    </row>
    <row r="70" spans="1:12" x14ac:dyDescent="0.25">
      <c r="A70" s="138" t="b">
        <v>0</v>
      </c>
      <c r="B70" s="6">
        <f t="shared" si="0"/>
        <v>69</v>
      </c>
      <c r="C70" s="6" t="e">
        <f>_xlfn.XLOOKUP($D70,Tab_Def_Processes[Process_Name],Tab_Def_Processes[Process_ID],,0,)</f>
        <v>#N/A</v>
      </c>
      <c r="D70" s="134"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4"/>
      <c r="J70" s="134"/>
      <c r="K70" s="6" t="str">
        <f>Tab_DSM[[#This Row],[DSM_Parameter_type]]&amp;"_Cat_"&amp;Tab_DSM[[#This Row],[DSM_material_count]]</f>
        <v>_Cat_</v>
      </c>
      <c r="L70" s="7"/>
    </row>
    <row r="71" spans="1:12" x14ac:dyDescent="0.25">
      <c r="A71" s="138" t="b">
        <v>0</v>
      </c>
      <c r="B71" s="6">
        <f t="shared" si="0"/>
        <v>70</v>
      </c>
      <c r="C71" s="6" t="e">
        <f>_xlfn.XLOOKUP($D71,Tab_Def_Processes[Process_Name],Tab_Def_Processes[Process_ID],,0,)</f>
        <v>#N/A</v>
      </c>
      <c r="D71" s="134"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4"/>
      <c r="J71" s="134"/>
      <c r="K71" s="6" t="str">
        <f>Tab_DSM[[#This Row],[DSM_Parameter_type]]&amp;"_Cat_"&amp;Tab_DSM[[#This Row],[DSM_material_count]]</f>
        <v>_Cat_</v>
      </c>
      <c r="L71" s="7"/>
    </row>
    <row r="72" spans="1:12" x14ac:dyDescent="0.25">
      <c r="A72" s="138" t="b">
        <v>0</v>
      </c>
      <c r="B72" s="6">
        <f t="shared" si="0"/>
        <v>71</v>
      </c>
      <c r="C72" s="6" t="e">
        <f>_xlfn.XLOOKUP($D72,Tab_Def_Processes[Process_Name],Tab_Def_Processes[Process_ID],,0,)</f>
        <v>#N/A</v>
      </c>
      <c r="D72" s="134"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4"/>
      <c r="J72" s="134"/>
      <c r="K72" s="6" t="str">
        <f>Tab_DSM[[#This Row],[DSM_Parameter_type]]&amp;"_Cat_"&amp;Tab_DSM[[#This Row],[DSM_material_count]]</f>
        <v>_Cat_</v>
      </c>
      <c r="L72" s="7"/>
    </row>
    <row r="73" spans="1:12" x14ac:dyDescent="0.25">
      <c r="A73" s="138" t="b">
        <v>0</v>
      </c>
      <c r="B73" s="6">
        <f t="shared" si="0"/>
        <v>72</v>
      </c>
      <c r="C73" s="6" t="e">
        <f>_xlfn.XLOOKUP($D73,Tab_Def_Processes[Process_Name],Tab_Def_Processes[Process_ID],,0,)</f>
        <v>#N/A</v>
      </c>
      <c r="D73" s="134"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4"/>
      <c r="J73" s="134"/>
      <c r="K73" s="6" t="str">
        <f>Tab_DSM[[#This Row],[DSM_Parameter_type]]&amp;"_Cat_"&amp;Tab_DSM[[#This Row],[DSM_material_count]]</f>
        <v>_Cat_</v>
      </c>
      <c r="L73" s="7"/>
    </row>
    <row r="74" spans="1:12" x14ac:dyDescent="0.25">
      <c r="A74" s="138" t="b">
        <v>0</v>
      </c>
      <c r="B74" s="6">
        <f t="shared" si="0"/>
        <v>73</v>
      </c>
      <c r="C74" s="6" t="e">
        <f>_xlfn.XLOOKUP($D74,Tab_Def_Processes[Process_Name],Tab_Def_Processes[Process_ID],,0,)</f>
        <v>#N/A</v>
      </c>
      <c r="D74" s="134"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4"/>
      <c r="J74" s="134"/>
      <c r="K74" s="6" t="str">
        <f>Tab_DSM[[#This Row],[DSM_Parameter_type]]&amp;"_Cat_"&amp;Tab_DSM[[#This Row],[DSM_material_count]]</f>
        <v>_Cat_</v>
      </c>
      <c r="L74" s="7"/>
    </row>
    <row r="75" spans="1:12" x14ac:dyDescent="0.25">
      <c r="A75" s="138" t="b">
        <v>0</v>
      </c>
      <c r="B75" s="6">
        <f t="shared" si="0"/>
        <v>74</v>
      </c>
      <c r="C75" s="6" t="e">
        <f>_xlfn.XLOOKUP($D75,Tab_Def_Processes[Process_Name],Tab_Def_Processes[Process_ID],,0,)</f>
        <v>#N/A</v>
      </c>
      <c r="D75" s="134"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4"/>
      <c r="J75" s="134"/>
      <c r="K75" s="6" t="str">
        <f>Tab_DSM[[#This Row],[DSM_Parameter_type]]&amp;"_Cat_"&amp;Tab_DSM[[#This Row],[DSM_material_count]]</f>
        <v>_Cat_</v>
      </c>
      <c r="L75" s="7"/>
    </row>
    <row r="76" spans="1:12" x14ac:dyDescent="0.25">
      <c r="A76" s="138" t="b">
        <v>0</v>
      </c>
      <c r="B76" s="6">
        <f t="shared" si="0"/>
        <v>75</v>
      </c>
      <c r="C76" s="6" t="e">
        <f>_xlfn.XLOOKUP($D76,Tab_Def_Processes[Process_Name],Tab_Def_Processes[Process_ID],,0,)</f>
        <v>#N/A</v>
      </c>
      <c r="D76" s="134"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4"/>
      <c r="J76" s="134"/>
      <c r="K76" s="6" t="str">
        <f>Tab_DSM[[#This Row],[DSM_Parameter_type]]&amp;"_Cat_"&amp;Tab_DSM[[#This Row],[DSM_material_count]]</f>
        <v>_Cat_</v>
      </c>
      <c r="L76" s="7"/>
    </row>
    <row r="77" spans="1:12" x14ac:dyDescent="0.25">
      <c r="A77" s="138" t="b">
        <v>0</v>
      </c>
      <c r="B77" s="6">
        <f t="shared" si="0"/>
        <v>76</v>
      </c>
      <c r="C77" s="6" t="e">
        <f>_xlfn.XLOOKUP($D77,Tab_Def_Processes[Process_Name],Tab_Def_Processes[Process_ID],,0,)</f>
        <v>#N/A</v>
      </c>
      <c r="D77" s="134"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4"/>
      <c r="J77" s="134"/>
      <c r="K77" s="6" t="str">
        <f>Tab_DSM[[#This Row],[DSM_Parameter_type]]&amp;"_Cat_"&amp;Tab_DSM[[#This Row],[DSM_material_count]]</f>
        <v>_Cat_</v>
      </c>
      <c r="L77" s="7"/>
    </row>
    <row r="78" spans="1:12" x14ac:dyDescent="0.25">
      <c r="A78" s="138" t="b">
        <v>0</v>
      </c>
      <c r="B78" s="6">
        <f t="shared" si="0"/>
        <v>77</v>
      </c>
      <c r="C78" s="6" t="e">
        <f>_xlfn.XLOOKUP($D78,Tab_Def_Processes[Process_Name],Tab_Def_Processes[Process_ID],,0,)</f>
        <v>#N/A</v>
      </c>
      <c r="D78" s="134"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4"/>
      <c r="J78" s="134"/>
      <c r="K78" s="6" t="str">
        <f>Tab_DSM[[#This Row],[DSM_Parameter_type]]&amp;"_Cat_"&amp;Tab_DSM[[#This Row],[DSM_material_count]]</f>
        <v>_Cat_</v>
      </c>
      <c r="L78" s="7"/>
    </row>
    <row r="79" spans="1:12" x14ac:dyDescent="0.25">
      <c r="A79" s="138" t="b">
        <v>0</v>
      </c>
      <c r="B79" s="6">
        <f t="shared" si="0"/>
        <v>78</v>
      </c>
      <c r="C79" s="6" t="e">
        <f>_xlfn.XLOOKUP($D79,Tab_Def_Processes[Process_Name],Tab_Def_Processes[Process_ID],,0,)</f>
        <v>#N/A</v>
      </c>
      <c r="D79" s="134"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4"/>
      <c r="J79" s="134"/>
      <c r="K79" s="6" t="str">
        <f>Tab_DSM[[#This Row],[DSM_Parameter_type]]&amp;"_Cat_"&amp;Tab_DSM[[#This Row],[DSM_material_count]]</f>
        <v>_Cat_</v>
      </c>
      <c r="L79" s="7"/>
    </row>
    <row r="80" spans="1:12" x14ac:dyDescent="0.25">
      <c r="A80" s="138" t="b">
        <v>0</v>
      </c>
      <c r="B80" s="6">
        <f t="shared" si="0"/>
        <v>79</v>
      </c>
      <c r="C80" s="6" t="e">
        <f>_xlfn.XLOOKUP($D80,Tab_Def_Processes[Process_Name],Tab_Def_Processes[Process_ID],,0,)</f>
        <v>#N/A</v>
      </c>
      <c r="D80" s="134"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4"/>
      <c r="J80" s="134"/>
      <c r="K80" s="6" t="str">
        <f>Tab_DSM[[#This Row],[DSM_Parameter_type]]&amp;"_Cat_"&amp;Tab_DSM[[#This Row],[DSM_material_count]]</f>
        <v>_Cat_</v>
      </c>
      <c r="L80" s="7"/>
    </row>
    <row r="81" spans="1:12" x14ac:dyDescent="0.25">
      <c r="A81" s="138" t="b">
        <v>0</v>
      </c>
      <c r="B81" s="6">
        <f t="shared" si="0"/>
        <v>80</v>
      </c>
      <c r="C81" s="6" t="e">
        <f>_xlfn.XLOOKUP($D81,Tab_Def_Processes[Process_Name],Tab_Def_Processes[Process_ID],,0,)</f>
        <v>#N/A</v>
      </c>
      <c r="D81" s="134"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4"/>
      <c r="J81" s="134"/>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K16" sqref="K16"/>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37" t="s">
        <v>24</v>
      </c>
      <c r="B1" s="137" t="s">
        <v>7</v>
      </c>
      <c r="C1" s="137" t="s">
        <v>23</v>
      </c>
      <c r="D1" s="137" t="s">
        <v>431</v>
      </c>
      <c r="E1" s="137" t="s">
        <v>396</v>
      </c>
      <c r="F1" s="137" t="s">
        <v>459</v>
      </c>
      <c r="G1" s="137" t="s">
        <v>460</v>
      </c>
      <c r="H1" s="137" t="s">
        <v>493</v>
      </c>
      <c r="I1" s="137" t="s">
        <v>902</v>
      </c>
      <c r="J1" s="137" t="s">
        <v>900</v>
      </c>
      <c r="K1" s="137" t="s">
        <v>899</v>
      </c>
    </row>
    <row r="2" spans="1:11" x14ac:dyDescent="0.25">
      <c r="A2" s="138" t="b">
        <v>0</v>
      </c>
      <c r="B2" s="6">
        <f t="shared" ref="B2:B41" si="0">ROW()-1</f>
        <v>1</v>
      </c>
      <c r="C2" s="6" t="str">
        <f>_xlfn.XLOOKUP($D2,Tab_Def_Processes[Process_Name],Tab_Def_Processes[Process_ID],,0,)</f>
        <v>05</v>
      </c>
      <c r="D2" s="134" t="s">
        <v>1102</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4" t="s">
        <v>203</v>
      </c>
      <c r="K2" s="7">
        <v>0.7</v>
      </c>
    </row>
    <row r="3" spans="1:11" x14ac:dyDescent="0.25">
      <c r="A3" s="138" t="b">
        <v>0</v>
      </c>
      <c r="B3" s="6">
        <f t="shared" si="0"/>
        <v>2</v>
      </c>
      <c r="C3" s="6" t="str">
        <f>_xlfn.XLOOKUP($D3,Tab_Def_Processes[Process_Name],Tab_Def_Processes[Process_ID],,0,)</f>
        <v>05</v>
      </c>
      <c r="D3" s="134" t="s">
        <v>1102</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4" t="s">
        <v>204</v>
      </c>
      <c r="K3" s="7">
        <v>0.5</v>
      </c>
    </row>
    <row r="4" spans="1:11" x14ac:dyDescent="0.25">
      <c r="A4" s="138" t="b">
        <v>0</v>
      </c>
      <c r="B4" s="6">
        <f t="shared" si="0"/>
        <v>3</v>
      </c>
      <c r="C4" s="6" t="str">
        <f>_xlfn.XLOOKUP($D4,Tab_Def_Processes[Process_Name],Tab_Def_Processes[Process_ID],,0,)</f>
        <v>05</v>
      </c>
      <c r="D4" s="134" t="s">
        <v>1102</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4" t="s">
        <v>205</v>
      </c>
      <c r="K4" s="7">
        <v>0.3</v>
      </c>
    </row>
    <row r="5" spans="1:11" x14ac:dyDescent="0.25">
      <c r="A5" s="138" t="b">
        <v>0</v>
      </c>
      <c r="B5" s="6">
        <f t="shared" si="0"/>
        <v>4</v>
      </c>
      <c r="C5" s="6" t="str">
        <f>_xlfn.XLOOKUP($D5,Tab_Def_Processes[Process_Name],Tab_Def_Processes[Process_ID],,0,)</f>
        <v>05</v>
      </c>
      <c r="D5" s="134" t="s">
        <v>1102</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4" t="s">
        <v>206</v>
      </c>
      <c r="K5" s="7">
        <v>2.5000000000000001E-2</v>
      </c>
    </row>
    <row r="6" spans="1:11" x14ac:dyDescent="0.25">
      <c r="A6" s="138" t="b">
        <v>0</v>
      </c>
      <c r="B6" s="6">
        <f t="shared" si="0"/>
        <v>5</v>
      </c>
      <c r="C6" s="6" t="str">
        <f>_xlfn.XLOOKUP($D6,Tab_Def_Processes[Process_Name],Tab_Def_Processes[Process_ID],,0,)</f>
        <v>05</v>
      </c>
      <c r="D6" s="134" t="s">
        <v>1102</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4" t="s">
        <v>199</v>
      </c>
      <c r="K6" s="7" t="s">
        <v>1146</v>
      </c>
    </row>
    <row r="7" spans="1:11" x14ac:dyDescent="0.25">
      <c r="A7" s="138" t="b">
        <v>0</v>
      </c>
      <c r="B7" s="6">
        <f t="shared" si="0"/>
        <v>6</v>
      </c>
      <c r="C7" s="6" t="str">
        <f>_xlfn.XLOOKUP($D7,Tab_Def_Processes[Process_Name],Tab_Def_Processes[Process_ID],,0,)</f>
        <v>05</v>
      </c>
      <c r="D7" s="134" t="s">
        <v>1102</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4" t="s">
        <v>202</v>
      </c>
      <c r="K7" s="7" t="s">
        <v>1147</v>
      </c>
    </row>
    <row r="8" spans="1:11" x14ac:dyDescent="0.25">
      <c r="A8" s="138" t="b">
        <v>0</v>
      </c>
      <c r="B8" s="6">
        <f t="shared" si="0"/>
        <v>7</v>
      </c>
      <c r="C8" s="6" t="str">
        <f>_xlfn.XLOOKUP($D8,Tab_Def_Processes[Process_Name],Tab_Def_Processes[Process_ID],,0,)</f>
        <v>22</v>
      </c>
      <c r="D8" s="134" t="s">
        <v>1097</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4" t="s">
        <v>203</v>
      </c>
      <c r="K8" s="7">
        <v>0.05</v>
      </c>
    </row>
    <row r="9" spans="1:11" x14ac:dyDescent="0.25">
      <c r="A9" s="138" t="b">
        <v>0</v>
      </c>
      <c r="B9" s="6">
        <f t="shared" si="0"/>
        <v>8</v>
      </c>
      <c r="C9" s="6" t="str">
        <f>_xlfn.XLOOKUP($D9,Tab_Def_Processes[Process_Name],Tab_Def_Processes[Process_ID],,0,)</f>
        <v>22</v>
      </c>
      <c r="D9" s="134" t="s">
        <v>1097</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4" t="s">
        <v>204</v>
      </c>
      <c r="K9" s="7">
        <v>0.5</v>
      </c>
    </row>
    <row r="10" spans="1:11" x14ac:dyDescent="0.25">
      <c r="A10" s="138" t="b">
        <v>0</v>
      </c>
      <c r="B10" s="6">
        <f t="shared" si="0"/>
        <v>9</v>
      </c>
      <c r="C10" s="6" t="str">
        <f>_xlfn.XLOOKUP($D10,Tab_Def_Processes[Process_Name],Tab_Def_Processes[Process_ID],,0,)</f>
        <v>22</v>
      </c>
      <c r="D10" s="134" t="s">
        <v>1097</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4" t="s">
        <v>205</v>
      </c>
      <c r="K10" s="7">
        <v>0.95</v>
      </c>
    </row>
    <row r="11" spans="1:11" x14ac:dyDescent="0.25">
      <c r="A11" s="138" t="b">
        <v>0</v>
      </c>
      <c r="B11" s="6">
        <f t="shared" si="0"/>
        <v>10</v>
      </c>
      <c r="C11" s="6" t="str">
        <f>_xlfn.XLOOKUP($D11,Tab_Def_Processes[Process_Name],Tab_Def_Processes[Process_ID],,0,)</f>
        <v>22</v>
      </c>
      <c r="D11" s="134" t="s">
        <v>1097</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4" t="s">
        <v>206</v>
      </c>
      <c r="K11" s="7">
        <v>1.4E-3</v>
      </c>
    </row>
    <row r="12" spans="1:11" x14ac:dyDescent="0.25">
      <c r="A12" s="138" t="b">
        <v>0</v>
      </c>
      <c r="B12" s="6">
        <f t="shared" si="0"/>
        <v>11</v>
      </c>
      <c r="C12" s="6" t="str">
        <f>_xlfn.XLOOKUP($D12,Tab_Def_Processes[Process_Name],Tab_Def_Processes[Process_ID],,0,)</f>
        <v>22</v>
      </c>
      <c r="D12" s="134" t="s">
        <v>1097</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4" t="s">
        <v>199</v>
      </c>
      <c r="K12" s="7" t="s">
        <v>1144</v>
      </c>
    </row>
    <row r="13" spans="1:11" x14ac:dyDescent="0.25">
      <c r="A13" s="138" t="b">
        <v>0</v>
      </c>
      <c r="B13" s="6">
        <f t="shared" si="0"/>
        <v>12</v>
      </c>
      <c r="C13" s="6" t="str">
        <f>_xlfn.XLOOKUP($D13,Tab_Def_Processes[Process_Name],Tab_Def_Processes[Process_ID],,0,)</f>
        <v>22</v>
      </c>
      <c r="D13" s="134" t="s">
        <v>1097</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4" t="s">
        <v>202</v>
      </c>
      <c r="K13" s="7" t="s">
        <v>1145</v>
      </c>
    </row>
    <row r="14" spans="1:11" x14ac:dyDescent="0.25">
      <c r="A14" s="138" t="b">
        <v>0</v>
      </c>
      <c r="B14" s="6">
        <f t="shared" si="0"/>
        <v>13</v>
      </c>
      <c r="C14" s="6" t="str">
        <f>_xlfn.XLOOKUP($D14,Tab_Def_Processes[Process_Name],Tab_Def_Processes[Process_ID],,0,)</f>
        <v>23</v>
      </c>
      <c r="D14" s="134"/>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4"/>
      <c r="K14" s="7"/>
    </row>
    <row r="15" spans="1:11" x14ac:dyDescent="0.25">
      <c r="A15" s="138" t="b">
        <v>0</v>
      </c>
      <c r="B15" s="6">
        <f t="shared" si="0"/>
        <v>14</v>
      </c>
      <c r="C15" s="6" t="str">
        <f>_xlfn.XLOOKUP($D15,Tab_Def_Processes[Process_Name],Tab_Def_Processes[Process_ID],,0,)</f>
        <v>23</v>
      </c>
      <c r="D15" s="134"/>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4"/>
      <c r="K15" s="7"/>
    </row>
    <row r="16" spans="1:11" x14ac:dyDescent="0.25">
      <c r="A16" s="138" t="b">
        <v>0</v>
      </c>
      <c r="B16" s="6">
        <f t="shared" si="0"/>
        <v>15</v>
      </c>
      <c r="C16" s="6" t="str">
        <f>_xlfn.XLOOKUP($D16,Tab_Def_Processes[Process_Name],Tab_Def_Processes[Process_ID],,0,)</f>
        <v>23</v>
      </c>
      <c r="D16" s="134"/>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4"/>
      <c r="K16" s="7"/>
    </row>
    <row r="17" spans="1:11" x14ac:dyDescent="0.25">
      <c r="A17" s="138" t="b">
        <v>0</v>
      </c>
      <c r="B17" s="6">
        <f t="shared" si="0"/>
        <v>16</v>
      </c>
      <c r="C17" s="6" t="str">
        <f>_xlfn.XLOOKUP($D17,Tab_Def_Processes[Process_Name],Tab_Def_Processes[Process_ID],,0,)</f>
        <v>23</v>
      </c>
      <c r="D17" s="134"/>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4"/>
      <c r="K17" s="7"/>
    </row>
    <row r="18" spans="1:11" x14ac:dyDescent="0.25">
      <c r="A18" s="138" t="b">
        <v>0</v>
      </c>
      <c r="B18" s="6">
        <f t="shared" si="0"/>
        <v>17</v>
      </c>
      <c r="C18" s="6" t="str">
        <f>_xlfn.XLOOKUP($D18,Tab_Def_Processes[Process_Name],Tab_Def_Processes[Process_ID],,0,)</f>
        <v>23</v>
      </c>
      <c r="D18" s="134"/>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4"/>
      <c r="K18" s="7"/>
    </row>
    <row r="19" spans="1:11" x14ac:dyDescent="0.25">
      <c r="A19" s="138" t="b">
        <v>0</v>
      </c>
      <c r="B19" s="6">
        <f t="shared" si="0"/>
        <v>18</v>
      </c>
      <c r="C19" s="6" t="str">
        <f>_xlfn.XLOOKUP($D19,Tab_Def_Processes[Process_Name],Tab_Def_Processes[Process_ID],,0,)</f>
        <v>23</v>
      </c>
      <c r="D19" s="134"/>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4"/>
      <c r="K19" s="7"/>
    </row>
    <row r="20" spans="1:11" x14ac:dyDescent="0.25">
      <c r="A20" s="138" t="b">
        <v>0</v>
      </c>
      <c r="B20" s="6">
        <f t="shared" si="0"/>
        <v>19</v>
      </c>
      <c r="C20" s="6" t="str">
        <f>_xlfn.XLOOKUP($D20,Tab_Def_Processes[Process_Name],Tab_Def_Processes[Process_ID],,0,)</f>
        <v>23</v>
      </c>
      <c r="D20" s="134"/>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4"/>
      <c r="K20" s="7"/>
    </row>
    <row r="21" spans="1:11" x14ac:dyDescent="0.25">
      <c r="A21" s="138" t="b">
        <v>0</v>
      </c>
      <c r="B21" s="6">
        <f t="shared" si="0"/>
        <v>20</v>
      </c>
      <c r="C21" s="6" t="str">
        <f>_xlfn.XLOOKUP($D21,Tab_Def_Processes[Process_Name],Tab_Def_Processes[Process_ID],,0,)</f>
        <v>23</v>
      </c>
      <c r="D21" s="134"/>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4"/>
      <c r="K21" s="7"/>
    </row>
    <row r="22" spans="1:11" x14ac:dyDescent="0.25">
      <c r="A22" s="138" t="b">
        <v>0</v>
      </c>
      <c r="B22" s="6">
        <f t="shared" si="0"/>
        <v>21</v>
      </c>
      <c r="C22" s="6" t="str">
        <f>_xlfn.XLOOKUP($D22,Tab_Def_Processes[Process_Name],Tab_Def_Processes[Process_ID],,0,)</f>
        <v>23</v>
      </c>
      <c r="D22" s="134"/>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4"/>
      <c r="K22" s="7"/>
    </row>
    <row r="23" spans="1:11" x14ac:dyDescent="0.25">
      <c r="A23" s="138" t="b">
        <v>0</v>
      </c>
      <c r="B23" s="6">
        <f t="shared" si="0"/>
        <v>22</v>
      </c>
      <c r="C23" s="6" t="str">
        <f>_xlfn.XLOOKUP($D23,Tab_Def_Processes[Process_Name],Tab_Def_Processes[Process_ID],,0,)</f>
        <v>23</v>
      </c>
      <c r="D23" s="134"/>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4"/>
      <c r="K23" s="7"/>
    </row>
    <row r="24" spans="1:11" x14ac:dyDescent="0.25">
      <c r="A24" s="138" t="b">
        <v>0</v>
      </c>
      <c r="B24" s="6">
        <f t="shared" si="0"/>
        <v>23</v>
      </c>
      <c r="C24" s="6" t="str">
        <f>_xlfn.XLOOKUP($D24,Tab_Def_Processes[Process_Name],Tab_Def_Processes[Process_ID],,0,)</f>
        <v>23</v>
      </c>
      <c r="D24" s="134"/>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4"/>
      <c r="K24" s="7"/>
    </row>
    <row r="25" spans="1:11" x14ac:dyDescent="0.25">
      <c r="A25" s="138" t="b">
        <v>0</v>
      </c>
      <c r="B25" s="6">
        <f t="shared" si="0"/>
        <v>24</v>
      </c>
      <c r="C25" s="6" t="str">
        <f>_xlfn.XLOOKUP($D25,Tab_Def_Processes[Process_Name],Tab_Def_Processes[Process_ID],,0,)</f>
        <v>23</v>
      </c>
      <c r="D25" s="134"/>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4"/>
      <c r="K25" s="7"/>
    </row>
    <row r="26" spans="1:11" x14ac:dyDescent="0.25">
      <c r="A26" s="138" t="b">
        <v>0</v>
      </c>
      <c r="B26" s="6">
        <f t="shared" si="0"/>
        <v>25</v>
      </c>
      <c r="C26" s="6" t="str">
        <f>_xlfn.XLOOKUP($D26,Tab_Def_Processes[Process_Name],Tab_Def_Processes[Process_ID],,0,)</f>
        <v>23</v>
      </c>
      <c r="D26" s="134"/>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4"/>
      <c r="K26" s="7"/>
    </row>
    <row r="27" spans="1:11" x14ac:dyDescent="0.25">
      <c r="A27" s="138" t="b">
        <v>0</v>
      </c>
      <c r="B27" s="6">
        <f t="shared" si="0"/>
        <v>26</v>
      </c>
      <c r="C27" s="6" t="str">
        <f>_xlfn.XLOOKUP($D27,Tab_Def_Processes[Process_Name],Tab_Def_Processes[Process_ID],,0,)</f>
        <v>23</v>
      </c>
      <c r="D27" s="134"/>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4"/>
      <c r="K27" s="7"/>
    </row>
    <row r="28" spans="1:11" x14ac:dyDescent="0.25">
      <c r="A28" s="138" t="b">
        <v>0</v>
      </c>
      <c r="B28" s="6">
        <f t="shared" si="0"/>
        <v>27</v>
      </c>
      <c r="C28" s="6" t="str">
        <f>_xlfn.XLOOKUP($D28,Tab_Def_Processes[Process_Name],Tab_Def_Processes[Process_ID],,0,)</f>
        <v>23</v>
      </c>
      <c r="D28" s="134"/>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4"/>
      <c r="K28" s="7"/>
    </row>
    <row r="29" spans="1:11" x14ac:dyDescent="0.25">
      <c r="A29" s="138" t="b">
        <v>0</v>
      </c>
      <c r="B29" s="6">
        <f t="shared" si="0"/>
        <v>28</v>
      </c>
      <c r="C29" s="6" t="str">
        <f>_xlfn.XLOOKUP($D29,Tab_Def_Processes[Process_Name],Tab_Def_Processes[Process_ID],,0,)</f>
        <v>23</v>
      </c>
      <c r="D29" s="134"/>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4"/>
      <c r="K29" s="7"/>
    </row>
    <row r="30" spans="1:11" x14ac:dyDescent="0.25">
      <c r="A30" s="138" t="b">
        <v>0</v>
      </c>
      <c r="B30" s="6">
        <f t="shared" si="0"/>
        <v>29</v>
      </c>
      <c r="C30" s="6" t="str">
        <f>_xlfn.XLOOKUP($D30,Tab_Def_Processes[Process_Name],Tab_Def_Processes[Process_ID],,0,)</f>
        <v>23</v>
      </c>
      <c r="D30" s="134"/>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4"/>
      <c r="K30" s="7"/>
    </row>
    <row r="31" spans="1:11" x14ac:dyDescent="0.25">
      <c r="A31" s="138" t="b">
        <v>0</v>
      </c>
      <c r="B31" s="6">
        <f t="shared" si="0"/>
        <v>30</v>
      </c>
      <c r="C31" s="6" t="str">
        <f>_xlfn.XLOOKUP($D31,Tab_Def_Processes[Process_Name],Tab_Def_Processes[Process_ID],,0,)</f>
        <v>23</v>
      </c>
      <c r="D31" s="134"/>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4"/>
      <c r="K31" s="7"/>
    </row>
    <row r="32" spans="1:11" x14ac:dyDescent="0.25">
      <c r="A32" s="138" t="b">
        <v>0</v>
      </c>
      <c r="B32" s="6">
        <f t="shared" si="0"/>
        <v>31</v>
      </c>
      <c r="C32" s="6" t="str">
        <f>_xlfn.XLOOKUP($D32,Tab_Def_Processes[Process_Name],Tab_Def_Processes[Process_ID],,0,)</f>
        <v>23</v>
      </c>
      <c r="D32" s="134"/>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4"/>
      <c r="K32" s="7"/>
    </row>
    <row r="33" spans="1:11" x14ac:dyDescent="0.25">
      <c r="A33" s="138" t="b">
        <v>0</v>
      </c>
      <c r="B33" s="6">
        <f t="shared" si="0"/>
        <v>32</v>
      </c>
      <c r="C33" s="6" t="str">
        <f>_xlfn.XLOOKUP($D33,Tab_Def_Processes[Process_Name],Tab_Def_Processes[Process_ID],,0,)</f>
        <v>23</v>
      </c>
      <c r="D33" s="134"/>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4"/>
      <c r="K33" s="7"/>
    </row>
    <row r="34" spans="1:11" x14ac:dyDescent="0.25">
      <c r="A34" s="138" t="b">
        <v>0</v>
      </c>
      <c r="B34" s="6">
        <f t="shared" si="0"/>
        <v>33</v>
      </c>
      <c r="C34" s="6" t="str">
        <f>_xlfn.XLOOKUP($D34,Tab_Def_Processes[Process_Name],Tab_Def_Processes[Process_ID],,0,)</f>
        <v>23</v>
      </c>
      <c r="D34" s="134"/>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4"/>
      <c r="K34" s="7"/>
    </row>
    <row r="35" spans="1:11" x14ac:dyDescent="0.25">
      <c r="A35" s="138" t="b">
        <v>0</v>
      </c>
      <c r="B35" s="6">
        <f t="shared" si="0"/>
        <v>34</v>
      </c>
      <c r="C35" s="6" t="str">
        <f>_xlfn.XLOOKUP($D35,Tab_Def_Processes[Process_Name],Tab_Def_Processes[Process_ID],,0,)</f>
        <v>23</v>
      </c>
      <c r="D35" s="134"/>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4"/>
      <c r="K35" s="7"/>
    </row>
    <row r="36" spans="1:11" x14ac:dyDescent="0.25">
      <c r="A36" s="138" t="b">
        <v>0</v>
      </c>
      <c r="B36" s="6">
        <f t="shared" si="0"/>
        <v>35</v>
      </c>
      <c r="C36" s="6" t="str">
        <f>_xlfn.XLOOKUP($D36,Tab_Def_Processes[Process_Name],Tab_Def_Processes[Process_ID],,0,)</f>
        <v>23</v>
      </c>
      <c r="D36" s="134"/>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4"/>
      <c r="K36" s="7"/>
    </row>
    <row r="37" spans="1:11" x14ac:dyDescent="0.25">
      <c r="A37" s="138" t="b">
        <v>0</v>
      </c>
      <c r="B37" s="6">
        <f t="shared" si="0"/>
        <v>36</v>
      </c>
      <c r="C37" s="6" t="str">
        <f>_xlfn.XLOOKUP($D37,Tab_Def_Processes[Process_Name],Tab_Def_Processes[Process_ID],,0,)</f>
        <v>23</v>
      </c>
      <c r="D37" s="134"/>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4"/>
      <c r="K37" s="7"/>
    </row>
    <row r="38" spans="1:11" x14ac:dyDescent="0.25">
      <c r="A38" s="138" t="b">
        <v>0</v>
      </c>
      <c r="B38" s="6">
        <f t="shared" si="0"/>
        <v>37</v>
      </c>
      <c r="C38" s="6" t="str">
        <f>_xlfn.XLOOKUP($D38,Tab_Def_Processes[Process_Name],Tab_Def_Processes[Process_ID],,0,)</f>
        <v>23</v>
      </c>
      <c r="D38" s="134"/>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4"/>
      <c r="K38" s="7"/>
    </row>
    <row r="39" spans="1:11" x14ac:dyDescent="0.25">
      <c r="A39" s="138" t="b">
        <v>0</v>
      </c>
      <c r="B39" s="6">
        <f t="shared" si="0"/>
        <v>38</v>
      </c>
      <c r="C39" s="6" t="str">
        <f>_xlfn.XLOOKUP($D39,Tab_Def_Processes[Process_Name],Tab_Def_Processes[Process_ID],,0,)</f>
        <v>23</v>
      </c>
      <c r="D39" s="134"/>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4"/>
      <c r="K39" s="7"/>
    </row>
    <row r="40" spans="1:11" x14ac:dyDescent="0.25">
      <c r="A40" s="138" t="b">
        <v>0</v>
      </c>
      <c r="B40" s="6">
        <f t="shared" si="0"/>
        <v>39</v>
      </c>
      <c r="C40" s="6" t="str">
        <f>_xlfn.XLOOKUP($D40,Tab_Def_Processes[Process_Name],Tab_Def_Processes[Process_ID],,0,)</f>
        <v>23</v>
      </c>
      <c r="D40" s="134"/>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4"/>
      <c r="K40" s="7"/>
    </row>
    <row r="41" spans="1:11" x14ac:dyDescent="0.25">
      <c r="A41" s="138" t="b">
        <v>0</v>
      </c>
      <c r="B41" s="132">
        <f t="shared" si="0"/>
        <v>40</v>
      </c>
      <c r="C41" s="132" t="str">
        <f>_xlfn.XLOOKUP($D41,Tab_Def_Processes[Process_Name],Tab_Def_Processes[Process_ID],,0,)</f>
        <v>23</v>
      </c>
      <c r="D41" s="134"/>
      <c r="E41" s="6">
        <f>_xlfn.XLOOKUP($D41,Tab_Def_Processes[Process_Name],Tab_Def_Processes[Process_Logic],,0,)</f>
        <v>0</v>
      </c>
      <c r="F41" s="132">
        <f>_xlfn.XLOOKUP($D41,Tab_Def_Processes[Process_Name],Tab_Def_Processes[TC_Configuration],,0,)</f>
        <v>0</v>
      </c>
      <c r="G41" s="132">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4"/>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37" t="s">
        <v>7</v>
      </c>
      <c r="B1" s="137" t="s">
        <v>991</v>
      </c>
      <c r="C1" s="137" t="s">
        <v>189</v>
      </c>
      <c r="D1" s="137" t="s">
        <v>173</v>
      </c>
      <c r="E1" s="137" t="s">
        <v>998</v>
      </c>
      <c r="F1" s="137" t="s">
        <v>175</v>
      </c>
      <c r="G1" s="137" t="s">
        <v>176</v>
      </c>
      <c r="H1" s="137" t="s">
        <v>177</v>
      </c>
      <c r="I1" s="137" t="s">
        <v>178</v>
      </c>
      <c r="J1" s="137" t="s">
        <v>179</v>
      </c>
    </row>
    <row r="2" spans="1:10" x14ac:dyDescent="0.25">
      <c r="A2" s="6">
        <f>ROW()-1</f>
        <v>1</v>
      </c>
      <c r="B2" s="134"/>
      <c r="C2" s="134"/>
      <c r="D2" s="134"/>
      <c r="E2" s="134"/>
      <c r="F2" s="7"/>
      <c r="G2" s="7"/>
      <c r="H2" s="7"/>
      <c r="I2" s="7"/>
      <c r="J2" s="7"/>
    </row>
    <row r="3" spans="1:10" x14ac:dyDescent="0.25">
      <c r="A3" s="6">
        <f t="shared" ref="A3:A13" si="0">ROW()-1</f>
        <v>2</v>
      </c>
      <c r="B3" s="134"/>
      <c r="C3" s="134"/>
      <c r="D3" s="134"/>
      <c r="E3" s="134"/>
      <c r="F3" s="7"/>
      <c r="G3" s="7"/>
      <c r="H3" s="7"/>
      <c r="I3" s="7"/>
      <c r="J3" s="7"/>
    </row>
    <row r="4" spans="1:10" x14ac:dyDescent="0.25">
      <c r="A4" s="6">
        <f t="shared" si="0"/>
        <v>3</v>
      </c>
      <c r="B4" s="134"/>
      <c r="C4" s="134"/>
      <c r="D4" s="134"/>
      <c r="E4" s="134"/>
      <c r="F4" s="7"/>
      <c r="G4" s="7"/>
      <c r="H4" s="7"/>
      <c r="I4" s="7"/>
      <c r="J4" s="7"/>
    </row>
    <row r="5" spans="1:10" x14ac:dyDescent="0.25">
      <c r="A5" s="6">
        <f t="shared" si="0"/>
        <v>4</v>
      </c>
      <c r="B5" s="134"/>
      <c r="C5" s="134"/>
      <c r="D5" s="134"/>
      <c r="E5" s="134"/>
      <c r="F5" s="7"/>
      <c r="G5" s="7"/>
      <c r="H5" s="7"/>
      <c r="I5" s="7"/>
      <c r="J5" s="7"/>
    </row>
    <row r="6" spans="1:10" x14ac:dyDescent="0.25">
      <c r="A6" s="6">
        <f t="shared" si="0"/>
        <v>5</v>
      </c>
      <c r="B6" s="134"/>
      <c r="C6" s="134"/>
      <c r="D6" s="134"/>
      <c r="E6" s="134"/>
      <c r="F6" s="7"/>
      <c r="G6" s="7"/>
      <c r="H6" s="7"/>
      <c r="I6" s="7"/>
      <c r="J6" s="7"/>
    </row>
    <row r="7" spans="1:10" x14ac:dyDescent="0.25">
      <c r="A7" s="6">
        <f t="shared" si="0"/>
        <v>6</v>
      </c>
      <c r="B7" s="134"/>
      <c r="C7" s="134"/>
      <c r="D7" s="134"/>
      <c r="E7" s="134"/>
      <c r="F7" s="7"/>
      <c r="G7" s="7"/>
      <c r="H7" s="7"/>
      <c r="I7" s="7"/>
      <c r="J7" s="7"/>
    </row>
    <row r="8" spans="1:10" x14ac:dyDescent="0.25">
      <c r="A8" s="6">
        <f t="shared" si="0"/>
        <v>7</v>
      </c>
      <c r="B8" s="134"/>
      <c r="C8" s="134"/>
      <c r="D8" s="134"/>
      <c r="E8" s="134"/>
      <c r="F8" s="7"/>
      <c r="G8" s="7"/>
      <c r="H8" s="7"/>
      <c r="I8" s="7"/>
      <c r="J8" s="7"/>
    </row>
    <row r="9" spans="1:10" x14ac:dyDescent="0.25">
      <c r="A9" s="6">
        <f t="shared" si="0"/>
        <v>8</v>
      </c>
      <c r="B9" s="134"/>
      <c r="C9" s="134"/>
      <c r="D9" s="134"/>
      <c r="E9" s="134"/>
      <c r="F9" s="7"/>
      <c r="G9" s="7"/>
      <c r="H9" s="7"/>
      <c r="I9" s="7"/>
      <c r="J9" s="7"/>
    </row>
    <row r="10" spans="1:10" x14ac:dyDescent="0.25">
      <c r="A10" s="6">
        <f>ROW()-1</f>
        <v>9</v>
      </c>
      <c r="B10" s="134"/>
      <c r="C10" s="134"/>
      <c r="D10" s="134"/>
      <c r="E10" s="134"/>
      <c r="F10" s="7"/>
      <c r="G10" s="7"/>
      <c r="H10" s="7"/>
      <c r="I10" s="7"/>
      <c r="J10" s="7"/>
    </row>
    <row r="11" spans="1:10" x14ac:dyDescent="0.25">
      <c r="A11" s="6">
        <f t="shared" si="0"/>
        <v>10</v>
      </c>
      <c r="B11" s="134"/>
      <c r="C11" s="134"/>
      <c r="D11" s="134"/>
      <c r="E11" s="134"/>
      <c r="F11" s="7"/>
      <c r="G11" s="7"/>
      <c r="H11" s="7"/>
      <c r="I11" s="7"/>
      <c r="J11" s="7"/>
    </row>
    <row r="12" spans="1:10" x14ac:dyDescent="0.25">
      <c r="A12" s="6">
        <f t="shared" si="0"/>
        <v>11</v>
      </c>
      <c r="B12" s="134"/>
      <c r="C12" s="134"/>
      <c r="D12" s="134"/>
      <c r="E12" s="134"/>
      <c r="F12" s="7"/>
      <c r="G12" s="7"/>
      <c r="H12" s="7"/>
      <c r="I12" s="7"/>
      <c r="J12" s="7"/>
    </row>
    <row r="13" spans="1:10" x14ac:dyDescent="0.25">
      <c r="A13" s="6">
        <f t="shared" si="0"/>
        <v>12</v>
      </c>
      <c r="B13" s="134"/>
      <c r="C13" s="134"/>
      <c r="D13" s="134"/>
      <c r="E13" s="134"/>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37" t="s">
        <v>7</v>
      </c>
      <c r="B1" s="137" t="s">
        <v>214</v>
      </c>
      <c r="C1" s="137" t="s">
        <v>990</v>
      </c>
      <c r="D1" s="137" t="s">
        <v>189</v>
      </c>
      <c r="E1" s="137" t="s">
        <v>173</v>
      </c>
      <c r="F1" s="137" t="s">
        <v>209</v>
      </c>
      <c r="G1" s="137" t="s">
        <v>190</v>
      </c>
      <c r="H1" s="137" t="s">
        <v>432</v>
      </c>
      <c r="I1" s="137" t="s">
        <v>433</v>
      </c>
      <c r="J1" s="137" t="s">
        <v>12</v>
      </c>
    </row>
    <row r="2" spans="1:10" x14ac:dyDescent="0.25">
      <c r="A2" s="6">
        <f>ROW()-1</f>
        <v>1</v>
      </c>
      <c r="B2" s="134"/>
      <c r="C2" s="134"/>
      <c r="D2" s="134"/>
      <c r="E2" s="134"/>
      <c r="F2" s="134"/>
      <c r="G2" s="133"/>
      <c r="H2" s="7"/>
      <c r="I2" s="7"/>
      <c r="J2" s="13"/>
    </row>
    <row r="3" spans="1:10" ht="12" customHeight="1" x14ac:dyDescent="0.25">
      <c r="A3" s="6">
        <f t="shared" ref="A3:A18" si="0">ROW()-1</f>
        <v>2</v>
      </c>
      <c r="B3" s="134"/>
      <c r="C3" s="134"/>
      <c r="D3" s="134"/>
      <c r="E3" s="134"/>
      <c r="F3" s="134"/>
      <c r="G3" s="133"/>
      <c r="H3" s="7"/>
      <c r="I3" s="7"/>
      <c r="J3" s="13"/>
    </row>
    <row r="4" spans="1:10" x14ac:dyDescent="0.25">
      <c r="A4" s="6">
        <f t="shared" ref="A4:A17" si="1">ROW()-1</f>
        <v>3</v>
      </c>
      <c r="B4" s="134"/>
      <c r="C4" s="134"/>
      <c r="D4" s="134"/>
      <c r="E4" s="134"/>
      <c r="F4" s="134"/>
      <c r="G4" s="140"/>
      <c r="H4" s="7"/>
      <c r="I4" s="7"/>
      <c r="J4" s="13"/>
    </row>
    <row r="5" spans="1:10" x14ac:dyDescent="0.25">
      <c r="A5" s="6">
        <f t="shared" si="1"/>
        <v>4</v>
      </c>
      <c r="B5" s="134"/>
      <c r="C5" s="134"/>
      <c r="D5" s="134"/>
      <c r="E5" s="134"/>
      <c r="F5" s="134"/>
      <c r="G5" s="140"/>
      <c r="H5" s="7"/>
      <c r="I5" s="7"/>
      <c r="J5" s="13"/>
    </row>
    <row r="6" spans="1:10" x14ac:dyDescent="0.25">
      <c r="A6" s="6">
        <f t="shared" ref="A6:A15" si="2">ROW()-1</f>
        <v>5</v>
      </c>
      <c r="B6" s="134"/>
      <c r="C6" s="134"/>
      <c r="D6" s="134"/>
      <c r="E6" s="134"/>
      <c r="F6" s="134"/>
      <c r="G6" s="140"/>
      <c r="H6" s="7"/>
      <c r="I6" s="7"/>
      <c r="J6" s="13"/>
    </row>
    <row r="7" spans="1:10" x14ac:dyDescent="0.25">
      <c r="A7" s="6">
        <f t="shared" si="2"/>
        <v>6</v>
      </c>
      <c r="B7" s="134"/>
      <c r="C7" s="134"/>
      <c r="D7" s="134"/>
      <c r="E7" s="134"/>
      <c r="F7" s="134"/>
      <c r="G7" s="140"/>
      <c r="H7" s="7"/>
      <c r="I7" s="7"/>
      <c r="J7" s="13"/>
    </row>
    <row r="8" spans="1:10" x14ac:dyDescent="0.25">
      <c r="A8" s="6">
        <f t="shared" si="2"/>
        <v>7</v>
      </c>
      <c r="B8" s="134"/>
      <c r="C8" s="134"/>
      <c r="D8" s="134"/>
      <c r="E8" s="134"/>
      <c r="F8" s="134"/>
      <c r="G8" s="140"/>
      <c r="H8" s="7"/>
      <c r="I8" s="7"/>
      <c r="J8" s="13"/>
    </row>
    <row r="9" spans="1:10" x14ac:dyDescent="0.25">
      <c r="A9" s="6">
        <f t="shared" si="2"/>
        <v>8</v>
      </c>
      <c r="B9" s="134"/>
      <c r="C9" s="134"/>
      <c r="D9" s="134"/>
      <c r="E9" s="134"/>
      <c r="F9" s="134"/>
      <c r="G9" s="140"/>
      <c r="H9" s="7"/>
      <c r="I9" s="7"/>
      <c r="J9" s="13"/>
    </row>
    <row r="10" spans="1:10" x14ac:dyDescent="0.25">
      <c r="A10" s="6">
        <f t="shared" si="2"/>
        <v>9</v>
      </c>
      <c r="B10" s="134"/>
      <c r="C10" s="134"/>
      <c r="D10" s="134"/>
      <c r="E10" s="134"/>
      <c r="F10" s="134"/>
      <c r="G10" s="140"/>
      <c r="H10" s="7"/>
      <c r="I10" s="7"/>
      <c r="J10" s="13"/>
    </row>
    <row r="11" spans="1:10" x14ac:dyDescent="0.25">
      <c r="A11" s="6">
        <f t="shared" si="2"/>
        <v>10</v>
      </c>
      <c r="B11" s="134"/>
      <c r="C11" s="134"/>
      <c r="D11" s="134"/>
      <c r="E11" s="134"/>
      <c r="F11" s="134"/>
      <c r="G11" s="140"/>
      <c r="H11" s="7"/>
      <c r="I11" s="7"/>
      <c r="J11" s="13"/>
    </row>
    <row r="12" spans="1:10" x14ac:dyDescent="0.25">
      <c r="A12" s="6">
        <f t="shared" si="2"/>
        <v>11</v>
      </c>
      <c r="B12" s="134"/>
      <c r="C12" s="134"/>
      <c r="D12" s="134"/>
      <c r="E12" s="134"/>
      <c r="F12" s="134"/>
      <c r="G12" s="140"/>
      <c r="H12" s="7"/>
      <c r="I12" s="7"/>
      <c r="J12" s="13"/>
    </row>
    <row r="13" spans="1:10" x14ac:dyDescent="0.25">
      <c r="A13" s="6">
        <f t="shared" si="2"/>
        <v>12</v>
      </c>
      <c r="B13" s="134"/>
      <c r="C13" s="134"/>
      <c r="D13" s="134"/>
      <c r="E13" s="134"/>
      <c r="F13" s="134"/>
      <c r="G13" s="140"/>
      <c r="H13" s="7"/>
      <c r="I13" s="7"/>
      <c r="J13" s="13"/>
    </row>
    <row r="14" spans="1:10" x14ac:dyDescent="0.25">
      <c r="A14" s="6">
        <f t="shared" si="2"/>
        <v>13</v>
      </c>
      <c r="B14" s="134"/>
      <c r="C14" s="134"/>
      <c r="D14" s="134"/>
      <c r="E14" s="134"/>
      <c r="F14" s="134"/>
      <c r="G14" s="140"/>
      <c r="H14" s="7"/>
      <c r="I14" s="133"/>
      <c r="J14" s="13"/>
    </row>
    <row r="15" spans="1:10" x14ac:dyDescent="0.25">
      <c r="A15" s="6">
        <f t="shared" si="2"/>
        <v>14</v>
      </c>
      <c r="B15" s="134"/>
      <c r="C15" s="134"/>
      <c r="D15" s="134"/>
      <c r="E15" s="134"/>
      <c r="F15" s="134"/>
      <c r="G15" s="140"/>
      <c r="H15" s="7"/>
      <c r="I15" s="133"/>
      <c r="J15" s="13"/>
    </row>
    <row r="16" spans="1:10" x14ac:dyDescent="0.25">
      <c r="A16" s="6">
        <f t="shared" si="1"/>
        <v>15</v>
      </c>
      <c r="B16" s="134"/>
      <c r="C16" s="134"/>
      <c r="D16" s="134"/>
      <c r="E16" s="134"/>
      <c r="F16" s="134"/>
      <c r="G16" s="133"/>
      <c r="H16" s="133"/>
      <c r="I16" s="133"/>
      <c r="J16" s="13"/>
    </row>
    <row r="17" spans="1:10" x14ac:dyDescent="0.25">
      <c r="A17" s="6">
        <f t="shared" si="1"/>
        <v>16</v>
      </c>
      <c r="B17" s="134"/>
      <c r="C17" s="134"/>
      <c r="D17" s="134"/>
      <c r="E17" s="134"/>
      <c r="F17" s="134"/>
      <c r="G17" s="133"/>
      <c r="H17" s="133"/>
      <c r="I17" s="133"/>
      <c r="J17" s="13"/>
    </row>
    <row r="18" spans="1:10" x14ac:dyDescent="0.25">
      <c r="A18" s="6">
        <f t="shared" si="0"/>
        <v>17</v>
      </c>
      <c r="B18" s="134"/>
      <c r="C18" s="134"/>
      <c r="D18" s="134"/>
      <c r="E18" s="134"/>
      <c r="F18" s="134"/>
      <c r="G18" s="133"/>
      <c r="H18" s="133"/>
      <c r="I18" s="133"/>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37" t="s">
        <v>24</v>
      </c>
      <c r="B1" s="137" t="s">
        <v>7</v>
      </c>
      <c r="C1" s="137" t="s">
        <v>23</v>
      </c>
      <c r="D1" s="137" t="s">
        <v>26</v>
      </c>
      <c r="E1" s="137" t="s">
        <v>367</v>
      </c>
      <c r="F1" s="137" t="s">
        <v>251</v>
      </c>
      <c r="G1" s="137" t="s">
        <v>252</v>
      </c>
      <c r="H1" s="137" t="s">
        <v>387</v>
      </c>
      <c r="I1" s="137" t="s">
        <v>388</v>
      </c>
      <c r="J1" s="137" t="s">
        <v>389</v>
      </c>
      <c r="K1" s="137" t="s">
        <v>392</v>
      </c>
      <c r="L1" s="137" t="s">
        <v>390</v>
      </c>
      <c r="M1" s="137" t="s">
        <v>393</v>
      </c>
      <c r="N1" s="137" t="s">
        <v>391</v>
      </c>
      <c r="O1" s="137" t="s">
        <v>394</v>
      </c>
      <c r="P1" s="137" t="s">
        <v>4</v>
      </c>
    </row>
    <row r="2" spans="1:16" x14ac:dyDescent="0.25">
      <c r="A2" s="151" t="b">
        <v>0</v>
      </c>
      <c r="B2" s="6">
        <f t="shared" ref="B2:B47" si="0">ROW()-1</f>
        <v>1</v>
      </c>
      <c r="C2" s="20" t="str">
        <f>_xlfn.XLOOKUP($D2,Tab_Def_Processes[Process_Name],Tab_Def_Processes[ID],,0,)</f>
        <v>00</v>
      </c>
      <c r="D2" s="6" t="str">
        <f>Tab_Def_Processes[[#This Row],[Process_Name]]</f>
        <v>Environment</v>
      </c>
      <c r="E2" s="152" t="s">
        <v>278</v>
      </c>
      <c r="F2" s="152" t="s">
        <v>279</v>
      </c>
      <c r="G2" s="6" t="str">
        <f>_xlfn.XLOOKUP($F2,Table32[Color_Name],Table32[Hex_Code],,0,)</f>
        <v>#228B22</v>
      </c>
      <c r="H2" s="7">
        <v>0.01</v>
      </c>
      <c r="I2" s="7">
        <v>0.2</v>
      </c>
      <c r="J2" s="7">
        <v>0.1</v>
      </c>
      <c r="K2" s="7">
        <v>0.2</v>
      </c>
      <c r="L2" s="7">
        <v>0.1</v>
      </c>
      <c r="M2" s="7">
        <v>0.2</v>
      </c>
      <c r="N2" s="7">
        <v>0.1</v>
      </c>
      <c r="O2" s="7">
        <v>0.2</v>
      </c>
      <c r="P2" s="7"/>
    </row>
    <row r="3" spans="1:16" x14ac:dyDescent="0.25">
      <c r="A3" s="151" t="b">
        <v>0</v>
      </c>
      <c r="B3" s="6">
        <f t="shared" si="0"/>
        <v>2</v>
      </c>
      <c r="C3" s="20" t="str">
        <f>_xlfn.XLOOKUP($D3,Tab_Def_Processes[Process_Name],Tab_Def_Processes[ID],,0,)</f>
        <v>01</v>
      </c>
      <c r="D3" s="6" t="str">
        <f>Tab_Def_Processes[[#This Row],[Process_Name]]</f>
        <v>Atmosphere</v>
      </c>
      <c r="E3" s="152" t="s">
        <v>278</v>
      </c>
      <c r="F3" s="152" t="s">
        <v>295</v>
      </c>
      <c r="G3" s="6" t="str">
        <f>_xlfn.XLOOKUP($F3,Table32[Color_Name],Table32[Hex_Code],,0,)</f>
        <v>#F5DEB3</v>
      </c>
      <c r="H3" s="7">
        <v>0.01</v>
      </c>
      <c r="I3" s="7">
        <v>0.2</v>
      </c>
      <c r="J3" s="7">
        <v>0.5</v>
      </c>
      <c r="K3" s="7">
        <v>0.2</v>
      </c>
      <c r="L3" s="7">
        <v>0.5</v>
      </c>
      <c r="M3" s="7">
        <v>0.2</v>
      </c>
      <c r="N3" s="7">
        <v>0.5</v>
      </c>
      <c r="O3" s="7">
        <v>0.2</v>
      </c>
      <c r="P3" s="7"/>
    </row>
    <row r="4" spans="1:16" x14ac:dyDescent="0.25">
      <c r="A4" s="151" t="b">
        <v>0</v>
      </c>
      <c r="B4" s="6">
        <f t="shared" si="0"/>
        <v>3</v>
      </c>
      <c r="C4" s="20" t="str">
        <f>_xlfn.XLOOKUP($D4,Tab_Def_Processes[Process_Name],Tab_Def_Processes[ID],,0,)</f>
        <v>02</v>
      </c>
      <c r="D4" s="6" t="str">
        <f>Tab_Def_Processes[[#This Row],[Process_Name]]</f>
        <v>Rye_Cultivation</v>
      </c>
      <c r="E4" s="152" t="s">
        <v>278</v>
      </c>
      <c r="F4" s="152" t="s">
        <v>295</v>
      </c>
      <c r="G4" s="6" t="str">
        <f>_xlfn.XLOOKUP($F4,Table32[Color_Name],Table32[Hex_Code],,0,)</f>
        <v>#F5DEB3</v>
      </c>
      <c r="H4" s="7">
        <v>0.2</v>
      </c>
      <c r="I4" s="7">
        <v>0.2</v>
      </c>
      <c r="J4" s="7">
        <v>0.6</v>
      </c>
      <c r="K4" s="7">
        <v>0.4</v>
      </c>
      <c r="L4" s="7">
        <v>0.6</v>
      </c>
      <c r="M4" s="7">
        <v>0.4</v>
      </c>
      <c r="N4" s="7">
        <v>0.6</v>
      </c>
      <c r="O4" s="7">
        <v>0.4</v>
      </c>
      <c r="P4" s="7"/>
    </row>
    <row r="5" spans="1:16" x14ac:dyDescent="0.25">
      <c r="A5" s="151" t="b">
        <v>0</v>
      </c>
      <c r="B5" s="6">
        <f t="shared" si="0"/>
        <v>4</v>
      </c>
      <c r="C5" s="20" t="str">
        <f>_xlfn.XLOOKUP($D5,Tab_Def_Processes[Process_Name],Tab_Def_Processes[ID],,0,)</f>
        <v>03</v>
      </c>
      <c r="D5" s="6" t="str">
        <f>Tab_Def_Processes[[#This Row],[Process_Name]]</f>
        <v>Rye_Harvest</v>
      </c>
      <c r="E5" s="152" t="s">
        <v>278</v>
      </c>
      <c r="F5" s="152" t="s">
        <v>295</v>
      </c>
      <c r="G5" s="6" t="str">
        <f>_xlfn.XLOOKUP($F5,Table32[Color_Name],Table32[Hex_Code],,0,)</f>
        <v>#F5DEB3</v>
      </c>
      <c r="H5" s="7">
        <v>0.5</v>
      </c>
      <c r="I5" s="7">
        <v>0.2</v>
      </c>
      <c r="J5" s="7">
        <v>0.4</v>
      </c>
      <c r="K5" s="7">
        <v>0.2</v>
      </c>
      <c r="L5" s="7">
        <v>0.4</v>
      </c>
      <c r="M5" s="7">
        <v>0.2</v>
      </c>
      <c r="N5" s="7">
        <v>0.4</v>
      </c>
      <c r="O5" s="7">
        <v>0.2</v>
      </c>
      <c r="P5" s="7"/>
    </row>
    <row r="6" spans="1:16" x14ac:dyDescent="0.25">
      <c r="A6" s="151" t="b">
        <v>0</v>
      </c>
      <c r="B6" s="6">
        <f t="shared" si="0"/>
        <v>5</v>
      </c>
      <c r="C6" s="20" t="str">
        <f>_xlfn.XLOOKUP($D6,Tab_Def_Processes[Process_Name],Tab_Def_Processes[ID],,0,)</f>
        <v>04</v>
      </c>
      <c r="D6" s="6" t="str">
        <f>Tab_Def_Processes[[#This Row],[Process_Name]]</f>
        <v>Rye-Grain_Processing &amp; Consumption</v>
      </c>
      <c r="E6" s="152" t="s">
        <v>278</v>
      </c>
      <c r="F6" s="152" t="s">
        <v>295</v>
      </c>
      <c r="G6" s="6" t="str">
        <f>_xlfn.XLOOKUP($F6,Table32[Color_Name],Table32[Hex_Code],,0,)</f>
        <v>#F5DEB3</v>
      </c>
      <c r="H6" s="7">
        <v>0.1</v>
      </c>
      <c r="I6" s="7">
        <v>0.5</v>
      </c>
      <c r="J6" s="7">
        <v>0.2</v>
      </c>
      <c r="K6" s="7">
        <v>0.5</v>
      </c>
      <c r="L6" s="7">
        <v>0.2</v>
      </c>
      <c r="M6" s="7">
        <v>0.5</v>
      </c>
      <c r="N6" s="7">
        <v>0.2</v>
      </c>
      <c r="O6" s="7">
        <v>0.5</v>
      </c>
      <c r="P6" s="7"/>
    </row>
    <row r="7" spans="1:16" x14ac:dyDescent="0.25">
      <c r="A7" s="151" t="b">
        <v>0</v>
      </c>
      <c r="B7" s="6">
        <f t="shared" si="0"/>
        <v>6</v>
      </c>
      <c r="C7" s="20" t="str">
        <f>_xlfn.XLOOKUP($D7,Tab_Def_Processes[Process_Name],Tab_Def_Processes[ID],,0,)</f>
        <v>05</v>
      </c>
      <c r="D7" s="6" t="str">
        <f>Tab_Def_Processes[[#This Row],[Process_Name]]</f>
        <v>Rye-Straw(non-mobilizable)_Degradation</v>
      </c>
      <c r="E7" s="152" t="s">
        <v>278</v>
      </c>
      <c r="F7" s="152" t="s">
        <v>295</v>
      </c>
      <c r="G7" s="6" t="str">
        <f>_xlfn.XLOOKUP($F7,Table32[Color_Name],Table32[Hex_Code],,0,)</f>
        <v>#F5DEB3</v>
      </c>
      <c r="H7" s="7">
        <v>0.2</v>
      </c>
      <c r="I7" s="7">
        <v>0.5</v>
      </c>
      <c r="J7" s="7">
        <v>0.3</v>
      </c>
      <c r="K7" s="7">
        <v>0.5</v>
      </c>
      <c r="L7" s="7">
        <v>0.3</v>
      </c>
      <c r="M7" s="7">
        <v>0.5</v>
      </c>
      <c r="N7" s="7">
        <v>0.3</v>
      </c>
      <c r="O7" s="7">
        <v>0.5</v>
      </c>
      <c r="P7" s="7"/>
    </row>
    <row r="8" spans="1:16" x14ac:dyDescent="0.25">
      <c r="A8" s="151" t="b">
        <v>0</v>
      </c>
      <c r="B8" s="6">
        <f t="shared" si="0"/>
        <v>7</v>
      </c>
      <c r="C8" s="20" t="str">
        <f>_xlfn.XLOOKUP($D8,Tab_Def_Processes[Process_Name],Tab_Def_Processes[ID],,0,)</f>
        <v>06</v>
      </c>
      <c r="D8" s="6" t="str">
        <f>Tab_Def_Processes[[#This Row],[Process_Name]]</f>
        <v>Rye-Straw-mobilisable technical potential_Use</v>
      </c>
      <c r="E8" s="152" t="s">
        <v>278</v>
      </c>
      <c r="F8" s="152" t="s">
        <v>295</v>
      </c>
      <c r="G8" s="6" t="str">
        <f>_xlfn.XLOOKUP($F8,Table32[Color_Name],Table32[Hex_Code],,0,)</f>
        <v>#F5DEB3</v>
      </c>
      <c r="H8" s="7">
        <v>0.5</v>
      </c>
      <c r="I8" s="7">
        <v>0.5</v>
      </c>
      <c r="J8" s="7">
        <v>0.4</v>
      </c>
      <c r="K8" s="7">
        <v>0.6</v>
      </c>
      <c r="L8" s="7">
        <v>0.4</v>
      </c>
      <c r="M8" s="7">
        <v>0.6</v>
      </c>
      <c r="N8" s="7">
        <v>0.4</v>
      </c>
      <c r="O8" s="7">
        <v>0.6</v>
      </c>
      <c r="P8" s="7"/>
    </row>
    <row r="9" spans="1:16" x14ac:dyDescent="0.25">
      <c r="A9" s="151" t="b">
        <v>0</v>
      </c>
      <c r="B9" s="6">
        <f t="shared" si="0"/>
        <v>8</v>
      </c>
      <c r="C9" s="20" t="str">
        <f>_xlfn.XLOOKUP($D9,Tab_Def_Processes[Process_Name],Tab_Def_Processes[ID],,0,)</f>
        <v>07</v>
      </c>
      <c r="D9" s="6" t="str">
        <f>Tab_Def_Processes[[#This Row],[Process_Name]]</f>
        <v>Biogas_Incineration</v>
      </c>
      <c r="E9" s="152" t="s">
        <v>278</v>
      </c>
      <c r="F9" s="152" t="s">
        <v>291</v>
      </c>
      <c r="G9" s="6" t="str">
        <f>_xlfn.XLOOKUP($F9,Table32[Color_Name],Table32[Hex_Code],,0,)</f>
        <v>#8B4513</v>
      </c>
      <c r="H9" s="7">
        <v>0.7</v>
      </c>
      <c r="I9" s="7">
        <v>0.6</v>
      </c>
      <c r="J9" s="7">
        <v>0.9</v>
      </c>
      <c r="K9" s="7">
        <v>0.6</v>
      </c>
      <c r="L9" s="7">
        <v>0.9</v>
      </c>
      <c r="M9" s="7">
        <v>0.6</v>
      </c>
      <c r="N9" s="7">
        <v>0.9</v>
      </c>
      <c r="O9" s="7">
        <v>0.6</v>
      </c>
      <c r="P9" s="7"/>
    </row>
    <row r="10" spans="1:16" x14ac:dyDescent="0.25">
      <c r="A10" s="151" t="b">
        <v>0</v>
      </c>
      <c r="B10" s="6">
        <f t="shared" si="0"/>
        <v>9</v>
      </c>
      <c r="C10" s="20" t="str">
        <f>_xlfn.XLOOKUP($D10,Tab_Def_Processes[Process_Name],Tab_Def_Processes[ID],,0,)</f>
        <v>08</v>
      </c>
      <c r="D10" s="6" t="str">
        <f>Tab_Def_Processes[[#This Row],[Process_Name]]</f>
        <v>Biogas_Production-Delta</v>
      </c>
      <c r="E10" s="152" t="s">
        <v>278</v>
      </c>
      <c r="F10" s="152" t="s">
        <v>295</v>
      </c>
      <c r="G10" s="6" t="str">
        <f>_xlfn.XLOOKUP($F10,Table32[Color_Name],Table32[Hex_Code],,0,)</f>
        <v>#F5DEB3</v>
      </c>
      <c r="H10" s="7">
        <v>0.7</v>
      </c>
      <c r="I10" s="7">
        <v>0.6</v>
      </c>
      <c r="J10" s="7">
        <v>0.6</v>
      </c>
      <c r="K10" s="7">
        <v>0.6</v>
      </c>
      <c r="L10" s="7">
        <v>0.6</v>
      </c>
      <c r="M10" s="7">
        <v>0.6</v>
      </c>
      <c r="N10" s="7">
        <v>0.6</v>
      </c>
      <c r="O10" s="7">
        <v>0.6</v>
      </c>
      <c r="P10" s="7"/>
    </row>
    <row r="11" spans="1:16" x14ac:dyDescent="0.25">
      <c r="A11" s="151" t="b">
        <v>0</v>
      </c>
      <c r="B11" s="6">
        <f t="shared" si="0"/>
        <v>10</v>
      </c>
      <c r="C11" s="20" t="str">
        <f>_xlfn.XLOOKUP($D11,Tab_Def_Processes[Process_Name],Tab_Def_Processes[ID],,0,)</f>
        <v>09</v>
      </c>
      <c r="D11" s="6" t="str">
        <f>Tab_Def_Processes[[#This Row],[Process_Name]]</f>
        <v>Biogas_Production</v>
      </c>
      <c r="E11" s="152" t="s">
        <v>278</v>
      </c>
      <c r="F11" s="152" t="s">
        <v>312</v>
      </c>
      <c r="G11" s="6" t="str">
        <f>_xlfn.XLOOKUP($F11,Table32[Color_Name],Table32[Hex_Code],,0,)</f>
        <v>#87CEEB</v>
      </c>
      <c r="H11" s="7">
        <v>0.01</v>
      </c>
      <c r="I11" s="7">
        <v>0.8</v>
      </c>
      <c r="J11" s="7">
        <v>0.1</v>
      </c>
      <c r="K11" s="7">
        <v>0.8</v>
      </c>
      <c r="L11" s="7">
        <v>0.1</v>
      </c>
      <c r="M11" s="7">
        <v>0.8</v>
      </c>
      <c r="N11" s="7">
        <v>0.1</v>
      </c>
      <c r="O11" s="7">
        <v>0.8</v>
      </c>
      <c r="P11" s="7"/>
    </row>
    <row r="12" spans="1:16" x14ac:dyDescent="0.25">
      <c r="A12" s="151" t="b">
        <v>0</v>
      </c>
      <c r="B12" s="6">
        <f t="shared" si="0"/>
        <v>11</v>
      </c>
      <c r="C12" s="20" t="str">
        <f>_xlfn.XLOOKUP($D12,Tab_Def_Processes[Process_Name],Tab_Def_Processes[ID],,0,)</f>
        <v>10</v>
      </c>
      <c r="D12" s="6" t="str">
        <f>Tab_Def_Processes[[#This Row],[Process_Name]]</f>
        <v>Cow-Manure_Production</v>
      </c>
      <c r="E12" s="152" t="s">
        <v>278</v>
      </c>
      <c r="F12" s="152" t="s">
        <v>291</v>
      </c>
      <c r="G12" s="6" t="str">
        <f>_xlfn.XLOOKUP($F12,Table32[Color_Name],Table32[Hex_Code],,0,)</f>
        <v>#8B4513</v>
      </c>
      <c r="H12" s="7">
        <v>0.9</v>
      </c>
      <c r="I12" s="7">
        <v>0.8</v>
      </c>
      <c r="J12" s="7">
        <v>0.9</v>
      </c>
      <c r="K12" s="7">
        <v>0.6</v>
      </c>
      <c r="L12" s="7">
        <v>0.9</v>
      </c>
      <c r="M12" s="7">
        <v>0.6</v>
      </c>
      <c r="N12" s="7">
        <v>0.9</v>
      </c>
      <c r="O12" s="7">
        <v>0.6</v>
      </c>
      <c r="P12" s="7"/>
    </row>
    <row r="13" spans="1:16" x14ac:dyDescent="0.25">
      <c r="A13" s="151" t="b">
        <v>0</v>
      </c>
      <c r="B13" s="6">
        <f t="shared" si="0"/>
        <v>12</v>
      </c>
      <c r="C13" s="20" t="str">
        <f>_xlfn.XLOOKUP($D13,Tab_Def_Processes[Process_Name],Tab_Def_Processes[ID],,0,)</f>
        <v>11</v>
      </c>
      <c r="D13" s="6" t="str">
        <f>Tab_Def_Processes[[#This Row],[Process_Name]]</f>
        <v>MBC_Production</v>
      </c>
      <c r="E13" s="152" t="s">
        <v>333</v>
      </c>
      <c r="F13" s="152" t="s">
        <v>291</v>
      </c>
      <c r="G13" s="6" t="str">
        <f>_xlfn.XLOOKUP($F13,Table32[Color_Name],Table32[Hex_Code],,0,)</f>
        <v>#8B4513</v>
      </c>
      <c r="H13" s="7"/>
      <c r="I13" s="7"/>
      <c r="J13" s="7"/>
      <c r="K13" s="7"/>
      <c r="L13" s="7"/>
      <c r="M13" s="7"/>
      <c r="N13" s="7"/>
      <c r="O13" s="7"/>
      <c r="P13" s="7"/>
    </row>
    <row r="14" spans="1:16" x14ac:dyDescent="0.25">
      <c r="A14" s="151" t="b">
        <v>0</v>
      </c>
      <c r="B14" s="6">
        <f t="shared" si="0"/>
        <v>13</v>
      </c>
      <c r="C14" s="20" t="str">
        <f>_xlfn.XLOOKUP($D14,Tab_Def_Processes[Process_Name],Tab_Def_Processes[ID],,0,)</f>
        <v>12</v>
      </c>
      <c r="D14" s="6" t="str">
        <f>Tab_Def_Processes[[#This Row],[Process_Name]]</f>
        <v>MBC-Production Waste_Treatment</v>
      </c>
      <c r="E14" s="152" t="s">
        <v>333</v>
      </c>
      <c r="F14" s="152" t="s">
        <v>291</v>
      </c>
      <c r="G14" s="6" t="str">
        <f>_xlfn.XLOOKUP($F14,Table32[Color_Name],Table32[Hex_Code],,0,)</f>
        <v>#8B4513</v>
      </c>
      <c r="H14" s="7"/>
      <c r="I14" s="7"/>
      <c r="J14" s="7"/>
      <c r="K14" s="7"/>
      <c r="L14" s="7"/>
      <c r="M14" s="7"/>
      <c r="N14" s="7"/>
      <c r="O14" s="7"/>
      <c r="P14" s="7"/>
    </row>
    <row r="15" spans="1:16" x14ac:dyDescent="0.25">
      <c r="A15" s="151" t="b">
        <v>0</v>
      </c>
      <c r="B15" s="6">
        <f t="shared" si="0"/>
        <v>14</v>
      </c>
      <c r="C15" s="20" t="str">
        <f>_xlfn.XLOOKUP($D15,Tab_Def_Processes[Process_Name],Tab_Def_Processes[ID],,0,)</f>
        <v>13</v>
      </c>
      <c r="D15" s="6" t="str">
        <f>Tab_Def_Processes[[#This Row],[Process_Name]]</f>
        <v>MBC-Production-Delta_Production</v>
      </c>
      <c r="E15" s="152"/>
      <c r="F15" s="152"/>
      <c r="G15" s="6" t="e">
        <f>_xlfn.XLOOKUP($F15,Table32[Color_Name],Table32[Hex_Code],,0,)</f>
        <v>#N/A</v>
      </c>
      <c r="H15" s="7"/>
      <c r="I15" s="7"/>
      <c r="J15" s="7"/>
      <c r="K15" s="7"/>
      <c r="L15" s="7"/>
      <c r="M15" s="7"/>
      <c r="N15" s="7"/>
      <c r="O15" s="7"/>
      <c r="P15" s="7"/>
    </row>
    <row r="16" spans="1:16" x14ac:dyDescent="0.25">
      <c r="A16" s="151" t="b">
        <v>0</v>
      </c>
      <c r="B16" s="6">
        <f t="shared" si="0"/>
        <v>15</v>
      </c>
      <c r="C16" s="20" t="str">
        <f>_xlfn.XLOOKUP($D16,Tab_Def_Processes[Process_Name],Tab_Def_Processes[ID],,0,)</f>
        <v>14</v>
      </c>
      <c r="D16" s="6" t="str">
        <f>Tab_Def_Processes[[#This Row],[Process_Name]]</f>
        <v>Millet_Production</v>
      </c>
      <c r="E16" s="152"/>
      <c r="F16" s="152"/>
      <c r="G16" s="6" t="e">
        <f>_xlfn.XLOOKUP($F16,Table32[Color_Name],Table32[Hex_Code],,0,)</f>
        <v>#N/A</v>
      </c>
      <c r="H16" s="7"/>
      <c r="I16" s="7"/>
      <c r="J16" s="7"/>
      <c r="K16" s="7"/>
      <c r="L16" s="7"/>
      <c r="M16" s="7"/>
      <c r="N16" s="7"/>
      <c r="O16" s="7"/>
      <c r="P16" s="7"/>
    </row>
    <row r="17" spans="1:16" x14ac:dyDescent="0.25">
      <c r="A17" s="151" t="b">
        <v>0</v>
      </c>
      <c r="B17" s="6">
        <f t="shared" si="0"/>
        <v>16</v>
      </c>
      <c r="C17" s="20" t="str">
        <f>_xlfn.XLOOKUP($D17,Tab_Def_Processes[Process_Name],Tab_Def_Processes[ID],,0,)</f>
        <v>15</v>
      </c>
      <c r="D17" s="6" t="str">
        <f>Tab_Def_Processes[[#This Row],[Process_Name]]</f>
        <v>MBC_Use-Phase</v>
      </c>
      <c r="E17" s="152"/>
      <c r="F17" s="152"/>
      <c r="G17" s="6" t="e">
        <f>_xlfn.XLOOKUP($F17,Table32[Color_Name],Table32[Hex_Code],,0,)</f>
        <v>#N/A</v>
      </c>
      <c r="H17" s="7"/>
      <c r="I17" s="7"/>
      <c r="J17" s="7"/>
      <c r="K17" s="7"/>
      <c r="L17" s="7"/>
      <c r="M17" s="7"/>
      <c r="N17" s="7"/>
      <c r="O17" s="7"/>
      <c r="P17" s="7"/>
    </row>
    <row r="18" spans="1:16" x14ac:dyDescent="0.25">
      <c r="A18" s="151" t="b">
        <v>0</v>
      </c>
      <c r="B18" s="6">
        <f t="shared" si="0"/>
        <v>17</v>
      </c>
      <c r="C18" s="20" t="str">
        <f>_xlfn.XLOOKUP($D18,Tab_Def_Processes[Process_Name],Tab_Def_Processes[ID],,0,)</f>
        <v>16</v>
      </c>
      <c r="D18" s="6" t="str">
        <f>Tab_Def_Processes[[#This Row],[Process_Name]]</f>
        <v>MBC-EoL_Treatment</v>
      </c>
      <c r="E18" s="152"/>
      <c r="F18" s="152"/>
      <c r="G18" s="6" t="e">
        <f>_xlfn.XLOOKUP($F18,Table32[Color_Name],Table32[Hex_Code],,0,)</f>
        <v>#N/A</v>
      </c>
      <c r="H18" s="7"/>
      <c r="I18" s="7"/>
      <c r="J18" s="7"/>
      <c r="K18" s="7"/>
      <c r="L18" s="7"/>
      <c r="M18" s="7"/>
      <c r="N18" s="7"/>
      <c r="O18" s="7"/>
      <c r="P18" s="7"/>
    </row>
    <row r="19" spans="1:16" x14ac:dyDescent="0.25">
      <c r="A19" s="151" t="b">
        <v>0</v>
      </c>
      <c r="B19" s="6">
        <f t="shared" si="0"/>
        <v>18</v>
      </c>
      <c r="C19" s="20" t="str">
        <f>_xlfn.XLOOKUP($D19,Tab_Def_Processes[Process_Name],Tab_Def_Processes[ID],,0,)</f>
        <v>17</v>
      </c>
      <c r="D19" s="6" t="str">
        <f>Tab_Def_Processes[[#This Row],[Process_Name]]</f>
        <v>MBC-EoL_Pyrolysis</v>
      </c>
      <c r="E19" s="152"/>
      <c r="F19" s="152"/>
      <c r="G19" s="6" t="e">
        <f>_xlfn.XLOOKUP($F19,Table32[Color_Name],Table32[Hex_Code],,0,)</f>
        <v>#N/A</v>
      </c>
      <c r="H19" s="7"/>
      <c r="I19" s="7"/>
      <c r="J19" s="7"/>
      <c r="K19" s="7"/>
      <c r="L19" s="7"/>
      <c r="M19" s="7"/>
      <c r="N19" s="7"/>
      <c r="O19" s="7"/>
      <c r="P19" s="7"/>
    </row>
    <row r="20" spans="1:16" x14ac:dyDescent="0.25">
      <c r="A20" s="151" t="b">
        <v>0</v>
      </c>
      <c r="B20" s="6">
        <f t="shared" si="0"/>
        <v>19</v>
      </c>
      <c r="C20" s="20" t="str">
        <f>_xlfn.XLOOKUP($D20,Tab_Def_Processes[Process_Name],Tab_Def_Processes[ID],,0,)</f>
        <v>18</v>
      </c>
      <c r="D20" s="6" t="str">
        <f>Tab_Def_Processes[[#This Row],[Process_Name]]</f>
        <v>MBC-EoL_Incineration</v>
      </c>
      <c r="E20" s="152"/>
      <c r="F20" s="152"/>
      <c r="G20" s="6" t="e">
        <f>_xlfn.XLOOKUP($F20,Table32[Color_Name],Table32[Hex_Code],,0,)</f>
        <v>#N/A</v>
      </c>
      <c r="H20" s="7"/>
      <c r="I20" s="7"/>
      <c r="J20" s="7"/>
      <c r="K20" s="7"/>
      <c r="L20" s="7"/>
      <c r="M20" s="7"/>
      <c r="N20" s="7"/>
      <c r="O20" s="7"/>
      <c r="P20" s="7"/>
    </row>
    <row r="21" spans="1:16" x14ac:dyDescent="0.25">
      <c r="A21" s="151" t="b">
        <v>0</v>
      </c>
      <c r="B21" s="6">
        <f t="shared" si="0"/>
        <v>20</v>
      </c>
      <c r="C21" s="20" t="str">
        <f>_xlfn.XLOOKUP($D21,Tab_Def_Processes[Process_Name],Tab_Def_Processes[ID],,0,)</f>
        <v>19</v>
      </c>
      <c r="D21" s="6" t="str">
        <f>Tab_Def_Processes[[#This Row],[Process_Name]]</f>
        <v>Ash_Treatment</v>
      </c>
      <c r="E21" s="152"/>
      <c r="F21" s="152"/>
      <c r="G21" s="6" t="e">
        <f>_xlfn.XLOOKUP($F21,Table32[Color_Name],Table32[Hex_Code],,0,)</f>
        <v>#N/A</v>
      </c>
      <c r="H21" s="7"/>
      <c r="I21" s="7"/>
      <c r="J21" s="7"/>
      <c r="K21" s="7"/>
      <c r="L21" s="7"/>
      <c r="M21" s="7"/>
      <c r="N21" s="7"/>
      <c r="O21" s="7"/>
      <c r="P21" s="7"/>
    </row>
    <row r="22" spans="1:16" x14ac:dyDescent="0.25">
      <c r="A22" s="151" t="b">
        <v>0</v>
      </c>
      <c r="B22" s="6">
        <f t="shared" si="0"/>
        <v>21</v>
      </c>
      <c r="C22" s="20" t="str">
        <f>_xlfn.XLOOKUP($D22,Tab_Def_Processes[Process_Name],Tab_Def_Processes[ID],,0,)</f>
        <v>20</v>
      </c>
      <c r="D22" s="6" t="str">
        <f>Tab_Def_Processes[[#This Row],[Process_Name]]</f>
        <v>Water_Import</v>
      </c>
      <c r="E22" s="152"/>
      <c r="F22" s="152"/>
      <c r="G22" s="6" t="e">
        <f>_xlfn.XLOOKUP($F22,Table32[Color_Name],Table32[Hex_Code],,0,)</f>
        <v>#N/A</v>
      </c>
      <c r="H22" s="7"/>
      <c r="I22" s="7"/>
      <c r="J22" s="7"/>
      <c r="K22" s="7"/>
      <c r="L22" s="7"/>
      <c r="M22" s="7"/>
      <c r="N22" s="7"/>
      <c r="O22" s="7"/>
      <c r="P22" s="7"/>
    </row>
    <row r="23" spans="1:16" x14ac:dyDescent="0.25">
      <c r="A23" s="151" t="b">
        <v>0</v>
      </c>
      <c r="B23" s="6">
        <f t="shared" si="0"/>
        <v>22</v>
      </c>
      <c r="C23" s="20" t="str">
        <f>_xlfn.XLOOKUP($D23,Tab_Def_Processes[Process_Name],Tab_Def_Processes[ID],,0,)</f>
        <v>21</v>
      </c>
      <c r="D23" s="6" t="str">
        <f>Tab_Def_Processes[[#This Row],[Process_Name]]</f>
        <v>Water_Export</v>
      </c>
      <c r="E23" s="152"/>
      <c r="F23" s="152"/>
      <c r="G23" s="6" t="e">
        <f>_xlfn.XLOOKUP($F23,Table32[Color_Name],Table32[Hex_Code],,0,)</f>
        <v>#N/A</v>
      </c>
      <c r="H23" s="7"/>
      <c r="I23" s="7"/>
      <c r="J23" s="7"/>
      <c r="K23" s="7"/>
      <c r="L23" s="7"/>
      <c r="M23" s="7"/>
      <c r="N23" s="7"/>
      <c r="O23" s="7"/>
      <c r="P23" s="7"/>
    </row>
    <row r="24" spans="1:16" x14ac:dyDescent="0.25">
      <c r="A24" s="151" t="b">
        <v>0</v>
      </c>
      <c r="B24" s="6">
        <f t="shared" si="0"/>
        <v>23</v>
      </c>
      <c r="C24" s="20" t="str">
        <f>_xlfn.XLOOKUP($D24,Tab_Def_Processes[Process_Name],Tab_Def_Processes[ID],,0,)</f>
        <v>22</v>
      </c>
      <c r="D24" s="6" t="str">
        <f>Tab_Def_Processes[[#This Row],[Process_Name]]</f>
        <v>Lithosphere_Stock</v>
      </c>
      <c r="E24" s="152"/>
      <c r="F24" s="152"/>
      <c r="G24" s="6" t="e">
        <f>_xlfn.XLOOKUP($F24,Table32[Color_Name],Table32[Hex_Code],,0,)</f>
        <v>#N/A</v>
      </c>
      <c r="H24" s="7"/>
      <c r="I24" s="7"/>
      <c r="J24" s="7"/>
      <c r="K24" s="7"/>
      <c r="L24" s="7"/>
      <c r="M24" s="7"/>
      <c r="N24" s="7"/>
      <c r="O24" s="7"/>
      <c r="P24" s="7"/>
    </row>
    <row r="25" spans="1:16" x14ac:dyDescent="0.25">
      <c r="A25" s="151" t="b">
        <v>0</v>
      </c>
      <c r="B25" s="6">
        <f t="shared" si="0"/>
        <v>24</v>
      </c>
      <c r="C25" s="20" t="e">
        <f>_xlfn.XLOOKUP($D25,Tab_Def_Processes[Process_Name],Tab_Def_Processes[ID],,0,)</f>
        <v>#N/A</v>
      </c>
      <c r="D25" s="6">
        <f>Tab_Def_Processes[[#This Row],[Process_Name]]</f>
        <v>0</v>
      </c>
      <c r="E25" s="152"/>
      <c r="F25" s="152"/>
      <c r="G25" s="6" t="e">
        <f>_xlfn.XLOOKUP($F25,Table32[Color_Name],Table32[Hex_Code],,0,)</f>
        <v>#N/A</v>
      </c>
      <c r="H25" s="7"/>
      <c r="I25" s="7"/>
      <c r="J25" s="7"/>
      <c r="K25" s="7"/>
      <c r="L25" s="7"/>
      <c r="M25" s="7"/>
      <c r="N25" s="7"/>
      <c r="O25" s="7"/>
      <c r="P25" s="7"/>
    </row>
    <row r="26" spans="1:16" x14ac:dyDescent="0.25">
      <c r="A26" s="151" t="b">
        <v>0</v>
      </c>
      <c r="B26" s="6">
        <f t="shared" si="0"/>
        <v>25</v>
      </c>
      <c r="C26" s="20" t="e">
        <f>_xlfn.XLOOKUP($D26,Tab_Def_Processes[Process_Name],Tab_Def_Processes[ID],,0,)</f>
        <v>#N/A</v>
      </c>
      <c r="D26" s="6">
        <f>Tab_Def_Processes[[#This Row],[Process_Name]]</f>
        <v>0</v>
      </c>
      <c r="E26" s="152"/>
      <c r="F26" s="152"/>
      <c r="G26" s="6" t="e">
        <f>_xlfn.XLOOKUP($F26,Table32[Color_Name],Table32[Hex_Code],,0,)</f>
        <v>#N/A</v>
      </c>
      <c r="H26" s="7"/>
      <c r="I26" s="7"/>
      <c r="J26" s="7"/>
      <c r="K26" s="7"/>
      <c r="L26" s="7"/>
      <c r="M26" s="7"/>
      <c r="N26" s="7"/>
      <c r="O26" s="7"/>
      <c r="P26" s="7"/>
    </row>
    <row r="27" spans="1:16" x14ac:dyDescent="0.25">
      <c r="A27" s="151" t="b">
        <v>0</v>
      </c>
      <c r="B27" s="6">
        <f t="shared" si="0"/>
        <v>26</v>
      </c>
      <c r="C27" s="20" t="e">
        <f>_xlfn.XLOOKUP($D27,Tab_Def_Processes[Process_Name],Tab_Def_Processes[ID],,0,)</f>
        <v>#N/A</v>
      </c>
      <c r="D27" s="6">
        <f>Tab_Def_Processes[[#This Row],[Process_Name]]</f>
        <v>0</v>
      </c>
      <c r="E27" s="152"/>
      <c r="F27" s="152"/>
      <c r="G27" s="6" t="e">
        <f>_xlfn.XLOOKUP($F27,Table32[Color_Name],Table32[Hex_Code],,0,)</f>
        <v>#N/A</v>
      </c>
      <c r="H27" s="7"/>
      <c r="I27" s="7"/>
      <c r="J27" s="7"/>
      <c r="K27" s="7"/>
      <c r="L27" s="7"/>
      <c r="M27" s="7"/>
      <c r="N27" s="7"/>
      <c r="O27" s="7"/>
      <c r="P27" s="7"/>
    </row>
    <row r="28" spans="1:16" x14ac:dyDescent="0.25">
      <c r="A28" s="151" t="b">
        <v>0</v>
      </c>
      <c r="B28" s="6">
        <f t="shared" si="0"/>
        <v>27</v>
      </c>
      <c r="C28" s="20" t="e">
        <f>_xlfn.XLOOKUP($D28,Tab_Def_Processes[Process_Name],Tab_Def_Processes[ID],,0,)</f>
        <v>#N/A</v>
      </c>
      <c r="D28" s="6">
        <f>Tab_Def_Processes[[#This Row],[Process_Name]]</f>
        <v>0</v>
      </c>
      <c r="E28" s="152"/>
      <c r="F28" s="152"/>
      <c r="G28" s="6" t="e">
        <f>_xlfn.XLOOKUP($F28,Table32[Color_Name],Table32[Hex_Code],,0,)</f>
        <v>#N/A</v>
      </c>
      <c r="H28" s="7"/>
      <c r="I28" s="7"/>
      <c r="J28" s="7"/>
      <c r="K28" s="7"/>
      <c r="L28" s="7"/>
      <c r="M28" s="7"/>
      <c r="N28" s="7"/>
      <c r="O28" s="7"/>
      <c r="P28" s="7"/>
    </row>
    <row r="29" spans="1:16" x14ac:dyDescent="0.25">
      <c r="A29" s="151" t="b">
        <v>0</v>
      </c>
      <c r="B29" s="6">
        <f t="shared" si="0"/>
        <v>28</v>
      </c>
      <c r="C29" s="20" t="e">
        <f>_xlfn.XLOOKUP($D29,Tab_Def_Processes[Process_Name],Tab_Def_Processes[ID],,0,)</f>
        <v>#N/A</v>
      </c>
      <c r="D29" s="6">
        <f>Tab_Def_Processes[[#This Row],[Process_Name]]</f>
        <v>0</v>
      </c>
      <c r="E29" s="152"/>
      <c r="F29" s="152"/>
      <c r="G29" s="6" t="e">
        <f>_xlfn.XLOOKUP($F29,Table32[Color_Name],Table32[Hex_Code],,0,)</f>
        <v>#N/A</v>
      </c>
      <c r="H29" s="7"/>
      <c r="I29" s="7"/>
      <c r="J29" s="7"/>
      <c r="K29" s="7"/>
      <c r="L29" s="7"/>
      <c r="M29" s="7"/>
      <c r="N29" s="7"/>
      <c r="O29" s="7"/>
      <c r="P29" s="7"/>
    </row>
    <row r="30" spans="1:16" x14ac:dyDescent="0.25">
      <c r="A30" s="151" t="b">
        <v>0</v>
      </c>
      <c r="B30" s="6">
        <f t="shared" si="0"/>
        <v>29</v>
      </c>
      <c r="C30" s="20" t="e">
        <f>_xlfn.XLOOKUP($D30,Tab_Def_Processes[Process_Name],Tab_Def_Processes[ID],,0,)</f>
        <v>#N/A</v>
      </c>
      <c r="D30" s="6">
        <f>Tab_Def_Processes[[#This Row],[Process_Name]]</f>
        <v>0</v>
      </c>
      <c r="E30" s="152"/>
      <c r="F30" s="152"/>
      <c r="G30" s="6" t="e">
        <f>_xlfn.XLOOKUP($F30,Table32[Color_Name],Table32[Hex_Code],,0,)</f>
        <v>#N/A</v>
      </c>
      <c r="H30" s="7"/>
      <c r="I30" s="7"/>
      <c r="J30" s="7"/>
      <c r="K30" s="7"/>
      <c r="L30" s="7"/>
      <c r="M30" s="7"/>
      <c r="N30" s="7"/>
      <c r="O30" s="7"/>
      <c r="P30" s="7"/>
    </row>
    <row r="31" spans="1:16" x14ac:dyDescent="0.25">
      <c r="A31" s="151" t="b">
        <v>0</v>
      </c>
      <c r="B31" s="6">
        <f t="shared" si="0"/>
        <v>30</v>
      </c>
      <c r="C31" s="20" t="e">
        <f>_xlfn.XLOOKUP($D31,Tab_Def_Processes[Process_Name],Tab_Def_Processes[ID],,0,)</f>
        <v>#N/A</v>
      </c>
      <c r="D31" s="6">
        <f>Tab_Def_Processes[[#This Row],[Process_Name]]</f>
        <v>0</v>
      </c>
      <c r="E31" s="152"/>
      <c r="F31" s="152"/>
      <c r="G31" s="6" t="e">
        <f>_xlfn.XLOOKUP($F31,Table32[Color_Name],Table32[Hex_Code],,0,)</f>
        <v>#N/A</v>
      </c>
      <c r="H31" s="7"/>
      <c r="I31" s="7"/>
      <c r="J31" s="7"/>
      <c r="K31" s="7"/>
      <c r="L31" s="7"/>
      <c r="M31" s="7"/>
      <c r="N31" s="7"/>
      <c r="O31" s="7"/>
      <c r="P31" s="7"/>
    </row>
    <row r="32" spans="1:16" x14ac:dyDescent="0.25">
      <c r="A32" s="151" t="b">
        <v>0</v>
      </c>
      <c r="B32" s="6">
        <f t="shared" si="0"/>
        <v>31</v>
      </c>
      <c r="C32" s="20" t="e">
        <f>_xlfn.XLOOKUP($D32,Tab_Def_Processes[Process_Name],Tab_Def_Processes[ID],,0,)</f>
        <v>#N/A</v>
      </c>
      <c r="D32" s="6">
        <f>Tab_Def_Processes[[#This Row],[Process_Name]]</f>
        <v>0</v>
      </c>
      <c r="E32" s="152"/>
      <c r="F32" s="152"/>
      <c r="G32" s="6" t="e">
        <f>_xlfn.XLOOKUP($F32,Table32[Color_Name],Table32[Hex_Code],,0,)</f>
        <v>#N/A</v>
      </c>
      <c r="H32" s="7"/>
      <c r="I32" s="7"/>
      <c r="J32" s="7"/>
      <c r="K32" s="7"/>
      <c r="L32" s="7"/>
      <c r="M32" s="7"/>
      <c r="N32" s="7"/>
      <c r="O32" s="7"/>
      <c r="P32" s="7"/>
    </row>
    <row r="33" spans="1:16" x14ac:dyDescent="0.25">
      <c r="A33" s="151" t="b">
        <v>0</v>
      </c>
      <c r="B33" s="6">
        <f t="shared" si="0"/>
        <v>32</v>
      </c>
      <c r="C33" s="20" t="e">
        <f>_xlfn.XLOOKUP($D33,Tab_Def_Processes[Process_Name],Tab_Def_Processes[ID],,0,)</f>
        <v>#N/A</v>
      </c>
      <c r="D33" s="6">
        <f>Tab_Def_Processes[[#This Row],[Process_Name]]</f>
        <v>0</v>
      </c>
      <c r="E33" s="152"/>
      <c r="F33" s="152"/>
      <c r="G33" s="6" t="e">
        <f>_xlfn.XLOOKUP($F33,Table32[Color_Name],Table32[Hex_Code],,0,)</f>
        <v>#N/A</v>
      </c>
      <c r="H33" s="7"/>
      <c r="I33" s="7"/>
      <c r="J33" s="7"/>
      <c r="K33" s="7"/>
      <c r="L33" s="7"/>
      <c r="M33" s="7"/>
      <c r="N33" s="7"/>
      <c r="O33" s="7"/>
      <c r="P33" s="7"/>
    </row>
    <row r="34" spans="1:16" x14ac:dyDescent="0.25">
      <c r="A34" s="151" t="b">
        <v>0</v>
      </c>
      <c r="B34" s="6">
        <f t="shared" si="0"/>
        <v>33</v>
      </c>
      <c r="C34" s="20" t="e">
        <f>_xlfn.XLOOKUP($D34,Tab_Def_Processes[Process_Name],Tab_Def_Processes[ID],,0,)</f>
        <v>#N/A</v>
      </c>
      <c r="D34" s="6">
        <f>Tab_Def_Processes[[#This Row],[Process_Name]]</f>
        <v>0</v>
      </c>
      <c r="E34" s="152"/>
      <c r="F34" s="152"/>
      <c r="G34" s="6" t="e">
        <f>_xlfn.XLOOKUP($F34,Table32[Color_Name],Table32[Hex_Code],,0,)</f>
        <v>#N/A</v>
      </c>
      <c r="H34" s="7"/>
      <c r="I34" s="7"/>
      <c r="J34" s="7"/>
      <c r="K34" s="7"/>
      <c r="L34" s="7"/>
      <c r="M34" s="7"/>
      <c r="N34" s="7"/>
      <c r="O34" s="7"/>
      <c r="P34" s="7"/>
    </row>
    <row r="35" spans="1:16" x14ac:dyDescent="0.25">
      <c r="A35" s="151" t="b">
        <v>0</v>
      </c>
      <c r="B35" s="6">
        <f t="shared" si="0"/>
        <v>34</v>
      </c>
      <c r="C35" s="20" t="e">
        <f>_xlfn.XLOOKUP($D35,Tab_Def_Processes[Process_Name],Tab_Def_Processes[ID],,0,)</f>
        <v>#N/A</v>
      </c>
      <c r="D35" s="6">
        <f>Tab_Def_Processes[[#This Row],[Process_Name]]</f>
        <v>0</v>
      </c>
      <c r="E35" s="152"/>
      <c r="F35" s="152"/>
      <c r="G35" s="6" t="e">
        <f>_xlfn.XLOOKUP($F35,Table32[Color_Name],Table32[Hex_Code],,0,)</f>
        <v>#N/A</v>
      </c>
      <c r="H35" s="7"/>
      <c r="I35" s="7"/>
      <c r="J35" s="7"/>
      <c r="K35" s="7"/>
      <c r="L35" s="7"/>
      <c r="M35" s="7"/>
      <c r="N35" s="7"/>
      <c r="O35" s="7"/>
      <c r="P35" s="7"/>
    </row>
    <row r="36" spans="1:16" x14ac:dyDescent="0.25">
      <c r="A36" s="151" t="b">
        <v>0</v>
      </c>
      <c r="B36" s="6">
        <f t="shared" si="0"/>
        <v>35</v>
      </c>
      <c r="C36" s="20" t="e">
        <f>_xlfn.XLOOKUP($D36,Tab_Def_Processes[Process_Name],Tab_Def_Processes[ID],,0,)</f>
        <v>#N/A</v>
      </c>
      <c r="D36" s="6">
        <f>Tab_Def_Processes[[#This Row],[Process_Name]]</f>
        <v>0</v>
      </c>
      <c r="E36" s="152"/>
      <c r="F36" s="152"/>
      <c r="G36" s="6" t="e">
        <f>_xlfn.XLOOKUP($F36,Table32[Color_Name],Table32[Hex_Code],,0,)</f>
        <v>#N/A</v>
      </c>
      <c r="H36" s="7"/>
      <c r="I36" s="7"/>
      <c r="J36" s="7"/>
      <c r="K36" s="7"/>
      <c r="L36" s="7"/>
      <c r="M36" s="7"/>
      <c r="N36" s="7"/>
      <c r="O36" s="7"/>
      <c r="P36" s="7"/>
    </row>
    <row r="37" spans="1:16" x14ac:dyDescent="0.25">
      <c r="A37" s="151" t="b">
        <v>0</v>
      </c>
      <c r="B37" s="6">
        <f t="shared" si="0"/>
        <v>36</v>
      </c>
      <c r="C37" s="20" t="e">
        <f>_xlfn.XLOOKUP($D37,Tab_Def_Processes[Process_Name],Tab_Def_Processes[ID],,0,)</f>
        <v>#N/A</v>
      </c>
      <c r="D37" s="6">
        <f>Tab_Def_Processes[[#This Row],[Process_Name]]</f>
        <v>0</v>
      </c>
      <c r="E37" s="152"/>
      <c r="F37" s="152"/>
      <c r="G37" s="6" t="e">
        <f>_xlfn.XLOOKUP($F37,Table32[Color_Name],Table32[Hex_Code],,0,)</f>
        <v>#N/A</v>
      </c>
      <c r="H37" s="7"/>
      <c r="I37" s="7"/>
      <c r="J37" s="7"/>
      <c r="K37" s="7"/>
      <c r="L37" s="7"/>
      <c r="M37" s="7"/>
      <c r="N37" s="7"/>
      <c r="O37" s="7"/>
      <c r="P37" s="7"/>
    </row>
    <row r="38" spans="1:16" x14ac:dyDescent="0.25">
      <c r="A38" s="151" t="b">
        <v>0</v>
      </c>
      <c r="B38" s="6">
        <f t="shared" si="0"/>
        <v>37</v>
      </c>
      <c r="C38" s="20" t="e">
        <f>_xlfn.XLOOKUP($D38,Tab_Def_Processes[Process_Name],Tab_Def_Processes[ID],,0,)</f>
        <v>#N/A</v>
      </c>
      <c r="D38" s="6">
        <f>Tab_Def_Processes[[#This Row],[Process_Name]]</f>
        <v>0</v>
      </c>
      <c r="E38" s="152"/>
      <c r="F38" s="152"/>
      <c r="G38" s="6" t="e">
        <f>_xlfn.XLOOKUP($F38,Table32[Color_Name],Table32[Hex_Code],,0,)</f>
        <v>#N/A</v>
      </c>
      <c r="H38" s="7"/>
      <c r="I38" s="7"/>
      <c r="J38" s="7"/>
      <c r="K38" s="7"/>
      <c r="L38" s="7"/>
      <c r="M38" s="7"/>
      <c r="N38" s="7"/>
      <c r="O38" s="7"/>
      <c r="P38" s="7"/>
    </row>
    <row r="39" spans="1:16" x14ac:dyDescent="0.25">
      <c r="A39" s="151" t="b">
        <v>0</v>
      </c>
      <c r="B39" s="6">
        <f t="shared" si="0"/>
        <v>38</v>
      </c>
      <c r="C39" s="20" t="e">
        <f>_xlfn.XLOOKUP($D39,Tab_Def_Processes[Process_Name],Tab_Def_Processes[ID],,0,)</f>
        <v>#N/A</v>
      </c>
      <c r="D39" s="6">
        <f>Tab_Def_Processes[[#This Row],[Process_Name]]</f>
        <v>0</v>
      </c>
      <c r="E39" s="152"/>
      <c r="F39" s="152"/>
      <c r="G39" s="6" t="e">
        <f>_xlfn.XLOOKUP($F39,Table32[Color_Name],Table32[Hex_Code],,0,)</f>
        <v>#N/A</v>
      </c>
      <c r="H39" s="7"/>
      <c r="I39" s="7"/>
      <c r="J39" s="7"/>
      <c r="K39" s="7"/>
      <c r="L39" s="7"/>
      <c r="M39" s="7"/>
      <c r="N39" s="7"/>
      <c r="O39" s="7"/>
      <c r="P39" s="7"/>
    </row>
    <row r="40" spans="1:16" x14ac:dyDescent="0.25">
      <c r="A40" s="151" t="b">
        <v>0</v>
      </c>
      <c r="B40" s="6">
        <f t="shared" si="0"/>
        <v>39</v>
      </c>
      <c r="C40" s="20" t="e">
        <f>_xlfn.XLOOKUP($D40,Tab_Def_Processes[Process_Name],Tab_Def_Processes[ID],,0,)</f>
        <v>#N/A</v>
      </c>
      <c r="D40" s="6">
        <f>Tab_Def_Processes[[#This Row],[Process_Name]]</f>
        <v>0</v>
      </c>
      <c r="E40" s="152"/>
      <c r="F40" s="152"/>
      <c r="G40" s="6" t="e">
        <f>_xlfn.XLOOKUP($F40,Table32[Color_Name],Table32[Hex_Code],,0,)</f>
        <v>#N/A</v>
      </c>
      <c r="H40" s="7"/>
      <c r="I40" s="7"/>
      <c r="J40" s="7"/>
      <c r="K40" s="7"/>
      <c r="L40" s="7"/>
      <c r="M40" s="7"/>
      <c r="N40" s="7"/>
      <c r="O40" s="7"/>
      <c r="P40" s="7"/>
    </row>
    <row r="41" spans="1:16" x14ac:dyDescent="0.25">
      <c r="A41" s="151" t="b">
        <v>0</v>
      </c>
      <c r="B41" s="6">
        <f t="shared" si="0"/>
        <v>40</v>
      </c>
      <c r="C41" s="20" t="e">
        <f>_xlfn.XLOOKUP($D41,Tab_Def_Processes[Process_Name],Tab_Def_Processes[ID],,0,)</f>
        <v>#N/A</v>
      </c>
      <c r="D41" s="6">
        <f>Tab_Def_Processes[[#This Row],[Process_Name]]</f>
        <v>0</v>
      </c>
      <c r="E41" s="152"/>
      <c r="F41" s="152"/>
      <c r="G41" s="6" t="e">
        <f>_xlfn.XLOOKUP($F41,Table32[Color_Name],Table32[Hex_Code],,0,)</f>
        <v>#N/A</v>
      </c>
      <c r="H41" s="7"/>
      <c r="I41" s="7"/>
      <c r="J41" s="7"/>
      <c r="K41" s="7"/>
      <c r="L41" s="7"/>
      <c r="M41" s="7"/>
      <c r="N41" s="7"/>
      <c r="O41" s="7"/>
      <c r="P41" s="7"/>
    </row>
    <row r="42" spans="1:16" x14ac:dyDescent="0.25">
      <c r="A42" s="151" t="b">
        <v>0</v>
      </c>
      <c r="B42" s="6">
        <f t="shared" si="0"/>
        <v>41</v>
      </c>
      <c r="C42" s="20" t="e">
        <f>_xlfn.XLOOKUP($D42,Tab_Def_Processes[Process_Name],Tab_Def_Processes[ID],,0,)</f>
        <v>#N/A</v>
      </c>
      <c r="D42" s="6">
        <f>Tab_Def_Processes[[#This Row],[Process_Name]]</f>
        <v>0</v>
      </c>
      <c r="E42" s="152"/>
      <c r="F42" s="152"/>
      <c r="G42" s="6" t="e">
        <f>_xlfn.XLOOKUP($F42,Table32[Color_Name],Table32[Hex_Code],,0,)</f>
        <v>#N/A</v>
      </c>
      <c r="H42" s="7"/>
      <c r="I42" s="7"/>
      <c r="J42" s="7"/>
      <c r="K42" s="7"/>
      <c r="L42" s="7"/>
      <c r="M42" s="7"/>
      <c r="N42" s="7"/>
      <c r="O42" s="7"/>
      <c r="P42" s="7"/>
    </row>
    <row r="43" spans="1:16" x14ac:dyDescent="0.25">
      <c r="A43" s="151" t="b">
        <v>0</v>
      </c>
      <c r="B43" s="6">
        <f t="shared" si="0"/>
        <v>42</v>
      </c>
      <c r="C43" s="20" t="e">
        <f>_xlfn.XLOOKUP($D43,Tab_Def_Processes[Process_Name],Tab_Def_Processes[ID],,0,)</f>
        <v>#N/A</v>
      </c>
      <c r="D43" s="6">
        <f>Tab_Def_Processes[[#This Row],[Process_Name]]</f>
        <v>0</v>
      </c>
      <c r="E43" s="152"/>
      <c r="F43" s="152"/>
      <c r="G43" s="6" t="e">
        <f>_xlfn.XLOOKUP($F43,Table32[Color_Name],Table32[Hex_Code],,0,)</f>
        <v>#N/A</v>
      </c>
      <c r="H43" s="7"/>
      <c r="I43" s="7"/>
      <c r="J43" s="7"/>
      <c r="K43" s="7"/>
      <c r="L43" s="7"/>
      <c r="M43" s="7"/>
      <c r="N43" s="7"/>
      <c r="O43" s="7"/>
      <c r="P43" s="7"/>
    </row>
    <row r="44" spans="1:16" x14ac:dyDescent="0.25">
      <c r="A44" s="151" t="b">
        <v>0</v>
      </c>
      <c r="B44" s="6">
        <f t="shared" si="0"/>
        <v>43</v>
      </c>
      <c r="C44" s="20" t="e">
        <f>_xlfn.XLOOKUP($D44,Tab_Def_Processes[Process_Name],Tab_Def_Processes[ID],,0,)</f>
        <v>#N/A</v>
      </c>
      <c r="D44" s="6">
        <f>Tab_Def_Processes[[#This Row],[Process_Name]]</f>
        <v>0</v>
      </c>
      <c r="E44" s="152"/>
      <c r="F44" s="152"/>
      <c r="G44" s="6" t="e">
        <f>_xlfn.XLOOKUP($F44,Table32[Color_Name],Table32[Hex_Code],,0,)</f>
        <v>#N/A</v>
      </c>
      <c r="H44" s="7"/>
      <c r="I44" s="7"/>
      <c r="J44" s="7"/>
      <c r="K44" s="7"/>
      <c r="L44" s="7"/>
      <c r="M44" s="7"/>
      <c r="N44" s="7"/>
      <c r="O44" s="7"/>
      <c r="P44" s="7"/>
    </row>
    <row r="45" spans="1:16" x14ac:dyDescent="0.25">
      <c r="A45" s="151" t="b">
        <v>0</v>
      </c>
      <c r="B45" s="6">
        <f t="shared" si="0"/>
        <v>44</v>
      </c>
      <c r="C45" s="20" t="e">
        <f>_xlfn.XLOOKUP($D45,Tab_Def_Processes[Process_Name],Tab_Def_Processes[ID],,0,)</f>
        <v>#N/A</v>
      </c>
      <c r="D45" s="6">
        <f>Tab_Def_Processes[[#This Row],[Process_Name]]</f>
        <v>0</v>
      </c>
      <c r="E45" s="152"/>
      <c r="F45" s="152"/>
      <c r="G45" s="6" t="e">
        <f>_xlfn.XLOOKUP($F45,Table32[Color_Name],Table32[Hex_Code],,0,)</f>
        <v>#N/A</v>
      </c>
      <c r="H45" s="7"/>
      <c r="I45" s="7"/>
      <c r="J45" s="7"/>
      <c r="K45" s="7"/>
      <c r="L45" s="7"/>
      <c r="M45" s="7"/>
      <c r="N45" s="7"/>
      <c r="O45" s="7"/>
      <c r="P45" s="7"/>
    </row>
    <row r="46" spans="1:16" x14ac:dyDescent="0.25">
      <c r="A46" s="151" t="b">
        <v>0</v>
      </c>
      <c r="B46" s="6">
        <f t="shared" si="0"/>
        <v>45</v>
      </c>
      <c r="C46" s="20" t="e">
        <f>_xlfn.XLOOKUP($D46,Tab_Def_Processes[Process_Name],Tab_Def_Processes[ID],,0,)</f>
        <v>#N/A</v>
      </c>
      <c r="D46" s="6">
        <f>Tab_Def_Processes[[#This Row],[Process_Name]]</f>
        <v>0</v>
      </c>
      <c r="E46" s="152"/>
      <c r="F46" s="152"/>
      <c r="G46" s="6" t="e">
        <f>_xlfn.XLOOKUP($F46,Table32[Color_Name],Table32[Hex_Code],,0,)</f>
        <v>#N/A</v>
      </c>
      <c r="H46" s="7"/>
      <c r="I46" s="7"/>
      <c r="J46" s="7"/>
      <c r="K46" s="7"/>
      <c r="L46" s="7"/>
      <c r="M46" s="7"/>
      <c r="N46" s="7"/>
      <c r="O46" s="7"/>
      <c r="P46" s="7"/>
    </row>
    <row r="47" spans="1:16" x14ac:dyDescent="0.25">
      <c r="A47" s="151" t="b">
        <v>0</v>
      </c>
      <c r="B47" s="6">
        <f t="shared" si="0"/>
        <v>46</v>
      </c>
      <c r="C47" s="20" t="e">
        <f>_xlfn.XLOOKUP($D47,Tab_Def_Processes[Process_Name],Tab_Def_Processes[ID],,0,)</f>
        <v>#N/A</v>
      </c>
      <c r="D47" s="6">
        <f>Tab_Def_Processes[[#This Row],[Process_Name]]</f>
        <v>0</v>
      </c>
      <c r="E47" s="152"/>
      <c r="F47" s="152"/>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37" t="s">
        <v>7</v>
      </c>
      <c r="B1" s="137" t="s">
        <v>11</v>
      </c>
      <c r="C1" s="137" t="s">
        <v>26</v>
      </c>
      <c r="D1" s="137" t="s">
        <v>253</v>
      </c>
      <c r="E1" s="137" t="s">
        <v>368</v>
      </c>
      <c r="F1" s="137" t="s">
        <v>4</v>
      </c>
    </row>
    <row r="2" spans="1:6" x14ac:dyDescent="0.25">
      <c r="A2" s="8">
        <f>ROW()-1</f>
        <v>1</v>
      </c>
      <c r="B2" s="6" t="str">
        <f>_xlfn.XLOOKUP(C2,Tab_Def_Flows[Flow_Name],Tab_Def_Flows[Flow_ID],,0,)</f>
        <v>F_01_02</v>
      </c>
      <c r="C2" s="6" t="str">
        <f>Tab_Def_Flows[[#This Row],[Flow_Name]]</f>
        <v>Atmosphere_Input_Cultivation_C</v>
      </c>
      <c r="D2" s="134" t="s">
        <v>312</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4" t="s">
        <v>279</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4" t="s">
        <v>295</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4" t="s">
        <v>295</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4" t="s">
        <v>295</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4" t="s">
        <v>312</v>
      </c>
      <c r="E7" s="6" t="str">
        <f>_xlfn.XLOOKUP($D7,Table32[Color_Name],Table32[Hex_Code],,0,)</f>
        <v>#87CEEB</v>
      </c>
      <c r="F7" s="13"/>
    </row>
    <row r="8" spans="1:6" x14ac:dyDescent="0.25">
      <c r="A8" s="8">
        <f t="shared" si="0"/>
        <v>7</v>
      </c>
      <c r="B8" s="6" t="str">
        <f>_xlfn.XLOOKUP(C8,Tab_Def_Flows[Flow_Name],Tab_Def_Flows[Flow_ID],,0,)</f>
        <v>F_00_14</v>
      </c>
      <c r="C8" s="6" t="str">
        <f>Tab_Def_Flows[[#This Row],[Flow_Name]]</f>
        <v>Environment_Input_MBC_production_E</v>
      </c>
      <c r="D8" s="134" t="s">
        <v>279</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4" t="s">
        <v>295</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4" t="s">
        <v>295</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4" t="s">
        <v>295</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4" t="s">
        <v>312</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4" t="s">
        <v>279</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4" t="s">
        <v>312</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4" t="s">
        <v>279</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4" t="s">
        <v>295</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4" t="s">
        <v>312</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4" t="s">
        <v>279</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4" t="s">
        <v>312</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4" t="s">
        <v>279</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4" t="s">
        <v>295</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4" t="s">
        <v>279</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4" t="s">
        <v>279</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4" t="s">
        <v>279</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4" t="s">
        <v>279</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4"/>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4"/>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4"/>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4"/>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4"/>
      <c r="E30" s="6" t="e">
        <f>_xlfn.XLOOKUP($D30,Table32[Color_Name],Table32[Hex_Code],,0,)</f>
        <v>#N/A</v>
      </c>
      <c r="F30" s="13"/>
    </row>
    <row r="31" spans="1:6" x14ac:dyDescent="0.25">
      <c r="A31" s="8">
        <f t="shared" si="0"/>
        <v>30</v>
      </c>
      <c r="B31" s="6" t="str">
        <f>_xlfn.XLOOKUP(C31,Tab_Def_Flows[Flow_Name],Tab_Def_Flows[Flow_ID],,0,)</f>
        <v>F_12_01</v>
      </c>
      <c r="C31" s="6" t="str">
        <f>Tab_Def_Flows[[#This Row],[Flow_Name]]</f>
        <v>MBC-Production Waste_Treatment_Emissions_C</v>
      </c>
      <c r="D31" s="134"/>
      <c r="E31" s="6" t="e">
        <f>_xlfn.XLOOKUP($D31,Table32[Color_Name],Table32[Hex_Code],,0,)</f>
        <v>#N/A</v>
      </c>
      <c r="F31" s="13"/>
    </row>
    <row r="32" spans="1:6" x14ac:dyDescent="0.25">
      <c r="A32" s="8">
        <f t="shared" si="0"/>
        <v>31</v>
      </c>
      <c r="B32" s="6" t="str">
        <f>_xlfn.XLOOKUP(C32,Tab_Def_Flows[Flow_Name],Tab_Def_Flows[Flow_ID],,0,)</f>
        <v>F_12_00</v>
      </c>
      <c r="C32" s="6" t="str">
        <f>Tab_Def_Flows[[#This Row],[Flow_Name]]</f>
        <v>MBC-Production Waste_Treatment_Emissions_E</v>
      </c>
      <c r="D32" s="134"/>
      <c r="E32" s="6" t="e">
        <f>_xlfn.XLOOKUP($D32,Table32[Color_Name],Table32[Hex_Code],,0,)</f>
        <v>#N/A</v>
      </c>
      <c r="F32" s="13"/>
    </row>
    <row r="33" spans="1:6" x14ac:dyDescent="0.25">
      <c r="A33" s="8">
        <f t="shared" si="0"/>
        <v>32</v>
      </c>
      <c r="B33" s="6" t="str">
        <f>_xlfn.XLOOKUP(C33,Tab_Def_Flows[Flow_Name],Tab_Def_Flows[Flow_ID],,0,)</f>
        <v>F_14_11</v>
      </c>
      <c r="C33" s="6" t="str">
        <f>Tab_Def_Flows[[#This Row],[Flow_Name]]</f>
        <v>Millet-Grain</v>
      </c>
      <c r="D33" s="134"/>
      <c r="E33" s="6" t="e">
        <f>_xlfn.XLOOKUP($D33,Table32[Color_Name],Table32[Hex_Code],,0,)</f>
        <v>#N/A</v>
      </c>
      <c r="F33" s="13"/>
    </row>
    <row r="34" spans="1:6" x14ac:dyDescent="0.25">
      <c r="A34" s="8">
        <f t="shared" si="0"/>
        <v>33</v>
      </c>
      <c r="B34" s="6" t="str">
        <f>_xlfn.XLOOKUP(C34,Tab_Def_Flows[Flow_Name],Tab_Def_Flows[Flow_ID],,0,)</f>
        <v>F_11_13</v>
      </c>
      <c r="C34" s="6" t="str">
        <f>Tab_Def_Flows[[#This Row],[Flow_Name]]</f>
        <v>MBC-Production-Delta</v>
      </c>
      <c r="D34" s="134"/>
      <c r="E34" s="6" t="e">
        <f>_xlfn.XLOOKUP($D34,Table32[Color_Name],Table32[Hex_Code],,0,)</f>
        <v>#N/A</v>
      </c>
      <c r="F34" s="13"/>
    </row>
    <row r="35" spans="1:6" x14ac:dyDescent="0.25">
      <c r="A35" s="8">
        <f t="shared" si="0"/>
        <v>34</v>
      </c>
      <c r="B35" s="6" t="str">
        <f>_xlfn.XLOOKUP(C35,Tab_Def_Flows[Flow_Name],Tab_Def_Flows[Flow_ID],,0,)</f>
        <v>F_13_01</v>
      </c>
      <c r="C35" s="6" t="str">
        <f>Tab_Def_Flows[[#This Row],[Flow_Name]]</f>
        <v>MBC-Production-Delta_Emissions_C</v>
      </c>
      <c r="D35" s="134"/>
      <c r="E35" s="6" t="e">
        <f>_xlfn.XLOOKUP($D35,Table32[Color_Name],Table32[Hex_Code],,0,)</f>
        <v>#N/A</v>
      </c>
      <c r="F35" s="13"/>
    </row>
    <row r="36" spans="1:6" x14ac:dyDescent="0.25">
      <c r="A36" s="8">
        <f t="shared" si="0"/>
        <v>35</v>
      </c>
      <c r="B36" s="6" t="str">
        <f>_xlfn.XLOOKUP(C36,Tab_Def_Flows[Flow_Name],Tab_Def_Flows[Flow_ID],,0,)</f>
        <v>F_13_00</v>
      </c>
      <c r="C36" s="6" t="str">
        <f>Tab_Def_Flows[[#This Row],[Flow_Name]]</f>
        <v>MBC-Production-Delta_Emissions_E</v>
      </c>
      <c r="D36" s="134"/>
      <c r="E36" s="6" t="e">
        <f>_xlfn.XLOOKUP($D36,Table32[Color_Name],Table32[Hex_Code],,0,)</f>
        <v>#N/A</v>
      </c>
      <c r="F36" s="13"/>
    </row>
    <row r="37" spans="1:6" x14ac:dyDescent="0.25">
      <c r="A37" s="8">
        <f t="shared" si="0"/>
        <v>36</v>
      </c>
      <c r="B37" s="6" t="str">
        <f>_xlfn.XLOOKUP(C37,Tab_Def_Flows[Flow_Name],Tab_Def_Flows[Flow_ID],,0,)</f>
        <v>F_16_17</v>
      </c>
      <c r="C37" s="6" t="str">
        <f>Tab_Def_Flows[[#This Row],[Flow_Name]]</f>
        <v>MBC (EoL)-Pyrolysis</v>
      </c>
      <c r="D37" s="134"/>
      <c r="E37" s="6" t="e">
        <f>_xlfn.XLOOKUP($D37,Table32[Color_Name],Table32[Hex_Code],,0,)</f>
        <v>#N/A</v>
      </c>
      <c r="F37" s="13"/>
    </row>
    <row r="38" spans="1:6" x14ac:dyDescent="0.25">
      <c r="A38" s="8">
        <f t="shared" si="0"/>
        <v>37</v>
      </c>
      <c r="B38" s="6" t="str">
        <f>_xlfn.XLOOKUP(C38,Tab_Def_Flows[Flow_Name],Tab_Def_Flows[Flow_ID],,0,)</f>
        <v>F_16_18</v>
      </c>
      <c r="C38" s="6" t="str">
        <f>Tab_Def_Flows[[#This Row],[Flow_Name]]</f>
        <v>MBC (EoL)-Incineration</v>
      </c>
      <c r="D38" s="134"/>
      <c r="E38" s="6" t="e">
        <f>_xlfn.XLOOKUP($D38,Table32[Color_Name],Table32[Hex_Code],,0,)</f>
        <v>#N/A</v>
      </c>
      <c r="F38" s="13"/>
    </row>
    <row r="39" spans="1:6" x14ac:dyDescent="0.25">
      <c r="A39" s="8">
        <f t="shared" si="0"/>
        <v>38</v>
      </c>
      <c r="B39" s="6" t="str">
        <f>_xlfn.XLOOKUP(C39,Tab_Def_Flows[Flow_Name],Tab_Def_Flows[Flow_ID],,0,)</f>
        <v>F_18_01</v>
      </c>
      <c r="C39" s="6" t="str">
        <f>Tab_Def_Flows[[#This Row],[Flow_Name]]</f>
        <v>MBC_(EoL)-Incineration_Emissions_C</v>
      </c>
      <c r="D39" s="134"/>
      <c r="E39" s="6" t="e">
        <f>_xlfn.XLOOKUP($D39,Table32[Color_Name],Table32[Hex_Code],,0,)</f>
        <v>#N/A</v>
      </c>
      <c r="F39" s="13"/>
    </row>
    <row r="40" spans="1:6" x14ac:dyDescent="0.25">
      <c r="A40" s="8">
        <f t="shared" si="0"/>
        <v>39</v>
      </c>
      <c r="B40" s="6" t="str">
        <f>_xlfn.XLOOKUP(C40,Tab_Def_Flows[Flow_Name],Tab_Def_Flows[Flow_ID],,0,)</f>
        <v>F_18_00</v>
      </c>
      <c r="C40" s="6" t="str">
        <f>Tab_Def_Flows[[#This Row],[Flow_Name]]</f>
        <v>MBC_(EoL)-Incineration_Emissions_E</v>
      </c>
      <c r="D40" s="134"/>
      <c r="E40" s="6" t="e">
        <f>_xlfn.XLOOKUP($D40,Table32[Color_Name],Table32[Hex_Code],,0,)</f>
        <v>#N/A</v>
      </c>
      <c r="F40" s="13"/>
    </row>
    <row r="41" spans="1:6" x14ac:dyDescent="0.25">
      <c r="A41" s="8">
        <f t="shared" si="0"/>
        <v>40</v>
      </c>
      <c r="B41" s="6" t="str">
        <f>_xlfn.XLOOKUP(C41,Tab_Def_Flows[Flow_Name],Tab_Def_Flows[Flow_ID],,0,)</f>
        <v>F_17_22</v>
      </c>
      <c r="C41" s="6" t="str">
        <f>Tab_Def_Flows[[#This Row],[Flow_Name]]</f>
        <v>Biochar-Pyrolysis</v>
      </c>
      <c r="D41" s="134"/>
      <c r="E41" s="6" t="e">
        <f>_xlfn.XLOOKUP($D41,Table32[Color_Name],Table32[Hex_Code],,0,)</f>
        <v>#N/A</v>
      </c>
      <c r="F41" s="13"/>
    </row>
    <row r="42" spans="1:6" x14ac:dyDescent="0.25">
      <c r="A42" s="8">
        <f t="shared" si="0"/>
        <v>41</v>
      </c>
      <c r="B42" s="6" t="str">
        <f>_xlfn.XLOOKUP(C42,Tab_Def_Flows[Flow_Name],Tab_Def_Flows[Flow_ID],,0,)</f>
        <v>F_18_19</v>
      </c>
      <c r="C42" s="6" t="str">
        <f>Tab_Def_Flows[[#This Row],[Flow_Name]]</f>
        <v>MBC_(EoL)-Incineration_Ash</v>
      </c>
      <c r="D42" s="134"/>
      <c r="E42" s="6" t="e">
        <f>_xlfn.XLOOKUP($D42,Table32[Color_Name],Table32[Hex_Code],,0,)</f>
        <v>#N/A</v>
      </c>
      <c r="F42" s="13"/>
    </row>
    <row r="43" spans="1:6" x14ac:dyDescent="0.25">
      <c r="A43" s="8">
        <f t="shared" si="0"/>
        <v>42</v>
      </c>
      <c r="B43" s="6" t="str">
        <f>_xlfn.XLOOKUP(C43,Tab_Def_Flows[Flow_Name],Tab_Def_Flows[Flow_ID],,0,)</f>
        <v>F_18_01</v>
      </c>
      <c r="C43" s="6" t="str">
        <f>Tab_Def_Flows[[#This Row],[Flow_Name]]</f>
        <v>MBC_(EoL)-Incineration_Emissions_C</v>
      </c>
      <c r="D43" s="134"/>
      <c r="E43" s="6" t="e">
        <f>_xlfn.XLOOKUP($D43,Table32[Color_Name],Table32[Hex_Code],,0,)</f>
        <v>#N/A</v>
      </c>
      <c r="F43" s="13"/>
    </row>
    <row r="44" spans="1:6" x14ac:dyDescent="0.25">
      <c r="A44" s="8">
        <f t="shared" si="0"/>
        <v>43</v>
      </c>
      <c r="B44" s="6" t="str">
        <f>_xlfn.XLOOKUP(C44,Tab_Def_Flows[Flow_Name],Tab_Def_Flows[Flow_ID],,0,)</f>
        <v>F_18_00</v>
      </c>
      <c r="C44" s="6" t="str">
        <f>Tab_Def_Flows[[#This Row],[Flow_Name]]</f>
        <v>MBC_(EoL)-Incineration_Emissions_E</v>
      </c>
      <c r="D44" s="134"/>
      <c r="E44" s="6" t="e">
        <f>_xlfn.XLOOKUP($D44,Table32[Color_Name],Table32[Hex_Code],,0,)</f>
        <v>#N/A</v>
      </c>
      <c r="F44" s="13"/>
    </row>
    <row r="45" spans="1:6" x14ac:dyDescent="0.25">
      <c r="A45" s="8">
        <f t="shared" si="0"/>
        <v>44</v>
      </c>
      <c r="B45" s="6" t="str">
        <f>_xlfn.XLOOKUP(C45,Tab_Def_Flows[Flow_Name],Tab_Def_Flows[Flow_ID],,0,)</f>
        <v>F_17_22</v>
      </c>
      <c r="C45" s="6" t="str">
        <f>Tab_Def_Flows[[#This Row],[Flow_Name]]</f>
        <v>Biochar-Pyrolysis</v>
      </c>
      <c r="D45" s="134"/>
      <c r="E45" s="6" t="e">
        <f>_xlfn.XLOOKUP($D45,Table32[Color_Name],Table32[Hex_Code],,0,)</f>
        <v>#N/A</v>
      </c>
      <c r="F45" s="13"/>
    </row>
    <row r="46" spans="1:6" x14ac:dyDescent="0.25">
      <c r="A46" s="8">
        <f t="shared" si="0"/>
        <v>45</v>
      </c>
      <c r="B46" s="6" t="str">
        <f>_xlfn.XLOOKUP(C46,Tab_Def_Flows[Flow_Name],Tab_Def_Flows[Flow_ID],,0,)</f>
        <v>F_17_01</v>
      </c>
      <c r="C46" s="6" t="str">
        <f>Tab_Def_Flows[[#This Row],[Flow_Name]]</f>
        <v>Pyrolysis_Emissions_C</v>
      </c>
      <c r="D46" s="134"/>
      <c r="E46" s="6" t="e">
        <f>_xlfn.XLOOKUP($D46,Table32[Color_Name],Table32[Hex_Code],,0,)</f>
        <v>#N/A</v>
      </c>
      <c r="F46" s="13"/>
    </row>
    <row r="47" spans="1:6" x14ac:dyDescent="0.25">
      <c r="A47" s="8">
        <f t="shared" si="0"/>
        <v>46</v>
      </c>
      <c r="B47" s="6" t="str">
        <f>_xlfn.XLOOKUP(C47,Tab_Def_Flows[Flow_Name],Tab_Def_Flows[Flow_ID],,0,)</f>
        <v>F_17_00</v>
      </c>
      <c r="C47" s="6" t="str">
        <f>Tab_Def_Flows[[#This Row],[Flow_Name]]</f>
        <v>Pyrolysis_Emissions_E</v>
      </c>
      <c r="D47" s="134"/>
      <c r="E47" s="6" t="e">
        <f>_xlfn.XLOOKUP($D47,Table32[Color_Name],Table32[Hex_Code],,0,)</f>
        <v>#N/A</v>
      </c>
      <c r="F47" s="13"/>
    </row>
    <row r="48" spans="1:6" x14ac:dyDescent="0.25">
      <c r="A48" s="8">
        <f t="shared" si="0"/>
        <v>47</v>
      </c>
      <c r="B48" s="6" t="str">
        <f>_xlfn.XLOOKUP(C48,Tab_Def_Flows[Flow_Name],Tab_Def_Flows[Flow_ID],,0,)</f>
        <v>F_22_01</v>
      </c>
      <c r="C48" s="6" t="str">
        <f>Tab_Def_Flows[[#This Row],[Flow_Name]]</f>
        <v>Lithosphere_Emissions_C</v>
      </c>
      <c r="D48" s="134"/>
      <c r="E48" s="6" t="e">
        <f>_xlfn.XLOOKUP($D48,Table32[Color_Name],Table32[Hex_Code],,0,)</f>
        <v>#N/A</v>
      </c>
      <c r="F48" s="13"/>
    </row>
    <row r="49" spans="1:6" x14ac:dyDescent="0.25">
      <c r="A49" s="8">
        <f t="shared" si="0"/>
        <v>48</v>
      </c>
      <c r="B49" s="6" t="str">
        <f>_xlfn.XLOOKUP(C49,Tab_Def_Flows[Flow_Name],Tab_Def_Flows[Flow_ID],,0,)</f>
        <v>F_22_00</v>
      </c>
      <c r="C49" s="6" t="str">
        <f>Tab_Def_Flows[[#This Row],[Flow_Name]]</f>
        <v>Lithosphere_Emissions_E</v>
      </c>
      <c r="D49" s="134"/>
      <c r="E49" s="6" t="e">
        <f>_xlfn.XLOOKUP($D49,Table32[Color_Name],Table32[Hex_Code],,0,)</f>
        <v>#N/A</v>
      </c>
      <c r="F49" s="13"/>
    </row>
    <row r="50" spans="1:6" x14ac:dyDescent="0.25">
      <c r="A50" s="8">
        <f t="shared" si="0"/>
        <v>49</v>
      </c>
      <c r="B50" s="6" t="str">
        <f>_xlfn.XLOOKUP(C50,Tab_Def_Flows[Flow_Name],Tab_Def_Flows[Flow_ID],,0,)</f>
        <v>F_19_01</v>
      </c>
      <c r="C50" s="6" t="str">
        <f>Tab_Def_Flows[[#This Row],[Flow_Name]]</f>
        <v>Ash-Incineration_Emissions_C</v>
      </c>
      <c r="D50" s="134"/>
      <c r="E50" s="6" t="e">
        <f>_xlfn.XLOOKUP($D50,Table32[Color_Name],Table32[Hex_Code],,0,)</f>
        <v>#N/A</v>
      </c>
      <c r="F50" s="13"/>
    </row>
    <row r="51" spans="1:6" x14ac:dyDescent="0.25">
      <c r="A51" s="8">
        <f t="shared" si="0"/>
        <v>50</v>
      </c>
      <c r="B51" s="6" t="str">
        <f>_xlfn.XLOOKUP(C51,Tab_Def_Flows[Flow_Name],Tab_Def_Flows[Flow_ID],,0,)</f>
        <v>F_19_00</v>
      </c>
      <c r="C51" s="6" t="str">
        <f>Tab_Def_Flows[[#This Row],[Flow_Name]]</f>
        <v>Ash-Incineration_Emissions_E</v>
      </c>
      <c r="D51" s="134"/>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C56" sqref="C56"/>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37" t="s">
        <v>254</v>
      </c>
      <c r="B1" s="137" t="s">
        <v>166</v>
      </c>
      <c r="C1" s="137" t="s">
        <v>4</v>
      </c>
      <c r="D1" s="137" t="s">
        <v>255</v>
      </c>
      <c r="E1" s="137" t="s">
        <v>162</v>
      </c>
    </row>
    <row r="2" spans="1:5" x14ac:dyDescent="0.25">
      <c r="A2" s="6" t="s">
        <v>256</v>
      </c>
      <c r="B2" s="7">
        <v>0.5</v>
      </c>
      <c r="C2" s="13" t="s">
        <v>257</v>
      </c>
      <c r="D2" s="13" t="s">
        <v>258</v>
      </c>
      <c r="E2" s="13"/>
    </row>
    <row r="3" spans="1:5" x14ac:dyDescent="0.25">
      <c r="A3" s="6" t="s">
        <v>259</v>
      </c>
      <c r="B3" s="7">
        <v>0.5</v>
      </c>
      <c r="C3" s="13" t="s">
        <v>260</v>
      </c>
      <c r="D3" s="13" t="s">
        <v>258</v>
      </c>
      <c r="E3" s="13"/>
    </row>
    <row r="4" spans="1:5" x14ac:dyDescent="0.25">
      <c r="A4" s="6" t="s">
        <v>261</v>
      </c>
      <c r="B4" s="7">
        <v>0.3</v>
      </c>
      <c r="C4" s="13" t="s">
        <v>262</v>
      </c>
      <c r="D4" s="13" t="s">
        <v>263</v>
      </c>
      <c r="E4" s="13"/>
    </row>
    <row r="5" spans="1:5" x14ac:dyDescent="0.25">
      <c r="A5" s="6" t="s">
        <v>264</v>
      </c>
      <c r="B5" s="7" t="s">
        <v>395</v>
      </c>
      <c r="C5" s="13" t="s">
        <v>265</v>
      </c>
      <c r="D5" s="13" t="s">
        <v>266</v>
      </c>
      <c r="E5" s="13"/>
    </row>
    <row r="6" spans="1:5" x14ac:dyDescent="0.25">
      <c r="A6" s="6" t="s">
        <v>267</v>
      </c>
      <c r="B6" s="7" t="s">
        <v>268</v>
      </c>
      <c r="C6" s="13" t="s">
        <v>269</v>
      </c>
      <c r="D6" s="13" t="s">
        <v>270</v>
      </c>
      <c r="E6" s="13"/>
    </row>
    <row r="7" spans="1:5" x14ac:dyDescent="0.25">
      <c r="A7" s="6" t="s">
        <v>271</v>
      </c>
      <c r="B7" s="7" t="s">
        <v>272</v>
      </c>
      <c r="C7" s="13" t="s">
        <v>273</v>
      </c>
      <c r="D7" s="13" t="s">
        <v>270</v>
      </c>
      <c r="E7" s="13"/>
    </row>
    <row r="8" spans="1:5" x14ac:dyDescent="0.25">
      <c r="A8" s="6" t="s">
        <v>369</v>
      </c>
      <c r="B8" s="7">
        <v>1600</v>
      </c>
      <c r="C8" s="13" t="s">
        <v>370</v>
      </c>
      <c r="D8" s="13"/>
      <c r="E8" s="13"/>
    </row>
    <row r="9" spans="1:5" x14ac:dyDescent="0.25">
      <c r="A9" s="6" t="s">
        <v>372</v>
      </c>
      <c r="B9" s="7">
        <v>1200</v>
      </c>
      <c r="C9" s="13" t="s">
        <v>373</v>
      </c>
      <c r="D9" s="13"/>
      <c r="E9" s="13"/>
    </row>
    <row r="10" spans="1:5" x14ac:dyDescent="0.25">
      <c r="A10" s="6" t="s">
        <v>374</v>
      </c>
      <c r="B10" s="7">
        <v>1</v>
      </c>
      <c r="C10" s="13" t="s">
        <v>375</v>
      </c>
      <c r="D10" s="13" t="s">
        <v>376</v>
      </c>
      <c r="E10" s="13" t="s">
        <v>371</v>
      </c>
    </row>
    <row r="11" spans="1:5" x14ac:dyDescent="0.25">
      <c r="A11" s="6" t="s">
        <v>377</v>
      </c>
      <c r="B11" s="7">
        <v>1</v>
      </c>
      <c r="C11" s="13" t="s">
        <v>378</v>
      </c>
      <c r="D11" s="13" t="s">
        <v>376</v>
      </c>
      <c r="E11" s="13" t="s">
        <v>371</v>
      </c>
    </row>
    <row r="12" spans="1:5" x14ac:dyDescent="0.25">
      <c r="A12" s="6" t="s">
        <v>379</v>
      </c>
      <c r="B12" s="7" t="b">
        <v>1</v>
      </c>
      <c r="C12" s="13" t="s">
        <v>380</v>
      </c>
      <c r="D12" s="13" t="s">
        <v>376</v>
      </c>
      <c r="E12" s="13" t="s">
        <v>371</v>
      </c>
    </row>
    <row r="13" spans="1:5" x14ac:dyDescent="0.25">
      <c r="A13" s="6" t="s">
        <v>381</v>
      </c>
      <c r="B13" s="7">
        <v>0.3</v>
      </c>
      <c r="C13" s="13" t="s">
        <v>382</v>
      </c>
      <c r="D13" s="13" t="s">
        <v>376</v>
      </c>
      <c r="E13" s="13" t="s">
        <v>371</v>
      </c>
    </row>
    <row r="14" spans="1:5" x14ac:dyDescent="0.25">
      <c r="A14" s="6" t="s">
        <v>383</v>
      </c>
      <c r="B14" s="7">
        <v>3</v>
      </c>
      <c r="C14" s="13" t="s">
        <v>384</v>
      </c>
      <c r="D14" s="13" t="s">
        <v>376</v>
      </c>
      <c r="E14" s="13" t="s">
        <v>371</v>
      </c>
    </row>
    <row r="15" spans="1:5" x14ac:dyDescent="0.25">
      <c r="A15" s="6" t="s">
        <v>385</v>
      </c>
      <c r="B15" s="7" t="s">
        <v>395</v>
      </c>
      <c r="C15" s="13" t="s">
        <v>386</v>
      </c>
      <c r="D15" s="13" t="s">
        <v>376</v>
      </c>
      <c r="E15" s="13" t="s">
        <v>371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10" t="s">
        <v>473</v>
      </c>
      <c r="E2" s="210"/>
      <c r="F2" s="141" t="s">
        <v>472</v>
      </c>
      <c r="G2" s="213" t="s">
        <v>472</v>
      </c>
      <c r="H2" s="213"/>
      <c r="I2" s="213"/>
    </row>
    <row r="3" spans="1:9" x14ac:dyDescent="0.25">
      <c r="A3" t="s">
        <v>7</v>
      </c>
      <c r="B3" t="s">
        <v>483</v>
      </c>
      <c r="C3" t="s">
        <v>482</v>
      </c>
      <c r="D3" s="157" t="s">
        <v>474</v>
      </c>
      <c r="E3" s="157" t="s">
        <v>475</v>
      </c>
      <c r="F3" s="157" t="s">
        <v>486</v>
      </c>
      <c r="G3" s="163" t="s">
        <v>469</v>
      </c>
      <c r="H3" s="163" t="s">
        <v>470</v>
      </c>
      <c r="I3" s="163" t="s">
        <v>471</v>
      </c>
    </row>
    <row r="4" spans="1:9" ht="90" hidden="1" x14ac:dyDescent="0.25">
      <c r="A4">
        <v>124</v>
      </c>
      <c r="B4" s="160" t="s">
        <v>867</v>
      </c>
      <c r="C4" s="137" t="s">
        <v>185</v>
      </c>
      <c r="D4" t="s">
        <v>631</v>
      </c>
      <c r="E4" t="s">
        <v>632</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784</v>
      </c>
      <c r="H4" s="1" t="s">
        <v>708</v>
      </c>
      <c r="I4" s="1" t="s">
        <v>709</v>
      </c>
    </row>
    <row r="5" spans="1:9" ht="90" hidden="1" x14ac:dyDescent="0.25">
      <c r="A5">
        <v>86</v>
      </c>
      <c r="B5" t="s">
        <v>865</v>
      </c>
      <c r="C5" s="137" t="s">
        <v>2</v>
      </c>
      <c r="D5" t="s">
        <v>613</v>
      </c>
      <c r="E5" t="s">
        <v>614</v>
      </c>
      <c r="F5" s="1" t="str">
        <f t="shared" si="0"/>
        <v>PURPOSE: Data field for Type_of_the_Study in 2_3_static_TCs
ACTION: Enter appropriate value for Type_of_the_Study
NOTE: Please refer to BioDYM documentation for specific requirements.</v>
      </c>
      <c r="G5" s="1" t="s">
        <v>809</v>
      </c>
      <c r="H5" s="1" t="s">
        <v>616</v>
      </c>
      <c r="I5" s="1" t="s">
        <v>730</v>
      </c>
    </row>
    <row r="6" spans="1:9" ht="98.25" hidden="1" customHeight="1" x14ac:dyDescent="0.25">
      <c r="A6">
        <v>36</v>
      </c>
      <c r="B6" t="s">
        <v>476</v>
      </c>
      <c r="C6" s="137" t="s">
        <v>16</v>
      </c>
      <c r="D6" t="s">
        <v>543</v>
      </c>
      <c r="E6" t="s">
        <v>544</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755</v>
      </c>
      <c r="H6" s="1" t="s">
        <v>756</v>
      </c>
      <c r="I6" s="1" t="s">
        <v>757</v>
      </c>
    </row>
    <row r="7" spans="1:9" ht="105" hidden="1" x14ac:dyDescent="0.25">
      <c r="A7">
        <v>33</v>
      </c>
      <c r="B7" t="s">
        <v>476</v>
      </c>
      <c r="C7" s="137" t="s">
        <v>9</v>
      </c>
      <c r="D7" t="s">
        <v>537</v>
      </c>
      <c r="E7" t="s">
        <v>538</v>
      </c>
      <c r="F7" s="1" t="str">
        <f t="shared" si="0"/>
        <v>PURPOSE: Data field for Titel_Source in 1_2_Data_Flows
ACTION: Enter appropriate value for Titel_Source
NOTE: Please refer to BioDYM documentation for specific requirements.</v>
      </c>
      <c r="G7" s="1" t="s">
        <v>750</v>
      </c>
      <c r="H7" s="1" t="s">
        <v>540</v>
      </c>
      <c r="I7" s="1" t="s">
        <v>730</v>
      </c>
    </row>
    <row r="8" spans="1:9" ht="75" x14ac:dyDescent="0.25">
      <c r="A8">
        <v>1</v>
      </c>
      <c r="B8" t="s">
        <v>468</v>
      </c>
      <c r="C8" s="137" t="s">
        <v>24</v>
      </c>
      <c r="D8" t="s">
        <v>484</v>
      </c>
      <c r="E8" t="s">
        <v>485</v>
      </c>
      <c r="F8" s="1" t="str">
        <f t="shared" si="0"/>
        <v>PURPOSE: Unique identifier for data row
ACTION: Automatically assigned
NOTE: This field is generated automatically. No manual input required. Used for system identification and linking.</v>
      </c>
      <c r="G8" s="1" t="s">
        <v>707</v>
      </c>
      <c r="H8" s="1" t="s">
        <v>708</v>
      </c>
      <c r="I8" s="1" t="s">
        <v>709</v>
      </c>
    </row>
    <row r="9" spans="1:9" ht="75" x14ac:dyDescent="0.25">
      <c r="A9">
        <v>2</v>
      </c>
      <c r="B9" t="s">
        <v>468</v>
      </c>
      <c r="C9" s="137" t="s">
        <v>7</v>
      </c>
      <c r="D9" t="s">
        <v>884</v>
      </c>
      <c r="E9" t="s">
        <v>499</v>
      </c>
      <c r="F9" s="1" t="str">
        <f t="shared" si="0"/>
        <v>PURPOSE: Unique identifier for material flow
ACTION: Automatically assigned
NOTE: This field is generated automatically. No manual input required. Used for system identification and linking.</v>
      </c>
      <c r="G9" s="1" t="s">
        <v>710</v>
      </c>
      <c r="H9" s="1" t="s">
        <v>708</v>
      </c>
      <c r="I9" s="1" t="s">
        <v>709</v>
      </c>
    </row>
    <row r="10" spans="1:9" ht="75" hidden="1" x14ac:dyDescent="0.25">
      <c r="A10">
        <v>28</v>
      </c>
      <c r="B10" t="s">
        <v>476</v>
      </c>
      <c r="C10" s="137" t="s">
        <v>28</v>
      </c>
      <c r="D10" t="s">
        <v>507</v>
      </c>
      <c r="E10" t="s">
        <v>508</v>
      </c>
      <c r="F10" s="1" t="str">
        <f t="shared" si="0"/>
        <v>PURPOSE: Defines the Data Year for temporal data organization
ACTION: Enter year (e.g., 2020, 2021, 2022)
NOTE: Must be consistent with analysis time period. Used for time-series data organization.</v>
      </c>
      <c r="G10" s="1" t="s">
        <v>743</v>
      </c>
      <c r="H10" s="1" t="s">
        <v>744</v>
      </c>
      <c r="I10" s="1" t="s">
        <v>745</v>
      </c>
    </row>
    <row r="11" spans="1:9" ht="90" hidden="1" x14ac:dyDescent="0.25">
      <c r="A11">
        <v>53</v>
      </c>
      <c r="B11" t="s">
        <v>476</v>
      </c>
      <c r="C11" s="137" t="s">
        <v>34</v>
      </c>
      <c r="D11" t="s">
        <v>577</v>
      </c>
      <c r="E11" t="s">
        <v>522</v>
      </c>
      <c r="F11" s="1" t="str">
        <f t="shared" si="0"/>
        <v>PURPOSE: Data field for Flow_CC_year_ID in 1_2_Data_Flows
ACTION: Enter appropriate value for Flow_CC_year_ID
NOTE: Please refer to BioDYM documentation for specific requirements.</v>
      </c>
      <c r="G11" s="1" t="s">
        <v>778</v>
      </c>
      <c r="H11" s="1" t="s">
        <v>579</v>
      </c>
      <c r="I11" s="1" t="s">
        <v>730</v>
      </c>
    </row>
    <row r="12" spans="1:9" ht="75" x14ac:dyDescent="0.25">
      <c r="A12">
        <v>3</v>
      </c>
      <c r="B12" t="s">
        <v>468</v>
      </c>
      <c r="C12" s="137" t="s">
        <v>11</v>
      </c>
      <c r="D12" t="s">
        <v>885</v>
      </c>
      <c r="E12" t="s">
        <v>499</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711</v>
      </c>
      <c r="H12" s="1" t="s">
        <v>712</v>
      </c>
      <c r="I12" s="1" t="s">
        <v>713</v>
      </c>
    </row>
    <row r="13" spans="1:9" ht="75" hidden="1" x14ac:dyDescent="0.25">
      <c r="A13">
        <v>55</v>
      </c>
      <c r="B13" t="s">
        <v>476</v>
      </c>
      <c r="C13" s="137" t="s">
        <v>39</v>
      </c>
      <c r="D13" t="s">
        <v>580</v>
      </c>
      <c r="E13" t="s">
        <v>581</v>
      </c>
      <c r="F13" s="1" t="str">
        <f t="shared" si="0"/>
        <v>PURPOSE: Data field for UoM_CC_Flow_Py in 1_2_Data_Flows
ACTION: Enter appropriate value for UoM_CC_Flow_Py
NOTE: Please refer to BioDYM documentation for specific requirements.</v>
      </c>
      <c r="G13" s="1" t="s">
        <v>780</v>
      </c>
      <c r="H13" s="1" t="s">
        <v>583</v>
      </c>
      <c r="I13" s="1" t="s">
        <v>730</v>
      </c>
    </row>
    <row r="14" spans="1:9" ht="90" x14ac:dyDescent="0.25">
      <c r="A14">
        <v>4</v>
      </c>
      <c r="B14" t="s">
        <v>468</v>
      </c>
      <c r="C14" s="137" t="s">
        <v>423</v>
      </c>
      <c r="D14" t="s">
        <v>501</v>
      </c>
      <c r="E14" t="s">
        <v>886</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714</v>
      </c>
      <c r="H14" s="1" t="s">
        <v>715</v>
      </c>
      <c r="I14" s="1" t="s">
        <v>713</v>
      </c>
    </row>
    <row r="15" spans="1:9" ht="75" hidden="1" x14ac:dyDescent="0.25">
      <c r="A15">
        <v>40</v>
      </c>
      <c r="B15" t="s">
        <v>476</v>
      </c>
      <c r="C15" s="137" t="s">
        <v>19</v>
      </c>
      <c r="D15" t="s">
        <v>551</v>
      </c>
      <c r="E15" t="s">
        <v>552</v>
      </c>
      <c r="F15" s="1" t="str">
        <f t="shared" si="0"/>
        <v>PURPOSE: Data field for Name_CF in 1_2_Data_Flows
ACTION: Enter appropriate value for Name_CF
NOTE: Please refer to BioDYM documentation for specific requirements.</v>
      </c>
      <c r="G15" s="1" t="s">
        <v>761</v>
      </c>
      <c r="H15" s="1" t="s">
        <v>554</v>
      </c>
      <c r="I15" s="1" t="s">
        <v>730</v>
      </c>
    </row>
    <row r="16" spans="1:9" ht="75" hidden="1" x14ac:dyDescent="0.25">
      <c r="A16">
        <v>39</v>
      </c>
      <c r="B16" t="s">
        <v>476</v>
      </c>
      <c r="C16" s="137" t="s">
        <v>18</v>
      </c>
      <c r="D16" t="s">
        <v>549</v>
      </c>
      <c r="E16" t="s">
        <v>550</v>
      </c>
      <c r="F16" s="1" t="str">
        <f t="shared" si="0"/>
        <v>PURPOSE: Data field for CF in 1_2_Data_Flows
ACTION: Enter appropriate value for CF
NOTE: Please refer to BioDYM documentation for specific requirements.</v>
      </c>
      <c r="G16" s="1" t="s">
        <v>760</v>
      </c>
      <c r="H16" s="1" t="s">
        <v>552</v>
      </c>
      <c r="I16" s="1" t="s">
        <v>730</v>
      </c>
    </row>
    <row r="17" spans="1:9" ht="75" hidden="1" x14ac:dyDescent="0.25">
      <c r="A17">
        <v>173</v>
      </c>
      <c r="B17" t="s">
        <v>487</v>
      </c>
      <c r="C17" s="137" t="s">
        <v>367</v>
      </c>
      <c r="D17" t="s">
        <v>681</v>
      </c>
      <c r="E17" t="s">
        <v>682</v>
      </c>
      <c r="F17" s="1" t="str">
        <f t="shared" si="0"/>
        <v>PURPOSE: Data field for Node_Color in 6_1_Visualization_Processes
ACTION: Enter appropriate value for Node_Color
NOTE: Please refer to BioDYM documentation for specific requirements.</v>
      </c>
      <c r="G17" s="1" t="s">
        <v>852</v>
      </c>
      <c r="H17" s="1" t="s">
        <v>684</v>
      </c>
      <c r="I17" s="1" t="s">
        <v>730</v>
      </c>
    </row>
    <row r="18" spans="1:9" ht="75" hidden="1" x14ac:dyDescent="0.25">
      <c r="A18">
        <v>168</v>
      </c>
      <c r="B18" t="s">
        <v>480</v>
      </c>
      <c r="C18" s="137" t="s">
        <v>12</v>
      </c>
      <c r="D18" t="s">
        <v>677</v>
      </c>
      <c r="E18" t="s">
        <v>678</v>
      </c>
      <c r="F18" s="1" t="str">
        <f t="shared" si="0"/>
        <v>PURPOSE: Flag this row as 100% complete for reporting and filtering purposes
ACTION: Click to select
NOTE: This input is optional. Leave blank if the process is ongoing. Used for progress tracking.</v>
      </c>
      <c r="G18" s="1" t="s">
        <v>781</v>
      </c>
      <c r="H18" s="1" t="s">
        <v>782</v>
      </c>
      <c r="I18" s="1" t="s">
        <v>783</v>
      </c>
    </row>
    <row r="19" spans="1:9" ht="90" x14ac:dyDescent="0.25">
      <c r="A19">
        <v>5</v>
      </c>
      <c r="B19" t="s">
        <v>468</v>
      </c>
      <c r="C19" s="137" t="s">
        <v>428</v>
      </c>
      <c r="D19" t="s">
        <v>887</v>
      </c>
      <c r="E19" t="s">
        <v>888</v>
      </c>
      <c r="F19" s="1" t="str">
        <f t="shared" si="0"/>
        <v>PURPOSE: Unique identifier for output process
ACTION: Automatically assigned
NOTE: This field is generated automatically. No manual input required. Used for system identification and linking.</v>
      </c>
      <c r="G19" s="1" t="s">
        <v>716</v>
      </c>
      <c r="H19" s="1" t="s">
        <v>708</v>
      </c>
      <c r="I19" s="1" t="s">
        <v>709</v>
      </c>
    </row>
    <row r="20" spans="1:9" ht="90" hidden="1" x14ac:dyDescent="0.25">
      <c r="A20">
        <v>57</v>
      </c>
      <c r="B20" t="s">
        <v>477</v>
      </c>
      <c r="C20" s="137" t="s">
        <v>24</v>
      </c>
      <c r="D20" t="s">
        <v>584</v>
      </c>
      <c r="E20" t="s">
        <v>585</v>
      </c>
      <c r="F20" s="1" t="str">
        <f t="shared" si="0"/>
        <v>PURPOSE: Unique identifier for data row
ACTION: Automatically assigned
NOTE: This field is generated automatically. No manual input required. Used for system identification and linking.</v>
      </c>
      <c r="G20" s="1" t="s">
        <v>707</v>
      </c>
      <c r="H20" s="1" t="s">
        <v>708</v>
      </c>
      <c r="I20" s="1" t="s">
        <v>709</v>
      </c>
    </row>
    <row r="21" spans="1:9" ht="90" hidden="1" x14ac:dyDescent="0.25">
      <c r="A21">
        <v>66</v>
      </c>
      <c r="B21" t="s">
        <v>865</v>
      </c>
      <c r="C21" s="137" t="s">
        <v>24</v>
      </c>
      <c r="D21" t="s">
        <v>584</v>
      </c>
      <c r="E21" t="s">
        <v>585</v>
      </c>
      <c r="F21" s="1" t="str">
        <f t="shared" si="0"/>
        <v>PURPOSE: Unique identifier for data row
ACTION: Automatically assigned
NOTE: This field is generated automatically. No manual input required. Used for system identification and linking.</v>
      </c>
      <c r="G21" s="1" t="s">
        <v>707</v>
      </c>
      <c r="H21" s="1" t="s">
        <v>708</v>
      </c>
      <c r="I21" s="1" t="s">
        <v>709</v>
      </c>
    </row>
    <row r="22" spans="1:9" ht="75" hidden="1" x14ac:dyDescent="0.25">
      <c r="A22">
        <v>89</v>
      </c>
      <c r="B22" s="160" t="s">
        <v>866</v>
      </c>
      <c r="C22" s="137" t="s">
        <v>24</v>
      </c>
      <c r="D22" t="s">
        <v>584</v>
      </c>
      <c r="E22" t="s">
        <v>585</v>
      </c>
      <c r="F22" s="1" t="str">
        <f t="shared" si="0"/>
        <v>PURPOSE: Unique identifier for data row
ACTION: Automatically assigned
NOTE: This field is generated automatically. No manual input required. Used for system identification and linking.</v>
      </c>
      <c r="G22" s="1" t="s">
        <v>707</v>
      </c>
      <c r="H22" s="1" t="s">
        <v>708</v>
      </c>
      <c r="I22" s="1" t="s">
        <v>709</v>
      </c>
    </row>
    <row r="23" spans="1:9" ht="75" hidden="1" x14ac:dyDescent="0.25">
      <c r="A23">
        <v>106</v>
      </c>
      <c r="B23" s="160" t="s">
        <v>867</v>
      </c>
      <c r="C23" s="137" t="s">
        <v>24</v>
      </c>
      <c r="D23" t="s">
        <v>584</v>
      </c>
      <c r="E23" t="s">
        <v>585</v>
      </c>
      <c r="F23" s="1" t="str">
        <f t="shared" si="0"/>
        <v>PURPOSE: Unique identifier for data row
ACTION: Automatically assigned
NOTE: This field is generated automatically. No manual input required. Used for system identification and linking.</v>
      </c>
      <c r="G23" s="1" t="s">
        <v>707</v>
      </c>
      <c r="H23" s="1" t="s">
        <v>708</v>
      </c>
      <c r="I23" s="1" t="s">
        <v>709</v>
      </c>
    </row>
    <row r="24" spans="1:9" ht="75" hidden="1" x14ac:dyDescent="0.25">
      <c r="A24">
        <v>136</v>
      </c>
      <c r="B24" t="s">
        <v>479</v>
      </c>
      <c r="C24" s="137" t="s">
        <v>24</v>
      </c>
      <c r="D24" t="s">
        <v>584</v>
      </c>
      <c r="E24" t="s">
        <v>585</v>
      </c>
      <c r="F24" s="1" t="str">
        <f t="shared" si="0"/>
        <v>PURPOSE: Unique identifier for data row
ACTION: Automatically assigned
NOTE: This field is generated automatically. No manual input required. Used for system identification and linking.</v>
      </c>
      <c r="G24" s="1" t="s">
        <v>707</v>
      </c>
      <c r="H24" s="1" t="s">
        <v>708</v>
      </c>
      <c r="I24" s="1" t="s">
        <v>709</v>
      </c>
    </row>
    <row r="25" spans="1:9" ht="90" hidden="1" x14ac:dyDescent="0.25">
      <c r="A25">
        <v>169</v>
      </c>
      <c r="B25" t="s">
        <v>487</v>
      </c>
      <c r="C25" s="137" t="s">
        <v>24</v>
      </c>
      <c r="D25" t="s">
        <v>584</v>
      </c>
      <c r="E25" t="s">
        <v>585</v>
      </c>
      <c r="F25" s="1" t="str">
        <f t="shared" si="0"/>
        <v>PURPOSE: Unique identifier for data row
ACTION: Automatically assigned
NOTE: This field is generated automatically. No manual input required. Used for system identification and linking.</v>
      </c>
      <c r="G25" s="1" t="s">
        <v>707</v>
      </c>
      <c r="H25" s="1" t="s">
        <v>708</v>
      </c>
      <c r="I25" s="1" t="s">
        <v>709</v>
      </c>
    </row>
    <row r="26" spans="1:9" ht="90" hidden="1" x14ac:dyDescent="0.25">
      <c r="A26">
        <v>61</v>
      </c>
      <c r="B26" t="s">
        <v>477</v>
      </c>
      <c r="C26" s="137" t="s">
        <v>4</v>
      </c>
      <c r="D26" t="s">
        <v>880</v>
      </c>
      <c r="E26" t="s">
        <v>881</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789</v>
      </c>
      <c r="H26" s="1" t="s">
        <v>790</v>
      </c>
      <c r="I26" s="1" t="s">
        <v>791</v>
      </c>
    </row>
    <row r="27" spans="1:9" ht="105" hidden="1" x14ac:dyDescent="0.25">
      <c r="A27">
        <v>178</v>
      </c>
      <c r="B27" t="s">
        <v>487</v>
      </c>
      <c r="C27" s="137" t="s">
        <v>4</v>
      </c>
      <c r="D27" t="s">
        <v>691</v>
      </c>
      <c r="E27" t="s">
        <v>692</v>
      </c>
      <c r="F27" s="1" t="str">
        <f t="shared" si="0"/>
        <v>PURPOSE: Data field for Y_Position_WC in 6_1_Visualization_Processes
ACTION: Enter appropriate value for Y_Position_WC
NOTE: Please refer to BioDYM documentation for specific requirements.</v>
      </c>
      <c r="G27" s="1" t="s">
        <v>857</v>
      </c>
      <c r="H27" s="1" t="s">
        <v>694</v>
      </c>
      <c r="I27" s="1" t="s">
        <v>730</v>
      </c>
    </row>
    <row r="28" spans="1:9" ht="90" hidden="1" x14ac:dyDescent="0.25">
      <c r="A28">
        <v>178</v>
      </c>
      <c r="B28" t="s">
        <v>488</v>
      </c>
      <c r="C28" s="137" t="s">
        <v>4</v>
      </c>
      <c r="D28" t="s">
        <v>693</v>
      </c>
      <c r="E28" t="s">
        <v>694</v>
      </c>
      <c r="F28" s="1" t="str">
        <f t="shared" si="0"/>
        <v>PURPOSE: Data field for X_Position_DM in 6_1_Visualization_Processes
ACTION: Enter appropriate value for X_Position_DM
NOTE: Please refer to BioDYM documentation for specific requirements.</v>
      </c>
      <c r="G28" s="1" t="s">
        <v>858</v>
      </c>
      <c r="H28" s="1" t="s">
        <v>696</v>
      </c>
      <c r="I28" s="1" t="s">
        <v>730</v>
      </c>
    </row>
    <row r="29" spans="1:9" ht="90" hidden="1" x14ac:dyDescent="0.25">
      <c r="A29">
        <v>121</v>
      </c>
      <c r="B29" s="160" t="s">
        <v>867</v>
      </c>
      <c r="C29" s="137" t="s">
        <v>186</v>
      </c>
      <c r="D29" t="s">
        <v>629</v>
      </c>
      <c r="E29" t="s">
        <v>882</v>
      </c>
      <c r="F29" s="1" t="str">
        <f t="shared" si="0"/>
        <v>PURPOSE: Unique identifier for material flow
ACTION: Automatically assigned
NOTE: This field is generated automatically. No manual input required. Used for system identification and linking.</v>
      </c>
      <c r="G29" s="1" t="s">
        <v>710</v>
      </c>
      <c r="H29" s="1" t="s">
        <v>708</v>
      </c>
      <c r="I29" s="1" t="s">
        <v>709</v>
      </c>
    </row>
    <row r="30" spans="1:9" ht="90" hidden="1" x14ac:dyDescent="0.25">
      <c r="A30">
        <v>120</v>
      </c>
      <c r="B30" s="160" t="s">
        <v>867</v>
      </c>
      <c r="C30" s="137" t="s">
        <v>187</v>
      </c>
      <c r="D30" t="s">
        <v>627</v>
      </c>
      <c r="E30" t="s">
        <v>883</v>
      </c>
      <c r="F30" s="1" t="str">
        <f t="shared" si="0"/>
        <v>PURPOSE: Data field for Destination_Flow in 2_5_Initial_Stock
ACTION: Enter appropriate value for Destination_Flow
NOTE: Please refer to BioDYM documentation for specific requirements.</v>
      </c>
      <c r="G30" s="1" t="s">
        <v>821</v>
      </c>
      <c r="H30" s="1" t="s">
        <v>630</v>
      </c>
      <c r="I30" s="1" t="s">
        <v>730</v>
      </c>
    </row>
    <row r="31" spans="1:9" ht="75" hidden="1" x14ac:dyDescent="0.25">
      <c r="A31">
        <v>119</v>
      </c>
      <c r="B31" s="160" t="s">
        <v>867</v>
      </c>
      <c r="C31" s="137" t="s">
        <v>188</v>
      </c>
      <c r="E31" t="s">
        <v>626</v>
      </c>
      <c r="F31" s="1" t="str">
        <f t="shared" si="0"/>
        <v>PURPOSE: Data field for Destination_Process in 2_5_Initial_Stock
ACTION: Enter appropriate value for Destination_Process
NOTE: Please refer to BioDYM documentation for specific requirements.</v>
      </c>
      <c r="G31" s="1" t="s">
        <v>820</v>
      </c>
      <c r="H31" s="1" t="s">
        <v>628</v>
      </c>
      <c r="I31" s="1" t="s">
        <v>730</v>
      </c>
    </row>
    <row r="32" spans="1:9" ht="75" hidden="1" x14ac:dyDescent="0.25">
      <c r="A32">
        <v>153</v>
      </c>
      <c r="B32" t="s">
        <v>481</v>
      </c>
      <c r="C32" s="137" t="s">
        <v>174</v>
      </c>
      <c r="D32" t="s">
        <v>655</v>
      </c>
      <c r="E32" t="s">
        <v>656</v>
      </c>
      <c r="F32" s="1" t="str">
        <f t="shared" si="0"/>
        <v>PURPOSE: Data field for Mean in 4_1_Uncertainty_Parameters
ACTION: Enter appropriate value for Mean
NOTE: Please refer to BioDYM documentation for specific requirements.</v>
      </c>
      <c r="G32" s="1" t="s">
        <v>836</v>
      </c>
      <c r="H32" s="1" t="s">
        <v>658</v>
      </c>
      <c r="I32" s="1" t="s">
        <v>730</v>
      </c>
    </row>
    <row r="33" spans="1:9" ht="90" x14ac:dyDescent="0.25">
      <c r="A33">
        <v>6</v>
      </c>
      <c r="B33" t="s">
        <v>468</v>
      </c>
      <c r="C33" s="137" t="s">
        <v>429</v>
      </c>
      <c r="D33" t="s">
        <v>499</v>
      </c>
      <c r="E33" t="s">
        <v>499</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717</v>
      </c>
      <c r="H33" s="1" t="s">
        <v>718</v>
      </c>
      <c r="I33" s="1" t="s">
        <v>713</v>
      </c>
    </row>
    <row r="34" spans="1:9" ht="90" hidden="1" x14ac:dyDescent="0.25">
      <c r="A34">
        <v>27</v>
      </c>
      <c r="B34" t="s">
        <v>476</v>
      </c>
      <c r="C34" s="137" t="s">
        <v>29</v>
      </c>
      <c r="D34" t="s">
        <v>505</v>
      </c>
      <c r="E34" t="s">
        <v>506</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726</v>
      </c>
      <c r="H34" s="1" t="s">
        <v>727</v>
      </c>
      <c r="I34" s="1" t="s">
        <v>728</v>
      </c>
    </row>
    <row r="35" spans="1:9" ht="75" hidden="1" x14ac:dyDescent="0.25">
      <c r="A35">
        <v>49</v>
      </c>
      <c r="B35" t="s">
        <v>476</v>
      </c>
      <c r="C35" s="137" t="s">
        <v>32</v>
      </c>
      <c r="D35" t="s">
        <v>569</v>
      </c>
      <c r="E35" t="s">
        <v>570</v>
      </c>
      <c r="F35" s="1" t="str">
        <f t="shared" si="0"/>
        <v>PURPOSE: Data field for Flow_DM_year_ID in 1_2_Data_Flows
ACTION: Enter appropriate value for Flow_DM_year_ID
NOTE: Please refer to BioDYM documentation for specific requirements.</v>
      </c>
      <c r="G35" s="1" t="s">
        <v>774</v>
      </c>
      <c r="H35" s="1" t="s">
        <v>572</v>
      </c>
      <c r="I35" s="1" t="s">
        <v>730</v>
      </c>
    </row>
    <row r="36" spans="1:9" ht="75" hidden="1" x14ac:dyDescent="0.25">
      <c r="A36">
        <v>51</v>
      </c>
      <c r="B36" t="s">
        <v>476</v>
      </c>
      <c r="C36" s="137" t="s">
        <v>422</v>
      </c>
      <c r="D36" t="s">
        <v>573</v>
      </c>
      <c r="E36" t="s">
        <v>574</v>
      </c>
      <c r="F36" s="1" t="str">
        <f t="shared" si="0"/>
        <v>PURPOSE: Data field for UoM_DM_Flow_Py in 1_2_Data_Flows
ACTION: Enter appropriate value for UoM_DM_Flow_Py
NOTE: Please refer to BioDYM documentation for specific requirements.</v>
      </c>
      <c r="G36" s="1" t="s">
        <v>776</v>
      </c>
      <c r="H36" s="1" t="s">
        <v>576</v>
      </c>
      <c r="I36" s="1" t="s">
        <v>730</v>
      </c>
    </row>
    <row r="37" spans="1:9" ht="75" x14ac:dyDescent="0.25">
      <c r="A37">
        <v>7</v>
      </c>
      <c r="B37" t="s">
        <v>468</v>
      </c>
      <c r="C37" s="137" t="s">
        <v>430</v>
      </c>
      <c r="D37" t="s">
        <v>889</v>
      </c>
      <c r="E37" t="s">
        <v>890</v>
      </c>
      <c r="F37" s="1" t="str">
        <f t="shared" si="0"/>
        <v>PURPOSE: Unique identifier for input process
ACTION: Automatically assigned
NOTE: This field is generated automatically. No manual input required. Used for system identification and linking.</v>
      </c>
      <c r="G37" s="1" t="s">
        <v>719</v>
      </c>
      <c r="H37" s="1" t="s">
        <v>708</v>
      </c>
      <c r="I37" s="1" t="s">
        <v>709</v>
      </c>
    </row>
    <row r="38" spans="1:9" ht="75" hidden="1" x14ac:dyDescent="0.25">
      <c r="A38">
        <v>131</v>
      </c>
      <c r="B38" t="s">
        <v>478</v>
      </c>
      <c r="C38" s="137" t="s">
        <v>438</v>
      </c>
      <c r="D38" t="s">
        <v>633</v>
      </c>
      <c r="E38" t="s">
        <v>634</v>
      </c>
      <c r="F38" s="1" t="str">
        <f t="shared" si="0"/>
        <v>PURPOSE: Data field for DSM_Parameter_typ in 3_1_Definition_DSM
ACTION: Enter appropriate value for DSM_Parameter_typ
NOTE: Please refer to BioDYM documentation for specific requirements.</v>
      </c>
      <c r="G38" s="1" t="s">
        <v>824</v>
      </c>
      <c r="H38" s="1" t="s">
        <v>636</v>
      </c>
      <c r="I38" s="1" t="s">
        <v>730</v>
      </c>
    </row>
    <row r="39" spans="1:9" ht="90" hidden="1" x14ac:dyDescent="0.25">
      <c r="A39">
        <v>134</v>
      </c>
      <c r="B39" t="s">
        <v>478</v>
      </c>
      <c r="C39" s="137" t="s">
        <v>444</v>
      </c>
      <c r="D39" t="s">
        <v>639</v>
      </c>
      <c r="E39" t="s">
        <v>640</v>
      </c>
      <c r="F39" s="1" t="str">
        <f t="shared" si="0"/>
        <v>PURPOSE: Data field for DSM_Value in 3_1_Definition_DSM
ACTION: Enter appropriate value for DSM_Value
NOTE: Please refer to BioDYM documentation for specific requirements.</v>
      </c>
      <c r="G39" s="1" t="s">
        <v>827</v>
      </c>
      <c r="H39" s="1" t="s">
        <v>642</v>
      </c>
      <c r="I39" s="1" t="s">
        <v>730</v>
      </c>
    </row>
    <row r="40" spans="1:9" ht="75" hidden="1" x14ac:dyDescent="0.25">
      <c r="A40">
        <v>132</v>
      </c>
      <c r="B40" t="s">
        <v>478</v>
      </c>
      <c r="C40" s="137" t="s">
        <v>446</v>
      </c>
      <c r="D40" t="s">
        <v>635</v>
      </c>
      <c r="E40" t="s">
        <v>636</v>
      </c>
      <c r="F40" s="1" t="str">
        <f t="shared" si="0"/>
        <v>PURPOSE: Data field for DSM_Parameter_type in 3_1_Definition_DSM
ACTION: Enter appropriate value for DSM_Parameter_type
NOTE: Please refer to BioDYM documentation for specific requirements.</v>
      </c>
      <c r="G40" s="1" t="s">
        <v>825</v>
      </c>
      <c r="H40" s="1" t="s">
        <v>638</v>
      </c>
      <c r="I40" s="1" t="s">
        <v>730</v>
      </c>
    </row>
    <row r="41" spans="1:9" ht="75" hidden="1" x14ac:dyDescent="0.25">
      <c r="A41">
        <v>133</v>
      </c>
      <c r="B41" t="s">
        <v>478</v>
      </c>
      <c r="C41" s="137" t="s">
        <v>445</v>
      </c>
      <c r="D41" t="s">
        <v>637</v>
      </c>
      <c r="E41" t="s">
        <v>638</v>
      </c>
      <c r="F41" s="1" t="str">
        <f t="shared" si="0"/>
        <v>PURPOSE: Data field for DSM_Parameter in 3_1_Definition_DSM
ACTION: Enter appropriate value for DSM_Parameter
NOTE: Please refer to BioDYM documentation for specific requirements.</v>
      </c>
      <c r="G41" s="1" t="s">
        <v>826</v>
      </c>
      <c r="H41" s="1" t="s">
        <v>640</v>
      </c>
      <c r="I41" s="1" t="s">
        <v>730</v>
      </c>
    </row>
    <row r="42" spans="1:9" ht="75" hidden="1" x14ac:dyDescent="0.25">
      <c r="A42">
        <v>135</v>
      </c>
      <c r="B42" t="s">
        <v>478</v>
      </c>
      <c r="C42" s="137" t="s">
        <v>447</v>
      </c>
      <c r="D42" t="s">
        <v>641</v>
      </c>
      <c r="E42" t="s">
        <v>642</v>
      </c>
      <c r="F42" s="1" t="str">
        <f t="shared" si="0"/>
        <v>PURPOSE: Flag this row as 100% complete for reporting and filtering purposes
ACTION: Click to select
NOTE: This input is optional. Leave blank if the process is ongoing. Used for progress tracking.</v>
      </c>
      <c r="G42" s="1" t="s">
        <v>781</v>
      </c>
      <c r="H42" s="1" t="s">
        <v>782</v>
      </c>
      <c r="I42" s="1" t="s">
        <v>783</v>
      </c>
    </row>
    <row r="43" spans="1:9" ht="75" hidden="1" x14ac:dyDescent="0.25">
      <c r="A43">
        <v>167</v>
      </c>
      <c r="B43" s="2" t="s">
        <v>480</v>
      </c>
      <c r="C43" s="137" t="s">
        <v>433</v>
      </c>
      <c r="D43" t="s">
        <v>675</v>
      </c>
      <c r="E43" t="s">
        <v>676</v>
      </c>
      <c r="F43" s="1" t="str">
        <f t="shared" si="0"/>
        <v>PURPOSE: Data field for Comment in 5_1_Scenario_Manager
ACTION: Enter appropriate value for Comment
NOTE: Please refer to BioDYM documentation for specific requirements.</v>
      </c>
      <c r="G43" s="1" t="s">
        <v>849</v>
      </c>
      <c r="H43" s="1" t="s">
        <v>678</v>
      </c>
      <c r="I43" s="1" t="s">
        <v>730</v>
      </c>
    </row>
    <row r="44" spans="1:9" ht="75" hidden="1" x14ac:dyDescent="0.25">
      <c r="A44">
        <v>30</v>
      </c>
      <c r="B44" t="s">
        <v>476</v>
      </c>
      <c r="C44" s="137" t="s">
        <v>413</v>
      </c>
      <c r="D44" t="s">
        <v>531</v>
      </c>
      <c r="E44" t="s">
        <v>532</v>
      </c>
      <c r="F44" s="1" t="str">
        <f t="shared" si="0"/>
        <v>PURPOSE: Data field for UoM_Source in 1_2_Data_Flows
ACTION: Enter appropriate value for UoM_Source
NOTE: Please refer to BioDYM documentation for specific requirements.</v>
      </c>
      <c r="G44" s="1" t="s">
        <v>747</v>
      </c>
      <c r="H44" s="1" t="s">
        <v>534</v>
      </c>
      <c r="I44" s="1" t="s">
        <v>730</v>
      </c>
    </row>
    <row r="45" spans="1:9" ht="75" x14ac:dyDescent="0.25">
      <c r="A45">
        <v>8</v>
      </c>
      <c r="B45" t="s">
        <v>468</v>
      </c>
      <c r="C45" s="137" t="s">
        <v>427</v>
      </c>
      <c r="D45" t="s">
        <v>499</v>
      </c>
      <c r="E45" t="s">
        <v>499</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720</v>
      </c>
      <c r="H45" s="1" t="s">
        <v>721</v>
      </c>
      <c r="I45" s="1" t="s">
        <v>722</v>
      </c>
    </row>
    <row r="46" spans="1:9" ht="90" x14ac:dyDescent="0.25">
      <c r="A46">
        <v>9</v>
      </c>
      <c r="B46" t="s">
        <v>468</v>
      </c>
      <c r="C46" s="137" t="s">
        <v>27</v>
      </c>
      <c r="D46" t="s">
        <v>891</v>
      </c>
      <c r="E46" t="s">
        <v>892</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723</v>
      </c>
      <c r="H46" s="1" t="s">
        <v>724</v>
      </c>
      <c r="I46" s="1" t="s">
        <v>725</v>
      </c>
    </row>
    <row r="47" spans="1:9" ht="75" hidden="1" x14ac:dyDescent="0.25">
      <c r="A47">
        <v>54</v>
      </c>
      <c r="B47" t="s">
        <v>476</v>
      </c>
      <c r="C47" s="137" t="s">
        <v>418</v>
      </c>
      <c r="D47" t="s">
        <v>578</v>
      </c>
      <c r="E47" t="s">
        <v>579</v>
      </c>
      <c r="F47" s="1" t="str">
        <f t="shared" si="0"/>
        <v>PURPOSE: Data field for CC_Flow_Py in 1_2_Data_Flows
ACTION: Enter appropriate value for CC_Flow_Py
NOTE: Please refer to BioDYM documentation for specific requirements.</v>
      </c>
      <c r="G47" s="1" t="s">
        <v>779</v>
      </c>
      <c r="H47" s="1" t="s">
        <v>581</v>
      </c>
      <c r="I47" s="1" t="s">
        <v>730</v>
      </c>
    </row>
    <row r="48" spans="1:9" ht="75" hidden="1" x14ac:dyDescent="0.25">
      <c r="A48">
        <v>178</v>
      </c>
      <c r="B48" t="s">
        <v>488</v>
      </c>
      <c r="C48" s="137" t="s">
        <v>253</v>
      </c>
      <c r="D48" t="s">
        <v>695</v>
      </c>
      <c r="E48" t="s">
        <v>696</v>
      </c>
      <c r="F48" s="1" t="str">
        <f t="shared" si="0"/>
        <v>PURPOSE: Data field for Y_Position_DM in 6_1_Visualization_Processes
ACTION: Enter appropriate value for Y_Position_DM
NOTE: Please refer to BioDYM documentation for specific requirements.</v>
      </c>
      <c r="G48" s="1" t="s">
        <v>859</v>
      </c>
      <c r="H48" s="1" t="s">
        <v>698</v>
      </c>
      <c r="I48" s="1" t="s">
        <v>730</v>
      </c>
    </row>
    <row r="49" spans="1:9" ht="75" hidden="1" x14ac:dyDescent="0.25">
      <c r="A49">
        <v>178</v>
      </c>
      <c r="B49" t="s">
        <v>488</v>
      </c>
      <c r="C49" s="137" t="s">
        <v>368</v>
      </c>
      <c r="D49" t="s">
        <v>697</v>
      </c>
      <c r="E49" t="s">
        <v>698</v>
      </c>
      <c r="F49" s="1" t="str">
        <f t="shared" si="0"/>
        <v>PURPOSE: Data field for X_Position_CC in 6_1_Visualization_Processes
ACTION: Enter appropriate value for X_Position_CC
NOTE: Please refer to BioDYM documentation for specific requirements.</v>
      </c>
      <c r="G49" s="1" t="s">
        <v>860</v>
      </c>
      <c r="H49" s="1" t="s">
        <v>700</v>
      </c>
      <c r="I49" s="1" t="s">
        <v>730</v>
      </c>
    </row>
    <row r="50" spans="1:9" ht="75" hidden="1" x14ac:dyDescent="0.25">
      <c r="A50">
        <v>29</v>
      </c>
      <c r="B50" t="s">
        <v>476</v>
      </c>
      <c r="C50" s="137" t="s">
        <v>412</v>
      </c>
      <c r="D50" t="s">
        <v>529</v>
      </c>
      <c r="E50" t="s">
        <v>530</v>
      </c>
      <c r="F50" s="1" t="str">
        <f t="shared" si="0"/>
        <v>PURPOSE: Data field for Flow in 1_2_Data_Flows
ACTION: Enter appropriate value for Flow
NOTE: Please refer to BioDYM documentation for specific requirements.</v>
      </c>
      <c r="G50" s="1" t="s">
        <v>746</v>
      </c>
      <c r="H50" s="1" t="s">
        <v>532</v>
      </c>
      <c r="I50" s="1" t="s">
        <v>730</v>
      </c>
    </row>
    <row r="51" spans="1:9" ht="75" x14ac:dyDescent="0.25">
      <c r="A51">
        <v>10</v>
      </c>
      <c r="B51" t="s">
        <v>468</v>
      </c>
      <c r="C51" s="137" t="s">
        <v>29</v>
      </c>
      <c r="D51" t="s">
        <v>893</v>
      </c>
      <c r="E51" t="s">
        <v>894</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726</v>
      </c>
      <c r="H51" s="1" t="s">
        <v>727</v>
      </c>
      <c r="I51" s="1" t="s">
        <v>728</v>
      </c>
    </row>
    <row r="52" spans="1:9" ht="75" x14ac:dyDescent="0.25">
      <c r="A52">
        <v>11</v>
      </c>
      <c r="B52" t="s">
        <v>468</v>
      </c>
      <c r="C52" s="137" t="s">
        <v>28</v>
      </c>
      <c r="D52" t="s">
        <v>895</v>
      </c>
      <c r="E52" t="s">
        <v>896</v>
      </c>
      <c r="F52" s="1" t="str">
        <f t="shared" si="0"/>
        <v>PURPOSE: Data field for Flow_WC_ID  in 1_1_Definition_Flows
ACTION: Enter appropriate value for Flow_WC_ID 
NOTE: Please refer to BioDYM documentation for specific requirements.</v>
      </c>
      <c r="G52" s="1" t="s">
        <v>729</v>
      </c>
      <c r="H52" s="1" t="s">
        <v>509</v>
      </c>
      <c r="I52" s="1" t="s">
        <v>730</v>
      </c>
    </row>
    <row r="53" spans="1:9" ht="75" hidden="1" x14ac:dyDescent="0.25">
      <c r="A53">
        <v>50</v>
      </c>
      <c r="B53" t="s">
        <v>476</v>
      </c>
      <c r="C53" s="137" t="s">
        <v>417</v>
      </c>
      <c r="D53" t="s">
        <v>571</v>
      </c>
      <c r="E53" t="s">
        <v>572</v>
      </c>
      <c r="F53" s="1" t="str">
        <f t="shared" si="0"/>
        <v>PURPOSE: Data field for DM_Flow_Py in 1_2_Data_Flows
ACTION: Enter appropriate value for DM_Flow_Py
NOTE: Please refer to BioDYM documentation for specific requirements.</v>
      </c>
      <c r="G53" s="1" t="s">
        <v>775</v>
      </c>
      <c r="H53" s="1" t="s">
        <v>574</v>
      </c>
      <c r="I53" s="1" t="s">
        <v>730</v>
      </c>
    </row>
    <row r="54" spans="1:9" ht="105" x14ac:dyDescent="0.25">
      <c r="A54">
        <v>12</v>
      </c>
      <c r="B54" t="s">
        <v>468</v>
      </c>
      <c r="C54" s="137" t="s">
        <v>419</v>
      </c>
      <c r="D54" t="s">
        <v>499</v>
      </c>
      <c r="E54" t="s">
        <v>499</v>
      </c>
      <c r="F54" s="1" t="str">
        <f t="shared" si="0"/>
        <v>PURPOSE: Data field for Flow_WC in 1_1_Definition_Flows
ACTION: Enter appropriate value for Flow_WC
NOTE: Please refer to BioDYM documentation for specific requirements.</v>
      </c>
      <c r="G54" s="1" t="s">
        <v>731</v>
      </c>
      <c r="H54" s="1" t="s">
        <v>511</v>
      </c>
      <c r="I54" s="1" t="s">
        <v>730</v>
      </c>
    </row>
    <row r="55" spans="1:9" ht="105" hidden="1" x14ac:dyDescent="0.25">
      <c r="A55">
        <v>24</v>
      </c>
      <c r="B55" t="s">
        <v>476</v>
      </c>
      <c r="C55" s="137" t="s">
        <v>11</v>
      </c>
      <c r="D55" t="s">
        <v>500</v>
      </c>
      <c r="E55" t="s">
        <v>499</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711</v>
      </c>
      <c r="H55" s="1" t="s">
        <v>712</v>
      </c>
      <c r="I55" s="1" t="s">
        <v>713</v>
      </c>
    </row>
    <row r="56" spans="1:9" ht="75" hidden="1" x14ac:dyDescent="0.25">
      <c r="A56">
        <v>75</v>
      </c>
      <c r="B56" t="s">
        <v>865</v>
      </c>
      <c r="C56" s="137" t="s">
        <v>11</v>
      </c>
      <c r="D56" t="s">
        <v>500</v>
      </c>
      <c r="E56" t="s">
        <v>499</v>
      </c>
      <c r="F56" s="1" t="str">
        <f t="shared" si="0"/>
        <v>PURPOSE: Unique identifier for transfer coefficient material
ACTION: Automatically assigned
NOTE: This field is generated automatically. No manual input required. Used for system identification and linking.</v>
      </c>
      <c r="G56" s="1" t="s">
        <v>800</v>
      </c>
      <c r="H56" s="1" t="s">
        <v>708</v>
      </c>
      <c r="I56" s="1" t="s">
        <v>709</v>
      </c>
    </row>
    <row r="57" spans="1:9" ht="75" hidden="1" x14ac:dyDescent="0.25">
      <c r="A57">
        <v>96</v>
      </c>
      <c r="B57" s="160" t="s">
        <v>866</v>
      </c>
      <c r="C57" s="137" t="s">
        <v>11</v>
      </c>
      <c r="D57" t="s">
        <v>500</v>
      </c>
      <c r="E57" t="s">
        <v>499</v>
      </c>
      <c r="F57" s="1" t="str">
        <f t="shared" si="0"/>
        <v>PURPOSE: Defines the Year (Dynamic TCs) for temporal data organization
ACTION: Enter year (e.g., 2020, 2021, 2022)
NOTE: Must be consistent with analysis time period. Used for time-series data organization.</v>
      </c>
      <c r="G57" s="1" t="s">
        <v>812</v>
      </c>
      <c r="H57" s="1" t="s">
        <v>744</v>
      </c>
      <c r="I57" s="1" t="s">
        <v>745</v>
      </c>
    </row>
    <row r="58" spans="1:9" ht="75" hidden="1" x14ac:dyDescent="0.25">
      <c r="A58">
        <v>122</v>
      </c>
      <c r="B58" s="160" t="s">
        <v>867</v>
      </c>
      <c r="C58" s="137" t="s">
        <v>11</v>
      </c>
      <c r="D58" t="s">
        <v>500</v>
      </c>
      <c r="E58" t="s">
        <v>499</v>
      </c>
      <c r="F58" s="1" t="str">
        <f t="shared" si="0"/>
        <v>PURPOSE: Defines the {field_type} for calculations
ACTION: Enter numerical value in specified unit
NOTE: Required for system calculations. Must be positive value. Used in MFA calculations.</v>
      </c>
      <c r="G58" s="1" t="s">
        <v>798</v>
      </c>
      <c r="H58" s="1" t="s">
        <v>764</v>
      </c>
      <c r="I58" s="1" t="s">
        <v>765</v>
      </c>
    </row>
    <row r="59" spans="1:9" ht="75" hidden="1" x14ac:dyDescent="0.25">
      <c r="A59">
        <v>178</v>
      </c>
      <c r="B59" t="s">
        <v>488</v>
      </c>
      <c r="C59" s="137" t="s">
        <v>11</v>
      </c>
      <c r="D59" t="s">
        <v>699</v>
      </c>
      <c r="E59" t="s">
        <v>700</v>
      </c>
      <c r="F59" s="1" t="str">
        <f t="shared" si="0"/>
        <v>PURPOSE: Data field for Y_Position_CC in 6_1_Visualization_Processes
ACTION: Enter appropriate value for Y_Position_CC
NOTE: Please refer to BioDYM documentation for specific requirements.</v>
      </c>
      <c r="G59" s="1" t="s">
        <v>861</v>
      </c>
      <c r="H59" s="1" t="s">
        <v>702</v>
      </c>
      <c r="I59" s="1" t="s">
        <v>730</v>
      </c>
    </row>
    <row r="60" spans="1:9" ht="90" x14ac:dyDescent="0.25">
      <c r="A60">
        <v>13</v>
      </c>
      <c r="B60" t="s">
        <v>468</v>
      </c>
      <c r="C60" s="137" t="s">
        <v>424</v>
      </c>
      <c r="D60" t="s">
        <v>510</v>
      </c>
      <c r="E60" t="s">
        <v>511</v>
      </c>
      <c r="F60" s="1" t="str">
        <f t="shared" si="0"/>
        <v>PURPOSE: Data field for WC_source in 1_1_Definition_Flows
ACTION: Enter appropriate value for WC_source
NOTE: Please refer to BioDYM documentation for specific requirements.</v>
      </c>
      <c r="G60" s="1" t="s">
        <v>732</v>
      </c>
      <c r="H60" s="1" t="s">
        <v>512</v>
      </c>
      <c r="I60" s="1" t="s">
        <v>730</v>
      </c>
    </row>
    <row r="61" spans="1:9" ht="75" hidden="1" x14ac:dyDescent="0.25">
      <c r="A61">
        <v>43</v>
      </c>
      <c r="B61" t="s">
        <v>476</v>
      </c>
      <c r="C61" s="137" t="s">
        <v>414</v>
      </c>
      <c r="D61" t="s">
        <v>557</v>
      </c>
      <c r="E61" t="s">
        <v>558</v>
      </c>
      <c r="F61" s="1" t="str">
        <f t="shared" si="0"/>
        <v>PURPOSE: Data field for UoM_Flow_Py in 1_2_Data_Flows
ACTION: Enter appropriate value for UoM_Flow_Py
NOTE: Please refer to BioDYM documentation for specific requirements.</v>
      </c>
      <c r="G61" s="1" t="s">
        <v>766</v>
      </c>
      <c r="H61" s="1" t="s">
        <v>560</v>
      </c>
      <c r="I61" s="1" t="s">
        <v>730</v>
      </c>
    </row>
    <row r="62" spans="1:9" ht="105" hidden="1" x14ac:dyDescent="0.25">
      <c r="A62">
        <v>42</v>
      </c>
      <c r="B62" t="s">
        <v>476</v>
      </c>
      <c r="C62" s="137" t="s">
        <v>415</v>
      </c>
      <c r="D62" t="s">
        <v>555</v>
      </c>
      <c r="E62" t="s">
        <v>556</v>
      </c>
      <c r="F62" s="1" t="str">
        <f t="shared" si="0"/>
        <v>PURPOSE: Defines the Material Flow Amount for calculations
ACTION: Enter numerical value in specified unit
NOTE: Required for system calculations. Must be positive value. Used in MFA calculations.</v>
      </c>
      <c r="G62" s="1" t="s">
        <v>763</v>
      </c>
      <c r="H62" s="1" t="s">
        <v>764</v>
      </c>
      <c r="I62" s="1" t="s">
        <v>765</v>
      </c>
    </row>
    <row r="63" spans="1:9" ht="105" x14ac:dyDescent="0.25">
      <c r="A63">
        <v>14</v>
      </c>
      <c r="B63" t="s">
        <v>468</v>
      </c>
      <c r="C63" s="137" t="s">
        <v>31</v>
      </c>
      <c r="D63" t="s">
        <v>31</v>
      </c>
      <c r="E63" t="s">
        <v>897</v>
      </c>
      <c r="F63" s="1" t="str">
        <f t="shared" si="0"/>
        <v>PURPOSE: Data field for Flow_DM_ID in 1_1_Definition_Flows
ACTION: Enter appropriate value for Flow_DM_ID
NOTE: Please refer to BioDYM documentation for specific requirements.</v>
      </c>
      <c r="G63" s="1" t="s">
        <v>733</v>
      </c>
      <c r="H63" s="1" t="s">
        <v>514</v>
      </c>
      <c r="I63" s="1" t="s">
        <v>730</v>
      </c>
    </row>
    <row r="64" spans="1:9" ht="90" hidden="1" x14ac:dyDescent="0.25">
      <c r="A64">
        <v>25</v>
      </c>
      <c r="B64" t="s">
        <v>476</v>
      </c>
      <c r="C64" s="137" t="s">
        <v>423</v>
      </c>
      <c r="D64" t="s">
        <v>501</v>
      </c>
      <c r="E64" t="s">
        <v>502</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720</v>
      </c>
      <c r="H64" s="1" t="s">
        <v>721</v>
      </c>
      <c r="I64" s="1" t="s">
        <v>722</v>
      </c>
    </row>
    <row r="65" spans="1:9" ht="90" x14ac:dyDescent="0.25">
      <c r="A65">
        <v>15</v>
      </c>
      <c r="B65" t="s">
        <v>468</v>
      </c>
      <c r="C65" s="137" t="s">
        <v>420</v>
      </c>
      <c r="D65" t="s">
        <v>513</v>
      </c>
      <c r="E65" t="s">
        <v>514</v>
      </c>
      <c r="F65" s="1" t="str">
        <f t="shared" si="0"/>
        <v>PURPOSE: Data field for Flow_DM in 1_1_Definition_Flows
ACTION: Enter appropriate value for Flow_DM
NOTE: Please refer to BioDYM documentation for specific requirements.</v>
      </c>
      <c r="G65" s="1" t="s">
        <v>734</v>
      </c>
      <c r="H65" s="1" t="s">
        <v>516</v>
      </c>
      <c r="I65" s="1" t="s">
        <v>730</v>
      </c>
    </row>
    <row r="66" spans="1:9" ht="105" x14ac:dyDescent="0.25">
      <c r="A66">
        <v>16</v>
      </c>
      <c r="B66" t="s">
        <v>468</v>
      </c>
      <c r="C66" s="137" t="s">
        <v>425</v>
      </c>
      <c r="D66" t="s">
        <v>515</v>
      </c>
      <c r="E66" t="s">
        <v>516</v>
      </c>
      <c r="F66" s="1" t="str">
        <f t="shared" si="0"/>
        <v>PURPOSE: Data field for DM_source in 1_1_Definition_Flows
ACTION: Enter appropriate value for DM_source
NOTE: Please refer to BioDYM documentation for specific requirements.</v>
      </c>
      <c r="G66" s="1" t="s">
        <v>735</v>
      </c>
      <c r="H66" s="1" t="s">
        <v>518</v>
      </c>
      <c r="I66" s="1" t="s">
        <v>730</v>
      </c>
    </row>
    <row r="67" spans="1:9" ht="75" x14ac:dyDescent="0.25">
      <c r="A67">
        <v>17</v>
      </c>
      <c r="B67" t="s">
        <v>468</v>
      </c>
      <c r="C67" s="137" t="s">
        <v>33</v>
      </c>
      <c r="D67" t="s">
        <v>517</v>
      </c>
      <c r="E67" t="s">
        <v>518</v>
      </c>
      <c r="F67" s="1" t="str">
        <f t="shared" si="0"/>
        <v>PURPOSE: Data field for Flow_CC_ID in 1_1_Definition_Flows
ACTION: Enter appropriate value for Flow_CC_ID
NOTE: Please refer to BioDYM documentation for specific requirements.</v>
      </c>
      <c r="G67" s="1" t="s">
        <v>736</v>
      </c>
      <c r="H67" s="1" t="s">
        <v>520</v>
      </c>
      <c r="I67" s="1" t="s">
        <v>730</v>
      </c>
    </row>
    <row r="68" spans="1:9" ht="75.75" thickBot="1" x14ac:dyDescent="0.3">
      <c r="A68">
        <v>18</v>
      </c>
      <c r="B68" t="s">
        <v>468</v>
      </c>
      <c r="C68" s="137" t="s">
        <v>421</v>
      </c>
      <c r="D68" t="s">
        <v>519</v>
      </c>
      <c r="E68" t="s">
        <v>520</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737</v>
      </c>
      <c r="H68" s="1" t="s">
        <v>738</v>
      </c>
      <c r="I68" s="1" t="s">
        <v>739</v>
      </c>
    </row>
    <row r="69" spans="1:9" ht="75.75" hidden="1" thickBot="1" x14ac:dyDescent="0.3">
      <c r="A69">
        <v>46</v>
      </c>
      <c r="B69" t="s">
        <v>476</v>
      </c>
      <c r="C69" s="158" t="s">
        <v>416</v>
      </c>
      <c r="D69" t="s">
        <v>563</v>
      </c>
      <c r="E69" t="s">
        <v>564</v>
      </c>
      <c r="F69" s="1" t="str">
        <f t="shared" si="1"/>
        <v>PURPOSE: Data field for WC_Flow_Py in 1_2_Data_Flows
ACTION: Enter appropriate value for WC_Flow_Py
NOTE: Please refer to BioDYM documentation for specific requirements.</v>
      </c>
      <c r="G69" s="1" t="s">
        <v>770</v>
      </c>
      <c r="H69" s="1" t="s">
        <v>566</v>
      </c>
      <c r="I69" s="1" t="s">
        <v>730</v>
      </c>
    </row>
    <row r="70" spans="1:9" ht="90" x14ac:dyDescent="0.25">
      <c r="A70">
        <v>19</v>
      </c>
      <c r="B70" t="s">
        <v>468</v>
      </c>
      <c r="C70" s="159" t="s">
        <v>426</v>
      </c>
      <c r="D70" t="s">
        <v>521</v>
      </c>
      <c r="E70" t="s">
        <v>522</v>
      </c>
      <c r="F70" s="1" t="str">
        <f t="shared" si="1"/>
        <v>PURPOSE: Data field for CC_DM_source in 1_1_Definition_Flows
ACTION: Enter appropriate value for CC_DM_source
NOTE: Please refer to BioDYM documentation for specific requirements.</v>
      </c>
      <c r="G70" s="1" t="s">
        <v>740</v>
      </c>
      <c r="H70" s="1" t="s">
        <v>524</v>
      </c>
      <c r="I70" s="1" t="s">
        <v>730</v>
      </c>
    </row>
    <row r="71" spans="1:9" ht="90" hidden="1" x14ac:dyDescent="0.25">
      <c r="A71">
        <v>23</v>
      </c>
      <c r="B71" t="s">
        <v>476</v>
      </c>
      <c r="C71" s="159" t="s">
        <v>7</v>
      </c>
      <c r="D71" t="s">
        <v>498</v>
      </c>
      <c r="E71" t="s">
        <v>499</v>
      </c>
      <c r="F71" s="1" t="str">
        <f t="shared" si="1"/>
        <v>PURPOSE: Unique identifier for material flow
ACTION: Automatically assigned
NOTE: This field is generated automatically. No manual input required. Used for system identification and linking.</v>
      </c>
      <c r="G71" s="1" t="s">
        <v>710</v>
      </c>
      <c r="H71" s="1" t="s">
        <v>708</v>
      </c>
      <c r="I71" s="1" t="s">
        <v>709</v>
      </c>
    </row>
    <row r="72" spans="1:9" ht="90" hidden="1" x14ac:dyDescent="0.25">
      <c r="A72">
        <v>58</v>
      </c>
      <c r="B72" t="s">
        <v>477</v>
      </c>
      <c r="C72" s="159" t="s">
        <v>7</v>
      </c>
      <c r="D72" t="s">
        <v>498</v>
      </c>
      <c r="E72" t="s">
        <v>499</v>
      </c>
      <c r="F72" s="1" t="str">
        <f t="shared" si="1"/>
        <v>PURPOSE: Unique identifier for process
ACTION: Automatically assigned
NOTE: This field is generated automatically. No manual input required. Used for system identification and linking.</v>
      </c>
      <c r="G72" s="1" t="s">
        <v>784</v>
      </c>
      <c r="H72" s="1" t="s">
        <v>708</v>
      </c>
      <c r="I72" s="1" t="s">
        <v>709</v>
      </c>
    </row>
    <row r="73" spans="1:9" ht="90" hidden="1" x14ac:dyDescent="0.25">
      <c r="A73">
        <v>67</v>
      </c>
      <c r="B73" t="s">
        <v>865</v>
      </c>
      <c r="C73" s="137" t="s">
        <v>7</v>
      </c>
      <c r="D73" t="s">
        <v>498</v>
      </c>
      <c r="E73" t="s">
        <v>499</v>
      </c>
      <c r="F73" s="1" t="str">
        <f t="shared" si="1"/>
        <v>PURPOSE: Unique identifier for process
ACTION: Automatically assigned
NOTE: This field is generated automatically. No manual input required. Used for system identification and linking.</v>
      </c>
      <c r="G73" s="1" t="s">
        <v>784</v>
      </c>
      <c r="H73" s="1" t="s">
        <v>708</v>
      </c>
      <c r="I73" s="1" t="s">
        <v>709</v>
      </c>
    </row>
    <row r="74" spans="1:9" ht="90" hidden="1" x14ac:dyDescent="0.25">
      <c r="A74">
        <v>90</v>
      </c>
      <c r="B74" s="160" t="s">
        <v>866</v>
      </c>
      <c r="C74" s="137" t="s">
        <v>7</v>
      </c>
      <c r="D74" t="s">
        <v>498</v>
      </c>
      <c r="E74" t="s">
        <v>499</v>
      </c>
      <c r="F74" s="1" t="str">
        <f t="shared" si="1"/>
        <v>PURPOSE: Unique identifier for process
ACTION: Automatically assigned
NOTE: This field is generated automatically. No manual input required. Used for system identification and linking.</v>
      </c>
      <c r="G74" s="1" t="s">
        <v>784</v>
      </c>
      <c r="H74" s="1" t="s">
        <v>708</v>
      </c>
      <c r="I74" s="1" t="s">
        <v>709</v>
      </c>
    </row>
    <row r="75" spans="1:9" ht="90" hidden="1" x14ac:dyDescent="0.25">
      <c r="A75">
        <v>107</v>
      </c>
      <c r="B75" s="160" t="s">
        <v>867</v>
      </c>
      <c r="C75" s="137" t="s">
        <v>7</v>
      </c>
      <c r="D75" t="s">
        <v>498</v>
      </c>
      <c r="E75" t="s">
        <v>499</v>
      </c>
      <c r="F75" s="1" t="str">
        <f t="shared" si="1"/>
        <v>PURPOSE: Unique identifier for {context}
ACTION: Automatically assigned
NOTE: This field is generated automatically. No manual input required. Used for system identification and linking.</v>
      </c>
      <c r="G75" s="1" t="s">
        <v>802</v>
      </c>
      <c r="H75" s="1" t="s">
        <v>708</v>
      </c>
      <c r="I75" s="1" t="s">
        <v>709</v>
      </c>
    </row>
    <row r="76" spans="1:9" ht="90" hidden="1" x14ac:dyDescent="0.25">
      <c r="A76">
        <v>137</v>
      </c>
      <c r="B76" t="s">
        <v>479</v>
      </c>
      <c r="C76" s="137" t="s">
        <v>7</v>
      </c>
      <c r="D76" t="s">
        <v>498</v>
      </c>
      <c r="E76" t="s">
        <v>499</v>
      </c>
      <c r="F76" s="1" t="str">
        <f t="shared" si="1"/>
        <v>PURPOSE: Unique identifier for process
ACTION: Automatically assigned
NOTE: This field is generated automatically. No manual input required. Used for system identification and linking.</v>
      </c>
      <c r="G76" s="1" t="s">
        <v>784</v>
      </c>
      <c r="H76" s="1" t="s">
        <v>708</v>
      </c>
      <c r="I76" s="1" t="s">
        <v>709</v>
      </c>
    </row>
    <row r="77" spans="1:9" ht="75" hidden="1" x14ac:dyDescent="0.25">
      <c r="A77">
        <v>149</v>
      </c>
      <c r="B77" t="s">
        <v>481</v>
      </c>
      <c r="C77" s="137" t="s">
        <v>7</v>
      </c>
      <c r="D77" t="s">
        <v>498</v>
      </c>
      <c r="E77" t="s">
        <v>499</v>
      </c>
      <c r="F77" s="1" t="str">
        <f t="shared" si="1"/>
        <v>PURPOSE: Data field for Parameter in 4_1_Uncertainty_Parameters
ACTION: Enter appropriate value for Parameter
NOTE: Please refer to BioDYM documentation for specific requirements.</v>
      </c>
      <c r="G77" s="1" t="s">
        <v>832</v>
      </c>
      <c r="H77" s="1" t="s">
        <v>652</v>
      </c>
      <c r="I77" s="1" t="s">
        <v>730</v>
      </c>
    </row>
    <row r="78" spans="1:9" ht="75" hidden="1" x14ac:dyDescent="0.25">
      <c r="A78">
        <v>159</v>
      </c>
      <c r="B78" s="2" t="s">
        <v>480</v>
      </c>
      <c r="C78" s="137" t="s">
        <v>7</v>
      </c>
      <c r="D78" t="s">
        <v>498</v>
      </c>
      <c r="E78" t="s">
        <v>499</v>
      </c>
      <c r="F78" s="1" t="str">
        <f t="shared" si="1"/>
        <v>PURPOSE: Data field for Scenario_Name in 5_1_Scenario_Manager
ACTION: Enter appropriate value for Scenario_Name
NOTE: Please refer to BioDYM documentation for specific requirements.</v>
      </c>
      <c r="G78" s="1" t="s">
        <v>841</v>
      </c>
      <c r="H78" s="1" t="s">
        <v>668</v>
      </c>
      <c r="I78" s="1" t="s">
        <v>730</v>
      </c>
    </row>
    <row r="79" spans="1:9" ht="90" hidden="1" x14ac:dyDescent="0.25">
      <c r="A79">
        <v>170</v>
      </c>
      <c r="B79" t="s">
        <v>487</v>
      </c>
      <c r="C79" s="137" t="s">
        <v>7</v>
      </c>
      <c r="D79" t="s">
        <v>498</v>
      </c>
      <c r="E79" t="s">
        <v>499</v>
      </c>
      <c r="F79" s="1" t="str">
        <f t="shared" si="1"/>
        <v>PURPOSE: Unique identifier for process
ACTION: Automatically assigned
NOTE: This field is generated automatically. No manual input required. Used for system identification and linking.</v>
      </c>
      <c r="G79" s="1" t="s">
        <v>784</v>
      </c>
      <c r="H79" s="1" t="s">
        <v>708</v>
      </c>
      <c r="I79" s="1" t="s">
        <v>709</v>
      </c>
    </row>
    <row r="80" spans="1:9" ht="105" hidden="1" x14ac:dyDescent="0.25">
      <c r="A80">
        <v>178</v>
      </c>
      <c r="B80" t="s">
        <v>488</v>
      </c>
      <c r="C80" s="137" t="s">
        <v>7</v>
      </c>
      <c r="D80" t="s">
        <v>701</v>
      </c>
      <c r="E80" t="s">
        <v>702</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787</v>
      </c>
      <c r="H80" s="1" t="s">
        <v>788</v>
      </c>
      <c r="I80" s="1" t="s">
        <v>713</v>
      </c>
    </row>
    <row r="81" spans="1:9" ht="90" hidden="1" x14ac:dyDescent="0.25">
      <c r="A81">
        <v>118</v>
      </c>
      <c r="B81" s="160" t="s">
        <v>867</v>
      </c>
      <c r="C81" s="137" t="s">
        <v>170</v>
      </c>
      <c r="D81" t="s">
        <v>625</v>
      </c>
      <c r="E81" t="s">
        <v>522</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818</v>
      </c>
      <c r="H81" s="1" t="s">
        <v>819</v>
      </c>
      <c r="I81" s="1" t="s">
        <v>713</v>
      </c>
    </row>
    <row r="82" spans="1:9" ht="90" hidden="1" x14ac:dyDescent="0.25">
      <c r="A82">
        <v>117</v>
      </c>
      <c r="B82" s="160" t="s">
        <v>867</v>
      </c>
      <c r="C82" s="137" t="s">
        <v>169</v>
      </c>
      <c r="D82" t="s">
        <v>624</v>
      </c>
      <c r="E82" t="s">
        <v>570</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737</v>
      </c>
      <c r="H82" s="1" t="s">
        <v>738</v>
      </c>
      <c r="I82" s="1" t="s">
        <v>817</v>
      </c>
    </row>
    <row r="83" spans="1:9" ht="75" hidden="1" x14ac:dyDescent="0.25">
      <c r="A83">
        <v>114</v>
      </c>
      <c r="B83" s="160" t="s">
        <v>867</v>
      </c>
      <c r="C83" s="137" t="s">
        <v>167</v>
      </c>
      <c r="D83" t="s">
        <v>619</v>
      </c>
      <c r="E83" t="s">
        <v>620</v>
      </c>
      <c r="F83" s="1" t="str">
        <f t="shared" si="1"/>
        <v>PURPOSE: Data field for UoM in 2_5_Initial_Stock
ACTION: Enter appropriate value for UoM
NOTE: Please refer to BioDYM documentation for specific requirements.</v>
      </c>
      <c r="G83" s="1" t="s">
        <v>814</v>
      </c>
      <c r="H83" s="1" t="s">
        <v>622</v>
      </c>
      <c r="I83" s="1" t="s">
        <v>730</v>
      </c>
    </row>
    <row r="84" spans="1:9" ht="90" hidden="1" x14ac:dyDescent="0.25">
      <c r="A84">
        <v>116</v>
      </c>
      <c r="B84" s="160" t="s">
        <v>867</v>
      </c>
      <c r="C84" s="137" t="s">
        <v>168</v>
      </c>
      <c r="D84" t="s">
        <v>623</v>
      </c>
      <c r="E84" t="s">
        <v>562</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772</v>
      </c>
      <c r="H84" s="1" t="s">
        <v>738</v>
      </c>
      <c r="I84" s="1" t="s">
        <v>816</v>
      </c>
    </row>
    <row r="85" spans="1:9" ht="90" x14ac:dyDescent="0.25">
      <c r="A85">
        <v>20</v>
      </c>
      <c r="B85" t="s">
        <v>468</v>
      </c>
      <c r="C85" s="137" t="s">
        <v>50</v>
      </c>
      <c r="D85" t="s">
        <v>523</v>
      </c>
      <c r="E85" t="s">
        <v>524</v>
      </c>
      <c r="F85" s="1" t="str">
        <f t="shared" si="1"/>
        <v>PURPOSE: Data field for CC in 1_1_Definition_Flows
ACTION: Enter appropriate value for CC
NOTE: Please refer to BioDYM documentation for specific requirements.</v>
      </c>
      <c r="G85" s="1" t="s">
        <v>741</v>
      </c>
      <c r="H85" s="1" t="s">
        <v>526</v>
      </c>
      <c r="I85" s="1" t="s">
        <v>730</v>
      </c>
    </row>
    <row r="86" spans="1:9" ht="75" hidden="1" x14ac:dyDescent="0.25">
      <c r="A86">
        <v>157</v>
      </c>
      <c r="B86" t="s">
        <v>481</v>
      </c>
      <c r="C86" s="137" t="s">
        <v>178</v>
      </c>
      <c r="D86" t="s">
        <v>663</v>
      </c>
      <c r="E86" t="s">
        <v>664</v>
      </c>
      <c r="F86" s="1" t="str">
        <f t="shared" si="1"/>
        <v>PURPOSE: Data field for Mode in 4_1_Uncertainty_Parameters
ACTION: Enter appropriate value for Mode
NOTE: Please refer to BioDYM documentation for specific requirements.</v>
      </c>
      <c r="G86" s="1" t="s">
        <v>840</v>
      </c>
      <c r="H86" s="1" t="s">
        <v>666</v>
      </c>
      <c r="I86" s="1" t="s">
        <v>730</v>
      </c>
    </row>
    <row r="87" spans="1:9" ht="75" hidden="1" x14ac:dyDescent="0.25">
      <c r="A87">
        <v>154</v>
      </c>
      <c r="B87" t="s">
        <v>481</v>
      </c>
      <c r="C87" s="137" t="s">
        <v>175</v>
      </c>
      <c r="D87" t="s">
        <v>657</v>
      </c>
      <c r="E87" t="s">
        <v>658</v>
      </c>
      <c r="F87" s="1" t="str">
        <f t="shared" si="1"/>
        <v>PURPOSE: Data field for StdDev in 4_1_Uncertainty_Parameters
ACTION: Enter appropriate value for StdDev
NOTE: Please refer to BioDYM documentation for specific requirements.</v>
      </c>
      <c r="G87" s="1" t="s">
        <v>837</v>
      </c>
      <c r="H87" s="1" t="s">
        <v>660</v>
      </c>
      <c r="I87" s="1" t="s">
        <v>730</v>
      </c>
    </row>
    <row r="88" spans="1:9" ht="75" hidden="1" x14ac:dyDescent="0.25">
      <c r="A88">
        <v>156</v>
      </c>
      <c r="B88" t="s">
        <v>481</v>
      </c>
      <c r="C88" s="137" t="s">
        <v>177</v>
      </c>
      <c r="D88" t="s">
        <v>661</v>
      </c>
      <c r="E88" t="s">
        <v>662</v>
      </c>
      <c r="F88" s="1" t="str">
        <f t="shared" si="1"/>
        <v>PURPOSE: Data field for Max in 4_1_Uncertainty_Parameters
ACTION: Enter appropriate value for Max
NOTE: Please refer to BioDYM documentation for specific requirements.</v>
      </c>
      <c r="G88" s="1" t="s">
        <v>839</v>
      </c>
      <c r="H88" s="1" t="s">
        <v>664</v>
      </c>
      <c r="I88" s="1" t="s">
        <v>730</v>
      </c>
    </row>
    <row r="89" spans="1:9" ht="90" hidden="1" x14ac:dyDescent="0.25">
      <c r="A89">
        <v>158</v>
      </c>
      <c r="B89" t="s">
        <v>481</v>
      </c>
      <c r="C89" s="137" t="s">
        <v>179</v>
      </c>
      <c r="D89" t="s">
        <v>665</v>
      </c>
      <c r="E89" t="s">
        <v>666</v>
      </c>
      <c r="F89" s="1" t="str">
        <f t="shared" si="1"/>
        <v>PURPOSE: Unique identifier for data row
ACTION: Automatically assigned
NOTE: This field is generated automatically. No manual input required. Used for system identification and linking.</v>
      </c>
      <c r="G89" s="1" t="s">
        <v>707</v>
      </c>
      <c r="H89" s="1" t="s">
        <v>708</v>
      </c>
      <c r="I89" s="1" t="s">
        <v>709</v>
      </c>
    </row>
    <row r="90" spans="1:9" ht="75" hidden="1" x14ac:dyDescent="0.25">
      <c r="A90">
        <v>172</v>
      </c>
      <c r="B90" t="s">
        <v>487</v>
      </c>
      <c r="C90" s="137" t="s">
        <v>26</v>
      </c>
      <c r="D90" t="s">
        <v>679</v>
      </c>
      <c r="E90" t="s">
        <v>680</v>
      </c>
      <c r="F90" s="1" t="str">
        <f t="shared" si="1"/>
        <v>PURPOSE: Data field for Color_Category in 6_1_Visualization_Processes
ACTION: Enter appropriate value for Color_Category
NOTE: Please refer to BioDYM documentation for specific requirements.</v>
      </c>
      <c r="G90" s="1" t="s">
        <v>851</v>
      </c>
      <c r="H90" s="1" t="s">
        <v>682</v>
      </c>
      <c r="I90" s="1" t="s">
        <v>730</v>
      </c>
    </row>
    <row r="91" spans="1:9" ht="90" hidden="1" x14ac:dyDescent="0.25">
      <c r="A91">
        <v>178</v>
      </c>
      <c r="B91" t="s">
        <v>488</v>
      </c>
      <c r="C91" s="137" t="s">
        <v>26</v>
      </c>
      <c r="D91" t="s">
        <v>589</v>
      </c>
      <c r="E91" t="s">
        <v>590</v>
      </c>
      <c r="F91" s="1" t="str">
        <f t="shared" si="1"/>
        <v>PURPOSE: Unique identifier for data row
ACTION: Automatically assigned
NOTE: This field is generated automatically. No manual input required. Used for system identification and linking.</v>
      </c>
      <c r="G91" s="1" t="s">
        <v>707</v>
      </c>
      <c r="H91" s="1" t="s">
        <v>708</v>
      </c>
      <c r="I91" s="1" t="s">
        <v>709</v>
      </c>
    </row>
    <row r="92" spans="1:9" ht="75" hidden="1" x14ac:dyDescent="0.25">
      <c r="A92">
        <v>41</v>
      </c>
      <c r="B92" t="s">
        <v>476</v>
      </c>
      <c r="C92" s="158" t="s">
        <v>20</v>
      </c>
      <c r="D92" t="s">
        <v>553</v>
      </c>
      <c r="E92" t="s">
        <v>554</v>
      </c>
      <c r="F92" s="1" t="str">
        <f t="shared" si="1"/>
        <v>PURPOSE: Data field for Flow_material_year_ID in 1_2_Data_Flows
ACTION: Enter appropriate value for Flow_material_year_ID
NOTE: Please refer to BioDYM documentation for specific requirements.</v>
      </c>
      <c r="G92" s="1" t="s">
        <v>762</v>
      </c>
      <c r="H92" s="1" t="s">
        <v>556</v>
      </c>
      <c r="I92" s="1" t="s">
        <v>730</v>
      </c>
    </row>
    <row r="93" spans="1:9" ht="75" hidden="1" x14ac:dyDescent="0.25">
      <c r="A93">
        <v>32</v>
      </c>
      <c r="B93" t="s">
        <v>476</v>
      </c>
      <c r="C93" s="159" t="s">
        <v>13</v>
      </c>
      <c r="D93" t="s">
        <v>535</v>
      </c>
      <c r="E93" t="s">
        <v>536</v>
      </c>
      <c r="F93" s="1" t="str">
        <f t="shared" si="1"/>
        <v>PURPOSE: Data field for AVV in 1_2_Data_Flows
ACTION: Enter appropriate value for AVV
NOTE: Please refer to BioDYM documentation for specific requirements.</v>
      </c>
      <c r="G93" s="1" t="s">
        <v>749</v>
      </c>
      <c r="H93" s="1" t="s">
        <v>538</v>
      </c>
      <c r="I93" s="1" t="s">
        <v>730</v>
      </c>
    </row>
    <row r="94" spans="1:9" ht="75" hidden="1" x14ac:dyDescent="0.25">
      <c r="A94">
        <v>165</v>
      </c>
      <c r="B94" s="2" t="s">
        <v>480</v>
      </c>
      <c r="C94" s="159" t="s">
        <v>190</v>
      </c>
      <c r="D94" t="s">
        <v>671</v>
      </c>
      <c r="E94" t="s">
        <v>672</v>
      </c>
      <c r="F94" s="1" t="str">
        <f t="shared" si="1"/>
        <v>PURPOSE: Data field for start_year in 5_1_Scenario_Manager
ACTION: Enter appropriate value for start_year
NOTE: Please refer to BioDYM documentation for specific requirements.</v>
      </c>
      <c r="G94" s="1" t="s">
        <v>847</v>
      </c>
      <c r="H94" s="1" t="s">
        <v>674</v>
      </c>
      <c r="I94" s="1" t="s">
        <v>730</v>
      </c>
    </row>
    <row r="95" spans="1:9" ht="75" hidden="1" x14ac:dyDescent="0.25">
      <c r="A95">
        <v>174</v>
      </c>
      <c r="B95" t="s">
        <v>487</v>
      </c>
      <c r="C95" s="159" t="s">
        <v>251</v>
      </c>
      <c r="D95" t="s">
        <v>683</v>
      </c>
      <c r="E95" t="s">
        <v>684</v>
      </c>
      <c r="F95" s="1" t="str">
        <f t="shared" si="1"/>
        <v>PURPOSE: Data field for Node_Color_# in 6_1_Visualization_Processes
ACTION: Enter appropriate value for Node_Color_#
NOTE: Please refer to BioDYM documentation for specific requirements.</v>
      </c>
      <c r="G95" s="1" t="s">
        <v>853</v>
      </c>
      <c r="H95" s="1" t="s">
        <v>686</v>
      </c>
      <c r="I95" s="1" t="s">
        <v>730</v>
      </c>
    </row>
    <row r="96" spans="1:9" ht="75" hidden="1" x14ac:dyDescent="0.25">
      <c r="A96">
        <v>175</v>
      </c>
      <c r="B96" t="s">
        <v>487</v>
      </c>
      <c r="C96" s="159" t="s">
        <v>252</v>
      </c>
      <c r="D96" t="s">
        <v>685</v>
      </c>
      <c r="E96" t="s">
        <v>686</v>
      </c>
      <c r="F96" s="1" t="str">
        <f t="shared" si="1"/>
        <v>PURPOSE: Data field for X_Position_Material in 6_1_Visualization_Processes
ACTION: Enter appropriate value for X_Position_Material
NOTE: Please refer to BioDYM documentation for specific requirements.</v>
      </c>
      <c r="G96" s="1" t="s">
        <v>854</v>
      </c>
      <c r="H96" s="1" t="s">
        <v>688</v>
      </c>
      <c r="I96" s="1" t="s">
        <v>730</v>
      </c>
    </row>
    <row r="97" spans="1:9" ht="75" hidden="1" x14ac:dyDescent="0.25">
      <c r="A97">
        <v>65</v>
      </c>
      <c r="B97" t="s">
        <v>477</v>
      </c>
      <c r="C97" s="137" t="s">
        <v>180</v>
      </c>
      <c r="D97" t="s">
        <v>541</v>
      </c>
      <c r="E97" t="s">
        <v>597</v>
      </c>
      <c r="F97" s="1" t="str">
        <f t="shared" si="1"/>
        <v>PURPOSE: Flag this row as 100% complete for reporting and filtering purposes
ACTION: Click to select
NOTE: This input is optional. Leave blank if the process is ongoing. Used for progress tracking.</v>
      </c>
      <c r="G97" s="1" t="s">
        <v>781</v>
      </c>
      <c r="H97" s="1" t="s">
        <v>782</v>
      </c>
      <c r="I97" s="1" t="s">
        <v>783</v>
      </c>
    </row>
    <row r="98" spans="1:9" ht="75" hidden="1" x14ac:dyDescent="0.25">
      <c r="A98">
        <v>130</v>
      </c>
      <c r="B98" t="s">
        <v>478</v>
      </c>
      <c r="C98" s="137" t="s">
        <v>180</v>
      </c>
      <c r="D98" t="s">
        <v>541</v>
      </c>
      <c r="E98" t="s">
        <v>597</v>
      </c>
      <c r="F98" s="1" t="str">
        <f t="shared" si="1"/>
        <v>PURPOSE: Data field for DSM_Category_Nr. in 3_1_Definition_DSM
ACTION: Enter appropriate value for DSM_Category_Nr.
NOTE: Please refer to BioDYM documentation for specific requirements.</v>
      </c>
      <c r="G98" s="1" t="s">
        <v>823</v>
      </c>
      <c r="H98" s="1" t="s">
        <v>634</v>
      </c>
      <c r="I98" s="1" t="s">
        <v>730</v>
      </c>
    </row>
    <row r="99" spans="1:9" ht="75" hidden="1" x14ac:dyDescent="0.25">
      <c r="A99">
        <v>143</v>
      </c>
      <c r="B99" t="s">
        <v>479</v>
      </c>
      <c r="C99" s="137" t="s">
        <v>180</v>
      </c>
      <c r="D99" t="s">
        <v>541</v>
      </c>
      <c r="E99" t="s">
        <v>597</v>
      </c>
      <c r="F99" s="1" t="str">
        <f t="shared" si="1"/>
        <v>PURPOSE: Data field for Nr._Decay_Pools in 3_2_Definition_FOMP
ACTION: Enter appropriate value for Nr._Decay_Pools
NOTE: Please refer to BioDYM documentation for specific requirements.</v>
      </c>
      <c r="G99" s="1" t="s">
        <v>828</v>
      </c>
      <c r="H99" s="1" t="s">
        <v>644</v>
      </c>
      <c r="I99" s="1" t="s">
        <v>730</v>
      </c>
    </row>
    <row r="100" spans="1:9" ht="75" hidden="1" x14ac:dyDescent="0.25">
      <c r="A100">
        <v>73</v>
      </c>
      <c r="B100" t="s">
        <v>865</v>
      </c>
      <c r="C100" s="137" t="s">
        <v>181</v>
      </c>
      <c r="D100" t="s">
        <v>541</v>
      </c>
      <c r="E100" t="s">
        <v>597</v>
      </c>
      <c r="F100" s="1" t="str">
        <f t="shared" si="1"/>
        <v>PURPOSE: Data field for Output_Flow in 2_3_static_TCs
ACTION: Enter appropriate value for Output_Flow
NOTE: Please refer to BioDYM documentation for specific requirements.</v>
      </c>
      <c r="G100" s="1" t="s">
        <v>799</v>
      </c>
      <c r="H100" s="1" t="s">
        <v>599</v>
      </c>
      <c r="I100" s="1" t="s">
        <v>730</v>
      </c>
    </row>
    <row r="101" spans="1:9" ht="75" hidden="1" x14ac:dyDescent="0.25">
      <c r="A101">
        <v>144</v>
      </c>
      <c r="B101" t="s">
        <v>479</v>
      </c>
      <c r="C101" s="137" t="s">
        <v>195</v>
      </c>
      <c r="D101" t="s">
        <v>643</v>
      </c>
      <c r="E101" t="s">
        <v>644</v>
      </c>
      <c r="F101" s="1" t="str">
        <f t="shared" si="1"/>
        <v>PURPOSE: Data field for Pool in 3_2_Definition_FOMP
ACTION: Enter appropriate value for Pool
NOTE: Please refer to BioDYM documentation for specific requirements.</v>
      </c>
      <c r="G101" s="1" t="s">
        <v>829</v>
      </c>
      <c r="H101" s="1" t="s">
        <v>646</v>
      </c>
      <c r="I101" s="1" t="s">
        <v>730</v>
      </c>
    </row>
    <row r="102" spans="1:9" ht="75" hidden="1" x14ac:dyDescent="0.25">
      <c r="A102">
        <v>164</v>
      </c>
      <c r="B102" t="s">
        <v>480</v>
      </c>
      <c r="C102" s="137" t="s">
        <v>209</v>
      </c>
      <c r="D102" t="s">
        <v>669</v>
      </c>
      <c r="E102" t="s">
        <v>670</v>
      </c>
      <c r="F102" s="1" t="str">
        <f t="shared" si="1"/>
        <v>PURPOSE: Data field for New_Value in 5_1_Scenario_Manager
ACTION: Enter appropriate value for New_Value
NOTE: Please refer to BioDYM documentation for specific requirements.</v>
      </c>
      <c r="G102" s="1" t="s">
        <v>846</v>
      </c>
      <c r="H102" s="1" t="s">
        <v>672</v>
      </c>
      <c r="I102" s="1" t="s">
        <v>730</v>
      </c>
    </row>
    <row r="103" spans="1:9" ht="90" hidden="1" x14ac:dyDescent="0.25">
      <c r="A103">
        <v>74</v>
      </c>
      <c r="B103" t="s">
        <v>865</v>
      </c>
      <c r="C103" s="137" t="s">
        <v>165</v>
      </c>
      <c r="D103" t="s">
        <v>598</v>
      </c>
      <c r="E103" t="s">
        <v>599</v>
      </c>
      <c r="F103" s="1" t="str">
        <f t="shared" si="1"/>
        <v>PURPOSE: Unique identifier for material flow
ACTION: Automatically assigned
NOTE: This field is generated automatically. No manual input required. Used for system identification and linking.</v>
      </c>
      <c r="G103" s="1" t="s">
        <v>710</v>
      </c>
      <c r="H103" s="1" t="s">
        <v>708</v>
      </c>
      <c r="I103" s="1" t="s">
        <v>709</v>
      </c>
    </row>
    <row r="104" spans="1:9" ht="90" hidden="1" x14ac:dyDescent="0.25">
      <c r="A104">
        <v>93</v>
      </c>
      <c r="B104" s="160" t="s">
        <v>866</v>
      </c>
      <c r="C104" s="137" t="s">
        <v>165</v>
      </c>
      <c r="D104" t="s">
        <v>598</v>
      </c>
      <c r="E104" t="s">
        <v>599</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792</v>
      </c>
      <c r="H104" s="1" t="s">
        <v>793</v>
      </c>
      <c r="I104" s="1" t="s">
        <v>794</v>
      </c>
    </row>
    <row r="105" spans="1:9" ht="75" hidden="1" x14ac:dyDescent="0.25">
      <c r="A105">
        <v>150</v>
      </c>
      <c r="B105" t="s">
        <v>481</v>
      </c>
      <c r="C105" s="137" t="s">
        <v>117</v>
      </c>
      <c r="D105" t="s">
        <v>651</v>
      </c>
      <c r="E105" t="s">
        <v>652</v>
      </c>
      <c r="F105" s="1" t="str">
        <f t="shared" si="1"/>
        <v>PURPOSE: Data field for Parameter_Selection in 4_1_Uncertainty_Parameters
ACTION: Enter appropriate value for Parameter_Selection
NOTE: Please refer to BioDYM documentation for specific requirements.</v>
      </c>
      <c r="G105" s="1" t="s">
        <v>833</v>
      </c>
      <c r="H105" s="1" t="s">
        <v>654</v>
      </c>
      <c r="I105" s="1" t="s">
        <v>730</v>
      </c>
    </row>
    <row r="106" spans="1:9" ht="75" hidden="1" x14ac:dyDescent="0.25">
      <c r="A106">
        <v>161</v>
      </c>
      <c r="B106" s="2" t="s">
        <v>480</v>
      </c>
      <c r="C106" s="137" t="s">
        <v>117</v>
      </c>
      <c r="D106" t="s">
        <v>651</v>
      </c>
      <c r="E106" t="s">
        <v>652</v>
      </c>
      <c r="F106" s="1" t="str">
        <f t="shared" si="1"/>
        <v>PURPOSE: Data field for Parameter_Selection in 5_1_Scenario_Manager
ACTION: Enter appropriate value for Parameter_Selection
NOTE: Please refer to BioDYM documentation for specific requirements.</v>
      </c>
      <c r="G106" s="1" t="s">
        <v>843</v>
      </c>
      <c r="H106" s="1" t="s">
        <v>654</v>
      </c>
      <c r="I106" s="1" t="s">
        <v>730</v>
      </c>
    </row>
    <row r="107" spans="1:9" ht="75" hidden="1" x14ac:dyDescent="0.25">
      <c r="A107">
        <v>147</v>
      </c>
      <c r="B107" t="s">
        <v>479</v>
      </c>
      <c r="C107" s="137" t="s">
        <v>173</v>
      </c>
      <c r="D107" t="s">
        <v>647</v>
      </c>
      <c r="E107" t="s">
        <v>648</v>
      </c>
      <c r="F107" s="1" t="str">
        <f t="shared" si="1"/>
        <v>PURPOSE: Data field for Value in 3_2_Definition_FOMP
ACTION: Enter appropriate value for Value
NOTE: Please refer to BioDYM documentation for specific requirements.</v>
      </c>
      <c r="G107" s="1" t="s">
        <v>831</v>
      </c>
      <c r="H107" s="1" t="s">
        <v>650</v>
      </c>
      <c r="I107" s="1" t="s">
        <v>730</v>
      </c>
    </row>
    <row r="108" spans="1:9" ht="75" hidden="1" x14ac:dyDescent="0.25">
      <c r="A108">
        <v>152</v>
      </c>
      <c r="B108" t="s">
        <v>481</v>
      </c>
      <c r="C108" s="137" t="s">
        <v>173</v>
      </c>
      <c r="D108" t="s">
        <v>647</v>
      </c>
      <c r="E108" t="s">
        <v>648</v>
      </c>
      <c r="F108" s="1" t="str">
        <f t="shared" si="1"/>
        <v>PURPOSE: Data field for Distribution in 4_1_Uncertainty_Parameters
ACTION: Enter appropriate value for Distribution
NOTE: Please refer to BioDYM documentation for specific requirements.</v>
      </c>
      <c r="G108" s="1" t="s">
        <v>835</v>
      </c>
      <c r="H108" s="1" t="s">
        <v>656</v>
      </c>
      <c r="I108" s="1" t="s">
        <v>730</v>
      </c>
    </row>
    <row r="109" spans="1:9" ht="75" hidden="1" x14ac:dyDescent="0.25">
      <c r="A109">
        <v>163</v>
      </c>
      <c r="B109" s="2" t="s">
        <v>480</v>
      </c>
      <c r="C109" s="158" t="s">
        <v>173</v>
      </c>
      <c r="D109" t="s">
        <v>647</v>
      </c>
      <c r="E109" t="s">
        <v>648</v>
      </c>
      <c r="F109" s="1" t="str">
        <f t="shared" si="1"/>
        <v>PURPOSE: Data field for Operation in 5_1_Scenario_Manager
ACTION: Enter appropriate value for Operation
NOTE: Please refer to BioDYM documentation for specific requirements.</v>
      </c>
      <c r="G109" s="1" t="s">
        <v>845</v>
      </c>
      <c r="H109" s="1" t="s">
        <v>670</v>
      </c>
      <c r="I109" s="1" t="s">
        <v>730</v>
      </c>
    </row>
    <row r="110" spans="1:9" ht="75" hidden="1" x14ac:dyDescent="0.25">
      <c r="A110">
        <v>151</v>
      </c>
      <c r="B110" t="s">
        <v>481</v>
      </c>
      <c r="C110" s="159" t="s">
        <v>189</v>
      </c>
      <c r="D110" t="s">
        <v>653</v>
      </c>
      <c r="E110" t="s">
        <v>654</v>
      </c>
      <c r="F110" s="1" t="str">
        <f t="shared" si="1"/>
        <v>PURPOSE: Data field for Parameter_Name in 4_1_Uncertainty_Parameters
ACTION: Enter appropriate value for Parameter_Name
NOTE: Please refer to BioDYM documentation for specific requirements.</v>
      </c>
      <c r="G110" s="1" t="s">
        <v>834</v>
      </c>
      <c r="H110" s="1" t="s">
        <v>648</v>
      </c>
      <c r="I110" s="1" t="s">
        <v>730</v>
      </c>
    </row>
    <row r="111" spans="1:9" ht="75" hidden="1" x14ac:dyDescent="0.25">
      <c r="A111">
        <v>162</v>
      </c>
      <c r="B111" t="s">
        <v>480</v>
      </c>
      <c r="C111" s="159" t="s">
        <v>189</v>
      </c>
      <c r="D111" t="s">
        <v>653</v>
      </c>
      <c r="E111" t="s">
        <v>654</v>
      </c>
      <c r="F111" s="1" t="str">
        <f t="shared" si="1"/>
        <v>PURPOSE: Data field for Parameter_Name in 5_1_Scenario_Manager
ACTION: Enter appropriate value for Parameter_Name
NOTE: Please refer to BioDYM documentation for specific requirements.</v>
      </c>
      <c r="G111" s="1" t="s">
        <v>844</v>
      </c>
      <c r="H111" s="1" t="s">
        <v>648</v>
      </c>
      <c r="I111" s="1" t="s">
        <v>730</v>
      </c>
    </row>
    <row r="112" spans="1:9" ht="90" hidden="1" x14ac:dyDescent="0.25">
      <c r="A112">
        <v>145</v>
      </c>
      <c r="B112" t="s">
        <v>479</v>
      </c>
      <c r="C112" s="159" t="s">
        <v>201</v>
      </c>
      <c r="D112" t="s">
        <v>645</v>
      </c>
      <c r="E112" t="s">
        <v>646</v>
      </c>
      <c r="F112" s="1" t="str">
        <f t="shared" si="1"/>
        <v>PURPOSE: Unique identifier for {context}
ACTION: Automatically assigned
NOTE: This field is generated automatically. No manual input required. Used for system identification and linking.</v>
      </c>
      <c r="G112" s="1" t="s">
        <v>802</v>
      </c>
      <c r="H112" s="1" t="s">
        <v>708</v>
      </c>
      <c r="I112" s="1" t="s">
        <v>709</v>
      </c>
    </row>
    <row r="113" spans="1:9" ht="75" hidden="1" x14ac:dyDescent="0.25">
      <c r="A113">
        <v>146</v>
      </c>
      <c r="B113" t="s">
        <v>479</v>
      </c>
      <c r="C113" s="159" t="s">
        <v>198</v>
      </c>
      <c r="D113" t="s">
        <v>541</v>
      </c>
      <c r="E113" t="s">
        <v>499</v>
      </c>
      <c r="F113" s="1" t="str">
        <f t="shared" si="1"/>
        <v>PURPOSE: Data field for Parameter_Name in 3_2_Definition_FOMP
ACTION: Enter appropriate value for Parameter_Name
NOTE: Please refer to BioDYM documentation for specific requirements.</v>
      </c>
      <c r="G113" s="1" t="s">
        <v>830</v>
      </c>
      <c r="H113" s="1" t="s">
        <v>648</v>
      </c>
      <c r="I113" s="1" t="s">
        <v>730</v>
      </c>
    </row>
    <row r="114" spans="1:9" ht="105" hidden="1" x14ac:dyDescent="0.25">
      <c r="A114">
        <v>59</v>
      </c>
      <c r="B114" t="s">
        <v>477</v>
      </c>
      <c r="C114" s="159" t="s">
        <v>23</v>
      </c>
      <c r="D114" t="s">
        <v>586</v>
      </c>
      <c r="E114" t="s">
        <v>499</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785</v>
      </c>
      <c r="H114" s="1" t="s">
        <v>786</v>
      </c>
      <c r="I114" s="1" t="s">
        <v>713</v>
      </c>
    </row>
    <row r="115" spans="1:9" ht="105" hidden="1" x14ac:dyDescent="0.25">
      <c r="A115">
        <v>68</v>
      </c>
      <c r="B115" t="s">
        <v>865</v>
      </c>
      <c r="C115" s="137" t="s">
        <v>23</v>
      </c>
      <c r="D115" t="s">
        <v>586</v>
      </c>
      <c r="E115" t="s">
        <v>499</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785</v>
      </c>
      <c r="H115" s="1" t="s">
        <v>786</v>
      </c>
      <c r="I115" s="1" t="s">
        <v>713</v>
      </c>
    </row>
    <row r="116" spans="1:9" ht="105" hidden="1" x14ac:dyDescent="0.25">
      <c r="A116">
        <v>91</v>
      </c>
      <c r="B116" s="160" t="s">
        <v>866</v>
      </c>
      <c r="C116" s="137" t="s">
        <v>23</v>
      </c>
      <c r="D116" t="s">
        <v>586</v>
      </c>
      <c r="E116" t="s">
        <v>499</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785</v>
      </c>
      <c r="H116" s="1" t="s">
        <v>786</v>
      </c>
      <c r="I116" s="1" t="s">
        <v>713</v>
      </c>
    </row>
    <row r="117" spans="1:9" ht="105" hidden="1" x14ac:dyDescent="0.25">
      <c r="A117">
        <v>109</v>
      </c>
      <c r="B117" s="160" t="s">
        <v>867</v>
      </c>
      <c r="C117" s="137" t="s">
        <v>23</v>
      </c>
      <c r="D117" t="s">
        <v>586</v>
      </c>
      <c r="E117" t="s">
        <v>499</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785</v>
      </c>
      <c r="H117" s="1" t="s">
        <v>786</v>
      </c>
      <c r="I117" s="1" t="s">
        <v>713</v>
      </c>
    </row>
    <row r="118" spans="1:9" ht="105" hidden="1" x14ac:dyDescent="0.25">
      <c r="A118">
        <v>125</v>
      </c>
      <c r="B118" t="s">
        <v>478</v>
      </c>
      <c r="C118" s="137" t="s">
        <v>23</v>
      </c>
      <c r="D118" t="s">
        <v>586</v>
      </c>
      <c r="E118" t="s">
        <v>499</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785</v>
      </c>
      <c r="H118" s="1" t="s">
        <v>786</v>
      </c>
      <c r="I118" s="1" t="s">
        <v>713</v>
      </c>
    </row>
    <row r="119" spans="1:9" ht="105" hidden="1" x14ac:dyDescent="0.25">
      <c r="A119">
        <v>138</v>
      </c>
      <c r="B119" t="s">
        <v>479</v>
      </c>
      <c r="C119" s="137" t="s">
        <v>23</v>
      </c>
      <c r="D119" t="s">
        <v>586</v>
      </c>
      <c r="E119" t="s">
        <v>499</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785</v>
      </c>
      <c r="H119" s="1" t="s">
        <v>786</v>
      </c>
      <c r="I119" s="1" t="s">
        <v>713</v>
      </c>
    </row>
    <row r="120" spans="1:9" ht="75" hidden="1" x14ac:dyDescent="0.25">
      <c r="A120">
        <v>171</v>
      </c>
      <c r="B120" t="s">
        <v>487</v>
      </c>
      <c r="C120" s="137" t="s">
        <v>23</v>
      </c>
      <c r="D120" t="s">
        <v>586</v>
      </c>
      <c r="E120" t="s">
        <v>499</v>
      </c>
      <c r="F120" s="1" t="str">
        <f t="shared" si="1"/>
        <v>PURPOSE: Data field for Name(EN) in 6_1_Visualization_Processes
ACTION: Enter appropriate value for Name(EN)
NOTE: Please refer to BioDYM documentation for specific requirements.</v>
      </c>
      <c r="G120" s="1" t="s">
        <v>850</v>
      </c>
      <c r="H120" s="1" t="s">
        <v>680</v>
      </c>
      <c r="I120" s="1" t="s">
        <v>730</v>
      </c>
    </row>
    <row r="121" spans="1:9" ht="90" hidden="1" x14ac:dyDescent="0.25">
      <c r="A121">
        <v>62</v>
      </c>
      <c r="B121" t="s">
        <v>477</v>
      </c>
      <c r="C121" s="137" t="s">
        <v>396</v>
      </c>
      <c r="D121" t="s">
        <v>591</v>
      </c>
      <c r="E121" t="s">
        <v>592</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792</v>
      </c>
      <c r="H121" s="1" t="s">
        <v>793</v>
      </c>
      <c r="I121" s="1" t="s">
        <v>794</v>
      </c>
    </row>
    <row r="122" spans="1:9" ht="90" hidden="1" x14ac:dyDescent="0.25">
      <c r="A122">
        <v>70</v>
      </c>
      <c r="B122" t="s">
        <v>865</v>
      </c>
      <c r="C122" s="137" t="s">
        <v>396</v>
      </c>
      <c r="D122" t="s">
        <v>591</v>
      </c>
      <c r="E122" t="s">
        <v>592</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792</v>
      </c>
      <c r="H122" s="1" t="s">
        <v>793</v>
      </c>
      <c r="I122" s="1" t="s">
        <v>794</v>
      </c>
    </row>
    <row r="123" spans="1:9" ht="90" hidden="1" x14ac:dyDescent="0.25">
      <c r="A123">
        <v>95</v>
      </c>
      <c r="B123" s="160" t="s">
        <v>866</v>
      </c>
      <c r="C123" s="137" t="s">
        <v>396</v>
      </c>
      <c r="D123" t="s">
        <v>591</v>
      </c>
      <c r="E123" t="s">
        <v>592</v>
      </c>
      <c r="F123" s="1" t="str">
        <f t="shared" si="1"/>
        <v>PURPOSE: Unique identifier for material flow
ACTION: Automatically assigned
NOTE: This field is generated automatically. No manual input required. Used for system identification and linking.</v>
      </c>
      <c r="G123" s="1" t="s">
        <v>710</v>
      </c>
      <c r="H123" s="1" t="s">
        <v>708</v>
      </c>
      <c r="I123" s="1" t="s">
        <v>709</v>
      </c>
    </row>
    <row r="124" spans="1:9" ht="90" hidden="1" x14ac:dyDescent="0.25">
      <c r="A124">
        <v>111</v>
      </c>
      <c r="B124" s="160" t="s">
        <v>867</v>
      </c>
      <c r="C124" s="137" t="s">
        <v>396</v>
      </c>
      <c r="D124" t="s">
        <v>591</v>
      </c>
      <c r="E124" t="s">
        <v>592</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792</v>
      </c>
      <c r="H124" s="1" t="s">
        <v>793</v>
      </c>
      <c r="I124" s="1" t="s">
        <v>794</v>
      </c>
    </row>
    <row r="125" spans="1:9" ht="90" hidden="1" x14ac:dyDescent="0.25">
      <c r="A125">
        <v>127</v>
      </c>
      <c r="B125" t="s">
        <v>478</v>
      </c>
      <c r="C125" s="137" t="s">
        <v>396</v>
      </c>
      <c r="D125" t="s">
        <v>591</v>
      </c>
      <c r="E125" t="s">
        <v>592</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792</v>
      </c>
      <c r="H125" s="1" t="s">
        <v>793</v>
      </c>
      <c r="I125" s="1" t="s">
        <v>794</v>
      </c>
    </row>
    <row r="126" spans="1:9" ht="90" hidden="1" x14ac:dyDescent="0.25">
      <c r="A126">
        <v>140</v>
      </c>
      <c r="B126" t="s">
        <v>479</v>
      </c>
      <c r="C126" s="137" t="s">
        <v>396</v>
      </c>
      <c r="D126" t="s">
        <v>591</v>
      </c>
      <c r="E126" t="s">
        <v>592</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792</v>
      </c>
      <c r="H126" s="1" t="s">
        <v>793</v>
      </c>
      <c r="I126" s="1" t="s">
        <v>794</v>
      </c>
    </row>
    <row r="127" spans="1:9" ht="105" hidden="1" x14ac:dyDescent="0.25">
      <c r="A127">
        <v>60</v>
      </c>
      <c r="B127" t="s">
        <v>477</v>
      </c>
      <c r="C127" s="137" t="s">
        <v>431</v>
      </c>
      <c r="D127" t="s">
        <v>587</v>
      </c>
      <c r="E127" t="s">
        <v>588</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787</v>
      </c>
      <c r="H127" s="1" t="s">
        <v>788</v>
      </c>
      <c r="I127" s="1" t="s">
        <v>713</v>
      </c>
    </row>
    <row r="128" spans="1:9" ht="105" hidden="1" x14ac:dyDescent="0.25">
      <c r="A128">
        <v>69</v>
      </c>
      <c r="B128" t="s">
        <v>865</v>
      </c>
      <c r="C128" s="159" t="s">
        <v>431</v>
      </c>
      <c r="D128" t="s">
        <v>587</v>
      </c>
      <c r="E128" t="s">
        <v>588</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789</v>
      </c>
      <c r="H128" s="1" t="s">
        <v>790</v>
      </c>
      <c r="I128" s="1" t="s">
        <v>791</v>
      </c>
    </row>
    <row r="129" spans="1:9" ht="75" hidden="1" x14ac:dyDescent="0.25">
      <c r="A129">
        <v>92</v>
      </c>
      <c r="B129" s="160" t="s">
        <v>866</v>
      </c>
      <c r="C129" s="159" t="s">
        <v>431</v>
      </c>
      <c r="D129" t="s">
        <v>587</v>
      </c>
      <c r="E129" t="s">
        <v>588</v>
      </c>
      <c r="F129" s="1" t="str">
        <f t="shared" si="1"/>
        <v>PURPOSE: Data field for Output_Flow in 2_4_dynamic_TCs
ACTION: Enter appropriate value for Output_Flow
NOTE: Please refer to BioDYM documentation for specific requirements.</v>
      </c>
      <c r="G129" s="1" t="s">
        <v>811</v>
      </c>
      <c r="H129" s="1" t="s">
        <v>599</v>
      </c>
      <c r="I129" s="1" t="s">
        <v>730</v>
      </c>
    </row>
    <row r="130" spans="1:9" ht="105" hidden="1" x14ac:dyDescent="0.25">
      <c r="A130">
        <v>110</v>
      </c>
      <c r="B130" s="160" t="s">
        <v>867</v>
      </c>
      <c r="C130" s="159" t="s">
        <v>431</v>
      </c>
      <c r="D130" t="s">
        <v>587</v>
      </c>
      <c r="E130" t="s">
        <v>588</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789</v>
      </c>
      <c r="H130" s="1" t="s">
        <v>790</v>
      </c>
      <c r="I130" s="1" t="s">
        <v>791</v>
      </c>
    </row>
    <row r="131" spans="1:9" ht="105" hidden="1" x14ac:dyDescent="0.25">
      <c r="A131">
        <v>126</v>
      </c>
      <c r="B131" t="s">
        <v>478</v>
      </c>
      <c r="C131" s="159" t="s">
        <v>431</v>
      </c>
      <c r="D131" t="s">
        <v>587</v>
      </c>
      <c r="E131" t="s">
        <v>588</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789</v>
      </c>
      <c r="H131" s="1" t="s">
        <v>790</v>
      </c>
      <c r="I131" s="1" t="s">
        <v>791</v>
      </c>
    </row>
    <row r="132" spans="1:9" ht="105" hidden="1" x14ac:dyDescent="0.25">
      <c r="A132">
        <v>139</v>
      </c>
      <c r="B132" t="s">
        <v>479</v>
      </c>
      <c r="C132" s="159" t="s">
        <v>431</v>
      </c>
      <c r="D132" t="s">
        <v>587</v>
      </c>
      <c r="E132" t="s">
        <v>588</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789</v>
      </c>
      <c r="H132" s="1" t="s">
        <v>790</v>
      </c>
      <c r="I132" s="1" t="s">
        <v>791</v>
      </c>
    </row>
    <row r="133" spans="1:9" ht="75" hidden="1" x14ac:dyDescent="0.25">
      <c r="A133">
        <v>160</v>
      </c>
      <c r="B133" t="s">
        <v>480</v>
      </c>
      <c r="C133" s="159" t="s">
        <v>214</v>
      </c>
      <c r="D133" t="s">
        <v>667</v>
      </c>
      <c r="E133" t="s">
        <v>668</v>
      </c>
      <c r="F133" s="1" t="str">
        <f t="shared" si="2"/>
        <v>PURPOSE: Data field for Parameter in 5_1_Scenario_Manager
ACTION: Enter appropriate value for Parameter
NOTE: Please refer to BioDYM documentation for specific requirements.</v>
      </c>
      <c r="G133" s="1" t="s">
        <v>842</v>
      </c>
      <c r="H133" s="1" t="s">
        <v>652</v>
      </c>
      <c r="I133" s="1" t="s">
        <v>730</v>
      </c>
    </row>
    <row r="134" spans="1:9" ht="75" hidden="1" x14ac:dyDescent="0.25">
      <c r="A134">
        <v>166</v>
      </c>
      <c r="B134" t="s">
        <v>480</v>
      </c>
      <c r="C134" s="159" t="s">
        <v>432</v>
      </c>
      <c r="D134" t="s">
        <v>673</v>
      </c>
      <c r="E134" t="s">
        <v>674</v>
      </c>
      <c r="F134" s="1" t="str">
        <f t="shared" si="2"/>
        <v>PURPOSE: Data field for end_year in 5_1_Scenario_Manager
ACTION: Enter appropriate value for end_year
NOTE: Please refer to BioDYM documentation for specific requirements.</v>
      </c>
      <c r="G134" s="1" t="s">
        <v>848</v>
      </c>
      <c r="H134" s="1" t="s">
        <v>676</v>
      </c>
      <c r="I134" s="1" t="s">
        <v>730</v>
      </c>
    </row>
    <row r="135" spans="1:9" ht="75" hidden="1" x14ac:dyDescent="0.25">
      <c r="A135">
        <v>155</v>
      </c>
      <c r="B135" t="s">
        <v>481</v>
      </c>
      <c r="C135" s="137" t="s">
        <v>176</v>
      </c>
      <c r="D135" t="s">
        <v>659</v>
      </c>
      <c r="E135" t="s">
        <v>660</v>
      </c>
      <c r="F135" s="1" t="str">
        <f t="shared" si="2"/>
        <v>PURPOSE: Data field for Min in 4_1_Uncertainty_Parameters
ACTION: Enter appropriate value for Min
NOTE: Please refer to BioDYM documentation for specific requirements.</v>
      </c>
      <c r="G135" s="1" t="s">
        <v>838</v>
      </c>
      <c r="H135" s="1" t="s">
        <v>662</v>
      </c>
      <c r="I135" s="1" t="s">
        <v>730</v>
      </c>
    </row>
    <row r="136" spans="1:9" ht="75" hidden="1" x14ac:dyDescent="0.25">
      <c r="A136">
        <v>64</v>
      </c>
      <c r="B136" t="s">
        <v>477</v>
      </c>
      <c r="C136" s="137" t="s">
        <v>460</v>
      </c>
      <c r="D136" t="s">
        <v>595</v>
      </c>
      <c r="E136" t="s">
        <v>596</v>
      </c>
      <c r="F136" s="1" t="str">
        <f t="shared" si="2"/>
        <v>PURPOSE: Defines the {field_type} for calculations
ACTION: Enter numerical value in specified unit
NOTE: Required for system calculations. Must be positive value. Used in MFA calculations.</v>
      </c>
      <c r="G136" s="1" t="s">
        <v>798</v>
      </c>
      <c r="H136" s="1" t="s">
        <v>764</v>
      </c>
      <c r="I136" s="1" t="s">
        <v>765</v>
      </c>
    </row>
    <row r="137" spans="1:9" ht="75" hidden="1" x14ac:dyDescent="0.25">
      <c r="A137">
        <v>72</v>
      </c>
      <c r="B137" t="s">
        <v>865</v>
      </c>
      <c r="C137" s="137" t="s">
        <v>460</v>
      </c>
      <c r="D137" t="s">
        <v>595</v>
      </c>
      <c r="E137" t="s">
        <v>596</v>
      </c>
      <c r="F137" s="1" t="str">
        <f t="shared" si="2"/>
        <v>PURPOSE: Defines the {field_type} for calculations
ACTION: Enter numerical value in specified unit
NOTE: Required for system calculations. Must be positive value. Used in MFA calculations.</v>
      </c>
      <c r="G137" s="1" t="s">
        <v>798</v>
      </c>
      <c r="H137" s="1" t="s">
        <v>764</v>
      </c>
      <c r="I137" s="1" t="s">
        <v>765</v>
      </c>
    </row>
    <row r="138" spans="1:9" ht="75" hidden="1" x14ac:dyDescent="0.25">
      <c r="A138">
        <v>113</v>
      </c>
      <c r="B138" s="160" t="s">
        <v>867</v>
      </c>
      <c r="C138" s="137" t="s">
        <v>460</v>
      </c>
      <c r="D138" t="s">
        <v>595</v>
      </c>
      <c r="E138" t="s">
        <v>596</v>
      </c>
      <c r="F138" s="1" t="str">
        <f t="shared" si="2"/>
        <v>PURPOSE: Defines the Initial Stock Material Amount for calculations
ACTION: Enter numerical value in specified unit
NOTE: Required for system calculations. Must be positive value. Used in MFA calculations.</v>
      </c>
      <c r="G138" s="1" t="s">
        <v>813</v>
      </c>
      <c r="H138" s="1" t="s">
        <v>764</v>
      </c>
      <c r="I138" s="1" t="s">
        <v>765</v>
      </c>
    </row>
    <row r="139" spans="1:9" ht="75" hidden="1" x14ac:dyDescent="0.25">
      <c r="A139">
        <v>129</v>
      </c>
      <c r="B139" t="s">
        <v>478</v>
      </c>
      <c r="C139" s="158" t="s">
        <v>460</v>
      </c>
      <c r="D139" t="s">
        <v>595</v>
      </c>
      <c r="E139" t="s">
        <v>596</v>
      </c>
      <c r="F139" s="1" t="str">
        <f t="shared" si="2"/>
        <v>PURPOSE: Defines the {field_type} for calculations
ACTION: Enter numerical value in specified unit
NOTE: Required for system calculations. Must be positive value. Used in MFA calculations.</v>
      </c>
      <c r="G139" s="1" t="s">
        <v>798</v>
      </c>
      <c r="H139" s="1" t="s">
        <v>764</v>
      </c>
      <c r="I139" s="1" t="s">
        <v>765</v>
      </c>
    </row>
    <row r="140" spans="1:9" ht="75" hidden="1" x14ac:dyDescent="0.25">
      <c r="A140">
        <v>142</v>
      </c>
      <c r="B140" t="s">
        <v>479</v>
      </c>
      <c r="C140" s="159" t="s">
        <v>460</v>
      </c>
      <c r="D140" t="s">
        <v>595</v>
      </c>
      <c r="E140" t="s">
        <v>596</v>
      </c>
      <c r="F140" s="1" t="str">
        <f t="shared" si="2"/>
        <v>PURPOSE: Defines the {field_type} for calculations
ACTION: Enter numerical value in specified unit
NOTE: Required for system calculations. Must be positive value. Used in MFA calculations.</v>
      </c>
      <c r="G140" s="1" t="s">
        <v>798</v>
      </c>
      <c r="H140" s="1" t="s">
        <v>764</v>
      </c>
      <c r="I140" s="1" t="s">
        <v>765</v>
      </c>
    </row>
    <row r="141" spans="1:9" ht="90" hidden="1" x14ac:dyDescent="0.25">
      <c r="A141">
        <v>108</v>
      </c>
      <c r="B141" s="160" t="s">
        <v>867</v>
      </c>
      <c r="C141" s="159" t="s">
        <v>25</v>
      </c>
      <c r="D141" t="s">
        <v>541</v>
      </c>
      <c r="E141" t="s">
        <v>499</v>
      </c>
      <c r="F141" s="1" t="str">
        <f t="shared" si="2"/>
        <v>PURPOSE: Unique identifier for process
ACTION: Automatically assigned
NOTE: This field is generated automatically. No manual input required. Used for system identification and linking.</v>
      </c>
      <c r="G141" s="1" t="s">
        <v>784</v>
      </c>
      <c r="H141" s="1" t="s">
        <v>708</v>
      </c>
      <c r="I141" s="1" t="s">
        <v>709</v>
      </c>
    </row>
    <row r="142" spans="1:9" ht="75" hidden="1" x14ac:dyDescent="0.25">
      <c r="A142">
        <v>123</v>
      </c>
      <c r="B142" s="160" t="s">
        <v>867</v>
      </c>
      <c r="C142" s="159" t="s">
        <v>184</v>
      </c>
      <c r="D142" t="s">
        <v>541</v>
      </c>
      <c r="E142" t="s">
        <v>597</v>
      </c>
      <c r="F142" s="1" t="str">
        <f t="shared" si="2"/>
        <v>PURPOSE: Data field for Annual_Consumption_Rate in 2_5_Initial_Stock
ACTION: Enter appropriate value for Annual_Consumption_Rate
NOTE: Please refer to BioDYM documentation for specific requirements.</v>
      </c>
      <c r="G142" s="1" t="s">
        <v>822</v>
      </c>
      <c r="H142" s="1" t="s">
        <v>632</v>
      </c>
      <c r="I142" s="1" t="s">
        <v>730</v>
      </c>
    </row>
    <row r="143" spans="1:9" ht="75" hidden="1" x14ac:dyDescent="0.25">
      <c r="A143">
        <v>82</v>
      </c>
      <c r="B143" t="s">
        <v>865</v>
      </c>
      <c r="C143" s="159" t="s">
        <v>411</v>
      </c>
      <c r="D143" t="s">
        <v>541</v>
      </c>
      <c r="E143" t="s">
        <v>499</v>
      </c>
      <c r="F143" s="1" t="str">
        <f t="shared" si="2"/>
        <v>PURPOSE: Defines the Carbon Content Transfer Coefficient for calculations
ACTION: Enter numerical value in specified unit
NOTE: Required for system calculations. Must be positive value. Used in MFA calculations.</v>
      </c>
      <c r="G143" s="1" t="s">
        <v>805</v>
      </c>
      <c r="H143" s="1" t="s">
        <v>764</v>
      </c>
      <c r="I143" s="1" t="s">
        <v>765</v>
      </c>
    </row>
    <row r="144" spans="1:9" ht="75" hidden="1" x14ac:dyDescent="0.25">
      <c r="A144">
        <v>104</v>
      </c>
      <c r="B144" s="160" t="s">
        <v>866</v>
      </c>
      <c r="C144" s="159" t="s">
        <v>411</v>
      </c>
      <c r="D144" t="s">
        <v>541</v>
      </c>
      <c r="E144" t="s">
        <v>499</v>
      </c>
      <c r="F144" s="1" t="str">
        <f t="shared" si="2"/>
        <v>PURPOSE: Defines the Carbon Content Transfer Coefficient for calculations
ACTION: Enter numerical value in specified unit
NOTE: Required for system calculations. Must be positive value. Used in MFA calculations.</v>
      </c>
      <c r="G144" s="1" t="s">
        <v>805</v>
      </c>
      <c r="H144" s="1" t="s">
        <v>764</v>
      </c>
      <c r="I144" s="1" t="s">
        <v>765</v>
      </c>
    </row>
    <row r="145" spans="1:12" ht="90" hidden="1" x14ac:dyDescent="0.25">
      <c r="A145">
        <v>63</v>
      </c>
      <c r="B145" t="s">
        <v>477</v>
      </c>
      <c r="C145" s="159" t="s">
        <v>459</v>
      </c>
      <c r="D145" t="s">
        <v>593</v>
      </c>
      <c r="E145" t="s">
        <v>594</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795</v>
      </c>
      <c r="H145" s="1" t="s">
        <v>796</v>
      </c>
      <c r="I145" s="1" t="s">
        <v>797</v>
      </c>
    </row>
    <row r="146" spans="1:12" ht="75" hidden="1" x14ac:dyDescent="0.25">
      <c r="A146">
        <v>71</v>
      </c>
      <c r="B146" t="s">
        <v>865</v>
      </c>
      <c r="C146" s="159" t="s">
        <v>459</v>
      </c>
      <c r="D146" t="s">
        <v>593</v>
      </c>
      <c r="E146" t="s">
        <v>594</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795</v>
      </c>
      <c r="H146" s="1" t="s">
        <v>796</v>
      </c>
      <c r="I146" s="1" t="s">
        <v>797</v>
      </c>
    </row>
    <row r="147" spans="1:12" ht="75" hidden="1" x14ac:dyDescent="0.25">
      <c r="A147">
        <v>94</v>
      </c>
      <c r="B147" s="160" t="s">
        <v>866</v>
      </c>
      <c r="C147" s="137" t="s">
        <v>459</v>
      </c>
      <c r="D147" t="s">
        <v>593</v>
      </c>
      <c r="E147" t="s">
        <v>594</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789</v>
      </c>
      <c r="H147" s="1" t="s">
        <v>790</v>
      </c>
      <c r="I147" s="1" t="s">
        <v>791</v>
      </c>
    </row>
    <row r="148" spans="1:12" ht="90" hidden="1" x14ac:dyDescent="0.25">
      <c r="A148">
        <v>112</v>
      </c>
      <c r="B148" s="160" t="s">
        <v>867</v>
      </c>
      <c r="C148" s="137" t="s">
        <v>459</v>
      </c>
      <c r="D148" t="s">
        <v>593</v>
      </c>
      <c r="E148" t="s">
        <v>594</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795</v>
      </c>
      <c r="H148" s="1" t="s">
        <v>796</v>
      </c>
      <c r="I148" s="1" t="s">
        <v>797</v>
      </c>
    </row>
    <row r="149" spans="1:12" ht="75" hidden="1" x14ac:dyDescent="0.25">
      <c r="A149">
        <v>128</v>
      </c>
      <c r="B149" t="s">
        <v>478</v>
      </c>
      <c r="C149" s="137" t="s">
        <v>459</v>
      </c>
      <c r="D149" t="s">
        <v>593</v>
      </c>
      <c r="E149" t="s">
        <v>594</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795</v>
      </c>
      <c r="H149" s="1" t="s">
        <v>796</v>
      </c>
      <c r="I149" s="1" t="s">
        <v>797</v>
      </c>
    </row>
    <row r="150" spans="1:12" ht="75" hidden="1" x14ac:dyDescent="0.25">
      <c r="A150">
        <v>141</v>
      </c>
      <c r="B150" t="s">
        <v>479</v>
      </c>
      <c r="C150" s="137" t="s">
        <v>459</v>
      </c>
      <c r="D150" t="s">
        <v>593</v>
      </c>
      <c r="E150" t="s">
        <v>594</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795</v>
      </c>
      <c r="H150" s="1" t="s">
        <v>796</v>
      </c>
      <c r="I150" s="1" t="s">
        <v>797</v>
      </c>
    </row>
    <row r="151" spans="1:12" ht="90" hidden="1" x14ac:dyDescent="0.25">
      <c r="A151">
        <v>80</v>
      </c>
      <c r="B151" t="s">
        <v>865</v>
      </c>
      <c r="C151" s="137" t="s">
        <v>410</v>
      </c>
      <c r="D151" t="s">
        <v>541</v>
      </c>
      <c r="E151" t="s">
        <v>499</v>
      </c>
      <c r="F151" s="1" t="str">
        <f t="shared" si="2"/>
        <v>PURPOSE: Defines the Dry Matter Transfer Coefficient for calculations
ACTION: Enter numerical value in specified unit
NOTE: Required for system calculations. Must be positive value. Used in MFA calculations.</v>
      </c>
      <c r="G151" s="1" t="s">
        <v>804</v>
      </c>
      <c r="H151" s="1" t="s">
        <v>764</v>
      </c>
      <c r="I151" s="1" t="s">
        <v>765</v>
      </c>
    </row>
    <row r="152" spans="1:12" ht="75" hidden="1" x14ac:dyDescent="0.25">
      <c r="A152">
        <v>102</v>
      </c>
      <c r="B152" s="160" t="s">
        <v>866</v>
      </c>
      <c r="C152" s="137" t="s">
        <v>410</v>
      </c>
      <c r="D152" t="s">
        <v>541</v>
      </c>
      <c r="E152" t="s">
        <v>499</v>
      </c>
      <c r="F152" s="1" t="str">
        <f t="shared" si="2"/>
        <v>PURPOSE: Defines the Dry Matter Transfer Coefficient for calculations
ACTION: Enter numerical value in specified unit
NOTE: Required for system calculations. Must be positive value. Used in MFA calculations.</v>
      </c>
      <c r="G152" s="1" t="s">
        <v>804</v>
      </c>
      <c r="H152" s="1" t="s">
        <v>764</v>
      </c>
      <c r="I152" s="1" t="s">
        <v>765</v>
      </c>
    </row>
    <row r="153" spans="1:12" ht="75" hidden="1" x14ac:dyDescent="0.25">
      <c r="A153">
        <v>76</v>
      </c>
      <c r="B153" t="s">
        <v>865</v>
      </c>
      <c r="C153" s="137" t="s">
        <v>408</v>
      </c>
      <c r="D153" t="s">
        <v>600</v>
      </c>
      <c r="E153" t="s">
        <v>499</v>
      </c>
      <c r="F153" s="1" t="str">
        <f t="shared" si="2"/>
        <v>PURPOSE: Defines the Transfer Coefficient Value for calculations
ACTION: Enter numerical value in specified unit
NOTE: Required for system calculations. Must be positive value. Used in MFA calculations.</v>
      </c>
      <c r="G153" s="1" t="s">
        <v>801</v>
      </c>
      <c r="H153" s="1" t="s">
        <v>764</v>
      </c>
      <c r="I153" s="1" t="s">
        <v>765</v>
      </c>
    </row>
    <row r="154" spans="1:12" ht="75" hidden="1" x14ac:dyDescent="0.25">
      <c r="A154">
        <v>98</v>
      </c>
      <c r="B154" s="160" t="s">
        <v>866</v>
      </c>
      <c r="C154" s="137" t="s">
        <v>408</v>
      </c>
      <c r="D154" t="s">
        <v>600</v>
      </c>
      <c r="E154" t="s">
        <v>499</v>
      </c>
      <c r="F154" s="1" t="str">
        <f t="shared" si="2"/>
        <v>PURPOSE: Defines the Transfer Coefficient Value for calculations
ACTION: Enter numerical value in specified unit
NOTE: Required for system calculations. Must be positive value. Used in MFA calculations.</v>
      </c>
      <c r="G154" s="1" t="s">
        <v>801</v>
      </c>
      <c r="H154" s="1" t="s">
        <v>764</v>
      </c>
      <c r="I154" s="1" t="s">
        <v>765</v>
      </c>
    </row>
    <row r="155" spans="1:12" ht="75" hidden="1" x14ac:dyDescent="0.25">
      <c r="A155">
        <v>83</v>
      </c>
      <c r="B155" t="s">
        <v>865</v>
      </c>
      <c r="C155" s="137" t="s">
        <v>401</v>
      </c>
      <c r="D155" t="s">
        <v>607</v>
      </c>
      <c r="E155" t="s">
        <v>608</v>
      </c>
      <c r="F155" s="1" t="str">
        <f t="shared" si="2"/>
        <v>PURPOSE: Data field for Titel in 2_3_static_TCs
ACTION: Enter appropriate value for Titel
NOTE: Please refer to BioDYM documentation for specific requirements.</v>
      </c>
      <c r="G155" s="1" t="s">
        <v>806</v>
      </c>
      <c r="H155" s="1" t="s">
        <v>610</v>
      </c>
      <c r="I155" s="1" t="s">
        <v>730</v>
      </c>
    </row>
    <row r="156" spans="1:12" ht="75" hidden="1" x14ac:dyDescent="0.25">
      <c r="A156">
        <v>105</v>
      </c>
      <c r="B156" s="160" t="s">
        <v>866</v>
      </c>
      <c r="C156" s="137" t="s">
        <v>401</v>
      </c>
      <c r="D156" t="s">
        <v>607</v>
      </c>
      <c r="E156" t="s">
        <v>608</v>
      </c>
      <c r="F156" s="1" t="str">
        <f t="shared" si="2"/>
        <v>PURPOSE: Flag this row as 100% complete for reporting and filtering purposes
ACTION: Click to select
NOTE: This input is optional. Leave blank if the process is ongoing. Used for progress tracking.</v>
      </c>
      <c r="G156" s="1" t="s">
        <v>781</v>
      </c>
      <c r="H156" s="1" t="s">
        <v>782</v>
      </c>
      <c r="I156" s="1" t="s">
        <v>783</v>
      </c>
      <c r="L156" s="162" t="s">
        <v>24</v>
      </c>
    </row>
    <row r="157" spans="1:12" ht="75" hidden="1" x14ac:dyDescent="0.25">
      <c r="A157">
        <v>81</v>
      </c>
      <c r="B157" t="s">
        <v>865</v>
      </c>
      <c r="C157" s="137" t="s">
        <v>400</v>
      </c>
      <c r="D157" t="s">
        <v>605</v>
      </c>
      <c r="E157" t="s">
        <v>606</v>
      </c>
      <c r="F157" s="1" t="str">
        <f t="shared" si="2"/>
        <v>PURPOSE: Unique identifier for {context}
ACTION: Automatically assigned
NOTE: This field is generated automatically. No manual input required. Used for system identification and linking.</v>
      </c>
      <c r="G157" s="1" t="s">
        <v>802</v>
      </c>
      <c r="H157" s="1" t="s">
        <v>708</v>
      </c>
      <c r="I157" s="1" t="s">
        <v>709</v>
      </c>
      <c r="L157" s="137" t="s">
        <v>7</v>
      </c>
    </row>
    <row r="158" spans="1:12" ht="75" hidden="1" x14ac:dyDescent="0.25">
      <c r="A158">
        <v>103</v>
      </c>
      <c r="B158" s="160" t="s">
        <v>866</v>
      </c>
      <c r="C158" s="137" t="s">
        <v>400</v>
      </c>
      <c r="D158" t="s">
        <v>605</v>
      </c>
      <c r="E158" t="s">
        <v>606</v>
      </c>
      <c r="F158" s="1" t="str">
        <f t="shared" si="2"/>
        <v>PURPOSE: Unique identifier for {context}
ACTION: Automatically assigned
NOTE: This field is generated automatically. No manual input required. Used for system identification and linking.</v>
      </c>
      <c r="G158" s="1" t="s">
        <v>802</v>
      </c>
      <c r="H158" s="1" t="s">
        <v>708</v>
      </c>
      <c r="I158" s="1" t="s">
        <v>709</v>
      </c>
      <c r="L158" s="137" t="s">
        <v>23</v>
      </c>
    </row>
    <row r="159" spans="1:12" ht="75" hidden="1" x14ac:dyDescent="0.25">
      <c r="A159">
        <v>77</v>
      </c>
      <c r="B159" t="s">
        <v>865</v>
      </c>
      <c r="C159" s="137" t="s">
        <v>404</v>
      </c>
      <c r="D159" t="s">
        <v>601</v>
      </c>
      <c r="E159" t="s">
        <v>602</v>
      </c>
      <c r="F159" s="1" t="str">
        <f t="shared" si="2"/>
        <v>PURPOSE: Unique identifier for {context}
ACTION: Automatically assigned
NOTE: This field is generated automatically. No manual input required. Used for system identification and linking.</v>
      </c>
      <c r="G159" s="1" t="s">
        <v>802</v>
      </c>
      <c r="H159" s="1" t="s">
        <v>708</v>
      </c>
      <c r="I159" s="1" t="s">
        <v>709</v>
      </c>
      <c r="L159" s="137" t="s">
        <v>26</v>
      </c>
    </row>
    <row r="160" spans="1:12" ht="75" hidden="1" x14ac:dyDescent="0.25">
      <c r="A160">
        <v>99</v>
      </c>
      <c r="B160" s="160" t="s">
        <v>866</v>
      </c>
      <c r="C160" s="137" t="s">
        <v>404</v>
      </c>
      <c r="D160" t="s">
        <v>601</v>
      </c>
      <c r="E160" t="s">
        <v>602</v>
      </c>
      <c r="F160" s="1" t="str">
        <f t="shared" si="2"/>
        <v>PURPOSE: Unique identifier for {context}
ACTION: Automatically assigned
NOTE: This field is generated automatically. No manual input required. Used for system identification and linking.</v>
      </c>
      <c r="G160" s="1" t="s">
        <v>802</v>
      </c>
      <c r="H160" s="1" t="s">
        <v>708</v>
      </c>
      <c r="I160" s="1" t="s">
        <v>709</v>
      </c>
      <c r="L160" s="137" t="s">
        <v>367</v>
      </c>
    </row>
    <row r="161" spans="1:12" ht="90" hidden="1" x14ac:dyDescent="0.25">
      <c r="A161">
        <v>79</v>
      </c>
      <c r="B161" t="s">
        <v>865</v>
      </c>
      <c r="C161" s="137" t="s">
        <v>399</v>
      </c>
      <c r="D161" t="s">
        <v>603</v>
      </c>
      <c r="E161" t="s">
        <v>604</v>
      </c>
      <c r="F161" s="1" t="str">
        <f t="shared" si="2"/>
        <v>PURPOSE: Unique identifier for {context}
ACTION: Automatically assigned
NOTE: This field is generated automatically. No manual input required. Used for system identification and linking.</v>
      </c>
      <c r="G161" s="1" t="s">
        <v>802</v>
      </c>
      <c r="H161" s="1" t="s">
        <v>708</v>
      </c>
      <c r="I161" s="1" t="s">
        <v>709</v>
      </c>
      <c r="L161" s="137" t="s">
        <v>251</v>
      </c>
    </row>
    <row r="162" spans="1:12" ht="75" hidden="1" x14ac:dyDescent="0.25">
      <c r="A162">
        <v>101</v>
      </c>
      <c r="B162" s="160" t="s">
        <v>866</v>
      </c>
      <c r="C162" s="137" t="s">
        <v>399</v>
      </c>
      <c r="D162" t="s">
        <v>603</v>
      </c>
      <c r="E162" t="s">
        <v>604</v>
      </c>
      <c r="F162" s="1" t="str">
        <f t="shared" si="2"/>
        <v>PURPOSE: Unique identifier for {context}
ACTION: Automatically assigned
NOTE: This field is generated automatically. No manual input required. Used for system identification and linking.</v>
      </c>
      <c r="G162" s="1" t="s">
        <v>802</v>
      </c>
      <c r="H162" s="1" t="s">
        <v>708</v>
      </c>
      <c r="I162" s="1" t="s">
        <v>709</v>
      </c>
      <c r="L162" s="137" t="s">
        <v>252</v>
      </c>
    </row>
    <row r="163" spans="1:12" ht="75" hidden="1" x14ac:dyDescent="0.25">
      <c r="A163">
        <v>78</v>
      </c>
      <c r="B163" t="s">
        <v>865</v>
      </c>
      <c r="C163" s="137" t="s">
        <v>409</v>
      </c>
      <c r="D163" t="s">
        <v>541</v>
      </c>
      <c r="E163" t="s">
        <v>499</v>
      </c>
      <c r="F163" s="1" t="str">
        <f t="shared" si="2"/>
        <v>PURPOSE: Defines the Water Content Transfer Coefficient for calculations
ACTION: Enter numerical value in specified unit
NOTE: Required for system calculations. Must be positive value. Used in MFA calculations.</v>
      </c>
      <c r="G163" s="1" t="s">
        <v>803</v>
      </c>
      <c r="H163" s="1" t="s">
        <v>764</v>
      </c>
      <c r="I163" s="1" t="s">
        <v>765</v>
      </c>
      <c r="L163" s="137" t="s">
        <v>387</v>
      </c>
    </row>
    <row r="164" spans="1:12" ht="75" hidden="1" x14ac:dyDescent="0.25">
      <c r="A164">
        <v>100</v>
      </c>
      <c r="B164" s="160" t="s">
        <v>866</v>
      </c>
      <c r="C164" s="137" t="s">
        <v>409</v>
      </c>
      <c r="D164" t="s">
        <v>541</v>
      </c>
      <c r="E164" t="s">
        <v>499</v>
      </c>
      <c r="F164" s="1" t="str">
        <f t="shared" si="2"/>
        <v>PURPOSE: Defines the Water Content Transfer Coefficient for calculations
ACTION: Enter numerical value in specified unit
NOTE: Required for system calculations. Must be positive value. Used in MFA calculations.</v>
      </c>
      <c r="G164" s="1" t="s">
        <v>803</v>
      </c>
      <c r="H164" s="1" t="s">
        <v>764</v>
      </c>
      <c r="I164" s="1" t="s">
        <v>765</v>
      </c>
      <c r="L164" s="137" t="s">
        <v>388</v>
      </c>
    </row>
    <row r="165" spans="1:12" ht="75" hidden="1" x14ac:dyDescent="0.25">
      <c r="A165">
        <v>84</v>
      </c>
      <c r="B165" t="s">
        <v>865</v>
      </c>
      <c r="C165" s="137" t="s">
        <v>10</v>
      </c>
      <c r="D165" t="s">
        <v>609</v>
      </c>
      <c r="E165" t="s">
        <v>610</v>
      </c>
      <c r="F165" s="1" t="str">
        <f t="shared" si="2"/>
        <v>PURPOSE: Data field for Year_publication in 2_3_static_TCs
ACTION: Enter appropriate value for Year_publication
NOTE: Please refer to BioDYM documentation for specific requirements.</v>
      </c>
      <c r="G165" s="1" t="s">
        <v>807</v>
      </c>
      <c r="H165" s="1" t="s">
        <v>612</v>
      </c>
      <c r="I165" s="1" t="s">
        <v>730</v>
      </c>
      <c r="L165" s="137" t="s">
        <v>389</v>
      </c>
    </row>
    <row r="166" spans="1:12" ht="75" hidden="1" x14ac:dyDescent="0.25">
      <c r="A166">
        <v>34</v>
      </c>
      <c r="B166" t="s">
        <v>476</v>
      </c>
      <c r="C166" s="137" t="s">
        <v>14</v>
      </c>
      <c r="D166" t="s">
        <v>539</v>
      </c>
      <c r="E166" t="s">
        <v>540</v>
      </c>
      <c r="F166" s="1" t="str">
        <f t="shared" si="2"/>
        <v>PURPOSE: Defines the {field_type} for temporal data organization
ACTION: Enter year (e.g., 2020, 2021, 2022)
NOTE: Must be consistent with analysis time period. Used for time-series data organization.</v>
      </c>
      <c r="G166" s="1" t="s">
        <v>751</v>
      </c>
      <c r="H166" s="1" t="s">
        <v>744</v>
      </c>
      <c r="I166" s="1" t="s">
        <v>745</v>
      </c>
      <c r="L166" s="137" t="s">
        <v>392</v>
      </c>
    </row>
    <row r="167" spans="1:12" ht="75" hidden="1" x14ac:dyDescent="0.25">
      <c r="A167">
        <v>87</v>
      </c>
      <c r="B167" t="s">
        <v>865</v>
      </c>
      <c r="C167" s="137" t="s">
        <v>467</v>
      </c>
      <c r="D167" t="s">
        <v>615</v>
      </c>
      <c r="E167" t="s">
        <v>616</v>
      </c>
      <c r="F167" s="1" t="str">
        <f t="shared" si="2"/>
        <v>PURPOSE: Data field for URL in 2_3_static_TCs
ACTION: Enter appropriate value for URL
NOTE: Please refer to BioDYM documentation for specific requirements.</v>
      </c>
      <c r="G167" s="1" t="s">
        <v>810</v>
      </c>
      <c r="H167" s="1" t="s">
        <v>548</v>
      </c>
      <c r="I167" s="1" t="s">
        <v>730</v>
      </c>
      <c r="L167" s="137" t="s">
        <v>390</v>
      </c>
    </row>
    <row r="168" spans="1:12" ht="75" hidden="1" x14ac:dyDescent="0.25">
      <c r="A168">
        <v>37</v>
      </c>
      <c r="B168" t="s">
        <v>476</v>
      </c>
      <c r="C168" s="137" t="s">
        <v>17</v>
      </c>
      <c r="D168" t="s">
        <v>545</v>
      </c>
      <c r="E168" t="s">
        <v>546</v>
      </c>
      <c r="F168" s="1" t="str">
        <f t="shared" si="2"/>
        <v>PURPOSE: Data field for URL in 1_2_Data_Flows
ACTION: Enter appropriate value for URL
NOTE: Please refer to BioDYM documentation for specific requirements.</v>
      </c>
      <c r="G168" s="1" t="s">
        <v>758</v>
      </c>
      <c r="H168" s="1" t="s">
        <v>548</v>
      </c>
      <c r="I168" s="1" t="s">
        <v>730</v>
      </c>
      <c r="L168" s="137" t="s">
        <v>393</v>
      </c>
    </row>
    <row r="169" spans="1:12" ht="75" hidden="1" x14ac:dyDescent="0.25">
      <c r="A169">
        <v>115</v>
      </c>
      <c r="B169" s="160" t="s">
        <v>867</v>
      </c>
      <c r="C169" s="137" t="s">
        <v>1</v>
      </c>
      <c r="D169" t="s">
        <v>621</v>
      </c>
      <c r="E169" t="s">
        <v>622</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767</v>
      </c>
      <c r="H169" s="1" t="s">
        <v>738</v>
      </c>
      <c r="I169" s="1" t="s">
        <v>815</v>
      </c>
      <c r="L169" s="137" t="s">
        <v>391</v>
      </c>
    </row>
    <row r="170" spans="1:12" ht="75" hidden="1" x14ac:dyDescent="0.25">
      <c r="A170">
        <v>56</v>
      </c>
      <c r="B170" t="s">
        <v>476</v>
      </c>
      <c r="C170" s="137" t="s">
        <v>36</v>
      </c>
      <c r="D170" t="s">
        <v>582</v>
      </c>
      <c r="E170" t="s">
        <v>583</v>
      </c>
      <c r="F170" s="1" t="str">
        <f t="shared" si="2"/>
        <v>PURPOSE: Flag this row as 100% complete for reporting and filtering purposes
ACTION: Click to select
NOTE: This input is optional. Leave blank if the process is ongoing. Used for progress tracking.</v>
      </c>
      <c r="G170" s="1" t="s">
        <v>781</v>
      </c>
      <c r="H170" s="1" t="s">
        <v>782</v>
      </c>
      <c r="I170" s="1" t="s">
        <v>783</v>
      </c>
      <c r="L170" s="137" t="s">
        <v>394</v>
      </c>
    </row>
    <row r="171" spans="1:12" ht="75" hidden="1" x14ac:dyDescent="0.25">
      <c r="A171">
        <v>52</v>
      </c>
      <c r="B171" t="s">
        <v>476</v>
      </c>
      <c r="C171" s="137" t="s">
        <v>37</v>
      </c>
      <c r="D171" t="s">
        <v>575</v>
      </c>
      <c r="E171" t="s">
        <v>576</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737</v>
      </c>
      <c r="H171" s="1" t="s">
        <v>738</v>
      </c>
      <c r="I171" s="1" t="s">
        <v>777</v>
      </c>
      <c r="L171" s="137" t="s">
        <v>4</v>
      </c>
    </row>
    <row r="172" spans="1:12" ht="90" hidden="1" x14ac:dyDescent="0.25">
      <c r="A172">
        <v>44</v>
      </c>
      <c r="B172" t="s">
        <v>476</v>
      </c>
      <c r="C172" s="162" t="s">
        <v>22</v>
      </c>
      <c r="D172" t="s">
        <v>559</v>
      </c>
      <c r="E172" t="s">
        <v>560</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767</v>
      </c>
      <c r="H172" s="1" t="s">
        <v>738</v>
      </c>
      <c r="I172" s="1" t="s">
        <v>768</v>
      </c>
    </row>
    <row r="173" spans="1:12" ht="90" hidden="1" x14ac:dyDescent="0.25">
      <c r="A173">
        <v>31</v>
      </c>
      <c r="B173" t="s">
        <v>476</v>
      </c>
      <c r="C173" s="137" t="s">
        <v>21</v>
      </c>
      <c r="D173" t="s">
        <v>533</v>
      </c>
      <c r="E173" t="s">
        <v>534</v>
      </c>
      <c r="F173" s="1" t="str">
        <f t="shared" si="2"/>
        <v>PURPOSE: Data field for Name_Source in 1_2_Data_Flows
ACTION: Enter appropriate value for Name_Source
NOTE: Please refer to BioDYM documentation for specific requirements.</v>
      </c>
      <c r="G173" s="1" t="s">
        <v>748</v>
      </c>
      <c r="H173" s="1" t="s">
        <v>536</v>
      </c>
      <c r="I173" s="1" t="s">
        <v>730</v>
      </c>
    </row>
    <row r="174" spans="1:12" ht="75" hidden="1" x14ac:dyDescent="0.25">
      <c r="A174">
        <v>48</v>
      </c>
      <c r="B174" t="s">
        <v>476</v>
      </c>
      <c r="C174" s="137" t="s">
        <v>38</v>
      </c>
      <c r="D174" t="s">
        <v>567</v>
      </c>
      <c r="E174" t="s">
        <v>568</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772</v>
      </c>
      <c r="H174" s="1" t="s">
        <v>738</v>
      </c>
      <c r="I174" s="1" t="s">
        <v>773</v>
      </c>
    </row>
    <row r="175" spans="1:12" ht="75" hidden="1" x14ac:dyDescent="0.25">
      <c r="A175">
        <v>38</v>
      </c>
      <c r="B175" t="s">
        <v>476</v>
      </c>
      <c r="C175" s="137" t="s">
        <v>3</v>
      </c>
      <c r="D175" t="s">
        <v>547</v>
      </c>
      <c r="E175" t="s">
        <v>548</v>
      </c>
      <c r="F175" s="1" t="str">
        <f t="shared" si="2"/>
        <v>PURPOSE: Data field for CF_required? in 1_2_Data_Flows
ACTION: Enter appropriate value for CF_required?
NOTE: Please refer to BioDYM documentation for specific requirements.</v>
      </c>
      <c r="G175" s="1" t="s">
        <v>759</v>
      </c>
      <c r="H175" s="1" t="s">
        <v>550</v>
      </c>
      <c r="I175" s="1" t="s">
        <v>730</v>
      </c>
    </row>
    <row r="176" spans="1:12" ht="75" hidden="1" x14ac:dyDescent="0.25">
      <c r="A176">
        <v>88</v>
      </c>
      <c r="B176" t="s">
        <v>865</v>
      </c>
      <c r="C176" s="137" t="s">
        <v>3</v>
      </c>
      <c r="D176" t="s">
        <v>547</v>
      </c>
      <c r="E176" t="s">
        <v>548</v>
      </c>
      <c r="F176" s="1" t="str">
        <f t="shared" si="2"/>
        <v>PURPOSE: Flag this row as 100% complete for reporting and filtering purposes
ACTION: Click to select
NOTE: This input is optional. Leave blank if the process is ongoing. Used for progress tracking.</v>
      </c>
      <c r="G176" s="1" t="s">
        <v>781</v>
      </c>
      <c r="H176" s="1" t="s">
        <v>782</v>
      </c>
      <c r="I176" s="1" t="s">
        <v>783</v>
      </c>
    </row>
    <row r="177" spans="1:11" ht="75" hidden="1" x14ac:dyDescent="0.25">
      <c r="A177">
        <v>148</v>
      </c>
      <c r="B177" t="s">
        <v>479</v>
      </c>
      <c r="C177" s="137" t="s">
        <v>166</v>
      </c>
      <c r="D177" t="s">
        <v>649</v>
      </c>
      <c r="E177" t="s">
        <v>650</v>
      </c>
      <c r="F177" s="1" t="str">
        <f t="shared" si="2"/>
        <v>PURPOSE: Unique identifier for data row
ACTION: Automatically assigned
NOTE: This field is generated automatically. No manual input required. Used for system identification and linking.</v>
      </c>
      <c r="G177" s="1" t="s">
        <v>707</v>
      </c>
      <c r="H177" s="1" t="s">
        <v>708</v>
      </c>
      <c r="I177" s="1" t="s">
        <v>709</v>
      </c>
    </row>
    <row r="178" spans="1:11" ht="75" x14ac:dyDescent="0.25">
      <c r="A178">
        <v>21</v>
      </c>
      <c r="B178" t="s">
        <v>468</v>
      </c>
      <c r="C178" s="137" t="s">
        <v>90</v>
      </c>
      <c r="D178" t="s">
        <v>525</v>
      </c>
      <c r="E178" t="s">
        <v>526</v>
      </c>
      <c r="F178" s="1" t="str">
        <f t="shared" si="2"/>
        <v>PURPOSE: Data field for CC_FM_source in 1_1_Definition_Flows
ACTION: Enter appropriate value for CC_FM_source
NOTE: Please refer to BioDYM documentation for specific requirements.</v>
      </c>
      <c r="G178" s="1" t="s">
        <v>742</v>
      </c>
      <c r="H178" s="1" t="s">
        <v>528</v>
      </c>
      <c r="I178" s="1" t="s">
        <v>730</v>
      </c>
    </row>
    <row r="179" spans="1:11" ht="90" hidden="1" x14ac:dyDescent="0.25">
      <c r="A179">
        <v>26</v>
      </c>
      <c r="B179" t="s">
        <v>476</v>
      </c>
      <c r="C179" s="137" t="s">
        <v>27</v>
      </c>
      <c r="D179" t="s">
        <v>503</v>
      </c>
      <c r="E179" t="s">
        <v>504</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723</v>
      </c>
      <c r="H179" s="1" t="s">
        <v>724</v>
      </c>
      <c r="I179" s="1" t="s">
        <v>725</v>
      </c>
    </row>
    <row r="180" spans="1:11" ht="75" hidden="1" x14ac:dyDescent="0.25">
      <c r="A180">
        <v>45</v>
      </c>
      <c r="B180" t="s">
        <v>476</v>
      </c>
      <c r="C180" s="137" t="s">
        <v>30</v>
      </c>
      <c r="D180" t="s">
        <v>561</v>
      </c>
      <c r="E180" t="s">
        <v>562</v>
      </c>
      <c r="F180" s="1" t="str">
        <f t="shared" si="2"/>
        <v>PURPOSE: Data field for Flow_WC_year_ID in 1_2_Data_Flows
ACTION: Enter appropriate value for Flow_WC_year_ID
NOTE: Please refer to BioDYM documentation for specific requirements.</v>
      </c>
      <c r="G180" s="1" t="s">
        <v>769</v>
      </c>
      <c r="H180" s="1" t="s">
        <v>564</v>
      </c>
      <c r="I180" s="1" t="s">
        <v>730</v>
      </c>
    </row>
    <row r="181" spans="1:11" ht="75" hidden="1" x14ac:dyDescent="0.25">
      <c r="A181">
        <v>47</v>
      </c>
      <c r="B181" t="s">
        <v>476</v>
      </c>
      <c r="C181" s="137" t="s">
        <v>35</v>
      </c>
      <c r="D181" t="s">
        <v>565</v>
      </c>
      <c r="E181" t="s">
        <v>566</v>
      </c>
      <c r="F181" s="1" t="str">
        <f t="shared" si="2"/>
        <v>PURPOSE: Data field for UoM_WC_Flow_Py in 1_2_Data_Flows
ACTION: Enter appropriate value for UoM_WC_Flow_Py
NOTE: Please refer to BioDYM documentation for specific requirements.</v>
      </c>
      <c r="G181" s="1" t="s">
        <v>771</v>
      </c>
      <c r="H181" s="1" t="s">
        <v>568</v>
      </c>
      <c r="I181" s="1" t="s">
        <v>730</v>
      </c>
    </row>
    <row r="182" spans="1:11" ht="90" x14ac:dyDescent="0.25">
      <c r="A182">
        <v>22</v>
      </c>
      <c r="B182" t="s">
        <v>468</v>
      </c>
      <c r="C182" s="137" t="s">
        <v>49</v>
      </c>
      <c r="D182" t="s">
        <v>527</v>
      </c>
      <c r="E182" t="s">
        <v>528</v>
      </c>
      <c r="F182" s="1" t="str">
        <f t="shared" si="2"/>
        <v>PURPOSE: Unique identifier for data row
ACTION: Automatically assigned
NOTE: This field is generated automatically. No manual input required. Used for system identification and linking.</v>
      </c>
      <c r="G182" s="1" t="s">
        <v>707</v>
      </c>
      <c r="H182" s="1" t="s">
        <v>708</v>
      </c>
      <c r="I182" s="1" t="s">
        <v>709</v>
      </c>
    </row>
    <row r="183" spans="1:11" ht="90" hidden="1" x14ac:dyDescent="0.25">
      <c r="A183">
        <v>178</v>
      </c>
      <c r="B183" t="s">
        <v>487</v>
      </c>
      <c r="C183" s="137" t="s">
        <v>391</v>
      </c>
      <c r="D183" t="s">
        <v>498</v>
      </c>
      <c r="E183" t="s">
        <v>499</v>
      </c>
      <c r="F183" s="1" t="str">
        <f t="shared" si="2"/>
        <v>PURPOSE: Unique identifier for material flow
ACTION: Automatically assigned
NOTE: This field is generated automatically. No manual input required. Used for system identification and linking.</v>
      </c>
      <c r="G183" s="1" t="s">
        <v>710</v>
      </c>
      <c r="H183" s="1" t="s">
        <v>708</v>
      </c>
      <c r="I183" s="1" t="s">
        <v>709</v>
      </c>
    </row>
    <row r="184" spans="1:11" ht="75" hidden="1" x14ac:dyDescent="0.25">
      <c r="A184">
        <v>178</v>
      </c>
      <c r="B184" t="s">
        <v>487</v>
      </c>
      <c r="C184" s="137" t="s">
        <v>390</v>
      </c>
      <c r="D184" t="s">
        <v>500</v>
      </c>
      <c r="E184" t="s">
        <v>499</v>
      </c>
      <c r="F184" s="1" t="str">
        <f t="shared" si="2"/>
        <v>PURPOSE: Data field for Name(EN) in 6_2_Visualization_Flows
ACTION: Enter appropriate value for Name(EN)
NOTE: Please refer to BioDYM documentation for specific requirements.</v>
      </c>
      <c r="G184" s="1" t="s">
        <v>862</v>
      </c>
      <c r="H184" s="1" t="s">
        <v>680</v>
      </c>
      <c r="I184" s="1" t="s">
        <v>730</v>
      </c>
    </row>
    <row r="185" spans="1:11" ht="75" hidden="1" x14ac:dyDescent="0.25">
      <c r="A185">
        <v>176</v>
      </c>
      <c r="B185" t="s">
        <v>487</v>
      </c>
      <c r="C185" s="137" t="s">
        <v>387</v>
      </c>
      <c r="D185" t="s">
        <v>687</v>
      </c>
      <c r="E185" t="s">
        <v>688</v>
      </c>
      <c r="F185" s="1" t="str">
        <f t="shared" si="2"/>
        <v>PURPOSE: Data field for Y_Position_Material in 6_1_Visualization_Processes
ACTION: Enter appropriate value for Y_Position_Material
NOTE: Please refer to BioDYM documentation for specific requirements.</v>
      </c>
      <c r="G185" s="1" t="s">
        <v>855</v>
      </c>
      <c r="H185" s="1" t="s">
        <v>690</v>
      </c>
      <c r="I185" s="1" t="s">
        <v>730</v>
      </c>
    </row>
    <row r="186" spans="1:11" ht="105" hidden="1" x14ac:dyDescent="0.25">
      <c r="A186">
        <v>178</v>
      </c>
      <c r="B186" t="s">
        <v>487</v>
      </c>
      <c r="C186" s="137" t="s">
        <v>389</v>
      </c>
      <c r="D186" t="s">
        <v>679</v>
      </c>
      <c r="E186" t="s">
        <v>680</v>
      </c>
      <c r="F186" s="1" t="str">
        <f t="shared" si="2"/>
        <v>PURPOSE: Data field for Flow_Color in 6_2_Visualization_Flows
ACTION: Enter appropriate value for Flow_Color
NOTE: Please refer to BioDYM documentation for specific requirements.</v>
      </c>
      <c r="G186" s="1" t="s">
        <v>863</v>
      </c>
      <c r="H186" s="1" t="s">
        <v>704</v>
      </c>
      <c r="I186" s="1" t="s">
        <v>730</v>
      </c>
      <c r="K186" s="137"/>
    </row>
    <row r="187" spans="1:11" ht="90" hidden="1" x14ac:dyDescent="0.25">
      <c r="A187">
        <v>178</v>
      </c>
      <c r="B187" t="s">
        <v>487</v>
      </c>
      <c r="C187" s="137" t="s">
        <v>394</v>
      </c>
      <c r="D187" t="s">
        <v>703</v>
      </c>
      <c r="E187" t="s">
        <v>704</v>
      </c>
      <c r="F187" s="1" t="str">
        <f t="shared" si="2"/>
        <v>PURPOSE: Data field for Flow_Color_# in 6_2_Visualization_Flows
ACTION: Enter appropriate value for Flow_Color_#
NOTE: Please refer to BioDYM documentation for specific requirements.</v>
      </c>
      <c r="G187" s="1" t="s">
        <v>864</v>
      </c>
      <c r="H187" s="1" t="s">
        <v>706</v>
      </c>
      <c r="I187" s="1" t="s">
        <v>730</v>
      </c>
      <c r="K187" s="137"/>
    </row>
    <row r="188" spans="1:11" ht="90" hidden="1" x14ac:dyDescent="0.25">
      <c r="A188">
        <v>178</v>
      </c>
      <c r="B188" t="s">
        <v>487</v>
      </c>
      <c r="C188" s="137" t="s">
        <v>393</v>
      </c>
      <c r="D188" t="s">
        <v>705</v>
      </c>
      <c r="E188" t="s">
        <v>706</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787</v>
      </c>
      <c r="H188" s="1" t="s">
        <v>788</v>
      </c>
      <c r="I188" s="1" t="s">
        <v>713</v>
      </c>
      <c r="K188" s="137"/>
    </row>
    <row r="189" spans="1:11" ht="75" hidden="1" x14ac:dyDescent="0.25">
      <c r="A189">
        <v>177</v>
      </c>
      <c r="B189" t="s">
        <v>487</v>
      </c>
      <c r="C189" s="137" t="s">
        <v>388</v>
      </c>
      <c r="D189" t="s">
        <v>689</v>
      </c>
      <c r="E189" t="s">
        <v>690</v>
      </c>
      <c r="F189" s="1" t="str">
        <f t="shared" si="2"/>
        <v>PURPOSE: Data field for X_Position_WC in 6_1_Visualization_Processes
ACTION: Enter appropriate value for X_Position_WC
NOTE: Please refer to BioDYM documentation for specific requirements.</v>
      </c>
      <c r="G189" s="1" t="s">
        <v>856</v>
      </c>
      <c r="H189" s="1" t="s">
        <v>692</v>
      </c>
      <c r="I189" s="1" t="s">
        <v>730</v>
      </c>
      <c r="K189" s="137"/>
    </row>
    <row r="190" spans="1:11" ht="75" hidden="1" x14ac:dyDescent="0.25">
      <c r="A190">
        <v>178</v>
      </c>
      <c r="B190" t="s">
        <v>487</v>
      </c>
      <c r="C190" s="137" t="s">
        <v>392</v>
      </c>
      <c r="D190" t="s">
        <v>589</v>
      </c>
      <c r="E190" t="s">
        <v>590</v>
      </c>
      <c r="F190" s="1" t="str">
        <f t="shared" si="2"/>
        <v xml:space="preserve">PURPOSE: 
ACTION: 
NOTE: </v>
      </c>
      <c r="K190" s="137"/>
    </row>
    <row r="191" spans="1:11" ht="75" hidden="1" x14ac:dyDescent="0.25">
      <c r="A191">
        <v>97</v>
      </c>
      <c r="B191" s="160" t="s">
        <v>866</v>
      </c>
      <c r="C191" s="137" t="s">
        <v>0</v>
      </c>
      <c r="D191" t="s">
        <v>617</v>
      </c>
      <c r="E191" t="s">
        <v>618</v>
      </c>
      <c r="F191" s="1" t="str">
        <f t="shared" si="2"/>
        <v>PURPOSE: Unique identifier for transfer coefficient material
ACTION: Automatically assigned
NOTE: This field is generated automatically. No manual input required. Used for system identification and linking.</v>
      </c>
      <c r="G191" s="1" t="s">
        <v>800</v>
      </c>
      <c r="H191" s="1" t="s">
        <v>708</v>
      </c>
      <c r="I191" s="1" t="s">
        <v>709</v>
      </c>
      <c r="K191" s="137"/>
    </row>
    <row r="192" spans="1:11" ht="105" hidden="1" x14ac:dyDescent="0.25">
      <c r="A192">
        <v>85</v>
      </c>
      <c r="B192" t="s">
        <v>865</v>
      </c>
      <c r="C192" s="137" t="s">
        <v>466</v>
      </c>
      <c r="D192" t="s">
        <v>611</v>
      </c>
      <c r="E192" t="s">
        <v>612</v>
      </c>
      <c r="F192" s="1" t="str">
        <f t="shared" si="2"/>
        <v>PURPOSE: Data field for Author in 2_3_static_TCs
ACTION: Enter appropriate value for Author
NOTE: Please refer to BioDYM documentation for specific requirements.</v>
      </c>
      <c r="G192" s="1" t="s">
        <v>808</v>
      </c>
      <c r="H192" s="1" t="s">
        <v>614</v>
      </c>
      <c r="I192" s="1" t="s">
        <v>730</v>
      </c>
    </row>
    <row r="193" spans="1:9" ht="75" hidden="1" x14ac:dyDescent="0.25">
      <c r="A193">
        <v>35</v>
      </c>
      <c r="B193" t="s">
        <v>476</v>
      </c>
      <c r="C193" s="137" t="s">
        <v>15</v>
      </c>
      <c r="D193" t="s">
        <v>541</v>
      </c>
      <c r="E193" t="s">
        <v>542</v>
      </c>
      <c r="F193" s="1" t="str">
        <f t="shared" si="2"/>
        <v>PURPOSE: Defines the Data Source Author for data traceability
ACTION: Enter author or organization information
NOTE: Required for data quality assessment and traceability. Include author, publication, or data source.</v>
      </c>
      <c r="G193" s="1" t="s">
        <v>752</v>
      </c>
      <c r="H193" s="1" t="s">
        <v>753</v>
      </c>
      <c r="I193" s="1" t="s">
        <v>754</v>
      </c>
    </row>
    <row r="194" spans="1:9" ht="75" hidden="1" x14ac:dyDescent="0.25">
      <c r="C194" s="137"/>
      <c r="F194" s="1" t="str">
        <f t="shared" si="2"/>
        <v xml:space="preserve">PURPOSE: 
ACTION: 
NOTE: </v>
      </c>
    </row>
    <row r="195" spans="1:9" ht="75" hidden="1" x14ac:dyDescent="0.25">
      <c r="C195" s="137"/>
      <c r="F195" s="1" t="str">
        <f t="shared" si="2"/>
        <v xml:space="preserve">PURPOSE: 
ACTION: 
NOTE: </v>
      </c>
    </row>
    <row r="196" spans="1:9" ht="75" hidden="1" x14ac:dyDescent="0.25">
      <c r="C196" s="137"/>
      <c r="F196" s="1" t="str">
        <f t="shared" ref="F196:F217" si="3">"PURPOSE: "&amp;G196&amp;CHAR(10)&amp;CHAR(10)&amp;"ACTION: "&amp;H196&amp;CHAR(10)&amp;CHAR(10)&amp;"NOTE: "&amp;I196</f>
        <v xml:space="preserve">PURPOSE: 
ACTION: 
NOTE: </v>
      </c>
    </row>
    <row r="197" spans="1:9" ht="75" hidden="1" x14ac:dyDescent="0.25">
      <c r="C197" s="137"/>
      <c r="F197" s="1" t="str">
        <f t="shared" si="3"/>
        <v xml:space="preserve">PURPOSE: 
ACTION: 
NOTE: </v>
      </c>
    </row>
    <row r="198" spans="1:9" ht="75" hidden="1" x14ac:dyDescent="0.25">
      <c r="C198" s="137"/>
      <c r="F198" s="1" t="str">
        <f t="shared" si="3"/>
        <v xml:space="preserve">PURPOSE: 
ACTION: 
NOTE: </v>
      </c>
    </row>
    <row r="199" spans="1:9" ht="75" hidden="1" x14ac:dyDescent="0.25">
      <c r="C199" s="137"/>
      <c r="F199" s="1" t="str">
        <f t="shared" si="3"/>
        <v xml:space="preserve">PURPOSE: 
ACTION: 
NOTE: </v>
      </c>
    </row>
    <row r="200" spans="1:9" ht="75" hidden="1" x14ac:dyDescent="0.25">
      <c r="C200" s="137"/>
      <c r="F200" s="1" t="str">
        <f t="shared" si="3"/>
        <v xml:space="preserve">PURPOSE: 
ACTION: 
NOTE: </v>
      </c>
    </row>
    <row r="201" spans="1:9" ht="75" hidden="1" x14ac:dyDescent="0.25">
      <c r="C201" s="137"/>
      <c r="F201" s="1" t="str">
        <f t="shared" si="3"/>
        <v xml:space="preserve">PURPOSE: 
ACTION: 
NOTE: </v>
      </c>
    </row>
    <row r="202" spans="1:9" ht="75" hidden="1" x14ac:dyDescent="0.25">
      <c r="C202" s="137"/>
      <c r="F202" s="1" t="str">
        <f t="shared" si="3"/>
        <v xml:space="preserve">PURPOSE: 
ACTION: 
NOTE: </v>
      </c>
    </row>
    <row r="203" spans="1:9" ht="75" hidden="1" x14ac:dyDescent="0.25">
      <c r="C203" s="137"/>
      <c r="F203" s="1" t="str">
        <f t="shared" si="3"/>
        <v xml:space="preserve">PURPOSE: 
ACTION: 
NOTE: </v>
      </c>
    </row>
    <row r="204" spans="1:9" ht="75" hidden="1" x14ac:dyDescent="0.25">
      <c r="C204" s="137"/>
      <c r="F204" s="1" t="str">
        <f t="shared" si="3"/>
        <v xml:space="preserve">PURPOSE: 
ACTION: 
NOTE: </v>
      </c>
    </row>
    <row r="205" spans="1:9" ht="75" hidden="1" x14ac:dyDescent="0.25">
      <c r="C205" s="137"/>
      <c r="F205" s="1" t="str">
        <f t="shared" si="3"/>
        <v xml:space="preserve">PURPOSE: 
ACTION: 
NOTE: </v>
      </c>
    </row>
    <row r="206" spans="1:9" ht="75" hidden="1" x14ac:dyDescent="0.25">
      <c r="C206" s="137"/>
      <c r="F206" s="1" t="str">
        <f t="shared" si="3"/>
        <v xml:space="preserve">PURPOSE: 
ACTION: 
NOTE: </v>
      </c>
    </row>
    <row r="207" spans="1:9" ht="75" hidden="1" x14ac:dyDescent="0.25">
      <c r="C207" s="137"/>
      <c r="F207" s="1" t="str">
        <f t="shared" si="3"/>
        <v xml:space="preserve">PURPOSE: 
ACTION: 
NOTE: </v>
      </c>
    </row>
    <row r="208" spans="1:9" ht="75" hidden="1" x14ac:dyDescent="0.25">
      <c r="C208" s="137"/>
      <c r="F208" s="1" t="str">
        <f t="shared" si="3"/>
        <v xml:space="preserve">PURPOSE: 
ACTION: 
NOTE: </v>
      </c>
    </row>
    <row r="209" spans="3:6" ht="75" hidden="1" x14ac:dyDescent="0.25">
      <c r="C209" s="137"/>
      <c r="F209" s="1" t="str">
        <f t="shared" si="3"/>
        <v xml:space="preserve">PURPOSE: 
ACTION: 
NOTE: </v>
      </c>
    </row>
    <row r="210" spans="3:6" ht="75" hidden="1" x14ac:dyDescent="0.25">
      <c r="C210" s="137"/>
      <c r="F210" s="1" t="str">
        <f t="shared" si="3"/>
        <v xml:space="preserve">PURPOSE: 
ACTION: 
NOTE: </v>
      </c>
    </row>
    <row r="211" spans="3:6" ht="75" hidden="1" x14ac:dyDescent="0.25">
      <c r="C211" s="137"/>
      <c r="F211" s="1" t="str">
        <f t="shared" si="3"/>
        <v xml:space="preserve">PURPOSE: 
ACTION: 
NOTE: </v>
      </c>
    </row>
    <row r="212" spans="3:6" ht="75" hidden="1" x14ac:dyDescent="0.25">
      <c r="C212" s="137"/>
      <c r="F212" s="1" t="str">
        <f t="shared" si="3"/>
        <v xml:space="preserve">PURPOSE: 
ACTION: 
NOTE: </v>
      </c>
    </row>
    <row r="213" spans="3:6" ht="75" hidden="1" x14ac:dyDescent="0.25">
      <c r="C213" s="137"/>
      <c r="F213" s="1" t="str">
        <f t="shared" si="3"/>
        <v xml:space="preserve">PURPOSE: 
ACTION: 
NOTE: </v>
      </c>
    </row>
    <row r="214" spans="3:6" ht="75" hidden="1" x14ac:dyDescent="0.25">
      <c r="C214" s="137"/>
      <c r="F214" s="1" t="str">
        <f t="shared" si="3"/>
        <v xml:space="preserve">PURPOSE: 
ACTION: 
NOTE: </v>
      </c>
    </row>
    <row r="215" spans="3:6" ht="75" hidden="1" x14ac:dyDescent="0.25">
      <c r="C215" s="137"/>
      <c r="F215" s="1" t="str">
        <f t="shared" si="3"/>
        <v xml:space="preserve">PURPOSE: 
ACTION: 
NOTE: </v>
      </c>
    </row>
    <row r="216" spans="3:6" ht="75" hidden="1" x14ac:dyDescent="0.25">
      <c r="C216" s="137"/>
      <c r="F216" s="1" t="str">
        <f t="shared" si="3"/>
        <v xml:space="preserve">PURPOSE: 
ACTION: 
NOTE: </v>
      </c>
    </row>
    <row r="217" spans="3:6" ht="75" hidden="1" x14ac:dyDescent="0.25">
      <c r="C217" s="161"/>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10" t="s">
        <v>878</v>
      </c>
      <c r="B1" s="210"/>
      <c r="C1" s="210"/>
    </row>
    <row r="2" spans="1:3" x14ac:dyDescent="0.25">
      <c r="A2" s="11" t="s">
        <v>7</v>
      </c>
      <c r="B2" s="11" t="s">
        <v>877</v>
      </c>
      <c r="C2" s="11" t="s">
        <v>4</v>
      </c>
    </row>
    <row r="3" spans="1:3" x14ac:dyDescent="0.25">
      <c r="A3">
        <v>1</v>
      </c>
      <c r="B3" t="s">
        <v>5</v>
      </c>
    </row>
    <row r="4" spans="1:3" x14ac:dyDescent="0.25">
      <c r="A4">
        <v>2</v>
      </c>
      <c r="B4" t="s">
        <v>6</v>
      </c>
    </row>
    <row r="5" spans="1:3" x14ac:dyDescent="0.25">
      <c r="A5" t="s">
        <v>868</v>
      </c>
      <c r="C5">
        <f>SUBTOTAL(103,CL_YesNo[Description])</f>
        <v>0</v>
      </c>
    </row>
    <row r="8" spans="1:3" x14ac:dyDescent="0.25">
      <c r="A8" s="11" t="s">
        <v>7</v>
      </c>
      <c r="B8" s="11" t="s">
        <v>1042</v>
      </c>
      <c r="C8" s="11" t="s">
        <v>4</v>
      </c>
    </row>
    <row r="9" spans="1:3" x14ac:dyDescent="0.25">
      <c r="A9">
        <v>1</v>
      </c>
      <c r="B9" t="s">
        <v>1043</v>
      </c>
      <c r="C9" s="1"/>
    </row>
    <row r="10" spans="1:3" x14ac:dyDescent="0.25">
      <c r="A10">
        <v>2</v>
      </c>
      <c r="B10" t="s">
        <v>1044</v>
      </c>
      <c r="C10" s="1"/>
    </row>
    <row r="11" spans="1:3" x14ac:dyDescent="0.25">
      <c r="A11">
        <v>3</v>
      </c>
      <c r="B11" t="s">
        <v>1045</v>
      </c>
    </row>
    <row r="12" spans="1:3" x14ac:dyDescent="0.25">
      <c r="A12">
        <v>4</v>
      </c>
      <c r="B12" t="s">
        <v>164</v>
      </c>
    </row>
    <row r="13" spans="1:3" x14ac:dyDescent="0.25">
      <c r="A13">
        <v>5</v>
      </c>
      <c r="B13" t="s">
        <v>1046</v>
      </c>
    </row>
    <row r="14" spans="1:3" x14ac:dyDescent="0.25">
      <c r="A14">
        <v>6</v>
      </c>
    </row>
    <row r="15" spans="1:3" x14ac:dyDescent="0.25">
      <c r="A15">
        <v>7</v>
      </c>
    </row>
    <row r="16" spans="1:3" x14ac:dyDescent="0.25">
      <c r="A16" t="s">
        <v>868</v>
      </c>
      <c r="C16">
        <f>SUBTOTAL(103,CL_Process_Logic3[Description])</f>
        <v>0</v>
      </c>
    </row>
    <row r="24" spans="1:3" x14ac:dyDescent="0.25">
      <c r="A24" s="216" t="s">
        <v>872</v>
      </c>
      <c r="B24" s="216"/>
      <c r="C24" s="216"/>
    </row>
    <row r="26" spans="1:3" x14ac:dyDescent="0.25">
      <c r="A26" s="214" t="s">
        <v>869</v>
      </c>
      <c r="B26" s="214"/>
      <c r="C26" s="214"/>
    </row>
    <row r="27" spans="1:3" x14ac:dyDescent="0.25">
      <c r="A27" s="11" t="s">
        <v>7</v>
      </c>
      <c r="B27" s="11" t="s">
        <v>396</v>
      </c>
      <c r="C27" s="11" t="s">
        <v>4</v>
      </c>
    </row>
    <row r="28" spans="1:3" ht="60" x14ac:dyDescent="0.25">
      <c r="A28">
        <v>1</v>
      </c>
      <c r="B28" t="s">
        <v>397</v>
      </c>
      <c r="C28" s="1" t="s">
        <v>402</v>
      </c>
    </row>
    <row r="29" spans="1:3" ht="90" x14ac:dyDescent="0.25">
      <c r="A29">
        <v>2</v>
      </c>
      <c r="B29" t="s">
        <v>398</v>
      </c>
      <c r="C29" s="1" t="s">
        <v>403</v>
      </c>
    </row>
    <row r="30" spans="1:3" x14ac:dyDescent="0.25">
      <c r="A30">
        <v>3</v>
      </c>
      <c r="B30" t="s">
        <v>457</v>
      </c>
    </row>
    <row r="31" spans="1:3" x14ac:dyDescent="0.25">
      <c r="A31">
        <v>4</v>
      </c>
      <c r="B31" t="s">
        <v>458</v>
      </c>
    </row>
    <row r="32" spans="1:3" x14ac:dyDescent="0.25">
      <c r="A32">
        <v>5</v>
      </c>
      <c r="B32" t="s">
        <v>248</v>
      </c>
    </row>
    <row r="33" spans="1:3" x14ac:dyDescent="0.25">
      <c r="A33">
        <v>6</v>
      </c>
      <c r="B33" t="s">
        <v>114</v>
      </c>
    </row>
    <row r="34" spans="1:3" x14ac:dyDescent="0.25">
      <c r="A34">
        <v>7</v>
      </c>
      <c r="B34" t="s">
        <v>113</v>
      </c>
    </row>
    <row r="35" spans="1:3" x14ac:dyDescent="0.25">
      <c r="A35" t="s">
        <v>868</v>
      </c>
      <c r="C35">
        <f>SUBTOTAL(103,CL_Process_Logic[Description])</f>
        <v>2</v>
      </c>
    </row>
    <row r="37" spans="1:3" x14ac:dyDescent="0.25">
      <c r="A37" s="214" t="s">
        <v>870</v>
      </c>
      <c r="B37" s="214"/>
      <c r="C37" s="214"/>
    </row>
    <row r="38" spans="1:3" x14ac:dyDescent="0.25">
      <c r="A38" t="s">
        <v>7</v>
      </c>
      <c r="B38" t="s">
        <v>459</v>
      </c>
      <c r="C38" t="s">
        <v>4</v>
      </c>
    </row>
    <row r="39" spans="1:3" x14ac:dyDescent="0.25">
      <c r="A39">
        <v>1</v>
      </c>
      <c r="B39" t="s">
        <v>437</v>
      </c>
    </row>
    <row r="40" spans="1:3" x14ac:dyDescent="0.25">
      <c r="A40">
        <v>2</v>
      </c>
      <c r="B40" t="s">
        <v>435</v>
      </c>
    </row>
    <row r="41" spans="1:3" x14ac:dyDescent="0.25">
      <c r="A41">
        <v>3</v>
      </c>
      <c r="B41" t="s">
        <v>436</v>
      </c>
    </row>
    <row r="42" spans="1:3" x14ac:dyDescent="0.25">
      <c r="A42" t="s">
        <v>868</v>
      </c>
      <c r="C42">
        <f>SUBTOTAL(103,CL_TC_Configuration[Description])</f>
        <v>0</v>
      </c>
    </row>
    <row r="44" spans="1:3" x14ac:dyDescent="0.25">
      <c r="A44" s="214" t="s">
        <v>461</v>
      </c>
      <c r="B44" s="214"/>
      <c r="C44" s="214"/>
    </row>
    <row r="45" spans="1:3" x14ac:dyDescent="0.25">
      <c r="A45" t="s">
        <v>7</v>
      </c>
      <c r="B45" t="s">
        <v>460</v>
      </c>
      <c r="C45" t="s">
        <v>4</v>
      </c>
    </row>
    <row r="46" spans="1:3" x14ac:dyDescent="0.25">
      <c r="A46">
        <v>1</v>
      </c>
      <c r="B46" t="s">
        <v>463</v>
      </c>
    </row>
    <row r="47" spans="1:3" x14ac:dyDescent="0.25">
      <c r="A47">
        <v>2</v>
      </c>
      <c r="B47" t="s">
        <v>464</v>
      </c>
    </row>
    <row r="48" spans="1:3" x14ac:dyDescent="0.25">
      <c r="A48">
        <v>3</v>
      </c>
      <c r="B48" t="s">
        <v>462</v>
      </c>
    </row>
    <row r="49" spans="1:10" x14ac:dyDescent="0.25">
      <c r="A49" t="s">
        <v>868</v>
      </c>
      <c r="C49">
        <f>SUBTOTAL(103,CL_Stock_Configuration[Description])</f>
        <v>0</v>
      </c>
    </row>
    <row r="51" spans="1:10" x14ac:dyDescent="0.25">
      <c r="A51" s="214" t="s">
        <v>871</v>
      </c>
      <c r="B51" s="214"/>
      <c r="C51" s="214"/>
    </row>
    <row r="52" spans="1:10" x14ac:dyDescent="0.25">
      <c r="A52" t="s">
        <v>7</v>
      </c>
      <c r="B52" t="s">
        <v>493</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868</v>
      </c>
      <c r="C62">
        <f>SUBTOTAL(103,Table35[Description])</f>
        <v>0</v>
      </c>
      <c r="E62" s="157"/>
      <c r="F62" s="157"/>
      <c r="G62" s="157"/>
      <c r="I62" s="141"/>
      <c r="J62" s="157"/>
    </row>
    <row r="63" spans="1:10" x14ac:dyDescent="0.25">
      <c r="E63" s="157"/>
      <c r="F63" s="157"/>
      <c r="G63" s="157"/>
      <c r="I63" s="141"/>
      <c r="J63" s="157"/>
    </row>
    <row r="64" spans="1:10" x14ac:dyDescent="0.25">
      <c r="A64" s="214" t="s">
        <v>1060</v>
      </c>
      <c r="B64" s="214"/>
      <c r="C64" s="214"/>
      <c r="E64" s="157"/>
      <c r="F64" s="157"/>
      <c r="G64" s="157"/>
      <c r="I64" s="141"/>
      <c r="J64" s="157"/>
    </row>
    <row r="65" spans="1:10" x14ac:dyDescent="0.25">
      <c r="A65" t="s">
        <v>7</v>
      </c>
      <c r="B65" t="s">
        <v>1058</v>
      </c>
      <c r="C65" t="s">
        <v>4</v>
      </c>
      <c r="E65" s="157"/>
      <c r="F65" s="157"/>
      <c r="G65" s="157"/>
      <c r="I65" s="141"/>
      <c r="J65" s="157"/>
    </row>
    <row r="66" spans="1:10" x14ac:dyDescent="0.25">
      <c r="A66">
        <v>1</v>
      </c>
      <c r="B66" t="s">
        <v>1061</v>
      </c>
      <c r="E66" s="157"/>
      <c r="F66" s="157"/>
      <c r="G66" s="157"/>
      <c r="I66" s="141"/>
      <c r="J66" s="157"/>
    </row>
    <row r="67" spans="1:10" x14ac:dyDescent="0.25">
      <c r="A67">
        <v>2</v>
      </c>
      <c r="B67" t="s">
        <v>1047</v>
      </c>
      <c r="E67" s="157"/>
      <c r="F67" s="157"/>
      <c r="G67" s="157"/>
      <c r="I67" s="141"/>
      <c r="J67" s="157"/>
    </row>
    <row r="68" spans="1:10" x14ac:dyDescent="0.25">
      <c r="A68">
        <v>3</v>
      </c>
      <c r="B68" t="s">
        <v>1048</v>
      </c>
      <c r="E68" s="157"/>
      <c r="F68" s="157"/>
      <c r="G68" s="157"/>
      <c r="I68" s="141"/>
      <c r="J68" s="157"/>
    </row>
    <row r="69" spans="1:10" x14ac:dyDescent="0.25">
      <c r="A69">
        <v>4</v>
      </c>
      <c r="B69" t="s">
        <v>1049</v>
      </c>
      <c r="E69" s="157"/>
      <c r="F69" s="157"/>
      <c r="G69" s="157"/>
      <c r="I69" s="141"/>
      <c r="J69" s="157"/>
    </row>
    <row r="70" spans="1:10" x14ac:dyDescent="0.25">
      <c r="A70">
        <v>5</v>
      </c>
      <c r="B70" t="s">
        <v>1062</v>
      </c>
      <c r="E70" s="157"/>
      <c r="F70" s="157"/>
      <c r="G70" s="157"/>
      <c r="I70" s="141"/>
      <c r="J70" s="157"/>
    </row>
    <row r="71" spans="1:10" x14ac:dyDescent="0.25">
      <c r="A71">
        <v>6</v>
      </c>
      <c r="B71" t="s">
        <v>1050</v>
      </c>
      <c r="E71" s="157"/>
      <c r="F71" s="157"/>
      <c r="G71" s="157"/>
      <c r="I71" s="141"/>
      <c r="J71" s="157"/>
    </row>
    <row r="72" spans="1:10" x14ac:dyDescent="0.25">
      <c r="A72">
        <v>7</v>
      </c>
      <c r="B72" t="s">
        <v>1051</v>
      </c>
      <c r="E72" s="157"/>
      <c r="F72" s="157"/>
      <c r="G72" s="157"/>
      <c r="I72" s="141"/>
      <c r="J72" s="157"/>
    </row>
    <row r="73" spans="1:10" x14ac:dyDescent="0.25">
      <c r="A73">
        <v>8</v>
      </c>
      <c r="B73" t="s">
        <v>1052</v>
      </c>
      <c r="E73" s="157"/>
      <c r="F73" s="157"/>
      <c r="G73" s="157"/>
      <c r="I73" s="141"/>
      <c r="J73" s="157"/>
    </row>
    <row r="74" spans="1:10" x14ac:dyDescent="0.25">
      <c r="A74">
        <v>9</v>
      </c>
      <c r="B74" t="s">
        <v>1053</v>
      </c>
      <c r="E74" s="157"/>
      <c r="F74" s="157"/>
      <c r="G74" s="157"/>
      <c r="I74" s="141"/>
      <c r="J74" s="157"/>
    </row>
    <row r="75" spans="1:10" x14ac:dyDescent="0.25">
      <c r="A75">
        <v>10</v>
      </c>
      <c r="B75" t="s">
        <v>1054</v>
      </c>
      <c r="E75" s="157"/>
      <c r="F75" s="157"/>
      <c r="G75" s="157"/>
      <c r="I75" s="141"/>
      <c r="J75" s="157"/>
    </row>
    <row r="76" spans="1:10" x14ac:dyDescent="0.25">
      <c r="A76">
        <v>11</v>
      </c>
      <c r="B76" t="s">
        <v>1055</v>
      </c>
      <c r="E76" s="157"/>
      <c r="F76" s="157"/>
      <c r="G76" s="157"/>
      <c r="I76" s="141"/>
      <c r="J76" s="157"/>
    </row>
    <row r="77" spans="1:10" x14ac:dyDescent="0.25">
      <c r="A77">
        <v>12</v>
      </c>
      <c r="B77" t="s">
        <v>1056</v>
      </c>
      <c r="E77" s="157"/>
      <c r="F77" s="157"/>
      <c r="G77" s="157"/>
      <c r="I77" s="141"/>
      <c r="J77" s="157"/>
    </row>
    <row r="78" spans="1:10" x14ac:dyDescent="0.25">
      <c r="A78">
        <v>13</v>
      </c>
      <c r="B78" t="s">
        <v>1057</v>
      </c>
      <c r="E78" s="157"/>
      <c r="F78" s="157"/>
      <c r="G78" s="157"/>
      <c r="I78" s="141"/>
      <c r="J78" s="157"/>
    </row>
    <row r="79" spans="1:10" x14ac:dyDescent="0.25">
      <c r="A79" t="s">
        <v>868</v>
      </c>
      <c r="C79">
        <f>SUBTOTAL(103,Table354[Description])</f>
        <v>0</v>
      </c>
      <c r="E79" s="157"/>
      <c r="F79" s="157"/>
      <c r="G79" s="157"/>
      <c r="I79" s="141"/>
      <c r="J79" s="157"/>
    </row>
    <row r="80" spans="1:10" x14ac:dyDescent="0.25">
      <c r="E80" s="157"/>
      <c r="F80" s="157"/>
      <c r="G80" s="157"/>
      <c r="I80" s="141"/>
      <c r="J80" s="157"/>
    </row>
    <row r="81" spans="1:10" x14ac:dyDescent="0.25">
      <c r="E81" s="157"/>
      <c r="F81" s="157"/>
      <c r="G81" s="157"/>
      <c r="I81" s="141"/>
      <c r="J81" s="157"/>
    </row>
    <row r="83" spans="1:10" x14ac:dyDescent="0.25">
      <c r="A83" s="214" t="s">
        <v>874</v>
      </c>
      <c r="B83" s="214"/>
      <c r="C83" s="214"/>
    </row>
    <row r="84" spans="1:10" x14ac:dyDescent="0.25">
      <c r="A84" t="s">
        <v>7</v>
      </c>
      <c r="B84" t="s">
        <v>873</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10"/>
      <c r="F92" s="210"/>
      <c r="G92" s="210"/>
    </row>
    <row r="93" spans="1:10" x14ac:dyDescent="0.25">
      <c r="A93">
        <v>9</v>
      </c>
      <c r="B93">
        <v>9</v>
      </c>
      <c r="E93" s="141"/>
      <c r="F93" s="141"/>
      <c r="G93" s="141"/>
    </row>
    <row r="94" spans="1:10" x14ac:dyDescent="0.25">
      <c r="A94" t="s">
        <v>868</v>
      </c>
      <c r="C94">
        <f>SUBTOTAL(103,CL_DSM_material_count[Description])</f>
        <v>0</v>
      </c>
      <c r="E94" s="141"/>
      <c r="F94" s="141"/>
      <c r="G94" s="141"/>
    </row>
    <row r="95" spans="1:10" x14ac:dyDescent="0.25">
      <c r="E95" s="141"/>
      <c r="F95" s="141"/>
      <c r="G95" s="141"/>
    </row>
    <row r="96" spans="1:10" x14ac:dyDescent="0.25">
      <c r="A96" s="214" t="s">
        <v>875</v>
      </c>
      <c r="B96" s="214"/>
      <c r="C96" s="214"/>
      <c r="E96" s="141"/>
      <c r="F96" s="141"/>
      <c r="G96" s="141"/>
    </row>
    <row r="97" spans="1:7" x14ac:dyDescent="0.25">
      <c r="A97" t="s">
        <v>7</v>
      </c>
      <c r="B97" t="s">
        <v>445</v>
      </c>
      <c r="C97" t="s">
        <v>4</v>
      </c>
      <c r="E97" s="141"/>
      <c r="F97" s="141"/>
      <c r="G97" s="141"/>
    </row>
    <row r="98" spans="1:7" x14ac:dyDescent="0.25">
      <c r="A98">
        <v>1</v>
      </c>
      <c r="B98" t="s">
        <v>439</v>
      </c>
      <c r="C98" t="s">
        <v>210</v>
      </c>
      <c r="E98" s="141"/>
      <c r="F98" s="141"/>
      <c r="G98" s="141"/>
    </row>
    <row r="99" spans="1:7" ht="45" x14ac:dyDescent="0.25">
      <c r="A99">
        <v>2</v>
      </c>
      <c r="B99" t="s">
        <v>440</v>
      </c>
      <c r="C99" s="1" t="s">
        <v>211</v>
      </c>
      <c r="E99" s="141"/>
      <c r="F99" s="141"/>
      <c r="G99" s="141"/>
    </row>
    <row r="100" spans="1:7" x14ac:dyDescent="0.25">
      <c r="A100">
        <v>3</v>
      </c>
      <c r="B100" t="s">
        <v>441</v>
      </c>
      <c r="C100" s="1" t="s">
        <v>213</v>
      </c>
      <c r="E100" s="141"/>
      <c r="F100" s="141"/>
      <c r="G100" s="141"/>
    </row>
    <row r="101" spans="1:7" x14ac:dyDescent="0.25">
      <c r="A101">
        <v>4</v>
      </c>
      <c r="B101" t="s">
        <v>442</v>
      </c>
      <c r="E101" s="141"/>
      <c r="F101" s="141"/>
      <c r="G101" s="141"/>
    </row>
    <row r="102" spans="1:7" x14ac:dyDescent="0.25">
      <c r="A102">
        <v>5</v>
      </c>
      <c r="B102" t="s">
        <v>443</v>
      </c>
      <c r="E102" s="141"/>
      <c r="F102" s="141"/>
      <c r="G102" s="141"/>
    </row>
    <row r="103" spans="1:7" x14ac:dyDescent="0.25">
      <c r="A103">
        <v>6</v>
      </c>
      <c r="B103" t="s">
        <v>448</v>
      </c>
      <c r="E103" s="141"/>
      <c r="F103" s="141"/>
      <c r="G103" s="141"/>
    </row>
    <row r="104" spans="1:7" x14ac:dyDescent="0.25">
      <c r="A104">
        <v>7</v>
      </c>
      <c r="B104" t="s">
        <v>449</v>
      </c>
      <c r="E104" s="141"/>
      <c r="F104" s="141"/>
      <c r="G104" s="141"/>
    </row>
    <row r="105" spans="1:7" x14ac:dyDescent="0.25">
      <c r="A105">
        <v>8</v>
      </c>
      <c r="B105" t="s">
        <v>450</v>
      </c>
      <c r="E105" s="141"/>
      <c r="F105" s="141"/>
      <c r="G105" s="141"/>
    </row>
    <row r="106" spans="1:7" x14ac:dyDescent="0.25">
      <c r="A106">
        <v>9</v>
      </c>
      <c r="B106" t="s">
        <v>451</v>
      </c>
      <c r="E106" s="141"/>
      <c r="F106" s="141"/>
      <c r="G106" s="141"/>
    </row>
    <row r="107" spans="1:7" x14ac:dyDescent="0.25">
      <c r="A107">
        <v>10</v>
      </c>
      <c r="B107" t="s">
        <v>452</v>
      </c>
      <c r="E107" s="141"/>
      <c r="F107" s="141"/>
      <c r="G107" s="141"/>
    </row>
    <row r="108" spans="1:7" x14ac:dyDescent="0.25">
      <c r="A108">
        <v>11</v>
      </c>
      <c r="B108" t="s">
        <v>453</v>
      </c>
      <c r="E108" s="141"/>
      <c r="F108" s="141"/>
      <c r="G108" s="141"/>
    </row>
    <row r="109" spans="1:7" x14ac:dyDescent="0.25">
      <c r="A109">
        <v>12</v>
      </c>
      <c r="B109" t="s">
        <v>454</v>
      </c>
      <c r="E109" s="141"/>
      <c r="F109" s="141"/>
      <c r="G109" s="141"/>
    </row>
    <row r="110" spans="1:7" x14ac:dyDescent="0.25">
      <c r="A110">
        <v>13</v>
      </c>
      <c r="B110" t="s">
        <v>455</v>
      </c>
      <c r="E110" s="141"/>
      <c r="F110" s="141"/>
      <c r="G110" s="141"/>
    </row>
    <row r="111" spans="1:7" x14ac:dyDescent="0.25">
      <c r="A111">
        <v>14</v>
      </c>
      <c r="B111" t="s">
        <v>456</v>
      </c>
      <c r="E111" s="141"/>
      <c r="F111" s="141"/>
      <c r="G111" s="141"/>
    </row>
    <row r="112" spans="1:7" x14ac:dyDescent="0.25">
      <c r="A112" t="s">
        <v>868</v>
      </c>
      <c r="C112">
        <f>SUBTOTAL(103,CL_DSM_Parameter_type[Description])</f>
        <v>3</v>
      </c>
      <c r="E112" s="141"/>
      <c r="F112" s="141"/>
      <c r="G112" s="141"/>
    </row>
    <row r="113" spans="1:9" x14ac:dyDescent="0.25">
      <c r="E113" s="141"/>
      <c r="F113" s="141"/>
      <c r="G113" s="141"/>
    </row>
    <row r="114" spans="1:9" x14ac:dyDescent="0.25">
      <c r="A114" s="214" t="s">
        <v>876</v>
      </c>
      <c r="B114" s="214"/>
      <c r="C114" s="214"/>
      <c r="E114" s="141"/>
      <c r="F114" s="141"/>
      <c r="G114" s="141"/>
    </row>
    <row r="115" spans="1:9" x14ac:dyDescent="0.25">
      <c r="A115" t="s">
        <v>7</v>
      </c>
      <c r="B115" t="s">
        <v>900</v>
      </c>
      <c r="C115" t="s">
        <v>4</v>
      </c>
      <c r="E115" s="141"/>
      <c r="F115" s="141"/>
      <c r="G115" s="141"/>
    </row>
    <row r="116" spans="1:9" x14ac:dyDescent="0.25">
      <c r="A116">
        <v>1</v>
      </c>
      <c r="B116" t="s">
        <v>196</v>
      </c>
      <c r="E116" s="141"/>
      <c r="F116" s="141"/>
      <c r="G116" s="141"/>
    </row>
    <row r="117" spans="1:9" x14ac:dyDescent="0.25">
      <c r="A117">
        <v>2</v>
      </c>
      <c r="B117" t="s">
        <v>203</v>
      </c>
      <c r="E117" s="141"/>
      <c r="F117" s="141"/>
      <c r="G117" s="141"/>
    </row>
    <row r="118" spans="1:9" x14ac:dyDescent="0.25">
      <c r="A118">
        <v>3</v>
      </c>
      <c r="B118" t="s">
        <v>205</v>
      </c>
      <c r="E118" s="141"/>
      <c r="F118" s="141"/>
      <c r="G118" s="141"/>
    </row>
    <row r="119" spans="1:9" x14ac:dyDescent="0.25">
      <c r="A119">
        <v>4</v>
      </c>
      <c r="B119" t="s">
        <v>204</v>
      </c>
      <c r="C119" t="s">
        <v>197</v>
      </c>
      <c r="E119" s="141"/>
      <c r="F119" s="141"/>
      <c r="G119" s="141"/>
    </row>
    <row r="120" spans="1:9" x14ac:dyDescent="0.25">
      <c r="A120">
        <v>5</v>
      </c>
      <c r="B120" t="s">
        <v>206</v>
      </c>
    </row>
    <row r="121" spans="1:9" x14ac:dyDescent="0.25">
      <c r="A121">
        <v>6</v>
      </c>
      <c r="B121" t="s">
        <v>199</v>
      </c>
    </row>
    <row r="122" spans="1:9" x14ac:dyDescent="0.25">
      <c r="A122">
        <v>7</v>
      </c>
      <c r="B122" t="s">
        <v>202</v>
      </c>
    </row>
    <row r="123" spans="1:9" x14ac:dyDescent="0.25">
      <c r="A123">
        <v>8</v>
      </c>
      <c r="B123" t="s">
        <v>200</v>
      </c>
    </row>
    <row r="125" spans="1:9" x14ac:dyDescent="0.25">
      <c r="A125" s="210"/>
      <c r="B125" s="210"/>
      <c r="C125" s="210"/>
    </row>
    <row r="128" spans="1:9" x14ac:dyDescent="0.25">
      <c r="I128" s="141"/>
    </row>
    <row r="129" spans="1:9" x14ac:dyDescent="0.25">
      <c r="I129" s="157"/>
    </row>
    <row r="140" spans="1:9" x14ac:dyDescent="0.25">
      <c r="F140" s="210"/>
      <c r="G140" s="210"/>
      <c r="H140" s="210"/>
    </row>
    <row r="141" spans="1:9" x14ac:dyDescent="0.25">
      <c r="A141" s="215" t="s">
        <v>898</v>
      </c>
      <c r="B141" s="215"/>
      <c r="C141" s="215"/>
    </row>
    <row r="143" spans="1:9" x14ac:dyDescent="0.25">
      <c r="A143" s="214" t="s">
        <v>879</v>
      </c>
      <c r="B143" s="214"/>
      <c r="C143" s="214"/>
    </row>
    <row r="144" spans="1:9" x14ac:dyDescent="0.25">
      <c r="A144" t="s">
        <v>7</v>
      </c>
      <c r="B144" t="s">
        <v>209</v>
      </c>
      <c r="C144" t="s">
        <v>4</v>
      </c>
    </row>
    <row r="145" spans="1:10" x14ac:dyDescent="0.25">
      <c r="A145">
        <v>1</v>
      </c>
      <c r="B145" t="s">
        <v>207</v>
      </c>
      <c r="C145" t="s">
        <v>210</v>
      </c>
    </row>
    <row r="146" spans="1:10" ht="45" x14ac:dyDescent="0.25">
      <c r="A146">
        <v>2</v>
      </c>
      <c r="B146" t="s">
        <v>212</v>
      </c>
      <c r="C146" s="1" t="s">
        <v>211</v>
      </c>
    </row>
    <row r="147" spans="1:10" x14ac:dyDescent="0.25">
      <c r="A147">
        <v>3</v>
      </c>
      <c r="B147" t="s">
        <v>208</v>
      </c>
      <c r="C147" s="1" t="s">
        <v>213</v>
      </c>
    </row>
    <row r="148" spans="1:10" x14ac:dyDescent="0.25">
      <c r="A148" t="s">
        <v>868</v>
      </c>
      <c r="C148">
        <f>SUBTOTAL(103,CL_Operation[Description])</f>
        <v>3</v>
      </c>
    </row>
    <row r="150" spans="1:10" x14ac:dyDescent="0.25">
      <c r="A150" s="214" t="s">
        <v>997</v>
      </c>
      <c r="B150" s="214"/>
      <c r="C150" s="214"/>
    </row>
    <row r="151" spans="1:10" x14ac:dyDescent="0.25">
      <c r="A151" t="s">
        <v>7</v>
      </c>
      <c r="B151" t="s">
        <v>998</v>
      </c>
      <c r="C151" t="s">
        <v>4</v>
      </c>
    </row>
    <row r="152" spans="1:10" x14ac:dyDescent="0.25">
      <c r="A152">
        <v>1</v>
      </c>
      <c r="B152" t="s">
        <v>172</v>
      </c>
      <c r="C152" t="s">
        <v>992</v>
      </c>
    </row>
    <row r="153" spans="1:10" x14ac:dyDescent="0.25">
      <c r="A153">
        <v>2</v>
      </c>
      <c r="B153" t="s">
        <v>993</v>
      </c>
      <c r="C153" t="s">
        <v>994</v>
      </c>
    </row>
    <row r="154" spans="1:10" x14ac:dyDescent="0.25">
      <c r="A154">
        <v>3</v>
      </c>
      <c r="B154" t="s">
        <v>995</v>
      </c>
      <c r="C154" t="s">
        <v>996</v>
      </c>
    </row>
    <row r="155" spans="1:10" x14ac:dyDescent="0.25">
      <c r="A155">
        <v>4</v>
      </c>
    </row>
    <row r="159" spans="1:10" x14ac:dyDescent="0.25">
      <c r="A159" t="s">
        <v>171</v>
      </c>
      <c r="B159" t="s">
        <v>1039</v>
      </c>
      <c r="C159" t="s">
        <v>1037</v>
      </c>
      <c r="D159" t="s">
        <v>1036</v>
      </c>
      <c r="E159" t="s">
        <v>191</v>
      </c>
      <c r="F159" t="s">
        <v>192</v>
      </c>
      <c r="G159" t="s">
        <v>194</v>
      </c>
      <c r="H159" t="s">
        <v>1035</v>
      </c>
      <c r="I159" t="s">
        <v>193</v>
      </c>
      <c r="J159" t="s">
        <v>1038</v>
      </c>
    </row>
    <row r="160" spans="1:10" x14ac:dyDescent="0.25">
      <c r="A160">
        <v>1</v>
      </c>
      <c r="B160" t="s">
        <v>1037</v>
      </c>
      <c r="C160" t="s">
        <v>408</v>
      </c>
      <c r="D160" t="s">
        <v>408</v>
      </c>
      <c r="E160" t="s">
        <v>196</v>
      </c>
      <c r="G160" t="s">
        <v>88</v>
      </c>
      <c r="I160" t="s">
        <v>439</v>
      </c>
      <c r="J160" t="s">
        <v>1040</v>
      </c>
    </row>
    <row r="161" spans="1:9" x14ac:dyDescent="0.25">
      <c r="A161">
        <v>2</v>
      </c>
      <c r="B161" t="s">
        <v>1036</v>
      </c>
      <c r="C161" t="s">
        <v>409</v>
      </c>
      <c r="D161" t="s">
        <v>409</v>
      </c>
      <c r="E161" t="s">
        <v>203</v>
      </c>
      <c r="G161" t="s">
        <v>89</v>
      </c>
      <c r="I161" t="s">
        <v>440</v>
      </c>
    </row>
    <row r="162" spans="1:9" x14ac:dyDescent="0.25">
      <c r="A162">
        <v>3</v>
      </c>
      <c r="B162" t="s">
        <v>191</v>
      </c>
      <c r="C162" t="s">
        <v>410</v>
      </c>
      <c r="D162" t="s">
        <v>410</v>
      </c>
      <c r="E162" t="s">
        <v>205</v>
      </c>
      <c r="G162" t="s">
        <v>90</v>
      </c>
      <c r="I162" t="s">
        <v>441</v>
      </c>
    </row>
    <row r="163" spans="1:9" x14ac:dyDescent="0.25">
      <c r="A163">
        <v>4</v>
      </c>
      <c r="B163" t="s">
        <v>192</v>
      </c>
      <c r="C163" t="s">
        <v>411</v>
      </c>
      <c r="D163" t="s">
        <v>411</v>
      </c>
      <c r="E163" t="s">
        <v>204</v>
      </c>
      <c r="I163" t="s">
        <v>442</v>
      </c>
    </row>
    <row r="164" spans="1:9" x14ac:dyDescent="0.25">
      <c r="A164">
        <v>5</v>
      </c>
      <c r="B164" t="s">
        <v>194</v>
      </c>
      <c r="E164" t="s">
        <v>206</v>
      </c>
      <c r="I164" t="s">
        <v>443</v>
      </c>
    </row>
    <row r="165" spans="1:9" x14ac:dyDescent="0.25">
      <c r="A165">
        <v>6</v>
      </c>
      <c r="B165" t="s">
        <v>1038</v>
      </c>
      <c r="E165" t="s">
        <v>199</v>
      </c>
      <c r="I165" t="s">
        <v>448</v>
      </c>
    </row>
    <row r="166" spans="1:9" x14ac:dyDescent="0.25">
      <c r="A166">
        <v>7</v>
      </c>
      <c r="B166" t="s">
        <v>193</v>
      </c>
      <c r="E166" t="s">
        <v>202</v>
      </c>
      <c r="I166" t="s">
        <v>449</v>
      </c>
    </row>
    <row r="167" spans="1:9" x14ac:dyDescent="0.25">
      <c r="A167">
        <v>8</v>
      </c>
      <c r="B167" t="s">
        <v>1035</v>
      </c>
      <c r="E167" t="s">
        <v>200</v>
      </c>
      <c r="I167" t="s">
        <v>450</v>
      </c>
    </row>
    <row r="168" spans="1:9" x14ac:dyDescent="0.25">
      <c r="A168">
        <v>9</v>
      </c>
      <c r="I168" t="s">
        <v>451</v>
      </c>
    </row>
    <row r="169" spans="1:9" x14ac:dyDescent="0.25">
      <c r="A169">
        <v>10</v>
      </c>
      <c r="I169" t="s">
        <v>452</v>
      </c>
    </row>
    <row r="170" spans="1:9" x14ac:dyDescent="0.25">
      <c r="A170">
        <v>11</v>
      </c>
      <c r="I170" t="s">
        <v>453</v>
      </c>
    </row>
    <row r="171" spans="1:9" x14ac:dyDescent="0.25">
      <c r="A171">
        <v>12</v>
      </c>
      <c r="I171" t="s">
        <v>454</v>
      </c>
    </row>
    <row r="172" spans="1:9" x14ac:dyDescent="0.25">
      <c r="A172">
        <v>13</v>
      </c>
      <c r="I172" t="s">
        <v>455</v>
      </c>
    </row>
    <row r="173" spans="1:9" x14ac:dyDescent="0.25">
      <c r="A173">
        <v>14</v>
      </c>
      <c r="I173" t="s">
        <v>456</v>
      </c>
    </row>
    <row r="174" spans="1:9" x14ac:dyDescent="0.25">
      <c r="A174">
        <v>15</v>
      </c>
    </row>
    <row r="175" spans="1:9" x14ac:dyDescent="0.25">
      <c r="A175">
        <v>16</v>
      </c>
    </row>
    <row r="179" spans="1:5" x14ac:dyDescent="0.25">
      <c r="A179" t="s">
        <v>251</v>
      </c>
      <c r="B179" t="s">
        <v>252</v>
      </c>
    </row>
    <row r="180" spans="1:5" x14ac:dyDescent="0.25">
      <c r="A180" s="153" t="s">
        <v>217</v>
      </c>
      <c r="B180" s="153" t="s">
        <v>274</v>
      </c>
      <c r="C180" s="153" t="s">
        <v>275</v>
      </c>
      <c r="D180" s="153" t="s">
        <v>276</v>
      </c>
      <c r="E180" s="153" t="s">
        <v>277</v>
      </c>
    </row>
    <row r="181" spans="1:5" x14ac:dyDescent="0.25">
      <c r="A181" t="s">
        <v>278</v>
      </c>
      <c r="B181" t="s">
        <v>279</v>
      </c>
      <c r="C181" t="s">
        <v>280</v>
      </c>
      <c r="D181" t="s">
        <v>281</v>
      </c>
      <c r="E181" t="s">
        <v>282</v>
      </c>
    </row>
    <row r="182" spans="1:5" x14ac:dyDescent="0.25">
      <c r="A182" t="s">
        <v>278</v>
      </c>
      <c r="B182" t="s">
        <v>283</v>
      </c>
      <c r="C182" t="s">
        <v>284</v>
      </c>
      <c r="D182" t="s">
        <v>285</v>
      </c>
      <c r="E182" t="s">
        <v>286</v>
      </c>
    </row>
    <row r="183" spans="1:5" x14ac:dyDescent="0.25">
      <c r="A183" t="s">
        <v>278</v>
      </c>
      <c r="B183" t="s">
        <v>287</v>
      </c>
      <c r="C183" t="s">
        <v>288</v>
      </c>
      <c r="D183" t="s">
        <v>289</v>
      </c>
      <c r="E183" t="s">
        <v>290</v>
      </c>
    </row>
    <row r="184" spans="1:5" x14ac:dyDescent="0.25">
      <c r="A184" t="s">
        <v>278</v>
      </c>
      <c r="B184" t="s">
        <v>291</v>
      </c>
      <c r="C184" t="s">
        <v>292</v>
      </c>
      <c r="D184" t="s">
        <v>293</v>
      </c>
      <c r="E184" t="s">
        <v>294</v>
      </c>
    </row>
    <row r="185" spans="1:5" x14ac:dyDescent="0.25">
      <c r="A185" t="s">
        <v>278</v>
      </c>
      <c r="B185" t="s">
        <v>295</v>
      </c>
      <c r="C185" t="s">
        <v>296</v>
      </c>
      <c r="D185" t="s">
        <v>297</v>
      </c>
      <c r="E185" t="s">
        <v>298</v>
      </c>
    </row>
    <row r="186" spans="1:5" x14ac:dyDescent="0.25">
      <c r="A186" t="s">
        <v>299</v>
      </c>
      <c r="B186" t="s">
        <v>300</v>
      </c>
      <c r="C186" t="s">
        <v>301</v>
      </c>
      <c r="D186" t="s">
        <v>302</v>
      </c>
      <c r="E186" t="s">
        <v>303</v>
      </c>
    </row>
    <row r="187" spans="1:5" x14ac:dyDescent="0.25">
      <c r="A187" t="s">
        <v>299</v>
      </c>
      <c r="B187" t="s">
        <v>304</v>
      </c>
      <c r="C187" t="s">
        <v>305</v>
      </c>
      <c r="D187" t="s">
        <v>306</v>
      </c>
      <c r="E187" t="s">
        <v>307</v>
      </c>
    </row>
    <row r="188" spans="1:5" x14ac:dyDescent="0.25">
      <c r="A188" t="s">
        <v>299</v>
      </c>
      <c r="B188" t="s">
        <v>308</v>
      </c>
      <c r="C188" t="s">
        <v>309</v>
      </c>
      <c r="D188" t="s">
        <v>310</v>
      </c>
      <c r="E188" t="s">
        <v>311</v>
      </c>
    </row>
    <row r="189" spans="1:5" x14ac:dyDescent="0.25">
      <c r="A189" t="s">
        <v>299</v>
      </c>
      <c r="B189" t="s">
        <v>312</v>
      </c>
      <c r="C189" t="s">
        <v>313</v>
      </c>
      <c r="D189" t="s">
        <v>314</v>
      </c>
      <c r="E189" t="s">
        <v>315</v>
      </c>
    </row>
    <row r="190" spans="1:5" x14ac:dyDescent="0.25">
      <c r="A190" t="s">
        <v>316</v>
      </c>
      <c r="B190" t="s">
        <v>317</v>
      </c>
      <c r="C190" t="s">
        <v>318</v>
      </c>
      <c r="D190" t="s">
        <v>319</v>
      </c>
      <c r="E190" t="s">
        <v>320</v>
      </c>
    </row>
    <row r="191" spans="1:5" x14ac:dyDescent="0.25">
      <c r="A191" t="s">
        <v>316</v>
      </c>
      <c r="B191" t="s">
        <v>321</v>
      </c>
      <c r="C191" t="s">
        <v>322</v>
      </c>
      <c r="D191" t="s">
        <v>323</v>
      </c>
      <c r="E191" t="s">
        <v>324</v>
      </c>
    </row>
    <row r="192" spans="1:5" x14ac:dyDescent="0.25">
      <c r="A192" t="s">
        <v>316</v>
      </c>
      <c r="B192" t="s">
        <v>325</v>
      </c>
      <c r="C192" t="s">
        <v>326</v>
      </c>
      <c r="D192" t="s">
        <v>327</v>
      </c>
      <c r="E192" t="s">
        <v>328</v>
      </c>
    </row>
    <row r="193" spans="1:5" x14ac:dyDescent="0.25">
      <c r="A193" t="s">
        <v>316</v>
      </c>
      <c r="B193" t="s">
        <v>329</v>
      </c>
      <c r="C193" t="s">
        <v>330</v>
      </c>
      <c r="D193" t="s">
        <v>331</v>
      </c>
      <c r="E193" t="s">
        <v>332</v>
      </c>
    </row>
    <row r="194" spans="1:5" x14ac:dyDescent="0.25">
      <c r="A194" t="s">
        <v>333</v>
      </c>
      <c r="B194" t="s">
        <v>334</v>
      </c>
      <c r="C194" t="s">
        <v>335</v>
      </c>
      <c r="D194" t="s">
        <v>336</v>
      </c>
      <c r="E194" t="s">
        <v>337</v>
      </c>
    </row>
    <row r="195" spans="1:5" x14ac:dyDescent="0.25">
      <c r="A195" t="s">
        <v>333</v>
      </c>
      <c r="B195" t="s">
        <v>338</v>
      </c>
      <c r="C195" t="s">
        <v>339</v>
      </c>
      <c r="D195" t="s">
        <v>340</v>
      </c>
      <c r="E195" t="s">
        <v>341</v>
      </c>
    </row>
    <row r="196" spans="1:5" x14ac:dyDescent="0.25">
      <c r="A196" t="s">
        <v>333</v>
      </c>
      <c r="B196" t="s">
        <v>342</v>
      </c>
      <c r="C196" t="s">
        <v>343</v>
      </c>
      <c r="D196" t="s">
        <v>344</v>
      </c>
      <c r="E196" t="s">
        <v>345</v>
      </c>
    </row>
    <row r="197" spans="1:5" x14ac:dyDescent="0.25">
      <c r="A197" t="s">
        <v>333</v>
      </c>
      <c r="B197" t="s">
        <v>346</v>
      </c>
      <c r="C197" t="s">
        <v>347</v>
      </c>
      <c r="D197" t="s">
        <v>348</v>
      </c>
      <c r="E197" t="s">
        <v>349</v>
      </c>
    </row>
    <row r="198" spans="1:5" x14ac:dyDescent="0.25">
      <c r="A198" t="s">
        <v>350</v>
      </c>
      <c r="B198" t="s">
        <v>351</v>
      </c>
      <c r="C198" t="s">
        <v>352</v>
      </c>
      <c r="D198" t="s">
        <v>353</v>
      </c>
      <c r="E198" t="s">
        <v>354</v>
      </c>
    </row>
    <row r="199" spans="1:5" x14ac:dyDescent="0.25">
      <c r="A199" t="s">
        <v>350</v>
      </c>
      <c r="B199" t="s">
        <v>355</v>
      </c>
      <c r="C199" t="s">
        <v>356</v>
      </c>
      <c r="D199" t="s">
        <v>357</v>
      </c>
      <c r="E199" t="s">
        <v>358</v>
      </c>
    </row>
    <row r="200" spans="1:5" x14ac:dyDescent="0.25">
      <c r="A200" t="s">
        <v>350</v>
      </c>
      <c r="B200" t="s">
        <v>359</v>
      </c>
      <c r="C200" t="s">
        <v>360</v>
      </c>
      <c r="D200" t="s">
        <v>361</v>
      </c>
      <c r="E200" t="s">
        <v>362</v>
      </c>
    </row>
    <row r="201" spans="1:5" x14ac:dyDescent="0.25">
      <c r="A201" t="s">
        <v>350</v>
      </c>
      <c r="B201" t="s">
        <v>363</v>
      </c>
      <c r="C201" t="s">
        <v>364</v>
      </c>
      <c r="D201" t="s">
        <v>365</v>
      </c>
      <c r="E201" t="s">
        <v>366</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4"/>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5"/>
    </row>
    <row r="2" spans="1:57" x14ac:dyDescent="0.25">
      <c r="A2" s="4"/>
      <c r="B2" s="170"/>
      <c r="H2" s="170"/>
      <c r="Q2" s="170"/>
      <c r="R2" s="170"/>
      <c r="W2" s="170"/>
      <c r="AA2" s="171"/>
      <c r="AC2" s="170"/>
      <c r="AI2" s="170"/>
      <c r="BE2" s="166"/>
    </row>
    <row r="3" spans="1:57" x14ac:dyDescent="0.25">
      <c r="A3" s="4"/>
      <c r="B3" s="170"/>
      <c r="H3" s="170"/>
      <c r="Q3" s="170"/>
      <c r="S3" s="170"/>
      <c r="W3" s="170"/>
      <c r="AA3" s="171"/>
      <c r="AC3" s="170"/>
      <c r="AD3" s="170"/>
      <c r="AH3" s="170"/>
      <c r="AI3" s="170"/>
      <c r="BE3" s="166"/>
    </row>
    <row r="4" spans="1:57" x14ac:dyDescent="0.25">
      <c r="A4" s="4"/>
      <c r="B4" s="170"/>
      <c r="Q4" s="170"/>
      <c r="T4" s="170"/>
      <c r="W4" s="170"/>
      <c r="AA4" s="171"/>
      <c r="AC4" s="170"/>
      <c r="AE4" s="170"/>
      <c r="AG4" s="170"/>
      <c r="AI4" s="170"/>
      <c r="BE4" s="166"/>
    </row>
    <row r="5" spans="1:57" x14ac:dyDescent="0.25">
      <c r="A5" s="4"/>
      <c r="B5" s="170"/>
      <c r="Q5" s="170"/>
      <c r="U5" s="170"/>
      <c r="W5" s="170"/>
      <c r="AA5" s="171"/>
      <c r="AC5" s="170"/>
      <c r="AF5" s="170"/>
      <c r="AI5" s="170"/>
      <c r="AR5" s="170"/>
      <c r="AS5" s="170"/>
      <c r="AT5" s="170"/>
      <c r="AU5" s="170"/>
      <c r="AV5" s="170"/>
      <c r="AZ5" s="170"/>
      <c r="BA5" s="170"/>
      <c r="BB5" s="170"/>
      <c r="BC5" s="170"/>
      <c r="BD5" s="170"/>
      <c r="BE5" s="166"/>
    </row>
    <row r="6" spans="1:57" x14ac:dyDescent="0.25">
      <c r="A6" s="4"/>
      <c r="B6" s="170"/>
      <c r="Q6" s="170"/>
      <c r="U6" s="170"/>
      <c r="W6" s="170"/>
      <c r="AA6" s="171"/>
      <c r="AC6" s="170"/>
      <c r="AI6" s="170"/>
      <c r="AV6" s="170"/>
      <c r="AZ6" s="170"/>
      <c r="BD6" s="170"/>
      <c r="BE6" s="166"/>
    </row>
    <row r="7" spans="1:57" x14ac:dyDescent="0.25">
      <c r="A7" s="4"/>
      <c r="B7" s="170"/>
      <c r="Q7" s="170"/>
      <c r="U7" s="170"/>
      <c r="W7" s="170"/>
      <c r="AA7" s="171"/>
      <c r="AC7" s="170"/>
      <c r="AI7" s="170"/>
      <c r="AV7" s="170"/>
      <c r="AZ7" s="170"/>
      <c r="BD7" s="170"/>
      <c r="BE7" s="166"/>
    </row>
    <row r="8" spans="1:57" x14ac:dyDescent="0.25">
      <c r="A8" s="4"/>
      <c r="B8" s="170"/>
      <c r="C8" s="170"/>
      <c r="D8" s="170"/>
      <c r="E8" s="170"/>
      <c r="F8" s="170"/>
      <c r="H8" s="170"/>
      <c r="K8" s="170"/>
      <c r="L8" s="170"/>
      <c r="M8" s="170"/>
      <c r="N8" s="170"/>
      <c r="O8" s="170"/>
      <c r="Q8" s="170"/>
      <c r="U8" s="170"/>
      <c r="W8" s="170"/>
      <c r="X8" s="170"/>
      <c r="Y8" s="170"/>
      <c r="Z8" s="170"/>
      <c r="AA8" s="171"/>
      <c r="AC8" s="170"/>
      <c r="AI8" s="170"/>
      <c r="AV8" s="170"/>
      <c r="AZ8" s="170"/>
      <c r="BD8" s="170"/>
      <c r="BE8" s="166"/>
    </row>
    <row r="9" spans="1:57" x14ac:dyDescent="0.25">
      <c r="A9" s="4"/>
      <c r="B9" s="170"/>
      <c r="F9" s="170"/>
      <c r="H9" s="170"/>
      <c r="K9" s="170"/>
      <c r="O9" s="170"/>
      <c r="Q9" s="170"/>
      <c r="U9" s="170"/>
      <c r="Y9" s="170"/>
      <c r="AA9" s="157"/>
      <c r="AC9" s="170"/>
      <c r="AI9" s="170"/>
      <c r="AK9" s="170"/>
      <c r="AO9" s="170"/>
      <c r="AR9" s="170"/>
      <c r="AS9" s="170"/>
      <c r="AT9" s="170"/>
      <c r="AU9" s="170"/>
      <c r="AV9" s="170"/>
      <c r="AZ9" s="170"/>
      <c r="BD9" s="170"/>
      <c r="BE9" s="166"/>
    </row>
    <row r="10" spans="1:57" x14ac:dyDescent="0.25">
      <c r="A10" s="4"/>
      <c r="B10" s="170"/>
      <c r="F10" s="170"/>
      <c r="H10" s="170"/>
      <c r="K10" s="170"/>
      <c r="O10" s="170"/>
      <c r="Q10" s="170"/>
      <c r="U10" s="170"/>
      <c r="Y10" s="170"/>
      <c r="AA10" s="157"/>
      <c r="AC10" s="170"/>
      <c r="AI10" s="170"/>
      <c r="AK10" s="170"/>
      <c r="AO10" s="170"/>
      <c r="AR10" s="170"/>
      <c r="AZ10" s="170"/>
      <c r="BD10" s="170"/>
      <c r="BE10" s="166"/>
    </row>
    <row r="11" spans="1:57" x14ac:dyDescent="0.25">
      <c r="A11" s="4"/>
      <c r="B11" s="170"/>
      <c r="F11" s="170"/>
      <c r="H11" s="170"/>
      <c r="K11" s="170"/>
      <c r="O11" s="170"/>
      <c r="Q11" s="170"/>
      <c r="T11" s="170"/>
      <c r="Y11" s="170"/>
      <c r="AA11" s="157"/>
      <c r="AC11" s="170"/>
      <c r="AI11" s="170"/>
      <c r="AL11" s="170"/>
      <c r="AN11" s="170"/>
      <c r="AR11" s="170"/>
      <c r="AZ11" s="170"/>
      <c r="BD11" s="170"/>
      <c r="BE11" s="166"/>
    </row>
    <row r="12" spans="1:57" x14ac:dyDescent="0.25">
      <c r="A12" s="4"/>
      <c r="B12" s="170"/>
      <c r="F12" s="170"/>
      <c r="H12" s="170"/>
      <c r="K12" s="170"/>
      <c r="O12" s="170"/>
      <c r="Q12" s="170"/>
      <c r="S12" s="170"/>
      <c r="Y12" s="170"/>
      <c r="AA12" s="157"/>
      <c r="AC12" s="170"/>
      <c r="AI12" s="170"/>
      <c r="AL12" s="170"/>
      <c r="AN12" s="170"/>
      <c r="AR12" s="170"/>
      <c r="AZ12" s="170"/>
      <c r="BD12" s="170"/>
      <c r="BE12" s="166"/>
    </row>
    <row r="13" spans="1:57" x14ac:dyDescent="0.25">
      <c r="A13" s="4"/>
      <c r="B13" s="170"/>
      <c r="C13" s="170"/>
      <c r="D13" s="170"/>
      <c r="E13" s="170"/>
      <c r="F13" s="170"/>
      <c r="H13" s="170"/>
      <c r="K13" s="170"/>
      <c r="L13" s="170"/>
      <c r="M13" s="170"/>
      <c r="N13" s="170"/>
      <c r="O13" s="170"/>
      <c r="Q13" s="170"/>
      <c r="R13" s="170"/>
      <c r="Y13" s="170"/>
      <c r="AA13" s="157"/>
      <c r="AC13" s="170"/>
      <c r="AI13" s="170"/>
      <c r="AM13" s="170"/>
      <c r="AP13" s="170"/>
      <c r="AR13" s="170"/>
      <c r="AS13" s="170"/>
      <c r="AT13" s="170"/>
      <c r="AU13" s="170"/>
      <c r="AV13" s="170"/>
      <c r="AX13" s="170"/>
      <c r="AZ13" s="170"/>
      <c r="BA13" s="170"/>
      <c r="BB13" s="170"/>
      <c r="BC13" s="170"/>
      <c r="BD13" s="170"/>
      <c r="BE13" s="166"/>
    </row>
    <row r="14" spans="1:57" ht="15.75" thickBot="1" x14ac:dyDescent="0.3">
      <c r="A14" s="5"/>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c r="BA14" s="167"/>
      <c r="BB14" s="167"/>
      <c r="BC14" s="167"/>
      <c r="BD14" s="167"/>
      <c r="BE14" s="16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34CFA-CC26-498A-8F6F-E04703E7F221}">
  <sheetPr codeName="Sheet16">
    <tabColor theme="8" tint="0.79998168889431442"/>
  </sheetPr>
  <dimension ref="A1:W72"/>
  <sheetViews>
    <sheetView topLeftCell="A15" zoomScaleNormal="100" zoomScaleSheetLayoutView="145" zoomScalePageLayoutView="115" workbookViewId="0">
      <selection activeCell="C58" sqref="C58"/>
    </sheetView>
  </sheetViews>
  <sheetFormatPr defaultColWidth="11.42578125" defaultRowHeight="15" x14ac:dyDescent="0.25"/>
  <cols>
    <col min="1" max="1" width="31.85546875" customWidth="1"/>
    <col min="2" max="2" width="12.5703125" style="1" customWidth="1"/>
    <col min="3" max="3" width="9.85546875" style="1" customWidth="1"/>
    <col min="4" max="4" width="14.85546875" style="1" customWidth="1"/>
    <col min="5" max="6" width="9.85546875" style="1" customWidth="1"/>
    <col min="7" max="7" width="16" style="1" customWidth="1"/>
    <col min="8" max="13" width="9.85546875" style="1" customWidth="1"/>
  </cols>
  <sheetData>
    <row r="1" spans="1:22" ht="48" thickBot="1" x14ac:dyDescent="0.3">
      <c r="A1" s="114" t="s">
        <v>161</v>
      </c>
      <c r="B1" s="264" t="str">
        <f>'2_1_Definition_Processes'!D2</f>
        <v>Environment</v>
      </c>
      <c r="C1" s="264"/>
      <c r="D1" s="264"/>
      <c r="E1" s="264"/>
      <c r="F1" s="264"/>
      <c r="G1" s="264"/>
      <c r="H1" s="264"/>
      <c r="I1" s="114" t="s">
        <v>160</v>
      </c>
      <c r="J1" s="265" t="s">
        <v>41</v>
      </c>
      <c r="K1" s="265"/>
      <c r="L1" s="265"/>
      <c r="M1" s="265"/>
    </row>
    <row r="2" spans="1:22" ht="16.5" thickBot="1" x14ac:dyDescent="0.3">
      <c r="A2" s="246" t="s">
        <v>159</v>
      </c>
      <c r="B2" s="247"/>
      <c r="C2" s="247"/>
      <c r="D2" s="247"/>
      <c r="E2" s="247"/>
      <c r="F2" s="247"/>
      <c r="G2" s="247"/>
      <c r="H2" s="247"/>
      <c r="I2" s="247"/>
      <c r="J2" s="247"/>
      <c r="K2" s="247"/>
      <c r="L2" s="247"/>
      <c r="M2" s="248"/>
    </row>
    <row r="3" spans="1:22" ht="126.75" customHeight="1" thickBot="1" x14ac:dyDescent="0.3">
      <c r="A3" s="266"/>
      <c r="B3" s="267"/>
      <c r="C3" s="267"/>
      <c r="D3" s="267"/>
      <c r="E3" s="267"/>
      <c r="F3" s="267"/>
      <c r="G3" s="267"/>
      <c r="H3" s="267"/>
      <c r="I3" s="267"/>
      <c r="J3" s="267"/>
      <c r="K3" s="267"/>
      <c r="L3" s="267"/>
      <c r="M3" s="268"/>
    </row>
    <row r="4" spans="1:22" ht="31.5" customHeight="1" x14ac:dyDescent="0.25">
      <c r="A4" s="113" t="s">
        <v>158</v>
      </c>
      <c r="B4" s="269"/>
      <c r="C4" s="270"/>
      <c r="D4" s="271"/>
      <c r="E4" s="272" t="s">
        <v>157</v>
      </c>
      <c r="F4" s="273"/>
      <c r="G4" s="118"/>
      <c r="H4" s="118"/>
      <c r="I4" s="112"/>
      <c r="J4" s="112"/>
      <c r="K4" s="112"/>
      <c r="L4" s="112"/>
      <c r="M4" s="112"/>
    </row>
    <row r="5" spans="1:22" ht="16.5" customHeight="1" x14ac:dyDescent="0.25">
      <c r="A5" s="115" t="s">
        <v>156</v>
      </c>
      <c r="B5" s="262" t="s">
        <v>1148</v>
      </c>
      <c r="C5" s="262"/>
      <c r="D5" s="263"/>
      <c r="E5" s="115" t="s">
        <v>156</v>
      </c>
      <c r="F5" s="258" t="s">
        <v>1149</v>
      </c>
      <c r="G5" s="258"/>
      <c r="H5" s="259"/>
      <c r="I5" s="116"/>
      <c r="J5" s="111"/>
      <c r="K5" s="111"/>
      <c r="L5" s="111"/>
      <c r="M5" s="108"/>
    </row>
    <row r="6" spans="1:22" ht="16.5" customHeight="1" x14ac:dyDescent="0.25">
      <c r="A6" s="115" t="s">
        <v>155</v>
      </c>
      <c r="B6" s="258" t="e">
        <f>_xlfn.XLOOKUP(#REF!,Tab_Def_Processes[Process_ID],#REF!,"No_flow.",0,1)</f>
        <v>#REF!</v>
      </c>
      <c r="C6" s="258"/>
      <c r="D6" s="259"/>
      <c r="E6" s="115" t="s">
        <v>155</v>
      </c>
      <c r="F6" s="258" t="s">
        <v>1150</v>
      </c>
      <c r="G6" s="258"/>
      <c r="H6" s="259"/>
      <c r="I6" s="116"/>
      <c r="J6" s="111"/>
      <c r="K6" s="111"/>
      <c r="L6" s="111"/>
      <c r="M6" s="108"/>
    </row>
    <row r="7" spans="1:22" ht="16.5" customHeight="1" x14ac:dyDescent="0.25">
      <c r="A7" s="110" t="s">
        <v>154</v>
      </c>
      <c r="B7" s="258" t="e">
        <f>_xlfn.XLOOKUP(J1,Tab_Def_Processes[Process_ID],#REF!,"No_flow.",0,1)</f>
        <v>#REF!</v>
      </c>
      <c r="C7" s="258"/>
      <c r="D7" s="259"/>
      <c r="E7" s="110" t="s">
        <v>154</v>
      </c>
      <c r="F7" s="258" t="s">
        <v>1151</v>
      </c>
      <c r="G7" s="258"/>
      <c r="H7" s="259"/>
      <c r="I7" s="117"/>
      <c r="J7" s="109"/>
      <c r="K7" s="109"/>
      <c r="L7" s="109"/>
      <c r="M7" s="108"/>
    </row>
    <row r="8" spans="1:22" ht="16.5" customHeight="1" x14ac:dyDescent="0.25">
      <c r="A8" s="110" t="s">
        <v>153</v>
      </c>
      <c r="B8" s="258" t="e">
        <f>_xlfn.XLOOKUP(J1,Tab_Def_Processes[Process_ID],#REF!,"No_flow.",0,1)</f>
        <v>#REF!</v>
      </c>
      <c r="C8" s="258"/>
      <c r="D8" s="259"/>
      <c r="E8" s="110" t="s">
        <v>153</v>
      </c>
      <c r="F8" s="258" t="e">
        <f>_xlfn.XLOOKUP(J1,Tab_Def_Processes[Process_ID],#REF!,"No_flow.",0,1)</f>
        <v>#REF!</v>
      </c>
      <c r="G8" s="258"/>
      <c r="H8" s="259"/>
      <c r="I8" s="117"/>
      <c r="J8" s="109"/>
      <c r="K8" s="109"/>
      <c r="L8" s="109"/>
      <c r="M8" s="108"/>
    </row>
    <row r="9" spans="1:22"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2" ht="16.5" customHeight="1" thickBot="1" x14ac:dyDescent="0.3">
      <c r="A10" s="119" t="s">
        <v>151</v>
      </c>
      <c r="B10" s="260"/>
      <c r="C10" s="260"/>
      <c r="D10" s="261"/>
      <c r="E10" s="119" t="s">
        <v>151</v>
      </c>
      <c r="F10" s="260"/>
      <c r="G10" s="260"/>
      <c r="H10" s="261"/>
      <c r="I10" s="117"/>
      <c r="J10" s="109"/>
      <c r="K10" s="109"/>
      <c r="L10" s="109"/>
      <c r="M10" s="108"/>
    </row>
    <row r="11" spans="1:22" ht="16.5" thickBot="1" x14ac:dyDescent="0.3">
      <c r="A11" s="246" t="s">
        <v>150</v>
      </c>
      <c r="B11" s="247"/>
      <c r="C11" s="247"/>
      <c r="D11" s="247"/>
      <c r="E11" s="247"/>
      <c r="F11" s="247"/>
      <c r="G11" s="247"/>
      <c r="H11" s="247"/>
      <c r="I11" s="247"/>
      <c r="J11" s="247"/>
      <c r="K11" s="247"/>
      <c r="L11" s="247"/>
      <c r="M11" s="248"/>
    </row>
    <row r="12" spans="1:22" ht="33" customHeight="1" thickBot="1" x14ac:dyDescent="0.3">
      <c r="A12" s="107">
        <v>1000</v>
      </c>
      <c r="B12" s="106" t="s">
        <v>149</v>
      </c>
      <c r="C12" s="105"/>
      <c r="D12" s="105"/>
      <c r="E12" s="105"/>
      <c r="F12" s="105"/>
      <c r="G12" s="105"/>
      <c r="H12" s="105"/>
      <c r="I12" s="105"/>
      <c r="J12" s="105"/>
      <c r="K12" s="105"/>
      <c r="L12" s="105"/>
      <c r="M12" s="104"/>
    </row>
    <row r="13" spans="1:22" ht="16.5" thickBot="1" x14ac:dyDescent="0.3">
      <c r="A13" s="224" t="s">
        <v>148</v>
      </c>
      <c r="B13" s="225"/>
      <c r="C13" s="225"/>
      <c r="D13" s="225"/>
      <c r="E13" s="225"/>
      <c r="F13" s="225"/>
      <c r="G13" s="225"/>
      <c r="H13" s="225"/>
      <c r="I13" s="225"/>
      <c r="J13" s="225"/>
      <c r="K13" s="225"/>
      <c r="L13" s="225"/>
      <c r="M13" s="226"/>
    </row>
    <row r="14" spans="1:22"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135">
        <f>Tab_Def_Flows[[#This Row],[Flow_CC_DM'[%']]]*Tab_Def_Flows[[#This Row],[Flow_DM'[%']]]</f>
        <v>0</v>
      </c>
    </row>
    <row r="15" spans="1:22"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135">
        <f>Tab_Def_Flows[[#This Row],[Flow_CC_DM'[%']]]*Tab_Def_Flows[[#This Row],[Flow_DM'[%']]]</f>
        <v>0</v>
      </c>
    </row>
    <row r="16" spans="1:22" ht="23.25" customHeight="1" x14ac:dyDescent="0.25">
      <c r="A16" s="59" t="str">
        <f t="shared" ref="A16:A21" si="0">B5</f>
        <v>Weizenstroh</v>
      </c>
      <c r="B16" s="35">
        <v>1000</v>
      </c>
      <c r="C16" s="86">
        <f t="shared" ref="C16:C21" si="1">B16/$B$22</f>
        <v>1</v>
      </c>
      <c r="D16" s="85" t="s">
        <v>107</v>
      </c>
      <c r="E16" s="84">
        <v>0.86</v>
      </c>
      <c r="F16" s="34">
        <f t="shared" ref="F16:F21" si="2">E16*B16</f>
        <v>860</v>
      </c>
      <c r="G16" s="83">
        <f t="shared" ref="G16:G21" si="3">F16/$F$22</f>
        <v>1</v>
      </c>
      <c r="H16" s="82" t="s">
        <v>107</v>
      </c>
      <c r="I16" s="81">
        <v>0.14000000000000001</v>
      </c>
      <c r="J16" s="33">
        <f t="shared" ref="J16:J21" si="4">I16*B16</f>
        <v>140</v>
      </c>
      <c r="K16" s="101">
        <f t="shared" ref="K16:K21" si="5">J16/$J$22</f>
        <v>1</v>
      </c>
      <c r="L16" s="78" t="s">
        <v>107</v>
      </c>
      <c r="M16" s="78"/>
    </row>
    <row r="17" spans="1:23" ht="23.25" customHeight="1" x14ac:dyDescent="0.25">
      <c r="A17" s="59" t="e">
        <f t="shared" si="0"/>
        <v>#REF!</v>
      </c>
      <c r="B17" s="35"/>
      <c r="C17" s="86">
        <f t="shared" si="1"/>
        <v>0</v>
      </c>
      <c r="D17" s="85" t="s">
        <v>107</v>
      </c>
      <c r="E17" s="84"/>
      <c r="F17" s="34">
        <f t="shared" si="2"/>
        <v>0</v>
      </c>
      <c r="G17" s="83">
        <f t="shared" si="3"/>
        <v>0</v>
      </c>
      <c r="H17" s="82" t="s">
        <v>107</v>
      </c>
      <c r="I17" s="81"/>
      <c r="J17" s="33">
        <f t="shared" si="4"/>
        <v>0</v>
      </c>
      <c r="K17" s="101">
        <f t="shared" si="5"/>
        <v>0</v>
      </c>
      <c r="L17" s="78" t="s">
        <v>107</v>
      </c>
      <c r="M17" s="78"/>
    </row>
    <row r="18" spans="1:23" ht="23.25" customHeight="1" x14ac:dyDescent="0.25">
      <c r="A18" s="59" t="e">
        <f t="shared" si="0"/>
        <v>#REF!</v>
      </c>
      <c r="B18" s="35"/>
      <c r="C18" s="86">
        <f t="shared" si="1"/>
        <v>0</v>
      </c>
      <c r="D18" s="85"/>
      <c r="E18" s="84"/>
      <c r="F18" s="34">
        <f t="shared" si="2"/>
        <v>0</v>
      </c>
      <c r="G18" s="83">
        <f t="shared" si="3"/>
        <v>0</v>
      </c>
      <c r="H18" s="82"/>
      <c r="I18" s="81"/>
      <c r="J18" s="33">
        <f t="shared" si="4"/>
        <v>0</v>
      </c>
      <c r="K18" s="101">
        <f t="shared" si="5"/>
        <v>0</v>
      </c>
      <c r="L18" s="79"/>
      <c r="M18" s="78"/>
    </row>
    <row r="19" spans="1:23" ht="23.25" customHeight="1" x14ac:dyDescent="0.25">
      <c r="A19" s="59" t="e">
        <f t="shared" si="0"/>
        <v>#REF!</v>
      </c>
      <c r="B19" s="35"/>
      <c r="C19" s="86">
        <f t="shared" si="1"/>
        <v>0</v>
      </c>
      <c r="D19" s="85"/>
      <c r="E19" s="84"/>
      <c r="F19" s="34">
        <f t="shared" si="2"/>
        <v>0</v>
      </c>
      <c r="G19" s="83">
        <f t="shared" si="3"/>
        <v>0</v>
      </c>
      <c r="H19" s="103"/>
      <c r="I19" s="102"/>
      <c r="J19" s="33">
        <f t="shared" si="4"/>
        <v>0</v>
      </c>
      <c r="K19" s="101">
        <f t="shared" si="5"/>
        <v>0</v>
      </c>
      <c r="L19" s="79"/>
      <c r="M19" s="78"/>
    </row>
    <row r="20" spans="1:23" ht="23.25" customHeight="1" x14ac:dyDescent="0.25">
      <c r="A20" s="59" t="e">
        <f t="shared" si="0"/>
        <v>#REF!</v>
      </c>
      <c r="B20" s="35"/>
      <c r="C20" s="86">
        <f t="shared" si="1"/>
        <v>0</v>
      </c>
      <c r="D20" s="85"/>
      <c r="E20" s="84"/>
      <c r="F20" s="34">
        <f t="shared" si="2"/>
        <v>0</v>
      </c>
      <c r="G20" s="83">
        <f t="shared" si="3"/>
        <v>0</v>
      </c>
      <c r="H20" s="103"/>
      <c r="I20" s="102"/>
      <c r="J20" s="33">
        <f t="shared" si="4"/>
        <v>0</v>
      </c>
      <c r="K20" s="101">
        <f t="shared" si="5"/>
        <v>0</v>
      </c>
      <c r="L20" s="79"/>
      <c r="M20" s="78"/>
    </row>
    <row r="21" spans="1:23" ht="23.25" customHeight="1" thickBot="1" x14ac:dyDescent="0.3">
      <c r="A21" s="59">
        <f t="shared" si="0"/>
        <v>0</v>
      </c>
      <c r="B21" s="35"/>
      <c r="C21" s="86">
        <f t="shared" si="1"/>
        <v>0</v>
      </c>
      <c r="D21" s="85"/>
      <c r="E21" s="84"/>
      <c r="F21" s="34">
        <f t="shared" si="2"/>
        <v>0</v>
      </c>
      <c r="G21" s="83">
        <f t="shared" si="3"/>
        <v>0</v>
      </c>
      <c r="H21" s="103"/>
      <c r="I21" s="102"/>
      <c r="J21" s="33">
        <f t="shared" si="4"/>
        <v>0</v>
      </c>
      <c r="K21" s="101">
        <f t="shared" si="5"/>
        <v>0</v>
      </c>
      <c r="L21" s="79"/>
      <c r="M21" s="78"/>
    </row>
    <row r="22" spans="1:23" ht="16.5" thickBot="1" x14ac:dyDescent="0.3">
      <c r="A22" s="49" t="s">
        <v>109</v>
      </c>
      <c r="B22" s="77">
        <f>SUM(B16:B19)</f>
        <v>1000</v>
      </c>
      <c r="C22" s="100">
        <f>C16+C17+C18</f>
        <v>1</v>
      </c>
      <c r="D22" s="75"/>
      <c r="E22" s="74">
        <f>F22/B22</f>
        <v>0.86</v>
      </c>
      <c r="F22" s="73">
        <f>SUM(F16:F19)</f>
        <v>860</v>
      </c>
      <c r="G22" s="99">
        <f>SUM(G16:G19)</f>
        <v>1</v>
      </c>
      <c r="H22" s="71"/>
      <c r="I22" s="70">
        <f>J22/B22</f>
        <v>0.14000000000000001</v>
      </c>
      <c r="J22" s="69">
        <f>J16+J17+J18</f>
        <v>140</v>
      </c>
      <c r="K22" s="98">
        <f>SUM(K16:K19)</f>
        <v>1</v>
      </c>
      <c r="L22" s="67"/>
      <c r="M22" s="66"/>
    </row>
    <row r="23" spans="1:23" ht="16.5" customHeight="1" thickBot="1" x14ac:dyDescent="0.3">
      <c r="A23" s="129" t="s">
        <v>134</v>
      </c>
      <c r="B23" s="240" t="s">
        <v>133</v>
      </c>
      <c r="C23" s="241"/>
      <c r="D23" s="241"/>
      <c r="E23" s="241"/>
      <c r="F23" s="241"/>
      <c r="G23" s="241"/>
      <c r="H23" s="242"/>
      <c r="I23" s="243" t="s">
        <v>132</v>
      </c>
      <c r="J23" s="244"/>
      <c r="K23" s="244"/>
      <c r="L23" s="244"/>
      <c r="M23" s="245"/>
    </row>
    <row r="24" spans="1:23" ht="63.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P24" s="143">
        <v>0.14000000000000001</v>
      </c>
      <c r="Q24" s="22" t="s">
        <v>91</v>
      </c>
      <c r="R24" s="143">
        <v>0.86</v>
      </c>
      <c r="S24" s="22" t="s">
        <v>91</v>
      </c>
      <c r="T24" s="143">
        <v>0.48</v>
      </c>
      <c r="U24" s="22" t="s">
        <v>91</v>
      </c>
      <c r="V24" s="135">
        <f>Tab_Def_Flows[[#This Row],[Flow_CC_DM'[%']]]*Tab_Def_Flows[[#This Row],[Flow_DM'[%']]]</f>
        <v>0</v>
      </c>
      <c r="W24" s="144" t="s">
        <v>92</v>
      </c>
    </row>
    <row r="25" spans="1:23" ht="27" customHeight="1" x14ac:dyDescent="0.25">
      <c r="A25" s="59" t="str">
        <f t="shared" ref="A25:A30" si="6">B5</f>
        <v>Weizenstroh</v>
      </c>
      <c r="B25" s="58">
        <v>0.45</v>
      </c>
      <c r="C25" s="56">
        <f>F16*B25</f>
        <v>387</v>
      </c>
      <c r="D25" s="57">
        <f t="shared" ref="D25:D30" si="7">C25/$C$31</f>
        <v>1</v>
      </c>
      <c r="E25" s="56" t="s">
        <v>107</v>
      </c>
      <c r="F25" s="55">
        <f t="shared" ref="F25:F30" si="8">B25*E16</f>
        <v>0.38700000000000001</v>
      </c>
      <c r="G25" s="54">
        <f t="shared" ref="G25:G30" si="9">B25*E16*B16</f>
        <v>387</v>
      </c>
      <c r="H25" s="53">
        <f t="shared" ref="H25:H30" si="10">G25/$G$31</f>
        <v>1</v>
      </c>
      <c r="I25" s="97">
        <f t="shared" ref="I25:I30" si="11">$A$12*C16</f>
        <v>1000</v>
      </c>
      <c r="J25" s="96">
        <f t="shared" ref="J25:J30" si="12">I25*E16</f>
        <v>860</v>
      </c>
      <c r="K25" s="96">
        <f>I25*I16</f>
        <v>140</v>
      </c>
      <c r="L25" s="96">
        <f t="shared" ref="L25:L30" si="13">SUM(J25:K25)</f>
        <v>1000</v>
      </c>
      <c r="M25" s="95">
        <f t="shared" ref="M25:M30" si="14">I25*F25</f>
        <v>387</v>
      </c>
    </row>
    <row r="26" spans="1:23" ht="15.75" x14ac:dyDescent="0.25">
      <c r="A26" s="59" t="e">
        <f t="shared" si="6"/>
        <v>#REF!</v>
      </c>
      <c r="B26" s="58">
        <v>0</v>
      </c>
      <c r="C26" s="56">
        <f>J17*B26</f>
        <v>0</v>
      </c>
      <c r="D26" s="57">
        <f t="shared" si="7"/>
        <v>0</v>
      </c>
      <c r="E26" s="56" t="s">
        <v>107</v>
      </c>
      <c r="F26" s="55">
        <f t="shared" si="8"/>
        <v>0</v>
      </c>
      <c r="G26" s="54">
        <f t="shared" si="9"/>
        <v>0</v>
      </c>
      <c r="H26" s="53">
        <f t="shared" si="10"/>
        <v>0</v>
      </c>
      <c r="I26" s="97">
        <f t="shared" si="11"/>
        <v>0</v>
      </c>
      <c r="J26" s="96">
        <f t="shared" si="12"/>
        <v>0</v>
      </c>
      <c r="K26" s="96">
        <f t="shared" ref="K26:K30" si="15">I26*I17</f>
        <v>0</v>
      </c>
      <c r="L26" s="96">
        <f t="shared" si="13"/>
        <v>0</v>
      </c>
      <c r="M26" s="95">
        <f t="shared" si="14"/>
        <v>0</v>
      </c>
    </row>
    <row r="27" spans="1:23" ht="15.75" x14ac:dyDescent="0.25">
      <c r="A27" s="59" t="e">
        <f t="shared" si="6"/>
        <v>#REF!</v>
      </c>
      <c r="B27" s="58">
        <v>0</v>
      </c>
      <c r="C27" s="56">
        <f t="shared" ref="C27:C30" si="16">F18*B27</f>
        <v>0</v>
      </c>
      <c r="D27" s="57">
        <f t="shared" si="7"/>
        <v>0</v>
      </c>
      <c r="E27" s="56"/>
      <c r="F27" s="55">
        <f t="shared" si="8"/>
        <v>0</v>
      </c>
      <c r="G27" s="54">
        <f t="shared" si="9"/>
        <v>0</v>
      </c>
      <c r="H27" s="53">
        <f t="shared" si="10"/>
        <v>0</v>
      </c>
      <c r="I27" s="97">
        <f t="shared" si="11"/>
        <v>0</v>
      </c>
      <c r="J27" s="96">
        <f t="shared" si="12"/>
        <v>0</v>
      </c>
      <c r="K27" s="96">
        <f t="shared" si="15"/>
        <v>0</v>
      </c>
      <c r="L27" s="96">
        <f t="shared" si="13"/>
        <v>0</v>
      </c>
      <c r="M27" s="95">
        <f t="shared" si="14"/>
        <v>0</v>
      </c>
      <c r="Q27">
        <v>0.76158038205651879</v>
      </c>
    </row>
    <row r="28" spans="1:23" ht="15.75" x14ac:dyDescent="0.25">
      <c r="A28" s="59" t="e">
        <f t="shared" si="6"/>
        <v>#REF!</v>
      </c>
      <c r="B28" s="58">
        <v>0</v>
      </c>
      <c r="C28" s="56">
        <f t="shared" si="16"/>
        <v>0</v>
      </c>
      <c r="D28" s="57">
        <f t="shared" si="7"/>
        <v>0</v>
      </c>
      <c r="E28" s="56"/>
      <c r="F28" s="55">
        <f t="shared" si="8"/>
        <v>0</v>
      </c>
      <c r="G28" s="54">
        <f t="shared" si="9"/>
        <v>0</v>
      </c>
      <c r="H28" s="53">
        <f t="shared" si="10"/>
        <v>0</v>
      </c>
      <c r="I28" s="97">
        <f t="shared" si="11"/>
        <v>0</v>
      </c>
      <c r="J28" s="96">
        <f t="shared" si="12"/>
        <v>0</v>
      </c>
      <c r="K28" s="96">
        <f t="shared" si="15"/>
        <v>0</v>
      </c>
      <c r="L28" s="96">
        <f t="shared" si="13"/>
        <v>0</v>
      </c>
      <c r="M28" s="95">
        <f t="shared" si="14"/>
        <v>0</v>
      </c>
    </row>
    <row r="29" spans="1:23" ht="15.75" x14ac:dyDescent="0.25">
      <c r="A29" s="59" t="e">
        <f t="shared" si="6"/>
        <v>#REF!</v>
      </c>
      <c r="B29" s="58">
        <v>0</v>
      </c>
      <c r="C29" s="56">
        <f t="shared" si="16"/>
        <v>0</v>
      </c>
      <c r="D29" s="57">
        <f t="shared" si="7"/>
        <v>0</v>
      </c>
      <c r="E29" s="56"/>
      <c r="F29" s="55">
        <f t="shared" si="8"/>
        <v>0</v>
      </c>
      <c r="G29" s="54">
        <f t="shared" si="9"/>
        <v>0</v>
      </c>
      <c r="H29" s="53">
        <f t="shared" si="10"/>
        <v>0</v>
      </c>
      <c r="I29" s="97">
        <f t="shared" si="11"/>
        <v>0</v>
      </c>
      <c r="J29" s="96">
        <f t="shared" si="12"/>
        <v>0</v>
      </c>
      <c r="K29" s="96">
        <f t="shared" si="15"/>
        <v>0</v>
      </c>
      <c r="L29" s="96">
        <f t="shared" si="13"/>
        <v>0</v>
      </c>
      <c r="M29" s="95">
        <f t="shared" si="14"/>
        <v>0</v>
      </c>
    </row>
    <row r="30" spans="1:23" ht="16.5" thickBot="1" x14ac:dyDescent="0.3">
      <c r="A30" s="59">
        <f t="shared" si="6"/>
        <v>0</v>
      </c>
      <c r="B30" s="58">
        <v>0</v>
      </c>
      <c r="C30" s="56">
        <f t="shared" si="16"/>
        <v>0</v>
      </c>
      <c r="D30" s="57">
        <f t="shared" si="7"/>
        <v>0</v>
      </c>
      <c r="E30" s="56"/>
      <c r="F30" s="55">
        <f t="shared" si="8"/>
        <v>0</v>
      </c>
      <c r="G30" s="54">
        <f t="shared" si="9"/>
        <v>0</v>
      </c>
      <c r="H30" s="53">
        <f t="shared" si="10"/>
        <v>0</v>
      </c>
      <c r="I30" s="97">
        <f t="shared" si="11"/>
        <v>0</v>
      </c>
      <c r="J30" s="96">
        <f t="shared" si="12"/>
        <v>0</v>
      </c>
      <c r="K30" s="96">
        <f t="shared" si="15"/>
        <v>0</v>
      </c>
      <c r="L30" s="96">
        <f t="shared" si="13"/>
        <v>0</v>
      </c>
      <c r="M30" s="95">
        <f t="shared" si="14"/>
        <v>0</v>
      </c>
    </row>
    <row r="31" spans="1:23" ht="16.5" thickBot="1" x14ac:dyDescent="0.3">
      <c r="A31" s="49" t="s">
        <v>109</v>
      </c>
      <c r="B31" s="48">
        <f>C31/F22</f>
        <v>0.45</v>
      </c>
      <c r="C31" s="46">
        <f>SUM(C25:C30)</f>
        <v>387</v>
      </c>
      <c r="D31" s="94">
        <f>SUM(D24:D30)</f>
        <v>1</v>
      </c>
      <c r="E31" s="46"/>
      <c r="F31" s="93">
        <f>G31/B22</f>
        <v>0.38700000000000001</v>
      </c>
      <c r="G31" s="44">
        <f t="shared" ref="G31:M31" si="17">SUM(G25:G30)</f>
        <v>387</v>
      </c>
      <c r="H31" s="43">
        <f t="shared" si="17"/>
        <v>1</v>
      </c>
      <c r="I31" s="42">
        <f t="shared" si="17"/>
        <v>1000</v>
      </c>
      <c r="J31" s="41">
        <f t="shared" si="17"/>
        <v>860</v>
      </c>
      <c r="K31" s="41">
        <f t="shared" si="17"/>
        <v>140</v>
      </c>
      <c r="L31" s="41">
        <f t="shared" si="17"/>
        <v>1000</v>
      </c>
      <c r="M31" s="40">
        <f t="shared" si="17"/>
        <v>387</v>
      </c>
    </row>
    <row r="32" spans="1:23" ht="16.5" thickBot="1" x14ac:dyDescent="0.3">
      <c r="A32" s="228" t="s">
        <v>147</v>
      </c>
      <c r="B32" s="229"/>
      <c r="C32" s="229"/>
      <c r="D32" s="229"/>
      <c r="E32" s="229"/>
      <c r="F32" s="229"/>
      <c r="G32" s="229"/>
      <c r="H32" s="229"/>
      <c r="I32" s="229"/>
      <c r="J32" s="229"/>
      <c r="K32" s="229"/>
      <c r="L32" s="229"/>
      <c r="M32" s="230"/>
    </row>
    <row r="33" spans="1:20" ht="16.5" customHeight="1" thickBot="1" x14ac:dyDescent="0.3">
      <c r="A33" s="65" t="s">
        <v>134</v>
      </c>
      <c r="B33" s="231" t="s">
        <v>146</v>
      </c>
      <c r="C33" s="232"/>
      <c r="D33" s="233"/>
      <c r="E33" s="234" t="s">
        <v>145</v>
      </c>
      <c r="F33" s="235"/>
      <c r="G33" s="235"/>
      <c r="H33" s="236"/>
      <c r="I33" s="237" t="s">
        <v>144</v>
      </c>
      <c r="J33" s="238"/>
      <c r="K33" s="238"/>
      <c r="L33" s="238"/>
      <c r="M33" s="239"/>
    </row>
    <row r="34" spans="1:20"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20" ht="15.75" x14ac:dyDescent="0.25">
      <c r="A35" s="59" t="str">
        <f t="shared" ref="A35:A40" si="18">F5</f>
        <v>Pflanzenkohle</v>
      </c>
      <c r="B35" s="35">
        <v>251.55</v>
      </c>
      <c r="C35" s="86">
        <f t="shared" ref="C35:C40" si="19">B35/$B$41</f>
        <v>0.25155</v>
      </c>
      <c r="D35" s="85" t="s">
        <v>107</v>
      </c>
      <c r="E35" s="84">
        <v>1</v>
      </c>
      <c r="F35" s="34">
        <f>1000-F36-F37-140</f>
        <v>251.54999999999995</v>
      </c>
      <c r="G35" s="83">
        <f t="shared" ref="G35:G40" si="20">F35/$F$41</f>
        <v>0.29249999999999993</v>
      </c>
      <c r="H35" s="82" t="s">
        <v>107</v>
      </c>
      <c r="I35" s="81">
        <f>1-E35</f>
        <v>0</v>
      </c>
      <c r="J35" s="33">
        <f t="shared" ref="J35:J40" si="21">I35*B35</f>
        <v>0</v>
      </c>
      <c r="K35" s="80">
        <f>J35/$J$41</f>
        <v>0</v>
      </c>
      <c r="L35" s="79" t="s">
        <v>107</v>
      </c>
      <c r="M35" s="78"/>
      <c r="R35" t="e">
        <f>C54/B17</f>
        <v>#DIV/0!</v>
      </c>
    </row>
    <row r="36" spans="1:20" ht="15.75" x14ac:dyDescent="0.25">
      <c r="A36" s="59" t="str">
        <f t="shared" si="18"/>
        <v>Pyrolyse Emissionen C</v>
      </c>
      <c r="B36" s="35">
        <v>135.44999999999999</v>
      </c>
      <c r="C36" s="86">
        <f t="shared" si="19"/>
        <v>0.13544999999999999</v>
      </c>
      <c r="D36" s="85" t="s">
        <v>107</v>
      </c>
      <c r="E36" s="84">
        <v>1</v>
      </c>
      <c r="F36" s="34">
        <f t="shared" ref="F36:F40" si="22">E36*B36</f>
        <v>135.44999999999999</v>
      </c>
      <c r="G36" s="83">
        <f t="shared" si="20"/>
        <v>0.15749999999999997</v>
      </c>
      <c r="H36" s="82" t="s">
        <v>107</v>
      </c>
      <c r="I36" s="81">
        <v>0</v>
      </c>
      <c r="J36" s="33">
        <f t="shared" si="21"/>
        <v>0</v>
      </c>
      <c r="K36" s="80">
        <f>J36/$J$41</f>
        <v>0</v>
      </c>
      <c r="L36" s="79" t="s">
        <v>107</v>
      </c>
      <c r="M36" s="78"/>
    </row>
    <row r="37" spans="1:20" ht="15.75" x14ac:dyDescent="0.25">
      <c r="A37" s="59" t="str">
        <f t="shared" si="18"/>
        <v>Pyrolyse Emissionen E</v>
      </c>
      <c r="B37" s="35">
        <f>140+473</f>
        <v>613</v>
      </c>
      <c r="C37" s="86">
        <f t="shared" si="19"/>
        <v>0.61299999999999999</v>
      </c>
      <c r="D37" s="85"/>
      <c r="E37" s="84">
        <v>0.77161500815660689</v>
      </c>
      <c r="F37" s="34">
        <v>473</v>
      </c>
      <c r="G37" s="83">
        <f t="shared" si="20"/>
        <v>0.55000000000000004</v>
      </c>
      <c r="H37" s="82"/>
      <c r="I37" s="81">
        <v>0.22838499184339314</v>
      </c>
      <c r="J37" s="33">
        <f>I37*B37</f>
        <v>140</v>
      </c>
      <c r="K37" s="80">
        <f>J37/$J$41</f>
        <v>1</v>
      </c>
      <c r="L37" s="79"/>
      <c r="M37" s="78"/>
      <c r="P37" s="189">
        <f>860-G25</f>
        <v>473</v>
      </c>
    </row>
    <row r="38" spans="1:20" ht="15.75" x14ac:dyDescent="0.25">
      <c r="A38" s="59" t="e">
        <f t="shared" si="18"/>
        <v>#REF!</v>
      </c>
      <c r="B38" s="35"/>
      <c r="C38" s="86">
        <f t="shared" si="19"/>
        <v>0</v>
      </c>
      <c r="D38" s="85"/>
      <c r="E38" s="84"/>
      <c r="F38" s="34">
        <f t="shared" si="22"/>
        <v>0</v>
      </c>
      <c r="G38" s="83">
        <f t="shared" si="20"/>
        <v>0</v>
      </c>
      <c r="H38" s="82"/>
      <c r="I38" s="81"/>
      <c r="J38" s="33">
        <f t="shared" si="21"/>
        <v>0</v>
      </c>
      <c r="K38" s="80">
        <f>J38/$J$41</f>
        <v>0</v>
      </c>
      <c r="L38" s="79"/>
      <c r="M38" s="78"/>
    </row>
    <row r="39" spans="1:20" ht="15.75" x14ac:dyDescent="0.25">
      <c r="A39" s="59" t="e">
        <f t="shared" si="18"/>
        <v>#REF!</v>
      </c>
      <c r="B39" s="35"/>
      <c r="C39" s="86">
        <f t="shared" si="19"/>
        <v>0</v>
      </c>
      <c r="D39" s="85"/>
      <c r="E39" s="84"/>
      <c r="F39" s="34">
        <f t="shared" si="22"/>
        <v>0</v>
      </c>
      <c r="G39" s="83">
        <f t="shared" si="20"/>
        <v>0</v>
      </c>
      <c r="H39" s="82"/>
      <c r="I39" s="81"/>
      <c r="J39" s="33">
        <f t="shared" si="21"/>
        <v>0</v>
      </c>
      <c r="K39" s="80">
        <f>J39/$J$41</f>
        <v>0</v>
      </c>
      <c r="L39" s="79"/>
      <c r="M39" s="78"/>
    </row>
    <row r="40" spans="1:20" ht="16.5" thickBot="1" x14ac:dyDescent="0.3">
      <c r="A40" s="59">
        <f t="shared" si="18"/>
        <v>0</v>
      </c>
      <c r="B40" s="35"/>
      <c r="C40" s="86">
        <f t="shared" si="19"/>
        <v>0</v>
      </c>
      <c r="D40" s="85"/>
      <c r="E40" s="84"/>
      <c r="F40" s="34">
        <f t="shared" si="22"/>
        <v>0</v>
      </c>
      <c r="G40" s="83">
        <f t="shared" si="20"/>
        <v>0</v>
      </c>
      <c r="H40" s="82"/>
      <c r="I40" s="81"/>
      <c r="J40" s="33">
        <f t="shared" si="21"/>
        <v>0</v>
      </c>
      <c r="K40" s="80">
        <f>J40/$J$22</f>
        <v>0</v>
      </c>
      <c r="L40" s="79"/>
      <c r="M40" s="78"/>
    </row>
    <row r="41" spans="1:20" ht="16.5" thickBot="1" x14ac:dyDescent="0.3">
      <c r="A41" s="49" t="s">
        <v>109</v>
      </c>
      <c r="B41" s="77">
        <f>SUM(B35:B40)</f>
        <v>1000</v>
      </c>
      <c r="C41" s="76">
        <f>SUM(C35:C40)</f>
        <v>1</v>
      </c>
      <c r="D41" s="75"/>
      <c r="E41" s="74">
        <f>F41/B41</f>
        <v>0.86</v>
      </c>
      <c r="F41" s="73">
        <f>SUM(F35:F40)</f>
        <v>860</v>
      </c>
      <c r="G41" s="72">
        <f>SUM(G35:G40)</f>
        <v>1</v>
      </c>
      <c r="H41" s="71"/>
      <c r="I41" s="70">
        <f>J41/B41</f>
        <v>0.14000000000000001</v>
      </c>
      <c r="J41" s="69">
        <f>SUM(J35:J40)</f>
        <v>140</v>
      </c>
      <c r="K41" s="68">
        <f>SUM(K35:K40)</f>
        <v>1</v>
      </c>
      <c r="L41" s="67"/>
      <c r="M41" s="66"/>
      <c r="P41" s="190">
        <f>140/B37</f>
        <v>0.22838499184339314</v>
      </c>
    </row>
    <row r="42" spans="1:20" ht="16.5" customHeight="1" thickBot="1" x14ac:dyDescent="0.3">
      <c r="A42" s="129" t="s">
        <v>134</v>
      </c>
      <c r="B42" s="240" t="s">
        <v>133</v>
      </c>
      <c r="C42" s="241"/>
      <c r="D42" s="241"/>
      <c r="E42" s="241"/>
      <c r="F42" s="241"/>
      <c r="G42" s="241"/>
      <c r="H42" s="242"/>
      <c r="I42" s="243" t="s">
        <v>132</v>
      </c>
      <c r="J42" s="244"/>
      <c r="K42" s="244"/>
      <c r="L42" s="244"/>
      <c r="M42" s="245"/>
      <c r="P42">
        <f>F37/B37</f>
        <v>0.77161500815660689</v>
      </c>
    </row>
    <row r="43" spans="1:20" ht="63.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row>
    <row r="44" spans="1:20" ht="15.75" x14ac:dyDescent="0.25">
      <c r="A44" s="59" t="str">
        <f t="shared" ref="A44:A49" si="23">A35</f>
        <v>Pflanzenkohle</v>
      </c>
      <c r="B44" s="58">
        <v>1</v>
      </c>
      <c r="C44" s="56">
        <v>228.32999999999998</v>
      </c>
      <c r="D44" s="57">
        <f t="shared" ref="D44:D49" si="24">C44/$C$50</f>
        <v>0.59</v>
      </c>
      <c r="E44" s="56" t="s">
        <v>107</v>
      </c>
      <c r="F44" s="55">
        <f>B44*E35</f>
        <v>1</v>
      </c>
      <c r="G44" s="54">
        <f>B44*E35*B35</f>
        <v>251.55</v>
      </c>
      <c r="H44" s="53">
        <f t="shared" ref="H44:H49" si="25">G44/$G$50</f>
        <v>0.65</v>
      </c>
      <c r="I44" s="52">
        <f t="shared" ref="I44:I49" si="26">$A$12*B58</f>
        <v>251.54999999999998</v>
      </c>
      <c r="J44" s="51">
        <f t="shared" ref="J44:J49" si="27">I44*E35</f>
        <v>251.54999999999998</v>
      </c>
      <c r="K44" s="51">
        <f t="shared" ref="K44:K49" si="28">I44*I35</f>
        <v>0</v>
      </c>
      <c r="L44" s="51">
        <f t="shared" ref="L44:L49" si="29">SUM(J44:K44)</f>
        <v>251.54999999999998</v>
      </c>
      <c r="M44" s="50">
        <f t="shared" ref="M44:M49" si="30">I44*F44</f>
        <v>251.54999999999998</v>
      </c>
    </row>
    <row r="45" spans="1:20" ht="15.75" x14ac:dyDescent="0.25">
      <c r="A45" s="59" t="str">
        <f t="shared" si="23"/>
        <v>Pyrolyse Emissionen C</v>
      </c>
      <c r="B45" s="58">
        <v>1</v>
      </c>
      <c r="C45" s="56">
        <v>158.66999999999999</v>
      </c>
      <c r="D45" s="57">
        <f t="shared" si="24"/>
        <v>0.41</v>
      </c>
      <c r="E45" s="56" t="s">
        <v>107</v>
      </c>
      <c r="F45" s="55">
        <f t="shared" ref="F45:F49" si="31">B45*E36</f>
        <v>1</v>
      </c>
      <c r="G45" s="54">
        <f t="shared" ref="G45:G49" si="32">B45*E36*B36</f>
        <v>135.44999999999999</v>
      </c>
      <c r="H45" s="53">
        <f t="shared" si="25"/>
        <v>0.35</v>
      </c>
      <c r="I45" s="52">
        <f t="shared" si="26"/>
        <v>135.44999999999999</v>
      </c>
      <c r="J45" s="51">
        <f t="shared" si="27"/>
        <v>135.44999999999999</v>
      </c>
      <c r="K45" s="51">
        <f t="shared" si="28"/>
        <v>0</v>
      </c>
      <c r="L45" s="51">
        <f t="shared" si="29"/>
        <v>135.44999999999999</v>
      </c>
      <c r="M45" s="50">
        <f t="shared" si="30"/>
        <v>135.44999999999999</v>
      </c>
    </row>
    <row r="46" spans="1:20" ht="15.75" x14ac:dyDescent="0.25">
      <c r="A46" s="59" t="str">
        <f t="shared" si="23"/>
        <v>Pyrolyse Emissionen E</v>
      </c>
      <c r="B46" s="58">
        <v>0</v>
      </c>
      <c r="C46" s="56">
        <f t="shared" ref="C46:C49" si="33">F37*B46</f>
        <v>0</v>
      </c>
      <c r="D46" s="57">
        <f t="shared" si="24"/>
        <v>0</v>
      </c>
      <c r="E46" s="56" t="s">
        <v>107</v>
      </c>
      <c r="F46" s="55">
        <f t="shared" si="31"/>
        <v>0</v>
      </c>
      <c r="G46" s="54">
        <f t="shared" si="32"/>
        <v>0</v>
      </c>
      <c r="H46" s="53">
        <f t="shared" si="25"/>
        <v>0</v>
      </c>
      <c r="I46" s="52">
        <f t="shared" si="26"/>
        <v>613</v>
      </c>
      <c r="J46" s="51">
        <f t="shared" si="27"/>
        <v>473</v>
      </c>
      <c r="K46" s="51">
        <f t="shared" si="28"/>
        <v>140</v>
      </c>
      <c r="L46" s="51">
        <f t="shared" si="29"/>
        <v>613</v>
      </c>
      <c r="M46" s="50">
        <f t="shared" si="30"/>
        <v>0</v>
      </c>
    </row>
    <row r="47" spans="1:20" ht="15.75" x14ac:dyDescent="0.25">
      <c r="A47" s="59" t="e">
        <f t="shared" si="23"/>
        <v>#REF!</v>
      </c>
      <c r="B47" s="58"/>
      <c r="C47" s="56">
        <f t="shared" si="33"/>
        <v>0</v>
      </c>
      <c r="D47" s="57">
        <f t="shared" si="24"/>
        <v>0</v>
      </c>
      <c r="E47" s="56"/>
      <c r="F47" s="55">
        <f t="shared" si="31"/>
        <v>0</v>
      </c>
      <c r="G47" s="54">
        <f t="shared" si="32"/>
        <v>0</v>
      </c>
      <c r="H47" s="53">
        <f t="shared" si="25"/>
        <v>0</v>
      </c>
      <c r="I47" s="52">
        <f t="shared" si="26"/>
        <v>0</v>
      </c>
      <c r="J47" s="51">
        <f t="shared" si="27"/>
        <v>0</v>
      </c>
      <c r="K47" s="51">
        <f t="shared" si="28"/>
        <v>0</v>
      </c>
      <c r="L47" s="51">
        <f t="shared" si="29"/>
        <v>0</v>
      </c>
      <c r="M47" s="50">
        <f t="shared" si="30"/>
        <v>0</v>
      </c>
      <c r="T47">
        <f>0.65*387</f>
        <v>251.55</v>
      </c>
    </row>
    <row r="48" spans="1:20" ht="15.75" x14ac:dyDescent="0.25">
      <c r="A48" s="59" t="e">
        <f t="shared" si="23"/>
        <v>#REF!</v>
      </c>
      <c r="B48" s="58"/>
      <c r="C48" s="56">
        <f t="shared" si="33"/>
        <v>0</v>
      </c>
      <c r="D48" s="57">
        <f t="shared" si="24"/>
        <v>0</v>
      </c>
      <c r="E48" s="56"/>
      <c r="F48" s="55">
        <f t="shared" si="31"/>
        <v>0</v>
      </c>
      <c r="G48" s="54">
        <f t="shared" si="32"/>
        <v>0</v>
      </c>
      <c r="H48" s="53">
        <f t="shared" si="25"/>
        <v>0</v>
      </c>
      <c r="I48" s="52">
        <f t="shared" si="26"/>
        <v>0</v>
      </c>
      <c r="J48" s="51">
        <f t="shared" si="27"/>
        <v>0</v>
      </c>
      <c r="K48" s="51">
        <f t="shared" si="28"/>
        <v>0</v>
      </c>
      <c r="L48" s="51">
        <f t="shared" si="29"/>
        <v>0</v>
      </c>
      <c r="M48" s="50">
        <f t="shared" si="30"/>
        <v>0</v>
      </c>
      <c r="T48">
        <f>0.35*387</f>
        <v>135.44999999999999</v>
      </c>
    </row>
    <row r="49" spans="1:17" ht="16.5" thickBot="1" x14ac:dyDescent="0.3">
      <c r="A49" s="59">
        <f t="shared" si="23"/>
        <v>0</v>
      </c>
      <c r="B49" s="58"/>
      <c r="C49" s="56">
        <f t="shared" si="33"/>
        <v>0</v>
      </c>
      <c r="D49" s="57">
        <f t="shared" si="24"/>
        <v>0</v>
      </c>
      <c r="E49" s="56"/>
      <c r="F49" s="55">
        <f t="shared" si="31"/>
        <v>0</v>
      </c>
      <c r="G49" s="54">
        <f t="shared" si="32"/>
        <v>0</v>
      </c>
      <c r="H49" s="53">
        <f t="shared" si="25"/>
        <v>0</v>
      </c>
      <c r="I49" s="52">
        <f t="shared" si="26"/>
        <v>0</v>
      </c>
      <c r="J49" s="51">
        <f t="shared" si="27"/>
        <v>0</v>
      </c>
      <c r="K49" s="51">
        <f t="shared" si="28"/>
        <v>0</v>
      </c>
      <c r="L49" s="51">
        <f t="shared" si="29"/>
        <v>0</v>
      </c>
      <c r="M49" s="50">
        <f t="shared" si="30"/>
        <v>0</v>
      </c>
      <c r="Q49" s="145"/>
    </row>
    <row r="50" spans="1:17" ht="16.5" thickBot="1" x14ac:dyDescent="0.3">
      <c r="A50" s="49" t="s">
        <v>109</v>
      </c>
      <c r="B50" s="48">
        <f>C50/F41</f>
        <v>0.45</v>
      </c>
      <c r="C50" s="46">
        <f>SUM(C44:C49)</f>
        <v>387</v>
      </c>
      <c r="D50" s="47">
        <f>SUM(D44:D49)</f>
        <v>1</v>
      </c>
      <c r="E50" s="46"/>
      <c r="F50" s="45">
        <f>G50/B41</f>
        <v>0.38700000000000001</v>
      </c>
      <c r="G50" s="44">
        <f t="shared" ref="G50:M50" si="34">SUM(G44:G49)</f>
        <v>387</v>
      </c>
      <c r="H50" s="43">
        <f t="shared" si="34"/>
        <v>1</v>
      </c>
      <c r="I50" s="42">
        <f t="shared" si="34"/>
        <v>1000</v>
      </c>
      <c r="J50" s="41">
        <f t="shared" si="34"/>
        <v>860</v>
      </c>
      <c r="K50" s="41">
        <f t="shared" si="34"/>
        <v>140</v>
      </c>
      <c r="L50" s="41">
        <f t="shared" si="34"/>
        <v>1000</v>
      </c>
      <c r="M50" s="40">
        <f t="shared" si="34"/>
        <v>387</v>
      </c>
    </row>
    <row r="51" spans="1:17" ht="15.75" thickBot="1" x14ac:dyDescent="0.3">
      <c r="A51" s="217" t="s">
        <v>119</v>
      </c>
      <c r="B51" s="218"/>
      <c r="C51" s="218"/>
      <c r="D51" s="218"/>
      <c r="E51" s="219"/>
      <c r="F51" s="220" t="s">
        <v>118</v>
      </c>
      <c r="G51" s="221"/>
      <c r="H51" s="221"/>
      <c r="I51" s="221"/>
      <c r="J51" s="221"/>
      <c r="K51" s="221"/>
      <c r="L51" s="221"/>
      <c r="M51" s="222"/>
    </row>
    <row r="52" spans="1:17" ht="16.5" thickBot="1" x14ac:dyDescent="0.3">
      <c r="A52" s="3" t="s">
        <v>117</v>
      </c>
      <c r="B52" s="39" t="s">
        <v>116</v>
      </c>
      <c r="C52" s="38" t="s">
        <v>89</v>
      </c>
      <c r="D52" s="37" t="s">
        <v>88</v>
      </c>
      <c r="E52" s="36" t="s">
        <v>115</v>
      </c>
      <c r="F52" s="213"/>
      <c r="G52" s="213"/>
      <c r="H52" s="213"/>
      <c r="I52" s="213"/>
      <c r="J52" s="213"/>
      <c r="K52" s="213"/>
      <c r="L52" s="213"/>
      <c r="M52" s="223"/>
    </row>
    <row r="53" spans="1:17" ht="15.75" x14ac:dyDescent="0.25">
      <c r="A53" s="4" t="s">
        <v>114</v>
      </c>
      <c r="B53" s="35">
        <f>B22</f>
        <v>1000</v>
      </c>
      <c r="C53" s="34">
        <f>F22</f>
        <v>860</v>
      </c>
      <c r="D53" s="33">
        <f>J22</f>
        <v>140</v>
      </c>
      <c r="E53" s="32">
        <f>C31</f>
        <v>387</v>
      </c>
      <c r="F53" s="213"/>
      <c r="G53" s="213"/>
      <c r="H53" s="213"/>
      <c r="I53" s="213"/>
      <c r="J53" s="213"/>
      <c r="K53" s="213"/>
      <c r="L53" s="213"/>
      <c r="M53" s="223"/>
    </row>
    <row r="54" spans="1:17" ht="16.5" thickBot="1" x14ac:dyDescent="0.3">
      <c r="A54" s="4" t="s">
        <v>113</v>
      </c>
      <c r="B54" s="35">
        <f>B41</f>
        <v>1000</v>
      </c>
      <c r="C54" s="34">
        <f>F41</f>
        <v>860</v>
      </c>
      <c r="D54" s="33">
        <f>J41</f>
        <v>140</v>
      </c>
      <c r="E54" s="32">
        <f>C50</f>
        <v>387</v>
      </c>
      <c r="F54" s="213"/>
      <c r="G54" s="213"/>
      <c r="H54" s="213"/>
      <c r="I54" s="213"/>
      <c r="J54" s="213"/>
      <c r="K54" s="213"/>
      <c r="L54" s="213"/>
      <c r="M54" s="223"/>
    </row>
    <row r="55" spans="1:17" ht="15.75" x14ac:dyDescent="0.25">
      <c r="A55" s="3" t="s">
        <v>112</v>
      </c>
      <c r="B55" s="124">
        <f>B53-B54</f>
        <v>0</v>
      </c>
      <c r="C55" s="125">
        <f>C53-C54</f>
        <v>0</v>
      </c>
      <c r="D55" s="126">
        <f>D53-D54</f>
        <v>0</v>
      </c>
      <c r="E55" s="127">
        <f>E53-E54</f>
        <v>0</v>
      </c>
      <c r="F55" s="213"/>
      <c r="G55" s="213"/>
      <c r="H55" s="213"/>
      <c r="I55" s="213"/>
      <c r="J55" s="213"/>
      <c r="K55" s="213"/>
      <c r="L55" s="213"/>
      <c r="M55" s="223"/>
    </row>
    <row r="56" spans="1:17" ht="16.5" thickBot="1" x14ac:dyDescent="0.3">
      <c r="A56" s="5" t="s">
        <v>111</v>
      </c>
      <c r="B56" s="31">
        <f>B53/B54</f>
        <v>1</v>
      </c>
      <c r="C56" s="29">
        <f>C53/C54</f>
        <v>1</v>
      </c>
      <c r="D56" s="28">
        <f>D53/D54</f>
        <v>1</v>
      </c>
      <c r="E56" s="27">
        <f>E53/E54</f>
        <v>1</v>
      </c>
      <c r="F56" s="213"/>
      <c r="G56" s="213"/>
      <c r="H56" s="213"/>
      <c r="I56" s="213"/>
      <c r="J56" s="213"/>
      <c r="K56" s="213"/>
      <c r="L56" s="213"/>
      <c r="M56" s="223"/>
    </row>
    <row r="57" spans="1:17" ht="15.75" thickBot="1" x14ac:dyDescent="0.3">
      <c r="A57" s="217" t="s">
        <v>110</v>
      </c>
      <c r="B57" s="218"/>
      <c r="C57" s="218"/>
      <c r="D57" s="218"/>
      <c r="E57" s="219"/>
      <c r="F57" s="213"/>
      <c r="G57" s="213"/>
      <c r="H57" s="213"/>
      <c r="I57" s="213"/>
      <c r="J57" s="213"/>
      <c r="K57" s="213"/>
      <c r="L57" s="213"/>
      <c r="M57" s="223"/>
    </row>
    <row r="58" spans="1:17" ht="16.5" thickBot="1" x14ac:dyDescent="0.3">
      <c r="A58" s="26" t="str">
        <f t="shared" ref="A58:A63" si="35">A44</f>
        <v>Pflanzenkohle</v>
      </c>
      <c r="B58" s="193">
        <f t="shared" ref="B58:B63" si="36">(B35*$C$41)/($B$22*$C$22)</f>
        <v>0.25155</v>
      </c>
      <c r="C58" s="194">
        <f>(E35*B35)/($B$22*$E$22)</f>
        <v>0.29250000000000004</v>
      </c>
      <c r="D58" s="195">
        <f t="shared" ref="D58:D63" si="37">(I35*B35)/($B$22*$I$22)</f>
        <v>0</v>
      </c>
      <c r="E58" s="196">
        <f t="shared" ref="E58:E63" si="38">(F44*B35)/($B$22*$F$31)</f>
        <v>0.65</v>
      </c>
      <c r="F58" s="213"/>
      <c r="G58" s="213"/>
      <c r="H58" s="213"/>
      <c r="I58" s="213"/>
      <c r="J58" s="213"/>
      <c r="K58" s="213"/>
      <c r="L58" s="213"/>
      <c r="M58" s="223"/>
    </row>
    <row r="59" spans="1:17" ht="16.5" thickBot="1" x14ac:dyDescent="0.3">
      <c r="A59" s="5" t="str">
        <f t="shared" si="35"/>
        <v>Pyrolyse Emissionen C</v>
      </c>
      <c r="B59" s="197">
        <f t="shared" si="36"/>
        <v>0.13544999999999999</v>
      </c>
      <c r="C59" s="198">
        <f>(E36*B36)/($B$22*$E$22)</f>
        <v>0.15749999999999997</v>
      </c>
      <c r="D59" s="199">
        <f t="shared" si="37"/>
        <v>0</v>
      </c>
      <c r="E59" s="200">
        <f t="shared" si="38"/>
        <v>0.35</v>
      </c>
      <c r="F59" s="213"/>
      <c r="G59" s="213"/>
      <c r="H59" s="213"/>
      <c r="I59" s="213"/>
      <c r="J59" s="213"/>
      <c r="K59" s="213"/>
      <c r="L59" s="213"/>
      <c r="M59" s="223"/>
    </row>
    <row r="60" spans="1:17" ht="16.5" thickBot="1" x14ac:dyDescent="0.3">
      <c r="A60" s="5" t="str">
        <f t="shared" si="35"/>
        <v>Pyrolyse Emissionen E</v>
      </c>
      <c r="B60" s="197">
        <f t="shared" si="36"/>
        <v>0.61299999999999999</v>
      </c>
      <c r="C60" s="198">
        <f>(E37*B37)/($B$22*$E$22)</f>
        <v>0.55000000000000004</v>
      </c>
      <c r="D60" s="199">
        <f>(I37*B37)/($B$22*$I$22)</f>
        <v>1</v>
      </c>
      <c r="E60" s="200">
        <f t="shared" si="38"/>
        <v>0</v>
      </c>
      <c r="F60" s="213"/>
      <c r="G60" s="213"/>
      <c r="H60" s="213"/>
      <c r="I60" s="213"/>
      <c r="J60" s="213"/>
      <c r="K60" s="213"/>
      <c r="L60" s="213"/>
      <c r="M60" s="223"/>
    </row>
    <row r="61" spans="1:17" ht="16.5" thickBot="1" x14ac:dyDescent="0.3">
      <c r="A61" s="5" t="e">
        <f t="shared" si="35"/>
        <v>#REF!</v>
      </c>
      <c r="B61" s="30">
        <f t="shared" si="36"/>
        <v>0</v>
      </c>
      <c r="C61" s="29">
        <f>($G$41*F38)/($B$22*$E$22)</f>
        <v>0</v>
      </c>
      <c r="D61" s="28">
        <f t="shared" si="37"/>
        <v>0</v>
      </c>
      <c r="E61" s="27">
        <f t="shared" si="38"/>
        <v>0</v>
      </c>
      <c r="F61" s="213"/>
      <c r="G61" s="213"/>
      <c r="H61" s="213"/>
      <c r="I61" s="213"/>
      <c r="J61" s="213"/>
      <c r="K61" s="213"/>
      <c r="L61" s="213"/>
      <c r="M61" s="223"/>
    </row>
    <row r="62" spans="1:17" ht="16.5" thickBot="1" x14ac:dyDescent="0.3">
      <c r="A62" s="5" t="e">
        <f t="shared" si="35"/>
        <v>#REF!</v>
      </c>
      <c r="B62" s="30">
        <f t="shared" si="36"/>
        <v>0</v>
      </c>
      <c r="C62" s="29">
        <f>(B39*E39)/($B$22*$E$22)</f>
        <v>0</v>
      </c>
      <c r="D62" s="28">
        <f t="shared" si="37"/>
        <v>0</v>
      </c>
      <c r="E62" s="27">
        <f t="shared" si="38"/>
        <v>0</v>
      </c>
      <c r="F62" s="213"/>
      <c r="G62" s="213"/>
      <c r="H62" s="213"/>
      <c r="I62" s="213"/>
      <c r="J62" s="213"/>
      <c r="K62" s="213"/>
      <c r="L62" s="213"/>
      <c r="M62" s="223"/>
    </row>
    <row r="63" spans="1:17" ht="16.5" thickBot="1" x14ac:dyDescent="0.3">
      <c r="A63" s="5">
        <f t="shared" si="35"/>
        <v>0</v>
      </c>
      <c r="B63" s="30">
        <f t="shared" si="36"/>
        <v>0</v>
      </c>
      <c r="C63" s="29">
        <f>(B40*E40)/($B$22*$E$22)</f>
        <v>0</v>
      </c>
      <c r="D63" s="28">
        <f t="shared" si="37"/>
        <v>0</v>
      </c>
      <c r="E63" s="27">
        <f t="shared" si="38"/>
        <v>0</v>
      </c>
      <c r="F63" s="213"/>
      <c r="G63" s="213"/>
      <c r="H63" s="213"/>
      <c r="I63" s="213"/>
      <c r="J63" s="213"/>
      <c r="K63" s="213"/>
      <c r="L63" s="213"/>
      <c r="M63" s="223"/>
    </row>
    <row r="64" spans="1:17" ht="16.5" thickBot="1" x14ac:dyDescent="0.3">
      <c r="A64" s="3" t="s">
        <v>109</v>
      </c>
      <c r="B64" s="120">
        <f>SUM(B58:B63)</f>
        <v>1</v>
      </c>
      <c r="C64" s="121">
        <f>SUM(C58:C63)</f>
        <v>1</v>
      </c>
      <c r="D64" s="122">
        <f>SUM(D58:D63)</f>
        <v>1</v>
      </c>
      <c r="E64" s="123">
        <f>SUM(E58:E63)</f>
        <v>1</v>
      </c>
      <c r="F64" s="213"/>
      <c r="G64" s="213"/>
      <c r="H64" s="213"/>
      <c r="I64" s="213"/>
      <c r="J64" s="213"/>
      <c r="K64" s="213"/>
      <c r="L64" s="213"/>
      <c r="M64" s="223"/>
    </row>
    <row r="65" spans="1:13" ht="16.5" thickBot="1" x14ac:dyDescent="0.3">
      <c r="A65" s="224" t="s">
        <v>108</v>
      </c>
      <c r="B65" s="225"/>
      <c r="C65" s="225"/>
      <c r="D65" s="225"/>
      <c r="E65" s="225"/>
      <c r="F65" s="225"/>
      <c r="G65" s="225"/>
      <c r="H65" s="225"/>
      <c r="I65" s="225"/>
      <c r="J65" s="225"/>
      <c r="K65" s="225"/>
      <c r="L65" s="225"/>
      <c r="M65" s="226"/>
    </row>
    <row r="66" spans="1:13" x14ac:dyDescent="0.25">
      <c r="A66" s="4" t="s">
        <v>107</v>
      </c>
      <c r="B66" s="227" t="s">
        <v>106</v>
      </c>
      <c r="C66" s="227"/>
      <c r="D66" s="227"/>
      <c r="E66" s="227"/>
      <c r="F66" s="227"/>
      <c r="G66" s="4" t="s">
        <v>105</v>
      </c>
      <c r="M66" s="25"/>
    </row>
    <row r="67" spans="1:13" ht="18.75" customHeight="1" x14ac:dyDescent="0.25">
      <c r="A67" s="4" t="s">
        <v>104</v>
      </c>
      <c r="B67" s="213" t="s">
        <v>91</v>
      </c>
      <c r="C67" s="213"/>
      <c r="D67" s="213"/>
      <c r="E67" s="213"/>
      <c r="F67" s="213"/>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B5:D5"/>
    <mergeCell ref="F5:H5"/>
    <mergeCell ref="B6:D6"/>
    <mergeCell ref="F6:H6"/>
    <mergeCell ref="B7:D7"/>
    <mergeCell ref="F7:H7"/>
    <mergeCell ref="B23:H23"/>
    <mergeCell ref="I23:M23"/>
    <mergeCell ref="B8:D8"/>
    <mergeCell ref="F8:H8"/>
    <mergeCell ref="B9:D9"/>
    <mergeCell ref="F9:H9"/>
    <mergeCell ref="B10:D10"/>
    <mergeCell ref="F10:H10"/>
    <mergeCell ref="A11:M11"/>
    <mergeCell ref="A13:M13"/>
    <mergeCell ref="B14:D14"/>
    <mergeCell ref="E14:H14"/>
    <mergeCell ref="I14:M14"/>
    <mergeCell ref="A32:M32"/>
    <mergeCell ref="B33:D33"/>
    <mergeCell ref="E33:H33"/>
    <mergeCell ref="I33:M3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92"/>
  <sheetViews>
    <sheetView topLeftCell="A20" zoomScaleNormal="100" zoomScaleSheetLayoutView="145" zoomScalePageLayoutView="115" workbookViewId="0">
      <selection activeCell="G91" sqref="G91"/>
    </sheetView>
  </sheetViews>
  <sheetFormatPr defaultColWidth="11.42578125" defaultRowHeight="15" x14ac:dyDescent="0.25"/>
  <cols>
    <col min="1" max="1" width="31.85546875" customWidth="1"/>
    <col min="2" max="2" width="12.5703125" style="1" customWidth="1"/>
    <col min="3" max="3" width="37.28515625" style="1" customWidth="1"/>
    <col min="4" max="4" width="14.85546875" style="1" customWidth="1"/>
    <col min="5" max="6" width="9.85546875" style="1" customWidth="1"/>
    <col min="7" max="7" width="16" style="1" customWidth="1"/>
    <col min="8" max="13" width="9.85546875" style="1" customWidth="1"/>
  </cols>
  <sheetData>
    <row r="1" spans="1:22" ht="48" thickBot="1" x14ac:dyDescent="0.3">
      <c r="A1" s="114" t="s">
        <v>161</v>
      </c>
      <c r="B1" s="264" t="str">
        <f>'2_1_Definition_Processes'!D2</f>
        <v>Environment</v>
      </c>
      <c r="C1" s="264"/>
      <c r="D1" s="264"/>
      <c r="E1" s="264"/>
      <c r="F1" s="264"/>
      <c r="G1" s="264"/>
      <c r="H1" s="264"/>
      <c r="I1" s="114" t="s">
        <v>160</v>
      </c>
      <c r="J1" s="265" t="s">
        <v>41</v>
      </c>
      <c r="K1" s="265"/>
      <c r="L1" s="265"/>
      <c r="M1" s="265"/>
    </row>
    <row r="2" spans="1:22" ht="16.5" thickBot="1" x14ac:dyDescent="0.3">
      <c r="A2" s="246" t="s">
        <v>159</v>
      </c>
      <c r="B2" s="247"/>
      <c r="C2" s="247"/>
      <c r="D2" s="247"/>
      <c r="E2" s="247"/>
      <c r="F2" s="247"/>
      <c r="G2" s="247"/>
      <c r="H2" s="247"/>
      <c r="I2" s="247"/>
      <c r="J2" s="247"/>
      <c r="K2" s="247"/>
      <c r="L2" s="247"/>
      <c r="M2" s="248"/>
    </row>
    <row r="3" spans="1:22" ht="126.75" customHeight="1" thickBot="1" x14ac:dyDescent="0.3">
      <c r="A3" s="266"/>
      <c r="B3" s="267"/>
      <c r="C3" s="267"/>
      <c r="D3" s="267"/>
      <c r="E3" s="267"/>
      <c r="F3" s="267"/>
      <c r="G3" s="267"/>
      <c r="H3" s="267"/>
      <c r="I3" s="267"/>
      <c r="J3" s="267"/>
      <c r="K3" s="267"/>
      <c r="L3" s="267"/>
      <c r="M3" s="268"/>
    </row>
    <row r="4" spans="1:22" ht="31.5" customHeight="1" x14ac:dyDescent="0.25">
      <c r="A4" s="113" t="s">
        <v>158</v>
      </c>
      <c r="B4" s="269"/>
      <c r="C4" s="270"/>
      <c r="D4" s="271"/>
      <c r="E4" s="272" t="s">
        <v>157</v>
      </c>
      <c r="F4" s="273"/>
      <c r="G4" s="118"/>
      <c r="H4" s="118"/>
      <c r="I4" s="112"/>
      <c r="J4" s="112"/>
      <c r="K4" s="112"/>
      <c r="L4" s="112"/>
      <c r="M4" s="112"/>
    </row>
    <row r="5" spans="1:22" ht="16.5" customHeight="1" x14ac:dyDescent="0.25">
      <c r="A5" s="115" t="s">
        <v>156</v>
      </c>
      <c r="B5" s="262" t="s">
        <v>1148</v>
      </c>
      <c r="C5" s="262"/>
      <c r="D5" s="263"/>
      <c r="E5" s="115" t="s">
        <v>156</v>
      </c>
      <c r="F5" s="258" t="s">
        <v>1149</v>
      </c>
      <c r="G5" s="258"/>
      <c r="H5" s="259"/>
      <c r="I5" s="116"/>
      <c r="J5" s="111"/>
      <c r="K5" s="111"/>
      <c r="L5" s="111"/>
      <c r="M5" s="108"/>
    </row>
    <row r="6" spans="1:22" ht="16.5" customHeight="1" x14ac:dyDescent="0.25">
      <c r="A6" s="115" t="s">
        <v>155</v>
      </c>
      <c r="B6" s="258" t="e">
        <f>_xlfn.XLOOKUP(#REF!,Tab_Def_Processes[Process_ID],#REF!,"No_flow.",0,1)</f>
        <v>#REF!</v>
      </c>
      <c r="C6" s="258"/>
      <c r="D6" s="259"/>
      <c r="E6" s="115" t="s">
        <v>155</v>
      </c>
      <c r="F6" s="258" t="s">
        <v>1150</v>
      </c>
      <c r="G6" s="258"/>
      <c r="H6" s="259"/>
      <c r="I6" s="116"/>
      <c r="J6" s="111"/>
      <c r="K6" s="111"/>
      <c r="L6" s="111"/>
      <c r="M6" s="108"/>
    </row>
    <row r="7" spans="1:22" ht="16.5" customHeight="1" x14ac:dyDescent="0.25">
      <c r="A7" s="110" t="s">
        <v>154</v>
      </c>
      <c r="B7" s="258" t="e">
        <f>_xlfn.XLOOKUP(J1,Tab_Def_Processes[Process_ID],#REF!,"No_flow.",0,1)</f>
        <v>#REF!</v>
      </c>
      <c r="C7" s="258"/>
      <c r="D7" s="259"/>
      <c r="E7" s="110" t="s">
        <v>154</v>
      </c>
      <c r="F7" s="258" t="s">
        <v>1151</v>
      </c>
      <c r="G7" s="258"/>
      <c r="H7" s="259"/>
      <c r="I7" s="117"/>
      <c r="J7" s="109"/>
      <c r="K7" s="109"/>
      <c r="L7" s="109"/>
      <c r="M7" s="108"/>
    </row>
    <row r="8" spans="1:22" ht="16.5" customHeight="1" x14ac:dyDescent="0.25">
      <c r="A8" s="110" t="s">
        <v>153</v>
      </c>
      <c r="B8" s="258" t="e">
        <f>_xlfn.XLOOKUP(J1,Tab_Def_Processes[Process_ID],#REF!,"No_flow.",0,1)</f>
        <v>#REF!</v>
      </c>
      <c r="C8" s="258"/>
      <c r="D8" s="259"/>
      <c r="E8" s="110" t="s">
        <v>153</v>
      </c>
      <c r="F8" s="258" t="e">
        <f>_xlfn.XLOOKUP(J1,Tab_Def_Processes[Process_ID],#REF!,"No_flow.",0,1)</f>
        <v>#REF!</v>
      </c>
      <c r="G8" s="258"/>
      <c r="H8" s="259"/>
      <c r="I8" s="117"/>
      <c r="J8" s="109"/>
      <c r="K8" s="109"/>
      <c r="L8" s="109"/>
      <c r="M8" s="108"/>
    </row>
    <row r="9" spans="1:22"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2" ht="16.5" customHeight="1" thickBot="1" x14ac:dyDescent="0.3">
      <c r="A10" s="119" t="s">
        <v>151</v>
      </c>
      <c r="B10" s="260"/>
      <c r="C10" s="260"/>
      <c r="D10" s="261"/>
      <c r="E10" s="119" t="s">
        <v>151</v>
      </c>
      <c r="F10" s="260"/>
      <c r="G10" s="260"/>
      <c r="H10" s="261"/>
      <c r="I10" s="117"/>
      <c r="J10" s="109"/>
      <c r="K10" s="109"/>
      <c r="L10" s="109"/>
      <c r="M10" s="108"/>
    </row>
    <row r="11" spans="1:22" ht="16.5" thickBot="1" x14ac:dyDescent="0.3">
      <c r="A11" s="246" t="s">
        <v>150</v>
      </c>
      <c r="B11" s="247"/>
      <c r="C11" s="247"/>
      <c r="D11" s="247"/>
      <c r="E11" s="247"/>
      <c r="F11" s="247"/>
      <c r="G11" s="247"/>
      <c r="H11" s="247"/>
      <c r="I11" s="247"/>
      <c r="J11" s="247"/>
      <c r="K11" s="247"/>
      <c r="L11" s="247"/>
      <c r="M11" s="248"/>
    </row>
    <row r="12" spans="1:22" ht="33" customHeight="1" thickBot="1" x14ac:dyDescent="0.3">
      <c r="A12" s="107">
        <v>1000</v>
      </c>
      <c r="B12" s="106" t="s">
        <v>149</v>
      </c>
      <c r="C12" s="105"/>
      <c r="D12" s="105"/>
      <c r="E12" s="105"/>
      <c r="F12" s="105"/>
      <c r="G12" s="105"/>
      <c r="H12" s="105"/>
      <c r="I12" s="105"/>
      <c r="J12" s="105"/>
      <c r="K12" s="105"/>
      <c r="L12" s="105"/>
      <c r="M12" s="104"/>
    </row>
    <row r="13" spans="1:22" ht="16.5" thickBot="1" x14ac:dyDescent="0.3">
      <c r="A13" s="224" t="s">
        <v>148</v>
      </c>
      <c r="B13" s="225"/>
      <c r="C13" s="225"/>
      <c r="D13" s="225"/>
      <c r="E13" s="225"/>
      <c r="F13" s="225"/>
      <c r="G13" s="225"/>
      <c r="H13" s="225"/>
      <c r="I13" s="225"/>
      <c r="J13" s="225"/>
      <c r="K13" s="225"/>
      <c r="L13" s="225"/>
      <c r="M13" s="226"/>
    </row>
    <row r="14" spans="1:22"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135">
        <f>Tab_Def_Flows[[#This Row],[Flow_CC_DM'[%']]]*Tab_Def_Flows[[#This Row],[Flow_DM'[%']]]</f>
        <v>0</v>
      </c>
    </row>
    <row r="15" spans="1:22"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135">
        <f>Tab_Def_Flows[[#This Row],[Flow_CC_DM'[%']]]*Tab_Def_Flows[[#This Row],[Flow_DM'[%']]]</f>
        <v>0</v>
      </c>
    </row>
    <row r="16" spans="1:22" ht="23.25" customHeight="1" x14ac:dyDescent="0.25">
      <c r="A16" s="59" t="str">
        <f t="shared" ref="A16:A21" si="0">B5</f>
        <v>Weizenstroh</v>
      </c>
      <c r="B16" s="35">
        <v>1000</v>
      </c>
      <c r="C16" s="86">
        <f t="shared" ref="C16:C21" si="1">B16/$B$22</f>
        <v>1</v>
      </c>
      <c r="D16" s="85" t="s">
        <v>107</v>
      </c>
      <c r="E16" s="84">
        <v>0.86</v>
      </c>
      <c r="F16" s="34">
        <f t="shared" ref="F16:F21" si="2">E16*B16</f>
        <v>860</v>
      </c>
      <c r="G16" s="83">
        <f t="shared" ref="G16:G21" si="3">F16/$F$22</f>
        <v>1</v>
      </c>
      <c r="H16" s="82" t="s">
        <v>107</v>
      </c>
      <c r="I16" s="81">
        <v>0.14000000000000001</v>
      </c>
      <c r="J16" s="33">
        <f t="shared" ref="J16:J21" si="4">I16*B16</f>
        <v>140</v>
      </c>
      <c r="K16" s="101">
        <f t="shared" ref="K16:K21" si="5">J16/$J$22</f>
        <v>1</v>
      </c>
      <c r="L16" s="78" t="s">
        <v>107</v>
      </c>
      <c r="M16" s="78"/>
    </row>
    <row r="17" spans="1:23" ht="23.25" customHeight="1" x14ac:dyDescent="0.25">
      <c r="A17" s="59" t="e">
        <f t="shared" si="0"/>
        <v>#REF!</v>
      </c>
      <c r="B17" s="35"/>
      <c r="C17" s="86">
        <f t="shared" si="1"/>
        <v>0</v>
      </c>
      <c r="D17" s="85" t="s">
        <v>107</v>
      </c>
      <c r="E17" s="84"/>
      <c r="F17" s="34">
        <f t="shared" si="2"/>
        <v>0</v>
      </c>
      <c r="G17" s="83">
        <f t="shared" si="3"/>
        <v>0</v>
      </c>
      <c r="H17" s="82" t="s">
        <v>107</v>
      </c>
      <c r="I17" s="81"/>
      <c r="J17" s="33">
        <f t="shared" si="4"/>
        <v>0</v>
      </c>
      <c r="K17" s="101">
        <f t="shared" si="5"/>
        <v>0</v>
      </c>
      <c r="L17" s="78" t="s">
        <v>107</v>
      </c>
      <c r="M17" s="78"/>
    </row>
    <row r="18" spans="1:23" ht="23.25" customHeight="1" x14ac:dyDescent="0.25">
      <c r="A18" s="59" t="e">
        <f t="shared" si="0"/>
        <v>#REF!</v>
      </c>
      <c r="B18" s="35"/>
      <c r="C18" s="86">
        <f t="shared" si="1"/>
        <v>0</v>
      </c>
      <c r="D18" s="85"/>
      <c r="E18" s="84"/>
      <c r="F18" s="34">
        <f t="shared" si="2"/>
        <v>0</v>
      </c>
      <c r="G18" s="83">
        <f t="shared" si="3"/>
        <v>0</v>
      </c>
      <c r="H18" s="82"/>
      <c r="I18" s="81"/>
      <c r="J18" s="33">
        <f t="shared" si="4"/>
        <v>0</v>
      </c>
      <c r="K18" s="101">
        <f t="shared" si="5"/>
        <v>0</v>
      </c>
      <c r="L18" s="79"/>
      <c r="M18" s="78"/>
    </row>
    <row r="19" spans="1:23" ht="23.25" customHeight="1" x14ac:dyDescent="0.25">
      <c r="A19" s="59" t="e">
        <f t="shared" si="0"/>
        <v>#REF!</v>
      </c>
      <c r="B19" s="35"/>
      <c r="C19" s="86">
        <f t="shared" si="1"/>
        <v>0</v>
      </c>
      <c r="D19" s="85"/>
      <c r="E19" s="84"/>
      <c r="F19" s="34">
        <f t="shared" si="2"/>
        <v>0</v>
      </c>
      <c r="G19" s="83">
        <f t="shared" si="3"/>
        <v>0</v>
      </c>
      <c r="H19" s="103"/>
      <c r="I19" s="102"/>
      <c r="J19" s="33">
        <f t="shared" si="4"/>
        <v>0</v>
      </c>
      <c r="K19" s="101">
        <f t="shared" si="5"/>
        <v>0</v>
      </c>
      <c r="L19" s="79"/>
      <c r="M19" s="78"/>
    </row>
    <row r="20" spans="1:23" ht="23.25" customHeight="1" x14ac:dyDescent="0.25">
      <c r="A20" s="59" t="e">
        <f t="shared" si="0"/>
        <v>#REF!</v>
      </c>
      <c r="B20" s="35"/>
      <c r="C20" s="86">
        <f t="shared" si="1"/>
        <v>0</v>
      </c>
      <c r="D20" s="85"/>
      <c r="E20" s="84"/>
      <c r="F20" s="34">
        <f t="shared" si="2"/>
        <v>0</v>
      </c>
      <c r="G20" s="83">
        <f t="shared" si="3"/>
        <v>0</v>
      </c>
      <c r="H20" s="103"/>
      <c r="I20" s="102"/>
      <c r="J20" s="33">
        <f t="shared" si="4"/>
        <v>0</v>
      </c>
      <c r="K20" s="101">
        <f t="shared" si="5"/>
        <v>0</v>
      </c>
      <c r="L20" s="79"/>
      <c r="M20" s="78"/>
    </row>
    <row r="21" spans="1:23" ht="23.25" customHeight="1" thickBot="1" x14ac:dyDescent="0.3">
      <c r="A21" s="59">
        <f t="shared" si="0"/>
        <v>0</v>
      </c>
      <c r="B21" s="35"/>
      <c r="C21" s="86">
        <f t="shared" si="1"/>
        <v>0</v>
      </c>
      <c r="D21" s="85"/>
      <c r="E21" s="84"/>
      <c r="F21" s="34">
        <f t="shared" si="2"/>
        <v>0</v>
      </c>
      <c r="G21" s="83">
        <f t="shared" si="3"/>
        <v>0</v>
      </c>
      <c r="H21" s="103"/>
      <c r="I21" s="102"/>
      <c r="J21" s="33">
        <f t="shared" si="4"/>
        <v>0</v>
      </c>
      <c r="K21" s="101">
        <f t="shared" si="5"/>
        <v>0</v>
      </c>
      <c r="L21" s="79"/>
      <c r="M21" s="78"/>
    </row>
    <row r="22" spans="1:23" ht="16.5" thickBot="1" x14ac:dyDescent="0.3">
      <c r="A22" s="49" t="s">
        <v>109</v>
      </c>
      <c r="B22" s="77">
        <f>SUM(B16:B19)</f>
        <v>1000</v>
      </c>
      <c r="C22" s="100">
        <f>C16+C17+C18</f>
        <v>1</v>
      </c>
      <c r="D22" s="75"/>
      <c r="E22" s="74">
        <f>F22/B22</f>
        <v>0.86</v>
      </c>
      <c r="F22" s="73">
        <f>SUM(F16:F19)</f>
        <v>860</v>
      </c>
      <c r="G22" s="99">
        <f>SUM(G16:G19)</f>
        <v>1</v>
      </c>
      <c r="H22" s="71"/>
      <c r="I22" s="70">
        <f>J22/B22</f>
        <v>0.14000000000000001</v>
      </c>
      <c r="J22" s="69">
        <f>J16+J17+J18</f>
        <v>140</v>
      </c>
      <c r="K22" s="98">
        <f>SUM(K16:K19)</f>
        <v>1</v>
      </c>
      <c r="L22" s="67"/>
      <c r="M22" s="66"/>
    </row>
    <row r="23" spans="1:23" ht="16.5" customHeight="1" thickBot="1" x14ac:dyDescent="0.3">
      <c r="A23" s="129" t="s">
        <v>134</v>
      </c>
      <c r="B23" s="240" t="s">
        <v>133</v>
      </c>
      <c r="C23" s="241"/>
      <c r="D23" s="241"/>
      <c r="E23" s="241"/>
      <c r="F23" s="241"/>
      <c r="G23" s="241"/>
      <c r="H23" s="242"/>
      <c r="I23" s="243" t="s">
        <v>132</v>
      </c>
      <c r="J23" s="244"/>
      <c r="K23" s="244"/>
      <c r="L23" s="244"/>
      <c r="M23" s="245"/>
    </row>
    <row r="24" spans="1:23" ht="63.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P24" s="143">
        <v>0.14000000000000001</v>
      </c>
      <c r="Q24" s="22" t="s">
        <v>91</v>
      </c>
      <c r="R24" s="143">
        <v>0.86</v>
      </c>
      <c r="S24" s="22" t="s">
        <v>91</v>
      </c>
      <c r="T24" s="143">
        <v>0.48</v>
      </c>
      <c r="U24" s="22" t="s">
        <v>91</v>
      </c>
      <c r="V24" s="135">
        <f>Tab_Def_Flows[[#This Row],[Flow_CC_DM'[%']]]*Tab_Def_Flows[[#This Row],[Flow_DM'[%']]]</f>
        <v>0</v>
      </c>
      <c r="W24" s="144" t="s">
        <v>92</v>
      </c>
    </row>
    <row r="25" spans="1:23" ht="27" customHeight="1" x14ac:dyDescent="0.25">
      <c r="A25" s="59" t="str">
        <f t="shared" ref="A25:A30" si="6">B5</f>
        <v>Weizenstroh</v>
      </c>
      <c r="B25" s="58">
        <v>0.45</v>
      </c>
      <c r="C25" s="56">
        <f>F16*B25</f>
        <v>387</v>
      </c>
      <c r="D25" s="57">
        <f t="shared" ref="D25:D30" si="7">C25/$C$31</f>
        <v>1</v>
      </c>
      <c r="E25" s="56" t="s">
        <v>107</v>
      </c>
      <c r="F25" s="55">
        <f t="shared" ref="F25:F30" si="8">B25*E16</f>
        <v>0.38700000000000001</v>
      </c>
      <c r="G25" s="54">
        <f t="shared" ref="G25:G30" si="9">B25*E16*B16</f>
        <v>387</v>
      </c>
      <c r="H25" s="53">
        <f t="shared" ref="H25:H30" si="10">G25/$G$31</f>
        <v>1</v>
      </c>
      <c r="I25" s="97">
        <f t="shared" ref="I25:I30" si="11">$A$12*C16</f>
        <v>1000</v>
      </c>
      <c r="J25" s="96">
        <f t="shared" ref="J25:J30" si="12">I25*E16</f>
        <v>860</v>
      </c>
      <c r="K25" s="96">
        <f>I25*I16</f>
        <v>140</v>
      </c>
      <c r="L25" s="96">
        <f t="shared" ref="L25:L30" si="13">SUM(J25:K25)</f>
        <v>1000</v>
      </c>
      <c r="M25" s="95">
        <f t="shared" ref="M25:M30" si="14">I25*F25</f>
        <v>387</v>
      </c>
    </row>
    <row r="26" spans="1:23" ht="31.5" x14ac:dyDescent="0.25">
      <c r="A26" s="59" t="e">
        <f t="shared" si="6"/>
        <v>#REF!</v>
      </c>
      <c r="B26" s="58">
        <v>0</v>
      </c>
      <c r="C26" s="56">
        <f>J17*B26</f>
        <v>0</v>
      </c>
      <c r="D26" s="57">
        <f t="shared" si="7"/>
        <v>0</v>
      </c>
      <c r="E26" s="56" t="s">
        <v>107</v>
      </c>
      <c r="F26" s="55">
        <f t="shared" si="8"/>
        <v>0</v>
      </c>
      <c r="G26" s="54">
        <f t="shared" si="9"/>
        <v>0</v>
      </c>
      <c r="H26" s="53">
        <f t="shared" si="10"/>
        <v>0</v>
      </c>
      <c r="I26" s="97">
        <f t="shared" si="11"/>
        <v>0</v>
      </c>
      <c r="J26" s="96">
        <f t="shared" si="12"/>
        <v>0</v>
      </c>
      <c r="K26" s="96">
        <f t="shared" ref="K26:K30" si="15">I26*I17</f>
        <v>0</v>
      </c>
      <c r="L26" s="96">
        <f t="shared" si="13"/>
        <v>0</v>
      </c>
      <c r="M26" s="95">
        <f t="shared" si="14"/>
        <v>0</v>
      </c>
    </row>
    <row r="27" spans="1:23" ht="15.75" x14ac:dyDescent="0.25">
      <c r="A27" s="59" t="e">
        <f t="shared" si="6"/>
        <v>#REF!</v>
      </c>
      <c r="B27" s="58">
        <v>0</v>
      </c>
      <c r="C27" s="56">
        <f t="shared" ref="C27:C30" si="16">F18*B27</f>
        <v>0</v>
      </c>
      <c r="D27" s="57">
        <f t="shared" si="7"/>
        <v>0</v>
      </c>
      <c r="E27" s="56"/>
      <c r="F27" s="55">
        <f t="shared" si="8"/>
        <v>0</v>
      </c>
      <c r="G27" s="54">
        <f t="shared" si="9"/>
        <v>0</v>
      </c>
      <c r="H27" s="53">
        <f t="shared" si="10"/>
        <v>0</v>
      </c>
      <c r="I27" s="97">
        <f t="shared" si="11"/>
        <v>0</v>
      </c>
      <c r="J27" s="96">
        <f t="shared" si="12"/>
        <v>0</v>
      </c>
      <c r="K27" s="96">
        <f t="shared" si="15"/>
        <v>0</v>
      </c>
      <c r="L27" s="96">
        <f t="shared" si="13"/>
        <v>0</v>
      </c>
      <c r="M27" s="95">
        <f t="shared" si="14"/>
        <v>0</v>
      </c>
      <c r="Q27">
        <v>0.76158038205651879</v>
      </c>
    </row>
    <row r="28" spans="1:23" ht="15.75" x14ac:dyDescent="0.25">
      <c r="A28" s="59" t="e">
        <f t="shared" si="6"/>
        <v>#REF!</v>
      </c>
      <c r="B28" s="58">
        <v>0</v>
      </c>
      <c r="C28" s="56">
        <f t="shared" si="16"/>
        <v>0</v>
      </c>
      <c r="D28" s="57">
        <f t="shared" si="7"/>
        <v>0</v>
      </c>
      <c r="E28" s="56"/>
      <c r="F28" s="55">
        <f t="shared" si="8"/>
        <v>0</v>
      </c>
      <c r="G28" s="54">
        <f t="shared" si="9"/>
        <v>0</v>
      </c>
      <c r="H28" s="53">
        <f t="shared" si="10"/>
        <v>0</v>
      </c>
      <c r="I28" s="97">
        <f t="shared" si="11"/>
        <v>0</v>
      </c>
      <c r="J28" s="96">
        <f t="shared" si="12"/>
        <v>0</v>
      </c>
      <c r="K28" s="96">
        <f t="shared" si="15"/>
        <v>0</v>
      </c>
      <c r="L28" s="96">
        <f t="shared" si="13"/>
        <v>0</v>
      </c>
      <c r="M28" s="95">
        <f t="shared" si="14"/>
        <v>0</v>
      </c>
    </row>
    <row r="29" spans="1:23" ht="15.75" x14ac:dyDescent="0.25">
      <c r="A29" s="59" t="e">
        <f t="shared" si="6"/>
        <v>#REF!</v>
      </c>
      <c r="B29" s="58">
        <v>0</v>
      </c>
      <c r="C29" s="56">
        <f t="shared" si="16"/>
        <v>0</v>
      </c>
      <c r="D29" s="57">
        <f t="shared" si="7"/>
        <v>0</v>
      </c>
      <c r="E29" s="56"/>
      <c r="F29" s="55">
        <f t="shared" si="8"/>
        <v>0</v>
      </c>
      <c r="G29" s="54">
        <f t="shared" si="9"/>
        <v>0</v>
      </c>
      <c r="H29" s="53">
        <f t="shared" si="10"/>
        <v>0</v>
      </c>
      <c r="I29" s="97">
        <f t="shared" si="11"/>
        <v>0</v>
      </c>
      <c r="J29" s="96">
        <f t="shared" si="12"/>
        <v>0</v>
      </c>
      <c r="K29" s="96">
        <f t="shared" si="15"/>
        <v>0</v>
      </c>
      <c r="L29" s="96">
        <f t="shared" si="13"/>
        <v>0</v>
      </c>
      <c r="M29" s="95">
        <f t="shared" si="14"/>
        <v>0</v>
      </c>
    </row>
    <row r="30" spans="1:23" ht="16.5" thickBot="1" x14ac:dyDescent="0.3">
      <c r="A30" s="59">
        <f t="shared" si="6"/>
        <v>0</v>
      </c>
      <c r="B30" s="58">
        <v>0</v>
      </c>
      <c r="C30" s="56">
        <f t="shared" si="16"/>
        <v>0</v>
      </c>
      <c r="D30" s="57">
        <f t="shared" si="7"/>
        <v>0</v>
      </c>
      <c r="E30" s="56"/>
      <c r="F30" s="55">
        <f t="shared" si="8"/>
        <v>0</v>
      </c>
      <c r="G30" s="54">
        <f t="shared" si="9"/>
        <v>0</v>
      </c>
      <c r="H30" s="53">
        <f t="shared" si="10"/>
        <v>0</v>
      </c>
      <c r="I30" s="97">
        <f t="shared" si="11"/>
        <v>0</v>
      </c>
      <c r="J30" s="96">
        <f t="shared" si="12"/>
        <v>0</v>
      </c>
      <c r="K30" s="96">
        <f t="shared" si="15"/>
        <v>0</v>
      </c>
      <c r="L30" s="96">
        <f t="shared" si="13"/>
        <v>0</v>
      </c>
      <c r="M30" s="95">
        <f t="shared" si="14"/>
        <v>0</v>
      </c>
    </row>
    <row r="31" spans="1:23" ht="16.5" thickBot="1" x14ac:dyDescent="0.3">
      <c r="A31" s="49" t="s">
        <v>109</v>
      </c>
      <c r="B31" s="48">
        <f>C31/F22</f>
        <v>0.45</v>
      </c>
      <c r="C31" s="46">
        <f>SUM(C25:C30)</f>
        <v>387</v>
      </c>
      <c r="D31" s="94">
        <f>SUM(D24:D30)</f>
        <v>1</v>
      </c>
      <c r="E31" s="46"/>
      <c r="F31" s="45">
        <f>G31/B22</f>
        <v>0.38700000000000001</v>
      </c>
      <c r="G31" s="44">
        <f t="shared" ref="G31:M31" si="17">SUM(G25:G30)</f>
        <v>387</v>
      </c>
      <c r="H31" s="43">
        <f t="shared" si="17"/>
        <v>1</v>
      </c>
      <c r="I31" s="42">
        <f t="shared" si="17"/>
        <v>1000</v>
      </c>
      <c r="J31" s="41">
        <f t="shared" si="17"/>
        <v>860</v>
      </c>
      <c r="K31" s="41">
        <f t="shared" si="17"/>
        <v>140</v>
      </c>
      <c r="L31" s="41">
        <f t="shared" si="17"/>
        <v>1000</v>
      </c>
      <c r="M31" s="40">
        <f t="shared" si="17"/>
        <v>387</v>
      </c>
    </row>
    <row r="32" spans="1:23" ht="16.5" thickBot="1" x14ac:dyDescent="0.3">
      <c r="A32" s="228" t="s">
        <v>147</v>
      </c>
      <c r="B32" s="229"/>
      <c r="C32" s="229"/>
      <c r="D32" s="229"/>
      <c r="E32" s="229"/>
      <c r="F32" s="229"/>
      <c r="G32" s="229"/>
      <c r="H32" s="229"/>
      <c r="I32" s="229"/>
      <c r="J32" s="229"/>
      <c r="K32" s="229"/>
      <c r="L32" s="229"/>
      <c r="M32" s="230"/>
    </row>
    <row r="33" spans="1:20" ht="16.5" customHeight="1" thickBot="1" x14ac:dyDescent="0.3">
      <c r="A33" s="65" t="s">
        <v>134</v>
      </c>
      <c r="B33" s="231" t="s">
        <v>146</v>
      </c>
      <c r="C33" s="232"/>
      <c r="D33" s="233"/>
      <c r="E33" s="234" t="s">
        <v>145</v>
      </c>
      <c r="F33" s="235"/>
      <c r="G33" s="235"/>
      <c r="H33" s="236"/>
      <c r="I33" s="237" t="s">
        <v>144</v>
      </c>
      <c r="J33" s="238"/>
      <c r="K33" s="238"/>
      <c r="L33" s="238"/>
      <c r="M33" s="239"/>
    </row>
    <row r="34" spans="1:20"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20" ht="15.75" x14ac:dyDescent="0.25">
      <c r="A35" s="59" t="str">
        <f t="shared" ref="A35:A40" si="18">F5</f>
        <v>Pflanzenkohle</v>
      </c>
      <c r="B35" s="35">
        <v>232.2</v>
      </c>
      <c r="C35" s="86">
        <f t="shared" ref="C35:C40" si="19">B35/$B$41</f>
        <v>0.23219999999999999</v>
      </c>
      <c r="D35" s="85" t="s">
        <v>107</v>
      </c>
      <c r="E35" s="84">
        <v>1</v>
      </c>
      <c r="F35" s="34">
        <f>1000-F36-F37-140</f>
        <v>232.20000000000005</v>
      </c>
      <c r="G35" s="83">
        <f t="shared" ref="G35:G40" si="20">F35/$F$41</f>
        <v>0.27000000000000007</v>
      </c>
      <c r="H35" s="82" t="s">
        <v>107</v>
      </c>
      <c r="I35" s="81">
        <f>1-E35</f>
        <v>0</v>
      </c>
      <c r="J35" s="33">
        <f t="shared" ref="J35:J40" si="21">I35*B35</f>
        <v>0</v>
      </c>
      <c r="K35" s="80">
        <f>J35/$J$41</f>
        <v>0</v>
      </c>
      <c r="L35" s="79" t="s">
        <v>107</v>
      </c>
      <c r="M35" s="78"/>
      <c r="R35" t="e">
        <f>C54/B17</f>
        <v>#DIV/0!</v>
      </c>
    </row>
    <row r="36" spans="1:20" ht="15.75" x14ac:dyDescent="0.25">
      <c r="A36" s="59" t="str">
        <f t="shared" si="18"/>
        <v>Pyrolyse Emissionen C</v>
      </c>
      <c r="B36" s="35">
        <v>154.80000000000001</v>
      </c>
      <c r="C36" s="86">
        <f t="shared" si="19"/>
        <v>0.15480000000000002</v>
      </c>
      <c r="D36" s="85" t="s">
        <v>107</v>
      </c>
      <c r="E36" s="84">
        <v>1</v>
      </c>
      <c r="F36" s="34">
        <f t="shared" ref="F36:F40" si="22">E36*B36</f>
        <v>154.80000000000001</v>
      </c>
      <c r="G36" s="83">
        <f t="shared" si="20"/>
        <v>0.18000000000000002</v>
      </c>
      <c r="H36" s="82" t="s">
        <v>107</v>
      </c>
      <c r="I36" s="81">
        <v>0</v>
      </c>
      <c r="J36" s="33">
        <f t="shared" si="21"/>
        <v>0</v>
      </c>
      <c r="K36" s="80">
        <f>J36/$J$41</f>
        <v>0</v>
      </c>
      <c r="L36" s="79" t="s">
        <v>107</v>
      </c>
      <c r="M36" s="78"/>
    </row>
    <row r="37" spans="1:20" ht="15.75" x14ac:dyDescent="0.25">
      <c r="A37" s="59" t="str">
        <f t="shared" si="18"/>
        <v>Pyrolyse Emissionen E</v>
      </c>
      <c r="B37" s="35">
        <f>140+473</f>
        <v>613</v>
      </c>
      <c r="C37" s="86">
        <f t="shared" si="19"/>
        <v>0.61299999999999999</v>
      </c>
      <c r="D37" s="85"/>
      <c r="E37" s="84">
        <v>0.77161500815660689</v>
      </c>
      <c r="F37" s="34">
        <v>473</v>
      </c>
      <c r="G37" s="83">
        <f t="shared" si="20"/>
        <v>0.55000000000000004</v>
      </c>
      <c r="H37" s="82"/>
      <c r="I37" s="81">
        <v>0.22838499184339314</v>
      </c>
      <c r="J37" s="33">
        <f>I37*B37</f>
        <v>140</v>
      </c>
      <c r="K37" s="80">
        <f>J37/$J$41</f>
        <v>1</v>
      </c>
      <c r="L37" s="79"/>
      <c r="M37" s="78"/>
      <c r="P37" s="189">
        <f>860-G25</f>
        <v>473</v>
      </c>
    </row>
    <row r="38" spans="1:20" ht="15.75" x14ac:dyDescent="0.25">
      <c r="A38" s="59" t="e">
        <f t="shared" si="18"/>
        <v>#REF!</v>
      </c>
      <c r="B38" s="35"/>
      <c r="C38" s="86">
        <f t="shared" si="19"/>
        <v>0</v>
      </c>
      <c r="D38" s="85"/>
      <c r="E38" s="84"/>
      <c r="F38" s="34">
        <f t="shared" si="22"/>
        <v>0</v>
      </c>
      <c r="G38" s="83">
        <f t="shared" si="20"/>
        <v>0</v>
      </c>
      <c r="H38" s="82"/>
      <c r="I38" s="81"/>
      <c r="J38" s="33">
        <f t="shared" si="21"/>
        <v>0</v>
      </c>
      <c r="K38" s="80">
        <f>J38/$J$41</f>
        <v>0</v>
      </c>
      <c r="L38" s="79"/>
      <c r="M38" s="78"/>
    </row>
    <row r="39" spans="1:20" ht="15.75" x14ac:dyDescent="0.25">
      <c r="A39" s="59" t="e">
        <f t="shared" si="18"/>
        <v>#REF!</v>
      </c>
      <c r="B39" s="35"/>
      <c r="C39" s="86">
        <f t="shared" si="19"/>
        <v>0</v>
      </c>
      <c r="D39" s="85"/>
      <c r="E39" s="84"/>
      <c r="F39" s="34">
        <f t="shared" si="22"/>
        <v>0</v>
      </c>
      <c r="G39" s="83">
        <f t="shared" si="20"/>
        <v>0</v>
      </c>
      <c r="H39" s="82"/>
      <c r="I39" s="81"/>
      <c r="J39" s="33">
        <f t="shared" si="21"/>
        <v>0</v>
      </c>
      <c r="K39" s="80">
        <f>J39/$J$41</f>
        <v>0</v>
      </c>
      <c r="L39" s="79"/>
      <c r="M39" s="78"/>
    </row>
    <row r="40" spans="1:20" ht="16.5" thickBot="1" x14ac:dyDescent="0.3">
      <c r="A40" s="59">
        <f t="shared" si="18"/>
        <v>0</v>
      </c>
      <c r="B40" s="35"/>
      <c r="C40" s="86">
        <f t="shared" si="19"/>
        <v>0</v>
      </c>
      <c r="D40" s="85"/>
      <c r="E40" s="84"/>
      <c r="F40" s="34">
        <f t="shared" si="22"/>
        <v>0</v>
      </c>
      <c r="G40" s="83">
        <f t="shared" si="20"/>
        <v>0</v>
      </c>
      <c r="H40" s="82"/>
      <c r="I40" s="81"/>
      <c r="J40" s="33">
        <f t="shared" si="21"/>
        <v>0</v>
      </c>
      <c r="K40" s="80">
        <f>J40/$J$22</f>
        <v>0</v>
      </c>
      <c r="L40" s="79"/>
      <c r="M40" s="78"/>
    </row>
    <row r="41" spans="1:20" ht="16.5" thickBot="1" x14ac:dyDescent="0.3">
      <c r="A41" s="49" t="s">
        <v>109</v>
      </c>
      <c r="B41" s="77">
        <f>SUM(B35:B40)</f>
        <v>1000</v>
      </c>
      <c r="C41" s="76">
        <f>SUM(C35:C40)</f>
        <v>1</v>
      </c>
      <c r="D41" s="75"/>
      <c r="E41" s="74">
        <f>F41/B41</f>
        <v>0.86</v>
      </c>
      <c r="F41" s="73">
        <f>SUM(F35:F40)</f>
        <v>860</v>
      </c>
      <c r="G41" s="72">
        <f>SUM(G35:G40)</f>
        <v>1</v>
      </c>
      <c r="H41" s="71"/>
      <c r="I41" s="70">
        <f>J41/B41</f>
        <v>0.14000000000000001</v>
      </c>
      <c r="J41" s="69">
        <f>SUM(J35:J40)</f>
        <v>140</v>
      </c>
      <c r="K41" s="68">
        <f>SUM(K35:K40)</f>
        <v>1</v>
      </c>
      <c r="L41" s="67"/>
      <c r="M41" s="66"/>
      <c r="P41" s="190">
        <f>140/B37</f>
        <v>0.22838499184339314</v>
      </c>
    </row>
    <row r="42" spans="1:20" ht="16.5" customHeight="1" thickBot="1" x14ac:dyDescent="0.3">
      <c r="A42" s="129" t="s">
        <v>134</v>
      </c>
      <c r="B42" s="240" t="s">
        <v>133</v>
      </c>
      <c r="C42" s="241"/>
      <c r="D42" s="241"/>
      <c r="E42" s="241"/>
      <c r="F42" s="241"/>
      <c r="G42" s="241"/>
      <c r="H42" s="242"/>
      <c r="I42" s="243" t="s">
        <v>132</v>
      </c>
      <c r="J42" s="244"/>
      <c r="K42" s="244"/>
      <c r="L42" s="244"/>
      <c r="M42" s="245"/>
      <c r="P42">
        <f>F37/B37</f>
        <v>0.77161500815660689</v>
      </c>
    </row>
    <row r="43" spans="1:20" ht="63.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row>
    <row r="44" spans="1:20" ht="15.75" x14ac:dyDescent="0.25">
      <c r="A44" s="59" t="str">
        <f t="shared" ref="A44:A49" si="23">A35</f>
        <v>Pflanzenkohle</v>
      </c>
      <c r="B44" s="58">
        <v>1</v>
      </c>
      <c r="C44" s="56">
        <v>232.2</v>
      </c>
      <c r="D44" s="57">
        <f t="shared" ref="D44:D49" si="24">C44/$C$50</f>
        <v>0.6</v>
      </c>
      <c r="E44" s="56" t="s">
        <v>107</v>
      </c>
      <c r="F44" s="55">
        <f>B44*E35</f>
        <v>1</v>
      </c>
      <c r="G44" s="54">
        <f>B44*E35*B35</f>
        <v>232.2</v>
      </c>
      <c r="H44" s="53">
        <f t="shared" ref="H44:H49" si="25">G44/$G$50</f>
        <v>0.6</v>
      </c>
      <c r="I44" s="52">
        <f t="shared" ref="I44:I49" si="26">$A$12*B58</f>
        <v>232.2</v>
      </c>
      <c r="J44" s="51">
        <f t="shared" ref="J44:J49" si="27">I44*E35</f>
        <v>232.2</v>
      </c>
      <c r="K44" s="51">
        <f t="shared" ref="K44:K49" si="28">I44*I35</f>
        <v>0</v>
      </c>
      <c r="L44" s="51">
        <f t="shared" ref="L44:L49" si="29">SUM(J44:K44)</f>
        <v>232.2</v>
      </c>
      <c r="M44" s="50">
        <f t="shared" ref="M44:M49" si="30">I44*F44</f>
        <v>232.2</v>
      </c>
    </row>
    <row r="45" spans="1:20" ht="15.75" x14ac:dyDescent="0.25">
      <c r="A45" s="59" t="str">
        <f t="shared" si="23"/>
        <v>Pyrolyse Emissionen C</v>
      </c>
      <c r="B45" s="58">
        <v>1</v>
      </c>
      <c r="C45" s="56">
        <f>0.4*387</f>
        <v>154.80000000000001</v>
      </c>
      <c r="D45" s="57">
        <f t="shared" si="24"/>
        <v>0.4</v>
      </c>
      <c r="E45" s="56" t="s">
        <v>107</v>
      </c>
      <c r="F45" s="55">
        <f t="shared" ref="F45:F49" si="31">B45*E36</f>
        <v>1</v>
      </c>
      <c r="G45" s="54">
        <f t="shared" ref="G45:G49" si="32">B45*E36*B36</f>
        <v>154.80000000000001</v>
      </c>
      <c r="H45" s="53">
        <f t="shared" si="25"/>
        <v>0.4</v>
      </c>
      <c r="I45" s="52">
        <f t="shared" si="26"/>
        <v>154.80000000000001</v>
      </c>
      <c r="J45" s="51">
        <f t="shared" si="27"/>
        <v>154.80000000000001</v>
      </c>
      <c r="K45" s="51">
        <f t="shared" si="28"/>
        <v>0</v>
      </c>
      <c r="L45" s="51">
        <f t="shared" si="29"/>
        <v>154.80000000000001</v>
      </c>
      <c r="M45" s="50">
        <f t="shared" si="30"/>
        <v>154.80000000000001</v>
      </c>
    </row>
    <row r="46" spans="1:20" ht="15.75" x14ac:dyDescent="0.25">
      <c r="A46" s="59" t="str">
        <f t="shared" si="23"/>
        <v>Pyrolyse Emissionen E</v>
      </c>
      <c r="B46" s="58">
        <v>0</v>
      </c>
      <c r="C46" s="56">
        <f t="shared" ref="C46:C49" si="33">F37*B46</f>
        <v>0</v>
      </c>
      <c r="D46" s="57">
        <f t="shared" si="24"/>
        <v>0</v>
      </c>
      <c r="E46" s="56" t="s">
        <v>107</v>
      </c>
      <c r="F46" s="55">
        <f t="shared" si="31"/>
        <v>0</v>
      </c>
      <c r="G46" s="54">
        <f t="shared" si="32"/>
        <v>0</v>
      </c>
      <c r="H46" s="53">
        <f t="shared" si="25"/>
        <v>0</v>
      </c>
      <c r="I46" s="52">
        <f t="shared" si="26"/>
        <v>613</v>
      </c>
      <c r="J46" s="51">
        <f t="shared" si="27"/>
        <v>473</v>
      </c>
      <c r="K46" s="51">
        <f t="shared" si="28"/>
        <v>140</v>
      </c>
      <c r="L46" s="51">
        <f t="shared" si="29"/>
        <v>613</v>
      </c>
      <c r="M46" s="50">
        <f t="shared" si="30"/>
        <v>0</v>
      </c>
    </row>
    <row r="47" spans="1:20" ht="15.75" x14ac:dyDescent="0.25">
      <c r="A47" s="59" t="e">
        <f t="shared" si="23"/>
        <v>#REF!</v>
      </c>
      <c r="B47" s="58"/>
      <c r="C47" s="56">
        <f t="shared" si="33"/>
        <v>0</v>
      </c>
      <c r="D47" s="57">
        <f t="shared" si="24"/>
        <v>0</v>
      </c>
      <c r="E47" s="56"/>
      <c r="F47" s="55">
        <f t="shared" si="31"/>
        <v>0</v>
      </c>
      <c r="G47" s="54">
        <f t="shared" si="32"/>
        <v>0</v>
      </c>
      <c r="H47" s="53">
        <f t="shared" si="25"/>
        <v>0</v>
      </c>
      <c r="I47" s="52">
        <f t="shared" si="26"/>
        <v>0</v>
      </c>
      <c r="J47" s="51">
        <f t="shared" si="27"/>
        <v>0</v>
      </c>
      <c r="K47" s="51">
        <f t="shared" si="28"/>
        <v>0</v>
      </c>
      <c r="L47" s="51">
        <f t="shared" si="29"/>
        <v>0</v>
      </c>
      <c r="M47" s="50">
        <f t="shared" si="30"/>
        <v>0</v>
      </c>
      <c r="T47">
        <f>0.6*387</f>
        <v>232.2</v>
      </c>
    </row>
    <row r="48" spans="1:20" ht="15.75" x14ac:dyDescent="0.25">
      <c r="A48" s="59" t="e">
        <f t="shared" si="23"/>
        <v>#REF!</v>
      </c>
      <c r="B48" s="58"/>
      <c r="C48" s="56">
        <f t="shared" si="33"/>
        <v>0</v>
      </c>
      <c r="D48" s="57">
        <f t="shared" si="24"/>
        <v>0</v>
      </c>
      <c r="E48" s="56"/>
      <c r="F48" s="55">
        <f t="shared" si="31"/>
        <v>0</v>
      </c>
      <c r="G48" s="54">
        <f t="shared" si="32"/>
        <v>0</v>
      </c>
      <c r="H48" s="53">
        <f t="shared" si="25"/>
        <v>0</v>
      </c>
      <c r="I48" s="52">
        <f t="shared" si="26"/>
        <v>0</v>
      </c>
      <c r="J48" s="51">
        <f t="shared" si="27"/>
        <v>0</v>
      </c>
      <c r="K48" s="51">
        <f t="shared" si="28"/>
        <v>0</v>
      </c>
      <c r="L48" s="51">
        <f t="shared" si="29"/>
        <v>0</v>
      </c>
      <c r="M48" s="50">
        <f t="shared" si="30"/>
        <v>0</v>
      </c>
      <c r="T48">
        <f>0.4*387</f>
        <v>154.80000000000001</v>
      </c>
    </row>
    <row r="49" spans="1:17" ht="16.5" thickBot="1" x14ac:dyDescent="0.3">
      <c r="A49" s="59">
        <f t="shared" si="23"/>
        <v>0</v>
      </c>
      <c r="B49" s="58"/>
      <c r="C49" s="56">
        <f t="shared" si="33"/>
        <v>0</v>
      </c>
      <c r="D49" s="57">
        <f t="shared" si="24"/>
        <v>0</v>
      </c>
      <c r="E49" s="56"/>
      <c r="F49" s="55">
        <f t="shared" si="31"/>
        <v>0</v>
      </c>
      <c r="G49" s="54">
        <f t="shared" si="32"/>
        <v>0</v>
      </c>
      <c r="H49" s="53">
        <f t="shared" si="25"/>
        <v>0</v>
      </c>
      <c r="I49" s="52">
        <f t="shared" si="26"/>
        <v>0</v>
      </c>
      <c r="J49" s="51">
        <f t="shared" si="27"/>
        <v>0</v>
      </c>
      <c r="K49" s="51">
        <f t="shared" si="28"/>
        <v>0</v>
      </c>
      <c r="L49" s="51">
        <f t="shared" si="29"/>
        <v>0</v>
      </c>
      <c r="M49" s="50">
        <f t="shared" si="30"/>
        <v>0</v>
      </c>
      <c r="Q49" s="145"/>
    </row>
    <row r="50" spans="1:17" ht="16.5" thickBot="1" x14ac:dyDescent="0.3">
      <c r="A50" s="49" t="s">
        <v>109</v>
      </c>
      <c r="B50" s="48">
        <f>C50/F41</f>
        <v>0.45</v>
      </c>
      <c r="C50" s="46">
        <f>SUM(C44:C49)</f>
        <v>387</v>
      </c>
      <c r="D50" s="47">
        <f>SUM(D44:D49)</f>
        <v>1</v>
      </c>
      <c r="E50" s="46"/>
      <c r="F50" s="45">
        <f>G50/B41</f>
        <v>0.38700000000000001</v>
      </c>
      <c r="G50" s="44">
        <f t="shared" ref="G50:M50" si="34">SUM(G44:G49)</f>
        <v>387</v>
      </c>
      <c r="H50" s="43">
        <f t="shared" si="34"/>
        <v>1</v>
      </c>
      <c r="I50" s="42">
        <f t="shared" si="34"/>
        <v>1000</v>
      </c>
      <c r="J50" s="41">
        <f t="shared" si="34"/>
        <v>860</v>
      </c>
      <c r="K50" s="41">
        <f t="shared" si="34"/>
        <v>140</v>
      </c>
      <c r="L50" s="41">
        <f t="shared" si="34"/>
        <v>1000</v>
      </c>
      <c r="M50" s="40">
        <f t="shared" si="34"/>
        <v>387</v>
      </c>
    </row>
    <row r="51" spans="1:17" ht="15.75" thickBot="1" x14ac:dyDescent="0.3">
      <c r="A51" s="217" t="s">
        <v>119</v>
      </c>
      <c r="B51" s="218"/>
      <c r="C51" s="218"/>
      <c r="D51" s="218"/>
      <c r="E51" s="219"/>
      <c r="F51" s="220" t="s">
        <v>118</v>
      </c>
      <c r="G51" s="221"/>
      <c r="H51" s="221"/>
      <c r="I51" s="221"/>
      <c r="J51" s="221"/>
      <c r="K51" s="221"/>
      <c r="L51" s="221"/>
      <c r="M51" s="222"/>
    </row>
    <row r="52" spans="1:17" ht="16.5" thickBot="1" x14ac:dyDescent="0.3">
      <c r="A52" s="3" t="s">
        <v>117</v>
      </c>
      <c r="B52" s="39" t="s">
        <v>116</v>
      </c>
      <c r="C52" s="38" t="s">
        <v>89</v>
      </c>
      <c r="D52" s="37" t="s">
        <v>88</v>
      </c>
      <c r="E52" s="36" t="s">
        <v>115</v>
      </c>
      <c r="F52" s="213"/>
      <c r="G52" s="213"/>
      <c r="H52" s="213"/>
      <c r="I52" s="213"/>
      <c r="J52" s="213"/>
      <c r="K52" s="213"/>
      <c r="L52" s="213"/>
      <c r="M52" s="223"/>
    </row>
    <row r="53" spans="1:17" ht="15.75" x14ac:dyDescent="0.25">
      <c r="A53" s="4" t="s">
        <v>114</v>
      </c>
      <c r="B53" s="35">
        <f>B22</f>
        <v>1000</v>
      </c>
      <c r="C53" s="34">
        <f>F22</f>
        <v>860</v>
      </c>
      <c r="D53" s="33">
        <f>J22</f>
        <v>140</v>
      </c>
      <c r="E53" s="32">
        <f>C31</f>
        <v>387</v>
      </c>
      <c r="F53" s="213"/>
      <c r="G53" s="213"/>
      <c r="H53" s="213"/>
      <c r="I53" s="213"/>
      <c r="J53" s="213"/>
      <c r="K53" s="213"/>
      <c r="L53" s="213"/>
      <c r="M53" s="223"/>
      <c r="Q53">
        <f>F35/B22</f>
        <v>0.23220000000000005</v>
      </c>
    </row>
    <row r="54" spans="1:17" ht="16.5" thickBot="1" x14ac:dyDescent="0.3">
      <c r="A54" s="4" t="s">
        <v>113</v>
      </c>
      <c r="B54" s="35">
        <f>B41</f>
        <v>1000</v>
      </c>
      <c r="C54" s="34">
        <f>F41</f>
        <v>860</v>
      </c>
      <c r="D54" s="33">
        <f>J41</f>
        <v>140</v>
      </c>
      <c r="E54" s="32">
        <f>C50</f>
        <v>387</v>
      </c>
      <c r="F54" s="213"/>
      <c r="G54" s="213"/>
      <c r="H54" s="213"/>
      <c r="I54" s="213"/>
      <c r="J54" s="213"/>
      <c r="K54" s="213"/>
      <c r="L54" s="213"/>
      <c r="M54" s="223"/>
    </row>
    <row r="55" spans="1:17" ht="15.75" x14ac:dyDescent="0.25">
      <c r="A55" s="3" t="s">
        <v>112</v>
      </c>
      <c r="B55" s="124">
        <f>B53-B54</f>
        <v>0</v>
      </c>
      <c r="C55" s="125">
        <f>C53-C54</f>
        <v>0</v>
      </c>
      <c r="D55" s="126">
        <f>D53-D54</f>
        <v>0</v>
      </c>
      <c r="E55" s="127">
        <f>E53-E54</f>
        <v>0</v>
      </c>
      <c r="F55" s="213"/>
      <c r="G55" s="213"/>
      <c r="H55" s="213"/>
      <c r="I55" s="213"/>
      <c r="J55" s="213"/>
      <c r="K55" s="213"/>
      <c r="L55" s="213"/>
      <c r="M55" s="223"/>
    </row>
    <row r="56" spans="1:17" ht="16.5" thickBot="1" x14ac:dyDescent="0.3">
      <c r="A56" s="5" t="s">
        <v>111</v>
      </c>
      <c r="B56" s="31">
        <f>B53/B54</f>
        <v>1</v>
      </c>
      <c r="C56" s="29">
        <f>C53/C54</f>
        <v>1</v>
      </c>
      <c r="D56" s="28">
        <f>D53/D54</f>
        <v>1</v>
      </c>
      <c r="E56" s="27">
        <f>E53/E54</f>
        <v>1</v>
      </c>
      <c r="F56" s="213"/>
      <c r="G56" s="213"/>
      <c r="H56" s="213"/>
      <c r="I56" s="213"/>
      <c r="J56" s="213"/>
      <c r="K56" s="213"/>
      <c r="L56" s="213"/>
      <c r="M56" s="223"/>
    </row>
    <row r="57" spans="1:17" ht="15.75" thickBot="1" x14ac:dyDescent="0.3">
      <c r="A57" s="217" t="s">
        <v>110</v>
      </c>
      <c r="B57" s="218"/>
      <c r="C57" s="218"/>
      <c r="D57" s="218"/>
      <c r="E57" s="219"/>
      <c r="F57" s="213"/>
      <c r="G57" s="213"/>
      <c r="H57" s="213"/>
      <c r="I57" s="213"/>
      <c r="J57" s="213"/>
      <c r="K57" s="213"/>
      <c r="L57" s="213"/>
      <c r="M57" s="223"/>
    </row>
    <row r="58" spans="1:17" ht="16.5" thickBot="1" x14ac:dyDescent="0.3">
      <c r="A58" s="26" t="str">
        <f t="shared" ref="A58:A63" si="35">A44</f>
        <v>Pflanzenkohle</v>
      </c>
      <c r="B58" s="193">
        <f t="shared" ref="B58:B63" si="36">(B35*$C$41)/($B$22*$C$22)</f>
        <v>0.23219999999999999</v>
      </c>
      <c r="C58" s="191">
        <f>(E35*B35)/($B$22*$E$22)</f>
        <v>0.26999999999999996</v>
      </c>
      <c r="D58" s="195">
        <f t="shared" ref="D58:D63" si="37">(I35*B35)/($B$22*$I$22)</f>
        <v>0</v>
      </c>
      <c r="E58" s="196">
        <f t="shared" ref="E58:E63" si="38">(F44*B35)/($B$22*$F$31)</f>
        <v>0.6</v>
      </c>
      <c r="F58" s="213"/>
      <c r="G58" s="213"/>
      <c r="H58" s="213"/>
      <c r="I58" s="213"/>
      <c r="J58" s="213"/>
      <c r="K58" s="213"/>
      <c r="L58" s="213"/>
      <c r="M58" s="223"/>
    </row>
    <row r="59" spans="1:17" ht="16.5" thickBot="1" x14ac:dyDescent="0.3">
      <c r="A59" s="5" t="str">
        <f t="shared" si="35"/>
        <v>Pyrolyse Emissionen C</v>
      </c>
      <c r="B59" s="197">
        <f t="shared" si="36"/>
        <v>0.15480000000000002</v>
      </c>
      <c r="C59" s="192">
        <f>(E36*B36)/($B$22*$E$22)</f>
        <v>0.18000000000000002</v>
      </c>
      <c r="D59" s="199">
        <f t="shared" si="37"/>
        <v>0</v>
      </c>
      <c r="E59" s="200">
        <f>(F45*B36)/($B$22*$F$31)</f>
        <v>0.4</v>
      </c>
      <c r="F59" s="213"/>
      <c r="G59" s="213"/>
      <c r="H59" s="213"/>
      <c r="I59" s="213"/>
      <c r="J59" s="213"/>
      <c r="K59" s="213"/>
      <c r="L59" s="213"/>
      <c r="M59" s="223"/>
    </row>
    <row r="60" spans="1:17" ht="16.5" thickBot="1" x14ac:dyDescent="0.3">
      <c r="A60" s="5" t="str">
        <f t="shared" si="35"/>
        <v>Pyrolyse Emissionen E</v>
      </c>
      <c r="B60" s="197">
        <f>(B37*$C$41)/($B$22*$C$22)</f>
        <v>0.61299999999999999</v>
      </c>
      <c r="C60" s="192">
        <f>(E37*B37)/($B$22*$E$22)</f>
        <v>0.55000000000000004</v>
      </c>
      <c r="D60" s="199">
        <f>(I37*B37)/($B$22*$I$22)</f>
        <v>1</v>
      </c>
      <c r="E60" s="200">
        <f t="shared" si="38"/>
        <v>0</v>
      </c>
      <c r="F60" s="213"/>
      <c r="G60" s="213"/>
      <c r="H60" s="213"/>
      <c r="I60" s="213"/>
      <c r="J60" s="213"/>
      <c r="K60" s="213"/>
      <c r="L60" s="213"/>
      <c r="M60" s="223"/>
    </row>
    <row r="61" spans="1:17" ht="16.5" thickBot="1" x14ac:dyDescent="0.3">
      <c r="A61" s="5" t="e">
        <f t="shared" si="35"/>
        <v>#REF!</v>
      </c>
      <c r="B61" s="30">
        <f t="shared" si="36"/>
        <v>0</v>
      </c>
      <c r="C61" s="29">
        <f>($G$41*F38)/($B$22*$E$22)</f>
        <v>0</v>
      </c>
      <c r="D61" s="28">
        <f t="shared" si="37"/>
        <v>0</v>
      </c>
      <c r="E61" s="27">
        <f t="shared" si="38"/>
        <v>0</v>
      </c>
      <c r="F61" s="213"/>
      <c r="G61" s="213"/>
      <c r="H61" s="213"/>
      <c r="I61" s="213"/>
      <c r="J61" s="213"/>
      <c r="K61" s="213"/>
      <c r="L61" s="213"/>
      <c r="M61" s="223"/>
    </row>
    <row r="62" spans="1:17" ht="16.5" thickBot="1" x14ac:dyDescent="0.3">
      <c r="A62" s="5" t="e">
        <f t="shared" si="35"/>
        <v>#REF!</v>
      </c>
      <c r="B62" s="30">
        <f t="shared" si="36"/>
        <v>0</v>
      </c>
      <c r="C62" s="29">
        <f>(B39*E39)/($B$22*$E$22)</f>
        <v>0</v>
      </c>
      <c r="D62" s="28">
        <f t="shared" si="37"/>
        <v>0</v>
      </c>
      <c r="E62" s="27">
        <f t="shared" si="38"/>
        <v>0</v>
      </c>
      <c r="F62" s="213"/>
      <c r="G62" s="213"/>
      <c r="H62" s="213"/>
      <c r="I62" s="213"/>
      <c r="J62" s="213"/>
      <c r="K62" s="213"/>
      <c r="L62" s="213"/>
      <c r="M62" s="223"/>
    </row>
    <row r="63" spans="1:17" ht="16.5" thickBot="1" x14ac:dyDescent="0.3">
      <c r="A63" s="5">
        <f t="shared" si="35"/>
        <v>0</v>
      </c>
      <c r="B63" s="30">
        <f t="shared" si="36"/>
        <v>0</v>
      </c>
      <c r="C63" s="29">
        <f>(B40*E40)/($B$22*$E$22)</f>
        <v>0</v>
      </c>
      <c r="D63" s="28">
        <f t="shared" si="37"/>
        <v>0</v>
      </c>
      <c r="E63" s="27">
        <f t="shared" si="38"/>
        <v>0</v>
      </c>
      <c r="F63" s="213"/>
      <c r="G63" s="213"/>
      <c r="H63" s="213"/>
      <c r="I63" s="213"/>
      <c r="J63" s="213"/>
      <c r="K63" s="213"/>
      <c r="L63" s="213"/>
      <c r="M63" s="223"/>
    </row>
    <row r="64" spans="1:17" ht="16.5" thickBot="1" x14ac:dyDescent="0.3">
      <c r="A64" s="3" t="s">
        <v>109</v>
      </c>
      <c r="B64" s="201">
        <f>SUM(B58:B63)</f>
        <v>1</v>
      </c>
      <c r="C64" s="202">
        <f>SUM(C58:C63)</f>
        <v>1</v>
      </c>
      <c r="D64" s="203">
        <f>SUM(D58:D63)</f>
        <v>1</v>
      </c>
      <c r="E64" s="204">
        <f>SUM(E58:E63)</f>
        <v>1</v>
      </c>
      <c r="F64" s="213"/>
      <c r="G64" s="213"/>
      <c r="H64" s="213"/>
      <c r="I64" s="213"/>
      <c r="J64" s="213"/>
      <c r="K64" s="213"/>
      <c r="L64" s="213"/>
      <c r="M64" s="223"/>
    </row>
    <row r="65" spans="1:13" ht="16.5" thickBot="1" x14ac:dyDescent="0.3">
      <c r="A65" s="224" t="s">
        <v>108</v>
      </c>
      <c r="B65" s="225"/>
      <c r="C65" s="225"/>
      <c r="D65" s="225"/>
      <c r="E65" s="225"/>
      <c r="F65" s="225"/>
      <c r="G65" s="225"/>
      <c r="H65" s="225"/>
      <c r="I65" s="225"/>
      <c r="J65" s="225"/>
      <c r="K65" s="225"/>
      <c r="L65" s="225"/>
      <c r="M65" s="226"/>
    </row>
    <row r="66" spans="1:13" x14ac:dyDescent="0.25">
      <c r="A66" s="4" t="s">
        <v>107</v>
      </c>
      <c r="B66" s="227" t="s">
        <v>106</v>
      </c>
      <c r="C66" s="227"/>
      <c r="D66" s="227"/>
      <c r="E66" s="227"/>
      <c r="F66" s="227"/>
      <c r="G66" s="4" t="s">
        <v>105</v>
      </c>
      <c r="M66" s="25"/>
    </row>
    <row r="67" spans="1:13" ht="18.75" customHeight="1" x14ac:dyDescent="0.25">
      <c r="A67" s="4" t="s">
        <v>104</v>
      </c>
      <c r="B67" s="213" t="s">
        <v>91</v>
      </c>
      <c r="C67" s="213"/>
      <c r="D67" s="213"/>
      <c r="E67" s="213"/>
      <c r="F67" s="213"/>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row r="91" spans="18:19" x14ac:dyDescent="0.25">
      <c r="R91">
        <v>100</v>
      </c>
      <c r="S91">
        <v>1.1000000000000001</v>
      </c>
    </row>
    <row r="92" spans="18:19" x14ac:dyDescent="0.25">
      <c r="S92">
        <v>0.9</v>
      </c>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90D2-23BD-4752-AB18-2C15EBFCBD6D}">
  <sheetPr codeName="Sheet18">
    <tabColor theme="8" tint="0.79998168889431442"/>
  </sheetPr>
  <dimension ref="A1:AE92"/>
  <sheetViews>
    <sheetView topLeftCell="A15" zoomScale="85" zoomScaleNormal="85" zoomScaleSheetLayoutView="145" zoomScalePageLayoutView="115" workbookViewId="0">
      <selection activeCell="E35" sqref="E35"/>
    </sheetView>
  </sheetViews>
  <sheetFormatPr defaultColWidth="11.42578125" defaultRowHeight="15" x14ac:dyDescent="0.25"/>
  <cols>
    <col min="1" max="1" width="31.85546875" customWidth="1"/>
    <col min="2" max="2" width="12.5703125" style="1" customWidth="1"/>
    <col min="3" max="3" width="37.28515625" style="1" customWidth="1"/>
    <col min="4" max="4" width="14.85546875" style="1" customWidth="1"/>
    <col min="5" max="5" width="13.85546875" style="1" customWidth="1"/>
    <col min="6" max="6" width="9.85546875" style="1" customWidth="1"/>
    <col min="7" max="7" width="16" style="1" customWidth="1"/>
    <col min="8" max="13" width="9.85546875" style="1" customWidth="1"/>
    <col min="29" max="29" width="16.85546875" customWidth="1"/>
    <col min="31" max="31" width="19.85546875" customWidth="1"/>
  </cols>
  <sheetData>
    <row r="1" spans="1:23" ht="48" thickBot="1" x14ac:dyDescent="0.3">
      <c r="A1" s="114" t="s">
        <v>161</v>
      </c>
      <c r="B1" s="264" t="str">
        <f>'2_1_Definition_Processes'!D2</f>
        <v>Environment</v>
      </c>
      <c r="C1" s="264"/>
      <c r="D1" s="264"/>
      <c r="E1" s="264"/>
      <c r="F1" s="264"/>
      <c r="G1" s="264"/>
      <c r="H1" s="264"/>
      <c r="I1" s="114" t="s">
        <v>160</v>
      </c>
      <c r="J1" s="265" t="s">
        <v>41</v>
      </c>
      <c r="K1" s="265"/>
      <c r="L1" s="265"/>
      <c r="M1" s="265"/>
    </row>
    <row r="2" spans="1:23" ht="16.5" thickBot="1" x14ac:dyDescent="0.3">
      <c r="A2" s="246" t="s">
        <v>159</v>
      </c>
      <c r="B2" s="247"/>
      <c r="C2" s="247"/>
      <c r="D2" s="247"/>
      <c r="E2" s="247"/>
      <c r="F2" s="247"/>
      <c r="G2" s="247"/>
      <c r="H2" s="247"/>
      <c r="I2" s="247"/>
      <c r="J2" s="247"/>
      <c r="K2" s="247"/>
      <c r="L2" s="247"/>
      <c r="M2" s="248"/>
    </row>
    <row r="3" spans="1:23" ht="126.75" customHeight="1" thickBot="1" x14ac:dyDescent="0.3">
      <c r="A3" s="266"/>
      <c r="B3" s="267"/>
      <c r="C3" s="267"/>
      <c r="D3" s="267"/>
      <c r="E3" s="267"/>
      <c r="F3" s="267"/>
      <c r="G3" s="267"/>
      <c r="H3" s="267"/>
      <c r="I3" s="267"/>
      <c r="J3" s="267"/>
      <c r="K3" s="267"/>
      <c r="L3" s="267"/>
      <c r="M3" s="268"/>
    </row>
    <row r="4" spans="1:23" ht="31.5" customHeight="1" x14ac:dyDescent="0.25">
      <c r="A4" s="113" t="s">
        <v>158</v>
      </c>
      <c r="B4" s="269"/>
      <c r="C4" s="270"/>
      <c r="D4" s="271"/>
      <c r="E4" s="272" t="s">
        <v>157</v>
      </c>
      <c r="F4" s="273"/>
      <c r="G4" s="118"/>
      <c r="H4" s="118"/>
      <c r="I4" s="112"/>
      <c r="J4" s="112"/>
      <c r="K4" s="112"/>
      <c r="L4" s="112"/>
      <c r="M4" s="112"/>
    </row>
    <row r="5" spans="1:23" ht="16.5" customHeight="1" x14ac:dyDescent="0.25">
      <c r="A5" s="115" t="s">
        <v>156</v>
      </c>
      <c r="B5" s="262" t="s">
        <v>1152</v>
      </c>
      <c r="C5" s="262"/>
      <c r="D5" s="263"/>
      <c r="E5" s="115" t="s">
        <v>156</v>
      </c>
      <c r="F5" s="258" t="s">
        <v>1153</v>
      </c>
      <c r="G5" s="258"/>
      <c r="H5" s="259"/>
      <c r="I5" s="116"/>
      <c r="J5" s="111"/>
      <c r="K5" s="111"/>
      <c r="L5" s="111"/>
      <c r="M5" s="108"/>
    </row>
    <row r="6" spans="1:23" ht="16.5" customHeight="1" x14ac:dyDescent="0.25">
      <c r="A6" s="115" t="s">
        <v>155</v>
      </c>
      <c r="B6" s="258" t="s">
        <v>1154</v>
      </c>
      <c r="C6" s="258"/>
      <c r="D6" s="259"/>
      <c r="E6" s="115" t="s">
        <v>155</v>
      </c>
      <c r="F6" s="258" t="s">
        <v>1155</v>
      </c>
      <c r="G6" s="258"/>
      <c r="H6" s="259"/>
      <c r="I6" s="116"/>
      <c r="J6" s="111"/>
      <c r="K6" s="111"/>
      <c r="L6" s="111"/>
      <c r="M6" s="108"/>
    </row>
    <row r="7" spans="1:23" ht="16.5" customHeight="1" x14ac:dyDescent="0.25">
      <c r="A7" s="110" t="s">
        <v>154</v>
      </c>
      <c r="B7" s="258"/>
      <c r="C7" s="258"/>
      <c r="D7" s="259"/>
      <c r="E7" s="110" t="s">
        <v>154</v>
      </c>
      <c r="F7" s="258"/>
      <c r="G7" s="258"/>
      <c r="H7" s="259"/>
      <c r="I7" s="117"/>
      <c r="J7" s="109"/>
      <c r="K7" s="109"/>
      <c r="L7" s="109"/>
      <c r="M7" s="108"/>
    </row>
    <row r="8" spans="1:23" ht="16.5" customHeight="1" x14ac:dyDescent="0.25">
      <c r="A8" s="110" t="s">
        <v>153</v>
      </c>
      <c r="B8" s="258" t="e">
        <f>_xlfn.XLOOKUP(J1,Tab_Def_Processes[Process_ID],#REF!,"No_flow.",0,1)</f>
        <v>#REF!</v>
      </c>
      <c r="C8" s="258"/>
      <c r="D8" s="259"/>
      <c r="E8" s="110" t="s">
        <v>153</v>
      </c>
      <c r="F8" s="258"/>
      <c r="G8" s="258"/>
      <c r="H8" s="259"/>
      <c r="I8" s="117"/>
      <c r="J8" s="109"/>
      <c r="K8" s="109"/>
      <c r="L8" s="109"/>
      <c r="M8" s="108"/>
    </row>
    <row r="9" spans="1:23"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3" ht="16.5" customHeight="1" thickBot="1" x14ac:dyDescent="0.3">
      <c r="A10" s="119" t="s">
        <v>151</v>
      </c>
      <c r="B10" s="260"/>
      <c r="C10" s="260"/>
      <c r="D10" s="261"/>
      <c r="E10" s="119" t="s">
        <v>151</v>
      </c>
      <c r="F10" s="260"/>
      <c r="G10" s="260"/>
      <c r="H10" s="261"/>
      <c r="I10" s="117"/>
      <c r="J10" s="109"/>
      <c r="K10" s="109"/>
      <c r="L10" s="109"/>
      <c r="M10" s="108"/>
    </row>
    <row r="11" spans="1:23" ht="16.5" thickBot="1" x14ac:dyDescent="0.3">
      <c r="A11" s="246" t="s">
        <v>150</v>
      </c>
      <c r="B11" s="247"/>
      <c r="C11" s="247"/>
      <c r="D11" s="247"/>
      <c r="E11" s="247"/>
      <c r="F11" s="247"/>
      <c r="G11" s="247"/>
      <c r="H11" s="247"/>
      <c r="I11" s="247"/>
      <c r="J11" s="247"/>
      <c r="K11" s="247"/>
      <c r="L11" s="247"/>
      <c r="M11" s="248"/>
    </row>
    <row r="12" spans="1:23" ht="33" customHeight="1" thickBot="1" x14ac:dyDescent="0.3">
      <c r="A12" s="107">
        <v>1000</v>
      </c>
      <c r="B12" s="106" t="s">
        <v>149</v>
      </c>
      <c r="C12" s="105"/>
      <c r="D12" s="105"/>
      <c r="E12" s="105"/>
      <c r="F12" s="105"/>
      <c r="G12" s="105"/>
      <c r="H12" s="105"/>
      <c r="I12" s="105"/>
      <c r="J12" s="105"/>
      <c r="K12" s="105"/>
      <c r="L12" s="105"/>
      <c r="M12" s="104"/>
    </row>
    <row r="13" spans="1:23" ht="16.5" thickBot="1" x14ac:dyDescent="0.3">
      <c r="A13" s="224" t="s">
        <v>148</v>
      </c>
      <c r="B13" s="225"/>
      <c r="C13" s="225"/>
      <c r="D13" s="225"/>
      <c r="E13" s="225"/>
      <c r="F13" s="225"/>
      <c r="G13" s="225"/>
      <c r="H13" s="225"/>
      <c r="I13" s="225"/>
      <c r="J13" s="225"/>
      <c r="K13" s="225"/>
      <c r="L13" s="225"/>
      <c r="M13" s="226"/>
    </row>
    <row r="14" spans="1:23"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206"/>
      <c r="W14" s="135">
        <f>Tab_Def_Flows[[#This Row],[Flow_CC_DM'[%']]]*Tab_Def_Flows[[#This Row],[Flow_DM'[%']]]</f>
        <v>0</v>
      </c>
    </row>
    <row r="15" spans="1:23"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206"/>
      <c r="W15" s="135">
        <f>Tab_Def_Flows[[#This Row],[Flow_CC_DM'[%']]]*Tab_Def_Flows[[#This Row],[Flow_DM'[%']]]</f>
        <v>0</v>
      </c>
    </row>
    <row r="16" spans="1:23" ht="23.25" customHeight="1" x14ac:dyDescent="0.25">
      <c r="A16" s="59" t="str">
        <f t="shared" ref="A16:A21" si="0">B5</f>
        <v>wheat straw</v>
      </c>
      <c r="B16" s="35">
        <v>231718.022875817</v>
      </c>
      <c r="C16" s="86">
        <f>B16/$B$22</f>
        <v>7.4101349282012619E-2</v>
      </c>
      <c r="D16" s="85" t="s">
        <v>107</v>
      </c>
      <c r="E16" s="84">
        <v>0.86</v>
      </c>
      <c r="F16" s="34">
        <v>199277.49967320301</v>
      </c>
      <c r="G16" s="83">
        <f t="shared" ref="G16:G21" si="1">F16/$F$22</f>
        <v>0.81429046510523129</v>
      </c>
      <c r="H16" s="82" t="s">
        <v>107</v>
      </c>
      <c r="I16" s="81">
        <f t="shared" ref="I16:I17" si="2">1-E16</f>
        <v>0.14000000000000001</v>
      </c>
      <c r="J16" s="33">
        <f t="shared" ref="J16:J21" si="3">I16*B16</f>
        <v>32440.523202614382</v>
      </c>
      <c r="K16" s="101">
        <f t="shared" ref="K16:K21" si="4">J16/$J$22</f>
        <v>1.1255017466074426E-2</v>
      </c>
      <c r="L16" s="78" t="s">
        <v>107</v>
      </c>
      <c r="M16" s="78"/>
    </row>
    <row r="17" spans="1:24" ht="23.25" customHeight="1" x14ac:dyDescent="0.25">
      <c r="A17" s="59" t="str">
        <f>B6</f>
        <v>Byproducts_C</v>
      </c>
      <c r="B17" s="35">
        <f>B16*12.4950309230434</f>
        <v>2895323.8612598111</v>
      </c>
      <c r="C17" s="86">
        <f>B17/$B$22</f>
        <v>0.92589865071798738</v>
      </c>
      <c r="D17" s="85" t="s">
        <v>107</v>
      </c>
      <c r="E17" s="84">
        <v>1.5696975080693329E-2</v>
      </c>
      <c r="F17" s="34">
        <f t="shared" ref="F17:F21" si="5">E17*B17</f>
        <v>45447.826500732044</v>
      </c>
      <c r="G17" s="83">
        <f t="shared" si="1"/>
        <v>0.18570953489476871</v>
      </c>
      <c r="H17" s="82" t="s">
        <v>107</v>
      </c>
      <c r="I17" s="81">
        <f t="shared" si="2"/>
        <v>0.98430302491930666</v>
      </c>
      <c r="J17" s="33">
        <f t="shared" si="3"/>
        <v>2849876.0347590791</v>
      </c>
      <c r="K17" s="101">
        <f t="shared" si="4"/>
        <v>0.98874498253392562</v>
      </c>
      <c r="L17" s="78" t="s">
        <v>107</v>
      </c>
      <c r="M17" s="78"/>
      <c r="P17">
        <f>B16*X58</f>
        <v>2895323.8612598181</v>
      </c>
    </row>
    <row r="18" spans="1:24" ht="23.25" customHeight="1" x14ac:dyDescent="0.25">
      <c r="A18" s="59">
        <f t="shared" si="0"/>
        <v>0</v>
      </c>
      <c r="B18" s="35"/>
      <c r="C18" s="86">
        <f t="shared" ref="C18:C21" si="6">B18/$B$22</f>
        <v>0</v>
      </c>
      <c r="D18" s="85"/>
      <c r="E18" s="84"/>
      <c r="F18" s="34">
        <f t="shared" si="5"/>
        <v>0</v>
      </c>
      <c r="G18" s="83">
        <f t="shared" si="1"/>
        <v>0</v>
      </c>
      <c r="H18" s="82"/>
      <c r="I18" s="81"/>
      <c r="J18" s="33">
        <f t="shared" si="3"/>
        <v>0</v>
      </c>
      <c r="K18" s="101">
        <f t="shared" si="4"/>
        <v>0</v>
      </c>
      <c r="L18" s="79"/>
      <c r="M18" s="78"/>
    </row>
    <row r="19" spans="1:24" ht="23.25" customHeight="1" x14ac:dyDescent="0.25">
      <c r="A19" s="59" t="e">
        <f t="shared" si="0"/>
        <v>#REF!</v>
      </c>
      <c r="B19" s="35"/>
      <c r="C19" s="86">
        <f t="shared" si="6"/>
        <v>0</v>
      </c>
      <c r="D19" s="85"/>
      <c r="E19" s="84"/>
      <c r="F19" s="34">
        <f t="shared" si="5"/>
        <v>0</v>
      </c>
      <c r="G19" s="83">
        <f t="shared" si="1"/>
        <v>0</v>
      </c>
      <c r="H19" s="103"/>
      <c r="I19" s="102"/>
      <c r="J19" s="33">
        <f t="shared" si="3"/>
        <v>0</v>
      </c>
      <c r="K19" s="101">
        <f t="shared" si="4"/>
        <v>0</v>
      </c>
      <c r="L19" s="79"/>
      <c r="M19" s="78"/>
    </row>
    <row r="20" spans="1:24" ht="23.25" customHeight="1" x14ac:dyDescent="0.25">
      <c r="A20" s="59" t="e">
        <f t="shared" si="0"/>
        <v>#REF!</v>
      </c>
      <c r="B20" s="35"/>
      <c r="C20" s="86">
        <f t="shared" si="6"/>
        <v>0</v>
      </c>
      <c r="D20" s="85"/>
      <c r="E20" s="84"/>
      <c r="F20" s="34">
        <f t="shared" si="5"/>
        <v>0</v>
      </c>
      <c r="G20" s="83">
        <f t="shared" si="1"/>
        <v>0</v>
      </c>
      <c r="H20" s="103"/>
      <c r="I20" s="102"/>
      <c r="J20" s="33">
        <f t="shared" si="3"/>
        <v>0</v>
      </c>
      <c r="K20" s="101">
        <f t="shared" si="4"/>
        <v>0</v>
      </c>
      <c r="L20" s="79"/>
      <c r="M20" s="78"/>
    </row>
    <row r="21" spans="1:24" ht="23.25" customHeight="1" thickBot="1" x14ac:dyDescent="0.3">
      <c r="A21" s="59">
        <f t="shared" si="0"/>
        <v>0</v>
      </c>
      <c r="B21" s="35"/>
      <c r="C21" s="86">
        <f t="shared" si="6"/>
        <v>0</v>
      </c>
      <c r="D21" s="85"/>
      <c r="E21" s="84"/>
      <c r="F21" s="34">
        <f t="shared" si="5"/>
        <v>0</v>
      </c>
      <c r="G21" s="83">
        <f t="shared" si="1"/>
        <v>0</v>
      </c>
      <c r="H21" s="103"/>
      <c r="I21" s="102"/>
      <c r="J21" s="33">
        <f t="shared" si="3"/>
        <v>0</v>
      </c>
      <c r="K21" s="101">
        <f t="shared" si="4"/>
        <v>0</v>
      </c>
      <c r="L21" s="79"/>
      <c r="M21" s="78"/>
    </row>
    <row r="22" spans="1:24" ht="16.5" thickBot="1" x14ac:dyDescent="0.3">
      <c r="A22" s="49" t="s">
        <v>109</v>
      </c>
      <c r="B22" s="77">
        <f>SUM(B16:B19)</f>
        <v>3127041.8841356281</v>
      </c>
      <c r="C22" s="205">
        <f>C16+C17+C18</f>
        <v>1</v>
      </c>
      <c r="D22" s="75"/>
      <c r="E22" s="74">
        <f>F22/B22</f>
        <v>7.8260968430098804E-2</v>
      </c>
      <c r="F22" s="73">
        <f>SUM(F16:F19)</f>
        <v>244725.32617393506</v>
      </c>
      <c r="G22" s="99">
        <f>SUM(G16:G19)</f>
        <v>1</v>
      </c>
      <c r="H22" s="71"/>
      <c r="I22" s="70">
        <f>J22/B22</f>
        <v>0.92173903156990133</v>
      </c>
      <c r="J22" s="69">
        <f>J16+J17+J18</f>
        <v>2882316.5579616935</v>
      </c>
      <c r="K22" s="98">
        <f>SUM(K16:K19)</f>
        <v>1</v>
      </c>
      <c r="L22" s="67"/>
      <c r="M22" s="66"/>
    </row>
    <row r="23" spans="1:24" ht="16.5" customHeight="1" thickBot="1" x14ac:dyDescent="0.3">
      <c r="A23" s="129" t="s">
        <v>134</v>
      </c>
      <c r="B23" s="240" t="s">
        <v>133</v>
      </c>
      <c r="C23" s="241"/>
      <c r="D23" s="241"/>
      <c r="E23" s="241"/>
      <c r="F23" s="241"/>
      <c r="G23" s="241"/>
      <c r="H23" s="242"/>
      <c r="I23" s="243" t="s">
        <v>132</v>
      </c>
      <c r="J23" s="244"/>
      <c r="K23" s="244"/>
      <c r="L23" s="244"/>
      <c r="M23" s="245"/>
    </row>
    <row r="24" spans="1:24" ht="60.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O24" s="56">
        <v>25.71</v>
      </c>
      <c r="P24" s="143">
        <v>0.14000000000000001</v>
      </c>
      <c r="Q24" s="22" t="s">
        <v>91</v>
      </c>
      <c r="R24" s="143">
        <v>0.86</v>
      </c>
      <c r="S24" s="22" t="s">
        <v>91</v>
      </c>
      <c r="T24" s="143">
        <v>0.48</v>
      </c>
      <c r="U24" s="22" t="s">
        <v>91</v>
      </c>
      <c r="V24" s="206"/>
      <c r="W24" s="135">
        <f>Tab_Def_Flows[[#This Row],[Flow_CC_DM'[%']]]*Tab_Def_Flows[[#This Row],[Flow_DM'[%']]]</f>
        <v>0</v>
      </c>
      <c r="X24" s="144" t="s">
        <v>92</v>
      </c>
    </row>
    <row r="25" spans="1:24" ht="27" customHeight="1" x14ac:dyDescent="0.25">
      <c r="A25" s="59" t="str">
        <f t="shared" ref="A25:A30" si="7">B5</f>
        <v>wheat straw</v>
      </c>
      <c r="B25" s="58">
        <v>0.45</v>
      </c>
      <c r="C25" s="56">
        <f>B25*E16*B16</f>
        <v>89674.874852941182</v>
      </c>
      <c r="D25" s="57">
        <f t="shared" ref="D25:D30" si="8">C25/$C$31</f>
        <v>0.86858108108108134</v>
      </c>
      <c r="E25" s="56" t="s">
        <v>107</v>
      </c>
      <c r="F25" s="55">
        <f>B25*E16</f>
        <v>0.38700000000000001</v>
      </c>
      <c r="G25" s="54">
        <f t="shared" ref="G25:G30" si="9">B25*E16*B16</f>
        <v>89674.874852941182</v>
      </c>
      <c r="H25" s="53">
        <f t="shared" ref="H25:H30" si="10">G25/$G$31</f>
        <v>0.86858108108108134</v>
      </c>
      <c r="I25" s="97">
        <f>$A$12*C16</f>
        <v>74.10134928201262</v>
      </c>
      <c r="J25" s="96">
        <f t="shared" ref="J25:J30" si="11">I25*E16</f>
        <v>63.727160382530855</v>
      </c>
      <c r="K25" s="96">
        <f>I25*I16</f>
        <v>10.374188899481767</v>
      </c>
      <c r="L25" s="96">
        <f>SUM(J25:K25)</f>
        <v>74.10134928201262</v>
      </c>
      <c r="M25" s="95">
        <f t="shared" ref="M25:M30" si="12">I25*F25</f>
        <v>28.677222172138883</v>
      </c>
      <c r="O25" s="56">
        <v>0.31</v>
      </c>
    </row>
    <row r="26" spans="1:24" ht="15.75" x14ac:dyDescent="0.25">
      <c r="A26" s="59" t="str">
        <f t="shared" si="7"/>
        <v>Byproducts_C</v>
      </c>
      <c r="B26" s="58">
        <v>0.29854182655410594</v>
      </c>
      <c r="C26" s="56">
        <f>B26*E17*B17</f>
        <v>13568.077136442645</v>
      </c>
      <c r="D26" s="57">
        <f t="shared" si="8"/>
        <v>0.13141891891891866</v>
      </c>
      <c r="E26" s="56" t="s">
        <v>107</v>
      </c>
      <c r="F26" s="55">
        <f>B26*E17</f>
        <v>4.6862036119644712E-3</v>
      </c>
      <c r="G26" s="54">
        <f t="shared" si="9"/>
        <v>13568.077136442645</v>
      </c>
      <c r="H26" s="53">
        <f t="shared" si="10"/>
        <v>0.13141891891891866</v>
      </c>
      <c r="I26" s="97">
        <f>$A$12*C17</f>
        <v>925.89865071798738</v>
      </c>
      <c r="J26" s="96">
        <f>I26*E17</f>
        <v>14.533808047567824</v>
      </c>
      <c r="K26" s="96">
        <f t="shared" ref="K26:K30" si="13">I26*I17</f>
        <v>911.36484267041953</v>
      </c>
      <c r="L26" s="96">
        <f t="shared" ref="L26:L30" si="14">SUM(J26:K26)</f>
        <v>925.89865071798738</v>
      </c>
      <c r="M26" s="95">
        <f t="shared" si="12"/>
        <v>4.3389496013076627</v>
      </c>
      <c r="O26" s="56">
        <v>3.58</v>
      </c>
    </row>
    <row r="27" spans="1:24" ht="15.75" x14ac:dyDescent="0.25">
      <c r="A27" s="59">
        <f t="shared" si="7"/>
        <v>0</v>
      </c>
      <c r="B27" s="58">
        <v>0</v>
      </c>
      <c r="C27" s="56"/>
      <c r="D27" s="57">
        <f>C27/$C$31</f>
        <v>0</v>
      </c>
      <c r="E27" s="56"/>
      <c r="F27" s="55">
        <f t="shared" ref="F27:F30" si="15">B27*E18</f>
        <v>0</v>
      </c>
      <c r="G27" s="54">
        <f t="shared" si="9"/>
        <v>0</v>
      </c>
      <c r="H27" s="53">
        <f t="shared" si="10"/>
        <v>0</v>
      </c>
      <c r="I27" s="97">
        <f t="shared" ref="I27:I30" si="16">$A$12*C18</f>
        <v>0</v>
      </c>
      <c r="J27" s="96">
        <f t="shared" si="11"/>
        <v>0</v>
      </c>
      <c r="K27" s="96">
        <f t="shared" si="13"/>
        <v>0</v>
      </c>
      <c r="L27" s="96">
        <f t="shared" si="14"/>
        <v>0</v>
      </c>
      <c r="M27" s="95">
        <f t="shared" si="12"/>
        <v>0</v>
      </c>
      <c r="Q27">
        <v>0.76158038205651879</v>
      </c>
    </row>
    <row r="28" spans="1:24" ht="15.75" x14ac:dyDescent="0.25">
      <c r="A28" s="59" t="e">
        <f t="shared" si="7"/>
        <v>#REF!</v>
      </c>
      <c r="B28" s="58">
        <v>0</v>
      </c>
      <c r="C28" s="56">
        <f t="shared" ref="C28:C30" si="17">F19*B28</f>
        <v>0</v>
      </c>
      <c r="D28" s="57">
        <f t="shared" si="8"/>
        <v>0</v>
      </c>
      <c r="E28" s="56"/>
      <c r="F28" s="55">
        <f t="shared" si="15"/>
        <v>0</v>
      </c>
      <c r="G28" s="54">
        <f t="shared" si="9"/>
        <v>0</v>
      </c>
      <c r="H28" s="53">
        <f t="shared" si="10"/>
        <v>0</v>
      </c>
      <c r="I28" s="97">
        <f t="shared" si="16"/>
        <v>0</v>
      </c>
      <c r="J28" s="96">
        <f t="shared" si="11"/>
        <v>0</v>
      </c>
      <c r="K28" s="96">
        <f t="shared" si="13"/>
        <v>0</v>
      </c>
      <c r="L28" s="96">
        <f t="shared" si="14"/>
        <v>0</v>
      </c>
      <c r="M28" s="95">
        <f t="shared" si="12"/>
        <v>0</v>
      </c>
    </row>
    <row r="29" spans="1:24" ht="15.75" x14ac:dyDescent="0.25">
      <c r="A29" s="59" t="e">
        <f t="shared" si="7"/>
        <v>#REF!</v>
      </c>
      <c r="B29" s="58">
        <v>0</v>
      </c>
      <c r="C29" s="56">
        <f t="shared" si="17"/>
        <v>0</v>
      </c>
      <c r="D29" s="57">
        <f t="shared" si="8"/>
        <v>0</v>
      </c>
      <c r="E29" s="56"/>
      <c r="F29" s="55">
        <f t="shared" si="15"/>
        <v>0</v>
      </c>
      <c r="G29" s="54">
        <f t="shared" si="9"/>
        <v>0</v>
      </c>
      <c r="H29" s="53">
        <f t="shared" si="10"/>
        <v>0</v>
      </c>
      <c r="I29" s="97">
        <f t="shared" si="16"/>
        <v>0</v>
      </c>
      <c r="J29" s="96">
        <f t="shared" si="11"/>
        <v>0</v>
      </c>
      <c r="K29" s="96">
        <f t="shared" si="13"/>
        <v>0</v>
      </c>
      <c r="L29" s="96">
        <f t="shared" si="14"/>
        <v>0</v>
      </c>
      <c r="M29" s="95">
        <f t="shared" si="12"/>
        <v>0</v>
      </c>
    </row>
    <row r="30" spans="1:24" ht="16.5" thickBot="1" x14ac:dyDescent="0.3">
      <c r="A30" s="59">
        <f t="shared" si="7"/>
        <v>0</v>
      </c>
      <c r="B30" s="58">
        <v>0</v>
      </c>
      <c r="C30" s="56">
        <f t="shared" si="17"/>
        <v>0</v>
      </c>
      <c r="D30" s="57">
        <f t="shared" si="8"/>
        <v>0</v>
      </c>
      <c r="E30" s="56"/>
      <c r="F30" s="55">
        <f t="shared" si="15"/>
        <v>0</v>
      </c>
      <c r="G30" s="54">
        <f t="shared" si="9"/>
        <v>0</v>
      </c>
      <c r="H30" s="53">
        <f t="shared" si="10"/>
        <v>0</v>
      </c>
      <c r="I30" s="97">
        <f t="shared" si="16"/>
        <v>0</v>
      </c>
      <c r="J30" s="96">
        <f t="shared" si="11"/>
        <v>0</v>
      </c>
      <c r="K30" s="96">
        <f t="shared" si="13"/>
        <v>0</v>
      </c>
      <c r="L30" s="96">
        <f t="shared" si="14"/>
        <v>0</v>
      </c>
      <c r="M30" s="95">
        <f t="shared" si="12"/>
        <v>0</v>
      </c>
    </row>
    <row r="31" spans="1:24" ht="16.5" thickBot="1" x14ac:dyDescent="0.3">
      <c r="A31" s="49" t="s">
        <v>109</v>
      </c>
      <c r="B31" s="48">
        <f>C31/F22</f>
        <v>0.42187277305335108</v>
      </c>
      <c r="C31" s="46">
        <f>SUM(C25:C30)</f>
        <v>103242.95198938383</v>
      </c>
      <c r="D31" s="94">
        <f>SUM(D24:D30)</f>
        <v>1</v>
      </c>
      <c r="E31" s="46"/>
      <c r="F31" s="45">
        <f>G31/B22</f>
        <v>3.3016171773446547E-2</v>
      </c>
      <c r="G31" s="44">
        <f t="shared" ref="G31:M31" si="18">SUM(G25:G30)</f>
        <v>103242.95198938383</v>
      </c>
      <c r="H31" s="43">
        <f t="shared" si="18"/>
        <v>1</v>
      </c>
      <c r="I31" s="42">
        <f>SUM(I25:I30)</f>
        <v>1000</v>
      </c>
      <c r="J31" s="41">
        <f t="shared" si="18"/>
        <v>78.260968430098671</v>
      </c>
      <c r="K31" s="41">
        <f t="shared" si="18"/>
        <v>921.73903156990127</v>
      </c>
      <c r="L31" s="41">
        <f t="shared" si="18"/>
        <v>1000</v>
      </c>
      <c r="M31" s="40">
        <f t="shared" si="18"/>
        <v>33.016171773446544</v>
      </c>
    </row>
    <row r="32" spans="1:24" ht="16.5" thickBot="1" x14ac:dyDescent="0.3">
      <c r="A32" s="228" t="s">
        <v>147</v>
      </c>
      <c r="B32" s="229"/>
      <c r="C32" s="229"/>
      <c r="D32" s="229"/>
      <c r="E32" s="229"/>
      <c r="F32" s="229"/>
      <c r="G32" s="229"/>
      <c r="H32" s="229"/>
      <c r="I32" s="229"/>
      <c r="J32" s="229"/>
      <c r="K32" s="229"/>
      <c r="L32" s="229"/>
      <c r="M32" s="230"/>
    </row>
    <row r="33" spans="1:31" ht="16.5" customHeight="1" thickBot="1" x14ac:dyDescent="0.3">
      <c r="A33" s="65" t="s">
        <v>134</v>
      </c>
      <c r="B33" s="231" t="s">
        <v>146</v>
      </c>
      <c r="C33" s="232"/>
      <c r="D33" s="233"/>
      <c r="E33" s="234" t="s">
        <v>145</v>
      </c>
      <c r="F33" s="235"/>
      <c r="G33" s="235"/>
      <c r="H33" s="236"/>
      <c r="I33" s="237" t="s">
        <v>144</v>
      </c>
      <c r="J33" s="238"/>
      <c r="K33" s="238"/>
      <c r="L33" s="238"/>
      <c r="M33" s="239"/>
    </row>
    <row r="34" spans="1:31"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31" ht="15.75" x14ac:dyDescent="0.25">
      <c r="A35" s="59" t="str">
        <f t="shared" ref="A35:A40" si="19">F5</f>
        <v>biogas</v>
      </c>
      <c r="B35" s="35">
        <f>C35*B22</f>
        <v>90686.376747431568</v>
      </c>
      <c r="C35" s="86">
        <v>2.9000691422621908E-2</v>
      </c>
      <c r="D35" s="85" t="s">
        <v>107</v>
      </c>
      <c r="E35" s="84">
        <v>1</v>
      </c>
      <c r="F35" s="34">
        <f>E35*B35</f>
        <v>90686.376747431568</v>
      </c>
      <c r="G35" s="83">
        <f t="shared" ref="G35:G40" si="20">F35/$F$41</f>
        <v>0.37056392227659274</v>
      </c>
      <c r="H35" s="82" t="s">
        <v>107</v>
      </c>
      <c r="I35" s="81">
        <f>1-E35</f>
        <v>0</v>
      </c>
      <c r="J35" s="33">
        <f t="shared" ref="J35:J40" si="21">I35*B35</f>
        <v>0</v>
      </c>
      <c r="K35" s="80">
        <f>J35/$J$41</f>
        <v>0</v>
      </c>
      <c r="L35" s="79" t="s">
        <v>107</v>
      </c>
      <c r="M35" s="78"/>
      <c r="R35">
        <f>C54/B17</f>
        <v>8.4524335756846744E-2</v>
      </c>
    </row>
    <row r="36" spans="1:31" ht="15.75" x14ac:dyDescent="0.25">
      <c r="A36" s="59" t="str">
        <f t="shared" si="19"/>
        <v>Lithosphere</v>
      </c>
      <c r="B36" s="35">
        <f>C36*B22</f>
        <v>3036355.5073881964</v>
      </c>
      <c r="C36" s="86">
        <v>0.97099930857737804</v>
      </c>
      <c r="D36" s="85" t="s">
        <v>107</v>
      </c>
      <c r="E36" s="84">
        <v>5.0731526348508318E-2</v>
      </c>
      <c r="F36" s="34">
        <f t="shared" ref="F36:F40" si="22">E36*B36</f>
        <v>154038.94942650263</v>
      </c>
      <c r="G36" s="83">
        <f t="shared" si="20"/>
        <v>0.62943607772340715</v>
      </c>
      <c r="H36" s="82" t="s">
        <v>107</v>
      </c>
      <c r="I36" s="81">
        <f t="shared" ref="I36" si="23">1-E36</f>
        <v>0.9492684736514917</v>
      </c>
      <c r="J36" s="33">
        <f>I36*B36</f>
        <v>2882316.557961694</v>
      </c>
      <c r="K36" s="80">
        <f>J36/$J$41</f>
        <v>1</v>
      </c>
      <c r="L36" s="79" t="s">
        <v>107</v>
      </c>
      <c r="M36" s="78"/>
    </row>
    <row r="37" spans="1:31" ht="15.75" x14ac:dyDescent="0.25">
      <c r="A37" s="59">
        <f t="shared" si="19"/>
        <v>0</v>
      </c>
      <c r="B37" s="35"/>
      <c r="C37" s="86">
        <f t="shared" ref="C37:C40" si="24">B37/$B$41</f>
        <v>0</v>
      </c>
      <c r="D37" s="85"/>
      <c r="E37" s="84"/>
      <c r="F37" s="34">
        <f t="shared" si="22"/>
        <v>0</v>
      </c>
      <c r="G37" s="83">
        <f t="shared" si="20"/>
        <v>0</v>
      </c>
      <c r="H37" s="82"/>
      <c r="I37" s="81"/>
      <c r="J37" s="33">
        <f>I37*B37</f>
        <v>0</v>
      </c>
      <c r="K37" s="80">
        <f>J37/$J$41</f>
        <v>0</v>
      </c>
      <c r="L37" s="79"/>
      <c r="M37" s="78"/>
      <c r="P37" s="189">
        <f>860-G25</f>
        <v>-88814.874852941182</v>
      </c>
      <c r="U37">
        <v>25.71</v>
      </c>
      <c r="X37">
        <v>14.79</v>
      </c>
    </row>
    <row r="38" spans="1:31" ht="15.75" x14ac:dyDescent="0.25">
      <c r="A38" s="59">
        <f t="shared" si="19"/>
        <v>0</v>
      </c>
      <c r="B38" s="35"/>
      <c r="C38" s="86">
        <f t="shared" si="24"/>
        <v>0</v>
      </c>
      <c r="D38" s="85"/>
      <c r="E38" s="84"/>
      <c r="F38" s="34">
        <f t="shared" si="22"/>
        <v>0</v>
      </c>
      <c r="G38" s="83">
        <f t="shared" si="20"/>
        <v>0</v>
      </c>
      <c r="H38" s="82"/>
      <c r="I38" s="81"/>
      <c r="J38" s="33">
        <f t="shared" si="21"/>
        <v>0</v>
      </c>
      <c r="K38" s="80">
        <f>J38/$J$41</f>
        <v>0</v>
      </c>
      <c r="L38" s="79"/>
      <c r="M38" s="78"/>
      <c r="U38">
        <v>0.31</v>
      </c>
      <c r="X38">
        <v>1.66</v>
      </c>
    </row>
    <row r="39" spans="1:31" ht="15.75" x14ac:dyDescent="0.25">
      <c r="A39" s="59" t="e">
        <f t="shared" si="19"/>
        <v>#REF!</v>
      </c>
      <c r="B39" s="35"/>
      <c r="C39" s="86">
        <f t="shared" si="24"/>
        <v>0</v>
      </c>
      <c r="D39" s="85"/>
      <c r="E39" s="84"/>
      <c r="F39" s="34">
        <f t="shared" si="22"/>
        <v>0</v>
      </c>
      <c r="G39" s="83">
        <f t="shared" si="20"/>
        <v>0</v>
      </c>
      <c r="H39" s="82"/>
      <c r="I39" s="81"/>
      <c r="J39" s="33">
        <f t="shared" si="21"/>
        <v>0</v>
      </c>
      <c r="K39" s="80">
        <f>J39/$J$41</f>
        <v>0</v>
      </c>
      <c r="L39" s="79"/>
      <c r="M39" s="78"/>
      <c r="U39">
        <v>3.58</v>
      </c>
      <c r="X39">
        <v>13.15</v>
      </c>
    </row>
    <row r="40" spans="1:31" ht="16.5" thickBot="1" x14ac:dyDescent="0.3">
      <c r="A40" s="59">
        <f t="shared" si="19"/>
        <v>0</v>
      </c>
      <c r="B40" s="35"/>
      <c r="C40" s="86">
        <f t="shared" si="24"/>
        <v>0</v>
      </c>
      <c r="D40" s="85"/>
      <c r="E40" s="84"/>
      <c r="F40" s="34">
        <f t="shared" si="22"/>
        <v>0</v>
      </c>
      <c r="G40" s="83">
        <f t="shared" si="20"/>
        <v>0</v>
      </c>
      <c r="H40" s="82"/>
      <c r="I40" s="81"/>
      <c r="J40" s="33">
        <f t="shared" si="21"/>
        <v>0</v>
      </c>
      <c r="K40" s="80">
        <f>J40/$J$22</f>
        <v>0</v>
      </c>
      <c r="L40" s="79"/>
      <c r="M40" s="78"/>
      <c r="U40">
        <f>SUM(U37:U39)</f>
        <v>29.6</v>
      </c>
      <c r="X40">
        <f>SUM(X37:X39)</f>
        <v>29.6</v>
      </c>
    </row>
    <row r="41" spans="1:31" ht="16.5" thickBot="1" x14ac:dyDescent="0.3">
      <c r="A41" s="49" t="s">
        <v>109</v>
      </c>
      <c r="B41" s="77">
        <f>SUM(B35:B40)</f>
        <v>3127041.8841356281</v>
      </c>
      <c r="C41" s="76">
        <f>SUM(C35:C40)</f>
        <v>1</v>
      </c>
      <c r="D41" s="75"/>
      <c r="E41" s="74">
        <f>F41/B41</f>
        <v>7.8260968430098526E-2</v>
      </c>
      <c r="F41" s="73">
        <f>SUM(F35:F40)</f>
        <v>244725.32617393421</v>
      </c>
      <c r="G41" s="72">
        <f>SUM(G35:G40)</f>
        <v>0.99999999999999989</v>
      </c>
      <c r="H41" s="71"/>
      <c r="I41" s="70">
        <f>J41/B41</f>
        <v>0.92173903156990145</v>
      </c>
      <c r="J41" s="69">
        <f>SUM(J35:J40)</f>
        <v>2882316.557961694</v>
      </c>
      <c r="K41" s="68">
        <f>SUM(K35:K40)</f>
        <v>1</v>
      </c>
      <c r="L41" s="67"/>
      <c r="M41" s="66"/>
      <c r="P41" s="190" t="e">
        <f>140/B37</f>
        <v>#DIV/0!</v>
      </c>
    </row>
    <row r="42" spans="1:31" ht="16.5" customHeight="1" thickBot="1" x14ac:dyDescent="0.3">
      <c r="A42" s="129" t="s">
        <v>134</v>
      </c>
      <c r="B42" s="240" t="s">
        <v>133</v>
      </c>
      <c r="C42" s="241"/>
      <c r="D42" s="241"/>
      <c r="E42" s="241"/>
      <c r="F42" s="241"/>
      <c r="G42" s="241"/>
      <c r="H42" s="242"/>
      <c r="I42" s="243" t="s">
        <v>132</v>
      </c>
      <c r="J42" s="244"/>
      <c r="K42" s="244"/>
      <c r="L42" s="244"/>
      <c r="M42" s="245"/>
      <c r="P42" t="e">
        <f>F37/B37</f>
        <v>#DIV/0!</v>
      </c>
    </row>
    <row r="43" spans="1:31" ht="60.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c r="W43" t="s">
        <v>1162</v>
      </c>
    </row>
    <row r="44" spans="1:31" ht="15.75" x14ac:dyDescent="0.25">
      <c r="A44" s="59" t="str">
        <f t="shared" ref="A44:A49" si="25">A35</f>
        <v>biogas</v>
      </c>
      <c r="B44" s="58">
        <v>0.56884615384615378</v>
      </c>
      <c r="C44" s="56">
        <f>B44*E35*B35</f>
        <v>51586.596619019721</v>
      </c>
      <c r="D44" s="57">
        <f t="shared" ref="D44:D49" si="26">C44/$C$50</f>
        <v>0.49966216216216214</v>
      </c>
      <c r="E44" s="56" t="s">
        <v>107</v>
      </c>
      <c r="F44" s="55">
        <f>B44*E35</f>
        <v>0.56884615384615378</v>
      </c>
      <c r="G44" s="54">
        <f>B44*E35*B35</f>
        <v>51586.596619019721</v>
      </c>
      <c r="H44" s="53">
        <f t="shared" ref="H44:H49" si="27">G44/$G$50</f>
        <v>0.49966216216216214</v>
      </c>
      <c r="I44" s="52">
        <f t="shared" ref="I44:I49" si="28">$A$12*B58</f>
        <v>29.000691422621912</v>
      </c>
      <c r="J44" s="51">
        <f t="shared" ref="J44:J49" si="29">I44*E35</f>
        <v>29.000691422621912</v>
      </c>
      <c r="K44" s="51">
        <f t="shared" ref="K44:K49" si="30">I44*I35</f>
        <v>0</v>
      </c>
      <c r="L44" s="51">
        <f t="shared" ref="L44:L49" si="31">SUM(J44:K44)</f>
        <v>29.000691422621912</v>
      </c>
      <c r="M44" s="50">
        <f t="shared" ref="M44:M49" si="32">I44*F44</f>
        <v>16.496931774637616</v>
      </c>
    </row>
    <row r="45" spans="1:31" ht="15.75" x14ac:dyDescent="0.25">
      <c r="A45" s="59" t="str">
        <f t="shared" si="25"/>
        <v>Lithosphere</v>
      </c>
      <c r="B45" s="58">
        <v>0.33534606385387583</v>
      </c>
      <c r="C45" s="56">
        <f>B45*E36*B36</f>
        <v>51656.355370363905</v>
      </c>
      <c r="D45" s="57">
        <f t="shared" si="26"/>
        <v>0.50033783783783781</v>
      </c>
      <c r="E45" s="56" t="s">
        <v>107</v>
      </c>
      <c r="F45" s="55">
        <f t="shared" ref="F45:F49" si="33">B45*E36</f>
        <v>1.7012617674271455E-2</v>
      </c>
      <c r="G45" s="54">
        <f t="shared" ref="G45:G49" si="34">B45*E36*B36</f>
        <v>51656.355370363905</v>
      </c>
      <c r="H45" s="53">
        <f t="shared" si="27"/>
        <v>0.50033783783783781</v>
      </c>
      <c r="I45" s="52">
        <f t="shared" si="28"/>
        <v>970.99930857737809</v>
      </c>
      <c r="J45" s="51">
        <f t="shared" si="29"/>
        <v>49.260277007476617</v>
      </c>
      <c r="K45" s="51">
        <f t="shared" si="30"/>
        <v>921.7390315699015</v>
      </c>
      <c r="L45" s="51">
        <f t="shared" si="31"/>
        <v>970.99930857737809</v>
      </c>
      <c r="M45" s="50">
        <f t="shared" si="32"/>
        <v>16.519239998808864</v>
      </c>
      <c r="AA45">
        <v>57.133333333333333</v>
      </c>
      <c r="AB45">
        <v>86</v>
      </c>
      <c r="AD45">
        <v>25.71</v>
      </c>
      <c r="AE45">
        <v>45</v>
      </c>
    </row>
    <row r="46" spans="1:31" ht="15.75" x14ac:dyDescent="0.25">
      <c r="A46" s="59">
        <f t="shared" si="25"/>
        <v>0</v>
      </c>
      <c r="B46" s="58"/>
      <c r="C46" s="56"/>
      <c r="D46" s="57">
        <f t="shared" si="26"/>
        <v>0</v>
      </c>
      <c r="E46" s="56" t="s">
        <v>107</v>
      </c>
      <c r="F46" s="55">
        <f t="shared" si="33"/>
        <v>0</v>
      </c>
      <c r="G46" s="54">
        <f t="shared" si="34"/>
        <v>0</v>
      </c>
      <c r="H46" s="53">
        <f t="shared" si="27"/>
        <v>0</v>
      </c>
      <c r="I46" s="52">
        <f t="shared" si="28"/>
        <v>0</v>
      </c>
      <c r="J46" s="51">
        <f t="shared" si="29"/>
        <v>0</v>
      </c>
      <c r="K46" s="51">
        <f t="shared" si="30"/>
        <v>0</v>
      </c>
      <c r="L46" s="51">
        <f t="shared" si="31"/>
        <v>0</v>
      </c>
      <c r="M46" s="50">
        <f t="shared" si="32"/>
        <v>0</v>
      </c>
      <c r="AA46">
        <f>AA45/AB45</f>
        <v>0.66434108527131785</v>
      </c>
      <c r="AB46">
        <v>1</v>
      </c>
      <c r="AD46">
        <f>AD45/AE45</f>
        <v>0.57133333333333336</v>
      </c>
      <c r="AE46">
        <v>1</v>
      </c>
    </row>
    <row r="47" spans="1:31" ht="15.75" x14ac:dyDescent="0.25">
      <c r="A47" s="59">
        <f t="shared" si="25"/>
        <v>0</v>
      </c>
      <c r="B47" s="58"/>
      <c r="C47" s="56">
        <f t="shared" ref="C47:C49" si="35">F38*B47</f>
        <v>0</v>
      </c>
      <c r="D47" s="57">
        <f t="shared" si="26"/>
        <v>0</v>
      </c>
      <c r="E47" s="56"/>
      <c r="F47" s="55">
        <f t="shared" si="33"/>
        <v>0</v>
      </c>
      <c r="G47" s="54">
        <f t="shared" si="34"/>
        <v>0</v>
      </c>
      <c r="H47" s="53">
        <f t="shared" si="27"/>
        <v>0</v>
      </c>
      <c r="I47" s="52">
        <f t="shared" si="28"/>
        <v>0</v>
      </c>
      <c r="J47" s="51">
        <f t="shared" si="29"/>
        <v>0</v>
      </c>
      <c r="K47" s="51">
        <f t="shared" si="30"/>
        <v>0</v>
      </c>
      <c r="L47" s="51">
        <f t="shared" si="31"/>
        <v>0</v>
      </c>
      <c r="M47" s="50">
        <f t="shared" si="32"/>
        <v>0</v>
      </c>
      <c r="T47">
        <f>0.6*387</f>
        <v>232.2</v>
      </c>
      <c r="AA47">
        <f>AA46*100</f>
        <v>66.434108527131784</v>
      </c>
      <c r="AD47">
        <f>AD46*100</f>
        <v>57.133333333333333</v>
      </c>
    </row>
    <row r="48" spans="1:31" ht="15.75" x14ac:dyDescent="0.25">
      <c r="A48" s="59" t="e">
        <f t="shared" si="25"/>
        <v>#REF!</v>
      </c>
      <c r="B48" s="58"/>
      <c r="C48" s="56">
        <f t="shared" si="35"/>
        <v>0</v>
      </c>
      <c r="D48" s="57">
        <f t="shared" si="26"/>
        <v>0</v>
      </c>
      <c r="E48" s="56"/>
      <c r="F48" s="55">
        <f t="shared" si="33"/>
        <v>0</v>
      </c>
      <c r="G48" s="54">
        <f t="shared" si="34"/>
        <v>0</v>
      </c>
      <c r="H48" s="53">
        <f t="shared" si="27"/>
        <v>0</v>
      </c>
      <c r="I48" s="52">
        <f t="shared" si="28"/>
        <v>0</v>
      </c>
      <c r="J48" s="51">
        <f t="shared" si="29"/>
        <v>0</v>
      </c>
      <c r="K48" s="51">
        <f t="shared" si="30"/>
        <v>0</v>
      </c>
      <c r="L48" s="51">
        <f t="shared" si="31"/>
        <v>0</v>
      </c>
      <c r="M48" s="50">
        <f t="shared" si="32"/>
        <v>0</v>
      </c>
      <c r="T48">
        <f>0.4*387</f>
        <v>154.80000000000001</v>
      </c>
    </row>
    <row r="49" spans="1:31" ht="16.5" thickBot="1" x14ac:dyDescent="0.3">
      <c r="A49" s="59">
        <f t="shared" si="25"/>
        <v>0</v>
      </c>
      <c r="B49" s="58"/>
      <c r="C49" s="56">
        <f t="shared" si="35"/>
        <v>0</v>
      </c>
      <c r="D49" s="57">
        <f t="shared" si="26"/>
        <v>0</v>
      </c>
      <c r="E49" s="56"/>
      <c r="F49" s="55">
        <f t="shared" si="33"/>
        <v>0</v>
      </c>
      <c r="G49" s="54">
        <f t="shared" si="34"/>
        <v>0</v>
      </c>
      <c r="H49" s="53">
        <f t="shared" si="27"/>
        <v>0</v>
      </c>
      <c r="I49" s="52">
        <f t="shared" si="28"/>
        <v>0</v>
      </c>
      <c r="J49" s="51">
        <f t="shared" si="29"/>
        <v>0</v>
      </c>
      <c r="K49" s="51">
        <f t="shared" si="30"/>
        <v>0</v>
      </c>
      <c r="L49" s="51">
        <f t="shared" si="31"/>
        <v>0</v>
      </c>
      <c r="M49" s="50">
        <f t="shared" si="32"/>
        <v>0</v>
      </c>
      <c r="Q49" s="145"/>
    </row>
    <row r="50" spans="1:31" ht="16.5" thickBot="1" x14ac:dyDescent="0.3">
      <c r="A50" s="49" t="s">
        <v>109</v>
      </c>
      <c r="B50" s="48">
        <f>C50/F41</f>
        <v>0.42187277305335175</v>
      </c>
      <c r="C50" s="46">
        <f>SUM(C44:C49)</f>
        <v>103242.95198938363</v>
      </c>
      <c r="D50" s="47">
        <f>SUM(D44:D49)</f>
        <v>1</v>
      </c>
      <c r="E50" s="46"/>
      <c r="F50" s="45">
        <f>G50/B41</f>
        <v>3.3016171773446477E-2</v>
      </c>
      <c r="G50" s="44">
        <f t="shared" ref="G50:M50" si="36">SUM(G44:G49)</f>
        <v>103242.95198938363</v>
      </c>
      <c r="H50" s="43">
        <f t="shared" si="36"/>
        <v>1</v>
      </c>
      <c r="I50" s="42">
        <f t="shared" si="36"/>
        <v>1000</v>
      </c>
      <c r="J50" s="41">
        <f t="shared" si="36"/>
        <v>78.260968430098529</v>
      </c>
      <c r="K50" s="41">
        <f t="shared" si="36"/>
        <v>921.7390315699015</v>
      </c>
      <c r="L50" s="41">
        <f t="shared" si="36"/>
        <v>1000</v>
      </c>
      <c r="M50" s="40">
        <f t="shared" si="36"/>
        <v>33.01617177344648</v>
      </c>
    </row>
    <row r="51" spans="1:31" ht="15.75" thickBot="1" x14ac:dyDescent="0.3">
      <c r="A51" s="217" t="s">
        <v>119</v>
      </c>
      <c r="B51" s="218"/>
      <c r="C51" s="218"/>
      <c r="D51" s="218"/>
      <c r="E51" s="219"/>
      <c r="F51" s="220" t="s">
        <v>118</v>
      </c>
      <c r="G51" s="221"/>
      <c r="H51" s="221"/>
      <c r="I51" s="221"/>
      <c r="J51" s="221"/>
      <c r="K51" s="221"/>
      <c r="L51" s="221"/>
      <c r="M51" s="222"/>
      <c r="V51" t="s">
        <v>1160</v>
      </c>
      <c r="X51" t="s">
        <v>1160</v>
      </c>
      <c r="Y51" t="s">
        <v>88</v>
      </c>
      <c r="AA51" t="s">
        <v>89</v>
      </c>
      <c r="AC51" t="s">
        <v>1161</v>
      </c>
      <c r="AD51" t="s">
        <v>1159</v>
      </c>
    </row>
    <row r="52" spans="1:31" ht="16.5" thickBot="1" x14ac:dyDescent="0.3">
      <c r="A52" s="3" t="s">
        <v>117</v>
      </c>
      <c r="B52" s="39" t="s">
        <v>116</v>
      </c>
      <c r="C52" s="38" t="s">
        <v>89</v>
      </c>
      <c r="D52" s="37" t="s">
        <v>88</v>
      </c>
      <c r="E52" s="36" t="s">
        <v>115</v>
      </c>
      <c r="F52" s="213"/>
      <c r="G52" s="213"/>
      <c r="H52" s="213"/>
      <c r="I52" s="213"/>
      <c r="J52" s="213"/>
      <c r="K52" s="213"/>
      <c r="L52" s="213"/>
      <c r="M52" s="223"/>
      <c r="U52" t="s">
        <v>1156</v>
      </c>
      <c r="V52">
        <f>W52*1.14</f>
        <v>62.699999999999996</v>
      </c>
      <c r="W52">
        <v>55</v>
      </c>
      <c r="X52">
        <v>66.434108527131784</v>
      </c>
      <c r="Y52">
        <f>X52*0.14</f>
        <v>9.3007751937984509</v>
      </c>
      <c r="Z52" s="190">
        <f>Y52/X52</f>
        <v>0.14000000000000001</v>
      </c>
      <c r="AA52">
        <v>57.133333333333333</v>
      </c>
      <c r="AB52" s="190">
        <f>AA52/X52</f>
        <v>0.86</v>
      </c>
      <c r="AC52">
        <f>W52-AD52</f>
        <v>29.29</v>
      </c>
      <c r="AD52">
        <v>25.71</v>
      </c>
      <c r="AE52" s="208">
        <f>AD52/AA52</f>
        <v>0.45</v>
      </c>
    </row>
    <row r="53" spans="1:31" ht="15.75" x14ac:dyDescent="0.25">
      <c r="A53" s="4" t="s">
        <v>114</v>
      </c>
      <c r="B53" s="35">
        <f>B22</f>
        <v>3127041.8841356281</v>
      </c>
      <c r="C53" s="34">
        <f>F22</f>
        <v>244725.32617393506</v>
      </c>
      <c r="D53" s="33">
        <f>J22</f>
        <v>2882316.5579616935</v>
      </c>
      <c r="E53" s="32">
        <f>C31</f>
        <v>103242.95198938383</v>
      </c>
      <c r="F53" s="213"/>
      <c r="G53" s="213"/>
      <c r="H53" s="213"/>
      <c r="I53" s="213"/>
      <c r="J53" s="213"/>
      <c r="K53" s="213"/>
      <c r="L53" s="213"/>
      <c r="M53" s="223"/>
      <c r="Q53">
        <f>F35/B22</f>
        <v>2.9000691422621912E-2</v>
      </c>
      <c r="U53" t="s">
        <v>1157</v>
      </c>
      <c r="V53">
        <v>816</v>
      </c>
      <c r="W53">
        <v>816</v>
      </c>
      <c r="X53">
        <f>Y53+AA53</f>
        <v>816.12</v>
      </c>
      <c r="Y53">
        <v>815.09</v>
      </c>
      <c r="Z53" s="190">
        <f t="shared" ref="Z53:Z55" si="37">Y53/X53</f>
        <v>0.99873793069646621</v>
      </c>
      <c r="AA53">
        <f t="shared" ref="AA53:AA54" si="38">AC53+AD53</f>
        <v>1.03</v>
      </c>
      <c r="AB53" s="190">
        <f t="shared" ref="AB53" si="39">AA53/X53</f>
        <v>1.262069303533794E-3</v>
      </c>
      <c r="AC53">
        <v>0.72</v>
      </c>
      <c r="AD53">
        <v>0.31</v>
      </c>
      <c r="AE53" s="207">
        <f t="shared" ref="AE53:AE54" si="40">AD53/AA53</f>
        <v>0.30097087378640774</v>
      </c>
    </row>
    <row r="54" spans="1:31" ht="16.5" thickBot="1" x14ac:dyDescent="0.3">
      <c r="A54" s="4" t="s">
        <v>113</v>
      </c>
      <c r="B54" s="35">
        <f>B41</f>
        <v>3127041.8841356281</v>
      </c>
      <c r="C54" s="34">
        <f>F41</f>
        <v>244725.32617393421</v>
      </c>
      <c r="D54" s="33">
        <f>J41</f>
        <v>2882316.557961694</v>
      </c>
      <c r="E54" s="32">
        <f>C50</f>
        <v>103242.95198938363</v>
      </c>
      <c r="F54" s="213"/>
      <c r="G54" s="213"/>
      <c r="H54" s="213"/>
      <c r="I54" s="213"/>
      <c r="J54" s="213"/>
      <c r="K54" s="213"/>
      <c r="L54" s="213"/>
      <c r="M54" s="223"/>
      <c r="U54" t="s">
        <v>1158</v>
      </c>
      <c r="W54">
        <v>12</v>
      </c>
      <c r="X54">
        <v>13.976240391334732</v>
      </c>
      <c r="Y54">
        <f>X54*0.1414</f>
        <v>1.9762403913347311</v>
      </c>
      <c r="Z54" s="190">
        <f t="shared" si="37"/>
        <v>0.1414</v>
      </c>
      <c r="AA54">
        <f t="shared" si="38"/>
        <v>12</v>
      </c>
      <c r="AB54" s="190">
        <f>AA54/X54</f>
        <v>0.85859999999999992</v>
      </c>
      <c r="AC54">
        <f>W54-AD54</f>
        <v>8.42</v>
      </c>
      <c r="AD54">
        <v>3.58</v>
      </c>
      <c r="AE54" s="207">
        <f t="shared" si="40"/>
        <v>0.29833333333333334</v>
      </c>
    </row>
    <row r="55" spans="1:31" ht="15.75" x14ac:dyDescent="0.25">
      <c r="A55" s="3" t="s">
        <v>112</v>
      </c>
      <c r="B55" s="124">
        <f>B53-B54</f>
        <v>0</v>
      </c>
      <c r="C55" s="125">
        <f>C53-C54</f>
        <v>8.440110832452774E-10</v>
      </c>
      <c r="D55" s="126">
        <f>D53-D54</f>
        <v>0</v>
      </c>
      <c r="E55" s="127">
        <f>E53-E54</f>
        <v>2.0372681319713593E-10</v>
      </c>
      <c r="F55" s="213"/>
      <c r="G55" s="213"/>
      <c r="H55" s="213"/>
      <c r="I55" s="213"/>
      <c r="J55" s="213"/>
      <c r="K55" s="213"/>
      <c r="L55" s="213"/>
      <c r="M55" s="223"/>
      <c r="W55">
        <f>SUM(W52:W54)</f>
        <v>883</v>
      </c>
      <c r="X55">
        <f>X53+X54</f>
        <v>830.09624039133473</v>
      </c>
      <c r="Y55">
        <f t="shared" ref="Y55:AC55" si="41">Y53+Y54</f>
        <v>817.06624039133476</v>
      </c>
      <c r="Z55" s="190">
        <f t="shared" si="37"/>
        <v>0.98430302491930666</v>
      </c>
      <c r="AA55">
        <f t="shared" si="41"/>
        <v>13.03</v>
      </c>
      <c r="AB55" s="190">
        <f>AA55/X55</f>
        <v>1.5696975080693329E-2</v>
      </c>
      <c r="AC55">
        <f t="shared" si="41"/>
        <v>9.14</v>
      </c>
      <c r="AD55">
        <f>AD53+AD54</f>
        <v>3.89</v>
      </c>
      <c r="AE55" s="207">
        <f>AD55/AA55</f>
        <v>0.29854182655410594</v>
      </c>
    </row>
    <row r="56" spans="1:31" ht="16.5" thickBot="1" x14ac:dyDescent="0.3">
      <c r="A56" s="5" t="s">
        <v>111</v>
      </c>
      <c r="B56" s="31">
        <f>B53/B54</f>
        <v>1</v>
      </c>
      <c r="C56" s="29">
        <f>C53/C54</f>
        <v>1.0000000000000036</v>
      </c>
      <c r="D56" s="28">
        <f>D53/D54</f>
        <v>0.99999999999999989</v>
      </c>
      <c r="E56" s="200">
        <f>E53/E54</f>
        <v>1.000000000000002</v>
      </c>
      <c r="F56" s="213"/>
      <c r="G56" s="213"/>
      <c r="H56" s="213"/>
      <c r="I56" s="213"/>
      <c r="J56" s="213"/>
      <c r="K56" s="213"/>
      <c r="L56" s="213"/>
      <c r="M56" s="223"/>
      <c r="W56" s="190">
        <f>W52/W55</f>
        <v>6.2287655719139301E-2</v>
      </c>
      <c r="X56">
        <f>X52+X53+X54</f>
        <v>896.53034891846653</v>
      </c>
      <c r="Y56">
        <f>Y52+Y53+Y54</f>
        <v>826.36701558513323</v>
      </c>
      <c r="AA56">
        <f t="shared" ref="AA56" si="42">SUM(AA52:AA54)</f>
        <v>70.163333333333327</v>
      </c>
      <c r="AC56">
        <f>SUM(AC52:AC54)</f>
        <v>38.43</v>
      </c>
      <c r="AD56">
        <f>SUM(AD52:AD54)</f>
        <v>29.6</v>
      </c>
    </row>
    <row r="57" spans="1:31" ht="15.75" thickBot="1" x14ac:dyDescent="0.3">
      <c r="A57" s="217" t="s">
        <v>110</v>
      </c>
      <c r="B57" s="218"/>
      <c r="C57" s="218"/>
      <c r="D57" s="218"/>
      <c r="E57" s="219"/>
      <c r="F57" s="213"/>
      <c r="G57" s="213"/>
      <c r="H57" s="213"/>
      <c r="I57" s="213"/>
      <c r="J57" s="213"/>
      <c r="K57" s="213"/>
      <c r="L57" s="213"/>
      <c r="M57" s="223"/>
      <c r="Y57">
        <f>Y56-Y68</f>
        <v>10.187015585133281</v>
      </c>
    </row>
    <row r="58" spans="1:31" ht="16.5" thickBot="1" x14ac:dyDescent="0.3">
      <c r="A58" s="26" t="str">
        <f t="shared" ref="A58:A63" si="43">A44</f>
        <v>biogas</v>
      </c>
      <c r="B58" s="193">
        <f t="shared" ref="B58:B63" si="44">(B35*$C$41)/($B$22*$C$22)</f>
        <v>2.9000691422621912E-2</v>
      </c>
      <c r="C58" s="191">
        <f>(E35*B35)/($B$22*$E$22)</f>
        <v>0.37056392227659141</v>
      </c>
      <c r="D58" s="195">
        <f t="shared" ref="D58:D63" si="45">(I35*B35)/($B$22*$I$22)</f>
        <v>0</v>
      </c>
      <c r="E58" s="27">
        <f>(F44*B35)/($B$22*$F$31)</f>
        <v>0.49966216216216114</v>
      </c>
      <c r="F58" s="213"/>
      <c r="G58" s="213"/>
      <c r="H58" s="213"/>
      <c r="I58" s="213"/>
      <c r="J58" s="213"/>
      <c r="K58" s="213"/>
      <c r="L58" s="213"/>
      <c r="M58" s="223"/>
      <c r="X58">
        <f>X55/X52</f>
        <v>12.495030923043428</v>
      </c>
      <c r="Z58">
        <v>12.4950309230434</v>
      </c>
    </row>
    <row r="59" spans="1:31" ht="16.5" thickBot="1" x14ac:dyDescent="0.3">
      <c r="A59" s="5" t="str">
        <f t="shared" si="43"/>
        <v>Lithosphere</v>
      </c>
      <c r="B59" s="197">
        <f t="shared" si="44"/>
        <v>0.97099930857737804</v>
      </c>
      <c r="C59" s="192">
        <f>(E36*B36)/($B$22*$E$22)</f>
        <v>0.62943607772340493</v>
      </c>
      <c r="D59" s="199">
        <f t="shared" si="45"/>
        <v>1.0000000000000002</v>
      </c>
      <c r="E59" s="27">
        <f t="shared" ref="E59:E60" si="46">(F45*B36)/($B$22*$F$31)</f>
        <v>0.50033783783783692</v>
      </c>
      <c r="F59" s="213"/>
      <c r="G59" s="213"/>
      <c r="H59" s="213"/>
      <c r="I59" s="213"/>
      <c r="J59" s="213"/>
      <c r="K59" s="213"/>
      <c r="L59" s="213"/>
      <c r="M59" s="223"/>
    </row>
    <row r="60" spans="1:31" ht="16.5" thickBot="1" x14ac:dyDescent="0.3">
      <c r="A60" s="5">
        <f t="shared" si="43"/>
        <v>0</v>
      </c>
      <c r="B60" s="197">
        <f>(B37*$C$41)/($B$22*$C$22)</f>
        <v>0</v>
      </c>
      <c r="C60" s="192">
        <v>0</v>
      </c>
      <c r="D60" s="199">
        <v>0</v>
      </c>
      <c r="E60" s="27">
        <f t="shared" si="46"/>
        <v>0</v>
      </c>
      <c r="F60" s="213"/>
      <c r="G60" s="213"/>
      <c r="H60" s="213"/>
      <c r="I60" s="213"/>
      <c r="J60" s="213"/>
      <c r="K60" s="213"/>
      <c r="L60" s="213"/>
      <c r="M60" s="223"/>
      <c r="W60">
        <v>231718.022875817</v>
      </c>
      <c r="X60" s="190">
        <v>0.06</v>
      </c>
    </row>
    <row r="61" spans="1:31" ht="16.5" thickBot="1" x14ac:dyDescent="0.3">
      <c r="A61" s="5">
        <f t="shared" si="43"/>
        <v>0</v>
      </c>
      <c r="B61" s="30">
        <f t="shared" si="44"/>
        <v>0</v>
      </c>
      <c r="C61" s="29">
        <f>($G$41*F38)/($B$22*$E$22)</f>
        <v>0</v>
      </c>
      <c r="D61" s="28">
        <f t="shared" si="45"/>
        <v>0</v>
      </c>
      <c r="E61" s="27">
        <f>(F47*B38)/($B$22*$F$31)</f>
        <v>0</v>
      </c>
      <c r="F61" s="213"/>
      <c r="G61" s="213"/>
      <c r="H61" s="213"/>
      <c r="I61" s="213"/>
      <c r="J61" s="213"/>
      <c r="K61" s="213"/>
      <c r="L61" s="213"/>
      <c r="M61" s="223"/>
      <c r="W61">
        <f>W60/6</f>
        <v>38619.670479302833</v>
      </c>
      <c r="X61" s="190">
        <v>0.01</v>
      </c>
    </row>
    <row r="62" spans="1:31" ht="16.5" thickBot="1" x14ac:dyDescent="0.3">
      <c r="A62" s="5" t="e">
        <f t="shared" si="43"/>
        <v>#REF!</v>
      </c>
      <c r="B62" s="30">
        <f t="shared" si="44"/>
        <v>0</v>
      </c>
      <c r="C62" s="29">
        <f>(B39*E39)/($B$22*$E$22)</f>
        <v>0</v>
      </c>
      <c r="D62" s="28">
        <f t="shared" si="45"/>
        <v>0</v>
      </c>
      <c r="E62" s="27">
        <f t="shared" ref="E62:E63" si="47">(F48*B39)/($B$22*$F$31)</f>
        <v>0</v>
      </c>
      <c r="F62" s="213"/>
      <c r="G62" s="213"/>
      <c r="H62" s="213"/>
      <c r="I62" s="213"/>
      <c r="J62" s="213"/>
      <c r="K62" s="213"/>
      <c r="L62" s="213"/>
      <c r="M62" s="223"/>
      <c r="W62">
        <f>W61*100</f>
        <v>3861967.0479302835</v>
      </c>
      <c r="X62" s="190">
        <v>1</v>
      </c>
    </row>
    <row r="63" spans="1:31" ht="16.5" thickBot="1" x14ac:dyDescent="0.3">
      <c r="A63" s="5">
        <f t="shared" si="43"/>
        <v>0</v>
      </c>
      <c r="B63" s="30">
        <f t="shared" si="44"/>
        <v>0</v>
      </c>
      <c r="C63" s="29">
        <f>(B40*E40)/($B$22*$E$22)</f>
        <v>0</v>
      </c>
      <c r="D63" s="28">
        <f t="shared" si="45"/>
        <v>0</v>
      </c>
      <c r="E63" s="27">
        <f t="shared" si="47"/>
        <v>0</v>
      </c>
      <c r="F63" s="213"/>
      <c r="G63" s="213"/>
      <c r="H63" s="213"/>
      <c r="I63" s="213"/>
      <c r="J63" s="213"/>
      <c r="K63" s="213"/>
      <c r="L63" s="213"/>
      <c r="M63" s="223"/>
      <c r="W63">
        <v>13565.8284085614</v>
      </c>
      <c r="X63" s="190">
        <f>W63/W62</f>
        <v>3.5126732673267207E-3</v>
      </c>
    </row>
    <row r="64" spans="1:31" ht="16.5" thickBot="1" x14ac:dyDescent="0.3">
      <c r="A64" s="3" t="s">
        <v>109</v>
      </c>
      <c r="B64" s="201">
        <f>SUM(B58:B63)</f>
        <v>1</v>
      </c>
      <c r="C64" s="202">
        <f>SUM(C58:C63)</f>
        <v>0.99999999999999634</v>
      </c>
      <c r="D64" s="203">
        <f>SUM(D58:D63)</f>
        <v>1.0000000000000002</v>
      </c>
      <c r="E64" s="204">
        <f>SUM(E58:E63)</f>
        <v>0.999999999999998</v>
      </c>
      <c r="F64" s="213"/>
      <c r="G64" s="213"/>
      <c r="H64" s="213"/>
      <c r="I64" s="213"/>
      <c r="J64" s="213"/>
      <c r="K64" s="213"/>
      <c r="L64" s="213"/>
      <c r="M64" s="223"/>
      <c r="W64">
        <f>W61*96</f>
        <v>3707488.366013072</v>
      </c>
      <c r="X64" s="190">
        <f>W64/W62</f>
        <v>0.96</v>
      </c>
    </row>
    <row r="65" spans="1:31" ht="16.5" thickBot="1" x14ac:dyDescent="0.3">
      <c r="A65" s="224" t="s">
        <v>108</v>
      </c>
      <c r="B65" s="225"/>
      <c r="C65" s="225"/>
      <c r="D65" s="225"/>
      <c r="E65" s="225"/>
      <c r="F65" s="225"/>
      <c r="G65" s="225"/>
      <c r="H65" s="225"/>
      <c r="I65" s="225"/>
      <c r="J65" s="225"/>
      <c r="K65" s="225"/>
      <c r="L65" s="225"/>
      <c r="M65" s="226"/>
      <c r="U65">
        <f>B16*94</f>
        <v>21781494.1503268</v>
      </c>
    </row>
    <row r="66" spans="1:31" x14ac:dyDescent="0.25">
      <c r="A66" s="4" t="s">
        <v>107</v>
      </c>
      <c r="B66" s="227" t="s">
        <v>106</v>
      </c>
      <c r="C66" s="227"/>
      <c r="D66" s="227"/>
      <c r="E66" s="227"/>
      <c r="F66" s="227"/>
      <c r="G66" s="4" t="s">
        <v>105</v>
      </c>
      <c r="M66" s="25"/>
      <c r="X66" t="s">
        <v>1160</v>
      </c>
      <c r="Y66" t="s">
        <v>88</v>
      </c>
      <c r="AA66" t="s">
        <v>89</v>
      </c>
      <c r="AC66" t="s">
        <v>1161</v>
      </c>
      <c r="AD66" t="s">
        <v>1159</v>
      </c>
    </row>
    <row r="67" spans="1:31" ht="18.75" customHeight="1" x14ac:dyDescent="0.25">
      <c r="A67" s="4" t="s">
        <v>104</v>
      </c>
      <c r="B67" s="213" t="s">
        <v>91</v>
      </c>
      <c r="C67" s="213"/>
      <c r="D67" s="213"/>
      <c r="E67" s="213"/>
      <c r="F67" s="213"/>
      <c r="G67" s="4" t="s">
        <v>103</v>
      </c>
      <c r="M67" s="25"/>
      <c r="X67">
        <f>Y67+AA67</f>
        <v>26</v>
      </c>
      <c r="Y67">
        <v>0</v>
      </c>
      <c r="Z67" s="190">
        <f>Y67/X67</f>
        <v>0</v>
      </c>
      <c r="AA67">
        <v>26</v>
      </c>
      <c r="AB67" s="190">
        <f>AA67/X67</f>
        <v>1</v>
      </c>
      <c r="AC67">
        <f>AA67-AD67</f>
        <v>11.21</v>
      </c>
      <c r="AD67">
        <v>14.79</v>
      </c>
      <c r="AE67" s="207">
        <f>AD67/AA67</f>
        <v>0.56884615384615378</v>
      </c>
    </row>
    <row r="68" spans="1:31" x14ac:dyDescent="0.25">
      <c r="A68" s="4" t="s">
        <v>102</v>
      </c>
      <c r="G68" s="4" t="s">
        <v>101</v>
      </c>
      <c r="M68" s="25"/>
      <c r="X68">
        <f t="shared" ref="X68:X69" si="48">Y68+AA68</f>
        <v>818.46999999999991</v>
      </c>
      <c r="Y68">
        <v>816.18</v>
      </c>
      <c r="Z68" s="190">
        <f t="shared" ref="Z68:Z70" si="49">Y68/X68</f>
        <v>0.99720209659486603</v>
      </c>
      <c r="AA68">
        <f>AC68+AD68</f>
        <v>2.29</v>
      </c>
      <c r="AB68" s="190">
        <f t="shared" ref="AB68:AB70" si="50">AA68/X68</f>
        <v>2.7979034051339698E-3</v>
      </c>
      <c r="AC68">
        <v>0.63</v>
      </c>
      <c r="AD68">
        <v>1.66</v>
      </c>
      <c r="AE68" s="207">
        <f>AD68/AA68</f>
        <v>0.72489082969432306</v>
      </c>
    </row>
    <row r="69" spans="1:31" x14ac:dyDescent="0.25">
      <c r="A69" s="4" t="s">
        <v>100</v>
      </c>
      <c r="G69" s="4" t="s">
        <v>99</v>
      </c>
      <c r="M69" s="25"/>
      <c r="X69">
        <f>Y69+AA69</f>
        <v>52.060348918466602</v>
      </c>
      <c r="Y69">
        <f>9.83972876342784+0.347286821705438</f>
        <v>10.187015585133278</v>
      </c>
      <c r="Z69" s="190">
        <f t="shared" si="49"/>
        <v>0.19567705166723898</v>
      </c>
      <c r="AA69">
        <f>37+4.87333333333333</f>
        <v>41.873333333333328</v>
      </c>
      <c r="AB69" s="190">
        <f t="shared" si="50"/>
        <v>0.80432294833276108</v>
      </c>
      <c r="AC69">
        <f>23.45+0.75</f>
        <v>24.2</v>
      </c>
      <c r="AD69">
        <v>13.15</v>
      </c>
      <c r="AE69" s="207">
        <f>AD69/AA69</f>
        <v>0.31404234994427643</v>
      </c>
    </row>
    <row r="70" spans="1:31" x14ac:dyDescent="0.25">
      <c r="A70" s="4" t="s">
        <v>98</v>
      </c>
      <c r="G70" s="4" t="s">
        <v>97</v>
      </c>
      <c r="M70" s="25"/>
      <c r="X70">
        <f>X68+X69</f>
        <v>870.53034891846653</v>
      </c>
      <c r="Y70">
        <f t="shared" ref="Y70:AD70" si="51">Y68+Y69</f>
        <v>826.36701558513323</v>
      </c>
      <c r="Z70" s="190">
        <f>Y70/X70</f>
        <v>0.9492684736514917</v>
      </c>
      <c r="AA70">
        <f>AA68+AA69</f>
        <v>44.163333333333327</v>
      </c>
      <c r="AB70" s="190">
        <f t="shared" si="50"/>
        <v>5.0731526348508318E-2</v>
      </c>
      <c r="AC70">
        <f t="shared" si="51"/>
        <v>24.83</v>
      </c>
      <c r="AD70">
        <f t="shared" si="51"/>
        <v>14.81</v>
      </c>
      <c r="AE70" s="207">
        <f>AD70/AA70</f>
        <v>0.33534606385387583</v>
      </c>
    </row>
    <row r="71" spans="1:31" x14ac:dyDescent="0.25">
      <c r="A71" s="4" t="s">
        <v>96</v>
      </c>
      <c r="G71" s="4" t="s">
        <v>95</v>
      </c>
      <c r="M71" s="25"/>
      <c r="X71">
        <f t="shared" ref="X71:AA71" si="52">SUM(X67:X69)</f>
        <v>896.53034891846653</v>
      </c>
      <c r="Y71">
        <f t="shared" si="52"/>
        <v>826.36701558513323</v>
      </c>
      <c r="Z71">
        <f t="shared" si="52"/>
        <v>1.1928791482621051</v>
      </c>
      <c r="AA71">
        <f t="shared" si="52"/>
        <v>70.163333333333327</v>
      </c>
      <c r="AC71">
        <f>SUM(AC67:AC69)</f>
        <v>36.04</v>
      </c>
      <c r="AD71">
        <f>SUM(AD67:AD69)</f>
        <v>29.6</v>
      </c>
    </row>
    <row r="72" spans="1:31" ht="15.75" thickBot="1" x14ac:dyDescent="0.3">
      <c r="A72" s="5" t="s">
        <v>94</v>
      </c>
      <c r="B72" s="24"/>
      <c r="C72" s="24"/>
      <c r="D72" s="24"/>
      <c r="E72" s="24"/>
      <c r="F72" s="24"/>
      <c r="G72" s="5" t="s">
        <v>93</v>
      </c>
      <c r="H72" s="24"/>
      <c r="I72" s="24"/>
      <c r="J72" s="24"/>
      <c r="K72" s="24"/>
      <c r="L72" s="24"/>
      <c r="M72" s="23"/>
      <c r="X72">
        <f t="shared" ref="X72:Z72" si="53">X56-X71</f>
        <v>0</v>
      </c>
      <c r="Y72">
        <f t="shared" si="53"/>
        <v>0</v>
      </c>
      <c r="Z72">
        <f t="shared" si="53"/>
        <v>-1.1928791482621051</v>
      </c>
      <c r="AA72">
        <f>AA56-AA71</f>
        <v>0</v>
      </c>
    </row>
    <row r="73" spans="1:31" x14ac:dyDescent="0.25">
      <c r="X73">
        <f>X67/X70</f>
        <v>2.9866850744838476E-2</v>
      </c>
      <c r="AC73">
        <f>AC71-AC56</f>
        <v>-2.3900000000000006</v>
      </c>
      <c r="AD73">
        <f>AD71-AD56</f>
        <v>0</v>
      </c>
    </row>
    <row r="74" spans="1:31" x14ac:dyDescent="0.25">
      <c r="X74">
        <f>X67+X70</f>
        <v>896.53034891846653</v>
      </c>
      <c r="AA74">
        <v>4.8733333333333304</v>
      </c>
    </row>
    <row r="75" spans="1:31" x14ac:dyDescent="0.25">
      <c r="X75">
        <f>X67/X74</f>
        <v>2.9000691422621908E-2</v>
      </c>
    </row>
    <row r="76" spans="1:31" x14ac:dyDescent="0.25">
      <c r="X76">
        <f>X70/X74</f>
        <v>0.97099930857737804</v>
      </c>
    </row>
    <row r="91" spans="18:19" x14ac:dyDescent="0.25">
      <c r="R91">
        <v>100</v>
      </c>
      <c r="S91">
        <v>1.1000000000000001</v>
      </c>
    </row>
    <row r="92" spans="18:19" x14ac:dyDescent="0.25">
      <c r="S92">
        <v>0.9</v>
      </c>
    </row>
  </sheetData>
  <mergeCells count="38">
    <mergeCell ref="B1:H1"/>
    <mergeCell ref="J1:M1"/>
    <mergeCell ref="A2:M2"/>
    <mergeCell ref="A3:M3"/>
    <mergeCell ref="B4:D4"/>
    <mergeCell ref="E4:F4"/>
    <mergeCell ref="B5:D5"/>
    <mergeCell ref="F5:H5"/>
    <mergeCell ref="B6:D6"/>
    <mergeCell ref="F6:H6"/>
    <mergeCell ref="B7:D7"/>
    <mergeCell ref="F7:H7"/>
    <mergeCell ref="B23:H23"/>
    <mergeCell ref="I23:M23"/>
    <mergeCell ref="B8:D8"/>
    <mergeCell ref="F8:H8"/>
    <mergeCell ref="B9:D9"/>
    <mergeCell ref="F9:H9"/>
    <mergeCell ref="B10:D10"/>
    <mergeCell ref="F10:H10"/>
    <mergeCell ref="A11:M11"/>
    <mergeCell ref="A13:M13"/>
    <mergeCell ref="B14:D14"/>
    <mergeCell ref="E14:H14"/>
    <mergeCell ref="I14:M14"/>
    <mergeCell ref="A32:M32"/>
    <mergeCell ref="B33:D33"/>
    <mergeCell ref="E33:H33"/>
    <mergeCell ref="I33:M3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033C0-1161-46ED-89EB-37E9DEA231A5}">
  <sheetPr codeName="Sheet20">
    <tabColor theme="8" tint="0.79998168889431442"/>
  </sheetPr>
  <dimension ref="A1:AE92"/>
  <sheetViews>
    <sheetView topLeftCell="A3" zoomScale="85" zoomScaleNormal="85" zoomScaleSheetLayoutView="145" zoomScalePageLayoutView="115" workbookViewId="0">
      <selection activeCell="B25" sqref="B25"/>
    </sheetView>
  </sheetViews>
  <sheetFormatPr defaultColWidth="11.42578125" defaultRowHeight="15" x14ac:dyDescent="0.25"/>
  <cols>
    <col min="1" max="1" width="31.85546875" customWidth="1"/>
    <col min="2" max="2" width="12.5703125" style="1" customWidth="1"/>
    <col min="3" max="3" width="37.28515625" style="1" customWidth="1"/>
    <col min="4" max="4" width="14.85546875" style="1" customWidth="1"/>
    <col min="5" max="5" width="13.85546875" style="1" customWidth="1"/>
    <col min="6" max="6" width="9.85546875" style="1" customWidth="1"/>
    <col min="7" max="7" width="16" style="1" customWidth="1"/>
    <col min="8" max="13" width="9.85546875" style="1" customWidth="1"/>
    <col min="25" max="25" width="15" bestFit="1" customWidth="1"/>
    <col min="29" max="29" width="16.85546875" customWidth="1"/>
    <col min="31" max="31" width="19.85546875" customWidth="1"/>
  </cols>
  <sheetData>
    <row r="1" spans="1:23" ht="48" thickBot="1" x14ac:dyDescent="0.3">
      <c r="A1" s="114" t="s">
        <v>161</v>
      </c>
      <c r="B1" s="264" t="str">
        <f>'2_1_Definition_Processes'!D2</f>
        <v>Environment</v>
      </c>
      <c r="C1" s="264"/>
      <c r="D1" s="264"/>
      <c r="E1" s="264"/>
      <c r="F1" s="264"/>
      <c r="G1" s="264"/>
      <c r="H1" s="264"/>
      <c r="I1" s="114" t="s">
        <v>160</v>
      </c>
      <c r="J1" s="265" t="s">
        <v>41</v>
      </c>
      <c r="K1" s="265"/>
      <c r="L1" s="265"/>
      <c r="M1" s="265"/>
    </row>
    <row r="2" spans="1:23" ht="16.5" thickBot="1" x14ac:dyDescent="0.3">
      <c r="A2" s="246" t="s">
        <v>159</v>
      </c>
      <c r="B2" s="247"/>
      <c r="C2" s="247"/>
      <c r="D2" s="247"/>
      <c r="E2" s="247"/>
      <c r="F2" s="247"/>
      <c r="G2" s="247"/>
      <c r="H2" s="247"/>
      <c r="I2" s="247"/>
      <c r="J2" s="247"/>
      <c r="K2" s="247"/>
      <c r="L2" s="247"/>
      <c r="M2" s="248"/>
    </row>
    <row r="3" spans="1:23" ht="126.75" customHeight="1" thickBot="1" x14ac:dyDescent="0.3">
      <c r="A3" s="266"/>
      <c r="B3" s="267"/>
      <c r="C3" s="267"/>
      <c r="D3" s="267"/>
      <c r="E3" s="267"/>
      <c r="F3" s="267"/>
      <c r="G3" s="267"/>
      <c r="H3" s="267"/>
      <c r="I3" s="267"/>
      <c r="J3" s="267"/>
      <c r="K3" s="267"/>
      <c r="L3" s="267"/>
      <c r="M3" s="268"/>
    </row>
    <row r="4" spans="1:23" ht="31.5" customHeight="1" x14ac:dyDescent="0.25">
      <c r="A4" s="113" t="s">
        <v>158</v>
      </c>
      <c r="B4" s="269"/>
      <c r="C4" s="270"/>
      <c r="D4" s="271"/>
      <c r="E4" s="272" t="s">
        <v>157</v>
      </c>
      <c r="F4" s="273"/>
      <c r="G4" s="118"/>
      <c r="H4" s="118"/>
      <c r="I4" s="112"/>
      <c r="J4" s="112"/>
      <c r="K4" s="112"/>
      <c r="L4" s="112"/>
      <c r="M4" s="112"/>
    </row>
    <row r="5" spans="1:23" ht="16.5" customHeight="1" x14ac:dyDescent="0.25">
      <c r="A5" s="115" t="s">
        <v>156</v>
      </c>
      <c r="B5" s="262" t="s">
        <v>1163</v>
      </c>
      <c r="C5" s="262"/>
      <c r="D5" s="263"/>
      <c r="E5" s="115" t="s">
        <v>156</v>
      </c>
      <c r="F5" s="258" t="s">
        <v>1164</v>
      </c>
      <c r="G5" s="258"/>
      <c r="H5" s="259"/>
      <c r="I5" s="116"/>
      <c r="J5" s="111"/>
      <c r="K5" s="111"/>
      <c r="L5" s="111"/>
      <c r="M5" s="108"/>
    </row>
    <row r="6" spans="1:23" ht="16.5" customHeight="1" x14ac:dyDescent="0.25">
      <c r="A6" s="115" t="s">
        <v>155</v>
      </c>
      <c r="B6" s="258" t="s">
        <v>1154</v>
      </c>
      <c r="C6" s="258"/>
      <c r="D6" s="259"/>
      <c r="E6" s="115" t="s">
        <v>155</v>
      </c>
      <c r="F6" s="258"/>
      <c r="G6" s="258"/>
      <c r="H6" s="259"/>
      <c r="I6" s="116"/>
      <c r="J6" s="111"/>
      <c r="K6" s="111"/>
      <c r="L6" s="111"/>
      <c r="M6" s="108"/>
    </row>
    <row r="7" spans="1:23" ht="16.5" customHeight="1" x14ac:dyDescent="0.25">
      <c r="A7" s="110" t="s">
        <v>154</v>
      </c>
      <c r="B7" s="258"/>
      <c r="C7" s="258"/>
      <c r="D7" s="259"/>
      <c r="E7" s="110" t="s">
        <v>154</v>
      </c>
      <c r="F7" s="258"/>
      <c r="G7" s="258"/>
      <c r="H7" s="259"/>
      <c r="I7" s="117"/>
      <c r="J7" s="109"/>
      <c r="K7" s="109"/>
      <c r="L7" s="109"/>
      <c r="M7" s="108"/>
    </row>
    <row r="8" spans="1:23" ht="16.5" customHeight="1" x14ac:dyDescent="0.25">
      <c r="A8" s="110" t="s">
        <v>153</v>
      </c>
      <c r="B8" s="258" t="e">
        <f>_xlfn.XLOOKUP(J1,Tab_Def_Processes[Process_ID],#REF!,"No_flow.",0,1)</f>
        <v>#REF!</v>
      </c>
      <c r="C8" s="258"/>
      <c r="D8" s="259"/>
      <c r="E8" s="110" t="s">
        <v>153</v>
      </c>
      <c r="F8" s="258"/>
      <c r="G8" s="258"/>
      <c r="H8" s="259"/>
      <c r="I8" s="117"/>
      <c r="J8" s="109"/>
      <c r="K8" s="109"/>
      <c r="L8" s="109"/>
      <c r="M8" s="108"/>
    </row>
    <row r="9" spans="1:23"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3" ht="16.5" customHeight="1" thickBot="1" x14ac:dyDescent="0.3">
      <c r="A10" s="119" t="s">
        <v>151</v>
      </c>
      <c r="B10" s="260"/>
      <c r="C10" s="260"/>
      <c r="D10" s="261"/>
      <c r="E10" s="119" t="s">
        <v>151</v>
      </c>
      <c r="F10" s="260"/>
      <c r="G10" s="260"/>
      <c r="H10" s="261"/>
      <c r="I10" s="117"/>
      <c r="J10" s="109"/>
      <c r="K10" s="109"/>
      <c r="L10" s="109"/>
      <c r="M10" s="108"/>
    </row>
    <row r="11" spans="1:23" ht="16.5" thickBot="1" x14ac:dyDescent="0.3">
      <c r="A11" s="246" t="s">
        <v>150</v>
      </c>
      <c r="B11" s="247"/>
      <c r="C11" s="247"/>
      <c r="D11" s="247"/>
      <c r="E11" s="247"/>
      <c r="F11" s="247"/>
      <c r="G11" s="247"/>
      <c r="H11" s="247"/>
      <c r="I11" s="247"/>
      <c r="J11" s="247"/>
      <c r="K11" s="247"/>
      <c r="L11" s="247"/>
      <c r="M11" s="248"/>
    </row>
    <row r="12" spans="1:23" ht="33" customHeight="1" thickBot="1" x14ac:dyDescent="0.3">
      <c r="A12" s="107">
        <v>1000</v>
      </c>
      <c r="B12" s="106" t="s">
        <v>149</v>
      </c>
      <c r="C12" s="105"/>
      <c r="D12" s="105"/>
      <c r="E12" s="105"/>
      <c r="F12" s="105"/>
      <c r="G12" s="105"/>
      <c r="H12" s="105"/>
      <c r="I12" s="105"/>
      <c r="J12" s="105"/>
      <c r="K12" s="105"/>
      <c r="L12" s="105"/>
      <c r="M12" s="104"/>
    </row>
    <row r="13" spans="1:23" ht="16.5" thickBot="1" x14ac:dyDescent="0.3">
      <c r="A13" s="224" t="s">
        <v>148</v>
      </c>
      <c r="B13" s="225"/>
      <c r="C13" s="225"/>
      <c r="D13" s="225"/>
      <c r="E13" s="225"/>
      <c r="F13" s="225"/>
      <c r="G13" s="225"/>
      <c r="H13" s="225"/>
      <c r="I13" s="225"/>
      <c r="J13" s="225"/>
      <c r="K13" s="225"/>
      <c r="L13" s="225"/>
      <c r="M13" s="226"/>
    </row>
    <row r="14" spans="1:23"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206"/>
      <c r="W14" s="135">
        <f>Tab_Def_Flows[[#This Row],[Flow_CC_DM'[%']]]*Tab_Def_Flows[[#This Row],[Flow_DM'[%']]]</f>
        <v>0</v>
      </c>
    </row>
    <row r="15" spans="1:23"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206"/>
      <c r="W15" s="135">
        <f>Tab_Def_Flows[[#This Row],[Flow_CC_DM'[%']]]*Tab_Def_Flows[[#This Row],[Flow_DM'[%']]]</f>
        <v>0</v>
      </c>
    </row>
    <row r="16" spans="1:23" ht="23.25" customHeight="1" x14ac:dyDescent="0.25">
      <c r="A16" s="59" t="str">
        <f t="shared" ref="A16:A21" si="0">B5</f>
        <v>Byproducts_E</v>
      </c>
      <c r="B16" s="35">
        <f>B22-B17</f>
        <v>2881755.7841233676</v>
      </c>
      <c r="C16" s="86">
        <f>B16/$B$22</f>
        <v>0.99531379638803552</v>
      </c>
      <c r="D16" s="85" t="s">
        <v>107</v>
      </c>
      <c r="E16" s="84">
        <f>F16/B16</f>
        <v>1.1062613126319183E-2</v>
      </c>
      <c r="F16" s="34">
        <f>F22-F17</f>
        <v>31879.749364289397</v>
      </c>
      <c r="G16" s="83">
        <f t="shared" ref="G16:G21" si="1">F16/$F$22</f>
        <v>0.70145817344589401</v>
      </c>
      <c r="H16" s="82" t="s">
        <v>107</v>
      </c>
      <c r="I16" s="81">
        <f t="shared" ref="I16:I17" si="2">1-E16</f>
        <v>0.98893738687368082</v>
      </c>
      <c r="J16" s="33">
        <f t="shared" ref="J16:J21" si="3">I16*B16</f>
        <v>2849876.0347590782</v>
      </c>
      <c r="K16" s="101">
        <f t="shared" ref="K16:K21" si="4">J16/$J$22</f>
        <v>1</v>
      </c>
      <c r="L16" s="78" t="s">
        <v>107</v>
      </c>
      <c r="M16" s="78"/>
    </row>
    <row r="17" spans="1:25" ht="23.25" customHeight="1" x14ac:dyDescent="0.25">
      <c r="A17" s="59" t="str">
        <f>B6</f>
        <v>Byproducts_C</v>
      </c>
      <c r="B17" s="35">
        <v>13568.077136442645</v>
      </c>
      <c r="C17" s="86">
        <f>B17/$B$22</f>
        <v>4.686203611964472E-3</v>
      </c>
      <c r="D17" s="85" t="s">
        <v>107</v>
      </c>
      <c r="E17" s="84">
        <v>1</v>
      </c>
      <c r="F17" s="34">
        <f t="shared" ref="F17:F21" si="5">E17*B17</f>
        <v>13568.077136442645</v>
      </c>
      <c r="G17" s="83">
        <f t="shared" si="1"/>
        <v>0.29854182655410594</v>
      </c>
      <c r="H17" s="82" t="s">
        <v>107</v>
      </c>
      <c r="I17" s="81">
        <f t="shared" si="2"/>
        <v>0</v>
      </c>
      <c r="J17" s="33">
        <f t="shared" si="3"/>
        <v>0</v>
      </c>
      <c r="K17" s="101">
        <f t="shared" si="4"/>
        <v>0</v>
      </c>
      <c r="L17" s="78" t="s">
        <v>107</v>
      </c>
      <c r="M17" s="78"/>
    </row>
    <row r="18" spans="1:25" ht="23.25" customHeight="1" x14ac:dyDescent="0.25">
      <c r="A18" s="59">
        <f t="shared" si="0"/>
        <v>0</v>
      </c>
      <c r="B18" s="35"/>
      <c r="C18" s="86">
        <f t="shared" ref="C18:C21" si="6">B18/$B$22</f>
        <v>0</v>
      </c>
      <c r="D18" s="85"/>
      <c r="E18" s="84"/>
      <c r="F18" s="34">
        <f t="shared" si="5"/>
        <v>0</v>
      </c>
      <c r="G18" s="83">
        <f t="shared" si="1"/>
        <v>0</v>
      </c>
      <c r="H18" s="82"/>
      <c r="I18" s="81"/>
      <c r="J18" s="33">
        <f t="shared" si="3"/>
        <v>0</v>
      </c>
      <c r="K18" s="101">
        <f t="shared" si="4"/>
        <v>0</v>
      </c>
      <c r="L18" s="79"/>
      <c r="M18" s="78"/>
    </row>
    <row r="19" spans="1:25" ht="23.25" customHeight="1" x14ac:dyDescent="0.25">
      <c r="A19" s="59" t="e">
        <f t="shared" si="0"/>
        <v>#REF!</v>
      </c>
      <c r="B19" s="35"/>
      <c r="C19" s="86">
        <f t="shared" si="6"/>
        <v>0</v>
      </c>
      <c r="D19" s="85"/>
      <c r="E19" s="84"/>
      <c r="F19" s="34">
        <f t="shared" si="5"/>
        <v>0</v>
      </c>
      <c r="G19" s="83">
        <f t="shared" si="1"/>
        <v>0</v>
      </c>
      <c r="H19" s="103"/>
      <c r="I19" s="102"/>
      <c r="J19" s="33">
        <f t="shared" si="3"/>
        <v>0</v>
      </c>
      <c r="K19" s="101">
        <f t="shared" si="4"/>
        <v>0</v>
      </c>
      <c r="L19" s="79"/>
      <c r="M19" s="78"/>
    </row>
    <row r="20" spans="1:25" ht="23.25" customHeight="1" x14ac:dyDescent="0.25">
      <c r="A20" s="59" t="e">
        <f t="shared" si="0"/>
        <v>#REF!</v>
      </c>
      <c r="B20" s="35"/>
      <c r="C20" s="86">
        <f t="shared" si="6"/>
        <v>0</v>
      </c>
      <c r="D20" s="85"/>
      <c r="E20" s="84"/>
      <c r="F20" s="34">
        <f t="shared" si="5"/>
        <v>0</v>
      </c>
      <c r="G20" s="83">
        <f t="shared" si="1"/>
        <v>0</v>
      </c>
      <c r="H20" s="103"/>
      <c r="I20" s="102"/>
      <c r="J20" s="33">
        <f t="shared" si="3"/>
        <v>0</v>
      </c>
      <c r="K20" s="101">
        <f t="shared" si="4"/>
        <v>0</v>
      </c>
      <c r="L20" s="79"/>
      <c r="M20" s="78"/>
      <c r="Y20" s="35">
        <v>2895323.8612598102</v>
      </c>
    </row>
    <row r="21" spans="1:25" ht="23.25" customHeight="1" thickBot="1" x14ac:dyDescent="0.3">
      <c r="A21" s="59">
        <f t="shared" si="0"/>
        <v>0</v>
      </c>
      <c r="B21" s="35"/>
      <c r="C21" s="86">
        <f t="shared" si="6"/>
        <v>0</v>
      </c>
      <c r="D21" s="85"/>
      <c r="E21" s="84"/>
      <c r="F21" s="34">
        <f t="shared" si="5"/>
        <v>0</v>
      </c>
      <c r="G21" s="83">
        <f t="shared" si="1"/>
        <v>0</v>
      </c>
      <c r="H21" s="103"/>
      <c r="I21" s="102"/>
      <c r="J21" s="33">
        <f t="shared" si="3"/>
        <v>0</v>
      </c>
      <c r="K21" s="101">
        <f t="shared" si="4"/>
        <v>0</v>
      </c>
      <c r="L21" s="79"/>
      <c r="M21" s="78"/>
    </row>
    <row r="22" spans="1:25" ht="16.5" thickBot="1" x14ac:dyDescent="0.3">
      <c r="A22" s="49" t="s">
        <v>109</v>
      </c>
      <c r="B22" s="77">
        <v>2895323.8612598102</v>
      </c>
      <c r="C22" s="205">
        <f>C16+C17+C18</f>
        <v>1</v>
      </c>
      <c r="D22" s="75"/>
      <c r="E22" s="74">
        <f>F22/B22</f>
        <v>1.5696975080693332E-2</v>
      </c>
      <c r="F22" s="73">
        <v>45447.826500732044</v>
      </c>
      <c r="G22" s="99">
        <f>SUM(G16:G19)</f>
        <v>1</v>
      </c>
      <c r="H22" s="71"/>
      <c r="I22" s="70">
        <f>J22/B22</f>
        <v>0.98430302491930666</v>
      </c>
      <c r="J22" s="69">
        <f>J16+J17+J18</f>
        <v>2849876.0347590782</v>
      </c>
      <c r="K22" s="98">
        <f>SUM(K16:K19)</f>
        <v>1</v>
      </c>
      <c r="L22" s="67"/>
      <c r="M22" s="66"/>
    </row>
    <row r="23" spans="1:25" ht="16.5" customHeight="1" thickBot="1" x14ac:dyDescent="0.3">
      <c r="A23" s="129" t="s">
        <v>134</v>
      </c>
      <c r="B23" s="240" t="s">
        <v>133</v>
      </c>
      <c r="C23" s="241"/>
      <c r="D23" s="241"/>
      <c r="E23" s="241"/>
      <c r="F23" s="241"/>
      <c r="G23" s="241"/>
      <c r="H23" s="242"/>
      <c r="I23" s="243" t="s">
        <v>132</v>
      </c>
      <c r="J23" s="244"/>
      <c r="K23" s="244"/>
      <c r="L23" s="244"/>
      <c r="M23" s="245"/>
    </row>
    <row r="24" spans="1:25" ht="60.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O24" s="56">
        <v>25.71</v>
      </c>
      <c r="P24" s="143">
        <v>0.14000000000000001</v>
      </c>
      <c r="Q24" s="22" t="s">
        <v>91</v>
      </c>
      <c r="R24" s="143">
        <v>0.86</v>
      </c>
      <c r="S24" s="22" t="s">
        <v>91</v>
      </c>
      <c r="T24" s="143">
        <v>0.48</v>
      </c>
      <c r="U24" s="22" t="s">
        <v>91</v>
      </c>
      <c r="V24" s="206"/>
      <c r="W24" s="135">
        <f>Tab_Def_Flows[[#This Row],[Flow_CC_DM'[%']]]*Tab_Def_Flows[[#This Row],[Flow_DM'[%']]]</f>
        <v>0</v>
      </c>
      <c r="X24" s="144" t="s">
        <v>92</v>
      </c>
    </row>
    <row r="25" spans="1:25" ht="27" customHeight="1" x14ac:dyDescent="0.25">
      <c r="A25" s="59" t="str">
        <f t="shared" ref="A25:A30" si="7">B5</f>
        <v>Byproducts_E</v>
      </c>
      <c r="B25" s="58">
        <v>0</v>
      </c>
      <c r="C25" s="56">
        <f>B25*E16*B16</f>
        <v>0</v>
      </c>
      <c r="D25" s="57">
        <f t="shared" ref="D25:D30" si="8">C25/$C$31</f>
        <v>0</v>
      </c>
      <c r="E25" s="56" t="s">
        <v>107</v>
      </c>
      <c r="F25" s="55">
        <f>B25*E16</f>
        <v>0</v>
      </c>
      <c r="G25" s="54">
        <f t="shared" ref="G25:G30" si="9">B25*E16*B16</f>
        <v>0</v>
      </c>
      <c r="H25" s="53">
        <f t="shared" ref="H25:H30" si="10">G25/$G$31</f>
        <v>0</v>
      </c>
      <c r="I25" s="97">
        <f>$A$12*C16</f>
        <v>995.31379638803548</v>
      </c>
      <c r="J25" s="96">
        <f t="shared" ref="J25:J30" si="11">I25*E16</f>
        <v>11.01077146872886</v>
      </c>
      <c r="K25" s="96">
        <f>I25*I16</f>
        <v>984.30302491930661</v>
      </c>
      <c r="L25" s="96">
        <f>SUM(J25:K25)</f>
        <v>995.31379638803548</v>
      </c>
      <c r="M25" s="95">
        <f t="shared" ref="M25:M30" si="12">I25*F25</f>
        <v>0</v>
      </c>
      <c r="O25" s="56">
        <v>0.31</v>
      </c>
    </row>
    <row r="26" spans="1:25" ht="15.75" x14ac:dyDescent="0.25">
      <c r="A26" s="59" t="str">
        <f t="shared" si="7"/>
        <v>Byproducts_C</v>
      </c>
      <c r="B26" s="58">
        <v>1</v>
      </c>
      <c r="C26" s="56">
        <v>13568.077136442645</v>
      </c>
      <c r="D26" s="57">
        <f t="shared" si="8"/>
        <v>1</v>
      </c>
      <c r="E26" s="56" t="s">
        <v>107</v>
      </c>
      <c r="F26" s="55">
        <f>B26*E17</f>
        <v>1</v>
      </c>
      <c r="G26" s="54">
        <f t="shared" si="9"/>
        <v>13568.077136442645</v>
      </c>
      <c r="H26" s="53">
        <f t="shared" si="10"/>
        <v>1</v>
      </c>
      <c r="I26" s="97">
        <f>$A$12*C17</f>
        <v>4.6862036119644719</v>
      </c>
      <c r="J26" s="96">
        <f>I26*E17</f>
        <v>4.6862036119644719</v>
      </c>
      <c r="K26" s="96">
        <f t="shared" ref="K26:K30" si="13">I26*I17</f>
        <v>0</v>
      </c>
      <c r="L26" s="96">
        <f t="shared" ref="L26:L30" si="14">SUM(J26:K26)</f>
        <v>4.6862036119644719</v>
      </c>
      <c r="M26" s="95">
        <f t="shared" si="12"/>
        <v>4.6862036119644719</v>
      </c>
      <c r="O26" s="56">
        <v>3.58</v>
      </c>
    </row>
    <row r="27" spans="1:25" ht="15.75" x14ac:dyDescent="0.25">
      <c r="A27" s="59">
        <f t="shared" si="7"/>
        <v>0</v>
      </c>
      <c r="B27" s="58">
        <v>0</v>
      </c>
      <c r="C27" s="56"/>
      <c r="D27" s="57">
        <f>C27/$C$31</f>
        <v>0</v>
      </c>
      <c r="E27" s="56"/>
      <c r="F27" s="55">
        <f t="shared" ref="F27:F30" si="15">B27*E18</f>
        <v>0</v>
      </c>
      <c r="G27" s="54">
        <f t="shared" si="9"/>
        <v>0</v>
      </c>
      <c r="H27" s="53">
        <f t="shared" si="10"/>
        <v>0</v>
      </c>
      <c r="I27" s="97">
        <f t="shared" ref="I27:I30" si="16">$A$12*C18</f>
        <v>0</v>
      </c>
      <c r="J27" s="96">
        <f t="shared" si="11"/>
        <v>0</v>
      </c>
      <c r="K27" s="96">
        <f t="shared" si="13"/>
        <v>0</v>
      </c>
      <c r="L27" s="96">
        <f t="shared" si="14"/>
        <v>0</v>
      </c>
      <c r="M27" s="95">
        <f t="shared" si="12"/>
        <v>0</v>
      </c>
      <c r="Q27">
        <v>0.76158038205651879</v>
      </c>
    </row>
    <row r="28" spans="1:25" ht="15.75" x14ac:dyDescent="0.25">
      <c r="A28" s="59" t="e">
        <f t="shared" si="7"/>
        <v>#REF!</v>
      </c>
      <c r="B28" s="58">
        <v>0</v>
      </c>
      <c r="C28" s="56">
        <f t="shared" ref="C28:C30" si="17">F19*B28</f>
        <v>0</v>
      </c>
      <c r="D28" s="57">
        <f t="shared" si="8"/>
        <v>0</v>
      </c>
      <c r="E28" s="56"/>
      <c r="F28" s="55">
        <f t="shared" si="15"/>
        <v>0</v>
      </c>
      <c r="G28" s="54">
        <f t="shared" si="9"/>
        <v>0</v>
      </c>
      <c r="H28" s="53">
        <f t="shared" si="10"/>
        <v>0</v>
      </c>
      <c r="I28" s="97">
        <f t="shared" si="16"/>
        <v>0</v>
      </c>
      <c r="J28" s="96">
        <f t="shared" si="11"/>
        <v>0</v>
      </c>
      <c r="K28" s="96">
        <f t="shared" si="13"/>
        <v>0</v>
      </c>
      <c r="L28" s="96">
        <f t="shared" si="14"/>
        <v>0</v>
      </c>
      <c r="M28" s="95">
        <f t="shared" si="12"/>
        <v>0</v>
      </c>
    </row>
    <row r="29" spans="1:25" ht="15.75" x14ac:dyDescent="0.25">
      <c r="A29" s="59" t="e">
        <f t="shared" si="7"/>
        <v>#REF!</v>
      </c>
      <c r="B29" s="58">
        <v>0</v>
      </c>
      <c r="C29" s="56">
        <f t="shared" si="17"/>
        <v>0</v>
      </c>
      <c r="D29" s="57">
        <f t="shared" si="8"/>
        <v>0</v>
      </c>
      <c r="E29" s="56"/>
      <c r="F29" s="55">
        <f t="shared" si="15"/>
        <v>0</v>
      </c>
      <c r="G29" s="54">
        <f t="shared" si="9"/>
        <v>0</v>
      </c>
      <c r="H29" s="53">
        <f t="shared" si="10"/>
        <v>0</v>
      </c>
      <c r="I29" s="97">
        <f t="shared" si="16"/>
        <v>0</v>
      </c>
      <c r="J29" s="96">
        <f t="shared" si="11"/>
        <v>0</v>
      </c>
      <c r="K29" s="96">
        <f t="shared" si="13"/>
        <v>0</v>
      </c>
      <c r="L29" s="96">
        <f t="shared" si="14"/>
        <v>0</v>
      </c>
      <c r="M29" s="95">
        <f t="shared" si="12"/>
        <v>0</v>
      </c>
    </row>
    <row r="30" spans="1:25" ht="16.5" thickBot="1" x14ac:dyDescent="0.3">
      <c r="A30" s="59">
        <f t="shared" si="7"/>
        <v>0</v>
      </c>
      <c r="B30" s="58">
        <v>0</v>
      </c>
      <c r="C30" s="56">
        <f t="shared" si="17"/>
        <v>0</v>
      </c>
      <c r="D30" s="57">
        <f t="shared" si="8"/>
        <v>0</v>
      </c>
      <c r="E30" s="56"/>
      <c r="F30" s="55">
        <f t="shared" si="15"/>
        <v>0</v>
      </c>
      <c r="G30" s="54">
        <f t="shared" si="9"/>
        <v>0</v>
      </c>
      <c r="H30" s="53">
        <f t="shared" si="10"/>
        <v>0</v>
      </c>
      <c r="I30" s="97">
        <f t="shared" si="16"/>
        <v>0</v>
      </c>
      <c r="J30" s="96">
        <f t="shared" si="11"/>
        <v>0</v>
      </c>
      <c r="K30" s="96">
        <f t="shared" si="13"/>
        <v>0</v>
      </c>
      <c r="L30" s="96">
        <f t="shared" si="14"/>
        <v>0</v>
      </c>
      <c r="M30" s="95">
        <f t="shared" si="12"/>
        <v>0</v>
      </c>
    </row>
    <row r="31" spans="1:25" ht="16.5" thickBot="1" x14ac:dyDescent="0.3">
      <c r="A31" s="49" t="s">
        <v>109</v>
      </c>
      <c r="B31" s="48">
        <f>C31/F22</f>
        <v>0.29854182655410594</v>
      </c>
      <c r="C31" s="46">
        <f>SUM(C25:C30)</f>
        <v>13568.077136442645</v>
      </c>
      <c r="D31" s="94">
        <f>SUM(D24:D30)</f>
        <v>1</v>
      </c>
      <c r="E31" s="46"/>
      <c r="F31" s="45">
        <f>G31/B22</f>
        <v>4.686203611964472E-3</v>
      </c>
      <c r="G31" s="44">
        <f t="shared" ref="G31:M31" si="18">SUM(G25:G30)</f>
        <v>13568.077136442645</v>
      </c>
      <c r="H31" s="43">
        <f t="shared" si="18"/>
        <v>1</v>
      </c>
      <c r="I31" s="42">
        <f>SUM(I25:I30)</f>
        <v>1000</v>
      </c>
      <c r="J31" s="41">
        <f t="shared" si="18"/>
        <v>15.696975080693331</v>
      </c>
      <c r="K31" s="41">
        <f t="shared" si="18"/>
        <v>984.30302491930661</v>
      </c>
      <c r="L31" s="41">
        <f t="shared" si="18"/>
        <v>1000</v>
      </c>
      <c r="M31" s="40">
        <f t="shared" si="18"/>
        <v>4.6862036119644719</v>
      </c>
    </row>
    <row r="32" spans="1:25" ht="16.5" thickBot="1" x14ac:dyDescent="0.3">
      <c r="A32" s="228" t="s">
        <v>147</v>
      </c>
      <c r="B32" s="229"/>
      <c r="C32" s="229"/>
      <c r="D32" s="229"/>
      <c r="E32" s="229"/>
      <c r="F32" s="229"/>
      <c r="G32" s="229"/>
      <c r="H32" s="229"/>
      <c r="I32" s="229"/>
      <c r="J32" s="229"/>
      <c r="K32" s="229"/>
      <c r="L32" s="229"/>
      <c r="M32" s="230"/>
    </row>
    <row r="33" spans="1:31" ht="16.5" customHeight="1" thickBot="1" x14ac:dyDescent="0.3">
      <c r="A33" s="65" t="s">
        <v>134</v>
      </c>
      <c r="B33" s="231" t="s">
        <v>146</v>
      </c>
      <c r="C33" s="232"/>
      <c r="D33" s="233"/>
      <c r="E33" s="234" t="s">
        <v>145</v>
      </c>
      <c r="F33" s="235"/>
      <c r="G33" s="235"/>
      <c r="H33" s="236"/>
      <c r="I33" s="237" t="s">
        <v>144</v>
      </c>
      <c r="J33" s="238"/>
      <c r="K33" s="238"/>
      <c r="L33" s="238"/>
      <c r="M33" s="239"/>
    </row>
    <row r="34" spans="1:31"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31" ht="16.5" thickBot="1" x14ac:dyDescent="0.3">
      <c r="A35" s="59" t="str">
        <f t="shared" ref="A35:A40" si="19">F5</f>
        <v>By-products</v>
      </c>
      <c r="B35" s="77">
        <v>2895323.8612598111</v>
      </c>
      <c r="C35" s="86">
        <v>1</v>
      </c>
      <c r="D35" s="85" t="s">
        <v>107</v>
      </c>
      <c r="E35" s="84">
        <v>1.5696975080693329E-2</v>
      </c>
      <c r="F35" s="34">
        <f>E35*B35</f>
        <v>45447.826500732044</v>
      </c>
      <c r="G35" s="83">
        <f t="shared" ref="G35:G40" si="20">F35/$F$41</f>
        <v>1</v>
      </c>
      <c r="H35" s="82" t="s">
        <v>107</v>
      </c>
      <c r="I35" s="81">
        <f>1-E35</f>
        <v>0.98430302491930666</v>
      </c>
      <c r="J35" s="33">
        <f>I35*B35</f>
        <v>2849876.0347590791</v>
      </c>
      <c r="K35" s="80">
        <f>J35/$J$41</f>
        <v>1</v>
      </c>
      <c r="L35" s="79" t="s">
        <v>107</v>
      </c>
      <c r="M35" s="78"/>
      <c r="R35">
        <f>C54/B17</f>
        <v>3.3496143958868889</v>
      </c>
    </row>
    <row r="36" spans="1:31" ht="15.75" x14ac:dyDescent="0.25">
      <c r="A36" s="59">
        <f t="shared" si="19"/>
        <v>0</v>
      </c>
      <c r="B36" s="35">
        <f>C36*B22</f>
        <v>0</v>
      </c>
      <c r="C36" s="86">
        <v>0</v>
      </c>
      <c r="D36" s="85" t="s">
        <v>107</v>
      </c>
      <c r="E36" s="84"/>
      <c r="F36" s="34">
        <f t="shared" ref="F36:F40" si="21">E36*B36</f>
        <v>0</v>
      </c>
      <c r="G36" s="83">
        <f t="shared" si="20"/>
        <v>0</v>
      </c>
      <c r="H36" s="82" t="s">
        <v>107</v>
      </c>
      <c r="I36" s="81"/>
      <c r="J36" s="33">
        <f>I36*B36</f>
        <v>0</v>
      </c>
      <c r="K36" s="80">
        <f>J36/$J$41</f>
        <v>0</v>
      </c>
      <c r="L36" s="79" t="s">
        <v>107</v>
      </c>
      <c r="M36" s="78"/>
    </row>
    <row r="37" spans="1:31" ht="15.75" x14ac:dyDescent="0.25">
      <c r="A37" s="59">
        <f t="shared" si="19"/>
        <v>0</v>
      </c>
      <c r="B37" s="35"/>
      <c r="C37" s="86">
        <f t="shared" ref="C37:C40" si="22">B37/$B$41</f>
        <v>0</v>
      </c>
      <c r="D37" s="85"/>
      <c r="E37" s="84"/>
      <c r="F37" s="34">
        <f t="shared" si="21"/>
        <v>0</v>
      </c>
      <c r="G37" s="83">
        <f t="shared" si="20"/>
        <v>0</v>
      </c>
      <c r="H37" s="82"/>
      <c r="I37" s="81"/>
      <c r="J37" s="33">
        <f>I37*B37</f>
        <v>0</v>
      </c>
      <c r="K37" s="80">
        <f>J37/$J$41</f>
        <v>0</v>
      </c>
      <c r="L37" s="79"/>
      <c r="M37" s="78"/>
      <c r="P37" s="189">
        <f>860-G25</f>
        <v>860</v>
      </c>
      <c r="U37">
        <v>25.71</v>
      </c>
      <c r="X37">
        <v>14.79</v>
      </c>
    </row>
    <row r="38" spans="1:31" ht="15.75" x14ac:dyDescent="0.25">
      <c r="A38" s="59">
        <f t="shared" si="19"/>
        <v>0</v>
      </c>
      <c r="B38" s="35"/>
      <c r="C38" s="86">
        <f t="shared" si="22"/>
        <v>0</v>
      </c>
      <c r="D38" s="85"/>
      <c r="E38" s="84"/>
      <c r="F38" s="34">
        <f t="shared" si="21"/>
        <v>0</v>
      </c>
      <c r="G38" s="83">
        <f t="shared" si="20"/>
        <v>0</v>
      </c>
      <c r="H38" s="82"/>
      <c r="I38" s="81"/>
      <c r="J38" s="33">
        <f t="shared" ref="J35:J40" si="23">I38*B38</f>
        <v>0</v>
      </c>
      <c r="K38" s="80">
        <f>J38/$J$41</f>
        <v>0</v>
      </c>
      <c r="L38" s="79"/>
      <c r="M38" s="78"/>
      <c r="U38">
        <v>0.31</v>
      </c>
      <c r="X38">
        <v>1.66</v>
      </c>
    </row>
    <row r="39" spans="1:31" ht="15.75" x14ac:dyDescent="0.25">
      <c r="A39" s="59" t="e">
        <f t="shared" si="19"/>
        <v>#REF!</v>
      </c>
      <c r="B39" s="35"/>
      <c r="C39" s="86">
        <f t="shared" si="22"/>
        <v>0</v>
      </c>
      <c r="D39" s="85"/>
      <c r="E39" s="84"/>
      <c r="F39" s="34">
        <f t="shared" si="21"/>
        <v>0</v>
      </c>
      <c r="G39" s="83">
        <f t="shared" si="20"/>
        <v>0</v>
      </c>
      <c r="H39" s="82"/>
      <c r="I39" s="81"/>
      <c r="J39" s="33">
        <f t="shared" si="23"/>
        <v>0</v>
      </c>
      <c r="K39" s="80">
        <f>J39/$J$41</f>
        <v>0</v>
      </c>
      <c r="L39" s="79"/>
      <c r="M39" s="78"/>
      <c r="U39">
        <v>3.58</v>
      </c>
      <c r="X39">
        <v>13.15</v>
      </c>
    </row>
    <row r="40" spans="1:31" ht="16.5" thickBot="1" x14ac:dyDescent="0.3">
      <c r="A40" s="59">
        <f t="shared" si="19"/>
        <v>0</v>
      </c>
      <c r="B40" s="35"/>
      <c r="C40" s="86">
        <f t="shared" si="22"/>
        <v>0</v>
      </c>
      <c r="D40" s="85"/>
      <c r="E40" s="84"/>
      <c r="F40" s="34">
        <f t="shared" si="21"/>
        <v>0</v>
      </c>
      <c r="G40" s="83">
        <f t="shared" si="20"/>
        <v>0</v>
      </c>
      <c r="H40" s="82"/>
      <c r="I40" s="81"/>
      <c r="J40" s="33">
        <f t="shared" si="23"/>
        <v>0</v>
      </c>
      <c r="K40" s="80">
        <f>J40/$J$22</f>
        <v>0</v>
      </c>
      <c r="L40" s="79"/>
      <c r="M40" s="78"/>
      <c r="U40">
        <f>SUM(U37:U39)</f>
        <v>29.6</v>
      </c>
      <c r="X40">
        <f>SUM(X37:X39)</f>
        <v>29.6</v>
      </c>
    </row>
    <row r="41" spans="1:31" ht="16.5" thickBot="1" x14ac:dyDescent="0.3">
      <c r="A41" s="49" t="s">
        <v>109</v>
      </c>
      <c r="B41" s="77">
        <f>SUM(B35:B40)</f>
        <v>2895323.8612598111</v>
      </c>
      <c r="C41" s="76">
        <f>SUM(C35:C40)</f>
        <v>1</v>
      </c>
      <c r="D41" s="75"/>
      <c r="E41" s="74">
        <f>F41/B41</f>
        <v>1.5696975080693329E-2</v>
      </c>
      <c r="F41" s="73">
        <f>SUM(F35:F40)</f>
        <v>45447.826500732044</v>
      </c>
      <c r="G41" s="72">
        <f>SUM(G35:G40)</f>
        <v>1</v>
      </c>
      <c r="H41" s="71"/>
      <c r="I41" s="70">
        <f>J41/B41</f>
        <v>0.98430302491930666</v>
      </c>
      <c r="J41" s="69">
        <f>SUM(J35:J40)</f>
        <v>2849876.0347590791</v>
      </c>
      <c r="K41" s="68">
        <f>SUM(K35:K40)</f>
        <v>1</v>
      </c>
      <c r="L41" s="67"/>
      <c r="M41" s="66"/>
      <c r="P41" s="190" t="e">
        <f>140/B37</f>
        <v>#DIV/0!</v>
      </c>
    </row>
    <row r="42" spans="1:31" ht="16.5" customHeight="1" thickBot="1" x14ac:dyDescent="0.3">
      <c r="A42" s="129" t="s">
        <v>134</v>
      </c>
      <c r="B42" s="240" t="s">
        <v>133</v>
      </c>
      <c r="C42" s="241"/>
      <c r="D42" s="241"/>
      <c r="E42" s="241"/>
      <c r="F42" s="241"/>
      <c r="G42" s="241"/>
      <c r="H42" s="242"/>
      <c r="I42" s="243" t="s">
        <v>132</v>
      </c>
      <c r="J42" s="244"/>
      <c r="K42" s="244"/>
      <c r="L42" s="244"/>
      <c r="M42" s="245"/>
      <c r="P42" t="e">
        <f>F37/B37</f>
        <v>#DIV/0!</v>
      </c>
    </row>
    <row r="43" spans="1:31" ht="60.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c r="W43" t="s">
        <v>1162</v>
      </c>
    </row>
    <row r="44" spans="1:31" ht="15.75" x14ac:dyDescent="0.25">
      <c r="A44" s="59" t="str">
        <f t="shared" ref="A44:A49" si="24">A35</f>
        <v>By-products</v>
      </c>
      <c r="B44" s="58">
        <v>0.29854182655410594</v>
      </c>
      <c r="C44" s="56">
        <v>13568.077136442645</v>
      </c>
      <c r="D44" s="57">
        <f t="shared" ref="D44:D49" si="25">C44/$C$50</f>
        <v>1</v>
      </c>
      <c r="E44" s="56" t="s">
        <v>107</v>
      </c>
      <c r="F44" s="55">
        <f>B44*E35</f>
        <v>4.6862036119644712E-3</v>
      </c>
      <c r="G44" s="54">
        <f>B44*E35*B35</f>
        <v>13568.077136442645</v>
      </c>
      <c r="H44" s="53">
        <f t="shared" ref="H44:H49" si="26">G44/$G$50</f>
        <v>1</v>
      </c>
      <c r="I44" s="52">
        <f t="shared" ref="I44:I49" si="27">$A$12*B58</f>
        <v>1000.0000000000002</v>
      </c>
      <c r="J44" s="51">
        <f t="shared" ref="J44:J49" si="28">I44*E35</f>
        <v>15.696975080693333</v>
      </c>
      <c r="K44" s="51">
        <f t="shared" ref="K44:K49" si="29">I44*I35</f>
        <v>984.30302491930684</v>
      </c>
      <c r="L44" s="51">
        <f t="shared" ref="L44:L49" si="30">SUM(J44:K44)</f>
        <v>1000.0000000000001</v>
      </c>
      <c r="M44" s="50">
        <f t="shared" ref="M44:M49" si="31">I44*F44</f>
        <v>4.6862036119644719</v>
      </c>
    </row>
    <row r="45" spans="1:31" ht="15.75" x14ac:dyDescent="0.25">
      <c r="A45" s="59">
        <f t="shared" si="24"/>
        <v>0</v>
      </c>
      <c r="B45" s="58"/>
      <c r="C45" s="56">
        <f>B45*E36*B36</f>
        <v>0</v>
      </c>
      <c r="D45" s="57">
        <f t="shared" si="25"/>
        <v>0</v>
      </c>
      <c r="E45" s="56" t="s">
        <v>107</v>
      </c>
      <c r="F45" s="55">
        <f t="shared" ref="F45:F49" si="32">B45*E36</f>
        <v>0</v>
      </c>
      <c r="G45" s="54">
        <f t="shared" ref="G45:G49" si="33">B45*E36*B36</f>
        <v>0</v>
      </c>
      <c r="H45" s="53">
        <f t="shared" si="26"/>
        <v>0</v>
      </c>
      <c r="I45" s="52">
        <f t="shared" si="27"/>
        <v>0</v>
      </c>
      <c r="J45" s="51">
        <f t="shared" si="28"/>
        <v>0</v>
      </c>
      <c r="K45" s="51">
        <f t="shared" si="29"/>
        <v>0</v>
      </c>
      <c r="L45" s="51">
        <f t="shared" si="30"/>
        <v>0</v>
      </c>
      <c r="M45" s="50">
        <f t="shared" si="31"/>
        <v>0</v>
      </c>
      <c r="AA45">
        <v>57.133333333333333</v>
      </c>
      <c r="AB45">
        <v>86</v>
      </c>
      <c r="AD45">
        <v>25.71</v>
      </c>
      <c r="AE45">
        <v>45</v>
      </c>
    </row>
    <row r="46" spans="1:31" ht="15.75" x14ac:dyDescent="0.25">
      <c r="A46" s="59">
        <f t="shared" si="24"/>
        <v>0</v>
      </c>
      <c r="B46" s="58"/>
      <c r="C46" s="56"/>
      <c r="D46" s="57">
        <f t="shared" si="25"/>
        <v>0</v>
      </c>
      <c r="E46" s="56" t="s">
        <v>107</v>
      </c>
      <c r="F46" s="55">
        <f t="shared" si="32"/>
        <v>0</v>
      </c>
      <c r="G46" s="54">
        <f t="shared" si="33"/>
        <v>0</v>
      </c>
      <c r="H46" s="53">
        <f t="shared" si="26"/>
        <v>0</v>
      </c>
      <c r="I46" s="52">
        <f t="shared" si="27"/>
        <v>0</v>
      </c>
      <c r="J46" s="51">
        <f t="shared" si="28"/>
        <v>0</v>
      </c>
      <c r="K46" s="51">
        <f t="shared" si="29"/>
        <v>0</v>
      </c>
      <c r="L46" s="51">
        <f t="shared" si="30"/>
        <v>0</v>
      </c>
      <c r="M46" s="50">
        <f t="shared" si="31"/>
        <v>0</v>
      </c>
      <c r="AA46">
        <f>AA45/AB45</f>
        <v>0.66434108527131785</v>
      </c>
      <c r="AB46">
        <v>1</v>
      </c>
      <c r="AD46">
        <f>AD45/AE45</f>
        <v>0.57133333333333336</v>
      </c>
      <c r="AE46">
        <v>1</v>
      </c>
    </row>
    <row r="47" spans="1:31" ht="15.75" x14ac:dyDescent="0.25">
      <c r="A47" s="59">
        <f t="shared" si="24"/>
        <v>0</v>
      </c>
      <c r="B47" s="58"/>
      <c r="C47" s="56">
        <f t="shared" ref="C47:C49" si="34">F38*B47</f>
        <v>0</v>
      </c>
      <c r="D47" s="57">
        <f t="shared" si="25"/>
        <v>0</v>
      </c>
      <c r="E47" s="56"/>
      <c r="F47" s="55">
        <f t="shared" si="32"/>
        <v>0</v>
      </c>
      <c r="G47" s="54">
        <f t="shared" si="33"/>
        <v>0</v>
      </c>
      <c r="H47" s="53">
        <f t="shared" si="26"/>
        <v>0</v>
      </c>
      <c r="I47" s="52">
        <f t="shared" si="27"/>
        <v>0</v>
      </c>
      <c r="J47" s="51">
        <f t="shared" si="28"/>
        <v>0</v>
      </c>
      <c r="K47" s="51">
        <f t="shared" si="29"/>
        <v>0</v>
      </c>
      <c r="L47" s="51">
        <f t="shared" si="30"/>
        <v>0</v>
      </c>
      <c r="M47" s="50">
        <f t="shared" si="31"/>
        <v>0</v>
      </c>
      <c r="T47">
        <f>0.6*387</f>
        <v>232.2</v>
      </c>
      <c r="AA47">
        <f>AA46*100</f>
        <v>66.434108527131784</v>
      </c>
      <c r="AD47">
        <f>AD46*100</f>
        <v>57.133333333333333</v>
      </c>
    </row>
    <row r="48" spans="1:31" ht="15.75" x14ac:dyDescent="0.25">
      <c r="A48" s="59" t="e">
        <f t="shared" si="24"/>
        <v>#REF!</v>
      </c>
      <c r="B48" s="58"/>
      <c r="C48" s="56">
        <f t="shared" si="34"/>
        <v>0</v>
      </c>
      <c r="D48" s="57">
        <f t="shared" si="25"/>
        <v>0</v>
      </c>
      <c r="E48" s="56"/>
      <c r="F48" s="55">
        <f t="shared" si="32"/>
        <v>0</v>
      </c>
      <c r="G48" s="54">
        <f t="shared" si="33"/>
        <v>0</v>
      </c>
      <c r="H48" s="53">
        <f t="shared" si="26"/>
        <v>0</v>
      </c>
      <c r="I48" s="52">
        <f t="shared" si="27"/>
        <v>0</v>
      </c>
      <c r="J48" s="51">
        <f t="shared" si="28"/>
        <v>0</v>
      </c>
      <c r="K48" s="51">
        <f t="shared" si="29"/>
        <v>0</v>
      </c>
      <c r="L48" s="51">
        <f t="shared" si="30"/>
        <v>0</v>
      </c>
      <c r="M48" s="50">
        <f t="shared" si="31"/>
        <v>0</v>
      </c>
      <c r="T48">
        <f>0.4*387</f>
        <v>154.80000000000001</v>
      </c>
    </row>
    <row r="49" spans="1:31" ht="16.5" thickBot="1" x14ac:dyDescent="0.3">
      <c r="A49" s="59">
        <f t="shared" si="24"/>
        <v>0</v>
      </c>
      <c r="B49" s="58"/>
      <c r="C49" s="56">
        <f t="shared" si="34"/>
        <v>0</v>
      </c>
      <c r="D49" s="57">
        <f t="shared" si="25"/>
        <v>0</v>
      </c>
      <c r="E49" s="56"/>
      <c r="F49" s="55">
        <f t="shared" si="32"/>
        <v>0</v>
      </c>
      <c r="G49" s="54">
        <f t="shared" si="33"/>
        <v>0</v>
      </c>
      <c r="H49" s="53">
        <f t="shared" si="26"/>
        <v>0</v>
      </c>
      <c r="I49" s="52">
        <f t="shared" si="27"/>
        <v>0</v>
      </c>
      <c r="J49" s="51">
        <f t="shared" si="28"/>
        <v>0</v>
      </c>
      <c r="K49" s="51">
        <f t="shared" si="29"/>
        <v>0</v>
      </c>
      <c r="L49" s="51">
        <f t="shared" si="30"/>
        <v>0</v>
      </c>
      <c r="M49" s="50">
        <f t="shared" si="31"/>
        <v>0</v>
      </c>
      <c r="Q49" s="145"/>
    </row>
    <row r="50" spans="1:31" ht="16.5" thickBot="1" x14ac:dyDescent="0.3">
      <c r="A50" s="49" t="s">
        <v>109</v>
      </c>
      <c r="B50" s="48">
        <f>C50/F41</f>
        <v>0.29854182655410594</v>
      </c>
      <c r="C50" s="46">
        <f>SUM(C44:C49)</f>
        <v>13568.077136442645</v>
      </c>
      <c r="D50" s="47">
        <f>SUM(D44:D49)</f>
        <v>1</v>
      </c>
      <c r="E50" s="46"/>
      <c r="F50" s="45">
        <f>G50/B41</f>
        <v>4.6862036119644712E-3</v>
      </c>
      <c r="G50" s="44">
        <f t="shared" ref="G50:M50" si="35">SUM(G44:G49)</f>
        <v>13568.077136442645</v>
      </c>
      <c r="H50" s="43">
        <f t="shared" si="35"/>
        <v>1</v>
      </c>
      <c r="I50" s="42">
        <f t="shared" si="35"/>
        <v>1000.0000000000002</v>
      </c>
      <c r="J50" s="41">
        <f t="shared" si="35"/>
        <v>15.696975080693333</v>
      </c>
      <c r="K50" s="41">
        <f t="shared" si="35"/>
        <v>984.30302491930684</v>
      </c>
      <c r="L50" s="41">
        <f t="shared" si="35"/>
        <v>1000.0000000000001</v>
      </c>
      <c r="M50" s="40">
        <f t="shared" si="35"/>
        <v>4.6862036119644719</v>
      </c>
    </row>
    <row r="51" spans="1:31" ht="15.75" thickBot="1" x14ac:dyDescent="0.3">
      <c r="A51" s="217" t="s">
        <v>119</v>
      </c>
      <c r="B51" s="218"/>
      <c r="C51" s="218"/>
      <c r="D51" s="218"/>
      <c r="E51" s="219"/>
      <c r="F51" s="220" t="s">
        <v>118</v>
      </c>
      <c r="G51" s="221"/>
      <c r="H51" s="221"/>
      <c r="I51" s="221"/>
      <c r="J51" s="221"/>
      <c r="K51" s="221"/>
      <c r="L51" s="221"/>
      <c r="M51" s="222"/>
      <c r="V51" t="s">
        <v>1160</v>
      </c>
      <c r="X51" t="s">
        <v>1160</v>
      </c>
      <c r="Y51" t="s">
        <v>88</v>
      </c>
      <c r="AA51" t="s">
        <v>89</v>
      </c>
      <c r="AC51" t="s">
        <v>1161</v>
      </c>
      <c r="AD51" t="s">
        <v>1159</v>
      </c>
    </row>
    <row r="52" spans="1:31" ht="16.5" thickBot="1" x14ac:dyDescent="0.3">
      <c r="A52" s="3" t="s">
        <v>117</v>
      </c>
      <c r="B52" s="39" t="s">
        <v>116</v>
      </c>
      <c r="C52" s="38" t="s">
        <v>89</v>
      </c>
      <c r="D52" s="37" t="s">
        <v>88</v>
      </c>
      <c r="E52" s="36" t="s">
        <v>115</v>
      </c>
      <c r="F52" s="213"/>
      <c r="G52" s="213"/>
      <c r="H52" s="213"/>
      <c r="I52" s="213"/>
      <c r="J52" s="213"/>
      <c r="K52" s="213"/>
      <c r="L52" s="213"/>
      <c r="M52" s="223"/>
      <c r="U52" t="s">
        <v>1156</v>
      </c>
      <c r="V52">
        <f>W52*1.14</f>
        <v>62.699999999999996</v>
      </c>
      <c r="W52">
        <v>55</v>
      </c>
      <c r="X52">
        <v>66.434108527131784</v>
      </c>
      <c r="Y52">
        <f>X52*0.14</f>
        <v>9.3007751937984509</v>
      </c>
      <c r="Z52" s="190">
        <f>Y52/X52</f>
        <v>0.14000000000000001</v>
      </c>
      <c r="AA52">
        <v>57.133333333333333</v>
      </c>
      <c r="AB52" s="190">
        <f>AA52/X52</f>
        <v>0.86</v>
      </c>
      <c r="AC52">
        <f>W52-AD52</f>
        <v>29.29</v>
      </c>
      <c r="AD52">
        <v>25.71</v>
      </c>
      <c r="AE52" s="208">
        <f>AD52/AA52</f>
        <v>0.45</v>
      </c>
    </row>
    <row r="53" spans="1:31" ht="15.75" x14ac:dyDescent="0.25">
      <c r="A53" s="4" t="s">
        <v>114</v>
      </c>
      <c r="B53" s="35">
        <f>B22</f>
        <v>2895323.8612598102</v>
      </c>
      <c r="C53" s="34">
        <f>F22</f>
        <v>45447.826500732044</v>
      </c>
      <c r="D53" s="33">
        <f>J22</f>
        <v>2849876.0347590782</v>
      </c>
      <c r="E53" s="32">
        <f>C31</f>
        <v>13568.077136442645</v>
      </c>
      <c r="F53" s="213"/>
      <c r="G53" s="213"/>
      <c r="H53" s="213"/>
      <c r="I53" s="213"/>
      <c r="J53" s="213"/>
      <c r="K53" s="213"/>
      <c r="L53" s="213"/>
      <c r="M53" s="223"/>
      <c r="Q53">
        <f>F35/B22</f>
        <v>1.5696975080693332E-2</v>
      </c>
      <c r="U53" t="s">
        <v>1157</v>
      </c>
      <c r="V53">
        <v>816</v>
      </c>
      <c r="W53">
        <v>816</v>
      </c>
      <c r="X53">
        <f>Y53+AA53</f>
        <v>816.12</v>
      </c>
      <c r="Y53">
        <v>815.09</v>
      </c>
      <c r="Z53" s="190">
        <f t="shared" ref="Z53:Z55" si="36">Y53/X53</f>
        <v>0.99873793069646621</v>
      </c>
      <c r="AA53">
        <f t="shared" ref="AA53:AA54" si="37">AC53+AD53</f>
        <v>1.03</v>
      </c>
      <c r="AB53" s="190">
        <f t="shared" ref="AB53" si="38">AA53/X53</f>
        <v>1.262069303533794E-3</v>
      </c>
      <c r="AC53">
        <v>0.72</v>
      </c>
      <c r="AD53">
        <v>0.31</v>
      </c>
      <c r="AE53" s="207">
        <f t="shared" ref="AE53:AE54" si="39">AD53/AA53</f>
        <v>0.30097087378640774</v>
      </c>
    </row>
    <row r="54" spans="1:31" ht="16.5" thickBot="1" x14ac:dyDescent="0.3">
      <c r="A54" s="4" t="s">
        <v>113</v>
      </c>
      <c r="B54" s="35">
        <f>B41</f>
        <v>2895323.8612598111</v>
      </c>
      <c r="C54" s="34">
        <f>F41</f>
        <v>45447.826500732044</v>
      </c>
      <c r="D54" s="33">
        <f>J41</f>
        <v>2849876.0347590791</v>
      </c>
      <c r="E54" s="32">
        <f>C50</f>
        <v>13568.077136442645</v>
      </c>
      <c r="F54" s="213"/>
      <c r="G54" s="213"/>
      <c r="H54" s="213"/>
      <c r="I54" s="213"/>
      <c r="J54" s="213"/>
      <c r="K54" s="213"/>
      <c r="L54" s="213"/>
      <c r="M54" s="223"/>
      <c r="U54" t="s">
        <v>1158</v>
      </c>
      <c r="W54">
        <v>12</v>
      </c>
      <c r="X54">
        <v>13.976240391334732</v>
      </c>
      <c r="Y54">
        <f>X54*0.1414</f>
        <v>1.9762403913347311</v>
      </c>
      <c r="Z54" s="190">
        <f t="shared" si="36"/>
        <v>0.1414</v>
      </c>
      <c r="AA54">
        <f t="shared" si="37"/>
        <v>12</v>
      </c>
      <c r="AB54" s="190">
        <f>AA54/X54</f>
        <v>0.85859999999999992</v>
      </c>
      <c r="AC54">
        <f>W54-AD54</f>
        <v>8.42</v>
      </c>
      <c r="AD54">
        <v>3.58</v>
      </c>
      <c r="AE54" s="207">
        <f t="shared" si="39"/>
        <v>0.29833333333333334</v>
      </c>
    </row>
    <row r="55" spans="1:31" ht="15.75" x14ac:dyDescent="0.25">
      <c r="A55" s="3" t="s">
        <v>112</v>
      </c>
      <c r="B55" s="124">
        <f>B53-B54</f>
        <v>0</v>
      </c>
      <c r="C55" s="125">
        <f>C53-C54</f>
        <v>0</v>
      </c>
      <c r="D55" s="126">
        <f>D53-D54</f>
        <v>0</v>
      </c>
      <c r="E55" s="127">
        <f>E53-E54</f>
        <v>0</v>
      </c>
      <c r="F55" s="213"/>
      <c r="G55" s="213"/>
      <c r="H55" s="213"/>
      <c r="I55" s="213"/>
      <c r="J55" s="213"/>
      <c r="K55" s="213"/>
      <c r="L55" s="213"/>
      <c r="M55" s="223"/>
      <c r="W55">
        <f>SUM(W52:W54)</f>
        <v>883</v>
      </c>
      <c r="X55">
        <f>X53+X54</f>
        <v>830.09624039133473</v>
      </c>
      <c r="Y55">
        <f t="shared" ref="Y55:AC55" si="40">Y53+Y54</f>
        <v>817.06624039133476</v>
      </c>
      <c r="Z55" s="190">
        <f t="shared" si="36"/>
        <v>0.98430302491930666</v>
      </c>
      <c r="AA55">
        <f t="shared" si="40"/>
        <v>13.03</v>
      </c>
      <c r="AB55" s="190">
        <f>AA55/X55</f>
        <v>1.5696975080693329E-2</v>
      </c>
      <c r="AC55">
        <f t="shared" si="40"/>
        <v>9.14</v>
      </c>
      <c r="AD55">
        <f>AD53+AD54</f>
        <v>3.89</v>
      </c>
      <c r="AE55" s="207">
        <f>AD55/AA55</f>
        <v>0.29854182655410594</v>
      </c>
    </row>
    <row r="56" spans="1:31" ht="16.5" thickBot="1" x14ac:dyDescent="0.3">
      <c r="A56" s="5" t="s">
        <v>111</v>
      </c>
      <c r="B56" s="31">
        <f>B53/B54</f>
        <v>0.99999999999999967</v>
      </c>
      <c r="C56" s="29">
        <f>C53/C54</f>
        <v>1</v>
      </c>
      <c r="D56" s="28">
        <f>D53/D54</f>
        <v>0.99999999999999967</v>
      </c>
      <c r="E56" s="200">
        <f>E53/E54</f>
        <v>1</v>
      </c>
      <c r="F56" s="213"/>
      <c r="G56" s="213"/>
      <c r="H56" s="213"/>
      <c r="I56" s="213"/>
      <c r="J56" s="213"/>
      <c r="K56" s="213"/>
      <c r="L56" s="213"/>
      <c r="M56" s="223"/>
      <c r="W56" s="190">
        <f>W52/W55</f>
        <v>6.2287655719139301E-2</v>
      </c>
      <c r="X56">
        <f>X52+X53+X54</f>
        <v>896.53034891846653</v>
      </c>
      <c r="Y56">
        <f>Y52+Y53+Y54</f>
        <v>826.36701558513323</v>
      </c>
      <c r="AA56">
        <f t="shared" ref="AA56" si="41">SUM(AA52:AA54)</f>
        <v>70.163333333333327</v>
      </c>
      <c r="AC56">
        <f>SUM(AC52:AC54)</f>
        <v>38.43</v>
      </c>
      <c r="AD56">
        <f>SUM(AD52:AD54)</f>
        <v>29.6</v>
      </c>
    </row>
    <row r="57" spans="1:31" ht="15.75" thickBot="1" x14ac:dyDescent="0.3">
      <c r="A57" s="217" t="s">
        <v>110</v>
      </c>
      <c r="B57" s="218"/>
      <c r="C57" s="218"/>
      <c r="D57" s="218"/>
      <c r="E57" s="219"/>
      <c r="F57" s="213"/>
      <c r="G57" s="213"/>
      <c r="H57" s="213"/>
      <c r="I57" s="213"/>
      <c r="J57" s="213"/>
      <c r="K57" s="213"/>
      <c r="L57" s="213"/>
      <c r="M57" s="223"/>
      <c r="Y57">
        <f>Y56-Y68</f>
        <v>10.187015585133281</v>
      </c>
    </row>
    <row r="58" spans="1:31" ht="16.5" thickBot="1" x14ac:dyDescent="0.3">
      <c r="A58" s="26" t="str">
        <f t="shared" ref="A58:A63" si="42">A44</f>
        <v>By-products</v>
      </c>
      <c r="B58" s="193">
        <f t="shared" ref="B58:B63" si="43">(B35*$C$41)/($B$22*$C$22)</f>
        <v>1.0000000000000002</v>
      </c>
      <c r="C58" s="191">
        <f>(E35*B35)/($B$22*$E$22)</f>
        <v>1.0000000000000002</v>
      </c>
      <c r="D58" s="195">
        <f t="shared" ref="D58:D63" si="44">(I35*B35)/($B$22*$I$22)</f>
        <v>1.0000000000000002</v>
      </c>
      <c r="E58" s="27">
        <f>(F44*B35)/($B$22*$F$31)</f>
        <v>1.0000000000000002</v>
      </c>
      <c r="F58" s="213"/>
      <c r="G58" s="213"/>
      <c r="H58" s="213"/>
      <c r="I58" s="213"/>
      <c r="J58" s="213"/>
      <c r="K58" s="213"/>
      <c r="L58" s="213"/>
      <c r="M58" s="223"/>
      <c r="X58">
        <f>X55/X52</f>
        <v>12.495030923043428</v>
      </c>
      <c r="Z58">
        <v>12.4950309230434</v>
      </c>
    </row>
    <row r="59" spans="1:31" ht="16.5" thickBot="1" x14ac:dyDescent="0.3">
      <c r="A59" s="5">
        <f t="shared" si="42"/>
        <v>0</v>
      </c>
      <c r="B59" s="197">
        <f t="shared" si="43"/>
        <v>0</v>
      </c>
      <c r="C59" s="192">
        <f>(E36*B36)/($B$22*$E$22)</f>
        <v>0</v>
      </c>
      <c r="D59" s="199">
        <f t="shared" si="44"/>
        <v>0</v>
      </c>
      <c r="E59" s="27">
        <f t="shared" ref="E59:E60" si="45">(F45*B36)/($B$22*$F$31)</f>
        <v>0</v>
      </c>
      <c r="F59" s="213"/>
      <c r="G59" s="213"/>
      <c r="H59" s="213"/>
      <c r="I59" s="213"/>
      <c r="J59" s="213"/>
      <c r="K59" s="213"/>
      <c r="L59" s="213"/>
      <c r="M59" s="223"/>
    </row>
    <row r="60" spans="1:31" ht="16.5" thickBot="1" x14ac:dyDescent="0.3">
      <c r="A60" s="5">
        <f t="shared" si="42"/>
        <v>0</v>
      </c>
      <c r="B60" s="197">
        <f>(B37*$C$41)/($B$22*$C$22)</f>
        <v>0</v>
      </c>
      <c r="C60" s="192">
        <v>0</v>
      </c>
      <c r="D60" s="199">
        <v>0</v>
      </c>
      <c r="E60" s="27">
        <f t="shared" si="45"/>
        <v>0</v>
      </c>
      <c r="F60" s="213"/>
      <c r="G60" s="213"/>
      <c r="H60" s="213"/>
      <c r="I60" s="213"/>
      <c r="J60" s="213"/>
      <c r="K60" s="213"/>
      <c r="L60" s="213"/>
      <c r="M60" s="223"/>
      <c r="W60">
        <v>231718.022875817</v>
      </c>
      <c r="X60" s="190">
        <v>0.06</v>
      </c>
    </row>
    <row r="61" spans="1:31" ht="16.5" thickBot="1" x14ac:dyDescent="0.3">
      <c r="A61" s="5">
        <f t="shared" si="42"/>
        <v>0</v>
      </c>
      <c r="B61" s="30">
        <f t="shared" si="43"/>
        <v>0</v>
      </c>
      <c r="C61" s="29">
        <f>($G$41*F38)/($B$22*$E$22)</f>
        <v>0</v>
      </c>
      <c r="D61" s="28">
        <f t="shared" si="44"/>
        <v>0</v>
      </c>
      <c r="E61" s="27">
        <f>(F47*B38)/($B$22*$F$31)</f>
        <v>0</v>
      </c>
      <c r="F61" s="213"/>
      <c r="G61" s="213"/>
      <c r="H61" s="213"/>
      <c r="I61" s="213"/>
      <c r="J61" s="213"/>
      <c r="K61" s="213"/>
      <c r="L61" s="213"/>
      <c r="M61" s="223"/>
      <c r="W61">
        <f>W60/6</f>
        <v>38619.670479302833</v>
      </c>
      <c r="X61" s="190">
        <v>0.01</v>
      </c>
    </row>
    <row r="62" spans="1:31" ht="16.5" thickBot="1" x14ac:dyDescent="0.3">
      <c r="A62" s="5" t="e">
        <f t="shared" si="42"/>
        <v>#REF!</v>
      </c>
      <c r="B62" s="30">
        <f t="shared" si="43"/>
        <v>0</v>
      </c>
      <c r="C62" s="29">
        <f>(B39*E39)/($B$22*$E$22)</f>
        <v>0</v>
      </c>
      <c r="D62" s="28">
        <f t="shared" si="44"/>
        <v>0</v>
      </c>
      <c r="E62" s="27">
        <f t="shared" ref="E62:E63" si="46">(F48*B39)/($B$22*$F$31)</f>
        <v>0</v>
      </c>
      <c r="F62" s="213"/>
      <c r="G62" s="213"/>
      <c r="H62" s="213"/>
      <c r="I62" s="213"/>
      <c r="J62" s="213"/>
      <c r="K62" s="213"/>
      <c r="L62" s="213"/>
      <c r="M62" s="223"/>
      <c r="W62">
        <f>W61*100</f>
        <v>3861967.0479302835</v>
      </c>
      <c r="X62" s="190">
        <v>1</v>
      </c>
    </row>
    <row r="63" spans="1:31" ht="16.5" thickBot="1" x14ac:dyDescent="0.3">
      <c r="A63" s="5">
        <f t="shared" si="42"/>
        <v>0</v>
      </c>
      <c r="B63" s="30">
        <f t="shared" si="43"/>
        <v>0</v>
      </c>
      <c r="C63" s="29">
        <f>(B40*E40)/($B$22*$E$22)</f>
        <v>0</v>
      </c>
      <c r="D63" s="28">
        <f t="shared" si="44"/>
        <v>0</v>
      </c>
      <c r="E63" s="27">
        <f t="shared" si="46"/>
        <v>0</v>
      </c>
      <c r="F63" s="213"/>
      <c r="G63" s="213"/>
      <c r="H63" s="213"/>
      <c r="I63" s="213"/>
      <c r="J63" s="213"/>
      <c r="K63" s="213"/>
      <c r="L63" s="213"/>
      <c r="M63" s="223"/>
      <c r="W63">
        <v>13565.8284085614</v>
      </c>
      <c r="X63" s="190">
        <f>W63/W62</f>
        <v>3.5126732673267207E-3</v>
      </c>
    </row>
    <row r="64" spans="1:31" ht="16.5" thickBot="1" x14ac:dyDescent="0.3">
      <c r="A64" s="3" t="s">
        <v>109</v>
      </c>
      <c r="B64" s="201">
        <f>SUM(B58:B63)</f>
        <v>1.0000000000000002</v>
      </c>
      <c r="C64" s="202">
        <f>SUM(C58:C63)</f>
        <v>1.0000000000000002</v>
      </c>
      <c r="D64" s="203">
        <f>SUM(D58:D63)</f>
        <v>1.0000000000000002</v>
      </c>
      <c r="E64" s="204">
        <f>SUM(E58:E63)</f>
        <v>1.0000000000000002</v>
      </c>
      <c r="F64" s="213"/>
      <c r="G64" s="213"/>
      <c r="H64" s="213"/>
      <c r="I64" s="213"/>
      <c r="J64" s="213"/>
      <c r="K64" s="213"/>
      <c r="L64" s="213"/>
      <c r="M64" s="223"/>
      <c r="W64">
        <f>W61*96</f>
        <v>3707488.366013072</v>
      </c>
      <c r="X64" s="190">
        <f>W64/W62</f>
        <v>0.96</v>
      </c>
    </row>
    <row r="65" spans="1:31" ht="16.5" thickBot="1" x14ac:dyDescent="0.3">
      <c r="A65" s="224" t="s">
        <v>108</v>
      </c>
      <c r="B65" s="225"/>
      <c r="C65" s="225"/>
      <c r="D65" s="225"/>
      <c r="E65" s="225"/>
      <c r="F65" s="225"/>
      <c r="G65" s="225"/>
      <c r="H65" s="225"/>
      <c r="I65" s="225"/>
      <c r="J65" s="225"/>
      <c r="K65" s="225"/>
      <c r="L65" s="225"/>
      <c r="M65" s="226"/>
      <c r="U65">
        <f>B16*94</f>
        <v>270885043.70759654</v>
      </c>
    </row>
    <row r="66" spans="1:31" x14ac:dyDescent="0.25">
      <c r="A66" s="4" t="s">
        <v>107</v>
      </c>
      <c r="B66" s="227" t="s">
        <v>106</v>
      </c>
      <c r="C66" s="227"/>
      <c r="D66" s="227"/>
      <c r="E66" s="227"/>
      <c r="F66" s="227"/>
      <c r="G66" s="4" t="s">
        <v>105</v>
      </c>
      <c r="M66" s="25"/>
      <c r="X66" t="s">
        <v>1160</v>
      </c>
      <c r="Y66" t="s">
        <v>88</v>
      </c>
      <c r="AA66" t="s">
        <v>89</v>
      </c>
      <c r="AC66" t="s">
        <v>1161</v>
      </c>
      <c r="AD66" t="s">
        <v>1159</v>
      </c>
    </row>
    <row r="67" spans="1:31" ht="18.75" customHeight="1" x14ac:dyDescent="0.25">
      <c r="A67" s="4" t="s">
        <v>104</v>
      </c>
      <c r="B67" s="213" t="s">
        <v>91</v>
      </c>
      <c r="C67" s="213"/>
      <c r="D67" s="213"/>
      <c r="E67" s="213"/>
      <c r="F67" s="213"/>
      <c r="G67" s="4" t="s">
        <v>103</v>
      </c>
      <c r="M67" s="25"/>
      <c r="X67">
        <f>Y67+AA67</f>
        <v>26</v>
      </c>
      <c r="Y67">
        <v>0</v>
      </c>
      <c r="Z67" s="190">
        <f>Y67/X67</f>
        <v>0</v>
      </c>
      <c r="AA67">
        <v>26</v>
      </c>
      <c r="AB67" s="190">
        <f>AA67/X67</f>
        <v>1</v>
      </c>
      <c r="AC67">
        <f>AA67-AD67</f>
        <v>11.21</v>
      </c>
      <c r="AD67">
        <v>14.79</v>
      </c>
      <c r="AE67" s="207">
        <f>AD67/AA67</f>
        <v>0.56884615384615378</v>
      </c>
    </row>
    <row r="68" spans="1:31" x14ac:dyDescent="0.25">
      <c r="A68" s="4" t="s">
        <v>102</v>
      </c>
      <c r="G68" s="4" t="s">
        <v>101</v>
      </c>
      <c r="M68" s="25"/>
      <c r="X68">
        <f t="shared" ref="X68:X69" si="47">Y68+AA68</f>
        <v>818.46999999999991</v>
      </c>
      <c r="Y68">
        <v>816.18</v>
      </c>
      <c r="Z68" s="190">
        <f t="shared" ref="Z68:Z70" si="48">Y68/X68</f>
        <v>0.99720209659486603</v>
      </c>
      <c r="AA68">
        <f>AC68+AD68</f>
        <v>2.29</v>
      </c>
      <c r="AB68" s="190">
        <f t="shared" ref="AB68:AB70" si="49">AA68/X68</f>
        <v>2.7979034051339698E-3</v>
      </c>
      <c r="AC68">
        <v>0.63</v>
      </c>
      <c r="AD68">
        <v>1.66</v>
      </c>
      <c r="AE68" s="207">
        <f>AD68/AA68</f>
        <v>0.72489082969432306</v>
      </c>
    </row>
    <row r="69" spans="1:31" x14ac:dyDescent="0.25">
      <c r="A69" s="4" t="s">
        <v>100</v>
      </c>
      <c r="G69" s="4" t="s">
        <v>99</v>
      </c>
      <c r="M69" s="25"/>
      <c r="X69">
        <f>Y69+AA69</f>
        <v>52.060348918466602</v>
      </c>
      <c r="Y69">
        <f>9.83972876342784+0.347286821705438</f>
        <v>10.187015585133278</v>
      </c>
      <c r="Z69" s="190">
        <f t="shared" si="48"/>
        <v>0.19567705166723898</v>
      </c>
      <c r="AA69">
        <f>37+4.87333333333333</f>
        <v>41.873333333333328</v>
      </c>
      <c r="AB69" s="190">
        <f t="shared" si="49"/>
        <v>0.80432294833276108</v>
      </c>
      <c r="AC69">
        <f>23.45+0.75</f>
        <v>24.2</v>
      </c>
      <c r="AD69">
        <v>13.15</v>
      </c>
      <c r="AE69" s="207">
        <f>AD69/AA69</f>
        <v>0.31404234994427643</v>
      </c>
    </row>
    <row r="70" spans="1:31" x14ac:dyDescent="0.25">
      <c r="A70" s="4" t="s">
        <v>98</v>
      </c>
      <c r="G70" s="4" t="s">
        <v>97</v>
      </c>
      <c r="M70" s="25"/>
      <c r="X70">
        <f>X68+X69</f>
        <v>870.53034891846653</v>
      </c>
      <c r="Y70">
        <f t="shared" ref="Y70:AD70" si="50">Y68+Y69</f>
        <v>826.36701558513323</v>
      </c>
      <c r="Z70" s="190">
        <f>Y70/X70</f>
        <v>0.9492684736514917</v>
      </c>
      <c r="AA70">
        <f>AA68+AA69</f>
        <v>44.163333333333327</v>
      </c>
      <c r="AB70" s="190">
        <f t="shared" si="49"/>
        <v>5.0731526348508318E-2</v>
      </c>
      <c r="AC70">
        <f t="shared" si="50"/>
        <v>24.83</v>
      </c>
      <c r="AD70">
        <f t="shared" si="50"/>
        <v>14.81</v>
      </c>
      <c r="AE70" s="207">
        <f>AD70/AA70</f>
        <v>0.33534606385387583</v>
      </c>
    </row>
    <row r="71" spans="1:31" x14ac:dyDescent="0.25">
      <c r="A71" s="4" t="s">
        <v>96</v>
      </c>
      <c r="G71" s="4" t="s">
        <v>95</v>
      </c>
      <c r="M71" s="25"/>
      <c r="X71">
        <f t="shared" ref="X71:AA71" si="51">SUM(X67:X69)</f>
        <v>896.53034891846653</v>
      </c>
      <c r="Y71">
        <f t="shared" si="51"/>
        <v>826.36701558513323</v>
      </c>
      <c r="Z71">
        <f t="shared" si="51"/>
        <v>1.1928791482621051</v>
      </c>
      <c r="AA71">
        <f t="shared" si="51"/>
        <v>70.163333333333327</v>
      </c>
      <c r="AC71">
        <f>SUM(AC67:AC69)</f>
        <v>36.04</v>
      </c>
      <c r="AD71">
        <f>SUM(AD67:AD69)</f>
        <v>29.6</v>
      </c>
    </row>
    <row r="72" spans="1:31" ht="15.75" thickBot="1" x14ac:dyDescent="0.3">
      <c r="A72" s="5" t="s">
        <v>94</v>
      </c>
      <c r="B72" s="24"/>
      <c r="C72" s="24"/>
      <c r="D72" s="24"/>
      <c r="E72" s="24"/>
      <c r="F72" s="24"/>
      <c r="G72" s="5" t="s">
        <v>93</v>
      </c>
      <c r="H72" s="24"/>
      <c r="I72" s="24"/>
      <c r="J72" s="24"/>
      <c r="K72" s="24"/>
      <c r="L72" s="24"/>
      <c r="M72" s="23"/>
      <c r="X72">
        <f t="shared" ref="X72:Z72" si="52">X56-X71</f>
        <v>0</v>
      </c>
      <c r="Y72">
        <f t="shared" si="52"/>
        <v>0</v>
      </c>
      <c r="Z72">
        <f t="shared" si="52"/>
        <v>-1.1928791482621051</v>
      </c>
      <c r="AA72">
        <f>AA56-AA71</f>
        <v>0</v>
      </c>
    </row>
    <row r="73" spans="1:31" x14ac:dyDescent="0.25">
      <c r="X73">
        <f>X67/X70</f>
        <v>2.9866850744838476E-2</v>
      </c>
      <c r="AC73">
        <f>AC71-AC56</f>
        <v>-2.3900000000000006</v>
      </c>
      <c r="AD73">
        <f>AD71-AD56</f>
        <v>0</v>
      </c>
    </row>
    <row r="74" spans="1:31" x14ac:dyDescent="0.25">
      <c r="X74">
        <f>X67+X70</f>
        <v>896.53034891846653</v>
      </c>
      <c r="AA74">
        <v>4.8733333333333304</v>
      </c>
    </row>
    <row r="75" spans="1:31" x14ac:dyDescent="0.25">
      <c r="X75">
        <f>X67/X74</f>
        <v>2.9000691422621908E-2</v>
      </c>
    </row>
    <row r="76" spans="1:31" x14ac:dyDescent="0.25">
      <c r="X76">
        <f>X70/X74</f>
        <v>0.97099930857737804</v>
      </c>
    </row>
    <row r="91" spans="18:19" x14ac:dyDescent="0.25">
      <c r="R91">
        <v>100</v>
      </c>
      <c r="S91">
        <v>1.1000000000000001</v>
      </c>
    </row>
    <row r="92" spans="18:19" x14ac:dyDescent="0.25">
      <c r="S92">
        <v>0.9</v>
      </c>
    </row>
  </sheetData>
  <mergeCells count="38">
    <mergeCell ref="B67:F67"/>
    <mergeCell ref="A51:E51"/>
    <mergeCell ref="F51:M51"/>
    <mergeCell ref="F52:M64"/>
    <mergeCell ref="A57:E57"/>
    <mergeCell ref="A65:M65"/>
    <mergeCell ref="B66:F66"/>
    <mergeCell ref="A32:M32"/>
    <mergeCell ref="B33:D33"/>
    <mergeCell ref="E33:H33"/>
    <mergeCell ref="I33:M33"/>
    <mergeCell ref="B42:H42"/>
    <mergeCell ref="I42:M42"/>
    <mergeCell ref="A11:M11"/>
    <mergeCell ref="A13:M13"/>
    <mergeCell ref="B14:D14"/>
    <mergeCell ref="E14:H14"/>
    <mergeCell ref="I14:M14"/>
    <mergeCell ref="B23:H23"/>
    <mergeCell ref="I23:M23"/>
    <mergeCell ref="B8:D8"/>
    <mergeCell ref="F8:H8"/>
    <mergeCell ref="B9:D9"/>
    <mergeCell ref="F9:H9"/>
    <mergeCell ref="B10:D10"/>
    <mergeCell ref="F10:H10"/>
    <mergeCell ref="B5:D5"/>
    <mergeCell ref="F5:H5"/>
    <mergeCell ref="B6:D6"/>
    <mergeCell ref="F6:H6"/>
    <mergeCell ref="B7:D7"/>
    <mergeCell ref="F7:H7"/>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562BE-6888-4BCE-B9F6-A8304F7E2F5A}">
  <sheetPr codeName="Sheet21">
    <tabColor theme="8" tint="0.79998168889431442"/>
  </sheetPr>
  <dimension ref="A1:AE92"/>
  <sheetViews>
    <sheetView topLeftCell="A21" zoomScale="85" zoomScaleNormal="85" zoomScaleSheetLayoutView="145" zoomScalePageLayoutView="115" workbookViewId="0">
      <selection activeCell="C44" sqref="C44"/>
    </sheetView>
  </sheetViews>
  <sheetFormatPr defaultColWidth="11.42578125" defaultRowHeight="15" x14ac:dyDescent="0.25"/>
  <cols>
    <col min="1" max="1" width="31.85546875" customWidth="1"/>
    <col min="2" max="2" width="12.5703125" style="1" customWidth="1"/>
    <col min="3" max="3" width="37.28515625" style="1" customWidth="1"/>
    <col min="4" max="4" width="14.85546875" style="1" customWidth="1"/>
    <col min="5" max="5" width="13.85546875" style="1" customWidth="1"/>
    <col min="6" max="6" width="9.85546875" style="1" customWidth="1"/>
    <col min="7" max="7" width="16" style="1" customWidth="1"/>
    <col min="8" max="13" width="9.85546875" style="1" customWidth="1"/>
    <col min="25" max="25" width="15" bestFit="1" customWidth="1"/>
    <col min="29" max="29" width="16.85546875" customWidth="1"/>
    <col min="31" max="31" width="19.85546875" customWidth="1"/>
  </cols>
  <sheetData>
    <row r="1" spans="1:23" ht="48" thickBot="1" x14ac:dyDescent="0.3">
      <c r="A1" s="114" t="s">
        <v>161</v>
      </c>
      <c r="B1" s="264" t="str">
        <f>'2_1_Definition_Processes'!D2</f>
        <v>Environment</v>
      </c>
      <c r="C1" s="264"/>
      <c r="D1" s="264"/>
      <c r="E1" s="264"/>
      <c r="F1" s="264"/>
      <c r="G1" s="264"/>
      <c r="H1" s="264"/>
      <c r="I1" s="114" t="s">
        <v>160</v>
      </c>
      <c r="J1" s="265" t="s">
        <v>41</v>
      </c>
      <c r="K1" s="265"/>
      <c r="L1" s="265"/>
      <c r="M1" s="265"/>
    </row>
    <row r="2" spans="1:23" ht="16.5" thickBot="1" x14ac:dyDescent="0.3">
      <c r="A2" s="246" t="s">
        <v>159</v>
      </c>
      <c r="B2" s="247"/>
      <c r="C2" s="247"/>
      <c r="D2" s="247"/>
      <c r="E2" s="247"/>
      <c r="F2" s="247"/>
      <c r="G2" s="247"/>
      <c r="H2" s="247"/>
      <c r="I2" s="247"/>
      <c r="J2" s="247"/>
      <c r="K2" s="247"/>
      <c r="L2" s="247"/>
      <c r="M2" s="248"/>
    </row>
    <row r="3" spans="1:23" ht="126.75" customHeight="1" thickBot="1" x14ac:dyDescent="0.3">
      <c r="A3" s="266"/>
      <c r="B3" s="267"/>
      <c r="C3" s="267"/>
      <c r="D3" s="267"/>
      <c r="E3" s="267"/>
      <c r="F3" s="267"/>
      <c r="G3" s="267"/>
      <c r="H3" s="267"/>
      <c r="I3" s="267"/>
      <c r="J3" s="267"/>
      <c r="K3" s="267"/>
      <c r="L3" s="267"/>
      <c r="M3" s="268"/>
    </row>
    <row r="4" spans="1:23" ht="31.5" customHeight="1" x14ac:dyDescent="0.25">
      <c r="A4" s="113" t="s">
        <v>158</v>
      </c>
      <c r="B4" s="269"/>
      <c r="C4" s="270"/>
      <c r="D4" s="271"/>
      <c r="E4" s="272" t="s">
        <v>157</v>
      </c>
      <c r="F4" s="273"/>
      <c r="G4" s="118"/>
      <c r="H4" s="118"/>
      <c r="I4" s="112"/>
      <c r="J4" s="112"/>
      <c r="K4" s="112"/>
      <c r="L4" s="112"/>
      <c r="M4" s="112"/>
    </row>
    <row r="5" spans="1:23" ht="16.5" customHeight="1" x14ac:dyDescent="0.25">
      <c r="A5" s="115" t="s">
        <v>156</v>
      </c>
      <c r="B5" s="262" t="s">
        <v>1163</v>
      </c>
      <c r="C5" s="262"/>
      <c r="D5" s="263"/>
      <c r="E5" s="115" t="s">
        <v>156</v>
      </c>
      <c r="F5" s="258" t="s">
        <v>1164</v>
      </c>
      <c r="G5" s="258"/>
      <c r="H5" s="259"/>
      <c r="I5" s="116"/>
      <c r="J5" s="111"/>
      <c r="K5" s="111"/>
      <c r="L5" s="111"/>
      <c r="M5" s="108"/>
    </row>
    <row r="6" spans="1:23" ht="16.5" customHeight="1" x14ac:dyDescent="0.25">
      <c r="A6" s="115" t="s">
        <v>155</v>
      </c>
      <c r="B6" s="258" t="s">
        <v>1154</v>
      </c>
      <c r="C6" s="258"/>
      <c r="D6" s="259"/>
      <c r="E6" s="115" t="s">
        <v>155</v>
      </c>
      <c r="F6" s="258"/>
      <c r="G6" s="258"/>
      <c r="H6" s="259"/>
      <c r="I6" s="116"/>
      <c r="J6" s="111"/>
      <c r="K6" s="111"/>
      <c r="L6" s="111"/>
      <c r="M6" s="108"/>
    </row>
    <row r="7" spans="1:23" ht="16.5" customHeight="1" x14ac:dyDescent="0.25">
      <c r="A7" s="110" t="s">
        <v>154</v>
      </c>
      <c r="B7" s="258"/>
      <c r="C7" s="258"/>
      <c r="D7" s="259"/>
      <c r="E7" s="110" t="s">
        <v>154</v>
      </c>
      <c r="F7" s="258"/>
      <c r="G7" s="258"/>
      <c r="H7" s="259"/>
      <c r="I7" s="117"/>
      <c r="J7" s="109"/>
      <c r="K7" s="109"/>
      <c r="L7" s="109"/>
      <c r="M7" s="108"/>
    </row>
    <row r="8" spans="1:23" ht="16.5" customHeight="1" x14ac:dyDescent="0.25">
      <c r="A8" s="110" t="s">
        <v>153</v>
      </c>
      <c r="B8" s="258" t="e">
        <f>_xlfn.XLOOKUP(J1,Tab_Def_Processes[Process_ID],#REF!,"No_flow.",0,1)</f>
        <v>#REF!</v>
      </c>
      <c r="C8" s="258"/>
      <c r="D8" s="259"/>
      <c r="E8" s="110" t="s">
        <v>153</v>
      </c>
      <c r="F8" s="258"/>
      <c r="G8" s="258"/>
      <c r="H8" s="259"/>
      <c r="I8" s="117"/>
      <c r="J8" s="109"/>
      <c r="K8" s="109"/>
      <c r="L8" s="109"/>
      <c r="M8" s="108"/>
    </row>
    <row r="9" spans="1:23"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3" ht="16.5" customHeight="1" thickBot="1" x14ac:dyDescent="0.3">
      <c r="A10" s="119" t="s">
        <v>151</v>
      </c>
      <c r="B10" s="260"/>
      <c r="C10" s="260"/>
      <c r="D10" s="261"/>
      <c r="E10" s="119" t="s">
        <v>151</v>
      </c>
      <c r="F10" s="260"/>
      <c r="G10" s="260"/>
      <c r="H10" s="261"/>
      <c r="I10" s="117"/>
      <c r="J10" s="109"/>
      <c r="K10" s="109"/>
      <c r="L10" s="109"/>
      <c r="M10" s="108"/>
    </row>
    <row r="11" spans="1:23" ht="16.5" thickBot="1" x14ac:dyDescent="0.3">
      <c r="A11" s="246" t="s">
        <v>150</v>
      </c>
      <c r="B11" s="247"/>
      <c r="C11" s="247"/>
      <c r="D11" s="247"/>
      <c r="E11" s="247"/>
      <c r="F11" s="247"/>
      <c r="G11" s="247"/>
      <c r="H11" s="247"/>
      <c r="I11" s="247"/>
      <c r="J11" s="247"/>
      <c r="K11" s="247"/>
      <c r="L11" s="247"/>
      <c r="M11" s="248"/>
    </row>
    <row r="12" spans="1:23" ht="33" customHeight="1" thickBot="1" x14ac:dyDescent="0.3">
      <c r="A12" s="107">
        <v>1000</v>
      </c>
      <c r="B12" s="106" t="s">
        <v>149</v>
      </c>
      <c r="C12" s="105"/>
      <c r="D12" s="105"/>
      <c r="E12" s="105"/>
      <c r="F12" s="105"/>
      <c r="G12" s="105"/>
      <c r="H12" s="105"/>
      <c r="I12" s="105"/>
      <c r="J12" s="105"/>
      <c r="K12" s="105"/>
      <c r="L12" s="105"/>
      <c r="M12" s="104"/>
    </row>
    <row r="13" spans="1:23" ht="16.5" thickBot="1" x14ac:dyDescent="0.3">
      <c r="A13" s="224" t="s">
        <v>148</v>
      </c>
      <c r="B13" s="225"/>
      <c r="C13" s="225"/>
      <c r="D13" s="225"/>
      <c r="E13" s="225"/>
      <c r="F13" s="225"/>
      <c r="G13" s="225"/>
      <c r="H13" s="225"/>
      <c r="I13" s="225"/>
      <c r="J13" s="225"/>
      <c r="K13" s="225"/>
      <c r="L13" s="225"/>
      <c r="M13" s="226"/>
    </row>
    <row r="14" spans="1:23"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206"/>
      <c r="W14" s="135">
        <f>Tab_Def_Flows[[#This Row],[Flow_CC_DM'[%']]]*Tab_Def_Flows[[#This Row],[Flow_DM'[%']]]</f>
        <v>0</v>
      </c>
    </row>
    <row r="15" spans="1:23"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206"/>
      <c r="W15" s="135">
        <f>Tab_Def_Flows[[#This Row],[Flow_CC_DM'[%']]]*Tab_Def_Flows[[#This Row],[Flow_DM'[%']]]</f>
        <v>0</v>
      </c>
    </row>
    <row r="16" spans="1:23" ht="23.25" customHeight="1" x14ac:dyDescent="0.25">
      <c r="A16" s="59" t="str">
        <f t="shared" ref="A16:A21" si="0">B5</f>
        <v>Byproducts_E</v>
      </c>
      <c r="B16" s="35">
        <f>B22-B17</f>
        <v>2881755.7841233676</v>
      </c>
      <c r="C16" s="86">
        <f>B16/$B$22</f>
        <v>0.99531379638803552</v>
      </c>
      <c r="D16" s="85" t="s">
        <v>107</v>
      </c>
      <c r="E16" s="84">
        <f>F16/B16</f>
        <v>1.1062613126319183E-2</v>
      </c>
      <c r="F16" s="34">
        <f>F22-F17</f>
        <v>31879.749364289397</v>
      </c>
      <c r="G16" s="83">
        <f t="shared" ref="G16:G21" si="1">F16/$F$22</f>
        <v>0.70145817344589401</v>
      </c>
      <c r="H16" s="82" t="s">
        <v>107</v>
      </c>
      <c r="I16" s="81">
        <f t="shared" ref="I16:I17" si="2">1-E16</f>
        <v>0.98893738687368082</v>
      </c>
      <c r="J16" s="33">
        <f t="shared" ref="J16:J21" si="3">I16*B16</f>
        <v>2849876.0347590782</v>
      </c>
      <c r="K16" s="101">
        <f t="shared" ref="K16:K21" si="4">J16/$J$22</f>
        <v>1</v>
      </c>
      <c r="L16" s="78" t="s">
        <v>107</v>
      </c>
      <c r="M16" s="78"/>
    </row>
    <row r="17" spans="1:25" ht="23.25" customHeight="1" x14ac:dyDescent="0.25">
      <c r="A17" s="59" t="str">
        <f>B6</f>
        <v>Byproducts_C</v>
      </c>
      <c r="B17" s="35">
        <v>13568.077136442645</v>
      </c>
      <c r="C17" s="86">
        <f>B17/$B$22</f>
        <v>4.686203611964472E-3</v>
      </c>
      <c r="D17" s="85" t="s">
        <v>107</v>
      </c>
      <c r="E17" s="84">
        <v>1</v>
      </c>
      <c r="F17" s="34">
        <f t="shared" ref="F17:F21" si="5">E17*B17</f>
        <v>13568.077136442645</v>
      </c>
      <c r="G17" s="83">
        <f t="shared" si="1"/>
        <v>0.29854182655410594</v>
      </c>
      <c r="H17" s="82" t="s">
        <v>107</v>
      </c>
      <c r="I17" s="81">
        <f t="shared" si="2"/>
        <v>0</v>
      </c>
      <c r="J17" s="33">
        <f t="shared" si="3"/>
        <v>0</v>
      </c>
      <c r="K17" s="101">
        <f t="shared" si="4"/>
        <v>0</v>
      </c>
      <c r="L17" s="78" t="s">
        <v>107</v>
      </c>
      <c r="M17" s="78"/>
    </row>
    <row r="18" spans="1:25" ht="23.25" customHeight="1" x14ac:dyDescent="0.25">
      <c r="A18" s="59">
        <f t="shared" si="0"/>
        <v>0</v>
      </c>
      <c r="B18" s="35"/>
      <c r="C18" s="86">
        <f t="shared" ref="C18:C21" si="6">B18/$B$22</f>
        <v>0</v>
      </c>
      <c r="D18" s="85"/>
      <c r="E18" s="84"/>
      <c r="F18" s="34">
        <f t="shared" si="5"/>
        <v>0</v>
      </c>
      <c r="G18" s="83">
        <f t="shared" si="1"/>
        <v>0</v>
      </c>
      <c r="H18" s="82"/>
      <c r="I18" s="81"/>
      <c r="J18" s="33">
        <f t="shared" si="3"/>
        <v>0</v>
      </c>
      <c r="K18" s="101">
        <f t="shared" si="4"/>
        <v>0</v>
      </c>
      <c r="L18" s="79"/>
      <c r="M18" s="78"/>
    </row>
    <row r="19" spans="1:25" ht="23.25" customHeight="1" x14ac:dyDescent="0.25">
      <c r="A19" s="59" t="e">
        <f t="shared" si="0"/>
        <v>#REF!</v>
      </c>
      <c r="B19" s="35"/>
      <c r="C19" s="86">
        <f t="shared" si="6"/>
        <v>0</v>
      </c>
      <c r="D19" s="85"/>
      <c r="E19" s="84"/>
      <c r="F19" s="34">
        <f t="shared" si="5"/>
        <v>0</v>
      </c>
      <c r="G19" s="83">
        <f t="shared" si="1"/>
        <v>0</v>
      </c>
      <c r="H19" s="103"/>
      <c r="I19" s="102"/>
      <c r="J19" s="33">
        <f t="shared" si="3"/>
        <v>0</v>
      </c>
      <c r="K19" s="101">
        <f t="shared" si="4"/>
        <v>0</v>
      </c>
      <c r="L19" s="79"/>
      <c r="M19" s="78"/>
    </row>
    <row r="20" spans="1:25" ht="23.25" customHeight="1" x14ac:dyDescent="0.25">
      <c r="A20" s="59" t="e">
        <f t="shared" si="0"/>
        <v>#REF!</v>
      </c>
      <c r="B20" s="35"/>
      <c r="C20" s="86">
        <f t="shared" si="6"/>
        <v>0</v>
      </c>
      <c r="D20" s="85"/>
      <c r="E20" s="84"/>
      <c r="F20" s="34">
        <f t="shared" si="5"/>
        <v>0</v>
      </c>
      <c r="G20" s="83">
        <f t="shared" si="1"/>
        <v>0</v>
      </c>
      <c r="H20" s="103"/>
      <c r="I20" s="102"/>
      <c r="J20" s="33">
        <f t="shared" si="3"/>
        <v>0</v>
      </c>
      <c r="K20" s="101">
        <f t="shared" si="4"/>
        <v>0</v>
      </c>
      <c r="L20" s="79"/>
      <c r="M20" s="78"/>
      <c r="Y20" s="35">
        <v>2895323.8612598102</v>
      </c>
    </row>
    <row r="21" spans="1:25" ht="23.25" customHeight="1" thickBot="1" x14ac:dyDescent="0.3">
      <c r="A21" s="59">
        <f t="shared" si="0"/>
        <v>0</v>
      </c>
      <c r="B21" s="35"/>
      <c r="C21" s="86">
        <f t="shared" si="6"/>
        <v>0</v>
      </c>
      <c r="D21" s="85"/>
      <c r="E21" s="84"/>
      <c r="F21" s="34">
        <f t="shared" si="5"/>
        <v>0</v>
      </c>
      <c r="G21" s="83">
        <f t="shared" si="1"/>
        <v>0</v>
      </c>
      <c r="H21" s="103"/>
      <c r="I21" s="102"/>
      <c r="J21" s="33">
        <f t="shared" si="3"/>
        <v>0</v>
      </c>
      <c r="K21" s="101">
        <f t="shared" si="4"/>
        <v>0</v>
      </c>
      <c r="L21" s="79"/>
      <c r="M21" s="78"/>
    </row>
    <row r="22" spans="1:25" ht="16.5" thickBot="1" x14ac:dyDescent="0.3">
      <c r="A22" s="49" t="s">
        <v>109</v>
      </c>
      <c r="B22" s="77">
        <v>2895323.8612598102</v>
      </c>
      <c r="C22" s="205">
        <f>C16+C17+C18</f>
        <v>1</v>
      </c>
      <c r="D22" s="75"/>
      <c r="E22" s="74">
        <f>F22/B22</f>
        <v>1.5696975080693332E-2</v>
      </c>
      <c r="F22" s="73">
        <v>45447.826500732044</v>
      </c>
      <c r="G22" s="99">
        <f>SUM(G16:G19)</f>
        <v>1</v>
      </c>
      <c r="H22" s="71"/>
      <c r="I22" s="70">
        <f>J22/B22</f>
        <v>0.98430302491930666</v>
      </c>
      <c r="J22" s="69">
        <f>J16+J17+J18</f>
        <v>2849876.0347590782</v>
      </c>
      <c r="K22" s="98">
        <f>SUM(K16:K19)</f>
        <v>1</v>
      </c>
      <c r="L22" s="67"/>
      <c r="M22" s="66"/>
    </row>
    <row r="23" spans="1:25" ht="16.5" customHeight="1" thickBot="1" x14ac:dyDescent="0.3">
      <c r="A23" s="129" t="s">
        <v>134</v>
      </c>
      <c r="B23" s="240" t="s">
        <v>133</v>
      </c>
      <c r="C23" s="241"/>
      <c r="D23" s="241"/>
      <c r="E23" s="241"/>
      <c r="F23" s="241"/>
      <c r="G23" s="241"/>
      <c r="H23" s="242"/>
      <c r="I23" s="243" t="s">
        <v>132</v>
      </c>
      <c r="J23" s="244"/>
      <c r="K23" s="244"/>
      <c r="L23" s="244"/>
      <c r="M23" s="245"/>
    </row>
    <row r="24" spans="1:25" ht="60.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O24" s="56">
        <v>25.71</v>
      </c>
      <c r="P24" s="143">
        <v>0.14000000000000001</v>
      </c>
      <c r="Q24" s="22" t="s">
        <v>91</v>
      </c>
      <c r="R24" s="143">
        <v>0.86</v>
      </c>
      <c r="S24" s="22" t="s">
        <v>91</v>
      </c>
      <c r="T24" s="143">
        <v>0.48</v>
      </c>
      <c r="U24" s="22" t="s">
        <v>91</v>
      </c>
      <c r="V24" s="206"/>
      <c r="W24" s="135">
        <f>Tab_Def_Flows[[#This Row],[Flow_CC_DM'[%']]]*Tab_Def_Flows[[#This Row],[Flow_DM'[%']]]</f>
        <v>0</v>
      </c>
      <c r="X24" s="144" t="s">
        <v>92</v>
      </c>
    </row>
    <row r="25" spans="1:25" ht="27" customHeight="1" x14ac:dyDescent="0.25">
      <c r="A25" s="59" t="str">
        <f t="shared" ref="A25:A30" si="7">B5</f>
        <v>Byproducts_E</v>
      </c>
      <c r="B25" s="58">
        <v>0</v>
      </c>
      <c r="C25" s="56">
        <f>B25*E16*B16</f>
        <v>0</v>
      </c>
      <c r="D25" s="57">
        <f t="shared" ref="D25:D30" si="8">C25/$C$31</f>
        <v>0</v>
      </c>
      <c r="E25" s="56" t="s">
        <v>107</v>
      </c>
      <c r="F25" s="55">
        <f>B25*E16</f>
        <v>0</v>
      </c>
      <c r="G25" s="54">
        <f t="shared" ref="G25:G30" si="9">B25*E16*B16</f>
        <v>0</v>
      </c>
      <c r="H25" s="53">
        <f t="shared" ref="H25:H30" si="10">G25/$G$31</f>
        <v>0</v>
      </c>
      <c r="I25" s="97">
        <f>$A$12*C16</f>
        <v>995.31379638803548</v>
      </c>
      <c r="J25" s="96">
        <f t="shared" ref="J25:J30" si="11">I25*E16</f>
        <v>11.01077146872886</v>
      </c>
      <c r="K25" s="96">
        <f>I25*I16</f>
        <v>984.30302491930661</v>
      </c>
      <c r="L25" s="96">
        <f>SUM(J25:K25)</f>
        <v>995.31379638803548</v>
      </c>
      <c r="M25" s="95">
        <f t="shared" ref="M25:M30" si="12">I25*F25</f>
        <v>0</v>
      </c>
      <c r="O25" s="56">
        <v>0.31</v>
      </c>
    </row>
    <row r="26" spans="1:25" ht="15.75" x14ac:dyDescent="0.25">
      <c r="A26" s="59" t="str">
        <f t="shared" si="7"/>
        <v>Byproducts_C</v>
      </c>
      <c r="B26" s="58">
        <v>1</v>
      </c>
      <c r="C26" s="56">
        <v>13568.077136442645</v>
      </c>
      <c r="D26" s="57">
        <f t="shared" si="8"/>
        <v>1</v>
      </c>
      <c r="E26" s="56" t="s">
        <v>107</v>
      </c>
      <c r="F26" s="55">
        <f>B26*E17</f>
        <v>1</v>
      </c>
      <c r="G26" s="54">
        <f t="shared" si="9"/>
        <v>13568.077136442645</v>
      </c>
      <c r="H26" s="53">
        <f t="shared" si="10"/>
        <v>1</v>
      </c>
      <c r="I26" s="97">
        <f>$A$12*C17</f>
        <v>4.6862036119644719</v>
      </c>
      <c r="J26" s="96">
        <f>I26*E17</f>
        <v>4.6862036119644719</v>
      </c>
      <c r="K26" s="96">
        <f t="shared" ref="K26:K30" si="13">I26*I17</f>
        <v>0</v>
      </c>
      <c r="L26" s="96">
        <f t="shared" ref="L26:L30" si="14">SUM(J26:K26)</f>
        <v>4.6862036119644719</v>
      </c>
      <c r="M26" s="95">
        <f t="shared" si="12"/>
        <v>4.6862036119644719</v>
      </c>
      <c r="O26" s="56">
        <v>3.58</v>
      </c>
    </row>
    <row r="27" spans="1:25" ht="15.75" x14ac:dyDescent="0.25">
      <c r="A27" s="59">
        <f t="shared" si="7"/>
        <v>0</v>
      </c>
      <c r="B27" s="58">
        <v>0</v>
      </c>
      <c r="C27" s="56"/>
      <c r="D27" s="57">
        <f>C27/$C$31</f>
        <v>0</v>
      </c>
      <c r="E27" s="56"/>
      <c r="F27" s="55">
        <f t="shared" ref="F27:F30" si="15">B27*E18</f>
        <v>0</v>
      </c>
      <c r="G27" s="54">
        <f t="shared" si="9"/>
        <v>0</v>
      </c>
      <c r="H27" s="53">
        <f t="shared" si="10"/>
        <v>0</v>
      </c>
      <c r="I27" s="97">
        <f t="shared" ref="I27:I30" si="16">$A$12*C18</f>
        <v>0</v>
      </c>
      <c r="J27" s="96">
        <f t="shared" si="11"/>
        <v>0</v>
      </c>
      <c r="K27" s="96">
        <f t="shared" si="13"/>
        <v>0</v>
      </c>
      <c r="L27" s="96">
        <f t="shared" si="14"/>
        <v>0</v>
      </c>
      <c r="M27" s="95">
        <f t="shared" si="12"/>
        <v>0</v>
      </c>
      <c r="Q27">
        <v>0.76158038205651879</v>
      </c>
    </row>
    <row r="28" spans="1:25" ht="15.75" x14ac:dyDescent="0.25">
      <c r="A28" s="59" t="e">
        <f t="shared" si="7"/>
        <v>#REF!</v>
      </c>
      <c r="B28" s="58">
        <v>0</v>
      </c>
      <c r="C28" s="56">
        <f t="shared" ref="C28:C30" si="17">F19*B28</f>
        <v>0</v>
      </c>
      <c r="D28" s="57">
        <f t="shared" si="8"/>
        <v>0</v>
      </c>
      <c r="E28" s="56"/>
      <c r="F28" s="55">
        <f t="shared" si="15"/>
        <v>0</v>
      </c>
      <c r="G28" s="54">
        <f t="shared" si="9"/>
        <v>0</v>
      </c>
      <c r="H28" s="53">
        <f t="shared" si="10"/>
        <v>0</v>
      </c>
      <c r="I28" s="97">
        <f t="shared" si="16"/>
        <v>0</v>
      </c>
      <c r="J28" s="96">
        <f t="shared" si="11"/>
        <v>0</v>
      </c>
      <c r="K28" s="96">
        <f t="shared" si="13"/>
        <v>0</v>
      </c>
      <c r="L28" s="96">
        <f t="shared" si="14"/>
        <v>0</v>
      </c>
      <c r="M28" s="95">
        <f t="shared" si="12"/>
        <v>0</v>
      </c>
    </row>
    <row r="29" spans="1:25" ht="15.75" x14ac:dyDescent="0.25">
      <c r="A29" s="59" t="e">
        <f t="shared" si="7"/>
        <v>#REF!</v>
      </c>
      <c r="B29" s="58">
        <v>0</v>
      </c>
      <c r="C29" s="56">
        <f t="shared" si="17"/>
        <v>0</v>
      </c>
      <c r="D29" s="57">
        <f t="shared" si="8"/>
        <v>0</v>
      </c>
      <c r="E29" s="56"/>
      <c r="F29" s="55">
        <f t="shared" si="15"/>
        <v>0</v>
      </c>
      <c r="G29" s="54">
        <f t="shared" si="9"/>
        <v>0</v>
      </c>
      <c r="H29" s="53">
        <f t="shared" si="10"/>
        <v>0</v>
      </c>
      <c r="I29" s="97">
        <f t="shared" si="16"/>
        <v>0</v>
      </c>
      <c r="J29" s="96">
        <f t="shared" si="11"/>
        <v>0</v>
      </c>
      <c r="K29" s="96">
        <f t="shared" si="13"/>
        <v>0</v>
      </c>
      <c r="L29" s="96">
        <f t="shared" si="14"/>
        <v>0</v>
      </c>
      <c r="M29" s="95">
        <f t="shared" si="12"/>
        <v>0</v>
      </c>
    </row>
    <row r="30" spans="1:25" ht="16.5" thickBot="1" x14ac:dyDescent="0.3">
      <c r="A30" s="59">
        <f t="shared" si="7"/>
        <v>0</v>
      </c>
      <c r="B30" s="58">
        <v>0</v>
      </c>
      <c r="C30" s="56">
        <f t="shared" si="17"/>
        <v>0</v>
      </c>
      <c r="D30" s="57">
        <f t="shared" si="8"/>
        <v>0</v>
      </c>
      <c r="E30" s="56"/>
      <c r="F30" s="55">
        <f t="shared" si="15"/>
        <v>0</v>
      </c>
      <c r="G30" s="54">
        <f t="shared" si="9"/>
        <v>0</v>
      </c>
      <c r="H30" s="53">
        <f t="shared" si="10"/>
        <v>0</v>
      </c>
      <c r="I30" s="97">
        <f t="shared" si="16"/>
        <v>0</v>
      </c>
      <c r="J30" s="96">
        <f t="shared" si="11"/>
        <v>0</v>
      </c>
      <c r="K30" s="96">
        <f t="shared" si="13"/>
        <v>0</v>
      </c>
      <c r="L30" s="96">
        <f t="shared" si="14"/>
        <v>0</v>
      </c>
      <c r="M30" s="95">
        <f t="shared" si="12"/>
        <v>0</v>
      </c>
    </row>
    <row r="31" spans="1:25" ht="16.5" thickBot="1" x14ac:dyDescent="0.3">
      <c r="A31" s="49" t="s">
        <v>109</v>
      </c>
      <c r="B31" s="48">
        <f>C31/F22</f>
        <v>0.29854182655410594</v>
      </c>
      <c r="C31" s="46">
        <f>SUM(C25:C30)</f>
        <v>13568.077136442645</v>
      </c>
      <c r="D31" s="94">
        <f>SUM(D24:D30)</f>
        <v>1</v>
      </c>
      <c r="E31" s="46"/>
      <c r="F31" s="45">
        <f>G31/B22</f>
        <v>4.686203611964472E-3</v>
      </c>
      <c r="G31" s="44">
        <f t="shared" ref="G31:M31" si="18">SUM(G25:G30)</f>
        <v>13568.077136442645</v>
      </c>
      <c r="H31" s="43">
        <f t="shared" si="18"/>
        <v>1</v>
      </c>
      <c r="I31" s="42">
        <f>SUM(I25:I30)</f>
        <v>1000</v>
      </c>
      <c r="J31" s="41">
        <f t="shared" si="18"/>
        <v>15.696975080693331</v>
      </c>
      <c r="K31" s="41">
        <f t="shared" si="18"/>
        <v>984.30302491930661</v>
      </c>
      <c r="L31" s="41">
        <f t="shared" si="18"/>
        <v>1000</v>
      </c>
      <c r="M31" s="40">
        <f t="shared" si="18"/>
        <v>4.6862036119644719</v>
      </c>
    </row>
    <row r="32" spans="1:25" ht="16.5" thickBot="1" x14ac:dyDescent="0.3">
      <c r="A32" s="228" t="s">
        <v>147</v>
      </c>
      <c r="B32" s="229"/>
      <c r="C32" s="229"/>
      <c r="D32" s="229"/>
      <c r="E32" s="229"/>
      <c r="F32" s="229"/>
      <c r="G32" s="229"/>
      <c r="H32" s="229"/>
      <c r="I32" s="229"/>
      <c r="J32" s="229"/>
      <c r="K32" s="229"/>
      <c r="L32" s="229"/>
      <c r="M32" s="230"/>
    </row>
    <row r="33" spans="1:31" ht="16.5" customHeight="1" thickBot="1" x14ac:dyDescent="0.3">
      <c r="A33" s="65" t="s">
        <v>134</v>
      </c>
      <c r="B33" s="231" t="s">
        <v>146</v>
      </c>
      <c r="C33" s="232"/>
      <c r="D33" s="233"/>
      <c r="E33" s="234" t="s">
        <v>145</v>
      </c>
      <c r="F33" s="235"/>
      <c r="G33" s="235"/>
      <c r="H33" s="236"/>
      <c r="I33" s="237" t="s">
        <v>144</v>
      </c>
      <c r="J33" s="238"/>
      <c r="K33" s="238"/>
      <c r="L33" s="238"/>
      <c r="M33" s="239"/>
    </row>
    <row r="34" spans="1:31"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31" ht="16.5" thickBot="1" x14ac:dyDescent="0.3">
      <c r="A35" s="59" t="str">
        <f t="shared" ref="A35:A40" si="19">F5</f>
        <v>By-products</v>
      </c>
      <c r="B35" s="77">
        <v>2895323.8612598111</v>
      </c>
      <c r="C35" s="86">
        <v>1</v>
      </c>
      <c r="D35" s="85" t="s">
        <v>107</v>
      </c>
      <c r="E35" s="84">
        <v>1.5696975080693329E-2</v>
      </c>
      <c r="F35" s="34">
        <f>E35*B35</f>
        <v>45447.826500732044</v>
      </c>
      <c r="G35" s="83">
        <f t="shared" ref="G35:G40" si="20">F35/$F$41</f>
        <v>1</v>
      </c>
      <c r="H35" s="82" t="s">
        <v>107</v>
      </c>
      <c r="I35" s="81">
        <f>1-E35</f>
        <v>0.98430302491930666</v>
      </c>
      <c r="J35" s="33">
        <f>I35*B35</f>
        <v>2849876.0347590791</v>
      </c>
      <c r="K35" s="80">
        <f>J35/$J$41</f>
        <v>1</v>
      </c>
      <c r="L35" s="79" t="s">
        <v>107</v>
      </c>
      <c r="M35" s="78"/>
      <c r="R35">
        <f>C54/B17</f>
        <v>3.3496143958868889</v>
      </c>
    </row>
    <row r="36" spans="1:31" ht="15.75" x14ac:dyDescent="0.25">
      <c r="A36" s="59">
        <f t="shared" si="19"/>
        <v>0</v>
      </c>
      <c r="B36" s="35">
        <f>C36*B22</f>
        <v>0</v>
      </c>
      <c r="C36" s="86">
        <v>0</v>
      </c>
      <c r="D36" s="85" t="s">
        <v>107</v>
      </c>
      <c r="E36" s="84"/>
      <c r="F36" s="34">
        <f t="shared" ref="F36:F40" si="21">E36*B36</f>
        <v>0</v>
      </c>
      <c r="G36" s="83">
        <f t="shared" si="20"/>
        <v>0</v>
      </c>
      <c r="H36" s="82" t="s">
        <v>107</v>
      </c>
      <c r="I36" s="81"/>
      <c r="J36" s="33">
        <f>I36*B36</f>
        <v>0</v>
      </c>
      <c r="K36" s="80">
        <f>J36/$J$41</f>
        <v>0</v>
      </c>
      <c r="L36" s="79" t="s">
        <v>107</v>
      </c>
      <c r="M36" s="78"/>
    </row>
    <row r="37" spans="1:31" ht="15.75" x14ac:dyDescent="0.25">
      <c r="A37" s="59">
        <f t="shared" si="19"/>
        <v>0</v>
      </c>
      <c r="B37" s="35"/>
      <c r="C37" s="86">
        <f t="shared" ref="C37:C40" si="22">B37/$B$41</f>
        <v>0</v>
      </c>
      <c r="D37" s="85"/>
      <c r="E37" s="84"/>
      <c r="F37" s="34">
        <f t="shared" si="21"/>
        <v>0</v>
      </c>
      <c r="G37" s="83">
        <f t="shared" si="20"/>
        <v>0</v>
      </c>
      <c r="H37" s="82"/>
      <c r="I37" s="81"/>
      <c r="J37" s="33">
        <f>I37*B37</f>
        <v>0</v>
      </c>
      <c r="K37" s="80">
        <f>J37/$J$41</f>
        <v>0</v>
      </c>
      <c r="L37" s="79"/>
      <c r="M37" s="78"/>
      <c r="P37" s="189">
        <f>860-G25</f>
        <v>860</v>
      </c>
      <c r="U37">
        <v>25.71</v>
      </c>
      <c r="X37">
        <v>14.79</v>
      </c>
    </row>
    <row r="38" spans="1:31" ht="15.75" x14ac:dyDescent="0.25">
      <c r="A38" s="59">
        <f t="shared" si="19"/>
        <v>0</v>
      </c>
      <c r="B38" s="35"/>
      <c r="C38" s="86">
        <f t="shared" si="22"/>
        <v>0</v>
      </c>
      <c r="D38" s="85"/>
      <c r="E38" s="84"/>
      <c r="F38" s="34">
        <f t="shared" si="21"/>
        <v>0</v>
      </c>
      <c r="G38" s="83">
        <f t="shared" si="20"/>
        <v>0</v>
      </c>
      <c r="H38" s="82"/>
      <c r="I38" s="81"/>
      <c r="J38" s="33">
        <f t="shared" ref="J38:J43" si="23">I38*B38</f>
        <v>0</v>
      </c>
      <c r="K38" s="80">
        <f>J38/$J$41</f>
        <v>0</v>
      </c>
      <c r="L38" s="79"/>
      <c r="M38" s="78"/>
      <c r="U38">
        <v>0.31</v>
      </c>
      <c r="X38">
        <v>1.66</v>
      </c>
    </row>
    <row r="39" spans="1:31" ht="15.75" x14ac:dyDescent="0.25">
      <c r="A39" s="59" t="e">
        <f t="shared" si="19"/>
        <v>#REF!</v>
      </c>
      <c r="B39" s="35"/>
      <c r="C39" s="86">
        <f t="shared" si="22"/>
        <v>0</v>
      </c>
      <c r="D39" s="85"/>
      <c r="E39" s="84"/>
      <c r="F39" s="34">
        <f t="shared" si="21"/>
        <v>0</v>
      </c>
      <c r="G39" s="83">
        <f t="shared" si="20"/>
        <v>0</v>
      </c>
      <c r="H39" s="82"/>
      <c r="I39" s="81"/>
      <c r="J39" s="33">
        <f t="shared" si="23"/>
        <v>0</v>
      </c>
      <c r="K39" s="80">
        <f>J39/$J$41</f>
        <v>0</v>
      </c>
      <c r="L39" s="79"/>
      <c r="M39" s="78"/>
      <c r="U39">
        <v>3.58</v>
      </c>
      <c r="X39">
        <v>13.15</v>
      </c>
    </row>
    <row r="40" spans="1:31" ht="16.5" thickBot="1" x14ac:dyDescent="0.3">
      <c r="A40" s="59">
        <f t="shared" si="19"/>
        <v>0</v>
      </c>
      <c r="B40" s="35"/>
      <c r="C40" s="86">
        <f t="shared" si="22"/>
        <v>0</v>
      </c>
      <c r="D40" s="85"/>
      <c r="E40" s="84"/>
      <c r="F40" s="34">
        <f t="shared" si="21"/>
        <v>0</v>
      </c>
      <c r="G40" s="83">
        <f t="shared" si="20"/>
        <v>0</v>
      </c>
      <c r="H40" s="82"/>
      <c r="I40" s="81"/>
      <c r="J40" s="33">
        <f t="shared" si="23"/>
        <v>0</v>
      </c>
      <c r="K40" s="80">
        <f>J40/$J$22</f>
        <v>0</v>
      </c>
      <c r="L40" s="79"/>
      <c r="M40" s="78"/>
      <c r="U40">
        <f>SUM(U37:U39)</f>
        <v>29.6</v>
      </c>
      <c r="X40">
        <f>SUM(X37:X39)</f>
        <v>29.6</v>
      </c>
    </row>
    <row r="41" spans="1:31" ht="16.5" thickBot="1" x14ac:dyDescent="0.3">
      <c r="A41" s="49" t="s">
        <v>109</v>
      </c>
      <c r="B41" s="77">
        <f>SUM(B35:B40)</f>
        <v>2895323.8612598111</v>
      </c>
      <c r="C41" s="76">
        <f>SUM(C35:C40)</f>
        <v>1</v>
      </c>
      <c r="D41" s="75"/>
      <c r="E41" s="74">
        <f>F41/B41</f>
        <v>1.5696975080693329E-2</v>
      </c>
      <c r="F41" s="73">
        <f>SUM(F35:F40)</f>
        <v>45447.826500732044</v>
      </c>
      <c r="G41" s="72">
        <f>SUM(G35:G40)</f>
        <v>1</v>
      </c>
      <c r="H41" s="71"/>
      <c r="I41" s="70">
        <f>J41/B41</f>
        <v>0.98430302491930666</v>
      </c>
      <c r="J41" s="69">
        <f>SUM(J35:J40)</f>
        <v>2849876.0347590791</v>
      </c>
      <c r="K41" s="68">
        <f>SUM(K35:K40)</f>
        <v>1</v>
      </c>
      <c r="L41" s="67"/>
      <c r="M41" s="66"/>
      <c r="P41" s="190" t="e">
        <f>140/B37</f>
        <v>#DIV/0!</v>
      </c>
    </row>
    <row r="42" spans="1:31" ht="16.5" customHeight="1" thickBot="1" x14ac:dyDescent="0.3">
      <c r="A42" s="129" t="s">
        <v>134</v>
      </c>
      <c r="B42" s="240" t="s">
        <v>133</v>
      </c>
      <c r="C42" s="241"/>
      <c r="D42" s="241"/>
      <c r="E42" s="241"/>
      <c r="F42" s="241"/>
      <c r="G42" s="241"/>
      <c r="H42" s="242"/>
      <c r="I42" s="243" t="s">
        <v>132</v>
      </c>
      <c r="J42" s="244"/>
      <c r="K42" s="244"/>
      <c r="L42" s="244"/>
      <c r="M42" s="245"/>
      <c r="P42" t="e">
        <f>F37/B37</f>
        <v>#DIV/0!</v>
      </c>
    </row>
    <row r="43" spans="1:31" ht="60.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c r="W43" t="s">
        <v>1162</v>
      </c>
    </row>
    <row r="44" spans="1:31" ht="15.75" x14ac:dyDescent="0.25">
      <c r="A44" s="59" t="str">
        <f t="shared" ref="A44:A49" si="24">A35</f>
        <v>By-products</v>
      </c>
      <c r="B44" s="58">
        <v>0.29854182655410594</v>
      </c>
      <c r="C44" s="56">
        <v>13568.077136442645</v>
      </c>
      <c r="D44" s="57">
        <f t="shared" ref="D44:D49" si="25">C44/$C$50</f>
        <v>1</v>
      </c>
      <c r="E44" s="56" t="s">
        <v>107</v>
      </c>
      <c r="F44" s="55">
        <f>B44*E35</f>
        <v>4.6862036119644712E-3</v>
      </c>
      <c r="G44" s="54">
        <f>B44*E35*B35</f>
        <v>13568.077136442645</v>
      </c>
      <c r="H44" s="53">
        <f t="shared" ref="H44:H49" si="26">G44/$G$50</f>
        <v>1</v>
      </c>
      <c r="I44" s="52">
        <f t="shared" ref="I44:I49" si="27">$A$12*B58</f>
        <v>1000.0000000000002</v>
      </c>
      <c r="J44" s="51">
        <f t="shared" ref="J44:J49" si="28">I44*E35</f>
        <v>15.696975080693333</v>
      </c>
      <c r="K44" s="51">
        <f t="shared" ref="K44:K49" si="29">I44*I35</f>
        <v>984.30302491930684</v>
      </c>
      <c r="L44" s="51">
        <f t="shared" ref="L44:L49" si="30">SUM(J44:K44)</f>
        <v>1000.0000000000001</v>
      </c>
      <c r="M44" s="50">
        <f t="shared" ref="M44:M49" si="31">I44*F44</f>
        <v>4.6862036119644719</v>
      </c>
    </row>
    <row r="45" spans="1:31" ht="15.75" x14ac:dyDescent="0.25">
      <c r="A45" s="59">
        <f t="shared" si="24"/>
        <v>0</v>
      </c>
      <c r="B45" s="58"/>
      <c r="C45" s="56">
        <f>B45*E36*B36</f>
        <v>0</v>
      </c>
      <c r="D45" s="57">
        <f t="shared" si="25"/>
        <v>0</v>
      </c>
      <c r="E45" s="56" t="s">
        <v>107</v>
      </c>
      <c r="F45" s="55">
        <f t="shared" ref="F45:F49" si="32">B45*E36</f>
        <v>0</v>
      </c>
      <c r="G45" s="54">
        <f t="shared" ref="G45:G49" si="33">B45*E36*B36</f>
        <v>0</v>
      </c>
      <c r="H45" s="53">
        <f t="shared" si="26"/>
        <v>0</v>
      </c>
      <c r="I45" s="52">
        <f t="shared" si="27"/>
        <v>0</v>
      </c>
      <c r="J45" s="51">
        <f t="shared" si="28"/>
        <v>0</v>
      </c>
      <c r="K45" s="51">
        <f t="shared" si="29"/>
        <v>0</v>
      </c>
      <c r="L45" s="51">
        <f t="shared" si="30"/>
        <v>0</v>
      </c>
      <c r="M45" s="50">
        <f t="shared" si="31"/>
        <v>0</v>
      </c>
      <c r="AA45">
        <v>57.133333333333333</v>
      </c>
      <c r="AB45">
        <v>86</v>
      </c>
      <c r="AD45">
        <v>25.71</v>
      </c>
      <c r="AE45">
        <v>45</v>
      </c>
    </row>
    <row r="46" spans="1:31" ht="15.75" x14ac:dyDescent="0.25">
      <c r="A46" s="59">
        <f t="shared" si="24"/>
        <v>0</v>
      </c>
      <c r="B46" s="58"/>
      <c r="C46" s="56"/>
      <c r="D46" s="57">
        <f t="shared" si="25"/>
        <v>0</v>
      </c>
      <c r="E46" s="56" t="s">
        <v>107</v>
      </c>
      <c r="F46" s="55">
        <f t="shared" si="32"/>
        <v>0</v>
      </c>
      <c r="G46" s="54">
        <f t="shared" si="33"/>
        <v>0</v>
      </c>
      <c r="H46" s="53">
        <f t="shared" si="26"/>
        <v>0</v>
      </c>
      <c r="I46" s="52">
        <f t="shared" si="27"/>
        <v>0</v>
      </c>
      <c r="J46" s="51">
        <f t="shared" si="28"/>
        <v>0</v>
      </c>
      <c r="K46" s="51">
        <f t="shared" si="29"/>
        <v>0</v>
      </c>
      <c r="L46" s="51">
        <f t="shared" si="30"/>
        <v>0</v>
      </c>
      <c r="M46" s="50">
        <f t="shared" si="31"/>
        <v>0</v>
      </c>
      <c r="AA46">
        <f>AA45/AB45</f>
        <v>0.66434108527131785</v>
      </c>
      <c r="AB46">
        <v>1</v>
      </c>
      <c r="AD46">
        <f>AD45/AE45</f>
        <v>0.57133333333333336</v>
      </c>
      <c r="AE46">
        <v>1</v>
      </c>
    </row>
    <row r="47" spans="1:31" ht="15.75" x14ac:dyDescent="0.25">
      <c r="A47" s="59">
        <f t="shared" si="24"/>
        <v>0</v>
      </c>
      <c r="B47" s="58"/>
      <c r="C47" s="56">
        <f t="shared" ref="C47:C49" si="34">F38*B47</f>
        <v>0</v>
      </c>
      <c r="D47" s="57">
        <f t="shared" si="25"/>
        <v>0</v>
      </c>
      <c r="E47" s="56"/>
      <c r="F47" s="55">
        <f t="shared" si="32"/>
        <v>0</v>
      </c>
      <c r="G47" s="54">
        <f t="shared" si="33"/>
        <v>0</v>
      </c>
      <c r="H47" s="53">
        <f t="shared" si="26"/>
        <v>0</v>
      </c>
      <c r="I47" s="52">
        <f t="shared" si="27"/>
        <v>0</v>
      </c>
      <c r="J47" s="51">
        <f t="shared" si="28"/>
        <v>0</v>
      </c>
      <c r="K47" s="51">
        <f t="shared" si="29"/>
        <v>0</v>
      </c>
      <c r="L47" s="51">
        <f t="shared" si="30"/>
        <v>0</v>
      </c>
      <c r="M47" s="50">
        <f t="shared" si="31"/>
        <v>0</v>
      </c>
      <c r="T47">
        <f>0.6*387</f>
        <v>232.2</v>
      </c>
      <c r="AA47">
        <f>AA46*100</f>
        <v>66.434108527131784</v>
      </c>
      <c r="AD47">
        <f>AD46*100</f>
        <v>57.133333333333333</v>
      </c>
    </row>
    <row r="48" spans="1:31" ht="15.75" x14ac:dyDescent="0.25">
      <c r="A48" s="59" t="e">
        <f t="shared" si="24"/>
        <v>#REF!</v>
      </c>
      <c r="B48" s="58"/>
      <c r="C48" s="56">
        <f t="shared" si="34"/>
        <v>0</v>
      </c>
      <c r="D48" s="57">
        <f t="shared" si="25"/>
        <v>0</v>
      </c>
      <c r="E48" s="56"/>
      <c r="F48" s="55">
        <f t="shared" si="32"/>
        <v>0</v>
      </c>
      <c r="G48" s="54">
        <f t="shared" si="33"/>
        <v>0</v>
      </c>
      <c r="H48" s="53">
        <f t="shared" si="26"/>
        <v>0</v>
      </c>
      <c r="I48" s="52">
        <f t="shared" si="27"/>
        <v>0</v>
      </c>
      <c r="J48" s="51">
        <f t="shared" si="28"/>
        <v>0</v>
      </c>
      <c r="K48" s="51">
        <f t="shared" si="29"/>
        <v>0</v>
      </c>
      <c r="L48" s="51">
        <f t="shared" si="30"/>
        <v>0</v>
      </c>
      <c r="M48" s="50">
        <f t="shared" si="31"/>
        <v>0</v>
      </c>
      <c r="T48">
        <f>0.4*387</f>
        <v>154.80000000000001</v>
      </c>
    </row>
    <row r="49" spans="1:31" ht="16.5" thickBot="1" x14ac:dyDescent="0.3">
      <c r="A49" s="59">
        <f t="shared" si="24"/>
        <v>0</v>
      </c>
      <c r="B49" s="58"/>
      <c r="C49" s="56">
        <f t="shared" si="34"/>
        <v>0</v>
      </c>
      <c r="D49" s="57">
        <f t="shared" si="25"/>
        <v>0</v>
      </c>
      <c r="E49" s="56"/>
      <c r="F49" s="55">
        <f t="shared" si="32"/>
        <v>0</v>
      </c>
      <c r="G49" s="54">
        <f t="shared" si="33"/>
        <v>0</v>
      </c>
      <c r="H49" s="53">
        <f t="shared" si="26"/>
        <v>0</v>
      </c>
      <c r="I49" s="52">
        <f t="shared" si="27"/>
        <v>0</v>
      </c>
      <c r="J49" s="51">
        <f t="shared" si="28"/>
        <v>0</v>
      </c>
      <c r="K49" s="51">
        <f t="shared" si="29"/>
        <v>0</v>
      </c>
      <c r="L49" s="51">
        <f t="shared" si="30"/>
        <v>0</v>
      </c>
      <c r="M49" s="50">
        <f t="shared" si="31"/>
        <v>0</v>
      </c>
      <c r="Q49" s="145"/>
    </row>
    <row r="50" spans="1:31" ht="16.5" thickBot="1" x14ac:dyDescent="0.3">
      <c r="A50" s="49" t="s">
        <v>109</v>
      </c>
      <c r="B50" s="48">
        <f>C50/F41</f>
        <v>0.29854182655410594</v>
      </c>
      <c r="C50" s="46">
        <f>SUM(C44:C49)</f>
        <v>13568.077136442645</v>
      </c>
      <c r="D50" s="47">
        <f>SUM(D44:D49)</f>
        <v>1</v>
      </c>
      <c r="E50" s="46"/>
      <c r="F50" s="45">
        <f>G50/B41</f>
        <v>4.6862036119644712E-3</v>
      </c>
      <c r="G50" s="44">
        <f t="shared" ref="G50:M50" si="35">SUM(G44:G49)</f>
        <v>13568.077136442645</v>
      </c>
      <c r="H50" s="43">
        <f t="shared" si="35"/>
        <v>1</v>
      </c>
      <c r="I50" s="42">
        <f t="shared" si="35"/>
        <v>1000.0000000000002</v>
      </c>
      <c r="J50" s="41">
        <f t="shared" si="35"/>
        <v>15.696975080693333</v>
      </c>
      <c r="K50" s="41">
        <f t="shared" si="35"/>
        <v>984.30302491930684</v>
      </c>
      <c r="L50" s="41">
        <f t="shared" si="35"/>
        <v>1000.0000000000001</v>
      </c>
      <c r="M50" s="40">
        <f t="shared" si="35"/>
        <v>4.6862036119644719</v>
      </c>
    </row>
    <row r="51" spans="1:31" ht="15.75" thickBot="1" x14ac:dyDescent="0.3">
      <c r="A51" s="217" t="s">
        <v>119</v>
      </c>
      <c r="B51" s="218"/>
      <c r="C51" s="218"/>
      <c r="D51" s="218"/>
      <c r="E51" s="219"/>
      <c r="F51" s="220" t="s">
        <v>118</v>
      </c>
      <c r="G51" s="221"/>
      <c r="H51" s="221"/>
      <c r="I51" s="221"/>
      <c r="J51" s="221"/>
      <c r="K51" s="221"/>
      <c r="L51" s="221"/>
      <c r="M51" s="222"/>
      <c r="V51" t="s">
        <v>1160</v>
      </c>
      <c r="X51" t="s">
        <v>1160</v>
      </c>
      <c r="Y51" t="s">
        <v>88</v>
      </c>
      <c r="AA51" t="s">
        <v>89</v>
      </c>
      <c r="AC51" t="s">
        <v>1161</v>
      </c>
      <c r="AD51" t="s">
        <v>1159</v>
      </c>
    </row>
    <row r="52" spans="1:31" ht="16.5" thickBot="1" x14ac:dyDescent="0.3">
      <c r="A52" s="3" t="s">
        <v>117</v>
      </c>
      <c r="B52" s="39" t="s">
        <v>116</v>
      </c>
      <c r="C52" s="38" t="s">
        <v>89</v>
      </c>
      <c r="D52" s="37" t="s">
        <v>88</v>
      </c>
      <c r="E52" s="36" t="s">
        <v>115</v>
      </c>
      <c r="F52" s="213"/>
      <c r="G52" s="213"/>
      <c r="H52" s="213"/>
      <c r="I52" s="213"/>
      <c r="J52" s="213"/>
      <c r="K52" s="213"/>
      <c r="L52" s="213"/>
      <c r="M52" s="223"/>
      <c r="U52" t="s">
        <v>1156</v>
      </c>
      <c r="V52">
        <f>W52*1.14</f>
        <v>62.699999999999996</v>
      </c>
      <c r="W52">
        <v>55</v>
      </c>
      <c r="X52">
        <v>66.434108527131784</v>
      </c>
      <c r="Y52">
        <f>X52*0.14</f>
        <v>9.3007751937984509</v>
      </c>
      <c r="Z52" s="190">
        <f>Y52/X52</f>
        <v>0.14000000000000001</v>
      </c>
      <c r="AA52">
        <v>57.133333333333333</v>
      </c>
      <c r="AB52" s="190">
        <f>AA52/X52</f>
        <v>0.86</v>
      </c>
      <c r="AC52">
        <f>W52-AD52</f>
        <v>29.29</v>
      </c>
      <c r="AD52">
        <v>25.71</v>
      </c>
      <c r="AE52" s="208">
        <f>AD52/AA52</f>
        <v>0.45</v>
      </c>
    </row>
    <row r="53" spans="1:31" ht="15.75" x14ac:dyDescent="0.25">
      <c r="A53" s="4" t="s">
        <v>114</v>
      </c>
      <c r="B53" s="35">
        <f>B22</f>
        <v>2895323.8612598102</v>
      </c>
      <c r="C53" s="34">
        <f>F22</f>
        <v>45447.826500732044</v>
      </c>
      <c r="D53" s="33">
        <f>J22</f>
        <v>2849876.0347590782</v>
      </c>
      <c r="E53" s="32">
        <f>C31</f>
        <v>13568.077136442645</v>
      </c>
      <c r="F53" s="213"/>
      <c r="G53" s="213"/>
      <c r="H53" s="213"/>
      <c r="I53" s="213"/>
      <c r="J53" s="213"/>
      <c r="K53" s="213"/>
      <c r="L53" s="213"/>
      <c r="M53" s="223"/>
      <c r="Q53">
        <f>F35/B22</f>
        <v>1.5696975080693332E-2</v>
      </c>
      <c r="U53" t="s">
        <v>1157</v>
      </c>
      <c r="V53">
        <v>816</v>
      </c>
      <c r="W53">
        <v>816</v>
      </c>
      <c r="X53">
        <f>Y53+AA53</f>
        <v>816.12</v>
      </c>
      <c r="Y53">
        <v>815.09</v>
      </c>
      <c r="Z53" s="190">
        <f t="shared" ref="Z53:Z55" si="36">Y53/X53</f>
        <v>0.99873793069646621</v>
      </c>
      <c r="AA53">
        <f t="shared" ref="AA53:AA54" si="37">AC53+AD53</f>
        <v>1.03</v>
      </c>
      <c r="AB53" s="190">
        <f t="shared" ref="AB53" si="38">AA53/X53</f>
        <v>1.262069303533794E-3</v>
      </c>
      <c r="AC53">
        <v>0.72</v>
      </c>
      <c r="AD53">
        <v>0.31</v>
      </c>
      <c r="AE53" s="207">
        <f t="shared" ref="AE53:AE54" si="39">AD53/AA53</f>
        <v>0.30097087378640774</v>
      </c>
    </row>
    <row r="54" spans="1:31" ht="16.5" thickBot="1" x14ac:dyDescent="0.3">
      <c r="A54" s="4" t="s">
        <v>113</v>
      </c>
      <c r="B54" s="35">
        <f>B41</f>
        <v>2895323.8612598111</v>
      </c>
      <c r="C54" s="34">
        <f>F41</f>
        <v>45447.826500732044</v>
      </c>
      <c r="D54" s="33">
        <f>J41</f>
        <v>2849876.0347590791</v>
      </c>
      <c r="E54" s="32">
        <f>C50</f>
        <v>13568.077136442645</v>
      </c>
      <c r="F54" s="213"/>
      <c r="G54" s="213"/>
      <c r="H54" s="213"/>
      <c r="I54" s="213"/>
      <c r="J54" s="213"/>
      <c r="K54" s="213"/>
      <c r="L54" s="213"/>
      <c r="M54" s="223"/>
      <c r="U54" t="s">
        <v>1158</v>
      </c>
      <c r="W54">
        <v>12</v>
      </c>
      <c r="X54">
        <v>13.976240391334732</v>
      </c>
      <c r="Y54">
        <f>X54*0.1414</f>
        <v>1.9762403913347311</v>
      </c>
      <c r="Z54" s="190">
        <f t="shared" si="36"/>
        <v>0.1414</v>
      </c>
      <c r="AA54">
        <f t="shared" si="37"/>
        <v>12</v>
      </c>
      <c r="AB54" s="190">
        <f>AA54/X54</f>
        <v>0.85859999999999992</v>
      </c>
      <c r="AC54">
        <f>W54-AD54</f>
        <v>8.42</v>
      </c>
      <c r="AD54">
        <v>3.58</v>
      </c>
      <c r="AE54" s="207">
        <f t="shared" si="39"/>
        <v>0.29833333333333334</v>
      </c>
    </row>
    <row r="55" spans="1:31" ht="15.75" x14ac:dyDescent="0.25">
      <c r="A55" s="3" t="s">
        <v>112</v>
      </c>
      <c r="B55" s="124">
        <f>B53-B54</f>
        <v>0</v>
      </c>
      <c r="C55" s="125">
        <f>C53-C54</f>
        <v>0</v>
      </c>
      <c r="D55" s="126">
        <f>D53-D54</f>
        <v>0</v>
      </c>
      <c r="E55" s="127">
        <f>E53-E54</f>
        <v>0</v>
      </c>
      <c r="F55" s="213"/>
      <c r="G55" s="213"/>
      <c r="H55" s="213"/>
      <c r="I55" s="213"/>
      <c r="J55" s="213"/>
      <c r="K55" s="213"/>
      <c r="L55" s="213"/>
      <c r="M55" s="223"/>
      <c r="W55">
        <f>SUM(W52:W54)</f>
        <v>883</v>
      </c>
      <c r="X55">
        <f>X53+X54</f>
        <v>830.09624039133473</v>
      </c>
      <c r="Y55">
        <f t="shared" ref="Y55:AC55" si="40">Y53+Y54</f>
        <v>817.06624039133476</v>
      </c>
      <c r="Z55" s="190">
        <f t="shared" si="36"/>
        <v>0.98430302491930666</v>
      </c>
      <c r="AA55">
        <f t="shared" si="40"/>
        <v>13.03</v>
      </c>
      <c r="AB55" s="190">
        <f>AA55/X55</f>
        <v>1.5696975080693329E-2</v>
      </c>
      <c r="AC55">
        <f t="shared" si="40"/>
        <v>9.14</v>
      </c>
      <c r="AD55">
        <f>AD53+AD54</f>
        <v>3.89</v>
      </c>
      <c r="AE55" s="207">
        <f>AD55/AA55</f>
        <v>0.29854182655410594</v>
      </c>
    </row>
    <row r="56" spans="1:31" ht="16.5" thickBot="1" x14ac:dyDescent="0.3">
      <c r="A56" s="5" t="s">
        <v>111</v>
      </c>
      <c r="B56" s="31">
        <f>B53/B54</f>
        <v>0.99999999999999967</v>
      </c>
      <c r="C56" s="29">
        <f>C53/C54</f>
        <v>1</v>
      </c>
      <c r="D56" s="28">
        <f>D53/D54</f>
        <v>0.99999999999999967</v>
      </c>
      <c r="E56" s="200">
        <f>E53/E54</f>
        <v>1</v>
      </c>
      <c r="F56" s="213"/>
      <c r="G56" s="213"/>
      <c r="H56" s="213"/>
      <c r="I56" s="213"/>
      <c r="J56" s="213"/>
      <c r="K56" s="213"/>
      <c r="L56" s="213"/>
      <c r="M56" s="223"/>
      <c r="W56" s="190">
        <f>W52/W55</f>
        <v>6.2287655719139301E-2</v>
      </c>
      <c r="X56">
        <f>X52+X53+X54</f>
        <v>896.53034891846653</v>
      </c>
      <c r="Y56">
        <f>Y52+Y53+Y54</f>
        <v>826.36701558513323</v>
      </c>
      <c r="AA56">
        <f t="shared" ref="AA56" si="41">SUM(AA52:AA54)</f>
        <v>70.163333333333327</v>
      </c>
      <c r="AC56">
        <f>SUM(AC52:AC54)</f>
        <v>38.43</v>
      </c>
      <c r="AD56">
        <f>SUM(AD52:AD54)</f>
        <v>29.6</v>
      </c>
    </row>
    <row r="57" spans="1:31" ht="15.75" thickBot="1" x14ac:dyDescent="0.3">
      <c r="A57" s="217" t="s">
        <v>110</v>
      </c>
      <c r="B57" s="218"/>
      <c r="C57" s="218"/>
      <c r="D57" s="218"/>
      <c r="E57" s="219"/>
      <c r="F57" s="213"/>
      <c r="G57" s="213"/>
      <c r="H57" s="213"/>
      <c r="I57" s="213"/>
      <c r="J57" s="213"/>
      <c r="K57" s="213"/>
      <c r="L57" s="213"/>
      <c r="M57" s="223"/>
      <c r="Y57">
        <f>Y56-Y68</f>
        <v>10.187015585133281</v>
      </c>
    </row>
    <row r="58" spans="1:31" ht="16.5" thickBot="1" x14ac:dyDescent="0.3">
      <c r="A58" s="26" t="str">
        <f t="shared" ref="A58:A63" si="42">A44</f>
        <v>By-products</v>
      </c>
      <c r="B58" s="193">
        <f t="shared" ref="B58:B63" si="43">(B35*$C$41)/($B$22*$C$22)</f>
        <v>1.0000000000000002</v>
      </c>
      <c r="C58" s="191">
        <f>(E35*B35)/($B$22*$E$22)</f>
        <v>1.0000000000000002</v>
      </c>
      <c r="D58" s="195">
        <f t="shared" ref="D58:D63" si="44">(I35*B35)/($B$22*$I$22)</f>
        <v>1.0000000000000002</v>
      </c>
      <c r="E58" s="27">
        <f>(F44*B35)/($B$22*$F$31)</f>
        <v>1.0000000000000002</v>
      </c>
      <c r="F58" s="213"/>
      <c r="G58" s="213"/>
      <c r="H58" s="213"/>
      <c r="I58" s="213"/>
      <c r="J58" s="213"/>
      <c r="K58" s="213"/>
      <c r="L58" s="213"/>
      <c r="M58" s="223"/>
      <c r="X58">
        <f>X55/X52</f>
        <v>12.495030923043428</v>
      </c>
      <c r="Z58">
        <v>12.4950309230434</v>
      </c>
    </row>
    <row r="59" spans="1:31" ht="16.5" thickBot="1" x14ac:dyDescent="0.3">
      <c r="A59" s="5">
        <f t="shared" si="42"/>
        <v>0</v>
      </c>
      <c r="B59" s="197">
        <f t="shared" si="43"/>
        <v>0</v>
      </c>
      <c r="C59" s="192">
        <f>(E36*B36)/($B$22*$E$22)</f>
        <v>0</v>
      </c>
      <c r="D59" s="199">
        <f t="shared" si="44"/>
        <v>0</v>
      </c>
      <c r="E59" s="27">
        <f t="shared" ref="E59:E60" si="45">(F45*B36)/($B$22*$F$31)</f>
        <v>0</v>
      </c>
      <c r="F59" s="213"/>
      <c r="G59" s="213"/>
      <c r="H59" s="213"/>
      <c r="I59" s="213"/>
      <c r="J59" s="213"/>
      <c r="K59" s="213"/>
      <c r="L59" s="213"/>
      <c r="M59" s="223"/>
    </row>
    <row r="60" spans="1:31" ht="16.5" thickBot="1" x14ac:dyDescent="0.3">
      <c r="A60" s="5">
        <f t="shared" si="42"/>
        <v>0</v>
      </c>
      <c r="B60" s="197">
        <f>(B37*$C$41)/($B$22*$C$22)</f>
        <v>0</v>
      </c>
      <c r="C60" s="192">
        <v>0</v>
      </c>
      <c r="D60" s="199">
        <v>0</v>
      </c>
      <c r="E60" s="27">
        <f t="shared" si="45"/>
        <v>0</v>
      </c>
      <c r="F60" s="213"/>
      <c r="G60" s="213"/>
      <c r="H60" s="213"/>
      <c r="I60" s="213"/>
      <c r="J60" s="213"/>
      <c r="K60" s="213"/>
      <c r="L60" s="213"/>
      <c r="M60" s="223"/>
      <c r="W60">
        <v>231718.022875817</v>
      </c>
      <c r="X60" s="190">
        <v>0.06</v>
      </c>
    </row>
    <row r="61" spans="1:31" ht="16.5" thickBot="1" x14ac:dyDescent="0.3">
      <c r="A61" s="5">
        <f t="shared" si="42"/>
        <v>0</v>
      </c>
      <c r="B61" s="30">
        <f t="shared" si="43"/>
        <v>0</v>
      </c>
      <c r="C61" s="29">
        <f>($G$41*F38)/($B$22*$E$22)</f>
        <v>0</v>
      </c>
      <c r="D61" s="28">
        <f t="shared" si="44"/>
        <v>0</v>
      </c>
      <c r="E61" s="27">
        <f>(F47*B38)/($B$22*$F$31)</f>
        <v>0</v>
      </c>
      <c r="F61" s="213"/>
      <c r="G61" s="213"/>
      <c r="H61" s="213"/>
      <c r="I61" s="213"/>
      <c r="J61" s="213"/>
      <c r="K61" s="213"/>
      <c r="L61" s="213"/>
      <c r="M61" s="223"/>
      <c r="W61">
        <f>W60/6</f>
        <v>38619.670479302833</v>
      </c>
      <c r="X61" s="190">
        <v>0.01</v>
      </c>
    </row>
    <row r="62" spans="1:31" ht="16.5" thickBot="1" x14ac:dyDescent="0.3">
      <c r="A62" s="5" t="e">
        <f t="shared" si="42"/>
        <v>#REF!</v>
      </c>
      <c r="B62" s="30">
        <f t="shared" si="43"/>
        <v>0</v>
      </c>
      <c r="C62" s="29">
        <f>(B39*E39)/($B$22*$E$22)</f>
        <v>0</v>
      </c>
      <c r="D62" s="28">
        <f t="shared" si="44"/>
        <v>0</v>
      </c>
      <c r="E62" s="27">
        <f t="shared" ref="E62:E63" si="46">(F48*B39)/($B$22*$F$31)</f>
        <v>0</v>
      </c>
      <c r="F62" s="213"/>
      <c r="G62" s="213"/>
      <c r="H62" s="213"/>
      <c r="I62" s="213"/>
      <c r="J62" s="213"/>
      <c r="K62" s="213"/>
      <c r="L62" s="213"/>
      <c r="M62" s="223"/>
      <c r="W62">
        <f>W61*100</f>
        <v>3861967.0479302835</v>
      </c>
      <c r="X62" s="190">
        <v>1</v>
      </c>
    </row>
    <row r="63" spans="1:31" ht="16.5" thickBot="1" x14ac:dyDescent="0.3">
      <c r="A63" s="5">
        <f t="shared" si="42"/>
        <v>0</v>
      </c>
      <c r="B63" s="30">
        <f t="shared" si="43"/>
        <v>0</v>
      </c>
      <c r="C63" s="29">
        <f>(B40*E40)/($B$22*$E$22)</f>
        <v>0</v>
      </c>
      <c r="D63" s="28">
        <f t="shared" si="44"/>
        <v>0</v>
      </c>
      <c r="E63" s="27">
        <f t="shared" si="46"/>
        <v>0</v>
      </c>
      <c r="F63" s="213"/>
      <c r="G63" s="213"/>
      <c r="H63" s="213"/>
      <c r="I63" s="213"/>
      <c r="J63" s="213"/>
      <c r="K63" s="213"/>
      <c r="L63" s="213"/>
      <c r="M63" s="223"/>
      <c r="W63">
        <v>13565.8284085614</v>
      </c>
      <c r="X63" s="190">
        <f>W63/W62</f>
        <v>3.5126732673267207E-3</v>
      </c>
    </row>
    <row r="64" spans="1:31" ht="16.5" thickBot="1" x14ac:dyDescent="0.3">
      <c r="A64" s="3" t="s">
        <v>109</v>
      </c>
      <c r="B64" s="201">
        <f>SUM(B58:B63)</f>
        <v>1.0000000000000002</v>
      </c>
      <c r="C64" s="202">
        <f>SUM(C58:C63)</f>
        <v>1.0000000000000002</v>
      </c>
      <c r="D64" s="203">
        <f>SUM(D58:D63)</f>
        <v>1.0000000000000002</v>
      </c>
      <c r="E64" s="204">
        <f>SUM(E58:E63)</f>
        <v>1.0000000000000002</v>
      </c>
      <c r="F64" s="213"/>
      <c r="G64" s="213"/>
      <c r="H64" s="213"/>
      <c r="I64" s="213"/>
      <c r="J64" s="213"/>
      <c r="K64" s="213"/>
      <c r="L64" s="213"/>
      <c r="M64" s="223"/>
      <c r="W64">
        <f>W61*96</f>
        <v>3707488.366013072</v>
      </c>
      <c r="X64" s="190">
        <f>W64/W62</f>
        <v>0.96</v>
      </c>
    </row>
    <row r="65" spans="1:31" ht="16.5" thickBot="1" x14ac:dyDescent="0.3">
      <c r="A65" s="224" t="s">
        <v>108</v>
      </c>
      <c r="B65" s="225"/>
      <c r="C65" s="225"/>
      <c r="D65" s="225"/>
      <c r="E65" s="225"/>
      <c r="F65" s="225"/>
      <c r="G65" s="225"/>
      <c r="H65" s="225"/>
      <c r="I65" s="225"/>
      <c r="J65" s="225"/>
      <c r="K65" s="225"/>
      <c r="L65" s="225"/>
      <c r="M65" s="226"/>
      <c r="U65">
        <f>B16*94</f>
        <v>270885043.70759654</v>
      </c>
    </row>
    <row r="66" spans="1:31" x14ac:dyDescent="0.25">
      <c r="A66" s="4" t="s">
        <v>107</v>
      </c>
      <c r="B66" s="227" t="s">
        <v>106</v>
      </c>
      <c r="C66" s="227"/>
      <c r="D66" s="227"/>
      <c r="E66" s="227"/>
      <c r="F66" s="227"/>
      <c r="G66" s="4" t="s">
        <v>105</v>
      </c>
      <c r="M66" s="25"/>
      <c r="X66" t="s">
        <v>1160</v>
      </c>
      <c r="Y66" t="s">
        <v>88</v>
      </c>
      <c r="AA66" t="s">
        <v>89</v>
      </c>
      <c r="AC66" t="s">
        <v>1161</v>
      </c>
      <c r="AD66" t="s">
        <v>1159</v>
      </c>
    </row>
    <row r="67" spans="1:31" ht="18.75" customHeight="1" x14ac:dyDescent="0.25">
      <c r="A67" s="4" t="s">
        <v>104</v>
      </c>
      <c r="B67" s="213" t="s">
        <v>91</v>
      </c>
      <c r="C67" s="213"/>
      <c r="D67" s="213"/>
      <c r="E67" s="213"/>
      <c r="F67" s="213"/>
      <c r="G67" s="4" t="s">
        <v>103</v>
      </c>
      <c r="M67" s="25"/>
      <c r="X67">
        <f>Y67+AA67</f>
        <v>26</v>
      </c>
      <c r="Y67">
        <v>0</v>
      </c>
      <c r="Z67" s="190">
        <f>Y67/X67</f>
        <v>0</v>
      </c>
      <c r="AA67">
        <v>26</v>
      </c>
      <c r="AB67" s="190">
        <f>AA67/X67</f>
        <v>1</v>
      </c>
      <c r="AC67">
        <f>AA67-AD67</f>
        <v>11.21</v>
      </c>
      <c r="AD67">
        <v>14.79</v>
      </c>
      <c r="AE67" s="207">
        <f>AD67/AA67</f>
        <v>0.56884615384615378</v>
      </c>
    </row>
    <row r="68" spans="1:31" x14ac:dyDescent="0.25">
      <c r="A68" s="4" t="s">
        <v>102</v>
      </c>
      <c r="G68" s="4" t="s">
        <v>101</v>
      </c>
      <c r="M68" s="25"/>
      <c r="X68">
        <f t="shared" ref="X68:X69" si="47">Y68+AA68</f>
        <v>818.46999999999991</v>
      </c>
      <c r="Y68">
        <v>816.18</v>
      </c>
      <c r="Z68" s="190">
        <f t="shared" ref="Z68:Z70" si="48">Y68/X68</f>
        <v>0.99720209659486603</v>
      </c>
      <c r="AA68">
        <f>AC68+AD68</f>
        <v>2.29</v>
      </c>
      <c r="AB68" s="190">
        <f t="shared" ref="AB68:AB70" si="49">AA68/X68</f>
        <v>2.7979034051339698E-3</v>
      </c>
      <c r="AC68">
        <v>0.63</v>
      </c>
      <c r="AD68">
        <v>1.66</v>
      </c>
      <c r="AE68" s="207">
        <f>AD68/AA68</f>
        <v>0.72489082969432306</v>
      </c>
    </row>
    <row r="69" spans="1:31" x14ac:dyDescent="0.25">
      <c r="A69" s="4" t="s">
        <v>100</v>
      </c>
      <c r="G69" s="4" t="s">
        <v>99</v>
      </c>
      <c r="M69" s="25"/>
      <c r="X69">
        <f>Y69+AA69</f>
        <v>52.060348918466602</v>
      </c>
      <c r="Y69">
        <f>9.83972876342784+0.347286821705438</f>
        <v>10.187015585133278</v>
      </c>
      <c r="Z69" s="190">
        <f t="shared" si="48"/>
        <v>0.19567705166723898</v>
      </c>
      <c r="AA69">
        <f>37+4.87333333333333</f>
        <v>41.873333333333328</v>
      </c>
      <c r="AB69" s="190">
        <f t="shared" si="49"/>
        <v>0.80432294833276108</v>
      </c>
      <c r="AC69">
        <f>23.45+0.75</f>
        <v>24.2</v>
      </c>
      <c r="AD69">
        <v>13.15</v>
      </c>
      <c r="AE69" s="207">
        <f>AD69/AA69</f>
        <v>0.31404234994427643</v>
      </c>
    </row>
    <row r="70" spans="1:31" x14ac:dyDescent="0.25">
      <c r="A70" s="4" t="s">
        <v>98</v>
      </c>
      <c r="G70" s="4" t="s">
        <v>97</v>
      </c>
      <c r="M70" s="25"/>
      <c r="X70">
        <f>X68+X69</f>
        <v>870.53034891846653</v>
      </c>
      <c r="Y70">
        <f t="shared" ref="Y70:AD70" si="50">Y68+Y69</f>
        <v>826.36701558513323</v>
      </c>
      <c r="Z70" s="190">
        <f>Y70/X70</f>
        <v>0.9492684736514917</v>
      </c>
      <c r="AA70">
        <f>AA68+AA69</f>
        <v>44.163333333333327</v>
      </c>
      <c r="AB70" s="190">
        <f t="shared" si="49"/>
        <v>5.0731526348508318E-2</v>
      </c>
      <c r="AC70">
        <f t="shared" si="50"/>
        <v>24.83</v>
      </c>
      <c r="AD70">
        <f t="shared" si="50"/>
        <v>14.81</v>
      </c>
      <c r="AE70" s="207">
        <f>AD70/AA70</f>
        <v>0.33534606385387583</v>
      </c>
    </row>
    <row r="71" spans="1:31" x14ac:dyDescent="0.25">
      <c r="A71" s="4" t="s">
        <v>96</v>
      </c>
      <c r="G71" s="4" t="s">
        <v>95</v>
      </c>
      <c r="M71" s="25"/>
      <c r="X71">
        <f t="shared" ref="X71:AA71" si="51">SUM(X67:X69)</f>
        <v>896.53034891846653</v>
      </c>
      <c r="Y71">
        <f t="shared" si="51"/>
        <v>826.36701558513323</v>
      </c>
      <c r="Z71">
        <f t="shared" si="51"/>
        <v>1.1928791482621051</v>
      </c>
      <c r="AA71">
        <f t="shared" si="51"/>
        <v>70.163333333333327</v>
      </c>
      <c r="AC71">
        <f>SUM(AC67:AC69)</f>
        <v>36.04</v>
      </c>
      <c r="AD71">
        <f>SUM(AD67:AD69)</f>
        <v>29.6</v>
      </c>
    </row>
    <row r="72" spans="1:31" ht="15.75" thickBot="1" x14ac:dyDescent="0.3">
      <c r="A72" s="5" t="s">
        <v>94</v>
      </c>
      <c r="B72" s="24"/>
      <c r="C72" s="24"/>
      <c r="D72" s="24"/>
      <c r="E72" s="24"/>
      <c r="F72" s="24"/>
      <c r="G72" s="5" t="s">
        <v>93</v>
      </c>
      <c r="H72" s="24"/>
      <c r="I72" s="24"/>
      <c r="J72" s="24"/>
      <c r="K72" s="24"/>
      <c r="L72" s="24"/>
      <c r="M72" s="23"/>
      <c r="X72">
        <f t="shared" ref="X72:Z72" si="52">X56-X71</f>
        <v>0</v>
      </c>
      <c r="Y72">
        <f t="shared" si="52"/>
        <v>0</v>
      </c>
      <c r="Z72">
        <f t="shared" si="52"/>
        <v>-1.1928791482621051</v>
      </c>
      <c r="AA72">
        <f>AA56-AA71</f>
        <v>0</v>
      </c>
    </row>
    <row r="73" spans="1:31" x14ac:dyDescent="0.25">
      <c r="X73">
        <f>X67/X70</f>
        <v>2.9866850744838476E-2</v>
      </c>
      <c r="AC73">
        <f>AC71-AC56</f>
        <v>-2.3900000000000006</v>
      </c>
      <c r="AD73">
        <f>AD71-AD56</f>
        <v>0</v>
      </c>
    </row>
    <row r="74" spans="1:31" x14ac:dyDescent="0.25">
      <c r="X74">
        <f>X67+X70</f>
        <v>896.53034891846653</v>
      </c>
      <c r="AA74">
        <v>4.8733333333333304</v>
      </c>
    </row>
    <row r="75" spans="1:31" x14ac:dyDescent="0.25">
      <c r="X75">
        <f>X67/X74</f>
        <v>2.9000691422621908E-2</v>
      </c>
    </row>
    <row r="76" spans="1:31" x14ac:dyDescent="0.25">
      <c r="X76">
        <f>X70/X74</f>
        <v>0.97099930857737804</v>
      </c>
    </row>
    <row r="91" spans="18:19" x14ac:dyDescent="0.25">
      <c r="R91">
        <v>100</v>
      </c>
      <c r="S91">
        <v>1.1000000000000001</v>
      </c>
    </row>
    <row r="92" spans="18:19" x14ac:dyDescent="0.25">
      <c r="S92">
        <v>0.9</v>
      </c>
    </row>
  </sheetData>
  <mergeCells count="38">
    <mergeCell ref="B67:F67"/>
    <mergeCell ref="A51:E51"/>
    <mergeCell ref="F51:M51"/>
    <mergeCell ref="F52:M64"/>
    <mergeCell ref="A57:E57"/>
    <mergeCell ref="A65:M65"/>
    <mergeCell ref="B66:F66"/>
    <mergeCell ref="A32:M32"/>
    <mergeCell ref="B33:D33"/>
    <mergeCell ref="E33:H33"/>
    <mergeCell ref="I33:M33"/>
    <mergeCell ref="B42:H42"/>
    <mergeCell ref="I42:M42"/>
    <mergeCell ref="A11:M11"/>
    <mergeCell ref="A13:M13"/>
    <mergeCell ref="B14:D14"/>
    <mergeCell ref="E14:H14"/>
    <mergeCell ref="I14:M14"/>
    <mergeCell ref="B23:H23"/>
    <mergeCell ref="I23:M23"/>
    <mergeCell ref="B8:D8"/>
    <mergeCell ref="F8:H8"/>
    <mergeCell ref="B9:D9"/>
    <mergeCell ref="F9:H9"/>
    <mergeCell ref="B10:D10"/>
    <mergeCell ref="F10:H10"/>
    <mergeCell ref="B5:D5"/>
    <mergeCell ref="F5:H5"/>
    <mergeCell ref="B6:D6"/>
    <mergeCell ref="F6:H6"/>
    <mergeCell ref="B7:D7"/>
    <mergeCell ref="F7:H7"/>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7D498-5050-4032-B1E5-14E71462FA31}">
  <sheetPr codeName="Sheet22">
    <tabColor theme="8" tint="0.79998168889431442"/>
  </sheetPr>
  <dimension ref="A1:AE92"/>
  <sheetViews>
    <sheetView tabSelected="1" topLeftCell="A42" zoomScale="85" zoomScaleNormal="85" zoomScaleSheetLayoutView="145" zoomScalePageLayoutView="115" workbookViewId="0">
      <selection activeCell="C56" sqref="C56"/>
    </sheetView>
  </sheetViews>
  <sheetFormatPr defaultColWidth="11.42578125" defaultRowHeight="15" x14ac:dyDescent="0.25"/>
  <cols>
    <col min="1" max="1" width="36.42578125" customWidth="1"/>
    <col min="2" max="2" width="12.5703125" style="1" customWidth="1"/>
    <col min="3" max="3" width="37.28515625" style="1" customWidth="1"/>
    <col min="4" max="4" width="14.85546875" style="1" customWidth="1"/>
    <col min="5" max="5" width="13.85546875" style="1" customWidth="1"/>
    <col min="6" max="6" width="9.85546875" style="1" customWidth="1"/>
    <col min="7" max="7" width="16" style="1" customWidth="1"/>
    <col min="8" max="13" width="9.85546875" style="1" customWidth="1"/>
    <col min="29" max="29" width="16.85546875" customWidth="1"/>
    <col min="31" max="31" width="19.85546875" customWidth="1"/>
  </cols>
  <sheetData>
    <row r="1" spans="1:23" ht="48" thickBot="1" x14ac:dyDescent="0.3">
      <c r="A1" s="114" t="s">
        <v>161</v>
      </c>
      <c r="B1" s="264" t="str">
        <f>'2_1_Definition_Processes'!D2</f>
        <v>Environment</v>
      </c>
      <c r="C1" s="264"/>
      <c r="D1" s="264"/>
      <c r="E1" s="264"/>
      <c r="F1" s="264"/>
      <c r="G1" s="264"/>
      <c r="H1" s="264"/>
      <c r="I1" s="114" t="s">
        <v>160</v>
      </c>
      <c r="J1" s="265" t="s">
        <v>41</v>
      </c>
      <c r="K1" s="265"/>
      <c r="L1" s="265"/>
      <c r="M1" s="265"/>
    </row>
    <row r="2" spans="1:23" ht="16.5" thickBot="1" x14ac:dyDescent="0.3">
      <c r="A2" s="246" t="s">
        <v>159</v>
      </c>
      <c r="B2" s="247"/>
      <c r="C2" s="247"/>
      <c r="D2" s="247"/>
      <c r="E2" s="247"/>
      <c r="F2" s="247"/>
      <c r="G2" s="247"/>
      <c r="H2" s="247"/>
      <c r="I2" s="247"/>
      <c r="J2" s="247"/>
      <c r="K2" s="247"/>
      <c r="L2" s="247"/>
      <c r="M2" s="248"/>
    </row>
    <row r="3" spans="1:23" ht="126.75" customHeight="1" thickBot="1" x14ac:dyDescent="0.3">
      <c r="A3" s="266"/>
      <c r="B3" s="267"/>
      <c r="C3" s="267"/>
      <c r="D3" s="267"/>
      <c r="E3" s="267"/>
      <c r="F3" s="267"/>
      <c r="G3" s="267"/>
      <c r="H3" s="267"/>
      <c r="I3" s="267"/>
      <c r="J3" s="267"/>
      <c r="K3" s="267"/>
      <c r="L3" s="267"/>
      <c r="M3" s="268"/>
    </row>
    <row r="4" spans="1:23" ht="31.5" customHeight="1" x14ac:dyDescent="0.25">
      <c r="A4" s="113" t="s">
        <v>158</v>
      </c>
      <c r="B4" s="269"/>
      <c r="C4" s="270"/>
      <c r="D4" s="271"/>
      <c r="E4" s="272" t="s">
        <v>157</v>
      </c>
      <c r="F4" s="273"/>
      <c r="G4" s="118"/>
      <c r="H4" s="118"/>
      <c r="I4" s="112"/>
      <c r="J4" s="112"/>
      <c r="K4" s="112"/>
      <c r="L4" s="112"/>
      <c r="M4" s="112"/>
    </row>
    <row r="5" spans="1:23" ht="16.5" customHeight="1" x14ac:dyDescent="0.25">
      <c r="A5" s="115" t="s">
        <v>156</v>
      </c>
      <c r="B5" s="262" t="s">
        <v>1153</v>
      </c>
      <c r="C5" s="262"/>
      <c r="D5" s="263"/>
      <c r="E5" s="115" t="s">
        <v>156</v>
      </c>
      <c r="F5" s="258" t="s">
        <v>1165</v>
      </c>
      <c r="G5" s="258"/>
      <c r="H5" s="259"/>
      <c r="I5" s="116"/>
      <c r="J5" s="111"/>
      <c r="K5" s="111"/>
      <c r="L5" s="111"/>
      <c r="M5" s="108"/>
    </row>
    <row r="6" spans="1:23" ht="16.5" customHeight="1" x14ac:dyDescent="0.25">
      <c r="A6" s="115" t="s">
        <v>155</v>
      </c>
      <c r="B6" s="258"/>
      <c r="C6" s="258"/>
      <c r="D6" s="259"/>
      <c r="E6" s="115" t="s">
        <v>155</v>
      </c>
      <c r="F6" s="258" t="s">
        <v>1166</v>
      </c>
      <c r="G6" s="258"/>
      <c r="H6" s="259"/>
      <c r="I6" s="116"/>
      <c r="J6" s="111"/>
      <c r="K6" s="111"/>
      <c r="L6" s="111"/>
      <c r="M6" s="108"/>
    </row>
    <row r="7" spans="1:23" ht="16.5" customHeight="1" x14ac:dyDescent="0.25">
      <c r="A7" s="110" t="s">
        <v>154</v>
      </c>
      <c r="B7" s="258"/>
      <c r="C7" s="258"/>
      <c r="D7" s="259"/>
      <c r="E7" s="110" t="s">
        <v>154</v>
      </c>
      <c r="F7" s="258"/>
      <c r="G7" s="258"/>
      <c r="H7" s="259"/>
      <c r="I7" s="117"/>
      <c r="J7" s="109"/>
      <c r="K7" s="109"/>
      <c r="L7" s="109"/>
      <c r="M7" s="108"/>
    </row>
    <row r="8" spans="1:23" ht="16.5" customHeight="1" x14ac:dyDescent="0.25">
      <c r="A8" s="110" t="s">
        <v>153</v>
      </c>
      <c r="B8" s="258" t="e">
        <f>_xlfn.XLOOKUP(J1,Tab_Def_Processes[Process_ID],#REF!,"No_flow.",0,1)</f>
        <v>#REF!</v>
      </c>
      <c r="C8" s="258"/>
      <c r="D8" s="259"/>
      <c r="E8" s="110" t="s">
        <v>153</v>
      </c>
      <c r="F8" s="258"/>
      <c r="G8" s="258"/>
      <c r="H8" s="259"/>
      <c r="I8" s="117"/>
      <c r="J8" s="109"/>
      <c r="K8" s="109"/>
      <c r="L8" s="109"/>
      <c r="M8" s="108"/>
    </row>
    <row r="9" spans="1:23" ht="16.5" customHeight="1" x14ac:dyDescent="0.25">
      <c r="A9" s="110" t="s">
        <v>152</v>
      </c>
      <c r="B9" s="258" t="e">
        <f>_xlfn.XLOOKUP(J1,Tab_Def_Processes[Process_ID],#REF!,"No_flow.",0,1)</f>
        <v>#REF!</v>
      </c>
      <c r="C9" s="258"/>
      <c r="D9" s="259"/>
      <c r="E9" s="110" t="s">
        <v>152</v>
      </c>
      <c r="F9" s="258" t="e">
        <f>_xlfn.XLOOKUP(J1,Tab_Def_Processes[Process_ID],#REF!,"No_flow.",0,1)</f>
        <v>#REF!</v>
      </c>
      <c r="G9" s="258"/>
      <c r="H9" s="259"/>
      <c r="I9" s="117"/>
      <c r="J9" s="109"/>
      <c r="K9" s="109"/>
      <c r="L9" s="109"/>
      <c r="M9" s="108"/>
    </row>
    <row r="10" spans="1:23" ht="16.5" customHeight="1" thickBot="1" x14ac:dyDescent="0.3">
      <c r="A10" s="119" t="s">
        <v>151</v>
      </c>
      <c r="B10" s="260"/>
      <c r="C10" s="260"/>
      <c r="D10" s="261"/>
      <c r="E10" s="119" t="s">
        <v>151</v>
      </c>
      <c r="F10" s="260"/>
      <c r="G10" s="260"/>
      <c r="H10" s="261"/>
      <c r="I10" s="117"/>
      <c r="J10" s="109"/>
      <c r="K10" s="109"/>
      <c r="L10" s="109"/>
      <c r="M10" s="108"/>
    </row>
    <row r="11" spans="1:23" ht="16.5" thickBot="1" x14ac:dyDescent="0.3">
      <c r="A11" s="246" t="s">
        <v>150</v>
      </c>
      <c r="B11" s="247"/>
      <c r="C11" s="247"/>
      <c r="D11" s="247"/>
      <c r="E11" s="247"/>
      <c r="F11" s="247"/>
      <c r="G11" s="247"/>
      <c r="H11" s="247"/>
      <c r="I11" s="247"/>
      <c r="J11" s="247"/>
      <c r="K11" s="247"/>
      <c r="L11" s="247"/>
      <c r="M11" s="248"/>
    </row>
    <row r="12" spans="1:23" ht="33" customHeight="1" thickBot="1" x14ac:dyDescent="0.3">
      <c r="A12" s="107">
        <v>1000</v>
      </c>
      <c r="B12" s="106" t="s">
        <v>149</v>
      </c>
      <c r="C12" s="105"/>
      <c r="D12" s="105"/>
      <c r="E12" s="105"/>
      <c r="F12" s="105"/>
      <c r="G12" s="105"/>
      <c r="H12" s="105"/>
      <c r="I12" s="105"/>
      <c r="J12" s="105"/>
      <c r="K12" s="105"/>
      <c r="L12" s="105"/>
      <c r="M12" s="104"/>
    </row>
    <row r="13" spans="1:23" ht="16.5" thickBot="1" x14ac:dyDescent="0.3">
      <c r="A13" s="224" t="s">
        <v>148</v>
      </c>
      <c r="B13" s="225"/>
      <c r="C13" s="225"/>
      <c r="D13" s="225"/>
      <c r="E13" s="225"/>
      <c r="F13" s="225"/>
      <c r="G13" s="225"/>
      <c r="H13" s="225"/>
      <c r="I13" s="225"/>
      <c r="J13" s="225"/>
      <c r="K13" s="225"/>
      <c r="L13" s="225"/>
      <c r="M13" s="226"/>
    </row>
    <row r="14" spans="1:23" ht="16.5" thickBot="1" x14ac:dyDescent="0.3">
      <c r="A14" s="65" t="s">
        <v>134</v>
      </c>
      <c r="B14" s="249" t="s">
        <v>146</v>
      </c>
      <c r="C14" s="250"/>
      <c r="D14" s="251"/>
      <c r="E14" s="252" t="s">
        <v>145</v>
      </c>
      <c r="F14" s="253"/>
      <c r="G14" s="253"/>
      <c r="H14" s="254"/>
      <c r="I14" s="255" t="s">
        <v>144</v>
      </c>
      <c r="J14" s="256"/>
      <c r="K14" s="256"/>
      <c r="L14" s="256"/>
      <c r="M14" s="257"/>
      <c r="P14" s="143">
        <v>0.2384</v>
      </c>
      <c r="Q14" s="22" t="s">
        <v>91</v>
      </c>
      <c r="R14" s="143">
        <v>0.76160000000000005</v>
      </c>
      <c r="S14" s="22" t="s">
        <v>91</v>
      </c>
      <c r="T14" s="143">
        <v>0</v>
      </c>
      <c r="U14" s="22" t="s">
        <v>91</v>
      </c>
      <c r="V14" s="206"/>
      <c r="W14" s="135">
        <f>Tab_Def_Flows[[#This Row],[Flow_CC_DM'[%']]]*Tab_Def_Flows[[#This Row],[Flow_DM'[%']]]</f>
        <v>0</v>
      </c>
    </row>
    <row r="15" spans="1:23" ht="63.75" thickBot="1" x14ac:dyDescent="0.3">
      <c r="A15" s="26"/>
      <c r="B15" s="39" t="s">
        <v>143</v>
      </c>
      <c r="C15" s="92" t="s">
        <v>142</v>
      </c>
      <c r="D15" s="91" t="s">
        <v>135</v>
      </c>
      <c r="E15" s="90" t="s">
        <v>141</v>
      </c>
      <c r="F15" s="38" t="s">
        <v>140</v>
      </c>
      <c r="G15" s="38" t="s">
        <v>139</v>
      </c>
      <c r="H15" s="89" t="s">
        <v>135</v>
      </c>
      <c r="I15" s="88" t="s">
        <v>138</v>
      </c>
      <c r="J15" s="37" t="s">
        <v>137</v>
      </c>
      <c r="K15" s="37" t="s">
        <v>136</v>
      </c>
      <c r="L15" s="37" t="s">
        <v>135</v>
      </c>
      <c r="M15" s="87"/>
      <c r="P15" s="143">
        <v>0.14000000000000001</v>
      </c>
      <c r="Q15" s="22" t="s">
        <v>91</v>
      </c>
      <c r="R15" s="143">
        <v>0.86</v>
      </c>
      <c r="S15" s="22" t="s">
        <v>91</v>
      </c>
      <c r="T15" s="143">
        <v>0.48</v>
      </c>
      <c r="U15" s="22" t="s">
        <v>91</v>
      </c>
      <c r="V15" s="206"/>
      <c r="W15" s="135">
        <f>Tab_Def_Flows[[#This Row],[Flow_CC_DM'[%']]]*Tab_Def_Flows[[#This Row],[Flow_DM'[%']]]</f>
        <v>0</v>
      </c>
    </row>
    <row r="16" spans="1:23" ht="23.25" customHeight="1" x14ac:dyDescent="0.25">
      <c r="A16" s="59" t="str">
        <f t="shared" ref="A16:A21" si="0">B5</f>
        <v>biogas</v>
      </c>
      <c r="B16" s="35">
        <v>90686.376747431568</v>
      </c>
      <c r="C16" s="86">
        <f>B16/$B$22</f>
        <v>1</v>
      </c>
      <c r="D16" s="85" t="s">
        <v>107</v>
      </c>
      <c r="E16" s="84">
        <v>1</v>
      </c>
      <c r="F16" s="34">
        <f>E16*B16</f>
        <v>90686.376747431568</v>
      </c>
      <c r="G16" s="83">
        <f t="shared" ref="G16:G21" si="1">F16/$F$22</f>
        <v>1</v>
      </c>
      <c r="H16" s="82" t="s">
        <v>107</v>
      </c>
      <c r="I16" s="81">
        <f t="shared" ref="I16:I17" si="2">1-E16</f>
        <v>0</v>
      </c>
      <c r="J16" s="33">
        <f t="shared" ref="J16:J21" si="3">I16*B16</f>
        <v>0</v>
      </c>
      <c r="K16" s="101" t="e">
        <f>J16/$J$22</f>
        <v>#DIV/0!</v>
      </c>
      <c r="L16" s="78" t="s">
        <v>107</v>
      </c>
      <c r="M16" s="78"/>
    </row>
    <row r="17" spans="1:24" ht="23.25" customHeight="1" x14ac:dyDescent="0.25">
      <c r="A17" s="59">
        <f>B6</f>
        <v>0</v>
      </c>
      <c r="B17" s="35"/>
      <c r="C17" s="86">
        <f>B17/$B$22</f>
        <v>0</v>
      </c>
      <c r="D17" s="85" t="s">
        <v>107</v>
      </c>
      <c r="E17" s="84"/>
      <c r="F17" s="34">
        <f t="shared" ref="F17:F21" si="4">E17*B17</f>
        <v>0</v>
      </c>
      <c r="G17" s="83">
        <f t="shared" si="1"/>
        <v>0</v>
      </c>
      <c r="H17" s="82" t="s">
        <v>107</v>
      </c>
      <c r="I17" s="81"/>
      <c r="J17" s="33">
        <f t="shared" si="3"/>
        <v>0</v>
      </c>
      <c r="K17" s="101" t="e">
        <f t="shared" ref="K16:K21" si="5">J17/$J$22</f>
        <v>#DIV/0!</v>
      </c>
      <c r="L17" s="78" t="s">
        <v>107</v>
      </c>
      <c r="M17" s="78"/>
      <c r="P17">
        <f>B16*X58</f>
        <v>1133129.0817579241</v>
      </c>
    </row>
    <row r="18" spans="1:24" ht="23.25" customHeight="1" x14ac:dyDescent="0.25">
      <c r="A18" s="59">
        <f t="shared" si="0"/>
        <v>0</v>
      </c>
      <c r="B18" s="35"/>
      <c r="C18" s="86">
        <f t="shared" ref="C18:C21" si="6">B18/$B$22</f>
        <v>0</v>
      </c>
      <c r="D18" s="85"/>
      <c r="E18" s="84"/>
      <c r="F18" s="34">
        <f t="shared" si="4"/>
        <v>0</v>
      </c>
      <c r="G18" s="83">
        <f t="shared" si="1"/>
        <v>0</v>
      </c>
      <c r="H18" s="82"/>
      <c r="I18" s="81"/>
      <c r="J18" s="33">
        <f t="shared" si="3"/>
        <v>0</v>
      </c>
      <c r="K18" s="101" t="e">
        <f t="shared" si="5"/>
        <v>#DIV/0!</v>
      </c>
      <c r="L18" s="79"/>
      <c r="M18" s="78"/>
    </row>
    <row r="19" spans="1:24" ht="23.25" customHeight="1" x14ac:dyDescent="0.25">
      <c r="A19" s="59" t="e">
        <f t="shared" si="0"/>
        <v>#REF!</v>
      </c>
      <c r="B19" s="35"/>
      <c r="C19" s="86">
        <f t="shared" si="6"/>
        <v>0</v>
      </c>
      <c r="D19" s="85"/>
      <c r="E19" s="84"/>
      <c r="F19" s="34">
        <f t="shared" si="4"/>
        <v>0</v>
      </c>
      <c r="G19" s="83">
        <f t="shared" si="1"/>
        <v>0</v>
      </c>
      <c r="H19" s="103"/>
      <c r="I19" s="102"/>
      <c r="J19" s="33">
        <f t="shared" si="3"/>
        <v>0</v>
      </c>
      <c r="K19" s="101" t="e">
        <f t="shared" si="5"/>
        <v>#DIV/0!</v>
      </c>
      <c r="L19" s="79"/>
      <c r="M19" s="78"/>
    </row>
    <row r="20" spans="1:24" ht="23.25" customHeight="1" x14ac:dyDescent="0.25">
      <c r="A20" s="59" t="e">
        <f t="shared" si="0"/>
        <v>#REF!</v>
      </c>
      <c r="B20" s="35"/>
      <c r="C20" s="86">
        <f t="shared" si="6"/>
        <v>0</v>
      </c>
      <c r="D20" s="85"/>
      <c r="E20" s="84"/>
      <c r="F20" s="34">
        <f t="shared" si="4"/>
        <v>0</v>
      </c>
      <c r="G20" s="83">
        <f t="shared" si="1"/>
        <v>0</v>
      </c>
      <c r="H20" s="103"/>
      <c r="I20" s="102"/>
      <c r="J20" s="33">
        <f t="shared" si="3"/>
        <v>0</v>
      </c>
      <c r="K20" s="101" t="e">
        <f t="shared" si="5"/>
        <v>#DIV/0!</v>
      </c>
      <c r="L20" s="79"/>
      <c r="M20" s="78"/>
    </row>
    <row r="21" spans="1:24" ht="23.25" customHeight="1" thickBot="1" x14ac:dyDescent="0.3">
      <c r="A21" s="59">
        <f t="shared" si="0"/>
        <v>0</v>
      </c>
      <c r="B21" s="35"/>
      <c r="C21" s="86">
        <f t="shared" si="6"/>
        <v>0</v>
      </c>
      <c r="D21" s="85"/>
      <c r="E21" s="84"/>
      <c r="F21" s="34">
        <f t="shared" si="4"/>
        <v>0</v>
      </c>
      <c r="G21" s="83">
        <f t="shared" si="1"/>
        <v>0</v>
      </c>
      <c r="H21" s="103"/>
      <c r="I21" s="102"/>
      <c r="J21" s="33">
        <f t="shared" si="3"/>
        <v>0</v>
      </c>
      <c r="K21" s="101" t="e">
        <f t="shared" si="5"/>
        <v>#DIV/0!</v>
      </c>
      <c r="L21" s="79"/>
      <c r="M21" s="78"/>
    </row>
    <row r="22" spans="1:24" ht="16.5" thickBot="1" x14ac:dyDescent="0.3">
      <c r="A22" s="49" t="s">
        <v>109</v>
      </c>
      <c r="B22" s="77">
        <f>SUM(B16:B19)</f>
        <v>90686.376747431568</v>
      </c>
      <c r="C22" s="205">
        <f>C16+C17+C18</f>
        <v>1</v>
      </c>
      <c r="D22" s="75"/>
      <c r="E22" s="74">
        <f>F22/B22</f>
        <v>1</v>
      </c>
      <c r="F22" s="73">
        <f>SUM(F16:F19)</f>
        <v>90686.376747431568</v>
      </c>
      <c r="G22" s="99">
        <f>SUM(G16:G19)</f>
        <v>1</v>
      </c>
      <c r="H22" s="71"/>
      <c r="I22" s="70">
        <f>J22/B22</f>
        <v>0</v>
      </c>
      <c r="J22" s="69">
        <f>J16+J17+J18</f>
        <v>0</v>
      </c>
      <c r="K22" s="98" t="e">
        <f>SUM(K16:K19)</f>
        <v>#DIV/0!</v>
      </c>
      <c r="L22" s="67"/>
      <c r="M22" s="66"/>
    </row>
    <row r="23" spans="1:24" ht="16.5" customHeight="1" thickBot="1" x14ac:dyDescent="0.3">
      <c r="A23" s="129" t="s">
        <v>134</v>
      </c>
      <c r="B23" s="240" t="s">
        <v>133</v>
      </c>
      <c r="C23" s="241"/>
      <c r="D23" s="241"/>
      <c r="E23" s="241"/>
      <c r="F23" s="241"/>
      <c r="G23" s="241"/>
      <c r="H23" s="242"/>
      <c r="I23" s="243" t="s">
        <v>132</v>
      </c>
      <c r="J23" s="244"/>
      <c r="K23" s="244"/>
      <c r="L23" s="244"/>
      <c r="M23" s="245"/>
    </row>
    <row r="24" spans="1:24" ht="60.75" thickBot="1" x14ac:dyDescent="0.3">
      <c r="A24" s="5"/>
      <c r="B24" s="64" t="s">
        <v>131</v>
      </c>
      <c r="C24" s="63" t="s">
        <v>130</v>
      </c>
      <c r="D24" s="63" t="s">
        <v>129</v>
      </c>
      <c r="E24" s="63" t="s">
        <v>128</v>
      </c>
      <c r="F24" s="64" t="s">
        <v>127</v>
      </c>
      <c r="G24" s="63" t="s">
        <v>126</v>
      </c>
      <c r="H24" s="128" t="s">
        <v>125</v>
      </c>
      <c r="I24" s="62" t="s">
        <v>124</v>
      </c>
      <c r="J24" s="61" t="s">
        <v>123</v>
      </c>
      <c r="K24" s="61" t="s">
        <v>122</v>
      </c>
      <c r="L24" s="61" t="s">
        <v>121</v>
      </c>
      <c r="M24" s="60" t="s">
        <v>120</v>
      </c>
      <c r="O24" s="56">
        <v>25.71</v>
      </c>
      <c r="P24" s="143">
        <v>0.14000000000000001</v>
      </c>
      <c r="Q24" s="22" t="s">
        <v>91</v>
      </c>
      <c r="R24" s="143">
        <v>0.86</v>
      </c>
      <c r="S24" s="22" t="s">
        <v>91</v>
      </c>
      <c r="T24" s="143">
        <v>0.48</v>
      </c>
      <c r="U24" s="22" t="s">
        <v>91</v>
      </c>
      <c r="V24" s="206"/>
      <c r="W24" s="135">
        <f>Tab_Def_Flows[[#This Row],[Flow_CC_DM'[%']]]*Tab_Def_Flows[[#This Row],[Flow_DM'[%']]]</f>
        <v>0</v>
      </c>
      <c r="X24" s="144" t="s">
        <v>92</v>
      </c>
    </row>
    <row r="25" spans="1:24" ht="27" customHeight="1" x14ac:dyDescent="0.25">
      <c r="A25" s="59" t="str">
        <f t="shared" ref="A25:A30" si="7">B5</f>
        <v>biogas</v>
      </c>
      <c r="B25" s="58">
        <v>0.56884615384615378</v>
      </c>
      <c r="C25" s="56">
        <f>B25*E16*B16</f>
        <v>51586.596619019721</v>
      </c>
      <c r="D25" s="57">
        <f t="shared" ref="D25:D30" si="8">C25/$C$31</f>
        <v>1</v>
      </c>
      <c r="E25" s="56" t="s">
        <v>107</v>
      </c>
      <c r="F25" s="55">
        <f>B25*E16</f>
        <v>0.56884615384615378</v>
      </c>
      <c r="G25" s="54">
        <f t="shared" ref="G25:G30" si="9">B25*E16*B16</f>
        <v>51586.596619019721</v>
      </c>
      <c r="H25" s="53">
        <f t="shared" ref="H25:H30" si="10">G25/$G$31</f>
        <v>1</v>
      </c>
      <c r="I25" s="97">
        <f>$A$12*C16</f>
        <v>1000</v>
      </c>
      <c r="J25" s="96">
        <f t="shared" ref="J25:J30" si="11">I25*E16</f>
        <v>1000</v>
      </c>
      <c r="K25" s="96">
        <f>I25*I16</f>
        <v>0</v>
      </c>
      <c r="L25" s="96">
        <f>SUM(J25:K25)</f>
        <v>1000</v>
      </c>
      <c r="M25" s="95">
        <f t="shared" ref="M25:M30" si="12">I25*F25</f>
        <v>568.84615384615381</v>
      </c>
      <c r="O25" s="56">
        <v>0.31</v>
      </c>
    </row>
    <row r="26" spans="1:24" ht="15.75" x14ac:dyDescent="0.25">
      <c r="A26" s="59">
        <f t="shared" si="7"/>
        <v>0</v>
      </c>
      <c r="B26" s="58">
        <v>0</v>
      </c>
      <c r="C26" s="56">
        <f>B26*E17*B17</f>
        <v>0</v>
      </c>
      <c r="D26" s="57">
        <f t="shared" si="8"/>
        <v>0</v>
      </c>
      <c r="E26" s="56" t="s">
        <v>107</v>
      </c>
      <c r="F26" s="55">
        <f>B26*E17</f>
        <v>0</v>
      </c>
      <c r="G26" s="54">
        <f t="shared" si="9"/>
        <v>0</v>
      </c>
      <c r="H26" s="53">
        <f t="shared" si="10"/>
        <v>0</v>
      </c>
      <c r="I26" s="97">
        <f>$A$12*C17</f>
        <v>0</v>
      </c>
      <c r="J26" s="96">
        <f>I26*E17</f>
        <v>0</v>
      </c>
      <c r="K26" s="96">
        <f t="shared" ref="K26:K30" si="13">I26*I17</f>
        <v>0</v>
      </c>
      <c r="L26" s="96">
        <f t="shared" ref="L26:L30" si="14">SUM(J26:K26)</f>
        <v>0</v>
      </c>
      <c r="M26" s="95">
        <f t="shared" si="12"/>
        <v>0</v>
      </c>
      <c r="O26" s="56">
        <v>3.58</v>
      </c>
    </row>
    <row r="27" spans="1:24" ht="15.75" x14ac:dyDescent="0.25">
      <c r="A27" s="59">
        <f t="shared" si="7"/>
        <v>0</v>
      </c>
      <c r="B27" s="58">
        <v>0</v>
      </c>
      <c r="C27" s="56"/>
      <c r="D27" s="57">
        <f>C27/$C$31</f>
        <v>0</v>
      </c>
      <c r="E27" s="56"/>
      <c r="F27" s="55">
        <f t="shared" ref="F27:F30" si="15">B27*E18</f>
        <v>0</v>
      </c>
      <c r="G27" s="54">
        <f t="shared" si="9"/>
        <v>0</v>
      </c>
      <c r="H27" s="53">
        <f t="shared" si="10"/>
        <v>0</v>
      </c>
      <c r="I27" s="97">
        <f t="shared" ref="I27:I30" si="16">$A$12*C18</f>
        <v>0</v>
      </c>
      <c r="J27" s="96">
        <f t="shared" si="11"/>
        <v>0</v>
      </c>
      <c r="K27" s="96">
        <f t="shared" si="13"/>
        <v>0</v>
      </c>
      <c r="L27" s="96">
        <f t="shared" si="14"/>
        <v>0</v>
      </c>
      <c r="M27" s="95">
        <f t="shared" si="12"/>
        <v>0</v>
      </c>
      <c r="Q27">
        <v>0.76158038205651879</v>
      </c>
    </row>
    <row r="28" spans="1:24" ht="15.75" x14ac:dyDescent="0.25">
      <c r="A28" s="59" t="e">
        <f t="shared" si="7"/>
        <v>#REF!</v>
      </c>
      <c r="B28" s="58">
        <v>0</v>
      </c>
      <c r="C28" s="56">
        <f t="shared" ref="C28:C30" si="17">F19*B28</f>
        <v>0</v>
      </c>
      <c r="D28" s="57">
        <f t="shared" si="8"/>
        <v>0</v>
      </c>
      <c r="E28" s="56"/>
      <c r="F28" s="55">
        <f t="shared" si="15"/>
        <v>0</v>
      </c>
      <c r="G28" s="54">
        <f t="shared" si="9"/>
        <v>0</v>
      </c>
      <c r="H28" s="53">
        <f t="shared" si="10"/>
        <v>0</v>
      </c>
      <c r="I28" s="97">
        <f t="shared" si="16"/>
        <v>0</v>
      </c>
      <c r="J28" s="96">
        <f t="shared" si="11"/>
        <v>0</v>
      </c>
      <c r="K28" s="96">
        <f t="shared" si="13"/>
        <v>0</v>
      </c>
      <c r="L28" s="96">
        <f t="shared" si="14"/>
        <v>0</v>
      </c>
      <c r="M28" s="95">
        <f t="shared" si="12"/>
        <v>0</v>
      </c>
    </row>
    <row r="29" spans="1:24" ht="15.75" x14ac:dyDescent="0.25">
      <c r="A29" s="59" t="e">
        <f t="shared" si="7"/>
        <v>#REF!</v>
      </c>
      <c r="B29" s="58">
        <v>0</v>
      </c>
      <c r="C29" s="56">
        <f t="shared" si="17"/>
        <v>0</v>
      </c>
      <c r="D29" s="57">
        <f t="shared" si="8"/>
        <v>0</v>
      </c>
      <c r="E29" s="56"/>
      <c r="F29" s="55">
        <f t="shared" si="15"/>
        <v>0</v>
      </c>
      <c r="G29" s="54">
        <f t="shared" si="9"/>
        <v>0</v>
      </c>
      <c r="H29" s="53">
        <f t="shared" si="10"/>
        <v>0</v>
      </c>
      <c r="I29" s="97">
        <f t="shared" si="16"/>
        <v>0</v>
      </c>
      <c r="J29" s="96">
        <f t="shared" si="11"/>
        <v>0</v>
      </c>
      <c r="K29" s="96">
        <f t="shared" si="13"/>
        <v>0</v>
      </c>
      <c r="L29" s="96">
        <f t="shared" si="14"/>
        <v>0</v>
      </c>
      <c r="M29" s="95">
        <f t="shared" si="12"/>
        <v>0</v>
      </c>
    </row>
    <row r="30" spans="1:24" ht="16.5" thickBot="1" x14ac:dyDescent="0.3">
      <c r="A30" s="59">
        <f t="shared" si="7"/>
        <v>0</v>
      </c>
      <c r="B30" s="58">
        <v>0</v>
      </c>
      <c r="C30" s="56">
        <f t="shared" si="17"/>
        <v>0</v>
      </c>
      <c r="D30" s="57">
        <f t="shared" si="8"/>
        <v>0</v>
      </c>
      <c r="E30" s="56"/>
      <c r="F30" s="55">
        <f t="shared" si="15"/>
        <v>0</v>
      </c>
      <c r="G30" s="54">
        <f t="shared" si="9"/>
        <v>0</v>
      </c>
      <c r="H30" s="53">
        <f t="shared" si="10"/>
        <v>0</v>
      </c>
      <c r="I30" s="97">
        <f t="shared" si="16"/>
        <v>0</v>
      </c>
      <c r="J30" s="96">
        <f t="shared" si="11"/>
        <v>0</v>
      </c>
      <c r="K30" s="96">
        <f t="shared" si="13"/>
        <v>0</v>
      </c>
      <c r="L30" s="96">
        <f t="shared" si="14"/>
        <v>0</v>
      </c>
      <c r="M30" s="95">
        <f t="shared" si="12"/>
        <v>0</v>
      </c>
    </row>
    <row r="31" spans="1:24" ht="16.5" thickBot="1" x14ac:dyDescent="0.3">
      <c r="A31" s="49" t="s">
        <v>109</v>
      </c>
      <c r="B31" s="48">
        <f>C31/F22</f>
        <v>0.56884615384615378</v>
      </c>
      <c r="C31" s="46">
        <f>SUM(C25:C30)</f>
        <v>51586.596619019721</v>
      </c>
      <c r="D31" s="94">
        <f>SUM(D24:D30)</f>
        <v>1</v>
      </c>
      <c r="E31" s="46"/>
      <c r="F31" s="45">
        <f>G31/B22</f>
        <v>0.56884615384615378</v>
      </c>
      <c r="G31" s="44">
        <f t="shared" ref="G31:M31" si="18">SUM(G25:G30)</f>
        <v>51586.596619019721</v>
      </c>
      <c r="H31" s="43">
        <f t="shared" si="18"/>
        <v>1</v>
      </c>
      <c r="I31" s="42">
        <f>SUM(I25:I30)</f>
        <v>1000</v>
      </c>
      <c r="J31" s="41">
        <f t="shared" si="18"/>
        <v>1000</v>
      </c>
      <c r="K31" s="41">
        <f t="shared" si="18"/>
        <v>0</v>
      </c>
      <c r="L31" s="41">
        <f t="shared" si="18"/>
        <v>1000</v>
      </c>
      <c r="M31" s="40">
        <f t="shared" si="18"/>
        <v>568.84615384615381</v>
      </c>
    </row>
    <row r="32" spans="1:24" ht="16.5" thickBot="1" x14ac:dyDescent="0.3">
      <c r="A32" s="228" t="s">
        <v>147</v>
      </c>
      <c r="B32" s="229"/>
      <c r="C32" s="229"/>
      <c r="D32" s="229"/>
      <c r="E32" s="229"/>
      <c r="F32" s="229"/>
      <c r="G32" s="229"/>
      <c r="H32" s="229"/>
      <c r="I32" s="229"/>
      <c r="J32" s="229"/>
      <c r="K32" s="229"/>
      <c r="L32" s="229"/>
      <c r="M32" s="230"/>
    </row>
    <row r="33" spans="1:31" ht="16.5" customHeight="1" thickBot="1" x14ac:dyDescent="0.3">
      <c r="A33" s="65" t="s">
        <v>134</v>
      </c>
      <c r="B33" s="231" t="s">
        <v>146</v>
      </c>
      <c r="C33" s="232"/>
      <c r="D33" s="233"/>
      <c r="E33" s="234" t="s">
        <v>145</v>
      </c>
      <c r="F33" s="235"/>
      <c r="G33" s="235"/>
      <c r="H33" s="236"/>
      <c r="I33" s="237" t="s">
        <v>144</v>
      </c>
      <c r="J33" s="238"/>
      <c r="K33" s="238"/>
      <c r="L33" s="238"/>
      <c r="M33" s="239"/>
    </row>
    <row r="34" spans="1:31" ht="62.25" customHeight="1" thickBot="1" x14ac:dyDescent="0.3">
      <c r="A34" s="26"/>
      <c r="B34" s="39" t="s">
        <v>143</v>
      </c>
      <c r="C34" s="92" t="s">
        <v>142</v>
      </c>
      <c r="D34" s="91" t="s">
        <v>135</v>
      </c>
      <c r="E34" s="90" t="s">
        <v>141</v>
      </c>
      <c r="F34" s="38" t="s">
        <v>140</v>
      </c>
      <c r="G34" s="38" t="s">
        <v>139</v>
      </c>
      <c r="H34" s="89" t="s">
        <v>135</v>
      </c>
      <c r="I34" s="88" t="s">
        <v>138</v>
      </c>
      <c r="J34" s="37" t="s">
        <v>137</v>
      </c>
      <c r="K34" s="37" t="s">
        <v>136</v>
      </c>
      <c r="L34" s="37" t="s">
        <v>135</v>
      </c>
      <c r="M34" s="87"/>
    </row>
    <row r="35" spans="1:31" ht="15.75" x14ac:dyDescent="0.25">
      <c r="A35" s="59" t="str">
        <f t="shared" ref="A35:A40" si="19">F5</f>
        <v>biogas_incineration_Emissions_C</v>
      </c>
      <c r="B35" s="35">
        <v>51586.596619019721</v>
      </c>
      <c r="C35" s="86">
        <f>B35/B41</f>
        <v>0.56884615384615378</v>
      </c>
      <c r="D35" s="85" t="s">
        <v>107</v>
      </c>
      <c r="E35" s="84">
        <v>1</v>
      </c>
      <c r="F35" s="34">
        <f>E35*B35</f>
        <v>51586.596619019721</v>
      </c>
      <c r="G35" s="83">
        <f t="shared" ref="G35:G40" si="20">F35/$F$41</f>
        <v>0.56884615384615378</v>
      </c>
      <c r="H35" s="82" t="s">
        <v>107</v>
      </c>
      <c r="I35" s="81">
        <f>1-E35</f>
        <v>0</v>
      </c>
      <c r="J35" s="33">
        <f t="shared" ref="J35:J40" si="21">I35*B35</f>
        <v>0</v>
      </c>
      <c r="K35" s="80" t="e">
        <f>J35/$J$41</f>
        <v>#DIV/0!</v>
      </c>
      <c r="L35" s="79" t="s">
        <v>107</v>
      </c>
      <c r="M35" s="78"/>
      <c r="R35" t="e">
        <f>C54/B17</f>
        <v>#DIV/0!</v>
      </c>
    </row>
    <row r="36" spans="1:31" ht="15.75" x14ac:dyDescent="0.25">
      <c r="A36" s="59" t="str">
        <f t="shared" si="19"/>
        <v>biogas_incineration_Emissions_E</v>
      </c>
      <c r="B36" s="35">
        <f>B22-B35</f>
        <v>39099.780128411847</v>
      </c>
      <c r="C36" s="86">
        <f>B36/B41</f>
        <v>0.43115384615384622</v>
      </c>
      <c r="D36" s="85" t="s">
        <v>107</v>
      </c>
      <c r="E36" s="84">
        <v>1</v>
      </c>
      <c r="F36" s="34">
        <f>F22-C50</f>
        <v>39099.780128411847</v>
      </c>
      <c r="G36" s="83">
        <f t="shared" si="20"/>
        <v>0.43115384615384622</v>
      </c>
      <c r="H36" s="82" t="s">
        <v>107</v>
      </c>
      <c r="I36" s="81">
        <v>0</v>
      </c>
      <c r="J36" s="33">
        <f>I36*B36</f>
        <v>0</v>
      </c>
      <c r="K36" s="80" t="e">
        <f>J36/$J$41</f>
        <v>#DIV/0!</v>
      </c>
      <c r="L36" s="79" t="s">
        <v>107</v>
      </c>
      <c r="M36" s="78"/>
    </row>
    <row r="37" spans="1:31" ht="15.75" x14ac:dyDescent="0.25">
      <c r="A37" s="59">
        <f t="shared" si="19"/>
        <v>0</v>
      </c>
      <c r="B37" s="35"/>
      <c r="C37" s="86">
        <f t="shared" ref="C37:C40" si="22">B37/$B$41</f>
        <v>0</v>
      </c>
      <c r="D37" s="85"/>
      <c r="E37" s="84"/>
      <c r="F37" s="34">
        <f t="shared" ref="F36:F40" si="23">E37*B37</f>
        <v>0</v>
      </c>
      <c r="G37" s="83">
        <f t="shared" si="20"/>
        <v>0</v>
      </c>
      <c r="H37" s="82"/>
      <c r="I37" s="81"/>
      <c r="J37" s="33">
        <f>I37*B37</f>
        <v>0</v>
      </c>
      <c r="K37" s="80" t="e">
        <f>J37/$J$41</f>
        <v>#DIV/0!</v>
      </c>
      <c r="L37" s="79"/>
      <c r="M37" s="78"/>
      <c r="P37" s="189">
        <f>860-G25</f>
        <v>-50726.596619019721</v>
      </c>
      <c r="U37">
        <v>25.71</v>
      </c>
      <c r="X37">
        <v>14.79</v>
      </c>
    </row>
    <row r="38" spans="1:31" ht="15.75" x14ac:dyDescent="0.25">
      <c r="A38" s="59">
        <f t="shared" si="19"/>
        <v>0</v>
      </c>
      <c r="B38" s="35"/>
      <c r="C38" s="86">
        <f t="shared" si="22"/>
        <v>0</v>
      </c>
      <c r="D38" s="85"/>
      <c r="E38" s="84"/>
      <c r="F38" s="34">
        <f t="shared" si="23"/>
        <v>0</v>
      </c>
      <c r="G38" s="83">
        <f t="shared" si="20"/>
        <v>0</v>
      </c>
      <c r="H38" s="82"/>
      <c r="I38" s="81"/>
      <c r="J38" s="33">
        <f t="shared" si="21"/>
        <v>0</v>
      </c>
      <c r="K38" s="80" t="e">
        <f>J38/$J$41</f>
        <v>#DIV/0!</v>
      </c>
      <c r="L38" s="79"/>
      <c r="M38" s="78"/>
      <c r="U38">
        <v>0.31</v>
      </c>
      <c r="X38">
        <v>1.66</v>
      </c>
    </row>
    <row r="39" spans="1:31" ht="15.75" x14ac:dyDescent="0.25">
      <c r="A39" s="59" t="e">
        <f t="shared" si="19"/>
        <v>#REF!</v>
      </c>
      <c r="B39" s="35"/>
      <c r="C39" s="86">
        <f t="shared" si="22"/>
        <v>0</v>
      </c>
      <c r="D39" s="85"/>
      <c r="E39" s="84"/>
      <c r="F39" s="34">
        <f t="shared" si="23"/>
        <v>0</v>
      </c>
      <c r="G39" s="83">
        <f t="shared" si="20"/>
        <v>0</v>
      </c>
      <c r="H39" s="82"/>
      <c r="I39" s="81"/>
      <c r="J39" s="33">
        <f t="shared" si="21"/>
        <v>0</v>
      </c>
      <c r="K39" s="80" t="e">
        <f>J39/$J$41</f>
        <v>#DIV/0!</v>
      </c>
      <c r="L39" s="79"/>
      <c r="M39" s="78"/>
      <c r="U39">
        <v>3.58</v>
      </c>
      <c r="X39">
        <v>13.15</v>
      </c>
    </row>
    <row r="40" spans="1:31" ht="16.5" thickBot="1" x14ac:dyDescent="0.3">
      <c r="A40" s="59">
        <f t="shared" si="19"/>
        <v>0</v>
      </c>
      <c r="B40" s="35"/>
      <c r="C40" s="86">
        <f t="shared" si="22"/>
        <v>0</v>
      </c>
      <c r="D40" s="85"/>
      <c r="E40" s="84"/>
      <c r="F40" s="34">
        <f t="shared" si="23"/>
        <v>0</v>
      </c>
      <c r="G40" s="83">
        <f t="shared" si="20"/>
        <v>0</v>
      </c>
      <c r="H40" s="82"/>
      <c r="I40" s="81"/>
      <c r="J40" s="33">
        <f t="shared" si="21"/>
        <v>0</v>
      </c>
      <c r="K40" s="80" t="e">
        <f>J40/$J$22</f>
        <v>#DIV/0!</v>
      </c>
      <c r="L40" s="79"/>
      <c r="M40" s="78"/>
      <c r="U40">
        <f>SUM(U37:U39)</f>
        <v>29.6</v>
      </c>
      <c r="X40">
        <f>SUM(X37:X39)</f>
        <v>29.6</v>
      </c>
    </row>
    <row r="41" spans="1:31" ht="16.5" thickBot="1" x14ac:dyDescent="0.3">
      <c r="A41" s="49" t="s">
        <v>109</v>
      </c>
      <c r="B41" s="77">
        <f>SUM(B35:B40)</f>
        <v>90686.376747431568</v>
      </c>
      <c r="C41" s="76">
        <f>SUM(C35:C40)</f>
        <v>1</v>
      </c>
      <c r="D41" s="75"/>
      <c r="E41" s="74">
        <f>F41/B41</f>
        <v>1</v>
      </c>
      <c r="F41" s="73">
        <f>SUM(F35:F40)</f>
        <v>90686.376747431568</v>
      </c>
      <c r="G41" s="72">
        <f>SUM(G35:G40)</f>
        <v>1</v>
      </c>
      <c r="H41" s="71"/>
      <c r="I41" s="70">
        <f>J41/B41</f>
        <v>0</v>
      </c>
      <c r="J41" s="69">
        <f>SUM(J35:J40)</f>
        <v>0</v>
      </c>
      <c r="K41" s="68" t="e">
        <f>SUM(K35:K40)</f>
        <v>#DIV/0!</v>
      </c>
      <c r="L41" s="67"/>
      <c r="M41" s="66"/>
      <c r="P41" s="190" t="e">
        <f>140/B37</f>
        <v>#DIV/0!</v>
      </c>
    </row>
    <row r="42" spans="1:31" ht="16.5" customHeight="1" thickBot="1" x14ac:dyDescent="0.3">
      <c r="A42" s="129" t="s">
        <v>134</v>
      </c>
      <c r="B42" s="240" t="s">
        <v>133</v>
      </c>
      <c r="C42" s="241"/>
      <c r="D42" s="241"/>
      <c r="E42" s="241"/>
      <c r="F42" s="241"/>
      <c r="G42" s="241"/>
      <c r="H42" s="242"/>
      <c r="I42" s="243" t="s">
        <v>132</v>
      </c>
      <c r="J42" s="244"/>
      <c r="K42" s="244"/>
      <c r="L42" s="244"/>
      <c r="M42" s="245"/>
      <c r="P42" t="e">
        <f>F37/B37</f>
        <v>#DIV/0!</v>
      </c>
    </row>
    <row r="43" spans="1:31" ht="60.75" thickBot="1" x14ac:dyDescent="0.3">
      <c r="A43" s="5"/>
      <c r="B43" s="64" t="s">
        <v>131</v>
      </c>
      <c r="C43" s="63" t="s">
        <v>130</v>
      </c>
      <c r="D43" s="63" t="s">
        <v>129</v>
      </c>
      <c r="E43" s="63" t="s">
        <v>128</v>
      </c>
      <c r="F43" s="64" t="s">
        <v>127</v>
      </c>
      <c r="G43" s="63" t="s">
        <v>126</v>
      </c>
      <c r="H43" s="128" t="s">
        <v>125</v>
      </c>
      <c r="I43" s="62" t="s">
        <v>124</v>
      </c>
      <c r="J43" s="61" t="s">
        <v>123</v>
      </c>
      <c r="K43" s="61" t="s">
        <v>122</v>
      </c>
      <c r="L43" s="61" t="s">
        <v>121</v>
      </c>
      <c r="M43" s="60" t="s">
        <v>120</v>
      </c>
      <c r="W43" t="s">
        <v>1162</v>
      </c>
    </row>
    <row r="44" spans="1:31" ht="15.75" x14ac:dyDescent="0.25">
      <c r="A44" s="59" t="str">
        <f t="shared" ref="A44:A49" si="24">A35</f>
        <v>biogas_incineration_Emissions_C</v>
      </c>
      <c r="B44" s="58">
        <v>1</v>
      </c>
      <c r="C44" s="56">
        <f>B44*E35*B35</f>
        <v>51586.596619019721</v>
      </c>
      <c r="D44" s="57">
        <f t="shared" ref="D44:D49" si="25">C44/$C$50</f>
        <v>1</v>
      </c>
      <c r="E44" s="56" t="s">
        <v>107</v>
      </c>
      <c r="F44" s="55">
        <f>B44*E35</f>
        <v>1</v>
      </c>
      <c r="G44" s="54">
        <f>B44*E35*B35</f>
        <v>51586.596619019721</v>
      </c>
      <c r="H44" s="53">
        <f t="shared" ref="H44:H49" si="26">G44/$G$50</f>
        <v>1</v>
      </c>
      <c r="I44" s="52">
        <f t="shared" ref="I44:I49" si="27">$A$12*B58</f>
        <v>568.84615384615381</v>
      </c>
      <c r="J44" s="51">
        <f t="shared" ref="J44:J49" si="28">I44*E35</f>
        <v>568.84615384615381</v>
      </c>
      <c r="K44" s="51">
        <f t="shared" ref="K44:K49" si="29">I44*I35</f>
        <v>0</v>
      </c>
      <c r="L44" s="51">
        <f t="shared" ref="L44:L49" si="30">SUM(J44:K44)</f>
        <v>568.84615384615381</v>
      </c>
      <c r="M44" s="50">
        <f t="shared" ref="M44:M49" si="31">I44*F44</f>
        <v>568.84615384615381</v>
      </c>
    </row>
    <row r="45" spans="1:31" ht="15.75" x14ac:dyDescent="0.25">
      <c r="A45" s="59" t="str">
        <f t="shared" si="24"/>
        <v>biogas_incineration_Emissions_E</v>
      </c>
      <c r="B45" s="58">
        <v>0</v>
      </c>
      <c r="C45" s="56">
        <f>B45*E36*B36</f>
        <v>0</v>
      </c>
      <c r="D45" s="57">
        <f t="shared" si="25"/>
        <v>0</v>
      </c>
      <c r="E45" s="56" t="s">
        <v>107</v>
      </c>
      <c r="F45" s="55">
        <f t="shared" ref="F45:F49" si="32">B45*E36</f>
        <v>0</v>
      </c>
      <c r="G45" s="54">
        <f t="shared" ref="G45:G49" si="33">B45*E36*B36</f>
        <v>0</v>
      </c>
      <c r="H45" s="53">
        <f t="shared" si="26"/>
        <v>0</v>
      </c>
      <c r="I45" s="52">
        <f t="shared" si="27"/>
        <v>431.15384615384625</v>
      </c>
      <c r="J45" s="51">
        <f t="shared" si="28"/>
        <v>431.15384615384625</v>
      </c>
      <c r="K45" s="51">
        <f t="shared" si="29"/>
        <v>0</v>
      </c>
      <c r="L45" s="51">
        <f t="shared" si="30"/>
        <v>431.15384615384625</v>
      </c>
      <c r="M45" s="50">
        <f t="shared" si="31"/>
        <v>0</v>
      </c>
      <c r="AA45">
        <v>57.133333333333333</v>
      </c>
      <c r="AB45">
        <v>86</v>
      </c>
      <c r="AD45">
        <v>25.71</v>
      </c>
      <c r="AE45">
        <v>45</v>
      </c>
    </row>
    <row r="46" spans="1:31" ht="15.75" x14ac:dyDescent="0.25">
      <c r="A46" s="59">
        <f t="shared" si="24"/>
        <v>0</v>
      </c>
      <c r="B46" s="58"/>
      <c r="C46" s="56"/>
      <c r="D46" s="57">
        <f t="shared" si="25"/>
        <v>0</v>
      </c>
      <c r="E46" s="56" t="s">
        <v>107</v>
      </c>
      <c r="F46" s="55">
        <f t="shared" si="32"/>
        <v>0</v>
      </c>
      <c r="G46" s="54">
        <f t="shared" si="33"/>
        <v>0</v>
      </c>
      <c r="H46" s="53">
        <f t="shared" si="26"/>
        <v>0</v>
      </c>
      <c r="I46" s="52">
        <f t="shared" si="27"/>
        <v>0</v>
      </c>
      <c r="J46" s="51">
        <f t="shared" si="28"/>
        <v>0</v>
      </c>
      <c r="K46" s="51">
        <f t="shared" si="29"/>
        <v>0</v>
      </c>
      <c r="L46" s="51">
        <f t="shared" si="30"/>
        <v>0</v>
      </c>
      <c r="M46" s="50">
        <f t="shared" si="31"/>
        <v>0</v>
      </c>
      <c r="AA46">
        <f>AA45/AB45</f>
        <v>0.66434108527131785</v>
      </c>
      <c r="AB46">
        <v>1</v>
      </c>
      <c r="AD46">
        <f>AD45/AE45</f>
        <v>0.57133333333333336</v>
      </c>
      <c r="AE46">
        <v>1</v>
      </c>
    </row>
    <row r="47" spans="1:31" ht="15.75" x14ac:dyDescent="0.25">
      <c r="A47" s="59">
        <f t="shared" si="24"/>
        <v>0</v>
      </c>
      <c r="B47" s="58"/>
      <c r="C47" s="56">
        <f t="shared" ref="C47:C49" si="34">F38*B47</f>
        <v>0</v>
      </c>
      <c r="D47" s="57">
        <f t="shared" si="25"/>
        <v>0</v>
      </c>
      <c r="E47" s="56"/>
      <c r="F47" s="55">
        <f t="shared" si="32"/>
        <v>0</v>
      </c>
      <c r="G47" s="54">
        <f t="shared" si="33"/>
        <v>0</v>
      </c>
      <c r="H47" s="53">
        <f t="shared" si="26"/>
        <v>0</v>
      </c>
      <c r="I47" s="52">
        <f t="shared" si="27"/>
        <v>0</v>
      </c>
      <c r="J47" s="51">
        <f t="shared" si="28"/>
        <v>0</v>
      </c>
      <c r="K47" s="51">
        <f t="shared" si="29"/>
        <v>0</v>
      </c>
      <c r="L47" s="51">
        <f t="shared" si="30"/>
        <v>0</v>
      </c>
      <c r="M47" s="50">
        <f t="shared" si="31"/>
        <v>0</v>
      </c>
      <c r="T47">
        <f>0.6*387</f>
        <v>232.2</v>
      </c>
      <c r="AA47">
        <f>AA46*100</f>
        <v>66.434108527131784</v>
      </c>
      <c r="AD47">
        <f>AD46*100</f>
        <v>57.133333333333333</v>
      </c>
    </row>
    <row r="48" spans="1:31" ht="15.75" x14ac:dyDescent="0.25">
      <c r="A48" s="59" t="e">
        <f t="shared" si="24"/>
        <v>#REF!</v>
      </c>
      <c r="B48" s="58"/>
      <c r="C48" s="56">
        <f t="shared" si="34"/>
        <v>0</v>
      </c>
      <c r="D48" s="57">
        <f t="shared" si="25"/>
        <v>0</v>
      </c>
      <c r="E48" s="56"/>
      <c r="F48" s="55">
        <f t="shared" si="32"/>
        <v>0</v>
      </c>
      <c r="G48" s="54">
        <f t="shared" si="33"/>
        <v>0</v>
      </c>
      <c r="H48" s="53">
        <f t="shared" si="26"/>
        <v>0</v>
      </c>
      <c r="I48" s="52">
        <f t="shared" si="27"/>
        <v>0</v>
      </c>
      <c r="J48" s="51">
        <f t="shared" si="28"/>
        <v>0</v>
      </c>
      <c r="K48" s="51">
        <f t="shared" si="29"/>
        <v>0</v>
      </c>
      <c r="L48" s="51">
        <f t="shared" si="30"/>
        <v>0</v>
      </c>
      <c r="M48" s="50">
        <f t="shared" si="31"/>
        <v>0</v>
      </c>
      <c r="T48">
        <f>0.4*387</f>
        <v>154.80000000000001</v>
      </c>
    </row>
    <row r="49" spans="1:31" ht="16.5" thickBot="1" x14ac:dyDescent="0.3">
      <c r="A49" s="59">
        <f t="shared" si="24"/>
        <v>0</v>
      </c>
      <c r="B49" s="58"/>
      <c r="C49" s="56">
        <f t="shared" si="34"/>
        <v>0</v>
      </c>
      <c r="D49" s="57">
        <f t="shared" si="25"/>
        <v>0</v>
      </c>
      <c r="E49" s="56"/>
      <c r="F49" s="55">
        <f t="shared" si="32"/>
        <v>0</v>
      </c>
      <c r="G49" s="54">
        <f t="shared" si="33"/>
        <v>0</v>
      </c>
      <c r="H49" s="53">
        <f t="shared" si="26"/>
        <v>0</v>
      </c>
      <c r="I49" s="52">
        <f t="shared" si="27"/>
        <v>0</v>
      </c>
      <c r="J49" s="51">
        <f t="shared" si="28"/>
        <v>0</v>
      </c>
      <c r="K49" s="51">
        <f t="shared" si="29"/>
        <v>0</v>
      </c>
      <c r="L49" s="51">
        <f t="shared" si="30"/>
        <v>0</v>
      </c>
      <c r="M49" s="50">
        <f t="shared" si="31"/>
        <v>0</v>
      </c>
      <c r="Q49" s="145"/>
    </row>
    <row r="50" spans="1:31" ht="16.5" thickBot="1" x14ac:dyDescent="0.3">
      <c r="A50" s="49" t="s">
        <v>109</v>
      </c>
      <c r="B50" s="48">
        <f>C50/F41</f>
        <v>0.56884615384615378</v>
      </c>
      <c r="C50" s="46">
        <f>SUM(C44:C49)</f>
        <v>51586.596619019721</v>
      </c>
      <c r="D50" s="47">
        <f>SUM(D44:D49)</f>
        <v>1</v>
      </c>
      <c r="E50" s="46"/>
      <c r="F50" s="45">
        <f>G50/B41</f>
        <v>0.56884615384615378</v>
      </c>
      <c r="G50" s="44">
        <f t="shared" ref="G50:M50" si="35">SUM(G44:G49)</f>
        <v>51586.596619019721</v>
      </c>
      <c r="H50" s="43">
        <f t="shared" si="35"/>
        <v>1</v>
      </c>
      <c r="I50" s="42">
        <f t="shared" si="35"/>
        <v>1000</v>
      </c>
      <c r="J50" s="41">
        <f t="shared" si="35"/>
        <v>1000</v>
      </c>
      <c r="K50" s="41">
        <f t="shared" si="35"/>
        <v>0</v>
      </c>
      <c r="L50" s="41">
        <f t="shared" si="35"/>
        <v>1000</v>
      </c>
      <c r="M50" s="40">
        <f t="shared" si="35"/>
        <v>568.84615384615381</v>
      </c>
    </row>
    <row r="51" spans="1:31" ht="15.75" thickBot="1" x14ac:dyDescent="0.3">
      <c r="A51" s="217" t="s">
        <v>119</v>
      </c>
      <c r="B51" s="218"/>
      <c r="C51" s="218"/>
      <c r="D51" s="218"/>
      <c r="E51" s="219"/>
      <c r="F51" s="220" t="s">
        <v>118</v>
      </c>
      <c r="G51" s="221"/>
      <c r="H51" s="221"/>
      <c r="I51" s="221"/>
      <c r="J51" s="221"/>
      <c r="K51" s="221"/>
      <c r="L51" s="221"/>
      <c r="M51" s="222"/>
      <c r="V51" t="s">
        <v>1160</v>
      </c>
      <c r="X51" t="s">
        <v>1160</v>
      </c>
      <c r="Y51" t="s">
        <v>88</v>
      </c>
      <c r="AA51" t="s">
        <v>89</v>
      </c>
      <c r="AC51" t="s">
        <v>1161</v>
      </c>
      <c r="AD51" t="s">
        <v>1159</v>
      </c>
    </row>
    <row r="52" spans="1:31" ht="16.5" thickBot="1" x14ac:dyDescent="0.3">
      <c r="A52" s="3" t="s">
        <v>117</v>
      </c>
      <c r="B52" s="39" t="s">
        <v>116</v>
      </c>
      <c r="C52" s="38" t="s">
        <v>89</v>
      </c>
      <c r="D52" s="37" t="s">
        <v>88</v>
      </c>
      <c r="E52" s="36" t="s">
        <v>115</v>
      </c>
      <c r="F52" s="213"/>
      <c r="G52" s="213"/>
      <c r="H52" s="213"/>
      <c r="I52" s="213"/>
      <c r="J52" s="213"/>
      <c r="K52" s="213"/>
      <c r="L52" s="213"/>
      <c r="M52" s="223"/>
      <c r="U52" t="s">
        <v>1156</v>
      </c>
      <c r="V52">
        <f>W52*1.14</f>
        <v>62.699999999999996</v>
      </c>
      <c r="W52">
        <v>55</v>
      </c>
      <c r="X52">
        <v>66.434108527131784</v>
      </c>
      <c r="Y52">
        <f>X52*0.14</f>
        <v>9.3007751937984509</v>
      </c>
      <c r="Z52" s="190">
        <f>Y52/X52</f>
        <v>0.14000000000000001</v>
      </c>
      <c r="AA52">
        <v>57.133333333333333</v>
      </c>
      <c r="AB52" s="190">
        <f>AA52/X52</f>
        <v>0.86</v>
      </c>
      <c r="AC52">
        <f>W52-AD52</f>
        <v>29.29</v>
      </c>
      <c r="AD52">
        <v>25.71</v>
      </c>
      <c r="AE52" s="208">
        <f>AD52/AA52</f>
        <v>0.45</v>
      </c>
    </row>
    <row r="53" spans="1:31" ht="15.75" x14ac:dyDescent="0.25">
      <c r="A53" s="4" t="s">
        <v>114</v>
      </c>
      <c r="B53" s="35">
        <f>B22</f>
        <v>90686.376747431568</v>
      </c>
      <c r="C53" s="34">
        <f>F22</f>
        <v>90686.376747431568</v>
      </c>
      <c r="D53" s="33">
        <f>J22</f>
        <v>0</v>
      </c>
      <c r="E53" s="32">
        <f>C31</f>
        <v>51586.596619019721</v>
      </c>
      <c r="F53" s="213"/>
      <c r="G53" s="213"/>
      <c r="H53" s="213"/>
      <c r="I53" s="213"/>
      <c r="J53" s="213"/>
      <c r="K53" s="213"/>
      <c r="L53" s="213"/>
      <c r="M53" s="223"/>
      <c r="Q53">
        <f>F35/B22</f>
        <v>0.56884615384615378</v>
      </c>
      <c r="U53" t="s">
        <v>1157</v>
      </c>
      <c r="V53">
        <v>816</v>
      </c>
      <c r="W53">
        <v>816</v>
      </c>
      <c r="X53">
        <f>Y53+AA53</f>
        <v>816.12</v>
      </c>
      <c r="Y53">
        <v>815.09</v>
      </c>
      <c r="Z53" s="190">
        <f t="shared" ref="Z53:Z55" si="36">Y53/X53</f>
        <v>0.99873793069646621</v>
      </c>
      <c r="AA53">
        <f t="shared" ref="AA53:AA54" si="37">AC53+AD53</f>
        <v>1.03</v>
      </c>
      <c r="AB53" s="190">
        <f t="shared" ref="AB53" si="38">AA53/X53</f>
        <v>1.262069303533794E-3</v>
      </c>
      <c r="AC53">
        <v>0.72</v>
      </c>
      <c r="AD53">
        <v>0.31</v>
      </c>
      <c r="AE53" s="207">
        <f t="shared" ref="AE53:AE54" si="39">AD53/AA53</f>
        <v>0.30097087378640774</v>
      </c>
    </row>
    <row r="54" spans="1:31" ht="16.5" thickBot="1" x14ac:dyDescent="0.3">
      <c r="A54" s="4" t="s">
        <v>113</v>
      </c>
      <c r="B54" s="35">
        <f>B41</f>
        <v>90686.376747431568</v>
      </c>
      <c r="C54" s="34">
        <f>F41</f>
        <v>90686.376747431568</v>
      </c>
      <c r="D54" s="33">
        <f>J41</f>
        <v>0</v>
      </c>
      <c r="E54" s="32">
        <f>C50</f>
        <v>51586.596619019721</v>
      </c>
      <c r="F54" s="213"/>
      <c r="G54" s="213"/>
      <c r="H54" s="213"/>
      <c r="I54" s="213"/>
      <c r="J54" s="213"/>
      <c r="K54" s="213"/>
      <c r="L54" s="213"/>
      <c r="M54" s="223"/>
      <c r="U54" t="s">
        <v>1158</v>
      </c>
      <c r="W54">
        <v>12</v>
      </c>
      <c r="X54">
        <v>13.976240391334732</v>
      </c>
      <c r="Y54">
        <f>X54*0.1414</f>
        <v>1.9762403913347311</v>
      </c>
      <c r="Z54" s="190">
        <f t="shared" si="36"/>
        <v>0.1414</v>
      </c>
      <c r="AA54">
        <f t="shared" si="37"/>
        <v>12</v>
      </c>
      <c r="AB54" s="190">
        <f>AA54/X54</f>
        <v>0.85859999999999992</v>
      </c>
      <c r="AC54">
        <f>W54-AD54</f>
        <v>8.42</v>
      </c>
      <c r="AD54">
        <v>3.58</v>
      </c>
      <c r="AE54" s="207">
        <f t="shared" si="39"/>
        <v>0.29833333333333334</v>
      </c>
    </row>
    <row r="55" spans="1:31" ht="15.75" x14ac:dyDescent="0.25">
      <c r="A55" s="3" t="s">
        <v>112</v>
      </c>
      <c r="B55" s="124">
        <f>B53-B54</f>
        <v>0</v>
      </c>
      <c r="C55" s="125">
        <f>C53-C54</f>
        <v>0</v>
      </c>
      <c r="D55" s="126">
        <f>D53-D54</f>
        <v>0</v>
      </c>
      <c r="E55" s="127">
        <f>E53-E54</f>
        <v>0</v>
      </c>
      <c r="F55" s="213"/>
      <c r="G55" s="213"/>
      <c r="H55" s="213"/>
      <c r="I55" s="213"/>
      <c r="J55" s="213"/>
      <c r="K55" s="213"/>
      <c r="L55" s="213"/>
      <c r="M55" s="223"/>
      <c r="W55">
        <f>SUM(W52:W54)</f>
        <v>883</v>
      </c>
      <c r="X55">
        <f>X53+X54</f>
        <v>830.09624039133473</v>
      </c>
      <c r="Y55">
        <f t="shared" ref="Y55:AC55" si="40">Y53+Y54</f>
        <v>817.06624039133476</v>
      </c>
      <c r="Z55" s="190">
        <f t="shared" si="36"/>
        <v>0.98430302491930666</v>
      </c>
      <c r="AA55">
        <f t="shared" si="40"/>
        <v>13.03</v>
      </c>
      <c r="AB55" s="190">
        <f>AA55/X55</f>
        <v>1.5696975080693329E-2</v>
      </c>
      <c r="AC55">
        <f t="shared" si="40"/>
        <v>9.14</v>
      </c>
      <c r="AD55">
        <f>AD53+AD54</f>
        <v>3.89</v>
      </c>
      <c r="AE55" s="207">
        <f>AD55/AA55</f>
        <v>0.29854182655410594</v>
      </c>
    </row>
    <row r="56" spans="1:31" ht="16.5" thickBot="1" x14ac:dyDescent="0.3">
      <c r="A56" s="5" t="s">
        <v>111</v>
      </c>
      <c r="B56" s="31">
        <f>B53/B54</f>
        <v>1</v>
      </c>
      <c r="C56" s="29">
        <f>C53/C54</f>
        <v>1</v>
      </c>
      <c r="D56" s="28" t="e">
        <f>D53/D54</f>
        <v>#DIV/0!</v>
      </c>
      <c r="E56" s="200">
        <f>E53/E54</f>
        <v>1</v>
      </c>
      <c r="F56" s="213"/>
      <c r="G56" s="213"/>
      <c r="H56" s="213"/>
      <c r="I56" s="213"/>
      <c r="J56" s="213"/>
      <c r="K56" s="213"/>
      <c r="L56" s="213"/>
      <c r="M56" s="223"/>
      <c r="W56" s="190">
        <f>W52/W55</f>
        <v>6.2287655719139301E-2</v>
      </c>
      <c r="X56">
        <f>X52+X53+X54</f>
        <v>896.53034891846653</v>
      </c>
      <c r="Y56">
        <f>Y52+Y53+Y54</f>
        <v>826.36701558513323</v>
      </c>
      <c r="AA56">
        <f t="shared" ref="AA56" si="41">SUM(AA52:AA54)</f>
        <v>70.163333333333327</v>
      </c>
      <c r="AC56">
        <f>SUM(AC52:AC54)</f>
        <v>38.43</v>
      </c>
      <c r="AD56">
        <f>SUM(AD52:AD54)</f>
        <v>29.6</v>
      </c>
    </row>
    <row r="57" spans="1:31" ht="15.75" thickBot="1" x14ac:dyDescent="0.3">
      <c r="A57" s="217" t="s">
        <v>110</v>
      </c>
      <c r="B57" s="218"/>
      <c r="C57" s="218"/>
      <c r="D57" s="218"/>
      <c r="E57" s="219"/>
      <c r="F57" s="213"/>
      <c r="G57" s="213"/>
      <c r="H57" s="213"/>
      <c r="I57" s="213"/>
      <c r="J57" s="213"/>
      <c r="K57" s="213"/>
      <c r="L57" s="213"/>
      <c r="M57" s="223"/>
      <c r="Y57">
        <f>Y56-Y68</f>
        <v>10.187015585133281</v>
      </c>
    </row>
    <row r="58" spans="1:31" ht="16.5" thickBot="1" x14ac:dyDescent="0.3">
      <c r="A58" s="26" t="str">
        <f t="shared" ref="A58:A63" si="42">A44</f>
        <v>biogas_incineration_Emissions_C</v>
      </c>
      <c r="B58" s="193">
        <f t="shared" ref="B58:B63" si="43">(B35*$C$41)/($B$22*$C$22)</f>
        <v>0.56884615384615378</v>
      </c>
      <c r="C58" s="191">
        <f>(E35*B35)/($B$22*$E$22)</f>
        <v>0.56884615384615378</v>
      </c>
      <c r="D58" s="195" t="e">
        <f t="shared" ref="D58:D63" si="44">(I35*B35)/($B$22*$I$22)</f>
        <v>#DIV/0!</v>
      </c>
      <c r="E58" s="27">
        <f>(F44*B35)/($B$22*$F$31)</f>
        <v>1</v>
      </c>
      <c r="F58" s="213"/>
      <c r="G58" s="213"/>
      <c r="H58" s="213"/>
      <c r="I58" s="213"/>
      <c r="J58" s="213"/>
      <c r="K58" s="213"/>
      <c r="L58" s="213"/>
      <c r="M58" s="223"/>
      <c r="X58">
        <f>X55/X52</f>
        <v>12.495030923043428</v>
      </c>
      <c r="Z58">
        <v>12.4950309230434</v>
      </c>
    </row>
    <row r="59" spans="1:31" ht="16.5" thickBot="1" x14ac:dyDescent="0.3">
      <c r="A59" s="5" t="str">
        <f t="shared" si="42"/>
        <v>biogas_incineration_Emissions_E</v>
      </c>
      <c r="B59" s="197">
        <f t="shared" si="43"/>
        <v>0.43115384615384622</v>
      </c>
      <c r="C59" s="192">
        <f>(E36*B36)/($B$22*$E$22)</f>
        <v>0.43115384615384622</v>
      </c>
      <c r="D59" s="199" t="e">
        <f t="shared" si="44"/>
        <v>#DIV/0!</v>
      </c>
      <c r="E59" s="27">
        <f t="shared" ref="E59:E60" si="45">(F45*B36)/($B$22*$F$31)</f>
        <v>0</v>
      </c>
      <c r="F59" s="213"/>
      <c r="G59" s="213"/>
      <c r="H59" s="213"/>
      <c r="I59" s="213"/>
      <c r="J59" s="213"/>
      <c r="K59" s="213"/>
      <c r="L59" s="213"/>
      <c r="M59" s="223"/>
    </row>
    <row r="60" spans="1:31" ht="16.5" thickBot="1" x14ac:dyDescent="0.3">
      <c r="A60" s="5">
        <f t="shared" si="42"/>
        <v>0</v>
      </c>
      <c r="B60" s="197">
        <f>(B37*$C$41)/($B$22*$C$22)</f>
        <v>0</v>
      </c>
      <c r="C60" s="29">
        <f>($G$41*F37)/($B$22*$E$22)</f>
        <v>0</v>
      </c>
      <c r="D60" s="199">
        <v>0</v>
      </c>
      <c r="E60" s="27">
        <f t="shared" si="45"/>
        <v>0</v>
      </c>
      <c r="F60" s="213"/>
      <c r="G60" s="213"/>
      <c r="H60" s="213"/>
      <c r="I60" s="213"/>
      <c r="J60" s="213"/>
      <c r="K60" s="213"/>
      <c r="L60" s="213"/>
      <c r="M60" s="223"/>
      <c r="W60">
        <v>231718.022875817</v>
      </c>
      <c r="X60" s="190">
        <v>0.06</v>
      </c>
    </row>
    <row r="61" spans="1:31" ht="16.5" thickBot="1" x14ac:dyDescent="0.3">
      <c r="A61" s="5">
        <f t="shared" si="42"/>
        <v>0</v>
      </c>
      <c r="B61" s="30">
        <f t="shared" si="43"/>
        <v>0</v>
      </c>
      <c r="C61" s="29">
        <f>($G$41*F38)/($B$22*$E$22)</f>
        <v>0</v>
      </c>
      <c r="D61" s="28" t="e">
        <f t="shared" si="44"/>
        <v>#DIV/0!</v>
      </c>
      <c r="E61" s="27">
        <f>(F47*B38)/($B$22*$F$31)</f>
        <v>0</v>
      </c>
      <c r="F61" s="213"/>
      <c r="G61" s="213"/>
      <c r="H61" s="213"/>
      <c r="I61" s="213"/>
      <c r="J61" s="213"/>
      <c r="K61" s="213"/>
      <c r="L61" s="213"/>
      <c r="M61" s="223"/>
      <c r="W61">
        <f>W60/6</f>
        <v>38619.670479302833</v>
      </c>
      <c r="X61" s="190">
        <v>0.01</v>
      </c>
    </row>
    <row r="62" spans="1:31" ht="16.5" thickBot="1" x14ac:dyDescent="0.3">
      <c r="A62" s="5" t="e">
        <f t="shared" si="42"/>
        <v>#REF!</v>
      </c>
      <c r="B62" s="30">
        <f t="shared" si="43"/>
        <v>0</v>
      </c>
      <c r="C62" s="29">
        <f>(B39*E39)/($B$22*$E$22)</f>
        <v>0</v>
      </c>
      <c r="D62" s="28" t="e">
        <f t="shared" si="44"/>
        <v>#DIV/0!</v>
      </c>
      <c r="E62" s="27">
        <f t="shared" ref="E62:E63" si="46">(F48*B39)/($B$22*$F$31)</f>
        <v>0</v>
      </c>
      <c r="F62" s="213"/>
      <c r="G62" s="213"/>
      <c r="H62" s="213"/>
      <c r="I62" s="213"/>
      <c r="J62" s="213"/>
      <c r="K62" s="213"/>
      <c r="L62" s="213"/>
      <c r="M62" s="223"/>
      <c r="W62">
        <f>W61*100</f>
        <v>3861967.0479302835</v>
      </c>
      <c r="X62" s="190">
        <v>1</v>
      </c>
    </row>
    <row r="63" spans="1:31" ht="16.5" thickBot="1" x14ac:dyDescent="0.3">
      <c r="A63" s="5">
        <f t="shared" si="42"/>
        <v>0</v>
      </c>
      <c r="B63" s="30">
        <f t="shared" si="43"/>
        <v>0</v>
      </c>
      <c r="C63" s="29">
        <f>(B40*E40)/($B$22*$E$22)</f>
        <v>0</v>
      </c>
      <c r="D63" s="28" t="e">
        <f t="shared" si="44"/>
        <v>#DIV/0!</v>
      </c>
      <c r="E63" s="27">
        <f t="shared" si="46"/>
        <v>0</v>
      </c>
      <c r="F63" s="213"/>
      <c r="G63" s="213"/>
      <c r="H63" s="213"/>
      <c r="I63" s="213"/>
      <c r="J63" s="213"/>
      <c r="K63" s="213"/>
      <c r="L63" s="213"/>
      <c r="M63" s="223"/>
      <c r="W63">
        <v>13565.8284085614</v>
      </c>
      <c r="X63" s="190">
        <f>W63/W62</f>
        <v>3.5126732673267207E-3</v>
      </c>
    </row>
    <row r="64" spans="1:31" ht="16.5" thickBot="1" x14ac:dyDescent="0.3">
      <c r="A64" s="3" t="s">
        <v>109</v>
      </c>
      <c r="B64" s="201">
        <f>SUM(B58:B63)</f>
        <v>1</v>
      </c>
      <c r="C64" s="202">
        <f>SUM(C58:C63)</f>
        <v>1</v>
      </c>
      <c r="D64" s="203" t="e">
        <f>SUM(D58:D63)</f>
        <v>#DIV/0!</v>
      </c>
      <c r="E64" s="204">
        <f>SUM(E58:E63)</f>
        <v>1</v>
      </c>
      <c r="F64" s="213"/>
      <c r="G64" s="213"/>
      <c r="H64" s="213"/>
      <c r="I64" s="213"/>
      <c r="J64" s="213"/>
      <c r="K64" s="213"/>
      <c r="L64" s="213"/>
      <c r="M64" s="223"/>
      <c r="W64">
        <f>W61*96</f>
        <v>3707488.366013072</v>
      </c>
      <c r="X64" s="190">
        <f>W64/W62</f>
        <v>0.96</v>
      </c>
    </row>
    <row r="65" spans="1:31" ht="16.5" thickBot="1" x14ac:dyDescent="0.3">
      <c r="A65" s="224" t="s">
        <v>108</v>
      </c>
      <c r="B65" s="225"/>
      <c r="C65" s="225"/>
      <c r="D65" s="225"/>
      <c r="E65" s="225"/>
      <c r="F65" s="225"/>
      <c r="G65" s="225"/>
      <c r="H65" s="225"/>
      <c r="I65" s="225"/>
      <c r="J65" s="225"/>
      <c r="K65" s="225"/>
      <c r="L65" s="225"/>
      <c r="M65" s="226"/>
      <c r="U65">
        <f>B16*94</f>
        <v>8524519.4142585676</v>
      </c>
    </row>
    <row r="66" spans="1:31" x14ac:dyDescent="0.25">
      <c r="A66" s="4" t="s">
        <v>107</v>
      </c>
      <c r="B66" s="227" t="s">
        <v>106</v>
      </c>
      <c r="C66" s="227"/>
      <c r="D66" s="227"/>
      <c r="E66" s="227"/>
      <c r="F66" s="227"/>
      <c r="G66" s="4" t="s">
        <v>105</v>
      </c>
      <c r="M66" s="25"/>
      <c r="X66" t="s">
        <v>1160</v>
      </c>
      <c r="Y66" t="s">
        <v>88</v>
      </c>
      <c r="AA66" t="s">
        <v>89</v>
      </c>
      <c r="AC66" t="s">
        <v>1161</v>
      </c>
      <c r="AD66" t="s">
        <v>1159</v>
      </c>
    </row>
    <row r="67" spans="1:31" ht="18.75" customHeight="1" x14ac:dyDescent="0.25">
      <c r="A67" s="4" t="s">
        <v>104</v>
      </c>
      <c r="B67" s="213" t="s">
        <v>91</v>
      </c>
      <c r="C67" s="213"/>
      <c r="D67" s="213"/>
      <c r="E67" s="213"/>
      <c r="F67" s="213"/>
      <c r="G67" s="4" t="s">
        <v>103</v>
      </c>
      <c r="M67" s="25"/>
      <c r="X67">
        <f>Y67+AA67</f>
        <v>26</v>
      </c>
      <c r="Y67">
        <v>0</v>
      </c>
      <c r="Z67" s="190">
        <f>Y67/X67</f>
        <v>0</v>
      </c>
      <c r="AA67">
        <v>26</v>
      </c>
      <c r="AB67" s="190">
        <f>AA67/X67</f>
        <v>1</v>
      </c>
      <c r="AC67">
        <f>AA67-AD67</f>
        <v>11.21</v>
      </c>
      <c r="AD67">
        <v>14.79</v>
      </c>
      <c r="AE67" s="207">
        <f>AD67/AA67</f>
        <v>0.56884615384615378</v>
      </c>
    </row>
    <row r="68" spans="1:31" x14ac:dyDescent="0.25">
      <c r="A68" s="4" t="s">
        <v>102</v>
      </c>
      <c r="G68" s="4" t="s">
        <v>101</v>
      </c>
      <c r="M68" s="25"/>
      <c r="X68">
        <f t="shared" ref="X68:X69" si="47">Y68+AA68</f>
        <v>818.46999999999991</v>
      </c>
      <c r="Y68">
        <v>816.18</v>
      </c>
      <c r="Z68" s="190">
        <f t="shared" ref="Z68:Z70" si="48">Y68/X68</f>
        <v>0.99720209659486603</v>
      </c>
      <c r="AA68">
        <f>AC68+AD68</f>
        <v>2.29</v>
      </c>
      <c r="AB68" s="190">
        <f t="shared" ref="AB68:AB70" si="49">AA68/X68</f>
        <v>2.7979034051339698E-3</v>
      </c>
      <c r="AC68">
        <v>0.63</v>
      </c>
      <c r="AD68">
        <v>1.66</v>
      </c>
      <c r="AE68" s="207">
        <f>AD68/AA68</f>
        <v>0.72489082969432306</v>
      </c>
    </row>
    <row r="69" spans="1:31" x14ac:dyDescent="0.25">
      <c r="A69" s="4" t="s">
        <v>100</v>
      </c>
      <c r="G69" s="4" t="s">
        <v>99</v>
      </c>
      <c r="M69" s="25"/>
      <c r="X69">
        <f>Y69+AA69</f>
        <v>52.060348918466602</v>
      </c>
      <c r="Y69">
        <f>9.83972876342784+0.347286821705438</f>
        <v>10.187015585133278</v>
      </c>
      <c r="Z69" s="190">
        <f t="shared" si="48"/>
        <v>0.19567705166723898</v>
      </c>
      <c r="AA69">
        <f>37+4.87333333333333</f>
        <v>41.873333333333328</v>
      </c>
      <c r="AB69" s="190">
        <f t="shared" si="49"/>
        <v>0.80432294833276108</v>
      </c>
      <c r="AC69">
        <f>23.45+0.75</f>
        <v>24.2</v>
      </c>
      <c r="AD69">
        <v>13.15</v>
      </c>
      <c r="AE69" s="207">
        <f>AD69/AA69</f>
        <v>0.31404234994427643</v>
      </c>
    </row>
    <row r="70" spans="1:31" x14ac:dyDescent="0.25">
      <c r="A70" s="4" t="s">
        <v>98</v>
      </c>
      <c r="G70" s="4" t="s">
        <v>97</v>
      </c>
      <c r="M70" s="25"/>
      <c r="X70">
        <f>X68+X69</f>
        <v>870.53034891846653</v>
      </c>
      <c r="Y70">
        <f t="shared" ref="Y70:AD70" si="50">Y68+Y69</f>
        <v>826.36701558513323</v>
      </c>
      <c r="Z70" s="190">
        <f>Y70/X70</f>
        <v>0.9492684736514917</v>
      </c>
      <c r="AA70">
        <f>AA68+AA69</f>
        <v>44.163333333333327</v>
      </c>
      <c r="AB70" s="190">
        <f t="shared" si="49"/>
        <v>5.0731526348508318E-2</v>
      </c>
      <c r="AC70">
        <f t="shared" si="50"/>
        <v>24.83</v>
      </c>
      <c r="AD70">
        <f t="shared" si="50"/>
        <v>14.81</v>
      </c>
      <c r="AE70" s="207">
        <f>AD70/AA70</f>
        <v>0.33534606385387583</v>
      </c>
    </row>
    <row r="71" spans="1:31" x14ac:dyDescent="0.25">
      <c r="A71" s="4" t="s">
        <v>96</v>
      </c>
      <c r="G71" s="4" t="s">
        <v>95</v>
      </c>
      <c r="M71" s="25"/>
      <c r="X71">
        <f t="shared" ref="X71:AA71" si="51">SUM(X67:X69)</f>
        <v>896.53034891846653</v>
      </c>
      <c r="Y71">
        <f t="shared" si="51"/>
        <v>826.36701558513323</v>
      </c>
      <c r="Z71">
        <f t="shared" si="51"/>
        <v>1.1928791482621051</v>
      </c>
      <c r="AA71">
        <f t="shared" si="51"/>
        <v>70.163333333333327</v>
      </c>
      <c r="AC71">
        <f>SUM(AC67:AC69)</f>
        <v>36.04</v>
      </c>
      <c r="AD71">
        <f>SUM(AD67:AD69)</f>
        <v>29.6</v>
      </c>
    </row>
    <row r="72" spans="1:31" ht="15.75" thickBot="1" x14ac:dyDescent="0.3">
      <c r="A72" s="5" t="s">
        <v>94</v>
      </c>
      <c r="B72" s="24"/>
      <c r="C72" s="24"/>
      <c r="D72" s="24"/>
      <c r="E72" s="24"/>
      <c r="F72" s="24"/>
      <c r="G72" s="5" t="s">
        <v>93</v>
      </c>
      <c r="H72" s="24"/>
      <c r="I72" s="24"/>
      <c r="J72" s="24"/>
      <c r="K72" s="24"/>
      <c r="L72" s="24"/>
      <c r="M72" s="23"/>
      <c r="X72">
        <f t="shared" ref="X72:Z72" si="52">X56-X71</f>
        <v>0</v>
      </c>
      <c r="Y72">
        <f t="shared" si="52"/>
        <v>0</v>
      </c>
      <c r="Z72">
        <f t="shared" si="52"/>
        <v>-1.1928791482621051</v>
      </c>
      <c r="AA72">
        <f>AA56-AA71</f>
        <v>0</v>
      </c>
    </row>
    <row r="73" spans="1:31" x14ac:dyDescent="0.25">
      <c r="X73">
        <f>X67/X70</f>
        <v>2.9866850744838476E-2</v>
      </c>
      <c r="AC73">
        <f>AC71-AC56</f>
        <v>-2.3900000000000006</v>
      </c>
      <c r="AD73">
        <f>AD71-AD56</f>
        <v>0</v>
      </c>
    </row>
    <row r="74" spans="1:31" x14ac:dyDescent="0.25">
      <c r="X74">
        <f>X67+X70</f>
        <v>896.53034891846653</v>
      </c>
      <c r="AA74">
        <v>4.8733333333333304</v>
      </c>
    </row>
    <row r="75" spans="1:31" x14ac:dyDescent="0.25">
      <c r="X75">
        <f>X67/X74</f>
        <v>2.9000691422621908E-2</v>
      </c>
    </row>
    <row r="76" spans="1:31" x14ac:dyDescent="0.25">
      <c r="X76">
        <f>X70/X74</f>
        <v>0.97099930857737804</v>
      </c>
    </row>
    <row r="91" spans="18:19" x14ac:dyDescent="0.25">
      <c r="R91">
        <v>100</v>
      </c>
      <c r="S91">
        <v>1.1000000000000001</v>
      </c>
    </row>
    <row r="92" spans="18:19" x14ac:dyDescent="0.25">
      <c r="S92">
        <v>0.9</v>
      </c>
    </row>
  </sheetData>
  <mergeCells count="38">
    <mergeCell ref="B67:F67"/>
    <mergeCell ref="A51:E51"/>
    <mergeCell ref="F51:M51"/>
    <mergeCell ref="F52:M64"/>
    <mergeCell ref="A57:E57"/>
    <mergeCell ref="A65:M65"/>
    <mergeCell ref="B66:F66"/>
    <mergeCell ref="A32:M32"/>
    <mergeCell ref="B33:D33"/>
    <mergeCell ref="E33:H33"/>
    <mergeCell ref="I33:M33"/>
    <mergeCell ref="B42:H42"/>
    <mergeCell ref="I42:M42"/>
    <mergeCell ref="A11:M11"/>
    <mergeCell ref="A13:M13"/>
    <mergeCell ref="B14:D14"/>
    <mergeCell ref="E14:H14"/>
    <mergeCell ref="I14:M14"/>
    <mergeCell ref="B23:H23"/>
    <mergeCell ref="I23:M23"/>
    <mergeCell ref="B8:D8"/>
    <mergeCell ref="F8:H8"/>
    <mergeCell ref="B9:D9"/>
    <mergeCell ref="F9:H9"/>
    <mergeCell ref="B10:D10"/>
    <mergeCell ref="F10:H10"/>
    <mergeCell ref="B5:D5"/>
    <mergeCell ref="F5:H5"/>
    <mergeCell ref="B6:D6"/>
    <mergeCell ref="F6:H6"/>
    <mergeCell ref="B7:D7"/>
    <mergeCell ref="F7:H7"/>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39</vt:i4>
      </vt:variant>
    </vt:vector>
  </HeadingPairs>
  <TitlesOfParts>
    <vt:vector size="6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 (2)</vt:lpstr>
      <vt:lpstr>PX - Template</vt:lpstr>
      <vt:lpstr>PX - Template (3)</vt:lpstr>
      <vt:lpstr>PX - Template (4)</vt:lpstr>
      <vt:lpstr>PX - Template (5)</vt:lpstr>
      <vt:lpstr>PX - Template (6)</vt:lpstr>
      <vt:lpstr>FlowNames</vt:lpstr>
      <vt:lpstr>'PX - Template (2)'!List_DSM_Parameters</vt:lpstr>
      <vt:lpstr>'PX - Template (3)'!List_DSM_Parameters</vt:lpstr>
      <vt:lpstr>'PX - Template (4)'!List_DSM_Parameters</vt:lpstr>
      <vt:lpstr>'PX - Template (5)'!List_DSM_Parameters</vt:lpstr>
      <vt:lpstr>'PX - Template (6)'!List_DSM_Parameters</vt:lpstr>
      <vt:lpstr>List_DSM_Parameters</vt:lpstr>
      <vt:lpstr>'PX - Template (2)'!List_dynamic_TC_Parameters</vt:lpstr>
      <vt:lpstr>'PX - Template (3)'!List_dynamic_TC_Parameters</vt:lpstr>
      <vt:lpstr>'PX - Template (4)'!List_dynamic_TC_Parameters</vt:lpstr>
      <vt:lpstr>'PX - Template (5)'!List_dynamic_TC_Parameters</vt:lpstr>
      <vt:lpstr>'PX - Template (6)'!List_dynamic_TC_Parameters</vt:lpstr>
      <vt:lpstr>List_dynamic_TC_Parameters</vt:lpstr>
      <vt:lpstr>'PX - Template (2)'!List_FOMP_Parameters</vt:lpstr>
      <vt:lpstr>'PX - Template (3)'!List_FOMP_Parameters</vt:lpstr>
      <vt:lpstr>'PX - Template (4)'!List_FOMP_Parameters</vt:lpstr>
      <vt:lpstr>'PX - Template (5)'!List_FOMP_Parameters</vt:lpstr>
      <vt:lpstr>'PX - Template (6)'!List_FOMP_Parameters</vt:lpstr>
      <vt:lpstr>List_FOMP_Parameters</vt:lpstr>
      <vt:lpstr>'PX - Template (2)'!List_Initial_Stock_Parameters</vt:lpstr>
      <vt:lpstr>'PX - Template (3)'!List_Initial_Stock_Parameters</vt:lpstr>
      <vt:lpstr>'PX - Template (4)'!List_Initial_Stock_Parameters</vt:lpstr>
      <vt:lpstr>'PX - Template (5)'!List_Initial_Stock_Parameters</vt:lpstr>
      <vt:lpstr>'PX - Template (6)'!List_Initial_Stock_Parameters</vt:lpstr>
      <vt:lpstr>List_Initial_Stock_Parameters</vt:lpstr>
      <vt:lpstr>'PX - Template (2)'!List_static_TC_Parameters</vt:lpstr>
      <vt:lpstr>'PX - Template (3)'!List_static_TC_Parameters</vt:lpstr>
      <vt:lpstr>'PX - Template (4)'!List_static_TC_Parameters</vt:lpstr>
      <vt:lpstr>'PX - Template (5)'!List_static_TC_Parameters</vt:lpstr>
      <vt:lpstr>'PX - Template (6)'!List_static_TC_Parameters</vt:lpstr>
      <vt:lpstr>List_static_TC_Parameters</vt:lpstr>
      <vt:lpstr>'PX - Template (2)'!List_Uncertainty_Parameters</vt:lpstr>
      <vt:lpstr>'PX - Template (3)'!List_Uncertainty_Parameters</vt:lpstr>
      <vt:lpstr>'PX - Template (4)'!List_Uncertainty_Parameters</vt:lpstr>
      <vt:lpstr>'PX - Template (5)'!List_Uncertainty_Parameters</vt:lpstr>
      <vt:lpstr>'PX - Template (6)'!List_Uncertainty_Parameters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2026-01-19T22:55:32Z</dcterms:modified>
</cp:coreProperties>
</file>