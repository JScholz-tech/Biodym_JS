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46E18B4C-2E4C-490D-8A6F-DF3DD4FB822F}" xr6:coauthVersionLast="47" xr6:coauthVersionMax="47" xr10:uidLastSave="{00000000-0000-0000-0000-000000000000}"/>
  <bookViews>
    <workbookView xWindow="-120" yWindow="-120" windowWidth="38640" windowHeight="21120" tabRatio="840" firstSheet="1" activeTab="10"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33" l="1"/>
  <c r="Q19" i="33" s="1"/>
  <c r="I20" i="33"/>
  <c r="Q20" i="33" s="1"/>
  <c r="B19" i="33"/>
  <c r="C19" i="33"/>
  <c r="F19" i="33"/>
  <c r="S19" i="33"/>
  <c r="U19" i="33" s="1"/>
  <c r="W19" i="33"/>
  <c r="B20" i="33"/>
  <c r="C20" i="33"/>
  <c r="S20" i="33"/>
  <c r="U20" i="33" s="1"/>
  <c r="W20" i="33"/>
  <c r="A6" i="42"/>
  <c r="A7" i="42"/>
  <c r="A8" i="42"/>
  <c r="A9" i="42"/>
  <c r="A10" i="42"/>
  <c r="A11" i="42"/>
  <c r="A12" i="42"/>
  <c r="A13" i="42"/>
  <c r="A14" i="42"/>
  <c r="A15" i="42"/>
  <c r="B4" i="39"/>
  <c r="C4" i="39"/>
  <c r="E4" i="39"/>
  <c r="F4" i="39"/>
  <c r="G4" i="39"/>
  <c r="H4" i="39"/>
  <c r="I4" i="39"/>
  <c r="J4" i="39"/>
  <c r="K4" i="39"/>
  <c r="L4" i="39"/>
  <c r="M4" i="39"/>
  <c r="B5" i="39"/>
  <c r="C5" i="39"/>
  <c r="E5" i="39"/>
  <c r="F5" i="39"/>
  <c r="G5" i="39"/>
  <c r="H5" i="39"/>
  <c r="I5" i="39"/>
  <c r="J5" i="39"/>
  <c r="K5" i="39"/>
  <c r="L5" i="39"/>
  <c r="M5" i="39"/>
  <c r="B6" i="39"/>
  <c r="C6" i="39"/>
  <c r="E6" i="39"/>
  <c r="F6" i="39"/>
  <c r="G6" i="39"/>
  <c r="H6" i="39"/>
  <c r="I6" i="39"/>
  <c r="J6" i="39"/>
  <c r="K6" i="39"/>
  <c r="L6" i="39"/>
  <c r="M6" i="39"/>
  <c r="B9" i="39"/>
  <c r="C9" i="39"/>
  <c r="E9" i="39"/>
  <c r="F9" i="39"/>
  <c r="H20" i="33" s="1"/>
  <c r="G9" i="39"/>
  <c r="F20" i="33" s="1"/>
  <c r="H9" i="39"/>
  <c r="G20" i="33" s="1"/>
  <c r="I9" i="39"/>
  <c r="J9" i="39"/>
  <c r="K9" i="39"/>
  <c r="L9" i="39"/>
  <c r="M9" i="39"/>
  <c r="B10" i="39"/>
  <c r="C10" i="39"/>
  <c r="E10" i="39"/>
  <c r="F10" i="39"/>
  <c r="G10" i="39"/>
  <c r="H10" i="39"/>
  <c r="I10" i="39"/>
  <c r="J10" i="39"/>
  <c r="K10" i="39"/>
  <c r="L10" i="39"/>
  <c r="M10" i="39"/>
  <c r="B2" i="39"/>
  <c r="C2" i="39"/>
  <c r="E2" i="39"/>
  <c r="F2" i="39"/>
  <c r="G2" i="39"/>
  <c r="H2" i="39"/>
  <c r="I2" i="39"/>
  <c r="J2" i="39"/>
  <c r="K2" i="39"/>
  <c r="L2" i="39"/>
  <c r="M2" i="39"/>
  <c r="B3" i="39"/>
  <c r="C3" i="39"/>
  <c r="E3" i="39"/>
  <c r="F3" i="39"/>
  <c r="G3" i="39"/>
  <c r="H3" i="39"/>
  <c r="I3" i="39"/>
  <c r="J3" i="39"/>
  <c r="K3" i="39"/>
  <c r="L3" i="39"/>
  <c r="M3" i="39"/>
  <c r="A4" i="42"/>
  <c r="A5" i="42"/>
  <c r="A16" i="42"/>
  <c r="A17" i="42"/>
  <c r="U5" i="15"/>
  <c r="U6" i="15"/>
  <c r="M19" i="33" l="1"/>
  <c r="H19" i="33"/>
  <c r="G19" i="33"/>
  <c r="T20" i="33"/>
  <c r="M20" i="33"/>
  <c r="K20" i="33"/>
  <c r="K19" i="33"/>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4" i="39"/>
  <c r="C14" i="39"/>
  <c r="E14" i="39"/>
  <c r="F14" i="39"/>
  <c r="G14" i="39"/>
  <c r="H14" i="39"/>
  <c r="I14" i="39"/>
  <c r="J14" i="39"/>
  <c r="K14" i="39"/>
  <c r="L14" i="39"/>
  <c r="M14"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7" i="39"/>
  <c r="F8" i="39"/>
  <c r="H21" i="33"/>
  <c r="F11" i="39"/>
  <c r="F12" i="39"/>
  <c r="F13"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7" i="39"/>
  <c r="M8" i="39"/>
  <c r="M11" i="39"/>
  <c r="M12" i="39"/>
  <c r="M13"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L7" i="39"/>
  <c r="L8" i="39"/>
  <c r="L11" i="39"/>
  <c r="L12" i="39"/>
  <c r="L13"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J7" i="39"/>
  <c r="J8" i="39"/>
  <c r="J11" i="39"/>
  <c r="J12" i="39"/>
  <c r="J13"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K7" i="39"/>
  <c r="K8" i="39"/>
  <c r="K11" i="39"/>
  <c r="K12" i="39"/>
  <c r="K13"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3" i="39"/>
  <c r="H13" i="39"/>
  <c r="G13" i="39"/>
  <c r="E13" i="39"/>
  <c r="C13" i="39"/>
  <c r="B13" i="39"/>
  <c r="I12" i="39"/>
  <c r="H12" i="39"/>
  <c r="G12" i="39"/>
  <c r="E12" i="39"/>
  <c r="C12" i="39"/>
  <c r="B12" i="39"/>
  <c r="I11" i="39"/>
  <c r="H11" i="39"/>
  <c r="G11" i="39"/>
  <c r="E11" i="39"/>
  <c r="C11" i="39"/>
  <c r="B11" i="39"/>
  <c r="I8" i="39"/>
  <c r="H8" i="39"/>
  <c r="G8" i="39"/>
  <c r="E8" i="39"/>
  <c r="C8" i="39"/>
  <c r="B8" i="39"/>
  <c r="I7" i="39"/>
  <c r="H7" i="39"/>
  <c r="G7" i="39"/>
  <c r="E7" i="39"/>
  <c r="C7" i="39"/>
  <c r="B7"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14" i="15" l="1"/>
  <c r="Q49" i="33"/>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34" i="15" l="1"/>
  <c r="R34" i="15"/>
  <c r="O61" i="15"/>
  <c r="R25" i="15"/>
  <c r="R61" i="15"/>
  <c r="L25" i="15"/>
  <c r="O37" i="15"/>
  <c r="I8" i="33"/>
  <c r="I9" i="33"/>
  <c r="I7" i="33"/>
  <c r="I6"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Q9" i="33" l="1"/>
  <c r="K9" i="33"/>
  <c r="M9" i="33"/>
  <c r="O9" i="33"/>
  <c r="K8" i="33"/>
  <c r="M8" i="33"/>
  <c r="O8" i="33"/>
  <c r="Q8" i="33"/>
  <c r="K6" i="33"/>
  <c r="M6" i="33"/>
  <c r="O6" i="33"/>
  <c r="Q6"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O2" i="39" l="1"/>
  <c r="V2" i="39" s="1"/>
  <c r="O10" i="39"/>
  <c r="O6" i="39"/>
  <c r="O9" i="39"/>
  <c r="O5"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R2" i="39" l="1"/>
  <c r="P2" i="39"/>
  <c r="T2" i="39"/>
  <c r="T5" i="39"/>
  <c r="R5" i="39"/>
  <c r="P5" i="39"/>
  <c r="V5" i="39"/>
  <c r="P9" i="39"/>
  <c r="T9" i="39"/>
  <c r="R9" i="39"/>
  <c r="V9" i="39"/>
  <c r="P6" i="39"/>
  <c r="V6" i="39"/>
  <c r="T6" i="39"/>
  <c r="R6" i="39"/>
  <c r="V10" i="39"/>
  <c r="T10" i="39"/>
  <c r="R10" i="39"/>
  <c r="P10" i="39"/>
  <c r="Q17" i="33"/>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10" i="33"/>
  <c r="I12"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O12" i="33"/>
  <c r="Q12" i="33"/>
  <c r="Q11" i="33"/>
  <c r="O11" i="33"/>
  <c r="O16" i="33"/>
  <c r="Q16" i="33"/>
  <c r="O18" i="33"/>
  <c r="Q18" i="33"/>
  <c r="Y15" i="2"/>
  <c r="AC15" i="2"/>
  <c r="AG15" i="2"/>
  <c r="Y44" i="2"/>
  <c r="AC44" i="2"/>
  <c r="AG44" i="2"/>
  <c r="Y211" i="2"/>
  <c r="AG211" i="2"/>
  <c r="AC211" i="2"/>
  <c r="Y72" i="2"/>
  <c r="AG72" i="2"/>
  <c r="AC72" i="2"/>
  <c r="Y101" i="2"/>
  <c r="AC101" i="2"/>
  <c r="AG101" i="2"/>
  <c r="M11" i="33"/>
  <c r="K11" i="33"/>
  <c r="Q10" i="33"/>
  <c r="O10" i="33"/>
  <c r="K10" i="33"/>
  <c r="M10" i="33"/>
  <c r="M12" i="33"/>
  <c r="K12" i="33"/>
  <c r="M21" i="33"/>
  <c r="K21" i="33"/>
  <c r="M22" i="33"/>
  <c r="K22" i="33"/>
  <c r="K16" i="33"/>
  <c r="M16" i="33"/>
  <c r="M18" i="33"/>
  <c r="K18" i="33"/>
  <c r="T11" i="33"/>
  <c r="T10" i="33"/>
  <c r="T12"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O3" i="39" s="1"/>
  <c r="P3" i="39" l="1"/>
  <c r="R3" i="39"/>
  <c r="V3" i="39"/>
  <c r="T3" i="39"/>
  <c r="Y73" i="2"/>
  <c r="AG73" i="2"/>
  <c r="AC73" i="2"/>
  <c r="Y45" i="2"/>
  <c r="AC45" i="2"/>
  <c r="AG45" i="2"/>
  <c r="Y212" i="2"/>
  <c r="AC212" i="2"/>
  <c r="AG212" i="2"/>
  <c r="Y102" i="2"/>
  <c r="AC102" i="2"/>
  <c r="AG102" i="2"/>
  <c r="Y16" i="2"/>
  <c r="AC16" i="2"/>
  <c r="AG16" i="2"/>
  <c r="R8" i="15"/>
  <c r="L8" i="15"/>
  <c r="O8" i="15"/>
  <c r="U17" i="2"/>
  <c r="U46" i="2"/>
  <c r="U74" i="2"/>
  <c r="U103" i="2"/>
  <c r="U213" i="2"/>
  <c r="Y46" i="2" l="1"/>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O4" i="39" s="1"/>
  <c r="V4" i="39" l="1"/>
  <c r="P4" i="39"/>
  <c r="T4" i="39"/>
  <c r="R4" i="39"/>
  <c r="Y218" i="2"/>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Y109" i="2" l="1"/>
  <c r="AG109" i="2"/>
  <c r="AC109" i="2"/>
  <c r="Y219" i="2"/>
  <c r="AC219" i="2"/>
  <c r="AG219" i="2"/>
  <c r="Y80" i="2"/>
  <c r="AG80" i="2"/>
  <c r="AC80" i="2"/>
  <c r="Y52" i="2"/>
  <c r="AC52" i="2"/>
  <c r="AG52" i="2"/>
  <c r="Y23" i="2"/>
  <c r="AC23" i="2"/>
  <c r="AG23" i="2"/>
  <c r="O2" i="33"/>
  <c r="Q2" i="33"/>
  <c r="K2" i="33"/>
  <c r="M2" i="33"/>
  <c r="O14" i="39"/>
  <c r="O33" i="39"/>
  <c r="B8" i="46"/>
  <c r="B10" i="46"/>
  <c r="O17" i="39"/>
  <c r="O25" i="39"/>
  <c r="O13" i="39"/>
  <c r="O35" i="39"/>
  <c r="B14" i="46"/>
  <c r="B9" i="46"/>
  <c r="O7" i="39"/>
  <c r="B11" i="46"/>
  <c r="T6" i="33"/>
  <c r="O40" i="39"/>
  <c r="B17" i="46"/>
  <c r="O18" i="39"/>
  <c r="O42" i="39"/>
  <c r="O34" i="39"/>
  <c r="O21" i="39"/>
  <c r="O45" i="39"/>
  <c r="O47" i="39"/>
  <c r="O50" i="39"/>
  <c r="O24" i="39"/>
  <c r="O27" i="39"/>
  <c r="O41" i="39"/>
  <c r="O44" i="39"/>
  <c r="O31" i="39"/>
  <c r="O30" i="39"/>
  <c r="O28" i="39"/>
  <c r="O48" i="39"/>
  <c r="O22" i="39"/>
  <c r="O43" i="39"/>
  <c r="O23" i="39"/>
  <c r="O38" i="39"/>
  <c r="O12" i="39"/>
  <c r="O26" i="39"/>
  <c r="O16" i="39"/>
  <c r="O51" i="39"/>
  <c r="O29" i="39"/>
  <c r="O32" i="39"/>
  <c r="O8" i="39"/>
  <c r="O36" i="39"/>
  <c r="O19" i="39"/>
  <c r="O11" i="39"/>
  <c r="O15" i="39"/>
  <c r="O46" i="39"/>
  <c r="O20" i="39"/>
  <c r="O49" i="39"/>
  <c r="O37" i="39"/>
  <c r="O39"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6" i="39"/>
  <c r="T36" i="39"/>
  <c r="V36" i="39"/>
  <c r="R39" i="39"/>
  <c r="T39" i="39"/>
  <c r="V39" i="39"/>
  <c r="R51" i="39"/>
  <c r="T51" i="39"/>
  <c r="V51" i="39"/>
  <c r="V31" i="39"/>
  <c r="R31" i="39"/>
  <c r="T31" i="39"/>
  <c r="V18" i="39"/>
  <c r="R18" i="39"/>
  <c r="T18" i="39"/>
  <c r="R13" i="39"/>
  <c r="T13" i="39"/>
  <c r="V13" i="39"/>
  <c r="T32" i="39"/>
  <c r="V32" i="39"/>
  <c r="R32" i="39"/>
  <c r="R17" i="39"/>
  <c r="T17" i="39"/>
  <c r="V17" i="39"/>
  <c r="R37" i="39"/>
  <c r="T37" i="39"/>
  <c r="V37" i="39"/>
  <c r="R16" i="39"/>
  <c r="T16" i="39"/>
  <c r="V16" i="39"/>
  <c r="T44" i="39"/>
  <c r="V44" i="39"/>
  <c r="R44" i="39"/>
  <c r="R35" i="39"/>
  <c r="T35" i="39"/>
  <c r="V35" i="39"/>
  <c r="R29" i="39"/>
  <c r="T29" i="39"/>
  <c r="V29" i="39"/>
  <c r="R49" i="39"/>
  <c r="T49" i="39"/>
  <c r="V49" i="39"/>
  <c r="R26" i="39"/>
  <c r="T26" i="39"/>
  <c r="V26" i="39"/>
  <c r="R41" i="39"/>
  <c r="T41" i="39"/>
  <c r="V41" i="39"/>
  <c r="R40" i="39"/>
  <c r="T40" i="39"/>
  <c r="V40" i="39"/>
  <c r="T33" i="39"/>
  <c r="V33" i="39"/>
  <c r="R33" i="39"/>
  <c r="T21" i="39"/>
  <c r="V21" i="39"/>
  <c r="R21" i="39"/>
  <c r="V30" i="39"/>
  <c r="R30" i="39"/>
  <c r="T30" i="39"/>
  <c r="T20" i="39"/>
  <c r="V20" i="39"/>
  <c r="R20" i="39"/>
  <c r="R27" i="39"/>
  <c r="T27" i="39"/>
  <c r="V27" i="39"/>
  <c r="R14" i="39"/>
  <c r="T14" i="39"/>
  <c r="V14" i="39"/>
  <c r="T8" i="39"/>
  <c r="V8" i="39"/>
  <c r="R8" i="39"/>
  <c r="R28" i="39"/>
  <c r="T28" i="39"/>
  <c r="V28" i="39"/>
  <c r="R46" i="39"/>
  <c r="T46" i="39"/>
  <c r="V46" i="39"/>
  <c r="R12" i="39"/>
  <c r="T12" i="39"/>
  <c r="V12" i="39"/>
  <c r="R24" i="39"/>
  <c r="T24" i="39"/>
  <c r="V24" i="39"/>
  <c r="R22" i="39"/>
  <c r="T22" i="39"/>
  <c r="V22" i="39"/>
  <c r="R34" i="39"/>
  <c r="T34" i="39"/>
  <c r="V34" i="39"/>
  <c r="R15" i="39"/>
  <c r="T15" i="39"/>
  <c r="V15" i="39"/>
  <c r="R38" i="39"/>
  <c r="T38" i="39"/>
  <c r="V38" i="39"/>
  <c r="R50" i="39"/>
  <c r="T50" i="39"/>
  <c r="V50" i="39"/>
  <c r="V7" i="39"/>
  <c r="R7" i="39"/>
  <c r="T7" i="39"/>
  <c r="R48" i="39"/>
  <c r="T48" i="39"/>
  <c r="V48" i="39"/>
  <c r="V42" i="39"/>
  <c r="R42" i="39"/>
  <c r="T42" i="39"/>
  <c r="R11" i="39"/>
  <c r="T11" i="39"/>
  <c r="V11" i="39"/>
  <c r="R23" i="39"/>
  <c r="T23" i="39"/>
  <c r="V23" i="39"/>
  <c r="R47" i="39"/>
  <c r="T47" i="39"/>
  <c r="V47" i="39"/>
  <c r="R25" i="39"/>
  <c r="T25" i="39"/>
  <c r="V25" i="39"/>
  <c r="V19" i="39"/>
  <c r="R19" i="39"/>
  <c r="T19" i="39"/>
  <c r="V43" i="39"/>
  <c r="R43" i="39"/>
  <c r="T43" i="39"/>
  <c r="T45" i="39"/>
  <c r="V45" i="39"/>
  <c r="R45"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4" i="39"/>
  <c r="P27" i="39"/>
  <c r="P8" i="39"/>
  <c r="P22" i="39"/>
  <c r="P21" i="39"/>
  <c r="P32" i="39"/>
  <c r="P48" i="39"/>
  <c r="P34" i="39"/>
  <c r="P35" i="39"/>
  <c r="P29" i="39"/>
  <c r="P28" i="39"/>
  <c r="P13" i="39"/>
  <c r="P40" i="39"/>
  <c r="P39" i="39"/>
  <c r="P30" i="39"/>
  <c r="P42" i="39"/>
  <c r="P25" i="39"/>
  <c r="P37" i="39"/>
  <c r="P51" i="39"/>
  <c r="P31" i="39"/>
  <c r="P17" i="39"/>
  <c r="P49" i="39"/>
  <c r="P16" i="39"/>
  <c r="P44" i="39"/>
  <c r="P18" i="39"/>
  <c r="P20" i="39"/>
  <c r="P26" i="39"/>
  <c r="P41" i="39"/>
  <c r="P12" i="39"/>
  <c r="P11" i="39"/>
  <c r="P38" i="39"/>
  <c r="P50" i="39"/>
  <c r="P33" i="39"/>
  <c r="P24" i="39"/>
  <c r="P19" i="39"/>
  <c r="P23" i="39"/>
  <c r="P47" i="39"/>
  <c r="P7" i="39"/>
  <c r="P46" i="39"/>
  <c r="P15" i="39"/>
  <c r="P36" i="39"/>
  <c r="P43" i="39"/>
  <c r="P45"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<sst xmlns="http://schemas.openxmlformats.org/spreadsheetml/2006/main" count="3350" uniqueCount="762">
  <si>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</si>
  <si>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</si>
  <si>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</si>
  <si>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</si>
  <si>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</si>
  <si>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</si>
  <si>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</si>
  <si>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</si>
  <si>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</si>
  <si>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</si>
  <si>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</si>
  <si>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</si>
  <si>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</si>
  <si>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</si>
  <si>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</si>
  <si>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</si>
  <si>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</si>
  <si>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</si>
  <si>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</si>
  <si>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</si>
  <si>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</si>
  <si>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</si>
  <si>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</si>
  <si>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</si>
  <si>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</si>
  <si>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</si>
  <si>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</si>
  <si>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</si>
  <si>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</si>
  <si>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</si>
  <si>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</si>
  <si>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</si>
  <si>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</si>
  <si>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</si>
  <si>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</si>
  <si>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</si>
  <si>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</si>
  <si>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</si>
  <si>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</si>
  <si>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</si>
  <si>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</si>
  <si>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</si>
  <si>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</si>
  <si>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</si>
  <si>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</si>
  <si>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</si>
  <si>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</si>
  <si>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</si>
  <si>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</si>
  <si>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</si>
  <si>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</si>
  <si>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</si>
  <si>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</si>
  <si>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</si>
  <si>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</si>
  <si>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</si>
  <si>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</si>
  <si>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</si>
  <si>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</si>
  <si>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</si>
  <si>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</si>
  <si>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</si>
  <si>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</si>
  <si>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</si>
  <si>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</si>
  <si>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</si>
  <si>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</si>
  <si>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</si>
  <si>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</si>
  <si>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</si>
  <si>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</si>
  <si>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</si>
  <si>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</si>
  <si>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</si>
  <si>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</si>
  <si>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</si>
  <si>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</si>
  <si>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</si>
  <si>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</si>
  <si>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</si>
  <si>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</si>
  <si>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</si>
  <si>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</si>
  <si>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</si>
  <si>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</si>
  <si>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</si>
  <si>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</si>
  <si>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</si>
  <si>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</si>
  <si>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</si>
  <si>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</si>
  <si>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</si>
  <si>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</si>
  <si>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</si>
  <si>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</si>
  <si>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</si>
  <si>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</si>
  <si>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</si>
  <si>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</si>
  <si>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</si>
  <si>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</si>
  <si>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</si>
  <si>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</si>
  <si>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</si>
  <si>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</si>
  <si>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</si>
  <si>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</si>
  <si>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</si>
  <si>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</si>
  <si>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</si>
  <si>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</si>
  <si>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</si>
  <si>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</si>
  <si>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</si>
  <si>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</si>
  <si>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</si>
  <si>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</si>
  <si>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</si>
  <si>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</si>
  <si>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</si>
  <si>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</si>
  <si>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</si>
  <si>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</si>
  <si>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</si>
  <si>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</si>
  <si>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</si>
  <si>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</si>
  <si>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</si>
  <si>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</si>
  <si>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</si>
  <si>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</si>
  <si>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</si>
  <si>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</si>
  <si>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</si>
  <si>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</si>
  <si>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</si>
  <si>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</si>
  <si>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</si>
  <si>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</si>
  <si>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</si>
  <si>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</si>
  <si>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</si>
  <si>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</si>
  <si>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</si>
  <si>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</si>
  <si>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</si>
  <si>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</si>
  <si>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</si>
  <si>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</si>
  <si>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</si>
  <si>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</si>
  <si>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</si>
  <si>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</si>
  <si>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</si>
  <si>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</si>
  <si>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</si>
  <si>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</si>
  <si>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</si>
  <si>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</si>
  <si>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</si>
  <si>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</si>
  <si>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</si>
  <si>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</si>
  <si>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</si>
  <si>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</si>
  <si>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</si>
  <si>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</si>
  <si>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</si>
  <si>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</si>
  <si>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</si>
  <si>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</si>
  <si>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</si>
  <si>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</si>
  <si>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</si>
  <si>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</si>
  <si>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</si>
  <si>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</si>
  <si>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</si>
  <si>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</si>
  <si>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</si>
  <si>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</si>
  <si>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</si>
  <si>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</si>
  <si>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</si>
  <si>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</si>
  <si>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</si>
  <si>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</si>
  <si>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</si>
  <si>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</si>
  <si>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</si>
  <si>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</si>
  <si>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</si>
  <si>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</si>
  <si>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</si>
  <si>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</si>
  <si>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</si>
  <si>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</si>
  <si>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</si>
  <si>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</si>
  <si>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</si>
  <si>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</si>
  <si>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</si>
  <si>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</si>
  <si>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</si>
  <si>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</si>
  <si>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</si>
  <si>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</si>
  <si>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</si>
  <si>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</si>
  <si>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</si>
  <si>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</si>
  <si>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</si>
  <si>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</si>
  <si>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</si>
  <si>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</si>
  <si>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</si>
  <si>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</si>
  <si>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</si>
  <si>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</si>
  <si>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</si>
  <si>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</si>
  <si>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</si>
  <si>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</si>
  <si>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</si>
  <si>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</si>
  <si>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</si>
  <si>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</si>
  <si>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</si>
  <si>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</si>
  <si>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</si>
  <si>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</si>
  <si>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</si>
  <si>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</si>
  <si>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</si>
  <si>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</si>
  <si>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</si>
  <si>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</si>
  <si>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</si>
  <si>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</si>
  <si>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</si>
  <si>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</si>
  <si>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</si>
  <si>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</si>
  <si>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</si>
  <si>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</si>
  <si>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</si>
  <si>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</si>
  <si>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</si>
  <si>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</si>
  <si>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</si>
  <si>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</si>
  <si>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</si>
  <si>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</si>
  <si>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</si>
  <si>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</si>
  <si>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</si>
  <si>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</si>
  <si>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</si>
  <si>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</si>
  <si>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</si>
  <si>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</si>
  <si>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</si>
  <si>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</si>
  <si>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</si>
  <si>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</si>
  <si>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</si>
  <si>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</si>
  <si>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</si>
  <si>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</si>
  <si>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</si>
  <si>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</si>
  <si>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</si>
  <si>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</si>
  <si>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</si>
  <si>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</si>
  <si>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</si>
  <si>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</si>
  <si>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</si>
  <si>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</si>
  <si>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</si>
  <si>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</si>
  <si>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</si>
  <si>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</si>
  <si>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</si>
  <si>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</si>
  <si>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</si>
  <si>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</si>
  <si>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</si>
  <si>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</si>
  <si>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</si>
  <si>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</si>
  <si>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</si>
  <si>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</si>
  <si>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</si>
  <si>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</si>
  <si>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</si>
  <si>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</si>
  <si>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</si>
  <si>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</si>
  <si>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</si>
  <si>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</si>
  <si>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</si>
  <si>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</si>
  <si>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</si>
  <si>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</si>
  <si>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</si>
  <si>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</si>
  <si>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</si>
  <si>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</si>
  <si>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</si>
  <si>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</si>
  <si>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</si>
  <si>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</si>
  <si>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</si>
  <si>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</si>
  <si>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</si>
  <si>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</si>
  <si>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</si>
  <si>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</si>
  <si>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</si>
  <si>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</si>
  <si>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</si>
  <si>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</si>
  <si>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</si>
  <si>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</si>
  <si>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</si>
  <si>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</si>
  <si>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</si>
  <si>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</si>
  <si>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</si>
  <si>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</si>
  <si>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</si>
  <si>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</si>
  <si>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</si>
  <si>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</si>
  <si>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</si>
  <si>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</si>
  <si>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</si>
  <si>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</si>
  <si>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</si>
  <si>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</si>
  <si>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</si>
  <si>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</si>
  <si>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</si>
  <si>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</si>
  <si>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</si>
  <si>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</si>
  <si>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</si>
  <si>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</si>
  <si>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</si>
  <si>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</si>
  <si>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</si>
  <si>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</si>
  <si>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</si>
  <si>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</si>
  <si>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</si>
  <si>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</si>
  <si>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</si>
  <si>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</si>
  <si>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</si>
  <si>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</si>
  <si>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</si>
  <si>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</si>
  <si>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</si>
  <si>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</si>
  <si>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</si>
  <si>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</si>
  <si>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</si>
  <si>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</si>
  <si>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</si>
  <si>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</si>
  <si>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</si>
  <si>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</si>
  <si>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</si>
  <si>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</si>
  <si>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</si>
  <si>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</si>
  <si>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</si>
  <si>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</si>
  <si>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</si>
  <si>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</si>
  <si>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</si>
  <si>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</si>
  <si>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</si>
  <si>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</si>
  <si>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</si>
  <si>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</si>
  <si>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</si>
  <si>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</si>
  <si>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</si>
  <si>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</si>
  <si>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</si>
  <si>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</si>
  <si>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</si>
  <si>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</si>
  <si>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</si>
  <si>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</si>
  <si>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</si>
  <si>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</si>
  <si>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</si>
  <si>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</si>
  <si>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</si>
  <si>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</si>
  <si>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</si>
  <si>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</si>
  <si>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</si>
  <si>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</si>
  <si>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</si>
  <si>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</si>
  <si>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</si>
  <si>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</si>
  <si>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</si>
  <si>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</si>
  <si>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</si>
  <si>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</si>
  <si>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</si>
  <si>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</si>
  <si>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</si>
  <si>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</si>
  <si>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</si>
  <si>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</si>
  <si>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</si>
  <si>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</si>
  <si>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</si>
  <si>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</si>
  <si>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</si>
  <si>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</si>
  <si>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</si>
  <si>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</si>
  <si>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</si>
  <si>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</si>
  <si>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</si>
  <si>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</si>
  <si>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</si>
  <si>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</si>
  <si>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</si>
  <si>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</si>
  <si>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</si>
  <si>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</si>
  <si>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</si>
  <si>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</si>
  <si>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</si>
  <si>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</si>
  <si>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</si>
  <si>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</si>
  <si>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</si>
  <si>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</si>
  <si>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</si>
  <si>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</si>
  <si>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</si>
  <si>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</si>
  <si>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</si>
  <si>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</si>
  <si>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</si>
  <si>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</si>
  <si>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</si>
  <si>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</si>
  <si>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</si>
  <si>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</si>
  <si>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</si>
  <si>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</si>
  <si>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</si>
  <si>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</si>
  <si>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</si>
  <si>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</si>
  <si>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</si>
  <si>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</si>
  <si>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</si>
  <si>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</si>
  <si>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</si>
  <si>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</si>
  <si>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</si>
  <si>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</si>
  <si>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</si>
  <si>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</si>
  <si>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</si>
  <si>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</si>
  <si>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</si>
  <si>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</si>
  <si>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</si>
  <si>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</si>
  <si>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</si>
  <si>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</si>
  <si>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</si>
  <si>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</si>
  <si>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</si>
  <si>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</si>
  <si>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</si>
  <si>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</si>
  <si>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</si>
  <si>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</si>
  <si>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</si>
  <si>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</si>
  <si>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</si>
  <si>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</si>
  <si>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</si>
  <si>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</si>
  <si>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</si>
  <si>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</si>
  <si>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</si>
  <si>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</si>
  <si>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</si>
  <si>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</si>
  <si>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</si>
  <si>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</si>
  <si>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</si>
  <si>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</si>
  <si>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</si>
  <si>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</si>
  <si>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</si>
  <si>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</si>
  <si>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</si>
  <si>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</si>
  <si>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</si>
  <si>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</si>
  <si>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</si>
  <si>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</si>
  <si>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</si>
  <si>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</si>
  <si>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</si>
  <si>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</si>
  <si>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</si>
  <si>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</si>
  <si>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</si>
  <si>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</si>
  <si>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</si>
  <si>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</si>
  <si>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</si>
  <si>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</si>
  <si>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</si>
  <si>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</si>
  <si>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</si>
  <si>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</si>
  <si>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</si>
  <si>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</si>
  <si>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</si>
  <si>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</si>
  <si>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</si>
  <si>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</si>
  <si>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</si>
  <si>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</si>
  <si>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</si>
  <si>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</si>
  <si>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</si>
  <si>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</si>
  <si>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</si>
  <si>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</si>
  <si>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</si>
  <si>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</si>
  <si>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</si>
  <si>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</si>
  <si>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</si>
  <si>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</si>
  <si>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</si>
  <si>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</si>
  <si>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</si>
  <si>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</si>
  <si>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</si>
  <si>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</si>
  <si>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</si>
  <si>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</si>
  <si>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</si>
  <si>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</si>
  <si>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</si>
  <si>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</si>
  <si>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</si>
  <si>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</si>
  <si>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</si>
  <si>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</si>
  <si>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</si>
  <si>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</si>
  <si>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</si>
  <si>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</si>
  <si>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</si>
  <si>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</si>
  <si>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</si>
  <si>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</si>
  <si>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</si>
  <si>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</si>
  <si>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</si>
  <si>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</si>
  <si>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</si>
  <si>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</si>
  <si>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</si>
  <si>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</si>
  <si>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</si>
  <si>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</si>
  <si>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</si>
  <si>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</si>
  <si>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</si>
  <si>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</si>
  <si>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</si>
  <si>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</si>
  <si>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</si>
  <si>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</si>
  <si>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</si>
  <si>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</si>
  <si>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</si>
  <si>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</si>
  <si>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</si>
  <si>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</si>
  <si>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</si>
  <si>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</si>
  <si>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</si>
  <si>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</si>
  <si>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</si>
  <si>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</si>
  <si>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</si>
  <si>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</si>
  <si>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</si>
  <si>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</si>
  <si>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</si>
  <si>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</si>
  <si>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</si>
  <si>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</si>
  <si>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</si>
  <si>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</si>
  <si>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</si>
  <si>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</si>
  <si>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</si>
  <si>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</si>
  <si>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</si>
  <si>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</si>
  <si>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</si>
  <si>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</si>
  <si>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</si>
  <si>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</si>
  <si>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</si>
  <si>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</si>
  <si>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</si>
  <si>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</si>
  <si>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</si>
  <si>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</si>
  <si>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</si>
  <si>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</si>
  <si>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</si>
  <si>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</si>
  <si>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</si>
  <si>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</si>
  <si>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</si>
  <si>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</si>
  <si>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</si>
  <si>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</si>
  <si>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</si>
  <si>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</si>
  <si>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</si>
  <si>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</si>
  <si>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</si>
  <si>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</si>
  <si>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</si>
  <si>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</si>
  <si>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</si>
  <si>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</si>
  <si>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</si>
  <si>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</si>
  <si>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</si>
  <si>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</si>
  <si>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</si>
  <si>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</si>
  <si>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</si>
  <si>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</si>
  <si>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</si>
  <si>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</si>
  <si>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</si>
  <si>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</si>
  <si>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</si>
  <si>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</si>
  <si>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</si>
  <si>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</si>
  <si>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</si>
  <si>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</si>
  <si>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</si>
  <si>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</si>
  <si>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</si>
  <si>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</si>
  <si>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</si>
  <si>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</si>
  <si>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</si>
  <si>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</si>
  <si>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</si>
  <si>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</si>
  <si>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</si>
  <si>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</si>
  <si>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</si>
  <si>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</si>
  <si>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</si>
  <si>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</si>
  <si>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</si>
  <si>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</si>
  <si>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</si>
  <si>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</si>
  <si>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</si>
  <si>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</si>
  <si>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</si>
  <si>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</si>
  <si>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</si>
  <si>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</si>
  <si>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</si>
  <si>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</si>
  <si>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</si>
  <si>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</si>
  <si>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</si>
  <si>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</si>
  <si>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</si>
  <si>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</si>
  <si>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</si>
  <si>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</si>
  <si>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</si>
  <si>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</si>
  <si>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</si>
  <si>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</si>
  <si>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</si>
  <si>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</si>
  <si>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</si>
  <si>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</si>
  <si>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</si>
  <si>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</si>
  <si>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</si>
  <si>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</si>
  <si>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</si>
  <si>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</si>
  <si>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</si>
  <si>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</si>
  <si>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</si>
  <si>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</si>
  <si>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</si>
  <si>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</si>
  <si>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</si>
  <si>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</si>
  <si>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</si>
  <si>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</si>
  <si>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</si>
  <si>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</si>
  <si>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</si>
  <si>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</si>
  <si>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</si>
  <si>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</si>
  <si>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</si>
  <si>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</si>
  <si>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</si>
  <si>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</si>
  <si>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</si>
  <si>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</si>
  <si>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</si>
  <si>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</si>
  <si>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</si>
  <si>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</si>
  <si>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</si>
  <si>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</si>
  <si>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</si>
  <si>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</si>
  <si>
    <t>Vielfahrer</t>
  </si>
  <si>
    <t>Mittel</t>
  </si>
  <si>
    <t>Wenigfahrer</t>
  </si>
  <si>
    <t>Reifen_Nach_Nutzung</t>
  </si>
  <si>
    <t>OEPNV</t>
  </si>
  <si>
    <t>Pro-Auto</t>
  </si>
  <si>
    <t>F_14_00</t>
  </si>
  <si>
    <t>F_13_00</t>
  </si>
  <si>
    <t>F_12_00</t>
  </si>
  <si>
    <t>0.7</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</si>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</sst>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15" fillId="7" borderId="12" xfId="11" applyFill="1" applyBorder="1" applyProtection="1">
      <protection locked="0"/>
    </xf>
    <xf numFmtId="164" fontId="5" fillId="35" borderId="12" xfId="3" applyNumberFormat="1"/>
    <xf numFmtId="164" fontId="5" fillId="35" borderId="22"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xf numFmtId="0" fontId="5" fillId="5" borderId="12" xfId="4" applyNumberFormat="1">
      <protection locked="0"/>
    </xf>
    <xf numFmtId="49" fontId="5" fillId="5" borderId="12" xfId="4" applyNumberFormat="1">
      <protection locked="0"/>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5">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"F_"&amp;LEFT(F2,2)&amp;"_"&amp;LEFT(H2,2)</calculatedColumnFormula>
    </tableColumn>
    <tableColumn id="3" xr3:uid="{CA1C6FA9-65CA-47E1-94EA-BBB750256C84}" name="Flow_Name" dataDxfId="101"/>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0">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9"/>
    <tableColumn id="22" xr3:uid="{ABA27704-56CF-4C30-88CB-BB6E944F7F08}" name="WC_source" dataCellStyle="04_Comments"/>
    <tableColumn id="10" xr3:uid="{D0034047-8042-40C2-8630-B9AC9A67EFA6}" name="Flow_DM_ID" dataDxfId="98" dataCellStyle="03_Auto_Calcaulation">
      <calculatedColumnFormula>Tab_Def_Flows[[#This Row],[Flow_ID]]&amp;"_DM"</calculatedColumnFormula>
    </tableColumn>
    <tableColumn id="23" xr3:uid="{5CA0D08F-32C9-451C-A223-78F9E163EE87}" name="Flow_DM" dataDxfId="97"/>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6"/>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5"/>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4">
      <calculatedColumnFormula>_xlfn.XLOOKUP(C2,Tab_Def_Flows[Flow_Name],Tab_Def_Flows[WC?],,0,)</calculatedColumnFormula>
    </tableColumn>
    <tableColumn id="31" xr3:uid="{24B36152-385D-4D3C-A274-72EA56B6819A}" name="DM?" dataDxfId="93">
      <calculatedColumnFormula>_xlfn.XLOOKUP(C2,Tab_Def_Flows[Flow_Name],Tab_Def_Flows[DM?],,0,)</calculatedColumnFormula>
    </tableColumn>
    <tableColumn id="32" xr3:uid="{A086924B-597B-4B7A-B9B2-8397025FD97B}" name="CC?" dataDxfId="92">
      <calculatedColumnFormula>_xlfn.XLOOKUP(C2,Tab_Def_Flows[Flow_Name],Tab_Def_Flows[CC?],,0,)</calculatedColumnFormula>
    </tableColumn>
    <tableColumn id="8" xr3:uid="{99596DFE-48B5-4290-B0F6-A898E061D3F8}" name="Flow_Data_Year"/>
    <tableColumn id="9" xr3:uid="{1ACF4DEC-161A-4C25-85DA-AEB0305665A1}" name="Flow" dataDxfId="91"/>
    <tableColumn id="10" xr3:uid="{830F5101-5C33-4F82-BC56-E2BC7AF81364}" name="UoM_Source"/>
    <tableColumn id="11" xr3:uid="{4CDA8F79-829B-47EF-ADFC-3E43B62F90A4}" name="Name_Source" dataCellStyle="04_Comments"/>
    <tableColumn id="26" xr3:uid="{5682EF5B-30C4-46B4-B5FF-A174139B9E8A}" name="AVV" dataDxfId="90">
      <calculatedColumnFormula>INDEX(#REF!,MATCH(Tab_Data_Flows[[#This Row],[Flow_Name]],#REF!,0),12)</calculatedColumnFormula>
    </tableColumn>
    <tableColumn id="27" xr3:uid="{0FD99FBB-FEDB-4B73-A541-FB8A676D64E7}" name="Titel_Source" dataDxfId="89">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8"/>
    <tableColumn id="25" xr3:uid="{94996270-9A62-4B8C-B04B-D56A7F9FDE30}" name="Name_CF" dataDxfId="87">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6"/>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85"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84"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83"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1" totalsRowShown="0" tableBorderDxfId="78" headerRowCellStyle="05_Header">
  <autoFilter ref="A1:AB51" xr:uid="{7602A998-85E6-499A-B1A3-C584F22BB41F}"/>
  <tableColumns count="28">
    <tableColumn id="33" xr3:uid="{2E104FB0-3B3F-413B-B1B0-969D126AA7B1}" name="Complete?" dataDxfId="77" dataCellStyle="04_Comments"/>
    <tableColumn id="1" xr3:uid="{B9E05773-FB7F-407B-8FB3-BE93F6BB50D9}" name="ID" dataDxfId="76">
      <calculatedColumnFormula>ROW()-1</calculatedColumnFormula>
    </tableColumn>
    <tableColumn id="2" xr3:uid="{4324CFF4-5791-4829-80A7-8BA4CF2CD799}" name="Process_ID" dataDxfId="75">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4">
      <calculatedColumnFormula>_xlfn.XLOOKUP($D2,Tab_Def_Processes[Process_Name],Tab_Def_Processes[Initial_Stock?],,0,)</calculatedColumnFormula>
    </tableColumn>
    <tableColumn id="12" xr3:uid="{1AEDC949-1281-46C8-9543-F9AB0A724F08}" name="DSM?" dataDxfId="73">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2" headerRowBorderDxfId="71" tableBorderDxfId="70">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9" dataCellStyle="04_Comments"/>
    <tableColumn id="1" xr3:uid="{CE7CE076-C32F-4791-85A9-C6321A66E672}" name="ID" dataDxfId="68">
      <calculatedColumnFormula>ROW()-1</calculatedColumnFormula>
    </tableColumn>
    <tableColumn id="2" xr3:uid="{F7259AFD-9D16-4ACC-BDB2-8D0DCC203B92}" name="Process_ID" dataDxfId="67"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66"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5"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3">
      <calculatedColumnFormula>"TC"&amp;"_"&amp;RIGHT(S2,5)</calculatedColumnFormula>
    </tableColumn>
    <tableColumn id="50" xr3:uid="{5AF5E9BC-3B3E-4244-A22E-AC3284E0E97C}" name="TC O_6_[%]" dataDxfId="62" dataCellStyle="Percent"/>
    <tableColumn id="51" xr3:uid="{B76A3DEE-BBAC-4CE1-BE1D-2941B928DB78}" name="Sum_TC_O" dataDxfId="61"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0" headerRowCellStyle="05_Header">
  <autoFilter ref="A1:U63" xr:uid="{7602A998-85E6-499A-B1A3-C584F22BB41F}"/>
  <tableColumns count="21">
    <tableColumn id="24" xr3:uid="{799CF049-9A74-47E4-BCE6-68EB92DFEDD4}" name="Complete?" dataDxfId="59" dataCellStyle="04_Comments"/>
    <tableColumn id="1" xr3:uid="{75AB9428-C675-46D8-B904-74A952E29611}" name="ID" dataDxfId="58">
      <calculatedColumnFormula>ROW()-1</calculatedColumnFormula>
    </tableColumn>
    <tableColumn id="22" xr3:uid="{055CB3E4-C1DF-486D-9F8E-E65039E95278}" name="Stock_ID" dataDxfId="57">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56"/>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5" dataDxfId="54" tableBorderDxfId="53">
  <autoFilter ref="A1:R51" xr:uid="{258723AD-03F6-4700-9C12-0435A55E108D}"/>
  <tableColumns count="18">
    <tableColumn id="1" xr3:uid="{33B8EF63-7663-4BA6-9B91-D446C0C9C276}" name="Complete?" dataCellStyle="04_Comments"/>
    <tableColumn id="2" xr3:uid="{6589C290-508A-4E8E-8896-B6E09EB1B594}" name="ID" dataDxfId="52">
      <calculatedColumnFormula>ROW()-1</calculatedColumnFormula>
    </tableColumn>
    <tableColumn id="4" xr3:uid="{F4E33EB8-7313-4BD5-8A0A-D0E18A2A18E9}" name="Process_ID" dataDxfId="51">
      <calculatedColumnFormula>_xlfn.XLOOKUP($D2,Tab_Def_Processes[Process_Name],Tab_Def_Processes[Process_ID],,0,)</calculatedColumnFormula>
    </tableColumn>
    <tableColumn id="5" xr3:uid="{E9F30AE4-3733-473D-B124-CDB1D225C217}" name="Process_Name" dataDxfId="50"/>
    <tableColumn id="6" xr3:uid="{8636F935-6448-4819-ADDF-71DFA45559FA}" name="Process_Type" dataDxfId="49">
      <calculatedColumnFormula>_xlfn.XLOOKUP($D2,Tab_Def_Processes[Process_Name],Tab_Def_Processes[Process_Type],,0,)</calculatedColumnFormula>
    </tableColumn>
    <tableColumn id="11" xr3:uid="{60B3771B-3986-46D1-B5BA-CE7814BD4A11}" name="TC?" dataDxfId="48">
      <calculatedColumnFormula>_xlfn.XLOOKUP($D2,Tab_Def_Processes[Process_Name],Tab_Def_Processes[TC?],,0,)</calculatedColumnFormula>
    </tableColumn>
    <tableColumn id="12" xr3:uid="{A2F17CD8-5CAE-47C5-88AC-65F98D1E04A7}" name="TC_Type" dataDxfId="47">
      <calculatedColumnFormula>_xlfn.XLOOKUP($D2,Tab_Def_Processes[Process_Name],Tab_Def_Processes[TC_Type],,0,)</calculatedColumnFormula>
    </tableColumn>
    <tableColumn id="13" xr3:uid="{AAC3F32E-5E29-4B43-870A-6E7FC451D4C7}" name="Stock?" dataDxfId="46">
      <calculatedColumnFormula>_xlfn.XLOOKUP($D2,Tab_Def_Processes[Process_Name],Tab_Def_Processes[Stock?],,0,)</calculatedColumnFormula>
    </tableColumn>
    <tableColumn id="14" xr3:uid="{46AA84AB-D3F4-4DFC-AFA9-73ECA93071B0}" name="Initial_Stock?" dataDxfId="45">
      <calculatedColumnFormula>_xlfn.XLOOKUP($D2,Tab_Def_Processes[Process_Name],Tab_Def_Processes[Initial_Stock?],,0,)</calculatedColumnFormula>
    </tableColumn>
    <tableColumn id="7" xr3:uid="{4D982150-569B-49F8-B2ED-A59759BD8284}" name="DSM?" dataDxfId="44"/>
    <tableColumn id="8" xr3:uid="{722B87D6-F9E5-415C-984B-850168F8B4C0}" name="FOMP?" dataDxfId="4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2" tableBorderDxfId="41" headerRowCellStyle="05_Header">
  <autoFilter ref="A1:Q41" xr:uid="{258723AD-03F6-4700-9C12-0435A55E108D}"/>
  <tableColumns count="17">
    <tableColumn id="1" xr3:uid="{45321D18-7A58-4FFA-814A-4BFE5587094A}" name="Complete?" dataCellStyle="04_Comments"/>
    <tableColumn id="2" xr3:uid="{EC881CBD-180B-4D64-9A86-8AA6EC24B7F6}" name="ID" dataDxfId="40">
      <calculatedColumnFormula>ROW()-1</calculatedColumnFormula>
    </tableColumn>
    <tableColumn id="4" xr3:uid="{844E5006-9125-4DE3-A7C3-7D82AE3725EE}" name="Process_ID" dataDxfId="39">
      <calculatedColumnFormula>_xlfn.XLOOKUP($D2,Tab_Def_Processes[Process_Name],Tab_Def_Processes[Process_ID],,0,)</calculatedColumnFormula>
    </tableColumn>
    <tableColumn id="5" xr3:uid="{0A9A4390-230F-4C39-9AF5-D72E04524EC5}" name="Process_Name" dataDxfId="38"/>
    <tableColumn id="6" xr3:uid="{27F8000C-3015-4447-BAA8-364798FFAAFF}" name="Process_Type" dataDxfId="37">
      <calculatedColumnFormula>_xlfn.XLOOKUP($D2,Tab_Def_Processes[Process_Name],Tab_Def_Processes[Process_Type],,0,)</calculatedColumnFormula>
    </tableColumn>
    <tableColumn id="11" xr3:uid="{CC767FA8-EDF4-482B-B626-0EE382C271A5}" name="TC?" dataDxfId="36">
      <calculatedColumnFormula>_xlfn.XLOOKUP($D2,Tab_Def_Processes[Process_Name],Tab_Def_Processes[TC?],,0,)</calculatedColumnFormula>
    </tableColumn>
    <tableColumn id="12" xr3:uid="{E84B3ABE-4E12-4E6F-A681-7D39D8B20B42}" name="TC_Type" dataDxfId="35">
      <calculatedColumnFormula>_xlfn.XLOOKUP($D2,Tab_Def_Processes[Process_Name],Tab_Def_Processes[TC_Type],,0,)</calculatedColumnFormula>
    </tableColumn>
    <tableColumn id="13" xr3:uid="{981DEE9B-FA47-4F47-8F80-39B1E8690449}" name="Stock?" dataDxfId="34">
      <calculatedColumnFormula>_xlfn.XLOOKUP($D2,Tab_Def_Processes[Process_Name],Tab_Def_Processes[Stock?],,0,)</calculatedColumnFormula>
    </tableColumn>
    <tableColumn id="14" xr3:uid="{69989678-F20B-45BE-B37C-4E9CE9AA75DC}" name="Initial_Stock?" dataDxfId="33">
      <calculatedColumnFormula>_xlfn.XLOOKUP($D2,Tab_Def_Processes[Process_Name],Tab_Def_Processes[Initial_Stock?],,0,)</calculatedColumnFormula>
    </tableColumn>
    <tableColumn id="7" xr3:uid="{3CFB9275-BB11-4A48-A179-F10B662CD314}" name="DSM?" dataDxfId="32">
      <calculatedColumnFormula>_xlfn.XLOOKUP($D2,Tab_Def_Processes[Process_Name],Tab_Def_Processes[DSM?],,0,)</calculatedColumnFormula>
    </tableColumn>
    <tableColumn id="8" xr3:uid="{10C6F948-DB35-488A-BBCF-1C22C3F74E52}" name="FOMP?" dataDxfId="31">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0" dataCellStyle="01_Data_Input"/>
    <tableColumn id="6" xr3:uid="{1B45FB7A-4CA2-4F7D-81DB-270B1D81AE53}" name="start_year" dataDxfId="29" dataCellStyle="01_Data_Input"/>
    <tableColumn id="5" xr3:uid="{A6D89D25-2F1B-4F9D-86FE-506D7CB5C8C3}" name="end_year"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sortState xmlns:xlrd2="http://schemas.microsoft.com/office/spreadsheetml/2017/richdata2" ref="A2:P47">
    <sortCondition ref="I1:I47"/>
  </sortStat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258</v>
      </c>
      <c r="T7">
        <v>2026</v>
      </c>
    </row>
    <row r="8" spans="2:20" x14ac:dyDescent="0.25">
      <c r="C8" t="s">
        <v>25</v>
      </c>
      <c r="F8" t="s">
        <v>10</v>
      </c>
      <c r="N8" s="8" t="s">
        <v>259</v>
      </c>
      <c r="O8" s="8"/>
      <c r="T8">
        <v>2027</v>
      </c>
    </row>
    <row r="9" spans="2:20" x14ac:dyDescent="0.25">
      <c r="F9" t="s">
        <v>9</v>
      </c>
      <c r="N9" s="154" t="s">
        <v>260</v>
      </c>
      <c r="O9" s="154"/>
      <c r="T9">
        <v>2028</v>
      </c>
    </row>
    <row r="10" spans="2:20" x14ac:dyDescent="0.25">
      <c r="N10" s="7" t="s">
        <v>261</v>
      </c>
      <c r="O10" s="7"/>
      <c r="T10">
        <v>2029</v>
      </c>
    </row>
    <row r="11" spans="2:20" x14ac:dyDescent="0.25">
      <c r="N11" s="20" t="s">
        <v>262</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0" t="s">
        <v>295</v>
      </c>
    </row>
    <row r="47" spans="1:3" ht="15.75" x14ac:dyDescent="0.25">
      <c r="A47" s="161" t="s">
        <v>296</v>
      </c>
    </row>
    <row r="48" spans="1:3" x14ac:dyDescent="0.25">
      <c r="A48" t="s">
        <v>297</v>
      </c>
    </row>
    <row r="49" spans="1:1" x14ac:dyDescent="0.25">
      <c r="A49" t="s">
        <v>298</v>
      </c>
    </row>
    <row r="50" spans="1:1" x14ac:dyDescent="0.25">
      <c r="A50" t="s">
        <v>299</v>
      </c>
    </row>
    <row r="51" spans="1:1" x14ac:dyDescent="0.25">
      <c r="A51" t="s">
        <v>300</v>
      </c>
    </row>
    <row r="52" spans="1:1" x14ac:dyDescent="0.25">
      <c r="A52" t="s">
        <v>301</v>
      </c>
    </row>
    <row r="53" spans="1:1" x14ac:dyDescent="0.25">
      <c r="A53" t="s">
        <v>302</v>
      </c>
    </row>
    <row r="54" spans="1:1" x14ac:dyDescent="0.25">
      <c r="A54" t="s">
        <v>303</v>
      </c>
    </row>
    <row r="55" spans="1:1" x14ac:dyDescent="0.25">
      <c r="A55" t="s">
        <v>304</v>
      </c>
    </row>
    <row r="56" spans="1:1" x14ac:dyDescent="0.25">
      <c r="A56" t="s">
        <v>305</v>
      </c>
    </row>
    <row r="57" spans="1:1" x14ac:dyDescent="0.25">
      <c r="A57" t="s">
        <v>306</v>
      </c>
    </row>
    <row r="59" spans="1:1" ht="15.75" x14ac:dyDescent="0.25">
      <c r="A59" s="161" t="s">
        <v>307</v>
      </c>
    </row>
    <row r="60" spans="1:1" x14ac:dyDescent="0.25">
      <c r="A60" t="s">
        <v>308</v>
      </c>
    </row>
    <row r="61" spans="1:1" x14ac:dyDescent="0.25">
      <c r="A61" t="s">
        <v>309</v>
      </c>
    </row>
    <row r="62" spans="1:1" x14ac:dyDescent="0.25">
      <c r="A62" t="s">
        <v>310</v>
      </c>
    </row>
    <row r="63" spans="1:1" x14ac:dyDescent="0.25">
      <c r="A63" t="s">
        <v>311</v>
      </c>
    </row>
    <row r="64" spans="1:1" x14ac:dyDescent="0.25">
      <c r="A64" t="s">
        <v>312</v>
      </c>
    </row>
    <row r="65" spans="1:1" x14ac:dyDescent="0.25">
      <c r="A65" t="s">
        <v>313</v>
      </c>
    </row>
    <row r="66" spans="1:1" ht="15.75" x14ac:dyDescent="0.25">
      <c r="A66" s="161"/>
    </row>
    <row r="67" spans="1:1" x14ac:dyDescent="0.25">
      <c r="A67" t="s">
        <v>314</v>
      </c>
    </row>
    <row r="68" spans="1:1" x14ac:dyDescent="0.25">
      <c r="A68" t="s">
        <v>315</v>
      </c>
    </row>
    <row r="69" spans="1:1" x14ac:dyDescent="0.25">
      <c r="A69" t="s">
        <v>316</v>
      </c>
    </row>
    <row r="70" spans="1:1" x14ac:dyDescent="0.25">
      <c r="A70" t="s">
        <v>317</v>
      </c>
    </row>
    <row r="71" spans="1:1" ht="15.75" x14ac:dyDescent="0.25">
      <c r="A71" s="161" t="s">
        <v>318</v>
      </c>
    </row>
    <row r="73" spans="1:1" x14ac:dyDescent="0.25">
      <c r="A73" t="s">
        <v>319</v>
      </c>
    </row>
    <row r="74" spans="1:1" x14ac:dyDescent="0.25">
      <c r="A74" t="s">
        <v>320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273</v>
      </c>
    </row>
    <row r="2" spans="1:2" x14ac:dyDescent="0.25">
      <c r="A2" s="156" t="s">
        <v>274</v>
      </c>
      <c r="B2" t="s">
        <v>275</v>
      </c>
    </row>
    <row r="3" spans="1:2" x14ac:dyDescent="0.25">
      <c r="A3" t="s">
        <v>276</v>
      </c>
      <c r="B3" t="s">
        <v>277</v>
      </c>
    </row>
    <row r="4" spans="1:2" x14ac:dyDescent="0.25">
      <c r="A4">
        <v>2</v>
      </c>
      <c r="B4" t="s">
        <v>278</v>
      </c>
    </row>
    <row r="5" spans="1:2" x14ac:dyDescent="0.25">
      <c r="A5" t="s">
        <v>279</v>
      </c>
      <c r="B5" t="s">
        <v>280</v>
      </c>
    </row>
    <row r="6" spans="1:2" x14ac:dyDescent="0.25">
      <c r="A6" t="s">
        <v>281</v>
      </c>
      <c r="B6" t="s">
        <v>285</v>
      </c>
    </row>
    <row r="7" spans="1:2" x14ac:dyDescent="0.25">
      <c r="A7" t="s">
        <v>282</v>
      </c>
    </row>
    <row r="8" spans="1:2" x14ac:dyDescent="0.25">
      <c r="A8" t="s">
        <v>283</v>
      </c>
      <c r="B8" t="s">
        <v>284</v>
      </c>
    </row>
    <row r="9" spans="1:2" x14ac:dyDescent="0.25">
      <c r="A9" t="s">
        <v>286</v>
      </c>
      <c r="B9" t="s">
        <v>287</v>
      </c>
    </row>
    <row r="10" spans="1:2" x14ac:dyDescent="0.25">
      <c r="A10">
        <v>3</v>
      </c>
      <c r="B10" t="s">
        <v>288</v>
      </c>
    </row>
    <row r="11" spans="1:2" x14ac:dyDescent="0.25">
      <c r="A11" t="s">
        <v>289</v>
      </c>
      <c r="B11" t="s">
        <v>290</v>
      </c>
    </row>
    <row r="12" spans="1:2" x14ac:dyDescent="0.25">
      <c r="A12" t="s">
        <v>291</v>
      </c>
      <c r="B12" t="s">
        <v>292</v>
      </c>
    </row>
    <row r="13" spans="1:2" x14ac:dyDescent="0.25">
      <c r="A13">
        <v>4</v>
      </c>
      <c r="B13" t="s">
        <v>293</v>
      </c>
    </row>
    <row r="14" spans="1:2" x14ac:dyDescent="0.25">
      <c r="A14" t="s">
        <v>294</v>
      </c>
      <c r="B14" t="s">
        <v>293</v>
      </c>
    </row>
    <row r="17" spans="1:1" ht="15.75" x14ac:dyDescent="0.25">
      <c r="A17" s="161" t="s">
        <v>296</v>
      </c>
    </row>
    <row r="18" spans="1:1" x14ac:dyDescent="0.25">
      <c r="A18" t="s">
        <v>297</v>
      </c>
    </row>
    <row r="19" spans="1:1" x14ac:dyDescent="0.25">
      <c r="A19" t="s">
        <v>298</v>
      </c>
    </row>
    <row r="20" spans="1:1" x14ac:dyDescent="0.25">
      <c r="A20" t="s">
        <v>299</v>
      </c>
    </row>
    <row r="21" spans="1:1" x14ac:dyDescent="0.25">
      <c r="A21" t="s">
        <v>300</v>
      </c>
    </row>
    <row r="22" spans="1:1" x14ac:dyDescent="0.25">
      <c r="A22" t="s">
        <v>301</v>
      </c>
    </row>
    <row r="23" spans="1:1" x14ac:dyDescent="0.25">
      <c r="A23" t="s">
        <v>302</v>
      </c>
    </row>
    <row r="24" spans="1:1" x14ac:dyDescent="0.25">
      <c r="A24" t="s">
        <v>303</v>
      </c>
    </row>
    <row r="25" spans="1:1" x14ac:dyDescent="0.25">
      <c r="A25" t="s">
        <v>304</v>
      </c>
    </row>
    <row r="26" spans="1:1" x14ac:dyDescent="0.25">
      <c r="A26" t="s">
        <v>305</v>
      </c>
    </row>
    <row r="27" spans="1:1" x14ac:dyDescent="0.25">
      <c r="A27" t="s">
        <v>306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zoomScale="115" zoomScaleNormal="115" workbookViewId="0">
      <selection activeCell="C15" sqref="C15"/>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495</v>
      </c>
      <c r="B1" t="s">
        <v>386</v>
      </c>
      <c r="C1" t="s">
        <v>223</v>
      </c>
      <c r="D1" t="s">
        <v>6</v>
      </c>
      <c r="E1" t="s">
        <v>387</v>
      </c>
      <c r="F1" t="s">
        <v>388</v>
      </c>
    </row>
    <row r="2" spans="1:6" x14ac:dyDescent="0.25">
      <c r="A2" s="171" t="s">
        <v>385</v>
      </c>
      <c r="B2" s="172" t="s">
        <v>389</v>
      </c>
      <c r="C2" s="173">
        <v>2000</v>
      </c>
      <c r="D2" s="178" t="s">
        <v>390</v>
      </c>
      <c r="E2" s="178" t="s">
        <v>391</v>
      </c>
      <c r="F2" s="179" t="s">
        <v>392</v>
      </c>
    </row>
    <row r="3" spans="1:6" ht="15" customHeight="1" x14ac:dyDescent="0.25">
      <c r="A3" s="174"/>
      <c r="B3" s="7" t="s">
        <v>393</v>
      </c>
      <c r="C3" s="8">
        <v>2040</v>
      </c>
      <c r="D3" s="20" t="s">
        <v>394</v>
      </c>
      <c r="E3" s="20" t="s">
        <v>391</v>
      </c>
      <c r="F3" s="180" t="s">
        <v>392</v>
      </c>
    </row>
    <row r="4" spans="1:6" x14ac:dyDescent="0.25">
      <c r="A4" s="174"/>
      <c r="B4" s="7" t="s">
        <v>395</v>
      </c>
      <c r="C4" s="8" t="s">
        <v>322</v>
      </c>
      <c r="D4" s="20" t="s">
        <v>396</v>
      </c>
      <c r="E4" s="20" t="s">
        <v>391</v>
      </c>
      <c r="F4" s="180" t="s">
        <v>392</v>
      </c>
    </row>
    <row r="5" spans="1:6" x14ac:dyDescent="0.25">
      <c r="A5" s="174"/>
      <c r="B5" s="7" t="s">
        <v>397</v>
      </c>
      <c r="C5" s="8" t="s">
        <v>398</v>
      </c>
      <c r="D5" s="20" t="s">
        <v>399</v>
      </c>
      <c r="E5" s="20" t="s">
        <v>391</v>
      </c>
      <c r="F5" s="180" t="s">
        <v>392</v>
      </c>
    </row>
    <row r="6" spans="1:6" ht="15.75" thickBot="1" x14ac:dyDescent="0.3">
      <c r="A6" s="175"/>
      <c r="B6" s="12" t="s">
        <v>400</v>
      </c>
      <c r="C6" s="162" t="s">
        <v>321</v>
      </c>
      <c r="D6" s="181" t="s">
        <v>401</v>
      </c>
      <c r="E6" s="181" t="s">
        <v>391</v>
      </c>
      <c r="F6" s="182" t="s">
        <v>392</v>
      </c>
    </row>
    <row r="7" spans="1:6" x14ac:dyDescent="0.25">
      <c r="A7" s="171" t="s">
        <v>402</v>
      </c>
      <c r="B7" s="172" t="s">
        <v>403</v>
      </c>
      <c r="C7" s="8" t="b">
        <v>1</v>
      </c>
      <c r="D7" s="178" t="s">
        <v>404</v>
      </c>
      <c r="E7" s="178" t="s">
        <v>405</v>
      </c>
      <c r="F7" s="179" t="s">
        <v>392</v>
      </c>
    </row>
    <row r="8" spans="1:6" ht="15" customHeight="1" x14ac:dyDescent="0.25">
      <c r="A8" s="9"/>
      <c r="B8" s="7" t="s">
        <v>406</v>
      </c>
      <c r="C8" s="8" t="b">
        <v>0</v>
      </c>
      <c r="D8" s="20" t="s">
        <v>407</v>
      </c>
      <c r="E8" s="20" t="s">
        <v>405</v>
      </c>
      <c r="F8" s="180" t="s">
        <v>392</v>
      </c>
    </row>
    <row r="9" spans="1:6" x14ac:dyDescent="0.25">
      <c r="A9" s="9"/>
      <c r="B9" s="7" t="s">
        <v>496</v>
      </c>
      <c r="C9" s="8" t="b">
        <v>0</v>
      </c>
      <c r="D9" s="20" t="s">
        <v>408</v>
      </c>
      <c r="E9" s="20" t="s">
        <v>405</v>
      </c>
      <c r="F9" s="180" t="s">
        <v>409</v>
      </c>
    </row>
    <row r="10" spans="1:6" ht="15.75" thickBot="1" x14ac:dyDescent="0.3">
      <c r="A10" s="11"/>
      <c r="B10" s="12" t="s">
        <v>410</v>
      </c>
      <c r="C10" s="162">
        <v>150</v>
      </c>
      <c r="D10" s="181" t="s">
        <v>411</v>
      </c>
      <c r="E10" s="181" t="s">
        <v>405</v>
      </c>
      <c r="F10" s="182" t="s">
        <v>409</v>
      </c>
    </row>
    <row r="11" spans="1:6" ht="15" customHeight="1" x14ac:dyDescent="0.25">
      <c r="A11" s="171" t="s">
        <v>412</v>
      </c>
      <c r="B11" s="172" t="s">
        <v>384</v>
      </c>
      <c r="C11" s="8" t="b">
        <v>1</v>
      </c>
      <c r="D11" s="178" t="s">
        <v>413</v>
      </c>
      <c r="E11" s="178" t="s">
        <v>414</v>
      </c>
      <c r="F11" s="179" t="s">
        <v>409</v>
      </c>
    </row>
    <row r="12" spans="1:6" x14ac:dyDescent="0.25">
      <c r="A12" s="9"/>
      <c r="B12" s="7" t="s">
        <v>679</v>
      </c>
      <c r="C12" s="8" t="s">
        <v>682</v>
      </c>
      <c r="D12" s="20" t="s">
        <v>415</v>
      </c>
      <c r="E12" s="20" t="s">
        <v>414</v>
      </c>
      <c r="F12" s="180" t="s">
        <v>409</v>
      </c>
    </row>
    <row r="13" spans="1:6" x14ac:dyDescent="0.25">
      <c r="A13" s="9"/>
      <c r="B13" s="7" t="s">
        <v>681</v>
      </c>
      <c r="C13" s="8" t="s">
        <v>755</v>
      </c>
      <c r="D13" s="20" t="s">
        <v>416</v>
      </c>
      <c r="E13" s="20" t="s">
        <v>414</v>
      </c>
      <c r="F13" s="180" t="s">
        <v>409</v>
      </c>
    </row>
    <row r="14" spans="1:6" x14ac:dyDescent="0.25">
      <c r="A14" s="7"/>
      <c r="B14" s="7" t="s">
        <v>680</v>
      </c>
      <c r="C14" s="8" t="s">
        <v>756</v>
      </c>
      <c r="D14" s="20"/>
      <c r="E14" s="20"/>
      <c r="F14" s="20"/>
    </row>
    <row r="15" spans="1:6" x14ac:dyDescent="0.25">
      <c r="A15" s="9"/>
      <c r="B15" s="7" t="s">
        <v>715</v>
      </c>
      <c r="C15" s="8" t="s">
        <v>716</v>
      </c>
      <c r="D15" s="20" t="s">
        <v>417</v>
      </c>
      <c r="E15" s="20" t="s">
        <v>414</v>
      </c>
      <c r="F15" s="180" t="s">
        <v>409</v>
      </c>
    </row>
    <row r="16" spans="1:6" ht="15.75" thickBot="1" x14ac:dyDescent="0.3">
      <c r="A16" s="11"/>
      <c r="B16" s="12" t="s">
        <v>418</v>
      </c>
      <c r="C16" s="162" t="s">
        <v>419</v>
      </c>
      <c r="D16" s="181" t="s">
        <v>420</v>
      </c>
      <c r="E16" s="181" t="s">
        <v>414</v>
      </c>
      <c r="F16" s="182" t="s">
        <v>409</v>
      </c>
    </row>
    <row r="17" spans="1:6" x14ac:dyDescent="0.25">
      <c r="A17" s="171" t="s">
        <v>471</v>
      </c>
      <c r="B17" s="172" t="s">
        <v>472</v>
      </c>
      <c r="C17" s="173" t="b">
        <v>1</v>
      </c>
      <c r="D17" s="178" t="s">
        <v>473</v>
      </c>
      <c r="E17" s="178" t="s">
        <v>474</v>
      </c>
      <c r="F17" s="179" t="s">
        <v>392</v>
      </c>
    </row>
    <row r="18" spans="1:6" x14ac:dyDescent="0.25">
      <c r="A18" s="9"/>
      <c r="B18" s="7" t="s">
        <v>475</v>
      </c>
      <c r="C18" s="8" t="b">
        <v>1</v>
      </c>
      <c r="D18" s="20" t="s">
        <v>476</v>
      </c>
      <c r="E18" s="20" t="s">
        <v>474</v>
      </c>
      <c r="F18" s="180" t="s">
        <v>392</v>
      </c>
    </row>
    <row r="19" spans="1:6" x14ac:dyDescent="0.25">
      <c r="A19" s="9"/>
      <c r="B19" s="7" t="s">
        <v>477</v>
      </c>
      <c r="C19" s="8" t="b">
        <v>1</v>
      </c>
      <c r="D19" s="20" t="s">
        <v>478</v>
      </c>
      <c r="E19" s="20" t="s">
        <v>474</v>
      </c>
      <c r="F19" s="180" t="s">
        <v>392</v>
      </c>
    </row>
    <row r="20" spans="1:6" ht="15.75" thickBot="1" x14ac:dyDescent="0.3">
      <c r="A20" s="11"/>
      <c r="B20" s="12" t="s">
        <v>479</v>
      </c>
      <c r="C20" s="162">
        <v>1E-3</v>
      </c>
      <c r="D20" s="181" t="s">
        <v>480</v>
      </c>
      <c r="E20" s="181" t="s">
        <v>474</v>
      </c>
      <c r="F20" s="182" t="s">
        <v>409</v>
      </c>
    </row>
    <row r="21" spans="1:6" x14ac:dyDescent="0.25">
      <c r="A21" s="171" t="s">
        <v>421</v>
      </c>
      <c r="B21" s="172" t="s">
        <v>422</v>
      </c>
      <c r="C21" s="173">
        <v>0.1</v>
      </c>
      <c r="D21" s="178" t="s">
        <v>423</v>
      </c>
      <c r="E21" s="178" t="s">
        <v>424</v>
      </c>
      <c r="F21" s="179" t="s">
        <v>392</v>
      </c>
    </row>
    <row r="22" spans="1:6" x14ac:dyDescent="0.25">
      <c r="A22" s="9"/>
      <c r="B22" s="7" t="s">
        <v>425</v>
      </c>
      <c r="C22" s="8" t="b">
        <v>0</v>
      </c>
      <c r="D22" s="20" t="s">
        <v>426</v>
      </c>
      <c r="E22" s="20" t="s">
        <v>424</v>
      </c>
      <c r="F22" s="180" t="s">
        <v>409</v>
      </c>
    </row>
    <row r="23" spans="1:6" x14ac:dyDescent="0.25">
      <c r="A23" s="9"/>
      <c r="B23" s="7" t="s">
        <v>427</v>
      </c>
      <c r="C23" s="8" t="s">
        <v>428</v>
      </c>
      <c r="D23" s="20" t="s">
        <v>429</v>
      </c>
      <c r="E23" s="20" t="s">
        <v>424</v>
      </c>
      <c r="F23" s="180" t="s">
        <v>409</v>
      </c>
    </row>
    <row r="24" spans="1:6" x14ac:dyDescent="0.25">
      <c r="A24" s="9"/>
      <c r="B24" s="7" t="s">
        <v>430</v>
      </c>
      <c r="C24" s="8" t="s">
        <v>431</v>
      </c>
      <c r="D24" s="20" t="s">
        <v>432</v>
      </c>
      <c r="E24" s="20" t="s">
        <v>424</v>
      </c>
      <c r="F24" s="180" t="s">
        <v>409</v>
      </c>
    </row>
    <row r="25" spans="1:6" x14ac:dyDescent="0.25">
      <c r="A25" s="9"/>
      <c r="B25" s="7" t="s">
        <v>433</v>
      </c>
      <c r="C25" s="8" t="b">
        <v>1</v>
      </c>
      <c r="D25" s="20" t="s">
        <v>434</v>
      </c>
      <c r="E25" s="20" t="s">
        <v>424</v>
      </c>
      <c r="F25" s="180" t="s">
        <v>409</v>
      </c>
    </row>
    <row r="26" spans="1:6" ht="15.75" thickBot="1" x14ac:dyDescent="0.3">
      <c r="A26" s="11"/>
      <c r="B26" s="12" t="s">
        <v>435</v>
      </c>
      <c r="C26" s="162" t="s">
        <v>428</v>
      </c>
      <c r="D26" s="181" t="s">
        <v>436</v>
      </c>
      <c r="E26" s="181" t="s">
        <v>424</v>
      </c>
      <c r="F26" s="182" t="s">
        <v>409</v>
      </c>
    </row>
    <row r="27" spans="1:6" x14ac:dyDescent="0.25">
      <c r="A27" s="171" t="s">
        <v>437</v>
      </c>
      <c r="B27" s="172" t="s">
        <v>438</v>
      </c>
      <c r="C27" s="173" t="s">
        <v>323</v>
      </c>
      <c r="D27" s="178" t="s">
        <v>439</v>
      </c>
      <c r="E27" s="178" t="s">
        <v>440</v>
      </c>
      <c r="F27" s="179" t="s">
        <v>392</v>
      </c>
    </row>
    <row r="28" spans="1:6" x14ac:dyDescent="0.25">
      <c r="A28" s="9"/>
      <c r="B28" s="7" t="s">
        <v>441</v>
      </c>
      <c r="C28" s="8" t="b">
        <v>1</v>
      </c>
      <c r="D28" s="20" t="s">
        <v>442</v>
      </c>
      <c r="E28" s="20" t="s">
        <v>440</v>
      </c>
      <c r="F28" s="180" t="s">
        <v>409</v>
      </c>
    </row>
    <row r="29" spans="1:6" x14ac:dyDescent="0.25">
      <c r="A29" s="9"/>
      <c r="B29" s="7" t="s">
        <v>443</v>
      </c>
      <c r="C29" s="8" t="s">
        <v>444</v>
      </c>
      <c r="D29" s="20" t="s">
        <v>445</v>
      </c>
      <c r="E29" s="20" t="s">
        <v>440</v>
      </c>
      <c r="F29" s="180" t="s">
        <v>409</v>
      </c>
    </row>
    <row r="30" spans="1:6" x14ac:dyDescent="0.25">
      <c r="A30" s="9"/>
      <c r="B30" s="7" t="s">
        <v>446</v>
      </c>
      <c r="C30" s="8" t="b">
        <v>1</v>
      </c>
      <c r="D30" s="20" t="s">
        <v>447</v>
      </c>
      <c r="E30" s="20" t="s">
        <v>440</v>
      </c>
      <c r="F30" s="180" t="s">
        <v>409</v>
      </c>
    </row>
    <row r="31" spans="1:6" ht="15.75" thickBot="1" x14ac:dyDescent="0.3">
      <c r="A31" s="176"/>
      <c r="B31" s="150" t="s">
        <v>448</v>
      </c>
      <c r="C31" s="151" t="s">
        <v>449</v>
      </c>
      <c r="D31" s="177" t="s">
        <v>450</v>
      </c>
      <c r="E31" s="177" t="s">
        <v>440</v>
      </c>
      <c r="F31" s="183" t="s">
        <v>409</v>
      </c>
    </row>
    <row r="32" spans="1:6" x14ac:dyDescent="0.25">
      <c r="A32" s="171" t="s">
        <v>451</v>
      </c>
      <c r="B32" s="172" t="s">
        <v>452</v>
      </c>
      <c r="C32" s="173">
        <v>1E-3</v>
      </c>
      <c r="D32" s="178" t="s">
        <v>453</v>
      </c>
      <c r="E32" s="178" t="s">
        <v>454</v>
      </c>
      <c r="F32" s="179" t="s">
        <v>455</v>
      </c>
    </row>
    <row r="33" spans="1:6" x14ac:dyDescent="0.25">
      <c r="A33" s="9"/>
      <c r="B33" s="7" t="s">
        <v>456</v>
      </c>
      <c r="C33" s="8" t="s">
        <v>324</v>
      </c>
      <c r="D33" s="20" t="s">
        <v>457</v>
      </c>
      <c r="E33" s="20" t="s">
        <v>454</v>
      </c>
      <c r="F33" s="180" t="s">
        <v>455</v>
      </c>
    </row>
    <row r="34" spans="1:6" x14ac:dyDescent="0.25">
      <c r="A34" s="9"/>
      <c r="B34" s="7" t="s">
        <v>458</v>
      </c>
      <c r="C34" s="8" t="s">
        <v>459</v>
      </c>
      <c r="D34" s="20" t="s">
        <v>460</v>
      </c>
      <c r="E34" s="20" t="s">
        <v>454</v>
      </c>
      <c r="F34" s="180" t="s">
        <v>455</v>
      </c>
    </row>
    <row r="35" spans="1:6" x14ac:dyDescent="0.25">
      <c r="A35" s="9"/>
      <c r="B35" s="7" t="s">
        <v>461</v>
      </c>
      <c r="C35" s="8" t="b">
        <v>0</v>
      </c>
      <c r="D35" s="20" t="s">
        <v>462</v>
      </c>
      <c r="E35" s="20" t="s">
        <v>454</v>
      </c>
      <c r="F35" s="180" t="s">
        <v>455</v>
      </c>
    </row>
    <row r="36" spans="1:6" x14ac:dyDescent="0.25">
      <c r="A36" s="9"/>
      <c r="B36" s="7" t="s">
        <v>463</v>
      </c>
      <c r="C36" s="8" t="b">
        <v>0</v>
      </c>
      <c r="D36" s="20" t="s">
        <v>464</v>
      </c>
      <c r="E36" s="20" t="s">
        <v>454</v>
      </c>
      <c r="F36" s="180" t="s">
        <v>455</v>
      </c>
    </row>
    <row r="37" spans="1:6" x14ac:dyDescent="0.25">
      <c r="A37" s="9"/>
      <c r="B37" s="7" t="s">
        <v>465</v>
      </c>
      <c r="C37" s="8" t="b">
        <v>1</v>
      </c>
      <c r="D37" s="20" t="s">
        <v>466</v>
      </c>
      <c r="E37" s="20" t="s">
        <v>454</v>
      </c>
      <c r="F37" s="180" t="s">
        <v>455</v>
      </c>
    </row>
    <row r="38" spans="1:6" x14ac:dyDescent="0.25">
      <c r="A38" s="9"/>
      <c r="B38" s="7" t="s">
        <v>467</v>
      </c>
      <c r="C38" s="8" t="b">
        <v>0</v>
      </c>
      <c r="D38" s="20" t="s">
        <v>468</v>
      </c>
      <c r="E38" s="20" t="s">
        <v>454</v>
      </c>
      <c r="F38" s="180" t="s">
        <v>455</v>
      </c>
    </row>
    <row r="39" spans="1:6" ht="15.75" thickBot="1" x14ac:dyDescent="0.3">
      <c r="A39" s="11"/>
      <c r="B39" s="12" t="s">
        <v>469</v>
      </c>
      <c r="C39" s="162" t="b">
        <v>1</v>
      </c>
      <c r="D39" s="181" t="s">
        <v>470</v>
      </c>
      <c r="E39" s="181" t="s">
        <v>454</v>
      </c>
      <c r="F39" s="182" t="s">
        <v>455</v>
      </c>
    </row>
    <row r="40" spans="1:6" x14ac:dyDescent="0.25">
      <c r="A40" s="171" t="s">
        <v>481</v>
      </c>
      <c r="B40" s="172" t="s">
        <v>482</v>
      </c>
      <c r="C40" s="173">
        <v>15</v>
      </c>
      <c r="D40" s="178" t="s">
        <v>483</v>
      </c>
      <c r="E40" s="178" t="s">
        <v>484</v>
      </c>
      <c r="F40" s="179" t="s">
        <v>392</v>
      </c>
    </row>
    <row r="41" spans="1:6" x14ac:dyDescent="0.25">
      <c r="A41" s="9"/>
      <c r="B41" s="7" t="s">
        <v>485</v>
      </c>
      <c r="C41" s="8">
        <v>1E-4</v>
      </c>
      <c r="D41" s="20" t="s">
        <v>486</v>
      </c>
      <c r="E41" s="20" t="s">
        <v>484</v>
      </c>
      <c r="F41" s="180" t="s">
        <v>392</v>
      </c>
    </row>
    <row r="42" spans="1:6" x14ac:dyDescent="0.25">
      <c r="A42" s="9"/>
      <c r="B42" s="7" t="s">
        <v>487</v>
      </c>
      <c r="C42" s="8" t="s">
        <v>488</v>
      </c>
      <c r="D42" s="20" t="s">
        <v>489</v>
      </c>
      <c r="E42" s="20" t="s">
        <v>484</v>
      </c>
      <c r="F42" s="180" t="s">
        <v>409</v>
      </c>
    </row>
    <row r="43" spans="1:6" x14ac:dyDescent="0.25">
      <c r="A43" s="9"/>
      <c r="B43" s="7" t="s">
        <v>490</v>
      </c>
      <c r="C43" s="8" t="s">
        <v>491</v>
      </c>
      <c r="D43" s="20" t="s">
        <v>492</v>
      </c>
      <c r="E43" s="20" t="s">
        <v>484</v>
      </c>
      <c r="F43" s="180" t="s">
        <v>409</v>
      </c>
    </row>
    <row r="44" spans="1:6" ht="15.75" thickBot="1" x14ac:dyDescent="0.3">
      <c r="A44" s="11"/>
      <c r="B44" s="12" t="s">
        <v>493</v>
      </c>
      <c r="C44" s="162" t="b">
        <v>1</v>
      </c>
      <c r="D44" s="181" t="s">
        <v>494</v>
      </c>
      <c r="E44" s="181" t="s">
        <v>484</v>
      </c>
      <c r="F44" s="182" t="s">
        <v>409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D12" sqref="D12"/>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9"/>
    <col min="18" max="18" width="15.42578125" customWidth="1"/>
    <col min="19" max="19" width="15.28515625" customWidth="1"/>
    <col min="20" max="20" width="15.42578125" customWidth="1"/>
    <col min="21" max="21" width="13" customWidth="1"/>
    <col min="22" max="22" width="15.7109375" customWidth="1"/>
  </cols>
  <sheetData>
    <row r="1" spans="1:24" x14ac:dyDescent="0.25">
      <c r="A1" s="158" t="s">
        <v>54</v>
      </c>
      <c r="B1" s="158" t="s">
        <v>28</v>
      </c>
      <c r="C1" s="158" t="s">
        <v>37</v>
      </c>
      <c r="D1" s="158" t="s">
        <v>704</v>
      </c>
      <c r="E1" s="158" t="s">
        <v>709</v>
      </c>
      <c r="F1" s="158" t="s">
        <v>710</v>
      </c>
      <c r="G1" s="158" t="s">
        <v>711</v>
      </c>
      <c r="H1" s="158" t="s">
        <v>708</v>
      </c>
      <c r="I1" s="158" t="s">
        <v>64</v>
      </c>
      <c r="J1" s="158" t="s">
        <v>66</v>
      </c>
      <c r="K1" s="158" t="s">
        <v>65</v>
      </c>
      <c r="L1" s="158" t="s">
        <v>700</v>
      </c>
      <c r="M1" s="158" t="s">
        <v>705</v>
      </c>
      <c r="N1" s="158" t="s">
        <v>68</v>
      </c>
      <c r="O1" s="158" t="s">
        <v>701</v>
      </c>
      <c r="P1" s="158" t="s">
        <v>706</v>
      </c>
      <c r="Q1" s="158" t="s">
        <v>70</v>
      </c>
      <c r="R1" s="158" t="s">
        <v>702</v>
      </c>
      <c r="S1" s="158" t="s">
        <v>707</v>
      </c>
      <c r="T1" s="158" t="s">
        <v>98</v>
      </c>
      <c r="U1" s="158" t="s">
        <v>138</v>
      </c>
      <c r="V1" s="158" t="s">
        <v>97</v>
      </c>
    </row>
    <row r="2" spans="1:24" x14ac:dyDescent="0.25">
      <c r="A2" s="159" t="b">
        <v>0</v>
      </c>
      <c r="B2" s="23">
        <f t="shared" ref="B2:B52" si="0">ROW()-1</f>
        <v>1</v>
      </c>
      <c r="C2" s="7" t="str">
        <f t="shared" ref="C2:C65" si="1">"F_"&amp;LEFT(F2,2)&amp;"_"&amp;LEFT(H2,2)</f>
        <v>F_12_00</v>
      </c>
      <c r="D2" s="8" t="s">
        <v>737</v>
      </c>
      <c r="E2" s="154" t="s">
        <v>734</v>
      </c>
      <c r="F2" s="7" t="str">
        <f>_xlfn.XLOOKUP(E2,Tab_Def_Processes[Process_Name],Tab_Def_Processes[Process_ID],,0,)</f>
        <v>12</v>
      </c>
      <c r="G2" s="154" t="s">
        <v>723</v>
      </c>
      <c r="H2" s="10" t="str">
        <f>_xlfn.XLOOKUP(G2,Tab_Def_Processes[Process_Name],Tab_Def_Processes[Process_ID],,0,)</f>
        <v>00</v>
      </c>
      <c r="I2" s="154" t="s">
        <v>7</v>
      </c>
      <c r="J2" s="154" t="s">
        <v>7</v>
      </c>
      <c r="K2" s="154" t="s">
        <v>7</v>
      </c>
      <c r="L2" s="7" t="str">
        <f>Tab_Def_Flows[[#This Row],[Flow_ID]]&amp;"_WC"</f>
        <v>F_12_00_WC</v>
      </c>
      <c r="M2" s="149">
        <v>0</v>
      </c>
      <c r="N2" s="195"/>
      <c r="O2" s="7" t="str">
        <f>Tab_Def_Flows[[#This Row],[Flow_ID]]&amp;"_DM"</f>
        <v>F_12_00_DM</v>
      </c>
      <c r="P2" s="149">
        <v>1</v>
      </c>
      <c r="Q2" s="195"/>
      <c r="R2" s="7" t="str">
        <f>Tab_Def_Flows[[#This Row],[Flow_ID]]&amp;"_CC"</f>
        <v>F_12_00_CC</v>
      </c>
      <c r="S2" s="149">
        <v>0.8</v>
      </c>
      <c r="T2" s="20"/>
      <c r="U2" s="155">
        <f>Tab_Def_Flows[[#This Row],[Flow_CC_DM'[%']]]*Tab_Def_Flows[[#This Row],[Flow_DM]]</f>
        <v>0.8</v>
      </c>
      <c r="V2" s="8" t="s">
        <v>140</v>
      </c>
    </row>
    <row r="3" spans="1:24" x14ac:dyDescent="0.25">
      <c r="A3" s="159" t="b">
        <v>0</v>
      </c>
      <c r="B3" s="23">
        <f t="shared" si="0"/>
        <v>2</v>
      </c>
      <c r="C3" s="7" t="str">
        <f t="shared" si="1"/>
        <v>F_13_00</v>
      </c>
      <c r="D3" s="8" t="s">
        <v>736</v>
      </c>
      <c r="E3" s="154" t="s">
        <v>736</v>
      </c>
      <c r="F3" s="7" t="str">
        <f>_xlfn.XLOOKUP(E3,Tab_Def_Processes[Process_Name],Tab_Def_Processes[Process_ID],,0,)</f>
        <v>13</v>
      </c>
      <c r="G3" s="154" t="s">
        <v>723</v>
      </c>
      <c r="H3" s="10" t="str">
        <f>_xlfn.XLOOKUP(G3,Tab_Def_Processes[Process_Name],Tab_Def_Processes[Process_ID],,0,)</f>
        <v>00</v>
      </c>
      <c r="I3" s="154" t="s">
        <v>7</v>
      </c>
      <c r="J3" s="154" t="s">
        <v>7</v>
      </c>
      <c r="K3" s="154" t="s">
        <v>7</v>
      </c>
      <c r="L3" s="7" t="str">
        <f>Tab_Def_Flows[[#This Row],[Flow_ID]]&amp;"_WC"</f>
        <v>F_13_00_WC</v>
      </c>
      <c r="M3" s="149">
        <v>0</v>
      </c>
      <c r="N3" s="195"/>
      <c r="O3" s="7" t="str">
        <f>Tab_Def_Flows[[#This Row],[Flow_ID]]&amp;"_DM"</f>
        <v>F_13_00_DM</v>
      </c>
      <c r="P3" s="149">
        <v>1</v>
      </c>
      <c r="Q3" s="195"/>
      <c r="R3" s="7" t="str">
        <f>Tab_Def_Flows[[#This Row],[Flow_ID]]&amp;"_CC"</f>
        <v>F_13_00_CC</v>
      </c>
      <c r="S3" s="149">
        <v>1</v>
      </c>
      <c r="T3" s="20"/>
      <c r="U3" s="155">
        <f>Tab_Def_Flows[[#This Row],[Flow_CC_DM'[%']]]*Tab_Def_Flows[[#This Row],[Flow_DM]]</f>
        <v>1</v>
      </c>
      <c r="V3" s="8" t="s">
        <v>140</v>
      </c>
    </row>
    <row r="4" spans="1:24" x14ac:dyDescent="0.25">
      <c r="A4" s="159" t="b">
        <v>0</v>
      </c>
      <c r="B4" s="23">
        <f t="shared" si="0"/>
        <v>3</v>
      </c>
      <c r="C4" s="7" t="str">
        <f t="shared" si="1"/>
        <v>F_14_00</v>
      </c>
      <c r="D4" s="8" t="s">
        <v>738</v>
      </c>
      <c r="E4" s="154" t="s">
        <v>735</v>
      </c>
      <c r="F4" s="7" t="str">
        <f>_xlfn.XLOOKUP(E4,Tab_Def_Processes[Process_Name],Tab_Def_Processes[Process_ID],,0,)</f>
        <v>14</v>
      </c>
      <c r="G4" s="154" t="s">
        <v>723</v>
      </c>
      <c r="H4" s="10" t="str">
        <f>_xlfn.XLOOKUP(G4,Tab_Def_Processes[Process_Name],Tab_Def_Processes[Process_ID],,0,)</f>
        <v>00</v>
      </c>
      <c r="I4" s="154" t="s">
        <v>7</v>
      </c>
      <c r="J4" s="154" t="s">
        <v>7</v>
      </c>
      <c r="K4" s="154" t="s">
        <v>7</v>
      </c>
      <c r="L4" s="7" t="str">
        <f>Tab_Def_Flows[[#This Row],[Flow_ID]]&amp;"_WC"</f>
        <v>F_14_00_WC</v>
      </c>
      <c r="M4" s="149">
        <v>0</v>
      </c>
      <c r="N4" s="20"/>
      <c r="O4" s="7" t="str">
        <f>Tab_Def_Flows[[#This Row],[Flow_ID]]&amp;"_DM"</f>
        <v>F_14_00_DM</v>
      </c>
      <c r="P4" s="149">
        <v>1</v>
      </c>
      <c r="Q4" s="20"/>
      <c r="R4" s="7" t="str">
        <f>Tab_Def_Flows[[#This Row],[Flow_ID]]&amp;"_CC"</f>
        <v>F_14_00_CC</v>
      </c>
      <c r="S4" s="149">
        <v>0.1</v>
      </c>
      <c r="T4" s="20"/>
      <c r="U4" s="155">
        <f>Tab_Def_Flows[[#This Row],[Flow_CC_DM'[%']]]*Tab_Def_Flows[[#This Row],[Flow_DM]]</f>
        <v>0.1</v>
      </c>
      <c r="V4" s="8"/>
      <c r="X4" s="167"/>
    </row>
    <row r="5" spans="1:24" x14ac:dyDescent="0.25">
      <c r="A5" s="159" t="b">
        <v>0</v>
      </c>
      <c r="B5" s="23">
        <f>ROW()-1</f>
        <v>4</v>
      </c>
      <c r="C5" s="7" t="str">
        <f t="shared" si="1"/>
        <v>F_00_01</v>
      </c>
      <c r="D5" s="8" t="s">
        <v>739</v>
      </c>
      <c r="E5" s="154" t="s">
        <v>723</v>
      </c>
      <c r="F5" s="7" t="str">
        <f>_xlfn.XLOOKUP(E5,Tab_Def_Processes[Process_Name],Tab_Def_Processes[Process_ID],,0,)</f>
        <v>00</v>
      </c>
      <c r="G5" s="154" t="s">
        <v>724</v>
      </c>
      <c r="H5" s="10" t="str">
        <f>_xlfn.XLOOKUP(G5,Tab_Def_Processes[Process_Name],Tab_Def_Processes[Process_ID],,0,)</f>
        <v>01</v>
      </c>
      <c r="I5" s="154" t="s">
        <v>7</v>
      </c>
      <c r="J5" s="154" t="s">
        <v>7</v>
      </c>
      <c r="K5" s="154" t="s">
        <v>7</v>
      </c>
      <c r="L5" s="7" t="str">
        <f>Tab_Def_Flows[[#This Row],[Flow_ID]]&amp;"_WC"</f>
        <v>F_00_01_WC</v>
      </c>
      <c r="M5" s="149"/>
      <c r="N5" s="20"/>
      <c r="O5" s="7" t="str">
        <f>Tab_Def_Flows[[#This Row],[Flow_ID]]&amp;"_DM"</f>
        <v>F_00_01_DM</v>
      </c>
      <c r="Q5" s="20"/>
      <c r="R5" s="7" t="str">
        <f>Tab_Def_Flows[[#This Row],[Flow_ID]]&amp;"_CC"</f>
        <v>F_00_01_CC</v>
      </c>
      <c r="S5" s="149"/>
      <c r="T5" s="20"/>
      <c r="U5" s="155">
        <f>Tab_Def_Flows[[#This Row],[Flow_CC_DM'[%']]]*Tab_Def_Flows[[#This Row],[Flow_DM]]</f>
        <v>0</v>
      </c>
      <c r="V5" s="8"/>
      <c r="X5" s="167"/>
    </row>
    <row r="6" spans="1:24" x14ac:dyDescent="0.25">
      <c r="A6" s="159" t="b">
        <v>0</v>
      </c>
      <c r="B6" s="23">
        <f>ROW()-1</f>
        <v>5</v>
      </c>
      <c r="C6" s="7" t="str">
        <f>"F_"&amp;LEFT(F6,2)&amp;"_"&amp;LEFT(H6,2)</f>
        <v>F_15_02</v>
      </c>
      <c r="D6" s="8" t="s">
        <v>740</v>
      </c>
      <c r="E6" s="154" t="s">
        <v>740</v>
      </c>
      <c r="F6" s="7" t="str">
        <f>_xlfn.XLOOKUP(E6,Tab_Def_Processes[Process_Name],Tab_Def_Processes[Process_ID],,0,)</f>
        <v>15</v>
      </c>
      <c r="G6" s="154" t="s">
        <v>725</v>
      </c>
      <c r="H6" s="10" t="str">
        <f>_xlfn.XLOOKUP(G6,Tab_Def_Processes[Process_Name],Tab_Def_Processes[Process_ID],,0,)</f>
        <v>02</v>
      </c>
      <c r="I6" s="154" t="s">
        <v>7</v>
      </c>
      <c r="J6" s="154" t="s">
        <v>7</v>
      </c>
      <c r="K6" s="154" t="s">
        <v>7</v>
      </c>
      <c r="L6" s="7" t="str">
        <f>Tab_Def_Flows[[#This Row],[Flow_ID]]&amp;"_WC"</f>
        <v>F_15_02_WC</v>
      </c>
      <c r="M6" s="149"/>
      <c r="N6" s="20"/>
      <c r="O6" s="7" t="str">
        <f>Tab_Def_Flows[[#This Row],[Flow_ID]]&amp;"_DM"</f>
        <v>F_15_02_DM</v>
      </c>
      <c r="Q6" s="20"/>
      <c r="R6" s="7" t="str">
        <f>Tab_Def_Flows[[#This Row],[Flow_ID]]&amp;"_CC"</f>
        <v>F_15_02_CC</v>
      </c>
      <c r="S6" s="149"/>
      <c r="T6" s="20"/>
      <c r="U6" s="155">
        <f>Tab_Def_Flows[[#This Row],[Flow_CC_DM'[%']]]*Tab_Def_Flows[[#This Row],[Flow_DM]]</f>
        <v>0</v>
      </c>
      <c r="V6" s="8"/>
      <c r="X6" s="167"/>
    </row>
    <row r="7" spans="1:24" x14ac:dyDescent="0.25">
      <c r="A7" s="159" t="b">
        <v>0</v>
      </c>
      <c r="B7" s="23">
        <f t="shared" si="0"/>
        <v>6</v>
      </c>
      <c r="C7" s="7" t="str">
        <f t="shared" si="1"/>
        <v>F_15_03</v>
      </c>
      <c r="D7" s="8" t="s">
        <v>741</v>
      </c>
      <c r="E7" s="154" t="s">
        <v>740</v>
      </c>
      <c r="F7" s="7" t="str">
        <f>_xlfn.XLOOKUP(E7,Tab_Def_Processes[Process_Name],Tab_Def_Processes[Process_ID],,0,)</f>
        <v>15</v>
      </c>
      <c r="G7" s="154" t="s">
        <v>726</v>
      </c>
      <c r="H7" s="10" t="str">
        <f>_xlfn.XLOOKUP(G7,Tab_Def_Processes[Process_Name],Tab_Def_Processes[Process_ID],,0,)</f>
        <v>03</v>
      </c>
      <c r="I7" s="154" t="s">
        <v>7</v>
      </c>
      <c r="J7" s="154" t="s">
        <v>7</v>
      </c>
      <c r="K7" s="154" t="s">
        <v>7</v>
      </c>
      <c r="L7" s="7" t="str">
        <f>Tab_Def_Flows[[#This Row],[Flow_ID]]&amp;"_WC"</f>
        <v>F_15_03_WC</v>
      </c>
      <c r="M7" s="149"/>
      <c r="N7" s="20"/>
      <c r="O7" s="7" t="str">
        <f>Tab_Def_Flows[[#This Row],[Flow_ID]]&amp;"_DM"</f>
        <v>F_15_03_DM</v>
      </c>
      <c r="Q7" s="20"/>
      <c r="R7" s="7" t="str">
        <f>Tab_Def_Flows[[#This Row],[Flow_ID]]&amp;"_CC"</f>
        <v>F_15_03_CC</v>
      </c>
      <c r="S7" s="149"/>
      <c r="T7" s="20"/>
      <c r="U7" s="155">
        <f>Tab_Def_Flows[[#This Row],[Flow_CC_DM'[%']]]*Tab_Def_Flows[[#This Row],[Flow_DM]]</f>
        <v>0</v>
      </c>
      <c r="V7" s="8"/>
    </row>
    <row r="8" spans="1:24" x14ac:dyDescent="0.25">
      <c r="A8" s="159" t="b">
        <v>0</v>
      </c>
      <c r="B8" s="23">
        <f t="shared" si="0"/>
        <v>7</v>
      </c>
      <c r="C8" s="7" t="str">
        <f t="shared" si="1"/>
        <v>F_03_04</v>
      </c>
      <c r="D8" s="8" t="s">
        <v>742</v>
      </c>
      <c r="E8" s="154" t="s">
        <v>726</v>
      </c>
      <c r="F8" s="7" t="str">
        <f>_xlfn.XLOOKUP(E8,Tab_Def_Processes[Process_Name],Tab_Def_Processes[Process_ID],,0,)</f>
        <v>03</v>
      </c>
      <c r="G8" s="154" t="s">
        <v>727</v>
      </c>
      <c r="H8" s="10" t="str">
        <f>_xlfn.XLOOKUP(G8,Tab_Def_Processes[Process_Name],Tab_Def_Processes[Process_ID],,0,)</f>
        <v>04</v>
      </c>
      <c r="I8" s="154" t="s">
        <v>7</v>
      </c>
      <c r="J8" s="154" t="s">
        <v>7</v>
      </c>
      <c r="K8" s="154" t="s">
        <v>7</v>
      </c>
      <c r="L8" s="7" t="str">
        <f>Tab_Def_Flows[[#This Row],[Flow_ID]]&amp;"_WC"</f>
        <v>F_03_04_WC</v>
      </c>
      <c r="M8" s="149"/>
      <c r="N8" s="20"/>
      <c r="O8" s="7" t="str">
        <f>Tab_Def_Flows[[#This Row],[Flow_ID]]&amp;"_DM"</f>
        <v>F_03_04_DM</v>
      </c>
      <c r="Q8" s="20"/>
      <c r="R8" s="7" t="str">
        <f>Tab_Def_Flows[[#This Row],[Flow_ID]]&amp;"_CC"</f>
        <v>F_03_04_CC</v>
      </c>
      <c r="S8" s="149"/>
      <c r="T8" s="20"/>
      <c r="U8" s="155">
        <f>Tab_Def_Flows[[#This Row],[Flow_CC_DM'[%']]]*Tab_Def_Flows[[#This Row],[Flow_DM]]</f>
        <v>0</v>
      </c>
      <c r="V8" s="8"/>
    </row>
    <row r="9" spans="1:24" x14ac:dyDescent="0.25">
      <c r="A9" s="159" t="b">
        <v>0</v>
      </c>
      <c r="B9" s="23">
        <f t="shared" si="0"/>
        <v>8</v>
      </c>
      <c r="C9" s="7" t="str">
        <f t="shared" si="1"/>
        <v>F_03_05</v>
      </c>
      <c r="D9" s="8" t="s">
        <v>743</v>
      </c>
      <c r="E9" s="154" t="s">
        <v>726</v>
      </c>
      <c r="F9" s="7" t="str">
        <f>_xlfn.XLOOKUP(E9,Tab_Def_Processes[Process_Name],Tab_Def_Processes[Process_ID],,0,)</f>
        <v>03</v>
      </c>
      <c r="G9" s="154" t="s">
        <v>728</v>
      </c>
      <c r="H9" s="10" t="str">
        <f>_xlfn.XLOOKUP(G9,Tab_Def_Processes[Process_Name],Tab_Def_Processes[Process_ID],,0,)</f>
        <v>05</v>
      </c>
      <c r="I9" s="154" t="s">
        <v>7</v>
      </c>
      <c r="J9" s="154" t="s">
        <v>7</v>
      </c>
      <c r="K9" s="154" t="s">
        <v>7</v>
      </c>
      <c r="L9" s="7" t="str">
        <f>Tab_Def_Flows[[#This Row],[Flow_ID]]&amp;"_WC"</f>
        <v>F_03_05_WC</v>
      </c>
      <c r="M9" s="149"/>
      <c r="N9" s="20"/>
      <c r="O9" s="7" t="str">
        <f>Tab_Def_Flows[[#This Row],[Flow_ID]]&amp;"_DM"</f>
        <v>F_03_05_DM</v>
      </c>
      <c r="Q9" s="20"/>
      <c r="R9" s="7" t="str">
        <f>Tab_Def_Flows[[#This Row],[Flow_ID]]&amp;"_CC"</f>
        <v>F_03_05_CC</v>
      </c>
      <c r="S9" s="149"/>
      <c r="T9" s="20"/>
      <c r="U9" s="155">
        <f>Tab_Def_Flows[[#This Row],[Flow_CC_DM'[%']]]*Tab_Def_Flows[[#This Row],[Flow_DM]]</f>
        <v>0</v>
      </c>
      <c r="V9" s="8"/>
    </row>
    <row r="10" spans="1:24" x14ac:dyDescent="0.25">
      <c r="A10" s="159" t="b">
        <v>0</v>
      </c>
      <c r="B10" s="23">
        <f t="shared" si="0"/>
        <v>9</v>
      </c>
      <c r="C10" s="7" t="str">
        <f t="shared" si="1"/>
        <v>F_03_06</v>
      </c>
      <c r="D10" s="8" t="s">
        <v>744</v>
      </c>
      <c r="E10" s="154" t="s">
        <v>726</v>
      </c>
      <c r="F10" s="7" t="str">
        <f>_xlfn.XLOOKUP(E10,Tab_Def_Processes[Process_Name],Tab_Def_Processes[Process_ID],,0,)</f>
        <v>03</v>
      </c>
      <c r="G10" s="154" t="s">
        <v>729</v>
      </c>
      <c r="H10" s="10" t="str">
        <f>_xlfn.XLOOKUP(G10,Tab_Def_Processes[Process_Name],Tab_Def_Processes[Process_ID],,0,)</f>
        <v>06</v>
      </c>
      <c r="I10" s="154" t="s">
        <v>7</v>
      </c>
      <c r="J10" s="154" t="s">
        <v>7</v>
      </c>
      <c r="K10" s="154" t="s">
        <v>7</v>
      </c>
      <c r="L10" s="7" t="str">
        <f>Tab_Def_Flows[[#This Row],[Flow_ID]]&amp;"_WC"</f>
        <v>F_03_06_WC</v>
      </c>
      <c r="M10" s="149"/>
      <c r="N10" s="20"/>
      <c r="O10" s="7" t="str">
        <f>Tab_Def_Flows[[#This Row],[Flow_ID]]&amp;"_DM"</f>
        <v>F_03_06_DM</v>
      </c>
      <c r="Q10" s="20"/>
      <c r="R10" s="7" t="str">
        <f>Tab_Def_Flows[[#This Row],[Flow_ID]]&amp;"_CC"</f>
        <v>F_03_06_CC</v>
      </c>
      <c r="S10" s="149"/>
      <c r="T10" s="20"/>
      <c r="U10" s="155">
        <f>Tab_Def_Flows[[#This Row],[Flow_CC_DM'[%']]]*Tab_Def_Flows[[#This Row],[Flow_DM]]</f>
        <v>0</v>
      </c>
      <c r="V10" s="8"/>
    </row>
    <row r="11" spans="1:24" x14ac:dyDescent="0.25">
      <c r="A11" s="159" t="b">
        <v>0</v>
      </c>
      <c r="B11" s="23">
        <f t="shared" si="0"/>
        <v>10</v>
      </c>
      <c r="C11" s="7" t="str">
        <f t="shared" si="1"/>
        <v>F_03_07</v>
      </c>
      <c r="D11" s="8" t="s">
        <v>745</v>
      </c>
      <c r="E11" s="154" t="s">
        <v>726</v>
      </c>
      <c r="F11" s="7" t="str">
        <f>_xlfn.XLOOKUP(E11,Tab_Def_Processes[Process_Name],Tab_Def_Processes[Process_ID],,0,)</f>
        <v>03</v>
      </c>
      <c r="G11" s="154" t="s">
        <v>440</v>
      </c>
      <c r="H11" s="10" t="str">
        <f>_xlfn.XLOOKUP(G11,Tab_Def_Processes[Process_Name],Tab_Def_Processes[Process_ID],,0,)</f>
        <v>07</v>
      </c>
      <c r="I11" s="154" t="s">
        <v>7</v>
      </c>
      <c r="J11" s="154" t="s">
        <v>7</v>
      </c>
      <c r="K11" s="154" t="s">
        <v>7</v>
      </c>
      <c r="L11" s="7" t="str">
        <f>Tab_Def_Flows[[#This Row],[Flow_ID]]&amp;"_WC"</f>
        <v>F_03_07_WC</v>
      </c>
      <c r="M11" s="149"/>
      <c r="N11" s="20"/>
      <c r="O11" s="7" t="str">
        <f>Tab_Def_Flows[[#This Row],[Flow_ID]]&amp;"_DM"</f>
        <v>F_03_07_DM</v>
      </c>
      <c r="Q11" s="20"/>
      <c r="R11" s="7" t="str">
        <f>Tab_Def_Flows[[#This Row],[Flow_ID]]&amp;"_CC"</f>
        <v>F_03_07_CC</v>
      </c>
      <c r="S11" s="149"/>
      <c r="T11" s="20"/>
      <c r="U11" s="155">
        <f>Tab_Def_Flows[[#This Row],[Flow_CC_DM'[%']]]*Tab_Def_Flows[[#This Row],[Flow_DM]]</f>
        <v>0</v>
      </c>
      <c r="V11" s="8"/>
    </row>
    <row r="12" spans="1:24" x14ac:dyDescent="0.25">
      <c r="A12" s="159" t="b">
        <v>0</v>
      </c>
      <c r="B12" s="23">
        <f t="shared" si="0"/>
        <v>11</v>
      </c>
      <c r="C12" s="7" t="str">
        <f t="shared" si="1"/>
        <v>F_04_01</v>
      </c>
      <c r="D12" s="8" t="s">
        <v>746</v>
      </c>
      <c r="E12" s="154" t="s">
        <v>727</v>
      </c>
      <c r="F12" s="7" t="str">
        <f>_xlfn.XLOOKUP(E12,Tab_Def_Processes[Process_Name],Tab_Def_Processes[Process_ID],,0,)</f>
        <v>04</v>
      </c>
      <c r="G12" s="154" t="s">
        <v>724</v>
      </c>
      <c r="H12" s="10" t="str">
        <f>_xlfn.XLOOKUP(G12,Tab_Def_Processes[Process_Name],Tab_Def_Processes[Process_ID],,0,)</f>
        <v>01</v>
      </c>
      <c r="I12" s="154" t="s">
        <v>7</v>
      </c>
      <c r="J12" s="154" t="s">
        <v>7</v>
      </c>
      <c r="K12" s="154" t="s">
        <v>7</v>
      </c>
      <c r="L12" s="7" t="str">
        <f>Tab_Def_Flows[[#This Row],[Flow_ID]]&amp;"_WC"</f>
        <v>F_04_01_WC</v>
      </c>
      <c r="M12" s="149"/>
      <c r="N12" s="20"/>
      <c r="O12" s="7" t="str">
        <f>Tab_Def_Flows[[#This Row],[Flow_ID]]&amp;"_DM"</f>
        <v>F_04_01_DM</v>
      </c>
      <c r="Q12" s="20"/>
      <c r="R12" s="7" t="str">
        <f>Tab_Def_Flows[[#This Row],[Flow_ID]]&amp;"_CC"</f>
        <v>F_04_01_CC</v>
      </c>
      <c r="S12" s="149"/>
      <c r="T12" s="20"/>
      <c r="U12" s="155">
        <f>Tab_Def_Flows[[#This Row],[Flow_CC_DM'[%']]]*Tab_Def_Flows[[#This Row],[Flow_DM]]</f>
        <v>0</v>
      </c>
      <c r="V12" s="8"/>
    </row>
    <row r="13" spans="1:24" x14ac:dyDescent="0.25">
      <c r="A13" s="159" t="b">
        <v>0</v>
      </c>
      <c r="B13" s="23">
        <f t="shared" si="0"/>
        <v>12</v>
      </c>
      <c r="C13" s="7" t="str">
        <f t="shared" si="1"/>
        <v>F_05_10</v>
      </c>
      <c r="D13" s="8" t="s">
        <v>750</v>
      </c>
      <c r="E13" s="154" t="s">
        <v>728</v>
      </c>
      <c r="F13" s="7" t="str">
        <f>_xlfn.XLOOKUP(E13,Tab_Def_Processes[Process_Name],Tab_Def_Processes[Process_ID],,0,)</f>
        <v>05</v>
      </c>
      <c r="G13" s="154" t="s">
        <v>732</v>
      </c>
      <c r="H13" s="10" t="str">
        <f>_xlfn.XLOOKUP(G13,Tab_Def_Processes[Process_Name],Tab_Def_Processes[Process_ID],,0,)</f>
        <v>10</v>
      </c>
      <c r="I13" s="154" t="s">
        <v>7</v>
      </c>
      <c r="J13" s="154" t="s">
        <v>7</v>
      </c>
      <c r="K13" s="154" t="s">
        <v>7</v>
      </c>
      <c r="L13" s="7" t="str">
        <f>Tab_Def_Flows[[#This Row],[Flow_ID]]&amp;"_WC"</f>
        <v>F_05_10_WC</v>
      </c>
      <c r="M13" s="149"/>
      <c r="N13" s="20"/>
      <c r="O13" s="7" t="str">
        <f>Tab_Def_Flows[[#This Row],[Flow_ID]]&amp;"_DM"</f>
        <v>F_05_10_DM</v>
      </c>
      <c r="Q13" s="20"/>
      <c r="R13" s="7" t="str">
        <f>Tab_Def_Flows[[#This Row],[Flow_ID]]&amp;"_CC"</f>
        <v>F_05_10_CC</v>
      </c>
      <c r="S13" s="149"/>
      <c r="T13" s="20"/>
      <c r="U13" s="155">
        <f>Tab_Def_Flows[[#This Row],[Flow_CC_DM'[%']]]*Tab_Def_Flows[[#This Row],[Flow_DM]]</f>
        <v>0</v>
      </c>
      <c r="V13" s="8"/>
    </row>
    <row r="14" spans="1:24" x14ac:dyDescent="0.25">
      <c r="A14" s="159" t="b">
        <v>0</v>
      </c>
      <c r="B14" s="23">
        <f t="shared" si="0"/>
        <v>13</v>
      </c>
      <c r="C14" s="7" t="str">
        <f t="shared" si="1"/>
        <v>F_05_11</v>
      </c>
      <c r="D14" s="8" t="s">
        <v>747</v>
      </c>
      <c r="E14" s="154" t="s">
        <v>728</v>
      </c>
      <c r="F14" s="7" t="str">
        <f>_xlfn.XLOOKUP(E14,Tab_Def_Processes[Process_Name],Tab_Def_Processes[Process_ID],,0,)</f>
        <v>05</v>
      </c>
      <c r="G14" s="154" t="s">
        <v>733</v>
      </c>
      <c r="H14" s="10" t="str">
        <f>_xlfn.XLOOKUP(G14,Tab_Def_Processes[Process_Name],Tab_Def_Processes[Process_ID],,0,)</f>
        <v>11</v>
      </c>
      <c r="I14" s="154" t="s">
        <v>7</v>
      </c>
      <c r="J14" s="154" t="s">
        <v>7</v>
      </c>
      <c r="K14" s="154" t="s">
        <v>7</v>
      </c>
      <c r="L14" s="7" t="str">
        <f>Tab_Def_Flows[[#This Row],[Flow_ID]]&amp;"_WC"</f>
        <v>F_05_11_WC</v>
      </c>
      <c r="M14" s="149"/>
      <c r="N14" s="20"/>
      <c r="O14" s="7" t="str">
        <f>Tab_Def_Flows[[#This Row],[Flow_ID]]&amp;"_DM"</f>
        <v>F_05_11_DM</v>
      </c>
      <c r="Q14" s="20"/>
      <c r="R14" s="7" t="str">
        <f>Tab_Def_Flows[[#This Row],[Flow_ID]]&amp;"_CC"</f>
        <v>F_05_11_CC</v>
      </c>
      <c r="S14" s="149"/>
      <c r="T14" s="20"/>
      <c r="U14" s="155">
        <f>Tab_Def_Flows[[#This Row],[Flow_CC_DM'[%']]]*Tab_Def_Flows[[#This Row],[Flow_DM]]</f>
        <v>0</v>
      </c>
      <c r="V14" s="8"/>
    </row>
    <row r="15" spans="1:24" x14ac:dyDescent="0.25">
      <c r="A15" s="159" t="b">
        <v>0</v>
      </c>
      <c r="B15" s="23">
        <f t="shared" si="0"/>
        <v>14</v>
      </c>
      <c r="C15" s="7" t="str">
        <f t="shared" si="1"/>
        <v>F_06_09</v>
      </c>
      <c r="D15" s="8" t="s">
        <v>748</v>
      </c>
      <c r="E15" s="154" t="s">
        <v>729</v>
      </c>
      <c r="F15" s="7" t="str">
        <f>_xlfn.XLOOKUP(E15,Tab_Def_Processes[Process_Name],Tab_Def_Processes[Process_ID],,0,)</f>
        <v>06</v>
      </c>
      <c r="G15" s="154" t="s">
        <v>731</v>
      </c>
      <c r="H15" s="10" t="str">
        <f>_xlfn.XLOOKUP(G15,Tab_Def_Processes[Process_Name],Tab_Def_Processes[Process_ID],,0,)</f>
        <v>09</v>
      </c>
      <c r="I15" s="154" t="s">
        <v>7</v>
      </c>
      <c r="J15" s="154" t="s">
        <v>7</v>
      </c>
      <c r="K15" s="154" t="s">
        <v>7</v>
      </c>
      <c r="L15" s="7" t="str">
        <f>Tab_Def_Flows[[#This Row],[Flow_ID]]&amp;"_WC"</f>
        <v>F_06_09_WC</v>
      </c>
      <c r="M15" s="149"/>
      <c r="N15" s="20"/>
      <c r="O15" s="7" t="str">
        <f>Tab_Def_Flows[[#This Row],[Flow_ID]]&amp;"_DM"</f>
        <v>F_06_09_DM</v>
      </c>
      <c r="Q15" s="20"/>
      <c r="R15" s="7" t="str">
        <f>Tab_Def_Flows[[#This Row],[Flow_ID]]&amp;"_CC"</f>
        <v>F_06_09_CC</v>
      </c>
      <c r="S15" s="149"/>
      <c r="T15" s="20"/>
      <c r="U15" s="155">
        <f>Tab_Def_Flows[[#This Row],[Flow_CC_DM'[%']]]*Tab_Def_Flows[[#This Row],[Flow_DM]]</f>
        <v>0</v>
      </c>
      <c r="V15" s="8"/>
    </row>
    <row r="16" spans="1:24" x14ac:dyDescent="0.25">
      <c r="A16" s="159" t="b">
        <v>0</v>
      </c>
      <c r="B16" s="23">
        <f t="shared" si="0"/>
        <v>15</v>
      </c>
      <c r="C16" s="7" t="str">
        <f t="shared" si="1"/>
        <v>F_06_08</v>
      </c>
      <c r="D16" s="8" t="s">
        <v>749</v>
      </c>
      <c r="E16" s="154" t="s">
        <v>729</v>
      </c>
      <c r="F16" s="7" t="str">
        <f>_xlfn.XLOOKUP(E16,Tab_Def_Processes[Process_Name],Tab_Def_Processes[Process_ID],,0,)</f>
        <v>06</v>
      </c>
      <c r="G16" s="154" t="s">
        <v>730</v>
      </c>
      <c r="H16" s="10" t="str">
        <f>_xlfn.XLOOKUP(G16,Tab_Def_Processes[Process_Name],Tab_Def_Processes[Process_ID],,0,)</f>
        <v>08</v>
      </c>
      <c r="I16" s="154" t="s">
        <v>7</v>
      </c>
      <c r="J16" s="154" t="s">
        <v>7</v>
      </c>
      <c r="K16" s="154" t="s">
        <v>7</v>
      </c>
      <c r="L16" s="7" t="str">
        <f>Tab_Def_Flows[[#This Row],[Flow_ID]]&amp;"_WC"</f>
        <v>F_06_08_WC</v>
      </c>
      <c r="M16" s="149"/>
      <c r="N16" s="20"/>
      <c r="O16" s="7" t="str">
        <f>Tab_Def_Flows[[#This Row],[Flow_ID]]&amp;"_DM"</f>
        <v>F_06_08_DM</v>
      </c>
      <c r="Q16" s="20"/>
      <c r="R16" s="7" t="str">
        <f>Tab_Def_Flows[[#This Row],[Flow_ID]]&amp;"_CC"</f>
        <v>F_06_08_CC</v>
      </c>
      <c r="S16" s="149"/>
      <c r="T16" s="20"/>
      <c r="U16" s="155">
        <f>Tab_Def_Flows[[#This Row],[Flow_CC_DM'[%']]]*Tab_Def_Flows[[#This Row],[Flow_DM]]</f>
        <v>0</v>
      </c>
      <c r="V16" s="8"/>
    </row>
    <row r="17" spans="1:22" x14ac:dyDescent="0.25">
      <c r="A17" s="159" t="b">
        <v>0</v>
      </c>
      <c r="B17" s="23">
        <f t="shared" si="0"/>
        <v>16</v>
      </c>
      <c r="C17" s="7" t="str">
        <f t="shared" si="1"/>
        <v>F_01_15</v>
      </c>
      <c r="D17" s="8" t="s">
        <v>754</v>
      </c>
      <c r="E17" s="154" t="s">
        <v>724</v>
      </c>
      <c r="F17" s="7" t="str">
        <f>_xlfn.XLOOKUP(E17,Tab_Def_Processes[Process_Name],Tab_Def_Processes[Process_ID],,0,)</f>
        <v>01</v>
      </c>
      <c r="G17" s="154" t="s">
        <v>740</v>
      </c>
      <c r="H17" s="10" t="str">
        <f>_xlfn.XLOOKUP(G17,Tab_Def_Processes[Process_Name],Tab_Def_Processes[Process_ID],,0,)</f>
        <v>15</v>
      </c>
      <c r="I17" s="154"/>
      <c r="J17" s="154"/>
      <c r="K17" s="154"/>
      <c r="L17" s="7" t="str">
        <f>Tab_Def_Flows[[#This Row],[Flow_ID]]&amp;"_WC"</f>
        <v>F_01_15_WC</v>
      </c>
      <c r="M17" s="149"/>
      <c r="N17" s="20"/>
      <c r="O17" s="7" t="str">
        <f>Tab_Def_Flows[[#This Row],[Flow_ID]]&amp;"_DM"</f>
        <v>F_01_15_DM</v>
      </c>
      <c r="Q17" s="20"/>
      <c r="R17" s="7" t="str">
        <f>Tab_Def_Flows[[#This Row],[Flow_ID]]&amp;"_CC"</f>
        <v>F_01_15_CC</v>
      </c>
      <c r="S17" s="149"/>
      <c r="T17" s="20"/>
      <c r="U17" s="155">
        <f>Tab_Def_Flows[[#This Row],[Flow_CC_DM'[%']]]*Tab_Def_Flows[[#This Row],[Flow_DM]]</f>
        <v>0</v>
      </c>
      <c r="V17" s="8"/>
    </row>
    <row r="18" spans="1:22" x14ac:dyDescent="0.25">
      <c r="A18" s="159" t="b">
        <v>0</v>
      </c>
      <c r="B18" s="23">
        <f t="shared" si="0"/>
        <v>17</v>
      </c>
      <c r="C18" s="7" t="str">
        <f t="shared" si="1"/>
        <v>F_16_16</v>
      </c>
      <c r="D18" s="8"/>
      <c r="E18" s="154"/>
      <c r="F18" s="7" t="str">
        <f>_xlfn.XLOOKUP(E18,Tab_Def_Processes[Process_Name],Tab_Def_Processes[Process_ID],,0,)</f>
        <v>16</v>
      </c>
      <c r="G18" s="154"/>
      <c r="H18" s="10" t="str">
        <f>_xlfn.XLOOKUP(G18,Tab_Def_Processes[Process_Name],Tab_Def_Processes[Process_ID],,0,)</f>
        <v>16</v>
      </c>
      <c r="I18" s="154"/>
      <c r="J18" s="154"/>
      <c r="K18" s="154"/>
      <c r="L18" s="7" t="str">
        <f>Tab_Def_Flows[[#This Row],[Flow_ID]]&amp;"_WC"</f>
        <v>F_16_16_WC</v>
      </c>
      <c r="M18" s="149"/>
      <c r="N18" s="20"/>
      <c r="O18" s="7" t="str">
        <f>Tab_Def_Flows[[#This Row],[Flow_ID]]&amp;"_DM"</f>
        <v>F_16_16_DM</v>
      </c>
      <c r="Q18" s="20"/>
      <c r="R18" s="7" t="str">
        <f>Tab_Def_Flows[[#This Row],[Flow_ID]]&amp;"_CC"</f>
        <v>F_16_16_CC</v>
      </c>
      <c r="S18" s="149"/>
      <c r="T18" s="20"/>
      <c r="U18" s="155">
        <f>Tab_Def_Flows[[#This Row],[Flow_CC_DM'[%']]]*Tab_Def_Flows[[#This Row],[Flow_DM]]</f>
        <v>0</v>
      </c>
      <c r="V18" s="8"/>
    </row>
    <row r="19" spans="1:22" x14ac:dyDescent="0.25">
      <c r="A19" s="159" t="b">
        <v>0</v>
      </c>
      <c r="B19" s="23">
        <f t="shared" si="0"/>
        <v>18</v>
      </c>
      <c r="C19" s="7" t="str">
        <f t="shared" si="1"/>
        <v>F_16_16</v>
      </c>
      <c r="D19" s="8"/>
      <c r="E19" s="154"/>
      <c r="F19" s="7" t="str">
        <f>_xlfn.XLOOKUP(E19,Tab_Def_Processes[Process_Name],Tab_Def_Processes[Process_ID],,0,)</f>
        <v>16</v>
      </c>
      <c r="G19" s="154"/>
      <c r="H19" s="10" t="str">
        <f>_xlfn.XLOOKUP(G19,Tab_Def_Processes[Process_Name],Tab_Def_Processes[Process_ID],,0,)</f>
        <v>16</v>
      </c>
      <c r="I19" s="154"/>
      <c r="J19" s="154"/>
      <c r="K19" s="154"/>
      <c r="L19" s="7" t="str">
        <f>Tab_Def_Flows[[#This Row],[Flow_ID]]&amp;"_WC"</f>
        <v>F_16_16_WC</v>
      </c>
      <c r="M19" s="149"/>
      <c r="N19" s="20"/>
      <c r="O19" s="7" t="str">
        <f>Tab_Def_Flows[[#This Row],[Flow_ID]]&amp;"_DM"</f>
        <v>F_16_16_DM</v>
      </c>
      <c r="Q19" s="20"/>
      <c r="R19" s="7" t="str">
        <f>Tab_Def_Flows[[#This Row],[Flow_ID]]&amp;"_CC"</f>
        <v>F_16_16_CC</v>
      </c>
      <c r="S19" s="149"/>
      <c r="T19" s="20"/>
      <c r="U19" s="155">
        <f>Tab_Def_Flows[[#This Row],[Flow_CC_DM'[%']]]*Tab_Def_Flows[[#This Row],[Flow_DM]]</f>
        <v>0</v>
      </c>
      <c r="V19" s="8"/>
    </row>
    <row r="20" spans="1:22" x14ac:dyDescent="0.25">
      <c r="A20" s="159" t="b">
        <v>0</v>
      </c>
      <c r="B20" s="23">
        <f t="shared" si="0"/>
        <v>19</v>
      </c>
      <c r="C20" s="7" t="str">
        <f t="shared" si="1"/>
        <v>F_16_16</v>
      </c>
      <c r="D20" s="8"/>
      <c r="E20" s="154"/>
      <c r="F20" s="7" t="str">
        <f>_xlfn.XLOOKUP(E20,Tab_Def_Processes[Process_Name],Tab_Def_Processes[Process_ID],,0,)</f>
        <v>16</v>
      </c>
      <c r="G20" s="154"/>
      <c r="H20" s="10" t="str">
        <f>_xlfn.XLOOKUP(G20,Tab_Def_Processes[Process_Name],Tab_Def_Processes[Process_ID],,0,)</f>
        <v>16</v>
      </c>
      <c r="I20" s="154"/>
      <c r="J20" s="154"/>
      <c r="K20" s="154"/>
      <c r="L20" s="7" t="str">
        <f>Tab_Def_Flows[[#This Row],[Flow_ID]]&amp;"_WC"</f>
        <v>F_16_16_WC</v>
      </c>
      <c r="M20" s="149"/>
      <c r="N20" s="20"/>
      <c r="O20" s="7" t="str">
        <f>Tab_Def_Flows[[#This Row],[Flow_ID]]&amp;"_DM"</f>
        <v>F_16_16_DM</v>
      </c>
      <c r="Q20" s="20"/>
      <c r="R20" s="7" t="str">
        <f>Tab_Def_Flows[[#This Row],[Flow_ID]]&amp;"_CC"</f>
        <v>F_16_16_CC</v>
      </c>
      <c r="S20" s="149"/>
      <c r="T20" s="20"/>
      <c r="U20" s="155">
        <f>Tab_Def_Flows[[#This Row],[Flow_CC_DM'[%']]]*Tab_Def_Flows[[#This Row],[Flow_DM]]</f>
        <v>0</v>
      </c>
      <c r="V20" s="8"/>
    </row>
    <row r="21" spans="1:22" x14ac:dyDescent="0.25">
      <c r="A21" s="159" t="b">
        <v>0</v>
      </c>
      <c r="B21" s="23">
        <f t="shared" si="0"/>
        <v>20</v>
      </c>
      <c r="C21" s="7" t="str">
        <f t="shared" si="1"/>
        <v>F_16_16</v>
      </c>
      <c r="D21" s="8"/>
      <c r="E21" s="154"/>
      <c r="F21" s="7" t="str">
        <f>_xlfn.XLOOKUP(E21,Tab_Def_Processes[Process_Name],Tab_Def_Processes[Process_ID],,0,)</f>
        <v>16</v>
      </c>
      <c r="G21" s="154"/>
      <c r="H21" s="10" t="str">
        <f>_xlfn.XLOOKUP(G21,Tab_Def_Processes[Process_Name],Tab_Def_Processes[Process_ID],,0,)</f>
        <v>16</v>
      </c>
      <c r="I21" s="154"/>
      <c r="J21" s="154"/>
      <c r="K21" s="154"/>
      <c r="L21" s="7" t="str">
        <f>Tab_Def_Flows[[#This Row],[Flow_ID]]&amp;"_WC"</f>
        <v>F_16_16_WC</v>
      </c>
      <c r="M21" s="149"/>
      <c r="N21" s="20"/>
      <c r="O21" s="7" t="str">
        <f>Tab_Def_Flows[[#This Row],[Flow_ID]]&amp;"_DM"</f>
        <v>F_16_16_DM</v>
      </c>
      <c r="Q21" s="20"/>
      <c r="R21" s="7" t="str">
        <f>Tab_Def_Flows[[#This Row],[Flow_ID]]&amp;"_CC"</f>
        <v>F_16_16_CC</v>
      </c>
      <c r="S21" s="149"/>
      <c r="T21" s="20"/>
      <c r="U21" s="155">
        <f>Tab_Def_Flows[[#This Row],[Flow_CC_DM'[%']]]*Tab_Def_Flows[[#This Row],[Flow_DM]]</f>
        <v>0</v>
      </c>
      <c r="V21" s="8"/>
    </row>
    <row r="22" spans="1:22" x14ac:dyDescent="0.25">
      <c r="A22" s="159" t="b">
        <v>0</v>
      </c>
      <c r="B22" s="23">
        <f t="shared" si="0"/>
        <v>21</v>
      </c>
      <c r="C22" s="7" t="str">
        <f t="shared" si="1"/>
        <v>F_16_16</v>
      </c>
      <c r="D22" s="8"/>
      <c r="E22" s="154"/>
      <c r="F22" s="7" t="str">
        <f>_xlfn.XLOOKUP(E22,Tab_Def_Processes[Process_Name],Tab_Def_Processes[Process_ID],,0,)</f>
        <v>16</v>
      </c>
      <c r="G22" s="154"/>
      <c r="H22" s="10" t="str">
        <f>_xlfn.XLOOKUP(G22,Tab_Def_Processes[Process_Name],Tab_Def_Processes[Process_ID],,0,)</f>
        <v>16</v>
      </c>
      <c r="I22" s="154"/>
      <c r="J22" s="154"/>
      <c r="K22" s="154"/>
      <c r="L22" s="7" t="str">
        <f>Tab_Def_Flows[[#This Row],[Flow_ID]]&amp;"_WC"</f>
        <v>F_16_16_WC</v>
      </c>
      <c r="M22" s="149"/>
      <c r="N22" s="20"/>
      <c r="O22" s="7" t="str">
        <f>Tab_Def_Flows[[#This Row],[Flow_ID]]&amp;"_DM"</f>
        <v>F_16_16_DM</v>
      </c>
      <c r="Q22" s="20"/>
      <c r="R22" s="7" t="str">
        <f>Tab_Def_Flows[[#This Row],[Flow_ID]]&amp;"_CC"</f>
        <v>F_16_16_CC</v>
      </c>
      <c r="S22" s="149"/>
      <c r="T22" s="20"/>
      <c r="U22" s="155">
        <f>Tab_Def_Flows[[#This Row],[Flow_CC_DM'[%']]]*Tab_Def_Flows[[#This Row],[Flow_DM]]</f>
        <v>0</v>
      </c>
      <c r="V22" s="8"/>
    </row>
    <row r="23" spans="1:22" x14ac:dyDescent="0.25">
      <c r="A23" s="159" t="b">
        <v>0</v>
      </c>
      <c r="B23" s="23">
        <f t="shared" si="0"/>
        <v>22</v>
      </c>
      <c r="C23" s="7" t="str">
        <f t="shared" si="1"/>
        <v>F_16_16</v>
      </c>
      <c r="D23" s="8"/>
      <c r="E23" s="154"/>
      <c r="F23" s="7" t="str">
        <f>_xlfn.XLOOKUP(E23,Tab_Def_Processes[Process_Name],Tab_Def_Processes[Process_ID],,0,)</f>
        <v>16</v>
      </c>
      <c r="G23" s="154"/>
      <c r="H23" s="10" t="str">
        <f>_xlfn.XLOOKUP(G23,Tab_Def_Processes[Process_Name],Tab_Def_Processes[Process_ID],,0,)</f>
        <v>16</v>
      </c>
      <c r="I23" s="154"/>
      <c r="J23" s="154"/>
      <c r="K23" s="154"/>
      <c r="L23" s="7" t="str">
        <f>Tab_Def_Flows[[#This Row],[Flow_ID]]&amp;"_WC"</f>
        <v>F_16_16_WC</v>
      </c>
      <c r="M23" s="149"/>
      <c r="N23" s="20"/>
      <c r="O23" s="7" t="str">
        <f>Tab_Def_Flows[[#This Row],[Flow_ID]]&amp;"_DM"</f>
        <v>F_16_16_DM</v>
      </c>
      <c r="Q23" s="20"/>
      <c r="R23" s="7" t="str">
        <f>Tab_Def_Flows[[#This Row],[Flow_ID]]&amp;"_CC"</f>
        <v>F_16_16_CC</v>
      </c>
      <c r="S23" s="149"/>
      <c r="T23" s="20"/>
      <c r="U23" s="155">
        <f>Tab_Def_Flows[[#This Row],[Flow_CC_DM'[%']]]*Tab_Def_Flows[[#This Row],[Flow_DM]]</f>
        <v>0</v>
      </c>
      <c r="V23" s="8"/>
    </row>
    <row r="24" spans="1:22" x14ac:dyDescent="0.25">
      <c r="A24" s="159" t="b">
        <v>0</v>
      </c>
      <c r="B24" s="23">
        <f t="shared" si="0"/>
        <v>23</v>
      </c>
      <c r="C24" s="7" t="str">
        <f t="shared" si="1"/>
        <v>F_16_16</v>
      </c>
      <c r="D24" s="8"/>
      <c r="E24" s="154"/>
      <c r="F24" s="7" t="str">
        <f>_xlfn.XLOOKUP(E24,Tab_Def_Processes[Process_Name],Tab_Def_Processes[Process_ID],,0,)</f>
        <v>16</v>
      </c>
      <c r="G24" s="154"/>
      <c r="H24" s="10" t="str">
        <f>_xlfn.XLOOKUP(G24,Tab_Def_Processes[Process_Name],Tab_Def_Processes[Process_ID],,0,)</f>
        <v>16</v>
      </c>
      <c r="I24" s="154"/>
      <c r="J24" s="154"/>
      <c r="K24" s="154"/>
      <c r="L24" s="7" t="str">
        <f>Tab_Def_Flows[[#This Row],[Flow_ID]]&amp;"_WC"</f>
        <v>F_16_16_WC</v>
      </c>
      <c r="M24" s="149"/>
      <c r="N24" s="20"/>
      <c r="O24" s="7" t="str">
        <f>Tab_Def_Flows[[#This Row],[Flow_ID]]&amp;"_DM"</f>
        <v>F_16_16_DM</v>
      </c>
      <c r="Q24" s="20"/>
      <c r="R24" s="7" t="str">
        <f>Tab_Def_Flows[[#This Row],[Flow_ID]]&amp;"_CC"</f>
        <v>F_16_16_CC</v>
      </c>
      <c r="S24" s="149"/>
      <c r="T24" s="20"/>
      <c r="U24" s="155">
        <f>Tab_Def_Flows[[#This Row],[Flow_CC_DM'[%']]]*Tab_Def_Flows[[#This Row],[Flow_DM]]</f>
        <v>0</v>
      </c>
      <c r="V24" s="8"/>
    </row>
    <row r="25" spans="1:22" x14ac:dyDescent="0.25">
      <c r="A25" s="159" t="b">
        <v>0</v>
      </c>
      <c r="B25" s="23">
        <f t="shared" si="0"/>
        <v>24</v>
      </c>
      <c r="C25" s="7" t="str">
        <f t="shared" si="1"/>
        <v>F_16_16</v>
      </c>
      <c r="D25" s="8"/>
      <c r="E25" s="154"/>
      <c r="F25" s="7" t="str">
        <f>_xlfn.XLOOKUP(E25,Tab_Def_Processes[Process_Name],Tab_Def_Processes[Process_ID],,0,)</f>
        <v>16</v>
      </c>
      <c r="G25" s="154"/>
      <c r="H25" s="10" t="str">
        <f>_xlfn.XLOOKUP(G25,Tab_Def_Processes[Process_Name],Tab_Def_Processes[Process_ID],,0,)</f>
        <v>16</v>
      </c>
      <c r="I25" s="154"/>
      <c r="J25" s="154"/>
      <c r="K25" s="154"/>
      <c r="L25" s="7" t="str">
        <f>Tab_Def_Flows[[#This Row],[Flow_ID]]&amp;"_WC"</f>
        <v>F_16_16_WC</v>
      </c>
      <c r="M25" s="149"/>
      <c r="N25" s="20"/>
      <c r="O25" s="7" t="str">
        <f>Tab_Def_Flows[[#This Row],[Flow_ID]]&amp;"_DM"</f>
        <v>F_16_16_DM</v>
      </c>
      <c r="Q25" s="20"/>
      <c r="R25" s="7" t="str">
        <f>Tab_Def_Flows[[#This Row],[Flow_ID]]&amp;"_CC"</f>
        <v>F_16_16_CC</v>
      </c>
      <c r="S25" s="149"/>
      <c r="T25" s="20"/>
      <c r="U25" s="155">
        <f>Tab_Def_Flows[[#This Row],[Flow_CC_DM'[%']]]*Tab_Def_Flows[[#This Row],[Flow_DM]]</f>
        <v>0</v>
      </c>
      <c r="V25" s="8"/>
    </row>
    <row r="26" spans="1:22" x14ac:dyDescent="0.25">
      <c r="A26" s="159" t="b">
        <v>0</v>
      </c>
      <c r="B26" s="23">
        <f t="shared" si="0"/>
        <v>25</v>
      </c>
      <c r="C26" s="7" t="str">
        <f t="shared" si="1"/>
        <v>F_16_16</v>
      </c>
      <c r="D26" s="8"/>
      <c r="E26" s="154"/>
      <c r="F26" s="7" t="str">
        <f>_xlfn.XLOOKUP(E26,Tab_Def_Processes[Process_Name],Tab_Def_Processes[Process_ID],,0,)</f>
        <v>16</v>
      </c>
      <c r="G26" s="154"/>
      <c r="H26" s="10" t="str">
        <f>_xlfn.XLOOKUP(G26,Tab_Def_Processes[Process_Name],Tab_Def_Processes[Process_ID],,0,)</f>
        <v>16</v>
      </c>
      <c r="I26" s="154"/>
      <c r="J26" s="154"/>
      <c r="K26" s="154"/>
      <c r="L26" s="7" t="str">
        <f>Tab_Def_Flows[[#This Row],[Flow_ID]]&amp;"_WC"</f>
        <v>F_16_16_WC</v>
      </c>
      <c r="M26" s="149"/>
      <c r="N26" s="20"/>
      <c r="O26" s="7" t="str">
        <f>Tab_Def_Flows[[#This Row],[Flow_ID]]&amp;"_DM"</f>
        <v>F_16_16_DM</v>
      </c>
      <c r="Q26" s="20"/>
      <c r="R26" s="7" t="str">
        <f>Tab_Def_Flows[[#This Row],[Flow_ID]]&amp;"_CC"</f>
        <v>F_16_16_CC</v>
      </c>
      <c r="S26" s="149"/>
      <c r="T26" s="20"/>
      <c r="U26" s="155">
        <f>Tab_Def_Flows[[#This Row],[Flow_CC_DM'[%']]]*Tab_Def_Flows[[#This Row],[Flow_DM]]</f>
        <v>0</v>
      </c>
      <c r="V26" s="8"/>
    </row>
    <row r="27" spans="1:22" x14ac:dyDescent="0.25">
      <c r="A27" s="159" t="b">
        <v>0</v>
      </c>
      <c r="B27" s="23">
        <f t="shared" si="0"/>
        <v>26</v>
      </c>
      <c r="C27" s="7" t="str">
        <f t="shared" si="1"/>
        <v>F_16_16</v>
      </c>
      <c r="D27" s="8"/>
      <c r="E27" s="154"/>
      <c r="F27" s="7" t="str">
        <f>_xlfn.XLOOKUP(E27,Tab_Def_Processes[Process_Name],Tab_Def_Processes[Process_ID],,0,)</f>
        <v>16</v>
      </c>
      <c r="G27" s="154"/>
      <c r="H27" s="10" t="str">
        <f>_xlfn.XLOOKUP(G27,Tab_Def_Processes[Process_Name],Tab_Def_Processes[Process_ID],,0,)</f>
        <v>16</v>
      </c>
      <c r="I27" s="154"/>
      <c r="J27" s="154"/>
      <c r="K27" s="154"/>
      <c r="L27" s="7" t="str">
        <f>Tab_Def_Flows[[#This Row],[Flow_ID]]&amp;"_WC"</f>
        <v>F_16_16_WC</v>
      </c>
      <c r="M27" s="149"/>
      <c r="N27" s="20"/>
      <c r="O27" s="7" t="str">
        <f>Tab_Def_Flows[[#This Row],[Flow_ID]]&amp;"_DM"</f>
        <v>F_16_16_DM</v>
      </c>
      <c r="Q27" s="20"/>
      <c r="R27" s="7" t="str">
        <f>Tab_Def_Flows[[#This Row],[Flow_ID]]&amp;"_CC"</f>
        <v>F_16_16_CC</v>
      </c>
      <c r="S27" s="149"/>
      <c r="T27" s="20"/>
      <c r="U27" s="155">
        <f>Tab_Def_Flows[[#This Row],[Flow_CC_DM'[%']]]*Tab_Def_Flows[[#This Row],[Flow_DM]]</f>
        <v>0</v>
      </c>
      <c r="V27" s="8"/>
    </row>
    <row r="28" spans="1:22" x14ac:dyDescent="0.25">
      <c r="A28" s="159" t="b">
        <v>0</v>
      </c>
      <c r="B28" s="23">
        <f t="shared" si="0"/>
        <v>27</v>
      </c>
      <c r="C28" s="7" t="str">
        <f t="shared" si="1"/>
        <v>F_16_16</v>
      </c>
      <c r="D28" s="8"/>
      <c r="E28" s="154"/>
      <c r="F28" s="7" t="str">
        <f>_xlfn.XLOOKUP(E28,Tab_Def_Processes[Process_Name],Tab_Def_Processes[Process_ID],,0,)</f>
        <v>16</v>
      </c>
      <c r="G28" s="154"/>
      <c r="H28" s="10" t="str">
        <f>_xlfn.XLOOKUP(G28,Tab_Def_Processes[Process_Name],Tab_Def_Processes[Process_ID],,0,)</f>
        <v>16</v>
      </c>
      <c r="I28" s="154"/>
      <c r="J28" s="154"/>
      <c r="K28" s="154"/>
      <c r="L28" s="7" t="str">
        <f>Tab_Def_Flows[[#This Row],[Flow_ID]]&amp;"_WC"</f>
        <v>F_16_16_WC</v>
      </c>
      <c r="M28" s="149"/>
      <c r="N28" s="20"/>
      <c r="O28" s="7" t="str">
        <f>Tab_Def_Flows[[#This Row],[Flow_ID]]&amp;"_DM"</f>
        <v>F_16_16_DM</v>
      </c>
      <c r="Q28" s="20"/>
      <c r="R28" s="7" t="str">
        <f>Tab_Def_Flows[[#This Row],[Flow_ID]]&amp;"_CC"</f>
        <v>F_16_16_CC</v>
      </c>
      <c r="S28" s="149"/>
      <c r="T28" s="20"/>
      <c r="U28" s="155">
        <f>Tab_Def_Flows[[#This Row],[Flow_CC_DM'[%']]]*Tab_Def_Flows[[#This Row],[Flow_DM]]</f>
        <v>0</v>
      </c>
      <c r="V28" s="8"/>
    </row>
    <row r="29" spans="1:22" x14ac:dyDescent="0.25">
      <c r="A29" s="159" t="b">
        <v>0</v>
      </c>
      <c r="B29" s="23">
        <f t="shared" si="0"/>
        <v>28</v>
      </c>
      <c r="C29" s="7" t="str">
        <f t="shared" si="1"/>
        <v>F_16_16</v>
      </c>
      <c r="D29" s="8"/>
      <c r="E29" s="154"/>
      <c r="F29" s="7" t="str">
        <f>_xlfn.XLOOKUP(E29,Tab_Def_Processes[Process_Name],Tab_Def_Processes[Process_ID],,0,)</f>
        <v>16</v>
      </c>
      <c r="G29" s="154"/>
      <c r="H29" s="10" t="str">
        <f>_xlfn.XLOOKUP(G29,Tab_Def_Processes[Process_Name],Tab_Def_Processes[Process_ID],,0,)</f>
        <v>16</v>
      </c>
      <c r="I29" s="154"/>
      <c r="J29" s="154"/>
      <c r="K29" s="154"/>
      <c r="L29" s="7" t="str">
        <f>Tab_Def_Flows[[#This Row],[Flow_ID]]&amp;"_WC"</f>
        <v>F_16_16_WC</v>
      </c>
      <c r="M29" s="149"/>
      <c r="N29" s="20"/>
      <c r="O29" s="7" t="str">
        <f>Tab_Def_Flows[[#This Row],[Flow_ID]]&amp;"_DM"</f>
        <v>F_16_16_DM</v>
      </c>
      <c r="Q29" s="20"/>
      <c r="R29" s="7" t="str">
        <f>Tab_Def_Flows[[#This Row],[Flow_ID]]&amp;"_CC"</f>
        <v>F_16_16_CC</v>
      </c>
      <c r="S29" s="149"/>
      <c r="T29" s="20"/>
      <c r="U29" s="155">
        <f>Tab_Def_Flows[[#This Row],[Flow_CC_DM'[%']]]*Tab_Def_Flows[[#This Row],[Flow_DM]]</f>
        <v>0</v>
      </c>
      <c r="V29" s="8"/>
    </row>
    <row r="30" spans="1:22" x14ac:dyDescent="0.25">
      <c r="A30" s="159" t="b">
        <v>0</v>
      </c>
      <c r="B30" s="23">
        <f t="shared" si="0"/>
        <v>29</v>
      </c>
      <c r="C30" s="7" t="str">
        <f t="shared" si="1"/>
        <v>F_16_16</v>
      </c>
      <c r="D30" s="8"/>
      <c r="E30" s="154"/>
      <c r="F30" s="7" t="str">
        <f>_xlfn.XLOOKUP(E30,Tab_Def_Processes[Process_Name],Tab_Def_Processes[Process_ID],,0,)</f>
        <v>16</v>
      </c>
      <c r="G30" s="154"/>
      <c r="H30" s="10" t="str">
        <f>_xlfn.XLOOKUP(G30,Tab_Def_Processes[Process_Name],Tab_Def_Processes[Process_ID],,0,)</f>
        <v>16</v>
      </c>
      <c r="I30" s="154"/>
      <c r="J30" s="154"/>
      <c r="K30" s="154"/>
      <c r="L30" s="7" t="str">
        <f>Tab_Def_Flows[[#This Row],[Flow_ID]]&amp;"_WC"</f>
        <v>F_16_16_WC</v>
      </c>
      <c r="M30" s="149"/>
      <c r="N30" s="20"/>
      <c r="O30" s="7" t="str">
        <f>Tab_Def_Flows[[#This Row],[Flow_ID]]&amp;"_DM"</f>
        <v>F_16_16_DM</v>
      </c>
      <c r="Q30" s="20"/>
      <c r="R30" s="7" t="str">
        <f>Tab_Def_Flows[[#This Row],[Flow_ID]]&amp;"_CC"</f>
        <v>F_16_16_CC</v>
      </c>
      <c r="S30" s="149"/>
      <c r="T30" s="20"/>
      <c r="U30" s="155">
        <f>Tab_Def_Flows[[#This Row],[Flow_CC_DM'[%']]]*Tab_Def_Flows[[#This Row],[Flow_DM]]</f>
        <v>0</v>
      </c>
      <c r="V30" s="8"/>
    </row>
    <row r="31" spans="1:22" x14ac:dyDescent="0.25">
      <c r="A31" s="159" t="b">
        <v>0</v>
      </c>
      <c r="B31" s="23">
        <f t="shared" si="0"/>
        <v>30</v>
      </c>
      <c r="C31" s="7" t="str">
        <f t="shared" si="1"/>
        <v>F_16_16</v>
      </c>
      <c r="D31" s="8"/>
      <c r="E31" s="154"/>
      <c r="F31" s="7" t="str">
        <f>_xlfn.XLOOKUP(E31,Tab_Def_Processes[Process_Name],Tab_Def_Processes[Process_ID],,0,)</f>
        <v>16</v>
      </c>
      <c r="G31" s="154"/>
      <c r="H31" s="10" t="str">
        <f>_xlfn.XLOOKUP(G31,Tab_Def_Processes[Process_Name],Tab_Def_Processes[Process_ID],,0,)</f>
        <v>16</v>
      </c>
      <c r="I31" s="154"/>
      <c r="J31" s="154"/>
      <c r="K31" s="154"/>
      <c r="L31" s="7" t="str">
        <f>Tab_Def_Flows[[#This Row],[Flow_ID]]&amp;"_WC"</f>
        <v>F_16_16_WC</v>
      </c>
      <c r="M31" s="149"/>
      <c r="N31" s="20"/>
      <c r="O31" s="7" t="str">
        <f>Tab_Def_Flows[[#This Row],[Flow_ID]]&amp;"_DM"</f>
        <v>F_16_16_DM</v>
      </c>
      <c r="Q31" s="20"/>
      <c r="R31" s="7" t="str">
        <f>Tab_Def_Flows[[#This Row],[Flow_ID]]&amp;"_CC"</f>
        <v>F_16_16_CC</v>
      </c>
      <c r="S31" s="149"/>
      <c r="T31" s="20"/>
      <c r="U31" s="155">
        <f>Tab_Def_Flows[[#This Row],[Flow_CC_DM'[%']]]*Tab_Def_Flows[[#This Row],[Flow_DM]]</f>
        <v>0</v>
      </c>
      <c r="V31" s="8"/>
    </row>
    <row r="32" spans="1:22" x14ac:dyDescent="0.25">
      <c r="A32" s="159" t="b">
        <v>0</v>
      </c>
      <c r="B32" s="23">
        <f t="shared" si="0"/>
        <v>31</v>
      </c>
      <c r="C32" s="7" t="str">
        <f t="shared" si="1"/>
        <v>F_16_16</v>
      </c>
      <c r="D32" s="8"/>
      <c r="E32" s="154"/>
      <c r="F32" s="7" t="str">
        <f>_xlfn.XLOOKUP(E32,Tab_Def_Processes[Process_Name],Tab_Def_Processes[Process_ID],,0,)</f>
        <v>16</v>
      </c>
      <c r="G32" s="154"/>
      <c r="H32" s="10" t="str">
        <f>_xlfn.XLOOKUP(G32,Tab_Def_Processes[Process_Name],Tab_Def_Processes[Process_ID],,0,)</f>
        <v>16</v>
      </c>
      <c r="I32" s="154"/>
      <c r="J32" s="154"/>
      <c r="K32" s="154"/>
      <c r="L32" s="7" t="str">
        <f>Tab_Def_Flows[[#This Row],[Flow_ID]]&amp;"_WC"</f>
        <v>F_16_16_WC</v>
      </c>
      <c r="M32" s="149"/>
      <c r="N32" s="20"/>
      <c r="O32" s="7" t="str">
        <f>Tab_Def_Flows[[#This Row],[Flow_ID]]&amp;"_DM"</f>
        <v>F_16_16_DM</v>
      </c>
      <c r="Q32" s="20"/>
      <c r="R32" s="7" t="str">
        <f>Tab_Def_Flows[[#This Row],[Flow_ID]]&amp;"_CC"</f>
        <v>F_16_16_CC</v>
      </c>
      <c r="S32" s="149"/>
      <c r="T32" s="20"/>
      <c r="U32" s="155">
        <f>Tab_Def_Flows[[#This Row],[Flow_CC_DM'[%']]]*Tab_Def_Flows[[#This Row],[Flow_DM]]</f>
        <v>0</v>
      </c>
      <c r="V32" s="8"/>
    </row>
    <row r="33" spans="1:22" x14ac:dyDescent="0.25">
      <c r="A33" s="159" t="b">
        <v>0</v>
      </c>
      <c r="B33" s="23">
        <f t="shared" si="0"/>
        <v>32</v>
      </c>
      <c r="C33" s="7" t="str">
        <f t="shared" si="1"/>
        <v>F_16_16</v>
      </c>
      <c r="D33" s="8"/>
      <c r="E33" s="154"/>
      <c r="F33" s="7" t="str">
        <f>_xlfn.XLOOKUP(E33,Tab_Def_Processes[Process_Name],Tab_Def_Processes[Process_ID],,0,)</f>
        <v>16</v>
      </c>
      <c r="G33" s="154"/>
      <c r="H33" s="10" t="str">
        <f>_xlfn.XLOOKUP(G33,Tab_Def_Processes[Process_Name],Tab_Def_Processes[Process_ID],,0,)</f>
        <v>16</v>
      </c>
      <c r="I33" s="154"/>
      <c r="J33" s="154"/>
      <c r="K33" s="154"/>
      <c r="L33" s="7" t="str">
        <f>Tab_Def_Flows[[#This Row],[Flow_ID]]&amp;"_WC"</f>
        <v>F_16_16_WC</v>
      </c>
      <c r="M33" s="149"/>
      <c r="N33" s="20"/>
      <c r="O33" s="7" t="str">
        <f>Tab_Def_Flows[[#This Row],[Flow_ID]]&amp;"_DM"</f>
        <v>F_16_16_DM</v>
      </c>
      <c r="Q33" s="20"/>
      <c r="R33" s="7" t="str">
        <f>Tab_Def_Flows[[#This Row],[Flow_ID]]&amp;"_CC"</f>
        <v>F_16_16_CC</v>
      </c>
      <c r="S33" s="149"/>
      <c r="T33" s="20"/>
      <c r="U33" s="155">
        <f>Tab_Def_Flows[[#This Row],[Flow_CC_DM'[%']]]*Tab_Def_Flows[[#This Row],[Flow_DM]]</f>
        <v>0</v>
      </c>
      <c r="V33" s="8"/>
    </row>
    <row r="34" spans="1:22" x14ac:dyDescent="0.25">
      <c r="A34" s="159" t="b">
        <v>0</v>
      </c>
      <c r="B34" s="23">
        <f t="shared" si="0"/>
        <v>33</v>
      </c>
      <c r="C34" s="7" t="str">
        <f t="shared" si="1"/>
        <v>F_16_16</v>
      </c>
      <c r="D34" s="8"/>
      <c r="E34" s="154"/>
      <c r="F34" s="7" t="str">
        <f>_xlfn.XLOOKUP(E34,Tab_Def_Processes[Process_Name],Tab_Def_Processes[Process_ID],,0,)</f>
        <v>16</v>
      </c>
      <c r="G34" s="154"/>
      <c r="H34" s="10" t="str">
        <f>_xlfn.XLOOKUP(G34,Tab_Def_Processes[Process_Name],Tab_Def_Processes[Process_ID],,0,)</f>
        <v>16</v>
      </c>
      <c r="I34" s="154"/>
      <c r="J34" s="154"/>
      <c r="K34" s="154"/>
      <c r="L34" s="7" t="str">
        <f>Tab_Def_Flows[[#This Row],[Flow_ID]]&amp;"_WC"</f>
        <v>F_16_16_WC</v>
      </c>
      <c r="M34" s="149"/>
      <c r="N34" s="20"/>
      <c r="O34" s="7" t="str">
        <f>Tab_Def_Flows[[#This Row],[Flow_ID]]&amp;"_DM"</f>
        <v>F_16_16_DM</v>
      </c>
      <c r="Q34" s="20"/>
      <c r="R34" s="7" t="str">
        <f>Tab_Def_Flows[[#This Row],[Flow_ID]]&amp;"_CC"</f>
        <v>F_16_16_CC</v>
      </c>
      <c r="S34" s="149"/>
      <c r="T34" s="20"/>
      <c r="U34" s="155">
        <f>Tab_Def_Flows[[#This Row],[Flow_CC_DM'[%']]]*Tab_Def_Flows[[#This Row],[Flow_DM]]</f>
        <v>0</v>
      </c>
      <c r="V34" s="8"/>
    </row>
    <row r="35" spans="1:22" x14ac:dyDescent="0.25">
      <c r="A35" s="159" t="b">
        <v>0</v>
      </c>
      <c r="B35" s="23">
        <f t="shared" si="0"/>
        <v>34</v>
      </c>
      <c r="C35" s="7" t="str">
        <f t="shared" si="1"/>
        <v>F_16_16</v>
      </c>
      <c r="D35" s="8"/>
      <c r="E35" s="154"/>
      <c r="F35" s="7" t="str">
        <f>_xlfn.XLOOKUP(E35,Tab_Def_Processes[Process_Name],Tab_Def_Processes[Process_ID],,0,)</f>
        <v>16</v>
      </c>
      <c r="G35" s="154"/>
      <c r="H35" s="10" t="str">
        <f>_xlfn.XLOOKUP(G35,Tab_Def_Processes[Process_Name],Tab_Def_Processes[Process_ID],,0,)</f>
        <v>16</v>
      </c>
      <c r="I35" s="154"/>
      <c r="J35" s="154"/>
      <c r="K35" s="154"/>
      <c r="L35" s="7" t="str">
        <f>Tab_Def_Flows[[#This Row],[Flow_ID]]&amp;"_WC"</f>
        <v>F_16_16_WC</v>
      </c>
      <c r="M35" s="149"/>
      <c r="N35" s="20"/>
      <c r="O35" s="7" t="str">
        <f>Tab_Def_Flows[[#This Row],[Flow_ID]]&amp;"_DM"</f>
        <v>F_16_16_DM</v>
      </c>
      <c r="Q35" s="20"/>
      <c r="R35" s="7" t="str">
        <f>Tab_Def_Flows[[#This Row],[Flow_ID]]&amp;"_CC"</f>
        <v>F_16_16_CC</v>
      </c>
      <c r="S35" s="149"/>
      <c r="T35" s="20"/>
      <c r="U35" s="155">
        <f>Tab_Def_Flows[[#This Row],[Flow_CC_DM'[%']]]*Tab_Def_Flows[[#This Row],[Flow_DM]]</f>
        <v>0</v>
      </c>
      <c r="V35" s="8"/>
    </row>
    <row r="36" spans="1:22" ht="15.75" customHeight="1" x14ac:dyDescent="0.25">
      <c r="A36" s="159" t="b">
        <v>0</v>
      </c>
      <c r="B36" s="23">
        <f t="shared" si="0"/>
        <v>35</v>
      </c>
      <c r="C36" s="7" t="str">
        <f t="shared" si="1"/>
        <v>F_16_16</v>
      </c>
      <c r="D36" s="8"/>
      <c r="E36" s="154"/>
      <c r="F36" s="7" t="str">
        <f>_xlfn.XLOOKUP(E36,Tab_Def_Processes[Process_Name],Tab_Def_Processes[Process_ID],,0,)</f>
        <v>16</v>
      </c>
      <c r="G36" s="154"/>
      <c r="H36" s="10" t="str">
        <f>_xlfn.XLOOKUP(G36,Tab_Def_Processes[Process_Name],Tab_Def_Processes[Process_ID],,0,)</f>
        <v>16</v>
      </c>
      <c r="I36" s="154"/>
      <c r="J36" s="154"/>
      <c r="K36" s="154"/>
      <c r="L36" s="7" t="str">
        <f>Tab_Def_Flows[[#This Row],[Flow_ID]]&amp;"_WC"</f>
        <v>F_16_16_WC</v>
      </c>
      <c r="M36" s="149"/>
      <c r="N36" s="20"/>
      <c r="O36" s="7" t="str">
        <f>Tab_Def_Flows[[#This Row],[Flow_ID]]&amp;"_DM"</f>
        <v>F_16_16_DM</v>
      </c>
      <c r="Q36" s="20"/>
      <c r="R36" s="7" t="str">
        <f>Tab_Def_Flows[[#This Row],[Flow_ID]]&amp;"_CC"</f>
        <v>F_16_16_CC</v>
      </c>
      <c r="S36" s="149"/>
      <c r="T36" s="20"/>
      <c r="U36" s="155">
        <f>Tab_Def_Flows[[#This Row],[Flow_CC_DM'[%']]]*Tab_Def_Flows[[#This Row],[Flow_DM]]</f>
        <v>0</v>
      </c>
      <c r="V36" s="8"/>
    </row>
    <row r="37" spans="1:22" x14ac:dyDescent="0.25">
      <c r="A37" s="159" t="b">
        <v>0</v>
      </c>
      <c r="B37" s="23">
        <f t="shared" si="0"/>
        <v>36</v>
      </c>
      <c r="C37" s="7" t="str">
        <f t="shared" si="1"/>
        <v>F_16_16</v>
      </c>
      <c r="D37" s="8"/>
      <c r="E37" s="154"/>
      <c r="F37" s="7" t="str">
        <f>_xlfn.XLOOKUP(E37,Tab_Def_Processes[Process_Name],Tab_Def_Processes[Process_ID],,0,)</f>
        <v>16</v>
      </c>
      <c r="G37" s="154"/>
      <c r="H37" s="10" t="str">
        <f>_xlfn.XLOOKUP(G37,Tab_Def_Processes[Process_Name],Tab_Def_Processes[Process_ID],,0,)</f>
        <v>16</v>
      </c>
      <c r="I37" s="154"/>
      <c r="J37" s="154"/>
      <c r="K37" s="154"/>
      <c r="L37" s="7" t="str">
        <f>Tab_Def_Flows[[#This Row],[Flow_ID]]&amp;"_WC"</f>
        <v>F_16_16_WC</v>
      </c>
      <c r="M37" s="149"/>
      <c r="N37" s="20"/>
      <c r="O37" s="7" t="str">
        <f>Tab_Def_Flows[[#This Row],[Flow_ID]]&amp;"_DM"</f>
        <v>F_16_16_DM</v>
      </c>
      <c r="Q37" s="20"/>
      <c r="R37" s="7" t="str">
        <f>Tab_Def_Flows[[#This Row],[Flow_ID]]&amp;"_CC"</f>
        <v>F_16_16_CC</v>
      </c>
      <c r="S37" s="149"/>
      <c r="T37" s="20"/>
      <c r="U37" s="155">
        <f>Tab_Def_Flows[[#This Row],[Flow_CC_DM'[%']]]*Tab_Def_Flows[[#This Row],[Flow_DM]]</f>
        <v>0</v>
      </c>
      <c r="V37" s="8"/>
    </row>
    <row r="38" spans="1:22" x14ac:dyDescent="0.25">
      <c r="A38" s="159" t="b">
        <v>0</v>
      </c>
      <c r="B38" s="23">
        <f t="shared" si="0"/>
        <v>37</v>
      </c>
      <c r="C38" s="7" t="str">
        <f t="shared" si="1"/>
        <v>F_16_16</v>
      </c>
      <c r="D38" s="8"/>
      <c r="E38" s="154"/>
      <c r="F38" s="7" t="str">
        <f>_xlfn.XLOOKUP(E38,Tab_Def_Processes[Process_Name],Tab_Def_Processes[Process_ID],,0,)</f>
        <v>16</v>
      </c>
      <c r="G38" s="154"/>
      <c r="H38" s="10" t="str">
        <f>_xlfn.XLOOKUP(G38,Tab_Def_Processes[Process_Name],Tab_Def_Processes[Process_ID],,0,)</f>
        <v>16</v>
      </c>
      <c r="I38" s="154"/>
      <c r="J38" s="154"/>
      <c r="K38" s="154"/>
      <c r="L38" s="7" t="str">
        <f>Tab_Def_Flows[[#This Row],[Flow_ID]]&amp;"_WC"</f>
        <v>F_16_16_WC</v>
      </c>
      <c r="M38" s="149"/>
      <c r="N38" s="20"/>
      <c r="O38" s="7" t="str">
        <f>Tab_Def_Flows[[#This Row],[Flow_ID]]&amp;"_DM"</f>
        <v>F_16_16_DM</v>
      </c>
      <c r="Q38" s="20"/>
      <c r="R38" s="7" t="str">
        <f>Tab_Def_Flows[[#This Row],[Flow_ID]]&amp;"_CC"</f>
        <v>F_16_16_CC</v>
      </c>
      <c r="S38" s="149"/>
      <c r="T38" s="20"/>
      <c r="U38" s="155">
        <f>Tab_Def_Flows[[#This Row],[Flow_CC_DM'[%']]]*Tab_Def_Flows[[#This Row],[Flow_DM]]</f>
        <v>0</v>
      </c>
      <c r="V38" s="8"/>
    </row>
    <row r="39" spans="1:22" x14ac:dyDescent="0.25">
      <c r="A39" s="159" t="b">
        <v>0</v>
      </c>
      <c r="B39" s="23">
        <f t="shared" si="0"/>
        <v>38</v>
      </c>
      <c r="C39" s="7" t="str">
        <f t="shared" si="1"/>
        <v>F_16_16</v>
      </c>
      <c r="D39" s="8"/>
      <c r="E39" s="154"/>
      <c r="F39" s="7" t="str">
        <f>_xlfn.XLOOKUP(E39,Tab_Def_Processes[Process_Name],Tab_Def_Processes[Process_ID],,0,)</f>
        <v>16</v>
      </c>
      <c r="G39" s="154"/>
      <c r="H39" s="10" t="str">
        <f>_xlfn.XLOOKUP(G39,Tab_Def_Processes[Process_Name],Tab_Def_Processes[Process_ID],,0,)</f>
        <v>16</v>
      </c>
      <c r="I39" s="154"/>
      <c r="J39" s="154"/>
      <c r="K39" s="154"/>
      <c r="L39" s="7" t="str">
        <f>Tab_Def_Flows[[#This Row],[Flow_ID]]&amp;"_WC"</f>
        <v>F_16_16_WC</v>
      </c>
      <c r="M39" s="149"/>
      <c r="N39" s="20"/>
      <c r="O39" s="7" t="str">
        <f>Tab_Def_Flows[[#This Row],[Flow_ID]]&amp;"_DM"</f>
        <v>F_16_16_DM</v>
      </c>
      <c r="Q39" s="20"/>
      <c r="R39" s="7" t="str">
        <f>Tab_Def_Flows[[#This Row],[Flow_ID]]&amp;"_CC"</f>
        <v>F_16_16_CC</v>
      </c>
      <c r="S39" s="149"/>
      <c r="T39" s="20"/>
      <c r="U39" s="155">
        <f>Tab_Def_Flows[[#This Row],[Flow_CC_DM'[%']]]*Tab_Def_Flows[[#This Row],[Flow_DM]]</f>
        <v>0</v>
      </c>
      <c r="V39" s="8"/>
    </row>
    <row r="40" spans="1:22" x14ac:dyDescent="0.25">
      <c r="A40" s="159" t="b">
        <v>0</v>
      </c>
      <c r="B40" s="23">
        <f t="shared" si="0"/>
        <v>39</v>
      </c>
      <c r="C40" s="7" t="str">
        <f t="shared" si="1"/>
        <v>F_16_16</v>
      </c>
      <c r="D40" s="8"/>
      <c r="E40" s="154"/>
      <c r="F40" s="7" t="str">
        <f>_xlfn.XLOOKUP(E40,Tab_Def_Processes[Process_Name],Tab_Def_Processes[Process_ID],,0,)</f>
        <v>16</v>
      </c>
      <c r="G40" s="154"/>
      <c r="H40" s="10" t="str">
        <f>_xlfn.XLOOKUP(G40,Tab_Def_Processes[Process_Name],Tab_Def_Processes[Process_ID],,0,)</f>
        <v>16</v>
      </c>
      <c r="I40" s="154"/>
      <c r="J40" s="154"/>
      <c r="K40" s="154"/>
      <c r="L40" s="7" t="str">
        <f>Tab_Def_Flows[[#This Row],[Flow_ID]]&amp;"_WC"</f>
        <v>F_16_16_WC</v>
      </c>
      <c r="M40" s="149"/>
      <c r="N40" s="20"/>
      <c r="O40" s="7" t="str">
        <f>Tab_Def_Flows[[#This Row],[Flow_ID]]&amp;"_DM"</f>
        <v>F_16_16_DM</v>
      </c>
      <c r="Q40" s="20"/>
      <c r="R40" s="7" t="str">
        <f>Tab_Def_Flows[[#This Row],[Flow_ID]]&amp;"_CC"</f>
        <v>F_16_16_CC</v>
      </c>
      <c r="S40" s="149"/>
      <c r="T40" s="20"/>
      <c r="U40" s="155">
        <f>Tab_Def_Flows[[#This Row],[Flow_CC_DM'[%']]]*Tab_Def_Flows[[#This Row],[Flow_DM]]</f>
        <v>0</v>
      </c>
      <c r="V40" s="8"/>
    </row>
    <row r="41" spans="1:22" x14ac:dyDescent="0.25">
      <c r="A41" s="159" t="b">
        <v>0</v>
      </c>
      <c r="B41" s="23">
        <f t="shared" si="0"/>
        <v>40</v>
      </c>
      <c r="C41" s="7" t="str">
        <f t="shared" si="1"/>
        <v>F_16_16</v>
      </c>
      <c r="D41" s="8"/>
      <c r="E41" s="154"/>
      <c r="F41" s="7" t="str">
        <f>_xlfn.XLOOKUP(E41,Tab_Def_Processes[Process_Name],Tab_Def_Processes[Process_ID],,0,)</f>
        <v>16</v>
      </c>
      <c r="G41" s="154"/>
      <c r="H41" s="10" t="str">
        <f>_xlfn.XLOOKUP(G41,Tab_Def_Processes[Process_Name],Tab_Def_Processes[Process_ID],,0,)</f>
        <v>16</v>
      </c>
      <c r="I41" s="154"/>
      <c r="J41" s="154"/>
      <c r="K41" s="154"/>
      <c r="L41" s="7" t="str">
        <f>Tab_Def_Flows[[#This Row],[Flow_ID]]&amp;"_WC"</f>
        <v>F_16_16_WC</v>
      </c>
      <c r="M41" s="149"/>
      <c r="N41" s="20"/>
      <c r="O41" s="7" t="str">
        <f>Tab_Def_Flows[[#This Row],[Flow_ID]]&amp;"_DM"</f>
        <v>F_16_16_DM</v>
      </c>
      <c r="Q41" s="20"/>
      <c r="R41" s="7" t="str">
        <f>Tab_Def_Flows[[#This Row],[Flow_ID]]&amp;"_CC"</f>
        <v>F_16_16_CC</v>
      </c>
      <c r="S41" s="149"/>
      <c r="T41" s="20"/>
      <c r="U41" s="155">
        <f>Tab_Def_Flows[[#This Row],[Flow_CC_DM'[%']]]*Tab_Def_Flows[[#This Row],[Flow_DM]]</f>
        <v>0</v>
      </c>
      <c r="V41" s="8"/>
    </row>
    <row r="42" spans="1:22" x14ac:dyDescent="0.25">
      <c r="A42" s="159" t="b">
        <v>0</v>
      </c>
      <c r="B42" s="23">
        <f t="shared" si="0"/>
        <v>41</v>
      </c>
      <c r="C42" s="7" t="str">
        <f t="shared" si="1"/>
        <v>F_16_16</v>
      </c>
      <c r="D42" s="8"/>
      <c r="E42" s="154"/>
      <c r="F42" s="7" t="str">
        <f>_xlfn.XLOOKUP(E42,Tab_Def_Processes[Process_Name],Tab_Def_Processes[Process_ID],,0,)</f>
        <v>16</v>
      </c>
      <c r="G42" s="154"/>
      <c r="H42" s="10" t="str">
        <f>_xlfn.XLOOKUP(G42,Tab_Def_Processes[Process_Name],Tab_Def_Processes[Process_ID],,0,)</f>
        <v>16</v>
      </c>
      <c r="I42" s="154"/>
      <c r="J42" s="154"/>
      <c r="K42" s="154"/>
      <c r="L42" s="7" t="str">
        <f>Tab_Def_Flows[[#This Row],[Flow_ID]]&amp;"_WC"</f>
        <v>F_16_16_WC</v>
      </c>
      <c r="M42" s="149"/>
      <c r="N42" s="20"/>
      <c r="O42" s="7" t="str">
        <f>Tab_Def_Flows[[#This Row],[Flow_ID]]&amp;"_DM"</f>
        <v>F_16_16_DM</v>
      </c>
      <c r="Q42" s="20"/>
      <c r="R42" s="7" t="str">
        <f>Tab_Def_Flows[[#This Row],[Flow_ID]]&amp;"_CC"</f>
        <v>F_16_16_CC</v>
      </c>
      <c r="S42" s="149"/>
      <c r="T42" s="20"/>
      <c r="U42" s="155">
        <f>Tab_Def_Flows[[#This Row],[Flow_CC_DM'[%']]]*Tab_Def_Flows[[#This Row],[Flow_DM]]</f>
        <v>0</v>
      </c>
      <c r="V42" s="8"/>
    </row>
    <row r="43" spans="1:22" x14ac:dyDescent="0.25">
      <c r="A43" s="159" t="b">
        <v>0</v>
      </c>
      <c r="B43" s="23">
        <f t="shared" si="0"/>
        <v>42</v>
      </c>
      <c r="C43" s="7" t="str">
        <f t="shared" si="1"/>
        <v>F_16_16</v>
      </c>
      <c r="D43" s="8"/>
      <c r="E43" s="154"/>
      <c r="F43" s="7" t="str">
        <f>_xlfn.XLOOKUP(E43,Tab_Def_Processes[Process_Name],Tab_Def_Processes[Process_ID],,0,)</f>
        <v>16</v>
      </c>
      <c r="G43" s="154"/>
      <c r="H43" s="10" t="str">
        <f>_xlfn.XLOOKUP(G43,Tab_Def_Processes[Process_Name],Tab_Def_Processes[Process_ID],,0,)</f>
        <v>16</v>
      </c>
      <c r="I43" s="154"/>
      <c r="J43" s="154"/>
      <c r="K43" s="154"/>
      <c r="L43" s="7" t="str">
        <f>Tab_Def_Flows[[#This Row],[Flow_ID]]&amp;"_WC"</f>
        <v>F_16_16_WC</v>
      </c>
      <c r="M43" s="149"/>
      <c r="N43" s="20"/>
      <c r="O43" s="7" t="str">
        <f>Tab_Def_Flows[[#This Row],[Flow_ID]]&amp;"_DM"</f>
        <v>F_16_16_DM</v>
      </c>
      <c r="Q43" s="20"/>
      <c r="R43" s="7" t="str">
        <f>Tab_Def_Flows[[#This Row],[Flow_ID]]&amp;"_CC"</f>
        <v>F_16_16_CC</v>
      </c>
      <c r="S43" s="149"/>
      <c r="T43" s="20"/>
      <c r="U43" s="155">
        <f>Tab_Def_Flows[[#This Row],[Flow_CC_DM'[%']]]*Tab_Def_Flows[[#This Row],[Flow_DM]]</f>
        <v>0</v>
      </c>
      <c r="V43" s="8"/>
    </row>
    <row r="44" spans="1:22" x14ac:dyDescent="0.25">
      <c r="A44" s="159" t="b">
        <v>0</v>
      </c>
      <c r="B44" s="23">
        <f t="shared" si="0"/>
        <v>43</v>
      </c>
      <c r="C44" s="7" t="str">
        <f t="shared" si="1"/>
        <v>F_16_16</v>
      </c>
      <c r="D44" s="8"/>
      <c r="E44" s="154"/>
      <c r="F44" s="7" t="str">
        <f>_xlfn.XLOOKUP(E44,Tab_Def_Processes[Process_Name],Tab_Def_Processes[Process_ID],,0,)</f>
        <v>16</v>
      </c>
      <c r="G44" s="154"/>
      <c r="H44" s="10" t="str">
        <f>_xlfn.XLOOKUP(G44,Tab_Def_Processes[Process_Name],Tab_Def_Processes[Process_ID],,0,)</f>
        <v>16</v>
      </c>
      <c r="I44" s="154"/>
      <c r="J44" s="154"/>
      <c r="K44" s="154"/>
      <c r="L44" s="7" t="str">
        <f>Tab_Def_Flows[[#This Row],[Flow_ID]]&amp;"_WC"</f>
        <v>F_16_16_WC</v>
      </c>
      <c r="M44" s="149"/>
      <c r="N44" s="20"/>
      <c r="O44" s="7" t="str">
        <f>Tab_Def_Flows[[#This Row],[Flow_ID]]&amp;"_DM"</f>
        <v>F_16_16_DM</v>
      </c>
      <c r="Q44" s="20"/>
      <c r="R44" s="7" t="str">
        <f>Tab_Def_Flows[[#This Row],[Flow_ID]]&amp;"_CC"</f>
        <v>F_16_16_CC</v>
      </c>
      <c r="S44" s="149"/>
      <c r="T44" s="20"/>
      <c r="U44" s="155">
        <f>Tab_Def_Flows[[#This Row],[Flow_CC_DM'[%']]]*Tab_Def_Flows[[#This Row],[Flow_DM]]</f>
        <v>0</v>
      </c>
      <c r="V44" s="8"/>
    </row>
    <row r="45" spans="1:22" ht="15" customHeight="1" x14ac:dyDescent="0.25">
      <c r="A45" s="159" t="b">
        <v>0</v>
      </c>
      <c r="B45" s="23">
        <f t="shared" si="0"/>
        <v>44</v>
      </c>
      <c r="C45" s="7" t="str">
        <f t="shared" si="1"/>
        <v>F_16_16</v>
      </c>
      <c r="D45" s="8"/>
      <c r="E45" s="154"/>
      <c r="F45" s="7" t="str">
        <f>_xlfn.XLOOKUP(E45,Tab_Def_Processes[Process_Name],Tab_Def_Processes[Process_ID],,0,)</f>
        <v>16</v>
      </c>
      <c r="G45" s="154"/>
      <c r="H45" s="10" t="str">
        <f>_xlfn.XLOOKUP(G45,Tab_Def_Processes[Process_Name],Tab_Def_Processes[Process_ID],,0,)</f>
        <v>16</v>
      </c>
      <c r="I45" s="154"/>
      <c r="J45" s="154"/>
      <c r="K45" s="154"/>
      <c r="L45" s="7" t="str">
        <f>Tab_Def_Flows[[#This Row],[Flow_ID]]&amp;"_WC"</f>
        <v>F_16_16_WC</v>
      </c>
      <c r="M45" s="149"/>
      <c r="N45" s="20"/>
      <c r="O45" s="7" t="str">
        <f>Tab_Def_Flows[[#This Row],[Flow_ID]]&amp;"_DM"</f>
        <v>F_16_16_DM</v>
      </c>
      <c r="Q45" s="20"/>
      <c r="R45" s="7" t="str">
        <f>Tab_Def_Flows[[#This Row],[Flow_ID]]&amp;"_CC"</f>
        <v>F_16_16_CC</v>
      </c>
      <c r="S45" s="149"/>
      <c r="T45" s="20"/>
      <c r="U45" s="155">
        <f>Tab_Def_Flows[[#This Row],[Flow_CC_DM'[%']]]*Tab_Def_Flows[[#This Row],[Flow_DM]]</f>
        <v>0</v>
      </c>
      <c r="V45" s="8"/>
    </row>
    <row r="46" spans="1:22" ht="15" customHeight="1" x14ac:dyDescent="0.25">
      <c r="A46" s="159" t="b">
        <v>0</v>
      </c>
      <c r="B46" s="23">
        <f t="shared" si="0"/>
        <v>45</v>
      </c>
      <c r="C46" s="7" t="str">
        <f t="shared" si="1"/>
        <v>F_16_16</v>
      </c>
      <c r="D46" s="8"/>
      <c r="E46" s="154"/>
      <c r="F46" s="7" t="str">
        <f>_xlfn.XLOOKUP(E46,Tab_Def_Processes[Process_Name],Tab_Def_Processes[Process_ID],,0,)</f>
        <v>16</v>
      </c>
      <c r="G46" s="154"/>
      <c r="H46" s="10" t="str">
        <f>_xlfn.XLOOKUP(G46,Tab_Def_Processes[Process_Name],Tab_Def_Processes[Process_ID],,0,)</f>
        <v>16</v>
      </c>
      <c r="I46" s="154"/>
      <c r="J46" s="154"/>
      <c r="K46" s="154"/>
      <c r="L46" s="7" t="str">
        <f>Tab_Def_Flows[[#This Row],[Flow_ID]]&amp;"_WC"</f>
        <v>F_16_16_WC</v>
      </c>
      <c r="M46" s="149"/>
      <c r="N46" s="20"/>
      <c r="O46" s="7" t="str">
        <f>Tab_Def_Flows[[#This Row],[Flow_ID]]&amp;"_DM"</f>
        <v>F_16_16_DM</v>
      </c>
      <c r="Q46" s="20"/>
      <c r="R46" s="7" t="str">
        <f>Tab_Def_Flows[[#This Row],[Flow_ID]]&amp;"_CC"</f>
        <v>F_16_16_CC</v>
      </c>
      <c r="S46" s="149"/>
      <c r="T46" s="20"/>
      <c r="U46" s="155">
        <f>Tab_Def_Flows[[#This Row],[Flow_CC_DM'[%']]]*Tab_Def_Flows[[#This Row],[Flow_DM]]</f>
        <v>0</v>
      </c>
      <c r="V46" s="8"/>
    </row>
    <row r="47" spans="1:22" ht="15" customHeight="1" x14ac:dyDescent="0.25">
      <c r="A47" s="159" t="b">
        <v>0</v>
      </c>
      <c r="B47" s="23">
        <f t="shared" si="0"/>
        <v>46</v>
      </c>
      <c r="C47" s="7" t="str">
        <f t="shared" si="1"/>
        <v>F_16_16</v>
      </c>
      <c r="D47" s="8"/>
      <c r="E47" s="154"/>
      <c r="F47" s="7" t="str">
        <f>_xlfn.XLOOKUP(E47,Tab_Def_Processes[Process_Name],Tab_Def_Processes[Process_ID],,0,)</f>
        <v>16</v>
      </c>
      <c r="G47" s="154"/>
      <c r="H47" s="10" t="str">
        <f>_xlfn.XLOOKUP(G47,Tab_Def_Processes[Process_Name],Tab_Def_Processes[Process_ID],,0,)</f>
        <v>16</v>
      </c>
      <c r="I47" s="154"/>
      <c r="J47" s="154"/>
      <c r="K47" s="154"/>
      <c r="L47" s="7" t="str">
        <f>Tab_Def_Flows[[#This Row],[Flow_ID]]&amp;"_WC"</f>
        <v>F_16_16_WC</v>
      </c>
      <c r="M47" s="149"/>
      <c r="N47" s="20"/>
      <c r="O47" s="7" t="str">
        <f>Tab_Def_Flows[[#This Row],[Flow_ID]]&amp;"_DM"</f>
        <v>F_16_16_DM</v>
      </c>
      <c r="Q47" s="20"/>
      <c r="R47" s="7" t="str">
        <f>Tab_Def_Flows[[#This Row],[Flow_ID]]&amp;"_CC"</f>
        <v>F_16_16_CC</v>
      </c>
      <c r="S47" s="149"/>
      <c r="T47" s="20"/>
      <c r="U47" s="155">
        <f>Tab_Def_Flows[[#This Row],[Flow_CC_DM'[%']]]*Tab_Def_Flows[[#This Row],[Flow_DM]]</f>
        <v>0</v>
      </c>
      <c r="V47" s="8"/>
    </row>
    <row r="48" spans="1:22" ht="15" customHeight="1" x14ac:dyDescent="0.25">
      <c r="A48" s="159" t="b">
        <v>0</v>
      </c>
      <c r="B48" s="23">
        <f t="shared" si="0"/>
        <v>47</v>
      </c>
      <c r="C48" s="7" t="str">
        <f t="shared" si="1"/>
        <v>F_16_16</v>
      </c>
      <c r="D48" s="8"/>
      <c r="E48" s="154"/>
      <c r="F48" s="7" t="str">
        <f>_xlfn.XLOOKUP(E48,Tab_Def_Processes[Process_Name],Tab_Def_Processes[Process_ID],,0,)</f>
        <v>16</v>
      </c>
      <c r="G48" s="154"/>
      <c r="H48" s="10" t="str">
        <f>_xlfn.XLOOKUP(G48,Tab_Def_Processes[Process_Name],Tab_Def_Processes[Process_ID],,0,)</f>
        <v>16</v>
      </c>
      <c r="I48" s="154"/>
      <c r="J48" s="154"/>
      <c r="K48" s="154"/>
      <c r="L48" s="7" t="str">
        <f>Tab_Def_Flows[[#This Row],[Flow_ID]]&amp;"_WC"</f>
        <v>F_16_16_WC</v>
      </c>
      <c r="M48" s="149"/>
      <c r="N48" s="20"/>
      <c r="O48" s="7" t="str">
        <f>Tab_Def_Flows[[#This Row],[Flow_ID]]&amp;"_DM"</f>
        <v>F_16_16_DM</v>
      </c>
      <c r="Q48" s="20"/>
      <c r="R48" s="7" t="str">
        <f>Tab_Def_Flows[[#This Row],[Flow_ID]]&amp;"_CC"</f>
        <v>F_16_16_CC</v>
      </c>
      <c r="S48" s="149"/>
      <c r="T48" s="20"/>
      <c r="U48" s="155">
        <f>Tab_Def_Flows[[#This Row],[Flow_CC_DM'[%']]]*Tab_Def_Flows[[#This Row],[Flow_DM]]</f>
        <v>0</v>
      </c>
      <c r="V48" s="8"/>
    </row>
    <row r="49" spans="1:22" ht="15" customHeight="1" x14ac:dyDescent="0.25">
      <c r="A49" s="159" t="b">
        <v>0</v>
      </c>
      <c r="B49" s="23">
        <f t="shared" si="0"/>
        <v>48</v>
      </c>
      <c r="C49" s="7" t="str">
        <f t="shared" si="1"/>
        <v>F_16_16</v>
      </c>
      <c r="D49" s="8"/>
      <c r="E49" s="154"/>
      <c r="F49" s="7" t="str">
        <f>_xlfn.XLOOKUP(E49,Tab_Def_Processes[Process_Name],Tab_Def_Processes[Process_ID],,0,)</f>
        <v>16</v>
      </c>
      <c r="G49" s="154"/>
      <c r="H49" s="10" t="str">
        <f>_xlfn.XLOOKUP(G49,Tab_Def_Processes[Process_Name],Tab_Def_Processes[Process_ID],,0,)</f>
        <v>16</v>
      </c>
      <c r="I49" s="154"/>
      <c r="J49" s="154"/>
      <c r="K49" s="154"/>
      <c r="L49" s="7" t="str">
        <f>Tab_Def_Flows[[#This Row],[Flow_ID]]&amp;"_WC"</f>
        <v>F_16_16_WC</v>
      </c>
      <c r="M49" s="149"/>
      <c r="N49" s="20"/>
      <c r="O49" s="7" t="str">
        <f>Tab_Def_Flows[[#This Row],[Flow_ID]]&amp;"_DM"</f>
        <v>F_16_16_DM</v>
      </c>
      <c r="Q49" s="20"/>
      <c r="R49" s="7" t="str">
        <f>Tab_Def_Flows[[#This Row],[Flow_ID]]&amp;"_CC"</f>
        <v>F_16_16_CC</v>
      </c>
      <c r="S49" s="149"/>
      <c r="T49" s="20"/>
      <c r="U49" s="155">
        <f>Tab_Def_Flows[[#This Row],[Flow_CC_DM'[%']]]*Tab_Def_Flows[[#This Row],[Flow_DM]]</f>
        <v>0</v>
      </c>
      <c r="V49" s="8"/>
    </row>
    <row r="50" spans="1:22" ht="15" customHeight="1" x14ac:dyDescent="0.25">
      <c r="A50" s="159" t="b">
        <v>0</v>
      </c>
      <c r="B50" s="23">
        <f t="shared" si="0"/>
        <v>49</v>
      </c>
      <c r="C50" s="7" t="str">
        <f t="shared" si="1"/>
        <v>F_16_16</v>
      </c>
      <c r="D50" s="8"/>
      <c r="E50" s="154"/>
      <c r="F50" s="7" t="str">
        <f>_xlfn.XLOOKUP(E50,Tab_Def_Processes[Process_Name],Tab_Def_Processes[Process_ID],,0,)</f>
        <v>16</v>
      </c>
      <c r="G50" s="154"/>
      <c r="H50" s="10" t="str">
        <f>_xlfn.XLOOKUP(G50,Tab_Def_Processes[Process_Name],Tab_Def_Processes[Process_ID],,0,)</f>
        <v>16</v>
      </c>
      <c r="I50" s="154"/>
      <c r="J50" s="154"/>
      <c r="K50" s="154"/>
      <c r="L50" s="7" t="str">
        <f>Tab_Def_Flows[[#This Row],[Flow_ID]]&amp;"_WC"</f>
        <v>F_16_16_WC</v>
      </c>
      <c r="M50" s="149"/>
      <c r="N50" s="20"/>
      <c r="O50" s="7" t="str">
        <f>Tab_Def_Flows[[#This Row],[Flow_ID]]&amp;"_DM"</f>
        <v>F_16_16_DM</v>
      </c>
      <c r="Q50" s="20"/>
      <c r="R50" s="7" t="str">
        <f>Tab_Def_Flows[[#This Row],[Flow_ID]]&amp;"_CC"</f>
        <v>F_16_16_CC</v>
      </c>
      <c r="S50" s="149"/>
      <c r="T50" s="20"/>
      <c r="U50" s="155">
        <f>Tab_Def_Flows[[#This Row],[Flow_CC_DM'[%']]]*Tab_Def_Flows[[#This Row],[Flow_DM]]</f>
        <v>0</v>
      </c>
      <c r="V50" s="8"/>
    </row>
    <row r="51" spans="1:22" ht="15" customHeight="1" x14ac:dyDescent="0.25">
      <c r="A51" s="159" t="b">
        <v>0</v>
      </c>
      <c r="B51" s="23">
        <f t="shared" si="0"/>
        <v>50</v>
      </c>
      <c r="C51" s="7" t="str">
        <f t="shared" si="1"/>
        <v>F_16_16</v>
      </c>
      <c r="D51" s="8"/>
      <c r="E51" s="154"/>
      <c r="F51" s="7" t="str">
        <f>_xlfn.XLOOKUP(E51,Tab_Def_Processes[Process_Name],Tab_Def_Processes[Process_ID],,0,)</f>
        <v>16</v>
      </c>
      <c r="G51" s="154"/>
      <c r="H51" s="10" t="str">
        <f>_xlfn.XLOOKUP(G51,Tab_Def_Processes[Process_Name],Tab_Def_Processes[Process_ID],,0,)</f>
        <v>16</v>
      </c>
      <c r="I51" s="154"/>
      <c r="J51" s="154"/>
      <c r="K51" s="154"/>
      <c r="L51" s="7" t="str">
        <f>Tab_Def_Flows[[#This Row],[Flow_ID]]&amp;"_WC"</f>
        <v>F_16_16_WC</v>
      </c>
      <c r="M51" s="149"/>
      <c r="N51" s="20"/>
      <c r="O51" s="7" t="str">
        <f>Tab_Def_Flows[[#This Row],[Flow_ID]]&amp;"_DM"</f>
        <v>F_16_16_DM</v>
      </c>
      <c r="Q51" s="20"/>
      <c r="R51" s="7" t="str">
        <f>Tab_Def_Flows[[#This Row],[Flow_ID]]&amp;"_CC"</f>
        <v>F_16_16_CC</v>
      </c>
      <c r="S51" s="149"/>
      <c r="T51" s="20"/>
      <c r="U51" s="155">
        <f>Tab_Def_Flows[[#This Row],[Flow_CC_DM'[%']]]*Tab_Def_Flows[[#This Row],[Flow_DM]]</f>
        <v>0</v>
      </c>
      <c r="V51" s="8"/>
    </row>
    <row r="52" spans="1:22" ht="15" customHeight="1" x14ac:dyDescent="0.25">
      <c r="A52" s="159" t="b">
        <v>0</v>
      </c>
      <c r="B52" s="23">
        <f t="shared" si="0"/>
        <v>51</v>
      </c>
      <c r="C52" s="7" t="str">
        <f t="shared" si="1"/>
        <v>F_16_16</v>
      </c>
      <c r="D52" s="8"/>
      <c r="E52" s="154"/>
      <c r="F52" s="7" t="str">
        <f>_xlfn.XLOOKUP(E52,Tab_Def_Processes[Process_Name],Tab_Def_Processes[Process_ID],,0,)</f>
        <v>16</v>
      </c>
      <c r="G52" s="154"/>
      <c r="H52" s="10" t="str">
        <f>_xlfn.XLOOKUP(G52,Tab_Def_Processes[Process_Name],Tab_Def_Processes[Process_ID],,0,)</f>
        <v>16</v>
      </c>
      <c r="I52" s="154"/>
      <c r="J52" s="154"/>
      <c r="K52" s="154"/>
      <c r="L52" s="7" t="str">
        <f>Tab_Def_Flows[[#This Row],[Flow_ID]]&amp;"_WC"</f>
        <v>F_16_16_WC</v>
      </c>
      <c r="M52" s="149"/>
      <c r="N52" s="20"/>
      <c r="O52" s="7" t="str">
        <f>Tab_Def_Flows[[#This Row],[Flow_ID]]&amp;"_DM"</f>
        <v>F_16_16_DM</v>
      </c>
      <c r="Q52" s="20"/>
      <c r="R52" s="7" t="str">
        <f>Tab_Def_Flows[[#This Row],[Flow_ID]]&amp;"_CC"</f>
        <v>F_16_16_CC</v>
      </c>
      <c r="S52" s="149"/>
      <c r="T52" s="20"/>
      <c r="U52" s="155">
        <f>Tab_Def_Flows[[#This Row],[Flow_CC_DM'[%']]]*Tab_Def_Flows[[#This Row],[Flow_DM]]</f>
        <v>0</v>
      </c>
      <c r="V52" s="8"/>
    </row>
    <row r="53" spans="1:22" x14ac:dyDescent="0.25">
      <c r="A53" s="159" t="b">
        <v>0</v>
      </c>
      <c r="B53" s="23">
        <f t="shared" ref="B53:B70" si="2">ROW()-1</f>
        <v>52</v>
      </c>
      <c r="C53" s="7" t="str">
        <f t="shared" si="1"/>
        <v>F_16_16</v>
      </c>
      <c r="D53" s="8"/>
      <c r="E53" s="154"/>
      <c r="F53" s="7" t="str">
        <f>_xlfn.XLOOKUP(E53,Tab_Def_Processes[Process_Name],Tab_Def_Processes[Process_ID],,0,)</f>
        <v>16</v>
      </c>
      <c r="G53" s="154"/>
      <c r="H53" s="10" t="str">
        <f>_xlfn.XLOOKUP(G53,Tab_Def_Processes[Process_Name],Tab_Def_Processes[Process_ID],,0,)</f>
        <v>16</v>
      </c>
      <c r="I53" s="154"/>
      <c r="J53" s="154"/>
      <c r="K53" s="154"/>
      <c r="L53" s="7" t="str">
        <f>Tab_Def_Flows[[#This Row],[Flow_ID]]&amp;"_WC"</f>
        <v>F_16_16_WC</v>
      </c>
      <c r="M53" s="149"/>
      <c r="N53" s="20"/>
      <c r="O53" s="7" t="str">
        <f>Tab_Def_Flows[[#This Row],[Flow_ID]]&amp;"_DM"</f>
        <v>F_16_16_DM</v>
      </c>
      <c r="Q53" s="20"/>
      <c r="R53" s="7" t="str">
        <f>Tab_Def_Flows[[#This Row],[Flow_ID]]&amp;"_CC"</f>
        <v>F_16_16_CC</v>
      </c>
      <c r="S53" s="149"/>
      <c r="T53" s="20"/>
      <c r="U53" s="155">
        <f>Tab_Def_Flows[[#This Row],[Flow_CC_DM'[%']]]*Tab_Def_Flows[[#This Row],[Flow_DM]]</f>
        <v>0</v>
      </c>
      <c r="V53" s="8"/>
    </row>
    <row r="54" spans="1:22" x14ac:dyDescent="0.25">
      <c r="A54" s="159" t="b">
        <v>0</v>
      </c>
      <c r="B54" s="23">
        <f t="shared" si="2"/>
        <v>53</v>
      </c>
      <c r="C54" s="7" t="str">
        <f t="shared" si="1"/>
        <v>F_16_16</v>
      </c>
      <c r="D54" s="8"/>
      <c r="E54" s="154"/>
      <c r="F54" s="7" t="str">
        <f>_xlfn.XLOOKUP(E54,Tab_Def_Processes[Process_Name],Tab_Def_Processes[Process_ID],,0,)</f>
        <v>16</v>
      </c>
      <c r="G54" s="154"/>
      <c r="H54" s="10" t="str">
        <f>_xlfn.XLOOKUP(G54,Tab_Def_Processes[Process_Name],Tab_Def_Processes[Process_ID],,0,)</f>
        <v>16</v>
      </c>
      <c r="I54" s="154"/>
      <c r="J54" s="154"/>
      <c r="K54" s="154"/>
      <c r="L54" s="7" t="str">
        <f>Tab_Def_Flows[[#This Row],[Flow_ID]]&amp;"_WC"</f>
        <v>F_16_16_WC</v>
      </c>
      <c r="M54" s="149"/>
      <c r="N54" s="20"/>
      <c r="O54" s="7" t="str">
        <f>Tab_Def_Flows[[#This Row],[Flow_ID]]&amp;"_DM"</f>
        <v>F_16_16_DM</v>
      </c>
      <c r="Q54" s="20"/>
      <c r="R54" s="7" t="str">
        <f>Tab_Def_Flows[[#This Row],[Flow_ID]]&amp;"_CC"</f>
        <v>F_16_16_CC</v>
      </c>
      <c r="S54" s="149"/>
      <c r="T54" s="20"/>
      <c r="U54" s="155">
        <f>Tab_Def_Flows[[#This Row],[Flow_CC_DM'[%']]]*Tab_Def_Flows[[#This Row],[Flow_DM]]</f>
        <v>0</v>
      </c>
      <c r="V54" s="8"/>
    </row>
    <row r="55" spans="1:22" x14ac:dyDescent="0.25">
      <c r="A55" s="159" t="b">
        <v>0</v>
      </c>
      <c r="B55" s="23">
        <f t="shared" si="2"/>
        <v>54</v>
      </c>
      <c r="C55" s="7" t="str">
        <f t="shared" si="1"/>
        <v>F_16_16</v>
      </c>
      <c r="D55" s="8"/>
      <c r="E55" s="154"/>
      <c r="F55" s="7" t="str">
        <f>_xlfn.XLOOKUP(E55,Tab_Def_Processes[Process_Name],Tab_Def_Processes[Process_ID],,0,)</f>
        <v>16</v>
      </c>
      <c r="G55" s="154"/>
      <c r="H55" s="10" t="str">
        <f>_xlfn.XLOOKUP(G55,Tab_Def_Processes[Process_Name],Tab_Def_Processes[Process_ID],,0,)</f>
        <v>16</v>
      </c>
      <c r="I55" s="154"/>
      <c r="J55" s="154"/>
      <c r="K55" s="154"/>
      <c r="L55" s="7" t="str">
        <f>Tab_Def_Flows[[#This Row],[Flow_ID]]&amp;"_WC"</f>
        <v>F_16_16_WC</v>
      </c>
      <c r="M55" s="149"/>
      <c r="N55" s="20"/>
      <c r="O55" s="7" t="str">
        <f>Tab_Def_Flows[[#This Row],[Flow_ID]]&amp;"_DM"</f>
        <v>F_16_16_DM</v>
      </c>
      <c r="Q55" s="20"/>
      <c r="R55" s="7" t="str">
        <f>Tab_Def_Flows[[#This Row],[Flow_ID]]&amp;"_CC"</f>
        <v>F_16_16_CC</v>
      </c>
      <c r="S55" s="149"/>
      <c r="T55" s="20"/>
      <c r="U55" s="155">
        <f>Tab_Def_Flows[[#This Row],[Flow_CC_DM'[%']]]*Tab_Def_Flows[[#This Row],[Flow_DM]]</f>
        <v>0</v>
      </c>
      <c r="V55" s="8"/>
    </row>
    <row r="56" spans="1:22" x14ac:dyDescent="0.25">
      <c r="A56" s="159" t="b">
        <v>0</v>
      </c>
      <c r="B56" s="23">
        <f t="shared" si="2"/>
        <v>55</v>
      </c>
      <c r="C56" s="7" t="str">
        <f t="shared" si="1"/>
        <v>F_16_16</v>
      </c>
      <c r="D56" s="8"/>
      <c r="E56" s="154"/>
      <c r="F56" s="7" t="str">
        <f>_xlfn.XLOOKUP(E56,Tab_Def_Processes[Process_Name],Tab_Def_Processes[Process_ID],,0,)</f>
        <v>16</v>
      </c>
      <c r="G56" s="154"/>
      <c r="H56" s="10" t="str">
        <f>_xlfn.XLOOKUP(G56,Tab_Def_Processes[Process_Name],Tab_Def_Processes[Process_ID],,0,)</f>
        <v>16</v>
      </c>
      <c r="I56" s="154"/>
      <c r="J56" s="154"/>
      <c r="K56" s="154"/>
      <c r="L56" s="7" t="str">
        <f>Tab_Def_Flows[[#This Row],[Flow_ID]]&amp;"_WC"</f>
        <v>F_16_16_WC</v>
      </c>
      <c r="M56" s="149"/>
      <c r="N56" s="20"/>
      <c r="O56" s="7" t="str">
        <f>Tab_Def_Flows[[#This Row],[Flow_ID]]&amp;"_DM"</f>
        <v>F_16_16_DM</v>
      </c>
      <c r="Q56" s="20"/>
      <c r="R56" s="7" t="str">
        <f>Tab_Def_Flows[[#This Row],[Flow_ID]]&amp;"_CC"</f>
        <v>F_16_16_CC</v>
      </c>
      <c r="S56" s="149"/>
      <c r="T56" s="20"/>
      <c r="U56" s="155">
        <f>Tab_Def_Flows[[#This Row],[Flow_CC_DM'[%']]]*Tab_Def_Flows[[#This Row],[Flow_DM]]</f>
        <v>0</v>
      </c>
      <c r="V56" s="8"/>
    </row>
    <row r="57" spans="1:22" x14ac:dyDescent="0.25">
      <c r="A57" s="159" t="b">
        <v>0</v>
      </c>
      <c r="B57" s="23">
        <f t="shared" si="2"/>
        <v>56</v>
      </c>
      <c r="C57" s="7" t="str">
        <f t="shared" si="1"/>
        <v>F_16_16</v>
      </c>
      <c r="D57" s="8"/>
      <c r="E57" s="154"/>
      <c r="F57" s="7" t="str">
        <f>_xlfn.XLOOKUP(E57,Tab_Def_Processes[Process_Name],Tab_Def_Processes[Process_ID],,0,)</f>
        <v>16</v>
      </c>
      <c r="G57" s="154"/>
      <c r="H57" s="10" t="str">
        <f>_xlfn.XLOOKUP(G57,Tab_Def_Processes[Process_Name],Tab_Def_Processes[Process_ID],,0,)</f>
        <v>16</v>
      </c>
      <c r="I57" s="154"/>
      <c r="J57" s="154"/>
      <c r="K57" s="154"/>
      <c r="L57" s="7" t="str">
        <f>Tab_Def_Flows[[#This Row],[Flow_ID]]&amp;"_WC"</f>
        <v>F_16_16_WC</v>
      </c>
      <c r="M57" s="149"/>
      <c r="N57" s="20"/>
      <c r="O57" s="7" t="str">
        <f>Tab_Def_Flows[[#This Row],[Flow_ID]]&amp;"_DM"</f>
        <v>F_16_16_DM</v>
      </c>
      <c r="Q57" s="20"/>
      <c r="R57" s="7" t="str">
        <f>Tab_Def_Flows[[#This Row],[Flow_ID]]&amp;"_CC"</f>
        <v>F_16_16_CC</v>
      </c>
      <c r="S57" s="149"/>
      <c r="T57" s="20"/>
      <c r="U57" s="155">
        <f>Tab_Def_Flows[[#This Row],[Flow_CC_DM'[%']]]*Tab_Def_Flows[[#This Row],[Flow_DM]]</f>
        <v>0</v>
      </c>
      <c r="V57" s="8"/>
    </row>
    <row r="58" spans="1:22" x14ac:dyDescent="0.25">
      <c r="A58" s="159" t="b">
        <v>0</v>
      </c>
      <c r="B58" s="23">
        <f t="shared" si="2"/>
        <v>57</v>
      </c>
      <c r="C58" s="7" t="str">
        <f t="shared" si="1"/>
        <v>F_16_16</v>
      </c>
      <c r="D58" s="8"/>
      <c r="E58" s="154"/>
      <c r="F58" s="7" t="str">
        <f>_xlfn.XLOOKUP(E58,Tab_Def_Processes[Process_Name],Tab_Def_Processes[Process_ID],,0,)</f>
        <v>16</v>
      </c>
      <c r="G58" s="154"/>
      <c r="H58" s="10" t="str">
        <f>_xlfn.XLOOKUP(G58,Tab_Def_Processes[Process_Name],Tab_Def_Processes[Process_ID],,0,)</f>
        <v>16</v>
      </c>
      <c r="I58" s="154"/>
      <c r="J58" s="154"/>
      <c r="K58" s="154"/>
      <c r="L58" s="7" t="str">
        <f>Tab_Def_Flows[[#This Row],[Flow_ID]]&amp;"_WC"</f>
        <v>F_16_16_WC</v>
      </c>
      <c r="M58" s="149"/>
      <c r="N58" s="20"/>
      <c r="O58" s="7" t="str">
        <f>Tab_Def_Flows[[#This Row],[Flow_ID]]&amp;"_DM"</f>
        <v>F_16_16_DM</v>
      </c>
      <c r="Q58" s="20"/>
      <c r="R58" s="7" t="str">
        <f>Tab_Def_Flows[[#This Row],[Flow_ID]]&amp;"_CC"</f>
        <v>F_16_16_CC</v>
      </c>
      <c r="S58" s="149"/>
      <c r="T58" s="20"/>
      <c r="U58" s="155">
        <f>Tab_Def_Flows[[#This Row],[Flow_CC_DM'[%']]]*Tab_Def_Flows[[#This Row],[Flow_DM]]</f>
        <v>0</v>
      </c>
      <c r="V58" s="8"/>
    </row>
    <row r="59" spans="1:22" x14ac:dyDescent="0.25">
      <c r="A59" s="159" t="b">
        <v>0</v>
      </c>
      <c r="B59" s="23">
        <f t="shared" si="2"/>
        <v>58</v>
      </c>
      <c r="C59" s="7" t="str">
        <f t="shared" si="1"/>
        <v>F_16_16</v>
      </c>
      <c r="D59" s="8"/>
      <c r="E59" s="154"/>
      <c r="F59" s="7" t="str">
        <f>_xlfn.XLOOKUP(E59,Tab_Def_Processes[Process_Name],Tab_Def_Processes[Process_ID],,0,)</f>
        <v>16</v>
      </c>
      <c r="G59" s="154"/>
      <c r="H59" s="10" t="str">
        <f>_xlfn.XLOOKUP(G59,Tab_Def_Processes[Process_Name],Tab_Def_Processes[Process_ID],,0,)</f>
        <v>16</v>
      </c>
      <c r="I59" s="154"/>
      <c r="J59" s="154"/>
      <c r="K59" s="154"/>
      <c r="L59" s="7" t="str">
        <f>Tab_Def_Flows[[#This Row],[Flow_ID]]&amp;"_WC"</f>
        <v>F_16_16_WC</v>
      </c>
      <c r="M59" s="149"/>
      <c r="N59" s="20"/>
      <c r="O59" s="7" t="str">
        <f>Tab_Def_Flows[[#This Row],[Flow_ID]]&amp;"_DM"</f>
        <v>F_16_16_DM</v>
      </c>
      <c r="Q59" s="20"/>
      <c r="R59" s="7" t="str">
        <f>Tab_Def_Flows[[#This Row],[Flow_ID]]&amp;"_CC"</f>
        <v>F_16_16_CC</v>
      </c>
      <c r="S59" s="149"/>
      <c r="T59" s="20"/>
      <c r="U59" s="155">
        <f>Tab_Def_Flows[[#This Row],[Flow_CC_DM'[%']]]*Tab_Def_Flows[[#This Row],[Flow_DM]]</f>
        <v>0</v>
      </c>
      <c r="V59" s="8"/>
    </row>
    <row r="60" spans="1:22" x14ac:dyDescent="0.25">
      <c r="A60" s="159" t="b">
        <v>0</v>
      </c>
      <c r="B60" s="23">
        <f t="shared" si="2"/>
        <v>59</v>
      </c>
      <c r="C60" s="7" t="str">
        <f t="shared" si="1"/>
        <v>F_16_16</v>
      </c>
      <c r="D60" s="8"/>
      <c r="E60" s="154"/>
      <c r="F60" s="7" t="str">
        <f>_xlfn.XLOOKUP(E60,Tab_Def_Processes[Process_Name],Tab_Def_Processes[Process_ID],,0,)</f>
        <v>16</v>
      </c>
      <c r="G60" s="154"/>
      <c r="H60" s="10" t="str">
        <f>_xlfn.XLOOKUP(G60,Tab_Def_Processes[Process_Name],Tab_Def_Processes[Process_ID],,0,)</f>
        <v>16</v>
      </c>
      <c r="I60" s="154"/>
      <c r="J60" s="154"/>
      <c r="K60" s="154"/>
      <c r="L60" s="7" t="str">
        <f>Tab_Def_Flows[[#This Row],[Flow_ID]]&amp;"_WC"</f>
        <v>F_16_16_WC</v>
      </c>
      <c r="M60" s="149"/>
      <c r="N60" s="20"/>
      <c r="O60" s="7" t="str">
        <f>Tab_Def_Flows[[#This Row],[Flow_ID]]&amp;"_DM"</f>
        <v>F_16_16_DM</v>
      </c>
      <c r="Q60" s="20"/>
      <c r="R60" s="7" t="str">
        <f>Tab_Def_Flows[[#This Row],[Flow_ID]]&amp;"_CC"</f>
        <v>F_16_16_CC</v>
      </c>
      <c r="S60" s="149"/>
      <c r="T60" s="20"/>
      <c r="U60" s="155">
        <f>Tab_Def_Flows[[#This Row],[Flow_CC_DM'[%']]]*Tab_Def_Flows[[#This Row],[Flow_DM]]</f>
        <v>0</v>
      </c>
      <c r="V60" s="8"/>
    </row>
    <row r="61" spans="1:22" x14ac:dyDescent="0.25">
      <c r="A61" s="159" t="b">
        <v>0</v>
      </c>
      <c r="B61" s="23">
        <f t="shared" si="2"/>
        <v>60</v>
      </c>
      <c r="C61" s="7" t="str">
        <f t="shared" si="1"/>
        <v>F_16_16</v>
      </c>
      <c r="D61" s="8"/>
      <c r="E61" s="154"/>
      <c r="F61" s="7" t="str">
        <f>_xlfn.XLOOKUP(E61,Tab_Def_Processes[Process_Name],Tab_Def_Processes[Process_ID],,0,)</f>
        <v>16</v>
      </c>
      <c r="G61" s="154"/>
      <c r="H61" s="10" t="str">
        <f>_xlfn.XLOOKUP(G61,Tab_Def_Processes[Process_Name],Tab_Def_Processes[Process_ID],,0,)</f>
        <v>16</v>
      </c>
      <c r="I61" s="154"/>
      <c r="J61" s="154"/>
      <c r="K61" s="154"/>
      <c r="L61" s="7" t="str">
        <f>Tab_Def_Flows[[#This Row],[Flow_ID]]&amp;"_WC"</f>
        <v>F_16_16_WC</v>
      </c>
      <c r="M61" s="149"/>
      <c r="N61" s="20"/>
      <c r="O61" s="7" t="str">
        <f>Tab_Def_Flows[[#This Row],[Flow_ID]]&amp;"_DM"</f>
        <v>F_16_16_DM</v>
      </c>
      <c r="Q61" s="20"/>
      <c r="R61" s="7" t="str">
        <f>Tab_Def_Flows[[#This Row],[Flow_ID]]&amp;"_CC"</f>
        <v>F_16_16_CC</v>
      </c>
      <c r="S61" s="149"/>
      <c r="T61" s="20"/>
      <c r="U61" s="155">
        <f>Tab_Def_Flows[[#This Row],[Flow_CC_DM'[%']]]*Tab_Def_Flows[[#This Row],[Flow_DM]]</f>
        <v>0</v>
      </c>
      <c r="V61" s="8"/>
    </row>
    <row r="62" spans="1:22" x14ac:dyDescent="0.25">
      <c r="A62" s="159" t="b">
        <v>0</v>
      </c>
      <c r="B62" s="23">
        <f t="shared" si="2"/>
        <v>61</v>
      </c>
      <c r="C62" s="7" t="str">
        <f t="shared" si="1"/>
        <v>F_16_16</v>
      </c>
      <c r="D62" s="8"/>
      <c r="E62" s="154"/>
      <c r="F62" s="7" t="str">
        <f>_xlfn.XLOOKUP(E62,Tab_Def_Processes[Process_Name],Tab_Def_Processes[Process_ID],,0,)</f>
        <v>16</v>
      </c>
      <c r="G62" s="154"/>
      <c r="H62" s="10" t="str">
        <f>_xlfn.XLOOKUP(G62,Tab_Def_Processes[Process_Name],Tab_Def_Processes[Process_ID],,0,)</f>
        <v>16</v>
      </c>
      <c r="I62" s="154"/>
      <c r="J62" s="154"/>
      <c r="K62" s="154"/>
      <c r="L62" s="7" t="str">
        <f>Tab_Def_Flows[[#This Row],[Flow_ID]]&amp;"_WC"</f>
        <v>F_16_16_WC</v>
      </c>
      <c r="M62" s="149"/>
      <c r="N62" s="20"/>
      <c r="O62" s="7" t="str">
        <f>Tab_Def_Flows[[#This Row],[Flow_ID]]&amp;"_DM"</f>
        <v>F_16_16_DM</v>
      </c>
      <c r="Q62" s="20"/>
      <c r="R62" s="7" t="str">
        <f>Tab_Def_Flows[[#This Row],[Flow_ID]]&amp;"_CC"</f>
        <v>F_16_16_CC</v>
      </c>
      <c r="S62" s="149"/>
      <c r="T62" s="20"/>
      <c r="U62" s="155">
        <f>Tab_Def_Flows[[#This Row],[Flow_CC_DM'[%']]]*Tab_Def_Flows[[#This Row],[Flow_DM]]</f>
        <v>0</v>
      </c>
      <c r="V62" s="8"/>
    </row>
    <row r="63" spans="1:22" x14ac:dyDescent="0.25">
      <c r="A63" s="159" t="b">
        <v>0</v>
      </c>
      <c r="B63" s="23">
        <f t="shared" si="2"/>
        <v>62</v>
      </c>
      <c r="C63" s="7" t="str">
        <f t="shared" si="1"/>
        <v>F_16_16</v>
      </c>
      <c r="D63" s="8"/>
      <c r="E63" s="154"/>
      <c r="F63" s="7" t="str">
        <f>_xlfn.XLOOKUP(E63,Tab_Def_Processes[Process_Name],Tab_Def_Processes[Process_ID],,0,)</f>
        <v>16</v>
      </c>
      <c r="G63" s="154"/>
      <c r="H63" s="10" t="str">
        <f>_xlfn.XLOOKUP(G63,Tab_Def_Processes[Process_Name],Tab_Def_Processes[Process_ID],,0,)</f>
        <v>16</v>
      </c>
      <c r="I63" s="154"/>
      <c r="J63" s="154"/>
      <c r="K63" s="154"/>
      <c r="L63" s="7" t="str">
        <f>Tab_Def_Flows[[#This Row],[Flow_ID]]&amp;"_WC"</f>
        <v>F_16_16_WC</v>
      </c>
      <c r="M63" s="149"/>
      <c r="N63" s="20"/>
      <c r="O63" s="7" t="str">
        <f>Tab_Def_Flows[[#This Row],[Flow_ID]]&amp;"_DM"</f>
        <v>F_16_16_DM</v>
      </c>
      <c r="Q63" s="20"/>
      <c r="R63" s="7" t="str">
        <f>Tab_Def_Flows[[#This Row],[Flow_ID]]&amp;"_CC"</f>
        <v>F_16_16_CC</v>
      </c>
      <c r="S63" s="149"/>
      <c r="T63" s="20"/>
      <c r="U63" s="155">
        <f>Tab_Def_Flows[[#This Row],[Flow_CC_DM'[%']]]*Tab_Def_Flows[[#This Row],[Flow_DM]]</f>
        <v>0</v>
      </c>
      <c r="V63" s="8"/>
    </row>
    <row r="64" spans="1:22" x14ac:dyDescent="0.25">
      <c r="A64" s="159" t="b">
        <v>0</v>
      </c>
      <c r="B64" s="23">
        <f t="shared" si="2"/>
        <v>63</v>
      </c>
      <c r="C64" s="7" t="str">
        <f t="shared" si="1"/>
        <v>F_16_16</v>
      </c>
      <c r="D64" s="8"/>
      <c r="E64" s="154"/>
      <c r="F64" s="7" t="str">
        <f>_xlfn.XLOOKUP(E64,Tab_Def_Processes[Process_Name],Tab_Def_Processes[Process_ID],,0,)</f>
        <v>16</v>
      </c>
      <c r="G64" s="154"/>
      <c r="H64" s="10" t="str">
        <f>_xlfn.XLOOKUP(G64,Tab_Def_Processes[Process_Name],Tab_Def_Processes[Process_ID],,0,)</f>
        <v>16</v>
      </c>
      <c r="I64" s="154"/>
      <c r="J64" s="154"/>
      <c r="K64" s="154"/>
      <c r="L64" s="7" t="str">
        <f>Tab_Def_Flows[[#This Row],[Flow_ID]]&amp;"_WC"</f>
        <v>F_16_16_WC</v>
      </c>
      <c r="M64" s="149"/>
      <c r="N64" s="20"/>
      <c r="O64" s="7" t="str">
        <f>Tab_Def_Flows[[#This Row],[Flow_ID]]&amp;"_DM"</f>
        <v>F_16_16_DM</v>
      </c>
      <c r="Q64" s="20"/>
      <c r="R64" s="7" t="str">
        <f>Tab_Def_Flows[[#This Row],[Flow_ID]]&amp;"_CC"</f>
        <v>F_16_16_CC</v>
      </c>
      <c r="S64" s="149"/>
      <c r="T64" s="20"/>
      <c r="U64" s="155">
        <f>Tab_Def_Flows[[#This Row],[Flow_CC_DM'[%']]]*Tab_Def_Flows[[#This Row],[Flow_DM]]</f>
        <v>0</v>
      </c>
      <c r="V64" s="8"/>
    </row>
    <row r="65" spans="1:22" x14ac:dyDescent="0.25">
      <c r="A65" s="159" t="b">
        <v>0</v>
      </c>
      <c r="B65" s="23">
        <f t="shared" si="2"/>
        <v>64</v>
      </c>
      <c r="C65" s="7" t="str">
        <f t="shared" si="1"/>
        <v>F_16_16</v>
      </c>
      <c r="D65" s="8"/>
      <c r="E65" s="154"/>
      <c r="F65" s="7" t="str">
        <f>_xlfn.XLOOKUP(E65,Tab_Def_Processes[Process_Name],Tab_Def_Processes[Process_ID],,0,)</f>
        <v>16</v>
      </c>
      <c r="G65" s="154"/>
      <c r="H65" s="10" t="str">
        <f>_xlfn.XLOOKUP(G65,Tab_Def_Processes[Process_Name],Tab_Def_Processes[Process_ID],,0,)</f>
        <v>16</v>
      </c>
      <c r="I65" s="154"/>
      <c r="J65" s="154"/>
      <c r="K65" s="154"/>
      <c r="L65" s="7" t="str">
        <f>Tab_Def_Flows[[#This Row],[Flow_ID]]&amp;"_WC"</f>
        <v>F_16_16_WC</v>
      </c>
      <c r="M65" s="149"/>
      <c r="N65" s="20"/>
      <c r="O65" s="7" t="str">
        <f>Tab_Def_Flows[[#This Row],[Flow_ID]]&amp;"_DM"</f>
        <v>F_16_16_DM</v>
      </c>
      <c r="Q65" s="20"/>
      <c r="R65" s="7" t="str">
        <f>Tab_Def_Flows[[#This Row],[Flow_ID]]&amp;"_CC"</f>
        <v>F_16_16_CC</v>
      </c>
      <c r="S65" s="149"/>
      <c r="T65" s="20"/>
      <c r="U65" s="155">
        <f>Tab_Def_Flows[[#This Row],[Flow_CC_DM'[%']]]*Tab_Def_Flows[[#This Row],[Flow_DM]]</f>
        <v>0</v>
      </c>
      <c r="V65" s="8"/>
    </row>
    <row r="66" spans="1:22" x14ac:dyDescent="0.25">
      <c r="A66" s="159" t="b">
        <v>0</v>
      </c>
      <c r="B66" s="23">
        <f t="shared" si="2"/>
        <v>65</v>
      </c>
      <c r="C66" s="7" t="str">
        <f t="shared" ref="C66:C70" si="3">"F_"&amp;LEFT(F66,2)&amp;"_"&amp;LEFT(H66,2)</f>
        <v>F_16_16</v>
      </c>
      <c r="D66" s="8"/>
      <c r="E66" s="154"/>
      <c r="F66" s="7" t="str">
        <f>_xlfn.XLOOKUP(E66,Tab_Def_Processes[Process_Name],Tab_Def_Processes[Process_ID],,0,)</f>
        <v>16</v>
      </c>
      <c r="G66" s="154"/>
      <c r="H66" s="10" t="str">
        <f>_xlfn.XLOOKUP(G66,Tab_Def_Processes[Process_Name],Tab_Def_Processes[Process_ID],,0,)</f>
        <v>16</v>
      </c>
      <c r="I66" s="154"/>
      <c r="J66" s="154"/>
      <c r="K66" s="154"/>
      <c r="L66" s="7" t="str">
        <f>Tab_Def_Flows[[#This Row],[Flow_ID]]&amp;"_WC"</f>
        <v>F_16_16_WC</v>
      </c>
      <c r="M66" s="149"/>
      <c r="N66" s="20"/>
      <c r="O66" s="7" t="str">
        <f>Tab_Def_Flows[[#This Row],[Flow_ID]]&amp;"_DM"</f>
        <v>F_16_16_DM</v>
      </c>
      <c r="Q66" s="20"/>
      <c r="R66" s="7" t="str">
        <f>Tab_Def_Flows[[#This Row],[Flow_ID]]&amp;"_CC"</f>
        <v>F_16_16_CC</v>
      </c>
      <c r="S66" s="149"/>
      <c r="T66" s="20"/>
      <c r="U66" s="155">
        <f>Tab_Def_Flows[[#This Row],[Flow_CC_DM'[%']]]*Tab_Def_Flows[[#This Row],[Flow_DM]]</f>
        <v>0</v>
      </c>
      <c r="V66" s="8"/>
    </row>
    <row r="67" spans="1:22" x14ac:dyDescent="0.25">
      <c r="A67" s="159" t="b">
        <v>0</v>
      </c>
      <c r="B67" s="23">
        <f t="shared" si="2"/>
        <v>66</v>
      </c>
      <c r="C67" s="7" t="str">
        <f t="shared" si="3"/>
        <v>F_16_16</v>
      </c>
      <c r="D67" s="8"/>
      <c r="E67" s="154"/>
      <c r="F67" s="7" t="str">
        <f>_xlfn.XLOOKUP(E67,Tab_Def_Processes[Process_Name],Tab_Def_Processes[Process_ID],,0,)</f>
        <v>16</v>
      </c>
      <c r="G67" s="154"/>
      <c r="H67" s="10" t="str">
        <f>_xlfn.XLOOKUP(G67,Tab_Def_Processes[Process_Name],Tab_Def_Processes[Process_ID],,0,)</f>
        <v>16</v>
      </c>
      <c r="I67" s="154"/>
      <c r="J67" s="154"/>
      <c r="K67" s="154"/>
      <c r="L67" s="7" t="str">
        <f>Tab_Def_Flows[[#This Row],[Flow_ID]]&amp;"_WC"</f>
        <v>F_16_16_WC</v>
      </c>
      <c r="M67" s="149"/>
      <c r="N67" s="20"/>
      <c r="O67" s="7" t="str">
        <f>Tab_Def_Flows[[#This Row],[Flow_ID]]&amp;"_DM"</f>
        <v>F_16_16_DM</v>
      </c>
      <c r="Q67" s="20"/>
      <c r="R67" s="7" t="str">
        <f>Tab_Def_Flows[[#This Row],[Flow_ID]]&amp;"_CC"</f>
        <v>F_16_16_CC</v>
      </c>
      <c r="S67" s="149"/>
      <c r="T67" s="20"/>
      <c r="U67" s="155">
        <f>Tab_Def_Flows[[#This Row],[Flow_CC_DM'[%']]]*Tab_Def_Flows[[#This Row],[Flow_DM]]</f>
        <v>0</v>
      </c>
      <c r="V67" s="8"/>
    </row>
    <row r="68" spans="1:22" x14ac:dyDescent="0.25">
      <c r="A68" s="159" t="b">
        <v>0</v>
      </c>
      <c r="B68" s="23">
        <f t="shared" si="2"/>
        <v>67</v>
      </c>
      <c r="C68" s="7" t="str">
        <f t="shared" si="3"/>
        <v>F_16_16</v>
      </c>
      <c r="D68" s="8"/>
      <c r="E68" s="154"/>
      <c r="F68" s="7" t="str">
        <f>_xlfn.XLOOKUP(E68,Tab_Def_Processes[Process_Name],Tab_Def_Processes[Process_ID],,0,)</f>
        <v>16</v>
      </c>
      <c r="G68" s="154"/>
      <c r="H68" s="10" t="str">
        <f>_xlfn.XLOOKUP(G68,Tab_Def_Processes[Process_Name],Tab_Def_Processes[Process_ID],,0,)</f>
        <v>16</v>
      </c>
      <c r="I68" s="154"/>
      <c r="J68" s="154"/>
      <c r="K68" s="154"/>
      <c r="L68" s="7" t="str">
        <f>Tab_Def_Flows[[#This Row],[Flow_ID]]&amp;"_WC"</f>
        <v>F_16_16_WC</v>
      </c>
      <c r="M68" s="149"/>
      <c r="N68" s="20"/>
      <c r="O68" s="7" t="str">
        <f>Tab_Def_Flows[[#This Row],[Flow_ID]]&amp;"_DM"</f>
        <v>F_16_16_DM</v>
      </c>
      <c r="Q68" s="20"/>
      <c r="R68" s="7" t="str">
        <f>Tab_Def_Flows[[#This Row],[Flow_ID]]&amp;"_CC"</f>
        <v>F_16_16_CC</v>
      </c>
      <c r="S68" s="149"/>
      <c r="T68" s="20"/>
      <c r="U68" s="155">
        <f>Tab_Def_Flows[[#This Row],[Flow_CC_DM'[%']]]*Tab_Def_Flows[[#This Row],[Flow_DM]]</f>
        <v>0</v>
      </c>
      <c r="V68" s="8"/>
    </row>
    <row r="69" spans="1:22" x14ac:dyDescent="0.25">
      <c r="A69" s="159" t="b">
        <v>0</v>
      </c>
      <c r="B69" s="23">
        <f t="shared" si="2"/>
        <v>68</v>
      </c>
      <c r="C69" s="7" t="str">
        <f t="shared" si="3"/>
        <v>F_16_16</v>
      </c>
      <c r="D69" s="8"/>
      <c r="E69" s="154"/>
      <c r="F69" s="7" t="str">
        <f>_xlfn.XLOOKUP(E69,Tab_Def_Processes[Process_Name],Tab_Def_Processes[Process_ID],,0,)</f>
        <v>16</v>
      </c>
      <c r="G69" s="154"/>
      <c r="H69" s="10" t="str">
        <f>_xlfn.XLOOKUP(G69,Tab_Def_Processes[Process_Name],Tab_Def_Processes[Process_ID],,0,)</f>
        <v>16</v>
      </c>
      <c r="I69" s="154"/>
      <c r="J69" s="154"/>
      <c r="K69" s="154"/>
      <c r="L69" s="7" t="str">
        <f>Tab_Def_Flows[[#This Row],[Flow_ID]]&amp;"_WC"</f>
        <v>F_16_16_WC</v>
      </c>
      <c r="M69" s="149"/>
      <c r="N69" s="20"/>
      <c r="O69" s="7" t="str">
        <f>Tab_Def_Flows[[#This Row],[Flow_ID]]&amp;"_DM"</f>
        <v>F_16_16_DM</v>
      </c>
      <c r="Q69" s="20"/>
      <c r="R69" s="7" t="str">
        <f>Tab_Def_Flows[[#This Row],[Flow_ID]]&amp;"_CC"</f>
        <v>F_16_16_CC</v>
      </c>
      <c r="S69" s="149"/>
      <c r="T69" s="20"/>
      <c r="U69" s="155">
        <f>Tab_Def_Flows[[#This Row],[Flow_CC_DM'[%']]]*Tab_Def_Flows[[#This Row],[Flow_DM]]</f>
        <v>0</v>
      </c>
      <c r="V69" s="8"/>
    </row>
    <row r="70" spans="1:22" x14ac:dyDescent="0.25">
      <c r="A70" s="159" t="b">
        <v>0</v>
      </c>
      <c r="B70" s="23">
        <f t="shared" si="2"/>
        <v>69</v>
      </c>
      <c r="C70" s="7" t="str">
        <f t="shared" si="3"/>
        <v>F__</v>
      </c>
      <c r="D70" s="8" t="s">
        <v>31</v>
      </c>
      <c r="E70" s="154"/>
      <c r="F70" s="7"/>
      <c r="G70" s="154"/>
      <c r="H70" s="10"/>
      <c r="I70" s="154"/>
      <c r="J70" s="154"/>
      <c r="K70" s="154"/>
      <c r="L70" s="7" t="str">
        <f>Tab_Def_Flows[[#This Row],[Flow_ID]]&amp;"_WC"</f>
        <v>F___WC</v>
      </c>
      <c r="M70" s="149"/>
      <c r="N70" s="20"/>
      <c r="O70" s="7" t="str">
        <f>Tab_Def_Flows[[#This Row],[Flow_ID]]&amp;"_DM"</f>
        <v>F___DM</v>
      </c>
      <c r="Q70" s="20"/>
      <c r="R70" s="7" t="str">
        <f>Tab_Def_Flows[[#This Row],[Flow_ID]]&amp;"_CC"</f>
        <v>F___CC</v>
      </c>
      <c r="S70" s="149"/>
      <c r="T70" s="20"/>
      <c r="U70" s="155">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141" zoomScale="130" zoomScaleNormal="130" workbookViewId="0">
      <selection activeCell="H165" sqref="H165"/>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8" t="s">
        <v>28</v>
      </c>
      <c r="B1" s="158" t="s">
        <v>37</v>
      </c>
      <c r="C1" s="158" t="s">
        <v>704</v>
      </c>
      <c r="D1" s="158" t="s">
        <v>64</v>
      </c>
      <c r="E1" s="158" t="s">
        <v>66</v>
      </c>
      <c r="F1" s="158" t="s">
        <v>65</v>
      </c>
      <c r="G1" s="158" t="s">
        <v>693</v>
      </c>
      <c r="H1" s="158" t="s">
        <v>694</v>
      </c>
      <c r="I1" s="158" t="s">
        <v>47</v>
      </c>
      <c r="J1" s="158" t="s">
        <v>39</v>
      </c>
      <c r="K1" s="158" t="s">
        <v>34</v>
      </c>
      <c r="L1" s="158" t="s">
        <v>40</v>
      </c>
      <c r="M1" s="158" t="s">
        <v>41</v>
      </c>
      <c r="N1" s="158" t="s">
        <v>42</v>
      </c>
      <c r="O1" s="158" t="s">
        <v>43</v>
      </c>
      <c r="P1" s="158" t="s">
        <v>5</v>
      </c>
      <c r="Q1" s="158" t="s">
        <v>44</v>
      </c>
      <c r="R1" s="158" t="s">
        <v>45</v>
      </c>
      <c r="S1" s="158" t="s">
        <v>46</v>
      </c>
      <c r="T1" s="158" t="s">
        <v>696</v>
      </c>
      <c r="U1" s="158" t="s">
        <v>695</v>
      </c>
      <c r="V1" s="158" t="s">
        <v>48</v>
      </c>
      <c r="W1" s="158" t="s">
        <v>67</v>
      </c>
      <c r="X1" s="158" t="s">
        <v>697</v>
      </c>
      <c r="Y1" s="158" t="s">
        <v>72</v>
      </c>
      <c r="Z1" s="158" t="s">
        <v>75</v>
      </c>
      <c r="AA1" s="158" t="s">
        <v>69</v>
      </c>
      <c r="AB1" s="158" t="s">
        <v>698</v>
      </c>
      <c r="AC1" s="158" t="s">
        <v>703</v>
      </c>
      <c r="AD1" s="158" t="s">
        <v>74</v>
      </c>
      <c r="AE1" s="158" t="s">
        <v>71</v>
      </c>
      <c r="AF1" s="158" t="s">
        <v>699</v>
      </c>
      <c r="AG1" s="158" t="s">
        <v>76</v>
      </c>
      <c r="AH1" s="158" t="s">
        <v>73</v>
      </c>
      <c r="AI1"/>
    </row>
    <row r="2" spans="1:35" x14ac:dyDescent="0.25">
      <c r="A2" s="9">
        <f>ROW()-1</f>
        <v>1</v>
      </c>
      <c r="B2" s="7" t="str">
        <f>_xlfn.XLOOKUP(C2,Tab_Def_Flows[Flow_Name],Tab_Def_Flows[Flow_ID],,0,)</f>
        <v>F_12_00</v>
      </c>
      <c r="C2" s="8" t="s">
        <v>737</v>
      </c>
      <c r="D2" s="10" t="str">
        <f>_xlfn.XLOOKUP(C2,Tab_Def_Flows[Flow_Name],Tab_Def_Flows[WC?],,0,)</f>
        <v>Yes</v>
      </c>
      <c r="E2" s="10" t="str">
        <f>_xlfn.XLOOKUP(C2,Tab_Def_Flows[Flow_Name],Tab_Def_Flows[DM?],,0,)</f>
        <v>Yes</v>
      </c>
      <c r="F2" s="10" t="str">
        <f>_xlfn.XLOOKUP(C2,Tab_Def_Flows[Flow_Name],Tab_Def_Flows[CC?],,0,)</f>
        <v>Yes</v>
      </c>
      <c r="G2" s="8">
        <v>2000</v>
      </c>
      <c r="H2" s="28">
        <v>100</v>
      </c>
      <c r="I2" s="8"/>
      <c r="J2" s="20"/>
      <c r="K2" s="8"/>
      <c r="L2" s="8"/>
      <c r="M2" s="8"/>
      <c r="N2" s="8"/>
      <c r="O2" s="8"/>
      <c r="P2" s="8"/>
      <c r="Q2" s="8" t="s">
        <v>8</v>
      </c>
      <c r="R2" s="21"/>
      <c r="S2" s="8"/>
      <c r="T2" s="7" t="str">
        <f>Tab_Data_Flows[[#This Row],[Flow_ID]]&amp;"_"&amp;"material_"&amp;Tab_Data_Flows[[#This Row],[Flow_Data_Year]]</f>
        <v>F_12_00_material_2000</v>
      </c>
      <c r="U2" s="18">
        <f t="shared" ref="U2:U33" si="0">IF(Q2="no",H2,H2*R2)</f>
        <v>100</v>
      </c>
      <c r="V2" s="8" t="s">
        <v>218</v>
      </c>
      <c r="W2" s="155">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5">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5">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737</v>
      </c>
      <c r="D3" s="10" t="str">
        <f>_xlfn.XLOOKUP(C3,Tab_Def_Flows[Flow_Name],Tab_Def_Flows[WC?],,0,)</f>
        <v>Yes</v>
      </c>
      <c r="E3" s="10" t="str">
        <f>_xlfn.XLOOKUP(C3,Tab_Def_Flows[Flow_Name],Tab_Def_Flows[DM?],,0,)</f>
        <v>Yes</v>
      </c>
      <c r="F3" s="10" t="str">
        <f>_xlfn.XLOOKUP(C3,Tab_Def_Flows[Flow_Name],Tab_Def_Flows[CC?],,0,)</f>
        <v>Yes</v>
      </c>
      <c r="G3" s="8">
        <v>2001</v>
      </c>
      <c r="H3" s="28">
        <v>100</v>
      </c>
      <c r="I3" s="8"/>
      <c r="J3" s="20"/>
      <c r="K3" s="8"/>
      <c r="L3" s="8"/>
      <c r="M3" s="8"/>
      <c r="N3" s="8"/>
      <c r="O3" s="8"/>
      <c r="P3" s="8"/>
      <c r="Q3" s="8" t="s">
        <v>8</v>
      </c>
      <c r="R3" s="21"/>
      <c r="S3" s="8"/>
      <c r="T3" s="7" t="str">
        <f>Tab_Data_Flows[[#This Row],[Flow_ID]]&amp;"_"&amp;"material_"&amp;Tab_Data_Flows[[#This Row],[Flow_Data_Year]]</f>
        <v>F_12_00_material_2001</v>
      </c>
      <c r="U3" s="18">
        <f t="shared" si="0"/>
        <v>100</v>
      </c>
      <c r="V3" s="8" t="s">
        <v>218</v>
      </c>
      <c r="W3" s="155">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5">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5">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737</v>
      </c>
      <c r="D4" s="10" t="str">
        <f>_xlfn.XLOOKUP(C4,Tab_Def_Flows[Flow_Name],Tab_Def_Flows[WC?],,0,)</f>
        <v>Yes</v>
      </c>
      <c r="E4" s="10" t="str">
        <f>_xlfn.XLOOKUP(C4,Tab_Def_Flows[Flow_Name],Tab_Def_Flows[DM?],,0,)</f>
        <v>Yes</v>
      </c>
      <c r="F4" s="10" t="str">
        <f>_xlfn.XLOOKUP(C4,Tab_Def_Flows[Flow_Name],Tab_Def_Flows[CC?],,0,)</f>
        <v>Yes</v>
      </c>
      <c r="G4" s="8">
        <v>2002</v>
      </c>
      <c r="H4" s="28">
        <v>100</v>
      </c>
      <c r="I4" s="8"/>
      <c r="J4" s="20"/>
      <c r="K4" s="8"/>
      <c r="L4" s="8"/>
      <c r="M4" s="8"/>
      <c r="N4" s="8"/>
      <c r="O4" s="8"/>
      <c r="P4" s="8"/>
      <c r="Q4" s="8" t="s">
        <v>8</v>
      </c>
      <c r="R4" s="21"/>
      <c r="S4" s="8"/>
      <c r="T4" s="7" t="str">
        <f>Tab_Data_Flows[[#This Row],[Flow_ID]]&amp;"_"&amp;"material_"&amp;Tab_Data_Flows[[#This Row],[Flow_Data_Year]]</f>
        <v>F_12_00_material_2002</v>
      </c>
      <c r="U4" s="18">
        <f t="shared" si="0"/>
        <v>100</v>
      </c>
      <c r="V4" s="8" t="s">
        <v>218</v>
      </c>
      <c r="W4" s="155">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5">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5">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737</v>
      </c>
      <c r="D5" s="10" t="str">
        <f>_xlfn.XLOOKUP(C5,Tab_Def_Flows[Flow_Name],Tab_Def_Flows[WC?],,0,)</f>
        <v>Yes</v>
      </c>
      <c r="E5" s="10" t="str">
        <f>_xlfn.XLOOKUP(C5,Tab_Def_Flows[Flow_Name],Tab_Def_Flows[DM?],,0,)</f>
        <v>Yes</v>
      </c>
      <c r="F5" s="10" t="str">
        <f>_xlfn.XLOOKUP(C5,Tab_Def_Flows[Flow_Name],Tab_Def_Flows[CC?],,0,)</f>
        <v>Yes</v>
      </c>
      <c r="G5" s="8">
        <v>2003</v>
      </c>
      <c r="H5" s="28">
        <v>100</v>
      </c>
      <c r="I5" s="8"/>
      <c r="J5" s="20"/>
      <c r="K5" s="8"/>
      <c r="L5" s="8"/>
      <c r="M5" s="8"/>
      <c r="N5" s="8"/>
      <c r="O5" s="8"/>
      <c r="P5" s="8"/>
      <c r="Q5" s="8" t="s">
        <v>8</v>
      </c>
      <c r="R5" s="21"/>
      <c r="S5" s="8"/>
      <c r="T5" s="7" t="str">
        <f>Tab_Data_Flows[[#This Row],[Flow_ID]]&amp;"_"&amp;"material_"&amp;Tab_Data_Flows[[#This Row],[Flow_Data_Year]]</f>
        <v>F_12_00_material_2003</v>
      </c>
      <c r="U5" s="18">
        <f t="shared" si="0"/>
        <v>100</v>
      </c>
      <c r="V5" s="8" t="s">
        <v>218</v>
      </c>
      <c r="W5" s="155">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5">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5">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737</v>
      </c>
      <c r="D6" s="10" t="str">
        <f>_xlfn.XLOOKUP(C6,Tab_Def_Flows[Flow_Name],Tab_Def_Flows[WC?],,0,)</f>
        <v>Yes</v>
      </c>
      <c r="E6" s="10" t="str">
        <f>_xlfn.XLOOKUP(C6,Tab_Def_Flows[Flow_Name],Tab_Def_Flows[DM?],,0,)</f>
        <v>Yes</v>
      </c>
      <c r="F6" s="10" t="str">
        <f>_xlfn.XLOOKUP(C6,Tab_Def_Flows[Flow_Name],Tab_Def_Flows[CC?],,0,)</f>
        <v>Yes</v>
      </c>
      <c r="G6" s="8">
        <v>2004</v>
      </c>
      <c r="H6" s="28">
        <v>100</v>
      </c>
      <c r="I6" s="8"/>
      <c r="J6" s="20"/>
      <c r="K6" s="8"/>
      <c r="L6" s="8"/>
      <c r="M6" s="8"/>
      <c r="N6" s="8"/>
      <c r="O6" s="8"/>
      <c r="P6" s="8"/>
      <c r="Q6" s="8" t="s">
        <v>8</v>
      </c>
      <c r="R6" s="21"/>
      <c r="S6" s="8"/>
      <c r="T6" s="7" t="str">
        <f>Tab_Data_Flows[[#This Row],[Flow_ID]]&amp;"_"&amp;"material_"&amp;Tab_Data_Flows[[#This Row],[Flow_Data_Year]]</f>
        <v>F_12_00_material_2004</v>
      </c>
      <c r="U6" s="18">
        <f t="shared" si="0"/>
        <v>100</v>
      </c>
      <c r="V6" s="8" t="s">
        <v>218</v>
      </c>
      <c r="W6" s="155">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5">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5">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737</v>
      </c>
      <c r="D7" s="10" t="str">
        <f>_xlfn.XLOOKUP(C7,Tab_Def_Flows[Flow_Name],Tab_Def_Flows[WC?],,0,)</f>
        <v>Yes</v>
      </c>
      <c r="E7" s="10" t="str">
        <f>_xlfn.XLOOKUP(C7,Tab_Def_Flows[Flow_Name],Tab_Def_Flows[DM?],,0,)</f>
        <v>Yes</v>
      </c>
      <c r="F7" s="10" t="str">
        <f>_xlfn.XLOOKUP(C7,Tab_Def_Flows[Flow_Name],Tab_Def_Flows[CC?],,0,)</f>
        <v>Yes</v>
      </c>
      <c r="G7" s="8">
        <v>2005</v>
      </c>
      <c r="H7" s="28">
        <v>100</v>
      </c>
      <c r="I7" s="8"/>
      <c r="J7" s="20"/>
      <c r="K7" s="8"/>
      <c r="L7" s="8"/>
      <c r="M7" s="8"/>
      <c r="N7" s="8"/>
      <c r="O7" s="8"/>
      <c r="P7" s="8"/>
      <c r="Q7" s="8" t="s">
        <v>8</v>
      </c>
      <c r="R7" s="21"/>
      <c r="S7" s="8"/>
      <c r="T7" s="7" t="str">
        <f>Tab_Data_Flows[[#This Row],[Flow_ID]]&amp;"_"&amp;"material_"&amp;Tab_Data_Flows[[#This Row],[Flow_Data_Year]]</f>
        <v>F_12_00_material_2005</v>
      </c>
      <c r="U7" s="18">
        <f t="shared" si="0"/>
        <v>100</v>
      </c>
      <c r="V7" s="8" t="s">
        <v>218</v>
      </c>
      <c r="W7" s="155">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5">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5">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737</v>
      </c>
      <c r="D8" s="10" t="str">
        <f>_xlfn.XLOOKUP(C8,Tab_Def_Flows[Flow_Name],Tab_Def_Flows[WC?],,0,)</f>
        <v>Yes</v>
      </c>
      <c r="E8" s="10" t="str">
        <f>_xlfn.XLOOKUP(C8,Tab_Def_Flows[Flow_Name],Tab_Def_Flows[DM?],,0,)</f>
        <v>Yes</v>
      </c>
      <c r="F8" s="10" t="str">
        <f>_xlfn.XLOOKUP(C8,Tab_Def_Flows[Flow_Name],Tab_Def_Flows[CC?],,0,)</f>
        <v>Yes</v>
      </c>
      <c r="G8" s="8">
        <v>2006</v>
      </c>
      <c r="H8" s="28">
        <v>100</v>
      </c>
      <c r="I8" s="8"/>
      <c r="J8" s="20"/>
      <c r="K8" s="8"/>
      <c r="L8" s="8"/>
      <c r="M8" s="8"/>
      <c r="N8" s="8"/>
      <c r="O8" s="8"/>
      <c r="P8" s="8"/>
      <c r="Q8" s="8" t="s">
        <v>8</v>
      </c>
      <c r="R8" s="21"/>
      <c r="S8" s="8"/>
      <c r="T8" s="7" t="str">
        <f>Tab_Data_Flows[[#This Row],[Flow_ID]]&amp;"_"&amp;"material_"&amp;Tab_Data_Flows[[#This Row],[Flow_Data_Year]]</f>
        <v>F_12_00_material_2006</v>
      </c>
      <c r="U8" s="18">
        <f t="shared" si="0"/>
        <v>100</v>
      </c>
      <c r="V8" s="8" t="s">
        <v>218</v>
      </c>
      <c r="W8" s="155">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5">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5">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737</v>
      </c>
      <c r="D9" s="10" t="str">
        <f>_xlfn.XLOOKUP(C9,Tab_Def_Flows[Flow_Name],Tab_Def_Flows[WC?],,0,)</f>
        <v>Yes</v>
      </c>
      <c r="E9" s="10" t="str">
        <f>_xlfn.XLOOKUP(C9,Tab_Def_Flows[Flow_Name],Tab_Def_Flows[DM?],,0,)</f>
        <v>Yes</v>
      </c>
      <c r="F9" s="10" t="str">
        <f>_xlfn.XLOOKUP(C9,Tab_Def_Flows[Flow_Name],Tab_Def_Flows[CC?],,0,)</f>
        <v>Yes</v>
      </c>
      <c r="G9" s="8">
        <v>2007</v>
      </c>
      <c r="H9" s="28">
        <v>100</v>
      </c>
      <c r="I9" s="8"/>
      <c r="J9" s="20"/>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F_12_00_material_2007</v>
      </c>
      <c r="U9" s="18">
        <f t="shared" si="0"/>
        <v>100</v>
      </c>
      <c r="V9" s="8" t="s">
        <v>218</v>
      </c>
      <c r="W9" s="155">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5">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5">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737</v>
      </c>
      <c r="D10" s="10" t="str">
        <f>_xlfn.XLOOKUP(C10,Tab_Def_Flows[Flow_Name],Tab_Def_Flows[WC?],,0,)</f>
        <v>Yes</v>
      </c>
      <c r="E10" s="10" t="str">
        <f>_xlfn.XLOOKUP(C10,Tab_Def_Flows[Flow_Name],Tab_Def_Flows[DM?],,0,)</f>
        <v>Yes</v>
      </c>
      <c r="F10" s="10" t="str">
        <f>_xlfn.XLOOKUP(C10,Tab_Def_Flows[Flow_Name],Tab_Def_Flows[CC?],,0,)</f>
        <v>Yes</v>
      </c>
      <c r="G10" s="8">
        <v>2008</v>
      </c>
      <c r="H10" s="28">
        <v>100</v>
      </c>
      <c r="I10" s="8"/>
      <c r="J10" s="20"/>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F_12_00_material_2008</v>
      </c>
      <c r="U10" s="18">
        <f t="shared" si="0"/>
        <v>100</v>
      </c>
      <c r="V10" s="8" t="s">
        <v>218</v>
      </c>
      <c r="W10" s="155">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5">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5">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737</v>
      </c>
      <c r="D11" s="10" t="str">
        <f>_xlfn.XLOOKUP(C11,Tab_Def_Flows[Flow_Name],Tab_Def_Flows[WC?],,0,)</f>
        <v>Yes</v>
      </c>
      <c r="E11" s="10" t="str">
        <f>_xlfn.XLOOKUP(C11,Tab_Def_Flows[Flow_Name],Tab_Def_Flows[DM?],,0,)</f>
        <v>Yes</v>
      </c>
      <c r="F11" s="10" t="str">
        <f>_xlfn.XLOOKUP(C11,Tab_Def_Flows[Flow_Name],Tab_Def_Flows[CC?],,0,)</f>
        <v>Yes</v>
      </c>
      <c r="G11" s="8">
        <v>2009</v>
      </c>
      <c r="H11" s="28">
        <v>100</v>
      </c>
      <c r="I11" s="8"/>
      <c r="J11" s="20"/>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F_12_00_material_2009</v>
      </c>
      <c r="U11" s="18">
        <f t="shared" si="0"/>
        <v>100</v>
      </c>
      <c r="V11" s="8" t="s">
        <v>218</v>
      </c>
      <c r="W11" s="155">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5">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5">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737</v>
      </c>
      <c r="D12" s="10" t="str">
        <f>_xlfn.XLOOKUP(C12,Tab_Def_Flows[Flow_Name],Tab_Def_Flows[WC?],,0,)</f>
        <v>Yes</v>
      </c>
      <c r="E12" s="10" t="str">
        <f>_xlfn.XLOOKUP(C12,Tab_Def_Flows[Flow_Name],Tab_Def_Flows[DM?],,0,)</f>
        <v>Yes</v>
      </c>
      <c r="F12" s="10" t="str">
        <f>_xlfn.XLOOKUP(C12,Tab_Def_Flows[Flow_Name],Tab_Def_Flows[CC?],,0,)</f>
        <v>Yes</v>
      </c>
      <c r="G12" s="8">
        <v>2010</v>
      </c>
      <c r="H12" s="28">
        <v>100</v>
      </c>
      <c r="I12" s="8"/>
      <c r="J12" s="20"/>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F_12_00_material_2010</v>
      </c>
      <c r="U12" s="18">
        <f t="shared" si="0"/>
        <v>100</v>
      </c>
      <c r="V12" s="8" t="s">
        <v>218</v>
      </c>
      <c r="W12" s="155">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5">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5">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737</v>
      </c>
      <c r="D13" s="10" t="str">
        <f>_xlfn.XLOOKUP(C13,Tab_Def_Flows[Flow_Name],Tab_Def_Flows[WC?],,0,)</f>
        <v>Yes</v>
      </c>
      <c r="E13" s="10" t="str">
        <f>_xlfn.XLOOKUP(C13,Tab_Def_Flows[Flow_Name],Tab_Def_Flows[DM?],,0,)</f>
        <v>Yes</v>
      </c>
      <c r="F13" s="10" t="str">
        <f>_xlfn.XLOOKUP(C13,Tab_Def_Flows[Flow_Name],Tab_Def_Flows[CC?],,0,)</f>
        <v>Yes</v>
      </c>
      <c r="G13" s="8">
        <v>2011</v>
      </c>
      <c r="H13" s="28">
        <v>100</v>
      </c>
      <c r="I13" s="8"/>
      <c r="J13" s="20"/>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F_12_00_material_2011</v>
      </c>
      <c r="U13" s="18">
        <f t="shared" si="0"/>
        <v>100</v>
      </c>
      <c r="V13" s="8" t="s">
        <v>218</v>
      </c>
      <c r="W13" s="155">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5">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5">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737</v>
      </c>
      <c r="D14" s="10" t="str">
        <f>_xlfn.XLOOKUP(C14,Tab_Def_Flows[Flow_Name],Tab_Def_Flows[WC?],,0,)</f>
        <v>Yes</v>
      </c>
      <c r="E14" s="10" t="str">
        <f>_xlfn.XLOOKUP(C14,Tab_Def_Flows[Flow_Name],Tab_Def_Flows[DM?],,0,)</f>
        <v>Yes</v>
      </c>
      <c r="F14" s="10" t="str">
        <f>_xlfn.XLOOKUP(C14,Tab_Def_Flows[Flow_Name],Tab_Def_Flows[CC?],,0,)</f>
        <v>Yes</v>
      </c>
      <c r="G14" s="8">
        <v>2012</v>
      </c>
      <c r="H14" s="28">
        <v>100</v>
      </c>
      <c r="I14" s="8"/>
      <c r="J14" s="20"/>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F_12_00_material_2012</v>
      </c>
      <c r="U14" s="18">
        <f t="shared" si="0"/>
        <v>100</v>
      </c>
      <c r="V14" s="8" t="s">
        <v>218</v>
      </c>
      <c r="W14" s="155">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5">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5">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737</v>
      </c>
      <c r="D15" s="10" t="str">
        <f>_xlfn.XLOOKUP(C15,Tab_Def_Flows[Flow_Name],Tab_Def_Flows[WC?],,0,)</f>
        <v>Yes</v>
      </c>
      <c r="E15" s="10" t="str">
        <f>_xlfn.XLOOKUP(C15,Tab_Def_Flows[Flow_Name],Tab_Def_Flows[DM?],,0,)</f>
        <v>Yes</v>
      </c>
      <c r="F15" s="10" t="str">
        <f>_xlfn.XLOOKUP(C15,Tab_Def_Flows[Flow_Name],Tab_Def_Flows[CC?],,0,)</f>
        <v>Yes</v>
      </c>
      <c r="G15" s="8">
        <v>2013</v>
      </c>
      <c r="H15" s="28">
        <v>100</v>
      </c>
      <c r="I15" s="8"/>
      <c r="J15" s="20"/>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F_12_00_material_2013</v>
      </c>
      <c r="U15" s="18">
        <f t="shared" si="0"/>
        <v>100</v>
      </c>
      <c r="V15" s="8" t="s">
        <v>218</v>
      </c>
      <c r="W15" s="155">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5">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5">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737</v>
      </c>
      <c r="D16" s="10" t="str">
        <f>_xlfn.XLOOKUP(C16,Tab_Def_Flows[Flow_Name],Tab_Def_Flows[WC?],,0,)</f>
        <v>Yes</v>
      </c>
      <c r="E16" s="10" t="str">
        <f>_xlfn.XLOOKUP(C16,Tab_Def_Flows[Flow_Name],Tab_Def_Flows[DM?],,0,)</f>
        <v>Yes</v>
      </c>
      <c r="F16" s="10" t="str">
        <f>_xlfn.XLOOKUP(C16,Tab_Def_Flows[Flow_Name],Tab_Def_Flows[CC?],,0,)</f>
        <v>Yes</v>
      </c>
      <c r="G16" s="8">
        <v>2014</v>
      </c>
      <c r="H16" s="28">
        <v>100</v>
      </c>
      <c r="I16" s="8"/>
      <c r="J16" s="20"/>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F_12_00_material_2014</v>
      </c>
      <c r="U16" s="18">
        <f t="shared" si="0"/>
        <v>100</v>
      </c>
      <c r="V16" s="8" t="s">
        <v>218</v>
      </c>
      <c r="W16" s="155">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5">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5">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737</v>
      </c>
      <c r="D17" s="10" t="str">
        <f>_xlfn.XLOOKUP(C17,Tab_Def_Flows[Flow_Name],Tab_Def_Flows[WC?],,0,)</f>
        <v>Yes</v>
      </c>
      <c r="E17" s="10" t="str">
        <f>_xlfn.XLOOKUP(C17,Tab_Def_Flows[Flow_Name],Tab_Def_Flows[DM?],,0,)</f>
        <v>Yes</v>
      </c>
      <c r="F17" s="10" t="str">
        <f>_xlfn.XLOOKUP(C17,Tab_Def_Flows[Flow_Name],Tab_Def_Flows[CC?],,0,)</f>
        <v>Yes</v>
      </c>
      <c r="G17" s="8">
        <v>2015</v>
      </c>
      <c r="H17" s="28">
        <v>100</v>
      </c>
      <c r="I17" s="8"/>
      <c r="J17" s="20"/>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F_12_00_material_2015</v>
      </c>
      <c r="U17" s="18">
        <f t="shared" si="0"/>
        <v>100</v>
      </c>
      <c r="V17" s="8" t="s">
        <v>218</v>
      </c>
      <c r="W17" s="155">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5">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5">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737</v>
      </c>
      <c r="D18" s="10" t="str">
        <f>_xlfn.XLOOKUP(C18,Tab_Def_Flows[Flow_Name],Tab_Def_Flows[WC?],,0,)</f>
        <v>Yes</v>
      </c>
      <c r="E18" s="10" t="str">
        <f>_xlfn.XLOOKUP(C18,Tab_Def_Flows[Flow_Name],Tab_Def_Flows[DM?],,0,)</f>
        <v>Yes</v>
      </c>
      <c r="F18" s="10" t="str">
        <f>_xlfn.XLOOKUP(C18,Tab_Def_Flows[Flow_Name],Tab_Def_Flows[CC?],,0,)</f>
        <v>Yes</v>
      </c>
      <c r="G18" s="8">
        <v>2016</v>
      </c>
      <c r="H18" s="28">
        <v>100</v>
      </c>
      <c r="I18" s="8"/>
      <c r="J18" s="20"/>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F_12_00_material_2016</v>
      </c>
      <c r="U18" s="18">
        <f t="shared" si="0"/>
        <v>100</v>
      </c>
      <c r="V18" s="8" t="s">
        <v>218</v>
      </c>
      <c r="W18" s="155">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5">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5">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737</v>
      </c>
      <c r="D19" s="10" t="str">
        <f>_xlfn.XLOOKUP(C19,Tab_Def_Flows[Flow_Name],Tab_Def_Flows[WC?],,0,)</f>
        <v>Yes</v>
      </c>
      <c r="E19" s="10" t="str">
        <f>_xlfn.XLOOKUP(C19,Tab_Def_Flows[Flow_Name],Tab_Def_Flows[DM?],,0,)</f>
        <v>Yes</v>
      </c>
      <c r="F19" s="10" t="str">
        <f>_xlfn.XLOOKUP(C19,Tab_Def_Flows[Flow_Name],Tab_Def_Flows[CC?],,0,)</f>
        <v>Yes</v>
      </c>
      <c r="G19" s="8">
        <v>2017</v>
      </c>
      <c r="H19" s="28">
        <v>100</v>
      </c>
      <c r="I19" s="8"/>
      <c r="J19" s="20"/>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F_12_00_material_2017</v>
      </c>
      <c r="U19" s="18">
        <f t="shared" si="0"/>
        <v>100</v>
      </c>
      <c r="V19" s="8" t="s">
        <v>218</v>
      </c>
      <c r="W19" s="155">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5">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5">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737</v>
      </c>
      <c r="D20" s="10" t="str">
        <f>_xlfn.XLOOKUP(C20,Tab_Def_Flows[Flow_Name],Tab_Def_Flows[WC?],,0,)</f>
        <v>Yes</v>
      </c>
      <c r="E20" s="10" t="str">
        <f>_xlfn.XLOOKUP(C20,Tab_Def_Flows[Flow_Name],Tab_Def_Flows[DM?],,0,)</f>
        <v>Yes</v>
      </c>
      <c r="F20" s="10" t="str">
        <f>_xlfn.XLOOKUP(C20,Tab_Def_Flows[Flow_Name],Tab_Def_Flows[CC?],,0,)</f>
        <v>Yes</v>
      </c>
      <c r="G20" s="8">
        <v>2018</v>
      </c>
      <c r="H20" s="28">
        <v>100</v>
      </c>
      <c r="I20" s="8"/>
      <c r="J20" s="20"/>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F_12_00_material_2018</v>
      </c>
      <c r="U20" s="18">
        <f t="shared" si="0"/>
        <v>100</v>
      </c>
      <c r="V20" s="8" t="s">
        <v>218</v>
      </c>
      <c r="W20" s="155">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5">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5">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737</v>
      </c>
      <c r="D21" s="10" t="str">
        <f>_xlfn.XLOOKUP(C21,Tab_Def_Flows[Flow_Name],Tab_Def_Flows[WC?],,0,)</f>
        <v>Yes</v>
      </c>
      <c r="E21" s="10" t="str">
        <f>_xlfn.XLOOKUP(C21,Tab_Def_Flows[Flow_Name],Tab_Def_Flows[DM?],,0,)</f>
        <v>Yes</v>
      </c>
      <c r="F21" s="10" t="str">
        <f>_xlfn.XLOOKUP(C21,Tab_Def_Flows[Flow_Name],Tab_Def_Flows[CC?],,0,)</f>
        <v>Yes</v>
      </c>
      <c r="G21" s="8">
        <v>2019</v>
      </c>
      <c r="H21" s="28">
        <v>100</v>
      </c>
      <c r="I21" s="8"/>
      <c r="J21" s="20"/>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F_12_00_material_2019</v>
      </c>
      <c r="U21" s="18">
        <f t="shared" si="0"/>
        <v>100</v>
      </c>
      <c r="V21" s="8" t="s">
        <v>218</v>
      </c>
      <c r="W21" s="155">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5">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5">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737</v>
      </c>
      <c r="D22" s="10" t="str">
        <f>_xlfn.XLOOKUP(C22,Tab_Def_Flows[Flow_Name],Tab_Def_Flows[WC?],,0,)</f>
        <v>Yes</v>
      </c>
      <c r="E22" s="10" t="str">
        <f>_xlfn.XLOOKUP(C22,Tab_Def_Flows[Flow_Name],Tab_Def_Flows[DM?],,0,)</f>
        <v>Yes</v>
      </c>
      <c r="F22" s="10" t="str">
        <f>_xlfn.XLOOKUP(C22,Tab_Def_Flows[Flow_Name],Tab_Def_Flows[CC?],,0,)</f>
        <v>Yes</v>
      </c>
      <c r="G22" s="8">
        <v>2020</v>
      </c>
      <c r="H22" s="28">
        <v>100</v>
      </c>
      <c r="I22" s="8"/>
      <c r="J22" s="20"/>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F_12_00_material_2020</v>
      </c>
      <c r="U22" s="18">
        <f t="shared" si="0"/>
        <v>100</v>
      </c>
      <c r="V22" s="8" t="s">
        <v>218</v>
      </c>
      <c r="W22" s="155">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5">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5">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737</v>
      </c>
      <c r="D23" s="10" t="str">
        <f>_xlfn.XLOOKUP(C23,Tab_Def_Flows[Flow_Name],Tab_Def_Flows[WC?],,0,)</f>
        <v>Yes</v>
      </c>
      <c r="E23" s="10" t="str">
        <f>_xlfn.XLOOKUP(C23,Tab_Def_Flows[Flow_Name],Tab_Def_Flows[DM?],,0,)</f>
        <v>Yes</v>
      </c>
      <c r="F23" s="10" t="str">
        <f>_xlfn.XLOOKUP(C23,Tab_Def_Flows[Flow_Name],Tab_Def_Flows[CC?],,0,)</f>
        <v>Yes</v>
      </c>
      <c r="G23" s="8">
        <v>2021</v>
      </c>
      <c r="H23" s="28">
        <v>100</v>
      </c>
      <c r="I23" s="8"/>
      <c r="J23" s="20"/>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F_12_00_material_2021</v>
      </c>
      <c r="U23" s="18">
        <f t="shared" si="0"/>
        <v>100</v>
      </c>
      <c r="V23" s="8" t="s">
        <v>218</v>
      </c>
      <c r="W23" s="155">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5">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5">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737</v>
      </c>
      <c r="D24" s="10" t="str">
        <f>_xlfn.XLOOKUP(C24,Tab_Def_Flows[Flow_Name],Tab_Def_Flows[WC?],,0,)</f>
        <v>Yes</v>
      </c>
      <c r="E24" s="10" t="str">
        <f>_xlfn.XLOOKUP(C24,Tab_Def_Flows[Flow_Name],Tab_Def_Flows[DM?],,0,)</f>
        <v>Yes</v>
      </c>
      <c r="F24" s="10" t="str">
        <f>_xlfn.XLOOKUP(C24,Tab_Def_Flows[Flow_Name],Tab_Def_Flows[CC?],,0,)</f>
        <v>Yes</v>
      </c>
      <c r="G24" s="8">
        <v>2022</v>
      </c>
      <c r="H24" s="28">
        <v>100</v>
      </c>
      <c r="I24" s="8"/>
      <c r="J24" s="20"/>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F_12_00_material_2022</v>
      </c>
      <c r="U24" s="18">
        <f t="shared" si="0"/>
        <v>100</v>
      </c>
      <c r="V24" s="8" t="s">
        <v>218</v>
      </c>
      <c r="W24" s="155">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5">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5">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737</v>
      </c>
      <c r="D25" s="10" t="str">
        <f>_xlfn.XLOOKUP(C25,Tab_Def_Flows[Flow_Name],Tab_Def_Flows[WC?],,0,)</f>
        <v>Yes</v>
      </c>
      <c r="E25" s="10" t="str">
        <f>_xlfn.XLOOKUP(C25,Tab_Def_Flows[Flow_Name],Tab_Def_Flows[DM?],,0,)</f>
        <v>Yes</v>
      </c>
      <c r="F25" s="10" t="str">
        <f>_xlfn.XLOOKUP(C25,Tab_Def_Flows[Flow_Name],Tab_Def_Flows[CC?],,0,)</f>
        <v>Yes</v>
      </c>
      <c r="G25" s="8">
        <v>2023</v>
      </c>
      <c r="H25" s="28">
        <v>100</v>
      </c>
      <c r="I25" s="8"/>
      <c r="J25" s="20"/>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F_12_00_material_2023</v>
      </c>
      <c r="U25" s="18">
        <f t="shared" si="0"/>
        <v>100</v>
      </c>
      <c r="V25" s="8" t="s">
        <v>218</v>
      </c>
      <c r="W25" s="155">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5">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5">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737</v>
      </c>
      <c r="D26" s="10" t="str">
        <f>_xlfn.XLOOKUP(C26,Tab_Def_Flows[Flow_Name],Tab_Def_Flows[WC?],,0,)</f>
        <v>Yes</v>
      </c>
      <c r="E26" s="10" t="str">
        <f>_xlfn.XLOOKUP(C26,Tab_Def_Flows[Flow_Name],Tab_Def_Flows[DM?],,0,)</f>
        <v>Yes</v>
      </c>
      <c r="F26" s="10" t="str">
        <f>_xlfn.XLOOKUP(C26,Tab_Def_Flows[Flow_Name],Tab_Def_Flows[CC?],,0,)</f>
        <v>Yes</v>
      </c>
      <c r="G26" s="8">
        <v>2024</v>
      </c>
      <c r="H26" s="28">
        <v>100</v>
      </c>
      <c r="I26" s="8"/>
      <c r="J26" s="20"/>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F_12_00_material_2024</v>
      </c>
      <c r="U26" s="18">
        <f t="shared" si="0"/>
        <v>100</v>
      </c>
      <c r="V26" s="8" t="s">
        <v>218</v>
      </c>
      <c r="W26" s="155">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5">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5">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737</v>
      </c>
      <c r="D27" s="10" t="str">
        <f>_xlfn.XLOOKUP(C27,Tab_Def_Flows[Flow_Name],Tab_Def_Flows[WC?],,0,)</f>
        <v>Yes</v>
      </c>
      <c r="E27" s="10" t="str">
        <f>_xlfn.XLOOKUP(C27,Tab_Def_Flows[Flow_Name],Tab_Def_Flows[DM?],,0,)</f>
        <v>Yes</v>
      </c>
      <c r="F27" s="10" t="str">
        <f>_xlfn.XLOOKUP(C27,Tab_Def_Flows[Flow_Name],Tab_Def_Flows[CC?],,0,)</f>
        <v>Yes</v>
      </c>
      <c r="G27" s="8">
        <v>2025</v>
      </c>
      <c r="H27" s="28">
        <v>100</v>
      </c>
      <c r="I27" s="8"/>
      <c r="J27" s="20"/>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F_12_00_material_2025</v>
      </c>
      <c r="U27" s="18">
        <f t="shared" si="0"/>
        <v>100</v>
      </c>
      <c r="V27" s="8" t="s">
        <v>218</v>
      </c>
      <c r="W27" s="155">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5">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5">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737</v>
      </c>
      <c r="D28" s="10" t="str">
        <f>_xlfn.XLOOKUP(C28,Tab_Def_Flows[Flow_Name],Tab_Def_Flows[WC?],,0,)</f>
        <v>Yes</v>
      </c>
      <c r="E28" s="10" t="str">
        <f>_xlfn.XLOOKUP(C28,Tab_Def_Flows[Flow_Name],Tab_Def_Flows[DM?],,0,)</f>
        <v>Yes</v>
      </c>
      <c r="F28" s="10" t="str">
        <f>_xlfn.XLOOKUP(C28,Tab_Def_Flows[Flow_Name],Tab_Def_Flows[CC?],,0,)</f>
        <v>Yes</v>
      </c>
      <c r="G28" s="8">
        <v>2026</v>
      </c>
      <c r="H28" s="28">
        <v>100</v>
      </c>
      <c r="I28" s="8"/>
      <c r="J28" s="20"/>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F_12_00_material_2026</v>
      </c>
      <c r="U28" s="18">
        <f t="shared" si="0"/>
        <v>100</v>
      </c>
      <c r="V28" s="8" t="s">
        <v>218</v>
      </c>
      <c r="W28" s="155">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5">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5">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737</v>
      </c>
      <c r="D29" s="10" t="str">
        <f>_xlfn.XLOOKUP(C29,Tab_Def_Flows[Flow_Name],Tab_Def_Flows[WC?],,0,)</f>
        <v>Yes</v>
      </c>
      <c r="E29" s="10" t="str">
        <f>_xlfn.XLOOKUP(C29,Tab_Def_Flows[Flow_Name],Tab_Def_Flows[DM?],,0,)</f>
        <v>Yes</v>
      </c>
      <c r="F29" s="10" t="str">
        <f>_xlfn.XLOOKUP(C29,Tab_Def_Flows[Flow_Name],Tab_Def_Flows[CC?],,0,)</f>
        <v>Yes</v>
      </c>
      <c r="G29" s="8">
        <v>2027</v>
      </c>
      <c r="H29" s="28">
        <v>100</v>
      </c>
      <c r="I29" s="8"/>
      <c r="J29" s="20"/>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F_12_00_material_2027</v>
      </c>
      <c r="U29" s="18">
        <f t="shared" si="0"/>
        <v>100</v>
      </c>
      <c r="V29" s="8" t="s">
        <v>218</v>
      </c>
      <c r="W29" s="155">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5">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5">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737</v>
      </c>
      <c r="D30" s="10" t="str">
        <f>_xlfn.XLOOKUP(C30,Tab_Def_Flows[Flow_Name],Tab_Def_Flows[WC?],,0,)</f>
        <v>Yes</v>
      </c>
      <c r="E30" s="10" t="str">
        <f>_xlfn.XLOOKUP(C30,Tab_Def_Flows[Flow_Name],Tab_Def_Flows[DM?],,0,)</f>
        <v>Yes</v>
      </c>
      <c r="F30" s="10" t="str">
        <f>_xlfn.XLOOKUP(C30,Tab_Def_Flows[Flow_Name],Tab_Def_Flows[CC?],,0,)</f>
        <v>Yes</v>
      </c>
      <c r="G30" s="8">
        <v>2028</v>
      </c>
      <c r="H30" s="28">
        <v>100</v>
      </c>
      <c r="I30" s="8"/>
      <c r="J30" s="20"/>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F_12_00_material_2028</v>
      </c>
      <c r="U30" s="18">
        <f t="shared" si="0"/>
        <v>100</v>
      </c>
      <c r="V30" s="8" t="s">
        <v>218</v>
      </c>
      <c r="W30" s="155">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5">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5">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737</v>
      </c>
      <c r="D31" s="10" t="str">
        <f>_xlfn.XLOOKUP(C31,Tab_Def_Flows[Flow_Name],Tab_Def_Flows[WC?],,0,)</f>
        <v>Yes</v>
      </c>
      <c r="E31" s="10" t="str">
        <f>_xlfn.XLOOKUP(C31,Tab_Def_Flows[Flow_Name],Tab_Def_Flows[DM?],,0,)</f>
        <v>Yes</v>
      </c>
      <c r="F31" s="10" t="str">
        <f>_xlfn.XLOOKUP(C31,Tab_Def_Flows[Flow_Name],Tab_Def_Flows[CC?],,0,)</f>
        <v>Yes</v>
      </c>
      <c r="G31" s="8">
        <v>2029</v>
      </c>
      <c r="H31" s="28">
        <v>100</v>
      </c>
      <c r="I31" s="8"/>
      <c r="J31" s="20"/>
      <c r="K31" s="8"/>
      <c r="L31" s="8"/>
      <c r="M31" s="8"/>
      <c r="N31" s="8"/>
      <c r="O31" s="8"/>
      <c r="P31" s="8"/>
      <c r="Q31" s="8" t="s">
        <v>8</v>
      </c>
      <c r="R31" s="21"/>
      <c r="S31" s="8"/>
      <c r="T31" s="7" t="str">
        <f>Tab_Data_Flows[[#This Row],[Flow_ID]]&amp;"_"&amp;"material_"&amp;Tab_Data_Flows[[#This Row],[Flow_Data_Year]]</f>
        <v>F_12_00_material_2029</v>
      </c>
      <c r="U31" s="18">
        <f t="shared" si="0"/>
        <v>100</v>
      </c>
      <c r="V31" s="8" t="s">
        <v>218</v>
      </c>
      <c r="W31" s="155">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5">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5">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737</v>
      </c>
      <c r="D32" s="10" t="str">
        <f>_xlfn.XLOOKUP(C32,Tab_Def_Flows[Flow_Name],Tab_Def_Flows[WC?],,0,)</f>
        <v>Yes</v>
      </c>
      <c r="E32" s="10" t="str">
        <f>_xlfn.XLOOKUP(C32,Tab_Def_Flows[Flow_Name],Tab_Def_Flows[DM?],,0,)</f>
        <v>Yes</v>
      </c>
      <c r="F32" s="10" t="str">
        <f>_xlfn.XLOOKUP(C32,Tab_Def_Flows[Flow_Name],Tab_Def_Flows[CC?],,0,)</f>
        <v>Yes</v>
      </c>
      <c r="G32" s="8">
        <v>2030</v>
      </c>
      <c r="H32" s="28">
        <v>100</v>
      </c>
      <c r="I32" s="8"/>
      <c r="J32" s="20"/>
      <c r="K32" s="8"/>
      <c r="L32" s="8"/>
      <c r="M32" s="8"/>
      <c r="N32" s="8"/>
      <c r="O32" s="8"/>
      <c r="P32" s="8"/>
      <c r="Q32" s="8" t="s">
        <v>8</v>
      </c>
      <c r="R32" s="21"/>
      <c r="S32" s="8"/>
      <c r="T32" s="7" t="str">
        <f>Tab_Data_Flows[[#This Row],[Flow_ID]]&amp;"_"&amp;"material_"&amp;Tab_Data_Flows[[#This Row],[Flow_Data_Year]]</f>
        <v>F_12_00_material_2030</v>
      </c>
      <c r="U32" s="18">
        <f t="shared" si="0"/>
        <v>100</v>
      </c>
      <c r="V32" s="8" t="s">
        <v>218</v>
      </c>
      <c r="W32" s="155">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5">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5">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737</v>
      </c>
      <c r="D33" s="10" t="str">
        <f>_xlfn.XLOOKUP(C33,Tab_Def_Flows[Flow_Name],Tab_Def_Flows[WC?],,0,)</f>
        <v>Yes</v>
      </c>
      <c r="E33" s="10" t="str">
        <f>_xlfn.XLOOKUP(C33,Tab_Def_Flows[Flow_Name],Tab_Def_Flows[DM?],,0,)</f>
        <v>Yes</v>
      </c>
      <c r="F33" s="10" t="str">
        <f>_xlfn.XLOOKUP(C33,Tab_Def_Flows[Flow_Name],Tab_Def_Flows[CC?],,0,)</f>
        <v>Yes</v>
      </c>
      <c r="G33" s="8">
        <v>2031</v>
      </c>
      <c r="H33" s="28">
        <v>100</v>
      </c>
      <c r="I33" s="8"/>
      <c r="J33" s="20"/>
      <c r="K33" s="8"/>
      <c r="L33" s="8"/>
      <c r="M33" s="8"/>
      <c r="N33" s="8"/>
      <c r="O33" s="8"/>
      <c r="P33" s="8"/>
      <c r="Q33" s="8" t="s">
        <v>8</v>
      </c>
      <c r="R33" s="21"/>
      <c r="S33" s="8"/>
      <c r="T33" s="7" t="str">
        <f>Tab_Data_Flows[[#This Row],[Flow_ID]]&amp;"_"&amp;"material_"&amp;Tab_Data_Flows[[#This Row],[Flow_Data_Year]]</f>
        <v>F_12_00_material_2031</v>
      </c>
      <c r="U33" s="18">
        <f t="shared" si="0"/>
        <v>100</v>
      </c>
      <c r="V33" s="8" t="s">
        <v>218</v>
      </c>
      <c r="W33" s="155">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5">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5">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737</v>
      </c>
      <c r="D34" s="10" t="str">
        <f>_xlfn.XLOOKUP(C34,Tab_Def_Flows[Flow_Name],Tab_Def_Flows[WC?],,0,)</f>
        <v>Yes</v>
      </c>
      <c r="E34" s="10" t="str">
        <f>_xlfn.XLOOKUP(C34,Tab_Def_Flows[Flow_Name],Tab_Def_Flows[DM?],,0,)</f>
        <v>Yes</v>
      </c>
      <c r="F34" s="10" t="str">
        <f>_xlfn.XLOOKUP(C34,Tab_Def_Flows[Flow_Name],Tab_Def_Flows[CC?],,0,)</f>
        <v>Yes</v>
      </c>
      <c r="G34" s="8">
        <v>2032</v>
      </c>
      <c r="H34" s="28">
        <v>100</v>
      </c>
      <c r="I34" s="8"/>
      <c r="J34" s="20"/>
      <c r="K34" s="8"/>
      <c r="L34" s="8"/>
      <c r="M34" s="8"/>
      <c r="N34" s="8"/>
      <c r="O34" s="8"/>
      <c r="P34" s="8"/>
      <c r="Q34" s="8" t="s">
        <v>8</v>
      </c>
      <c r="R34" s="21"/>
      <c r="S34" s="8"/>
      <c r="T34" s="7" t="str">
        <f>Tab_Data_Flows[[#This Row],[Flow_ID]]&amp;"_"&amp;"material_"&amp;Tab_Data_Flows[[#This Row],[Flow_Data_Year]]</f>
        <v>F_12_00_material_2032</v>
      </c>
      <c r="U34" s="18">
        <f t="shared" ref="U34:U66" si="2">IF(Q34="no",H34,H34*R34)</f>
        <v>100</v>
      </c>
      <c r="V34" s="8" t="s">
        <v>218</v>
      </c>
      <c r="W34" s="155">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5">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5">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737</v>
      </c>
      <c r="D35" s="10" t="str">
        <f>_xlfn.XLOOKUP(C35,Tab_Def_Flows[Flow_Name],Tab_Def_Flows[WC?],,0,)</f>
        <v>Yes</v>
      </c>
      <c r="E35" s="10" t="str">
        <f>_xlfn.XLOOKUP(C35,Tab_Def_Flows[Flow_Name],Tab_Def_Flows[DM?],,0,)</f>
        <v>Yes</v>
      </c>
      <c r="F35" s="10" t="str">
        <f>_xlfn.XLOOKUP(C35,Tab_Def_Flows[Flow_Name],Tab_Def_Flows[CC?],,0,)</f>
        <v>Yes</v>
      </c>
      <c r="G35" s="8">
        <v>2033</v>
      </c>
      <c r="H35" s="28">
        <v>100</v>
      </c>
      <c r="I35" s="8"/>
      <c r="J35" s="20"/>
      <c r="K35" s="8"/>
      <c r="L35" s="8"/>
      <c r="M35" s="8"/>
      <c r="N35" s="8"/>
      <c r="O35" s="8"/>
      <c r="P35" s="8"/>
      <c r="Q35" s="8" t="s">
        <v>8</v>
      </c>
      <c r="R35" s="21"/>
      <c r="S35" s="8"/>
      <c r="T35" s="7" t="str">
        <f>Tab_Data_Flows[[#This Row],[Flow_ID]]&amp;"_"&amp;"material_"&amp;Tab_Data_Flows[[#This Row],[Flow_Data_Year]]</f>
        <v>F_12_00_material_2033</v>
      </c>
      <c r="U35" s="18">
        <f t="shared" si="2"/>
        <v>100</v>
      </c>
      <c r="V35" s="8" t="s">
        <v>218</v>
      </c>
      <c r="W35" s="155">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5">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5">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737</v>
      </c>
      <c r="D36" s="10" t="str">
        <f>_xlfn.XLOOKUP(C36,Tab_Def_Flows[Flow_Name],Tab_Def_Flows[WC?],,0,)</f>
        <v>Yes</v>
      </c>
      <c r="E36" s="10" t="str">
        <f>_xlfn.XLOOKUP(C36,Tab_Def_Flows[Flow_Name],Tab_Def_Flows[DM?],,0,)</f>
        <v>Yes</v>
      </c>
      <c r="F36" s="10" t="str">
        <f>_xlfn.XLOOKUP(C36,Tab_Def_Flows[Flow_Name],Tab_Def_Flows[CC?],,0,)</f>
        <v>Yes</v>
      </c>
      <c r="G36" s="8">
        <v>2034</v>
      </c>
      <c r="H36" s="28">
        <v>100</v>
      </c>
      <c r="I36" s="8"/>
      <c r="J36" s="20"/>
      <c r="K36" s="8"/>
      <c r="L36" s="8"/>
      <c r="M36" s="8"/>
      <c r="N36" s="8"/>
      <c r="O36" s="8"/>
      <c r="P36" s="8"/>
      <c r="Q36" s="8" t="s">
        <v>8</v>
      </c>
      <c r="R36" s="21"/>
      <c r="S36" s="8"/>
      <c r="T36" s="7" t="str">
        <f>Tab_Data_Flows[[#This Row],[Flow_ID]]&amp;"_"&amp;"material_"&amp;Tab_Data_Flows[[#This Row],[Flow_Data_Year]]</f>
        <v>F_12_00_material_2034</v>
      </c>
      <c r="U36" s="18">
        <f t="shared" si="2"/>
        <v>100</v>
      </c>
      <c r="V36" s="8" t="s">
        <v>218</v>
      </c>
      <c r="W36" s="155">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5">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5">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737</v>
      </c>
      <c r="D37" s="10" t="str">
        <f>_xlfn.XLOOKUP(C37,Tab_Def_Flows[Flow_Name],Tab_Def_Flows[WC?],,0,)</f>
        <v>Yes</v>
      </c>
      <c r="E37" s="10" t="str">
        <f>_xlfn.XLOOKUP(C37,Tab_Def_Flows[Flow_Name],Tab_Def_Flows[DM?],,0,)</f>
        <v>Yes</v>
      </c>
      <c r="F37" s="10" t="str">
        <f>_xlfn.XLOOKUP(C37,Tab_Def_Flows[Flow_Name],Tab_Def_Flows[CC?],,0,)</f>
        <v>Yes</v>
      </c>
      <c r="G37" s="8">
        <v>2035</v>
      </c>
      <c r="H37" s="28">
        <v>100</v>
      </c>
      <c r="I37" s="8"/>
      <c r="J37" s="20"/>
      <c r="K37" s="8"/>
      <c r="L37" s="8"/>
      <c r="M37" s="8"/>
      <c r="N37" s="8"/>
      <c r="O37" s="8"/>
      <c r="P37" s="8"/>
      <c r="Q37" s="8" t="s">
        <v>8</v>
      </c>
      <c r="R37" s="21"/>
      <c r="S37" s="8"/>
      <c r="T37" s="7" t="str">
        <f>Tab_Data_Flows[[#This Row],[Flow_ID]]&amp;"_"&amp;"material_"&amp;Tab_Data_Flows[[#This Row],[Flow_Data_Year]]</f>
        <v>F_12_00_material_2035</v>
      </c>
      <c r="U37" s="18">
        <f t="shared" si="2"/>
        <v>100</v>
      </c>
      <c r="V37" s="8" t="s">
        <v>218</v>
      </c>
      <c r="W37" s="155">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5">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5">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737</v>
      </c>
      <c r="D38" s="10" t="str">
        <f>_xlfn.XLOOKUP(C38,Tab_Def_Flows[Flow_Name],Tab_Def_Flows[WC?],,0,)</f>
        <v>Yes</v>
      </c>
      <c r="E38" s="10" t="str">
        <f>_xlfn.XLOOKUP(C38,Tab_Def_Flows[Flow_Name],Tab_Def_Flows[DM?],,0,)</f>
        <v>Yes</v>
      </c>
      <c r="F38" s="10" t="str">
        <f>_xlfn.XLOOKUP(C38,Tab_Def_Flows[Flow_Name],Tab_Def_Flows[CC?],,0,)</f>
        <v>Yes</v>
      </c>
      <c r="G38" s="8">
        <v>2036</v>
      </c>
      <c r="H38" s="28">
        <v>100</v>
      </c>
      <c r="I38" s="8"/>
      <c r="J38" s="20"/>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F_12_00_material_2036</v>
      </c>
      <c r="U38" s="18">
        <f t="shared" si="2"/>
        <v>100</v>
      </c>
      <c r="V38" s="8" t="s">
        <v>218</v>
      </c>
      <c r="W38" s="155">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5">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5">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737</v>
      </c>
      <c r="D39" s="10" t="str">
        <f>_xlfn.XLOOKUP(C39,Tab_Def_Flows[Flow_Name],Tab_Def_Flows[WC?],,0,)</f>
        <v>Yes</v>
      </c>
      <c r="E39" s="10" t="str">
        <f>_xlfn.XLOOKUP(C39,Tab_Def_Flows[Flow_Name],Tab_Def_Flows[DM?],,0,)</f>
        <v>Yes</v>
      </c>
      <c r="F39" s="10" t="str">
        <f>_xlfn.XLOOKUP(C39,Tab_Def_Flows[Flow_Name],Tab_Def_Flows[CC?],,0,)</f>
        <v>Yes</v>
      </c>
      <c r="G39" s="8">
        <v>2037</v>
      </c>
      <c r="H39" s="28">
        <v>100</v>
      </c>
      <c r="I39" s="8"/>
      <c r="J39" s="20"/>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F_12_00_material_2037</v>
      </c>
      <c r="U39" s="18">
        <f t="shared" si="2"/>
        <v>100</v>
      </c>
      <c r="V39" s="8" t="s">
        <v>218</v>
      </c>
      <c r="W39" s="155">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5">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5">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737</v>
      </c>
      <c r="D40" s="10" t="str">
        <f>_xlfn.XLOOKUP(C40,Tab_Def_Flows[Flow_Name],Tab_Def_Flows[WC?],,0,)</f>
        <v>Yes</v>
      </c>
      <c r="E40" s="10" t="str">
        <f>_xlfn.XLOOKUP(C40,Tab_Def_Flows[Flow_Name],Tab_Def_Flows[DM?],,0,)</f>
        <v>Yes</v>
      </c>
      <c r="F40" s="10" t="str">
        <f>_xlfn.XLOOKUP(C40,Tab_Def_Flows[Flow_Name],Tab_Def_Flows[CC?],,0,)</f>
        <v>Yes</v>
      </c>
      <c r="G40" s="8">
        <v>2038</v>
      </c>
      <c r="H40" s="28">
        <v>100</v>
      </c>
      <c r="I40" s="8"/>
      <c r="J40" s="20"/>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F_12_00_material_2038</v>
      </c>
      <c r="U40" s="18">
        <f t="shared" si="2"/>
        <v>100</v>
      </c>
      <c r="V40" s="8" t="s">
        <v>218</v>
      </c>
      <c r="W40" s="155">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5">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5">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737</v>
      </c>
      <c r="D41" s="10" t="str">
        <f>_xlfn.XLOOKUP(C41,Tab_Def_Flows[Flow_Name],Tab_Def_Flows[WC?],,0,)</f>
        <v>Yes</v>
      </c>
      <c r="E41" s="10" t="str">
        <f>_xlfn.XLOOKUP(C41,Tab_Def_Flows[Flow_Name],Tab_Def_Flows[DM?],,0,)</f>
        <v>Yes</v>
      </c>
      <c r="F41" s="10" t="str">
        <f>_xlfn.XLOOKUP(C41,Tab_Def_Flows[Flow_Name],Tab_Def_Flows[CC?],,0,)</f>
        <v>Yes</v>
      </c>
      <c r="G41" s="8">
        <v>2039</v>
      </c>
      <c r="H41" s="28">
        <v>100</v>
      </c>
      <c r="I41" s="8"/>
      <c r="J41" s="20"/>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F_12_00_material_2039</v>
      </c>
      <c r="U41" s="18">
        <f t="shared" si="2"/>
        <v>100</v>
      </c>
      <c r="V41" s="8" t="s">
        <v>218</v>
      </c>
      <c r="W41" s="155">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5">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5">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737</v>
      </c>
      <c r="D42" s="10" t="str">
        <f>_xlfn.XLOOKUP(C42,Tab_Def_Flows[Flow_Name],Tab_Def_Flows[WC?],,0,)</f>
        <v>Yes</v>
      </c>
      <c r="E42" s="10" t="str">
        <f>_xlfn.XLOOKUP(C42,Tab_Def_Flows[Flow_Name],Tab_Def_Flows[DM?],,0,)</f>
        <v>Yes</v>
      </c>
      <c r="F42" s="10" t="str">
        <f>_xlfn.XLOOKUP(C42,Tab_Def_Flows[Flow_Name],Tab_Def_Flows[CC?],,0,)</f>
        <v>Yes</v>
      </c>
      <c r="G42" s="8">
        <v>2040</v>
      </c>
      <c r="H42" s="28">
        <v>100</v>
      </c>
      <c r="I42" s="8"/>
      <c r="J42" s="20"/>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F_12_00_material_2040</v>
      </c>
      <c r="U42" s="18">
        <f t="shared" si="2"/>
        <v>100</v>
      </c>
      <c r="V42" s="8" t="s">
        <v>218</v>
      </c>
      <c r="W42" s="155">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5">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5">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736</v>
      </c>
      <c r="D43" s="10" t="str">
        <f>_xlfn.XLOOKUP(C43,Tab_Def_Flows[Flow_Name],Tab_Def_Flows[WC?],,0,)</f>
        <v>Yes</v>
      </c>
      <c r="E43" s="10" t="str">
        <f>_xlfn.XLOOKUP(C43,Tab_Def_Flows[Flow_Name],Tab_Def_Flows[DM?],,0,)</f>
        <v>Yes</v>
      </c>
      <c r="F43" s="10" t="str">
        <f>_xlfn.XLOOKUP(C43,Tab_Def_Flows[Flow_Name],Tab_Def_Flows[CC?],,0,)</f>
        <v>Yes</v>
      </c>
      <c r="G43" s="8">
        <v>2000</v>
      </c>
      <c r="H43" s="28">
        <v>10</v>
      </c>
      <c r="I43" s="8"/>
      <c r="J43" s="20"/>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F_13_00_material_2000</v>
      </c>
      <c r="U43" s="18">
        <f t="shared" si="2"/>
        <v>10</v>
      </c>
      <c r="V43" s="8" t="s">
        <v>218</v>
      </c>
      <c r="W43" s="155">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5">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5">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736</v>
      </c>
      <c r="D44" s="10" t="str">
        <f>_xlfn.XLOOKUP(C44,Tab_Def_Flows[Flow_Name],Tab_Def_Flows[WC?],,0,)</f>
        <v>Yes</v>
      </c>
      <c r="E44" s="10" t="str">
        <f>_xlfn.XLOOKUP(C44,Tab_Def_Flows[Flow_Name],Tab_Def_Flows[DM?],,0,)</f>
        <v>Yes</v>
      </c>
      <c r="F44" s="10" t="str">
        <f>_xlfn.XLOOKUP(C44,Tab_Def_Flows[Flow_Name],Tab_Def_Flows[CC?],,0,)</f>
        <v>Yes</v>
      </c>
      <c r="G44" s="8">
        <v>2001</v>
      </c>
      <c r="H44" s="28">
        <v>10</v>
      </c>
      <c r="I44" s="8"/>
      <c r="J44" s="20"/>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F_13_00_material_2001</v>
      </c>
      <c r="U44" s="18">
        <f t="shared" si="2"/>
        <v>10</v>
      </c>
      <c r="V44" s="8" t="s">
        <v>218</v>
      </c>
      <c r="W44" s="155">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5">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5">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736</v>
      </c>
      <c r="D45" s="10" t="str">
        <f>_xlfn.XLOOKUP(C45,Tab_Def_Flows[Flow_Name],Tab_Def_Flows[WC?],,0,)</f>
        <v>Yes</v>
      </c>
      <c r="E45" s="10" t="str">
        <f>_xlfn.XLOOKUP(C45,Tab_Def_Flows[Flow_Name],Tab_Def_Flows[DM?],,0,)</f>
        <v>Yes</v>
      </c>
      <c r="F45" s="10" t="str">
        <f>_xlfn.XLOOKUP(C45,Tab_Def_Flows[Flow_Name],Tab_Def_Flows[CC?],,0,)</f>
        <v>Yes</v>
      </c>
      <c r="G45" s="8">
        <v>2002</v>
      </c>
      <c r="H45" s="28">
        <v>10</v>
      </c>
      <c r="I45" s="8"/>
      <c r="J45" s="20"/>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F_13_00_material_2002</v>
      </c>
      <c r="U45" s="18">
        <f t="shared" si="2"/>
        <v>10</v>
      </c>
      <c r="V45" s="8" t="s">
        <v>218</v>
      </c>
      <c r="W45" s="155">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5">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5">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736</v>
      </c>
      <c r="D46" s="10" t="str">
        <f>_xlfn.XLOOKUP(C46,Tab_Def_Flows[Flow_Name],Tab_Def_Flows[WC?],,0,)</f>
        <v>Yes</v>
      </c>
      <c r="E46" s="10" t="str">
        <f>_xlfn.XLOOKUP(C46,Tab_Def_Flows[Flow_Name],Tab_Def_Flows[DM?],,0,)</f>
        <v>Yes</v>
      </c>
      <c r="F46" s="10" t="str">
        <f>_xlfn.XLOOKUP(C46,Tab_Def_Flows[Flow_Name],Tab_Def_Flows[CC?],,0,)</f>
        <v>Yes</v>
      </c>
      <c r="G46" s="8">
        <v>2003</v>
      </c>
      <c r="H46" s="28">
        <v>10</v>
      </c>
      <c r="I46" s="8"/>
      <c r="J46" s="20"/>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F_13_00_material_2003</v>
      </c>
      <c r="U46" s="18">
        <f t="shared" si="2"/>
        <v>10</v>
      </c>
      <c r="V46" s="8" t="s">
        <v>218</v>
      </c>
      <c r="W46" s="155">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5">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5">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736</v>
      </c>
      <c r="D47" s="10" t="str">
        <f>_xlfn.XLOOKUP(C47,Tab_Def_Flows[Flow_Name],Tab_Def_Flows[WC?],,0,)</f>
        <v>Yes</v>
      </c>
      <c r="E47" s="10" t="str">
        <f>_xlfn.XLOOKUP(C47,Tab_Def_Flows[Flow_Name],Tab_Def_Flows[DM?],,0,)</f>
        <v>Yes</v>
      </c>
      <c r="F47" s="10" t="str">
        <f>_xlfn.XLOOKUP(C47,Tab_Def_Flows[Flow_Name],Tab_Def_Flows[CC?],,0,)</f>
        <v>Yes</v>
      </c>
      <c r="G47" s="8">
        <v>2004</v>
      </c>
      <c r="H47" s="28">
        <v>10</v>
      </c>
      <c r="I47" s="8"/>
      <c r="J47" s="20"/>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F_13_00_material_2004</v>
      </c>
      <c r="U47" s="18">
        <f t="shared" si="2"/>
        <v>10</v>
      </c>
      <c r="V47" s="8" t="s">
        <v>218</v>
      </c>
      <c r="W47" s="155">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5">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5">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736</v>
      </c>
      <c r="D48" s="10" t="str">
        <f>_xlfn.XLOOKUP(C48,Tab_Def_Flows[Flow_Name],Tab_Def_Flows[WC?],,0,)</f>
        <v>Yes</v>
      </c>
      <c r="E48" s="10" t="str">
        <f>_xlfn.XLOOKUP(C48,Tab_Def_Flows[Flow_Name],Tab_Def_Flows[DM?],,0,)</f>
        <v>Yes</v>
      </c>
      <c r="F48" s="10" t="str">
        <f>_xlfn.XLOOKUP(C48,Tab_Def_Flows[Flow_Name],Tab_Def_Flows[CC?],,0,)</f>
        <v>Yes</v>
      </c>
      <c r="G48" s="8">
        <v>2005</v>
      </c>
      <c r="H48" s="28">
        <v>10</v>
      </c>
      <c r="I48" s="8"/>
      <c r="J48" s="20"/>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F_13_00_material_2005</v>
      </c>
      <c r="U48" s="18">
        <f t="shared" si="2"/>
        <v>10</v>
      </c>
      <c r="V48" s="8" t="s">
        <v>218</v>
      </c>
      <c r="W48" s="155">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5">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5">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736</v>
      </c>
      <c r="D49" s="10" t="str">
        <f>_xlfn.XLOOKUP(C49,Tab_Def_Flows[Flow_Name],Tab_Def_Flows[WC?],,0,)</f>
        <v>Yes</v>
      </c>
      <c r="E49" s="10" t="str">
        <f>_xlfn.XLOOKUP(C49,Tab_Def_Flows[Flow_Name],Tab_Def_Flows[DM?],,0,)</f>
        <v>Yes</v>
      </c>
      <c r="F49" s="10" t="str">
        <f>_xlfn.XLOOKUP(C49,Tab_Def_Flows[Flow_Name],Tab_Def_Flows[CC?],,0,)</f>
        <v>Yes</v>
      </c>
      <c r="G49" s="8">
        <v>2006</v>
      </c>
      <c r="H49" s="28">
        <v>10</v>
      </c>
      <c r="I49" s="8"/>
      <c r="J49" s="20"/>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F_13_00_material_2006</v>
      </c>
      <c r="U49" s="18">
        <f t="shared" si="2"/>
        <v>10</v>
      </c>
      <c r="V49" s="8" t="s">
        <v>218</v>
      </c>
      <c r="W49" s="155">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5">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5">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736</v>
      </c>
      <c r="D50" s="10" t="str">
        <f>_xlfn.XLOOKUP(C50,Tab_Def_Flows[Flow_Name],Tab_Def_Flows[WC?],,0,)</f>
        <v>Yes</v>
      </c>
      <c r="E50" s="10" t="str">
        <f>_xlfn.XLOOKUP(C50,Tab_Def_Flows[Flow_Name],Tab_Def_Flows[DM?],,0,)</f>
        <v>Yes</v>
      </c>
      <c r="F50" s="10" t="str">
        <f>_xlfn.XLOOKUP(C50,Tab_Def_Flows[Flow_Name],Tab_Def_Flows[CC?],,0,)</f>
        <v>Yes</v>
      </c>
      <c r="G50" s="8">
        <v>2007</v>
      </c>
      <c r="H50" s="28">
        <v>10</v>
      </c>
      <c r="I50" s="8"/>
      <c r="J50" s="20"/>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F_13_00_material_2007</v>
      </c>
      <c r="U50" s="18">
        <f t="shared" si="2"/>
        <v>10</v>
      </c>
      <c r="V50" s="8" t="s">
        <v>218</v>
      </c>
      <c r="W50" s="155">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5">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5">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736</v>
      </c>
      <c r="D51" s="10" t="str">
        <f>_xlfn.XLOOKUP(C51,Tab_Def_Flows[Flow_Name],Tab_Def_Flows[WC?],,0,)</f>
        <v>Yes</v>
      </c>
      <c r="E51" s="10" t="str">
        <f>_xlfn.XLOOKUP(C51,Tab_Def_Flows[Flow_Name],Tab_Def_Flows[DM?],,0,)</f>
        <v>Yes</v>
      </c>
      <c r="F51" s="10" t="str">
        <f>_xlfn.XLOOKUP(C51,Tab_Def_Flows[Flow_Name],Tab_Def_Flows[CC?],,0,)</f>
        <v>Yes</v>
      </c>
      <c r="G51" s="8">
        <v>2008</v>
      </c>
      <c r="H51" s="28">
        <v>10</v>
      </c>
      <c r="I51" s="8"/>
      <c r="J51" s="20"/>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F_13_00_material_2008</v>
      </c>
      <c r="U51" s="18">
        <f t="shared" si="2"/>
        <v>10</v>
      </c>
      <c r="V51" s="8" t="s">
        <v>218</v>
      </c>
      <c r="W51" s="155">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5">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5">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736</v>
      </c>
      <c r="D52" s="10" t="str">
        <f>_xlfn.XLOOKUP(C52,Tab_Def_Flows[Flow_Name],Tab_Def_Flows[WC?],,0,)</f>
        <v>Yes</v>
      </c>
      <c r="E52" s="10" t="str">
        <f>_xlfn.XLOOKUP(C52,Tab_Def_Flows[Flow_Name],Tab_Def_Flows[DM?],,0,)</f>
        <v>Yes</v>
      </c>
      <c r="F52" s="10" t="str">
        <f>_xlfn.XLOOKUP(C52,Tab_Def_Flows[Flow_Name],Tab_Def_Flows[CC?],,0,)</f>
        <v>Yes</v>
      </c>
      <c r="G52" s="8">
        <v>2009</v>
      </c>
      <c r="H52" s="28">
        <v>10</v>
      </c>
      <c r="I52" s="8"/>
      <c r="J52" s="20"/>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F_13_00_material_2009</v>
      </c>
      <c r="U52" s="18">
        <f t="shared" si="2"/>
        <v>10</v>
      </c>
      <c r="V52" s="8" t="s">
        <v>218</v>
      </c>
      <c r="W52" s="155">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5">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5">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736</v>
      </c>
      <c r="D53" s="10" t="str">
        <f>_xlfn.XLOOKUP(C53,Tab_Def_Flows[Flow_Name],Tab_Def_Flows[WC?],,0,)</f>
        <v>Yes</v>
      </c>
      <c r="E53" s="10" t="str">
        <f>_xlfn.XLOOKUP(C53,Tab_Def_Flows[Flow_Name],Tab_Def_Flows[DM?],,0,)</f>
        <v>Yes</v>
      </c>
      <c r="F53" s="10" t="str">
        <f>_xlfn.XLOOKUP(C53,Tab_Def_Flows[Flow_Name],Tab_Def_Flows[CC?],,0,)</f>
        <v>Yes</v>
      </c>
      <c r="G53" s="8">
        <v>2010</v>
      </c>
      <c r="H53" s="28">
        <v>10</v>
      </c>
      <c r="I53" s="8"/>
      <c r="J53" s="20"/>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F_13_00_material_2010</v>
      </c>
      <c r="U53" s="18">
        <f t="shared" si="2"/>
        <v>10</v>
      </c>
      <c r="V53" s="8" t="s">
        <v>218</v>
      </c>
      <c r="W53" s="155">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5">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5">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736</v>
      </c>
      <c r="D54" s="10" t="str">
        <f>_xlfn.XLOOKUP(C54,Tab_Def_Flows[Flow_Name],Tab_Def_Flows[WC?],,0,)</f>
        <v>Yes</v>
      </c>
      <c r="E54" s="10" t="str">
        <f>_xlfn.XLOOKUP(C54,Tab_Def_Flows[Flow_Name],Tab_Def_Flows[DM?],,0,)</f>
        <v>Yes</v>
      </c>
      <c r="F54" s="10" t="str">
        <f>_xlfn.XLOOKUP(C54,Tab_Def_Flows[Flow_Name],Tab_Def_Flows[CC?],,0,)</f>
        <v>Yes</v>
      </c>
      <c r="G54" s="8">
        <v>2011</v>
      </c>
      <c r="H54" s="28">
        <v>10</v>
      </c>
      <c r="I54" s="8"/>
      <c r="J54" s="20"/>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F_13_00_material_2011</v>
      </c>
      <c r="U54" s="18">
        <f t="shared" si="2"/>
        <v>10</v>
      </c>
      <c r="V54" s="8" t="s">
        <v>218</v>
      </c>
      <c r="W54" s="155">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5">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5">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736</v>
      </c>
      <c r="D55" s="10" t="str">
        <f>_xlfn.XLOOKUP(C55,Tab_Def_Flows[Flow_Name],Tab_Def_Flows[WC?],,0,)</f>
        <v>Yes</v>
      </c>
      <c r="E55" s="10" t="str">
        <f>_xlfn.XLOOKUP(C55,Tab_Def_Flows[Flow_Name],Tab_Def_Flows[DM?],,0,)</f>
        <v>Yes</v>
      </c>
      <c r="F55" s="10" t="str">
        <f>_xlfn.XLOOKUP(C55,Tab_Def_Flows[Flow_Name],Tab_Def_Flows[CC?],,0,)</f>
        <v>Yes</v>
      </c>
      <c r="G55" s="8">
        <v>2012</v>
      </c>
      <c r="H55" s="28">
        <v>10</v>
      </c>
      <c r="I55" s="8"/>
      <c r="J55" s="20"/>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F_13_00_material_2012</v>
      </c>
      <c r="U55" s="18">
        <f t="shared" si="2"/>
        <v>10</v>
      </c>
      <c r="V55" s="8" t="s">
        <v>218</v>
      </c>
      <c r="W55" s="155">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5">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5">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736</v>
      </c>
      <c r="D56" s="10" t="str">
        <f>_xlfn.XLOOKUP(C56,Tab_Def_Flows[Flow_Name],Tab_Def_Flows[WC?],,0,)</f>
        <v>Yes</v>
      </c>
      <c r="E56" s="10" t="str">
        <f>_xlfn.XLOOKUP(C56,Tab_Def_Flows[Flow_Name],Tab_Def_Flows[DM?],,0,)</f>
        <v>Yes</v>
      </c>
      <c r="F56" s="10" t="str">
        <f>_xlfn.XLOOKUP(C56,Tab_Def_Flows[Flow_Name],Tab_Def_Flows[CC?],,0,)</f>
        <v>Yes</v>
      </c>
      <c r="G56" s="8">
        <v>2013</v>
      </c>
      <c r="H56" s="28">
        <v>10</v>
      </c>
      <c r="I56" s="8"/>
      <c r="J56" s="20"/>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F_13_00_material_2013</v>
      </c>
      <c r="U56" s="18">
        <f t="shared" si="2"/>
        <v>10</v>
      </c>
      <c r="V56" s="8" t="s">
        <v>218</v>
      </c>
      <c r="W56" s="155">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5">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5">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736</v>
      </c>
      <c r="D57" s="10" t="str">
        <f>_xlfn.XLOOKUP(C57,Tab_Def_Flows[Flow_Name],Tab_Def_Flows[WC?],,0,)</f>
        <v>Yes</v>
      </c>
      <c r="E57" s="10" t="str">
        <f>_xlfn.XLOOKUP(C57,Tab_Def_Flows[Flow_Name],Tab_Def_Flows[DM?],,0,)</f>
        <v>Yes</v>
      </c>
      <c r="F57" s="10" t="str">
        <f>_xlfn.XLOOKUP(C57,Tab_Def_Flows[Flow_Name],Tab_Def_Flows[CC?],,0,)</f>
        <v>Yes</v>
      </c>
      <c r="G57" s="8">
        <v>2014</v>
      </c>
      <c r="H57" s="28">
        <v>10</v>
      </c>
      <c r="I57" s="8"/>
      <c r="J57" s="20"/>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F_13_00_material_2014</v>
      </c>
      <c r="U57" s="18">
        <f t="shared" si="2"/>
        <v>10</v>
      </c>
      <c r="V57" s="8" t="s">
        <v>218</v>
      </c>
      <c r="W57" s="155">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5">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5">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736</v>
      </c>
      <c r="D58" s="10" t="str">
        <f>_xlfn.XLOOKUP(C58,Tab_Def_Flows[Flow_Name],Tab_Def_Flows[WC?],,0,)</f>
        <v>Yes</v>
      </c>
      <c r="E58" s="10" t="str">
        <f>_xlfn.XLOOKUP(C58,Tab_Def_Flows[Flow_Name],Tab_Def_Flows[DM?],,0,)</f>
        <v>Yes</v>
      </c>
      <c r="F58" s="10" t="str">
        <f>_xlfn.XLOOKUP(C58,Tab_Def_Flows[Flow_Name],Tab_Def_Flows[CC?],,0,)</f>
        <v>Yes</v>
      </c>
      <c r="G58" s="8">
        <v>2015</v>
      </c>
      <c r="H58" s="28">
        <v>10</v>
      </c>
      <c r="I58" s="8"/>
      <c r="J58" s="20"/>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F_13_00_material_2015</v>
      </c>
      <c r="U58" s="18">
        <f t="shared" si="2"/>
        <v>10</v>
      </c>
      <c r="V58" s="8" t="s">
        <v>218</v>
      </c>
      <c r="W58" s="155">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5">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5">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736</v>
      </c>
      <c r="D59" s="10" t="str">
        <f>_xlfn.XLOOKUP(C59,Tab_Def_Flows[Flow_Name],Tab_Def_Flows[WC?],,0,)</f>
        <v>Yes</v>
      </c>
      <c r="E59" s="10" t="str">
        <f>_xlfn.XLOOKUP(C59,Tab_Def_Flows[Flow_Name],Tab_Def_Flows[DM?],,0,)</f>
        <v>Yes</v>
      </c>
      <c r="F59" s="10" t="str">
        <f>_xlfn.XLOOKUP(C59,Tab_Def_Flows[Flow_Name],Tab_Def_Flows[CC?],,0,)</f>
        <v>Yes</v>
      </c>
      <c r="G59" s="8">
        <v>2016</v>
      </c>
      <c r="H59" s="28">
        <v>10</v>
      </c>
      <c r="I59" s="8"/>
      <c r="J59" s="20"/>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F_13_00_material_2016</v>
      </c>
      <c r="U59" s="18">
        <f t="shared" si="2"/>
        <v>10</v>
      </c>
      <c r="V59" s="8" t="s">
        <v>218</v>
      </c>
      <c r="W59" s="155">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5">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5">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736</v>
      </c>
      <c r="D60" s="10" t="str">
        <f>_xlfn.XLOOKUP(C60,Tab_Def_Flows[Flow_Name],Tab_Def_Flows[WC?],,0,)</f>
        <v>Yes</v>
      </c>
      <c r="E60" s="10" t="str">
        <f>_xlfn.XLOOKUP(C60,Tab_Def_Flows[Flow_Name],Tab_Def_Flows[DM?],,0,)</f>
        <v>Yes</v>
      </c>
      <c r="F60" s="10" t="str">
        <f>_xlfn.XLOOKUP(C60,Tab_Def_Flows[Flow_Name],Tab_Def_Flows[CC?],,0,)</f>
        <v>Yes</v>
      </c>
      <c r="G60" s="8">
        <v>2017</v>
      </c>
      <c r="H60" s="28">
        <v>10</v>
      </c>
      <c r="I60" s="8"/>
      <c r="J60" s="20"/>
      <c r="K60" s="8"/>
      <c r="L60" s="8"/>
      <c r="M60" s="8"/>
      <c r="N60" s="8"/>
      <c r="O60" s="8"/>
      <c r="P60" s="8"/>
      <c r="Q60" s="8" t="s">
        <v>8</v>
      </c>
      <c r="R60" s="21"/>
      <c r="S60" s="8"/>
      <c r="T60" s="7" t="str">
        <f>Tab_Data_Flows[[#This Row],[Flow_ID]]&amp;"_"&amp;"material_"&amp;Tab_Data_Flows[[#This Row],[Flow_Data_Year]]</f>
        <v>F_13_00_material_2017</v>
      </c>
      <c r="U60" s="18">
        <f t="shared" si="2"/>
        <v>10</v>
      </c>
      <c r="V60" s="8" t="s">
        <v>218</v>
      </c>
      <c r="W60" s="155">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5">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5">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736</v>
      </c>
      <c r="D61" s="10" t="str">
        <f>_xlfn.XLOOKUP(C61,Tab_Def_Flows[Flow_Name],Tab_Def_Flows[WC?],,0,)</f>
        <v>Yes</v>
      </c>
      <c r="E61" s="10" t="str">
        <f>_xlfn.XLOOKUP(C61,Tab_Def_Flows[Flow_Name],Tab_Def_Flows[DM?],,0,)</f>
        <v>Yes</v>
      </c>
      <c r="F61" s="10" t="str">
        <f>_xlfn.XLOOKUP(C61,Tab_Def_Flows[Flow_Name],Tab_Def_Flows[CC?],,0,)</f>
        <v>Yes</v>
      </c>
      <c r="G61" s="8">
        <v>2018</v>
      </c>
      <c r="H61" s="28">
        <v>10</v>
      </c>
      <c r="I61" s="8"/>
      <c r="J61" s="20"/>
      <c r="K61" s="8"/>
      <c r="L61" s="8"/>
      <c r="M61" s="8"/>
      <c r="N61" s="8"/>
      <c r="O61" s="8"/>
      <c r="P61" s="8"/>
      <c r="Q61" s="8" t="s">
        <v>8</v>
      </c>
      <c r="R61" s="21"/>
      <c r="S61" s="8"/>
      <c r="T61" s="7" t="str">
        <f>Tab_Data_Flows[[#This Row],[Flow_ID]]&amp;"_"&amp;"material_"&amp;Tab_Data_Flows[[#This Row],[Flow_Data_Year]]</f>
        <v>F_13_00_material_2018</v>
      </c>
      <c r="U61" s="18">
        <f t="shared" si="2"/>
        <v>10</v>
      </c>
      <c r="V61" s="8" t="s">
        <v>218</v>
      </c>
      <c r="W61" s="155">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5">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5">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736</v>
      </c>
      <c r="D62" s="10" t="str">
        <f>_xlfn.XLOOKUP(C62,Tab_Def_Flows[Flow_Name],Tab_Def_Flows[WC?],,0,)</f>
        <v>Yes</v>
      </c>
      <c r="E62" s="10" t="str">
        <f>_xlfn.XLOOKUP(C62,Tab_Def_Flows[Flow_Name],Tab_Def_Flows[DM?],,0,)</f>
        <v>Yes</v>
      </c>
      <c r="F62" s="10" t="str">
        <f>_xlfn.XLOOKUP(C62,Tab_Def_Flows[Flow_Name],Tab_Def_Flows[CC?],,0,)</f>
        <v>Yes</v>
      </c>
      <c r="G62" s="8">
        <v>2019</v>
      </c>
      <c r="H62" s="28">
        <v>10</v>
      </c>
      <c r="I62" s="8"/>
      <c r="J62" s="20"/>
      <c r="K62" s="8"/>
      <c r="L62" s="8"/>
      <c r="M62" s="8"/>
      <c r="N62" s="8"/>
      <c r="O62" s="8"/>
      <c r="P62" s="8"/>
      <c r="Q62" s="8" t="s">
        <v>8</v>
      </c>
      <c r="R62" s="21"/>
      <c r="S62" s="8"/>
      <c r="T62" s="7" t="str">
        <f>Tab_Data_Flows[[#This Row],[Flow_ID]]&amp;"_"&amp;"material_"&amp;Tab_Data_Flows[[#This Row],[Flow_Data_Year]]</f>
        <v>F_13_00_material_2019</v>
      </c>
      <c r="U62" s="18">
        <f t="shared" si="2"/>
        <v>10</v>
      </c>
      <c r="V62" s="8" t="s">
        <v>218</v>
      </c>
      <c r="W62" s="155">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5">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5">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736</v>
      </c>
      <c r="D63" s="10" t="str">
        <f>_xlfn.XLOOKUP(C63,Tab_Def_Flows[Flow_Name],Tab_Def_Flows[WC?],,0,)</f>
        <v>Yes</v>
      </c>
      <c r="E63" s="10" t="str">
        <f>_xlfn.XLOOKUP(C63,Tab_Def_Flows[Flow_Name],Tab_Def_Flows[DM?],,0,)</f>
        <v>Yes</v>
      </c>
      <c r="F63" s="10" t="str">
        <f>_xlfn.XLOOKUP(C63,Tab_Def_Flows[Flow_Name],Tab_Def_Flows[CC?],,0,)</f>
        <v>Yes</v>
      </c>
      <c r="G63" s="8">
        <v>2020</v>
      </c>
      <c r="H63" s="28">
        <v>10</v>
      </c>
      <c r="I63" s="8"/>
      <c r="J63" s="20"/>
      <c r="K63" s="8"/>
      <c r="L63" s="8"/>
      <c r="M63" s="8"/>
      <c r="N63" s="8"/>
      <c r="O63" s="8"/>
      <c r="P63" s="8"/>
      <c r="Q63" s="8" t="s">
        <v>8</v>
      </c>
      <c r="R63" s="21"/>
      <c r="S63" s="8"/>
      <c r="T63" s="7" t="str">
        <f>Tab_Data_Flows[[#This Row],[Flow_ID]]&amp;"_"&amp;"material_"&amp;Tab_Data_Flows[[#This Row],[Flow_Data_Year]]</f>
        <v>F_13_00_material_2020</v>
      </c>
      <c r="U63" s="18">
        <f t="shared" si="2"/>
        <v>10</v>
      </c>
      <c r="V63" s="8" t="s">
        <v>218</v>
      </c>
      <c r="W63" s="155">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5">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5">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736</v>
      </c>
      <c r="D64" s="10" t="str">
        <f>_xlfn.XLOOKUP(C64,Tab_Def_Flows[Flow_Name],Tab_Def_Flows[WC?],,0,)</f>
        <v>Yes</v>
      </c>
      <c r="E64" s="10" t="str">
        <f>_xlfn.XLOOKUP(C64,Tab_Def_Flows[Flow_Name],Tab_Def_Flows[DM?],,0,)</f>
        <v>Yes</v>
      </c>
      <c r="F64" s="10" t="str">
        <f>_xlfn.XLOOKUP(C64,Tab_Def_Flows[Flow_Name],Tab_Def_Flows[CC?],,0,)</f>
        <v>Yes</v>
      </c>
      <c r="G64" s="8">
        <v>2021</v>
      </c>
      <c r="H64" s="28">
        <v>10</v>
      </c>
      <c r="I64" s="8"/>
      <c r="J64" s="20"/>
      <c r="K64" s="8"/>
      <c r="L64" s="8"/>
      <c r="M64" s="8"/>
      <c r="N64" s="8"/>
      <c r="O64" s="8"/>
      <c r="P64" s="8"/>
      <c r="Q64" s="8" t="s">
        <v>8</v>
      </c>
      <c r="R64" s="21"/>
      <c r="S64" s="8"/>
      <c r="T64" s="7" t="str">
        <f>Tab_Data_Flows[[#This Row],[Flow_ID]]&amp;"_"&amp;"material_"&amp;Tab_Data_Flows[[#This Row],[Flow_Data_Year]]</f>
        <v>F_13_00_material_2021</v>
      </c>
      <c r="U64" s="18">
        <f t="shared" si="2"/>
        <v>10</v>
      </c>
      <c r="V64" s="8" t="s">
        <v>218</v>
      </c>
      <c r="W64" s="155">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5">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5">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736</v>
      </c>
      <c r="D65" s="10" t="str">
        <f>_xlfn.XLOOKUP(C65,Tab_Def_Flows[Flow_Name],Tab_Def_Flows[WC?],,0,)</f>
        <v>Yes</v>
      </c>
      <c r="E65" s="10" t="str">
        <f>_xlfn.XLOOKUP(C65,Tab_Def_Flows[Flow_Name],Tab_Def_Flows[DM?],,0,)</f>
        <v>Yes</v>
      </c>
      <c r="F65" s="10" t="str">
        <f>_xlfn.XLOOKUP(C65,Tab_Def_Flows[Flow_Name],Tab_Def_Flows[CC?],,0,)</f>
        <v>Yes</v>
      </c>
      <c r="G65" s="8">
        <v>2022</v>
      </c>
      <c r="H65" s="28">
        <v>10</v>
      </c>
      <c r="I65" s="8"/>
      <c r="J65" s="20"/>
      <c r="K65" s="8"/>
      <c r="L65" s="8"/>
      <c r="M65" s="8"/>
      <c r="N65" s="8"/>
      <c r="O65" s="8"/>
      <c r="P65" s="8"/>
      <c r="Q65" s="8" t="s">
        <v>8</v>
      </c>
      <c r="R65" s="21"/>
      <c r="S65" s="8"/>
      <c r="T65" s="7" t="str">
        <f>Tab_Data_Flows[[#This Row],[Flow_ID]]&amp;"_"&amp;"material_"&amp;Tab_Data_Flows[[#This Row],[Flow_Data_Year]]</f>
        <v>F_13_00_material_2022</v>
      </c>
      <c r="U65" s="18">
        <f t="shared" si="2"/>
        <v>10</v>
      </c>
      <c r="V65" s="8" t="s">
        <v>218</v>
      </c>
      <c r="W65" s="155">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5">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5">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736</v>
      </c>
      <c r="D66" s="10" t="str">
        <f>_xlfn.XLOOKUP(C66,Tab_Def_Flows[Flow_Name],Tab_Def_Flows[WC?],,0,)</f>
        <v>Yes</v>
      </c>
      <c r="E66" s="10" t="str">
        <f>_xlfn.XLOOKUP(C66,Tab_Def_Flows[Flow_Name],Tab_Def_Flows[DM?],,0,)</f>
        <v>Yes</v>
      </c>
      <c r="F66" s="10" t="str">
        <f>_xlfn.XLOOKUP(C66,Tab_Def_Flows[Flow_Name],Tab_Def_Flows[CC?],,0,)</f>
        <v>Yes</v>
      </c>
      <c r="G66" s="8">
        <v>2023</v>
      </c>
      <c r="H66" s="28">
        <v>10</v>
      </c>
      <c r="I66" s="8"/>
      <c r="J66" s="20"/>
      <c r="K66" s="8"/>
      <c r="L66" s="8"/>
      <c r="M66" s="8"/>
      <c r="N66" s="8"/>
      <c r="O66" s="8"/>
      <c r="P66" s="8"/>
      <c r="Q66" s="8" t="s">
        <v>8</v>
      </c>
      <c r="R66" s="21"/>
      <c r="S66" s="8"/>
      <c r="T66" s="7" t="str">
        <f>Tab_Data_Flows[[#This Row],[Flow_ID]]&amp;"_"&amp;"material_"&amp;Tab_Data_Flows[[#This Row],[Flow_Data_Year]]</f>
        <v>F_13_00_material_2023</v>
      </c>
      <c r="U66" s="18">
        <f t="shared" si="2"/>
        <v>10</v>
      </c>
      <c r="V66" s="8" t="s">
        <v>218</v>
      </c>
      <c r="W66" s="155">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5">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5">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736</v>
      </c>
      <c r="D67" s="10" t="str">
        <f>_xlfn.XLOOKUP(C67,Tab_Def_Flows[Flow_Name],Tab_Def_Flows[WC?],,0,)</f>
        <v>Yes</v>
      </c>
      <c r="E67" s="10" t="str">
        <f>_xlfn.XLOOKUP(C67,Tab_Def_Flows[Flow_Name],Tab_Def_Flows[DM?],,0,)</f>
        <v>Yes</v>
      </c>
      <c r="F67" s="10" t="str">
        <f>_xlfn.XLOOKUP(C67,Tab_Def_Flows[Flow_Name],Tab_Def_Flows[CC?],,0,)</f>
        <v>Yes</v>
      </c>
      <c r="G67" s="8">
        <v>2024</v>
      </c>
      <c r="H67" s="28">
        <v>10</v>
      </c>
      <c r="I67" s="8"/>
      <c r="J67" s="20"/>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F_13_00_material_2024</v>
      </c>
      <c r="U67" s="18">
        <f t="shared" ref="U67:U130" si="4">IF(Q67="no",H67,H67*R67)</f>
        <v>10</v>
      </c>
      <c r="V67" s="8" t="s">
        <v>218</v>
      </c>
      <c r="W67" s="155">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5">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5">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736</v>
      </c>
      <c r="D68" s="10" t="str">
        <f>_xlfn.XLOOKUP(C68,Tab_Def_Flows[Flow_Name],Tab_Def_Flows[WC?],,0,)</f>
        <v>Yes</v>
      </c>
      <c r="E68" s="10" t="str">
        <f>_xlfn.XLOOKUP(C68,Tab_Def_Flows[Flow_Name],Tab_Def_Flows[DM?],,0,)</f>
        <v>Yes</v>
      </c>
      <c r="F68" s="10" t="str">
        <f>_xlfn.XLOOKUP(C68,Tab_Def_Flows[Flow_Name],Tab_Def_Flows[CC?],,0,)</f>
        <v>Yes</v>
      </c>
      <c r="G68" s="8">
        <v>2025</v>
      </c>
      <c r="H68" s="28">
        <v>10</v>
      </c>
      <c r="I68" s="8"/>
      <c r="J68" s="20"/>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F_13_00_material_2025</v>
      </c>
      <c r="U68" s="18">
        <f t="shared" si="4"/>
        <v>10</v>
      </c>
      <c r="V68" s="8" t="s">
        <v>218</v>
      </c>
      <c r="W68" s="155">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5">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5">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736</v>
      </c>
      <c r="D69" s="10" t="str">
        <f>_xlfn.XLOOKUP(C69,Tab_Def_Flows[Flow_Name],Tab_Def_Flows[WC?],,0,)</f>
        <v>Yes</v>
      </c>
      <c r="E69" s="10" t="str">
        <f>_xlfn.XLOOKUP(C69,Tab_Def_Flows[Flow_Name],Tab_Def_Flows[DM?],,0,)</f>
        <v>Yes</v>
      </c>
      <c r="F69" s="10" t="str">
        <f>_xlfn.XLOOKUP(C69,Tab_Def_Flows[Flow_Name],Tab_Def_Flows[CC?],,0,)</f>
        <v>Yes</v>
      </c>
      <c r="G69" s="8">
        <v>2026</v>
      </c>
      <c r="H69" s="28">
        <v>10</v>
      </c>
      <c r="I69" s="8"/>
      <c r="J69" s="20"/>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F_13_00_material_2026</v>
      </c>
      <c r="U69" s="18">
        <f t="shared" si="4"/>
        <v>10</v>
      </c>
      <c r="V69" s="8" t="s">
        <v>218</v>
      </c>
      <c r="W69" s="155">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5">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5">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736</v>
      </c>
      <c r="D70" s="10" t="str">
        <f>_xlfn.XLOOKUP(C70,Tab_Def_Flows[Flow_Name],Tab_Def_Flows[WC?],,0,)</f>
        <v>Yes</v>
      </c>
      <c r="E70" s="10" t="str">
        <f>_xlfn.XLOOKUP(C70,Tab_Def_Flows[Flow_Name],Tab_Def_Flows[DM?],,0,)</f>
        <v>Yes</v>
      </c>
      <c r="F70" s="10" t="str">
        <f>_xlfn.XLOOKUP(C70,Tab_Def_Flows[Flow_Name],Tab_Def_Flows[CC?],,0,)</f>
        <v>Yes</v>
      </c>
      <c r="G70" s="8">
        <v>2027</v>
      </c>
      <c r="H70" s="28">
        <v>10</v>
      </c>
      <c r="I70" s="8"/>
      <c r="J70" s="20"/>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F_13_00_material_2027</v>
      </c>
      <c r="U70" s="18">
        <f t="shared" si="4"/>
        <v>10</v>
      </c>
      <c r="V70" s="8" t="s">
        <v>218</v>
      </c>
      <c r="W70" s="155">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5">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5">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736</v>
      </c>
      <c r="D71" s="10" t="str">
        <f>_xlfn.XLOOKUP(C71,Tab_Def_Flows[Flow_Name],Tab_Def_Flows[WC?],,0,)</f>
        <v>Yes</v>
      </c>
      <c r="E71" s="10" t="str">
        <f>_xlfn.XLOOKUP(C71,Tab_Def_Flows[Flow_Name],Tab_Def_Flows[DM?],,0,)</f>
        <v>Yes</v>
      </c>
      <c r="F71" s="10" t="str">
        <f>_xlfn.XLOOKUP(C71,Tab_Def_Flows[Flow_Name],Tab_Def_Flows[CC?],,0,)</f>
        <v>Yes</v>
      </c>
      <c r="G71" s="8">
        <v>2028</v>
      </c>
      <c r="H71" s="28">
        <v>10</v>
      </c>
      <c r="I71" s="8"/>
      <c r="J71" s="20"/>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F_13_00_material_2028</v>
      </c>
      <c r="U71" s="18">
        <f t="shared" si="4"/>
        <v>10</v>
      </c>
      <c r="V71" s="8" t="s">
        <v>218</v>
      </c>
      <c r="W71" s="155">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5">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5">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736</v>
      </c>
      <c r="D72" s="10" t="str">
        <f>_xlfn.XLOOKUP(C72,Tab_Def_Flows[Flow_Name],Tab_Def_Flows[WC?],,0,)</f>
        <v>Yes</v>
      </c>
      <c r="E72" s="10" t="str">
        <f>_xlfn.XLOOKUP(C72,Tab_Def_Flows[Flow_Name],Tab_Def_Flows[DM?],,0,)</f>
        <v>Yes</v>
      </c>
      <c r="F72" s="10" t="str">
        <f>_xlfn.XLOOKUP(C72,Tab_Def_Flows[Flow_Name],Tab_Def_Flows[CC?],,0,)</f>
        <v>Yes</v>
      </c>
      <c r="G72" s="8">
        <v>2029</v>
      </c>
      <c r="H72" s="28">
        <v>10</v>
      </c>
      <c r="I72" s="8"/>
      <c r="J72" s="20"/>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F_13_00_material_2029</v>
      </c>
      <c r="U72" s="18">
        <f t="shared" si="4"/>
        <v>10</v>
      </c>
      <c r="V72" s="8" t="s">
        <v>218</v>
      </c>
      <c r="W72" s="155">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5">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5">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736</v>
      </c>
      <c r="D73" s="10" t="str">
        <f>_xlfn.XLOOKUP(C73,Tab_Def_Flows[Flow_Name],Tab_Def_Flows[WC?],,0,)</f>
        <v>Yes</v>
      </c>
      <c r="E73" s="10" t="str">
        <f>_xlfn.XLOOKUP(C73,Tab_Def_Flows[Flow_Name],Tab_Def_Flows[DM?],,0,)</f>
        <v>Yes</v>
      </c>
      <c r="F73" s="10" t="str">
        <f>_xlfn.XLOOKUP(C73,Tab_Def_Flows[Flow_Name],Tab_Def_Flows[CC?],,0,)</f>
        <v>Yes</v>
      </c>
      <c r="G73" s="8">
        <v>2030</v>
      </c>
      <c r="H73" s="28">
        <v>10</v>
      </c>
      <c r="I73" s="8"/>
      <c r="J73" s="20"/>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F_13_00_material_2030</v>
      </c>
      <c r="U73" s="18">
        <f t="shared" si="4"/>
        <v>10</v>
      </c>
      <c r="V73" s="8" t="s">
        <v>218</v>
      </c>
      <c r="W73" s="155">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5">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5">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736</v>
      </c>
      <c r="D74" s="10" t="str">
        <f>_xlfn.XLOOKUP(C74,Tab_Def_Flows[Flow_Name],Tab_Def_Flows[WC?],,0,)</f>
        <v>Yes</v>
      </c>
      <c r="E74" s="10" t="str">
        <f>_xlfn.XLOOKUP(C74,Tab_Def_Flows[Flow_Name],Tab_Def_Flows[DM?],,0,)</f>
        <v>Yes</v>
      </c>
      <c r="F74" s="10" t="str">
        <f>_xlfn.XLOOKUP(C74,Tab_Def_Flows[Flow_Name],Tab_Def_Flows[CC?],,0,)</f>
        <v>Yes</v>
      </c>
      <c r="G74" s="8">
        <v>2031</v>
      </c>
      <c r="H74" s="28">
        <v>10</v>
      </c>
      <c r="I74" s="8"/>
      <c r="J74" s="20"/>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F_13_00_material_2031</v>
      </c>
      <c r="U74" s="18">
        <f t="shared" si="4"/>
        <v>10</v>
      </c>
      <c r="V74" s="8" t="s">
        <v>218</v>
      </c>
      <c r="W74" s="155">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5">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5">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736</v>
      </c>
      <c r="D75" s="10" t="str">
        <f>_xlfn.XLOOKUP(C75,Tab_Def_Flows[Flow_Name],Tab_Def_Flows[WC?],,0,)</f>
        <v>Yes</v>
      </c>
      <c r="E75" s="10" t="str">
        <f>_xlfn.XLOOKUP(C75,Tab_Def_Flows[Flow_Name],Tab_Def_Flows[DM?],,0,)</f>
        <v>Yes</v>
      </c>
      <c r="F75" s="10" t="str">
        <f>_xlfn.XLOOKUP(C75,Tab_Def_Flows[Flow_Name],Tab_Def_Flows[CC?],,0,)</f>
        <v>Yes</v>
      </c>
      <c r="G75" s="8">
        <v>2032</v>
      </c>
      <c r="H75" s="28">
        <v>10</v>
      </c>
      <c r="I75" s="8"/>
      <c r="J75" s="20"/>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F_13_00_material_2032</v>
      </c>
      <c r="U75" s="18">
        <f t="shared" si="4"/>
        <v>10</v>
      </c>
      <c r="V75" s="8" t="s">
        <v>218</v>
      </c>
      <c r="W75" s="155">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5">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5">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736</v>
      </c>
      <c r="D76" s="10" t="str">
        <f>_xlfn.XLOOKUP(C76,Tab_Def_Flows[Flow_Name],Tab_Def_Flows[WC?],,0,)</f>
        <v>Yes</v>
      </c>
      <c r="E76" s="10" t="str">
        <f>_xlfn.XLOOKUP(C76,Tab_Def_Flows[Flow_Name],Tab_Def_Flows[DM?],,0,)</f>
        <v>Yes</v>
      </c>
      <c r="F76" s="10" t="str">
        <f>_xlfn.XLOOKUP(C76,Tab_Def_Flows[Flow_Name],Tab_Def_Flows[CC?],,0,)</f>
        <v>Yes</v>
      </c>
      <c r="G76" s="8">
        <v>2033</v>
      </c>
      <c r="H76" s="28">
        <v>10</v>
      </c>
      <c r="I76" s="8"/>
      <c r="J76" s="20"/>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F_13_00_material_2033</v>
      </c>
      <c r="U76" s="18">
        <f t="shared" si="4"/>
        <v>10</v>
      </c>
      <c r="V76" s="8" t="s">
        <v>218</v>
      </c>
      <c r="W76" s="155">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5">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5">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736</v>
      </c>
      <c r="D77" s="10" t="str">
        <f>_xlfn.XLOOKUP(C77,Tab_Def_Flows[Flow_Name],Tab_Def_Flows[WC?],,0,)</f>
        <v>Yes</v>
      </c>
      <c r="E77" s="10" t="str">
        <f>_xlfn.XLOOKUP(C77,Tab_Def_Flows[Flow_Name],Tab_Def_Flows[DM?],,0,)</f>
        <v>Yes</v>
      </c>
      <c r="F77" s="10" t="str">
        <f>_xlfn.XLOOKUP(C77,Tab_Def_Flows[Flow_Name],Tab_Def_Flows[CC?],,0,)</f>
        <v>Yes</v>
      </c>
      <c r="G77" s="8">
        <v>2034</v>
      </c>
      <c r="H77" s="28">
        <v>10</v>
      </c>
      <c r="I77" s="8"/>
      <c r="J77" s="20"/>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F_13_00_material_2034</v>
      </c>
      <c r="U77" s="18">
        <f t="shared" si="4"/>
        <v>10</v>
      </c>
      <c r="V77" s="8" t="s">
        <v>218</v>
      </c>
      <c r="W77" s="155">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5">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5">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736</v>
      </c>
      <c r="D78" s="10" t="str">
        <f>_xlfn.XLOOKUP(C78,Tab_Def_Flows[Flow_Name],Tab_Def_Flows[WC?],,0,)</f>
        <v>Yes</v>
      </c>
      <c r="E78" s="10" t="str">
        <f>_xlfn.XLOOKUP(C78,Tab_Def_Flows[Flow_Name],Tab_Def_Flows[DM?],,0,)</f>
        <v>Yes</v>
      </c>
      <c r="F78" s="10" t="str">
        <f>_xlfn.XLOOKUP(C78,Tab_Def_Flows[Flow_Name],Tab_Def_Flows[CC?],,0,)</f>
        <v>Yes</v>
      </c>
      <c r="G78" s="8">
        <v>2035</v>
      </c>
      <c r="H78" s="28">
        <v>10</v>
      </c>
      <c r="I78" s="8"/>
      <c r="J78" s="20"/>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F_13_00_material_2035</v>
      </c>
      <c r="U78" s="18">
        <f t="shared" si="4"/>
        <v>10</v>
      </c>
      <c r="V78" s="8" t="s">
        <v>218</v>
      </c>
      <c r="W78" s="155">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5">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5">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736</v>
      </c>
      <c r="D79" s="10" t="str">
        <f>_xlfn.XLOOKUP(C79,Tab_Def_Flows[Flow_Name],Tab_Def_Flows[WC?],,0,)</f>
        <v>Yes</v>
      </c>
      <c r="E79" s="10" t="str">
        <f>_xlfn.XLOOKUP(C79,Tab_Def_Flows[Flow_Name],Tab_Def_Flows[DM?],,0,)</f>
        <v>Yes</v>
      </c>
      <c r="F79" s="10" t="str">
        <f>_xlfn.XLOOKUP(C79,Tab_Def_Flows[Flow_Name],Tab_Def_Flows[CC?],,0,)</f>
        <v>Yes</v>
      </c>
      <c r="G79" s="8">
        <v>2036</v>
      </c>
      <c r="H79" s="28">
        <v>10</v>
      </c>
      <c r="I79" s="8"/>
      <c r="J79" s="20"/>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F_13_00_material_2036</v>
      </c>
      <c r="U79" s="18">
        <f t="shared" si="4"/>
        <v>10</v>
      </c>
      <c r="V79" s="8" t="s">
        <v>218</v>
      </c>
      <c r="W79" s="155">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5">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5">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736</v>
      </c>
      <c r="D80" s="10" t="str">
        <f>_xlfn.XLOOKUP(C80,Tab_Def_Flows[Flow_Name],Tab_Def_Flows[WC?],,0,)</f>
        <v>Yes</v>
      </c>
      <c r="E80" s="10" t="str">
        <f>_xlfn.XLOOKUP(C80,Tab_Def_Flows[Flow_Name],Tab_Def_Flows[DM?],,0,)</f>
        <v>Yes</v>
      </c>
      <c r="F80" s="10" t="str">
        <f>_xlfn.XLOOKUP(C80,Tab_Def_Flows[Flow_Name],Tab_Def_Flows[CC?],,0,)</f>
        <v>Yes</v>
      </c>
      <c r="G80" s="8">
        <v>2037</v>
      </c>
      <c r="H80" s="28">
        <v>10</v>
      </c>
      <c r="I80" s="8"/>
      <c r="J80" s="20"/>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F_13_00_material_2037</v>
      </c>
      <c r="U80" s="18">
        <f t="shared" si="4"/>
        <v>10</v>
      </c>
      <c r="V80" s="8" t="s">
        <v>218</v>
      </c>
      <c r="W80" s="155">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5">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5">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736</v>
      </c>
      <c r="D81" s="10" t="str">
        <f>_xlfn.XLOOKUP(C81,Tab_Def_Flows[Flow_Name],Tab_Def_Flows[WC?],,0,)</f>
        <v>Yes</v>
      </c>
      <c r="E81" s="10" t="str">
        <f>_xlfn.XLOOKUP(C81,Tab_Def_Flows[Flow_Name],Tab_Def_Flows[DM?],,0,)</f>
        <v>Yes</v>
      </c>
      <c r="F81" s="10" t="str">
        <f>_xlfn.XLOOKUP(C81,Tab_Def_Flows[Flow_Name],Tab_Def_Flows[CC?],,0,)</f>
        <v>Yes</v>
      </c>
      <c r="G81" s="8">
        <v>2038</v>
      </c>
      <c r="H81" s="28">
        <v>10</v>
      </c>
      <c r="I81" s="8"/>
      <c r="J81" s="20"/>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F_13_00_material_2038</v>
      </c>
      <c r="U81" s="18">
        <f t="shared" si="4"/>
        <v>10</v>
      </c>
      <c r="V81" s="8" t="s">
        <v>218</v>
      </c>
      <c r="W81" s="155">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5">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5">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736</v>
      </c>
      <c r="D82" s="10" t="str">
        <f>_xlfn.XLOOKUP(C82,Tab_Def_Flows[Flow_Name],Tab_Def_Flows[WC?],,0,)</f>
        <v>Yes</v>
      </c>
      <c r="E82" s="10" t="str">
        <f>_xlfn.XLOOKUP(C82,Tab_Def_Flows[Flow_Name],Tab_Def_Flows[DM?],,0,)</f>
        <v>Yes</v>
      </c>
      <c r="F82" s="10" t="str">
        <f>_xlfn.XLOOKUP(C82,Tab_Def_Flows[Flow_Name],Tab_Def_Flows[CC?],,0,)</f>
        <v>Yes</v>
      </c>
      <c r="G82" s="8">
        <v>2039</v>
      </c>
      <c r="H82" s="28">
        <v>10</v>
      </c>
      <c r="I82" s="8"/>
      <c r="J82" s="20"/>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F_13_00_material_2039</v>
      </c>
      <c r="U82" s="18">
        <f t="shared" si="4"/>
        <v>10</v>
      </c>
      <c r="V82" s="8" t="s">
        <v>218</v>
      </c>
      <c r="W82" s="155">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5">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5">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736</v>
      </c>
      <c r="D83" s="10" t="str">
        <f>_xlfn.XLOOKUP(C83,Tab_Def_Flows[Flow_Name],Tab_Def_Flows[WC?],,0,)</f>
        <v>Yes</v>
      </c>
      <c r="E83" s="10" t="str">
        <f>_xlfn.XLOOKUP(C83,Tab_Def_Flows[Flow_Name],Tab_Def_Flows[DM?],,0,)</f>
        <v>Yes</v>
      </c>
      <c r="F83" s="10" t="str">
        <f>_xlfn.XLOOKUP(C83,Tab_Def_Flows[Flow_Name],Tab_Def_Flows[CC?],,0,)</f>
        <v>Yes</v>
      </c>
      <c r="G83" s="8">
        <v>2040</v>
      </c>
      <c r="H83" s="28">
        <v>10</v>
      </c>
      <c r="I83" s="8"/>
      <c r="J83" s="20"/>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F_13_00_material_2040</v>
      </c>
      <c r="U83" s="18">
        <f t="shared" si="4"/>
        <v>10</v>
      </c>
      <c r="V83" s="8" t="s">
        <v>218</v>
      </c>
      <c r="W83" s="155">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5">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5">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738</v>
      </c>
      <c r="D84" s="10" t="str">
        <f>_xlfn.XLOOKUP(C84,Tab_Def_Flows[Flow_Name],Tab_Def_Flows[WC?],,0,)</f>
        <v>Yes</v>
      </c>
      <c r="E84" s="10" t="str">
        <f>_xlfn.XLOOKUP(C84,Tab_Def_Flows[Flow_Name],Tab_Def_Flows[DM?],,0,)</f>
        <v>Yes</v>
      </c>
      <c r="F84" s="10" t="str">
        <f>_xlfn.XLOOKUP(C84,Tab_Def_Flows[Flow_Name],Tab_Def_Flows[CC?],,0,)</f>
        <v>Yes</v>
      </c>
      <c r="G84" s="8">
        <v>2000</v>
      </c>
      <c r="H84" s="28">
        <v>30</v>
      </c>
      <c r="I84" s="8"/>
      <c r="J84" s="20"/>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F_14_00_material_2000</v>
      </c>
      <c r="U84" s="18">
        <f t="shared" si="4"/>
        <v>30</v>
      </c>
      <c r="V84" s="8" t="s">
        <v>218</v>
      </c>
      <c r="W84" s="155">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5">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5">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738</v>
      </c>
      <c r="D85" s="10" t="str">
        <f>_xlfn.XLOOKUP(C85,Tab_Def_Flows[Flow_Name],Tab_Def_Flows[WC?],,0,)</f>
        <v>Yes</v>
      </c>
      <c r="E85" s="10" t="str">
        <f>_xlfn.XLOOKUP(C85,Tab_Def_Flows[Flow_Name],Tab_Def_Flows[DM?],,0,)</f>
        <v>Yes</v>
      </c>
      <c r="F85" s="10" t="str">
        <f>_xlfn.XLOOKUP(C85,Tab_Def_Flows[Flow_Name],Tab_Def_Flows[CC?],,0,)</f>
        <v>Yes</v>
      </c>
      <c r="G85" s="8">
        <v>2001</v>
      </c>
      <c r="H85" s="28">
        <v>30</v>
      </c>
      <c r="I85" s="8"/>
      <c r="J85" s="20"/>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F_14_00_material_2001</v>
      </c>
      <c r="U85" s="18">
        <f t="shared" si="4"/>
        <v>30</v>
      </c>
      <c r="V85" s="8" t="s">
        <v>218</v>
      </c>
      <c r="W85" s="155">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5">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5">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738</v>
      </c>
      <c r="D86" s="10" t="str">
        <f>_xlfn.XLOOKUP(C86,Tab_Def_Flows[Flow_Name],Tab_Def_Flows[WC?],,0,)</f>
        <v>Yes</v>
      </c>
      <c r="E86" s="10" t="str">
        <f>_xlfn.XLOOKUP(C86,Tab_Def_Flows[Flow_Name],Tab_Def_Flows[DM?],,0,)</f>
        <v>Yes</v>
      </c>
      <c r="F86" s="10" t="str">
        <f>_xlfn.XLOOKUP(C86,Tab_Def_Flows[Flow_Name],Tab_Def_Flows[CC?],,0,)</f>
        <v>Yes</v>
      </c>
      <c r="G86" s="8">
        <v>2002</v>
      </c>
      <c r="H86" s="28">
        <v>30</v>
      </c>
      <c r="I86" s="8"/>
      <c r="J86" s="20"/>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F_14_00_material_2002</v>
      </c>
      <c r="U86" s="18">
        <f t="shared" si="4"/>
        <v>30</v>
      </c>
      <c r="V86" s="8" t="s">
        <v>218</v>
      </c>
      <c r="W86" s="155">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5">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5">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738</v>
      </c>
      <c r="D87" s="10" t="str">
        <f>_xlfn.XLOOKUP(C87,Tab_Def_Flows[Flow_Name],Tab_Def_Flows[WC?],,0,)</f>
        <v>Yes</v>
      </c>
      <c r="E87" s="10" t="str">
        <f>_xlfn.XLOOKUP(C87,Tab_Def_Flows[Flow_Name],Tab_Def_Flows[DM?],,0,)</f>
        <v>Yes</v>
      </c>
      <c r="F87" s="10" t="str">
        <f>_xlfn.XLOOKUP(C87,Tab_Def_Flows[Flow_Name],Tab_Def_Flows[CC?],,0,)</f>
        <v>Yes</v>
      </c>
      <c r="G87" s="8">
        <v>2003</v>
      </c>
      <c r="H87" s="28">
        <v>30</v>
      </c>
      <c r="I87" s="8"/>
      <c r="J87" s="20"/>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F_14_00_material_2003</v>
      </c>
      <c r="U87" s="18">
        <f t="shared" si="4"/>
        <v>30</v>
      </c>
      <c r="V87" s="8" t="s">
        <v>218</v>
      </c>
      <c r="W87" s="155">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5">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5">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738</v>
      </c>
      <c r="D88" s="10" t="str">
        <f>_xlfn.XLOOKUP(C88,Tab_Def_Flows[Flow_Name],Tab_Def_Flows[WC?],,0,)</f>
        <v>Yes</v>
      </c>
      <c r="E88" s="10" t="str">
        <f>_xlfn.XLOOKUP(C88,Tab_Def_Flows[Flow_Name],Tab_Def_Flows[DM?],,0,)</f>
        <v>Yes</v>
      </c>
      <c r="F88" s="10" t="str">
        <f>_xlfn.XLOOKUP(C88,Tab_Def_Flows[Flow_Name],Tab_Def_Flows[CC?],,0,)</f>
        <v>Yes</v>
      </c>
      <c r="G88" s="8">
        <v>2004</v>
      </c>
      <c r="H88" s="28">
        <v>30</v>
      </c>
      <c r="I88" s="8"/>
      <c r="J88" s="20"/>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F_14_00_material_2004</v>
      </c>
      <c r="U88" s="18">
        <f t="shared" si="4"/>
        <v>30</v>
      </c>
      <c r="V88" s="8" t="s">
        <v>218</v>
      </c>
      <c r="W88" s="155">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5">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5">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738</v>
      </c>
      <c r="D89" s="10" t="str">
        <f>_xlfn.XLOOKUP(C89,Tab_Def_Flows[Flow_Name],Tab_Def_Flows[WC?],,0,)</f>
        <v>Yes</v>
      </c>
      <c r="E89" s="10" t="str">
        <f>_xlfn.XLOOKUP(C89,Tab_Def_Flows[Flow_Name],Tab_Def_Flows[DM?],,0,)</f>
        <v>Yes</v>
      </c>
      <c r="F89" s="10" t="str">
        <f>_xlfn.XLOOKUP(C89,Tab_Def_Flows[Flow_Name],Tab_Def_Flows[CC?],,0,)</f>
        <v>Yes</v>
      </c>
      <c r="G89" s="8">
        <v>2005</v>
      </c>
      <c r="H89" s="28">
        <v>30</v>
      </c>
      <c r="I89" s="8"/>
      <c r="J89" s="20"/>
      <c r="K89" s="8"/>
      <c r="L89" s="8"/>
      <c r="M89" s="8"/>
      <c r="N89" s="8"/>
      <c r="O89" s="8"/>
      <c r="P89" s="8"/>
      <c r="Q89" s="8" t="s">
        <v>8</v>
      </c>
      <c r="R89" s="21"/>
      <c r="S89" s="8"/>
      <c r="T89" s="7" t="str">
        <f>Tab_Data_Flows[[#This Row],[Flow_ID]]&amp;"_"&amp;"material_"&amp;Tab_Data_Flows[[#This Row],[Flow_Data_Year]]</f>
        <v>F_14_00_material_2005</v>
      </c>
      <c r="U89" s="18">
        <f t="shared" si="4"/>
        <v>30</v>
      </c>
      <c r="V89" s="8" t="s">
        <v>218</v>
      </c>
      <c r="W89" s="155">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5">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5">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738</v>
      </c>
      <c r="D90" s="10" t="str">
        <f>_xlfn.XLOOKUP(C90,Tab_Def_Flows[Flow_Name],Tab_Def_Flows[WC?],,0,)</f>
        <v>Yes</v>
      </c>
      <c r="E90" s="10" t="str">
        <f>_xlfn.XLOOKUP(C90,Tab_Def_Flows[Flow_Name],Tab_Def_Flows[DM?],,0,)</f>
        <v>Yes</v>
      </c>
      <c r="F90" s="10" t="str">
        <f>_xlfn.XLOOKUP(C90,Tab_Def_Flows[Flow_Name],Tab_Def_Flows[CC?],,0,)</f>
        <v>Yes</v>
      </c>
      <c r="G90" s="8">
        <v>2006</v>
      </c>
      <c r="H90" s="28">
        <v>30</v>
      </c>
      <c r="I90" s="8"/>
      <c r="J90" s="20"/>
      <c r="K90" s="8"/>
      <c r="L90" s="8"/>
      <c r="M90" s="8"/>
      <c r="N90" s="8"/>
      <c r="O90" s="8"/>
      <c r="P90" s="8"/>
      <c r="Q90" s="8" t="s">
        <v>8</v>
      </c>
      <c r="R90" s="21"/>
      <c r="S90" s="8"/>
      <c r="T90" s="7" t="str">
        <f>Tab_Data_Flows[[#This Row],[Flow_ID]]&amp;"_"&amp;"material_"&amp;Tab_Data_Flows[[#This Row],[Flow_Data_Year]]</f>
        <v>F_14_00_material_2006</v>
      </c>
      <c r="U90" s="18">
        <f t="shared" si="4"/>
        <v>30</v>
      </c>
      <c r="V90" s="8" t="s">
        <v>218</v>
      </c>
      <c r="W90" s="155">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5">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5">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738</v>
      </c>
      <c r="D91" s="10" t="str">
        <f>_xlfn.XLOOKUP(C91,Tab_Def_Flows[Flow_Name],Tab_Def_Flows[WC?],,0,)</f>
        <v>Yes</v>
      </c>
      <c r="E91" s="10" t="str">
        <f>_xlfn.XLOOKUP(C91,Tab_Def_Flows[Flow_Name],Tab_Def_Flows[DM?],,0,)</f>
        <v>Yes</v>
      </c>
      <c r="F91" s="10" t="str">
        <f>_xlfn.XLOOKUP(C91,Tab_Def_Flows[Flow_Name],Tab_Def_Flows[CC?],,0,)</f>
        <v>Yes</v>
      </c>
      <c r="G91" s="8">
        <v>2007</v>
      </c>
      <c r="H91" s="28">
        <v>30</v>
      </c>
      <c r="I91" s="8"/>
      <c r="J91" s="20"/>
      <c r="K91" s="8"/>
      <c r="L91" s="8"/>
      <c r="M91" s="8"/>
      <c r="N91" s="8"/>
      <c r="O91" s="8"/>
      <c r="P91" s="8"/>
      <c r="Q91" s="8" t="s">
        <v>8</v>
      </c>
      <c r="R91" s="21"/>
      <c r="S91" s="8"/>
      <c r="T91" s="7" t="str">
        <f>Tab_Data_Flows[[#This Row],[Flow_ID]]&amp;"_"&amp;"material_"&amp;Tab_Data_Flows[[#This Row],[Flow_Data_Year]]</f>
        <v>F_14_00_material_2007</v>
      </c>
      <c r="U91" s="18">
        <f t="shared" si="4"/>
        <v>30</v>
      </c>
      <c r="V91" s="8" t="s">
        <v>218</v>
      </c>
      <c r="W91" s="155">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5">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5">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738</v>
      </c>
      <c r="D92" s="10" t="str">
        <f>_xlfn.XLOOKUP(C92,Tab_Def_Flows[Flow_Name],Tab_Def_Flows[WC?],,0,)</f>
        <v>Yes</v>
      </c>
      <c r="E92" s="10" t="str">
        <f>_xlfn.XLOOKUP(C92,Tab_Def_Flows[Flow_Name],Tab_Def_Flows[DM?],,0,)</f>
        <v>Yes</v>
      </c>
      <c r="F92" s="10" t="str">
        <f>_xlfn.XLOOKUP(C92,Tab_Def_Flows[Flow_Name],Tab_Def_Flows[CC?],,0,)</f>
        <v>Yes</v>
      </c>
      <c r="G92" s="8">
        <v>2008</v>
      </c>
      <c r="H92" s="28">
        <v>30</v>
      </c>
      <c r="I92" s="8"/>
      <c r="J92" s="20"/>
      <c r="K92" s="8"/>
      <c r="L92" s="8"/>
      <c r="M92" s="8"/>
      <c r="N92" s="8"/>
      <c r="O92" s="8"/>
      <c r="P92" s="8"/>
      <c r="Q92" s="8" t="s">
        <v>8</v>
      </c>
      <c r="R92" s="21"/>
      <c r="S92" s="8"/>
      <c r="T92" s="7" t="str">
        <f>Tab_Data_Flows[[#This Row],[Flow_ID]]&amp;"_"&amp;"material_"&amp;Tab_Data_Flows[[#This Row],[Flow_Data_Year]]</f>
        <v>F_14_00_material_2008</v>
      </c>
      <c r="U92" s="18">
        <f t="shared" si="4"/>
        <v>30</v>
      </c>
      <c r="V92" s="8" t="s">
        <v>218</v>
      </c>
      <c r="W92" s="155">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5">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5">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738</v>
      </c>
      <c r="D93" s="10" t="str">
        <f>_xlfn.XLOOKUP(C93,Tab_Def_Flows[Flow_Name],Tab_Def_Flows[WC?],,0,)</f>
        <v>Yes</v>
      </c>
      <c r="E93" s="10" t="str">
        <f>_xlfn.XLOOKUP(C93,Tab_Def_Flows[Flow_Name],Tab_Def_Flows[DM?],,0,)</f>
        <v>Yes</v>
      </c>
      <c r="F93" s="10" t="str">
        <f>_xlfn.XLOOKUP(C93,Tab_Def_Flows[Flow_Name],Tab_Def_Flows[CC?],,0,)</f>
        <v>Yes</v>
      </c>
      <c r="G93" s="8">
        <v>2009</v>
      </c>
      <c r="H93" s="28">
        <v>30</v>
      </c>
      <c r="I93" s="8"/>
      <c r="J93" s="20"/>
      <c r="K93" s="8"/>
      <c r="L93" s="8"/>
      <c r="M93" s="8"/>
      <c r="N93" s="8"/>
      <c r="O93" s="8"/>
      <c r="P93" s="8"/>
      <c r="Q93" s="8" t="s">
        <v>8</v>
      </c>
      <c r="R93" s="21"/>
      <c r="S93" s="8"/>
      <c r="T93" s="7" t="str">
        <f>Tab_Data_Flows[[#This Row],[Flow_ID]]&amp;"_"&amp;"material_"&amp;Tab_Data_Flows[[#This Row],[Flow_Data_Year]]</f>
        <v>F_14_00_material_2009</v>
      </c>
      <c r="U93" s="18">
        <f t="shared" si="4"/>
        <v>30</v>
      </c>
      <c r="V93" s="8" t="s">
        <v>218</v>
      </c>
      <c r="W93" s="155">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5">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5">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738</v>
      </c>
      <c r="D94" s="10" t="str">
        <f>_xlfn.XLOOKUP(C94,Tab_Def_Flows[Flow_Name],Tab_Def_Flows[WC?],,0,)</f>
        <v>Yes</v>
      </c>
      <c r="E94" s="10" t="str">
        <f>_xlfn.XLOOKUP(C94,Tab_Def_Flows[Flow_Name],Tab_Def_Flows[DM?],,0,)</f>
        <v>Yes</v>
      </c>
      <c r="F94" s="10" t="str">
        <f>_xlfn.XLOOKUP(C94,Tab_Def_Flows[Flow_Name],Tab_Def_Flows[CC?],,0,)</f>
        <v>Yes</v>
      </c>
      <c r="G94" s="8">
        <v>2010</v>
      </c>
      <c r="H94" s="28">
        <v>30</v>
      </c>
      <c r="I94" s="8"/>
      <c r="J94" s="20"/>
      <c r="K94" s="8"/>
      <c r="L94" s="8"/>
      <c r="M94" s="8"/>
      <c r="N94" s="8"/>
      <c r="O94" s="8"/>
      <c r="P94" s="8"/>
      <c r="Q94" s="8" t="s">
        <v>8</v>
      </c>
      <c r="R94" s="21"/>
      <c r="S94" s="8"/>
      <c r="T94" s="7" t="str">
        <f>Tab_Data_Flows[[#This Row],[Flow_ID]]&amp;"_"&amp;"material_"&amp;Tab_Data_Flows[[#This Row],[Flow_Data_Year]]</f>
        <v>F_14_00_material_2010</v>
      </c>
      <c r="U94" s="18">
        <f t="shared" si="4"/>
        <v>30</v>
      </c>
      <c r="V94" s="8" t="s">
        <v>218</v>
      </c>
      <c r="W94" s="155">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5">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5">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738</v>
      </c>
      <c r="D95" s="10" t="str">
        <f>_xlfn.XLOOKUP(C95,Tab_Def_Flows[Flow_Name],Tab_Def_Flows[WC?],,0,)</f>
        <v>Yes</v>
      </c>
      <c r="E95" s="10" t="str">
        <f>_xlfn.XLOOKUP(C95,Tab_Def_Flows[Flow_Name],Tab_Def_Flows[DM?],,0,)</f>
        <v>Yes</v>
      </c>
      <c r="F95" s="10" t="str">
        <f>_xlfn.XLOOKUP(C95,Tab_Def_Flows[Flow_Name],Tab_Def_Flows[CC?],,0,)</f>
        <v>Yes</v>
      </c>
      <c r="G95" s="8">
        <v>2011</v>
      </c>
      <c r="H95" s="28">
        <v>30</v>
      </c>
      <c r="I95" s="8"/>
      <c r="J95" s="20"/>
      <c r="K95" s="8"/>
      <c r="L95" s="8"/>
      <c r="M95" s="8"/>
      <c r="N95" s="8"/>
      <c r="O95" s="8"/>
      <c r="P95" s="8"/>
      <c r="Q95" s="8" t="s">
        <v>8</v>
      </c>
      <c r="R95" s="21"/>
      <c r="S95" s="8"/>
      <c r="T95" s="7" t="str">
        <f>Tab_Data_Flows[[#This Row],[Flow_ID]]&amp;"_"&amp;"material_"&amp;Tab_Data_Flows[[#This Row],[Flow_Data_Year]]</f>
        <v>F_14_00_material_2011</v>
      </c>
      <c r="U95" s="18">
        <f t="shared" si="4"/>
        <v>30</v>
      </c>
      <c r="V95" s="8" t="s">
        <v>218</v>
      </c>
      <c r="W95" s="155">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5">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5">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738</v>
      </c>
      <c r="D96" s="10" t="str">
        <f>_xlfn.XLOOKUP(C96,Tab_Def_Flows[Flow_Name],Tab_Def_Flows[WC?],,0,)</f>
        <v>Yes</v>
      </c>
      <c r="E96" s="10" t="str">
        <f>_xlfn.XLOOKUP(C96,Tab_Def_Flows[Flow_Name],Tab_Def_Flows[DM?],,0,)</f>
        <v>Yes</v>
      </c>
      <c r="F96" s="10" t="str">
        <f>_xlfn.XLOOKUP(C96,Tab_Def_Flows[Flow_Name],Tab_Def_Flows[CC?],,0,)</f>
        <v>Yes</v>
      </c>
      <c r="G96" s="8">
        <v>2012</v>
      </c>
      <c r="H96" s="28">
        <v>30</v>
      </c>
      <c r="I96" s="8"/>
      <c r="J96" s="20"/>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F_14_00_material_2012</v>
      </c>
      <c r="U96" s="18">
        <f t="shared" si="4"/>
        <v>30</v>
      </c>
      <c r="V96" s="8" t="s">
        <v>218</v>
      </c>
      <c r="W96" s="155">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5">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5">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738</v>
      </c>
      <c r="D97" s="10" t="str">
        <f>_xlfn.XLOOKUP(C97,Tab_Def_Flows[Flow_Name],Tab_Def_Flows[WC?],,0,)</f>
        <v>Yes</v>
      </c>
      <c r="E97" s="10" t="str">
        <f>_xlfn.XLOOKUP(C97,Tab_Def_Flows[Flow_Name],Tab_Def_Flows[DM?],,0,)</f>
        <v>Yes</v>
      </c>
      <c r="F97" s="10" t="str">
        <f>_xlfn.XLOOKUP(C97,Tab_Def_Flows[Flow_Name],Tab_Def_Flows[CC?],,0,)</f>
        <v>Yes</v>
      </c>
      <c r="G97" s="8">
        <v>2013</v>
      </c>
      <c r="H97" s="28">
        <v>30</v>
      </c>
      <c r="I97" s="8"/>
      <c r="J97" s="20"/>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F_14_00_material_2013</v>
      </c>
      <c r="U97" s="18">
        <f t="shared" si="4"/>
        <v>30</v>
      </c>
      <c r="V97" s="8" t="s">
        <v>218</v>
      </c>
      <c r="W97" s="155">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5">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5">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738</v>
      </c>
      <c r="D98" s="10" t="str">
        <f>_xlfn.XLOOKUP(C98,Tab_Def_Flows[Flow_Name],Tab_Def_Flows[WC?],,0,)</f>
        <v>Yes</v>
      </c>
      <c r="E98" s="10" t="str">
        <f>_xlfn.XLOOKUP(C98,Tab_Def_Flows[Flow_Name],Tab_Def_Flows[DM?],,0,)</f>
        <v>Yes</v>
      </c>
      <c r="F98" s="10" t="str">
        <f>_xlfn.XLOOKUP(C98,Tab_Def_Flows[Flow_Name],Tab_Def_Flows[CC?],,0,)</f>
        <v>Yes</v>
      </c>
      <c r="G98" s="8">
        <v>2014</v>
      </c>
      <c r="H98" s="28">
        <v>30</v>
      </c>
      <c r="I98" s="8"/>
      <c r="J98" s="20"/>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F_14_00_material_2014</v>
      </c>
      <c r="U98" s="18">
        <f t="shared" si="4"/>
        <v>30</v>
      </c>
      <c r="V98" s="8" t="s">
        <v>218</v>
      </c>
      <c r="W98" s="155">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5">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5">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738</v>
      </c>
      <c r="D99" s="10" t="str">
        <f>_xlfn.XLOOKUP(C99,Tab_Def_Flows[Flow_Name],Tab_Def_Flows[WC?],,0,)</f>
        <v>Yes</v>
      </c>
      <c r="E99" s="10" t="str">
        <f>_xlfn.XLOOKUP(C99,Tab_Def_Flows[Flow_Name],Tab_Def_Flows[DM?],,0,)</f>
        <v>Yes</v>
      </c>
      <c r="F99" s="10" t="str">
        <f>_xlfn.XLOOKUP(C99,Tab_Def_Flows[Flow_Name],Tab_Def_Flows[CC?],,0,)</f>
        <v>Yes</v>
      </c>
      <c r="G99" s="8">
        <v>2015</v>
      </c>
      <c r="H99" s="28">
        <v>30</v>
      </c>
      <c r="I99" s="8"/>
      <c r="J99" s="20"/>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F_14_00_material_2015</v>
      </c>
      <c r="U99" s="18">
        <f t="shared" si="4"/>
        <v>30</v>
      </c>
      <c r="V99" s="8" t="s">
        <v>218</v>
      </c>
      <c r="W99" s="155">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5">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5">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738</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8">
        <v>30</v>
      </c>
      <c r="I100" s="8"/>
      <c r="J100" s="20"/>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F_14_00_material_2016</v>
      </c>
      <c r="U100" s="18">
        <f t="shared" si="4"/>
        <v>30</v>
      </c>
      <c r="V100" s="8" t="s">
        <v>218</v>
      </c>
      <c r="W100" s="155">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5">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5">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738</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8">
        <v>30</v>
      </c>
      <c r="I101" s="8"/>
      <c r="J101" s="20"/>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F_14_00_material_2017</v>
      </c>
      <c r="U101" s="18">
        <f t="shared" si="4"/>
        <v>30</v>
      </c>
      <c r="V101" s="8" t="s">
        <v>218</v>
      </c>
      <c r="W101" s="155">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5">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5">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738</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8">
        <v>30</v>
      </c>
      <c r="I102" s="8"/>
      <c r="J102" s="20"/>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F_14_00_material_2018</v>
      </c>
      <c r="U102" s="18">
        <f t="shared" si="4"/>
        <v>30</v>
      </c>
      <c r="V102" s="8" t="s">
        <v>218</v>
      </c>
      <c r="W102" s="155">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5">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5">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738</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8">
        <v>30</v>
      </c>
      <c r="I103" s="8"/>
      <c r="J103" s="20"/>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F_14_00_material_2019</v>
      </c>
      <c r="U103" s="18">
        <f t="shared" si="4"/>
        <v>30</v>
      </c>
      <c r="V103" s="8" t="s">
        <v>218</v>
      </c>
      <c r="W103" s="155">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5">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5">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738</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8">
        <v>30</v>
      </c>
      <c r="I104" s="8"/>
      <c r="J104" s="20"/>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F_14_00_material_2020</v>
      </c>
      <c r="U104" s="18">
        <f t="shared" si="4"/>
        <v>30</v>
      </c>
      <c r="V104" s="8" t="s">
        <v>218</v>
      </c>
      <c r="W104" s="155">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5">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5">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738</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8">
        <v>30</v>
      </c>
      <c r="I105" s="8"/>
      <c r="J105" s="20"/>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F_14_00_material_2021</v>
      </c>
      <c r="U105" s="18">
        <f t="shared" si="4"/>
        <v>30</v>
      </c>
      <c r="V105" s="8" t="s">
        <v>218</v>
      </c>
      <c r="W105" s="155">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5">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5">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738</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8">
        <v>30</v>
      </c>
      <c r="I106" s="8"/>
      <c r="J106" s="20"/>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F_14_00_material_2022</v>
      </c>
      <c r="U106" s="18">
        <f t="shared" si="4"/>
        <v>30</v>
      </c>
      <c r="V106" s="8" t="s">
        <v>218</v>
      </c>
      <c r="W106" s="155">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5">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5">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738</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8">
        <v>30</v>
      </c>
      <c r="I107" s="8"/>
      <c r="J107" s="20"/>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F_14_00_material_2023</v>
      </c>
      <c r="U107" s="18">
        <f t="shared" si="4"/>
        <v>30</v>
      </c>
      <c r="V107" s="8" t="s">
        <v>218</v>
      </c>
      <c r="W107" s="155">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5">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5">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738</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8">
        <v>30</v>
      </c>
      <c r="I108" s="8"/>
      <c r="J108" s="20"/>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F_14_00_material_2024</v>
      </c>
      <c r="U108" s="18">
        <f t="shared" si="4"/>
        <v>30</v>
      </c>
      <c r="V108" s="8" t="s">
        <v>218</v>
      </c>
      <c r="W108" s="155">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5">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5">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738</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8">
        <v>30</v>
      </c>
      <c r="I109" s="8"/>
      <c r="J109" s="20"/>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F_14_00_material_2025</v>
      </c>
      <c r="U109" s="18">
        <f t="shared" si="4"/>
        <v>30</v>
      </c>
      <c r="V109" s="8" t="s">
        <v>218</v>
      </c>
      <c r="W109" s="155">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5">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5">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738</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8">
        <v>30</v>
      </c>
      <c r="I110" s="8"/>
      <c r="J110" s="20"/>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F_14_00_material_2026</v>
      </c>
      <c r="U110" s="18">
        <f t="shared" si="4"/>
        <v>30</v>
      </c>
      <c r="V110" s="8" t="s">
        <v>218</v>
      </c>
      <c r="W110" s="155">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5">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5">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738</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8">
        <v>30</v>
      </c>
      <c r="I111" s="8"/>
      <c r="J111" s="20"/>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F_14_00_material_2027</v>
      </c>
      <c r="U111" s="18">
        <f t="shared" si="4"/>
        <v>30</v>
      </c>
      <c r="V111" s="8" t="s">
        <v>218</v>
      </c>
      <c r="W111" s="155">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5">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5">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738</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8">
        <v>30</v>
      </c>
      <c r="I112" s="8"/>
      <c r="J112" s="20"/>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F_14_00_material_2028</v>
      </c>
      <c r="U112" s="18">
        <f t="shared" si="4"/>
        <v>30</v>
      </c>
      <c r="V112" s="8" t="s">
        <v>218</v>
      </c>
      <c r="W112" s="155">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5">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5">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738</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8">
        <v>30</v>
      </c>
      <c r="I113" s="8"/>
      <c r="J113" s="20"/>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F_14_00_material_2029</v>
      </c>
      <c r="U113" s="18">
        <f t="shared" si="4"/>
        <v>30</v>
      </c>
      <c r="V113" s="8" t="s">
        <v>218</v>
      </c>
      <c r="W113" s="155">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5">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5">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738</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8">
        <v>30</v>
      </c>
      <c r="I114" s="8"/>
      <c r="J114" s="20"/>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F_14_00_material_2030</v>
      </c>
      <c r="U114" s="18">
        <f t="shared" si="4"/>
        <v>30</v>
      </c>
      <c r="V114" s="8" t="s">
        <v>218</v>
      </c>
      <c r="W114" s="155">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5">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5">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738</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8">
        <v>30</v>
      </c>
      <c r="I115" s="8"/>
      <c r="J115" s="20"/>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F_14_00_material_2031</v>
      </c>
      <c r="U115" s="18">
        <f t="shared" si="4"/>
        <v>30</v>
      </c>
      <c r="V115" s="8" t="s">
        <v>218</v>
      </c>
      <c r="W115" s="155">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5">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5">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738</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8">
        <v>30</v>
      </c>
      <c r="I116" s="8"/>
      <c r="J116" s="20"/>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F_14_00_material_2032</v>
      </c>
      <c r="U116" s="18">
        <f t="shared" si="4"/>
        <v>30</v>
      </c>
      <c r="V116" s="8" t="s">
        <v>218</v>
      </c>
      <c r="W116" s="155">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5">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5">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738</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8">
        <v>30</v>
      </c>
      <c r="I117" s="8"/>
      <c r="J117" s="20"/>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F_14_00_material_2033</v>
      </c>
      <c r="U117" s="18">
        <f t="shared" si="4"/>
        <v>30</v>
      </c>
      <c r="V117" s="8" t="s">
        <v>218</v>
      </c>
      <c r="W117" s="155">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5">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5">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738</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8">
        <v>30</v>
      </c>
      <c r="I118" s="8"/>
      <c r="J118" s="20"/>
      <c r="K118" s="8"/>
      <c r="L118" s="8"/>
      <c r="M118" s="8"/>
      <c r="N118" s="8"/>
      <c r="O118" s="8"/>
      <c r="P118" s="8"/>
      <c r="Q118" s="8" t="s">
        <v>8</v>
      </c>
      <c r="R118" s="21"/>
      <c r="S118" s="8"/>
      <c r="T118" s="7" t="str">
        <f>Tab_Data_Flows[[#This Row],[Flow_ID]]&amp;"_"&amp;"material_"&amp;Tab_Data_Flows[[#This Row],[Flow_Data_Year]]</f>
        <v>F_14_00_material_2034</v>
      </c>
      <c r="U118" s="18">
        <f t="shared" si="4"/>
        <v>30</v>
      </c>
      <c r="V118" s="8" t="s">
        <v>218</v>
      </c>
      <c r="W118" s="155">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5">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5">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738</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8">
        <v>30</v>
      </c>
      <c r="I119" s="8"/>
      <c r="J119" s="20"/>
      <c r="K119" s="8"/>
      <c r="L119" s="8"/>
      <c r="M119" s="8"/>
      <c r="N119" s="8"/>
      <c r="O119" s="8"/>
      <c r="P119" s="8"/>
      <c r="Q119" s="8" t="s">
        <v>8</v>
      </c>
      <c r="R119" s="21"/>
      <c r="S119" s="8"/>
      <c r="T119" s="7" t="str">
        <f>Tab_Data_Flows[[#This Row],[Flow_ID]]&amp;"_"&amp;"material_"&amp;Tab_Data_Flows[[#This Row],[Flow_Data_Year]]</f>
        <v>F_14_00_material_2035</v>
      </c>
      <c r="U119" s="18">
        <f t="shared" si="4"/>
        <v>30</v>
      </c>
      <c r="V119" s="8" t="s">
        <v>218</v>
      </c>
      <c r="W119" s="155">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5">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5">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738</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8">
        <v>30</v>
      </c>
      <c r="I120" s="8"/>
      <c r="J120" s="20"/>
      <c r="K120" s="8"/>
      <c r="L120" s="8"/>
      <c r="M120" s="8"/>
      <c r="N120" s="8"/>
      <c r="O120" s="8"/>
      <c r="P120" s="8"/>
      <c r="Q120" s="8" t="s">
        <v>8</v>
      </c>
      <c r="R120" s="21"/>
      <c r="S120" s="8"/>
      <c r="T120" s="7" t="str">
        <f>Tab_Data_Flows[[#This Row],[Flow_ID]]&amp;"_"&amp;"material_"&amp;Tab_Data_Flows[[#This Row],[Flow_Data_Year]]</f>
        <v>F_14_00_material_2036</v>
      </c>
      <c r="U120" s="18">
        <f t="shared" si="4"/>
        <v>30</v>
      </c>
      <c r="V120" s="8" t="s">
        <v>218</v>
      </c>
      <c r="W120" s="155">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5">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5">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738</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8">
        <v>30</v>
      </c>
      <c r="I121" s="8"/>
      <c r="J121" s="20"/>
      <c r="K121" s="8"/>
      <c r="L121" s="8"/>
      <c r="M121" s="8"/>
      <c r="N121" s="8"/>
      <c r="O121" s="8"/>
      <c r="P121" s="8"/>
      <c r="Q121" s="8" t="s">
        <v>8</v>
      </c>
      <c r="R121" s="21"/>
      <c r="S121" s="8"/>
      <c r="T121" s="7" t="str">
        <f>Tab_Data_Flows[[#This Row],[Flow_ID]]&amp;"_"&amp;"material_"&amp;Tab_Data_Flows[[#This Row],[Flow_Data_Year]]</f>
        <v>F_14_00_material_2037</v>
      </c>
      <c r="U121" s="18">
        <f t="shared" si="4"/>
        <v>30</v>
      </c>
      <c r="V121" s="8" t="s">
        <v>218</v>
      </c>
      <c r="W121" s="155">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5">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5">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738</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8">
        <v>30</v>
      </c>
      <c r="I122" s="8"/>
      <c r="J122" s="20"/>
      <c r="K122" s="8"/>
      <c r="L122" s="8"/>
      <c r="M122" s="8"/>
      <c r="N122" s="8"/>
      <c r="O122" s="8"/>
      <c r="P122" s="8"/>
      <c r="Q122" s="8" t="s">
        <v>8</v>
      </c>
      <c r="R122" s="21"/>
      <c r="S122" s="8"/>
      <c r="T122" s="7" t="str">
        <f>Tab_Data_Flows[[#This Row],[Flow_ID]]&amp;"_"&amp;"material_"&amp;Tab_Data_Flows[[#This Row],[Flow_Data_Year]]</f>
        <v>F_14_00_material_2038</v>
      </c>
      <c r="U122" s="18">
        <f t="shared" si="4"/>
        <v>30</v>
      </c>
      <c r="V122" s="8" t="s">
        <v>218</v>
      </c>
      <c r="W122" s="155">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5">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5">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738</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8">
        <v>30</v>
      </c>
      <c r="I123" s="8"/>
      <c r="J123" s="20"/>
      <c r="K123" s="8"/>
      <c r="L123" s="8"/>
      <c r="M123" s="8"/>
      <c r="N123" s="8"/>
      <c r="O123" s="8"/>
      <c r="P123" s="8"/>
      <c r="Q123" s="8" t="s">
        <v>8</v>
      </c>
      <c r="R123" s="21"/>
      <c r="S123" s="8"/>
      <c r="T123" s="7" t="str">
        <f>Tab_Data_Flows[[#This Row],[Flow_ID]]&amp;"_"&amp;"material_"&amp;Tab_Data_Flows[[#This Row],[Flow_Data_Year]]</f>
        <v>F_14_00_material_2039</v>
      </c>
      <c r="U123" s="18">
        <f t="shared" si="4"/>
        <v>30</v>
      </c>
      <c r="V123" s="8" t="s">
        <v>218</v>
      </c>
      <c r="W123" s="155">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5">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5">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738</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8">
        <v>30</v>
      </c>
      <c r="I124" s="8"/>
      <c r="J124" s="20"/>
      <c r="K124" s="8"/>
      <c r="L124" s="8"/>
      <c r="M124" s="8"/>
      <c r="N124" s="8"/>
      <c r="O124" s="8"/>
      <c r="P124" s="8"/>
      <c r="Q124" s="8" t="s">
        <v>8</v>
      </c>
      <c r="R124" s="21"/>
      <c r="S124" s="8"/>
      <c r="T124" s="7" t="str">
        <f>Tab_Data_Flows[[#This Row],[Flow_ID]]&amp;"_"&amp;"material_"&amp;Tab_Data_Flows[[#This Row],[Flow_Data_Year]]</f>
        <v>F_14_00_material_2040</v>
      </c>
      <c r="U124" s="18">
        <f t="shared" si="4"/>
        <v>30</v>
      </c>
      <c r="V124" s="8" t="s">
        <v>218</v>
      </c>
      <c r="W124" s="155">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5">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5">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F_03_07</v>
      </c>
      <c r="C125" s="8" t="s">
        <v>745</v>
      </c>
      <c r="D125" s="10" t="str">
        <f>_xlfn.XLOOKUP(C125,Tab_Def_Flows[Flow_Name],Tab_Def_Flows[WC?],,0,)</f>
        <v>Yes</v>
      </c>
      <c r="E125" s="10" t="str">
        <f>_xlfn.XLOOKUP(C125,Tab_Def_Flows[Flow_Name],Tab_Def_Flows[DM?],,0,)</f>
        <v>Yes</v>
      </c>
      <c r="F125" s="10" t="str">
        <f>_xlfn.XLOOKUP(C125,Tab_Def_Flows[Flow_Name],Tab_Def_Flows[CC?],,0,)</f>
        <v>Yes</v>
      </c>
      <c r="G125" s="8">
        <v>2000</v>
      </c>
      <c r="H125" s="28">
        <v>50</v>
      </c>
      <c r="I125" s="8"/>
      <c r="J125" s="20"/>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F_03_07_material_2000</v>
      </c>
      <c r="U125" s="18">
        <f t="shared" si="4"/>
        <v>50</v>
      </c>
      <c r="V125" s="8" t="s">
        <v>218</v>
      </c>
      <c r="W125" s="155">
        <f>INDEX(Tab_Def_Flows[[Flow_ID]:[CC_DM_source]],MATCH(Tab_Data_Flows[[#This Row],[Flow_Name]],Tab_Def_Flows[Flow_Name],0),11)</f>
        <v>0</v>
      </c>
      <c r="X125" s="7" t="str">
        <f>Tab_Data_Flows[[#This Row],[Flow_ID]]&amp;"_"&amp;"WC_"&amp;Tab_Data_Flows[[#This Row],[Flow_Data_Year]]</f>
        <v>F_03_07_WC_2000</v>
      </c>
      <c r="Y125" s="7">
        <f>IF(D125="Yes",U125*Tab_Data_Flows[[#This Row],[WC_'[%']]],"N.A.")</f>
        <v>0</v>
      </c>
      <c r="Z125" s="7" t="str">
        <f>Tab_Data_Flows[[#This Row],[UoM_Flow_Py]]</f>
        <v>Mg</v>
      </c>
      <c r="AA125" s="155">
        <f>INDEX(Tab_Def_Flows[[Flow_ID]:[CC_DM_source]],MATCH(Tab_Data_Flows[[#This Row],[Flow_Name]],Tab_Def_Flows[Flow_Name],0),14)</f>
        <v>0</v>
      </c>
      <c r="AB125" s="7" t="str">
        <f>Tab_Data_Flows[[#This Row],[Flow_ID]]&amp;"_"&amp;"DM_"&amp;Tab_Data_Flows[[#This Row],[Flow_Data_Year]]</f>
        <v>F_03_07_DM_2000</v>
      </c>
      <c r="AC125" s="7">
        <f>IF(E125="Yes",AA125*Tab_Data_Flows[[#This Row],[Flow_Material]],"N.A.")</f>
        <v>0</v>
      </c>
      <c r="AD125" s="7" t="str">
        <f>Tab_Data_Flows[[#This Row],[UoM_Flow_Py]]</f>
        <v>Mg</v>
      </c>
      <c r="AE125" s="155">
        <f>INDEX(Tab_Def_Flows[[Flow_ID]:[CC_DM_source]],MATCH(Tab_Data_Flows[[#This Row],[Flow_Name]],Tab_Def_Flows[Flow_Name],0),17)</f>
        <v>0</v>
      </c>
      <c r="AF125" s="7" t="str">
        <f>Tab_Data_Flows[[#This Row],[Flow_ID]]&amp;"_"&amp;"CC_"&amp;Tab_Data_Flows[[#This Row],[Flow_Data_Year]]</f>
        <v>F_03_07_CC_2000</v>
      </c>
      <c r="AG125" s="7">
        <f>IF(F125="Yes",AE125*Tab_Data_Flows[[#This Row],[Flow_Material]]*Tab_Data_Flows[[#This Row],[DM_'[%']]],"N.A.")</f>
        <v>0</v>
      </c>
      <c r="AH125" s="7" t="str">
        <f>Tab_Data_Flows[[#This Row],[UoM_Flow_Py]]</f>
        <v>Mg</v>
      </c>
      <c r="AI125"/>
    </row>
    <row r="126" spans="1:35" x14ac:dyDescent="0.25">
      <c r="A126" s="9">
        <f t="shared" si="3"/>
        <v>125</v>
      </c>
      <c r="B126" s="7" t="str">
        <f>_xlfn.XLOOKUP(C126,Tab_Def_Flows[Flow_Name],Tab_Def_Flows[Flow_ID],,0,)</f>
        <v>F_03_07</v>
      </c>
      <c r="C126" s="8" t="s">
        <v>745</v>
      </c>
      <c r="D126" s="10" t="str">
        <f>_xlfn.XLOOKUP(C126,Tab_Def_Flows[Flow_Name],Tab_Def_Flows[WC?],,0,)</f>
        <v>Yes</v>
      </c>
      <c r="E126" s="10" t="str">
        <f>_xlfn.XLOOKUP(C126,Tab_Def_Flows[Flow_Name],Tab_Def_Flows[DM?],,0,)</f>
        <v>Yes</v>
      </c>
      <c r="F126" s="10" t="str">
        <f>_xlfn.XLOOKUP(C126,Tab_Def_Flows[Flow_Name],Tab_Def_Flows[CC?],,0,)</f>
        <v>Yes</v>
      </c>
      <c r="G126" s="8">
        <v>2001</v>
      </c>
      <c r="H126" s="28">
        <v>50</v>
      </c>
      <c r="I126" s="8"/>
      <c r="J126" s="20"/>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F_03_07_material_2001</v>
      </c>
      <c r="U126" s="18">
        <f t="shared" si="4"/>
        <v>50</v>
      </c>
      <c r="V126" s="8" t="s">
        <v>218</v>
      </c>
      <c r="W126" s="155">
        <f>INDEX(Tab_Def_Flows[[Flow_ID]:[CC_DM_source]],MATCH(Tab_Data_Flows[[#This Row],[Flow_Name]],Tab_Def_Flows[Flow_Name],0),11)</f>
        <v>0</v>
      </c>
      <c r="X126" s="7" t="str">
        <f>Tab_Data_Flows[[#This Row],[Flow_ID]]&amp;"_"&amp;"WC_"&amp;Tab_Data_Flows[[#This Row],[Flow_Data_Year]]</f>
        <v>F_03_07_WC_2001</v>
      </c>
      <c r="Y126" s="7">
        <f>IF(D126="Yes",U126*Tab_Data_Flows[[#This Row],[WC_'[%']]],"N.A.")</f>
        <v>0</v>
      </c>
      <c r="Z126" s="7" t="str">
        <f>Tab_Data_Flows[[#This Row],[UoM_Flow_Py]]</f>
        <v>Mg</v>
      </c>
      <c r="AA126" s="155">
        <f>INDEX(Tab_Def_Flows[[Flow_ID]:[CC_DM_source]],MATCH(Tab_Data_Flows[[#This Row],[Flow_Name]],Tab_Def_Flows[Flow_Name],0),14)</f>
        <v>0</v>
      </c>
      <c r="AB126" s="7" t="str">
        <f>Tab_Data_Flows[[#This Row],[Flow_ID]]&amp;"_"&amp;"DM_"&amp;Tab_Data_Flows[[#This Row],[Flow_Data_Year]]</f>
        <v>F_03_07_DM_2001</v>
      </c>
      <c r="AC126" s="7">
        <f>IF(E126="Yes",AA126*Tab_Data_Flows[[#This Row],[Flow_Material]],"N.A.")</f>
        <v>0</v>
      </c>
      <c r="AD126" s="7" t="str">
        <f>Tab_Data_Flows[[#This Row],[UoM_Flow_Py]]</f>
        <v>Mg</v>
      </c>
      <c r="AE126" s="155">
        <f>INDEX(Tab_Def_Flows[[Flow_ID]:[CC_DM_source]],MATCH(Tab_Data_Flows[[#This Row],[Flow_Name]],Tab_Def_Flows[Flow_Name],0),17)</f>
        <v>0</v>
      </c>
      <c r="AF126" s="7" t="str">
        <f>Tab_Data_Flows[[#This Row],[Flow_ID]]&amp;"_"&amp;"CC_"&amp;Tab_Data_Flows[[#This Row],[Flow_Data_Year]]</f>
        <v>F_03_07_CC_2001</v>
      </c>
      <c r="AG126" s="7">
        <f>IF(F126="Yes",AE126*Tab_Data_Flows[[#This Row],[Flow_Material]]*Tab_Data_Flows[[#This Row],[DM_'[%']]],"N.A.")</f>
        <v>0</v>
      </c>
      <c r="AH126" s="7" t="str">
        <f>Tab_Data_Flows[[#This Row],[UoM_Flow_Py]]</f>
        <v>Mg</v>
      </c>
      <c r="AI126"/>
    </row>
    <row r="127" spans="1:35" x14ac:dyDescent="0.25">
      <c r="A127" s="9">
        <f t="shared" si="3"/>
        <v>126</v>
      </c>
      <c r="B127" s="7" t="str">
        <f>_xlfn.XLOOKUP(C127,Tab_Def_Flows[Flow_Name],Tab_Def_Flows[Flow_ID],,0,)</f>
        <v>F_03_07</v>
      </c>
      <c r="C127" s="8" t="s">
        <v>745</v>
      </c>
      <c r="D127" s="10" t="str">
        <f>_xlfn.XLOOKUP(C127,Tab_Def_Flows[Flow_Name],Tab_Def_Flows[WC?],,0,)</f>
        <v>Yes</v>
      </c>
      <c r="E127" s="10" t="str">
        <f>_xlfn.XLOOKUP(C127,Tab_Def_Flows[Flow_Name],Tab_Def_Flows[DM?],,0,)</f>
        <v>Yes</v>
      </c>
      <c r="F127" s="10" t="str">
        <f>_xlfn.XLOOKUP(C127,Tab_Def_Flows[Flow_Name],Tab_Def_Flows[CC?],,0,)</f>
        <v>Yes</v>
      </c>
      <c r="G127" s="8">
        <v>2002</v>
      </c>
      <c r="H127" s="28">
        <v>50</v>
      </c>
      <c r="I127" s="8"/>
      <c r="J127" s="20"/>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F_03_07_material_2002</v>
      </c>
      <c r="U127" s="18">
        <f t="shared" si="4"/>
        <v>50</v>
      </c>
      <c r="V127" s="8" t="s">
        <v>218</v>
      </c>
      <c r="W127" s="155">
        <f>INDEX(Tab_Def_Flows[[Flow_ID]:[CC_DM_source]],MATCH(Tab_Data_Flows[[#This Row],[Flow_Name]],Tab_Def_Flows[Flow_Name],0),11)</f>
        <v>0</v>
      </c>
      <c r="X127" s="7" t="str">
        <f>Tab_Data_Flows[[#This Row],[Flow_ID]]&amp;"_"&amp;"WC_"&amp;Tab_Data_Flows[[#This Row],[Flow_Data_Year]]</f>
        <v>F_03_07_WC_2002</v>
      </c>
      <c r="Y127" s="7">
        <f>IF(D127="Yes",U127*Tab_Data_Flows[[#This Row],[WC_'[%']]],"N.A.")</f>
        <v>0</v>
      </c>
      <c r="Z127" s="7" t="str">
        <f>Tab_Data_Flows[[#This Row],[UoM_Flow_Py]]</f>
        <v>Mg</v>
      </c>
      <c r="AA127" s="155">
        <f>INDEX(Tab_Def_Flows[[Flow_ID]:[CC_DM_source]],MATCH(Tab_Data_Flows[[#This Row],[Flow_Name]],Tab_Def_Flows[Flow_Name],0),14)</f>
        <v>0</v>
      </c>
      <c r="AB127" s="7" t="str">
        <f>Tab_Data_Flows[[#This Row],[Flow_ID]]&amp;"_"&amp;"DM_"&amp;Tab_Data_Flows[[#This Row],[Flow_Data_Year]]</f>
        <v>F_03_07_DM_2002</v>
      </c>
      <c r="AC127" s="7">
        <f>IF(E127="Yes",AA127*Tab_Data_Flows[[#This Row],[Flow_Material]],"N.A.")</f>
        <v>0</v>
      </c>
      <c r="AD127" s="7" t="str">
        <f>Tab_Data_Flows[[#This Row],[UoM_Flow_Py]]</f>
        <v>Mg</v>
      </c>
      <c r="AE127" s="155">
        <f>INDEX(Tab_Def_Flows[[Flow_ID]:[CC_DM_source]],MATCH(Tab_Data_Flows[[#This Row],[Flow_Name]],Tab_Def_Flows[Flow_Name],0),17)</f>
        <v>0</v>
      </c>
      <c r="AF127" s="7" t="str">
        <f>Tab_Data_Flows[[#This Row],[Flow_ID]]&amp;"_"&amp;"CC_"&amp;Tab_Data_Flows[[#This Row],[Flow_Data_Year]]</f>
        <v>F_03_07_CC_2002</v>
      </c>
      <c r="AG127" s="7">
        <f>IF(F127="Yes",AE127*Tab_Data_Flows[[#This Row],[Flow_Material]]*Tab_Data_Flows[[#This Row],[DM_'[%']]],"N.A.")</f>
        <v>0</v>
      </c>
      <c r="AH127" s="7" t="str">
        <f>Tab_Data_Flows[[#This Row],[UoM_Flow_Py]]</f>
        <v>Mg</v>
      </c>
      <c r="AI127"/>
    </row>
    <row r="128" spans="1:35" x14ac:dyDescent="0.25">
      <c r="A128" s="9">
        <f t="shared" si="3"/>
        <v>127</v>
      </c>
      <c r="B128" s="7" t="str">
        <f>_xlfn.XLOOKUP(C128,Tab_Def_Flows[Flow_Name],Tab_Def_Flows[Flow_ID],,0,)</f>
        <v>F_03_07</v>
      </c>
      <c r="C128" s="8" t="s">
        <v>745</v>
      </c>
      <c r="D128" s="10" t="str">
        <f>_xlfn.XLOOKUP(C128,Tab_Def_Flows[Flow_Name],Tab_Def_Flows[WC?],,0,)</f>
        <v>Yes</v>
      </c>
      <c r="E128" s="10" t="str">
        <f>_xlfn.XLOOKUP(C128,Tab_Def_Flows[Flow_Name],Tab_Def_Flows[DM?],,0,)</f>
        <v>Yes</v>
      </c>
      <c r="F128" s="10" t="str">
        <f>_xlfn.XLOOKUP(C128,Tab_Def_Flows[Flow_Name],Tab_Def_Flows[CC?],,0,)</f>
        <v>Yes</v>
      </c>
      <c r="G128" s="8">
        <v>2003</v>
      </c>
      <c r="H128" s="28">
        <v>50</v>
      </c>
      <c r="I128" s="8"/>
      <c r="J128" s="20"/>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F_03_07_material_2003</v>
      </c>
      <c r="U128" s="18">
        <f t="shared" si="4"/>
        <v>50</v>
      </c>
      <c r="V128" s="8" t="s">
        <v>218</v>
      </c>
      <c r="W128" s="155">
        <f>INDEX(Tab_Def_Flows[[Flow_ID]:[CC_DM_source]],MATCH(Tab_Data_Flows[[#This Row],[Flow_Name]],Tab_Def_Flows[Flow_Name],0),11)</f>
        <v>0</v>
      </c>
      <c r="X128" s="7" t="str">
        <f>Tab_Data_Flows[[#This Row],[Flow_ID]]&amp;"_"&amp;"WC_"&amp;Tab_Data_Flows[[#This Row],[Flow_Data_Year]]</f>
        <v>F_03_07_WC_2003</v>
      </c>
      <c r="Y128" s="7">
        <f>IF(D128="Yes",U128*Tab_Data_Flows[[#This Row],[WC_'[%']]],"N.A.")</f>
        <v>0</v>
      </c>
      <c r="Z128" s="7" t="str">
        <f>Tab_Data_Flows[[#This Row],[UoM_Flow_Py]]</f>
        <v>Mg</v>
      </c>
      <c r="AA128" s="155">
        <f>INDEX(Tab_Def_Flows[[Flow_ID]:[CC_DM_source]],MATCH(Tab_Data_Flows[[#This Row],[Flow_Name]],Tab_Def_Flows[Flow_Name],0),14)</f>
        <v>0</v>
      </c>
      <c r="AB128" s="7" t="str">
        <f>Tab_Data_Flows[[#This Row],[Flow_ID]]&amp;"_"&amp;"DM_"&amp;Tab_Data_Flows[[#This Row],[Flow_Data_Year]]</f>
        <v>F_03_07_DM_2003</v>
      </c>
      <c r="AC128" s="7">
        <f>IF(E128="Yes",AA128*Tab_Data_Flows[[#This Row],[Flow_Material]],"N.A.")</f>
        <v>0</v>
      </c>
      <c r="AD128" s="7" t="str">
        <f>Tab_Data_Flows[[#This Row],[UoM_Flow_Py]]</f>
        <v>Mg</v>
      </c>
      <c r="AE128" s="155">
        <f>INDEX(Tab_Def_Flows[[Flow_ID]:[CC_DM_source]],MATCH(Tab_Data_Flows[[#This Row],[Flow_Name]],Tab_Def_Flows[Flow_Name],0),17)</f>
        <v>0</v>
      </c>
      <c r="AF128" s="7" t="str">
        <f>Tab_Data_Flows[[#This Row],[Flow_ID]]&amp;"_"&amp;"CC_"&amp;Tab_Data_Flows[[#This Row],[Flow_Data_Year]]</f>
        <v>F_03_07_CC_2003</v>
      </c>
      <c r="AG128" s="7">
        <f>IF(F128="Yes",AE128*Tab_Data_Flows[[#This Row],[Flow_Material]]*Tab_Data_Flows[[#This Row],[DM_'[%']]],"N.A.")</f>
        <v>0</v>
      </c>
      <c r="AH128" s="7" t="str">
        <f>Tab_Data_Flows[[#This Row],[UoM_Flow_Py]]</f>
        <v>Mg</v>
      </c>
      <c r="AI128"/>
    </row>
    <row r="129" spans="1:35" x14ac:dyDescent="0.25">
      <c r="A129" s="9">
        <f t="shared" si="3"/>
        <v>128</v>
      </c>
      <c r="B129" s="7" t="str">
        <f>_xlfn.XLOOKUP(C129,Tab_Def_Flows[Flow_Name],Tab_Def_Flows[Flow_ID],,0,)</f>
        <v>F_03_07</v>
      </c>
      <c r="C129" s="8" t="s">
        <v>745</v>
      </c>
      <c r="D129" s="10" t="str">
        <f>_xlfn.XLOOKUP(C129,Tab_Def_Flows[Flow_Name],Tab_Def_Flows[WC?],,0,)</f>
        <v>Yes</v>
      </c>
      <c r="E129" s="10" t="str">
        <f>_xlfn.XLOOKUP(C129,Tab_Def_Flows[Flow_Name],Tab_Def_Flows[DM?],,0,)</f>
        <v>Yes</v>
      </c>
      <c r="F129" s="10" t="str">
        <f>_xlfn.XLOOKUP(C129,Tab_Def_Flows[Flow_Name],Tab_Def_Flows[CC?],,0,)</f>
        <v>Yes</v>
      </c>
      <c r="G129" s="8">
        <v>2004</v>
      </c>
      <c r="H129" s="28">
        <v>50</v>
      </c>
      <c r="I129" s="8"/>
      <c r="J129" s="20"/>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F_03_07_material_2004</v>
      </c>
      <c r="U129" s="18">
        <f t="shared" si="4"/>
        <v>50</v>
      </c>
      <c r="V129" s="8" t="s">
        <v>218</v>
      </c>
      <c r="W129" s="155">
        <f>INDEX(Tab_Def_Flows[[Flow_ID]:[CC_DM_source]],MATCH(Tab_Data_Flows[[#This Row],[Flow_Name]],Tab_Def_Flows[Flow_Name],0),11)</f>
        <v>0</v>
      </c>
      <c r="X129" s="7" t="str">
        <f>Tab_Data_Flows[[#This Row],[Flow_ID]]&amp;"_"&amp;"WC_"&amp;Tab_Data_Flows[[#This Row],[Flow_Data_Year]]</f>
        <v>F_03_07_WC_2004</v>
      </c>
      <c r="Y129" s="7">
        <f>IF(D129="Yes",U129*Tab_Data_Flows[[#This Row],[WC_'[%']]],"N.A.")</f>
        <v>0</v>
      </c>
      <c r="Z129" s="7" t="str">
        <f>Tab_Data_Flows[[#This Row],[UoM_Flow_Py]]</f>
        <v>Mg</v>
      </c>
      <c r="AA129" s="155">
        <f>INDEX(Tab_Def_Flows[[Flow_ID]:[CC_DM_source]],MATCH(Tab_Data_Flows[[#This Row],[Flow_Name]],Tab_Def_Flows[Flow_Name],0),14)</f>
        <v>0</v>
      </c>
      <c r="AB129" s="7" t="str">
        <f>Tab_Data_Flows[[#This Row],[Flow_ID]]&amp;"_"&amp;"DM_"&amp;Tab_Data_Flows[[#This Row],[Flow_Data_Year]]</f>
        <v>F_03_07_DM_2004</v>
      </c>
      <c r="AC129" s="7">
        <f>IF(E129="Yes",AA129*Tab_Data_Flows[[#This Row],[Flow_Material]],"N.A.")</f>
        <v>0</v>
      </c>
      <c r="AD129" s="7" t="str">
        <f>Tab_Data_Flows[[#This Row],[UoM_Flow_Py]]</f>
        <v>Mg</v>
      </c>
      <c r="AE129" s="155">
        <f>INDEX(Tab_Def_Flows[[Flow_ID]:[CC_DM_source]],MATCH(Tab_Data_Flows[[#This Row],[Flow_Name]],Tab_Def_Flows[Flow_Name],0),17)</f>
        <v>0</v>
      </c>
      <c r="AF129" s="7" t="str">
        <f>Tab_Data_Flows[[#This Row],[Flow_ID]]&amp;"_"&amp;"CC_"&amp;Tab_Data_Flows[[#This Row],[Flow_Data_Year]]</f>
        <v>F_03_07_CC_2004</v>
      </c>
      <c r="AG129" s="7">
        <f>IF(F129="Yes",AE129*Tab_Data_Flows[[#This Row],[Flow_Material]]*Tab_Data_Flows[[#This Row],[DM_'[%']]],"N.A.")</f>
        <v>0</v>
      </c>
      <c r="AH129" s="7" t="str">
        <f>Tab_Data_Flows[[#This Row],[UoM_Flow_Py]]</f>
        <v>Mg</v>
      </c>
      <c r="AI129"/>
    </row>
    <row r="130" spans="1:35" x14ac:dyDescent="0.25">
      <c r="A130" s="9">
        <f t="shared" si="3"/>
        <v>129</v>
      </c>
      <c r="B130" s="7" t="str">
        <f>_xlfn.XLOOKUP(C130,Tab_Def_Flows[Flow_Name],Tab_Def_Flows[Flow_ID],,0,)</f>
        <v>F_03_07</v>
      </c>
      <c r="C130" s="8" t="s">
        <v>745</v>
      </c>
      <c r="D130" s="10" t="str">
        <f>_xlfn.XLOOKUP(C130,Tab_Def_Flows[Flow_Name],Tab_Def_Flows[WC?],,0,)</f>
        <v>Yes</v>
      </c>
      <c r="E130" s="10" t="str">
        <f>_xlfn.XLOOKUP(C130,Tab_Def_Flows[Flow_Name],Tab_Def_Flows[DM?],,0,)</f>
        <v>Yes</v>
      </c>
      <c r="F130" s="10" t="str">
        <f>_xlfn.XLOOKUP(C130,Tab_Def_Flows[Flow_Name],Tab_Def_Flows[CC?],,0,)</f>
        <v>Yes</v>
      </c>
      <c r="G130" s="8">
        <v>2005</v>
      </c>
      <c r="H130" s="28">
        <v>50</v>
      </c>
      <c r="I130" s="8"/>
      <c r="J130" s="20"/>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F_03_07_material_2005</v>
      </c>
      <c r="U130" s="18">
        <f t="shared" si="4"/>
        <v>50</v>
      </c>
      <c r="V130" s="8" t="s">
        <v>218</v>
      </c>
      <c r="W130" s="155">
        <f>INDEX(Tab_Def_Flows[[Flow_ID]:[CC_DM_source]],MATCH(Tab_Data_Flows[[#This Row],[Flow_Name]],Tab_Def_Flows[Flow_Name],0),11)</f>
        <v>0</v>
      </c>
      <c r="X130" s="7" t="str">
        <f>Tab_Data_Flows[[#This Row],[Flow_ID]]&amp;"_"&amp;"WC_"&amp;Tab_Data_Flows[[#This Row],[Flow_Data_Year]]</f>
        <v>F_03_07_WC_2005</v>
      </c>
      <c r="Y130" s="7">
        <f>IF(D130="Yes",U130*Tab_Data_Flows[[#This Row],[WC_'[%']]],"N.A.")</f>
        <v>0</v>
      </c>
      <c r="Z130" s="7" t="str">
        <f>Tab_Data_Flows[[#This Row],[UoM_Flow_Py]]</f>
        <v>Mg</v>
      </c>
      <c r="AA130" s="155">
        <f>INDEX(Tab_Def_Flows[[Flow_ID]:[CC_DM_source]],MATCH(Tab_Data_Flows[[#This Row],[Flow_Name]],Tab_Def_Flows[Flow_Name],0),14)</f>
        <v>0</v>
      </c>
      <c r="AB130" s="7" t="str">
        <f>Tab_Data_Flows[[#This Row],[Flow_ID]]&amp;"_"&amp;"DM_"&amp;Tab_Data_Flows[[#This Row],[Flow_Data_Year]]</f>
        <v>F_03_07_DM_2005</v>
      </c>
      <c r="AC130" s="7">
        <f>IF(E130="Yes",AA130*Tab_Data_Flows[[#This Row],[Flow_Material]],"N.A.")</f>
        <v>0</v>
      </c>
      <c r="AD130" s="7" t="str">
        <f>Tab_Data_Flows[[#This Row],[UoM_Flow_Py]]</f>
        <v>Mg</v>
      </c>
      <c r="AE130" s="155">
        <f>INDEX(Tab_Def_Flows[[Flow_ID]:[CC_DM_source]],MATCH(Tab_Data_Flows[[#This Row],[Flow_Name]],Tab_Def_Flows[Flow_Name],0),17)</f>
        <v>0</v>
      </c>
      <c r="AF130" s="7" t="str">
        <f>Tab_Data_Flows[[#This Row],[Flow_ID]]&amp;"_"&amp;"CC_"&amp;Tab_Data_Flows[[#This Row],[Flow_Data_Year]]</f>
        <v>F_03_07_CC_2005</v>
      </c>
      <c r="AG130" s="7">
        <f>IF(F130="Yes",AE130*Tab_Data_Flows[[#This Row],[Flow_Material]]*Tab_Data_Flows[[#This Row],[DM_'[%']]],"N.A.")</f>
        <v>0</v>
      </c>
      <c r="AH130" s="7" t="str">
        <f>Tab_Data_Flows[[#This Row],[UoM_Flow_Py]]</f>
        <v>Mg</v>
      </c>
      <c r="AI130"/>
    </row>
    <row r="131" spans="1:35" x14ac:dyDescent="0.25">
      <c r="A131" s="9">
        <f t="shared" ref="A131:A194" si="5">ROW()-1</f>
        <v>130</v>
      </c>
      <c r="B131" s="7" t="str">
        <f>_xlfn.XLOOKUP(C131,Tab_Def_Flows[Flow_Name],Tab_Def_Flows[Flow_ID],,0,)</f>
        <v>F_03_07</v>
      </c>
      <c r="C131" s="8" t="s">
        <v>745</v>
      </c>
      <c r="D131" s="10" t="str">
        <f>_xlfn.XLOOKUP(C131,Tab_Def_Flows[Flow_Name],Tab_Def_Flows[WC?],,0,)</f>
        <v>Yes</v>
      </c>
      <c r="E131" s="10" t="str">
        <f>_xlfn.XLOOKUP(C131,Tab_Def_Flows[Flow_Name],Tab_Def_Flows[DM?],,0,)</f>
        <v>Yes</v>
      </c>
      <c r="F131" s="10" t="str">
        <f>_xlfn.XLOOKUP(C131,Tab_Def_Flows[Flow_Name],Tab_Def_Flows[CC?],,0,)</f>
        <v>Yes</v>
      </c>
      <c r="G131" s="8">
        <v>2006</v>
      </c>
      <c r="H131" s="28">
        <v>50</v>
      </c>
      <c r="I131" s="8"/>
      <c r="J131" s="20"/>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F_03_07_material_2006</v>
      </c>
      <c r="U131" s="18">
        <f t="shared" ref="U131:U194" si="6">IF(Q131="no",H131,H131*R131)</f>
        <v>50</v>
      </c>
      <c r="V131" s="8" t="s">
        <v>218</v>
      </c>
      <c r="W131" s="155">
        <f>INDEX(Tab_Def_Flows[[Flow_ID]:[CC_DM_source]],MATCH(Tab_Data_Flows[[#This Row],[Flow_Name]],Tab_Def_Flows[Flow_Name],0),11)</f>
        <v>0</v>
      </c>
      <c r="X131" s="7" t="str">
        <f>Tab_Data_Flows[[#This Row],[Flow_ID]]&amp;"_"&amp;"WC_"&amp;Tab_Data_Flows[[#This Row],[Flow_Data_Year]]</f>
        <v>F_03_07_WC_2006</v>
      </c>
      <c r="Y131" s="7">
        <f>IF(D131="Yes",U131*Tab_Data_Flows[[#This Row],[WC_'[%']]],"N.A.")</f>
        <v>0</v>
      </c>
      <c r="Z131" s="7" t="str">
        <f>Tab_Data_Flows[[#This Row],[UoM_Flow_Py]]</f>
        <v>Mg</v>
      </c>
      <c r="AA131" s="155">
        <f>INDEX(Tab_Def_Flows[[Flow_ID]:[CC_DM_source]],MATCH(Tab_Data_Flows[[#This Row],[Flow_Name]],Tab_Def_Flows[Flow_Name],0),14)</f>
        <v>0</v>
      </c>
      <c r="AB131" s="7" t="str">
        <f>Tab_Data_Flows[[#This Row],[Flow_ID]]&amp;"_"&amp;"DM_"&amp;Tab_Data_Flows[[#This Row],[Flow_Data_Year]]</f>
        <v>F_03_07_DM_2006</v>
      </c>
      <c r="AC131" s="7">
        <f>IF(E131="Yes",AA131*Tab_Data_Flows[[#This Row],[Flow_Material]],"N.A.")</f>
        <v>0</v>
      </c>
      <c r="AD131" s="7" t="str">
        <f>Tab_Data_Flows[[#This Row],[UoM_Flow_Py]]</f>
        <v>Mg</v>
      </c>
      <c r="AE131" s="155">
        <f>INDEX(Tab_Def_Flows[[Flow_ID]:[CC_DM_source]],MATCH(Tab_Data_Flows[[#This Row],[Flow_Name]],Tab_Def_Flows[Flow_Name],0),17)</f>
        <v>0</v>
      </c>
      <c r="AF131" s="7" t="str">
        <f>Tab_Data_Flows[[#This Row],[Flow_ID]]&amp;"_"&amp;"CC_"&amp;Tab_Data_Flows[[#This Row],[Flow_Data_Year]]</f>
        <v>F_03_07_CC_2006</v>
      </c>
      <c r="AG131" s="7">
        <f>IF(F131="Yes",AE131*Tab_Data_Flows[[#This Row],[Flow_Material]]*Tab_Data_Flows[[#This Row],[DM_'[%']]],"N.A.")</f>
        <v>0</v>
      </c>
      <c r="AH131" s="7" t="str">
        <f>Tab_Data_Flows[[#This Row],[UoM_Flow_Py]]</f>
        <v>Mg</v>
      </c>
      <c r="AI131"/>
    </row>
    <row r="132" spans="1:35" x14ac:dyDescent="0.25">
      <c r="A132" s="9">
        <f t="shared" si="5"/>
        <v>131</v>
      </c>
      <c r="B132" s="7" t="str">
        <f>_xlfn.XLOOKUP(C132,Tab_Def_Flows[Flow_Name],Tab_Def_Flows[Flow_ID],,0,)</f>
        <v>F_03_07</v>
      </c>
      <c r="C132" s="8" t="s">
        <v>745</v>
      </c>
      <c r="D132" s="10" t="str">
        <f>_xlfn.XLOOKUP(C132,Tab_Def_Flows[Flow_Name],Tab_Def_Flows[WC?],,0,)</f>
        <v>Yes</v>
      </c>
      <c r="E132" s="10" t="str">
        <f>_xlfn.XLOOKUP(C132,Tab_Def_Flows[Flow_Name],Tab_Def_Flows[DM?],,0,)</f>
        <v>Yes</v>
      </c>
      <c r="F132" s="10" t="str">
        <f>_xlfn.XLOOKUP(C132,Tab_Def_Flows[Flow_Name],Tab_Def_Flows[CC?],,0,)</f>
        <v>Yes</v>
      </c>
      <c r="G132" s="8">
        <v>2007</v>
      </c>
      <c r="H132" s="28">
        <v>50</v>
      </c>
      <c r="I132" s="8"/>
      <c r="J132" s="20"/>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F_03_07_material_2007</v>
      </c>
      <c r="U132" s="18">
        <f t="shared" si="6"/>
        <v>50</v>
      </c>
      <c r="V132" s="8" t="s">
        <v>218</v>
      </c>
      <c r="W132" s="155">
        <f>INDEX(Tab_Def_Flows[[Flow_ID]:[CC_DM_source]],MATCH(Tab_Data_Flows[[#This Row],[Flow_Name]],Tab_Def_Flows[Flow_Name],0),11)</f>
        <v>0</v>
      </c>
      <c r="X132" s="7" t="str">
        <f>Tab_Data_Flows[[#This Row],[Flow_ID]]&amp;"_"&amp;"WC_"&amp;Tab_Data_Flows[[#This Row],[Flow_Data_Year]]</f>
        <v>F_03_07_WC_2007</v>
      </c>
      <c r="Y132" s="7">
        <f>IF(D132="Yes",U132*Tab_Data_Flows[[#This Row],[WC_'[%']]],"N.A.")</f>
        <v>0</v>
      </c>
      <c r="Z132" s="7" t="str">
        <f>Tab_Data_Flows[[#This Row],[UoM_Flow_Py]]</f>
        <v>Mg</v>
      </c>
      <c r="AA132" s="155">
        <f>INDEX(Tab_Def_Flows[[Flow_ID]:[CC_DM_source]],MATCH(Tab_Data_Flows[[#This Row],[Flow_Name]],Tab_Def_Flows[Flow_Name],0),14)</f>
        <v>0</v>
      </c>
      <c r="AB132" s="7" t="str">
        <f>Tab_Data_Flows[[#This Row],[Flow_ID]]&amp;"_"&amp;"DM_"&amp;Tab_Data_Flows[[#This Row],[Flow_Data_Year]]</f>
        <v>F_03_07_DM_2007</v>
      </c>
      <c r="AC132" s="7">
        <f>IF(E132="Yes",AA132*Tab_Data_Flows[[#This Row],[Flow_Material]],"N.A.")</f>
        <v>0</v>
      </c>
      <c r="AD132" s="7" t="str">
        <f>Tab_Data_Flows[[#This Row],[UoM_Flow_Py]]</f>
        <v>Mg</v>
      </c>
      <c r="AE132" s="155">
        <f>INDEX(Tab_Def_Flows[[Flow_ID]:[CC_DM_source]],MATCH(Tab_Data_Flows[[#This Row],[Flow_Name]],Tab_Def_Flows[Flow_Name],0),17)</f>
        <v>0</v>
      </c>
      <c r="AF132" s="7" t="str">
        <f>Tab_Data_Flows[[#This Row],[Flow_ID]]&amp;"_"&amp;"CC_"&amp;Tab_Data_Flows[[#This Row],[Flow_Data_Year]]</f>
        <v>F_03_07_CC_2007</v>
      </c>
      <c r="AG132" s="7">
        <f>IF(F132="Yes",AE132*Tab_Data_Flows[[#This Row],[Flow_Material]]*Tab_Data_Flows[[#This Row],[DM_'[%']]],"N.A.")</f>
        <v>0</v>
      </c>
      <c r="AH132" s="7" t="str">
        <f>Tab_Data_Flows[[#This Row],[UoM_Flow_Py]]</f>
        <v>Mg</v>
      </c>
      <c r="AI132"/>
    </row>
    <row r="133" spans="1:35" x14ac:dyDescent="0.25">
      <c r="A133" s="9">
        <f t="shared" si="5"/>
        <v>132</v>
      </c>
      <c r="B133" s="7" t="str">
        <f>_xlfn.XLOOKUP(C133,Tab_Def_Flows[Flow_Name],Tab_Def_Flows[Flow_ID],,0,)</f>
        <v>F_03_07</v>
      </c>
      <c r="C133" s="8" t="s">
        <v>745</v>
      </c>
      <c r="D133" s="10" t="str">
        <f>_xlfn.XLOOKUP(C133,Tab_Def_Flows[Flow_Name],Tab_Def_Flows[WC?],,0,)</f>
        <v>Yes</v>
      </c>
      <c r="E133" s="10" t="str">
        <f>_xlfn.XLOOKUP(C133,Tab_Def_Flows[Flow_Name],Tab_Def_Flows[DM?],,0,)</f>
        <v>Yes</v>
      </c>
      <c r="F133" s="10" t="str">
        <f>_xlfn.XLOOKUP(C133,Tab_Def_Flows[Flow_Name],Tab_Def_Flows[CC?],,0,)</f>
        <v>Yes</v>
      </c>
      <c r="G133" s="8">
        <v>2008</v>
      </c>
      <c r="H133" s="28">
        <v>50</v>
      </c>
      <c r="I133" s="8"/>
      <c r="J133" s="20"/>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F_03_07_material_2008</v>
      </c>
      <c r="U133" s="18">
        <f t="shared" si="6"/>
        <v>50</v>
      </c>
      <c r="V133" s="8" t="s">
        <v>218</v>
      </c>
      <c r="W133" s="155">
        <f>INDEX(Tab_Def_Flows[[Flow_ID]:[CC_DM_source]],MATCH(Tab_Data_Flows[[#This Row],[Flow_Name]],Tab_Def_Flows[Flow_Name],0),11)</f>
        <v>0</v>
      </c>
      <c r="X133" s="7" t="str">
        <f>Tab_Data_Flows[[#This Row],[Flow_ID]]&amp;"_"&amp;"WC_"&amp;Tab_Data_Flows[[#This Row],[Flow_Data_Year]]</f>
        <v>F_03_07_WC_2008</v>
      </c>
      <c r="Y133" s="7">
        <f>IF(D133="Yes",U133*Tab_Data_Flows[[#This Row],[WC_'[%']]],"N.A.")</f>
        <v>0</v>
      </c>
      <c r="Z133" s="7" t="str">
        <f>Tab_Data_Flows[[#This Row],[UoM_Flow_Py]]</f>
        <v>Mg</v>
      </c>
      <c r="AA133" s="155">
        <f>INDEX(Tab_Def_Flows[[Flow_ID]:[CC_DM_source]],MATCH(Tab_Data_Flows[[#This Row],[Flow_Name]],Tab_Def_Flows[Flow_Name],0),14)</f>
        <v>0</v>
      </c>
      <c r="AB133" s="7" t="str">
        <f>Tab_Data_Flows[[#This Row],[Flow_ID]]&amp;"_"&amp;"DM_"&amp;Tab_Data_Flows[[#This Row],[Flow_Data_Year]]</f>
        <v>F_03_07_DM_2008</v>
      </c>
      <c r="AC133" s="7">
        <f>IF(E133="Yes",AA133*Tab_Data_Flows[[#This Row],[Flow_Material]],"N.A.")</f>
        <v>0</v>
      </c>
      <c r="AD133" s="7" t="str">
        <f>Tab_Data_Flows[[#This Row],[UoM_Flow_Py]]</f>
        <v>Mg</v>
      </c>
      <c r="AE133" s="155">
        <f>INDEX(Tab_Def_Flows[[Flow_ID]:[CC_DM_source]],MATCH(Tab_Data_Flows[[#This Row],[Flow_Name]],Tab_Def_Flows[Flow_Name],0),17)</f>
        <v>0</v>
      </c>
      <c r="AF133" s="7" t="str">
        <f>Tab_Data_Flows[[#This Row],[Flow_ID]]&amp;"_"&amp;"CC_"&amp;Tab_Data_Flows[[#This Row],[Flow_Data_Year]]</f>
        <v>F_03_07_CC_2008</v>
      </c>
      <c r="AG133" s="7">
        <f>IF(F133="Yes",AE133*Tab_Data_Flows[[#This Row],[Flow_Material]]*Tab_Data_Flows[[#This Row],[DM_'[%']]],"N.A.")</f>
        <v>0</v>
      </c>
      <c r="AH133" s="7" t="str">
        <f>Tab_Data_Flows[[#This Row],[UoM_Flow_Py]]</f>
        <v>Mg</v>
      </c>
      <c r="AI133"/>
    </row>
    <row r="134" spans="1:35" x14ac:dyDescent="0.25">
      <c r="A134" s="9">
        <f t="shared" si="5"/>
        <v>133</v>
      </c>
      <c r="B134" s="7" t="str">
        <f>_xlfn.XLOOKUP(C134,Tab_Def_Flows[Flow_Name],Tab_Def_Flows[Flow_ID],,0,)</f>
        <v>F_03_07</v>
      </c>
      <c r="C134" s="8" t="s">
        <v>745</v>
      </c>
      <c r="D134" s="10" t="str">
        <f>_xlfn.XLOOKUP(C134,Tab_Def_Flows[Flow_Name],Tab_Def_Flows[WC?],,0,)</f>
        <v>Yes</v>
      </c>
      <c r="E134" s="10" t="str">
        <f>_xlfn.XLOOKUP(C134,Tab_Def_Flows[Flow_Name],Tab_Def_Flows[DM?],,0,)</f>
        <v>Yes</v>
      </c>
      <c r="F134" s="10" t="str">
        <f>_xlfn.XLOOKUP(C134,Tab_Def_Flows[Flow_Name],Tab_Def_Flows[CC?],,0,)</f>
        <v>Yes</v>
      </c>
      <c r="G134" s="8">
        <v>2009</v>
      </c>
      <c r="H134" s="28">
        <v>50</v>
      </c>
      <c r="I134" s="8"/>
      <c r="J134" s="20"/>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F_03_07_material_2009</v>
      </c>
      <c r="U134" s="18">
        <f t="shared" si="6"/>
        <v>50</v>
      </c>
      <c r="V134" s="8" t="s">
        <v>218</v>
      </c>
      <c r="W134" s="155">
        <f>INDEX(Tab_Def_Flows[[Flow_ID]:[CC_DM_source]],MATCH(Tab_Data_Flows[[#This Row],[Flow_Name]],Tab_Def_Flows[Flow_Name],0),11)</f>
        <v>0</v>
      </c>
      <c r="X134" s="7" t="str">
        <f>Tab_Data_Flows[[#This Row],[Flow_ID]]&amp;"_"&amp;"WC_"&amp;Tab_Data_Flows[[#This Row],[Flow_Data_Year]]</f>
        <v>F_03_07_WC_2009</v>
      </c>
      <c r="Y134" s="7">
        <f>IF(D134="Yes",U134*Tab_Data_Flows[[#This Row],[WC_'[%']]],"N.A.")</f>
        <v>0</v>
      </c>
      <c r="Z134" s="7" t="str">
        <f>Tab_Data_Flows[[#This Row],[UoM_Flow_Py]]</f>
        <v>Mg</v>
      </c>
      <c r="AA134" s="155">
        <f>INDEX(Tab_Def_Flows[[Flow_ID]:[CC_DM_source]],MATCH(Tab_Data_Flows[[#This Row],[Flow_Name]],Tab_Def_Flows[Flow_Name],0),14)</f>
        <v>0</v>
      </c>
      <c r="AB134" s="7" t="str">
        <f>Tab_Data_Flows[[#This Row],[Flow_ID]]&amp;"_"&amp;"DM_"&amp;Tab_Data_Flows[[#This Row],[Flow_Data_Year]]</f>
        <v>F_03_07_DM_2009</v>
      </c>
      <c r="AC134" s="7">
        <f>IF(E134="Yes",AA134*Tab_Data_Flows[[#This Row],[Flow_Material]],"N.A.")</f>
        <v>0</v>
      </c>
      <c r="AD134" s="7" t="str">
        <f>Tab_Data_Flows[[#This Row],[UoM_Flow_Py]]</f>
        <v>Mg</v>
      </c>
      <c r="AE134" s="155">
        <f>INDEX(Tab_Def_Flows[[Flow_ID]:[CC_DM_source]],MATCH(Tab_Data_Flows[[#This Row],[Flow_Name]],Tab_Def_Flows[Flow_Name],0),17)</f>
        <v>0</v>
      </c>
      <c r="AF134" s="7" t="str">
        <f>Tab_Data_Flows[[#This Row],[Flow_ID]]&amp;"_"&amp;"CC_"&amp;Tab_Data_Flows[[#This Row],[Flow_Data_Year]]</f>
        <v>F_03_07_CC_2009</v>
      </c>
      <c r="AG134" s="7">
        <f>IF(F134="Yes",AE134*Tab_Data_Flows[[#This Row],[Flow_Material]]*Tab_Data_Flows[[#This Row],[DM_'[%']]],"N.A.")</f>
        <v>0</v>
      </c>
      <c r="AH134" s="7" t="str">
        <f>Tab_Data_Flows[[#This Row],[UoM_Flow_Py]]</f>
        <v>Mg</v>
      </c>
      <c r="AI134"/>
    </row>
    <row r="135" spans="1:35" x14ac:dyDescent="0.25">
      <c r="A135" s="9">
        <f t="shared" si="5"/>
        <v>134</v>
      </c>
      <c r="B135" s="7" t="str">
        <f>_xlfn.XLOOKUP(C135,Tab_Def_Flows[Flow_Name],Tab_Def_Flows[Flow_ID],,0,)</f>
        <v>F_03_07</v>
      </c>
      <c r="C135" s="8" t="s">
        <v>745</v>
      </c>
      <c r="D135" s="10" t="str">
        <f>_xlfn.XLOOKUP(C135,Tab_Def_Flows[Flow_Name],Tab_Def_Flows[WC?],,0,)</f>
        <v>Yes</v>
      </c>
      <c r="E135" s="10" t="str">
        <f>_xlfn.XLOOKUP(C135,Tab_Def_Flows[Flow_Name],Tab_Def_Flows[DM?],,0,)</f>
        <v>Yes</v>
      </c>
      <c r="F135" s="10" t="str">
        <f>_xlfn.XLOOKUP(C135,Tab_Def_Flows[Flow_Name],Tab_Def_Flows[CC?],,0,)</f>
        <v>Yes</v>
      </c>
      <c r="G135" s="8">
        <v>2010</v>
      </c>
      <c r="H135" s="28">
        <v>50</v>
      </c>
      <c r="I135" s="8"/>
      <c r="J135" s="20"/>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F_03_07_material_2010</v>
      </c>
      <c r="U135" s="18">
        <f t="shared" si="6"/>
        <v>50</v>
      </c>
      <c r="V135" s="8" t="s">
        <v>218</v>
      </c>
      <c r="W135" s="155">
        <f>INDEX(Tab_Def_Flows[[Flow_ID]:[CC_DM_source]],MATCH(Tab_Data_Flows[[#This Row],[Flow_Name]],Tab_Def_Flows[Flow_Name],0),11)</f>
        <v>0</v>
      </c>
      <c r="X135" s="7" t="str">
        <f>Tab_Data_Flows[[#This Row],[Flow_ID]]&amp;"_"&amp;"WC_"&amp;Tab_Data_Flows[[#This Row],[Flow_Data_Year]]</f>
        <v>F_03_07_WC_2010</v>
      </c>
      <c r="Y135" s="7">
        <f>IF(D135="Yes",U135*Tab_Data_Flows[[#This Row],[WC_'[%']]],"N.A.")</f>
        <v>0</v>
      </c>
      <c r="Z135" s="7" t="str">
        <f>Tab_Data_Flows[[#This Row],[UoM_Flow_Py]]</f>
        <v>Mg</v>
      </c>
      <c r="AA135" s="155">
        <f>INDEX(Tab_Def_Flows[[Flow_ID]:[CC_DM_source]],MATCH(Tab_Data_Flows[[#This Row],[Flow_Name]],Tab_Def_Flows[Flow_Name],0),14)</f>
        <v>0</v>
      </c>
      <c r="AB135" s="7" t="str">
        <f>Tab_Data_Flows[[#This Row],[Flow_ID]]&amp;"_"&amp;"DM_"&amp;Tab_Data_Flows[[#This Row],[Flow_Data_Year]]</f>
        <v>F_03_07_DM_2010</v>
      </c>
      <c r="AC135" s="7">
        <f>IF(E135="Yes",AA135*Tab_Data_Flows[[#This Row],[Flow_Material]],"N.A.")</f>
        <v>0</v>
      </c>
      <c r="AD135" s="7" t="str">
        <f>Tab_Data_Flows[[#This Row],[UoM_Flow_Py]]</f>
        <v>Mg</v>
      </c>
      <c r="AE135" s="155">
        <f>INDEX(Tab_Def_Flows[[Flow_ID]:[CC_DM_source]],MATCH(Tab_Data_Flows[[#This Row],[Flow_Name]],Tab_Def_Flows[Flow_Name],0),17)</f>
        <v>0</v>
      </c>
      <c r="AF135" s="7" t="str">
        <f>Tab_Data_Flows[[#This Row],[Flow_ID]]&amp;"_"&amp;"CC_"&amp;Tab_Data_Flows[[#This Row],[Flow_Data_Year]]</f>
        <v>F_03_07_CC_2010</v>
      </c>
      <c r="AG135" s="7">
        <f>IF(F135="Yes",AE135*Tab_Data_Flows[[#This Row],[Flow_Material]]*Tab_Data_Flows[[#This Row],[DM_'[%']]],"N.A.")</f>
        <v>0</v>
      </c>
      <c r="AH135" s="7" t="str">
        <f>Tab_Data_Flows[[#This Row],[UoM_Flow_Py]]</f>
        <v>Mg</v>
      </c>
      <c r="AI135"/>
    </row>
    <row r="136" spans="1:35" x14ac:dyDescent="0.25">
      <c r="A136" s="9">
        <f t="shared" si="5"/>
        <v>135</v>
      </c>
      <c r="B136" s="7" t="str">
        <f>_xlfn.XLOOKUP(C136,Tab_Def_Flows[Flow_Name],Tab_Def_Flows[Flow_ID],,0,)</f>
        <v>F_03_07</v>
      </c>
      <c r="C136" s="8" t="s">
        <v>745</v>
      </c>
      <c r="D136" s="10" t="str">
        <f>_xlfn.XLOOKUP(C136,Tab_Def_Flows[Flow_Name],Tab_Def_Flows[WC?],,0,)</f>
        <v>Yes</v>
      </c>
      <c r="E136" s="10" t="str">
        <f>_xlfn.XLOOKUP(C136,Tab_Def_Flows[Flow_Name],Tab_Def_Flows[DM?],,0,)</f>
        <v>Yes</v>
      </c>
      <c r="F136" s="10" t="str">
        <f>_xlfn.XLOOKUP(C136,Tab_Def_Flows[Flow_Name],Tab_Def_Flows[CC?],,0,)</f>
        <v>Yes</v>
      </c>
      <c r="G136" s="8">
        <v>2011</v>
      </c>
      <c r="H136" s="28">
        <v>50</v>
      </c>
      <c r="I136" s="8"/>
      <c r="J136" s="20"/>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F_03_07_material_2011</v>
      </c>
      <c r="U136" s="18">
        <f t="shared" si="6"/>
        <v>50</v>
      </c>
      <c r="V136" s="8" t="s">
        <v>218</v>
      </c>
      <c r="W136" s="155">
        <f>INDEX(Tab_Def_Flows[[Flow_ID]:[CC_DM_source]],MATCH(Tab_Data_Flows[[#This Row],[Flow_Name]],Tab_Def_Flows[Flow_Name],0),11)</f>
        <v>0</v>
      </c>
      <c r="X136" s="7" t="str">
        <f>Tab_Data_Flows[[#This Row],[Flow_ID]]&amp;"_"&amp;"WC_"&amp;Tab_Data_Flows[[#This Row],[Flow_Data_Year]]</f>
        <v>F_03_07_WC_2011</v>
      </c>
      <c r="Y136" s="7">
        <f>IF(D136="Yes",U136*Tab_Data_Flows[[#This Row],[WC_'[%']]],"N.A.")</f>
        <v>0</v>
      </c>
      <c r="Z136" s="7" t="str">
        <f>Tab_Data_Flows[[#This Row],[UoM_Flow_Py]]</f>
        <v>Mg</v>
      </c>
      <c r="AA136" s="155">
        <f>INDEX(Tab_Def_Flows[[Flow_ID]:[CC_DM_source]],MATCH(Tab_Data_Flows[[#This Row],[Flow_Name]],Tab_Def_Flows[Flow_Name],0),14)</f>
        <v>0</v>
      </c>
      <c r="AB136" s="7" t="str">
        <f>Tab_Data_Flows[[#This Row],[Flow_ID]]&amp;"_"&amp;"DM_"&amp;Tab_Data_Flows[[#This Row],[Flow_Data_Year]]</f>
        <v>F_03_07_DM_2011</v>
      </c>
      <c r="AC136" s="7">
        <f>IF(E136="Yes",AA136*Tab_Data_Flows[[#This Row],[Flow_Material]],"N.A.")</f>
        <v>0</v>
      </c>
      <c r="AD136" s="7" t="str">
        <f>Tab_Data_Flows[[#This Row],[UoM_Flow_Py]]</f>
        <v>Mg</v>
      </c>
      <c r="AE136" s="155">
        <f>INDEX(Tab_Def_Flows[[Flow_ID]:[CC_DM_source]],MATCH(Tab_Data_Flows[[#This Row],[Flow_Name]],Tab_Def_Flows[Flow_Name],0),17)</f>
        <v>0</v>
      </c>
      <c r="AF136" s="7" t="str">
        <f>Tab_Data_Flows[[#This Row],[Flow_ID]]&amp;"_"&amp;"CC_"&amp;Tab_Data_Flows[[#This Row],[Flow_Data_Year]]</f>
        <v>F_03_07_CC_2011</v>
      </c>
      <c r="AG136" s="7">
        <f>IF(F136="Yes",AE136*Tab_Data_Flows[[#This Row],[Flow_Material]]*Tab_Data_Flows[[#This Row],[DM_'[%']]],"N.A.")</f>
        <v>0</v>
      </c>
      <c r="AH136" s="7" t="str">
        <f>Tab_Data_Flows[[#This Row],[UoM_Flow_Py]]</f>
        <v>Mg</v>
      </c>
      <c r="AI136"/>
    </row>
    <row r="137" spans="1:35" x14ac:dyDescent="0.25">
      <c r="A137" s="9">
        <f t="shared" si="5"/>
        <v>136</v>
      </c>
      <c r="B137" s="7" t="str">
        <f>_xlfn.XLOOKUP(C137,Tab_Def_Flows[Flow_Name],Tab_Def_Flows[Flow_ID],,0,)</f>
        <v>F_03_07</v>
      </c>
      <c r="C137" s="8" t="s">
        <v>745</v>
      </c>
      <c r="D137" s="10" t="str">
        <f>_xlfn.XLOOKUP(C137,Tab_Def_Flows[Flow_Name],Tab_Def_Flows[WC?],,0,)</f>
        <v>Yes</v>
      </c>
      <c r="E137" s="10" t="str">
        <f>_xlfn.XLOOKUP(C137,Tab_Def_Flows[Flow_Name],Tab_Def_Flows[DM?],,0,)</f>
        <v>Yes</v>
      </c>
      <c r="F137" s="10" t="str">
        <f>_xlfn.XLOOKUP(C137,Tab_Def_Flows[Flow_Name],Tab_Def_Flows[CC?],,0,)</f>
        <v>Yes</v>
      </c>
      <c r="G137" s="8">
        <v>2012</v>
      </c>
      <c r="H137" s="28">
        <v>50</v>
      </c>
      <c r="I137" s="8"/>
      <c r="J137" s="20"/>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F_03_07_material_2012</v>
      </c>
      <c r="U137" s="18">
        <f t="shared" si="6"/>
        <v>50</v>
      </c>
      <c r="V137" s="8" t="s">
        <v>218</v>
      </c>
      <c r="W137" s="155">
        <f>INDEX(Tab_Def_Flows[[Flow_ID]:[CC_DM_source]],MATCH(Tab_Data_Flows[[#This Row],[Flow_Name]],Tab_Def_Flows[Flow_Name],0),11)</f>
        <v>0</v>
      </c>
      <c r="X137" s="7" t="str">
        <f>Tab_Data_Flows[[#This Row],[Flow_ID]]&amp;"_"&amp;"WC_"&amp;Tab_Data_Flows[[#This Row],[Flow_Data_Year]]</f>
        <v>F_03_07_WC_2012</v>
      </c>
      <c r="Y137" s="7">
        <f>IF(D137="Yes",U137*Tab_Data_Flows[[#This Row],[WC_'[%']]],"N.A.")</f>
        <v>0</v>
      </c>
      <c r="Z137" s="7" t="str">
        <f>Tab_Data_Flows[[#This Row],[UoM_Flow_Py]]</f>
        <v>Mg</v>
      </c>
      <c r="AA137" s="155">
        <f>INDEX(Tab_Def_Flows[[Flow_ID]:[CC_DM_source]],MATCH(Tab_Data_Flows[[#This Row],[Flow_Name]],Tab_Def_Flows[Flow_Name],0),14)</f>
        <v>0</v>
      </c>
      <c r="AB137" s="7" t="str">
        <f>Tab_Data_Flows[[#This Row],[Flow_ID]]&amp;"_"&amp;"DM_"&amp;Tab_Data_Flows[[#This Row],[Flow_Data_Year]]</f>
        <v>F_03_07_DM_2012</v>
      </c>
      <c r="AC137" s="7">
        <f>IF(E137="Yes",AA137*Tab_Data_Flows[[#This Row],[Flow_Material]],"N.A.")</f>
        <v>0</v>
      </c>
      <c r="AD137" s="7" t="str">
        <f>Tab_Data_Flows[[#This Row],[UoM_Flow_Py]]</f>
        <v>Mg</v>
      </c>
      <c r="AE137" s="155">
        <f>INDEX(Tab_Def_Flows[[Flow_ID]:[CC_DM_source]],MATCH(Tab_Data_Flows[[#This Row],[Flow_Name]],Tab_Def_Flows[Flow_Name],0),17)</f>
        <v>0</v>
      </c>
      <c r="AF137" s="7" t="str">
        <f>Tab_Data_Flows[[#This Row],[Flow_ID]]&amp;"_"&amp;"CC_"&amp;Tab_Data_Flows[[#This Row],[Flow_Data_Year]]</f>
        <v>F_03_07_CC_2012</v>
      </c>
      <c r="AG137" s="7">
        <f>IF(F137="Yes",AE137*Tab_Data_Flows[[#This Row],[Flow_Material]]*Tab_Data_Flows[[#This Row],[DM_'[%']]],"N.A.")</f>
        <v>0</v>
      </c>
      <c r="AH137" s="7" t="str">
        <f>Tab_Data_Flows[[#This Row],[UoM_Flow_Py]]</f>
        <v>Mg</v>
      </c>
      <c r="AI137"/>
    </row>
    <row r="138" spans="1:35" x14ac:dyDescent="0.25">
      <c r="A138" s="9">
        <f t="shared" si="5"/>
        <v>137</v>
      </c>
      <c r="B138" s="7" t="str">
        <f>_xlfn.XLOOKUP(C138,Tab_Def_Flows[Flow_Name],Tab_Def_Flows[Flow_ID],,0,)</f>
        <v>F_03_07</v>
      </c>
      <c r="C138" s="8" t="s">
        <v>745</v>
      </c>
      <c r="D138" s="10" t="str">
        <f>_xlfn.XLOOKUP(C138,Tab_Def_Flows[Flow_Name],Tab_Def_Flows[WC?],,0,)</f>
        <v>Yes</v>
      </c>
      <c r="E138" s="10" t="str">
        <f>_xlfn.XLOOKUP(C138,Tab_Def_Flows[Flow_Name],Tab_Def_Flows[DM?],,0,)</f>
        <v>Yes</v>
      </c>
      <c r="F138" s="10" t="str">
        <f>_xlfn.XLOOKUP(C138,Tab_Def_Flows[Flow_Name],Tab_Def_Flows[CC?],,0,)</f>
        <v>Yes</v>
      </c>
      <c r="G138" s="8">
        <v>2013</v>
      </c>
      <c r="H138" s="28">
        <v>50</v>
      </c>
      <c r="I138" s="8"/>
      <c r="J138" s="20"/>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F_03_07_material_2013</v>
      </c>
      <c r="U138" s="18">
        <f t="shared" si="6"/>
        <v>50</v>
      </c>
      <c r="V138" s="8" t="s">
        <v>218</v>
      </c>
      <c r="W138" s="155">
        <f>INDEX(Tab_Def_Flows[[Flow_ID]:[CC_DM_source]],MATCH(Tab_Data_Flows[[#This Row],[Flow_Name]],Tab_Def_Flows[Flow_Name],0),11)</f>
        <v>0</v>
      </c>
      <c r="X138" s="7" t="str">
        <f>Tab_Data_Flows[[#This Row],[Flow_ID]]&amp;"_"&amp;"WC_"&amp;Tab_Data_Flows[[#This Row],[Flow_Data_Year]]</f>
        <v>F_03_07_WC_2013</v>
      </c>
      <c r="Y138" s="7">
        <f>IF(D138="Yes",U138*Tab_Data_Flows[[#This Row],[WC_'[%']]],"N.A.")</f>
        <v>0</v>
      </c>
      <c r="Z138" s="7" t="str">
        <f>Tab_Data_Flows[[#This Row],[UoM_Flow_Py]]</f>
        <v>Mg</v>
      </c>
      <c r="AA138" s="155">
        <f>INDEX(Tab_Def_Flows[[Flow_ID]:[CC_DM_source]],MATCH(Tab_Data_Flows[[#This Row],[Flow_Name]],Tab_Def_Flows[Flow_Name],0),14)</f>
        <v>0</v>
      </c>
      <c r="AB138" s="7" t="str">
        <f>Tab_Data_Flows[[#This Row],[Flow_ID]]&amp;"_"&amp;"DM_"&amp;Tab_Data_Flows[[#This Row],[Flow_Data_Year]]</f>
        <v>F_03_07_DM_2013</v>
      </c>
      <c r="AC138" s="7">
        <f>IF(E138="Yes",AA138*Tab_Data_Flows[[#This Row],[Flow_Material]],"N.A.")</f>
        <v>0</v>
      </c>
      <c r="AD138" s="7" t="str">
        <f>Tab_Data_Flows[[#This Row],[UoM_Flow_Py]]</f>
        <v>Mg</v>
      </c>
      <c r="AE138" s="155">
        <f>INDEX(Tab_Def_Flows[[Flow_ID]:[CC_DM_source]],MATCH(Tab_Data_Flows[[#This Row],[Flow_Name]],Tab_Def_Flows[Flow_Name],0),17)</f>
        <v>0</v>
      </c>
      <c r="AF138" s="7" t="str">
        <f>Tab_Data_Flows[[#This Row],[Flow_ID]]&amp;"_"&amp;"CC_"&amp;Tab_Data_Flows[[#This Row],[Flow_Data_Year]]</f>
        <v>F_03_07_CC_2013</v>
      </c>
      <c r="AG138" s="7">
        <f>IF(F138="Yes",AE138*Tab_Data_Flows[[#This Row],[Flow_Material]]*Tab_Data_Flows[[#This Row],[DM_'[%']]],"N.A.")</f>
        <v>0</v>
      </c>
      <c r="AH138" s="7" t="str">
        <f>Tab_Data_Flows[[#This Row],[UoM_Flow_Py]]</f>
        <v>Mg</v>
      </c>
      <c r="AI138"/>
    </row>
    <row r="139" spans="1:35" x14ac:dyDescent="0.25">
      <c r="A139" s="9">
        <f t="shared" si="5"/>
        <v>138</v>
      </c>
      <c r="B139" s="7" t="str">
        <f>_xlfn.XLOOKUP(C139,Tab_Def_Flows[Flow_Name],Tab_Def_Flows[Flow_ID],,0,)</f>
        <v>F_03_07</v>
      </c>
      <c r="C139" s="8" t="s">
        <v>745</v>
      </c>
      <c r="D139" s="10" t="str">
        <f>_xlfn.XLOOKUP(C139,Tab_Def_Flows[Flow_Name],Tab_Def_Flows[WC?],,0,)</f>
        <v>Yes</v>
      </c>
      <c r="E139" s="10" t="str">
        <f>_xlfn.XLOOKUP(C139,Tab_Def_Flows[Flow_Name],Tab_Def_Flows[DM?],,0,)</f>
        <v>Yes</v>
      </c>
      <c r="F139" s="10" t="str">
        <f>_xlfn.XLOOKUP(C139,Tab_Def_Flows[Flow_Name],Tab_Def_Flows[CC?],,0,)</f>
        <v>Yes</v>
      </c>
      <c r="G139" s="8">
        <v>2014</v>
      </c>
      <c r="H139" s="28">
        <v>50</v>
      </c>
      <c r="I139" s="8"/>
      <c r="J139" s="20"/>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F_03_07_material_2014</v>
      </c>
      <c r="U139" s="18">
        <f t="shared" si="6"/>
        <v>50</v>
      </c>
      <c r="V139" s="8" t="s">
        <v>218</v>
      </c>
      <c r="W139" s="155">
        <f>INDEX(Tab_Def_Flows[[Flow_ID]:[CC_DM_source]],MATCH(Tab_Data_Flows[[#This Row],[Flow_Name]],Tab_Def_Flows[Flow_Name],0),11)</f>
        <v>0</v>
      </c>
      <c r="X139" s="7" t="str">
        <f>Tab_Data_Flows[[#This Row],[Flow_ID]]&amp;"_"&amp;"WC_"&amp;Tab_Data_Flows[[#This Row],[Flow_Data_Year]]</f>
        <v>F_03_07_WC_2014</v>
      </c>
      <c r="Y139" s="7">
        <f>IF(D139="Yes",U139*Tab_Data_Flows[[#This Row],[WC_'[%']]],"N.A.")</f>
        <v>0</v>
      </c>
      <c r="Z139" s="7" t="str">
        <f>Tab_Data_Flows[[#This Row],[UoM_Flow_Py]]</f>
        <v>Mg</v>
      </c>
      <c r="AA139" s="155">
        <f>INDEX(Tab_Def_Flows[[Flow_ID]:[CC_DM_source]],MATCH(Tab_Data_Flows[[#This Row],[Flow_Name]],Tab_Def_Flows[Flow_Name],0),14)</f>
        <v>0</v>
      </c>
      <c r="AB139" s="7" t="str">
        <f>Tab_Data_Flows[[#This Row],[Flow_ID]]&amp;"_"&amp;"DM_"&amp;Tab_Data_Flows[[#This Row],[Flow_Data_Year]]</f>
        <v>F_03_07_DM_2014</v>
      </c>
      <c r="AC139" s="7">
        <f>IF(E139="Yes",AA139*Tab_Data_Flows[[#This Row],[Flow_Material]],"N.A.")</f>
        <v>0</v>
      </c>
      <c r="AD139" s="7" t="str">
        <f>Tab_Data_Flows[[#This Row],[UoM_Flow_Py]]</f>
        <v>Mg</v>
      </c>
      <c r="AE139" s="155">
        <f>INDEX(Tab_Def_Flows[[Flow_ID]:[CC_DM_source]],MATCH(Tab_Data_Flows[[#This Row],[Flow_Name]],Tab_Def_Flows[Flow_Name],0),17)</f>
        <v>0</v>
      </c>
      <c r="AF139" s="7" t="str">
        <f>Tab_Data_Flows[[#This Row],[Flow_ID]]&amp;"_"&amp;"CC_"&amp;Tab_Data_Flows[[#This Row],[Flow_Data_Year]]</f>
        <v>F_03_07_CC_2014</v>
      </c>
      <c r="AG139" s="7">
        <f>IF(F139="Yes",AE139*Tab_Data_Flows[[#This Row],[Flow_Material]]*Tab_Data_Flows[[#This Row],[DM_'[%']]],"N.A.")</f>
        <v>0</v>
      </c>
      <c r="AH139" s="7" t="str">
        <f>Tab_Data_Flows[[#This Row],[UoM_Flow_Py]]</f>
        <v>Mg</v>
      </c>
      <c r="AI139"/>
    </row>
    <row r="140" spans="1:35" x14ac:dyDescent="0.25">
      <c r="A140" s="9">
        <f t="shared" si="5"/>
        <v>139</v>
      </c>
      <c r="B140" s="7" t="str">
        <f>_xlfn.XLOOKUP(C140,Tab_Def_Flows[Flow_Name],Tab_Def_Flows[Flow_ID],,0,)</f>
        <v>F_03_07</v>
      </c>
      <c r="C140" s="8" t="s">
        <v>745</v>
      </c>
      <c r="D140" s="10" t="str">
        <f>_xlfn.XLOOKUP(C140,Tab_Def_Flows[Flow_Name],Tab_Def_Flows[WC?],,0,)</f>
        <v>Yes</v>
      </c>
      <c r="E140" s="10" t="str">
        <f>_xlfn.XLOOKUP(C140,Tab_Def_Flows[Flow_Name],Tab_Def_Flows[DM?],,0,)</f>
        <v>Yes</v>
      </c>
      <c r="F140" s="10" t="str">
        <f>_xlfn.XLOOKUP(C140,Tab_Def_Flows[Flow_Name],Tab_Def_Flows[CC?],,0,)</f>
        <v>Yes</v>
      </c>
      <c r="G140" s="8">
        <v>2015</v>
      </c>
      <c r="H140" s="28">
        <v>50</v>
      </c>
      <c r="I140" s="8"/>
      <c r="J140" s="20"/>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F_03_07_material_2015</v>
      </c>
      <c r="U140" s="18">
        <f t="shared" si="6"/>
        <v>50</v>
      </c>
      <c r="V140" s="8" t="s">
        <v>218</v>
      </c>
      <c r="W140" s="155">
        <f>INDEX(Tab_Def_Flows[[Flow_ID]:[CC_DM_source]],MATCH(Tab_Data_Flows[[#This Row],[Flow_Name]],Tab_Def_Flows[Flow_Name],0),11)</f>
        <v>0</v>
      </c>
      <c r="X140" s="7" t="str">
        <f>Tab_Data_Flows[[#This Row],[Flow_ID]]&amp;"_"&amp;"WC_"&amp;Tab_Data_Flows[[#This Row],[Flow_Data_Year]]</f>
        <v>F_03_07_WC_2015</v>
      </c>
      <c r="Y140" s="7">
        <f>IF(D140="Yes",U140*Tab_Data_Flows[[#This Row],[WC_'[%']]],"N.A.")</f>
        <v>0</v>
      </c>
      <c r="Z140" s="7" t="str">
        <f>Tab_Data_Flows[[#This Row],[UoM_Flow_Py]]</f>
        <v>Mg</v>
      </c>
      <c r="AA140" s="155">
        <f>INDEX(Tab_Def_Flows[[Flow_ID]:[CC_DM_source]],MATCH(Tab_Data_Flows[[#This Row],[Flow_Name]],Tab_Def_Flows[Flow_Name],0),14)</f>
        <v>0</v>
      </c>
      <c r="AB140" s="7" t="str">
        <f>Tab_Data_Flows[[#This Row],[Flow_ID]]&amp;"_"&amp;"DM_"&amp;Tab_Data_Flows[[#This Row],[Flow_Data_Year]]</f>
        <v>F_03_07_DM_2015</v>
      </c>
      <c r="AC140" s="7">
        <f>IF(E140="Yes",AA140*Tab_Data_Flows[[#This Row],[Flow_Material]],"N.A.")</f>
        <v>0</v>
      </c>
      <c r="AD140" s="7" t="str">
        <f>Tab_Data_Flows[[#This Row],[UoM_Flow_Py]]</f>
        <v>Mg</v>
      </c>
      <c r="AE140" s="155">
        <f>INDEX(Tab_Def_Flows[[Flow_ID]:[CC_DM_source]],MATCH(Tab_Data_Flows[[#This Row],[Flow_Name]],Tab_Def_Flows[Flow_Name],0),17)</f>
        <v>0</v>
      </c>
      <c r="AF140" s="7" t="str">
        <f>Tab_Data_Flows[[#This Row],[Flow_ID]]&amp;"_"&amp;"CC_"&amp;Tab_Data_Flows[[#This Row],[Flow_Data_Year]]</f>
        <v>F_03_07_CC_2015</v>
      </c>
      <c r="AG140" s="7">
        <f>IF(F140="Yes",AE140*Tab_Data_Flows[[#This Row],[Flow_Material]]*Tab_Data_Flows[[#This Row],[DM_'[%']]],"N.A.")</f>
        <v>0</v>
      </c>
      <c r="AH140" s="7" t="str">
        <f>Tab_Data_Flows[[#This Row],[UoM_Flow_Py]]</f>
        <v>Mg</v>
      </c>
      <c r="AI140"/>
    </row>
    <row r="141" spans="1:35" x14ac:dyDescent="0.25">
      <c r="A141" s="9">
        <f t="shared" si="5"/>
        <v>140</v>
      </c>
      <c r="B141" s="7" t="str">
        <f>_xlfn.XLOOKUP(C141,Tab_Def_Flows[Flow_Name],Tab_Def_Flows[Flow_ID],,0,)</f>
        <v>F_03_07</v>
      </c>
      <c r="C141" s="8" t="s">
        <v>745</v>
      </c>
      <c r="D141" s="10" t="str">
        <f>_xlfn.XLOOKUP(C141,Tab_Def_Flows[Flow_Name],Tab_Def_Flows[WC?],,0,)</f>
        <v>Yes</v>
      </c>
      <c r="E141" s="10" t="str">
        <f>_xlfn.XLOOKUP(C141,Tab_Def_Flows[Flow_Name],Tab_Def_Flows[DM?],,0,)</f>
        <v>Yes</v>
      </c>
      <c r="F141" s="10" t="str">
        <f>_xlfn.XLOOKUP(C141,Tab_Def_Flows[Flow_Name],Tab_Def_Flows[CC?],,0,)</f>
        <v>Yes</v>
      </c>
      <c r="G141" s="8">
        <v>2016</v>
      </c>
      <c r="H141" s="28">
        <v>50</v>
      </c>
      <c r="I141" s="8"/>
      <c r="J141" s="20"/>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F_03_07_material_2016</v>
      </c>
      <c r="U141" s="18">
        <f t="shared" si="6"/>
        <v>50</v>
      </c>
      <c r="V141" s="8" t="s">
        <v>218</v>
      </c>
      <c r="W141" s="155">
        <f>INDEX(Tab_Def_Flows[[Flow_ID]:[CC_DM_source]],MATCH(Tab_Data_Flows[[#This Row],[Flow_Name]],Tab_Def_Flows[Flow_Name],0),11)</f>
        <v>0</v>
      </c>
      <c r="X141" s="7" t="str">
        <f>Tab_Data_Flows[[#This Row],[Flow_ID]]&amp;"_"&amp;"WC_"&amp;Tab_Data_Flows[[#This Row],[Flow_Data_Year]]</f>
        <v>F_03_07_WC_2016</v>
      </c>
      <c r="Y141" s="7">
        <f>IF(D141="Yes",U141*Tab_Data_Flows[[#This Row],[WC_'[%']]],"N.A.")</f>
        <v>0</v>
      </c>
      <c r="Z141" s="7" t="str">
        <f>Tab_Data_Flows[[#This Row],[UoM_Flow_Py]]</f>
        <v>Mg</v>
      </c>
      <c r="AA141" s="155">
        <f>INDEX(Tab_Def_Flows[[Flow_ID]:[CC_DM_source]],MATCH(Tab_Data_Flows[[#This Row],[Flow_Name]],Tab_Def_Flows[Flow_Name],0),14)</f>
        <v>0</v>
      </c>
      <c r="AB141" s="7" t="str">
        <f>Tab_Data_Flows[[#This Row],[Flow_ID]]&amp;"_"&amp;"DM_"&amp;Tab_Data_Flows[[#This Row],[Flow_Data_Year]]</f>
        <v>F_03_07_DM_2016</v>
      </c>
      <c r="AC141" s="7">
        <f>IF(E141="Yes",AA141*Tab_Data_Flows[[#This Row],[Flow_Material]],"N.A.")</f>
        <v>0</v>
      </c>
      <c r="AD141" s="7" t="str">
        <f>Tab_Data_Flows[[#This Row],[UoM_Flow_Py]]</f>
        <v>Mg</v>
      </c>
      <c r="AE141" s="155">
        <f>INDEX(Tab_Def_Flows[[Flow_ID]:[CC_DM_source]],MATCH(Tab_Data_Flows[[#This Row],[Flow_Name]],Tab_Def_Flows[Flow_Name],0),17)</f>
        <v>0</v>
      </c>
      <c r="AF141" s="7" t="str">
        <f>Tab_Data_Flows[[#This Row],[Flow_ID]]&amp;"_"&amp;"CC_"&amp;Tab_Data_Flows[[#This Row],[Flow_Data_Year]]</f>
        <v>F_03_07_CC_2016</v>
      </c>
      <c r="AG141" s="7">
        <f>IF(F141="Yes",AE141*Tab_Data_Flows[[#This Row],[Flow_Material]]*Tab_Data_Flows[[#This Row],[DM_'[%']]],"N.A.")</f>
        <v>0</v>
      </c>
      <c r="AH141" s="7" t="str">
        <f>Tab_Data_Flows[[#This Row],[UoM_Flow_Py]]</f>
        <v>Mg</v>
      </c>
      <c r="AI141"/>
    </row>
    <row r="142" spans="1:35" x14ac:dyDescent="0.25">
      <c r="A142" s="9">
        <f t="shared" si="5"/>
        <v>141</v>
      </c>
      <c r="B142" s="7" t="str">
        <f>_xlfn.XLOOKUP(C142,Tab_Def_Flows[Flow_Name],Tab_Def_Flows[Flow_ID],,0,)</f>
        <v>F_03_07</v>
      </c>
      <c r="C142" s="8" t="s">
        <v>745</v>
      </c>
      <c r="D142" s="10" t="str">
        <f>_xlfn.XLOOKUP(C142,Tab_Def_Flows[Flow_Name],Tab_Def_Flows[WC?],,0,)</f>
        <v>Yes</v>
      </c>
      <c r="E142" s="10" t="str">
        <f>_xlfn.XLOOKUP(C142,Tab_Def_Flows[Flow_Name],Tab_Def_Flows[DM?],,0,)</f>
        <v>Yes</v>
      </c>
      <c r="F142" s="10" t="str">
        <f>_xlfn.XLOOKUP(C142,Tab_Def_Flows[Flow_Name],Tab_Def_Flows[CC?],,0,)</f>
        <v>Yes</v>
      </c>
      <c r="G142" s="8">
        <v>2017</v>
      </c>
      <c r="H142" s="28">
        <v>50</v>
      </c>
      <c r="I142" s="8"/>
      <c r="J142" s="20"/>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F_03_07_material_2017</v>
      </c>
      <c r="U142" s="18">
        <f t="shared" si="6"/>
        <v>50</v>
      </c>
      <c r="V142" s="8" t="s">
        <v>218</v>
      </c>
      <c r="W142" s="155">
        <f>INDEX(Tab_Def_Flows[[Flow_ID]:[CC_DM_source]],MATCH(Tab_Data_Flows[[#This Row],[Flow_Name]],Tab_Def_Flows[Flow_Name],0),11)</f>
        <v>0</v>
      </c>
      <c r="X142" s="7" t="str">
        <f>Tab_Data_Flows[[#This Row],[Flow_ID]]&amp;"_"&amp;"WC_"&amp;Tab_Data_Flows[[#This Row],[Flow_Data_Year]]</f>
        <v>F_03_07_WC_2017</v>
      </c>
      <c r="Y142" s="7">
        <f>IF(D142="Yes",U142*Tab_Data_Flows[[#This Row],[WC_'[%']]],"N.A.")</f>
        <v>0</v>
      </c>
      <c r="Z142" s="7" t="str">
        <f>Tab_Data_Flows[[#This Row],[UoM_Flow_Py]]</f>
        <v>Mg</v>
      </c>
      <c r="AA142" s="155">
        <f>INDEX(Tab_Def_Flows[[Flow_ID]:[CC_DM_source]],MATCH(Tab_Data_Flows[[#This Row],[Flow_Name]],Tab_Def_Flows[Flow_Name],0),14)</f>
        <v>0</v>
      </c>
      <c r="AB142" s="7" t="str">
        <f>Tab_Data_Flows[[#This Row],[Flow_ID]]&amp;"_"&amp;"DM_"&amp;Tab_Data_Flows[[#This Row],[Flow_Data_Year]]</f>
        <v>F_03_07_DM_2017</v>
      </c>
      <c r="AC142" s="7">
        <f>IF(E142="Yes",AA142*Tab_Data_Flows[[#This Row],[Flow_Material]],"N.A.")</f>
        <v>0</v>
      </c>
      <c r="AD142" s="7" t="str">
        <f>Tab_Data_Flows[[#This Row],[UoM_Flow_Py]]</f>
        <v>Mg</v>
      </c>
      <c r="AE142" s="155">
        <f>INDEX(Tab_Def_Flows[[Flow_ID]:[CC_DM_source]],MATCH(Tab_Data_Flows[[#This Row],[Flow_Name]],Tab_Def_Flows[Flow_Name],0),17)</f>
        <v>0</v>
      </c>
      <c r="AF142" s="7" t="str">
        <f>Tab_Data_Flows[[#This Row],[Flow_ID]]&amp;"_"&amp;"CC_"&amp;Tab_Data_Flows[[#This Row],[Flow_Data_Year]]</f>
        <v>F_03_07_CC_2017</v>
      </c>
      <c r="AG142" s="7">
        <f>IF(F142="Yes",AE142*Tab_Data_Flows[[#This Row],[Flow_Material]]*Tab_Data_Flows[[#This Row],[DM_'[%']]],"N.A.")</f>
        <v>0</v>
      </c>
      <c r="AH142" s="7" t="str">
        <f>Tab_Data_Flows[[#This Row],[UoM_Flow_Py]]</f>
        <v>Mg</v>
      </c>
      <c r="AI142"/>
    </row>
    <row r="143" spans="1:35" x14ac:dyDescent="0.25">
      <c r="A143" s="9">
        <f t="shared" si="5"/>
        <v>142</v>
      </c>
      <c r="B143" s="7" t="str">
        <f>_xlfn.XLOOKUP(C143,Tab_Def_Flows[Flow_Name],Tab_Def_Flows[Flow_ID],,0,)</f>
        <v>F_03_07</v>
      </c>
      <c r="C143" s="8" t="s">
        <v>745</v>
      </c>
      <c r="D143" s="10" t="str">
        <f>_xlfn.XLOOKUP(C143,Tab_Def_Flows[Flow_Name],Tab_Def_Flows[WC?],,0,)</f>
        <v>Yes</v>
      </c>
      <c r="E143" s="10" t="str">
        <f>_xlfn.XLOOKUP(C143,Tab_Def_Flows[Flow_Name],Tab_Def_Flows[DM?],,0,)</f>
        <v>Yes</v>
      </c>
      <c r="F143" s="10" t="str">
        <f>_xlfn.XLOOKUP(C143,Tab_Def_Flows[Flow_Name],Tab_Def_Flows[CC?],,0,)</f>
        <v>Yes</v>
      </c>
      <c r="G143" s="8">
        <v>2018</v>
      </c>
      <c r="H143" s="28">
        <v>50</v>
      </c>
      <c r="I143" s="8"/>
      <c r="J143" s="20"/>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F_03_07_material_2018</v>
      </c>
      <c r="U143" s="18">
        <f t="shared" si="6"/>
        <v>50</v>
      </c>
      <c r="V143" s="8" t="s">
        <v>218</v>
      </c>
      <c r="W143" s="155">
        <f>INDEX(Tab_Def_Flows[[Flow_ID]:[CC_DM_source]],MATCH(Tab_Data_Flows[[#This Row],[Flow_Name]],Tab_Def_Flows[Flow_Name],0),11)</f>
        <v>0</v>
      </c>
      <c r="X143" s="7" t="str">
        <f>Tab_Data_Flows[[#This Row],[Flow_ID]]&amp;"_"&amp;"WC_"&amp;Tab_Data_Flows[[#This Row],[Flow_Data_Year]]</f>
        <v>F_03_07_WC_2018</v>
      </c>
      <c r="Y143" s="7">
        <f>IF(D143="Yes",U143*Tab_Data_Flows[[#This Row],[WC_'[%']]],"N.A.")</f>
        <v>0</v>
      </c>
      <c r="Z143" s="7" t="str">
        <f>Tab_Data_Flows[[#This Row],[UoM_Flow_Py]]</f>
        <v>Mg</v>
      </c>
      <c r="AA143" s="155">
        <f>INDEX(Tab_Def_Flows[[Flow_ID]:[CC_DM_source]],MATCH(Tab_Data_Flows[[#This Row],[Flow_Name]],Tab_Def_Flows[Flow_Name],0),14)</f>
        <v>0</v>
      </c>
      <c r="AB143" s="7" t="str">
        <f>Tab_Data_Flows[[#This Row],[Flow_ID]]&amp;"_"&amp;"DM_"&amp;Tab_Data_Flows[[#This Row],[Flow_Data_Year]]</f>
        <v>F_03_07_DM_2018</v>
      </c>
      <c r="AC143" s="7">
        <f>IF(E143="Yes",AA143*Tab_Data_Flows[[#This Row],[Flow_Material]],"N.A.")</f>
        <v>0</v>
      </c>
      <c r="AD143" s="7" t="str">
        <f>Tab_Data_Flows[[#This Row],[UoM_Flow_Py]]</f>
        <v>Mg</v>
      </c>
      <c r="AE143" s="155">
        <f>INDEX(Tab_Def_Flows[[Flow_ID]:[CC_DM_source]],MATCH(Tab_Data_Flows[[#This Row],[Flow_Name]],Tab_Def_Flows[Flow_Name],0),17)</f>
        <v>0</v>
      </c>
      <c r="AF143" s="7" t="str">
        <f>Tab_Data_Flows[[#This Row],[Flow_ID]]&amp;"_"&amp;"CC_"&amp;Tab_Data_Flows[[#This Row],[Flow_Data_Year]]</f>
        <v>F_03_07_CC_2018</v>
      </c>
      <c r="AG143" s="7">
        <f>IF(F143="Yes",AE143*Tab_Data_Flows[[#This Row],[Flow_Material]]*Tab_Data_Flows[[#This Row],[DM_'[%']]],"N.A.")</f>
        <v>0</v>
      </c>
      <c r="AH143" s="7" t="str">
        <f>Tab_Data_Flows[[#This Row],[UoM_Flow_Py]]</f>
        <v>Mg</v>
      </c>
      <c r="AI143"/>
    </row>
    <row r="144" spans="1:35" x14ac:dyDescent="0.25">
      <c r="A144" s="9">
        <f t="shared" si="5"/>
        <v>143</v>
      </c>
      <c r="B144" s="7" t="str">
        <f>_xlfn.XLOOKUP(C144,Tab_Def_Flows[Flow_Name],Tab_Def_Flows[Flow_ID],,0,)</f>
        <v>F_03_07</v>
      </c>
      <c r="C144" s="8" t="s">
        <v>745</v>
      </c>
      <c r="D144" s="10" t="str">
        <f>_xlfn.XLOOKUP(C144,Tab_Def_Flows[Flow_Name],Tab_Def_Flows[WC?],,0,)</f>
        <v>Yes</v>
      </c>
      <c r="E144" s="10" t="str">
        <f>_xlfn.XLOOKUP(C144,Tab_Def_Flows[Flow_Name],Tab_Def_Flows[DM?],,0,)</f>
        <v>Yes</v>
      </c>
      <c r="F144" s="10" t="str">
        <f>_xlfn.XLOOKUP(C144,Tab_Def_Flows[Flow_Name],Tab_Def_Flows[CC?],,0,)</f>
        <v>Yes</v>
      </c>
      <c r="G144" s="8">
        <v>2019</v>
      </c>
      <c r="H144" s="28">
        <v>50</v>
      </c>
      <c r="I144" s="8"/>
      <c r="J144" s="20"/>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F_03_07_material_2019</v>
      </c>
      <c r="U144" s="18">
        <f t="shared" si="6"/>
        <v>50</v>
      </c>
      <c r="V144" s="8" t="s">
        <v>218</v>
      </c>
      <c r="W144" s="155">
        <f>INDEX(Tab_Def_Flows[[Flow_ID]:[CC_DM_source]],MATCH(Tab_Data_Flows[[#This Row],[Flow_Name]],Tab_Def_Flows[Flow_Name],0),11)</f>
        <v>0</v>
      </c>
      <c r="X144" s="7" t="str">
        <f>Tab_Data_Flows[[#This Row],[Flow_ID]]&amp;"_"&amp;"WC_"&amp;Tab_Data_Flows[[#This Row],[Flow_Data_Year]]</f>
        <v>F_03_07_WC_2019</v>
      </c>
      <c r="Y144" s="7">
        <f>IF(D144="Yes",U144*Tab_Data_Flows[[#This Row],[WC_'[%']]],"N.A.")</f>
        <v>0</v>
      </c>
      <c r="Z144" s="7" t="str">
        <f>Tab_Data_Flows[[#This Row],[UoM_Flow_Py]]</f>
        <v>Mg</v>
      </c>
      <c r="AA144" s="155">
        <f>INDEX(Tab_Def_Flows[[Flow_ID]:[CC_DM_source]],MATCH(Tab_Data_Flows[[#This Row],[Flow_Name]],Tab_Def_Flows[Flow_Name],0),14)</f>
        <v>0</v>
      </c>
      <c r="AB144" s="7" t="str">
        <f>Tab_Data_Flows[[#This Row],[Flow_ID]]&amp;"_"&amp;"DM_"&amp;Tab_Data_Flows[[#This Row],[Flow_Data_Year]]</f>
        <v>F_03_07_DM_2019</v>
      </c>
      <c r="AC144" s="7">
        <f>IF(E144="Yes",AA144*Tab_Data_Flows[[#This Row],[Flow_Material]],"N.A.")</f>
        <v>0</v>
      </c>
      <c r="AD144" s="7" t="str">
        <f>Tab_Data_Flows[[#This Row],[UoM_Flow_Py]]</f>
        <v>Mg</v>
      </c>
      <c r="AE144" s="155">
        <f>INDEX(Tab_Def_Flows[[Flow_ID]:[CC_DM_source]],MATCH(Tab_Data_Flows[[#This Row],[Flow_Name]],Tab_Def_Flows[Flow_Name],0),17)</f>
        <v>0</v>
      </c>
      <c r="AF144" s="7" t="str">
        <f>Tab_Data_Flows[[#This Row],[Flow_ID]]&amp;"_"&amp;"CC_"&amp;Tab_Data_Flows[[#This Row],[Flow_Data_Year]]</f>
        <v>F_03_07_CC_2019</v>
      </c>
      <c r="AG144" s="7">
        <f>IF(F144="Yes",AE144*Tab_Data_Flows[[#This Row],[Flow_Material]]*Tab_Data_Flows[[#This Row],[DM_'[%']]],"N.A.")</f>
        <v>0</v>
      </c>
      <c r="AH144" s="7" t="str">
        <f>Tab_Data_Flows[[#This Row],[UoM_Flow_Py]]</f>
        <v>Mg</v>
      </c>
      <c r="AI144"/>
    </row>
    <row r="145" spans="1:35" x14ac:dyDescent="0.25">
      <c r="A145" s="9">
        <f t="shared" si="5"/>
        <v>144</v>
      </c>
      <c r="B145" s="7" t="str">
        <f>_xlfn.XLOOKUP(C145,Tab_Def_Flows[Flow_Name],Tab_Def_Flows[Flow_ID],,0,)</f>
        <v>F_03_07</v>
      </c>
      <c r="C145" s="8" t="s">
        <v>745</v>
      </c>
      <c r="D145" s="10" t="str">
        <f>_xlfn.XLOOKUP(C145,Tab_Def_Flows[Flow_Name],Tab_Def_Flows[WC?],,0,)</f>
        <v>Yes</v>
      </c>
      <c r="E145" s="10" t="str">
        <f>_xlfn.XLOOKUP(C145,Tab_Def_Flows[Flow_Name],Tab_Def_Flows[DM?],,0,)</f>
        <v>Yes</v>
      </c>
      <c r="F145" s="10" t="str">
        <f>_xlfn.XLOOKUP(C145,Tab_Def_Flows[Flow_Name],Tab_Def_Flows[CC?],,0,)</f>
        <v>Yes</v>
      </c>
      <c r="G145" s="8">
        <v>2020</v>
      </c>
      <c r="H145" s="28">
        <v>50</v>
      </c>
      <c r="I145" s="8"/>
      <c r="J145" s="20"/>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F_03_07_material_2020</v>
      </c>
      <c r="U145" s="18">
        <f t="shared" si="6"/>
        <v>50</v>
      </c>
      <c r="V145" s="8" t="s">
        <v>218</v>
      </c>
      <c r="W145" s="155">
        <f>INDEX(Tab_Def_Flows[[Flow_ID]:[CC_DM_source]],MATCH(Tab_Data_Flows[[#This Row],[Flow_Name]],Tab_Def_Flows[Flow_Name],0),11)</f>
        <v>0</v>
      </c>
      <c r="X145" s="7" t="str">
        <f>Tab_Data_Flows[[#This Row],[Flow_ID]]&amp;"_"&amp;"WC_"&amp;Tab_Data_Flows[[#This Row],[Flow_Data_Year]]</f>
        <v>F_03_07_WC_2020</v>
      </c>
      <c r="Y145" s="7">
        <f>IF(D145="Yes",U145*Tab_Data_Flows[[#This Row],[WC_'[%']]],"N.A.")</f>
        <v>0</v>
      </c>
      <c r="Z145" s="7" t="str">
        <f>Tab_Data_Flows[[#This Row],[UoM_Flow_Py]]</f>
        <v>Mg</v>
      </c>
      <c r="AA145" s="155">
        <f>INDEX(Tab_Def_Flows[[Flow_ID]:[CC_DM_source]],MATCH(Tab_Data_Flows[[#This Row],[Flow_Name]],Tab_Def_Flows[Flow_Name],0),14)</f>
        <v>0</v>
      </c>
      <c r="AB145" s="7" t="str">
        <f>Tab_Data_Flows[[#This Row],[Flow_ID]]&amp;"_"&amp;"DM_"&amp;Tab_Data_Flows[[#This Row],[Flow_Data_Year]]</f>
        <v>F_03_07_DM_2020</v>
      </c>
      <c r="AC145" s="7">
        <f>IF(E145="Yes",AA145*Tab_Data_Flows[[#This Row],[Flow_Material]],"N.A.")</f>
        <v>0</v>
      </c>
      <c r="AD145" s="7" t="str">
        <f>Tab_Data_Flows[[#This Row],[UoM_Flow_Py]]</f>
        <v>Mg</v>
      </c>
      <c r="AE145" s="155">
        <f>INDEX(Tab_Def_Flows[[Flow_ID]:[CC_DM_source]],MATCH(Tab_Data_Flows[[#This Row],[Flow_Name]],Tab_Def_Flows[Flow_Name],0),17)</f>
        <v>0</v>
      </c>
      <c r="AF145" s="7" t="str">
        <f>Tab_Data_Flows[[#This Row],[Flow_ID]]&amp;"_"&amp;"CC_"&amp;Tab_Data_Flows[[#This Row],[Flow_Data_Year]]</f>
        <v>F_03_07_CC_2020</v>
      </c>
      <c r="AG145" s="7">
        <f>IF(F145="Yes",AE145*Tab_Data_Flows[[#This Row],[Flow_Material]]*Tab_Data_Flows[[#This Row],[DM_'[%']]],"N.A.")</f>
        <v>0</v>
      </c>
      <c r="AH145" s="7" t="str">
        <f>Tab_Data_Flows[[#This Row],[UoM_Flow_Py]]</f>
        <v>Mg</v>
      </c>
      <c r="AI145"/>
    </row>
    <row r="146" spans="1:35" x14ac:dyDescent="0.25">
      <c r="A146" s="9">
        <f t="shared" si="5"/>
        <v>145</v>
      </c>
      <c r="B146" s="7" t="str">
        <f>_xlfn.XLOOKUP(C146,Tab_Def_Flows[Flow_Name],Tab_Def_Flows[Flow_ID],,0,)</f>
        <v>F_03_07</v>
      </c>
      <c r="C146" s="8" t="s">
        <v>745</v>
      </c>
      <c r="D146" s="10" t="str">
        <f>_xlfn.XLOOKUP(C146,Tab_Def_Flows[Flow_Name],Tab_Def_Flows[WC?],,0,)</f>
        <v>Yes</v>
      </c>
      <c r="E146" s="10" t="str">
        <f>_xlfn.XLOOKUP(C146,Tab_Def_Flows[Flow_Name],Tab_Def_Flows[DM?],,0,)</f>
        <v>Yes</v>
      </c>
      <c r="F146" s="10" t="str">
        <f>_xlfn.XLOOKUP(C146,Tab_Def_Flows[Flow_Name],Tab_Def_Flows[CC?],,0,)</f>
        <v>Yes</v>
      </c>
      <c r="G146" s="8">
        <v>2021</v>
      </c>
      <c r="H146" s="28">
        <v>50</v>
      </c>
      <c r="I146" s="8"/>
      <c r="J146" s="20"/>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F_03_07_material_2021</v>
      </c>
      <c r="U146" s="18">
        <f t="shared" si="6"/>
        <v>50</v>
      </c>
      <c r="V146" s="8" t="s">
        <v>218</v>
      </c>
      <c r="W146" s="155">
        <f>INDEX(Tab_Def_Flows[[Flow_ID]:[CC_DM_source]],MATCH(Tab_Data_Flows[[#This Row],[Flow_Name]],Tab_Def_Flows[Flow_Name],0),11)</f>
        <v>0</v>
      </c>
      <c r="X146" s="7" t="str">
        <f>Tab_Data_Flows[[#This Row],[Flow_ID]]&amp;"_"&amp;"WC_"&amp;Tab_Data_Flows[[#This Row],[Flow_Data_Year]]</f>
        <v>F_03_07_WC_2021</v>
      </c>
      <c r="Y146" s="7">
        <f>IF(D146="Yes",U146*Tab_Data_Flows[[#This Row],[WC_'[%']]],"N.A.")</f>
        <v>0</v>
      </c>
      <c r="Z146" s="7" t="str">
        <f>Tab_Data_Flows[[#This Row],[UoM_Flow_Py]]</f>
        <v>Mg</v>
      </c>
      <c r="AA146" s="155">
        <f>INDEX(Tab_Def_Flows[[Flow_ID]:[CC_DM_source]],MATCH(Tab_Data_Flows[[#This Row],[Flow_Name]],Tab_Def_Flows[Flow_Name],0),14)</f>
        <v>0</v>
      </c>
      <c r="AB146" s="7" t="str">
        <f>Tab_Data_Flows[[#This Row],[Flow_ID]]&amp;"_"&amp;"DM_"&amp;Tab_Data_Flows[[#This Row],[Flow_Data_Year]]</f>
        <v>F_03_07_DM_2021</v>
      </c>
      <c r="AC146" s="7">
        <f>IF(E146="Yes",AA146*Tab_Data_Flows[[#This Row],[Flow_Material]],"N.A.")</f>
        <v>0</v>
      </c>
      <c r="AD146" s="7" t="str">
        <f>Tab_Data_Flows[[#This Row],[UoM_Flow_Py]]</f>
        <v>Mg</v>
      </c>
      <c r="AE146" s="155">
        <f>INDEX(Tab_Def_Flows[[Flow_ID]:[CC_DM_source]],MATCH(Tab_Data_Flows[[#This Row],[Flow_Name]],Tab_Def_Flows[Flow_Name],0),17)</f>
        <v>0</v>
      </c>
      <c r="AF146" s="7" t="str">
        <f>Tab_Data_Flows[[#This Row],[Flow_ID]]&amp;"_"&amp;"CC_"&amp;Tab_Data_Flows[[#This Row],[Flow_Data_Year]]</f>
        <v>F_03_07_CC_2021</v>
      </c>
      <c r="AG146" s="7">
        <f>IF(F146="Yes",AE146*Tab_Data_Flows[[#This Row],[Flow_Material]]*Tab_Data_Flows[[#This Row],[DM_'[%']]],"N.A.")</f>
        <v>0</v>
      </c>
      <c r="AH146" s="7" t="str">
        <f>Tab_Data_Flows[[#This Row],[UoM_Flow_Py]]</f>
        <v>Mg</v>
      </c>
      <c r="AI146"/>
    </row>
    <row r="147" spans="1:35" x14ac:dyDescent="0.25">
      <c r="A147" s="9">
        <f t="shared" si="5"/>
        <v>146</v>
      </c>
      <c r="B147" s="7" t="str">
        <f>_xlfn.XLOOKUP(C147,Tab_Def_Flows[Flow_Name],Tab_Def_Flows[Flow_ID],,0,)</f>
        <v>F_03_07</v>
      </c>
      <c r="C147" s="8" t="s">
        <v>745</v>
      </c>
      <c r="D147" s="10" t="str">
        <f>_xlfn.XLOOKUP(C147,Tab_Def_Flows[Flow_Name],Tab_Def_Flows[WC?],,0,)</f>
        <v>Yes</v>
      </c>
      <c r="E147" s="10" t="str">
        <f>_xlfn.XLOOKUP(C147,Tab_Def_Flows[Flow_Name],Tab_Def_Flows[DM?],,0,)</f>
        <v>Yes</v>
      </c>
      <c r="F147" s="10" t="str">
        <f>_xlfn.XLOOKUP(C147,Tab_Def_Flows[Flow_Name],Tab_Def_Flows[CC?],,0,)</f>
        <v>Yes</v>
      </c>
      <c r="G147" s="8">
        <v>2022</v>
      </c>
      <c r="H147" s="28">
        <v>50</v>
      </c>
      <c r="I147" s="8"/>
      <c r="J147" s="20"/>
      <c r="K147" s="8"/>
      <c r="L147" s="8"/>
      <c r="M147" s="8"/>
      <c r="N147" s="8"/>
      <c r="O147" s="8"/>
      <c r="P147" s="8"/>
      <c r="Q147" s="8" t="s">
        <v>8</v>
      </c>
      <c r="R147" s="21"/>
      <c r="S147" s="8"/>
      <c r="T147" s="7" t="str">
        <f>Tab_Data_Flows[[#This Row],[Flow_ID]]&amp;"_"&amp;"material_"&amp;Tab_Data_Flows[[#This Row],[Flow_Data_Year]]</f>
        <v>F_03_07_material_2022</v>
      </c>
      <c r="U147" s="18">
        <f t="shared" si="6"/>
        <v>50</v>
      </c>
      <c r="V147" s="8" t="s">
        <v>218</v>
      </c>
      <c r="W147" s="155">
        <f>INDEX(Tab_Def_Flows[[Flow_ID]:[CC_DM_source]],MATCH(Tab_Data_Flows[[#This Row],[Flow_Name]],Tab_Def_Flows[Flow_Name],0),11)</f>
        <v>0</v>
      </c>
      <c r="X147" s="7" t="str">
        <f>Tab_Data_Flows[[#This Row],[Flow_ID]]&amp;"_"&amp;"WC_"&amp;Tab_Data_Flows[[#This Row],[Flow_Data_Year]]</f>
        <v>F_03_07_WC_2022</v>
      </c>
      <c r="Y147" s="7">
        <f>IF(D147="Yes",U147*Tab_Data_Flows[[#This Row],[WC_'[%']]],"N.A.")</f>
        <v>0</v>
      </c>
      <c r="Z147" s="7" t="str">
        <f>Tab_Data_Flows[[#This Row],[UoM_Flow_Py]]</f>
        <v>Mg</v>
      </c>
      <c r="AA147" s="155">
        <f>INDEX(Tab_Def_Flows[[Flow_ID]:[CC_DM_source]],MATCH(Tab_Data_Flows[[#This Row],[Flow_Name]],Tab_Def_Flows[Flow_Name],0),14)</f>
        <v>0</v>
      </c>
      <c r="AB147" s="7" t="str">
        <f>Tab_Data_Flows[[#This Row],[Flow_ID]]&amp;"_"&amp;"DM_"&amp;Tab_Data_Flows[[#This Row],[Flow_Data_Year]]</f>
        <v>F_03_07_DM_2022</v>
      </c>
      <c r="AC147" s="7">
        <f>IF(E147="Yes",AA147*Tab_Data_Flows[[#This Row],[Flow_Material]],"N.A.")</f>
        <v>0</v>
      </c>
      <c r="AD147" s="7" t="str">
        <f>Tab_Data_Flows[[#This Row],[UoM_Flow_Py]]</f>
        <v>Mg</v>
      </c>
      <c r="AE147" s="155">
        <f>INDEX(Tab_Def_Flows[[Flow_ID]:[CC_DM_source]],MATCH(Tab_Data_Flows[[#This Row],[Flow_Name]],Tab_Def_Flows[Flow_Name],0),17)</f>
        <v>0</v>
      </c>
      <c r="AF147" s="7" t="str">
        <f>Tab_Data_Flows[[#This Row],[Flow_ID]]&amp;"_"&amp;"CC_"&amp;Tab_Data_Flows[[#This Row],[Flow_Data_Year]]</f>
        <v>F_03_07_CC_2022</v>
      </c>
      <c r="AG147" s="7">
        <f>IF(F147="Yes",AE147*Tab_Data_Flows[[#This Row],[Flow_Material]]*Tab_Data_Flows[[#This Row],[DM_'[%']]],"N.A.")</f>
        <v>0</v>
      </c>
      <c r="AH147" s="7" t="str">
        <f>Tab_Data_Flows[[#This Row],[UoM_Flow_Py]]</f>
        <v>Mg</v>
      </c>
      <c r="AI147"/>
    </row>
    <row r="148" spans="1:35" x14ac:dyDescent="0.25">
      <c r="A148" s="9">
        <f t="shared" si="5"/>
        <v>147</v>
      </c>
      <c r="B148" s="7" t="str">
        <f>_xlfn.XLOOKUP(C148,Tab_Def_Flows[Flow_Name],Tab_Def_Flows[Flow_ID],,0,)</f>
        <v>F_03_07</v>
      </c>
      <c r="C148" s="8" t="s">
        <v>745</v>
      </c>
      <c r="D148" s="10" t="str">
        <f>_xlfn.XLOOKUP(C148,Tab_Def_Flows[Flow_Name],Tab_Def_Flows[WC?],,0,)</f>
        <v>Yes</v>
      </c>
      <c r="E148" s="10" t="str">
        <f>_xlfn.XLOOKUP(C148,Tab_Def_Flows[Flow_Name],Tab_Def_Flows[DM?],,0,)</f>
        <v>Yes</v>
      </c>
      <c r="F148" s="10" t="str">
        <f>_xlfn.XLOOKUP(C148,Tab_Def_Flows[Flow_Name],Tab_Def_Flows[CC?],,0,)</f>
        <v>Yes</v>
      </c>
      <c r="G148" s="8">
        <v>2023</v>
      </c>
      <c r="H148" s="28">
        <v>50</v>
      </c>
      <c r="I148" s="8"/>
      <c r="J148" s="20"/>
      <c r="K148" s="8"/>
      <c r="L148" s="8"/>
      <c r="M148" s="8"/>
      <c r="N148" s="8"/>
      <c r="O148" s="8"/>
      <c r="P148" s="8"/>
      <c r="Q148" s="8" t="s">
        <v>8</v>
      </c>
      <c r="R148" s="21"/>
      <c r="S148" s="8"/>
      <c r="T148" s="7" t="str">
        <f>Tab_Data_Flows[[#This Row],[Flow_ID]]&amp;"_"&amp;"material_"&amp;Tab_Data_Flows[[#This Row],[Flow_Data_Year]]</f>
        <v>F_03_07_material_2023</v>
      </c>
      <c r="U148" s="18">
        <f t="shared" si="6"/>
        <v>50</v>
      </c>
      <c r="V148" s="8" t="s">
        <v>218</v>
      </c>
      <c r="W148" s="155">
        <f>INDEX(Tab_Def_Flows[[Flow_ID]:[CC_DM_source]],MATCH(Tab_Data_Flows[[#This Row],[Flow_Name]],Tab_Def_Flows[Flow_Name],0),11)</f>
        <v>0</v>
      </c>
      <c r="X148" s="7" t="str">
        <f>Tab_Data_Flows[[#This Row],[Flow_ID]]&amp;"_"&amp;"WC_"&amp;Tab_Data_Flows[[#This Row],[Flow_Data_Year]]</f>
        <v>F_03_07_WC_2023</v>
      </c>
      <c r="Y148" s="7">
        <f>IF(D148="Yes",U148*Tab_Data_Flows[[#This Row],[WC_'[%']]],"N.A.")</f>
        <v>0</v>
      </c>
      <c r="Z148" s="7" t="str">
        <f>Tab_Data_Flows[[#This Row],[UoM_Flow_Py]]</f>
        <v>Mg</v>
      </c>
      <c r="AA148" s="155">
        <f>INDEX(Tab_Def_Flows[[Flow_ID]:[CC_DM_source]],MATCH(Tab_Data_Flows[[#This Row],[Flow_Name]],Tab_Def_Flows[Flow_Name],0),14)</f>
        <v>0</v>
      </c>
      <c r="AB148" s="7" t="str">
        <f>Tab_Data_Flows[[#This Row],[Flow_ID]]&amp;"_"&amp;"DM_"&amp;Tab_Data_Flows[[#This Row],[Flow_Data_Year]]</f>
        <v>F_03_07_DM_2023</v>
      </c>
      <c r="AC148" s="7">
        <f>IF(E148="Yes",AA148*Tab_Data_Flows[[#This Row],[Flow_Material]],"N.A.")</f>
        <v>0</v>
      </c>
      <c r="AD148" s="7" t="str">
        <f>Tab_Data_Flows[[#This Row],[UoM_Flow_Py]]</f>
        <v>Mg</v>
      </c>
      <c r="AE148" s="155">
        <f>INDEX(Tab_Def_Flows[[Flow_ID]:[CC_DM_source]],MATCH(Tab_Data_Flows[[#This Row],[Flow_Name]],Tab_Def_Flows[Flow_Name],0),17)</f>
        <v>0</v>
      </c>
      <c r="AF148" s="7" t="str">
        <f>Tab_Data_Flows[[#This Row],[Flow_ID]]&amp;"_"&amp;"CC_"&amp;Tab_Data_Flows[[#This Row],[Flow_Data_Year]]</f>
        <v>F_03_07_CC_2023</v>
      </c>
      <c r="AG148" s="7">
        <f>IF(F148="Yes",AE148*Tab_Data_Flows[[#This Row],[Flow_Material]]*Tab_Data_Flows[[#This Row],[DM_'[%']]],"N.A.")</f>
        <v>0</v>
      </c>
      <c r="AH148" s="7" t="str">
        <f>Tab_Data_Flows[[#This Row],[UoM_Flow_Py]]</f>
        <v>Mg</v>
      </c>
      <c r="AI148"/>
    </row>
    <row r="149" spans="1:35" x14ac:dyDescent="0.25">
      <c r="A149" s="9">
        <f t="shared" si="5"/>
        <v>148</v>
      </c>
      <c r="B149" s="7" t="str">
        <f>_xlfn.XLOOKUP(C149,Tab_Def_Flows[Flow_Name],Tab_Def_Flows[Flow_ID],,0,)</f>
        <v>F_03_07</v>
      </c>
      <c r="C149" s="8" t="s">
        <v>745</v>
      </c>
      <c r="D149" s="10" t="str">
        <f>_xlfn.XLOOKUP(C149,Tab_Def_Flows[Flow_Name],Tab_Def_Flows[WC?],,0,)</f>
        <v>Yes</v>
      </c>
      <c r="E149" s="10" t="str">
        <f>_xlfn.XLOOKUP(C149,Tab_Def_Flows[Flow_Name],Tab_Def_Flows[DM?],,0,)</f>
        <v>Yes</v>
      </c>
      <c r="F149" s="10" t="str">
        <f>_xlfn.XLOOKUP(C149,Tab_Def_Flows[Flow_Name],Tab_Def_Flows[CC?],,0,)</f>
        <v>Yes</v>
      </c>
      <c r="G149" s="8">
        <v>2024</v>
      </c>
      <c r="H149" s="28">
        <v>50</v>
      </c>
      <c r="I149" s="8"/>
      <c r="J149" s="20"/>
      <c r="K149" s="8"/>
      <c r="L149" s="8"/>
      <c r="M149" s="8"/>
      <c r="N149" s="8"/>
      <c r="O149" s="8"/>
      <c r="P149" s="8"/>
      <c r="Q149" s="8" t="s">
        <v>8</v>
      </c>
      <c r="R149" s="21"/>
      <c r="S149" s="8"/>
      <c r="T149" s="7" t="str">
        <f>Tab_Data_Flows[[#This Row],[Flow_ID]]&amp;"_"&amp;"material_"&amp;Tab_Data_Flows[[#This Row],[Flow_Data_Year]]</f>
        <v>F_03_07_material_2024</v>
      </c>
      <c r="U149" s="18">
        <f t="shared" si="6"/>
        <v>50</v>
      </c>
      <c r="V149" s="8" t="s">
        <v>218</v>
      </c>
      <c r="W149" s="155">
        <f>INDEX(Tab_Def_Flows[[Flow_ID]:[CC_DM_source]],MATCH(Tab_Data_Flows[[#This Row],[Flow_Name]],Tab_Def_Flows[Flow_Name],0),11)</f>
        <v>0</v>
      </c>
      <c r="X149" s="7" t="str">
        <f>Tab_Data_Flows[[#This Row],[Flow_ID]]&amp;"_"&amp;"WC_"&amp;Tab_Data_Flows[[#This Row],[Flow_Data_Year]]</f>
        <v>F_03_07_WC_2024</v>
      </c>
      <c r="Y149" s="7">
        <f>IF(D149="Yes",U149*Tab_Data_Flows[[#This Row],[WC_'[%']]],"N.A.")</f>
        <v>0</v>
      </c>
      <c r="Z149" s="7" t="str">
        <f>Tab_Data_Flows[[#This Row],[UoM_Flow_Py]]</f>
        <v>Mg</v>
      </c>
      <c r="AA149" s="155">
        <f>INDEX(Tab_Def_Flows[[Flow_ID]:[CC_DM_source]],MATCH(Tab_Data_Flows[[#This Row],[Flow_Name]],Tab_Def_Flows[Flow_Name],0),14)</f>
        <v>0</v>
      </c>
      <c r="AB149" s="7" t="str">
        <f>Tab_Data_Flows[[#This Row],[Flow_ID]]&amp;"_"&amp;"DM_"&amp;Tab_Data_Flows[[#This Row],[Flow_Data_Year]]</f>
        <v>F_03_07_DM_2024</v>
      </c>
      <c r="AC149" s="7">
        <f>IF(E149="Yes",AA149*Tab_Data_Flows[[#This Row],[Flow_Material]],"N.A.")</f>
        <v>0</v>
      </c>
      <c r="AD149" s="7" t="str">
        <f>Tab_Data_Flows[[#This Row],[UoM_Flow_Py]]</f>
        <v>Mg</v>
      </c>
      <c r="AE149" s="155">
        <f>INDEX(Tab_Def_Flows[[Flow_ID]:[CC_DM_source]],MATCH(Tab_Data_Flows[[#This Row],[Flow_Name]],Tab_Def_Flows[Flow_Name],0),17)</f>
        <v>0</v>
      </c>
      <c r="AF149" s="7" t="str">
        <f>Tab_Data_Flows[[#This Row],[Flow_ID]]&amp;"_"&amp;"CC_"&amp;Tab_Data_Flows[[#This Row],[Flow_Data_Year]]</f>
        <v>F_03_07_CC_2024</v>
      </c>
      <c r="AG149" s="7">
        <f>IF(F149="Yes",AE149*Tab_Data_Flows[[#This Row],[Flow_Material]]*Tab_Data_Flows[[#This Row],[DM_'[%']]],"N.A.")</f>
        <v>0</v>
      </c>
      <c r="AH149" s="7" t="str">
        <f>Tab_Data_Flows[[#This Row],[UoM_Flow_Py]]</f>
        <v>Mg</v>
      </c>
      <c r="AI149"/>
    </row>
    <row r="150" spans="1:35" x14ac:dyDescent="0.25">
      <c r="A150" s="9">
        <f t="shared" si="5"/>
        <v>149</v>
      </c>
      <c r="B150" s="7" t="str">
        <f>_xlfn.XLOOKUP(C150,Tab_Def_Flows[Flow_Name],Tab_Def_Flows[Flow_ID],,0,)</f>
        <v>F_03_07</v>
      </c>
      <c r="C150" s="8" t="s">
        <v>745</v>
      </c>
      <c r="D150" s="10" t="str">
        <f>_xlfn.XLOOKUP(C150,Tab_Def_Flows[Flow_Name],Tab_Def_Flows[WC?],,0,)</f>
        <v>Yes</v>
      </c>
      <c r="E150" s="10" t="str">
        <f>_xlfn.XLOOKUP(C150,Tab_Def_Flows[Flow_Name],Tab_Def_Flows[DM?],,0,)</f>
        <v>Yes</v>
      </c>
      <c r="F150" s="10" t="str">
        <f>_xlfn.XLOOKUP(C150,Tab_Def_Flows[Flow_Name],Tab_Def_Flows[CC?],,0,)</f>
        <v>Yes</v>
      </c>
      <c r="G150" s="8">
        <v>2025</v>
      </c>
      <c r="H150" s="28">
        <v>50</v>
      </c>
      <c r="I150" s="8"/>
      <c r="J150" s="20"/>
      <c r="K150" s="8"/>
      <c r="L150" s="8"/>
      <c r="M150" s="8"/>
      <c r="N150" s="8"/>
      <c r="O150" s="8"/>
      <c r="P150" s="8"/>
      <c r="Q150" s="8" t="s">
        <v>8</v>
      </c>
      <c r="R150" s="21"/>
      <c r="S150" s="8"/>
      <c r="T150" s="7" t="str">
        <f>Tab_Data_Flows[[#This Row],[Flow_ID]]&amp;"_"&amp;"material_"&amp;Tab_Data_Flows[[#This Row],[Flow_Data_Year]]</f>
        <v>F_03_07_material_2025</v>
      </c>
      <c r="U150" s="18">
        <f t="shared" si="6"/>
        <v>50</v>
      </c>
      <c r="V150" s="8" t="s">
        <v>218</v>
      </c>
      <c r="W150" s="155">
        <f>INDEX(Tab_Def_Flows[[Flow_ID]:[CC_DM_source]],MATCH(Tab_Data_Flows[[#This Row],[Flow_Name]],Tab_Def_Flows[Flow_Name],0),11)</f>
        <v>0</v>
      </c>
      <c r="X150" s="7" t="str">
        <f>Tab_Data_Flows[[#This Row],[Flow_ID]]&amp;"_"&amp;"WC_"&amp;Tab_Data_Flows[[#This Row],[Flow_Data_Year]]</f>
        <v>F_03_07_WC_2025</v>
      </c>
      <c r="Y150" s="7">
        <f>IF(D150="Yes",U150*Tab_Data_Flows[[#This Row],[WC_'[%']]],"N.A.")</f>
        <v>0</v>
      </c>
      <c r="Z150" s="7" t="str">
        <f>Tab_Data_Flows[[#This Row],[UoM_Flow_Py]]</f>
        <v>Mg</v>
      </c>
      <c r="AA150" s="155">
        <f>INDEX(Tab_Def_Flows[[Flow_ID]:[CC_DM_source]],MATCH(Tab_Data_Flows[[#This Row],[Flow_Name]],Tab_Def_Flows[Flow_Name],0),14)</f>
        <v>0</v>
      </c>
      <c r="AB150" s="7" t="str">
        <f>Tab_Data_Flows[[#This Row],[Flow_ID]]&amp;"_"&amp;"DM_"&amp;Tab_Data_Flows[[#This Row],[Flow_Data_Year]]</f>
        <v>F_03_07_DM_2025</v>
      </c>
      <c r="AC150" s="7">
        <f>IF(E150="Yes",AA150*Tab_Data_Flows[[#This Row],[Flow_Material]],"N.A.")</f>
        <v>0</v>
      </c>
      <c r="AD150" s="7" t="str">
        <f>Tab_Data_Flows[[#This Row],[UoM_Flow_Py]]</f>
        <v>Mg</v>
      </c>
      <c r="AE150" s="155">
        <f>INDEX(Tab_Def_Flows[[Flow_ID]:[CC_DM_source]],MATCH(Tab_Data_Flows[[#This Row],[Flow_Name]],Tab_Def_Flows[Flow_Name],0),17)</f>
        <v>0</v>
      </c>
      <c r="AF150" s="7" t="str">
        <f>Tab_Data_Flows[[#This Row],[Flow_ID]]&amp;"_"&amp;"CC_"&amp;Tab_Data_Flows[[#This Row],[Flow_Data_Year]]</f>
        <v>F_03_07_CC_2025</v>
      </c>
      <c r="AG150" s="7">
        <f>IF(F150="Yes",AE150*Tab_Data_Flows[[#This Row],[Flow_Material]]*Tab_Data_Flows[[#This Row],[DM_'[%']]],"N.A.")</f>
        <v>0</v>
      </c>
      <c r="AH150" s="7" t="str">
        <f>Tab_Data_Flows[[#This Row],[UoM_Flow_Py]]</f>
        <v>Mg</v>
      </c>
      <c r="AI150"/>
    </row>
    <row r="151" spans="1:35" x14ac:dyDescent="0.25">
      <c r="A151" s="9">
        <f t="shared" si="5"/>
        <v>150</v>
      </c>
      <c r="B151" s="7" t="str">
        <f>_xlfn.XLOOKUP(C151,Tab_Def_Flows[Flow_Name],Tab_Def_Flows[Flow_ID],,0,)</f>
        <v>F_03_07</v>
      </c>
      <c r="C151" s="8" t="s">
        <v>745</v>
      </c>
      <c r="D151" s="10" t="str">
        <f>_xlfn.XLOOKUP(C151,Tab_Def_Flows[Flow_Name],Tab_Def_Flows[WC?],,0,)</f>
        <v>Yes</v>
      </c>
      <c r="E151" s="10" t="str">
        <f>_xlfn.XLOOKUP(C151,Tab_Def_Flows[Flow_Name],Tab_Def_Flows[DM?],,0,)</f>
        <v>Yes</v>
      </c>
      <c r="F151" s="10" t="str">
        <f>_xlfn.XLOOKUP(C151,Tab_Def_Flows[Flow_Name],Tab_Def_Flows[CC?],,0,)</f>
        <v>Yes</v>
      </c>
      <c r="G151" s="8">
        <v>2026</v>
      </c>
      <c r="H151" s="28">
        <v>50</v>
      </c>
      <c r="I151" s="8"/>
      <c r="J151" s="20"/>
      <c r="K151" s="8"/>
      <c r="L151" s="8"/>
      <c r="M151" s="8"/>
      <c r="N151" s="8"/>
      <c r="O151" s="8"/>
      <c r="P151" s="8"/>
      <c r="Q151" s="8" t="s">
        <v>8</v>
      </c>
      <c r="R151" s="21"/>
      <c r="S151" s="8"/>
      <c r="T151" s="7" t="str">
        <f>Tab_Data_Flows[[#This Row],[Flow_ID]]&amp;"_"&amp;"material_"&amp;Tab_Data_Flows[[#This Row],[Flow_Data_Year]]</f>
        <v>F_03_07_material_2026</v>
      </c>
      <c r="U151" s="18">
        <f t="shared" si="6"/>
        <v>50</v>
      </c>
      <c r="V151" s="8" t="s">
        <v>218</v>
      </c>
      <c r="W151" s="155">
        <f>INDEX(Tab_Def_Flows[[Flow_ID]:[CC_DM_source]],MATCH(Tab_Data_Flows[[#This Row],[Flow_Name]],Tab_Def_Flows[Flow_Name],0),11)</f>
        <v>0</v>
      </c>
      <c r="X151" s="7" t="str">
        <f>Tab_Data_Flows[[#This Row],[Flow_ID]]&amp;"_"&amp;"WC_"&amp;Tab_Data_Flows[[#This Row],[Flow_Data_Year]]</f>
        <v>F_03_07_WC_2026</v>
      </c>
      <c r="Y151" s="7">
        <f>IF(D151="Yes",U151*Tab_Data_Flows[[#This Row],[WC_'[%']]],"N.A.")</f>
        <v>0</v>
      </c>
      <c r="Z151" s="7" t="str">
        <f>Tab_Data_Flows[[#This Row],[UoM_Flow_Py]]</f>
        <v>Mg</v>
      </c>
      <c r="AA151" s="155">
        <f>INDEX(Tab_Def_Flows[[Flow_ID]:[CC_DM_source]],MATCH(Tab_Data_Flows[[#This Row],[Flow_Name]],Tab_Def_Flows[Flow_Name],0),14)</f>
        <v>0</v>
      </c>
      <c r="AB151" s="7" t="str">
        <f>Tab_Data_Flows[[#This Row],[Flow_ID]]&amp;"_"&amp;"DM_"&amp;Tab_Data_Flows[[#This Row],[Flow_Data_Year]]</f>
        <v>F_03_07_DM_2026</v>
      </c>
      <c r="AC151" s="7">
        <f>IF(E151="Yes",AA151*Tab_Data_Flows[[#This Row],[Flow_Material]],"N.A.")</f>
        <v>0</v>
      </c>
      <c r="AD151" s="7" t="str">
        <f>Tab_Data_Flows[[#This Row],[UoM_Flow_Py]]</f>
        <v>Mg</v>
      </c>
      <c r="AE151" s="155">
        <f>INDEX(Tab_Def_Flows[[Flow_ID]:[CC_DM_source]],MATCH(Tab_Data_Flows[[#This Row],[Flow_Name]],Tab_Def_Flows[Flow_Name],0),17)</f>
        <v>0</v>
      </c>
      <c r="AF151" s="7" t="str">
        <f>Tab_Data_Flows[[#This Row],[Flow_ID]]&amp;"_"&amp;"CC_"&amp;Tab_Data_Flows[[#This Row],[Flow_Data_Year]]</f>
        <v>F_03_07_CC_2026</v>
      </c>
      <c r="AG151" s="7">
        <f>IF(F151="Yes",AE151*Tab_Data_Flows[[#This Row],[Flow_Material]]*Tab_Data_Flows[[#This Row],[DM_'[%']]],"N.A.")</f>
        <v>0</v>
      </c>
      <c r="AH151" s="7" t="str">
        <f>Tab_Data_Flows[[#This Row],[UoM_Flow_Py]]</f>
        <v>Mg</v>
      </c>
      <c r="AI151"/>
    </row>
    <row r="152" spans="1:35" x14ac:dyDescent="0.25">
      <c r="A152" s="9">
        <f t="shared" si="5"/>
        <v>151</v>
      </c>
      <c r="B152" s="7" t="str">
        <f>_xlfn.XLOOKUP(C152,Tab_Def_Flows[Flow_Name],Tab_Def_Flows[Flow_ID],,0,)</f>
        <v>F_03_07</v>
      </c>
      <c r="C152" s="8" t="s">
        <v>745</v>
      </c>
      <c r="D152" s="10" t="str">
        <f>_xlfn.XLOOKUP(C152,Tab_Def_Flows[Flow_Name],Tab_Def_Flows[WC?],,0,)</f>
        <v>Yes</v>
      </c>
      <c r="E152" s="10" t="str">
        <f>_xlfn.XLOOKUP(C152,Tab_Def_Flows[Flow_Name],Tab_Def_Flows[DM?],,0,)</f>
        <v>Yes</v>
      </c>
      <c r="F152" s="10" t="str">
        <f>_xlfn.XLOOKUP(C152,Tab_Def_Flows[Flow_Name],Tab_Def_Flows[CC?],,0,)</f>
        <v>Yes</v>
      </c>
      <c r="G152" s="8">
        <v>2027</v>
      </c>
      <c r="H152" s="28">
        <v>50</v>
      </c>
      <c r="I152" s="8"/>
      <c r="J152" s="20"/>
      <c r="K152" s="8"/>
      <c r="L152" s="8"/>
      <c r="M152" s="8"/>
      <c r="N152" s="8"/>
      <c r="O152" s="8"/>
      <c r="P152" s="8"/>
      <c r="Q152" s="8" t="s">
        <v>8</v>
      </c>
      <c r="R152" s="21"/>
      <c r="S152" s="8"/>
      <c r="T152" s="7" t="str">
        <f>Tab_Data_Flows[[#This Row],[Flow_ID]]&amp;"_"&amp;"material_"&amp;Tab_Data_Flows[[#This Row],[Flow_Data_Year]]</f>
        <v>F_03_07_material_2027</v>
      </c>
      <c r="U152" s="18">
        <f t="shared" si="6"/>
        <v>50</v>
      </c>
      <c r="V152" s="8" t="s">
        <v>218</v>
      </c>
      <c r="W152" s="155">
        <f>INDEX(Tab_Def_Flows[[Flow_ID]:[CC_DM_source]],MATCH(Tab_Data_Flows[[#This Row],[Flow_Name]],Tab_Def_Flows[Flow_Name],0),11)</f>
        <v>0</v>
      </c>
      <c r="X152" s="7" t="str">
        <f>Tab_Data_Flows[[#This Row],[Flow_ID]]&amp;"_"&amp;"WC_"&amp;Tab_Data_Flows[[#This Row],[Flow_Data_Year]]</f>
        <v>F_03_07_WC_2027</v>
      </c>
      <c r="Y152" s="7">
        <f>IF(D152="Yes",U152*Tab_Data_Flows[[#This Row],[WC_'[%']]],"N.A.")</f>
        <v>0</v>
      </c>
      <c r="Z152" s="7" t="str">
        <f>Tab_Data_Flows[[#This Row],[UoM_Flow_Py]]</f>
        <v>Mg</v>
      </c>
      <c r="AA152" s="155">
        <f>INDEX(Tab_Def_Flows[[Flow_ID]:[CC_DM_source]],MATCH(Tab_Data_Flows[[#This Row],[Flow_Name]],Tab_Def_Flows[Flow_Name],0),14)</f>
        <v>0</v>
      </c>
      <c r="AB152" s="7" t="str">
        <f>Tab_Data_Flows[[#This Row],[Flow_ID]]&amp;"_"&amp;"DM_"&amp;Tab_Data_Flows[[#This Row],[Flow_Data_Year]]</f>
        <v>F_03_07_DM_2027</v>
      </c>
      <c r="AC152" s="7">
        <f>IF(E152="Yes",AA152*Tab_Data_Flows[[#This Row],[Flow_Material]],"N.A.")</f>
        <v>0</v>
      </c>
      <c r="AD152" s="7" t="str">
        <f>Tab_Data_Flows[[#This Row],[UoM_Flow_Py]]</f>
        <v>Mg</v>
      </c>
      <c r="AE152" s="155">
        <f>INDEX(Tab_Def_Flows[[Flow_ID]:[CC_DM_source]],MATCH(Tab_Data_Flows[[#This Row],[Flow_Name]],Tab_Def_Flows[Flow_Name],0),17)</f>
        <v>0</v>
      </c>
      <c r="AF152" s="7" t="str">
        <f>Tab_Data_Flows[[#This Row],[Flow_ID]]&amp;"_"&amp;"CC_"&amp;Tab_Data_Flows[[#This Row],[Flow_Data_Year]]</f>
        <v>F_03_07_CC_2027</v>
      </c>
      <c r="AG152" s="7">
        <f>IF(F152="Yes",AE152*Tab_Data_Flows[[#This Row],[Flow_Material]]*Tab_Data_Flows[[#This Row],[DM_'[%']]],"N.A.")</f>
        <v>0</v>
      </c>
      <c r="AH152" s="7" t="str">
        <f>Tab_Data_Flows[[#This Row],[UoM_Flow_Py]]</f>
        <v>Mg</v>
      </c>
      <c r="AI152"/>
    </row>
    <row r="153" spans="1:35" x14ac:dyDescent="0.25">
      <c r="A153" s="9">
        <f t="shared" si="5"/>
        <v>152</v>
      </c>
      <c r="B153" s="7" t="str">
        <f>_xlfn.XLOOKUP(C153,Tab_Def_Flows[Flow_Name],Tab_Def_Flows[Flow_ID],,0,)</f>
        <v>F_03_07</v>
      </c>
      <c r="C153" s="8" t="s">
        <v>745</v>
      </c>
      <c r="D153" s="10" t="str">
        <f>_xlfn.XLOOKUP(C153,Tab_Def_Flows[Flow_Name],Tab_Def_Flows[WC?],,0,)</f>
        <v>Yes</v>
      </c>
      <c r="E153" s="10" t="str">
        <f>_xlfn.XLOOKUP(C153,Tab_Def_Flows[Flow_Name],Tab_Def_Flows[DM?],,0,)</f>
        <v>Yes</v>
      </c>
      <c r="F153" s="10" t="str">
        <f>_xlfn.XLOOKUP(C153,Tab_Def_Flows[Flow_Name],Tab_Def_Flows[CC?],,0,)</f>
        <v>Yes</v>
      </c>
      <c r="G153" s="8">
        <v>2028</v>
      </c>
      <c r="H153" s="28">
        <v>50</v>
      </c>
      <c r="I153" s="8"/>
      <c r="J153" s="20"/>
      <c r="K153" s="8"/>
      <c r="L153" s="8"/>
      <c r="M153" s="8"/>
      <c r="N153" s="8"/>
      <c r="O153" s="8"/>
      <c r="P153" s="8"/>
      <c r="Q153" s="8" t="s">
        <v>8</v>
      </c>
      <c r="R153" s="21"/>
      <c r="S153" s="8"/>
      <c r="T153" s="7" t="str">
        <f>Tab_Data_Flows[[#This Row],[Flow_ID]]&amp;"_"&amp;"material_"&amp;Tab_Data_Flows[[#This Row],[Flow_Data_Year]]</f>
        <v>F_03_07_material_2028</v>
      </c>
      <c r="U153" s="18">
        <f t="shared" si="6"/>
        <v>50</v>
      </c>
      <c r="V153" s="8" t="s">
        <v>218</v>
      </c>
      <c r="W153" s="155">
        <f>INDEX(Tab_Def_Flows[[Flow_ID]:[CC_DM_source]],MATCH(Tab_Data_Flows[[#This Row],[Flow_Name]],Tab_Def_Flows[Flow_Name],0),11)</f>
        <v>0</v>
      </c>
      <c r="X153" s="7" t="str">
        <f>Tab_Data_Flows[[#This Row],[Flow_ID]]&amp;"_"&amp;"WC_"&amp;Tab_Data_Flows[[#This Row],[Flow_Data_Year]]</f>
        <v>F_03_07_WC_2028</v>
      </c>
      <c r="Y153" s="7">
        <f>IF(D153="Yes",U153*Tab_Data_Flows[[#This Row],[WC_'[%']]],"N.A.")</f>
        <v>0</v>
      </c>
      <c r="Z153" s="7" t="str">
        <f>Tab_Data_Flows[[#This Row],[UoM_Flow_Py]]</f>
        <v>Mg</v>
      </c>
      <c r="AA153" s="155">
        <f>INDEX(Tab_Def_Flows[[Flow_ID]:[CC_DM_source]],MATCH(Tab_Data_Flows[[#This Row],[Flow_Name]],Tab_Def_Flows[Flow_Name],0),14)</f>
        <v>0</v>
      </c>
      <c r="AB153" s="7" t="str">
        <f>Tab_Data_Flows[[#This Row],[Flow_ID]]&amp;"_"&amp;"DM_"&amp;Tab_Data_Flows[[#This Row],[Flow_Data_Year]]</f>
        <v>F_03_07_DM_2028</v>
      </c>
      <c r="AC153" s="7">
        <f>IF(E153="Yes",AA153*Tab_Data_Flows[[#This Row],[Flow_Material]],"N.A.")</f>
        <v>0</v>
      </c>
      <c r="AD153" s="7" t="str">
        <f>Tab_Data_Flows[[#This Row],[UoM_Flow_Py]]</f>
        <v>Mg</v>
      </c>
      <c r="AE153" s="155">
        <f>INDEX(Tab_Def_Flows[[Flow_ID]:[CC_DM_source]],MATCH(Tab_Data_Flows[[#This Row],[Flow_Name]],Tab_Def_Flows[Flow_Name],0),17)</f>
        <v>0</v>
      </c>
      <c r="AF153" s="7" t="str">
        <f>Tab_Data_Flows[[#This Row],[Flow_ID]]&amp;"_"&amp;"CC_"&amp;Tab_Data_Flows[[#This Row],[Flow_Data_Year]]</f>
        <v>F_03_07_CC_2028</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F_03_07</v>
      </c>
      <c r="C154" s="8" t="s">
        <v>745</v>
      </c>
      <c r="D154" s="10" t="str">
        <f>_xlfn.XLOOKUP(C154,Tab_Def_Flows[Flow_Name],Tab_Def_Flows[WC?],,0,)</f>
        <v>Yes</v>
      </c>
      <c r="E154" s="10" t="str">
        <f>_xlfn.XLOOKUP(C154,Tab_Def_Flows[Flow_Name],Tab_Def_Flows[DM?],,0,)</f>
        <v>Yes</v>
      </c>
      <c r="F154" s="10" t="str">
        <f>_xlfn.XLOOKUP(C154,Tab_Def_Flows[Flow_Name],Tab_Def_Flows[CC?],,0,)</f>
        <v>Yes</v>
      </c>
      <c r="G154" s="8">
        <v>2029</v>
      </c>
      <c r="H154" s="28">
        <v>50</v>
      </c>
      <c r="I154" s="8"/>
      <c r="J154" s="20"/>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F_03_07_material_2029</v>
      </c>
      <c r="U154" s="18">
        <f t="shared" si="6"/>
        <v>50</v>
      </c>
      <c r="V154" s="8" t="s">
        <v>218</v>
      </c>
      <c r="W154" s="155">
        <f>INDEX(Tab_Def_Flows[[Flow_ID]:[CC_DM_source]],MATCH(Tab_Data_Flows[[#This Row],[Flow_Name]],Tab_Def_Flows[Flow_Name],0),11)</f>
        <v>0</v>
      </c>
      <c r="X154" s="7" t="str">
        <f>Tab_Data_Flows[[#This Row],[Flow_ID]]&amp;"_"&amp;"WC_"&amp;Tab_Data_Flows[[#This Row],[Flow_Data_Year]]</f>
        <v>F_03_07_WC_2029</v>
      </c>
      <c r="Y154" s="7">
        <f>IF(D154="Yes",U154*Tab_Data_Flows[[#This Row],[WC_'[%']]],"N.A.")</f>
        <v>0</v>
      </c>
      <c r="Z154" s="7" t="str">
        <f>Tab_Data_Flows[[#This Row],[UoM_Flow_Py]]</f>
        <v>Mg</v>
      </c>
      <c r="AA154" s="155">
        <f>INDEX(Tab_Def_Flows[[Flow_ID]:[CC_DM_source]],MATCH(Tab_Data_Flows[[#This Row],[Flow_Name]],Tab_Def_Flows[Flow_Name],0),14)</f>
        <v>0</v>
      </c>
      <c r="AB154" s="7" t="str">
        <f>Tab_Data_Flows[[#This Row],[Flow_ID]]&amp;"_"&amp;"DM_"&amp;Tab_Data_Flows[[#This Row],[Flow_Data_Year]]</f>
        <v>F_03_07_DM_2029</v>
      </c>
      <c r="AC154" s="7">
        <f>IF(E154="Yes",AA154*Tab_Data_Flows[[#This Row],[Flow_Material]],"N.A.")</f>
        <v>0</v>
      </c>
      <c r="AD154" s="7" t="str">
        <f>Tab_Data_Flows[[#This Row],[UoM_Flow_Py]]</f>
        <v>Mg</v>
      </c>
      <c r="AE154" s="155">
        <f>INDEX(Tab_Def_Flows[[Flow_ID]:[CC_DM_source]],MATCH(Tab_Data_Flows[[#This Row],[Flow_Name]],Tab_Def_Flows[Flow_Name],0),17)</f>
        <v>0</v>
      </c>
      <c r="AF154" s="7" t="str">
        <f>Tab_Data_Flows[[#This Row],[Flow_ID]]&amp;"_"&amp;"CC_"&amp;Tab_Data_Flows[[#This Row],[Flow_Data_Year]]</f>
        <v>F_03_07_CC_2029</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F_03_07</v>
      </c>
      <c r="C155" s="8" t="s">
        <v>745</v>
      </c>
      <c r="D155" s="10" t="str">
        <f>_xlfn.XLOOKUP(C155,Tab_Def_Flows[Flow_Name],Tab_Def_Flows[WC?],,0,)</f>
        <v>Yes</v>
      </c>
      <c r="E155" s="10" t="str">
        <f>_xlfn.XLOOKUP(C155,Tab_Def_Flows[Flow_Name],Tab_Def_Flows[DM?],,0,)</f>
        <v>Yes</v>
      </c>
      <c r="F155" s="10" t="str">
        <f>_xlfn.XLOOKUP(C155,Tab_Def_Flows[Flow_Name],Tab_Def_Flows[CC?],,0,)</f>
        <v>Yes</v>
      </c>
      <c r="G155" s="8">
        <v>2030</v>
      </c>
      <c r="H155" s="28">
        <v>50</v>
      </c>
      <c r="I155" s="8"/>
      <c r="J155" s="20"/>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F_03_07_material_2030</v>
      </c>
      <c r="U155" s="18">
        <f t="shared" si="6"/>
        <v>50</v>
      </c>
      <c r="V155" s="8" t="s">
        <v>218</v>
      </c>
      <c r="W155" s="155">
        <f>INDEX(Tab_Def_Flows[[Flow_ID]:[CC_DM_source]],MATCH(Tab_Data_Flows[[#This Row],[Flow_Name]],Tab_Def_Flows[Flow_Name],0),11)</f>
        <v>0</v>
      </c>
      <c r="X155" s="7" t="str">
        <f>Tab_Data_Flows[[#This Row],[Flow_ID]]&amp;"_"&amp;"WC_"&amp;Tab_Data_Flows[[#This Row],[Flow_Data_Year]]</f>
        <v>F_03_07_WC_2030</v>
      </c>
      <c r="Y155" s="7">
        <f>IF(D155="Yes",U155*Tab_Data_Flows[[#This Row],[WC_'[%']]],"N.A.")</f>
        <v>0</v>
      </c>
      <c r="Z155" s="7" t="str">
        <f>Tab_Data_Flows[[#This Row],[UoM_Flow_Py]]</f>
        <v>Mg</v>
      </c>
      <c r="AA155" s="155">
        <f>INDEX(Tab_Def_Flows[[Flow_ID]:[CC_DM_source]],MATCH(Tab_Data_Flows[[#This Row],[Flow_Name]],Tab_Def_Flows[Flow_Name],0),14)</f>
        <v>0</v>
      </c>
      <c r="AB155" s="7" t="str">
        <f>Tab_Data_Flows[[#This Row],[Flow_ID]]&amp;"_"&amp;"DM_"&amp;Tab_Data_Flows[[#This Row],[Flow_Data_Year]]</f>
        <v>F_03_07_DM_2030</v>
      </c>
      <c r="AC155" s="7">
        <f>IF(E155="Yes",AA155*Tab_Data_Flows[[#This Row],[Flow_Material]],"N.A.")</f>
        <v>0</v>
      </c>
      <c r="AD155" s="7" t="str">
        <f>Tab_Data_Flows[[#This Row],[UoM_Flow_Py]]</f>
        <v>Mg</v>
      </c>
      <c r="AE155" s="155">
        <f>INDEX(Tab_Def_Flows[[Flow_ID]:[CC_DM_source]],MATCH(Tab_Data_Flows[[#This Row],[Flow_Name]],Tab_Def_Flows[Flow_Name],0),17)</f>
        <v>0</v>
      </c>
      <c r="AF155" s="7" t="str">
        <f>Tab_Data_Flows[[#This Row],[Flow_ID]]&amp;"_"&amp;"CC_"&amp;Tab_Data_Flows[[#This Row],[Flow_Data_Year]]</f>
        <v>F_03_07_CC_2030</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F_03_07</v>
      </c>
      <c r="C156" s="8" t="s">
        <v>745</v>
      </c>
      <c r="D156" s="10" t="str">
        <f>_xlfn.XLOOKUP(C156,Tab_Def_Flows[Flow_Name],Tab_Def_Flows[WC?],,0,)</f>
        <v>Yes</v>
      </c>
      <c r="E156" s="10" t="str">
        <f>_xlfn.XLOOKUP(C156,Tab_Def_Flows[Flow_Name],Tab_Def_Flows[DM?],,0,)</f>
        <v>Yes</v>
      </c>
      <c r="F156" s="10" t="str">
        <f>_xlfn.XLOOKUP(C156,Tab_Def_Flows[Flow_Name],Tab_Def_Flows[CC?],,0,)</f>
        <v>Yes</v>
      </c>
      <c r="G156" s="8">
        <v>2031</v>
      </c>
      <c r="H156" s="28">
        <v>50</v>
      </c>
      <c r="I156" s="8"/>
      <c r="J156" s="20"/>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F_03_07_material_2031</v>
      </c>
      <c r="U156" s="18">
        <f t="shared" si="6"/>
        <v>50</v>
      </c>
      <c r="V156" s="8" t="s">
        <v>218</v>
      </c>
      <c r="W156" s="155">
        <f>INDEX(Tab_Def_Flows[[Flow_ID]:[CC_DM_source]],MATCH(Tab_Data_Flows[[#This Row],[Flow_Name]],Tab_Def_Flows[Flow_Name],0),11)</f>
        <v>0</v>
      </c>
      <c r="X156" s="7" t="str">
        <f>Tab_Data_Flows[[#This Row],[Flow_ID]]&amp;"_"&amp;"WC_"&amp;Tab_Data_Flows[[#This Row],[Flow_Data_Year]]</f>
        <v>F_03_07_WC_2031</v>
      </c>
      <c r="Y156" s="7">
        <f>IF(D156="Yes",U156*Tab_Data_Flows[[#This Row],[WC_'[%']]],"N.A.")</f>
        <v>0</v>
      </c>
      <c r="Z156" s="7" t="str">
        <f>Tab_Data_Flows[[#This Row],[UoM_Flow_Py]]</f>
        <v>Mg</v>
      </c>
      <c r="AA156" s="155">
        <f>INDEX(Tab_Def_Flows[[Flow_ID]:[CC_DM_source]],MATCH(Tab_Data_Flows[[#This Row],[Flow_Name]],Tab_Def_Flows[Flow_Name],0),14)</f>
        <v>0</v>
      </c>
      <c r="AB156" s="7" t="str">
        <f>Tab_Data_Flows[[#This Row],[Flow_ID]]&amp;"_"&amp;"DM_"&amp;Tab_Data_Flows[[#This Row],[Flow_Data_Year]]</f>
        <v>F_03_07_DM_2031</v>
      </c>
      <c r="AC156" s="7">
        <f>IF(E156="Yes",AA156*Tab_Data_Flows[[#This Row],[Flow_Material]],"N.A.")</f>
        <v>0</v>
      </c>
      <c r="AD156" s="7" t="str">
        <f>Tab_Data_Flows[[#This Row],[UoM_Flow_Py]]</f>
        <v>Mg</v>
      </c>
      <c r="AE156" s="155">
        <f>INDEX(Tab_Def_Flows[[Flow_ID]:[CC_DM_source]],MATCH(Tab_Data_Flows[[#This Row],[Flow_Name]],Tab_Def_Flows[Flow_Name],0),17)</f>
        <v>0</v>
      </c>
      <c r="AF156" s="7" t="str">
        <f>Tab_Data_Flows[[#This Row],[Flow_ID]]&amp;"_"&amp;"CC_"&amp;Tab_Data_Flows[[#This Row],[Flow_Data_Year]]</f>
        <v>F_03_07_CC_2031</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F_03_07</v>
      </c>
      <c r="C157" s="8" t="s">
        <v>745</v>
      </c>
      <c r="D157" s="10" t="str">
        <f>_xlfn.XLOOKUP(C157,Tab_Def_Flows[Flow_Name],Tab_Def_Flows[WC?],,0,)</f>
        <v>Yes</v>
      </c>
      <c r="E157" s="10" t="str">
        <f>_xlfn.XLOOKUP(C157,Tab_Def_Flows[Flow_Name],Tab_Def_Flows[DM?],,0,)</f>
        <v>Yes</v>
      </c>
      <c r="F157" s="10" t="str">
        <f>_xlfn.XLOOKUP(C157,Tab_Def_Flows[Flow_Name],Tab_Def_Flows[CC?],,0,)</f>
        <v>Yes</v>
      </c>
      <c r="G157" s="8">
        <v>2032</v>
      </c>
      <c r="H157" s="28">
        <v>50</v>
      </c>
      <c r="I157" s="8"/>
      <c r="J157" s="20"/>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F_03_07_material_2032</v>
      </c>
      <c r="U157" s="18">
        <f t="shared" si="6"/>
        <v>50</v>
      </c>
      <c r="V157" s="8" t="s">
        <v>218</v>
      </c>
      <c r="W157" s="155">
        <f>INDEX(Tab_Def_Flows[[Flow_ID]:[CC_DM_source]],MATCH(Tab_Data_Flows[[#This Row],[Flow_Name]],Tab_Def_Flows[Flow_Name],0),11)</f>
        <v>0</v>
      </c>
      <c r="X157" s="7" t="str">
        <f>Tab_Data_Flows[[#This Row],[Flow_ID]]&amp;"_"&amp;"WC_"&amp;Tab_Data_Flows[[#This Row],[Flow_Data_Year]]</f>
        <v>F_03_07_WC_2032</v>
      </c>
      <c r="Y157" s="7">
        <f>IF(D157="Yes",U157*Tab_Data_Flows[[#This Row],[WC_'[%']]],"N.A.")</f>
        <v>0</v>
      </c>
      <c r="Z157" s="7" t="str">
        <f>Tab_Data_Flows[[#This Row],[UoM_Flow_Py]]</f>
        <v>Mg</v>
      </c>
      <c r="AA157" s="155">
        <f>INDEX(Tab_Def_Flows[[Flow_ID]:[CC_DM_source]],MATCH(Tab_Data_Flows[[#This Row],[Flow_Name]],Tab_Def_Flows[Flow_Name],0),14)</f>
        <v>0</v>
      </c>
      <c r="AB157" s="7" t="str">
        <f>Tab_Data_Flows[[#This Row],[Flow_ID]]&amp;"_"&amp;"DM_"&amp;Tab_Data_Flows[[#This Row],[Flow_Data_Year]]</f>
        <v>F_03_07_DM_2032</v>
      </c>
      <c r="AC157" s="7">
        <f>IF(E157="Yes",AA157*Tab_Data_Flows[[#This Row],[Flow_Material]],"N.A.")</f>
        <v>0</v>
      </c>
      <c r="AD157" s="7" t="str">
        <f>Tab_Data_Flows[[#This Row],[UoM_Flow_Py]]</f>
        <v>Mg</v>
      </c>
      <c r="AE157" s="155">
        <f>INDEX(Tab_Def_Flows[[Flow_ID]:[CC_DM_source]],MATCH(Tab_Data_Flows[[#This Row],[Flow_Name]],Tab_Def_Flows[Flow_Name],0),17)</f>
        <v>0</v>
      </c>
      <c r="AF157" s="7" t="str">
        <f>Tab_Data_Flows[[#This Row],[Flow_ID]]&amp;"_"&amp;"CC_"&amp;Tab_Data_Flows[[#This Row],[Flow_Data_Year]]</f>
        <v>F_03_07_CC_2032</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F_03_07</v>
      </c>
      <c r="C158" s="8" t="s">
        <v>745</v>
      </c>
      <c r="D158" s="10" t="str">
        <f>_xlfn.XLOOKUP(C158,Tab_Def_Flows[Flow_Name],Tab_Def_Flows[WC?],,0,)</f>
        <v>Yes</v>
      </c>
      <c r="E158" s="10" t="str">
        <f>_xlfn.XLOOKUP(C158,Tab_Def_Flows[Flow_Name],Tab_Def_Flows[DM?],,0,)</f>
        <v>Yes</v>
      </c>
      <c r="F158" s="10" t="str">
        <f>_xlfn.XLOOKUP(C158,Tab_Def_Flows[Flow_Name],Tab_Def_Flows[CC?],,0,)</f>
        <v>Yes</v>
      </c>
      <c r="G158" s="8">
        <v>2033</v>
      </c>
      <c r="H158" s="28">
        <v>50</v>
      </c>
      <c r="I158" s="8"/>
      <c r="J158" s="20"/>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F_03_07_material_2033</v>
      </c>
      <c r="U158" s="18">
        <f t="shared" si="6"/>
        <v>50</v>
      </c>
      <c r="V158" s="8" t="s">
        <v>218</v>
      </c>
      <c r="W158" s="155">
        <f>INDEX(Tab_Def_Flows[[Flow_ID]:[CC_DM_source]],MATCH(Tab_Data_Flows[[#This Row],[Flow_Name]],Tab_Def_Flows[Flow_Name],0),11)</f>
        <v>0</v>
      </c>
      <c r="X158" s="7" t="str">
        <f>Tab_Data_Flows[[#This Row],[Flow_ID]]&amp;"_"&amp;"WC_"&amp;Tab_Data_Flows[[#This Row],[Flow_Data_Year]]</f>
        <v>F_03_07_WC_2033</v>
      </c>
      <c r="Y158" s="7">
        <f>IF(D158="Yes",U158*Tab_Data_Flows[[#This Row],[WC_'[%']]],"N.A.")</f>
        <v>0</v>
      </c>
      <c r="Z158" s="7" t="str">
        <f>Tab_Data_Flows[[#This Row],[UoM_Flow_Py]]</f>
        <v>Mg</v>
      </c>
      <c r="AA158" s="155">
        <f>INDEX(Tab_Def_Flows[[Flow_ID]:[CC_DM_source]],MATCH(Tab_Data_Flows[[#This Row],[Flow_Name]],Tab_Def_Flows[Flow_Name],0),14)</f>
        <v>0</v>
      </c>
      <c r="AB158" s="7" t="str">
        <f>Tab_Data_Flows[[#This Row],[Flow_ID]]&amp;"_"&amp;"DM_"&amp;Tab_Data_Flows[[#This Row],[Flow_Data_Year]]</f>
        <v>F_03_07_DM_2033</v>
      </c>
      <c r="AC158" s="7">
        <f>IF(E158="Yes",AA158*Tab_Data_Flows[[#This Row],[Flow_Material]],"N.A.")</f>
        <v>0</v>
      </c>
      <c r="AD158" s="7" t="str">
        <f>Tab_Data_Flows[[#This Row],[UoM_Flow_Py]]</f>
        <v>Mg</v>
      </c>
      <c r="AE158" s="155">
        <f>INDEX(Tab_Def_Flows[[Flow_ID]:[CC_DM_source]],MATCH(Tab_Data_Flows[[#This Row],[Flow_Name]],Tab_Def_Flows[Flow_Name],0),17)</f>
        <v>0</v>
      </c>
      <c r="AF158" s="7" t="str">
        <f>Tab_Data_Flows[[#This Row],[Flow_ID]]&amp;"_"&amp;"CC_"&amp;Tab_Data_Flows[[#This Row],[Flow_Data_Year]]</f>
        <v>F_03_07_CC_2033</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F_03_07</v>
      </c>
      <c r="C159" s="8" t="s">
        <v>745</v>
      </c>
      <c r="D159" s="10" t="str">
        <f>_xlfn.XLOOKUP(C159,Tab_Def_Flows[Flow_Name],Tab_Def_Flows[WC?],,0,)</f>
        <v>Yes</v>
      </c>
      <c r="E159" s="10" t="str">
        <f>_xlfn.XLOOKUP(C159,Tab_Def_Flows[Flow_Name],Tab_Def_Flows[DM?],,0,)</f>
        <v>Yes</v>
      </c>
      <c r="F159" s="10" t="str">
        <f>_xlfn.XLOOKUP(C159,Tab_Def_Flows[Flow_Name],Tab_Def_Flows[CC?],,0,)</f>
        <v>Yes</v>
      </c>
      <c r="G159" s="8">
        <v>2034</v>
      </c>
      <c r="H159" s="28">
        <v>50</v>
      </c>
      <c r="I159" s="8"/>
      <c r="J159" s="20"/>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F_03_07_material_2034</v>
      </c>
      <c r="U159" s="18">
        <f t="shared" si="6"/>
        <v>50</v>
      </c>
      <c r="V159" s="8" t="s">
        <v>218</v>
      </c>
      <c r="W159" s="155">
        <f>INDEX(Tab_Def_Flows[[Flow_ID]:[CC_DM_source]],MATCH(Tab_Data_Flows[[#This Row],[Flow_Name]],Tab_Def_Flows[Flow_Name],0),11)</f>
        <v>0</v>
      </c>
      <c r="X159" s="7" t="str">
        <f>Tab_Data_Flows[[#This Row],[Flow_ID]]&amp;"_"&amp;"WC_"&amp;Tab_Data_Flows[[#This Row],[Flow_Data_Year]]</f>
        <v>F_03_07_WC_2034</v>
      </c>
      <c r="Y159" s="7">
        <f>IF(D159="Yes",U159*Tab_Data_Flows[[#This Row],[WC_'[%']]],"N.A.")</f>
        <v>0</v>
      </c>
      <c r="Z159" s="7" t="str">
        <f>Tab_Data_Flows[[#This Row],[UoM_Flow_Py]]</f>
        <v>Mg</v>
      </c>
      <c r="AA159" s="155">
        <f>INDEX(Tab_Def_Flows[[Flow_ID]:[CC_DM_source]],MATCH(Tab_Data_Flows[[#This Row],[Flow_Name]],Tab_Def_Flows[Flow_Name],0),14)</f>
        <v>0</v>
      </c>
      <c r="AB159" s="7" t="str">
        <f>Tab_Data_Flows[[#This Row],[Flow_ID]]&amp;"_"&amp;"DM_"&amp;Tab_Data_Flows[[#This Row],[Flow_Data_Year]]</f>
        <v>F_03_07_DM_2034</v>
      </c>
      <c r="AC159" s="7">
        <f>IF(E159="Yes",AA159*Tab_Data_Flows[[#This Row],[Flow_Material]],"N.A.")</f>
        <v>0</v>
      </c>
      <c r="AD159" s="7" t="str">
        <f>Tab_Data_Flows[[#This Row],[UoM_Flow_Py]]</f>
        <v>Mg</v>
      </c>
      <c r="AE159" s="155">
        <f>INDEX(Tab_Def_Flows[[Flow_ID]:[CC_DM_source]],MATCH(Tab_Data_Flows[[#This Row],[Flow_Name]],Tab_Def_Flows[Flow_Name],0),17)</f>
        <v>0</v>
      </c>
      <c r="AF159" s="7" t="str">
        <f>Tab_Data_Flows[[#This Row],[Flow_ID]]&amp;"_"&amp;"CC_"&amp;Tab_Data_Flows[[#This Row],[Flow_Data_Year]]</f>
        <v>F_03_07_CC_2034</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F_03_07</v>
      </c>
      <c r="C160" s="8" t="s">
        <v>745</v>
      </c>
      <c r="D160" s="10" t="str">
        <f>_xlfn.XLOOKUP(C160,Tab_Def_Flows[Flow_Name],Tab_Def_Flows[WC?],,0,)</f>
        <v>Yes</v>
      </c>
      <c r="E160" s="10" t="str">
        <f>_xlfn.XLOOKUP(C160,Tab_Def_Flows[Flow_Name],Tab_Def_Flows[DM?],,0,)</f>
        <v>Yes</v>
      </c>
      <c r="F160" s="10" t="str">
        <f>_xlfn.XLOOKUP(C160,Tab_Def_Flows[Flow_Name],Tab_Def_Flows[CC?],,0,)</f>
        <v>Yes</v>
      </c>
      <c r="G160" s="8">
        <v>2035</v>
      </c>
      <c r="H160" s="28">
        <v>50</v>
      </c>
      <c r="I160" s="8"/>
      <c r="J160" s="20"/>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F_03_07_material_2035</v>
      </c>
      <c r="U160" s="18">
        <f t="shared" si="6"/>
        <v>50</v>
      </c>
      <c r="V160" s="8" t="s">
        <v>218</v>
      </c>
      <c r="W160" s="155">
        <f>INDEX(Tab_Def_Flows[[Flow_ID]:[CC_DM_source]],MATCH(Tab_Data_Flows[[#This Row],[Flow_Name]],Tab_Def_Flows[Flow_Name],0),11)</f>
        <v>0</v>
      </c>
      <c r="X160" s="7" t="str">
        <f>Tab_Data_Flows[[#This Row],[Flow_ID]]&amp;"_"&amp;"WC_"&amp;Tab_Data_Flows[[#This Row],[Flow_Data_Year]]</f>
        <v>F_03_07_WC_2035</v>
      </c>
      <c r="Y160" s="7">
        <f>IF(D160="Yes",U160*Tab_Data_Flows[[#This Row],[WC_'[%']]],"N.A.")</f>
        <v>0</v>
      </c>
      <c r="Z160" s="7" t="str">
        <f>Tab_Data_Flows[[#This Row],[UoM_Flow_Py]]</f>
        <v>Mg</v>
      </c>
      <c r="AA160" s="155">
        <f>INDEX(Tab_Def_Flows[[Flow_ID]:[CC_DM_source]],MATCH(Tab_Data_Flows[[#This Row],[Flow_Name]],Tab_Def_Flows[Flow_Name],0),14)</f>
        <v>0</v>
      </c>
      <c r="AB160" s="7" t="str">
        <f>Tab_Data_Flows[[#This Row],[Flow_ID]]&amp;"_"&amp;"DM_"&amp;Tab_Data_Flows[[#This Row],[Flow_Data_Year]]</f>
        <v>F_03_07_DM_2035</v>
      </c>
      <c r="AC160" s="7">
        <f>IF(E160="Yes",AA160*Tab_Data_Flows[[#This Row],[Flow_Material]],"N.A.")</f>
        <v>0</v>
      </c>
      <c r="AD160" s="7" t="str">
        <f>Tab_Data_Flows[[#This Row],[UoM_Flow_Py]]</f>
        <v>Mg</v>
      </c>
      <c r="AE160" s="155">
        <f>INDEX(Tab_Def_Flows[[Flow_ID]:[CC_DM_source]],MATCH(Tab_Data_Flows[[#This Row],[Flow_Name]],Tab_Def_Flows[Flow_Name],0),17)</f>
        <v>0</v>
      </c>
      <c r="AF160" s="7" t="str">
        <f>Tab_Data_Flows[[#This Row],[Flow_ID]]&amp;"_"&amp;"CC_"&amp;Tab_Data_Flows[[#This Row],[Flow_Data_Year]]</f>
        <v>F_03_07_CC_2035</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F_03_07</v>
      </c>
      <c r="C161" s="8" t="s">
        <v>745</v>
      </c>
      <c r="D161" s="10" t="str">
        <f>_xlfn.XLOOKUP(C161,Tab_Def_Flows[Flow_Name],Tab_Def_Flows[WC?],,0,)</f>
        <v>Yes</v>
      </c>
      <c r="E161" s="10" t="str">
        <f>_xlfn.XLOOKUP(C161,Tab_Def_Flows[Flow_Name],Tab_Def_Flows[DM?],,0,)</f>
        <v>Yes</v>
      </c>
      <c r="F161" s="10" t="str">
        <f>_xlfn.XLOOKUP(C161,Tab_Def_Flows[Flow_Name],Tab_Def_Flows[CC?],,0,)</f>
        <v>Yes</v>
      </c>
      <c r="G161" s="8">
        <v>2036</v>
      </c>
      <c r="H161" s="28">
        <v>50</v>
      </c>
      <c r="I161" s="8"/>
      <c r="J161" s="20"/>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F_03_07_material_2036</v>
      </c>
      <c r="U161" s="18">
        <f t="shared" si="6"/>
        <v>50</v>
      </c>
      <c r="V161" s="8" t="s">
        <v>218</v>
      </c>
      <c r="W161" s="155">
        <f>INDEX(Tab_Def_Flows[[Flow_ID]:[CC_DM_source]],MATCH(Tab_Data_Flows[[#This Row],[Flow_Name]],Tab_Def_Flows[Flow_Name],0),11)</f>
        <v>0</v>
      </c>
      <c r="X161" s="7" t="str">
        <f>Tab_Data_Flows[[#This Row],[Flow_ID]]&amp;"_"&amp;"WC_"&amp;Tab_Data_Flows[[#This Row],[Flow_Data_Year]]</f>
        <v>F_03_07_WC_2036</v>
      </c>
      <c r="Y161" s="7">
        <f>IF(D161="Yes",U161*Tab_Data_Flows[[#This Row],[WC_'[%']]],"N.A.")</f>
        <v>0</v>
      </c>
      <c r="Z161" s="7" t="str">
        <f>Tab_Data_Flows[[#This Row],[UoM_Flow_Py]]</f>
        <v>Mg</v>
      </c>
      <c r="AA161" s="155">
        <f>INDEX(Tab_Def_Flows[[Flow_ID]:[CC_DM_source]],MATCH(Tab_Data_Flows[[#This Row],[Flow_Name]],Tab_Def_Flows[Flow_Name],0),14)</f>
        <v>0</v>
      </c>
      <c r="AB161" s="7" t="str">
        <f>Tab_Data_Flows[[#This Row],[Flow_ID]]&amp;"_"&amp;"DM_"&amp;Tab_Data_Flows[[#This Row],[Flow_Data_Year]]</f>
        <v>F_03_07_DM_2036</v>
      </c>
      <c r="AC161" s="7">
        <f>IF(E161="Yes",AA161*Tab_Data_Flows[[#This Row],[Flow_Material]],"N.A.")</f>
        <v>0</v>
      </c>
      <c r="AD161" s="7" t="str">
        <f>Tab_Data_Flows[[#This Row],[UoM_Flow_Py]]</f>
        <v>Mg</v>
      </c>
      <c r="AE161" s="155">
        <f>INDEX(Tab_Def_Flows[[Flow_ID]:[CC_DM_source]],MATCH(Tab_Data_Flows[[#This Row],[Flow_Name]],Tab_Def_Flows[Flow_Name],0),17)</f>
        <v>0</v>
      </c>
      <c r="AF161" s="7" t="str">
        <f>Tab_Data_Flows[[#This Row],[Flow_ID]]&amp;"_"&amp;"CC_"&amp;Tab_Data_Flows[[#This Row],[Flow_Data_Year]]</f>
        <v>F_03_07_CC_2036</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F_03_07</v>
      </c>
      <c r="C162" s="8" t="s">
        <v>745</v>
      </c>
      <c r="D162" s="10" t="str">
        <f>_xlfn.XLOOKUP(C162,Tab_Def_Flows[Flow_Name],Tab_Def_Flows[WC?],,0,)</f>
        <v>Yes</v>
      </c>
      <c r="E162" s="10" t="str">
        <f>_xlfn.XLOOKUP(C162,Tab_Def_Flows[Flow_Name],Tab_Def_Flows[DM?],,0,)</f>
        <v>Yes</v>
      </c>
      <c r="F162" s="10" t="str">
        <f>_xlfn.XLOOKUP(C162,Tab_Def_Flows[Flow_Name],Tab_Def_Flows[CC?],,0,)</f>
        <v>Yes</v>
      </c>
      <c r="G162" s="8">
        <v>2037</v>
      </c>
      <c r="H162" s="28">
        <v>50</v>
      </c>
      <c r="I162" s="8"/>
      <c r="J162" s="20"/>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F_03_07_material_2037</v>
      </c>
      <c r="U162" s="18">
        <f t="shared" si="6"/>
        <v>50</v>
      </c>
      <c r="V162" s="8" t="s">
        <v>218</v>
      </c>
      <c r="W162" s="155">
        <f>INDEX(Tab_Def_Flows[[Flow_ID]:[CC_DM_source]],MATCH(Tab_Data_Flows[[#This Row],[Flow_Name]],Tab_Def_Flows[Flow_Name],0),11)</f>
        <v>0</v>
      </c>
      <c r="X162" s="7" t="str">
        <f>Tab_Data_Flows[[#This Row],[Flow_ID]]&amp;"_"&amp;"WC_"&amp;Tab_Data_Flows[[#This Row],[Flow_Data_Year]]</f>
        <v>F_03_07_WC_2037</v>
      </c>
      <c r="Y162" s="7">
        <f>IF(D162="Yes",U162*Tab_Data_Flows[[#This Row],[WC_'[%']]],"N.A.")</f>
        <v>0</v>
      </c>
      <c r="Z162" s="7" t="str">
        <f>Tab_Data_Flows[[#This Row],[UoM_Flow_Py]]</f>
        <v>Mg</v>
      </c>
      <c r="AA162" s="155">
        <f>INDEX(Tab_Def_Flows[[Flow_ID]:[CC_DM_source]],MATCH(Tab_Data_Flows[[#This Row],[Flow_Name]],Tab_Def_Flows[Flow_Name],0),14)</f>
        <v>0</v>
      </c>
      <c r="AB162" s="7" t="str">
        <f>Tab_Data_Flows[[#This Row],[Flow_ID]]&amp;"_"&amp;"DM_"&amp;Tab_Data_Flows[[#This Row],[Flow_Data_Year]]</f>
        <v>F_03_07_DM_2037</v>
      </c>
      <c r="AC162" s="7">
        <f>IF(E162="Yes",AA162*Tab_Data_Flows[[#This Row],[Flow_Material]],"N.A.")</f>
        <v>0</v>
      </c>
      <c r="AD162" s="7" t="str">
        <f>Tab_Data_Flows[[#This Row],[UoM_Flow_Py]]</f>
        <v>Mg</v>
      </c>
      <c r="AE162" s="155">
        <f>INDEX(Tab_Def_Flows[[Flow_ID]:[CC_DM_source]],MATCH(Tab_Data_Flows[[#This Row],[Flow_Name]],Tab_Def_Flows[Flow_Name],0),17)</f>
        <v>0</v>
      </c>
      <c r="AF162" s="7" t="str">
        <f>Tab_Data_Flows[[#This Row],[Flow_ID]]&amp;"_"&amp;"CC_"&amp;Tab_Data_Flows[[#This Row],[Flow_Data_Year]]</f>
        <v>F_03_07_CC_2037</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F_03_07</v>
      </c>
      <c r="C163" s="8" t="s">
        <v>745</v>
      </c>
      <c r="D163" s="10" t="str">
        <f>_xlfn.XLOOKUP(C163,Tab_Def_Flows[Flow_Name],Tab_Def_Flows[WC?],,0,)</f>
        <v>Yes</v>
      </c>
      <c r="E163" s="10" t="str">
        <f>_xlfn.XLOOKUP(C163,Tab_Def_Flows[Flow_Name],Tab_Def_Flows[DM?],,0,)</f>
        <v>Yes</v>
      </c>
      <c r="F163" s="10" t="str">
        <f>_xlfn.XLOOKUP(C163,Tab_Def_Flows[Flow_Name],Tab_Def_Flows[CC?],,0,)</f>
        <v>Yes</v>
      </c>
      <c r="G163" s="8">
        <v>2038</v>
      </c>
      <c r="H163" s="28">
        <v>50</v>
      </c>
      <c r="I163" s="8"/>
      <c r="J163" s="20"/>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F_03_07_material_2038</v>
      </c>
      <c r="U163" s="18">
        <f t="shared" si="6"/>
        <v>50</v>
      </c>
      <c r="V163" s="8" t="s">
        <v>218</v>
      </c>
      <c r="W163" s="155">
        <f>INDEX(Tab_Def_Flows[[Flow_ID]:[CC_DM_source]],MATCH(Tab_Data_Flows[[#This Row],[Flow_Name]],Tab_Def_Flows[Flow_Name],0),11)</f>
        <v>0</v>
      </c>
      <c r="X163" s="7" t="str">
        <f>Tab_Data_Flows[[#This Row],[Flow_ID]]&amp;"_"&amp;"WC_"&amp;Tab_Data_Flows[[#This Row],[Flow_Data_Year]]</f>
        <v>F_03_07_WC_2038</v>
      </c>
      <c r="Y163" s="7">
        <f>IF(D163="Yes",U163*Tab_Data_Flows[[#This Row],[WC_'[%']]],"N.A.")</f>
        <v>0</v>
      </c>
      <c r="Z163" s="7" t="str">
        <f>Tab_Data_Flows[[#This Row],[UoM_Flow_Py]]</f>
        <v>Mg</v>
      </c>
      <c r="AA163" s="155">
        <f>INDEX(Tab_Def_Flows[[Flow_ID]:[CC_DM_source]],MATCH(Tab_Data_Flows[[#This Row],[Flow_Name]],Tab_Def_Flows[Flow_Name],0),14)</f>
        <v>0</v>
      </c>
      <c r="AB163" s="7" t="str">
        <f>Tab_Data_Flows[[#This Row],[Flow_ID]]&amp;"_"&amp;"DM_"&amp;Tab_Data_Flows[[#This Row],[Flow_Data_Year]]</f>
        <v>F_03_07_DM_2038</v>
      </c>
      <c r="AC163" s="7">
        <f>IF(E163="Yes",AA163*Tab_Data_Flows[[#This Row],[Flow_Material]],"N.A.")</f>
        <v>0</v>
      </c>
      <c r="AD163" s="7" t="str">
        <f>Tab_Data_Flows[[#This Row],[UoM_Flow_Py]]</f>
        <v>Mg</v>
      </c>
      <c r="AE163" s="155">
        <f>INDEX(Tab_Def_Flows[[Flow_ID]:[CC_DM_source]],MATCH(Tab_Data_Flows[[#This Row],[Flow_Name]],Tab_Def_Flows[Flow_Name],0),17)</f>
        <v>0</v>
      </c>
      <c r="AF163" s="7" t="str">
        <f>Tab_Data_Flows[[#This Row],[Flow_ID]]&amp;"_"&amp;"CC_"&amp;Tab_Data_Flows[[#This Row],[Flow_Data_Year]]</f>
        <v>F_03_07_CC_2038</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F_03_07</v>
      </c>
      <c r="C164" s="8" t="s">
        <v>745</v>
      </c>
      <c r="D164" s="10" t="str">
        <f>_xlfn.XLOOKUP(C164,Tab_Def_Flows[Flow_Name],Tab_Def_Flows[WC?],,0,)</f>
        <v>Yes</v>
      </c>
      <c r="E164" s="10" t="str">
        <f>_xlfn.XLOOKUP(C164,Tab_Def_Flows[Flow_Name],Tab_Def_Flows[DM?],,0,)</f>
        <v>Yes</v>
      </c>
      <c r="F164" s="10" t="str">
        <f>_xlfn.XLOOKUP(C164,Tab_Def_Flows[Flow_Name],Tab_Def_Flows[CC?],,0,)</f>
        <v>Yes</v>
      </c>
      <c r="G164" s="8">
        <v>2039</v>
      </c>
      <c r="H164" s="28">
        <v>50</v>
      </c>
      <c r="I164" s="8"/>
      <c r="J164" s="20"/>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F_03_07_material_2039</v>
      </c>
      <c r="U164" s="18">
        <f t="shared" si="6"/>
        <v>50</v>
      </c>
      <c r="V164" s="8" t="s">
        <v>218</v>
      </c>
      <c r="W164" s="155">
        <f>INDEX(Tab_Def_Flows[[Flow_ID]:[CC_DM_source]],MATCH(Tab_Data_Flows[[#This Row],[Flow_Name]],Tab_Def_Flows[Flow_Name],0),11)</f>
        <v>0</v>
      </c>
      <c r="X164" s="7" t="str">
        <f>Tab_Data_Flows[[#This Row],[Flow_ID]]&amp;"_"&amp;"WC_"&amp;Tab_Data_Flows[[#This Row],[Flow_Data_Year]]</f>
        <v>F_03_07_WC_2039</v>
      </c>
      <c r="Y164" s="7">
        <f>IF(D164="Yes",U164*Tab_Data_Flows[[#This Row],[WC_'[%']]],"N.A.")</f>
        <v>0</v>
      </c>
      <c r="Z164" s="7" t="str">
        <f>Tab_Data_Flows[[#This Row],[UoM_Flow_Py]]</f>
        <v>Mg</v>
      </c>
      <c r="AA164" s="155">
        <f>INDEX(Tab_Def_Flows[[Flow_ID]:[CC_DM_source]],MATCH(Tab_Data_Flows[[#This Row],[Flow_Name]],Tab_Def_Flows[Flow_Name],0),14)</f>
        <v>0</v>
      </c>
      <c r="AB164" s="7" t="str">
        <f>Tab_Data_Flows[[#This Row],[Flow_ID]]&amp;"_"&amp;"DM_"&amp;Tab_Data_Flows[[#This Row],[Flow_Data_Year]]</f>
        <v>F_03_07_DM_2039</v>
      </c>
      <c r="AC164" s="7">
        <f>IF(E164="Yes",AA164*Tab_Data_Flows[[#This Row],[Flow_Material]],"N.A.")</f>
        <v>0</v>
      </c>
      <c r="AD164" s="7" t="str">
        <f>Tab_Data_Flows[[#This Row],[UoM_Flow_Py]]</f>
        <v>Mg</v>
      </c>
      <c r="AE164" s="155">
        <f>INDEX(Tab_Def_Flows[[Flow_ID]:[CC_DM_source]],MATCH(Tab_Data_Flows[[#This Row],[Flow_Name]],Tab_Def_Flows[Flow_Name],0),17)</f>
        <v>0</v>
      </c>
      <c r="AF164" s="7" t="str">
        <f>Tab_Data_Flows[[#This Row],[Flow_ID]]&amp;"_"&amp;"CC_"&amp;Tab_Data_Flows[[#This Row],[Flow_Data_Year]]</f>
        <v>F_03_07_CC_2039</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F_03_07</v>
      </c>
      <c r="C165" s="8" t="s">
        <v>745</v>
      </c>
      <c r="D165" s="10" t="str">
        <f>_xlfn.XLOOKUP(C165,Tab_Def_Flows[Flow_Name],Tab_Def_Flows[WC?],,0,)</f>
        <v>Yes</v>
      </c>
      <c r="E165" s="10" t="str">
        <f>_xlfn.XLOOKUP(C165,Tab_Def_Flows[Flow_Name],Tab_Def_Flows[DM?],,0,)</f>
        <v>Yes</v>
      </c>
      <c r="F165" s="10" t="str">
        <f>_xlfn.XLOOKUP(C165,Tab_Def_Flows[Flow_Name],Tab_Def_Flows[CC?],,0,)</f>
        <v>Yes</v>
      </c>
      <c r="G165" s="8">
        <v>2040</v>
      </c>
      <c r="H165" s="28">
        <v>50</v>
      </c>
      <c r="I165" s="8"/>
      <c r="J165" s="20"/>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F_03_07_material_2040</v>
      </c>
      <c r="U165" s="18">
        <f t="shared" si="6"/>
        <v>50</v>
      </c>
      <c r="V165" s="8" t="s">
        <v>218</v>
      </c>
      <c r="W165" s="155">
        <f>INDEX(Tab_Def_Flows[[Flow_ID]:[CC_DM_source]],MATCH(Tab_Data_Flows[[#This Row],[Flow_Name]],Tab_Def_Flows[Flow_Name],0),11)</f>
        <v>0</v>
      </c>
      <c r="X165" s="7" t="str">
        <f>Tab_Data_Flows[[#This Row],[Flow_ID]]&amp;"_"&amp;"WC_"&amp;Tab_Data_Flows[[#This Row],[Flow_Data_Year]]</f>
        <v>F_03_07_WC_2040</v>
      </c>
      <c r="Y165" s="7">
        <f>IF(D165="Yes",U165*Tab_Data_Flows[[#This Row],[WC_'[%']]],"N.A.")</f>
        <v>0</v>
      </c>
      <c r="Z165" s="7" t="str">
        <f>Tab_Data_Flows[[#This Row],[UoM_Flow_Py]]</f>
        <v>Mg</v>
      </c>
      <c r="AA165" s="155">
        <f>INDEX(Tab_Def_Flows[[Flow_ID]:[CC_DM_source]],MATCH(Tab_Data_Flows[[#This Row],[Flow_Name]],Tab_Def_Flows[Flow_Name],0),14)</f>
        <v>0</v>
      </c>
      <c r="AB165" s="7" t="str">
        <f>Tab_Data_Flows[[#This Row],[Flow_ID]]&amp;"_"&amp;"DM_"&amp;Tab_Data_Flows[[#This Row],[Flow_Data_Year]]</f>
        <v>F_03_07_DM_2040</v>
      </c>
      <c r="AC165" s="7">
        <f>IF(E165="Yes",AA165*Tab_Data_Flows[[#This Row],[Flow_Material]],"N.A.")</f>
        <v>0</v>
      </c>
      <c r="AD165" s="7" t="str">
        <f>Tab_Data_Flows[[#This Row],[UoM_Flow_Py]]</f>
        <v>Mg</v>
      </c>
      <c r="AE165" s="155">
        <f>INDEX(Tab_Def_Flows[[Flow_ID]:[CC_DM_source]],MATCH(Tab_Data_Flows[[#This Row],[Flow_Name]],Tab_Def_Flows[Flow_Name],0),17)</f>
        <v>0</v>
      </c>
      <c r="AF165" s="7" t="str">
        <f>Tab_Data_Flows[[#This Row],[Flow_ID]]&amp;"_"&amp;"CC_"&amp;Tab_Data_Flows[[#This Row],[Flow_Data_Year]]</f>
        <v>F_03_07_CC_2040</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c r="H166" s="28"/>
      <c r="I166" s="8"/>
      <c r="J166" s="20"/>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v>
      </c>
      <c r="U166" s="18">
        <f t="shared" si="6"/>
        <v>0</v>
      </c>
      <c r="V166" s="8" t="s">
        <v>218</v>
      </c>
      <c r="W166" s="155">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5">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5">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c r="H167" s="28"/>
      <c r="I167" s="8"/>
      <c r="J167" s="20"/>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v>
      </c>
      <c r="U167" s="18">
        <f t="shared" si="6"/>
        <v>0</v>
      </c>
      <c r="V167" s="8" t="s">
        <v>218</v>
      </c>
      <c r="W167" s="155">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5">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5">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c r="H168" s="28"/>
      <c r="I168" s="8"/>
      <c r="J168" s="20"/>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v>
      </c>
      <c r="U168" s="18">
        <f t="shared" si="6"/>
        <v>0</v>
      </c>
      <c r="V168" s="8" t="s">
        <v>218</v>
      </c>
      <c r="W168" s="155">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5">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5">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c r="H169" s="28"/>
      <c r="I169" s="8"/>
      <c r="J169" s="20"/>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v>
      </c>
      <c r="U169" s="18">
        <f t="shared" si="6"/>
        <v>0</v>
      </c>
      <c r="V169" s="8" t="s">
        <v>218</v>
      </c>
      <c r="W169" s="155">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5">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5">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c r="H170" s="28"/>
      <c r="I170" s="8"/>
      <c r="J170" s="20"/>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v>
      </c>
      <c r="U170" s="18">
        <f t="shared" si="6"/>
        <v>0</v>
      </c>
      <c r="V170" s="8" t="s">
        <v>218</v>
      </c>
      <c r="W170" s="155">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5">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5">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c r="H171" s="28"/>
      <c r="I171" s="8"/>
      <c r="J171" s="20"/>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v>
      </c>
      <c r="U171" s="18">
        <f t="shared" si="6"/>
        <v>0</v>
      </c>
      <c r="V171" s="8" t="s">
        <v>218</v>
      </c>
      <c r="W171" s="155">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5">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5">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c r="H172" s="28"/>
      <c r="I172" s="8"/>
      <c r="J172" s="20"/>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v>
      </c>
      <c r="U172" s="18">
        <f t="shared" si="6"/>
        <v>0</v>
      </c>
      <c r="V172" s="8" t="s">
        <v>218</v>
      </c>
      <c r="W172" s="155">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5">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5">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c r="H173" s="28"/>
      <c r="I173" s="8"/>
      <c r="J173" s="20"/>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v>
      </c>
      <c r="U173" s="18">
        <f t="shared" si="6"/>
        <v>0</v>
      </c>
      <c r="V173" s="8" t="s">
        <v>218</v>
      </c>
      <c r="W173" s="155">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5">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5">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c r="H174" s="28"/>
      <c r="I174" s="8"/>
      <c r="J174" s="20"/>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v>
      </c>
      <c r="U174" s="18">
        <f t="shared" si="6"/>
        <v>0</v>
      </c>
      <c r="V174" s="8" t="s">
        <v>218</v>
      </c>
      <c r="W174" s="155">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5">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5">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c r="H175" s="28"/>
      <c r="I175" s="8"/>
      <c r="J175" s="20"/>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v>
      </c>
      <c r="U175" s="18">
        <f t="shared" si="6"/>
        <v>0</v>
      </c>
      <c r="V175" s="8" t="s">
        <v>218</v>
      </c>
      <c r="W175" s="155">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5">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5">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c r="H176" s="28"/>
      <c r="I176" s="8"/>
      <c r="J176" s="20"/>
      <c r="K176" s="8"/>
      <c r="L176" s="8"/>
      <c r="M176" s="8"/>
      <c r="N176" s="8"/>
      <c r="O176" s="8"/>
      <c r="P176" s="8"/>
      <c r="Q176" s="8" t="s">
        <v>8</v>
      </c>
      <c r="R176" s="21"/>
      <c r="S176" s="8"/>
      <c r="T176" s="7" t="str">
        <f>Tab_Data_Flows[[#This Row],[Flow_ID]]&amp;"_"&amp;"material_"&amp;Tab_Data_Flows[[#This Row],[Flow_Data_Year]]</f>
        <v>F___material_</v>
      </c>
      <c r="U176" s="18">
        <f t="shared" si="6"/>
        <v>0</v>
      </c>
      <c r="V176" s="8" t="s">
        <v>218</v>
      </c>
      <c r="W176" s="155">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5">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5">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c r="H177" s="28"/>
      <c r="I177" s="8"/>
      <c r="J177" s="20"/>
      <c r="K177" s="8"/>
      <c r="L177" s="8"/>
      <c r="M177" s="8"/>
      <c r="N177" s="8"/>
      <c r="O177" s="8"/>
      <c r="P177" s="8"/>
      <c r="Q177" s="8" t="s">
        <v>8</v>
      </c>
      <c r="R177" s="21"/>
      <c r="S177" s="8"/>
      <c r="T177" s="7" t="str">
        <f>Tab_Data_Flows[[#This Row],[Flow_ID]]&amp;"_"&amp;"material_"&amp;Tab_Data_Flows[[#This Row],[Flow_Data_Year]]</f>
        <v>F___material_</v>
      </c>
      <c r="U177" s="18">
        <f t="shared" si="6"/>
        <v>0</v>
      </c>
      <c r="V177" s="8" t="s">
        <v>218</v>
      </c>
      <c r="W177" s="155">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5">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5">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c r="H178" s="28"/>
      <c r="I178" s="8"/>
      <c r="J178" s="20"/>
      <c r="K178" s="8"/>
      <c r="L178" s="8"/>
      <c r="M178" s="8"/>
      <c r="N178" s="8"/>
      <c r="O178" s="8"/>
      <c r="P178" s="8"/>
      <c r="Q178" s="8" t="s">
        <v>8</v>
      </c>
      <c r="R178" s="21"/>
      <c r="S178" s="8"/>
      <c r="T178" s="7" t="str">
        <f>Tab_Data_Flows[[#This Row],[Flow_ID]]&amp;"_"&amp;"material_"&amp;Tab_Data_Flows[[#This Row],[Flow_Data_Year]]</f>
        <v>F___material_</v>
      </c>
      <c r="U178" s="18">
        <f t="shared" si="6"/>
        <v>0</v>
      </c>
      <c r="V178" s="8" t="s">
        <v>218</v>
      </c>
      <c r="W178" s="155">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5">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5">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c r="H179" s="28"/>
      <c r="I179" s="8"/>
      <c r="J179" s="20"/>
      <c r="K179" s="8"/>
      <c r="L179" s="8"/>
      <c r="M179" s="8"/>
      <c r="N179" s="8"/>
      <c r="O179" s="8"/>
      <c r="P179" s="8"/>
      <c r="Q179" s="8" t="s">
        <v>8</v>
      </c>
      <c r="R179" s="21"/>
      <c r="S179" s="8"/>
      <c r="T179" s="7" t="str">
        <f>Tab_Data_Flows[[#This Row],[Flow_ID]]&amp;"_"&amp;"material_"&amp;Tab_Data_Flows[[#This Row],[Flow_Data_Year]]</f>
        <v>F___material_</v>
      </c>
      <c r="U179" s="18">
        <f t="shared" si="6"/>
        <v>0</v>
      </c>
      <c r="V179" s="8" t="s">
        <v>218</v>
      </c>
      <c r="W179" s="155">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5">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5">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c r="H180" s="28"/>
      <c r="I180" s="8"/>
      <c r="J180" s="20"/>
      <c r="K180" s="8"/>
      <c r="L180" s="8"/>
      <c r="M180" s="8"/>
      <c r="N180" s="8"/>
      <c r="O180" s="8"/>
      <c r="P180" s="8"/>
      <c r="Q180" s="8" t="s">
        <v>8</v>
      </c>
      <c r="R180" s="21"/>
      <c r="S180" s="8"/>
      <c r="T180" s="7" t="str">
        <f>Tab_Data_Flows[[#This Row],[Flow_ID]]&amp;"_"&amp;"material_"&amp;Tab_Data_Flows[[#This Row],[Flow_Data_Year]]</f>
        <v>F___material_</v>
      </c>
      <c r="U180" s="18">
        <f t="shared" si="6"/>
        <v>0</v>
      </c>
      <c r="V180" s="8" t="s">
        <v>218</v>
      </c>
      <c r="W180" s="155">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5">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5">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c r="H181" s="28"/>
      <c r="I181" s="8"/>
      <c r="J181" s="20"/>
      <c r="K181" s="8"/>
      <c r="L181" s="8"/>
      <c r="M181" s="8"/>
      <c r="N181" s="8"/>
      <c r="O181" s="8"/>
      <c r="P181" s="8"/>
      <c r="Q181" s="8" t="s">
        <v>8</v>
      </c>
      <c r="R181" s="21"/>
      <c r="S181" s="8"/>
      <c r="T181" s="7" t="str">
        <f>Tab_Data_Flows[[#This Row],[Flow_ID]]&amp;"_"&amp;"material_"&amp;Tab_Data_Flows[[#This Row],[Flow_Data_Year]]</f>
        <v>F___material_</v>
      </c>
      <c r="U181" s="18">
        <f t="shared" si="6"/>
        <v>0</v>
      </c>
      <c r="V181" s="8" t="s">
        <v>218</v>
      </c>
      <c r="W181" s="155">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5">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5">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c r="H182" s="28"/>
      <c r="I182" s="8"/>
      <c r="J182" s="20"/>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v>
      </c>
      <c r="U182" s="18">
        <f t="shared" si="6"/>
        <v>0</v>
      </c>
      <c r="V182" s="8" t="s">
        <v>218</v>
      </c>
      <c r="W182" s="155">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5">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5">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c r="H183" s="28"/>
      <c r="I183" s="8"/>
      <c r="J183" s="20"/>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v>
      </c>
      <c r="U183" s="18">
        <f t="shared" si="6"/>
        <v>0</v>
      </c>
      <c r="V183" s="8" t="s">
        <v>218</v>
      </c>
      <c r="W183" s="155">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5">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5">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c r="H184" s="28"/>
      <c r="I184" s="8"/>
      <c r="J184" s="20"/>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v>
      </c>
      <c r="U184" s="18">
        <f t="shared" si="6"/>
        <v>0</v>
      </c>
      <c r="V184" s="8" t="s">
        <v>218</v>
      </c>
      <c r="W184" s="155">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5">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5">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c r="H185" s="28"/>
      <c r="I185" s="8"/>
      <c r="J185" s="20"/>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v>
      </c>
      <c r="U185" s="18">
        <f t="shared" si="6"/>
        <v>0</v>
      </c>
      <c r="V185" s="8" t="s">
        <v>218</v>
      </c>
      <c r="W185" s="155">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5">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5">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c r="H186" s="28"/>
      <c r="I186" s="8"/>
      <c r="J186" s="20"/>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v>
      </c>
      <c r="U186" s="18">
        <f t="shared" si="6"/>
        <v>0</v>
      </c>
      <c r="V186" s="8" t="s">
        <v>218</v>
      </c>
      <c r="W186" s="155">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5">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5">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c r="H187" s="28"/>
      <c r="I187" s="8"/>
      <c r="J187" s="20"/>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v>
      </c>
      <c r="U187" s="18">
        <f t="shared" si="6"/>
        <v>0</v>
      </c>
      <c r="V187" s="8" t="s">
        <v>218</v>
      </c>
      <c r="W187" s="155">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5">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5">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c r="H188" s="28"/>
      <c r="I188" s="8"/>
      <c r="J188" s="20"/>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v>
      </c>
      <c r="U188" s="18">
        <f t="shared" si="6"/>
        <v>0</v>
      </c>
      <c r="V188" s="8" t="s">
        <v>218</v>
      </c>
      <c r="W188" s="155">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5">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5">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c r="H189" s="28"/>
      <c r="I189" s="8"/>
      <c r="J189" s="20"/>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v>
      </c>
      <c r="U189" s="18">
        <f t="shared" si="6"/>
        <v>0</v>
      </c>
      <c r="V189" s="8" t="s">
        <v>218</v>
      </c>
      <c r="W189" s="155">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5">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5">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c r="H190" s="28"/>
      <c r="I190" s="8"/>
      <c r="J190" s="20"/>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v>
      </c>
      <c r="U190" s="18">
        <f t="shared" si="6"/>
        <v>0</v>
      </c>
      <c r="V190" s="8" t="s">
        <v>218</v>
      </c>
      <c r="W190" s="155">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5">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5">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c r="H191" s="28"/>
      <c r="I191" s="8"/>
      <c r="J191" s="20"/>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v>
      </c>
      <c r="U191" s="18">
        <f t="shared" si="6"/>
        <v>0</v>
      </c>
      <c r="V191" s="8" t="s">
        <v>218</v>
      </c>
      <c r="W191" s="155">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5">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5">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c r="H192" s="28"/>
      <c r="I192" s="8"/>
      <c r="J192" s="20"/>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v>
      </c>
      <c r="U192" s="18">
        <f t="shared" si="6"/>
        <v>0</v>
      </c>
      <c r="V192" s="8" t="s">
        <v>218</v>
      </c>
      <c r="W192" s="155">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5">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5">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c r="H193" s="28"/>
      <c r="I193" s="8"/>
      <c r="J193" s="20"/>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v>
      </c>
      <c r="U193" s="18">
        <f t="shared" si="6"/>
        <v>0</v>
      </c>
      <c r="V193" s="8" t="s">
        <v>218</v>
      </c>
      <c r="W193" s="155">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5">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5">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c r="H194" s="28"/>
      <c r="I194" s="8"/>
      <c r="J194" s="20"/>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v>
      </c>
      <c r="U194" s="18">
        <f t="shared" si="6"/>
        <v>0</v>
      </c>
      <c r="V194" s="8" t="s">
        <v>218</v>
      </c>
      <c r="W194" s="155">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5">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5">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c r="H195" s="28"/>
      <c r="I195" s="8"/>
      <c r="J195" s="20"/>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v>
      </c>
      <c r="U195" s="18">
        <f t="shared" ref="U195:U258" si="8">IF(Q195="no",H195,H195*R195)</f>
        <v>0</v>
      </c>
      <c r="V195" s="8" t="s">
        <v>218</v>
      </c>
      <c r="W195" s="155">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5">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5">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c r="H196" s="28"/>
      <c r="I196" s="8"/>
      <c r="J196" s="20"/>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v>
      </c>
      <c r="U196" s="18">
        <f t="shared" si="8"/>
        <v>0</v>
      </c>
      <c r="V196" s="8" t="s">
        <v>218</v>
      </c>
      <c r="W196" s="155">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5">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5">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c r="H197" s="28"/>
      <c r="I197" s="8"/>
      <c r="J197" s="20"/>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v>
      </c>
      <c r="U197" s="18">
        <f t="shared" si="8"/>
        <v>0</v>
      </c>
      <c r="V197" s="8" t="s">
        <v>218</v>
      </c>
      <c r="W197" s="155">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5">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5">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c r="H198" s="28"/>
      <c r="I198" s="8"/>
      <c r="J198" s="20"/>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v>
      </c>
      <c r="U198" s="18">
        <f t="shared" si="8"/>
        <v>0</v>
      </c>
      <c r="V198" s="8" t="s">
        <v>218</v>
      </c>
      <c r="W198" s="155">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5">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5">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c r="H199" s="28"/>
      <c r="I199" s="8"/>
      <c r="J199" s="20"/>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v>
      </c>
      <c r="U199" s="18">
        <f t="shared" si="8"/>
        <v>0</v>
      </c>
      <c r="V199" s="8" t="s">
        <v>218</v>
      </c>
      <c r="W199" s="155">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5">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5">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c r="H200" s="28"/>
      <c r="I200" s="8"/>
      <c r="J200" s="20"/>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v>
      </c>
      <c r="U200" s="18">
        <f t="shared" si="8"/>
        <v>0</v>
      </c>
      <c r="V200" s="8" t="s">
        <v>218</v>
      </c>
      <c r="W200" s="155">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5">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5">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c r="H201" s="28"/>
      <c r="I201" s="8"/>
      <c r="J201" s="20"/>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v>
      </c>
      <c r="U201" s="18">
        <f t="shared" si="8"/>
        <v>0</v>
      </c>
      <c r="V201" s="8" t="s">
        <v>218</v>
      </c>
      <c r="W201" s="155">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5">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5">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c r="H202" s="28"/>
      <c r="I202" s="8"/>
      <c r="J202" s="20"/>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v>
      </c>
      <c r="U202" s="18">
        <f t="shared" si="8"/>
        <v>0</v>
      </c>
      <c r="V202" s="8" t="s">
        <v>218</v>
      </c>
      <c r="W202" s="155">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5">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5">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c r="H203" s="28"/>
      <c r="I203" s="8"/>
      <c r="J203" s="20"/>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v>
      </c>
      <c r="U203" s="18">
        <f t="shared" si="8"/>
        <v>0</v>
      </c>
      <c r="V203" s="8" t="s">
        <v>218</v>
      </c>
      <c r="W203" s="155">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5">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5">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c r="H204" s="28"/>
      <c r="I204" s="8"/>
      <c r="J204" s="20"/>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v>
      </c>
      <c r="U204" s="18">
        <f t="shared" si="8"/>
        <v>0</v>
      </c>
      <c r="V204" s="8" t="s">
        <v>218</v>
      </c>
      <c r="W204" s="155">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5">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5">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c r="H205" s="28"/>
      <c r="I205" s="8"/>
      <c r="J205" s="20"/>
      <c r="K205" s="8"/>
      <c r="L205" s="8"/>
      <c r="M205" s="8"/>
      <c r="N205" s="8"/>
      <c r="O205" s="8"/>
      <c r="P205" s="8"/>
      <c r="Q205" s="8" t="s">
        <v>8</v>
      </c>
      <c r="R205" s="21"/>
      <c r="S205" s="8"/>
      <c r="T205" s="7" t="str">
        <f>Tab_Data_Flows[[#This Row],[Flow_ID]]&amp;"_"&amp;"material_"&amp;Tab_Data_Flows[[#This Row],[Flow_Data_Year]]</f>
        <v>F___material_</v>
      </c>
      <c r="U205" s="18">
        <f t="shared" si="8"/>
        <v>0</v>
      </c>
      <c r="V205" s="8" t="s">
        <v>218</v>
      </c>
      <c r="W205" s="155">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5">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5">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c r="H206" s="28"/>
      <c r="I206" s="8"/>
      <c r="J206" s="20"/>
      <c r="K206" s="8"/>
      <c r="L206" s="8"/>
      <c r="M206" s="8"/>
      <c r="N206" s="8"/>
      <c r="O206" s="8"/>
      <c r="P206" s="8"/>
      <c r="Q206" s="8" t="s">
        <v>8</v>
      </c>
      <c r="R206" s="21"/>
      <c r="S206" s="8"/>
      <c r="T206" s="7" t="str">
        <f>Tab_Data_Flows[[#This Row],[Flow_ID]]&amp;"_"&amp;"material_"&amp;Tab_Data_Flows[[#This Row],[Flow_Data_Year]]</f>
        <v>F___material_</v>
      </c>
      <c r="U206" s="18">
        <f t="shared" si="8"/>
        <v>0</v>
      </c>
      <c r="V206" s="8" t="s">
        <v>218</v>
      </c>
      <c r="W206" s="155">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5">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5">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c r="H207" s="28"/>
      <c r="I207" s="8"/>
      <c r="J207" s="20"/>
      <c r="K207" s="8"/>
      <c r="L207" s="8"/>
      <c r="M207" s="8"/>
      <c r="N207" s="8"/>
      <c r="O207" s="8"/>
      <c r="P207" s="8"/>
      <c r="Q207" s="8" t="s">
        <v>8</v>
      </c>
      <c r="R207" s="21"/>
      <c r="S207" s="8"/>
      <c r="T207" s="7" t="str">
        <f>Tab_Data_Flows[[#This Row],[Flow_ID]]&amp;"_"&amp;"material_"&amp;Tab_Data_Flows[[#This Row],[Flow_Data_Year]]</f>
        <v>F___material_</v>
      </c>
      <c r="U207" s="18">
        <f t="shared" si="8"/>
        <v>0</v>
      </c>
      <c r="V207" s="8" t="s">
        <v>218</v>
      </c>
      <c r="W207" s="155">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5">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5">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c r="H208" s="28"/>
      <c r="I208" s="8"/>
      <c r="J208" s="20"/>
      <c r="K208" s="8"/>
      <c r="L208" s="8"/>
      <c r="M208" s="8"/>
      <c r="N208" s="8"/>
      <c r="O208" s="8"/>
      <c r="P208" s="8"/>
      <c r="Q208" s="8" t="s">
        <v>8</v>
      </c>
      <c r="R208" s="21"/>
      <c r="S208" s="8"/>
      <c r="T208" s="7" t="str">
        <f>Tab_Data_Flows[[#This Row],[Flow_ID]]&amp;"_"&amp;"material_"&amp;Tab_Data_Flows[[#This Row],[Flow_Data_Year]]</f>
        <v>F___material_</v>
      </c>
      <c r="U208" s="18">
        <f t="shared" si="8"/>
        <v>0</v>
      </c>
      <c r="V208" s="8" t="s">
        <v>218</v>
      </c>
      <c r="W208" s="155">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5">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5">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c r="H209" s="28"/>
      <c r="I209" s="8"/>
      <c r="J209" s="20"/>
      <c r="K209" s="8"/>
      <c r="L209" s="8"/>
      <c r="M209" s="8"/>
      <c r="N209" s="8"/>
      <c r="O209" s="8"/>
      <c r="P209" s="8"/>
      <c r="Q209" s="8" t="s">
        <v>8</v>
      </c>
      <c r="R209" s="21"/>
      <c r="S209" s="8"/>
      <c r="T209" s="7" t="str">
        <f>Tab_Data_Flows[[#This Row],[Flow_ID]]&amp;"_"&amp;"material_"&amp;Tab_Data_Flows[[#This Row],[Flow_Data_Year]]</f>
        <v>F___material_</v>
      </c>
      <c r="U209" s="18">
        <f t="shared" si="8"/>
        <v>0</v>
      </c>
      <c r="V209" s="8" t="s">
        <v>218</v>
      </c>
      <c r="W209" s="155">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5">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5">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c r="H210" s="28"/>
      <c r="I210" s="8"/>
      <c r="J210" s="20"/>
      <c r="K210" s="8"/>
      <c r="L210" s="8"/>
      <c r="M210" s="8"/>
      <c r="N210" s="8"/>
      <c r="O210" s="8"/>
      <c r="P210" s="8"/>
      <c r="Q210" s="8" t="s">
        <v>8</v>
      </c>
      <c r="R210" s="21"/>
      <c r="S210" s="8"/>
      <c r="T210" s="7" t="str">
        <f>Tab_Data_Flows[[#This Row],[Flow_ID]]&amp;"_"&amp;"material_"&amp;Tab_Data_Flows[[#This Row],[Flow_Data_Year]]</f>
        <v>F___material_</v>
      </c>
      <c r="U210" s="18">
        <f t="shared" si="8"/>
        <v>0</v>
      </c>
      <c r="V210" s="8" t="s">
        <v>218</v>
      </c>
      <c r="W210" s="155">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5">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5">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c r="H211" s="28"/>
      <c r="I211" s="8"/>
      <c r="J211" s="20"/>
      <c r="K211" s="8"/>
      <c r="L211" s="8"/>
      <c r="M211" s="8"/>
      <c r="N211" s="8"/>
      <c r="O211" s="8"/>
      <c r="P211" s="8"/>
      <c r="Q211" s="8" t="s">
        <v>8</v>
      </c>
      <c r="R211" s="21"/>
      <c r="S211" s="8"/>
      <c r="T211" s="7" t="str">
        <f>Tab_Data_Flows[[#This Row],[Flow_ID]]&amp;"_"&amp;"material_"&amp;Tab_Data_Flows[[#This Row],[Flow_Data_Year]]</f>
        <v>F___material_</v>
      </c>
      <c r="U211" s="18">
        <f t="shared" si="8"/>
        <v>0</v>
      </c>
      <c r="V211" s="8" t="s">
        <v>218</v>
      </c>
      <c r="W211" s="155">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5">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5">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c r="H212" s="28"/>
      <c r="I212" s="8"/>
      <c r="J212" s="20"/>
      <c r="K212" s="8"/>
      <c r="L212" s="8"/>
      <c r="M212" s="8"/>
      <c r="N212" s="8"/>
      <c r="O212" s="8"/>
      <c r="P212" s="8"/>
      <c r="Q212" s="8" t="s">
        <v>8</v>
      </c>
      <c r="R212" s="21"/>
      <c r="S212" s="8"/>
      <c r="T212" s="7" t="str">
        <f>Tab_Data_Flows[[#This Row],[Flow_ID]]&amp;"_"&amp;"material_"&amp;Tab_Data_Flows[[#This Row],[Flow_Data_Year]]</f>
        <v>F___material_</v>
      </c>
      <c r="U212" s="18">
        <f t="shared" si="8"/>
        <v>0</v>
      </c>
      <c r="V212" s="8" t="s">
        <v>218</v>
      </c>
      <c r="W212" s="155">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5">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5">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c r="H213" s="28"/>
      <c r="I213" s="8"/>
      <c r="J213" s="20"/>
      <c r="K213" s="8"/>
      <c r="L213" s="8"/>
      <c r="M213" s="8"/>
      <c r="N213" s="8"/>
      <c r="O213" s="8"/>
      <c r="P213" s="8"/>
      <c r="Q213" s="8" t="s">
        <v>8</v>
      </c>
      <c r="R213" s="21"/>
      <c r="S213" s="8"/>
      <c r="T213" s="7" t="str">
        <f>Tab_Data_Flows[[#This Row],[Flow_ID]]&amp;"_"&amp;"material_"&amp;Tab_Data_Flows[[#This Row],[Flow_Data_Year]]</f>
        <v>F___material_</v>
      </c>
      <c r="U213" s="18">
        <f t="shared" si="8"/>
        <v>0</v>
      </c>
      <c r="V213" s="8" t="s">
        <v>218</v>
      </c>
      <c r="W213" s="155">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5">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5">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c r="H214" s="28"/>
      <c r="I214" s="8"/>
      <c r="J214" s="20"/>
      <c r="K214" s="8"/>
      <c r="L214" s="8"/>
      <c r="M214" s="8"/>
      <c r="N214" s="8"/>
      <c r="O214" s="8"/>
      <c r="P214" s="8"/>
      <c r="Q214" s="8" t="s">
        <v>8</v>
      </c>
      <c r="R214" s="21"/>
      <c r="S214" s="8"/>
      <c r="T214" s="7" t="str">
        <f>Tab_Data_Flows[[#This Row],[Flow_ID]]&amp;"_"&amp;"material_"&amp;Tab_Data_Flows[[#This Row],[Flow_Data_Year]]</f>
        <v>F___material_</v>
      </c>
      <c r="U214" s="18">
        <f t="shared" si="8"/>
        <v>0</v>
      </c>
      <c r="V214" s="8" t="s">
        <v>218</v>
      </c>
      <c r="W214" s="155">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5">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5">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c r="H215" s="28"/>
      <c r="I215" s="8"/>
      <c r="J215" s="20"/>
      <c r="K215" s="8"/>
      <c r="L215" s="8"/>
      <c r="M215" s="8"/>
      <c r="N215" s="8"/>
      <c r="O215" s="8"/>
      <c r="P215" s="8"/>
      <c r="Q215" s="8" t="s">
        <v>8</v>
      </c>
      <c r="R215" s="21"/>
      <c r="S215" s="8"/>
      <c r="T215" s="7" t="str">
        <f>Tab_Data_Flows[[#This Row],[Flow_ID]]&amp;"_"&amp;"material_"&amp;Tab_Data_Flows[[#This Row],[Flow_Data_Year]]</f>
        <v>F___material_</v>
      </c>
      <c r="U215" s="18">
        <f t="shared" si="8"/>
        <v>0</v>
      </c>
      <c r="V215" s="8" t="s">
        <v>218</v>
      </c>
      <c r="W215" s="155">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5">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5">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c r="H216" s="28"/>
      <c r="I216" s="8"/>
      <c r="J216" s="20"/>
      <c r="K216" s="8"/>
      <c r="L216" s="8"/>
      <c r="M216" s="8"/>
      <c r="N216" s="8"/>
      <c r="O216" s="8"/>
      <c r="P216" s="8"/>
      <c r="Q216" s="8" t="s">
        <v>8</v>
      </c>
      <c r="R216" s="21"/>
      <c r="S216" s="8"/>
      <c r="T216" s="7" t="str">
        <f>Tab_Data_Flows[[#This Row],[Flow_ID]]&amp;"_"&amp;"material_"&amp;Tab_Data_Flows[[#This Row],[Flow_Data_Year]]</f>
        <v>F___material_</v>
      </c>
      <c r="U216" s="18">
        <f t="shared" si="8"/>
        <v>0</v>
      </c>
      <c r="V216" s="8" t="s">
        <v>218</v>
      </c>
      <c r="W216" s="155">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5">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5">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c r="H217" s="28"/>
      <c r="I217" s="8"/>
      <c r="J217" s="20"/>
      <c r="K217" s="8"/>
      <c r="L217" s="8"/>
      <c r="M217" s="8"/>
      <c r="N217" s="8"/>
      <c r="O217" s="8"/>
      <c r="P217" s="8"/>
      <c r="Q217" s="8" t="s">
        <v>8</v>
      </c>
      <c r="R217" s="21"/>
      <c r="S217" s="8"/>
      <c r="T217" s="7" t="str">
        <f>Tab_Data_Flows[[#This Row],[Flow_ID]]&amp;"_"&amp;"material_"&amp;Tab_Data_Flows[[#This Row],[Flow_Data_Year]]</f>
        <v>F___material_</v>
      </c>
      <c r="U217" s="18">
        <f t="shared" si="8"/>
        <v>0</v>
      </c>
      <c r="V217" s="8" t="s">
        <v>218</v>
      </c>
      <c r="W217" s="155">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5">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5">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c r="H218" s="28"/>
      <c r="I218" s="8"/>
      <c r="J218" s="20"/>
      <c r="K218" s="8"/>
      <c r="L218" s="8"/>
      <c r="M218" s="8"/>
      <c r="N218" s="8"/>
      <c r="O218" s="8"/>
      <c r="P218" s="8"/>
      <c r="Q218" s="8" t="s">
        <v>8</v>
      </c>
      <c r="R218" s="21"/>
      <c r="S218" s="8"/>
      <c r="T218" s="7" t="str">
        <f>Tab_Data_Flows[[#This Row],[Flow_ID]]&amp;"_"&amp;"material_"&amp;Tab_Data_Flows[[#This Row],[Flow_Data_Year]]</f>
        <v>F___material_</v>
      </c>
      <c r="U218" s="18">
        <f t="shared" si="8"/>
        <v>0</v>
      </c>
      <c r="V218" s="8" t="s">
        <v>218</v>
      </c>
      <c r="W218" s="155">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5">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5">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c r="H219" s="28"/>
      <c r="I219" s="8"/>
      <c r="J219" s="20"/>
      <c r="K219" s="8"/>
      <c r="L219" s="8"/>
      <c r="M219" s="8"/>
      <c r="N219" s="8"/>
      <c r="O219" s="8"/>
      <c r="P219" s="8"/>
      <c r="Q219" s="8" t="s">
        <v>8</v>
      </c>
      <c r="R219" s="21"/>
      <c r="S219" s="8"/>
      <c r="T219" s="7" t="str">
        <f>Tab_Data_Flows[[#This Row],[Flow_ID]]&amp;"_"&amp;"material_"&amp;Tab_Data_Flows[[#This Row],[Flow_Data_Year]]</f>
        <v>F___material_</v>
      </c>
      <c r="U219" s="18">
        <f t="shared" si="8"/>
        <v>0</v>
      </c>
      <c r="V219" s="8" t="s">
        <v>218</v>
      </c>
      <c r="W219" s="155">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5">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5">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c r="H220" s="28"/>
      <c r="I220" s="8"/>
      <c r="J220" s="20"/>
      <c r="K220" s="8"/>
      <c r="L220" s="8"/>
      <c r="M220" s="8"/>
      <c r="N220" s="8"/>
      <c r="O220" s="8"/>
      <c r="P220" s="8"/>
      <c r="Q220" s="8" t="s">
        <v>8</v>
      </c>
      <c r="R220" s="21"/>
      <c r="S220" s="8"/>
      <c r="T220" s="7" t="str">
        <f>Tab_Data_Flows[[#This Row],[Flow_ID]]&amp;"_"&amp;"material_"&amp;Tab_Data_Flows[[#This Row],[Flow_Data_Year]]</f>
        <v>F___material_</v>
      </c>
      <c r="U220" s="18">
        <f t="shared" si="8"/>
        <v>0</v>
      </c>
      <c r="V220" s="8" t="s">
        <v>218</v>
      </c>
      <c r="W220" s="155">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5">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5">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c r="H221" s="28"/>
      <c r="I221" s="8"/>
      <c r="J221" s="20"/>
      <c r="K221" s="8"/>
      <c r="L221" s="8"/>
      <c r="M221" s="8"/>
      <c r="N221" s="8"/>
      <c r="O221" s="8"/>
      <c r="P221" s="8"/>
      <c r="Q221" s="8" t="s">
        <v>8</v>
      </c>
      <c r="R221" s="21"/>
      <c r="S221" s="8"/>
      <c r="T221" s="7" t="str">
        <f>Tab_Data_Flows[[#This Row],[Flow_ID]]&amp;"_"&amp;"material_"&amp;Tab_Data_Flows[[#This Row],[Flow_Data_Year]]</f>
        <v>F___material_</v>
      </c>
      <c r="U221" s="18">
        <f t="shared" si="8"/>
        <v>0</v>
      </c>
      <c r="V221" s="8" t="s">
        <v>218</v>
      </c>
      <c r="W221" s="155">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5">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5">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c r="H222" s="28"/>
      <c r="I222" s="8"/>
      <c r="J222" s="20"/>
      <c r="K222" s="8"/>
      <c r="L222" s="8"/>
      <c r="M222" s="8"/>
      <c r="N222" s="8"/>
      <c r="O222" s="8"/>
      <c r="P222" s="8"/>
      <c r="Q222" s="8" t="s">
        <v>8</v>
      </c>
      <c r="R222" s="21"/>
      <c r="S222" s="8"/>
      <c r="T222" s="7" t="str">
        <f>Tab_Data_Flows[[#This Row],[Flow_ID]]&amp;"_"&amp;"material_"&amp;Tab_Data_Flows[[#This Row],[Flow_Data_Year]]</f>
        <v>F___material_</v>
      </c>
      <c r="U222" s="18">
        <f t="shared" si="8"/>
        <v>0</v>
      </c>
      <c r="V222" s="8" t="s">
        <v>218</v>
      </c>
      <c r="W222" s="155">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5">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5">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c r="H223" s="28"/>
      <c r="I223" s="8"/>
      <c r="J223" s="20"/>
      <c r="K223" s="8"/>
      <c r="L223" s="8"/>
      <c r="M223" s="8"/>
      <c r="N223" s="8"/>
      <c r="O223" s="8"/>
      <c r="P223" s="8"/>
      <c r="Q223" s="8" t="s">
        <v>8</v>
      </c>
      <c r="R223" s="21"/>
      <c r="S223" s="8"/>
      <c r="T223" s="7" t="str">
        <f>Tab_Data_Flows[[#This Row],[Flow_ID]]&amp;"_"&amp;"material_"&amp;Tab_Data_Flows[[#This Row],[Flow_Data_Year]]</f>
        <v>F___material_</v>
      </c>
      <c r="U223" s="18">
        <f t="shared" si="8"/>
        <v>0</v>
      </c>
      <c r="V223" s="8" t="s">
        <v>218</v>
      </c>
      <c r="W223" s="155">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5">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5">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c r="H224" s="28"/>
      <c r="I224" s="8"/>
      <c r="J224" s="20"/>
      <c r="K224" s="8"/>
      <c r="L224" s="8"/>
      <c r="M224" s="8"/>
      <c r="N224" s="8"/>
      <c r="O224" s="8"/>
      <c r="P224" s="8"/>
      <c r="Q224" s="8" t="s">
        <v>8</v>
      </c>
      <c r="R224" s="21"/>
      <c r="S224" s="8"/>
      <c r="T224" s="7" t="str">
        <f>Tab_Data_Flows[[#This Row],[Flow_ID]]&amp;"_"&amp;"material_"&amp;Tab_Data_Flows[[#This Row],[Flow_Data_Year]]</f>
        <v>F___material_</v>
      </c>
      <c r="U224" s="18">
        <f t="shared" si="8"/>
        <v>0</v>
      </c>
      <c r="V224" s="8" t="s">
        <v>218</v>
      </c>
      <c r="W224" s="155">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5">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5">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c r="H225" s="28"/>
      <c r="I225" s="8"/>
      <c r="J225" s="20"/>
      <c r="K225" s="8"/>
      <c r="L225" s="8"/>
      <c r="M225" s="8"/>
      <c r="N225" s="8"/>
      <c r="O225" s="8"/>
      <c r="P225" s="8"/>
      <c r="Q225" s="8" t="s">
        <v>8</v>
      </c>
      <c r="R225" s="21"/>
      <c r="S225" s="8"/>
      <c r="T225" s="7" t="str">
        <f>Tab_Data_Flows[[#This Row],[Flow_ID]]&amp;"_"&amp;"material_"&amp;Tab_Data_Flows[[#This Row],[Flow_Data_Year]]</f>
        <v>F___material_</v>
      </c>
      <c r="U225" s="18">
        <f t="shared" si="8"/>
        <v>0</v>
      </c>
      <c r="V225" s="8" t="s">
        <v>218</v>
      </c>
      <c r="W225" s="155">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5">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5">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c r="H226" s="28"/>
      <c r="I226" s="8"/>
      <c r="J226" s="20"/>
      <c r="K226" s="8"/>
      <c r="L226" s="8"/>
      <c r="M226" s="8"/>
      <c r="N226" s="8"/>
      <c r="O226" s="8"/>
      <c r="P226" s="8"/>
      <c r="Q226" s="8" t="s">
        <v>8</v>
      </c>
      <c r="R226" s="21"/>
      <c r="S226" s="8"/>
      <c r="T226" s="7" t="str">
        <f>Tab_Data_Flows[[#This Row],[Flow_ID]]&amp;"_"&amp;"material_"&amp;Tab_Data_Flows[[#This Row],[Flow_Data_Year]]</f>
        <v>F___material_</v>
      </c>
      <c r="U226" s="18">
        <f t="shared" si="8"/>
        <v>0</v>
      </c>
      <c r="V226" s="8" t="s">
        <v>218</v>
      </c>
      <c r="W226" s="155">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5">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5">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c r="H227" s="28"/>
      <c r="I227" s="8"/>
      <c r="J227" s="20"/>
      <c r="K227" s="8"/>
      <c r="L227" s="8"/>
      <c r="M227" s="8"/>
      <c r="N227" s="8"/>
      <c r="O227" s="8"/>
      <c r="P227" s="8"/>
      <c r="Q227" s="8" t="s">
        <v>8</v>
      </c>
      <c r="R227" s="21"/>
      <c r="S227" s="8"/>
      <c r="T227" s="7" t="str">
        <f>Tab_Data_Flows[[#This Row],[Flow_ID]]&amp;"_"&amp;"material_"&amp;Tab_Data_Flows[[#This Row],[Flow_Data_Year]]</f>
        <v>F___material_</v>
      </c>
      <c r="U227" s="18">
        <f t="shared" si="8"/>
        <v>0</v>
      </c>
      <c r="V227" s="8" t="s">
        <v>218</v>
      </c>
      <c r="W227" s="155">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5">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5">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c r="H228" s="28"/>
      <c r="I228" s="8"/>
      <c r="J228" s="20"/>
      <c r="K228" s="8"/>
      <c r="L228" s="8"/>
      <c r="M228" s="8"/>
      <c r="N228" s="8"/>
      <c r="O228" s="8"/>
      <c r="P228" s="8"/>
      <c r="Q228" s="8" t="s">
        <v>8</v>
      </c>
      <c r="R228" s="21"/>
      <c r="S228" s="8"/>
      <c r="T228" s="7" t="str">
        <f>Tab_Data_Flows[[#This Row],[Flow_ID]]&amp;"_"&amp;"material_"&amp;Tab_Data_Flows[[#This Row],[Flow_Data_Year]]</f>
        <v>F___material_</v>
      </c>
      <c r="U228" s="18">
        <f t="shared" si="8"/>
        <v>0</v>
      </c>
      <c r="V228" s="8" t="s">
        <v>218</v>
      </c>
      <c r="W228" s="155">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5">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5">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c r="H229" s="28"/>
      <c r="I229" s="8"/>
      <c r="J229" s="20"/>
      <c r="K229" s="8"/>
      <c r="L229" s="8"/>
      <c r="M229" s="8"/>
      <c r="N229" s="8"/>
      <c r="O229" s="8"/>
      <c r="P229" s="8"/>
      <c r="Q229" s="8" t="s">
        <v>8</v>
      </c>
      <c r="R229" s="21"/>
      <c r="S229" s="8"/>
      <c r="T229" s="7" t="str">
        <f>Tab_Data_Flows[[#This Row],[Flow_ID]]&amp;"_"&amp;"material_"&amp;Tab_Data_Flows[[#This Row],[Flow_Data_Year]]</f>
        <v>F___material_</v>
      </c>
      <c r="U229" s="18">
        <f t="shared" si="8"/>
        <v>0</v>
      </c>
      <c r="V229" s="8" t="s">
        <v>218</v>
      </c>
      <c r="W229" s="155">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5">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5">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c r="H230" s="28"/>
      <c r="I230" s="8"/>
      <c r="J230" s="20"/>
      <c r="K230" s="8"/>
      <c r="L230" s="8"/>
      <c r="M230" s="8"/>
      <c r="N230" s="8"/>
      <c r="O230" s="8"/>
      <c r="P230" s="8"/>
      <c r="Q230" s="8" t="s">
        <v>8</v>
      </c>
      <c r="R230" s="21"/>
      <c r="S230" s="8"/>
      <c r="T230" s="7" t="str">
        <f>Tab_Data_Flows[[#This Row],[Flow_ID]]&amp;"_"&amp;"material_"&amp;Tab_Data_Flows[[#This Row],[Flow_Data_Year]]</f>
        <v>F___material_</v>
      </c>
      <c r="U230" s="18">
        <f t="shared" si="8"/>
        <v>0</v>
      </c>
      <c r="V230" s="8" t="s">
        <v>218</v>
      </c>
      <c r="W230" s="155">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5">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5">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c r="H231" s="28"/>
      <c r="I231" s="8"/>
      <c r="J231" s="20"/>
      <c r="K231" s="8"/>
      <c r="L231" s="8"/>
      <c r="M231" s="8"/>
      <c r="N231" s="8"/>
      <c r="O231" s="8"/>
      <c r="P231" s="8"/>
      <c r="Q231" s="8" t="s">
        <v>8</v>
      </c>
      <c r="R231" s="21"/>
      <c r="S231" s="8"/>
      <c r="T231" s="7" t="str">
        <f>Tab_Data_Flows[[#This Row],[Flow_ID]]&amp;"_"&amp;"material_"&amp;Tab_Data_Flows[[#This Row],[Flow_Data_Year]]</f>
        <v>F___material_</v>
      </c>
      <c r="U231" s="18">
        <f t="shared" si="8"/>
        <v>0</v>
      </c>
      <c r="V231" s="8" t="s">
        <v>218</v>
      </c>
      <c r="W231" s="155">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5">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5">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c r="H232" s="28"/>
      <c r="I232" s="8"/>
      <c r="J232" s="20"/>
      <c r="K232" s="8"/>
      <c r="L232" s="8"/>
      <c r="M232" s="8"/>
      <c r="N232" s="8"/>
      <c r="O232" s="8"/>
      <c r="P232" s="8"/>
      <c r="Q232" s="8" t="s">
        <v>8</v>
      </c>
      <c r="R232" s="21"/>
      <c r="S232" s="8"/>
      <c r="T232" s="7" t="str">
        <f>Tab_Data_Flows[[#This Row],[Flow_ID]]&amp;"_"&amp;"material_"&amp;Tab_Data_Flows[[#This Row],[Flow_Data_Year]]</f>
        <v>F___material_</v>
      </c>
      <c r="U232" s="18">
        <f t="shared" si="8"/>
        <v>0</v>
      </c>
      <c r="V232" s="8" t="s">
        <v>218</v>
      </c>
      <c r="W232" s="155">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5">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5">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c r="H233" s="28"/>
      <c r="I233" s="8"/>
      <c r="J233" s="20"/>
      <c r="K233" s="8"/>
      <c r="L233" s="8"/>
      <c r="M233" s="8"/>
      <c r="N233" s="8"/>
      <c r="O233" s="8"/>
      <c r="P233" s="8"/>
      <c r="Q233" s="8" t="s">
        <v>8</v>
      </c>
      <c r="R233" s="21"/>
      <c r="S233" s="8"/>
      <c r="T233" s="7" t="str">
        <f>Tab_Data_Flows[[#This Row],[Flow_ID]]&amp;"_"&amp;"material_"&amp;Tab_Data_Flows[[#This Row],[Flow_Data_Year]]</f>
        <v>F___material_</v>
      </c>
      <c r="U233" s="18">
        <f t="shared" si="8"/>
        <v>0</v>
      </c>
      <c r="V233" s="8" t="s">
        <v>218</v>
      </c>
      <c r="W233" s="155">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5">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5">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c r="H234" s="28"/>
      <c r="I234" s="8"/>
      <c r="J234" s="20"/>
      <c r="K234" s="8"/>
      <c r="L234" s="8"/>
      <c r="M234" s="8"/>
      <c r="N234" s="8"/>
      <c r="O234" s="8"/>
      <c r="P234" s="8"/>
      <c r="Q234" s="8" t="s">
        <v>8</v>
      </c>
      <c r="R234" s="21"/>
      <c r="S234" s="8"/>
      <c r="T234" s="7" t="str">
        <f>Tab_Data_Flows[[#This Row],[Flow_ID]]&amp;"_"&amp;"material_"&amp;Tab_Data_Flows[[#This Row],[Flow_Data_Year]]</f>
        <v>F___material_</v>
      </c>
      <c r="U234" s="18">
        <f t="shared" si="8"/>
        <v>0</v>
      </c>
      <c r="V234" s="8" t="s">
        <v>218</v>
      </c>
      <c r="W234" s="155">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5">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5">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c r="H235" s="28"/>
      <c r="I235" s="8"/>
      <c r="J235" s="20"/>
      <c r="K235" s="8"/>
      <c r="L235" s="8"/>
      <c r="M235" s="8"/>
      <c r="N235" s="8"/>
      <c r="O235" s="8"/>
      <c r="P235" s="8"/>
      <c r="Q235" s="8" t="s">
        <v>8</v>
      </c>
      <c r="R235" s="21"/>
      <c r="S235" s="8"/>
      <c r="T235" s="7" t="str">
        <f>Tab_Data_Flows[[#This Row],[Flow_ID]]&amp;"_"&amp;"material_"&amp;Tab_Data_Flows[[#This Row],[Flow_Data_Year]]</f>
        <v>F___material_</v>
      </c>
      <c r="U235" s="18">
        <f t="shared" si="8"/>
        <v>0</v>
      </c>
      <c r="V235" s="8" t="s">
        <v>218</v>
      </c>
      <c r="W235" s="155">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5">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5">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c r="H236" s="28"/>
      <c r="I236" s="8"/>
      <c r="J236" s="20"/>
      <c r="K236" s="8"/>
      <c r="L236" s="8"/>
      <c r="M236" s="8"/>
      <c r="N236" s="8"/>
      <c r="O236" s="8"/>
      <c r="P236" s="8"/>
      <c r="Q236" s="8" t="s">
        <v>8</v>
      </c>
      <c r="R236" s="21"/>
      <c r="S236" s="8"/>
      <c r="T236" s="7" t="str">
        <f>Tab_Data_Flows[[#This Row],[Flow_ID]]&amp;"_"&amp;"material_"&amp;Tab_Data_Flows[[#This Row],[Flow_Data_Year]]</f>
        <v>F___material_</v>
      </c>
      <c r="U236" s="18">
        <f t="shared" si="8"/>
        <v>0</v>
      </c>
      <c r="V236" s="8" t="s">
        <v>218</v>
      </c>
      <c r="W236" s="155">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5">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5">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c r="H237" s="28"/>
      <c r="I237" s="8"/>
      <c r="J237" s="20"/>
      <c r="K237" s="8"/>
      <c r="L237" s="8"/>
      <c r="M237" s="8"/>
      <c r="N237" s="8"/>
      <c r="O237" s="8"/>
      <c r="P237" s="8"/>
      <c r="Q237" s="8" t="s">
        <v>8</v>
      </c>
      <c r="R237" s="21"/>
      <c r="S237" s="8"/>
      <c r="T237" s="7" t="str">
        <f>Tab_Data_Flows[[#This Row],[Flow_ID]]&amp;"_"&amp;"material_"&amp;Tab_Data_Flows[[#This Row],[Flow_Data_Year]]</f>
        <v>F___material_</v>
      </c>
      <c r="U237" s="18">
        <f t="shared" si="8"/>
        <v>0</v>
      </c>
      <c r="V237" s="8" t="s">
        <v>218</v>
      </c>
      <c r="W237" s="155">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5">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5">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c r="H238" s="28"/>
      <c r="I238" s="8"/>
      <c r="J238" s="20"/>
      <c r="K238" s="8"/>
      <c r="L238" s="8"/>
      <c r="M238" s="8"/>
      <c r="N238" s="8"/>
      <c r="O238" s="8"/>
      <c r="P238" s="8"/>
      <c r="Q238" s="8" t="s">
        <v>8</v>
      </c>
      <c r="R238" s="21"/>
      <c r="S238" s="8"/>
      <c r="T238" s="7" t="str">
        <f>Tab_Data_Flows[[#This Row],[Flow_ID]]&amp;"_"&amp;"material_"&amp;Tab_Data_Flows[[#This Row],[Flow_Data_Year]]</f>
        <v>F___material_</v>
      </c>
      <c r="U238" s="18">
        <f t="shared" si="8"/>
        <v>0</v>
      </c>
      <c r="V238" s="8" t="s">
        <v>218</v>
      </c>
      <c r="W238" s="155">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5">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5">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c r="H239" s="28"/>
      <c r="I239" s="8"/>
      <c r="J239" s="20"/>
      <c r="K239" s="8"/>
      <c r="L239" s="8"/>
      <c r="M239" s="8"/>
      <c r="N239" s="8"/>
      <c r="O239" s="8"/>
      <c r="P239" s="8"/>
      <c r="Q239" s="8" t="s">
        <v>8</v>
      </c>
      <c r="R239" s="21"/>
      <c r="S239" s="8"/>
      <c r="T239" s="7" t="str">
        <f>Tab_Data_Flows[[#This Row],[Flow_ID]]&amp;"_"&amp;"material_"&amp;Tab_Data_Flows[[#This Row],[Flow_Data_Year]]</f>
        <v>F___material_</v>
      </c>
      <c r="U239" s="18">
        <f t="shared" si="8"/>
        <v>0</v>
      </c>
      <c r="V239" s="8" t="s">
        <v>218</v>
      </c>
      <c r="W239" s="155">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5">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5">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c r="H240" s="28"/>
      <c r="I240" s="8"/>
      <c r="J240" s="20"/>
      <c r="K240" s="8"/>
      <c r="L240" s="8"/>
      <c r="M240" s="8"/>
      <c r="N240" s="8"/>
      <c r="O240" s="8"/>
      <c r="P240" s="8"/>
      <c r="Q240" s="8" t="s">
        <v>8</v>
      </c>
      <c r="R240" s="21"/>
      <c r="S240" s="8"/>
      <c r="T240" s="7" t="str">
        <f>Tab_Data_Flows[[#This Row],[Flow_ID]]&amp;"_"&amp;"material_"&amp;Tab_Data_Flows[[#This Row],[Flow_Data_Year]]</f>
        <v>F___material_</v>
      </c>
      <c r="U240" s="18">
        <f t="shared" si="8"/>
        <v>0</v>
      </c>
      <c r="V240" s="8" t="s">
        <v>218</v>
      </c>
      <c r="W240" s="155">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5">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5">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c r="H241" s="28"/>
      <c r="I241" s="8"/>
      <c r="J241" s="20"/>
      <c r="K241" s="8"/>
      <c r="L241" s="8"/>
      <c r="M241" s="8"/>
      <c r="N241" s="8"/>
      <c r="O241" s="8"/>
      <c r="P241" s="8"/>
      <c r="Q241" s="8" t="s">
        <v>8</v>
      </c>
      <c r="R241" s="21"/>
      <c r="S241" s="8"/>
      <c r="T241" s="7" t="str">
        <f>Tab_Data_Flows[[#This Row],[Flow_ID]]&amp;"_"&amp;"material_"&amp;Tab_Data_Flows[[#This Row],[Flow_Data_Year]]</f>
        <v>F___material_</v>
      </c>
      <c r="U241" s="18">
        <f t="shared" si="8"/>
        <v>0</v>
      </c>
      <c r="V241" s="8" t="s">
        <v>218</v>
      </c>
      <c r="W241" s="155">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5">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5">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c r="H242" s="28"/>
      <c r="I242" s="8"/>
      <c r="J242" s="20"/>
      <c r="K242" s="8"/>
      <c r="L242" s="8"/>
      <c r="M242" s="8"/>
      <c r="N242" s="8"/>
      <c r="O242" s="8"/>
      <c r="P242" s="8"/>
      <c r="Q242" s="8" t="s">
        <v>8</v>
      </c>
      <c r="R242" s="21"/>
      <c r="S242" s="8"/>
      <c r="T242" s="7" t="str">
        <f>Tab_Data_Flows[[#This Row],[Flow_ID]]&amp;"_"&amp;"material_"&amp;Tab_Data_Flows[[#This Row],[Flow_Data_Year]]</f>
        <v>F___material_</v>
      </c>
      <c r="U242" s="18">
        <f t="shared" si="8"/>
        <v>0</v>
      </c>
      <c r="V242" s="8" t="s">
        <v>218</v>
      </c>
      <c r="W242" s="155">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5">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5">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c r="H243" s="28"/>
      <c r="I243" s="8"/>
      <c r="J243" s="20"/>
      <c r="K243" s="8"/>
      <c r="L243" s="8"/>
      <c r="M243" s="8"/>
      <c r="N243" s="8"/>
      <c r="O243" s="8"/>
      <c r="P243" s="8"/>
      <c r="Q243" s="8" t="s">
        <v>8</v>
      </c>
      <c r="R243" s="21"/>
      <c r="S243" s="8"/>
      <c r="T243" s="7" t="str">
        <f>Tab_Data_Flows[[#This Row],[Flow_ID]]&amp;"_"&amp;"material_"&amp;Tab_Data_Flows[[#This Row],[Flow_Data_Year]]</f>
        <v>F___material_</v>
      </c>
      <c r="U243" s="18">
        <f t="shared" si="8"/>
        <v>0</v>
      </c>
      <c r="V243" s="8" t="s">
        <v>218</v>
      </c>
      <c r="W243" s="155">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5">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5">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c r="H244" s="28"/>
      <c r="I244" s="8"/>
      <c r="J244" s="20"/>
      <c r="K244" s="8"/>
      <c r="L244" s="8"/>
      <c r="M244" s="8"/>
      <c r="N244" s="8"/>
      <c r="O244" s="8"/>
      <c r="P244" s="8"/>
      <c r="Q244" s="8" t="s">
        <v>8</v>
      </c>
      <c r="R244" s="21"/>
      <c r="S244" s="8"/>
      <c r="T244" s="7" t="str">
        <f>Tab_Data_Flows[[#This Row],[Flow_ID]]&amp;"_"&amp;"material_"&amp;Tab_Data_Flows[[#This Row],[Flow_Data_Year]]</f>
        <v>F___material_</v>
      </c>
      <c r="U244" s="18">
        <f t="shared" si="8"/>
        <v>0</v>
      </c>
      <c r="V244" s="8" t="s">
        <v>218</v>
      </c>
      <c r="W244" s="155">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5">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5">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c r="H245" s="28"/>
      <c r="I245" s="8"/>
      <c r="J245" s="20"/>
      <c r="K245" s="8"/>
      <c r="L245" s="8"/>
      <c r="M245" s="8"/>
      <c r="N245" s="8"/>
      <c r="O245" s="8"/>
      <c r="P245" s="8"/>
      <c r="Q245" s="8" t="s">
        <v>8</v>
      </c>
      <c r="R245" s="21"/>
      <c r="S245" s="8"/>
      <c r="T245" s="7" t="str">
        <f>Tab_Data_Flows[[#This Row],[Flow_ID]]&amp;"_"&amp;"material_"&amp;Tab_Data_Flows[[#This Row],[Flow_Data_Year]]</f>
        <v>F___material_</v>
      </c>
      <c r="U245" s="18">
        <f t="shared" si="8"/>
        <v>0</v>
      </c>
      <c r="V245" s="8" t="s">
        <v>218</v>
      </c>
      <c r="W245" s="155">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5">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5">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c r="H246" s="28"/>
      <c r="I246" s="8"/>
      <c r="J246" s="20"/>
      <c r="K246" s="8"/>
      <c r="L246" s="8"/>
      <c r="M246" s="8"/>
      <c r="N246" s="8"/>
      <c r="O246" s="8"/>
      <c r="P246" s="8"/>
      <c r="Q246" s="8" t="s">
        <v>8</v>
      </c>
      <c r="R246" s="21"/>
      <c r="S246" s="8"/>
      <c r="T246" s="7" t="str">
        <f>Tab_Data_Flows[[#This Row],[Flow_ID]]&amp;"_"&amp;"material_"&amp;Tab_Data_Flows[[#This Row],[Flow_Data_Year]]</f>
        <v>F___material_</v>
      </c>
      <c r="U246" s="18">
        <f t="shared" si="8"/>
        <v>0</v>
      </c>
      <c r="V246" s="8" t="s">
        <v>218</v>
      </c>
      <c r="W246" s="155">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5">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5">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c r="H247" s="28"/>
      <c r="I247" s="8"/>
      <c r="J247" s="20"/>
      <c r="K247" s="8"/>
      <c r="L247" s="8"/>
      <c r="M247" s="8"/>
      <c r="N247" s="8"/>
      <c r="O247" s="8"/>
      <c r="P247" s="8"/>
      <c r="Q247" s="8" t="s">
        <v>8</v>
      </c>
      <c r="R247" s="21"/>
      <c r="S247" s="8"/>
      <c r="T247" s="7" t="str">
        <f>Tab_Data_Flows[[#This Row],[Flow_ID]]&amp;"_"&amp;"material_"&amp;Tab_Data_Flows[[#This Row],[Flow_Data_Year]]</f>
        <v>F___material_</v>
      </c>
      <c r="U247" s="18">
        <f t="shared" si="8"/>
        <v>0</v>
      </c>
      <c r="V247" s="8" t="s">
        <v>218</v>
      </c>
      <c r="W247" s="155">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5">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5">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c r="H248" s="28"/>
      <c r="I248" s="8"/>
      <c r="J248" s="20"/>
      <c r="K248" s="8"/>
      <c r="L248" s="8"/>
      <c r="M248" s="8"/>
      <c r="N248" s="8"/>
      <c r="O248" s="8"/>
      <c r="P248" s="8"/>
      <c r="Q248" s="8" t="s">
        <v>8</v>
      </c>
      <c r="R248" s="21"/>
      <c r="S248" s="8"/>
      <c r="T248" s="7" t="str">
        <f>Tab_Data_Flows[[#This Row],[Flow_ID]]&amp;"_"&amp;"material_"&amp;Tab_Data_Flows[[#This Row],[Flow_Data_Year]]</f>
        <v>F___material_</v>
      </c>
      <c r="U248" s="18">
        <f t="shared" si="8"/>
        <v>0</v>
      </c>
      <c r="V248" s="8" t="s">
        <v>218</v>
      </c>
      <c r="W248" s="155">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5">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5">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c r="H249" s="28"/>
      <c r="I249" s="8"/>
      <c r="J249" s="20"/>
      <c r="K249" s="8"/>
      <c r="L249" s="8"/>
      <c r="M249" s="8"/>
      <c r="N249" s="8"/>
      <c r="O249" s="8"/>
      <c r="P249" s="8"/>
      <c r="Q249" s="8" t="s">
        <v>8</v>
      </c>
      <c r="R249" s="21"/>
      <c r="S249" s="8"/>
      <c r="T249" s="7" t="str">
        <f>Tab_Data_Flows[[#This Row],[Flow_ID]]&amp;"_"&amp;"material_"&amp;Tab_Data_Flows[[#This Row],[Flow_Data_Year]]</f>
        <v>F___material_</v>
      </c>
      <c r="U249" s="18">
        <f t="shared" si="8"/>
        <v>0</v>
      </c>
      <c r="V249" s="8" t="s">
        <v>218</v>
      </c>
      <c r="W249" s="155">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5">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5">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c r="H250" s="28"/>
      <c r="I250" s="8"/>
      <c r="J250" s="20"/>
      <c r="K250" s="8"/>
      <c r="L250" s="8"/>
      <c r="M250" s="8"/>
      <c r="N250" s="8"/>
      <c r="O250" s="8"/>
      <c r="P250" s="8"/>
      <c r="Q250" s="8" t="s">
        <v>8</v>
      </c>
      <c r="R250" s="21"/>
      <c r="S250" s="8"/>
      <c r="T250" s="7" t="str">
        <f>Tab_Data_Flows[[#This Row],[Flow_ID]]&amp;"_"&amp;"material_"&amp;Tab_Data_Flows[[#This Row],[Flow_Data_Year]]</f>
        <v>F___material_</v>
      </c>
      <c r="U250" s="18">
        <f t="shared" si="8"/>
        <v>0</v>
      </c>
      <c r="V250" s="8" t="s">
        <v>218</v>
      </c>
      <c r="W250" s="155">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5">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5">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c r="H251" s="28"/>
      <c r="I251" s="8"/>
      <c r="J251" s="20"/>
      <c r="K251" s="8"/>
      <c r="L251" s="8"/>
      <c r="M251" s="8"/>
      <c r="N251" s="8"/>
      <c r="O251" s="8"/>
      <c r="P251" s="8"/>
      <c r="Q251" s="8" t="s">
        <v>8</v>
      </c>
      <c r="R251" s="21"/>
      <c r="S251" s="8"/>
      <c r="T251" s="7" t="str">
        <f>Tab_Data_Flows[[#This Row],[Flow_ID]]&amp;"_"&amp;"material_"&amp;Tab_Data_Flows[[#This Row],[Flow_Data_Year]]</f>
        <v>F___material_</v>
      </c>
      <c r="U251" s="18">
        <f t="shared" si="8"/>
        <v>0</v>
      </c>
      <c r="V251" s="8" t="s">
        <v>218</v>
      </c>
      <c r="W251" s="155">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5">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5">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c r="H252" s="28"/>
      <c r="I252" s="8"/>
      <c r="J252" s="20"/>
      <c r="K252" s="8"/>
      <c r="L252" s="8"/>
      <c r="M252" s="8"/>
      <c r="N252" s="8"/>
      <c r="O252" s="8"/>
      <c r="P252" s="8"/>
      <c r="Q252" s="8" t="s">
        <v>8</v>
      </c>
      <c r="R252" s="21"/>
      <c r="S252" s="8"/>
      <c r="T252" s="7" t="str">
        <f>Tab_Data_Flows[[#This Row],[Flow_ID]]&amp;"_"&amp;"material_"&amp;Tab_Data_Flows[[#This Row],[Flow_Data_Year]]</f>
        <v>F___material_</v>
      </c>
      <c r="U252" s="18">
        <f t="shared" si="8"/>
        <v>0</v>
      </c>
      <c r="V252" s="8" t="s">
        <v>218</v>
      </c>
      <c r="W252" s="155">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5">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5">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c r="H253" s="28"/>
      <c r="I253" s="8"/>
      <c r="J253" s="20"/>
      <c r="K253" s="8"/>
      <c r="L253" s="8"/>
      <c r="M253" s="8"/>
      <c r="N253" s="8"/>
      <c r="O253" s="8"/>
      <c r="P253" s="8"/>
      <c r="Q253" s="8" t="s">
        <v>8</v>
      </c>
      <c r="R253" s="21"/>
      <c r="S253" s="8"/>
      <c r="T253" s="7" t="str">
        <f>Tab_Data_Flows[[#This Row],[Flow_ID]]&amp;"_"&amp;"material_"&amp;Tab_Data_Flows[[#This Row],[Flow_Data_Year]]</f>
        <v>F___material_</v>
      </c>
      <c r="U253" s="18">
        <f t="shared" si="8"/>
        <v>0</v>
      </c>
      <c r="V253" s="8" t="s">
        <v>218</v>
      </c>
      <c r="W253" s="155">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5">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5">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c r="H254" s="28"/>
      <c r="I254" s="8"/>
      <c r="J254" s="20"/>
      <c r="K254" s="8"/>
      <c r="L254" s="8"/>
      <c r="M254" s="8"/>
      <c r="N254" s="8"/>
      <c r="O254" s="8"/>
      <c r="P254" s="8"/>
      <c r="Q254" s="8" t="s">
        <v>8</v>
      </c>
      <c r="R254" s="21"/>
      <c r="S254" s="8"/>
      <c r="T254" s="7" t="str">
        <f>Tab_Data_Flows[[#This Row],[Flow_ID]]&amp;"_"&amp;"material_"&amp;Tab_Data_Flows[[#This Row],[Flow_Data_Year]]</f>
        <v>F___material_</v>
      </c>
      <c r="U254" s="18">
        <f t="shared" si="8"/>
        <v>0</v>
      </c>
      <c r="V254" s="8" t="s">
        <v>218</v>
      </c>
      <c r="W254" s="155">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5">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5">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c r="H255" s="28"/>
      <c r="I255" s="8"/>
      <c r="J255" s="20"/>
      <c r="K255" s="8"/>
      <c r="L255" s="8"/>
      <c r="M255" s="8"/>
      <c r="N255" s="8"/>
      <c r="O255" s="8"/>
      <c r="P255" s="8"/>
      <c r="Q255" s="8" t="s">
        <v>8</v>
      </c>
      <c r="R255" s="21"/>
      <c r="S255" s="8"/>
      <c r="T255" s="7" t="str">
        <f>Tab_Data_Flows[[#This Row],[Flow_ID]]&amp;"_"&amp;"material_"&amp;Tab_Data_Flows[[#This Row],[Flow_Data_Year]]</f>
        <v>F___material_</v>
      </c>
      <c r="U255" s="18">
        <f t="shared" si="8"/>
        <v>0</v>
      </c>
      <c r="V255" s="8" t="s">
        <v>218</v>
      </c>
      <c r="W255" s="155">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5">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5">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c r="H256" s="28"/>
      <c r="I256" s="8"/>
      <c r="J256" s="20"/>
      <c r="K256" s="8"/>
      <c r="L256" s="8"/>
      <c r="M256" s="8"/>
      <c r="N256" s="8"/>
      <c r="O256" s="8"/>
      <c r="P256" s="8"/>
      <c r="Q256" s="8" t="s">
        <v>8</v>
      </c>
      <c r="R256" s="21"/>
      <c r="S256" s="8"/>
      <c r="T256" s="7" t="str">
        <f>Tab_Data_Flows[[#This Row],[Flow_ID]]&amp;"_"&amp;"material_"&amp;Tab_Data_Flows[[#This Row],[Flow_Data_Year]]</f>
        <v>F___material_</v>
      </c>
      <c r="U256" s="18">
        <f t="shared" si="8"/>
        <v>0</v>
      </c>
      <c r="V256" s="8" t="s">
        <v>218</v>
      </c>
      <c r="W256" s="155">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5">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5">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c r="H257" s="28"/>
      <c r="I257" s="8"/>
      <c r="J257" s="20"/>
      <c r="K257" s="8"/>
      <c r="L257" s="8"/>
      <c r="M257" s="8"/>
      <c r="N257" s="8"/>
      <c r="O257" s="8"/>
      <c r="P257" s="8"/>
      <c r="Q257" s="8" t="s">
        <v>8</v>
      </c>
      <c r="R257" s="21"/>
      <c r="S257" s="8"/>
      <c r="T257" s="7" t="str">
        <f>Tab_Data_Flows[[#This Row],[Flow_ID]]&amp;"_"&amp;"material_"&amp;Tab_Data_Flows[[#This Row],[Flow_Data_Year]]</f>
        <v>F___material_</v>
      </c>
      <c r="U257" s="18">
        <f t="shared" si="8"/>
        <v>0</v>
      </c>
      <c r="V257" s="8" t="s">
        <v>218</v>
      </c>
      <c r="W257" s="155">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5">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5">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c r="H258" s="28"/>
      <c r="I258" s="8"/>
      <c r="J258" s="20"/>
      <c r="K258" s="8"/>
      <c r="L258" s="8"/>
      <c r="M258" s="8"/>
      <c r="N258" s="8"/>
      <c r="O258" s="8"/>
      <c r="P258" s="8"/>
      <c r="Q258" s="8" t="s">
        <v>8</v>
      </c>
      <c r="R258" s="21"/>
      <c r="S258" s="8"/>
      <c r="T258" s="7" t="str">
        <f>Tab_Data_Flows[[#This Row],[Flow_ID]]&amp;"_"&amp;"material_"&amp;Tab_Data_Flows[[#This Row],[Flow_Data_Year]]</f>
        <v>F___material_</v>
      </c>
      <c r="U258" s="18">
        <f t="shared" si="8"/>
        <v>0</v>
      </c>
      <c r="V258" s="8" t="s">
        <v>218</v>
      </c>
      <c r="W258" s="155">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5">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5">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c r="H259" s="28"/>
      <c r="I259" s="8"/>
      <c r="J259" s="20"/>
      <c r="K259" s="8"/>
      <c r="L259" s="8"/>
      <c r="M259" s="8"/>
      <c r="N259" s="8"/>
      <c r="O259" s="8"/>
      <c r="P259" s="8"/>
      <c r="Q259" s="8" t="s">
        <v>8</v>
      </c>
      <c r="R259" s="21"/>
      <c r="S259" s="8"/>
      <c r="T259" s="7" t="str">
        <f>Tab_Data_Flows[[#This Row],[Flow_ID]]&amp;"_"&amp;"material_"&amp;Tab_Data_Flows[[#This Row],[Flow_Data_Year]]</f>
        <v>F___material_</v>
      </c>
      <c r="U259" s="18">
        <f t="shared" ref="U259:U280" si="10">IF(Q259="no",H259,H259*R259)</f>
        <v>0</v>
      </c>
      <c r="V259" s="8" t="s">
        <v>218</v>
      </c>
      <c r="W259" s="155">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5">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5">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c r="H260" s="28"/>
      <c r="I260" s="8"/>
      <c r="J260" s="20"/>
      <c r="K260" s="8"/>
      <c r="L260" s="8"/>
      <c r="M260" s="8"/>
      <c r="N260" s="8"/>
      <c r="O260" s="8"/>
      <c r="P260" s="8"/>
      <c r="Q260" s="8" t="s">
        <v>8</v>
      </c>
      <c r="R260" s="21"/>
      <c r="S260" s="8"/>
      <c r="T260" s="7" t="str">
        <f>Tab_Data_Flows[[#This Row],[Flow_ID]]&amp;"_"&amp;"material_"&amp;Tab_Data_Flows[[#This Row],[Flow_Data_Year]]</f>
        <v>F___material_</v>
      </c>
      <c r="U260" s="18">
        <f t="shared" si="10"/>
        <v>0</v>
      </c>
      <c r="V260" s="8" t="s">
        <v>218</v>
      </c>
      <c r="W260" s="155">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5">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5">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c r="H261" s="28"/>
      <c r="I261" s="8"/>
      <c r="J261" s="20"/>
      <c r="K261" s="8"/>
      <c r="L261" s="8"/>
      <c r="M261" s="8"/>
      <c r="N261" s="8"/>
      <c r="O261" s="8"/>
      <c r="P261" s="8"/>
      <c r="Q261" s="8" t="s">
        <v>8</v>
      </c>
      <c r="R261" s="21"/>
      <c r="S261" s="8"/>
      <c r="T261" s="7" t="str">
        <f>Tab_Data_Flows[[#This Row],[Flow_ID]]&amp;"_"&amp;"material_"&amp;Tab_Data_Flows[[#This Row],[Flow_Data_Year]]</f>
        <v>F___material_</v>
      </c>
      <c r="U261" s="18">
        <f t="shared" si="10"/>
        <v>0</v>
      </c>
      <c r="V261" s="8" t="s">
        <v>218</v>
      </c>
      <c r="W261" s="155">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5">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5">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c r="H262" s="28"/>
      <c r="I262" s="8"/>
      <c r="J262" s="20"/>
      <c r="K262" s="8"/>
      <c r="L262" s="8"/>
      <c r="M262" s="8"/>
      <c r="N262" s="8"/>
      <c r="O262" s="8"/>
      <c r="P262" s="8"/>
      <c r="Q262" s="8" t="s">
        <v>8</v>
      </c>
      <c r="R262" s="21"/>
      <c r="S262" s="8"/>
      <c r="T262" s="7" t="str">
        <f>Tab_Data_Flows[[#This Row],[Flow_ID]]&amp;"_"&amp;"material_"&amp;Tab_Data_Flows[[#This Row],[Flow_Data_Year]]</f>
        <v>F___material_</v>
      </c>
      <c r="U262" s="18">
        <f t="shared" si="10"/>
        <v>0</v>
      </c>
      <c r="V262" s="8" t="s">
        <v>218</v>
      </c>
      <c r="W262" s="155">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5">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5">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c r="H263" s="28"/>
      <c r="I263" s="8"/>
      <c r="J263" s="20"/>
      <c r="K263" s="8"/>
      <c r="L263" s="8"/>
      <c r="M263" s="8"/>
      <c r="N263" s="8"/>
      <c r="O263" s="8"/>
      <c r="P263" s="8"/>
      <c r="Q263" s="8" t="s">
        <v>8</v>
      </c>
      <c r="R263" s="21"/>
      <c r="S263" s="8"/>
      <c r="T263" s="7" t="str">
        <f>Tab_Data_Flows[[#This Row],[Flow_ID]]&amp;"_"&amp;"material_"&amp;Tab_Data_Flows[[#This Row],[Flow_Data_Year]]</f>
        <v>F___material_</v>
      </c>
      <c r="U263" s="18">
        <f t="shared" si="10"/>
        <v>0</v>
      </c>
      <c r="V263" s="8" t="s">
        <v>218</v>
      </c>
      <c r="W263" s="155">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5">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5">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c r="H264" s="28"/>
      <c r="I264" s="8"/>
      <c r="J264" s="20"/>
      <c r="K264" s="8"/>
      <c r="L264" s="14"/>
      <c r="M264" s="8"/>
      <c r="N264" s="8"/>
      <c r="O264" s="8"/>
      <c r="P264" s="8"/>
      <c r="Q264" s="8" t="s">
        <v>8</v>
      </c>
      <c r="R264" s="21"/>
      <c r="S264" s="8"/>
      <c r="T264" s="7" t="str">
        <f>Tab_Data_Flows[[#This Row],[Flow_ID]]&amp;"_"&amp;"material_"&amp;Tab_Data_Flows[[#This Row],[Flow_Data_Year]]</f>
        <v>F___material_</v>
      </c>
      <c r="U264" s="18">
        <f t="shared" si="10"/>
        <v>0</v>
      </c>
      <c r="V264" s="8" t="s">
        <v>218</v>
      </c>
      <c r="W264" s="155">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5">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5">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c r="H265" s="28"/>
      <c r="I265" s="8"/>
      <c r="J265" s="20"/>
      <c r="K265" s="8"/>
      <c r="L265" s="14"/>
      <c r="M265" s="8"/>
      <c r="N265" s="8"/>
      <c r="O265" s="8"/>
      <c r="P265" s="8"/>
      <c r="Q265" s="8" t="s">
        <v>8</v>
      </c>
      <c r="R265" s="21"/>
      <c r="S265" s="8"/>
      <c r="T265" s="7" t="str">
        <f>Tab_Data_Flows[[#This Row],[Flow_ID]]&amp;"_"&amp;"material_"&amp;Tab_Data_Flows[[#This Row],[Flow_Data_Year]]</f>
        <v>F___material_</v>
      </c>
      <c r="U265" s="18">
        <f t="shared" si="10"/>
        <v>0</v>
      </c>
      <c r="V265" s="8" t="s">
        <v>218</v>
      </c>
      <c r="W265" s="155">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5">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5">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c r="H266" s="28"/>
      <c r="I266" s="8"/>
      <c r="J266" s="20"/>
      <c r="K266" s="8"/>
      <c r="L266" s="14"/>
      <c r="M266" s="8"/>
      <c r="N266" s="8"/>
      <c r="O266" s="8"/>
      <c r="P266" s="8"/>
      <c r="Q266" s="8" t="s">
        <v>8</v>
      </c>
      <c r="R266" s="21"/>
      <c r="S266" s="8"/>
      <c r="T266" s="7" t="str">
        <f>Tab_Data_Flows[[#This Row],[Flow_ID]]&amp;"_"&amp;"material_"&amp;Tab_Data_Flows[[#This Row],[Flow_Data_Year]]</f>
        <v>F___material_</v>
      </c>
      <c r="U266" s="18">
        <f t="shared" si="10"/>
        <v>0</v>
      </c>
      <c r="V266" s="8" t="s">
        <v>218</v>
      </c>
      <c r="W266" s="155">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5">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5">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c r="H267" s="28"/>
      <c r="I267" s="8"/>
      <c r="J267" s="20"/>
      <c r="K267" s="8"/>
      <c r="L267" s="14"/>
      <c r="M267" s="8"/>
      <c r="N267" s="8"/>
      <c r="O267" s="8"/>
      <c r="P267" s="8"/>
      <c r="Q267" s="8" t="s">
        <v>8</v>
      </c>
      <c r="R267" s="21"/>
      <c r="S267" s="8"/>
      <c r="T267" s="7" t="str">
        <f>Tab_Data_Flows[[#This Row],[Flow_ID]]&amp;"_"&amp;"material_"&amp;Tab_Data_Flows[[#This Row],[Flow_Data_Year]]</f>
        <v>F___material_</v>
      </c>
      <c r="U267" s="18">
        <f t="shared" si="10"/>
        <v>0</v>
      </c>
      <c r="V267" s="8" t="s">
        <v>218</v>
      </c>
      <c r="W267" s="155">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5">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5">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c r="H268" s="28"/>
      <c r="I268" s="8"/>
      <c r="J268" s="20"/>
      <c r="K268" s="8"/>
      <c r="L268" s="14"/>
      <c r="M268" s="8"/>
      <c r="N268" s="8"/>
      <c r="O268" s="8"/>
      <c r="P268" s="8"/>
      <c r="Q268" s="8" t="s">
        <v>8</v>
      </c>
      <c r="R268" s="21"/>
      <c r="S268" s="8"/>
      <c r="T268" s="7" t="str">
        <f>Tab_Data_Flows[[#This Row],[Flow_ID]]&amp;"_"&amp;"material_"&amp;Tab_Data_Flows[[#This Row],[Flow_Data_Year]]</f>
        <v>F___material_</v>
      </c>
      <c r="U268" s="18">
        <f t="shared" si="10"/>
        <v>0</v>
      </c>
      <c r="V268" s="8" t="s">
        <v>218</v>
      </c>
      <c r="W268" s="155">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5">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5">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c r="H269" s="28"/>
      <c r="I269" s="8"/>
      <c r="J269" s="20"/>
      <c r="K269" s="8"/>
      <c r="L269" s="14"/>
      <c r="M269" s="8"/>
      <c r="N269" s="8"/>
      <c r="O269" s="8"/>
      <c r="P269" s="8"/>
      <c r="Q269" s="8" t="s">
        <v>8</v>
      </c>
      <c r="R269" s="21"/>
      <c r="S269" s="8"/>
      <c r="T269" s="7" t="str">
        <f>Tab_Data_Flows[[#This Row],[Flow_ID]]&amp;"_"&amp;"material_"&amp;Tab_Data_Flows[[#This Row],[Flow_Data_Year]]</f>
        <v>F___material_</v>
      </c>
      <c r="U269" s="18">
        <f t="shared" si="10"/>
        <v>0</v>
      </c>
      <c r="V269" s="8" t="s">
        <v>218</v>
      </c>
      <c r="W269" s="155">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5">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5">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c r="H270" s="28"/>
      <c r="I270" s="8"/>
      <c r="J270" s="20"/>
      <c r="K270" s="8"/>
      <c r="L270" s="14"/>
      <c r="M270" s="8"/>
      <c r="N270" s="8"/>
      <c r="O270" s="8"/>
      <c r="P270" s="8"/>
      <c r="Q270" s="8" t="s">
        <v>8</v>
      </c>
      <c r="R270" s="21"/>
      <c r="S270" s="8"/>
      <c r="T270" s="7" t="str">
        <f>Tab_Data_Flows[[#This Row],[Flow_ID]]&amp;"_"&amp;"material_"&amp;Tab_Data_Flows[[#This Row],[Flow_Data_Year]]</f>
        <v>F___material_</v>
      </c>
      <c r="U270" s="18">
        <f t="shared" si="10"/>
        <v>0</v>
      </c>
      <c r="V270" s="8" t="s">
        <v>218</v>
      </c>
      <c r="W270" s="155">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5">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5">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c r="H271" s="28"/>
      <c r="I271" s="8"/>
      <c r="J271" s="20"/>
      <c r="K271" s="8"/>
      <c r="L271" s="14"/>
      <c r="M271" s="8"/>
      <c r="N271" s="8"/>
      <c r="O271" s="8"/>
      <c r="P271" s="8"/>
      <c r="Q271" s="8" t="s">
        <v>8</v>
      </c>
      <c r="R271" s="21"/>
      <c r="S271" s="8"/>
      <c r="T271" s="7" t="str">
        <f>Tab_Data_Flows[[#This Row],[Flow_ID]]&amp;"_"&amp;"material_"&amp;Tab_Data_Flows[[#This Row],[Flow_Data_Year]]</f>
        <v>F___material_</v>
      </c>
      <c r="U271" s="18">
        <f t="shared" si="10"/>
        <v>0</v>
      </c>
      <c r="V271" s="8" t="s">
        <v>218</v>
      </c>
      <c r="W271" s="155">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5">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5">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c r="H272" s="28"/>
      <c r="I272" s="8"/>
      <c r="J272" s="20"/>
      <c r="K272" s="8"/>
      <c r="L272" s="14"/>
      <c r="M272" s="8"/>
      <c r="N272" s="8"/>
      <c r="O272" s="8"/>
      <c r="P272" s="8"/>
      <c r="Q272" s="8" t="s">
        <v>8</v>
      </c>
      <c r="R272" s="21"/>
      <c r="S272" s="8"/>
      <c r="T272" s="7" t="str">
        <f>Tab_Data_Flows[[#This Row],[Flow_ID]]&amp;"_"&amp;"material_"&amp;Tab_Data_Flows[[#This Row],[Flow_Data_Year]]</f>
        <v>F___material_</v>
      </c>
      <c r="U272" s="18">
        <f t="shared" si="10"/>
        <v>0</v>
      </c>
      <c r="V272" s="8" t="s">
        <v>218</v>
      </c>
      <c r="W272" s="155">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5">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5">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c r="H273" s="28"/>
      <c r="I273" s="8"/>
      <c r="J273" s="20"/>
      <c r="K273" s="8"/>
      <c r="L273" s="14"/>
      <c r="M273" s="8"/>
      <c r="N273" s="8"/>
      <c r="O273" s="8"/>
      <c r="P273" s="8"/>
      <c r="Q273" s="8" t="s">
        <v>8</v>
      </c>
      <c r="R273" s="21"/>
      <c r="S273" s="8"/>
      <c r="T273" s="7" t="str">
        <f>Tab_Data_Flows[[#This Row],[Flow_ID]]&amp;"_"&amp;"material_"&amp;Tab_Data_Flows[[#This Row],[Flow_Data_Year]]</f>
        <v>F___material_</v>
      </c>
      <c r="U273" s="18">
        <f t="shared" si="10"/>
        <v>0</v>
      </c>
      <c r="V273" s="8" t="s">
        <v>218</v>
      </c>
      <c r="W273" s="155">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5">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5">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c r="H274" s="28"/>
      <c r="I274" s="8"/>
      <c r="J274" s="20"/>
      <c r="K274" s="8"/>
      <c r="L274" s="14"/>
      <c r="M274" s="8"/>
      <c r="N274" s="8"/>
      <c r="O274" s="8"/>
      <c r="P274" s="8"/>
      <c r="Q274" s="8" t="s">
        <v>8</v>
      </c>
      <c r="R274" s="21"/>
      <c r="S274" s="8"/>
      <c r="T274" s="7" t="str">
        <f>Tab_Data_Flows[[#This Row],[Flow_ID]]&amp;"_"&amp;"material_"&amp;Tab_Data_Flows[[#This Row],[Flow_Data_Year]]</f>
        <v>F___material_</v>
      </c>
      <c r="U274" s="18">
        <f t="shared" si="10"/>
        <v>0</v>
      </c>
      <c r="V274" s="8" t="s">
        <v>218</v>
      </c>
      <c r="W274" s="155">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5">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5">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c r="H275" s="28"/>
      <c r="I275" s="8"/>
      <c r="J275" s="20"/>
      <c r="K275" s="8"/>
      <c r="L275" s="14"/>
      <c r="M275" s="8"/>
      <c r="N275" s="8"/>
      <c r="O275" s="8"/>
      <c r="P275" s="8"/>
      <c r="Q275" s="8" t="s">
        <v>8</v>
      </c>
      <c r="R275" s="21"/>
      <c r="S275" s="8"/>
      <c r="T275" s="7" t="str">
        <f>Tab_Data_Flows[[#This Row],[Flow_ID]]&amp;"_"&amp;"material_"&amp;Tab_Data_Flows[[#This Row],[Flow_Data_Year]]</f>
        <v>F___material_</v>
      </c>
      <c r="U275" s="18">
        <f t="shared" si="10"/>
        <v>0</v>
      </c>
      <c r="V275" s="8" t="s">
        <v>218</v>
      </c>
      <c r="W275" s="155">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5">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5">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c r="H276" s="28"/>
      <c r="I276" s="8"/>
      <c r="J276" s="20"/>
      <c r="K276" s="8"/>
      <c r="L276" s="14"/>
      <c r="M276" s="8"/>
      <c r="N276" s="8"/>
      <c r="O276" s="8"/>
      <c r="P276" s="8"/>
      <c r="Q276" s="8" t="s">
        <v>8</v>
      </c>
      <c r="R276" s="21"/>
      <c r="S276" s="8"/>
      <c r="T276" s="7" t="str">
        <f>Tab_Data_Flows[[#This Row],[Flow_ID]]&amp;"_"&amp;"material_"&amp;Tab_Data_Flows[[#This Row],[Flow_Data_Year]]</f>
        <v>F___material_</v>
      </c>
      <c r="U276" s="18">
        <f t="shared" si="10"/>
        <v>0</v>
      </c>
      <c r="V276" s="8" t="s">
        <v>218</v>
      </c>
      <c r="W276" s="155">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5">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5">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c r="H277" s="28"/>
      <c r="I277" s="8"/>
      <c r="J277" s="20"/>
      <c r="K277" s="8"/>
      <c r="L277" s="14"/>
      <c r="M277" s="8"/>
      <c r="N277" s="8"/>
      <c r="O277" s="8"/>
      <c r="P277" s="8"/>
      <c r="Q277" s="8" t="s">
        <v>8</v>
      </c>
      <c r="R277" s="21"/>
      <c r="S277" s="8"/>
      <c r="T277" s="7" t="str">
        <f>Tab_Data_Flows[[#This Row],[Flow_ID]]&amp;"_"&amp;"material_"&amp;Tab_Data_Flows[[#This Row],[Flow_Data_Year]]</f>
        <v>F___material_</v>
      </c>
      <c r="U277" s="18">
        <f t="shared" si="10"/>
        <v>0</v>
      </c>
      <c r="V277" s="8" t="s">
        <v>218</v>
      </c>
      <c r="W277" s="155">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5">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5">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c r="H278" s="28"/>
      <c r="I278" s="8"/>
      <c r="J278" s="20"/>
      <c r="K278" s="8"/>
      <c r="L278" s="14"/>
      <c r="M278" s="8"/>
      <c r="N278" s="8"/>
      <c r="O278" s="8"/>
      <c r="P278" s="8"/>
      <c r="Q278" s="8" t="s">
        <v>8</v>
      </c>
      <c r="R278" s="21"/>
      <c r="S278" s="8"/>
      <c r="T278" s="7" t="str">
        <f>Tab_Data_Flows[[#This Row],[Flow_ID]]&amp;"_"&amp;"material_"&amp;Tab_Data_Flows[[#This Row],[Flow_Data_Year]]</f>
        <v>F___material_</v>
      </c>
      <c r="U278" s="18">
        <f t="shared" si="10"/>
        <v>0</v>
      </c>
      <c r="V278" s="8" t="s">
        <v>218</v>
      </c>
      <c r="W278" s="155">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5">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5">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c r="H279" s="28"/>
      <c r="I279" s="8"/>
      <c r="J279" s="20"/>
      <c r="K279" s="8"/>
      <c r="L279" s="14"/>
      <c r="M279" s="8"/>
      <c r="N279" s="8"/>
      <c r="O279" s="8"/>
      <c r="P279" s="8"/>
      <c r="Q279" s="8" t="s">
        <v>8</v>
      </c>
      <c r="R279" s="21"/>
      <c r="S279" s="8"/>
      <c r="T279" s="7" t="str">
        <f>Tab_Data_Flows[[#This Row],[Flow_ID]]&amp;"_"&amp;"material_"&amp;Tab_Data_Flows[[#This Row],[Flow_Data_Year]]</f>
        <v>F___material_</v>
      </c>
      <c r="U279" s="18">
        <f t="shared" si="10"/>
        <v>0</v>
      </c>
      <c r="V279" s="8" t="s">
        <v>218</v>
      </c>
      <c r="W279" s="155">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5">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5">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c r="H280" s="28"/>
      <c r="I280" s="8"/>
      <c r="J280" s="20"/>
      <c r="K280" s="8"/>
      <c r="L280" s="14"/>
      <c r="M280" s="8"/>
      <c r="N280" s="8"/>
      <c r="O280" s="8"/>
      <c r="P280" s="8"/>
      <c r="Q280" s="8" t="s">
        <v>8</v>
      </c>
      <c r="R280" s="21"/>
      <c r="S280" s="8"/>
      <c r="T280" s="7" t="str">
        <f>Tab_Data_Flows[[#This Row],[Flow_ID]]&amp;"_"&amp;"material_"&amp;Tab_Data_Flows[[#This Row],[Flow_Data_Year]]</f>
        <v>F___material_</v>
      </c>
      <c r="U280" s="18">
        <f t="shared" si="10"/>
        <v>0</v>
      </c>
      <c r="V280" s="8" t="s">
        <v>218</v>
      </c>
      <c r="W280" s="155">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5">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5">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c r="H281" s="28"/>
      <c r="I281" s="8"/>
      <c r="J281" s="20"/>
      <c r="K281" s="8"/>
      <c r="L281" s="14"/>
      <c r="M281" s="8"/>
      <c r="N281" s="8"/>
      <c r="O281" s="8"/>
      <c r="P281" s="8"/>
      <c r="Q281" s="8" t="s">
        <v>8</v>
      </c>
      <c r="R281" s="21"/>
      <c r="S281" s="8"/>
      <c r="T281" s="7" t="str">
        <f>Tab_Data_Flows[[#This Row],[Flow_ID]]&amp;"_"&amp;"material_"&amp;Tab_Data_Flows[[#This Row],[Flow_Data_Year]]</f>
        <v>F___material_</v>
      </c>
      <c r="U281" s="18">
        <f t="shared" ref="U281:U322" si="11">IF(Q281="no",H281,H281*R281)</f>
        <v>0</v>
      </c>
      <c r="V281" s="8" t="s">
        <v>218</v>
      </c>
      <c r="W281" s="155">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5">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5">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c r="H282" s="28"/>
      <c r="I282" s="8"/>
      <c r="J282" s="20"/>
      <c r="K282" s="8"/>
      <c r="L282" s="14"/>
      <c r="M282" s="8"/>
      <c r="N282" s="8"/>
      <c r="O282" s="8"/>
      <c r="P282" s="8"/>
      <c r="Q282" s="8" t="s">
        <v>8</v>
      </c>
      <c r="R282" s="21"/>
      <c r="S282" s="8"/>
      <c r="T282" s="7" t="str">
        <f>Tab_Data_Flows[[#This Row],[Flow_ID]]&amp;"_"&amp;"material_"&amp;Tab_Data_Flows[[#This Row],[Flow_Data_Year]]</f>
        <v>F___material_</v>
      </c>
      <c r="U282" s="18">
        <f t="shared" si="11"/>
        <v>0</v>
      </c>
      <c r="V282" s="8" t="s">
        <v>218</v>
      </c>
      <c r="W282" s="155">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5">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5">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c r="H283" s="28"/>
      <c r="I283" s="8"/>
      <c r="J283" s="20"/>
      <c r="K283" s="8"/>
      <c r="L283" s="14"/>
      <c r="M283" s="8"/>
      <c r="N283" s="8"/>
      <c r="O283" s="8"/>
      <c r="P283" s="8"/>
      <c r="Q283" s="8" t="s">
        <v>8</v>
      </c>
      <c r="R283" s="21"/>
      <c r="S283" s="8"/>
      <c r="T283" s="7" t="str">
        <f>Tab_Data_Flows[[#This Row],[Flow_ID]]&amp;"_"&amp;"material_"&amp;Tab_Data_Flows[[#This Row],[Flow_Data_Year]]</f>
        <v>F___material_</v>
      </c>
      <c r="U283" s="18">
        <f t="shared" si="11"/>
        <v>0</v>
      </c>
      <c r="V283" s="8" t="s">
        <v>218</v>
      </c>
      <c r="W283" s="155">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5">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5">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c r="H284" s="28"/>
      <c r="I284" s="8"/>
      <c r="J284" s="20"/>
      <c r="K284" s="8"/>
      <c r="L284" s="14"/>
      <c r="M284" s="8"/>
      <c r="N284" s="8"/>
      <c r="O284" s="8"/>
      <c r="P284" s="8"/>
      <c r="Q284" s="8" t="s">
        <v>8</v>
      </c>
      <c r="R284" s="21"/>
      <c r="S284" s="8"/>
      <c r="T284" s="7" t="str">
        <f>Tab_Data_Flows[[#This Row],[Flow_ID]]&amp;"_"&amp;"material_"&amp;Tab_Data_Flows[[#This Row],[Flow_Data_Year]]</f>
        <v>F___material_</v>
      </c>
      <c r="U284" s="18">
        <f t="shared" si="11"/>
        <v>0</v>
      </c>
      <c r="V284" s="8" t="s">
        <v>218</v>
      </c>
      <c r="W284" s="155">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5">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5">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c r="H285" s="28"/>
      <c r="I285" s="8"/>
      <c r="J285" s="20"/>
      <c r="K285" s="8"/>
      <c r="L285" s="14"/>
      <c r="M285" s="8"/>
      <c r="N285" s="8"/>
      <c r="O285" s="8"/>
      <c r="P285" s="8"/>
      <c r="Q285" s="8" t="s">
        <v>8</v>
      </c>
      <c r="R285" s="21"/>
      <c r="S285" s="8"/>
      <c r="T285" s="7" t="str">
        <f>Tab_Data_Flows[[#This Row],[Flow_ID]]&amp;"_"&amp;"material_"&amp;Tab_Data_Flows[[#This Row],[Flow_Data_Year]]</f>
        <v>F___material_</v>
      </c>
      <c r="U285" s="18">
        <f t="shared" si="11"/>
        <v>0</v>
      </c>
      <c r="V285" s="8" t="s">
        <v>218</v>
      </c>
      <c r="W285" s="155">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5">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5">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c r="H286" s="28"/>
      <c r="I286" s="8"/>
      <c r="J286" s="20"/>
      <c r="K286" s="8"/>
      <c r="L286" s="14"/>
      <c r="M286" s="8"/>
      <c r="N286" s="8"/>
      <c r="O286" s="8"/>
      <c r="P286" s="8"/>
      <c r="Q286" s="8" t="s">
        <v>8</v>
      </c>
      <c r="R286" s="21"/>
      <c r="S286" s="8"/>
      <c r="T286" s="7" t="str">
        <f>Tab_Data_Flows[[#This Row],[Flow_ID]]&amp;"_"&amp;"material_"&amp;Tab_Data_Flows[[#This Row],[Flow_Data_Year]]</f>
        <v>F___material_</v>
      </c>
      <c r="U286" s="18">
        <f t="shared" si="11"/>
        <v>0</v>
      </c>
      <c r="V286" s="8" t="s">
        <v>218</v>
      </c>
      <c r="W286" s="155">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5">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5">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c r="H287" s="28"/>
      <c r="I287" s="8"/>
      <c r="J287" s="20"/>
      <c r="K287" s="8"/>
      <c r="L287" s="14"/>
      <c r="M287" s="8"/>
      <c r="N287" s="8"/>
      <c r="O287" s="8"/>
      <c r="P287" s="8"/>
      <c r="Q287" s="8" t="s">
        <v>8</v>
      </c>
      <c r="R287" s="21"/>
      <c r="S287" s="8"/>
      <c r="T287" s="7" t="str">
        <f>Tab_Data_Flows[[#This Row],[Flow_ID]]&amp;"_"&amp;"material_"&amp;Tab_Data_Flows[[#This Row],[Flow_Data_Year]]</f>
        <v>F___material_</v>
      </c>
      <c r="U287" s="18">
        <f t="shared" si="11"/>
        <v>0</v>
      </c>
      <c r="V287" s="8" t="s">
        <v>218</v>
      </c>
      <c r="W287" s="155">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5">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5">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c r="H288" s="28"/>
      <c r="I288" s="8"/>
      <c r="J288" s="20"/>
      <c r="K288" s="8"/>
      <c r="L288" s="14"/>
      <c r="M288" s="8"/>
      <c r="N288" s="8"/>
      <c r="O288" s="8"/>
      <c r="P288" s="8"/>
      <c r="Q288" s="8" t="s">
        <v>8</v>
      </c>
      <c r="R288" s="21"/>
      <c r="S288" s="8"/>
      <c r="T288" s="7" t="str">
        <f>Tab_Data_Flows[[#This Row],[Flow_ID]]&amp;"_"&amp;"material_"&amp;Tab_Data_Flows[[#This Row],[Flow_Data_Year]]</f>
        <v>F___material_</v>
      </c>
      <c r="U288" s="18">
        <f t="shared" si="11"/>
        <v>0</v>
      </c>
      <c r="V288" s="8" t="s">
        <v>218</v>
      </c>
      <c r="W288" s="155">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5">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5">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c r="H289" s="28"/>
      <c r="I289" s="8"/>
      <c r="J289" s="20"/>
      <c r="K289" s="8"/>
      <c r="L289" s="14"/>
      <c r="M289" s="8"/>
      <c r="N289" s="8"/>
      <c r="O289" s="8"/>
      <c r="P289" s="8"/>
      <c r="Q289" s="8" t="s">
        <v>8</v>
      </c>
      <c r="R289" s="21"/>
      <c r="S289" s="8"/>
      <c r="T289" s="7" t="str">
        <f>Tab_Data_Flows[[#This Row],[Flow_ID]]&amp;"_"&amp;"material_"&amp;Tab_Data_Flows[[#This Row],[Flow_Data_Year]]</f>
        <v>F___material_</v>
      </c>
      <c r="U289" s="18">
        <f t="shared" si="11"/>
        <v>0</v>
      </c>
      <c r="V289" s="8" t="s">
        <v>218</v>
      </c>
      <c r="W289" s="155">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5">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5">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c r="H290" s="28"/>
      <c r="I290" s="8"/>
      <c r="J290" s="20"/>
      <c r="K290" s="8"/>
      <c r="L290" s="14"/>
      <c r="M290" s="8"/>
      <c r="N290" s="8"/>
      <c r="O290" s="8"/>
      <c r="P290" s="8"/>
      <c r="Q290" s="8" t="s">
        <v>8</v>
      </c>
      <c r="R290" s="21"/>
      <c r="S290" s="8"/>
      <c r="T290" s="7" t="str">
        <f>Tab_Data_Flows[[#This Row],[Flow_ID]]&amp;"_"&amp;"material_"&amp;Tab_Data_Flows[[#This Row],[Flow_Data_Year]]</f>
        <v>F___material_</v>
      </c>
      <c r="U290" s="18">
        <f t="shared" si="11"/>
        <v>0</v>
      </c>
      <c r="V290" s="8" t="s">
        <v>218</v>
      </c>
      <c r="W290" s="155">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5">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5">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c r="H291" s="28"/>
      <c r="I291" s="8"/>
      <c r="J291" s="20"/>
      <c r="K291" s="8"/>
      <c r="L291" s="14"/>
      <c r="M291" s="8"/>
      <c r="N291" s="8"/>
      <c r="O291" s="8"/>
      <c r="P291" s="8"/>
      <c r="Q291" s="8" t="s">
        <v>8</v>
      </c>
      <c r="R291" s="21"/>
      <c r="S291" s="8"/>
      <c r="T291" s="7" t="str">
        <f>Tab_Data_Flows[[#This Row],[Flow_ID]]&amp;"_"&amp;"material_"&amp;Tab_Data_Flows[[#This Row],[Flow_Data_Year]]</f>
        <v>F___material_</v>
      </c>
      <c r="U291" s="18">
        <f t="shared" si="11"/>
        <v>0</v>
      </c>
      <c r="V291" s="8" t="s">
        <v>218</v>
      </c>
      <c r="W291" s="155">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5">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5">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c r="H292" s="28"/>
      <c r="I292" s="8"/>
      <c r="J292" s="20"/>
      <c r="K292" s="8"/>
      <c r="L292" s="14"/>
      <c r="M292" s="8"/>
      <c r="N292" s="8"/>
      <c r="O292" s="8"/>
      <c r="P292" s="8"/>
      <c r="Q292" s="8" t="s">
        <v>8</v>
      </c>
      <c r="R292" s="21"/>
      <c r="S292" s="8"/>
      <c r="T292" s="7" t="str">
        <f>Tab_Data_Flows[[#This Row],[Flow_ID]]&amp;"_"&amp;"material_"&amp;Tab_Data_Flows[[#This Row],[Flow_Data_Year]]</f>
        <v>F___material_</v>
      </c>
      <c r="U292" s="18">
        <f t="shared" si="11"/>
        <v>0</v>
      </c>
      <c r="V292" s="8" t="s">
        <v>218</v>
      </c>
      <c r="W292" s="155">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5">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5">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c r="H293" s="28"/>
      <c r="I293" s="8"/>
      <c r="J293" s="20"/>
      <c r="K293" s="8"/>
      <c r="L293" s="14"/>
      <c r="M293" s="8"/>
      <c r="N293" s="8"/>
      <c r="O293" s="8"/>
      <c r="P293" s="8"/>
      <c r="Q293" s="8" t="s">
        <v>8</v>
      </c>
      <c r="R293" s="21"/>
      <c r="S293" s="8"/>
      <c r="T293" s="7" t="str">
        <f>Tab_Data_Flows[[#This Row],[Flow_ID]]&amp;"_"&amp;"material_"&amp;Tab_Data_Flows[[#This Row],[Flow_Data_Year]]</f>
        <v>F___material_</v>
      </c>
      <c r="U293" s="18">
        <f t="shared" si="11"/>
        <v>0</v>
      </c>
      <c r="V293" s="8" t="s">
        <v>218</v>
      </c>
      <c r="W293" s="155">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5">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5">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c r="H294" s="28"/>
      <c r="I294" s="8"/>
      <c r="J294" s="20"/>
      <c r="K294" s="8"/>
      <c r="L294" s="14"/>
      <c r="M294" s="8"/>
      <c r="N294" s="8"/>
      <c r="O294" s="8"/>
      <c r="P294" s="8"/>
      <c r="Q294" s="8" t="s">
        <v>8</v>
      </c>
      <c r="R294" s="21"/>
      <c r="S294" s="8"/>
      <c r="T294" s="7" t="str">
        <f>Tab_Data_Flows[[#This Row],[Flow_ID]]&amp;"_"&amp;"material_"&amp;Tab_Data_Flows[[#This Row],[Flow_Data_Year]]</f>
        <v>F___material_</v>
      </c>
      <c r="U294" s="18">
        <f t="shared" si="11"/>
        <v>0</v>
      </c>
      <c r="V294" s="8" t="s">
        <v>218</v>
      </c>
      <c r="W294" s="155">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5">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5">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c r="H295" s="28"/>
      <c r="I295" s="8"/>
      <c r="J295" s="20"/>
      <c r="K295" s="8"/>
      <c r="L295" s="14"/>
      <c r="M295" s="8"/>
      <c r="N295" s="8"/>
      <c r="O295" s="8"/>
      <c r="P295" s="8"/>
      <c r="Q295" s="8" t="s">
        <v>8</v>
      </c>
      <c r="R295" s="21"/>
      <c r="S295" s="8"/>
      <c r="T295" s="7" t="str">
        <f>Tab_Data_Flows[[#This Row],[Flow_ID]]&amp;"_"&amp;"material_"&amp;Tab_Data_Flows[[#This Row],[Flow_Data_Year]]</f>
        <v>F___material_</v>
      </c>
      <c r="U295" s="18">
        <f t="shared" si="11"/>
        <v>0</v>
      </c>
      <c r="V295" s="8" t="s">
        <v>218</v>
      </c>
      <c r="W295" s="155">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5">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5">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c r="H296" s="28"/>
      <c r="I296" s="8"/>
      <c r="J296" s="20"/>
      <c r="K296" s="8"/>
      <c r="L296" s="14"/>
      <c r="M296" s="8"/>
      <c r="N296" s="8"/>
      <c r="O296" s="8"/>
      <c r="P296" s="8"/>
      <c r="Q296" s="8" t="s">
        <v>8</v>
      </c>
      <c r="R296" s="21"/>
      <c r="S296" s="8"/>
      <c r="T296" s="7" t="str">
        <f>Tab_Data_Flows[[#This Row],[Flow_ID]]&amp;"_"&amp;"material_"&amp;Tab_Data_Flows[[#This Row],[Flow_Data_Year]]</f>
        <v>F___material_</v>
      </c>
      <c r="U296" s="18">
        <f t="shared" si="11"/>
        <v>0</v>
      </c>
      <c r="V296" s="8" t="s">
        <v>218</v>
      </c>
      <c r="W296" s="155">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5">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5">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c r="H297" s="28"/>
      <c r="I297" s="8"/>
      <c r="J297" s="20"/>
      <c r="K297" s="8"/>
      <c r="L297" s="14"/>
      <c r="M297" s="8"/>
      <c r="N297" s="8"/>
      <c r="O297" s="8"/>
      <c r="P297" s="8"/>
      <c r="Q297" s="8" t="s">
        <v>8</v>
      </c>
      <c r="R297" s="21"/>
      <c r="S297" s="8"/>
      <c r="T297" s="7" t="str">
        <f>Tab_Data_Flows[[#This Row],[Flow_ID]]&amp;"_"&amp;"material_"&amp;Tab_Data_Flows[[#This Row],[Flow_Data_Year]]</f>
        <v>F___material_</v>
      </c>
      <c r="U297" s="18">
        <f t="shared" si="11"/>
        <v>0</v>
      </c>
      <c r="V297" s="8" t="s">
        <v>218</v>
      </c>
      <c r="W297" s="155">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5">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5">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c r="H298" s="28"/>
      <c r="I298" s="8"/>
      <c r="J298" s="20"/>
      <c r="K298" s="8"/>
      <c r="L298" s="14"/>
      <c r="M298" s="8"/>
      <c r="N298" s="8"/>
      <c r="O298" s="8"/>
      <c r="P298" s="8"/>
      <c r="Q298" s="8" t="s">
        <v>8</v>
      </c>
      <c r="R298" s="21"/>
      <c r="S298" s="8"/>
      <c r="T298" s="7" t="str">
        <f>Tab_Data_Flows[[#This Row],[Flow_ID]]&amp;"_"&amp;"material_"&amp;Tab_Data_Flows[[#This Row],[Flow_Data_Year]]</f>
        <v>F___material_</v>
      </c>
      <c r="U298" s="18">
        <f t="shared" si="11"/>
        <v>0</v>
      </c>
      <c r="V298" s="8" t="s">
        <v>218</v>
      </c>
      <c r="W298" s="155">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5">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5">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c r="H299" s="28"/>
      <c r="I299" s="8"/>
      <c r="J299" s="20"/>
      <c r="K299" s="8"/>
      <c r="L299" s="14"/>
      <c r="M299" s="8"/>
      <c r="N299" s="8"/>
      <c r="O299" s="8"/>
      <c r="P299" s="8"/>
      <c r="Q299" s="8" t="s">
        <v>8</v>
      </c>
      <c r="R299" s="21"/>
      <c r="S299" s="8"/>
      <c r="T299" s="7" t="str">
        <f>Tab_Data_Flows[[#This Row],[Flow_ID]]&amp;"_"&amp;"material_"&amp;Tab_Data_Flows[[#This Row],[Flow_Data_Year]]</f>
        <v>F___material_</v>
      </c>
      <c r="U299" s="18">
        <f t="shared" si="11"/>
        <v>0</v>
      </c>
      <c r="V299" s="8" t="s">
        <v>218</v>
      </c>
      <c r="W299" s="155">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5">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5">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c r="H300" s="28"/>
      <c r="I300" s="8"/>
      <c r="J300" s="20"/>
      <c r="K300" s="8"/>
      <c r="L300" s="14"/>
      <c r="M300" s="8"/>
      <c r="N300" s="8"/>
      <c r="O300" s="8"/>
      <c r="P300" s="8"/>
      <c r="Q300" s="8" t="s">
        <v>8</v>
      </c>
      <c r="R300" s="21"/>
      <c r="S300" s="8"/>
      <c r="T300" s="7" t="str">
        <f>Tab_Data_Flows[[#This Row],[Flow_ID]]&amp;"_"&amp;"material_"&amp;Tab_Data_Flows[[#This Row],[Flow_Data_Year]]</f>
        <v>F___material_</v>
      </c>
      <c r="U300" s="18">
        <f t="shared" si="11"/>
        <v>0</v>
      </c>
      <c r="V300" s="8" t="s">
        <v>218</v>
      </c>
      <c r="W300" s="155">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5">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5">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c r="H301" s="28"/>
      <c r="I301" s="8"/>
      <c r="J301" s="20"/>
      <c r="K301" s="8"/>
      <c r="L301" s="14"/>
      <c r="M301" s="8"/>
      <c r="N301" s="8"/>
      <c r="O301" s="8"/>
      <c r="P301" s="8"/>
      <c r="Q301" s="8" t="s">
        <v>8</v>
      </c>
      <c r="R301" s="21"/>
      <c r="S301" s="8"/>
      <c r="T301" s="7" t="str">
        <f>Tab_Data_Flows[[#This Row],[Flow_ID]]&amp;"_"&amp;"material_"&amp;Tab_Data_Flows[[#This Row],[Flow_Data_Year]]</f>
        <v>F___material_</v>
      </c>
      <c r="U301" s="18">
        <f t="shared" si="11"/>
        <v>0</v>
      </c>
      <c r="V301" s="8" t="s">
        <v>218</v>
      </c>
      <c r="W301" s="155">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5">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5">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c r="H302" s="28"/>
      <c r="I302" s="8"/>
      <c r="J302" s="20"/>
      <c r="K302" s="8"/>
      <c r="L302" s="14"/>
      <c r="M302" s="8"/>
      <c r="N302" s="8"/>
      <c r="O302" s="8"/>
      <c r="P302" s="8"/>
      <c r="Q302" s="8" t="s">
        <v>8</v>
      </c>
      <c r="R302" s="21"/>
      <c r="S302" s="8"/>
      <c r="T302" s="7" t="str">
        <f>Tab_Data_Flows[[#This Row],[Flow_ID]]&amp;"_"&amp;"material_"&amp;Tab_Data_Flows[[#This Row],[Flow_Data_Year]]</f>
        <v>F___material_</v>
      </c>
      <c r="U302" s="18">
        <f t="shared" si="11"/>
        <v>0</v>
      </c>
      <c r="V302" s="8" t="s">
        <v>218</v>
      </c>
      <c r="W302" s="155">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5">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5">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c r="H303" s="28"/>
      <c r="I303" s="8"/>
      <c r="J303" s="20"/>
      <c r="K303" s="8"/>
      <c r="L303" s="14"/>
      <c r="M303" s="8"/>
      <c r="N303" s="8"/>
      <c r="O303" s="8"/>
      <c r="P303" s="8"/>
      <c r="Q303" s="8" t="s">
        <v>8</v>
      </c>
      <c r="R303" s="21"/>
      <c r="S303" s="8"/>
      <c r="T303" s="7" t="str">
        <f>Tab_Data_Flows[[#This Row],[Flow_ID]]&amp;"_"&amp;"material_"&amp;Tab_Data_Flows[[#This Row],[Flow_Data_Year]]</f>
        <v>F___material_</v>
      </c>
      <c r="U303" s="18">
        <f t="shared" si="11"/>
        <v>0</v>
      </c>
      <c r="V303" s="8" t="s">
        <v>218</v>
      </c>
      <c r="W303" s="155">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5">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5">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20"/>
      <c r="K304" s="8"/>
      <c r="L304" s="14"/>
      <c r="M304" s="8"/>
      <c r="N304" s="8"/>
      <c r="O304" s="8"/>
      <c r="P304" s="8"/>
      <c r="Q304" s="8" t="s">
        <v>8</v>
      </c>
      <c r="R304" s="21"/>
      <c r="S304" s="8"/>
      <c r="T304" s="7" t="str">
        <f>Tab_Data_Flows[[#This Row],[Flow_ID]]&amp;"_"&amp;"material_"&amp;Tab_Data_Flows[[#This Row],[Flow_Data_Year]]</f>
        <v>F___material_</v>
      </c>
      <c r="U304" s="18">
        <f t="shared" si="11"/>
        <v>0</v>
      </c>
      <c r="V304" s="8" t="s">
        <v>218</v>
      </c>
      <c r="W304" s="155">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5">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5">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20"/>
      <c r="K305" s="8"/>
      <c r="L305" s="14"/>
      <c r="M305" s="8"/>
      <c r="N305" s="8"/>
      <c r="O305" s="8"/>
      <c r="P305" s="8"/>
      <c r="Q305" s="8" t="s">
        <v>8</v>
      </c>
      <c r="R305" s="21"/>
      <c r="S305" s="8"/>
      <c r="T305" s="7" t="str">
        <f>Tab_Data_Flows[[#This Row],[Flow_ID]]&amp;"_"&amp;"material_"&amp;Tab_Data_Flows[[#This Row],[Flow_Data_Year]]</f>
        <v>F___material_</v>
      </c>
      <c r="U305" s="18">
        <f t="shared" si="11"/>
        <v>0</v>
      </c>
      <c r="V305" s="8" t="s">
        <v>218</v>
      </c>
      <c r="W305" s="155">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5">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5">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20"/>
      <c r="K306" s="8"/>
      <c r="L306" s="14"/>
      <c r="M306" s="8"/>
      <c r="N306" s="8"/>
      <c r="O306" s="8"/>
      <c r="P306" s="8"/>
      <c r="Q306" s="8" t="s">
        <v>8</v>
      </c>
      <c r="R306" s="21"/>
      <c r="S306" s="8"/>
      <c r="T306" s="7" t="str">
        <f>Tab_Data_Flows[[#This Row],[Flow_ID]]&amp;"_"&amp;"material_"&amp;Tab_Data_Flows[[#This Row],[Flow_Data_Year]]</f>
        <v>F___material_</v>
      </c>
      <c r="U306" s="18">
        <f t="shared" si="11"/>
        <v>0</v>
      </c>
      <c r="V306" s="8" t="s">
        <v>218</v>
      </c>
      <c r="W306" s="155">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5">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5">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20"/>
      <c r="K307" s="8"/>
      <c r="L307" s="14"/>
      <c r="M307" s="8"/>
      <c r="N307" s="8"/>
      <c r="O307" s="8"/>
      <c r="P307" s="8"/>
      <c r="Q307" s="8" t="s">
        <v>8</v>
      </c>
      <c r="R307" s="21"/>
      <c r="S307" s="8"/>
      <c r="T307" s="7" t="str">
        <f>Tab_Data_Flows[[#This Row],[Flow_ID]]&amp;"_"&amp;"material_"&amp;Tab_Data_Flows[[#This Row],[Flow_Data_Year]]</f>
        <v>F___material_</v>
      </c>
      <c r="U307" s="18">
        <f t="shared" si="11"/>
        <v>0</v>
      </c>
      <c r="V307" s="8" t="s">
        <v>218</v>
      </c>
      <c r="W307" s="155">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5">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5">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20"/>
      <c r="K308" s="8"/>
      <c r="L308" s="14"/>
      <c r="M308" s="8"/>
      <c r="N308" s="8"/>
      <c r="O308" s="8"/>
      <c r="P308" s="8"/>
      <c r="Q308" s="8" t="s">
        <v>8</v>
      </c>
      <c r="R308" s="21"/>
      <c r="S308" s="8"/>
      <c r="T308" s="7" t="str">
        <f>Tab_Data_Flows[[#This Row],[Flow_ID]]&amp;"_"&amp;"material_"&amp;Tab_Data_Flows[[#This Row],[Flow_Data_Year]]</f>
        <v>F___material_</v>
      </c>
      <c r="U308" s="18">
        <f t="shared" si="11"/>
        <v>0</v>
      </c>
      <c r="V308" s="8" t="s">
        <v>218</v>
      </c>
      <c r="W308" s="155">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5">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5">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20"/>
      <c r="K309" s="8"/>
      <c r="L309" s="14"/>
      <c r="M309" s="8"/>
      <c r="N309" s="8"/>
      <c r="O309" s="8"/>
      <c r="P309" s="8"/>
      <c r="Q309" s="8" t="s">
        <v>8</v>
      </c>
      <c r="R309" s="21"/>
      <c r="S309" s="8"/>
      <c r="T309" s="7" t="str">
        <f>Tab_Data_Flows[[#This Row],[Flow_ID]]&amp;"_"&amp;"material_"&amp;Tab_Data_Flows[[#This Row],[Flow_Data_Year]]</f>
        <v>F___material_</v>
      </c>
      <c r="U309" s="18">
        <f t="shared" si="11"/>
        <v>0</v>
      </c>
      <c r="V309" s="8" t="s">
        <v>218</v>
      </c>
      <c r="W309" s="155">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5">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5">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20"/>
      <c r="K310" s="8"/>
      <c r="L310" s="14"/>
      <c r="M310" s="8"/>
      <c r="N310" s="8"/>
      <c r="O310" s="8"/>
      <c r="P310" s="8"/>
      <c r="Q310" s="8" t="s">
        <v>8</v>
      </c>
      <c r="R310" s="21"/>
      <c r="S310" s="8"/>
      <c r="T310" s="7" t="str">
        <f>Tab_Data_Flows[[#This Row],[Flow_ID]]&amp;"_"&amp;"material_"&amp;Tab_Data_Flows[[#This Row],[Flow_Data_Year]]</f>
        <v>F___material_</v>
      </c>
      <c r="U310" s="18">
        <f t="shared" si="11"/>
        <v>0</v>
      </c>
      <c r="V310" s="8" t="s">
        <v>218</v>
      </c>
      <c r="W310" s="155">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5">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5">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20"/>
      <c r="K311" s="8"/>
      <c r="L311" s="14"/>
      <c r="M311" s="8"/>
      <c r="N311" s="8"/>
      <c r="O311" s="8"/>
      <c r="P311" s="8"/>
      <c r="Q311" s="8" t="s">
        <v>8</v>
      </c>
      <c r="R311" s="21"/>
      <c r="S311" s="8"/>
      <c r="T311" s="7" t="str">
        <f>Tab_Data_Flows[[#This Row],[Flow_ID]]&amp;"_"&amp;"material_"&amp;Tab_Data_Flows[[#This Row],[Flow_Data_Year]]</f>
        <v>F___material_</v>
      </c>
      <c r="U311" s="18">
        <f t="shared" si="11"/>
        <v>0</v>
      </c>
      <c r="V311" s="8" t="s">
        <v>218</v>
      </c>
      <c r="W311" s="155">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5">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5">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20"/>
      <c r="K312" s="8"/>
      <c r="L312" s="14"/>
      <c r="M312" s="8"/>
      <c r="N312" s="8"/>
      <c r="O312" s="8"/>
      <c r="P312" s="8"/>
      <c r="Q312" s="8" t="s">
        <v>8</v>
      </c>
      <c r="R312" s="21"/>
      <c r="S312" s="8"/>
      <c r="T312" s="7" t="str">
        <f>Tab_Data_Flows[[#This Row],[Flow_ID]]&amp;"_"&amp;"material_"&amp;Tab_Data_Flows[[#This Row],[Flow_Data_Year]]</f>
        <v>F___material_</v>
      </c>
      <c r="U312" s="18">
        <f t="shared" si="11"/>
        <v>0</v>
      </c>
      <c r="V312" s="8" t="s">
        <v>218</v>
      </c>
      <c r="W312" s="155">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5">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5">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20"/>
      <c r="K313" s="8"/>
      <c r="L313" s="14"/>
      <c r="M313" s="8"/>
      <c r="N313" s="8"/>
      <c r="O313" s="8"/>
      <c r="P313" s="8"/>
      <c r="Q313" s="8" t="s">
        <v>8</v>
      </c>
      <c r="R313" s="21"/>
      <c r="S313" s="8"/>
      <c r="T313" s="7" t="str">
        <f>Tab_Data_Flows[[#This Row],[Flow_ID]]&amp;"_"&amp;"material_"&amp;Tab_Data_Flows[[#This Row],[Flow_Data_Year]]</f>
        <v>F___material_</v>
      </c>
      <c r="U313" s="18">
        <f t="shared" si="11"/>
        <v>0</v>
      </c>
      <c r="V313" s="8" t="s">
        <v>218</v>
      </c>
      <c r="W313" s="155">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5">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5">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20"/>
      <c r="K314" s="8"/>
      <c r="L314" s="14"/>
      <c r="M314" s="8"/>
      <c r="N314" s="8"/>
      <c r="O314" s="8"/>
      <c r="P314" s="8"/>
      <c r="Q314" s="8" t="s">
        <v>8</v>
      </c>
      <c r="R314" s="21"/>
      <c r="S314" s="8"/>
      <c r="T314" s="7" t="str">
        <f>Tab_Data_Flows[[#This Row],[Flow_ID]]&amp;"_"&amp;"material_"&amp;Tab_Data_Flows[[#This Row],[Flow_Data_Year]]</f>
        <v>F___material_</v>
      </c>
      <c r="U314" s="18">
        <f t="shared" si="11"/>
        <v>0</v>
      </c>
      <c r="V314" s="8" t="s">
        <v>218</v>
      </c>
      <c r="W314" s="155">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5">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5">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20"/>
      <c r="K315" s="8"/>
      <c r="L315" s="14"/>
      <c r="M315" s="8"/>
      <c r="N315" s="8"/>
      <c r="O315" s="8"/>
      <c r="P315" s="8"/>
      <c r="Q315" s="8" t="s">
        <v>8</v>
      </c>
      <c r="R315" s="21"/>
      <c r="S315" s="8"/>
      <c r="T315" s="7" t="str">
        <f>Tab_Data_Flows[[#This Row],[Flow_ID]]&amp;"_"&amp;"material_"&amp;Tab_Data_Flows[[#This Row],[Flow_Data_Year]]</f>
        <v>F___material_</v>
      </c>
      <c r="U315" s="18">
        <f t="shared" si="11"/>
        <v>0</v>
      </c>
      <c r="V315" s="8" t="s">
        <v>218</v>
      </c>
      <c r="W315" s="155">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5">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5">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20"/>
      <c r="K316" s="8"/>
      <c r="L316" s="14"/>
      <c r="M316" s="8"/>
      <c r="N316" s="8"/>
      <c r="O316" s="8"/>
      <c r="P316" s="8"/>
      <c r="Q316" s="8" t="s">
        <v>8</v>
      </c>
      <c r="R316" s="21"/>
      <c r="S316" s="8"/>
      <c r="T316" s="7" t="str">
        <f>Tab_Data_Flows[[#This Row],[Flow_ID]]&amp;"_"&amp;"material_"&amp;Tab_Data_Flows[[#This Row],[Flow_Data_Year]]</f>
        <v>F___material_</v>
      </c>
      <c r="U316" s="18">
        <f t="shared" si="11"/>
        <v>0</v>
      </c>
      <c r="V316" s="8" t="s">
        <v>218</v>
      </c>
      <c r="W316" s="155">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5">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5">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20"/>
      <c r="K317" s="8"/>
      <c r="L317" s="14"/>
      <c r="M317" s="8"/>
      <c r="N317" s="8"/>
      <c r="O317" s="8"/>
      <c r="P317" s="8"/>
      <c r="Q317" s="8" t="s">
        <v>8</v>
      </c>
      <c r="R317" s="21"/>
      <c r="S317" s="8"/>
      <c r="T317" s="7" t="str">
        <f>Tab_Data_Flows[[#This Row],[Flow_ID]]&amp;"_"&amp;"material_"&amp;Tab_Data_Flows[[#This Row],[Flow_Data_Year]]</f>
        <v>F___material_</v>
      </c>
      <c r="U317" s="18">
        <f t="shared" si="11"/>
        <v>0</v>
      </c>
      <c r="V317" s="8" t="s">
        <v>218</v>
      </c>
      <c r="W317" s="155">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5">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5">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20"/>
      <c r="K318" s="8"/>
      <c r="L318" s="14"/>
      <c r="M318" s="8"/>
      <c r="N318" s="8"/>
      <c r="O318" s="8"/>
      <c r="P318" s="8"/>
      <c r="Q318" s="8" t="s">
        <v>8</v>
      </c>
      <c r="R318" s="21"/>
      <c r="S318" s="8"/>
      <c r="T318" s="7" t="str">
        <f>Tab_Data_Flows[[#This Row],[Flow_ID]]&amp;"_"&amp;"material_"&amp;Tab_Data_Flows[[#This Row],[Flow_Data_Year]]</f>
        <v>F___material_</v>
      </c>
      <c r="U318" s="18">
        <f t="shared" si="11"/>
        <v>0</v>
      </c>
      <c r="V318" s="8" t="s">
        <v>218</v>
      </c>
      <c r="W318" s="155">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5">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5">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20"/>
      <c r="K319" s="8"/>
      <c r="L319" s="14"/>
      <c r="M319" s="8"/>
      <c r="N319" s="8"/>
      <c r="O319" s="8"/>
      <c r="P319" s="8"/>
      <c r="Q319" s="8" t="s">
        <v>8</v>
      </c>
      <c r="R319" s="21"/>
      <c r="S319" s="8"/>
      <c r="T319" s="7" t="str">
        <f>Tab_Data_Flows[[#This Row],[Flow_ID]]&amp;"_"&amp;"material_"&amp;Tab_Data_Flows[[#This Row],[Flow_Data_Year]]</f>
        <v>F___material_</v>
      </c>
      <c r="U319" s="18">
        <f t="shared" si="11"/>
        <v>0</v>
      </c>
      <c r="V319" s="8" t="s">
        <v>218</v>
      </c>
      <c r="W319" s="155">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5">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5">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20"/>
      <c r="K320" s="8"/>
      <c r="L320" s="14"/>
      <c r="M320" s="8"/>
      <c r="N320" s="8"/>
      <c r="O320" s="8"/>
      <c r="P320" s="8"/>
      <c r="Q320" s="8" t="s">
        <v>8</v>
      </c>
      <c r="R320" s="21"/>
      <c r="S320" s="8"/>
      <c r="T320" s="7" t="str">
        <f>Tab_Data_Flows[[#This Row],[Flow_ID]]&amp;"_"&amp;"material_"&amp;Tab_Data_Flows[[#This Row],[Flow_Data_Year]]</f>
        <v>F___material_</v>
      </c>
      <c r="U320" s="18">
        <f t="shared" si="11"/>
        <v>0</v>
      </c>
      <c r="V320" s="8" t="s">
        <v>218</v>
      </c>
      <c r="W320" s="155">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5">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5">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20"/>
      <c r="K321" s="8"/>
      <c r="L321" s="14"/>
      <c r="M321" s="8"/>
      <c r="N321" s="8"/>
      <c r="O321" s="8"/>
      <c r="P321" s="8"/>
      <c r="Q321" s="8" t="s">
        <v>8</v>
      </c>
      <c r="R321" s="21"/>
      <c r="S321" s="8"/>
      <c r="T321" s="7" t="str">
        <f>Tab_Data_Flows[[#This Row],[Flow_ID]]&amp;"_"&amp;"material_"&amp;Tab_Data_Flows[[#This Row],[Flow_Data_Year]]</f>
        <v>F___material_</v>
      </c>
      <c r="U321" s="18">
        <f t="shared" si="11"/>
        <v>0</v>
      </c>
      <c r="V321" s="8" t="s">
        <v>218</v>
      </c>
      <c r="W321" s="155">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5">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5">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20"/>
      <c r="K322" s="8"/>
      <c r="L322" s="14"/>
      <c r="M322" s="8"/>
      <c r="N322" s="8"/>
      <c r="O322" s="8"/>
      <c r="P322" s="8"/>
      <c r="Q322" s="8" t="s">
        <v>8</v>
      </c>
      <c r="R322" s="21"/>
      <c r="S322" s="8"/>
      <c r="T322" s="7" t="str">
        <f>Tab_Data_Flows[[#This Row],[Flow_ID]]&amp;"_"&amp;"material_"&amp;Tab_Data_Flows[[#This Row],[Flow_Data_Year]]</f>
        <v>F___material_</v>
      </c>
      <c r="U322" s="18">
        <f t="shared" si="11"/>
        <v>0</v>
      </c>
      <c r="V322" s="8" t="s">
        <v>218</v>
      </c>
      <c r="W322" s="155">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5">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5">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20"/>
      <c r="K323" s="8"/>
      <c r="L323" s="14"/>
      <c r="M323" s="8"/>
      <c r="N323" s="8"/>
      <c r="O323" s="8"/>
      <c r="P323" s="8"/>
      <c r="Q323" s="8" t="s">
        <v>8</v>
      </c>
      <c r="R323" s="21"/>
      <c r="S323" s="8"/>
      <c r="T323" s="7" t="str">
        <f>Tab_Data_Flows[[#This Row],[Flow_ID]]&amp;"_"&amp;"material_"&amp;Tab_Data_Flows[[#This Row],[Flow_Data_Year]]</f>
        <v>F___material_</v>
      </c>
      <c r="U323" s="18">
        <f t="shared" ref="U323:U350" si="13">IF(Q323="no",H323,H323*R323)</f>
        <v>0</v>
      </c>
      <c r="V323" s="8" t="s">
        <v>218</v>
      </c>
      <c r="W323" s="155">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5">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5">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20"/>
      <c r="K324" s="8"/>
      <c r="L324" s="14"/>
      <c r="M324" s="8"/>
      <c r="N324" s="8"/>
      <c r="O324" s="8"/>
      <c r="P324" s="8"/>
      <c r="Q324" s="8" t="s">
        <v>8</v>
      </c>
      <c r="R324" s="21"/>
      <c r="S324" s="8"/>
      <c r="T324" s="7" t="str">
        <f>Tab_Data_Flows[[#This Row],[Flow_ID]]&amp;"_"&amp;"material_"&amp;Tab_Data_Flows[[#This Row],[Flow_Data_Year]]</f>
        <v>F___material_</v>
      </c>
      <c r="U324" s="18">
        <f t="shared" si="13"/>
        <v>0</v>
      </c>
      <c r="V324" s="8" t="s">
        <v>218</v>
      </c>
      <c r="W324" s="155">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5">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5">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20"/>
      <c r="K325" s="8"/>
      <c r="L325" s="14"/>
      <c r="M325" s="8"/>
      <c r="N325" s="8"/>
      <c r="O325" s="8"/>
      <c r="P325" s="8"/>
      <c r="Q325" s="8" t="s">
        <v>8</v>
      </c>
      <c r="R325" s="21"/>
      <c r="S325" s="8"/>
      <c r="T325" s="7" t="str">
        <f>Tab_Data_Flows[[#This Row],[Flow_ID]]&amp;"_"&amp;"material_"&amp;Tab_Data_Flows[[#This Row],[Flow_Data_Year]]</f>
        <v>F___material_</v>
      </c>
      <c r="U325" s="18">
        <f t="shared" si="13"/>
        <v>0</v>
      </c>
      <c r="V325" s="8" t="s">
        <v>218</v>
      </c>
      <c r="W325" s="155">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5">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5">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20"/>
      <c r="K326" s="8"/>
      <c r="L326" s="14"/>
      <c r="M326" s="8"/>
      <c r="N326" s="8"/>
      <c r="O326" s="8"/>
      <c r="P326" s="8"/>
      <c r="Q326" s="8" t="s">
        <v>8</v>
      </c>
      <c r="R326" s="21"/>
      <c r="S326" s="8"/>
      <c r="T326" s="7" t="str">
        <f>Tab_Data_Flows[[#This Row],[Flow_ID]]&amp;"_"&amp;"material_"&amp;Tab_Data_Flows[[#This Row],[Flow_Data_Year]]</f>
        <v>F___material_</v>
      </c>
      <c r="U326" s="18">
        <f t="shared" si="13"/>
        <v>0</v>
      </c>
      <c r="V326" s="8" t="s">
        <v>218</v>
      </c>
      <c r="W326" s="155">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5">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5">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20"/>
      <c r="K327" s="8"/>
      <c r="L327" s="14"/>
      <c r="M327" s="8"/>
      <c r="N327" s="8"/>
      <c r="O327" s="8"/>
      <c r="P327" s="8"/>
      <c r="Q327" s="8" t="s">
        <v>8</v>
      </c>
      <c r="R327" s="21"/>
      <c r="S327" s="8"/>
      <c r="T327" s="7" t="str">
        <f>Tab_Data_Flows[[#This Row],[Flow_ID]]&amp;"_"&amp;"material_"&amp;Tab_Data_Flows[[#This Row],[Flow_Data_Year]]</f>
        <v>F___material_</v>
      </c>
      <c r="U327" s="18">
        <f t="shared" si="13"/>
        <v>0</v>
      </c>
      <c r="V327" s="8" t="s">
        <v>218</v>
      </c>
      <c r="W327" s="155">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5">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5">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20"/>
      <c r="K328" s="8"/>
      <c r="L328" s="14"/>
      <c r="M328" s="8"/>
      <c r="N328" s="8"/>
      <c r="O328" s="8"/>
      <c r="P328" s="8"/>
      <c r="Q328" s="8" t="s">
        <v>8</v>
      </c>
      <c r="R328" s="21"/>
      <c r="S328" s="8"/>
      <c r="T328" s="7" t="str">
        <f>Tab_Data_Flows[[#This Row],[Flow_ID]]&amp;"_"&amp;"material_"&amp;Tab_Data_Flows[[#This Row],[Flow_Data_Year]]</f>
        <v>F___material_</v>
      </c>
      <c r="U328" s="18">
        <f t="shared" si="13"/>
        <v>0</v>
      </c>
      <c r="V328" s="8" t="s">
        <v>218</v>
      </c>
      <c r="W328" s="155">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5">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5">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20"/>
      <c r="K329" s="8"/>
      <c r="L329" s="14"/>
      <c r="M329" s="8"/>
      <c r="N329" s="8"/>
      <c r="O329" s="8"/>
      <c r="P329" s="8"/>
      <c r="Q329" s="8" t="s">
        <v>8</v>
      </c>
      <c r="R329" s="21"/>
      <c r="S329" s="8"/>
      <c r="T329" s="7" t="str">
        <f>Tab_Data_Flows[[#This Row],[Flow_ID]]&amp;"_"&amp;"material_"&amp;Tab_Data_Flows[[#This Row],[Flow_Data_Year]]</f>
        <v>F___material_</v>
      </c>
      <c r="U329" s="18">
        <f t="shared" si="13"/>
        <v>0</v>
      </c>
      <c r="V329" s="8" t="s">
        <v>218</v>
      </c>
      <c r="W329" s="155">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5">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5">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20"/>
      <c r="K330" s="8"/>
      <c r="L330" s="14"/>
      <c r="M330" s="8"/>
      <c r="N330" s="8"/>
      <c r="O330" s="8"/>
      <c r="P330" s="8"/>
      <c r="Q330" s="8" t="s">
        <v>8</v>
      </c>
      <c r="R330" s="21"/>
      <c r="S330" s="8"/>
      <c r="T330" s="7" t="str">
        <f>Tab_Data_Flows[[#This Row],[Flow_ID]]&amp;"_"&amp;"material_"&amp;Tab_Data_Flows[[#This Row],[Flow_Data_Year]]</f>
        <v>F___material_</v>
      </c>
      <c r="U330" s="18">
        <f t="shared" si="13"/>
        <v>0</v>
      </c>
      <c r="V330" s="8" t="s">
        <v>218</v>
      </c>
      <c r="W330" s="155">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5">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5">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20"/>
      <c r="K331" s="8"/>
      <c r="L331" s="14"/>
      <c r="M331" s="8"/>
      <c r="N331" s="8"/>
      <c r="O331" s="8"/>
      <c r="P331" s="8"/>
      <c r="Q331" s="8" t="s">
        <v>8</v>
      </c>
      <c r="R331" s="21"/>
      <c r="S331" s="8"/>
      <c r="T331" s="7" t="str">
        <f>Tab_Data_Flows[[#This Row],[Flow_ID]]&amp;"_"&amp;"material_"&amp;Tab_Data_Flows[[#This Row],[Flow_Data_Year]]</f>
        <v>F___material_</v>
      </c>
      <c r="U331" s="18">
        <f t="shared" si="13"/>
        <v>0</v>
      </c>
      <c r="V331" s="8" t="s">
        <v>218</v>
      </c>
      <c r="W331" s="155">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5">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5">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20"/>
      <c r="K332" s="8"/>
      <c r="L332" s="14"/>
      <c r="M332" s="8"/>
      <c r="N332" s="8"/>
      <c r="O332" s="8"/>
      <c r="P332" s="8"/>
      <c r="Q332" s="8" t="s">
        <v>8</v>
      </c>
      <c r="R332" s="21"/>
      <c r="S332" s="8"/>
      <c r="T332" s="7" t="str">
        <f>Tab_Data_Flows[[#This Row],[Flow_ID]]&amp;"_"&amp;"material_"&amp;Tab_Data_Flows[[#This Row],[Flow_Data_Year]]</f>
        <v>F___material_</v>
      </c>
      <c r="U332" s="18">
        <f t="shared" si="13"/>
        <v>0</v>
      </c>
      <c r="V332" s="8" t="s">
        <v>218</v>
      </c>
      <c r="W332" s="155">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5">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5">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20"/>
      <c r="K333" s="8"/>
      <c r="L333" s="14"/>
      <c r="M333" s="8"/>
      <c r="N333" s="8"/>
      <c r="O333" s="8"/>
      <c r="P333" s="8"/>
      <c r="Q333" s="8" t="s">
        <v>8</v>
      </c>
      <c r="R333" s="21"/>
      <c r="S333" s="8"/>
      <c r="T333" s="7" t="str">
        <f>Tab_Data_Flows[[#This Row],[Flow_ID]]&amp;"_"&amp;"material_"&amp;Tab_Data_Flows[[#This Row],[Flow_Data_Year]]</f>
        <v>F___material_</v>
      </c>
      <c r="U333" s="18">
        <f t="shared" si="13"/>
        <v>0</v>
      </c>
      <c r="V333" s="8" t="s">
        <v>218</v>
      </c>
      <c r="W333" s="155">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5">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5">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20"/>
      <c r="K334" s="8"/>
      <c r="L334" s="8"/>
      <c r="M334" s="8"/>
      <c r="N334" s="8"/>
      <c r="O334" s="8"/>
      <c r="P334" s="8"/>
      <c r="Q334" s="8" t="s">
        <v>8</v>
      </c>
      <c r="R334" s="8"/>
      <c r="S334" s="8"/>
      <c r="T334" s="7" t="str">
        <f>Tab_Data_Flows[[#This Row],[Flow_ID]]&amp;"_"&amp;"material_"&amp;Tab_Data_Flows[[#This Row],[Flow_Data_Year]]</f>
        <v>F___material_</v>
      </c>
      <c r="U334" s="18">
        <f t="shared" si="13"/>
        <v>0</v>
      </c>
      <c r="V334" s="8" t="s">
        <v>218</v>
      </c>
      <c r="W334" s="155">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5">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5">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20"/>
      <c r="K335" s="8"/>
      <c r="L335" s="8"/>
      <c r="M335" s="8"/>
      <c r="N335" s="8"/>
      <c r="O335" s="8"/>
      <c r="P335" s="8"/>
      <c r="Q335" s="8" t="s">
        <v>8</v>
      </c>
      <c r="R335" s="8"/>
      <c r="S335" s="8"/>
      <c r="T335" s="7" t="str">
        <f>Tab_Data_Flows[[#This Row],[Flow_ID]]&amp;"_"&amp;"material_"&amp;Tab_Data_Flows[[#This Row],[Flow_Data_Year]]</f>
        <v>F___material_</v>
      </c>
      <c r="U335" s="18">
        <f t="shared" si="13"/>
        <v>0</v>
      </c>
      <c r="V335" s="8" t="s">
        <v>218</v>
      </c>
      <c r="W335" s="155">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5">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5">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20"/>
      <c r="K336" s="8"/>
      <c r="L336" s="8"/>
      <c r="M336" s="8"/>
      <c r="N336" s="8"/>
      <c r="O336" s="8"/>
      <c r="P336" s="8"/>
      <c r="Q336" s="8" t="s">
        <v>8</v>
      </c>
      <c r="R336" s="8"/>
      <c r="S336" s="8"/>
      <c r="T336" s="7" t="str">
        <f>Tab_Data_Flows[[#This Row],[Flow_ID]]&amp;"_"&amp;"material_"&amp;Tab_Data_Flows[[#This Row],[Flow_Data_Year]]</f>
        <v>F___material_</v>
      </c>
      <c r="U336" s="18">
        <f t="shared" si="13"/>
        <v>0</v>
      </c>
      <c r="V336" s="8" t="s">
        <v>218</v>
      </c>
      <c r="W336" s="155">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5">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5">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20"/>
      <c r="K337" s="8"/>
      <c r="L337" s="8"/>
      <c r="M337" s="8"/>
      <c r="N337" s="8"/>
      <c r="O337" s="8"/>
      <c r="P337" s="8"/>
      <c r="Q337" s="8" t="s">
        <v>8</v>
      </c>
      <c r="R337" s="8"/>
      <c r="S337" s="8"/>
      <c r="T337" s="7" t="str">
        <f>Tab_Data_Flows[[#This Row],[Flow_ID]]&amp;"_"&amp;"material_"&amp;Tab_Data_Flows[[#This Row],[Flow_Data_Year]]</f>
        <v>F___material_</v>
      </c>
      <c r="U337" s="18">
        <f t="shared" si="13"/>
        <v>0</v>
      </c>
      <c r="V337" s="8" t="s">
        <v>218</v>
      </c>
      <c r="W337" s="155">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5">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5">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20"/>
      <c r="K338" s="8"/>
      <c r="L338" s="8"/>
      <c r="M338" s="8"/>
      <c r="N338" s="8"/>
      <c r="O338" s="8"/>
      <c r="P338" s="8"/>
      <c r="Q338" s="8" t="s">
        <v>8</v>
      </c>
      <c r="R338" s="8"/>
      <c r="S338" s="8"/>
      <c r="T338" s="7" t="str">
        <f>Tab_Data_Flows[[#This Row],[Flow_ID]]&amp;"_"&amp;"material_"&amp;Tab_Data_Flows[[#This Row],[Flow_Data_Year]]</f>
        <v>F___material_</v>
      </c>
      <c r="U338" s="18">
        <f t="shared" si="13"/>
        <v>0</v>
      </c>
      <c r="V338" s="8" t="s">
        <v>218</v>
      </c>
      <c r="W338" s="155">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5">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5">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20"/>
      <c r="K339" s="8"/>
      <c r="L339" s="8"/>
      <c r="M339" s="8"/>
      <c r="N339" s="8"/>
      <c r="O339" s="8"/>
      <c r="P339" s="8"/>
      <c r="Q339" s="8" t="s">
        <v>8</v>
      </c>
      <c r="R339" s="8"/>
      <c r="S339" s="8"/>
      <c r="T339" s="7" t="str">
        <f>Tab_Data_Flows[[#This Row],[Flow_ID]]&amp;"_"&amp;"material_"&amp;Tab_Data_Flows[[#This Row],[Flow_Data_Year]]</f>
        <v>F___material_</v>
      </c>
      <c r="U339" s="18">
        <f t="shared" si="13"/>
        <v>0</v>
      </c>
      <c r="V339" s="8" t="s">
        <v>218</v>
      </c>
      <c r="W339" s="155">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5">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5">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20"/>
      <c r="K340" s="8"/>
      <c r="L340" s="8"/>
      <c r="M340" s="8"/>
      <c r="N340" s="8"/>
      <c r="O340" s="8"/>
      <c r="P340" s="8"/>
      <c r="Q340" s="8" t="s">
        <v>8</v>
      </c>
      <c r="R340" s="8"/>
      <c r="S340" s="8"/>
      <c r="T340" s="7" t="str">
        <f>Tab_Data_Flows[[#This Row],[Flow_ID]]&amp;"_"&amp;"material_"&amp;Tab_Data_Flows[[#This Row],[Flow_Data_Year]]</f>
        <v>F___material_</v>
      </c>
      <c r="U340" s="18">
        <f t="shared" si="13"/>
        <v>0</v>
      </c>
      <c r="V340" s="8" t="s">
        <v>218</v>
      </c>
      <c r="W340" s="155">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5">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5">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20"/>
      <c r="K341" s="8"/>
      <c r="L341" s="8"/>
      <c r="M341" s="8"/>
      <c r="N341" s="8"/>
      <c r="O341" s="8"/>
      <c r="P341" s="8"/>
      <c r="Q341" s="8" t="s">
        <v>8</v>
      </c>
      <c r="R341" s="8"/>
      <c r="S341" s="8"/>
      <c r="T341" s="7" t="str">
        <f>Tab_Data_Flows[[#This Row],[Flow_ID]]&amp;"_"&amp;"material_"&amp;Tab_Data_Flows[[#This Row],[Flow_Data_Year]]</f>
        <v>F___material_</v>
      </c>
      <c r="U341" s="18">
        <f t="shared" si="13"/>
        <v>0</v>
      </c>
      <c r="V341" s="8" t="s">
        <v>218</v>
      </c>
      <c r="W341" s="155">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5">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5">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20"/>
      <c r="K342" s="8"/>
      <c r="L342" s="8"/>
      <c r="M342" s="8"/>
      <c r="N342" s="8"/>
      <c r="O342" s="8"/>
      <c r="P342" s="8"/>
      <c r="Q342" s="8" t="s">
        <v>8</v>
      </c>
      <c r="R342" s="8"/>
      <c r="S342" s="8"/>
      <c r="T342" s="7" t="str">
        <f>Tab_Data_Flows[[#This Row],[Flow_ID]]&amp;"_"&amp;"material_"&amp;Tab_Data_Flows[[#This Row],[Flow_Data_Year]]</f>
        <v>F___material_</v>
      </c>
      <c r="U342" s="18">
        <f t="shared" si="13"/>
        <v>0</v>
      </c>
      <c r="V342" s="8" t="s">
        <v>218</v>
      </c>
      <c r="W342" s="155">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5">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5">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20"/>
      <c r="K343" s="8"/>
      <c r="L343" s="8"/>
      <c r="M343" s="8"/>
      <c r="N343" s="8"/>
      <c r="O343" s="8"/>
      <c r="P343" s="8"/>
      <c r="Q343" s="8" t="s">
        <v>8</v>
      </c>
      <c r="R343" s="8"/>
      <c r="S343" s="8"/>
      <c r="T343" s="7" t="str">
        <f>Tab_Data_Flows[[#This Row],[Flow_ID]]&amp;"_"&amp;"material_"&amp;Tab_Data_Flows[[#This Row],[Flow_Data_Year]]</f>
        <v>F___material_</v>
      </c>
      <c r="U343" s="18">
        <f t="shared" si="13"/>
        <v>0</v>
      </c>
      <c r="V343" s="8" t="s">
        <v>218</v>
      </c>
      <c r="W343" s="155">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5">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5">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20"/>
      <c r="K344" s="8"/>
      <c r="L344" s="8"/>
      <c r="M344" s="8"/>
      <c r="N344" s="8"/>
      <c r="O344" s="8"/>
      <c r="P344" s="8"/>
      <c r="Q344" s="8" t="s">
        <v>8</v>
      </c>
      <c r="R344" s="8"/>
      <c r="S344" s="8"/>
      <c r="T344" s="7" t="str">
        <f>Tab_Data_Flows[[#This Row],[Flow_ID]]&amp;"_"&amp;"material_"&amp;Tab_Data_Flows[[#This Row],[Flow_Data_Year]]</f>
        <v>F___material_</v>
      </c>
      <c r="U344" s="18">
        <f t="shared" si="13"/>
        <v>0</v>
      </c>
      <c r="V344" s="8" t="s">
        <v>218</v>
      </c>
      <c r="W344" s="155">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5">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5">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20"/>
      <c r="K345" s="8"/>
      <c r="L345" s="8"/>
      <c r="M345" s="8"/>
      <c r="N345" s="8"/>
      <c r="O345" s="8"/>
      <c r="P345" s="8"/>
      <c r="Q345" s="8" t="s">
        <v>8</v>
      </c>
      <c r="R345" s="8"/>
      <c r="S345" s="8"/>
      <c r="T345" s="7" t="str">
        <f>Tab_Data_Flows[[#This Row],[Flow_ID]]&amp;"_"&amp;"material_"&amp;Tab_Data_Flows[[#This Row],[Flow_Data_Year]]</f>
        <v>F___material_</v>
      </c>
      <c r="U345" s="18">
        <f t="shared" si="13"/>
        <v>0</v>
      </c>
      <c r="V345" s="8" t="s">
        <v>218</v>
      </c>
      <c r="W345" s="155">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5">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5">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20"/>
      <c r="K346" s="8"/>
      <c r="L346" s="8"/>
      <c r="M346" s="8"/>
      <c r="N346" s="8"/>
      <c r="O346" s="8"/>
      <c r="P346" s="8"/>
      <c r="Q346" s="8" t="s">
        <v>8</v>
      </c>
      <c r="R346" s="8"/>
      <c r="S346" s="8"/>
      <c r="T346" s="7" t="str">
        <f>Tab_Data_Flows[[#This Row],[Flow_ID]]&amp;"_"&amp;"material_"&amp;Tab_Data_Flows[[#This Row],[Flow_Data_Year]]</f>
        <v>F___material_</v>
      </c>
      <c r="U346" s="18">
        <f t="shared" si="13"/>
        <v>0</v>
      </c>
      <c r="V346" s="8" t="s">
        <v>218</v>
      </c>
      <c r="W346" s="155">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5">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5">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20"/>
      <c r="K347" s="8"/>
      <c r="L347" s="8"/>
      <c r="M347" s="8"/>
      <c r="N347" s="8"/>
      <c r="O347" s="8"/>
      <c r="P347" s="8"/>
      <c r="Q347" s="8" t="s">
        <v>8</v>
      </c>
      <c r="R347" s="8"/>
      <c r="S347" s="8"/>
      <c r="T347" s="7" t="str">
        <f>Tab_Data_Flows[[#This Row],[Flow_ID]]&amp;"_"&amp;"material_"&amp;Tab_Data_Flows[[#This Row],[Flow_Data_Year]]</f>
        <v>F___material_</v>
      </c>
      <c r="U347" s="18">
        <f t="shared" si="13"/>
        <v>0</v>
      </c>
      <c r="V347" s="8" t="s">
        <v>218</v>
      </c>
      <c r="W347" s="155">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5">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5">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20"/>
      <c r="K348" s="8"/>
      <c r="L348" s="8"/>
      <c r="M348" s="8"/>
      <c r="N348" s="8"/>
      <c r="O348" s="8"/>
      <c r="P348" s="8"/>
      <c r="Q348" s="8" t="s">
        <v>8</v>
      </c>
      <c r="R348" s="8"/>
      <c r="S348" s="8"/>
      <c r="T348" s="7" t="str">
        <f>Tab_Data_Flows[[#This Row],[Flow_ID]]&amp;"_"&amp;"material_"&amp;Tab_Data_Flows[[#This Row],[Flow_Data_Year]]</f>
        <v>F___material_</v>
      </c>
      <c r="U348" s="18">
        <f t="shared" si="13"/>
        <v>0</v>
      </c>
      <c r="V348" s="8" t="s">
        <v>218</v>
      </c>
      <c r="W348" s="155">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5">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5">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20"/>
      <c r="K349" s="8"/>
      <c r="L349" s="8"/>
      <c r="M349" s="8"/>
      <c r="N349" s="8"/>
      <c r="O349" s="8"/>
      <c r="P349" s="8"/>
      <c r="Q349" s="8" t="s">
        <v>8</v>
      </c>
      <c r="R349" s="8"/>
      <c r="S349" s="8"/>
      <c r="T349" s="7" t="str">
        <f>Tab_Data_Flows[[#This Row],[Flow_ID]]&amp;"_"&amp;"material_"&amp;Tab_Data_Flows[[#This Row],[Flow_Data_Year]]</f>
        <v>F___material_</v>
      </c>
      <c r="U349" s="18">
        <f t="shared" si="13"/>
        <v>0</v>
      </c>
      <c r="V349" s="8" t="s">
        <v>218</v>
      </c>
      <c r="W349" s="155">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5">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5">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20"/>
      <c r="K350" s="8"/>
      <c r="L350" s="8"/>
      <c r="M350" s="8"/>
      <c r="N350" s="8"/>
      <c r="O350" s="8"/>
      <c r="P350" s="8"/>
      <c r="Q350" s="8" t="s">
        <v>8</v>
      </c>
      <c r="R350" s="8"/>
      <c r="S350" s="8"/>
      <c r="T350" s="7" t="str">
        <f>Tab_Data_Flows[[#This Row],[Flow_ID]]&amp;"_"&amp;"material_"&amp;Tab_Data_Flows[[#This Row],[Flow_Data_Year]]</f>
        <v>F___material_</v>
      </c>
      <c r="U350" s="18">
        <f t="shared" si="13"/>
        <v>0</v>
      </c>
      <c r="V350" s="8" t="s">
        <v>218</v>
      </c>
      <c r="W350" s="155">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5">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5">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L25" sqref="L2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58" t="s">
        <v>54</v>
      </c>
      <c r="B1" s="158" t="s">
        <v>28</v>
      </c>
      <c r="C1" s="158" t="s">
        <v>49</v>
      </c>
      <c r="D1" s="158" t="s">
        <v>712</v>
      </c>
      <c r="E1" s="158" t="s">
        <v>33</v>
      </c>
      <c r="F1" s="158" t="s">
        <v>50</v>
      </c>
      <c r="G1" s="158" t="s">
        <v>51</v>
      </c>
      <c r="H1" s="158" t="s">
        <v>6</v>
      </c>
      <c r="I1" s="158" t="s">
        <v>77</v>
      </c>
      <c r="J1" s="158" t="s">
        <v>670</v>
      </c>
      <c r="K1" s="158" t="s">
        <v>52</v>
      </c>
      <c r="L1" s="158" t="s">
        <v>717</v>
      </c>
      <c r="M1" s="158" t="s">
        <v>57</v>
      </c>
      <c r="N1" s="158" t="s">
        <v>224</v>
      </c>
      <c r="O1" s="158" t="s">
        <v>229</v>
      </c>
      <c r="P1" s="158" t="s">
        <v>230</v>
      </c>
      <c r="Q1" s="158" t="s">
        <v>256</v>
      </c>
    </row>
    <row r="2" spans="1:17" x14ac:dyDescent="0.25">
      <c r="A2" s="159" t="b">
        <v>1</v>
      </c>
      <c r="B2" s="23" t="s">
        <v>99</v>
      </c>
      <c r="C2" s="7" t="str">
        <f>LEFT(B2,2)</f>
        <v>00</v>
      </c>
      <c r="D2" s="8" t="s">
        <v>723</v>
      </c>
      <c r="E2" s="8"/>
      <c r="F2" s="8"/>
      <c r="G2" s="8"/>
      <c r="H2" s="20"/>
      <c r="I2" s="154" t="s">
        <v>78</v>
      </c>
      <c r="J2" s="154" t="s">
        <v>672</v>
      </c>
      <c r="K2" s="154" t="s">
        <v>7</v>
      </c>
      <c r="L2" s="154" t="s">
        <v>719</v>
      </c>
      <c r="M2" s="154" t="s">
        <v>8</v>
      </c>
      <c r="N2" s="154" t="s">
        <v>8</v>
      </c>
      <c r="O2" s="154" t="s">
        <v>8</v>
      </c>
      <c r="P2" s="154" t="s">
        <v>8</v>
      </c>
      <c r="Q2" s="8">
        <v>1</v>
      </c>
    </row>
    <row r="3" spans="1:17" x14ac:dyDescent="0.25">
      <c r="A3" s="159" t="b">
        <v>1</v>
      </c>
      <c r="B3" s="23" t="s">
        <v>88</v>
      </c>
      <c r="C3" s="7" t="str">
        <f t="shared" ref="C3:C47" si="0">LEFT(B3,2)</f>
        <v>01</v>
      </c>
      <c r="D3" s="8" t="s">
        <v>724</v>
      </c>
      <c r="E3" s="8"/>
      <c r="F3" s="8"/>
      <c r="G3" s="8"/>
      <c r="H3" s="20"/>
      <c r="I3" s="154" t="s">
        <v>78</v>
      </c>
      <c r="J3" s="154" t="s">
        <v>671</v>
      </c>
      <c r="K3" s="154" t="s">
        <v>7</v>
      </c>
      <c r="L3" s="154" t="s">
        <v>719</v>
      </c>
      <c r="M3" s="154" t="s">
        <v>7</v>
      </c>
      <c r="N3" s="154" t="s">
        <v>7</v>
      </c>
      <c r="O3" s="154" t="s">
        <v>7</v>
      </c>
      <c r="P3" s="154" t="s">
        <v>8</v>
      </c>
      <c r="Q3" s="8">
        <v>1</v>
      </c>
    </row>
    <row r="4" spans="1:17" x14ac:dyDescent="0.25">
      <c r="A4" s="159" t="b">
        <v>1</v>
      </c>
      <c r="B4" s="23" t="s">
        <v>89</v>
      </c>
      <c r="C4" s="7" t="str">
        <f t="shared" si="0"/>
        <v>02</v>
      </c>
      <c r="D4" s="8" t="s">
        <v>725</v>
      </c>
      <c r="E4" s="8"/>
      <c r="F4" s="8"/>
      <c r="G4" s="8"/>
      <c r="H4" s="20"/>
      <c r="I4" s="154" t="s">
        <v>78</v>
      </c>
      <c r="J4" s="154" t="s">
        <v>671</v>
      </c>
      <c r="K4" s="154" t="s">
        <v>8</v>
      </c>
      <c r="L4" s="154" t="s">
        <v>719</v>
      </c>
      <c r="M4" s="154" t="s">
        <v>7</v>
      </c>
      <c r="N4" s="154" t="s">
        <v>8</v>
      </c>
      <c r="O4" s="154" t="s">
        <v>8</v>
      </c>
      <c r="P4" s="154" t="s">
        <v>8</v>
      </c>
      <c r="Q4" s="8">
        <v>0</v>
      </c>
    </row>
    <row r="5" spans="1:17" x14ac:dyDescent="0.25">
      <c r="A5" s="159" t="b">
        <v>1</v>
      </c>
      <c r="B5" s="23" t="s">
        <v>90</v>
      </c>
      <c r="C5" s="7" t="str">
        <f t="shared" si="0"/>
        <v>03</v>
      </c>
      <c r="D5" s="8" t="s">
        <v>726</v>
      </c>
      <c r="E5" s="8"/>
      <c r="F5" s="8"/>
      <c r="G5" s="8"/>
      <c r="H5" s="20"/>
      <c r="I5" s="154" t="s">
        <v>78</v>
      </c>
      <c r="J5" s="154" t="s">
        <v>671</v>
      </c>
      <c r="K5" s="154" t="s">
        <v>7</v>
      </c>
      <c r="L5" s="154" t="s">
        <v>718</v>
      </c>
      <c r="M5" s="154" t="s">
        <v>8</v>
      </c>
      <c r="N5" s="154" t="s">
        <v>8</v>
      </c>
      <c r="O5" s="154" t="s">
        <v>8</v>
      </c>
      <c r="P5" s="154" t="s">
        <v>8</v>
      </c>
      <c r="Q5" s="8">
        <v>4</v>
      </c>
    </row>
    <row r="6" spans="1:17" x14ac:dyDescent="0.25">
      <c r="A6" s="159" t="b">
        <v>1</v>
      </c>
      <c r="B6" s="23" t="s">
        <v>91</v>
      </c>
      <c r="C6" s="7" t="str">
        <f t="shared" si="0"/>
        <v>04</v>
      </c>
      <c r="D6" s="8" t="s">
        <v>727</v>
      </c>
      <c r="E6" s="8"/>
      <c r="F6" s="8"/>
      <c r="G6" s="8"/>
      <c r="H6" s="20"/>
      <c r="I6" s="154" t="s">
        <v>78</v>
      </c>
      <c r="J6" s="154" t="s">
        <v>672</v>
      </c>
      <c r="K6" s="154" t="s">
        <v>7</v>
      </c>
      <c r="L6" s="154" t="s">
        <v>719</v>
      </c>
      <c r="M6" s="154" t="s">
        <v>8</v>
      </c>
      <c r="N6" s="154" t="s">
        <v>8</v>
      </c>
      <c r="O6" s="154" t="s">
        <v>8</v>
      </c>
      <c r="P6" s="154" t="s">
        <v>8</v>
      </c>
      <c r="Q6" s="8">
        <v>1</v>
      </c>
    </row>
    <row r="7" spans="1:17" x14ac:dyDescent="0.25">
      <c r="A7" s="159" t="b">
        <v>1</v>
      </c>
      <c r="B7" s="23" t="s">
        <v>92</v>
      </c>
      <c r="C7" s="7" t="str">
        <f t="shared" si="0"/>
        <v>05</v>
      </c>
      <c r="D7" s="8" t="s">
        <v>728</v>
      </c>
      <c r="E7" s="8"/>
      <c r="F7" s="8"/>
      <c r="G7" s="8"/>
      <c r="H7" s="20"/>
      <c r="I7" s="154" t="s">
        <v>78</v>
      </c>
      <c r="J7" s="154" t="s">
        <v>671</v>
      </c>
      <c r="K7" s="154" t="s">
        <v>7</v>
      </c>
      <c r="L7" s="154" t="s">
        <v>719</v>
      </c>
      <c r="M7" s="154" t="s">
        <v>8</v>
      </c>
      <c r="N7" s="154" t="s">
        <v>8</v>
      </c>
      <c r="O7" s="154" t="s">
        <v>8</v>
      </c>
      <c r="P7" s="154" t="s">
        <v>8</v>
      </c>
      <c r="Q7" s="8">
        <v>2</v>
      </c>
    </row>
    <row r="8" spans="1:17" x14ac:dyDescent="0.25">
      <c r="A8" s="159" t="b">
        <v>1</v>
      </c>
      <c r="B8" s="23" t="s">
        <v>93</v>
      </c>
      <c r="C8" s="7" t="str">
        <f t="shared" si="0"/>
        <v>06</v>
      </c>
      <c r="D8" s="8" t="s">
        <v>729</v>
      </c>
      <c r="E8" s="8"/>
      <c r="F8" s="8"/>
      <c r="G8" s="8"/>
      <c r="H8" s="20"/>
      <c r="I8" s="154" t="s">
        <v>78</v>
      </c>
      <c r="J8" s="154" t="s">
        <v>672</v>
      </c>
      <c r="K8" s="154" t="s">
        <v>7</v>
      </c>
      <c r="L8" s="154" t="s">
        <v>719</v>
      </c>
      <c r="M8" s="154" t="s">
        <v>8</v>
      </c>
      <c r="N8" s="154" t="s">
        <v>8</v>
      </c>
      <c r="O8" s="154" t="s">
        <v>8</v>
      </c>
      <c r="P8" s="154" t="s">
        <v>8</v>
      </c>
      <c r="Q8" s="8">
        <v>2</v>
      </c>
    </row>
    <row r="9" spans="1:17" x14ac:dyDescent="0.25">
      <c r="A9" s="159" t="b">
        <v>1</v>
      </c>
      <c r="B9" s="23" t="s">
        <v>94</v>
      </c>
      <c r="C9" s="7" t="str">
        <f t="shared" si="0"/>
        <v>07</v>
      </c>
      <c r="D9" s="8" t="s">
        <v>440</v>
      </c>
      <c r="E9" s="8"/>
      <c r="F9" s="8"/>
      <c r="G9" s="8"/>
      <c r="H9" s="20"/>
      <c r="I9" s="154" t="s">
        <v>161</v>
      </c>
      <c r="J9" s="154" t="s">
        <v>671</v>
      </c>
      <c r="K9" s="154" t="s">
        <v>8</v>
      </c>
      <c r="L9" s="154" t="s">
        <v>719</v>
      </c>
      <c r="M9" s="154" t="s">
        <v>7</v>
      </c>
      <c r="N9" s="154" t="s">
        <v>8</v>
      </c>
      <c r="O9" s="154" t="s">
        <v>8</v>
      </c>
      <c r="P9" s="154" t="s">
        <v>8</v>
      </c>
      <c r="Q9" s="8">
        <v>0</v>
      </c>
    </row>
    <row r="10" spans="1:17" x14ac:dyDescent="0.25">
      <c r="A10" s="159" t="b">
        <v>1</v>
      </c>
      <c r="B10" s="23" t="s">
        <v>95</v>
      </c>
      <c r="C10" s="7" t="str">
        <f t="shared" si="0"/>
        <v>08</v>
      </c>
      <c r="D10" s="8" t="s">
        <v>730</v>
      </c>
      <c r="E10" s="8"/>
      <c r="F10" s="8"/>
      <c r="G10" s="8"/>
      <c r="H10" s="20"/>
      <c r="I10" s="154" t="s">
        <v>161</v>
      </c>
      <c r="J10" s="154" t="s">
        <v>671</v>
      </c>
      <c r="K10" s="154" t="s">
        <v>8</v>
      </c>
      <c r="L10" s="154" t="s">
        <v>719</v>
      </c>
      <c r="M10" s="154" t="s">
        <v>7</v>
      </c>
      <c r="N10" s="154" t="s">
        <v>8</v>
      </c>
      <c r="O10" s="154" t="s">
        <v>8</v>
      </c>
      <c r="P10" s="154" t="s">
        <v>8</v>
      </c>
      <c r="Q10" s="8">
        <v>0</v>
      </c>
    </row>
    <row r="11" spans="1:17" x14ac:dyDescent="0.25">
      <c r="A11" s="159" t="b">
        <v>1</v>
      </c>
      <c r="B11" s="23" t="s">
        <v>96</v>
      </c>
      <c r="C11" s="7" t="str">
        <f t="shared" si="0"/>
        <v>09</v>
      </c>
      <c r="D11" s="8" t="s">
        <v>731</v>
      </c>
      <c r="E11" s="8"/>
      <c r="F11" s="8"/>
      <c r="G11" s="8"/>
      <c r="H11" s="20"/>
      <c r="I11" s="154" t="s">
        <v>161</v>
      </c>
      <c r="J11" s="154" t="s">
        <v>671</v>
      </c>
      <c r="K11" s="154" t="s">
        <v>8</v>
      </c>
      <c r="L11" s="154" t="s">
        <v>719</v>
      </c>
      <c r="M11" s="154" t="s">
        <v>7</v>
      </c>
      <c r="N11" s="154" t="s">
        <v>8</v>
      </c>
      <c r="O11" s="154" t="s">
        <v>8</v>
      </c>
      <c r="P11" s="154" t="s">
        <v>8</v>
      </c>
      <c r="Q11" s="8">
        <v>0</v>
      </c>
    </row>
    <row r="12" spans="1:17" x14ac:dyDescent="0.25">
      <c r="A12" s="159" t="b">
        <v>1</v>
      </c>
      <c r="B12" s="23" t="s">
        <v>100</v>
      </c>
      <c r="C12" s="7" t="str">
        <f t="shared" si="0"/>
        <v>10</v>
      </c>
      <c r="D12" s="8" t="s">
        <v>732</v>
      </c>
      <c r="E12" s="8"/>
      <c r="F12" s="8"/>
      <c r="G12" s="8"/>
      <c r="H12" s="20"/>
      <c r="I12" s="154" t="s">
        <v>161</v>
      </c>
      <c r="J12" s="154" t="s">
        <v>671</v>
      </c>
      <c r="K12" s="154" t="s">
        <v>8</v>
      </c>
      <c r="L12" s="154" t="s">
        <v>719</v>
      </c>
      <c r="M12" s="154" t="s">
        <v>7</v>
      </c>
      <c r="N12" s="154" t="s">
        <v>8</v>
      </c>
      <c r="O12" s="154" t="s">
        <v>8</v>
      </c>
      <c r="P12" s="154" t="s">
        <v>8</v>
      </c>
      <c r="Q12" s="8">
        <v>0</v>
      </c>
    </row>
    <row r="13" spans="1:17" x14ac:dyDescent="0.25">
      <c r="A13" s="159" t="b">
        <v>1</v>
      </c>
      <c r="B13" s="23" t="s">
        <v>101</v>
      </c>
      <c r="C13" s="7" t="str">
        <f t="shared" si="0"/>
        <v>11</v>
      </c>
      <c r="D13" s="8" t="s">
        <v>733</v>
      </c>
      <c r="E13" s="8"/>
      <c r="F13" s="8"/>
      <c r="G13" s="8"/>
      <c r="H13" s="20"/>
      <c r="I13" s="154" t="s">
        <v>161</v>
      </c>
      <c r="J13" s="154" t="s">
        <v>671</v>
      </c>
      <c r="K13" s="154" t="s">
        <v>8</v>
      </c>
      <c r="L13" s="154" t="s">
        <v>719</v>
      </c>
      <c r="M13" s="154" t="s">
        <v>7</v>
      </c>
      <c r="N13" s="154" t="s">
        <v>8</v>
      </c>
      <c r="O13" s="154" t="s">
        <v>8</v>
      </c>
      <c r="P13" s="154" t="s">
        <v>8</v>
      </c>
      <c r="Q13" s="8">
        <v>0</v>
      </c>
    </row>
    <row r="14" spans="1:17" x14ac:dyDescent="0.25">
      <c r="A14" s="159" t="b">
        <v>1</v>
      </c>
      <c r="B14" s="23" t="s">
        <v>102</v>
      </c>
      <c r="C14" s="7" t="str">
        <f t="shared" si="0"/>
        <v>12</v>
      </c>
      <c r="D14" s="8" t="s">
        <v>734</v>
      </c>
      <c r="E14" s="8"/>
      <c r="F14" s="8"/>
      <c r="G14" s="8"/>
      <c r="H14" s="20"/>
      <c r="I14" s="154" t="s">
        <v>162</v>
      </c>
      <c r="J14" s="154" t="s">
        <v>671</v>
      </c>
      <c r="K14" s="154" t="s">
        <v>8</v>
      </c>
      <c r="L14" s="154" t="s">
        <v>719</v>
      </c>
      <c r="M14" s="154" t="s">
        <v>7</v>
      </c>
      <c r="N14" s="154" t="s">
        <v>8</v>
      </c>
      <c r="O14" s="154" t="s">
        <v>8</v>
      </c>
      <c r="P14" s="154" t="s">
        <v>8</v>
      </c>
      <c r="Q14" s="8">
        <v>1</v>
      </c>
    </row>
    <row r="15" spans="1:17" x14ac:dyDescent="0.25">
      <c r="A15" s="159" t="b">
        <v>0</v>
      </c>
      <c r="B15" s="23" t="s">
        <v>103</v>
      </c>
      <c r="C15" s="7" t="str">
        <f t="shared" si="0"/>
        <v>13</v>
      </c>
      <c r="D15" s="8" t="s">
        <v>736</v>
      </c>
      <c r="E15" s="8"/>
      <c r="F15" s="8"/>
      <c r="G15" s="8"/>
      <c r="H15" s="20"/>
      <c r="I15" s="154" t="s">
        <v>162</v>
      </c>
      <c r="J15" s="154" t="s">
        <v>671</v>
      </c>
      <c r="K15" s="154" t="s">
        <v>8</v>
      </c>
      <c r="L15" s="154" t="s">
        <v>719</v>
      </c>
      <c r="M15" s="154" t="s">
        <v>7</v>
      </c>
      <c r="N15" s="154" t="s">
        <v>8</v>
      </c>
      <c r="O15" s="154" t="s">
        <v>8</v>
      </c>
      <c r="P15" s="154" t="s">
        <v>8</v>
      </c>
      <c r="Q15" s="8">
        <v>1</v>
      </c>
    </row>
    <row r="16" spans="1:17" x14ac:dyDescent="0.25">
      <c r="A16" s="159" t="b">
        <v>0</v>
      </c>
      <c r="B16" s="23" t="s">
        <v>104</v>
      </c>
      <c r="C16" s="7" t="str">
        <f t="shared" si="0"/>
        <v>14</v>
      </c>
      <c r="D16" s="8" t="s">
        <v>735</v>
      </c>
      <c r="E16" s="8"/>
      <c r="F16" s="8"/>
      <c r="G16" s="8"/>
      <c r="H16" s="20"/>
      <c r="I16" s="154" t="s">
        <v>162</v>
      </c>
      <c r="J16" s="154" t="s">
        <v>671</v>
      </c>
      <c r="K16" s="154" t="s">
        <v>8</v>
      </c>
      <c r="L16" s="154" t="s">
        <v>719</v>
      </c>
      <c r="M16" s="154" t="s">
        <v>7</v>
      </c>
      <c r="N16" s="154" t="s">
        <v>8</v>
      </c>
      <c r="O16" s="154" t="s">
        <v>8</v>
      </c>
      <c r="P16" s="154" t="s">
        <v>8</v>
      </c>
      <c r="Q16" s="8">
        <v>1</v>
      </c>
    </row>
    <row r="17" spans="1:17" x14ac:dyDescent="0.25">
      <c r="A17" s="159" t="b">
        <v>0</v>
      </c>
      <c r="B17" s="23" t="s">
        <v>105</v>
      </c>
      <c r="C17" s="7" t="str">
        <f t="shared" si="0"/>
        <v>15</v>
      </c>
      <c r="D17" s="8" t="s">
        <v>740</v>
      </c>
      <c r="E17" s="8"/>
      <c r="F17" s="8"/>
      <c r="G17" s="8"/>
      <c r="H17" s="20"/>
      <c r="I17" s="154" t="s">
        <v>78</v>
      </c>
      <c r="J17" s="154" t="s">
        <v>671</v>
      </c>
      <c r="K17" s="154" t="s">
        <v>7</v>
      </c>
      <c r="L17" s="154" t="s">
        <v>719</v>
      </c>
      <c r="M17" s="154" t="s">
        <v>8</v>
      </c>
      <c r="N17" s="154" t="s">
        <v>8</v>
      </c>
      <c r="O17" s="154" t="s">
        <v>8</v>
      </c>
      <c r="P17" s="154" t="s">
        <v>8</v>
      </c>
      <c r="Q17" s="8">
        <v>2</v>
      </c>
    </row>
    <row r="18" spans="1:17" x14ac:dyDescent="0.25">
      <c r="A18" s="159" t="b">
        <v>0</v>
      </c>
      <c r="B18" s="23" t="s">
        <v>106</v>
      </c>
      <c r="C18" s="7" t="str">
        <f t="shared" si="0"/>
        <v>16</v>
      </c>
      <c r="D18" s="8"/>
      <c r="E18" s="8"/>
      <c r="F18" s="8"/>
      <c r="G18" s="8"/>
      <c r="H18" s="20"/>
      <c r="I18" s="154"/>
      <c r="J18" s="154"/>
      <c r="K18" s="154"/>
      <c r="L18" s="154"/>
      <c r="M18" s="154"/>
      <c r="N18" s="154"/>
      <c r="O18" s="154"/>
      <c r="P18" s="154"/>
      <c r="Q18" s="8"/>
    </row>
    <row r="19" spans="1:17" x14ac:dyDescent="0.25">
      <c r="A19" s="159" t="b">
        <v>0</v>
      </c>
      <c r="B19" s="23" t="s">
        <v>107</v>
      </c>
      <c r="C19" s="7" t="str">
        <f t="shared" si="0"/>
        <v>17</v>
      </c>
      <c r="D19" s="8"/>
      <c r="E19" s="8"/>
      <c r="F19" s="8"/>
      <c r="G19" s="8"/>
      <c r="H19" s="20"/>
      <c r="I19" s="154"/>
      <c r="J19" s="154"/>
      <c r="K19" s="154"/>
      <c r="L19" s="154"/>
      <c r="M19" s="154"/>
      <c r="N19" s="154"/>
      <c r="O19" s="154"/>
      <c r="P19" s="154"/>
      <c r="Q19" s="8"/>
    </row>
    <row r="20" spans="1:17" x14ac:dyDescent="0.25">
      <c r="A20" s="159" t="b">
        <v>0</v>
      </c>
      <c r="B20" s="23" t="s">
        <v>108</v>
      </c>
      <c r="C20" s="7" t="str">
        <f t="shared" si="0"/>
        <v>18</v>
      </c>
      <c r="D20" s="8"/>
      <c r="E20" s="8"/>
      <c r="F20" s="8"/>
      <c r="G20" s="8"/>
      <c r="H20" s="20"/>
      <c r="I20" s="154"/>
      <c r="J20" s="154"/>
      <c r="K20" s="154"/>
      <c r="L20" s="154"/>
      <c r="M20" s="154"/>
      <c r="N20" s="154"/>
      <c r="O20" s="154"/>
      <c r="P20" s="154"/>
      <c r="Q20" s="8"/>
    </row>
    <row r="21" spans="1:17" x14ac:dyDescent="0.25">
      <c r="A21" s="159" t="b">
        <v>0</v>
      </c>
      <c r="B21" s="23" t="s">
        <v>109</v>
      </c>
      <c r="C21" s="7" t="str">
        <f t="shared" si="0"/>
        <v>19</v>
      </c>
      <c r="D21" s="8"/>
      <c r="E21" s="8"/>
      <c r="F21" s="8"/>
      <c r="G21" s="8"/>
      <c r="H21" s="20"/>
      <c r="I21" s="154"/>
      <c r="J21" s="154"/>
      <c r="K21" s="154"/>
      <c r="L21" s="154"/>
      <c r="M21" s="154"/>
      <c r="N21" s="154"/>
      <c r="O21" s="154"/>
      <c r="P21" s="154"/>
      <c r="Q21" s="8"/>
    </row>
    <row r="22" spans="1:17" x14ac:dyDescent="0.25">
      <c r="A22" s="159" t="b">
        <v>0</v>
      </c>
      <c r="B22" s="23" t="s">
        <v>110</v>
      </c>
      <c r="C22" s="7" t="str">
        <f t="shared" si="0"/>
        <v>20</v>
      </c>
      <c r="D22" s="8"/>
      <c r="E22" s="8"/>
      <c r="F22" s="8"/>
      <c r="G22" s="8"/>
      <c r="H22" s="20"/>
      <c r="I22" s="154"/>
      <c r="J22" s="154"/>
      <c r="K22" s="154"/>
      <c r="L22" s="154"/>
      <c r="M22" s="154"/>
      <c r="N22" s="154"/>
      <c r="O22" s="154"/>
      <c r="P22" s="154"/>
      <c r="Q22" s="8"/>
    </row>
    <row r="23" spans="1:17" x14ac:dyDescent="0.25">
      <c r="A23" s="159" t="b">
        <v>0</v>
      </c>
      <c r="B23" s="23" t="s">
        <v>111</v>
      </c>
      <c r="C23" s="7" t="str">
        <f t="shared" si="0"/>
        <v>21</v>
      </c>
      <c r="D23" s="8"/>
      <c r="E23" s="8"/>
      <c r="F23" s="8"/>
      <c r="G23" s="8"/>
      <c r="H23" s="20"/>
      <c r="I23" s="154"/>
      <c r="J23" s="154"/>
      <c r="K23" s="154"/>
      <c r="L23" s="154"/>
      <c r="M23" s="154"/>
      <c r="N23" s="154"/>
      <c r="O23" s="154"/>
      <c r="P23" s="154"/>
      <c r="Q23" s="8"/>
    </row>
    <row r="24" spans="1:17" x14ac:dyDescent="0.25">
      <c r="A24" s="159" t="b">
        <v>0</v>
      </c>
      <c r="B24" s="23" t="s">
        <v>112</v>
      </c>
      <c r="C24" s="7" t="str">
        <f t="shared" si="0"/>
        <v>22</v>
      </c>
      <c r="D24" s="8"/>
      <c r="E24" s="8"/>
      <c r="F24" s="8"/>
      <c r="G24" s="8"/>
      <c r="H24" s="20"/>
      <c r="I24" s="154"/>
      <c r="J24" s="154"/>
      <c r="K24" s="154"/>
      <c r="L24" s="154"/>
      <c r="M24" s="154"/>
      <c r="N24" s="154"/>
      <c r="O24" s="154"/>
      <c r="P24" s="154"/>
      <c r="Q24" s="8"/>
    </row>
    <row r="25" spans="1:17" x14ac:dyDescent="0.25">
      <c r="A25" s="159" t="b">
        <v>0</v>
      </c>
      <c r="B25" s="23" t="s">
        <v>113</v>
      </c>
      <c r="C25" s="7" t="str">
        <f t="shared" si="0"/>
        <v>23</v>
      </c>
      <c r="D25" s="8"/>
      <c r="E25" s="8"/>
      <c r="F25" s="8"/>
      <c r="G25" s="8"/>
      <c r="H25" s="20"/>
      <c r="I25" s="154"/>
      <c r="J25" s="154"/>
      <c r="K25" s="154"/>
      <c r="L25" s="154"/>
      <c r="M25" s="154"/>
      <c r="N25" s="154"/>
      <c r="O25" s="154"/>
      <c r="P25" s="154"/>
      <c r="Q25" s="8"/>
    </row>
    <row r="26" spans="1:17" x14ac:dyDescent="0.25">
      <c r="A26" s="159" t="b">
        <v>0</v>
      </c>
      <c r="B26" s="23" t="s">
        <v>114</v>
      </c>
      <c r="C26" s="7" t="str">
        <f t="shared" si="0"/>
        <v>24</v>
      </c>
      <c r="D26" s="8"/>
      <c r="E26" s="8"/>
      <c r="F26" s="8"/>
      <c r="G26" s="8"/>
      <c r="H26" s="20"/>
      <c r="I26" s="154"/>
      <c r="J26" s="154"/>
      <c r="K26" s="154"/>
      <c r="L26" s="154"/>
      <c r="M26" s="154"/>
      <c r="N26" s="154"/>
      <c r="O26" s="154"/>
      <c r="P26" s="154"/>
      <c r="Q26" s="8"/>
    </row>
    <row r="27" spans="1:17" x14ac:dyDescent="0.25">
      <c r="A27" s="159" t="b">
        <v>0</v>
      </c>
      <c r="B27" s="23" t="s">
        <v>115</v>
      </c>
      <c r="C27" s="7" t="str">
        <f t="shared" si="0"/>
        <v>25</v>
      </c>
      <c r="D27" s="8"/>
      <c r="E27" s="8"/>
      <c r="F27" s="8"/>
      <c r="G27" s="8"/>
      <c r="H27" s="20"/>
      <c r="I27" s="154"/>
      <c r="J27" s="154"/>
      <c r="K27" s="154"/>
      <c r="L27" s="154"/>
      <c r="M27" s="154"/>
      <c r="N27" s="154"/>
      <c r="O27" s="154"/>
      <c r="P27" s="154"/>
      <c r="Q27" s="8"/>
    </row>
    <row r="28" spans="1:17" x14ac:dyDescent="0.25">
      <c r="A28" s="159" t="b">
        <v>0</v>
      </c>
      <c r="B28" s="23" t="s">
        <v>116</v>
      </c>
      <c r="C28" s="7" t="str">
        <f t="shared" si="0"/>
        <v>26</v>
      </c>
      <c r="D28" s="8"/>
      <c r="E28" s="8"/>
      <c r="F28" s="8"/>
      <c r="G28" s="8"/>
      <c r="H28" s="20"/>
      <c r="I28" s="154"/>
      <c r="J28" s="154"/>
      <c r="K28" s="154"/>
      <c r="L28" s="154"/>
      <c r="M28" s="154"/>
      <c r="N28" s="154"/>
      <c r="O28" s="154"/>
      <c r="P28" s="154"/>
      <c r="Q28" s="8"/>
    </row>
    <row r="29" spans="1:17" x14ac:dyDescent="0.25">
      <c r="A29" s="159" t="b">
        <v>0</v>
      </c>
      <c r="B29" s="23" t="s">
        <v>117</v>
      </c>
      <c r="C29" s="7" t="str">
        <f t="shared" si="0"/>
        <v>27</v>
      </c>
      <c r="D29" s="8"/>
      <c r="E29" s="8"/>
      <c r="F29" s="8"/>
      <c r="G29" s="8"/>
      <c r="H29" s="20"/>
      <c r="I29" s="154"/>
      <c r="J29" s="154"/>
      <c r="K29" s="154"/>
      <c r="L29" s="154"/>
      <c r="M29" s="154"/>
      <c r="N29" s="154"/>
      <c r="O29" s="154"/>
      <c r="P29" s="154"/>
      <c r="Q29" s="8"/>
    </row>
    <row r="30" spans="1:17" x14ac:dyDescent="0.25">
      <c r="A30" s="159" t="b">
        <v>0</v>
      </c>
      <c r="B30" s="23" t="s">
        <v>118</v>
      </c>
      <c r="C30" s="7" t="str">
        <f t="shared" si="0"/>
        <v>28</v>
      </c>
      <c r="D30" s="8"/>
      <c r="E30" s="8"/>
      <c r="F30" s="8"/>
      <c r="G30" s="8"/>
      <c r="H30" s="20"/>
      <c r="I30" s="154"/>
      <c r="J30" s="154"/>
      <c r="K30" s="154"/>
      <c r="L30" s="154"/>
      <c r="M30" s="154"/>
      <c r="N30" s="154"/>
      <c r="O30" s="154"/>
      <c r="P30" s="154"/>
      <c r="Q30" s="8"/>
    </row>
    <row r="31" spans="1:17" x14ac:dyDescent="0.25">
      <c r="A31" s="159" t="b">
        <v>0</v>
      </c>
      <c r="B31" s="23" t="s">
        <v>119</v>
      </c>
      <c r="C31" s="7" t="str">
        <f t="shared" si="0"/>
        <v>29</v>
      </c>
      <c r="D31" s="8"/>
      <c r="E31" s="8"/>
      <c r="F31" s="8"/>
      <c r="G31" s="8"/>
      <c r="H31" s="20"/>
      <c r="I31" s="154"/>
      <c r="J31" s="154"/>
      <c r="K31" s="154"/>
      <c r="L31" s="154"/>
      <c r="M31" s="154"/>
      <c r="N31" s="154"/>
      <c r="O31" s="154"/>
      <c r="P31" s="154"/>
      <c r="Q31" s="8"/>
    </row>
    <row r="32" spans="1:17" x14ac:dyDescent="0.25">
      <c r="A32" s="159" t="b">
        <v>0</v>
      </c>
      <c r="B32" s="23" t="s">
        <v>120</v>
      </c>
      <c r="C32" s="7" t="str">
        <f t="shared" si="0"/>
        <v>30</v>
      </c>
      <c r="D32" s="8"/>
      <c r="E32" s="8"/>
      <c r="F32" s="8"/>
      <c r="G32" s="8"/>
      <c r="H32" s="20"/>
      <c r="I32" s="154"/>
      <c r="J32" s="154"/>
      <c r="K32" s="154"/>
      <c r="L32" s="154"/>
      <c r="M32" s="154"/>
      <c r="N32" s="154"/>
      <c r="O32" s="154"/>
      <c r="P32" s="154"/>
      <c r="Q32" s="8"/>
    </row>
    <row r="33" spans="1:17" x14ac:dyDescent="0.25">
      <c r="A33" s="159" t="b">
        <v>0</v>
      </c>
      <c r="B33" s="23" t="s">
        <v>121</v>
      </c>
      <c r="C33" s="7" t="str">
        <f t="shared" si="0"/>
        <v>31</v>
      </c>
      <c r="D33" s="8"/>
      <c r="E33" s="8"/>
      <c r="F33" s="8"/>
      <c r="G33" s="8"/>
      <c r="H33" s="20"/>
      <c r="I33" s="154"/>
      <c r="J33" s="154"/>
      <c r="K33" s="154"/>
      <c r="L33" s="154"/>
      <c r="M33" s="154"/>
      <c r="N33" s="154"/>
      <c r="O33" s="154"/>
      <c r="P33" s="154"/>
      <c r="Q33" s="8"/>
    </row>
    <row r="34" spans="1:17" x14ac:dyDescent="0.25">
      <c r="A34" s="159" t="b">
        <v>0</v>
      </c>
      <c r="B34" s="23" t="s">
        <v>122</v>
      </c>
      <c r="C34" s="7" t="str">
        <f t="shared" si="0"/>
        <v>32</v>
      </c>
      <c r="D34" s="8"/>
      <c r="E34" s="8"/>
      <c r="F34" s="8"/>
      <c r="G34" s="8"/>
      <c r="H34" s="20"/>
      <c r="I34" s="154"/>
      <c r="J34" s="154"/>
      <c r="K34" s="154"/>
      <c r="L34" s="154"/>
      <c r="M34" s="154"/>
      <c r="N34" s="154"/>
      <c r="O34" s="154"/>
      <c r="P34" s="154"/>
      <c r="Q34" s="8"/>
    </row>
    <row r="35" spans="1:17" x14ac:dyDescent="0.25">
      <c r="A35" s="159" t="b">
        <v>0</v>
      </c>
      <c r="B35" s="23" t="s">
        <v>123</v>
      </c>
      <c r="C35" s="7" t="str">
        <f t="shared" si="0"/>
        <v>33</v>
      </c>
      <c r="D35" s="8"/>
      <c r="E35" s="8"/>
      <c r="F35" s="8"/>
      <c r="G35" s="8"/>
      <c r="H35" s="20"/>
      <c r="I35" s="154"/>
      <c r="J35" s="154"/>
      <c r="K35" s="154"/>
      <c r="L35" s="154"/>
      <c r="M35" s="154"/>
      <c r="N35" s="154"/>
      <c r="O35" s="154"/>
      <c r="P35" s="154"/>
      <c r="Q35" s="8"/>
    </row>
    <row r="36" spans="1:17" x14ac:dyDescent="0.25">
      <c r="A36" s="159" t="b">
        <v>0</v>
      </c>
      <c r="B36" s="23" t="s">
        <v>124</v>
      </c>
      <c r="C36" s="7" t="str">
        <f t="shared" si="0"/>
        <v>34</v>
      </c>
      <c r="D36" s="8"/>
      <c r="E36" s="8"/>
      <c r="F36" s="8"/>
      <c r="G36" s="8"/>
      <c r="H36" s="20"/>
      <c r="I36" s="154"/>
      <c r="J36" s="154"/>
      <c r="K36" s="154"/>
      <c r="L36" s="154"/>
      <c r="M36" s="154"/>
      <c r="N36" s="154"/>
      <c r="O36" s="154"/>
      <c r="P36" s="154"/>
      <c r="Q36" s="8"/>
    </row>
    <row r="37" spans="1:17" x14ac:dyDescent="0.25">
      <c r="A37" s="159" t="b">
        <v>0</v>
      </c>
      <c r="B37" s="23" t="s">
        <v>125</v>
      </c>
      <c r="C37" s="7" t="str">
        <f t="shared" si="0"/>
        <v>35</v>
      </c>
      <c r="D37" s="8"/>
      <c r="E37" s="8"/>
      <c r="F37" s="8"/>
      <c r="G37" s="8"/>
      <c r="H37" s="20"/>
      <c r="I37" s="154"/>
      <c r="J37" s="154"/>
      <c r="K37" s="154"/>
      <c r="L37" s="154"/>
      <c r="M37" s="154"/>
      <c r="N37" s="154"/>
      <c r="O37" s="154"/>
      <c r="P37" s="154"/>
      <c r="Q37" s="8"/>
    </row>
    <row r="38" spans="1:17" x14ac:dyDescent="0.25">
      <c r="A38" s="159" t="b">
        <v>0</v>
      </c>
      <c r="B38" s="23" t="s">
        <v>126</v>
      </c>
      <c r="C38" s="7" t="str">
        <f t="shared" si="0"/>
        <v>36</v>
      </c>
      <c r="D38" s="8"/>
      <c r="E38" s="8"/>
      <c r="F38" s="8"/>
      <c r="G38" s="8"/>
      <c r="H38" s="20"/>
      <c r="I38" s="154"/>
      <c r="J38" s="154"/>
      <c r="K38" s="154"/>
      <c r="L38" s="154"/>
      <c r="M38" s="154"/>
      <c r="N38" s="154"/>
      <c r="O38" s="154"/>
      <c r="P38" s="154"/>
      <c r="Q38" s="8"/>
    </row>
    <row r="39" spans="1:17" x14ac:dyDescent="0.25">
      <c r="A39" s="159" t="b">
        <v>0</v>
      </c>
      <c r="B39" s="23" t="s">
        <v>127</v>
      </c>
      <c r="C39" s="7" t="str">
        <f t="shared" si="0"/>
        <v>37</v>
      </c>
      <c r="D39" s="8"/>
      <c r="E39" s="8"/>
      <c r="F39" s="8"/>
      <c r="G39" s="8"/>
      <c r="H39" s="20"/>
      <c r="I39" s="154"/>
      <c r="J39" s="154"/>
      <c r="K39" s="154"/>
      <c r="L39" s="154"/>
      <c r="M39" s="154"/>
      <c r="N39" s="154"/>
      <c r="O39" s="154"/>
      <c r="P39" s="154"/>
      <c r="Q39" s="8"/>
    </row>
    <row r="40" spans="1:17" x14ac:dyDescent="0.25">
      <c r="A40" s="159" t="b">
        <v>0</v>
      </c>
      <c r="B40" s="23" t="s">
        <v>128</v>
      </c>
      <c r="C40" s="7" t="str">
        <f t="shared" si="0"/>
        <v>38</v>
      </c>
      <c r="D40" s="8"/>
      <c r="E40" s="8"/>
      <c r="F40" s="8"/>
      <c r="G40" s="8"/>
      <c r="H40" s="20"/>
      <c r="I40" s="154"/>
      <c r="J40" s="154"/>
      <c r="K40" s="154"/>
      <c r="L40" s="154"/>
      <c r="M40" s="154"/>
      <c r="N40" s="154"/>
      <c r="O40" s="154"/>
      <c r="P40" s="154"/>
      <c r="Q40" s="8"/>
    </row>
    <row r="41" spans="1:17" x14ac:dyDescent="0.25">
      <c r="A41" s="159" t="b">
        <v>0</v>
      </c>
      <c r="B41" s="23" t="s">
        <v>129</v>
      </c>
      <c r="C41" s="7" t="str">
        <f t="shared" si="0"/>
        <v>39</v>
      </c>
      <c r="D41" s="8"/>
      <c r="E41" s="8"/>
      <c r="F41" s="8"/>
      <c r="G41" s="8"/>
      <c r="H41" s="20"/>
      <c r="I41" s="154"/>
      <c r="J41" s="154"/>
      <c r="K41" s="154"/>
      <c r="L41" s="154"/>
      <c r="M41" s="154"/>
      <c r="N41" s="154"/>
      <c r="O41" s="154"/>
      <c r="P41" s="154"/>
      <c r="Q41" s="8"/>
    </row>
    <row r="42" spans="1:17" x14ac:dyDescent="0.25">
      <c r="A42" s="159" t="b">
        <v>0</v>
      </c>
      <c r="B42" s="23" t="s">
        <v>130</v>
      </c>
      <c r="C42" s="7" t="str">
        <f t="shared" si="0"/>
        <v>40</v>
      </c>
      <c r="D42" s="8"/>
      <c r="E42" s="8"/>
      <c r="F42" s="8"/>
      <c r="G42" s="8"/>
      <c r="H42" s="20"/>
      <c r="I42" s="154"/>
      <c r="J42" s="154"/>
      <c r="K42" s="154"/>
      <c r="L42" s="154"/>
      <c r="M42" s="154"/>
      <c r="N42" s="154"/>
      <c r="O42" s="154"/>
      <c r="P42" s="154"/>
      <c r="Q42" s="8"/>
    </row>
    <row r="43" spans="1:17" x14ac:dyDescent="0.25">
      <c r="A43" s="159" t="b">
        <v>0</v>
      </c>
      <c r="B43" s="23" t="s">
        <v>131</v>
      </c>
      <c r="C43" s="7" t="str">
        <f t="shared" si="0"/>
        <v>41</v>
      </c>
      <c r="D43" s="8"/>
      <c r="E43" s="8"/>
      <c r="F43" s="8"/>
      <c r="G43" s="8"/>
      <c r="H43" s="20"/>
      <c r="I43" s="154"/>
      <c r="J43" s="154"/>
      <c r="K43" s="154"/>
      <c r="L43" s="154"/>
      <c r="M43" s="154"/>
      <c r="N43" s="154"/>
      <c r="O43" s="154"/>
      <c r="P43" s="154"/>
      <c r="Q43" s="8"/>
    </row>
    <row r="44" spans="1:17" x14ac:dyDescent="0.25">
      <c r="A44" s="159" t="b">
        <v>0</v>
      </c>
      <c r="B44" s="23" t="s">
        <v>132</v>
      </c>
      <c r="C44" s="7" t="str">
        <f t="shared" si="0"/>
        <v>42</v>
      </c>
      <c r="D44" s="8"/>
      <c r="E44" s="8"/>
      <c r="F44" s="8"/>
      <c r="G44" s="8"/>
      <c r="H44" s="20"/>
      <c r="I44" s="154"/>
      <c r="J44" s="154"/>
      <c r="K44" s="154"/>
      <c r="L44" s="154"/>
      <c r="M44" s="154"/>
      <c r="N44" s="154"/>
      <c r="O44" s="154"/>
      <c r="P44" s="154"/>
      <c r="Q44" s="8"/>
    </row>
    <row r="45" spans="1:17" x14ac:dyDescent="0.25">
      <c r="A45" s="159" t="b">
        <v>0</v>
      </c>
      <c r="B45" s="23" t="s">
        <v>133</v>
      </c>
      <c r="C45" s="7" t="str">
        <f t="shared" si="0"/>
        <v>43</v>
      </c>
      <c r="D45" s="8"/>
      <c r="E45" s="8"/>
      <c r="F45" s="8"/>
      <c r="G45" s="8"/>
      <c r="H45" s="20"/>
      <c r="I45" s="154"/>
      <c r="J45" s="154"/>
      <c r="K45" s="154"/>
      <c r="L45" s="154"/>
      <c r="M45" s="154"/>
      <c r="N45" s="154"/>
      <c r="O45" s="154"/>
      <c r="P45" s="154"/>
      <c r="Q45" s="8"/>
    </row>
    <row r="46" spans="1:17" x14ac:dyDescent="0.25">
      <c r="A46" s="159" t="b">
        <v>0</v>
      </c>
      <c r="B46" s="23" t="s">
        <v>134</v>
      </c>
      <c r="C46" s="7" t="str">
        <f t="shared" si="0"/>
        <v>44</v>
      </c>
      <c r="D46" s="8"/>
      <c r="E46" s="8"/>
      <c r="F46" s="8"/>
      <c r="G46" s="8"/>
      <c r="H46" s="20"/>
      <c r="I46" s="154"/>
      <c r="J46" s="154"/>
      <c r="K46" s="154"/>
      <c r="L46" s="154"/>
      <c r="M46" s="154"/>
      <c r="N46" s="154"/>
      <c r="O46" s="154"/>
      <c r="P46" s="154"/>
      <c r="Q46" s="8"/>
    </row>
    <row r="47" spans="1:17" x14ac:dyDescent="0.25">
      <c r="A47" s="159" t="b">
        <v>0</v>
      </c>
      <c r="B47" s="23" t="s">
        <v>135</v>
      </c>
      <c r="C47" s="7" t="str">
        <f t="shared" si="0"/>
        <v>45</v>
      </c>
      <c r="D47" s="8"/>
      <c r="E47" s="8"/>
      <c r="F47" s="8"/>
      <c r="G47" s="8"/>
      <c r="H47" s="20"/>
      <c r="I47" s="154"/>
      <c r="J47" s="154"/>
      <c r="K47" s="154"/>
      <c r="L47" s="154"/>
      <c r="M47" s="154"/>
      <c r="N47" s="154"/>
      <c r="O47" s="154"/>
      <c r="P47" s="154"/>
      <c r="Q47" s="151"/>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M2:P47 K2:K47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 type="list" allowBlank="1" showInputMessage="1" showErrorMessage="1" xr:uid="{93B21763-529F-49FC-8136-BFBE6C94B9ED}">
          <x14:formula1>
            <xm:f>'4_1 Codelists'!$F$53:$F$54</xm:f>
          </x14:formula1>
          <xm:sqref>L2:L47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1"/>
  <sheetViews>
    <sheetView zoomScale="115" zoomScaleNormal="115" workbookViewId="0">
      <pane xSplit="4" topLeftCell="O1" activePane="topRight" state="frozen"/>
      <selection pane="topRight" activeCell="Y15" sqref="Y15"/>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7.5703125" style="157" customWidth="1"/>
    <col min="22" max="22" width="16.140625" style="157" customWidth="1"/>
    <col min="23" max="23" width="16.42578125" style="157" customWidth="1"/>
    <col min="25" max="25" width="20" customWidth="1"/>
    <col min="26" max="26" width="17" customWidth="1"/>
  </cols>
  <sheetData>
    <row r="1" spans="1:28" x14ac:dyDescent="0.25">
      <c r="A1" s="158" t="s">
        <v>54</v>
      </c>
      <c r="B1" s="158" t="s">
        <v>28</v>
      </c>
      <c r="C1" s="158" t="s">
        <v>49</v>
      </c>
      <c r="D1" s="158" t="s">
        <v>712</v>
      </c>
      <c r="E1" s="158" t="s">
        <v>77</v>
      </c>
      <c r="F1" s="158" t="s">
        <v>670</v>
      </c>
      <c r="G1" s="158" t="s">
        <v>52</v>
      </c>
      <c r="H1" s="158" t="s">
        <v>717</v>
      </c>
      <c r="I1" s="158" t="s">
        <v>57</v>
      </c>
      <c r="J1" s="158" t="s">
        <v>224</v>
      </c>
      <c r="K1" s="158" t="s">
        <v>229</v>
      </c>
      <c r="L1" s="158" t="s">
        <v>230</v>
      </c>
      <c r="M1" s="158" t="s">
        <v>257</v>
      </c>
      <c r="N1" s="158" t="s">
        <v>222</v>
      </c>
      <c r="O1" s="158" t="s">
        <v>37</v>
      </c>
      <c r="P1" s="158" t="s">
        <v>683</v>
      </c>
      <c r="Q1" s="158" t="s">
        <v>678</v>
      </c>
      <c r="R1" s="158" t="s">
        <v>684</v>
      </c>
      <c r="S1" s="158" t="s">
        <v>673</v>
      </c>
      <c r="T1" s="158" t="s">
        <v>685</v>
      </c>
      <c r="U1" s="158" t="s">
        <v>674</v>
      </c>
      <c r="V1" s="158" t="s">
        <v>686</v>
      </c>
      <c r="W1" s="158" t="s">
        <v>675</v>
      </c>
      <c r="X1" s="158" t="s">
        <v>35</v>
      </c>
      <c r="Y1" s="158" t="s">
        <v>36</v>
      </c>
      <c r="Z1" s="158" t="s">
        <v>4</v>
      </c>
      <c r="AA1" s="158" t="s">
        <v>3</v>
      </c>
      <c r="AB1" s="158" t="s">
        <v>5</v>
      </c>
    </row>
    <row r="2" spans="1:28" x14ac:dyDescent="0.25">
      <c r="A2" s="159" t="b">
        <v>0</v>
      </c>
      <c r="B2" s="7">
        <f>ROW()-1</f>
        <v>1</v>
      </c>
      <c r="C2" s="27" t="str">
        <f>_xlfn.XLOOKUP($D2,Tab_Def_Processes[Process_Name],Tab_Def_Processes[ID],,0,)</f>
        <v>01</v>
      </c>
      <c r="D2" s="154" t="s">
        <v>724</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Yes</v>
      </c>
      <c r="H2" s="7" t="str">
        <f>_xlfn.XLOOKUP($D2,Tab_Def_Processes[Process_Name],Tab_Def_Processes[TC_Type],,0,)</f>
        <v>Static</v>
      </c>
      <c r="I2" s="7" t="str">
        <f>_xlfn.XLOOKUP($D2,Tab_Def_Processes[Process_Name],Tab_Def_Processes[Stock?],,0,)</f>
        <v>Yes</v>
      </c>
      <c r="J2" s="7" t="str">
        <f>_xlfn.XLOOKUP($D2,Tab_Def_Processes[Process_Name],Tab_Def_Processes[Initial_Stock?],,0,)</f>
        <v>Yes</v>
      </c>
      <c r="K2" s="7" t="str">
        <f>_xlfn.XLOOKUP($D2,Tab_Def_Processes[Process_Name],Tab_Def_Processes[DSM?],,0,)</f>
        <v>Yes</v>
      </c>
      <c r="L2" s="7" t="str">
        <f>_xlfn.XLOOKUP($D2,Tab_Def_Processes[Process_Name],Tab_Def_Processes[FOMP?],,0,)</f>
        <v>No</v>
      </c>
      <c r="M2" s="7">
        <f>_xlfn.XLOOKUP($D2,Tab_Def_Processes[Process_Name],Tab_Def_Processes[Nr. Outflows],,0,)</f>
        <v>1</v>
      </c>
      <c r="N2" s="154" t="s">
        <v>754</v>
      </c>
      <c r="O2" s="148" t="str">
        <f>_xlfn.XLOOKUP($N2,Tab_Def_Flows[Flow_Name],Tab_Def_Flows[Flow_ID],,0,)</f>
        <v>F_01_15</v>
      </c>
      <c r="P2" s="22" t="str">
        <f>"TC_material"&amp;"_"&amp;RIGHT(O2,5)</f>
        <v>TC_material_01_15</v>
      </c>
      <c r="Q2" s="157">
        <v>1</v>
      </c>
      <c r="R2" s="22" t="str">
        <f>"TC_WC"&amp;"_"&amp;RIGHT(O2,5)</f>
        <v>TC_WC_01_15</v>
      </c>
      <c r="S2" s="157"/>
      <c r="T2" s="22" t="str">
        <f>"TC_DM"&amp;"_"&amp;RIGHT(O2,5)</f>
        <v>TC_DM_01_15</v>
      </c>
      <c r="V2" s="22" t="str">
        <f>"TC_CC"&amp;"_"&amp;RIGHT(O2,5)</f>
        <v>TC_CC_01_15</v>
      </c>
      <c r="X2" s="20"/>
      <c r="Y2" s="20"/>
      <c r="Z2" s="20"/>
      <c r="AA2" s="20"/>
      <c r="AB2" s="20"/>
    </row>
    <row r="3" spans="1:28" x14ac:dyDescent="0.25">
      <c r="A3" s="159" t="b">
        <v>0</v>
      </c>
      <c r="B3" s="7">
        <f t="shared" ref="B3" si="0">ROW()-1</f>
        <v>2</v>
      </c>
      <c r="C3" s="27" t="str">
        <f>_xlfn.XLOOKUP($D3,Tab_Def_Processes[Process_Name],Tab_Def_Processes[ID],,0,)</f>
        <v>03</v>
      </c>
      <c r="D3" s="154" t="s">
        <v>726</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_xlfn.XLOOKUP($D3,Tab_Def_Processes[Process_Name],Tab_Def_Processes[TC_Type],,0,)</f>
        <v>Dynamic</v>
      </c>
      <c r="I3" s="7" t="str">
        <f>_xlfn.XLOOKUP($D3,Tab_Def_Processes[Process_Name],Tab_Def_Processes[Stock?],,0,)</f>
        <v>No</v>
      </c>
      <c r="J3" s="9" t="str">
        <f>_xlfn.XLOOKUP($D3,Tab_Def_Processes[Process_Name],Tab_Def_Processes[Initial_Stock?],,0,)</f>
        <v>No</v>
      </c>
      <c r="K3" s="7" t="str">
        <f>_xlfn.XLOOKUP($D3,Tab_Def_Processes[Process_Name],Tab_Def_Processes[DSM?],,0,)</f>
        <v>No</v>
      </c>
      <c r="L3" s="7" t="str">
        <f>_xlfn.XLOOKUP($D3,Tab_Def_Processes[Process_Name],Tab_Def_Processes[FOMP?],,0,)</f>
        <v>No</v>
      </c>
      <c r="M3" s="7">
        <f>_xlfn.XLOOKUP($D3,Tab_Def_Processes[Process_Name],Tab_Def_Processes[Nr. Outflows],,0,)</f>
        <v>4</v>
      </c>
      <c r="N3" s="154" t="s">
        <v>742</v>
      </c>
      <c r="O3" s="148" t="str">
        <f>_xlfn.XLOOKUP($N3,Tab_Def_Flows[Flow_Name],Tab_Def_Flows[Flow_ID],,0,)</f>
        <v>F_03_04</v>
      </c>
      <c r="P3" s="22" t="str">
        <f t="shared" ref="P3" si="1">"TC_material"&amp;"_"&amp;RIGHT(O3,5)</f>
        <v>TC_material_03_04</v>
      </c>
      <c r="Q3" s="157">
        <v>0.25</v>
      </c>
      <c r="R3" s="22" t="str">
        <f t="shared" ref="R3:R51" si="2">"TC_WC"&amp;"_"&amp;RIGHT(O3,5)</f>
        <v>TC_WC_03_04</v>
      </c>
      <c r="S3" s="157"/>
      <c r="T3" s="22" t="str">
        <f t="shared" ref="T3:T51" si="3">"TC_DM"&amp;"_"&amp;RIGHT(O3,5)</f>
        <v>TC_DM_03_04</v>
      </c>
      <c r="V3" s="22" t="str">
        <f t="shared" ref="V3:V51" si="4">"TC_CC"&amp;"_"&amp;RIGHT(O3,5)</f>
        <v>TC_CC_03_04</v>
      </c>
      <c r="X3" s="20"/>
      <c r="Y3" s="20"/>
      <c r="Z3" s="20"/>
      <c r="AA3" s="20"/>
      <c r="AB3" s="20"/>
    </row>
    <row r="4" spans="1:28" x14ac:dyDescent="0.25">
      <c r="A4" s="159" t="b">
        <v>0</v>
      </c>
      <c r="B4" s="7">
        <f t="shared" ref="B4:B51" si="5">ROW()-1</f>
        <v>3</v>
      </c>
      <c r="C4" s="27" t="str">
        <f>_xlfn.XLOOKUP($D4,Tab_Def_Processes[Process_Name],Tab_Def_Processes[ID],,0,)</f>
        <v>03</v>
      </c>
      <c r="D4" s="154" t="s">
        <v>726</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_xlfn.XLOOKUP($D4,Tab_Def_Processes[Process_Name],Tab_Def_Processes[TC_Type],,0,)</f>
        <v>Dynamic</v>
      </c>
      <c r="I4" s="7" t="str">
        <f>_xlfn.XLOOKUP($D4,Tab_Def_Processes[Process_Name],Tab_Def_Processes[Stock?],,0,)</f>
        <v>No</v>
      </c>
      <c r="J4" s="7" t="str">
        <f>_xlfn.XLOOKUP($D4,Tab_Def_Processes[Process_Name],Tab_Def_Processes[Initial_Stock?],,0,)</f>
        <v>No</v>
      </c>
      <c r="K4" s="7" t="str">
        <f>_xlfn.XLOOKUP($D4,Tab_Def_Processes[Process_Name],Tab_Def_Processes[DSM?],,0,)</f>
        <v>No</v>
      </c>
      <c r="L4" s="7" t="str">
        <f>_xlfn.XLOOKUP($D4,Tab_Def_Processes[Process_Name],Tab_Def_Processes[FOMP?],,0,)</f>
        <v>No</v>
      </c>
      <c r="M4" s="7">
        <f>_xlfn.XLOOKUP($D4,Tab_Def_Processes[Process_Name],Tab_Def_Processes[Nr. Outflows],,0,)</f>
        <v>4</v>
      </c>
      <c r="N4" s="154" t="s">
        <v>743</v>
      </c>
      <c r="O4" s="148" t="str">
        <f>_xlfn.XLOOKUP($N4,Tab_Def_Flows[Flow_Name],Tab_Def_Flows[Flow_ID],,0,)</f>
        <v>F_03_05</v>
      </c>
      <c r="P4" s="22" t="str">
        <f t="shared" ref="P4:P51" si="6">"TC_material"&amp;"_"&amp;RIGHT(O4,5)</f>
        <v>TC_material_03_05</v>
      </c>
      <c r="Q4" s="157">
        <v>0.25</v>
      </c>
      <c r="R4" s="22" t="str">
        <f t="shared" si="2"/>
        <v>TC_WC_03_05</v>
      </c>
      <c r="S4" s="157"/>
      <c r="T4" s="22" t="str">
        <f t="shared" si="3"/>
        <v>TC_DM_03_05</v>
      </c>
      <c r="V4" s="22" t="str">
        <f t="shared" si="4"/>
        <v>TC_CC_03_05</v>
      </c>
      <c r="X4" s="20"/>
      <c r="Y4" s="20"/>
      <c r="Z4" s="20"/>
      <c r="AA4" s="20"/>
      <c r="AB4" s="20"/>
    </row>
    <row r="5" spans="1:28" x14ac:dyDescent="0.25">
      <c r="A5" s="159" t="b">
        <v>0</v>
      </c>
      <c r="B5" s="7">
        <f t="shared" si="5"/>
        <v>4</v>
      </c>
      <c r="C5" s="27" t="str">
        <f>_xlfn.XLOOKUP($D5,Tab_Def_Processes[Process_Name],Tab_Def_Processes[ID],,0,)</f>
        <v>03</v>
      </c>
      <c r="D5" s="154" t="s">
        <v>726</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_xlfn.XLOOKUP($D5,Tab_Def_Processes[Process_Name],Tab_Def_Processes[TC_Type],,0,)</f>
        <v>Dynamic</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4</v>
      </c>
      <c r="N5" s="154" t="s">
        <v>744</v>
      </c>
      <c r="O5" s="148" t="str">
        <f>_xlfn.XLOOKUP($N5,Tab_Def_Flows[Flow_Name],Tab_Def_Flows[Flow_ID],,0,)</f>
        <v>F_03_06</v>
      </c>
      <c r="P5" s="22" t="str">
        <f t="shared" si="6"/>
        <v>TC_material_03_06</v>
      </c>
      <c r="Q5" s="157">
        <v>0.25</v>
      </c>
      <c r="R5" s="22" t="str">
        <f t="shared" si="2"/>
        <v>TC_WC_03_06</v>
      </c>
      <c r="S5" s="157"/>
      <c r="T5" s="22" t="str">
        <f t="shared" si="3"/>
        <v>TC_DM_03_06</v>
      </c>
      <c r="V5" s="22" t="str">
        <f t="shared" si="4"/>
        <v>TC_CC_03_06</v>
      </c>
      <c r="X5" s="20"/>
      <c r="Y5" s="20"/>
      <c r="Z5" s="20"/>
      <c r="AA5" s="20"/>
      <c r="AB5" s="20"/>
    </row>
    <row r="6" spans="1:28" x14ac:dyDescent="0.25">
      <c r="A6" s="159" t="b">
        <v>0</v>
      </c>
      <c r="B6" s="7">
        <f>ROW()-1</f>
        <v>5</v>
      </c>
      <c r="C6" s="27" t="str">
        <f>_xlfn.XLOOKUP($D6,Tab_Def_Processes[Process_Name],Tab_Def_Processes[ID],,0,)</f>
        <v>03</v>
      </c>
      <c r="D6" s="154" t="s">
        <v>726</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_xlfn.XLOOKUP($D6,Tab_Def_Processes[Process_Name],Tab_Def_Processes[TC_Type],,0,)</f>
        <v>Dynamic</v>
      </c>
      <c r="I6" s="7" t="str">
        <f>_xlfn.XLOOKUP($D6,Tab_Def_Processes[Process_Name],Tab_Def_Processes[Stock?],,0,)</f>
        <v>No</v>
      </c>
      <c r="J6" s="9"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4</v>
      </c>
      <c r="N6" s="154" t="s">
        <v>745</v>
      </c>
      <c r="O6" s="148" t="str">
        <f>_xlfn.XLOOKUP($N6,Tab_Def_Flows[Flow_Name],Tab_Def_Flows[Flow_ID],,0,)</f>
        <v>F_03_07</v>
      </c>
      <c r="P6" s="22" t="str">
        <f>"TC_material"&amp;"_"&amp;RIGHT(O6,5)</f>
        <v>TC_material_03_07</v>
      </c>
      <c r="Q6" s="157">
        <v>0.25</v>
      </c>
      <c r="R6" s="22" t="str">
        <f t="shared" si="2"/>
        <v>TC_WC_03_07</v>
      </c>
      <c r="S6" s="157"/>
      <c r="T6" s="22" t="str">
        <f t="shared" si="3"/>
        <v>TC_DM_03_07</v>
      </c>
      <c r="V6" s="22" t="str">
        <f t="shared" si="4"/>
        <v>TC_CC_03_07</v>
      </c>
      <c r="X6" s="20"/>
      <c r="Y6" s="20"/>
      <c r="Z6" s="20"/>
      <c r="AA6" s="20"/>
      <c r="AB6" s="20"/>
    </row>
    <row r="7" spans="1:28" x14ac:dyDescent="0.25">
      <c r="A7" s="159" t="b">
        <v>0</v>
      </c>
      <c r="B7" s="7">
        <f t="shared" si="5"/>
        <v>6</v>
      </c>
      <c r="C7" s="27" t="str">
        <f>_xlfn.XLOOKUP($D7,Tab_Def_Processes[Process_Name],Tab_Def_Processes[ID],,0,)</f>
        <v>06</v>
      </c>
      <c r="D7" s="154" t="s">
        <v>729</v>
      </c>
      <c r="E7" s="7" t="str">
        <f>_xlfn.XLOOKUP($D7,Tab_Def_Processes[Process_Name],Tab_Def_Processes[Process_Type],,0,)</f>
        <v>Process</v>
      </c>
      <c r="F7" s="7" t="str">
        <f>_xlfn.XLOOKUP($D7,Tab_Def_Processes[Process_Name],Tab_Def_Processes[Process_Logic],,0,)</f>
        <v>Transformer</v>
      </c>
      <c r="G7" s="7" t="str">
        <f>_xlfn.XLOOKUP($D7,Tab_Def_Processes[Process_Name],Tab_Def_Processes[TC?],,0,)</f>
        <v>Yes</v>
      </c>
      <c r="H7" s="7" t="str">
        <f>_xlfn.XLOOKUP($D7,Tab_Def_Processes[Process_Name],Tab_Def_Processes[TC_Type],,0,)</f>
        <v>Static</v>
      </c>
      <c r="I7" s="7" t="str">
        <f>_xlfn.XLOOKUP($D7,Tab_Def_Processes[Process_Name],Tab_Def_Processes[Stock?],,0,)</f>
        <v>No</v>
      </c>
      <c r="J7" s="7" t="str">
        <f>_xlfn.XLOOKUP($D7,Tab_Def_Processes[Process_Name],Tab_Def_Processes[Initial_Stock?],,0,)</f>
        <v>No</v>
      </c>
      <c r="K7" s="7" t="str">
        <f>_xlfn.XLOOKUP($D7,Tab_Def_Processes[Process_Name],Tab_Def_Processes[DSM?],,0,)</f>
        <v>No</v>
      </c>
      <c r="L7" s="7" t="str">
        <f>_xlfn.XLOOKUP($D7,Tab_Def_Processes[Process_Name],Tab_Def_Processes[FOMP?],,0,)</f>
        <v>No</v>
      </c>
      <c r="M7" s="7">
        <f>_xlfn.XLOOKUP($D7,Tab_Def_Processes[Process_Name],Tab_Def_Processes[Nr. Outflows],,0,)</f>
        <v>2</v>
      </c>
      <c r="N7" s="154" t="s">
        <v>749</v>
      </c>
      <c r="O7" s="148" t="str">
        <f>_xlfn.XLOOKUP($N7,Tab_Def_Flows[Flow_Name],Tab_Def_Flows[Flow_ID],,0,)</f>
        <v>F_06_08</v>
      </c>
      <c r="P7" s="22" t="str">
        <f t="shared" si="6"/>
        <v>TC_material_06_08</v>
      </c>
      <c r="Q7" s="157"/>
      <c r="R7" s="22" t="str">
        <f t="shared" si="2"/>
        <v>TC_WC_06_08</v>
      </c>
      <c r="S7" s="157">
        <v>0.5</v>
      </c>
      <c r="T7" s="22" t="str">
        <f t="shared" si="3"/>
        <v>TC_DM_06_08</v>
      </c>
      <c r="U7" s="157">
        <v>0.5</v>
      </c>
      <c r="V7" s="22" t="str">
        <f t="shared" si="4"/>
        <v>TC_CC_06_08</v>
      </c>
      <c r="W7" s="157">
        <v>0</v>
      </c>
      <c r="X7" s="20"/>
      <c r="Y7" s="20"/>
      <c r="Z7" s="20"/>
      <c r="AA7" s="20"/>
      <c r="AB7" s="20"/>
    </row>
    <row r="8" spans="1:28" x14ac:dyDescent="0.25">
      <c r="A8" s="159" t="b">
        <v>0</v>
      </c>
      <c r="B8" s="7">
        <f t="shared" si="5"/>
        <v>7</v>
      </c>
      <c r="C8" s="27" t="str">
        <f>_xlfn.XLOOKUP($D8,Tab_Def_Processes[Process_Name],Tab_Def_Processes[ID],,0,)</f>
        <v>06</v>
      </c>
      <c r="D8" s="154" t="s">
        <v>729</v>
      </c>
      <c r="E8" s="7" t="str">
        <f>_xlfn.XLOOKUP($D8,Tab_Def_Processes[Process_Name],Tab_Def_Processes[Process_Type],,0,)</f>
        <v>Process</v>
      </c>
      <c r="F8" s="7" t="str">
        <f>_xlfn.XLOOKUP($D8,Tab_Def_Processes[Process_Name],Tab_Def_Processes[Process_Logic],,0,)</f>
        <v>Transformer</v>
      </c>
      <c r="G8" s="7" t="str">
        <f>_xlfn.XLOOKUP($D8,Tab_Def_Processes[Process_Name],Tab_Def_Processes[TC?],,0,)</f>
        <v>Yes</v>
      </c>
      <c r="H8" s="7" t="str">
        <f>_xlfn.XLOOKUP($D8,Tab_Def_Processes[Process_Name],Tab_Def_Processes[TC_Type],,0,)</f>
        <v>Static</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4" t="s">
        <v>748</v>
      </c>
      <c r="O8" s="148" t="str">
        <f>_xlfn.XLOOKUP($N8,Tab_Def_Flows[Flow_Name],Tab_Def_Flows[Flow_ID],,0,)</f>
        <v>F_06_09</v>
      </c>
      <c r="P8" s="22" t="str">
        <f t="shared" si="6"/>
        <v>TC_material_06_09</v>
      </c>
      <c r="Q8" s="157"/>
      <c r="R8" s="22" t="str">
        <f t="shared" si="2"/>
        <v>TC_WC_06_09</v>
      </c>
      <c r="S8" s="157">
        <v>0.5</v>
      </c>
      <c r="T8" s="22" t="str">
        <f t="shared" si="3"/>
        <v>TC_DM_06_09</v>
      </c>
      <c r="U8" s="157">
        <v>0.5</v>
      </c>
      <c r="V8" s="22" t="str">
        <f t="shared" si="4"/>
        <v>TC_CC_06_09</v>
      </c>
      <c r="W8" s="157">
        <v>1</v>
      </c>
      <c r="X8" s="20"/>
      <c r="Y8" s="20"/>
      <c r="Z8" s="20"/>
      <c r="AA8" s="20"/>
      <c r="AB8" s="20"/>
    </row>
    <row r="9" spans="1:28" x14ac:dyDescent="0.25">
      <c r="A9" s="159" t="b">
        <v>0</v>
      </c>
      <c r="B9" s="7">
        <f t="shared" si="5"/>
        <v>8</v>
      </c>
      <c r="C9" s="27" t="str">
        <f>_xlfn.XLOOKUP($D9,Tab_Def_Processes[Process_Name],Tab_Def_Processes[ID],,0,)</f>
        <v>05</v>
      </c>
      <c r="D9" s="154" t="s">
        <v>728</v>
      </c>
      <c r="E9" s="7" t="str">
        <f>_xlfn.XLOOKUP($D9,Tab_Def_Processes[Process_Name],Tab_Def_Processes[Process_Type],,0,)</f>
        <v>Process</v>
      </c>
      <c r="F9" s="7" t="str">
        <f>_xlfn.XLOOKUP($D9,Tab_Def_Processes[Process_Name],Tab_Def_Processes[Process_Logic],,0,)</f>
        <v>Splitter</v>
      </c>
      <c r="G9" s="7" t="str">
        <f>_xlfn.XLOOKUP($D9,Tab_Def_Processes[Process_Name],Tab_Def_Processes[TC?],,0,)</f>
        <v>Yes</v>
      </c>
      <c r="H9" s="7" t="str">
        <f>_xlfn.XLOOKUP($D9,Tab_Def_Processes[Process_Name],Tab_Def_Processes[TC_Type],,0,)</f>
        <v>Static</v>
      </c>
      <c r="I9" s="7" t="str">
        <f>_xlfn.XLOOKUP($D9,Tab_Def_Processes[Process_Name],Tab_Def_Processes[Stock?],,0,)</f>
        <v>No</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4" t="s">
        <v>750</v>
      </c>
      <c r="O9" s="148" t="str">
        <f>_xlfn.XLOOKUP($N9,Tab_Def_Flows[Flow_Name],Tab_Def_Flows[Flow_ID],,0,)</f>
        <v>F_05_10</v>
      </c>
      <c r="P9" s="22" t="str">
        <f t="shared" si="6"/>
        <v>TC_material_05_10</v>
      </c>
      <c r="Q9" s="157">
        <v>0.1</v>
      </c>
      <c r="R9" s="22" t="str">
        <f t="shared" si="2"/>
        <v>TC_WC_05_10</v>
      </c>
      <c r="S9" s="157"/>
      <c r="T9" s="22" t="str">
        <f t="shared" si="3"/>
        <v>TC_DM_05_10</v>
      </c>
      <c r="V9" s="22" t="str">
        <f t="shared" si="4"/>
        <v>TC_CC_05_10</v>
      </c>
      <c r="X9" s="20"/>
      <c r="Y9" s="20"/>
      <c r="Z9" s="20"/>
      <c r="AA9" s="20"/>
      <c r="AB9" s="20"/>
    </row>
    <row r="10" spans="1:28" x14ac:dyDescent="0.25">
      <c r="A10" s="159" t="b">
        <v>0</v>
      </c>
      <c r="B10" s="7">
        <f t="shared" si="5"/>
        <v>9</v>
      </c>
      <c r="C10" s="27" t="str">
        <f>_xlfn.XLOOKUP($D10,Tab_Def_Processes[Process_Name],Tab_Def_Processes[ID],,0,)</f>
        <v>05</v>
      </c>
      <c r="D10" s="154" t="s">
        <v>728</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_xlfn.XLOOKUP($D10,Tab_Def_Processes[Process_Name],Tab_Def_Processes[TC_Type],,0,)</f>
        <v>Static</v>
      </c>
      <c r="I10" s="7" t="str">
        <f>_xlfn.XLOOKUP($D10,Tab_Def_Processes[Process_Name],Tab_Def_Processes[Stock?],,0,)</f>
        <v>No</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4" t="s">
        <v>747</v>
      </c>
      <c r="O10" s="148" t="str">
        <f>_xlfn.XLOOKUP($N10,Tab_Def_Flows[Flow_Name],Tab_Def_Flows[Flow_ID],,0,)</f>
        <v>F_05_11</v>
      </c>
      <c r="P10" s="22" t="str">
        <f t="shared" si="6"/>
        <v>TC_material_05_11</v>
      </c>
      <c r="Q10" s="157">
        <v>0.9</v>
      </c>
      <c r="R10" s="22" t="str">
        <f t="shared" si="2"/>
        <v>TC_WC_05_11</v>
      </c>
      <c r="S10" s="157"/>
      <c r="T10" s="22" t="str">
        <f t="shared" si="3"/>
        <v>TC_DM_05_11</v>
      </c>
      <c r="V10" s="22" t="str">
        <f t="shared" si="4"/>
        <v>TC_CC_05_11</v>
      </c>
      <c r="X10" s="20"/>
      <c r="Y10" s="20"/>
      <c r="Z10" s="20"/>
      <c r="AA10" s="20"/>
      <c r="AB10" s="20"/>
    </row>
    <row r="11" spans="1:28" x14ac:dyDescent="0.25">
      <c r="A11" s="159" t="b">
        <v>0</v>
      </c>
      <c r="B11" s="7">
        <f t="shared" si="5"/>
        <v>10</v>
      </c>
      <c r="C11" s="27" t="str">
        <f>_xlfn.XLOOKUP($D11,Tab_Def_Processes[Process_Name],Tab_Def_Processes[ID],,0,)</f>
        <v>00</v>
      </c>
      <c r="D11" s="154" t="s">
        <v>723</v>
      </c>
      <c r="E11" s="7" t="str">
        <f>_xlfn.XLOOKUP($D11,Tab_Def_Processes[Process_Name],Tab_Def_Processes[Process_Type],,0,)</f>
        <v>Process</v>
      </c>
      <c r="F11" s="7" t="str">
        <f>_xlfn.XLOOKUP($D11,Tab_Def_Processes[Process_Name],Tab_Def_Processes[Process_Logic],,0,)</f>
        <v>Transformer</v>
      </c>
      <c r="G11" s="7" t="str">
        <f>_xlfn.XLOOKUP($D11,Tab_Def_Processes[Process_Name],Tab_Def_Processes[TC?],,0,)</f>
        <v>Yes</v>
      </c>
      <c r="H11" s="7" t="str">
        <f>_xlfn.XLOOKUP($D11,Tab_Def_Processes[Process_Name],Tab_Def_Processes[TC_Type],,0,)</f>
        <v>Static</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1</v>
      </c>
      <c r="N11" s="154" t="s">
        <v>739</v>
      </c>
      <c r="O11" s="148" t="str">
        <f>_xlfn.XLOOKUP($N11,Tab_Def_Flows[Flow_Name],Tab_Def_Flows[Flow_ID],,0,)</f>
        <v>F_00_01</v>
      </c>
      <c r="P11" s="22" t="str">
        <f t="shared" si="6"/>
        <v>TC_material_00_01</v>
      </c>
      <c r="Q11" s="157">
        <v>0</v>
      </c>
      <c r="R11" s="22" t="str">
        <f t="shared" si="2"/>
        <v>TC_WC_00_01</v>
      </c>
      <c r="S11" s="157">
        <v>1</v>
      </c>
      <c r="T11" s="22" t="str">
        <f t="shared" si="3"/>
        <v>TC_DM_00_01</v>
      </c>
      <c r="U11" s="157">
        <v>1</v>
      </c>
      <c r="V11" s="22" t="str">
        <f t="shared" si="4"/>
        <v>TC_CC_00_01</v>
      </c>
      <c r="W11" s="157">
        <v>1</v>
      </c>
      <c r="X11" s="20"/>
      <c r="Y11" s="20"/>
      <c r="Z11" s="20"/>
      <c r="AA11" s="20"/>
      <c r="AB11" s="20"/>
    </row>
    <row r="12" spans="1:28" x14ac:dyDescent="0.25">
      <c r="A12" s="159" t="b">
        <v>0</v>
      </c>
      <c r="B12" s="7">
        <f t="shared" si="5"/>
        <v>11</v>
      </c>
      <c r="C12" s="27" t="str">
        <f>_xlfn.XLOOKUP($D12,Tab_Def_Processes[Process_Name],Tab_Def_Processes[ID],,0,)</f>
        <v>04</v>
      </c>
      <c r="D12" s="154" t="s">
        <v>727</v>
      </c>
      <c r="E12" s="7" t="str">
        <f>_xlfn.XLOOKUP($D12,Tab_Def_Processes[Process_Name],Tab_Def_Processes[Process_Type],,0,)</f>
        <v>Process</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_xlfn.XLOOKUP($D12,Tab_Def_Processes[Process_Name],Tab_Def_Processes[TC_Type],,0,)</f>
        <v>Static</v>
      </c>
      <c r="I12" s="7" t="str">
        <f>_xlfn.XLOOKUP($D12,Tab_Def_Processes[Process_Name],Tab_Def_Processes[Stock?],,0,)</f>
        <v>No</v>
      </c>
      <c r="J12" s="7" t="str">
        <f>_xlfn.XLOOKUP($D12,Tab_Def_Processes[Process_Name],Tab_Def_Processes[Initial_Stock?],,0,)</f>
        <v>No</v>
      </c>
      <c r="K12" s="7" t="str">
        <f>_xlfn.XLOOKUP($D12,Tab_Def_Processes[Process_Name],Tab_Def_Processes[DSM?],,0,)</f>
        <v>No</v>
      </c>
      <c r="L12" s="7" t="str">
        <f>_xlfn.XLOOKUP($D12,Tab_Def_Processes[Process_Name],Tab_Def_Processes[FOMP?],,0,)</f>
        <v>No</v>
      </c>
      <c r="M12" s="7">
        <f>_xlfn.XLOOKUP($D12,Tab_Def_Processes[Process_Name],Tab_Def_Processes[Nr. Outflows],,0,)</f>
        <v>1</v>
      </c>
      <c r="N12" s="154" t="s">
        <v>746</v>
      </c>
      <c r="O12" s="148" t="str">
        <f>_xlfn.XLOOKUP($N12,Tab_Def_Flows[Flow_Name],Tab_Def_Flows[Flow_ID],,0,)</f>
        <v>F_04_01</v>
      </c>
      <c r="P12" s="22" t="str">
        <f t="shared" si="6"/>
        <v>TC_material_04_01</v>
      </c>
      <c r="Q12" s="157"/>
      <c r="R12" s="22" t="str">
        <f t="shared" si="2"/>
        <v>TC_WC_04_01</v>
      </c>
      <c r="S12" s="157">
        <v>1</v>
      </c>
      <c r="T12" s="22" t="str">
        <f t="shared" si="3"/>
        <v>TC_DM_04_01</v>
      </c>
      <c r="U12" s="157">
        <v>1</v>
      </c>
      <c r="V12" s="22" t="str">
        <f t="shared" si="4"/>
        <v>TC_CC_04_01</v>
      </c>
      <c r="W12" s="157">
        <v>1</v>
      </c>
      <c r="X12" s="20"/>
      <c r="Y12" s="20"/>
      <c r="Z12" s="20"/>
      <c r="AA12" s="20"/>
      <c r="AB12" s="20"/>
    </row>
    <row r="13" spans="1:28" x14ac:dyDescent="0.25">
      <c r="A13" s="159" t="b">
        <v>0</v>
      </c>
      <c r="B13" s="7">
        <f t="shared" si="5"/>
        <v>12</v>
      </c>
      <c r="C13" s="27" t="str">
        <f>_xlfn.XLOOKUP($D13,Tab_Def_Processes[Process_Name],Tab_Def_Processes[ID],,0,)</f>
        <v>15</v>
      </c>
      <c r="D13" s="154" t="s">
        <v>740</v>
      </c>
      <c r="E13" s="7" t="str">
        <f>_xlfn.XLOOKUP($D13,Tab_Def_Processes[Process_Name],Tab_Def_Processes[Process_Type],,0,)</f>
        <v>Process</v>
      </c>
      <c r="F13" s="7" t="str">
        <f>_xlfn.XLOOKUP($D13,Tab_Def_Processes[Process_Name],Tab_Def_Processes[Process_Logic],,0,)</f>
        <v>Splitter</v>
      </c>
      <c r="G13" s="7" t="str">
        <f>_xlfn.XLOOKUP($D13,Tab_Def_Processes[Process_Name],Tab_Def_Processes[TC?],,0,)</f>
        <v>Yes</v>
      </c>
      <c r="H13" s="7" t="str">
        <f>_xlfn.XLOOKUP($D13,Tab_Def_Processes[Process_Name],Tab_Def_Processes[TC_Type],,0,)</f>
        <v>Static</v>
      </c>
      <c r="I13" s="7" t="str">
        <f>_xlfn.XLOOKUP($D13,Tab_Def_Processes[Process_Name],Tab_Def_Processes[Stock?],,0,)</f>
        <v>No</v>
      </c>
      <c r="J13" s="7" t="str">
        <f>_xlfn.XLOOKUP($D13,Tab_Def_Processes[Process_Name],Tab_Def_Processes[Initial_Stock?],,0,)</f>
        <v>No</v>
      </c>
      <c r="K13" s="7" t="str">
        <f>_xlfn.XLOOKUP($D13,Tab_Def_Processes[Process_Name],Tab_Def_Processes[DSM?],,0,)</f>
        <v>No</v>
      </c>
      <c r="L13" s="7" t="str">
        <f>_xlfn.XLOOKUP($D13,Tab_Def_Processes[Process_Name],Tab_Def_Processes[FOMP?],,0,)</f>
        <v>No</v>
      </c>
      <c r="M13" s="7">
        <f>_xlfn.XLOOKUP($D13,Tab_Def_Processes[Process_Name],Tab_Def_Processes[Nr. Outflows],,0,)</f>
        <v>2</v>
      </c>
      <c r="N13" s="154" t="s">
        <v>740</v>
      </c>
      <c r="O13" s="148" t="str">
        <f>_xlfn.XLOOKUP($N13,Tab_Def_Flows[Flow_Name],Tab_Def_Flows[Flow_ID],,0,)</f>
        <v>F_15_02</v>
      </c>
      <c r="P13" s="22" t="str">
        <f t="shared" si="6"/>
        <v>TC_material_15_02</v>
      </c>
      <c r="Q13" s="157">
        <v>0.1</v>
      </c>
      <c r="R13" s="22" t="str">
        <f t="shared" si="2"/>
        <v>TC_WC_15_02</v>
      </c>
      <c r="S13" s="157"/>
      <c r="T13" s="22" t="str">
        <f t="shared" si="3"/>
        <v>TC_DM_15_02</v>
      </c>
      <c r="V13" s="22" t="str">
        <f t="shared" si="4"/>
        <v>TC_CC_15_02</v>
      </c>
      <c r="X13" s="20"/>
      <c r="Y13" s="20"/>
      <c r="Z13" s="20"/>
      <c r="AA13" s="20"/>
      <c r="AB13" s="20"/>
    </row>
    <row r="14" spans="1:28" x14ac:dyDescent="0.25">
      <c r="A14" s="159" t="b">
        <v>0</v>
      </c>
      <c r="B14" s="7">
        <f>ROW()-1</f>
        <v>13</v>
      </c>
      <c r="C14" s="27" t="str">
        <f>_xlfn.XLOOKUP($D14,Tab_Def_Processes[Process_Name],Tab_Def_Processes[ID],,0,)</f>
        <v>15</v>
      </c>
      <c r="D14" s="154" t="s">
        <v>740</v>
      </c>
      <c r="E14" s="7" t="str">
        <f>_xlfn.XLOOKUP($D14,Tab_Def_Processes[Process_Name],Tab_Def_Processes[Process_Type],,0,)</f>
        <v>Process</v>
      </c>
      <c r="F14" s="7" t="str">
        <f>_xlfn.XLOOKUP($D14,Tab_Def_Processes[Process_Name],Tab_Def_Processes[Process_Logic],,0,)</f>
        <v>Splitter</v>
      </c>
      <c r="G14" s="7" t="str">
        <f>_xlfn.XLOOKUP($D14,Tab_Def_Processes[Process_Name],Tab_Def_Processes[TC?],,0,)</f>
        <v>Yes</v>
      </c>
      <c r="H14" s="7" t="str">
        <f>_xlfn.XLOOKUP($D14,Tab_Def_Processes[Process_Name],Tab_Def_Processes[TC_Type],,0,)</f>
        <v>Static</v>
      </c>
      <c r="I14" s="7" t="str">
        <f>_xlfn.XLOOKUP($D14,Tab_Def_Processes[Process_Name],Tab_Def_Processes[Stock?],,0,)</f>
        <v>No</v>
      </c>
      <c r="J14" s="9" t="str">
        <f>_xlfn.XLOOKUP($D14,Tab_Def_Processes[Process_Name],Tab_Def_Processes[Initial_Stock?],,0,)</f>
        <v>No</v>
      </c>
      <c r="K14" s="7" t="str">
        <f>_xlfn.XLOOKUP($D14,Tab_Def_Processes[Process_Name],Tab_Def_Processes[DSM?],,0,)</f>
        <v>No</v>
      </c>
      <c r="L14" s="7" t="str">
        <f>_xlfn.XLOOKUP($D14,Tab_Def_Processes[Process_Name],Tab_Def_Processes[FOMP?],,0,)</f>
        <v>No</v>
      </c>
      <c r="M14" s="7">
        <f>_xlfn.XLOOKUP($D14,Tab_Def_Processes[Process_Name],Tab_Def_Processes[Nr. Outflows],,0,)</f>
        <v>2</v>
      </c>
      <c r="N14" s="154" t="s">
        <v>741</v>
      </c>
      <c r="O14" s="148" t="str">
        <f>_xlfn.XLOOKUP($N14,Tab_Def_Flows[Flow_Name],Tab_Def_Flows[Flow_ID],,0,)</f>
        <v>F_15_03</v>
      </c>
      <c r="P14" s="22" t="str">
        <f>"TC_material"&amp;"_"&amp;RIGHT(O14,5)</f>
        <v>TC_material_15_03</v>
      </c>
      <c r="Q14" s="157">
        <v>0.9</v>
      </c>
      <c r="R14" s="22" t="str">
        <f t="shared" si="2"/>
        <v>TC_WC_15_03</v>
      </c>
      <c r="S14" s="157"/>
      <c r="T14" s="22" t="str">
        <f t="shared" si="3"/>
        <v>TC_DM_15_03</v>
      </c>
      <c r="V14" s="22" t="str">
        <f t="shared" si="4"/>
        <v>TC_CC_15_03</v>
      </c>
      <c r="X14" s="20"/>
      <c r="Y14" s="20"/>
      <c r="Z14" s="20"/>
      <c r="AA14" s="20"/>
      <c r="AB14" s="20"/>
    </row>
    <row r="15" spans="1:28" x14ac:dyDescent="0.25">
      <c r="A15" s="159" t="b">
        <v>0</v>
      </c>
      <c r="B15" s="7">
        <f t="shared" si="5"/>
        <v>14</v>
      </c>
      <c r="C15" s="27" t="str">
        <f>_xlfn.XLOOKUP($D15,Tab_Def_Processes[Process_Name],Tab_Def_Processes[ID],,0,)</f>
        <v>16</v>
      </c>
      <c r="D15" s="154"/>
      <c r="E15" s="7">
        <f>_xlfn.XLOOKUP($D15,Tab_Def_Processes[Process_Name],Tab_Def_Processes[Process_Type],,0,)</f>
        <v>0</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7">
        <f>_xlfn.XLOOKUP($D15,Tab_Def_Processes[Process_Name],Tab_Def_Processes[Initial_Stock?],,0,)</f>
        <v>0</v>
      </c>
      <c r="K15" s="7">
        <f>_xlfn.XLOOKUP($D15,Tab_Def_Processes[Process_Name],Tab_Def_Processes[DSM?],,0,)</f>
        <v>0</v>
      </c>
      <c r="L15" s="7">
        <f>_xlfn.XLOOKUP($D15,Tab_Def_Processes[Process_Name],Tab_Def_Processes[FOMP?],,0,)</f>
        <v>0</v>
      </c>
      <c r="M15" s="7">
        <f>_xlfn.XLOOKUP($D15,Tab_Def_Processes[Process_Name],Tab_Def_Processes[Nr. Outflows],,0,)</f>
        <v>0</v>
      </c>
      <c r="N15" s="154"/>
      <c r="O15" s="148" t="str">
        <f>_xlfn.XLOOKUP($N15,Tab_Def_Flows[Flow_Name],Tab_Def_Flows[Flow_ID],,0,)</f>
        <v>F_16_16</v>
      </c>
      <c r="P15" s="22" t="str">
        <f t="shared" si="6"/>
        <v>TC_material_16_16</v>
      </c>
      <c r="Q15" s="157"/>
      <c r="R15" s="22" t="str">
        <f t="shared" si="2"/>
        <v>TC_WC_16_16</v>
      </c>
      <c r="S15" s="157"/>
      <c r="T15" s="22" t="str">
        <f t="shared" si="3"/>
        <v>TC_DM_16_16</v>
      </c>
      <c r="V15" s="22" t="str">
        <f t="shared" si="4"/>
        <v>TC_CC_16_16</v>
      </c>
      <c r="X15" s="20"/>
      <c r="Y15" s="20"/>
      <c r="Z15" s="20"/>
      <c r="AA15" s="20"/>
      <c r="AB15" s="20"/>
    </row>
    <row r="16" spans="1:28" x14ac:dyDescent="0.25">
      <c r="A16" s="159" t="b">
        <v>0</v>
      </c>
      <c r="B16" s="7">
        <f t="shared" si="5"/>
        <v>15</v>
      </c>
      <c r="C16" s="27" t="str">
        <f>_xlfn.XLOOKUP($D16,Tab_Def_Processes[Process_Name],Tab_Def_Processes[ID],,0,)</f>
        <v>16</v>
      </c>
      <c r="D16" s="154"/>
      <c r="E16" s="7">
        <f>_xlfn.XLOOKUP($D16,Tab_Def_Processes[Process_Name],Tab_Def_Processes[Process_Type],,0,)</f>
        <v>0</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f>_xlfn.XLOOKUP($D16,Tab_Def_Processes[Process_Name],Tab_Def_Processes[DSM?],,0,)</f>
        <v>0</v>
      </c>
      <c r="L16" s="7">
        <f>_xlfn.XLOOKUP($D16,Tab_Def_Processes[Process_Name],Tab_Def_Processes[FOMP?],,0,)</f>
        <v>0</v>
      </c>
      <c r="M16" s="7">
        <f>_xlfn.XLOOKUP($D16,Tab_Def_Processes[Process_Name],Tab_Def_Processes[Nr. Outflows],,0,)</f>
        <v>0</v>
      </c>
      <c r="N16" s="154"/>
      <c r="O16" s="148" t="str">
        <f>_xlfn.XLOOKUP($N16,Tab_Def_Flows[Flow_Name],Tab_Def_Flows[Flow_ID],,0,)</f>
        <v>F_16_16</v>
      </c>
      <c r="P16" s="22" t="str">
        <f t="shared" si="6"/>
        <v>TC_material_16_16</v>
      </c>
      <c r="Q16" s="157"/>
      <c r="R16" s="22" t="str">
        <f t="shared" si="2"/>
        <v>TC_WC_16_16</v>
      </c>
      <c r="S16" s="157"/>
      <c r="T16" s="22" t="str">
        <f t="shared" si="3"/>
        <v>TC_DM_16_16</v>
      </c>
      <c r="V16" s="22" t="str">
        <f t="shared" si="4"/>
        <v>TC_CC_16_16</v>
      </c>
      <c r="X16" s="20"/>
      <c r="Y16" s="20"/>
      <c r="Z16" s="20"/>
      <c r="AA16" s="20"/>
      <c r="AB16" s="20"/>
    </row>
    <row r="17" spans="1:28" x14ac:dyDescent="0.25">
      <c r="A17" s="159" t="b">
        <v>0</v>
      </c>
      <c r="B17" s="7">
        <f t="shared" si="5"/>
        <v>16</v>
      </c>
      <c r="C17" s="27" t="str">
        <f>_xlfn.XLOOKUP($D17,Tab_Def_Processes[Process_Name],Tab_Def_Processes[ID],,0,)</f>
        <v>16</v>
      </c>
      <c r="D17" s="154"/>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4"/>
      <c r="O17" s="148" t="str">
        <f>_xlfn.XLOOKUP($N17,Tab_Def_Flows[Flow_Name],Tab_Def_Flows[Flow_ID],,0,)</f>
        <v>F_16_16</v>
      </c>
      <c r="P17" s="22" t="str">
        <f t="shared" si="6"/>
        <v>TC_material_16_16</v>
      </c>
      <c r="Q17" s="157"/>
      <c r="R17" s="22" t="str">
        <f t="shared" si="2"/>
        <v>TC_WC_16_16</v>
      </c>
      <c r="S17" s="157"/>
      <c r="T17" s="22" t="str">
        <f t="shared" si="3"/>
        <v>TC_DM_16_16</v>
      </c>
      <c r="V17" s="22" t="str">
        <f t="shared" si="4"/>
        <v>TC_CC_16_16</v>
      </c>
      <c r="X17" s="20"/>
      <c r="Y17" s="20"/>
      <c r="Z17" s="20"/>
      <c r="AA17" s="20"/>
      <c r="AB17" s="20"/>
    </row>
    <row r="18" spans="1:28" x14ac:dyDescent="0.25">
      <c r="A18" s="159" t="b">
        <v>0</v>
      </c>
      <c r="B18" s="7">
        <f t="shared" si="5"/>
        <v>17</v>
      </c>
      <c r="C18" s="27" t="str">
        <f>_xlfn.XLOOKUP($D18,Tab_Def_Processes[Process_Name],Tab_Def_Processes[ID],,0,)</f>
        <v>16</v>
      </c>
      <c r="D18" s="154"/>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4"/>
      <c r="O18" s="148" t="str">
        <f>_xlfn.XLOOKUP($N18,Tab_Def_Flows[Flow_Name],Tab_Def_Flows[Flow_ID],,0,)</f>
        <v>F_16_16</v>
      </c>
      <c r="P18" s="22" t="str">
        <f t="shared" si="6"/>
        <v>TC_material_16_16</v>
      </c>
      <c r="Q18" s="157"/>
      <c r="R18" s="22" t="str">
        <f t="shared" si="2"/>
        <v>TC_WC_16_16</v>
      </c>
      <c r="S18" s="157"/>
      <c r="T18" s="22" t="str">
        <f t="shared" si="3"/>
        <v>TC_DM_16_16</v>
      </c>
      <c r="V18" s="22" t="str">
        <f t="shared" si="4"/>
        <v>TC_CC_16_16</v>
      </c>
      <c r="X18" s="20"/>
      <c r="Y18" s="20"/>
      <c r="Z18" s="20"/>
      <c r="AA18" s="20"/>
      <c r="AB18" s="20"/>
    </row>
    <row r="19" spans="1:28" x14ac:dyDescent="0.25">
      <c r="A19" s="159" t="b">
        <v>0</v>
      </c>
      <c r="B19" s="7">
        <f t="shared" si="5"/>
        <v>18</v>
      </c>
      <c r="C19" s="27" t="str">
        <f>_xlfn.XLOOKUP($D19,Tab_Def_Processes[Process_Name],Tab_Def_Processes[ID],,0,)</f>
        <v>16</v>
      </c>
      <c r="D19" s="154"/>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4"/>
      <c r="O19" s="148" t="str">
        <f>_xlfn.XLOOKUP($N19,Tab_Def_Flows[Flow_Name],Tab_Def_Flows[Flow_ID],,0,)</f>
        <v>F_16_16</v>
      </c>
      <c r="P19" s="22" t="str">
        <f t="shared" si="6"/>
        <v>TC_material_16_16</v>
      </c>
      <c r="Q19" s="157"/>
      <c r="R19" s="22" t="str">
        <f t="shared" si="2"/>
        <v>TC_WC_16_16</v>
      </c>
      <c r="S19" s="157"/>
      <c r="T19" s="22" t="str">
        <f t="shared" si="3"/>
        <v>TC_DM_16_16</v>
      </c>
      <c r="V19" s="22" t="str">
        <f t="shared" si="4"/>
        <v>TC_CC_16_16</v>
      </c>
      <c r="X19" s="20"/>
      <c r="Y19" s="20"/>
      <c r="Z19" s="20"/>
      <c r="AA19" s="20"/>
      <c r="AB19" s="20"/>
    </row>
    <row r="20" spans="1:28" x14ac:dyDescent="0.25">
      <c r="A20" s="159" t="b">
        <v>0</v>
      </c>
      <c r="B20" s="7">
        <f t="shared" si="5"/>
        <v>19</v>
      </c>
      <c r="C20" s="27" t="str">
        <f>_xlfn.XLOOKUP($D20,Tab_Def_Processes[Process_Name],Tab_Def_Processes[ID],,0,)</f>
        <v>16</v>
      </c>
      <c r="D20" s="154"/>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4"/>
      <c r="O20" s="148" t="str">
        <f>_xlfn.XLOOKUP($N20,Tab_Def_Flows[Flow_Name],Tab_Def_Flows[Flow_ID],,0,)</f>
        <v>F_16_16</v>
      </c>
      <c r="P20" s="22" t="str">
        <f t="shared" si="6"/>
        <v>TC_material_16_16</v>
      </c>
      <c r="Q20" s="157"/>
      <c r="R20" s="22" t="str">
        <f t="shared" si="2"/>
        <v>TC_WC_16_16</v>
      </c>
      <c r="S20" s="157"/>
      <c r="T20" s="22" t="str">
        <f t="shared" si="3"/>
        <v>TC_DM_16_16</v>
      </c>
      <c r="V20" s="22" t="str">
        <f t="shared" si="4"/>
        <v>TC_CC_16_16</v>
      </c>
      <c r="X20" s="20"/>
      <c r="Y20" s="20"/>
      <c r="Z20" s="20"/>
      <c r="AA20" s="20"/>
      <c r="AB20" s="20"/>
    </row>
    <row r="21" spans="1:28" x14ac:dyDescent="0.25">
      <c r="A21" s="159" t="b">
        <v>0</v>
      </c>
      <c r="B21" s="7">
        <f t="shared" si="5"/>
        <v>20</v>
      </c>
      <c r="C21" s="27" t="str">
        <f>_xlfn.XLOOKUP($D21,Tab_Def_Processes[Process_Name],Tab_Def_Processes[ID],,0,)</f>
        <v>16</v>
      </c>
      <c r="D21" s="154"/>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4"/>
      <c r="O21" s="148" t="str">
        <f>_xlfn.XLOOKUP($N21,Tab_Def_Flows[Flow_Name],Tab_Def_Flows[Flow_ID],,0,)</f>
        <v>F_16_16</v>
      </c>
      <c r="P21" s="22" t="str">
        <f t="shared" si="6"/>
        <v>TC_material_16_16</v>
      </c>
      <c r="Q21" s="157"/>
      <c r="R21" s="22" t="str">
        <f t="shared" si="2"/>
        <v>TC_WC_16_16</v>
      </c>
      <c r="S21" s="157"/>
      <c r="T21" s="22" t="str">
        <f t="shared" si="3"/>
        <v>TC_DM_16_16</v>
      </c>
      <c r="V21" s="22" t="str">
        <f t="shared" si="4"/>
        <v>TC_CC_16_16</v>
      </c>
      <c r="X21" s="20"/>
      <c r="Y21" s="20"/>
      <c r="Z21" s="20"/>
      <c r="AA21" s="20"/>
      <c r="AB21" s="20"/>
    </row>
    <row r="22" spans="1:28" x14ac:dyDescent="0.25">
      <c r="A22" s="159" t="b">
        <v>0</v>
      </c>
      <c r="B22" s="7">
        <f t="shared" si="5"/>
        <v>21</v>
      </c>
      <c r="C22" s="27" t="str">
        <f>_xlfn.XLOOKUP($D22,Tab_Def_Processes[Process_Name],Tab_Def_Processes[ID],,0,)</f>
        <v>16</v>
      </c>
      <c r="D22" s="154"/>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4"/>
      <c r="O22" s="148" t="str">
        <f>_xlfn.XLOOKUP($N22,Tab_Def_Flows[Flow_Name],Tab_Def_Flows[Flow_ID],,0,)</f>
        <v>F_16_16</v>
      </c>
      <c r="P22" s="22" t="str">
        <f t="shared" si="6"/>
        <v>TC_material_16_16</v>
      </c>
      <c r="Q22" s="157"/>
      <c r="R22" s="22" t="str">
        <f t="shared" si="2"/>
        <v>TC_WC_16_16</v>
      </c>
      <c r="S22" s="157"/>
      <c r="T22" s="22" t="str">
        <f t="shared" si="3"/>
        <v>TC_DM_16_16</v>
      </c>
      <c r="V22" s="22" t="str">
        <f t="shared" si="4"/>
        <v>TC_CC_16_16</v>
      </c>
      <c r="X22" s="20"/>
      <c r="Y22" s="20"/>
      <c r="Z22" s="20"/>
      <c r="AA22" s="20"/>
      <c r="AB22" s="20"/>
    </row>
    <row r="23" spans="1:28" x14ac:dyDescent="0.25">
      <c r="A23" s="159" t="b">
        <v>0</v>
      </c>
      <c r="B23" s="7">
        <f t="shared" si="5"/>
        <v>22</v>
      </c>
      <c r="C23" s="27" t="str">
        <f>_xlfn.XLOOKUP($D23,Tab_Def_Processes[Process_Name],Tab_Def_Processes[ID],,0,)</f>
        <v>16</v>
      </c>
      <c r="D23" s="154"/>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4"/>
      <c r="O23" s="148" t="str">
        <f>_xlfn.XLOOKUP($N23,Tab_Def_Flows[Flow_Name],Tab_Def_Flows[Flow_ID],,0,)</f>
        <v>F_16_16</v>
      </c>
      <c r="P23" s="22" t="str">
        <f t="shared" si="6"/>
        <v>TC_material_16_16</v>
      </c>
      <c r="Q23" s="157"/>
      <c r="R23" s="22" t="str">
        <f t="shared" si="2"/>
        <v>TC_WC_16_16</v>
      </c>
      <c r="S23" s="157"/>
      <c r="T23" s="22" t="str">
        <f t="shared" si="3"/>
        <v>TC_DM_16_16</v>
      </c>
      <c r="V23" s="22" t="str">
        <f t="shared" si="4"/>
        <v>TC_CC_16_16</v>
      </c>
      <c r="X23" s="20"/>
      <c r="Y23" s="20"/>
      <c r="Z23" s="20"/>
      <c r="AA23" s="20"/>
      <c r="AB23" s="20"/>
    </row>
    <row r="24" spans="1:28" x14ac:dyDescent="0.25">
      <c r="A24" s="159" t="b">
        <v>0</v>
      </c>
      <c r="B24" s="7">
        <f t="shared" si="5"/>
        <v>23</v>
      </c>
      <c r="C24" s="27" t="str">
        <f>_xlfn.XLOOKUP($D24,Tab_Def_Processes[Process_Name],Tab_Def_Processes[ID],,0,)</f>
        <v>16</v>
      </c>
      <c r="D24" s="154"/>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4"/>
      <c r="O24" s="148" t="str">
        <f>_xlfn.XLOOKUP($N24,Tab_Def_Flows[Flow_Name],Tab_Def_Flows[Flow_ID],,0,)</f>
        <v>F_16_16</v>
      </c>
      <c r="P24" s="22" t="str">
        <f t="shared" si="6"/>
        <v>TC_material_16_16</v>
      </c>
      <c r="Q24" s="157"/>
      <c r="R24" s="22" t="str">
        <f t="shared" si="2"/>
        <v>TC_WC_16_16</v>
      </c>
      <c r="S24" s="157"/>
      <c r="T24" s="22" t="str">
        <f t="shared" si="3"/>
        <v>TC_DM_16_16</v>
      </c>
      <c r="V24" s="22" t="str">
        <f t="shared" si="4"/>
        <v>TC_CC_16_16</v>
      </c>
      <c r="X24" s="20"/>
      <c r="Y24" s="20"/>
      <c r="Z24" s="20"/>
      <c r="AA24" s="20"/>
      <c r="AB24" s="20"/>
    </row>
    <row r="25" spans="1:28" x14ac:dyDescent="0.25">
      <c r="A25" s="159" t="b">
        <v>0</v>
      </c>
      <c r="B25" s="7">
        <f t="shared" si="5"/>
        <v>24</v>
      </c>
      <c r="C25" s="27" t="str">
        <f>_xlfn.XLOOKUP($D25,Tab_Def_Processes[Process_Name],Tab_Def_Processes[ID],,0,)</f>
        <v>16</v>
      </c>
      <c r="D25" s="154"/>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4"/>
      <c r="O25" s="148" t="str">
        <f>_xlfn.XLOOKUP($N25,Tab_Def_Flows[Flow_Name],Tab_Def_Flows[Flow_ID],,0,)</f>
        <v>F_16_16</v>
      </c>
      <c r="P25" s="22" t="str">
        <f t="shared" si="6"/>
        <v>TC_material_16_16</v>
      </c>
      <c r="Q25" s="157"/>
      <c r="R25" s="22" t="str">
        <f t="shared" si="2"/>
        <v>TC_WC_16_16</v>
      </c>
      <c r="S25" s="157"/>
      <c r="T25" s="22" t="str">
        <f t="shared" si="3"/>
        <v>TC_DM_16_16</v>
      </c>
      <c r="V25" s="22" t="str">
        <f t="shared" si="4"/>
        <v>TC_CC_16_16</v>
      </c>
      <c r="X25" s="20"/>
      <c r="Y25" s="20"/>
      <c r="Z25" s="20"/>
      <c r="AA25" s="20"/>
      <c r="AB25" s="20"/>
    </row>
    <row r="26" spans="1:28" x14ac:dyDescent="0.25">
      <c r="A26" s="159" t="b">
        <v>0</v>
      </c>
      <c r="B26" s="7">
        <f t="shared" si="5"/>
        <v>25</v>
      </c>
      <c r="C26" s="27" t="str">
        <f>_xlfn.XLOOKUP($D26,Tab_Def_Processes[Process_Name],Tab_Def_Processes[ID],,0,)</f>
        <v>16</v>
      </c>
      <c r="D26" s="154"/>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4"/>
      <c r="O26" s="148" t="str">
        <f>_xlfn.XLOOKUP($N26,Tab_Def_Flows[Flow_Name],Tab_Def_Flows[Flow_ID],,0,)</f>
        <v>F_16_16</v>
      </c>
      <c r="P26" s="22" t="str">
        <f t="shared" si="6"/>
        <v>TC_material_16_16</v>
      </c>
      <c r="Q26" s="157"/>
      <c r="R26" s="22" t="str">
        <f t="shared" si="2"/>
        <v>TC_WC_16_16</v>
      </c>
      <c r="S26" s="157"/>
      <c r="T26" s="22" t="str">
        <f t="shared" si="3"/>
        <v>TC_DM_16_16</v>
      </c>
      <c r="V26" s="22" t="str">
        <f t="shared" si="4"/>
        <v>TC_CC_16_16</v>
      </c>
      <c r="X26" s="20"/>
      <c r="Y26" s="20"/>
      <c r="Z26" s="20"/>
      <c r="AA26" s="20"/>
      <c r="AB26" s="20"/>
    </row>
    <row r="27" spans="1:28" x14ac:dyDescent="0.25">
      <c r="A27" s="159" t="b">
        <v>0</v>
      </c>
      <c r="B27" s="7">
        <f t="shared" si="5"/>
        <v>26</v>
      </c>
      <c r="C27" s="27" t="str">
        <f>_xlfn.XLOOKUP($D27,Tab_Def_Processes[Process_Name],Tab_Def_Processes[ID],,0,)</f>
        <v>16</v>
      </c>
      <c r="D27" s="154"/>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4"/>
      <c r="O27" s="148" t="str">
        <f>_xlfn.XLOOKUP($N27,Tab_Def_Flows[Flow_Name],Tab_Def_Flows[Flow_ID],,0,)</f>
        <v>F_16_16</v>
      </c>
      <c r="P27" s="22" t="str">
        <f t="shared" si="6"/>
        <v>TC_material_16_16</v>
      </c>
      <c r="Q27" s="157"/>
      <c r="R27" s="22" t="str">
        <f t="shared" si="2"/>
        <v>TC_WC_16_16</v>
      </c>
      <c r="S27" s="157"/>
      <c r="T27" s="22" t="str">
        <f t="shared" si="3"/>
        <v>TC_DM_16_16</v>
      </c>
      <c r="V27" s="22" t="str">
        <f t="shared" si="4"/>
        <v>TC_CC_16_16</v>
      </c>
      <c r="X27" s="20"/>
      <c r="Y27" s="20"/>
      <c r="Z27" s="20"/>
      <c r="AA27" s="20"/>
      <c r="AB27" s="20"/>
    </row>
    <row r="28" spans="1:28" x14ac:dyDescent="0.25">
      <c r="A28" s="159" t="b">
        <v>0</v>
      </c>
      <c r="B28" s="7">
        <f t="shared" si="5"/>
        <v>27</v>
      </c>
      <c r="C28" s="27" t="str">
        <f>_xlfn.XLOOKUP($D28,Tab_Def_Processes[Process_Name],Tab_Def_Processes[ID],,0,)</f>
        <v>16</v>
      </c>
      <c r="D28" s="154"/>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4"/>
      <c r="O28" s="148" t="str">
        <f>_xlfn.XLOOKUP($N28,Tab_Def_Flows[Flow_Name],Tab_Def_Flows[Flow_ID],,0,)</f>
        <v>F_16_16</v>
      </c>
      <c r="P28" s="22" t="str">
        <f t="shared" si="6"/>
        <v>TC_material_16_16</v>
      </c>
      <c r="Q28" s="157"/>
      <c r="R28" s="22" t="str">
        <f t="shared" si="2"/>
        <v>TC_WC_16_16</v>
      </c>
      <c r="S28" s="157"/>
      <c r="T28" s="22" t="str">
        <f t="shared" si="3"/>
        <v>TC_DM_16_16</v>
      </c>
      <c r="V28" s="22" t="str">
        <f t="shared" si="4"/>
        <v>TC_CC_16_16</v>
      </c>
      <c r="X28" s="20"/>
      <c r="Y28" s="20"/>
      <c r="Z28" s="20"/>
      <c r="AA28" s="20"/>
      <c r="AB28" s="20"/>
    </row>
    <row r="29" spans="1:28" x14ac:dyDescent="0.25">
      <c r="A29" s="159" t="b">
        <v>0</v>
      </c>
      <c r="B29" s="7">
        <f t="shared" si="5"/>
        <v>28</v>
      </c>
      <c r="C29" s="27" t="str">
        <f>_xlfn.XLOOKUP($D29,Tab_Def_Processes[Process_Name],Tab_Def_Processes[ID],,0,)</f>
        <v>16</v>
      </c>
      <c r="D29" s="154"/>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4"/>
      <c r="O29" s="148" t="str">
        <f>_xlfn.XLOOKUP($N29,Tab_Def_Flows[Flow_Name],Tab_Def_Flows[Flow_ID],,0,)</f>
        <v>F_16_16</v>
      </c>
      <c r="P29" s="22" t="str">
        <f t="shared" si="6"/>
        <v>TC_material_16_16</v>
      </c>
      <c r="Q29" s="157"/>
      <c r="R29" s="22" t="str">
        <f t="shared" si="2"/>
        <v>TC_WC_16_16</v>
      </c>
      <c r="S29" s="157"/>
      <c r="T29" s="22" t="str">
        <f t="shared" si="3"/>
        <v>TC_DM_16_16</v>
      </c>
      <c r="V29" s="22" t="str">
        <f t="shared" si="4"/>
        <v>TC_CC_16_16</v>
      </c>
      <c r="X29" s="20"/>
      <c r="Y29" s="20"/>
      <c r="Z29" s="20"/>
      <c r="AA29" s="20"/>
      <c r="AB29" s="20"/>
    </row>
    <row r="30" spans="1:28" x14ac:dyDescent="0.25">
      <c r="A30" s="159" t="b">
        <v>0</v>
      </c>
      <c r="B30" s="7">
        <f t="shared" si="5"/>
        <v>29</v>
      </c>
      <c r="C30" s="27" t="str">
        <f>_xlfn.XLOOKUP($D30,Tab_Def_Processes[Process_Name],Tab_Def_Processes[ID],,0,)</f>
        <v>16</v>
      </c>
      <c r="D30" s="154"/>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4"/>
      <c r="O30" s="148" t="str">
        <f>_xlfn.XLOOKUP($N30,Tab_Def_Flows[Flow_Name],Tab_Def_Flows[Flow_ID],,0,)</f>
        <v>F_16_16</v>
      </c>
      <c r="P30" s="22" t="str">
        <f t="shared" si="6"/>
        <v>TC_material_16_16</v>
      </c>
      <c r="Q30" s="157"/>
      <c r="R30" s="22" t="str">
        <f t="shared" si="2"/>
        <v>TC_WC_16_16</v>
      </c>
      <c r="S30" s="157"/>
      <c r="T30" s="22" t="str">
        <f t="shared" si="3"/>
        <v>TC_DM_16_16</v>
      </c>
      <c r="V30" s="22" t="str">
        <f t="shared" si="4"/>
        <v>TC_CC_16_16</v>
      </c>
      <c r="X30" s="20"/>
      <c r="Y30" s="20"/>
      <c r="Z30" s="20"/>
      <c r="AA30" s="20"/>
      <c r="AB30" s="20"/>
    </row>
    <row r="31" spans="1:28" x14ac:dyDescent="0.25">
      <c r="A31" s="159" t="b">
        <v>0</v>
      </c>
      <c r="B31" s="7">
        <f t="shared" si="5"/>
        <v>30</v>
      </c>
      <c r="C31" s="27" t="str">
        <f>_xlfn.XLOOKUP($D31,Tab_Def_Processes[Process_Name],Tab_Def_Processes[ID],,0,)</f>
        <v>16</v>
      </c>
      <c r="D31" s="154"/>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4"/>
      <c r="O31" s="148" t="str">
        <f>_xlfn.XLOOKUP($N31,Tab_Def_Flows[Flow_Name],Tab_Def_Flows[Flow_ID],,0,)</f>
        <v>F_16_16</v>
      </c>
      <c r="P31" s="22" t="str">
        <f t="shared" si="6"/>
        <v>TC_material_16_16</v>
      </c>
      <c r="Q31" s="157"/>
      <c r="R31" s="22" t="str">
        <f t="shared" si="2"/>
        <v>TC_WC_16_16</v>
      </c>
      <c r="S31" s="157"/>
      <c r="T31" s="22" t="str">
        <f t="shared" si="3"/>
        <v>TC_DM_16_16</v>
      </c>
      <c r="V31" s="22" t="str">
        <f t="shared" si="4"/>
        <v>TC_CC_16_16</v>
      </c>
      <c r="X31" s="20"/>
      <c r="Y31" s="20"/>
      <c r="Z31" s="20"/>
      <c r="AA31" s="20"/>
      <c r="AB31" s="20"/>
    </row>
    <row r="32" spans="1:28" x14ac:dyDescent="0.25">
      <c r="A32" s="159" t="b">
        <v>0</v>
      </c>
      <c r="B32" s="7">
        <f t="shared" si="5"/>
        <v>31</v>
      </c>
      <c r="C32" s="27" t="str">
        <f>_xlfn.XLOOKUP($D32,Tab_Def_Processes[Process_Name],Tab_Def_Processes[ID],,0,)</f>
        <v>16</v>
      </c>
      <c r="D32" s="154"/>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4"/>
      <c r="O32" s="148" t="str">
        <f>_xlfn.XLOOKUP($N32,Tab_Def_Flows[Flow_Name],Tab_Def_Flows[Flow_ID],,0,)</f>
        <v>F_16_16</v>
      </c>
      <c r="P32" s="22" t="str">
        <f t="shared" si="6"/>
        <v>TC_material_16_16</v>
      </c>
      <c r="Q32" s="157"/>
      <c r="R32" s="22" t="str">
        <f t="shared" si="2"/>
        <v>TC_WC_16_16</v>
      </c>
      <c r="S32" s="157"/>
      <c r="T32" s="22" t="str">
        <f t="shared" si="3"/>
        <v>TC_DM_16_16</v>
      </c>
      <c r="V32" s="22" t="str">
        <f t="shared" si="4"/>
        <v>TC_CC_16_16</v>
      </c>
      <c r="X32" s="20"/>
      <c r="Y32" s="20"/>
      <c r="Z32" s="20"/>
      <c r="AA32" s="20"/>
      <c r="AB32" s="20"/>
    </row>
    <row r="33" spans="1:28" x14ac:dyDescent="0.25">
      <c r="A33" s="159" t="b">
        <v>0</v>
      </c>
      <c r="B33" s="7">
        <f t="shared" si="5"/>
        <v>32</v>
      </c>
      <c r="C33" s="27" t="str">
        <f>_xlfn.XLOOKUP($D33,Tab_Def_Processes[Process_Name],Tab_Def_Processes[ID],,0,)</f>
        <v>16</v>
      </c>
      <c r="D33" s="154"/>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4"/>
      <c r="O33" s="148" t="str">
        <f>_xlfn.XLOOKUP($N33,Tab_Def_Flows[Flow_Name],Tab_Def_Flows[Flow_ID],,0,)</f>
        <v>F_16_16</v>
      </c>
      <c r="P33" s="22" t="str">
        <f t="shared" si="6"/>
        <v>TC_material_16_16</v>
      </c>
      <c r="Q33" s="157"/>
      <c r="R33" s="22" t="str">
        <f t="shared" si="2"/>
        <v>TC_WC_16_16</v>
      </c>
      <c r="S33" s="157"/>
      <c r="T33" s="22" t="str">
        <f t="shared" si="3"/>
        <v>TC_DM_16_16</v>
      </c>
      <c r="V33" s="22" t="str">
        <f t="shared" si="4"/>
        <v>TC_CC_16_16</v>
      </c>
      <c r="X33" s="20"/>
      <c r="Y33" s="20"/>
      <c r="Z33" s="20"/>
      <c r="AA33" s="20"/>
      <c r="AB33" s="20"/>
    </row>
    <row r="34" spans="1:28" x14ac:dyDescent="0.25">
      <c r="A34" s="159" t="b">
        <v>0</v>
      </c>
      <c r="B34" s="7">
        <f t="shared" si="5"/>
        <v>33</v>
      </c>
      <c r="C34" s="27" t="str">
        <f>_xlfn.XLOOKUP($D34,Tab_Def_Processes[Process_Name],Tab_Def_Processes[ID],,0,)</f>
        <v>16</v>
      </c>
      <c r="D34" s="154"/>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4"/>
      <c r="O34" s="148" t="str">
        <f>_xlfn.XLOOKUP($N34,Tab_Def_Flows[Flow_Name],Tab_Def_Flows[Flow_ID],,0,)</f>
        <v>F_16_16</v>
      </c>
      <c r="P34" s="22" t="str">
        <f t="shared" si="6"/>
        <v>TC_material_16_16</v>
      </c>
      <c r="Q34" s="157"/>
      <c r="R34" s="22" t="str">
        <f t="shared" si="2"/>
        <v>TC_WC_16_16</v>
      </c>
      <c r="S34" s="157"/>
      <c r="T34" s="22" t="str">
        <f t="shared" si="3"/>
        <v>TC_DM_16_16</v>
      </c>
      <c r="V34" s="22" t="str">
        <f t="shared" si="4"/>
        <v>TC_CC_16_16</v>
      </c>
      <c r="X34" s="20"/>
      <c r="Y34" s="20"/>
      <c r="Z34" s="20"/>
      <c r="AA34" s="20"/>
      <c r="AB34" s="20"/>
    </row>
    <row r="35" spans="1:28" x14ac:dyDescent="0.25">
      <c r="A35" s="159" t="b">
        <v>0</v>
      </c>
      <c r="B35" s="7">
        <f t="shared" si="5"/>
        <v>34</v>
      </c>
      <c r="C35" s="27" t="str">
        <f>_xlfn.XLOOKUP($D35,Tab_Def_Processes[Process_Name],Tab_Def_Processes[ID],,0,)</f>
        <v>16</v>
      </c>
      <c r="D35" s="154"/>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4"/>
      <c r="O35" s="148" t="str">
        <f>_xlfn.XLOOKUP($N35,Tab_Def_Flows[Flow_Name],Tab_Def_Flows[Flow_ID],,0,)</f>
        <v>F_16_16</v>
      </c>
      <c r="P35" s="22" t="str">
        <f t="shared" si="6"/>
        <v>TC_material_16_16</v>
      </c>
      <c r="Q35" s="157"/>
      <c r="R35" s="22" t="str">
        <f t="shared" si="2"/>
        <v>TC_WC_16_16</v>
      </c>
      <c r="S35" s="157"/>
      <c r="T35" s="22" t="str">
        <f t="shared" si="3"/>
        <v>TC_DM_16_16</v>
      </c>
      <c r="V35" s="22" t="str">
        <f t="shared" si="4"/>
        <v>TC_CC_16_16</v>
      </c>
      <c r="X35" s="20"/>
      <c r="Y35" s="20"/>
      <c r="Z35" s="20"/>
      <c r="AA35" s="20"/>
      <c r="AB35" s="20"/>
    </row>
    <row r="36" spans="1:28" x14ac:dyDescent="0.25">
      <c r="A36" s="159" t="b">
        <v>0</v>
      </c>
      <c r="B36" s="7">
        <f t="shared" si="5"/>
        <v>35</v>
      </c>
      <c r="C36" s="27" t="str">
        <f>_xlfn.XLOOKUP($D36,Tab_Def_Processes[Process_Name],Tab_Def_Processes[ID],,0,)</f>
        <v>16</v>
      </c>
      <c r="D36" s="154"/>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4"/>
      <c r="O36" s="148" t="str">
        <f>_xlfn.XLOOKUP($N36,Tab_Def_Flows[Flow_Name],Tab_Def_Flows[Flow_ID],,0,)</f>
        <v>F_16_16</v>
      </c>
      <c r="P36" s="22" t="str">
        <f t="shared" si="6"/>
        <v>TC_material_16_16</v>
      </c>
      <c r="Q36" s="157"/>
      <c r="R36" s="22" t="str">
        <f t="shared" si="2"/>
        <v>TC_WC_16_16</v>
      </c>
      <c r="S36" s="157"/>
      <c r="T36" s="22" t="str">
        <f t="shared" si="3"/>
        <v>TC_DM_16_16</v>
      </c>
      <c r="V36" s="22" t="str">
        <f t="shared" si="4"/>
        <v>TC_CC_16_16</v>
      </c>
      <c r="X36" s="20"/>
      <c r="Y36" s="20"/>
      <c r="Z36" s="20"/>
      <c r="AA36" s="20"/>
      <c r="AB36" s="20"/>
    </row>
    <row r="37" spans="1:28" x14ac:dyDescent="0.25">
      <c r="A37" s="159" t="b">
        <v>0</v>
      </c>
      <c r="B37" s="7">
        <f t="shared" si="5"/>
        <v>36</v>
      </c>
      <c r="C37" s="27" t="str">
        <f>_xlfn.XLOOKUP($D37,Tab_Def_Processes[Process_Name],Tab_Def_Processes[ID],,0,)</f>
        <v>16</v>
      </c>
      <c r="D37" s="154"/>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4"/>
      <c r="O37" s="148" t="str">
        <f>_xlfn.XLOOKUP($N37,Tab_Def_Flows[Flow_Name],Tab_Def_Flows[Flow_ID],,0,)</f>
        <v>F_16_16</v>
      </c>
      <c r="P37" s="22" t="str">
        <f t="shared" si="6"/>
        <v>TC_material_16_16</v>
      </c>
      <c r="Q37" s="157"/>
      <c r="R37" s="22" t="str">
        <f t="shared" si="2"/>
        <v>TC_WC_16_16</v>
      </c>
      <c r="S37" s="157"/>
      <c r="T37" s="22" t="str">
        <f t="shared" si="3"/>
        <v>TC_DM_16_16</v>
      </c>
      <c r="V37" s="22" t="str">
        <f t="shared" si="4"/>
        <v>TC_CC_16_16</v>
      </c>
      <c r="X37" s="20"/>
      <c r="Y37" s="20"/>
      <c r="Z37" s="20"/>
      <c r="AA37" s="20"/>
      <c r="AB37" s="20"/>
    </row>
    <row r="38" spans="1:28" x14ac:dyDescent="0.25">
      <c r="A38" s="159" t="b">
        <v>0</v>
      </c>
      <c r="B38" s="7">
        <f t="shared" si="5"/>
        <v>37</v>
      </c>
      <c r="C38" s="27" t="str">
        <f>_xlfn.XLOOKUP($D38,Tab_Def_Processes[Process_Name],Tab_Def_Processes[ID],,0,)</f>
        <v>16</v>
      </c>
      <c r="D38" s="154"/>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4"/>
      <c r="O38" s="148" t="str">
        <f>_xlfn.XLOOKUP($N38,Tab_Def_Flows[Flow_Name],Tab_Def_Flows[Flow_ID],,0,)</f>
        <v>F_16_16</v>
      </c>
      <c r="P38" s="22" t="str">
        <f t="shared" si="6"/>
        <v>TC_material_16_16</v>
      </c>
      <c r="Q38" s="157"/>
      <c r="R38" s="22" t="str">
        <f t="shared" si="2"/>
        <v>TC_WC_16_16</v>
      </c>
      <c r="S38" s="157"/>
      <c r="T38" s="22" t="str">
        <f t="shared" si="3"/>
        <v>TC_DM_16_16</v>
      </c>
      <c r="V38" s="22" t="str">
        <f t="shared" si="4"/>
        <v>TC_CC_16_16</v>
      </c>
      <c r="X38" s="20"/>
      <c r="Y38" s="20"/>
      <c r="Z38" s="20"/>
      <c r="AA38" s="20"/>
      <c r="AB38" s="20"/>
    </row>
    <row r="39" spans="1:28" x14ac:dyDescent="0.25">
      <c r="A39" s="159" t="b">
        <v>0</v>
      </c>
      <c r="B39" s="7">
        <f t="shared" si="5"/>
        <v>38</v>
      </c>
      <c r="C39" s="27" t="str">
        <f>_xlfn.XLOOKUP($D39,Tab_Def_Processes[Process_Name],Tab_Def_Processes[ID],,0,)</f>
        <v>16</v>
      </c>
      <c r="D39" s="154"/>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4"/>
      <c r="O39" s="148" t="str">
        <f>_xlfn.XLOOKUP($N39,Tab_Def_Flows[Flow_Name],Tab_Def_Flows[Flow_ID],,0,)</f>
        <v>F_16_16</v>
      </c>
      <c r="P39" s="22" t="str">
        <f t="shared" si="6"/>
        <v>TC_material_16_16</v>
      </c>
      <c r="Q39" s="157"/>
      <c r="R39" s="22" t="str">
        <f t="shared" si="2"/>
        <v>TC_WC_16_16</v>
      </c>
      <c r="S39" s="157"/>
      <c r="T39" s="22" t="str">
        <f t="shared" si="3"/>
        <v>TC_DM_16_16</v>
      </c>
      <c r="V39" s="22" t="str">
        <f t="shared" si="4"/>
        <v>TC_CC_16_16</v>
      </c>
      <c r="X39" s="20"/>
      <c r="Y39" s="20"/>
      <c r="Z39" s="20"/>
      <c r="AA39" s="20"/>
      <c r="AB39" s="20"/>
    </row>
    <row r="40" spans="1:28" x14ac:dyDescent="0.25">
      <c r="A40" s="159" t="b">
        <v>0</v>
      </c>
      <c r="B40" s="7">
        <f t="shared" si="5"/>
        <v>39</v>
      </c>
      <c r="C40" s="27" t="str">
        <f>_xlfn.XLOOKUP($D40,Tab_Def_Processes[Process_Name],Tab_Def_Processes[ID],,0,)</f>
        <v>16</v>
      </c>
      <c r="D40" s="154"/>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4"/>
      <c r="O40" s="148" t="str">
        <f>_xlfn.XLOOKUP($N40,Tab_Def_Flows[Flow_Name],Tab_Def_Flows[Flow_ID],,0,)</f>
        <v>F_16_16</v>
      </c>
      <c r="P40" s="22" t="str">
        <f t="shared" si="6"/>
        <v>TC_material_16_16</v>
      </c>
      <c r="Q40" s="157"/>
      <c r="R40" s="22" t="str">
        <f t="shared" si="2"/>
        <v>TC_WC_16_16</v>
      </c>
      <c r="S40" s="157"/>
      <c r="T40" s="22" t="str">
        <f t="shared" si="3"/>
        <v>TC_DM_16_16</v>
      </c>
      <c r="V40" s="22" t="str">
        <f t="shared" si="4"/>
        <v>TC_CC_16_16</v>
      </c>
      <c r="X40" s="20"/>
      <c r="Y40" s="20"/>
      <c r="Z40" s="20"/>
      <c r="AA40" s="20"/>
      <c r="AB40" s="20"/>
    </row>
    <row r="41" spans="1:28" x14ac:dyDescent="0.25">
      <c r="A41" s="159" t="b">
        <v>0</v>
      </c>
      <c r="B41" s="7">
        <f t="shared" si="5"/>
        <v>40</v>
      </c>
      <c r="C41" s="27" t="str">
        <f>_xlfn.XLOOKUP($D41,Tab_Def_Processes[Process_Name],Tab_Def_Processes[ID],,0,)</f>
        <v>16</v>
      </c>
      <c r="D41" s="154"/>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4"/>
      <c r="O41" s="148" t="str">
        <f>_xlfn.XLOOKUP($N41,Tab_Def_Flows[Flow_Name],Tab_Def_Flows[Flow_ID],,0,)</f>
        <v>F_16_16</v>
      </c>
      <c r="P41" s="22" t="str">
        <f t="shared" si="6"/>
        <v>TC_material_16_16</v>
      </c>
      <c r="Q41" s="157"/>
      <c r="R41" s="22" t="str">
        <f t="shared" si="2"/>
        <v>TC_WC_16_16</v>
      </c>
      <c r="S41" s="157"/>
      <c r="T41" s="22" t="str">
        <f t="shared" si="3"/>
        <v>TC_DM_16_16</v>
      </c>
      <c r="V41" s="22" t="str">
        <f t="shared" si="4"/>
        <v>TC_CC_16_16</v>
      </c>
      <c r="X41" s="20"/>
      <c r="Y41" s="20"/>
      <c r="Z41" s="20"/>
      <c r="AA41" s="20"/>
      <c r="AB41" s="20"/>
    </row>
    <row r="42" spans="1:28" x14ac:dyDescent="0.25">
      <c r="A42" s="159" t="b">
        <v>0</v>
      </c>
      <c r="B42" s="7">
        <f t="shared" si="5"/>
        <v>41</v>
      </c>
      <c r="C42" s="27" t="str">
        <f>_xlfn.XLOOKUP($D42,Tab_Def_Processes[Process_Name],Tab_Def_Processes[ID],,0,)</f>
        <v>16</v>
      </c>
      <c r="D42" s="154"/>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4"/>
      <c r="O42" s="148" t="str">
        <f>_xlfn.XLOOKUP($N42,Tab_Def_Flows[Flow_Name],Tab_Def_Flows[Flow_ID],,0,)</f>
        <v>F_16_16</v>
      </c>
      <c r="P42" s="22" t="str">
        <f t="shared" si="6"/>
        <v>TC_material_16_16</v>
      </c>
      <c r="Q42" s="157"/>
      <c r="R42" s="22" t="str">
        <f t="shared" si="2"/>
        <v>TC_WC_16_16</v>
      </c>
      <c r="S42" s="157"/>
      <c r="T42" s="22" t="str">
        <f t="shared" si="3"/>
        <v>TC_DM_16_16</v>
      </c>
      <c r="V42" s="22" t="str">
        <f t="shared" si="4"/>
        <v>TC_CC_16_16</v>
      </c>
      <c r="X42" s="20"/>
      <c r="Y42" s="20"/>
      <c r="Z42" s="20"/>
      <c r="AA42" s="20"/>
      <c r="AB42" s="20"/>
    </row>
    <row r="43" spans="1:28" x14ac:dyDescent="0.25">
      <c r="A43" s="159" t="b">
        <v>0</v>
      </c>
      <c r="B43" s="7">
        <f t="shared" si="5"/>
        <v>42</v>
      </c>
      <c r="C43" s="27" t="str">
        <f>_xlfn.XLOOKUP($D43,Tab_Def_Processes[Process_Name],Tab_Def_Processes[ID],,0,)</f>
        <v>16</v>
      </c>
      <c r="D43" s="154"/>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4"/>
      <c r="O43" s="148" t="str">
        <f>_xlfn.XLOOKUP($N43,Tab_Def_Flows[Flow_Name],Tab_Def_Flows[Flow_ID],,0,)</f>
        <v>F_16_16</v>
      </c>
      <c r="P43" s="22" t="str">
        <f t="shared" si="6"/>
        <v>TC_material_16_16</v>
      </c>
      <c r="Q43" s="157"/>
      <c r="R43" s="22" t="str">
        <f t="shared" si="2"/>
        <v>TC_WC_16_16</v>
      </c>
      <c r="S43" s="157"/>
      <c r="T43" s="22" t="str">
        <f t="shared" si="3"/>
        <v>TC_DM_16_16</v>
      </c>
      <c r="V43" s="22" t="str">
        <f t="shared" si="4"/>
        <v>TC_CC_16_16</v>
      </c>
      <c r="X43" s="20"/>
      <c r="Y43" s="20"/>
      <c r="Z43" s="20"/>
      <c r="AA43" s="20"/>
      <c r="AB43" s="20"/>
    </row>
    <row r="44" spans="1:28" x14ac:dyDescent="0.25">
      <c r="A44" s="159" t="b">
        <v>0</v>
      </c>
      <c r="B44" s="7">
        <f t="shared" si="5"/>
        <v>43</v>
      </c>
      <c r="C44" s="27" t="str">
        <f>_xlfn.XLOOKUP($D44,Tab_Def_Processes[Process_Name],Tab_Def_Processes[ID],,0,)</f>
        <v>16</v>
      </c>
      <c r="D44" s="154"/>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4"/>
      <c r="O44" s="148" t="str">
        <f>_xlfn.XLOOKUP($N44,Tab_Def_Flows[Flow_Name],Tab_Def_Flows[Flow_ID],,0,)</f>
        <v>F_16_16</v>
      </c>
      <c r="P44" s="22" t="str">
        <f t="shared" si="6"/>
        <v>TC_material_16_16</v>
      </c>
      <c r="Q44" s="157"/>
      <c r="R44" s="22" t="str">
        <f t="shared" si="2"/>
        <v>TC_WC_16_16</v>
      </c>
      <c r="S44" s="157"/>
      <c r="T44" s="22" t="str">
        <f t="shared" si="3"/>
        <v>TC_DM_16_16</v>
      </c>
      <c r="V44" s="22" t="str">
        <f t="shared" si="4"/>
        <v>TC_CC_16_16</v>
      </c>
      <c r="X44" s="20"/>
      <c r="Y44" s="20"/>
      <c r="Z44" s="20"/>
      <c r="AA44" s="20"/>
      <c r="AB44" s="20"/>
    </row>
    <row r="45" spans="1:28" x14ac:dyDescent="0.25">
      <c r="A45" s="159" t="b">
        <v>0</v>
      </c>
      <c r="B45" s="7">
        <f t="shared" si="5"/>
        <v>44</v>
      </c>
      <c r="C45" s="27" t="str">
        <f>_xlfn.XLOOKUP($D45,Tab_Def_Processes[Process_Name],Tab_Def_Processes[ID],,0,)</f>
        <v>16</v>
      </c>
      <c r="D45" s="154"/>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4"/>
      <c r="O45" s="148" t="str">
        <f>_xlfn.XLOOKUP($N45,Tab_Def_Flows[Flow_Name],Tab_Def_Flows[Flow_ID],,0,)</f>
        <v>F_16_16</v>
      </c>
      <c r="P45" s="22" t="str">
        <f t="shared" si="6"/>
        <v>TC_material_16_16</v>
      </c>
      <c r="Q45" s="157"/>
      <c r="R45" s="22" t="str">
        <f t="shared" si="2"/>
        <v>TC_WC_16_16</v>
      </c>
      <c r="S45" s="157"/>
      <c r="T45" s="22" t="str">
        <f t="shared" si="3"/>
        <v>TC_DM_16_16</v>
      </c>
      <c r="V45" s="22" t="str">
        <f t="shared" si="4"/>
        <v>TC_CC_16_16</v>
      </c>
      <c r="X45" s="20"/>
      <c r="Y45" s="20"/>
      <c r="Z45" s="20"/>
      <c r="AA45" s="20"/>
      <c r="AB45" s="20"/>
    </row>
    <row r="46" spans="1:28" x14ac:dyDescent="0.25">
      <c r="A46" s="159" t="b">
        <v>0</v>
      </c>
      <c r="B46" s="7">
        <f t="shared" si="5"/>
        <v>45</v>
      </c>
      <c r="C46" s="27" t="str">
        <f>_xlfn.XLOOKUP($D46,Tab_Def_Processes[Process_Name],Tab_Def_Processes[ID],,0,)</f>
        <v>16</v>
      </c>
      <c r="D46" s="154"/>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4"/>
      <c r="O46" s="148" t="str">
        <f>_xlfn.XLOOKUP($N46,Tab_Def_Flows[Flow_Name],Tab_Def_Flows[Flow_ID],,0,)</f>
        <v>F_16_16</v>
      </c>
      <c r="P46" s="22" t="str">
        <f t="shared" si="6"/>
        <v>TC_material_16_16</v>
      </c>
      <c r="Q46" s="157"/>
      <c r="R46" s="22" t="str">
        <f t="shared" si="2"/>
        <v>TC_WC_16_16</v>
      </c>
      <c r="S46" s="157"/>
      <c r="T46" s="22" t="str">
        <f t="shared" si="3"/>
        <v>TC_DM_16_16</v>
      </c>
      <c r="V46" s="22" t="str">
        <f t="shared" si="4"/>
        <v>TC_CC_16_16</v>
      </c>
      <c r="X46" s="20"/>
      <c r="Y46" s="20"/>
      <c r="Z46" s="20"/>
      <c r="AA46" s="20"/>
      <c r="AB46" s="20"/>
    </row>
    <row r="47" spans="1:28" x14ac:dyDescent="0.25">
      <c r="A47" s="159" t="b">
        <v>0</v>
      </c>
      <c r="B47" s="7">
        <f t="shared" si="5"/>
        <v>46</v>
      </c>
      <c r="C47" s="27" t="str">
        <f>_xlfn.XLOOKUP($D47,Tab_Def_Processes[Process_Name],Tab_Def_Processes[ID],,0,)</f>
        <v>16</v>
      </c>
      <c r="D47" s="154"/>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4"/>
      <c r="O47" s="148" t="str">
        <f>_xlfn.XLOOKUP($N47,Tab_Def_Flows[Flow_Name],Tab_Def_Flows[Flow_ID],,0,)</f>
        <v>F_16_16</v>
      </c>
      <c r="P47" s="22" t="str">
        <f t="shared" si="6"/>
        <v>TC_material_16_16</v>
      </c>
      <c r="Q47" s="157"/>
      <c r="R47" s="22" t="str">
        <f t="shared" si="2"/>
        <v>TC_WC_16_16</v>
      </c>
      <c r="S47" s="157"/>
      <c r="T47" s="22" t="str">
        <f t="shared" si="3"/>
        <v>TC_DM_16_16</v>
      </c>
      <c r="V47" s="22" t="str">
        <f t="shared" si="4"/>
        <v>TC_CC_16_16</v>
      </c>
      <c r="X47" s="20"/>
      <c r="Y47" s="20"/>
      <c r="Z47" s="20"/>
      <c r="AA47" s="20"/>
      <c r="AB47" s="20"/>
    </row>
    <row r="48" spans="1:28" x14ac:dyDescent="0.25">
      <c r="A48" s="159" t="b">
        <v>0</v>
      </c>
      <c r="B48" s="7">
        <f t="shared" si="5"/>
        <v>47</v>
      </c>
      <c r="C48" s="27" t="str">
        <f>_xlfn.XLOOKUP($D48,Tab_Def_Processes[Process_Name],Tab_Def_Processes[ID],,0,)</f>
        <v>16</v>
      </c>
      <c r="D48" s="154"/>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4"/>
      <c r="O48" s="148" t="str">
        <f>_xlfn.XLOOKUP($N48,Tab_Def_Flows[Flow_Name],Tab_Def_Flows[Flow_ID],,0,)</f>
        <v>F_16_16</v>
      </c>
      <c r="P48" s="22" t="str">
        <f t="shared" si="6"/>
        <v>TC_material_16_16</v>
      </c>
      <c r="Q48" s="157"/>
      <c r="R48" s="22" t="str">
        <f t="shared" si="2"/>
        <v>TC_WC_16_16</v>
      </c>
      <c r="S48" s="157"/>
      <c r="T48" s="22" t="str">
        <f t="shared" si="3"/>
        <v>TC_DM_16_16</v>
      </c>
      <c r="V48" s="22" t="str">
        <f t="shared" si="4"/>
        <v>TC_CC_16_16</v>
      </c>
      <c r="X48" s="20"/>
      <c r="Y48" s="20"/>
      <c r="Z48" s="20"/>
      <c r="AA48" s="20"/>
      <c r="AB48" s="20"/>
    </row>
    <row r="49" spans="1:28" x14ac:dyDescent="0.25">
      <c r="A49" s="159" t="b">
        <v>0</v>
      </c>
      <c r="B49" s="7">
        <f t="shared" si="5"/>
        <v>48</v>
      </c>
      <c r="C49" s="27" t="str">
        <f>_xlfn.XLOOKUP($D49,Tab_Def_Processes[Process_Name],Tab_Def_Processes[ID],,0,)</f>
        <v>16</v>
      </c>
      <c r="D49" s="154"/>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4"/>
      <c r="O49" s="148" t="str">
        <f>_xlfn.XLOOKUP($N49,Tab_Def_Flows[Flow_Name],Tab_Def_Flows[Flow_ID],,0,)</f>
        <v>F_16_16</v>
      </c>
      <c r="P49" s="22" t="str">
        <f t="shared" si="6"/>
        <v>TC_material_16_16</v>
      </c>
      <c r="Q49" s="157"/>
      <c r="R49" s="22" t="str">
        <f t="shared" si="2"/>
        <v>TC_WC_16_16</v>
      </c>
      <c r="S49" s="157"/>
      <c r="T49" s="22" t="str">
        <f t="shared" si="3"/>
        <v>TC_DM_16_16</v>
      </c>
      <c r="V49" s="22" t="str">
        <f t="shared" si="4"/>
        <v>TC_CC_16_16</v>
      </c>
      <c r="X49" s="20"/>
      <c r="Y49" s="20"/>
      <c r="Z49" s="20"/>
      <c r="AA49" s="20"/>
      <c r="AB49" s="20"/>
    </row>
    <row r="50" spans="1:28" x14ac:dyDescent="0.25">
      <c r="A50" s="159" t="b">
        <v>0</v>
      </c>
      <c r="B50" s="7">
        <f t="shared" si="5"/>
        <v>49</v>
      </c>
      <c r="C50" s="27" t="str">
        <f>_xlfn.XLOOKUP($D50,Tab_Def_Processes[Process_Name],Tab_Def_Processes[ID],,0,)</f>
        <v>16</v>
      </c>
      <c r="D50" s="154"/>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4"/>
      <c r="O50" s="148" t="str">
        <f>_xlfn.XLOOKUP($N50,Tab_Def_Flows[Flow_Name],Tab_Def_Flows[Flow_ID],,0,)</f>
        <v>F_16_16</v>
      </c>
      <c r="P50" s="22" t="str">
        <f t="shared" si="6"/>
        <v>TC_material_16_16</v>
      </c>
      <c r="Q50" s="157"/>
      <c r="R50" s="22" t="str">
        <f t="shared" si="2"/>
        <v>TC_WC_16_16</v>
      </c>
      <c r="S50" s="157"/>
      <c r="T50" s="22" t="str">
        <f t="shared" si="3"/>
        <v>TC_DM_16_16</v>
      </c>
      <c r="V50" s="22" t="str">
        <f t="shared" si="4"/>
        <v>TC_CC_16_16</v>
      </c>
      <c r="X50" s="20"/>
      <c r="Y50" s="20"/>
      <c r="Z50" s="20"/>
      <c r="AA50" s="20"/>
      <c r="AB50" s="20"/>
    </row>
    <row r="51" spans="1:28" x14ac:dyDescent="0.25">
      <c r="A51" s="159" t="b">
        <v>0</v>
      </c>
      <c r="B51" s="7">
        <f t="shared" si="5"/>
        <v>50</v>
      </c>
      <c r="C51" s="27" t="str">
        <f>_xlfn.XLOOKUP($D51,Tab_Def_Processes[Process_Name],Tab_Def_Processes[ID],,0,)</f>
        <v>16</v>
      </c>
      <c r="D51" s="154"/>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4"/>
      <c r="O51" s="148" t="str">
        <f>_xlfn.XLOOKUP($N51,Tab_Def_Flows[Flow_Name],Tab_Def_Flows[Flow_ID],,0,)</f>
        <v>F_16_16</v>
      </c>
      <c r="P51" s="22" t="str">
        <f t="shared" si="6"/>
        <v>TC_material_16_16</v>
      </c>
      <c r="Q51" s="157"/>
      <c r="R51" s="22" t="str">
        <f t="shared" si="2"/>
        <v>TC_WC_16_16</v>
      </c>
      <c r="S51" s="157"/>
      <c r="T51" s="22" t="str">
        <f t="shared" si="3"/>
        <v>TC_DM_16_16</v>
      </c>
      <c r="V51" s="22" t="str">
        <f t="shared" si="4"/>
        <v>TC_CC_16_16</v>
      </c>
      <c r="X51" s="20"/>
      <c r="Y51" s="20"/>
      <c r="Z51" s="20"/>
      <c r="AA51" s="20"/>
      <c r="AB51"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I29" sqref="I29"/>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8" t="s">
        <v>54</v>
      </c>
      <c r="B1" s="158" t="s">
        <v>28</v>
      </c>
      <c r="C1" s="158" t="s">
        <v>49</v>
      </c>
      <c r="D1" s="158" t="s">
        <v>712</v>
      </c>
      <c r="E1" s="158" t="s">
        <v>222</v>
      </c>
      <c r="F1" s="158" t="s">
        <v>52</v>
      </c>
      <c r="G1" s="158" t="s">
        <v>717</v>
      </c>
      <c r="H1" s="158" t="s">
        <v>670</v>
      </c>
      <c r="I1" s="158" t="s">
        <v>37</v>
      </c>
      <c r="J1" s="158" t="s">
        <v>1</v>
      </c>
      <c r="K1" s="158" t="s">
        <v>683</v>
      </c>
      <c r="L1" s="158" t="s">
        <v>678</v>
      </c>
      <c r="M1" s="158" t="s">
        <v>684</v>
      </c>
      <c r="N1" s="158" t="s">
        <v>673</v>
      </c>
      <c r="O1" s="158" t="s">
        <v>685</v>
      </c>
      <c r="P1" s="158" t="s">
        <v>674</v>
      </c>
      <c r="Q1" s="158" t="s">
        <v>686</v>
      </c>
      <c r="R1" s="158" t="s">
        <v>675</v>
      </c>
      <c r="S1" s="30" t="s">
        <v>53</v>
      </c>
      <c r="T1" s="30" t="s">
        <v>220</v>
      </c>
      <c r="U1" s="15" t="s">
        <v>219</v>
      </c>
      <c r="V1" s="30" t="s">
        <v>221</v>
      </c>
      <c r="W1" s="31" t="s">
        <v>58</v>
      </c>
      <c r="X1" s="19" t="s">
        <v>35</v>
      </c>
      <c r="Y1" s="146" t="s">
        <v>36</v>
      </c>
      <c r="Z1" s="146" t="s">
        <v>4</v>
      </c>
      <c r="AA1" s="146" t="s">
        <v>3</v>
      </c>
      <c r="AB1" s="147" t="s">
        <v>5</v>
      </c>
    </row>
    <row r="2" spans="1:28" x14ac:dyDescent="0.25">
      <c r="A2" s="159" t="b">
        <v>0</v>
      </c>
      <c r="B2" s="7">
        <f t="shared" ref="B2:B31" si="0">ROW()-1</f>
        <v>1</v>
      </c>
      <c r="C2" s="27" t="str">
        <f>_xlfn.XLOOKUP($D2,Tab_Process_TCs[Process_Name],Tab_Process_TCs[Process_ID],,0,)</f>
        <v>03</v>
      </c>
      <c r="D2" s="154" t="s">
        <v>726</v>
      </c>
      <c r="E2" s="154" t="s">
        <v>742</v>
      </c>
      <c r="F2" s="27" t="str">
        <f>_xlfn.XLOOKUP($D2,Tab_Process_TCs[Process_Name],Tab_Process_TCs[TC?],,0,)</f>
        <v>Yes</v>
      </c>
      <c r="G2" s="27" t="str">
        <f>_xlfn.XLOOKUP($D2,Tab_Process_TCs[Process_Name],Tab_Process_TCs[TC_Type],,0,)</f>
        <v>Dynamic</v>
      </c>
      <c r="H2" s="27" t="str">
        <f>_xlfn.XLOOKUP($D2,Tab_Process_TCs[Process_Name],Tab_Process_TCs[Process_Logic],,0,)</f>
        <v>Splitter</v>
      </c>
      <c r="I2" s="7" t="str">
        <f>_xlfn.XLOOKUP($E2,Tab_Def_Flows[Flow_Name],Tab_Def_Flows[Flow_ID],,0,1)</f>
        <v>F_03_04</v>
      </c>
      <c r="J2" s="8">
        <v>2000</v>
      </c>
      <c r="K2" s="22" t="str">
        <f>"TC_material"&amp;"_"&amp;RIGHT(I2,5)</f>
        <v>TC_material_03_04</v>
      </c>
      <c r="L2" s="157">
        <v>0.25</v>
      </c>
      <c r="M2" s="22" t="str">
        <f>"TC_WC"&amp;"_"&amp;RIGHT(I2,5)</f>
        <v>TC_WC_03_04</v>
      </c>
      <c r="N2" s="157"/>
      <c r="O2" s="22" t="str">
        <f>"TC_DM"&amp;"_"&amp;RIGHT(I2,5)</f>
        <v>TC_DM_03_04</v>
      </c>
      <c r="P2" s="157"/>
      <c r="Q2" s="22" t="str">
        <f>"TC_CC"&amp;"_"&amp;RIGHT(I2,5)</f>
        <v>TC_CC_03_04</v>
      </c>
      <c r="R2" s="8"/>
      <c r="S2" s="7" t="e">
        <f>_xlfn.XLOOKUP($D2,#REF!,#REF!,,0,)</f>
        <v>#REF!</v>
      </c>
      <c r="T2" s="22" t="str">
        <f>Tab_Process_TCs2527[[#This Row],[Flow_ID]]</f>
        <v>F_03_04</v>
      </c>
      <c r="U2" s="22" t="e">
        <f t="shared" ref="U2:U31" si="1">"TC"&amp;"_"&amp;RIGHT(S2,5)</f>
        <v>#REF!</v>
      </c>
      <c r="V2" s="29"/>
      <c r="W2" s="32" t="e">
        <f>Tab_Process_TCs2527[[#This Row],[TC O_6_'[%']]]+#REF!+#REF!+#REF!+#REF!+#REF!</f>
        <v>#REF!</v>
      </c>
      <c r="X2" s="8"/>
      <c r="Y2" s="8"/>
      <c r="Z2" s="8"/>
      <c r="AA2" s="8"/>
      <c r="AB2" s="8"/>
    </row>
    <row r="3" spans="1:28" x14ac:dyDescent="0.25">
      <c r="A3" s="159" t="b">
        <v>0</v>
      </c>
      <c r="B3" s="7">
        <f t="shared" si="0"/>
        <v>2</v>
      </c>
      <c r="C3" s="27" t="str">
        <f>_xlfn.XLOOKUP($D3,Tab_Process_TCs[Process_Name],Tab_Process_TCs[Process_ID],,0,)</f>
        <v>03</v>
      </c>
      <c r="D3" s="154" t="s">
        <v>726</v>
      </c>
      <c r="E3" s="154" t="s">
        <v>745</v>
      </c>
      <c r="F3" s="27" t="str">
        <f>_xlfn.XLOOKUP($D3,Tab_Process_TCs[Process_Name],Tab_Process_TCs[TC?],,0,)</f>
        <v>Yes</v>
      </c>
      <c r="G3" s="27" t="str">
        <f>_xlfn.XLOOKUP($D3,Tab_Process_TCs[Process_Name],Tab_Process_TCs[TC_Type],,0,)</f>
        <v>Dynamic</v>
      </c>
      <c r="H3" s="27" t="str">
        <f>_xlfn.XLOOKUP($D3,Tab_Process_TCs[Process_Name],Tab_Process_TCs[Process_Logic],,0,)</f>
        <v>Splitter</v>
      </c>
      <c r="I3" s="7" t="str">
        <f>_xlfn.XLOOKUP($E3,Tab_Def_Flows[Flow_Name],Tab_Def_Flows[Flow_ID],,0,1)</f>
        <v>F_03_07</v>
      </c>
      <c r="J3" s="8">
        <v>2000</v>
      </c>
      <c r="K3" s="22" t="str">
        <f t="shared" ref="K3:K66" si="2">"TC_material"&amp;"_"&amp;RIGHT(I3,5)</f>
        <v>TC_material_03_07</v>
      </c>
      <c r="L3" s="157">
        <v>0.25</v>
      </c>
      <c r="M3" s="22" t="str">
        <f t="shared" ref="M3:M66" si="3">"TC_WC"&amp;"_"&amp;RIGHT(I3,5)</f>
        <v>TC_WC_03_07</v>
      </c>
      <c r="N3" s="157"/>
      <c r="O3" s="22" t="str">
        <f t="shared" ref="O3:O66" si="4">"TC_DM"&amp;"_"&amp;RIGHT(I3,5)</f>
        <v>TC_DM_03_07</v>
      </c>
      <c r="P3" s="157"/>
      <c r="Q3" s="22" t="str">
        <f t="shared" ref="Q3:Q66" si="5">"TC_CC"&amp;"_"&amp;RIGHT(I3,5)</f>
        <v>TC_CC_03_07</v>
      </c>
      <c r="R3" s="8"/>
      <c r="S3" s="7" t="e">
        <f>_xlfn.XLOOKUP($D3,#REF!,#REF!,,0,)</f>
        <v>#REF!</v>
      </c>
      <c r="T3" s="22" t="str">
        <f>Tab_Process_TCs2527[[#This Row],[Flow_ID]]</f>
        <v>F_03_07</v>
      </c>
      <c r="U3" s="22" t="e">
        <f t="shared" si="1"/>
        <v>#REF!</v>
      </c>
      <c r="V3" s="29"/>
      <c r="W3" s="32" t="e">
        <f>Tab_Process_TCs2527[[#This Row],[TC O_6_'[%']]]+#REF!+#REF!+#REF!+#REF!+#REF!</f>
        <v>#REF!</v>
      </c>
      <c r="X3" s="8"/>
      <c r="Y3" s="8"/>
      <c r="Z3" s="8"/>
      <c r="AA3" s="8"/>
      <c r="AB3" s="8"/>
    </row>
    <row r="4" spans="1:28" x14ac:dyDescent="0.25">
      <c r="A4" s="159" t="b">
        <v>0</v>
      </c>
      <c r="B4" s="7">
        <f t="shared" si="0"/>
        <v>3</v>
      </c>
      <c r="C4" s="27" t="str">
        <f>_xlfn.XLOOKUP($D4,Tab_Process_TCs[Process_Name],Tab_Process_TCs[Process_ID],,0,)</f>
        <v>03</v>
      </c>
      <c r="D4" s="154" t="s">
        <v>726</v>
      </c>
      <c r="E4" s="154" t="s">
        <v>743</v>
      </c>
      <c r="F4" s="27" t="str">
        <f>_xlfn.XLOOKUP($D4,Tab_Process_TCs[Process_Name],Tab_Process_TCs[TC?],,0,)</f>
        <v>Yes</v>
      </c>
      <c r="G4" s="27" t="str">
        <f>_xlfn.XLOOKUP($D4,Tab_Process_TCs[Process_Name],Tab_Process_TCs[TC_Type],,0,)</f>
        <v>Dynamic</v>
      </c>
      <c r="H4" s="27" t="str">
        <f>_xlfn.XLOOKUP($D4,Tab_Process_TCs[Process_Name],Tab_Process_TCs[Process_Logic],,0,)</f>
        <v>Splitter</v>
      </c>
      <c r="I4" s="7" t="str">
        <f>_xlfn.XLOOKUP($E4,Tab_Def_Flows[Flow_Name],Tab_Def_Flows[Flow_ID],,0,1)</f>
        <v>F_03_05</v>
      </c>
      <c r="J4" s="8">
        <v>2000</v>
      </c>
      <c r="K4" s="22" t="str">
        <f t="shared" si="2"/>
        <v>TC_material_03_05</v>
      </c>
      <c r="L4" s="157">
        <v>0.25</v>
      </c>
      <c r="M4" s="22" t="str">
        <f t="shared" si="3"/>
        <v>TC_WC_03_05</v>
      </c>
      <c r="N4" s="157"/>
      <c r="O4" s="22" t="str">
        <f t="shared" si="4"/>
        <v>TC_DM_03_05</v>
      </c>
      <c r="P4" s="157"/>
      <c r="Q4" s="22" t="str">
        <f t="shared" si="5"/>
        <v>TC_CC_03_05</v>
      </c>
      <c r="R4" s="8"/>
      <c r="S4" s="7" t="e">
        <f>_xlfn.XLOOKUP($D4,#REF!,#REF!,,0,)</f>
        <v>#REF!</v>
      </c>
      <c r="T4" s="22" t="str">
        <f>Tab_Process_TCs2527[[#This Row],[Flow_ID]]</f>
        <v>F_03_05</v>
      </c>
      <c r="U4" s="22" t="e">
        <f t="shared" si="1"/>
        <v>#REF!</v>
      </c>
      <c r="V4" s="29"/>
      <c r="W4" s="32" t="e">
        <f>Tab_Process_TCs2527[[#This Row],[TC O_6_'[%']]]+#REF!+#REF!+#REF!+#REF!+#REF!</f>
        <v>#REF!</v>
      </c>
      <c r="X4" s="8"/>
      <c r="Y4" s="8"/>
      <c r="Z4" s="8"/>
      <c r="AA4" s="8"/>
      <c r="AB4" s="8"/>
    </row>
    <row r="5" spans="1:28" x14ac:dyDescent="0.25">
      <c r="A5" s="159" t="b">
        <v>0</v>
      </c>
      <c r="B5" s="7">
        <f t="shared" si="0"/>
        <v>4</v>
      </c>
      <c r="C5" s="27" t="str">
        <f>_xlfn.XLOOKUP($D5,Tab_Process_TCs[Process_Name],Tab_Process_TCs[Process_ID],,0,)</f>
        <v>03</v>
      </c>
      <c r="D5" s="154" t="s">
        <v>726</v>
      </c>
      <c r="E5" s="154" t="s">
        <v>744</v>
      </c>
      <c r="F5" s="27" t="str">
        <f>_xlfn.XLOOKUP($D5,Tab_Process_TCs[Process_Name],Tab_Process_TCs[TC?],,0,)</f>
        <v>Yes</v>
      </c>
      <c r="G5" s="27" t="str">
        <f>_xlfn.XLOOKUP($D5,Tab_Process_TCs[Process_Name],Tab_Process_TCs[TC_Type],,0,)</f>
        <v>Dynamic</v>
      </c>
      <c r="H5" s="27" t="str">
        <f>_xlfn.XLOOKUP($D5,Tab_Process_TCs[Process_Name],Tab_Process_TCs[Process_Logic],,0,)</f>
        <v>Splitter</v>
      </c>
      <c r="I5" s="7" t="str">
        <f>_xlfn.XLOOKUP($E5,Tab_Def_Flows[Flow_Name],Tab_Def_Flows[Flow_ID],,0,1)</f>
        <v>F_03_06</v>
      </c>
      <c r="J5" s="8">
        <v>2000</v>
      </c>
      <c r="K5" s="22" t="str">
        <f t="shared" si="2"/>
        <v>TC_material_03_06</v>
      </c>
      <c r="L5" s="157">
        <v>0.25</v>
      </c>
      <c r="M5" s="22" t="str">
        <f t="shared" si="3"/>
        <v>TC_WC_03_06</v>
      </c>
      <c r="N5" s="157"/>
      <c r="O5" s="22" t="str">
        <f t="shared" si="4"/>
        <v>TC_DM_03_06</v>
      </c>
      <c r="P5" s="157"/>
      <c r="Q5" s="22" t="str">
        <f t="shared" si="5"/>
        <v>TC_CC_03_06</v>
      </c>
      <c r="R5" s="8"/>
      <c r="S5" s="7" t="e">
        <f>_xlfn.XLOOKUP($D5,#REF!,#REF!,,0,)</f>
        <v>#REF!</v>
      </c>
      <c r="T5" s="22" t="str">
        <f>Tab_Process_TCs2527[[#This Row],[Flow_ID]]</f>
        <v>F_03_06</v>
      </c>
      <c r="U5" s="22" t="e">
        <f t="shared" si="1"/>
        <v>#REF!</v>
      </c>
      <c r="V5" s="29"/>
      <c r="W5" s="32" t="e">
        <f>Tab_Process_TCs2527[[#This Row],[TC O_6_'[%']]]+#REF!+#REF!+#REF!+#REF!+#REF!</f>
        <v>#REF!</v>
      </c>
      <c r="X5" s="8"/>
      <c r="Y5" s="8"/>
      <c r="Z5" s="8"/>
      <c r="AA5" s="8"/>
      <c r="AB5" s="8"/>
    </row>
    <row r="6" spans="1:28" x14ac:dyDescent="0.25">
      <c r="A6" s="159" t="b">
        <v>0</v>
      </c>
      <c r="B6" s="7">
        <f t="shared" si="0"/>
        <v>5</v>
      </c>
      <c r="C6" s="27" t="str">
        <f>_xlfn.XLOOKUP($D6,Tab_Process_TCs[Process_Name],Tab_Process_TCs[Process_ID],,0,)</f>
        <v>03</v>
      </c>
      <c r="D6" s="154" t="s">
        <v>726</v>
      </c>
      <c r="E6" s="154" t="s">
        <v>742</v>
      </c>
      <c r="F6" s="27" t="str">
        <f>_xlfn.XLOOKUP($D6,Tab_Process_TCs[Process_Name],Tab_Process_TCs[TC?],,0,)</f>
        <v>Yes</v>
      </c>
      <c r="G6" s="27" t="str">
        <f>_xlfn.XLOOKUP($D6,Tab_Process_TCs[Process_Name],Tab_Process_TCs[TC_Type],,0,)</f>
        <v>Dynamic</v>
      </c>
      <c r="H6" s="27" t="str">
        <f>_xlfn.XLOOKUP($D6,Tab_Process_TCs[Process_Name],Tab_Process_TCs[Process_Logic],,0,)</f>
        <v>Splitter</v>
      </c>
      <c r="I6" s="7" t="str">
        <f>_xlfn.XLOOKUP($E6,Tab_Def_Flows[Flow_Name],Tab_Def_Flows[Flow_ID],,0,1)</f>
        <v>F_03_04</v>
      </c>
      <c r="J6" s="8">
        <v>2020</v>
      </c>
      <c r="K6" s="22" t="str">
        <f t="shared" si="2"/>
        <v>TC_material_03_04</v>
      </c>
      <c r="L6" s="157">
        <v>0.1</v>
      </c>
      <c r="M6" s="22" t="str">
        <f t="shared" si="3"/>
        <v>TC_WC_03_04</v>
      </c>
      <c r="N6" s="157"/>
      <c r="O6" s="22" t="str">
        <f t="shared" si="4"/>
        <v>TC_DM_03_04</v>
      </c>
      <c r="P6" s="157"/>
      <c r="Q6" s="22" t="str">
        <f t="shared" si="5"/>
        <v>TC_CC_03_04</v>
      </c>
      <c r="R6" s="8"/>
      <c r="S6" s="7" t="e">
        <f>_xlfn.XLOOKUP($D6,#REF!,#REF!,,0,)</f>
        <v>#REF!</v>
      </c>
      <c r="T6" s="22" t="str">
        <f>Tab_Process_TCs2527[[#This Row],[Flow_ID]]</f>
        <v>F_03_04</v>
      </c>
      <c r="U6" s="22" t="e">
        <f t="shared" si="1"/>
        <v>#REF!</v>
      </c>
      <c r="V6" s="29"/>
      <c r="W6" s="32" t="e">
        <f>Tab_Process_TCs2527[[#This Row],[TC O_6_'[%']]]+#REF!+#REF!+#REF!+#REF!+#REF!</f>
        <v>#REF!</v>
      </c>
      <c r="X6" s="8"/>
      <c r="Y6" s="8"/>
      <c r="Z6" s="8"/>
      <c r="AA6" s="8"/>
      <c r="AB6" s="8"/>
    </row>
    <row r="7" spans="1:28" x14ac:dyDescent="0.25">
      <c r="A7" s="159" t="b">
        <v>0</v>
      </c>
      <c r="B7" s="7">
        <f t="shared" si="0"/>
        <v>6</v>
      </c>
      <c r="C7" s="27" t="str">
        <f>_xlfn.XLOOKUP($D7,Tab_Process_TCs[Process_Name],Tab_Process_TCs[Process_ID],,0,)</f>
        <v>03</v>
      </c>
      <c r="D7" s="154" t="s">
        <v>726</v>
      </c>
      <c r="E7" s="154" t="s">
        <v>745</v>
      </c>
      <c r="F7" s="27" t="str">
        <f>_xlfn.XLOOKUP($D7,Tab_Process_TCs[Process_Name],Tab_Process_TCs[TC?],,0,)</f>
        <v>Yes</v>
      </c>
      <c r="G7" s="27" t="str">
        <f>_xlfn.XLOOKUP($D7,Tab_Process_TCs[Process_Name],Tab_Process_TCs[TC_Type],,0,)</f>
        <v>Dynamic</v>
      </c>
      <c r="H7" s="27" t="str">
        <f>_xlfn.XLOOKUP($D7,Tab_Process_TCs[Process_Name],Tab_Process_TCs[Process_Logic],,0,)</f>
        <v>Splitter</v>
      </c>
      <c r="I7" s="7" t="str">
        <f>_xlfn.XLOOKUP($E7,Tab_Def_Flows[Flow_Name],Tab_Def_Flows[Flow_ID],,0,1)</f>
        <v>F_03_07</v>
      </c>
      <c r="J7" s="8">
        <v>2020</v>
      </c>
      <c r="K7" s="22" t="str">
        <f t="shared" si="2"/>
        <v>TC_material_03_07</v>
      </c>
      <c r="L7" s="157">
        <v>0.1</v>
      </c>
      <c r="M7" s="22" t="str">
        <f t="shared" si="3"/>
        <v>TC_WC_03_07</v>
      </c>
      <c r="N7" s="157"/>
      <c r="O7" s="22" t="str">
        <f t="shared" si="4"/>
        <v>TC_DM_03_07</v>
      </c>
      <c r="P7" s="157"/>
      <c r="Q7" s="22" t="str">
        <f t="shared" si="5"/>
        <v>TC_CC_03_07</v>
      </c>
      <c r="R7" s="8"/>
      <c r="S7" s="7" t="e">
        <f>_xlfn.XLOOKUP($D7,#REF!,#REF!,,0,)</f>
        <v>#REF!</v>
      </c>
      <c r="T7" s="22" t="str">
        <f>Tab_Process_TCs2527[[#This Row],[Flow_ID]]</f>
        <v>F_03_07</v>
      </c>
      <c r="U7" s="22" t="e">
        <f t="shared" si="1"/>
        <v>#REF!</v>
      </c>
      <c r="V7" s="29"/>
      <c r="W7" s="32" t="e">
        <f>Tab_Process_TCs2527[[#This Row],[TC O_6_'[%']]]+#REF!+#REF!+#REF!+#REF!+#REF!</f>
        <v>#REF!</v>
      </c>
      <c r="X7" s="8"/>
      <c r="Y7" s="8"/>
      <c r="Z7" s="8"/>
      <c r="AA7" s="8"/>
      <c r="AB7" s="8"/>
    </row>
    <row r="8" spans="1:28" x14ac:dyDescent="0.25">
      <c r="A8" s="159" t="b">
        <v>0</v>
      </c>
      <c r="B8" s="7">
        <f t="shared" si="0"/>
        <v>7</v>
      </c>
      <c r="C8" s="27" t="str">
        <f>_xlfn.XLOOKUP($D8,Tab_Process_TCs[Process_Name],Tab_Process_TCs[Process_ID],,0,)</f>
        <v>03</v>
      </c>
      <c r="D8" s="154" t="s">
        <v>726</v>
      </c>
      <c r="E8" s="154" t="s">
        <v>743</v>
      </c>
      <c r="F8" s="27" t="str">
        <f>_xlfn.XLOOKUP($D8,Tab_Process_TCs[Process_Name],Tab_Process_TCs[TC?],,0,)</f>
        <v>Yes</v>
      </c>
      <c r="G8" s="27" t="str">
        <f>_xlfn.XLOOKUP($D8,Tab_Process_TCs[Process_Name],Tab_Process_TCs[TC_Type],,0,)</f>
        <v>Dynamic</v>
      </c>
      <c r="H8" s="27" t="str">
        <f>_xlfn.XLOOKUP($D8,Tab_Process_TCs[Process_Name],Tab_Process_TCs[Process_Logic],,0,)</f>
        <v>Splitter</v>
      </c>
      <c r="I8" s="7" t="str">
        <f>_xlfn.XLOOKUP($E8,Tab_Def_Flows[Flow_Name],Tab_Def_Flows[Flow_ID],,0,1)</f>
        <v>F_03_05</v>
      </c>
      <c r="J8" s="8">
        <v>2020</v>
      </c>
      <c r="K8" s="22" t="str">
        <f t="shared" si="2"/>
        <v>TC_material_03_05</v>
      </c>
      <c r="L8" s="157">
        <v>0.4</v>
      </c>
      <c r="M8" s="22" t="str">
        <f t="shared" si="3"/>
        <v>TC_WC_03_05</v>
      </c>
      <c r="N8" s="157"/>
      <c r="O8" s="22" t="str">
        <f t="shared" si="4"/>
        <v>TC_DM_03_05</v>
      </c>
      <c r="P8" s="157"/>
      <c r="Q8" s="22" t="str">
        <f t="shared" si="5"/>
        <v>TC_CC_03_05</v>
      </c>
      <c r="R8" s="8"/>
      <c r="S8" s="7" t="e">
        <f>_xlfn.XLOOKUP($D8,#REF!,#REF!,,0,)</f>
        <v>#REF!</v>
      </c>
      <c r="T8" s="22" t="str">
        <f>Tab_Process_TCs2527[[#This Row],[Flow_ID]]</f>
        <v>F_03_05</v>
      </c>
      <c r="U8" s="22" t="e">
        <f t="shared" si="1"/>
        <v>#REF!</v>
      </c>
      <c r="V8" s="29"/>
      <c r="W8" s="32" t="e">
        <f>Tab_Process_TCs2527[[#This Row],[TC O_6_'[%']]]+#REF!+#REF!+#REF!+#REF!+#REF!</f>
        <v>#REF!</v>
      </c>
      <c r="X8" s="8"/>
      <c r="Y8" s="8"/>
      <c r="Z8" s="8"/>
      <c r="AA8" s="8"/>
      <c r="AB8" s="8"/>
    </row>
    <row r="9" spans="1:28" x14ac:dyDescent="0.25">
      <c r="A9" s="159" t="b">
        <v>0</v>
      </c>
      <c r="B9" s="7">
        <f t="shared" si="0"/>
        <v>8</v>
      </c>
      <c r="C9" s="27" t="str">
        <f>_xlfn.XLOOKUP($D9,Tab_Process_TCs[Process_Name],Tab_Process_TCs[Process_ID],,0,)</f>
        <v>03</v>
      </c>
      <c r="D9" s="154" t="s">
        <v>726</v>
      </c>
      <c r="E9" s="154" t="s">
        <v>744</v>
      </c>
      <c r="F9" s="27" t="str">
        <f>_xlfn.XLOOKUP($D9,Tab_Process_TCs[Process_Name],Tab_Process_TCs[TC?],,0,)</f>
        <v>Yes</v>
      </c>
      <c r="G9" s="27" t="str">
        <f>_xlfn.XLOOKUP($D9,Tab_Process_TCs[Process_Name],Tab_Process_TCs[TC_Type],,0,)</f>
        <v>Dynamic</v>
      </c>
      <c r="H9" s="27" t="str">
        <f>_xlfn.XLOOKUP($D9,Tab_Process_TCs[Process_Name],Tab_Process_TCs[Process_Logic],,0,)</f>
        <v>Splitter</v>
      </c>
      <c r="I9" s="7" t="str">
        <f>_xlfn.XLOOKUP($E9,Tab_Def_Flows[Flow_Name],Tab_Def_Flows[Flow_ID],,0,1)</f>
        <v>F_03_06</v>
      </c>
      <c r="J9" s="8">
        <v>2020</v>
      </c>
      <c r="K9" s="22" t="str">
        <f t="shared" si="2"/>
        <v>TC_material_03_06</v>
      </c>
      <c r="L9" s="157">
        <v>0.4</v>
      </c>
      <c r="M9" s="22" t="str">
        <f t="shared" si="3"/>
        <v>TC_WC_03_06</v>
      </c>
      <c r="N9" s="157"/>
      <c r="O9" s="22" t="str">
        <f t="shared" si="4"/>
        <v>TC_DM_03_06</v>
      </c>
      <c r="P9" s="157"/>
      <c r="Q9" s="22" t="str">
        <f t="shared" si="5"/>
        <v>TC_CC_03_06</v>
      </c>
      <c r="R9" s="8"/>
      <c r="S9" s="7" t="e">
        <f>_xlfn.XLOOKUP($D9,#REF!,#REF!,,0,)</f>
        <v>#REF!</v>
      </c>
      <c r="T9" s="22" t="str">
        <f>Tab_Process_TCs2527[[#This Row],[Flow_ID]]</f>
        <v>F_03_06</v>
      </c>
      <c r="U9" s="22" t="e">
        <f t="shared" si="1"/>
        <v>#REF!</v>
      </c>
      <c r="V9" s="29"/>
      <c r="W9" s="32" t="e">
        <f>Tab_Process_TCs2527[[#This Row],[TC O_6_'[%']]]+#REF!+#REF!+#REF!+#REF!+#REF!</f>
        <v>#REF!</v>
      </c>
      <c r="X9" s="8"/>
      <c r="Y9" s="8"/>
      <c r="Z9" s="8"/>
      <c r="AA9" s="8"/>
      <c r="AB9" s="8"/>
    </row>
    <row r="10" spans="1:28" x14ac:dyDescent="0.25">
      <c r="A10" s="159" t="b">
        <v>0</v>
      </c>
      <c r="B10" s="7">
        <f t="shared" si="0"/>
        <v>9</v>
      </c>
      <c r="C10" s="27" t="str">
        <f>_xlfn.XLOOKUP($D10,Tab_Process_TCs[Process_Name],Tab_Process_TCs[Process_ID],,0,)</f>
        <v>03</v>
      </c>
      <c r="D10" s="154" t="s">
        <v>726</v>
      </c>
      <c r="E10" s="154" t="s">
        <v>742</v>
      </c>
      <c r="F10" s="27" t="str">
        <f>_xlfn.XLOOKUP($D10,Tab_Process_TCs[Process_Name],Tab_Process_TCs[TC?],,0,)</f>
        <v>Yes</v>
      </c>
      <c r="G10" s="27" t="str">
        <f>_xlfn.XLOOKUP($D10,Tab_Process_TCs[Process_Name],Tab_Process_TCs[TC_Type],,0,)</f>
        <v>Dynamic</v>
      </c>
      <c r="H10" s="27" t="str">
        <f>_xlfn.XLOOKUP($D10,Tab_Process_TCs[Process_Name],Tab_Process_TCs[Process_Logic],,0,)</f>
        <v>Splitter</v>
      </c>
      <c r="I10" s="7" t="str">
        <f>_xlfn.XLOOKUP($E10,Tab_Def_Flows[Flow_Name],Tab_Def_Flows[Flow_ID],,0,1)</f>
        <v>F_03_04</v>
      </c>
      <c r="J10" s="8">
        <v>2040</v>
      </c>
      <c r="K10" s="22" t="str">
        <f t="shared" si="2"/>
        <v>TC_material_03_04</v>
      </c>
      <c r="L10" s="157">
        <v>0.6</v>
      </c>
      <c r="M10" s="22" t="str">
        <f t="shared" si="3"/>
        <v>TC_WC_03_04</v>
      </c>
      <c r="N10" s="157"/>
      <c r="O10" s="22" t="str">
        <f t="shared" si="4"/>
        <v>TC_DM_03_04</v>
      </c>
      <c r="P10" s="157"/>
      <c r="Q10" s="22" t="str">
        <f t="shared" si="5"/>
        <v>TC_CC_03_04</v>
      </c>
      <c r="R10" s="8"/>
      <c r="S10" s="7" t="e">
        <f>_xlfn.XLOOKUP($D10,#REF!,#REF!,,0,)</f>
        <v>#REF!</v>
      </c>
      <c r="T10" s="22" t="str">
        <f>Tab_Process_TCs2527[[#This Row],[Flow_ID]]</f>
        <v>F_03_04</v>
      </c>
      <c r="U10" s="22" t="e">
        <f t="shared" si="1"/>
        <v>#REF!</v>
      </c>
      <c r="V10" s="29"/>
      <c r="W10" s="32" t="e">
        <f>Tab_Process_TCs2527[[#This Row],[TC O_6_'[%']]]+#REF!+#REF!+#REF!+#REF!+#REF!</f>
        <v>#REF!</v>
      </c>
      <c r="X10" s="8"/>
      <c r="Y10" s="8"/>
      <c r="Z10" s="8"/>
      <c r="AA10" s="8"/>
      <c r="AB10" s="8"/>
    </row>
    <row r="11" spans="1:28" x14ac:dyDescent="0.25">
      <c r="A11" s="159" t="b">
        <v>0</v>
      </c>
      <c r="B11" s="7">
        <f t="shared" si="0"/>
        <v>10</v>
      </c>
      <c r="C11" s="27" t="str">
        <f>_xlfn.XLOOKUP($D11,Tab_Process_TCs[Process_Name],Tab_Process_TCs[Process_ID],,0,)</f>
        <v>03</v>
      </c>
      <c r="D11" s="154" t="s">
        <v>726</v>
      </c>
      <c r="E11" s="154" t="s">
        <v>745</v>
      </c>
      <c r="F11" s="27" t="str">
        <f>_xlfn.XLOOKUP($D11,Tab_Process_TCs[Process_Name],Tab_Process_TCs[TC?],,0,)</f>
        <v>Yes</v>
      </c>
      <c r="G11" s="27" t="str">
        <f>_xlfn.XLOOKUP($D11,Tab_Process_TCs[Process_Name],Tab_Process_TCs[TC_Type],,0,)</f>
        <v>Dynamic</v>
      </c>
      <c r="H11" s="27" t="str">
        <f>_xlfn.XLOOKUP($D11,Tab_Process_TCs[Process_Name],Tab_Process_TCs[Process_Logic],,0,)</f>
        <v>Splitter</v>
      </c>
      <c r="I11" s="7" t="str">
        <f>_xlfn.XLOOKUP($E11,Tab_Def_Flows[Flow_Name],Tab_Def_Flows[Flow_ID],,0,1)</f>
        <v>F_03_07</v>
      </c>
      <c r="J11" s="8">
        <v>2040</v>
      </c>
      <c r="K11" s="22" t="str">
        <f t="shared" si="2"/>
        <v>TC_material_03_07</v>
      </c>
      <c r="L11" s="157">
        <v>0.1</v>
      </c>
      <c r="M11" s="22" t="str">
        <f t="shared" si="3"/>
        <v>TC_WC_03_07</v>
      </c>
      <c r="N11" s="157"/>
      <c r="O11" s="22" t="str">
        <f t="shared" si="4"/>
        <v>TC_DM_03_07</v>
      </c>
      <c r="P11" s="157"/>
      <c r="Q11" s="22" t="str">
        <f t="shared" si="5"/>
        <v>TC_CC_03_07</v>
      </c>
      <c r="R11" s="8"/>
      <c r="S11" s="7" t="e">
        <f>_xlfn.XLOOKUP($D11,#REF!,#REF!,,0,)</f>
        <v>#REF!</v>
      </c>
      <c r="T11" s="22" t="str">
        <f>Tab_Process_TCs2527[[#This Row],[Flow_ID]]</f>
        <v>F_03_07</v>
      </c>
      <c r="U11" s="22" t="e">
        <f t="shared" si="1"/>
        <v>#REF!</v>
      </c>
      <c r="V11" s="29"/>
      <c r="W11" s="32" t="e">
        <f>Tab_Process_TCs2527[[#This Row],[TC O_6_'[%']]]+#REF!+#REF!+#REF!+#REF!+#REF!</f>
        <v>#REF!</v>
      </c>
      <c r="X11" s="8"/>
      <c r="Y11" s="8"/>
      <c r="Z11" s="8"/>
      <c r="AA11" s="8"/>
      <c r="AB11" s="8"/>
    </row>
    <row r="12" spans="1:28" x14ac:dyDescent="0.25">
      <c r="A12" s="159" t="b">
        <v>0</v>
      </c>
      <c r="B12" s="7">
        <f t="shared" si="0"/>
        <v>11</v>
      </c>
      <c r="C12" s="27" t="str">
        <f>_xlfn.XLOOKUP($D12,Tab_Process_TCs[Process_Name],Tab_Process_TCs[Process_ID],,0,)</f>
        <v>03</v>
      </c>
      <c r="D12" s="154" t="s">
        <v>726</v>
      </c>
      <c r="E12" s="154" t="s">
        <v>743</v>
      </c>
      <c r="F12" s="27" t="str">
        <f>_xlfn.XLOOKUP($D12,Tab_Process_TCs[Process_Name],Tab_Process_TCs[TC?],,0,)</f>
        <v>Yes</v>
      </c>
      <c r="G12" s="27" t="str">
        <f>_xlfn.XLOOKUP($D12,Tab_Process_TCs[Process_Name],Tab_Process_TCs[TC_Type],,0,)</f>
        <v>Dynamic</v>
      </c>
      <c r="H12" s="27" t="str">
        <f>_xlfn.XLOOKUP($D12,Tab_Process_TCs[Process_Name],Tab_Process_TCs[Process_Logic],,0,)</f>
        <v>Splitter</v>
      </c>
      <c r="I12" s="7" t="str">
        <f>_xlfn.XLOOKUP($E12,Tab_Def_Flows[Flow_Name],Tab_Def_Flows[Flow_ID],,0,1)</f>
        <v>F_03_05</v>
      </c>
      <c r="J12" s="8">
        <v>2040</v>
      </c>
      <c r="K12" s="22" t="str">
        <f t="shared" si="2"/>
        <v>TC_material_03_05</v>
      </c>
      <c r="L12" s="157">
        <v>0.2</v>
      </c>
      <c r="M12" s="22" t="str">
        <f t="shared" si="3"/>
        <v>TC_WC_03_05</v>
      </c>
      <c r="N12" s="157"/>
      <c r="O12" s="22" t="str">
        <f t="shared" si="4"/>
        <v>TC_DM_03_05</v>
      </c>
      <c r="P12" s="157"/>
      <c r="Q12" s="22" t="str">
        <f t="shared" si="5"/>
        <v>TC_CC_03_05</v>
      </c>
      <c r="R12" s="8"/>
      <c r="S12" s="7" t="e">
        <f>_xlfn.XLOOKUP($D12,#REF!,#REF!,,0,)</f>
        <v>#REF!</v>
      </c>
      <c r="T12" s="22" t="str">
        <f>Tab_Process_TCs2527[[#This Row],[Flow_ID]]</f>
        <v>F_03_05</v>
      </c>
      <c r="U12" s="22" t="e">
        <f t="shared" si="1"/>
        <v>#REF!</v>
      </c>
      <c r="V12" s="29"/>
      <c r="W12" s="32" t="e">
        <f>Tab_Process_TCs2527[[#This Row],[TC O_6_'[%']]]+#REF!+#REF!+#REF!+#REF!+#REF!</f>
        <v>#REF!</v>
      </c>
      <c r="X12" s="8"/>
      <c r="Y12" s="8"/>
      <c r="Z12" s="8"/>
      <c r="AA12" s="8"/>
      <c r="AB12" s="8"/>
    </row>
    <row r="13" spans="1:28" x14ac:dyDescent="0.25">
      <c r="A13" s="159" t="b">
        <v>0</v>
      </c>
      <c r="B13" s="7">
        <f t="shared" si="0"/>
        <v>12</v>
      </c>
      <c r="C13" s="27" t="str">
        <f>_xlfn.XLOOKUP($D13,Tab_Process_TCs[Process_Name],Tab_Process_TCs[Process_ID],,0,)</f>
        <v>03</v>
      </c>
      <c r="D13" s="154" t="s">
        <v>726</v>
      </c>
      <c r="E13" s="154" t="s">
        <v>744</v>
      </c>
      <c r="F13" s="27" t="str">
        <f>_xlfn.XLOOKUP($D13,Tab_Process_TCs[Process_Name],Tab_Process_TCs[TC?],,0,)</f>
        <v>Yes</v>
      </c>
      <c r="G13" s="27" t="str">
        <f>_xlfn.XLOOKUP($D13,Tab_Process_TCs[Process_Name],Tab_Process_TCs[TC_Type],,0,)</f>
        <v>Dynamic</v>
      </c>
      <c r="H13" s="27" t="str">
        <f>_xlfn.XLOOKUP($D13,Tab_Process_TCs[Process_Name],Tab_Process_TCs[Process_Logic],,0,)</f>
        <v>Splitter</v>
      </c>
      <c r="I13" s="7" t="str">
        <f>_xlfn.XLOOKUP($E13,Tab_Def_Flows[Flow_Name],Tab_Def_Flows[Flow_ID],,0,1)</f>
        <v>F_03_06</v>
      </c>
      <c r="J13" s="8">
        <v>2040</v>
      </c>
      <c r="K13" s="22" t="str">
        <f>"TC_material"&amp;"_"&amp;RIGHT(I13,5)</f>
        <v>TC_material_03_06</v>
      </c>
      <c r="L13" s="157">
        <v>0.1</v>
      </c>
      <c r="M13" s="22" t="str">
        <f t="shared" si="3"/>
        <v>TC_WC_03_06</v>
      </c>
      <c r="N13" s="157"/>
      <c r="O13" s="22" t="str">
        <f t="shared" si="4"/>
        <v>TC_DM_03_06</v>
      </c>
      <c r="P13" s="157"/>
      <c r="Q13" s="22" t="str">
        <f t="shared" si="5"/>
        <v>TC_CC_03_06</v>
      </c>
      <c r="R13" s="8"/>
      <c r="S13" s="7" t="e">
        <f>_xlfn.XLOOKUP($D13,#REF!,#REF!,,0,)</f>
        <v>#REF!</v>
      </c>
      <c r="T13" s="22" t="str">
        <f>Tab_Process_TCs2527[[#This Row],[Flow_ID]]</f>
        <v>F_03_06</v>
      </c>
      <c r="U13" s="22" t="e">
        <f t="shared" si="1"/>
        <v>#REF!</v>
      </c>
      <c r="V13" s="29"/>
      <c r="W13" s="32" t="e">
        <f>Tab_Process_TCs2527[[#This Row],[TC O_6_'[%']]]+#REF!+#REF!+#REF!+#REF!+#REF!</f>
        <v>#REF!</v>
      </c>
      <c r="X13" s="8"/>
      <c r="Y13" s="8"/>
      <c r="Z13" s="8"/>
      <c r="AA13" s="8"/>
      <c r="AB13" s="8"/>
    </row>
    <row r="14" spans="1:28" x14ac:dyDescent="0.25">
      <c r="A14" s="159" t="b">
        <v>0</v>
      </c>
      <c r="B14" s="7">
        <f t="shared" si="0"/>
        <v>13</v>
      </c>
      <c r="C14" s="27" t="e">
        <f>_xlfn.XLOOKUP($D14,Tab_Process_TCs[Process_Name],Tab_Process_TCs[Process_ID],,0,)</f>
        <v>#N/A</v>
      </c>
      <c r="D14" s="154" t="s">
        <v>31</v>
      </c>
      <c r="E14" s="154"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7"/>
      <c r="M14" s="22" t="str">
        <f t="shared" si="3"/>
        <v>TC_WC_F__</v>
      </c>
      <c r="N14" s="157"/>
      <c r="O14" s="22" t="str">
        <f t="shared" si="4"/>
        <v>TC_DM_F__</v>
      </c>
      <c r="P14" s="157"/>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59" t="b">
        <v>0</v>
      </c>
      <c r="B15" s="7">
        <f t="shared" si="0"/>
        <v>14</v>
      </c>
      <c r="C15" s="27" t="e">
        <f>_xlfn.XLOOKUP($D15,Tab_Process_TCs[Process_Name],Tab_Process_TCs[Process_ID],,0,)</f>
        <v>#N/A</v>
      </c>
      <c r="D15" s="154" t="s">
        <v>31</v>
      </c>
      <c r="E15" s="154"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7"/>
      <c r="M15" s="22" t="str">
        <f t="shared" si="3"/>
        <v>TC_WC_F__</v>
      </c>
      <c r="N15" s="157"/>
      <c r="O15" s="22" t="str">
        <f t="shared" si="4"/>
        <v>TC_DM_F__</v>
      </c>
      <c r="P15" s="157"/>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59" t="b">
        <v>0</v>
      </c>
      <c r="B16" s="7">
        <f t="shared" si="0"/>
        <v>15</v>
      </c>
      <c r="C16" s="27" t="e">
        <f>_xlfn.XLOOKUP($D16,Tab_Process_TCs[Process_Name],Tab_Process_TCs[Process_ID],,0,)</f>
        <v>#N/A</v>
      </c>
      <c r="D16" s="154" t="s">
        <v>31</v>
      </c>
      <c r="E16" s="154"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7"/>
      <c r="M16" s="22" t="str">
        <f t="shared" si="3"/>
        <v>TC_WC_F__</v>
      </c>
      <c r="N16" s="157"/>
      <c r="O16" s="22" t="str">
        <f t="shared" si="4"/>
        <v>TC_DM_F__</v>
      </c>
      <c r="P16" s="157"/>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59" t="b">
        <v>0</v>
      </c>
      <c r="B17" s="7">
        <f t="shared" si="0"/>
        <v>16</v>
      </c>
      <c r="C17" s="27" t="e">
        <f>_xlfn.XLOOKUP($D17,Tab_Process_TCs[Process_Name],Tab_Process_TCs[Process_ID],,0,)</f>
        <v>#N/A</v>
      </c>
      <c r="D17" s="154" t="s">
        <v>31</v>
      </c>
      <c r="E17" s="154"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7"/>
      <c r="M17" s="22" t="str">
        <f t="shared" si="3"/>
        <v>TC_WC_F__</v>
      </c>
      <c r="N17" s="157"/>
      <c r="O17" s="22" t="str">
        <f t="shared" si="4"/>
        <v>TC_DM_F__</v>
      </c>
      <c r="P17" s="157"/>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59" t="b">
        <v>0</v>
      </c>
      <c r="B18" s="7">
        <f t="shared" si="0"/>
        <v>17</v>
      </c>
      <c r="C18" s="27" t="e">
        <f>_xlfn.XLOOKUP($D18,Tab_Process_TCs[Process_Name],Tab_Process_TCs[Process_ID],,0,)</f>
        <v>#N/A</v>
      </c>
      <c r="D18" s="154" t="s">
        <v>31</v>
      </c>
      <c r="E18" s="154"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7"/>
      <c r="M18" s="22" t="str">
        <f t="shared" si="3"/>
        <v>TC_WC_F__</v>
      </c>
      <c r="N18" s="157"/>
      <c r="O18" s="22" t="str">
        <f t="shared" si="4"/>
        <v>TC_DM_F__</v>
      </c>
      <c r="P18" s="157"/>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59" t="b">
        <v>0</v>
      </c>
      <c r="B19" s="7">
        <f>ROW()-1</f>
        <v>18</v>
      </c>
      <c r="C19" s="27" t="e">
        <f>_xlfn.XLOOKUP($D19,Tab_Process_TCs[Process_Name],Tab_Process_TCs[Process_ID],,0,)</f>
        <v>#N/A</v>
      </c>
      <c r="D19" s="154" t="s">
        <v>31</v>
      </c>
      <c r="E19" s="154"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7"/>
      <c r="M19" s="22" t="str">
        <f>"TC_WC"&amp;"_"&amp;RIGHT(I19,5)</f>
        <v>TC_WC_F__</v>
      </c>
      <c r="N19" s="157"/>
      <c r="O19" s="22" t="str">
        <f t="shared" si="4"/>
        <v>TC_DM_F__</v>
      </c>
      <c r="P19" s="157"/>
      <c r="Q19" s="22" t="str">
        <f t="shared" si="5"/>
        <v>TC_CC_F__</v>
      </c>
      <c r="R19" s="8"/>
      <c r="S19" s="196" t="e">
        <f>_xlfn.XLOOKUP($D19,#REF!,#REF!,,0,)</f>
        <v>#REF!</v>
      </c>
      <c r="T19" s="22" t="str">
        <f>Tab_Process_TCs2527[[#This Row],[Flow_ID]]</f>
        <v>F__</v>
      </c>
      <c r="U19" s="197" t="e">
        <f>"TC"&amp;"_"&amp;RIGHT(S19,5)</f>
        <v>#REF!</v>
      </c>
      <c r="V19" s="29"/>
      <c r="W19" s="32" t="e">
        <f>Tab_Process_TCs2527[[#This Row],[TC O_6_'[%']]]+#REF!+#REF!+#REF!+#REF!+#REF!</f>
        <v>#REF!</v>
      </c>
      <c r="X19" s="8"/>
      <c r="Y19" s="8"/>
      <c r="Z19" s="8"/>
      <c r="AA19" s="8"/>
      <c r="AB19" s="8"/>
    </row>
    <row r="20" spans="1:28" ht="16.5" customHeight="1" x14ac:dyDescent="0.25">
      <c r="A20" s="159" t="b">
        <v>0</v>
      </c>
      <c r="B20" s="7">
        <f>ROW()-1</f>
        <v>19</v>
      </c>
      <c r="C20" s="27" t="e">
        <f>_xlfn.XLOOKUP($D20,Tab_Process_TCs[Process_Name],Tab_Process_TCs[Process_ID],,0,)</f>
        <v>#N/A</v>
      </c>
      <c r="D20" s="154" t="s">
        <v>31</v>
      </c>
      <c r="E20" s="154"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7"/>
      <c r="M20" s="22" t="str">
        <f>"TC_WC"&amp;"_"&amp;RIGHT(I20,5)</f>
        <v>TC_WC_F__</v>
      </c>
      <c r="N20" s="157"/>
      <c r="O20" s="22" t="str">
        <f t="shared" si="4"/>
        <v>TC_DM_F__</v>
      </c>
      <c r="P20" s="157"/>
      <c r="Q20" s="22" t="str">
        <f t="shared" si="5"/>
        <v>TC_CC_F__</v>
      </c>
      <c r="R20" s="8"/>
      <c r="S20" s="196" t="e">
        <f>_xlfn.XLOOKUP($D20,#REF!,#REF!,,0,)</f>
        <v>#REF!</v>
      </c>
      <c r="T20" s="22" t="str">
        <f>Tab_Process_TCs2527[[#This Row],[Flow_ID]]</f>
        <v>F__</v>
      </c>
      <c r="U20" s="197" t="e">
        <f>"TC"&amp;"_"&amp;RIGHT(S20,5)</f>
        <v>#REF!</v>
      </c>
      <c r="V20" s="29"/>
      <c r="W20" s="32" t="e">
        <f>Tab_Process_TCs2527[[#This Row],[TC O_6_'[%']]]+#REF!+#REF!+#REF!+#REF!+#REF!</f>
        <v>#REF!</v>
      </c>
      <c r="X20" s="8"/>
      <c r="Y20" s="8"/>
      <c r="Z20" s="8"/>
      <c r="AA20" s="8"/>
      <c r="AB20" s="8"/>
    </row>
    <row r="21" spans="1:28" x14ac:dyDescent="0.25">
      <c r="A21" s="159" t="b">
        <v>0</v>
      </c>
      <c r="B21" s="7">
        <f t="shared" si="0"/>
        <v>20</v>
      </c>
      <c r="C21" s="27" t="e">
        <f>_xlfn.XLOOKUP($D21,Tab_Process_TCs[Process_Name],Tab_Process_TCs[Process_ID],,0,)</f>
        <v>#N/A</v>
      </c>
      <c r="D21" s="154" t="s">
        <v>31</v>
      </c>
      <c r="E21" s="154"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7"/>
      <c r="M21" s="22" t="str">
        <f t="shared" si="3"/>
        <v>TC_WC_F__</v>
      </c>
      <c r="N21" s="157"/>
      <c r="O21" s="22" t="str">
        <f t="shared" si="4"/>
        <v>TC_DM_F__</v>
      </c>
      <c r="P21" s="157"/>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59" t="b">
        <v>0</v>
      </c>
      <c r="B22" s="7">
        <f t="shared" si="0"/>
        <v>21</v>
      </c>
      <c r="C22" s="27" t="e">
        <f>_xlfn.XLOOKUP($D22,Tab_Process_TCs[Process_Name],Tab_Process_TCs[Process_ID],,0,)</f>
        <v>#N/A</v>
      </c>
      <c r="D22" s="154" t="s">
        <v>31</v>
      </c>
      <c r="E22" s="154"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7"/>
      <c r="M22" s="22" t="str">
        <f t="shared" si="3"/>
        <v>TC_WC_F__</v>
      </c>
      <c r="N22" s="157"/>
      <c r="O22" s="22" t="str">
        <f t="shared" si="4"/>
        <v>TC_DM_F__</v>
      </c>
      <c r="P22" s="157"/>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59" t="b">
        <v>0</v>
      </c>
      <c r="B23" s="7">
        <f t="shared" si="0"/>
        <v>22</v>
      </c>
      <c r="C23" s="27" t="e">
        <f>_xlfn.XLOOKUP($D23,Tab_Process_TCs[Process_Name],Tab_Process_TCs[Process_ID],,0,)</f>
        <v>#N/A</v>
      </c>
      <c r="D23" s="154" t="s">
        <v>31</v>
      </c>
      <c r="E23" s="154"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7"/>
      <c r="M23" s="22" t="str">
        <f t="shared" si="3"/>
        <v>TC_WC_F__</v>
      </c>
      <c r="N23" s="157"/>
      <c r="O23" s="22" t="str">
        <f t="shared" si="4"/>
        <v>TC_DM_F__</v>
      </c>
      <c r="P23" s="157"/>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59" t="b">
        <v>0</v>
      </c>
      <c r="B24" s="7">
        <f t="shared" si="0"/>
        <v>23</v>
      </c>
      <c r="C24" s="27" t="e">
        <f>_xlfn.XLOOKUP($D24,Tab_Process_TCs[Process_Name],Tab_Process_TCs[Process_ID],,0,)</f>
        <v>#N/A</v>
      </c>
      <c r="D24" s="154" t="s">
        <v>31</v>
      </c>
      <c r="E24" s="154"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7"/>
      <c r="M24" s="22" t="str">
        <f t="shared" si="3"/>
        <v>TC_WC_F__</v>
      </c>
      <c r="N24" s="157"/>
      <c r="O24" s="22" t="str">
        <f t="shared" si="4"/>
        <v>TC_DM_F__</v>
      </c>
      <c r="P24" s="157"/>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59" t="b">
        <v>0</v>
      </c>
      <c r="B25" s="7">
        <f t="shared" si="0"/>
        <v>24</v>
      </c>
      <c r="C25" s="27" t="e">
        <f>_xlfn.XLOOKUP($D25,Tab_Process_TCs[Process_Name],Tab_Process_TCs[Process_ID],,0,)</f>
        <v>#N/A</v>
      </c>
      <c r="D25" s="154" t="s">
        <v>31</v>
      </c>
      <c r="E25" s="154"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7"/>
      <c r="M25" s="22" t="str">
        <f t="shared" si="3"/>
        <v>TC_WC_F__</v>
      </c>
      <c r="N25" s="157"/>
      <c r="O25" s="22" t="str">
        <f t="shared" si="4"/>
        <v>TC_DM_F__</v>
      </c>
      <c r="P25" s="157"/>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59" t="b">
        <v>0</v>
      </c>
      <c r="B26" s="7">
        <f t="shared" si="0"/>
        <v>25</v>
      </c>
      <c r="C26" s="27" t="e">
        <f>_xlfn.XLOOKUP($D26,Tab_Process_TCs[Process_Name],Tab_Process_TCs[Process_ID],,0,)</f>
        <v>#N/A</v>
      </c>
      <c r="D26" s="154" t="s">
        <v>31</v>
      </c>
      <c r="E26" s="154"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7"/>
      <c r="M26" s="22" t="str">
        <f t="shared" si="3"/>
        <v>TC_WC_F__</v>
      </c>
      <c r="N26" s="157"/>
      <c r="O26" s="22" t="str">
        <f t="shared" si="4"/>
        <v>TC_DM_F__</v>
      </c>
      <c r="P26" s="157"/>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59" t="b">
        <v>0</v>
      </c>
      <c r="B27" s="7">
        <f t="shared" si="0"/>
        <v>26</v>
      </c>
      <c r="C27" s="27" t="e">
        <f>_xlfn.XLOOKUP($D27,Tab_Process_TCs[Process_Name],Tab_Process_TCs[Process_ID],,0,)</f>
        <v>#N/A</v>
      </c>
      <c r="D27" s="154" t="s">
        <v>31</v>
      </c>
      <c r="E27" s="154"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7"/>
      <c r="M27" s="22" t="str">
        <f t="shared" si="3"/>
        <v>TC_WC_F__</v>
      </c>
      <c r="N27" s="157"/>
      <c r="O27" s="22" t="str">
        <f t="shared" si="4"/>
        <v>TC_DM_F__</v>
      </c>
      <c r="P27" s="157"/>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59" t="b">
        <v>0</v>
      </c>
      <c r="B28" s="7">
        <f t="shared" si="0"/>
        <v>27</v>
      </c>
      <c r="C28" s="27" t="e">
        <f>_xlfn.XLOOKUP($D28,Tab_Process_TCs[Process_Name],Tab_Process_TCs[Process_ID],,0,)</f>
        <v>#N/A</v>
      </c>
      <c r="D28" s="154" t="s">
        <v>31</v>
      </c>
      <c r="E28" s="154"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7"/>
      <c r="M28" s="22" t="str">
        <f t="shared" si="3"/>
        <v>TC_WC_F__</v>
      </c>
      <c r="N28" s="157"/>
      <c r="O28" s="22" t="str">
        <f t="shared" si="4"/>
        <v>TC_DM_F__</v>
      </c>
      <c r="P28" s="157"/>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59" t="b">
        <v>0</v>
      </c>
      <c r="B29" s="7">
        <f t="shared" si="0"/>
        <v>28</v>
      </c>
      <c r="C29" s="27" t="e">
        <f>_xlfn.XLOOKUP($D29,Tab_Process_TCs[Process_Name],Tab_Process_TCs[Process_ID],,0,)</f>
        <v>#N/A</v>
      </c>
      <c r="D29" s="154" t="s">
        <v>31</v>
      </c>
      <c r="E29" s="154"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7"/>
      <c r="M29" s="22" t="str">
        <f t="shared" si="3"/>
        <v>TC_WC_F__</v>
      </c>
      <c r="N29" s="157"/>
      <c r="O29" s="22" t="str">
        <f t="shared" si="4"/>
        <v>TC_DM_F__</v>
      </c>
      <c r="P29" s="157"/>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59" t="b">
        <v>0</v>
      </c>
      <c r="B30" s="7">
        <f t="shared" si="0"/>
        <v>29</v>
      </c>
      <c r="C30" s="27" t="e">
        <f>_xlfn.XLOOKUP($D30,Tab_Process_TCs[Process_Name],Tab_Process_TCs[Process_ID],,0,)</f>
        <v>#N/A</v>
      </c>
      <c r="D30" s="154" t="s">
        <v>31</v>
      </c>
      <c r="E30" s="154"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7"/>
      <c r="M30" s="22" t="str">
        <f t="shared" si="3"/>
        <v>TC_WC_F__</v>
      </c>
      <c r="N30" s="157"/>
      <c r="O30" s="22" t="str">
        <f t="shared" si="4"/>
        <v>TC_DM_F__</v>
      </c>
      <c r="P30" s="157"/>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59" t="b">
        <v>0</v>
      </c>
      <c r="B31" s="7">
        <f t="shared" si="0"/>
        <v>30</v>
      </c>
      <c r="C31" s="27" t="e">
        <f>_xlfn.XLOOKUP($D31,Tab_Process_TCs[Process_Name],Tab_Process_TCs[Process_ID],,0,)</f>
        <v>#N/A</v>
      </c>
      <c r="D31" s="154" t="s">
        <v>31</v>
      </c>
      <c r="E31" s="154"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7"/>
      <c r="M31" s="22" t="str">
        <f t="shared" si="3"/>
        <v>TC_WC_F__</v>
      </c>
      <c r="N31" s="157"/>
      <c r="O31" s="22" t="str">
        <f t="shared" si="4"/>
        <v>TC_DM_F__</v>
      </c>
      <c r="P31" s="157"/>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59" t="b">
        <v>0</v>
      </c>
      <c r="B32" s="7">
        <f t="shared" ref="B32:B63" si="6">ROW()-1</f>
        <v>31</v>
      </c>
      <c r="C32" s="27" t="e">
        <f>_xlfn.XLOOKUP($D32,Tab_Process_TCs[Process_Name],Tab_Process_TCs[Process_ID],,0,)</f>
        <v>#N/A</v>
      </c>
      <c r="D32" s="154" t="s">
        <v>31</v>
      </c>
      <c r="E32" s="154"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7"/>
      <c r="M32" s="22" t="str">
        <f t="shared" si="3"/>
        <v>TC_WC_F__</v>
      </c>
      <c r="N32" s="157"/>
      <c r="O32" s="22" t="str">
        <f t="shared" si="4"/>
        <v>TC_DM_F__</v>
      </c>
      <c r="P32" s="157"/>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59" t="b">
        <v>0</v>
      </c>
      <c r="B33" s="7">
        <f t="shared" si="6"/>
        <v>32</v>
      </c>
      <c r="C33" s="27" t="e">
        <f>_xlfn.XLOOKUP($D33,Tab_Process_TCs[Process_Name],Tab_Process_TCs[Process_ID],,0,)</f>
        <v>#N/A</v>
      </c>
      <c r="D33" s="154" t="s">
        <v>31</v>
      </c>
      <c r="E33" s="154"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7"/>
      <c r="M33" s="22" t="str">
        <f t="shared" si="3"/>
        <v>TC_WC_F__</v>
      </c>
      <c r="N33" s="157"/>
      <c r="O33" s="22" t="str">
        <f t="shared" si="4"/>
        <v>TC_DM_F__</v>
      </c>
      <c r="P33" s="157"/>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59" t="b">
        <v>0</v>
      </c>
      <c r="B34" s="7">
        <f t="shared" si="6"/>
        <v>33</v>
      </c>
      <c r="C34" s="27" t="e">
        <f>_xlfn.XLOOKUP($D34,Tab_Process_TCs[Process_Name],Tab_Process_TCs[Process_ID],,0,)</f>
        <v>#N/A</v>
      </c>
      <c r="D34" s="154" t="s">
        <v>31</v>
      </c>
      <c r="E34" s="154"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7"/>
      <c r="M34" s="22" t="str">
        <f t="shared" si="3"/>
        <v>TC_WC_F__</v>
      </c>
      <c r="N34" s="157"/>
      <c r="O34" s="22" t="str">
        <f t="shared" si="4"/>
        <v>TC_DM_F__</v>
      </c>
      <c r="P34" s="157"/>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59" t="b">
        <v>0</v>
      </c>
      <c r="B35" s="7">
        <f t="shared" si="6"/>
        <v>34</v>
      </c>
      <c r="C35" s="27" t="e">
        <f>_xlfn.XLOOKUP($D35,Tab_Process_TCs[Process_Name],Tab_Process_TCs[Process_ID],,0,)</f>
        <v>#N/A</v>
      </c>
      <c r="D35" s="154" t="s">
        <v>31</v>
      </c>
      <c r="E35" s="154"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7"/>
      <c r="M35" s="22" t="str">
        <f t="shared" si="3"/>
        <v>TC_WC_F__</v>
      </c>
      <c r="N35" s="157"/>
      <c r="O35" s="22" t="str">
        <f t="shared" si="4"/>
        <v>TC_DM_F__</v>
      </c>
      <c r="P35" s="157"/>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59" t="b">
        <v>0</v>
      </c>
      <c r="B36" s="7">
        <f t="shared" si="6"/>
        <v>35</v>
      </c>
      <c r="C36" s="27" t="e">
        <f>_xlfn.XLOOKUP($D36,Tab_Process_TCs[Process_Name],Tab_Process_TCs[Process_ID],,0,)</f>
        <v>#N/A</v>
      </c>
      <c r="D36" s="154" t="s">
        <v>31</v>
      </c>
      <c r="E36" s="154"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7"/>
      <c r="M36" s="22" t="str">
        <f t="shared" si="3"/>
        <v>TC_WC_F__</v>
      </c>
      <c r="N36" s="157"/>
      <c r="O36" s="22" t="str">
        <f t="shared" si="4"/>
        <v>TC_DM_F__</v>
      </c>
      <c r="P36" s="157"/>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59" t="b">
        <v>0</v>
      </c>
      <c r="B37" s="7">
        <f t="shared" si="6"/>
        <v>36</v>
      </c>
      <c r="C37" s="27" t="e">
        <f>_xlfn.XLOOKUP($D37,Tab_Process_TCs[Process_Name],Tab_Process_TCs[Process_ID],,0,)</f>
        <v>#N/A</v>
      </c>
      <c r="D37" s="154" t="s">
        <v>31</v>
      </c>
      <c r="E37" s="154"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7"/>
      <c r="M37" s="22" t="str">
        <f t="shared" si="3"/>
        <v>TC_WC_F__</v>
      </c>
      <c r="N37" s="157"/>
      <c r="O37" s="22" t="str">
        <f t="shared" si="4"/>
        <v>TC_DM_F__</v>
      </c>
      <c r="P37" s="157"/>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59" t="b">
        <v>0</v>
      </c>
      <c r="B38" s="7">
        <f t="shared" si="6"/>
        <v>37</v>
      </c>
      <c r="C38" s="27" t="e">
        <f>_xlfn.XLOOKUP($D38,Tab_Process_TCs[Process_Name],Tab_Process_TCs[Process_ID],,0,)</f>
        <v>#N/A</v>
      </c>
      <c r="D38" s="154" t="s">
        <v>31</v>
      </c>
      <c r="E38" s="154"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7"/>
      <c r="M38" s="22" t="str">
        <f t="shared" si="3"/>
        <v>TC_WC_F__</v>
      </c>
      <c r="N38" s="157"/>
      <c r="O38" s="22" t="str">
        <f t="shared" si="4"/>
        <v>TC_DM_F__</v>
      </c>
      <c r="P38" s="157"/>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59" t="b">
        <v>0</v>
      </c>
      <c r="B39" s="7">
        <f t="shared" si="6"/>
        <v>38</v>
      </c>
      <c r="C39" s="27" t="e">
        <f>_xlfn.XLOOKUP($D39,Tab_Process_TCs[Process_Name],Tab_Process_TCs[Process_ID],,0,)</f>
        <v>#N/A</v>
      </c>
      <c r="D39" s="154" t="s">
        <v>31</v>
      </c>
      <c r="E39" s="154"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7"/>
      <c r="M39" s="22" t="str">
        <f t="shared" si="3"/>
        <v>TC_WC_F__</v>
      </c>
      <c r="N39" s="157"/>
      <c r="O39" s="22" t="str">
        <f t="shared" si="4"/>
        <v>TC_DM_F__</v>
      </c>
      <c r="P39" s="157"/>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59" t="b">
        <v>0</v>
      </c>
      <c r="B40" s="7">
        <f t="shared" si="6"/>
        <v>39</v>
      </c>
      <c r="C40" s="27" t="e">
        <f>_xlfn.XLOOKUP($D40,Tab_Process_TCs[Process_Name],Tab_Process_TCs[Process_ID],,0,)</f>
        <v>#N/A</v>
      </c>
      <c r="D40" s="154" t="s">
        <v>31</v>
      </c>
      <c r="E40" s="154"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7"/>
      <c r="M40" s="22" t="str">
        <f t="shared" si="3"/>
        <v>TC_WC_F__</v>
      </c>
      <c r="N40" s="157"/>
      <c r="O40" s="22" t="str">
        <f t="shared" si="4"/>
        <v>TC_DM_F__</v>
      </c>
      <c r="P40" s="157"/>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59" t="b">
        <v>0</v>
      </c>
      <c r="B41" s="7">
        <f t="shared" si="6"/>
        <v>40</v>
      </c>
      <c r="C41" s="27" t="e">
        <f>_xlfn.XLOOKUP($D41,Tab_Process_TCs[Process_Name],Tab_Process_TCs[Process_ID],,0,)</f>
        <v>#N/A</v>
      </c>
      <c r="D41" s="154" t="s">
        <v>31</v>
      </c>
      <c r="E41" s="154"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7"/>
      <c r="M41" s="22" t="str">
        <f t="shared" si="3"/>
        <v>TC_WC_F__</v>
      </c>
      <c r="N41" s="157"/>
      <c r="O41" s="22" t="str">
        <f t="shared" si="4"/>
        <v>TC_DM_F__</v>
      </c>
      <c r="P41" s="157"/>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59" t="b">
        <v>0</v>
      </c>
      <c r="B42" s="7">
        <f t="shared" si="6"/>
        <v>41</v>
      </c>
      <c r="C42" s="27" t="e">
        <f>_xlfn.XLOOKUP($D42,Tab_Process_TCs[Process_Name],Tab_Process_TCs[Process_ID],,0,)</f>
        <v>#N/A</v>
      </c>
      <c r="D42" s="154" t="s">
        <v>31</v>
      </c>
      <c r="E42" s="154"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7"/>
      <c r="M42" s="22" t="str">
        <f t="shared" si="3"/>
        <v>TC_WC_F__</v>
      </c>
      <c r="N42" s="157"/>
      <c r="O42" s="22" t="str">
        <f t="shared" si="4"/>
        <v>TC_DM_F__</v>
      </c>
      <c r="P42" s="157"/>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59" t="b">
        <v>0</v>
      </c>
      <c r="B43" s="7">
        <f t="shared" si="6"/>
        <v>42</v>
      </c>
      <c r="C43" s="27" t="e">
        <f>_xlfn.XLOOKUP($D43,Tab_Process_TCs[Process_Name],Tab_Process_TCs[Process_ID],,0,)</f>
        <v>#N/A</v>
      </c>
      <c r="D43" s="154" t="s">
        <v>31</v>
      </c>
      <c r="E43" s="154"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7"/>
      <c r="M43" s="22" t="str">
        <f t="shared" si="3"/>
        <v>TC_WC_F__</v>
      </c>
      <c r="N43" s="157"/>
      <c r="O43" s="22" t="str">
        <f t="shared" si="4"/>
        <v>TC_DM_F__</v>
      </c>
      <c r="P43" s="157"/>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59" t="b">
        <v>0</v>
      </c>
      <c r="B44" s="7">
        <f t="shared" si="6"/>
        <v>43</v>
      </c>
      <c r="C44" s="27" t="e">
        <f>_xlfn.XLOOKUP($D44,Tab_Process_TCs[Process_Name],Tab_Process_TCs[Process_ID],,0,)</f>
        <v>#N/A</v>
      </c>
      <c r="D44" s="154" t="s">
        <v>31</v>
      </c>
      <c r="E44" s="154"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7"/>
      <c r="M44" s="22" t="str">
        <f t="shared" si="3"/>
        <v>TC_WC_F__</v>
      </c>
      <c r="N44" s="157"/>
      <c r="O44" s="22" t="str">
        <f t="shared" si="4"/>
        <v>TC_DM_F__</v>
      </c>
      <c r="P44" s="157"/>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59" t="b">
        <v>0</v>
      </c>
      <c r="B45" s="7">
        <f t="shared" si="6"/>
        <v>44</v>
      </c>
      <c r="C45" s="27" t="e">
        <f>_xlfn.XLOOKUP($D45,Tab_Process_TCs[Process_Name],Tab_Process_TCs[Process_ID],,0,)</f>
        <v>#N/A</v>
      </c>
      <c r="D45" s="154" t="s">
        <v>31</v>
      </c>
      <c r="E45" s="154"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7"/>
      <c r="M45" s="22" t="str">
        <f t="shared" si="3"/>
        <v>TC_WC_F__</v>
      </c>
      <c r="N45" s="157"/>
      <c r="O45" s="22" t="str">
        <f t="shared" si="4"/>
        <v>TC_DM_F__</v>
      </c>
      <c r="P45" s="157"/>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59" t="b">
        <v>0</v>
      </c>
      <c r="B46" s="7">
        <f t="shared" si="6"/>
        <v>45</v>
      </c>
      <c r="C46" s="27" t="e">
        <f>_xlfn.XLOOKUP($D46,Tab_Process_TCs[Process_Name],Tab_Process_TCs[Process_ID],,0,)</f>
        <v>#N/A</v>
      </c>
      <c r="D46" s="154" t="s">
        <v>31</v>
      </c>
      <c r="E46" s="154"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7"/>
      <c r="M46" s="22" t="str">
        <f t="shared" si="3"/>
        <v>TC_WC_F__</v>
      </c>
      <c r="N46" s="157"/>
      <c r="O46" s="22" t="str">
        <f t="shared" si="4"/>
        <v>TC_DM_F__</v>
      </c>
      <c r="P46" s="157"/>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59" t="b">
        <v>0</v>
      </c>
      <c r="B47" s="7">
        <f t="shared" si="6"/>
        <v>46</v>
      </c>
      <c r="C47" s="27" t="e">
        <f>_xlfn.XLOOKUP($D47,Tab_Process_TCs[Process_Name],Tab_Process_TCs[Process_ID],,0,)</f>
        <v>#N/A</v>
      </c>
      <c r="D47" s="154" t="s">
        <v>31</v>
      </c>
      <c r="E47" s="154"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7"/>
      <c r="M47" s="22" t="str">
        <f t="shared" si="3"/>
        <v>TC_WC_F__</v>
      </c>
      <c r="N47" s="157"/>
      <c r="O47" s="22" t="str">
        <f t="shared" si="4"/>
        <v>TC_DM_F__</v>
      </c>
      <c r="P47" s="157"/>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59" t="b">
        <v>0</v>
      </c>
      <c r="B48" s="7">
        <f t="shared" si="6"/>
        <v>47</v>
      </c>
      <c r="C48" s="27" t="e">
        <f>_xlfn.XLOOKUP($D48,Tab_Process_TCs[Process_Name],Tab_Process_TCs[Process_ID],,0,)</f>
        <v>#N/A</v>
      </c>
      <c r="D48" s="154" t="s">
        <v>31</v>
      </c>
      <c r="E48" s="154"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7"/>
      <c r="M48" s="22" t="str">
        <f t="shared" si="3"/>
        <v>TC_WC_F__</v>
      </c>
      <c r="N48" s="157"/>
      <c r="O48" s="22" t="str">
        <f t="shared" si="4"/>
        <v>TC_DM_F__</v>
      </c>
      <c r="P48" s="157"/>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59" t="b">
        <v>0</v>
      </c>
      <c r="B49" s="7">
        <f t="shared" si="6"/>
        <v>48</v>
      </c>
      <c r="C49" s="27" t="e">
        <f>_xlfn.XLOOKUP($D49,Tab_Process_TCs[Process_Name],Tab_Process_TCs[Process_ID],,0,)</f>
        <v>#N/A</v>
      </c>
      <c r="D49" s="154" t="s">
        <v>31</v>
      </c>
      <c r="E49" s="154"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7"/>
      <c r="M49" s="22" t="str">
        <f t="shared" si="3"/>
        <v>TC_WC_F__</v>
      </c>
      <c r="N49" s="157"/>
      <c r="O49" s="22" t="str">
        <f t="shared" si="4"/>
        <v>TC_DM_F__</v>
      </c>
      <c r="P49" s="157"/>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59" t="b">
        <v>0</v>
      </c>
      <c r="B50" s="7">
        <f t="shared" si="6"/>
        <v>49</v>
      </c>
      <c r="C50" s="27" t="e">
        <f>_xlfn.XLOOKUP($D50,Tab_Process_TCs[Process_Name],Tab_Process_TCs[Process_ID],,0,)</f>
        <v>#N/A</v>
      </c>
      <c r="D50" s="154" t="s">
        <v>31</v>
      </c>
      <c r="E50" s="154"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7"/>
      <c r="M50" s="22" t="str">
        <f t="shared" si="3"/>
        <v>TC_WC_F__</v>
      </c>
      <c r="N50" s="157"/>
      <c r="O50" s="22" t="str">
        <f t="shared" si="4"/>
        <v>TC_DM_F__</v>
      </c>
      <c r="P50" s="157"/>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59" t="b">
        <v>0</v>
      </c>
      <c r="B51" s="7">
        <f t="shared" si="6"/>
        <v>50</v>
      </c>
      <c r="C51" s="27" t="e">
        <f>_xlfn.XLOOKUP($D51,Tab_Process_TCs[Process_Name],Tab_Process_TCs[Process_ID],,0,)</f>
        <v>#N/A</v>
      </c>
      <c r="D51" s="154" t="s">
        <v>31</v>
      </c>
      <c r="E51" s="154"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7"/>
      <c r="M51" s="22" t="str">
        <f t="shared" si="3"/>
        <v>TC_WC_F__</v>
      </c>
      <c r="N51" s="157"/>
      <c r="O51" s="22" t="str">
        <f t="shared" si="4"/>
        <v>TC_DM_F__</v>
      </c>
      <c r="P51" s="157"/>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59" t="b">
        <v>0</v>
      </c>
      <c r="B52" s="7">
        <f t="shared" si="6"/>
        <v>51</v>
      </c>
      <c r="C52" s="27" t="e">
        <f>_xlfn.XLOOKUP($D52,Tab_Process_TCs[Process_Name],Tab_Process_TCs[Process_ID],,0,)</f>
        <v>#N/A</v>
      </c>
      <c r="D52" s="154" t="s">
        <v>31</v>
      </c>
      <c r="E52" s="154"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7"/>
      <c r="M52" s="22" t="str">
        <f t="shared" si="3"/>
        <v>TC_WC_F__</v>
      </c>
      <c r="N52" s="157"/>
      <c r="O52" s="22" t="str">
        <f t="shared" si="4"/>
        <v>TC_DM_F__</v>
      </c>
      <c r="P52" s="157"/>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59" t="b">
        <v>0</v>
      </c>
      <c r="B53" s="7">
        <f t="shared" si="6"/>
        <v>52</v>
      </c>
      <c r="C53" s="27" t="e">
        <f>_xlfn.XLOOKUP($D53,Tab_Process_TCs[Process_Name],Tab_Process_TCs[Process_ID],,0,)</f>
        <v>#N/A</v>
      </c>
      <c r="D53" s="154" t="s">
        <v>31</v>
      </c>
      <c r="E53" s="154"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7"/>
      <c r="M53" s="22" t="str">
        <f t="shared" si="3"/>
        <v>TC_WC_F__</v>
      </c>
      <c r="N53" s="157"/>
      <c r="O53" s="22" t="str">
        <f t="shared" si="4"/>
        <v>TC_DM_F__</v>
      </c>
      <c r="P53" s="157"/>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59" t="b">
        <v>0</v>
      </c>
      <c r="B54" s="7">
        <f t="shared" si="6"/>
        <v>53</v>
      </c>
      <c r="C54" s="27" t="e">
        <f>_xlfn.XLOOKUP($D54,Tab_Process_TCs[Process_Name],Tab_Process_TCs[Process_ID],,0,)</f>
        <v>#N/A</v>
      </c>
      <c r="D54" s="154" t="s">
        <v>31</v>
      </c>
      <c r="E54" s="154"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7"/>
      <c r="M54" s="22" t="str">
        <f t="shared" si="3"/>
        <v>TC_WC_F__</v>
      </c>
      <c r="N54" s="157"/>
      <c r="O54" s="22" t="str">
        <f t="shared" si="4"/>
        <v>TC_DM_F__</v>
      </c>
      <c r="P54" s="157"/>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59" t="b">
        <v>0</v>
      </c>
      <c r="B55" s="7">
        <f t="shared" si="6"/>
        <v>54</v>
      </c>
      <c r="C55" s="27" t="e">
        <f>_xlfn.XLOOKUP($D55,Tab_Process_TCs[Process_Name],Tab_Process_TCs[Process_ID],,0,)</f>
        <v>#N/A</v>
      </c>
      <c r="D55" s="154" t="s">
        <v>31</v>
      </c>
      <c r="E55" s="154"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7"/>
      <c r="M55" s="22" t="str">
        <f t="shared" si="3"/>
        <v>TC_WC_F__</v>
      </c>
      <c r="N55" s="157"/>
      <c r="O55" s="22" t="str">
        <f t="shared" si="4"/>
        <v>TC_DM_F__</v>
      </c>
      <c r="P55" s="157"/>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59" t="b">
        <v>0</v>
      </c>
      <c r="B56" s="7">
        <f t="shared" si="6"/>
        <v>55</v>
      </c>
      <c r="C56" s="27" t="e">
        <f>_xlfn.XLOOKUP($D56,Tab_Process_TCs[Process_Name],Tab_Process_TCs[Process_ID],,0,)</f>
        <v>#N/A</v>
      </c>
      <c r="D56" s="154" t="s">
        <v>31</v>
      </c>
      <c r="E56" s="154"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7"/>
      <c r="M56" s="22" t="str">
        <f t="shared" si="3"/>
        <v>TC_WC_F__</v>
      </c>
      <c r="N56" s="157"/>
      <c r="O56" s="22" t="str">
        <f t="shared" si="4"/>
        <v>TC_DM_F__</v>
      </c>
      <c r="P56" s="157"/>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59" t="b">
        <v>0</v>
      </c>
      <c r="B57" s="7">
        <f t="shared" si="6"/>
        <v>56</v>
      </c>
      <c r="C57" s="27" t="e">
        <f>_xlfn.XLOOKUP($D57,Tab_Process_TCs[Process_Name],Tab_Process_TCs[Process_ID],,0,)</f>
        <v>#N/A</v>
      </c>
      <c r="D57" s="154" t="s">
        <v>31</v>
      </c>
      <c r="E57" s="154"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7"/>
      <c r="M57" s="22" t="str">
        <f t="shared" si="3"/>
        <v>TC_WC_F__</v>
      </c>
      <c r="N57" s="157"/>
      <c r="O57" s="22" t="str">
        <f t="shared" si="4"/>
        <v>TC_DM_F__</v>
      </c>
      <c r="P57" s="157"/>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59" t="b">
        <v>0</v>
      </c>
      <c r="B58" s="7">
        <f t="shared" si="6"/>
        <v>57</v>
      </c>
      <c r="C58" s="27" t="e">
        <f>_xlfn.XLOOKUP($D58,Tab_Process_TCs[Process_Name],Tab_Process_TCs[Process_ID],,0,)</f>
        <v>#N/A</v>
      </c>
      <c r="D58" s="154" t="s">
        <v>31</v>
      </c>
      <c r="E58" s="154"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7"/>
      <c r="M58" s="22" t="str">
        <f t="shared" si="3"/>
        <v>TC_WC_F__</v>
      </c>
      <c r="N58" s="157"/>
      <c r="O58" s="22" t="str">
        <f t="shared" si="4"/>
        <v>TC_DM_F__</v>
      </c>
      <c r="P58" s="157"/>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59" t="b">
        <v>0</v>
      </c>
      <c r="B59" s="7">
        <f t="shared" si="6"/>
        <v>58</v>
      </c>
      <c r="C59" s="27" t="e">
        <f>_xlfn.XLOOKUP($D59,Tab_Process_TCs[Process_Name],Tab_Process_TCs[Process_ID],,0,)</f>
        <v>#N/A</v>
      </c>
      <c r="D59" s="154" t="s">
        <v>31</v>
      </c>
      <c r="E59" s="154"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7"/>
      <c r="M59" s="22" t="str">
        <f t="shared" si="3"/>
        <v>TC_WC_F__</v>
      </c>
      <c r="N59" s="157"/>
      <c r="O59" s="22" t="str">
        <f t="shared" si="4"/>
        <v>TC_DM_F__</v>
      </c>
      <c r="P59" s="157"/>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59" t="b">
        <v>0</v>
      </c>
      <c r="B60" s="7">
        <f t="shared" si="6"/>
        <v>59</v>
      </c>
      <c r="C60" s="27" t="e">
        <f>_xlfn.XLOOKUP($D60,Tab_Process_TCs[Process_Name],Tab_Process_TCs[Process_ID],,0,)</f>
        <v>#N/A</v>
      </c>
      <c r="D60" s="154" t="s">
        <v>31</v>
      </c>
      <c r="E60" s="154"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7"/>
      <c r="M60" s="22" t="str">
        <f t="shared" si="3"/>
        <v>TC_WC_F__</v>
      </c>
      <c r="N60" s="157"/>
      <c r="O60" s="22" t="str">
        <f t="shared" si="4"/>
        <v>TC_DM_F__</v>
      </c>
      <c r="P60" s="157"/>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59" t="b">
        <v>0</v>
      </c>
      <c r="B61" s="7">
        <f t="shared" si="6"/>
        <v>60</v>
      </c>
      <c r="C61" s="27" t="e">
        <f>_xlfn.XLOOKUP($D61,Tab_Process_TCs[Process_Name],Tab_Process_TCs[Process_ID],,0,)</f>
        <v>#N/A</v>
      </c>
      <c r="D61" s="154" t="s">
        <v>31</v>
      </c>
      <c r="E61" s="154"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7"/>
      <c r="M61" s="22" t="str">
        <f t="shared" si="3"/>
        <v>TC_WC_F__</v>
      </c>
      <c r="N61" s="157"/>
      <c r="O61" s="22" t="str">
        <f t="shared" si="4"/>
        <v>TC_DM_F__</v>
      </c>
      <c r="P61" s="157"/>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59" t="b">
        <v>0</v>
      </c>
      <c r="B62" s="7">
        <f t="shared" si="6"/>
        <v>61</v>
      </c>
      <c r="C62" s="27" t="e">
        <f>_xlfn.XLOOKUP($D62,Tab_Process_TCs[Process_Name],Tab_Process_TCs[Process_ID],,0,)</f>
        <v>#N/A</v>
      </c>
      <c r="D62" s="154" t="s">
        <v>31</v>
      </c>
      <c r="E62" s="154"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7"/>
      <c r="M62" s="22" t="str">
        <f t="shared" si="3"/>
        <v>TC_WC_F__</v>
      </c>
      <c r="N62" s="157"/>
      <c r="O62" s="22" t="str">
        <f t="shared" si="4"/>
        <v>TC_DM_F__</v>
      </c>
      <c r="P62" s="157"/>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59" t="b">
        <v>0</v>
      </c>
      <c r="B63" s="7">
        <f t="shared" si="6"/>
        <v>62</v>
      </c>
      <c r="C63" s="27" t="e">
        <f>_xlfn.XLOOKUP($D63,Tab_Process_TCs[Process_Name],Tab_Process_TCs[Process_ID],,0,)</f>
        <v>#N/A</v>
      </c>
      <c r="D63" s="154" t="s">
        <v>31</v>
      </c>
      <c r="E63" s="154"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7"/>
      <c r="M63" s="22" t="str">
        <f t="shared" si="3"/>
        <v>TC_WC_F__</v>
      </c>
      <c r="N63" s="157"/>
      <c r="O63" s="22" t="str">
        <f t="shared" si="4"/>
        <v>TC_DM_F__</v>
      </c>
      <c r="P63" s="157"/>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59" t="b">
        <v>0</v>
      </c>
      <c r="B64" s="7">
        <f t="shared" ref="B64:B95" si="8">ROW()-1</f>
        <v>63</v>
      </c>
      <c r="C64" s="27" t="e">
        <f>_xlfn.XLOOKUP($D64,Tab_Process_TCs[Process_Name],Tab_Process_TCs[Process_ID],,0,)</f>
        <v>#N/A</v>
      </c>
      <c r="D64" s="154" t="s">
        <v>31</v>
      </c>
      <c r="E64" s="154"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7"/>
      <c r="M64" s="22" t="str">
        <f t="shared" si="3"/>
        <v>TC_WC_F__</v>
      </c>
      <c r="N64" s="157"/>
      <c r="O64" s="22" t="str">
        <f t="shared" si="4"/>
        <v>TC_DM_F__</v>
      </c>
      <c r="P64" s="157"/>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59" t="b">
        <v>0</v>
      </c>
      <c r="B65" s="7">
        <f t="shared" si="8"/>
        <v>64</v>
      </c>
      <c r="C65" s="27" t="e">
        <f>_xlfn.XLOOKUP($D65,Tab_Process_TCs[Process_Name],Tab_Process_TCs[Process_ID],,0,)</f>
        <v>#N/A</v>
      </c>
      <c r="D65" s="154" t="s">
        <v>31</v>
      </c>
      <c r="E65" s="154"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7"/>
      <c r="M65" s="22" t="str">
        <f t="shared" si="3"/>
        <v>TC_WC_F__</v>
      </c>
      <c r="N65" s="157"/>
      <c r="O65" s="22" t="str">
        <f t="shared" si="4"/>
        <v>TC_DM_F__</v>
      </c>
      <c r="P65" s="157"/>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59" t="b">
        <v>0</v>
      </c>
      <c r="B66" s="7">
        <f t="shared" si="8"/>
        <v>65</v>
      </c>
      <c r="C66" s="27" t="e">
        <f>_xlfn.XLOOKUP($D66,Tab_Process_TCs[Process_Name],Tab_Process_TCs[Process_ID],,0,)</f>
        <v>#N/A</v>
      </c>
      <c r="D66" s="154" t="s">
        <v>31</v>
      </c>
      <c r="E66" s="154"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7"/>
      <c r="M66" s="22" t="str">
        <f t="shared" si="3"/>
        <v>TC_WC_F__</v>
      </c>
      <c r="N66" s="157"/>
      <c r="O66" s="22" t="str">
        <f t="shared" si="4"/>
        <v>TC_DM_F__</v>
      </c>
      <c r="P66" s="157"/>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59" t="b">
        <v>0</v>
      </c>
      <c r="B67" s="7">
        <f t="shared" si="8"/>
        <v>66</v>
      </c>
      <c r="C67" s="27" t="e">
        <f>_xlfn.XLOOKUP($D67,Tab_Process_TCs[Process_Name],Tab_Process_TCs[Process_ID],,0,)</f>
        <v>#N/A</v>
      </c>
      <c r="D67" s="154" t="s">
        <v>31</v>
      </c>
      <c r="E67" s="154"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7"/>
      <c r="M67" s="22" t="str">
        <f t="shared" ref="M67:M130" si="11">"TC_WC"&amp;"_"&amp;RIGHT(I67,5)</f>
        <v>TC_WC_F__</v>
      </c>
      <c r="N67" s="157"/>
      <c r="O67" s="22" t="str">
        <f t="shared" ref="O67:O130" si="12">"TC_DM"&amp;"_"&amp;RIGHT(I67,5)</f>
        <v>TC_DM_F__</v>
      </c>
      <c r="P67" s="157"/>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59" t="b">
        <v>0</v>
      </c>
      <c r="B68" s="7">
        <f t="shared" si="8"/>
        <v>67</v>
      </c>
      <c r="C68" s="27" t="e">
        <f>_xlfn.XLOOKUP($D68,Tab_Process_TCs[Process_Name],Tab_Process_TCs[Process_ID],,0,)</f>
        <v>#N/A</v>
      </c>
      <c r="D68" s="154" t="s">
        <v>31</v>
      </c>
      <c r="E68" s="154"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7"/>
      <c r="M68" s="22" t="str">
        <f t="shared" si="11"/>
        <v>TC_WC_F__</v>
      </c>
      <c r="N68" s="157"/>
      <c r="O68" s="22" t="str">
        <f t="shared" si="12"/>
        <v>TC_DM_F__</v>
      </c>
      <c r="P68" s="157"/>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59" t="b">
        <v>0</v>
      </c>
      <c r="B69" s="7">
        <f t="shared" si="8"/>
        <v>68</v>
      </c>
      <c r="C69" s="27" t="e">
        <f>_xlfn.XLOOKUP($D69,Tab_Process_TCs[Process_Name],Tab_Process_TCs[Process_ID],,0,)</f>
        <v>#N/A</v>
      </c>
      <c r="D69" s="154" t="s">
        <v>31</v>
      </c>
      <c r="E69" s="154"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7"/>
      <c r="M69" s="22" t="str">
        <f t="shared" si="11"/>
        <v>TC_WC_F__</v>
      </c>
      <c r="N69" s="157"/>
      <c r="O69" s="22" t="str">
        <f t="shared" si="12"/>
        <v>TC_DM_F__</v>
      </c>
      <c r="P69" s="157"/>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59" t="b">
        <v>0</v>
      </c>
      <c r="B70" s="7">
        <f t="shared" si="8"/>
        <v>69</v>
      </c>
      <c r="C70" s="27" t="e">
        <f>_xlfn.XLOOKUP($D70,Tab_Process_TCs[Process_Name],Tab_Process_TCs[Process_ID],,0,)</f>
        <v>#N/A</v>
      </c>
      <c r="D70" s="154" t="s">
        <v>31</v>
      </c>
      <c r="E70" s="154"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7"/>
      <c r="M70" s="22" t="str">
        <f t="shared" si="11"/>
        <v>TC_WC_F__</v>
      </c>
      <c r="N70" s="157"/>
      <c r="O70" s="22" t="str">
        <f t="shared" si="12"/>
        <v>TC_DM_F__</v>
      </c>
      <c r="P70" s="157"/>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59" t="b">
        <v>0</v>
      </c>
      <c r="B71" s="7">
        <f t="shared" si="8"/>
        <v>70</v>
      </c>
      <c r="C71" s="27" t="e">
        <f>_xlfn.XLOOKUP($D71,Tab_Process_TCs[Process_Name],Tab_Process_TCs[Process_ID],,0,)</f>
        <v>#N/A</v>
      </c>
      <c r="D71" s="154" t="s">
        <v>31</v>
      </c>
      <c r="E71" s="154"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7"/>
      <c r="M71" s="22" t="str">
        <f t="shared" si="11"/>
        <v>TC_WC_F__</v>
      </c>
      <c r="N71" s="157"/>
      <c r="O71" s="22" t="str">
        <f t="shared" si="12"/>
        <v>TC_DM_F__</v>
      </c>
      <c r="P71" s="157"/>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59" t="b">
        <v>0</v>
      </c>
      <c r="B72" s="7">
        <f t="shared" si="8"/>
        <v>71</v>
      </c>
      <c r="C72" s="27" t="e">
        <f>_xlfn.XLOOKUP($D72,Tab_Process_TCs[Process_Name],Tab_Process_TCs[Process_ID],,0,)</f>
        <v>#N/A</v>
      </c>
      <c r="D72" s="154" t="s">
        <v>31</v>
      </c>
      <c r="E72" s="154"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7"/>
      <c r="M72" s="22" t="str">
        <f t="shared" si="11"/>
        <v>TC_WC_F__</v>
      </c>
      <c r="N72" s="157"/>
      <c r="O72" s="22" t="str">
        <f t="shared" si="12"/>
        <v>TC_DM_F__</v>
      </c>
      <c r="P72" s="157"/>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59" t="b">
        <v>0</v>
      </c>
      <c r="B73" s="7">
        <f t="shared" si="8"/>
        <v>72</v>
      </c>
      <c r="C73" s="27" t="e">
        <f>_xlfn.XLOOKUP($D73,Tab_Process_TCs[Process_Name],Tab_Process_TCs[Process_ID],,0,)</f>
        <v>#N/A</v>
      </c>
      <c r="D73" s="154" t="s">
        <v>31</v>
      </c>
      <c r="E73" s="154"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7"/>
      <c r="M73" s="22" t="str">
        <f t="shared" si="11"/>
        <v>TC_WC_F__</v>
      </c>
      <c r="N73" s="157"/>
      <c r="O73" s="22" t="str">
        <f t="shared" si="12"/>
        <v>TC_DM_F__</v>
      </c>
      <c r="P73" s="157"/>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59" t="b">
        <v>0</v>
      </c>
      <c r="B74" s="7">
        <f t="shared" si="8"/>
        <v>73</v>
      </c>
      <c r="C74" s="27" t="e">
        <f>_xlfn.XLOOKUP($D74,Tab_Process_TCs[Process_Name],Tab_Process_TCs[Process_ID],,0,)</f>
        <v>#N/A</v>
      </c>
      <c r="D74" s="154" t="s">
        <v>31</v>
      </c>
      <c r="E74" s="154"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7"/>
      <c r="M74" s="22" t="str">
        <f t="shared" si="11"/>
        <v>TC_WC_F__</v>
      </c>
      <c r="N74" s="157"/>
      <c r="O74" s="22" t="str">
        <f t="shared" si="12"/>
        <v>TC_DM_F__</v>
      </c>
      <c r="P74" s="157"/>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59" t="b">
        <v>0</v>
      </c>
      <c r="B75" s="7">
        <f t="shared" si="8"/>
        <v>74</v>
      </c>
      <c r="C75" s="27" t="e">
        <f>_xlfn.XLOOKUP($D75,Tab_Process_TCs[Process_Name],Tab_Process_TCs[Process_ID],,0,)</f>
        <v>#N/A</v>
      </c>
      <c r="D75" s="154" t="s">
        <v>31</v>
      </c>
      <c r="E75" s="154"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7"/>
      <c r="M75" s="22" t="str">
        <f t="shared" si="11"/>
        <v>TC_WC_F__</v>
      </c>
      <c r="N75" s="157"/>
      <c r="O75" s="22" t="str">
        <f t="shared" si="12"/>
        <v>TC_DM_F__</v>
      </c>
      <c r="P75" s="157"/>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59" t="b">
        <v>0</v>
      </c>
      <c r="B76" s="7">
        <f t="shared" si="8"/>
        <v>75</v>
      </c>
      <c r="C76" s="27" t="e">
        <f>_xlfn.XLOOKUP($D76,Tab_Process_TCs[Process_Name],Tab_Process_TCs[Process_ID],,0,)</f>
        <v>#N/A</v>
      </c>
      <c r="D76" s="154" t="s">
        <v>31</v>
      </c>
      <c r="E76" s="154"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7"/>
      <c r="M76" s="22" t="str">
        <f t="shared" si="11"/>
        <v>TC_WC_F__</v>
      </c>
      <c r="N76" s="157"/>
      <c r="O76" s="22" t="str">
        <f t="shared" si="12"/>
        <v>TC_DM_F__</v>
      </c>
      <c r="P76" s="157"/>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59" t="b">
        <v>0</v>
      </c>
      <c r="B77" s="7">
        <f t="shared" si="8"/>
        <v>76</v>
      </c>
      <c r="C77" s="27" t="e">
        <f>_xlfn.XLOOKUP($D77,Tab_Process_TCs[Process_Name],Tab_Process_TCs[Process_ID],,0,)</f>
        <v>#N/A</v>
      </c>
      <c r="D77" s="154" t="s">
        <v>31</v>
      </c>
      <c r="E77" s="154"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7"/>
      <c r="M77" s="22" t="str">
        <f t="shared" si="11"/>
        <v>TC_WC_F__</v>
      </c>
      <c r="N77" s="157"/>
      <c r="O77" s="22" t="str">
        <f t="shared" si="12"/>
        <v>TC_DM_F__</v>
      </c>
      <c r="P77" s="157"/>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59" t="b">
        <v>0</v>
      </c>
      <c r="B78" s="7">
        <f t="shared" si="8"/>
        <v>77</v>
      </c>
      <c r="C78" s="27" t="e">
        <f>_xlfn.XLOOKUP($D78,Tab_Process_TCs[Process_Name],Tab_Process_TCs[Process_ID],,0,)</f>
        <v>#N/A</v>
      </c>
      <c r="D78" s="154" t="s">
        <v>31</v>
      </c>
      <c r="E78" s="154"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7"/>
      <c r="M78" s="22" t="str">
        <f t="shared" si="11"/>
        <v>TC_WC_F__</v>
      </c>
      <c r="N78" s="157"/>
      <c r="O78" s="22" t="str">
        <f t="shared" si="12"/>
        <v>TC_DM_F__</v>
      </c>
      <c r="P78" s="157"/>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59" t="b">
        <v>0</v>
      </c>
      <c r="B79" s="7">
        <f t="shared" si="8"/>
        <v>78</v>
      </c>
      <c r="C79" s="27" t="e">
        <f>_xlfn.XLOOKUP($D79,Tab_Process_TCs[Process_Name],Tab_Process_TCs[Process_ID],,0,)</f>
        <v>#N/A</v>
      </c>
      <c r="D79" s="154" t="s">
        <v>31</v>
      </c>
      <c r="E79" s="154"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7"/>
      <c r="M79" s="22" t="str">
        <f t="shared" si="11"/>
        <v>TC_WC_F__</v>
      </c>
      <c r="N79" s="157"/>
      <c r="O79" s="22" t="str">
        <f t="shared" si="12"/>
        <v>TC_DM_F__</v>
      </c>
      <c r="P79" s="157"/>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59" t="b">
        <v>0</v>
      </c>
      <c r="B80" s="7">
        <f t="shared" si="8"/>
        <v>79</v>
      </c>
      <c r="C80" s="27" t="e">
        <f>_xlfn.XLOOKUP($D80,Tab_Process_TCs[Process_Name],Tab_Process_TCs[Process_ID],,0,)</f>
        <v>#N/A</v>
      </c>
      <c r="D80" s="154" t="s">
        <v>31</v>
      </c>
      <c r="E80" s="154"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7"/>
      <c r="M80" s="22" t="str">
        <f t="shared" si="11"/>
        <v>TC_WC_F__</v>
      </c>
      <c r="N80" s="157"/>
      <c r="O80" s="22" t="str">
        <f t="shared" si="12"/>
        <v>TC_DM_F__</v>
      </c>
      <c r="P80" s="157"/>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59" t="b">
        <v>0</v>
      </c>
      <c r="B81" s="7">
        <f t="shared" si="8"/>
        <v>80</v>
      </c>
      <c r="C81" s="27" t="e">
        <f>_xlfn.XLOOKUP($D81,Tab_Process_TCs[Process_Name],Tab_Process_TCs[Process_ID],,0,)</f>
        <v>#N/A</v>
      </c>
      <c r="D81" s="154" t="s">
        <v>31</v>
      </c>
      <c r="E81" s="154"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7"/>
      <c r="M81" s="22" t="str">
        <f t="shared" si="11"/>
        <v>TC_WC_F__</v>
      </c>
      <c r="N81" s="157"/>
      <c r="O81" s="22" t="str">
        <f t="shared" si="12"/>
        <v>TC_DM_F__</v>
      </c>
      <c r="P81" s="157"/>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59" t="b">
        <v>0</v>
      </c>
      <c r="B82" s="7">
        <f t="shared" si="8"/>
        <v>81</v>
      </c>
      <c r="C82" s="27" t="e">
        <f>_xlfn.XLOOKUP($D82,Tab_Process_TCs[Process_Name],Tab_Process_TCs[Process_ID],,0,)</f>
        <v>#N/A</v>
      </c>
      <c r="D82" s="154" t="s">
        <v>31</v>
      </c>
      <c r="E82" s="154"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7"/>
      <c r="M82" s="22" t="str">
        <f t="shared" si="11"/>
        <v>TC_WC_F__</v>
      </c>
      <c r="N82" s="157"/>
      <c r="O82" s="22" t="str">
        <f t="shared" si="12"/>
        <v>TC_DM_F__</v>
      </c>
      <c r="P82" s="157"/>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59" t="b">
        <v>0</v>
      </c>
      <c r="B83" s="7">
        <f t="shared" si="8"/>
        <v>82</v>
      </c>
      <c r="C83" s="27" t="e">
        <f>_xlfn.XLOOKUP($D83,Tab_Process_TCs[Process_Name],Tab_Process_TCs[Process_ID],,0,)</f>
        <v>#N/A</v>
      </c>
      <c r="D83" s="154" t="s">
        <v>31</v>
      </c>
      <c r="E83" s="154"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7"/>
      <c r="M83" s="22" t="str">
        <f t="shared" si="11"/>
        <v>TC_WC_F__</v>
      </c>
      <c r="N83" s="157"/>
      <c r="O83" s="22" t="str">
        <f t="shared" si="12"/>
        <v>TC_DM_F__</v>
      </c>
      <c r="P83" s="157"/>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59" t="b">
        <v>0</v>
      </c>
      <c r="B84" s="7">
        <f t="shared" si="8"/>
        <v>83</v>
      </c>
      <c r="C84" s="27" t="e">
        <f>_xlfn.XLOOKUP($D84,Tab_Process_TCs[Process_Name],Tab_Process_TCs[Process_ID],,0,)</f>
        <v>#N/A</v>
      </c>
      <c r="D84" s="154" t="s">
        <v>31</v>
      </c>
      <c r="E84" s="154"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7"/>
      <c r="M84" s="22" t="str">
        <f t="shared" si="11"/>
        <v>TC_WC_F__</v>
      </c>
      <c r="N84" s="157"/>
      <c r="O84" s="22" t="str">
        <f t="shared" si="12"/>
        <v>TC_DM_F__</v>
      </c>
      <c r="P84" s="157"/>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59" t="b">
        <v>0</v>
      </c>
      <c r="B85" s="7">
        <f t="shared" si="8"/>
        <v>84</v>
      </c>
      <c r="C85" s="27" t="e">
        <f>_xlfn.XLOOKUP($D85,Tab_Process_TCs[Process_Name],Tab_Process_TCs[Process_ID],,0,)</f>
        <v>#N/A</v>
      </c>
      <c r="D85" s="154" t="s">
        <v>31</v>
      </c>
      <c r="E85" s="154"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7"/>
      <c r="M85" s="22" t="str">
        <f t="shared" si="11"/>
        <v>TC_WC_F__</v>
      </c>
      <c r="N85" s="157"/>
      <c r="O85" s="22" t="str">
        <f t="shared" si="12"/>
        <v>TC_DM_F__</v>
      </c>
      <c r="P85" s="157"/>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59" t="b">
        <v>0</v>
      </c>
      <c r="B86" s="7">
        <f t="shared" si="8"/>
        <v>85</v>
      </c>
      <c r="C86" s="27" t="e">
        <f>_xlfn.XLOOKUP($D86,Tab_Process_TCs[Process_Name],Tab_Process_TCs[Process_ID],,0,)</f>
        <v>#N/A</v>
      </c>
      <c r="D86" s="154" t="s">
        <v>31</v>
      </c>
      <c r="E86" s="154"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7"/>
      <c r="M86" s="22" t="str">
        <f t="shared" si="11"/>
        <v>TC_WC_F__</v>
      </c>
      <c r="N86" s="157"/>
      <c r="O86" s="22" t="str">
        <f t="shared" si="12"/>
        <v>TC_DM_F__</v>
      </c>
      <c r="P86" s="157"/>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59" t="b">
        <v>0</v>
      </c>
      <c r="B87" s="7">
        <f t="shared" si="8"/>
        <v>86</v>
      </c>
      <c r="C87" s="27" t="e">
        <f>_xlfn.XLOOKUP($D87,Tab_Process_TCs[Process_Name],Tab_Process_TCs[Process_ID],,0,)</f>
        <v>#N/A</v>
      </c>
      <c r="D87" s="154" t="s">
        <v>31</v>
      </c>
      <c r="E87" s="154"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7"/>
      <c r="M87" s="22" t="str">
        <f t="shared" si="11"/>
        <v>TC_WC_F__</v>
      </c>
      <c r="N87" s="157"/>
      <c r="O87" s="22" t="str">
        <f t="shared" si="12"/>
        <v>TC_DM_F__</v>
      </c>
      <c r="P87" s="157"/>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59" t="b">
        <v>0</v>
      </c>
      <c r="B88" s="7">
        <f t="shared" si="8"/>
        <v>87</v>
      </c>
      <c r="C88" s="27" t="e">
        <f>_xlfn.XLOOKUP($D88,Tab_Process_TCs[Process_Name],Tab_Process_TCs[Process_ID],,0,)</f>
        <v>#N/A</v>
      </c>
      <c r="D88" s="154" t="s">
        <v>31</v>
      </c>
      <c r="E88" s="154"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7"/>
      <c r="M88" s="22" t="str">
        <f t="shared" si="11"/>
        <v>TC_WC_F__</v>
      </c>
      <c r="N88" s="157"/>
      <c r="O88" s="22" t="str">
        <f t="shared" si="12"/>
        <v>TC_DM_F__</v>
      </c>
      <c r="P88" s="157"/>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59" t="b">
        <v>0</v>
      </c>
      <c r="B89" s="7">
        <f t="shared" si="8"/>
        <v>88</v>
      </c>
      <c r="C89" s="27" t="e">
        <f>_xlfn.XLOOKUP($D89,Tab_Process_TCs[Process_Name],Tab_Process_TCs[Process_ID],,0,)</f>
        <v>#N/A</v>
      </c>
      <c r="D89" s="154" t="s">
        <v>31</v>
      </c>
      <c r="E89" s="154"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7"/>
      <c r="M89" s="22" t="str">
        <f t="shared" si="11"/>
        <v>TC_WC_F__</v>
      </c>
      <c r="N89" s="157"/>
      <c r="O89" s="22" t="str">
        <f t="shared" si="12"/>
        <v>TC_DM_F__</v>
      </c>
      <c r="P89" s="157"/>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59" t="b">
        <v>0</v>
      </c>
      <c r="B90" s="7">
        <f t="shared" si="8"/>
        <v>89</v>
      </c>
      <c r="C90" s="27" t="e">
        <f>_xlfn.XLOOKUP($D90,Tab_Process_TCs[Process_Name],Tab_Process_TCs[Process_ID],,0,)</f>
        <v>#N/A</v>
      </c>
      <c r="D90" s="154" t="s">
        <v>31</v>
      </c>
      <c r="E90" s="154"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7"/>
      <c r="M90" s="22" t="str">
        <f t="shared" si="11"/>
        <v>TC_WC_F__</v>
      </c>
      <c r="N90" s="157"/>
      <c r="O90" s="22" t="str">
        <f t="shared" si="12"/>
        <v>TC_DM_F__</v>
      </c>
      <c r="P90" s="157"/>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59" t="b">
        <v>0</v>
      </c>
      <c r="B91" s="7">
        <f t="shared" si="8"/>
        <v>90</v>
      </c>
      <c r="C91" s="27" t="e">
        <f>_xlfn.XLOOKUP($D91,Tab_Process_TCs[Process_Name],Tab_Process_TCs[Process_ID],,0,)</f>
        <v>#N/A</v>
      </c>
      <c r="D91" s="154" t="s">
        <v>31</v>
      </c>
      <c r="E91" s="154"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7"/>
      <c r="M91" s="22" t="str">
        <f t="shared" si="11"/>
        <v>TC_WC_F__</v>
      </c>
      <c r="N91" s="157"/>
      <c r="O91" s="22" t="str">
        <f t="shared" si="12"/>
        <v>TC_DM_F__</v>
      </c>
      <c r="P91" s="157"/>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59" t="b">
        <v>0</v>
      </c>
      <c r="B92" s="7">
        <f t="shared" si="8"/>
        <v>91</v>
      </c>
      <c r="C92" s="27" t="e">
        <f>_xlfn.XLOOKUP($D92,Tab_Process_TCs[Process_Name],Tab_Process_TCs[Process_ID],,0,)</f>
        <v>#N/A</v>
      </c>
      <c r="D92" s="154" t="s">
        <v>31</v>
      </c>
      <c r="E92" s="154"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7"/>
      <c r="M92" s="22" t="str">
        <f t="shared" si="11"/>
        <v>TC_WC_F__</v>
      </c>
      <c r="N92" s="157"/>
      <c r="O92" s="22" t="str">
        <f t="shared" si="12"/>
        <v>TC_DM_F__</v>
      </c>
      <c r="P92" s="157"/>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59" t="b">
        <v>0</v>
      </c>
      <c r="B93" s="7">
        <f t="shared" si="8"/>
        <v>92</v>
      </c>
      <c r="C93" s="27" t="e">
        <f>_xlfn.XLOOKUP($D93,Tab_Process_TCs[Process_Name],Tab_Process_TCs[Process_ID],,0,)</f>
        <v>#N/A</v>
      </c>
      <c r="D93" s="154" t="s">
        <v>31</v>
      </c>
      <c r="E93" s="154"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7"/>
      <c r="M93" s="22" t="str">
        <f t="shared" si="11"/>
        <v>TC_WC_F__</v>
      </c>
      <c r="N93" s="157"/>
      <c r="O93" s="22" t="str">
        <f t="shared" si="12"/>
        <v>TC_DM_F__</v>
      </c>
      <c r="P93" s="157"/>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59" t="b">
        <v>0</v>
      </c>
      <c r="B94" s="7">
        <f t="shared" si="8"/>
        <v>93</v>
      </c>
      <c r="C94" s="27" t="e">
        <f>_xlfn.XLOOKUP($D94,Tab_Process_TCs[Process_Name],Tab_Process_TCs[Process_ID],,0,)</f>
        <v>#N/A</v>
      </c>
      <c r="D94" s="154" t="s">
        <v>31</v>
      </c>
      <c r="E94" s="154"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7"/>
      <c r="M94" s="22" t="str">
        <f t="shared" si="11"/>
        <v>TC_WC_F__</v>
      </c>
      <c r="N94" s="157"/>
      <c r="O94" s="22" t="str">
        <f t="shared" si="12"/>
        <v>TC_DM_F__</v>
      </c>
      <c r="P94" s="157"/>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59" t="b">
        <v>0</v>
      </c>
      <c r="B95" s="7">
        <f t="shared" si="8"/>
        <v>94</v>
      </c>
      <c r="C95" s="27" t="e">
        <f>_xlfn.XLOOKUP($D95,Tab_Process_TCs[Process_Name],Tab_Process_TCs[Process_ID],,0,)</f>
        <v>#N/A</v>
      </c>
      <c r="D95" s="154" t="s">
        <v>31</v>
      </c>
      <c r="E95" s="154"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7"/>
      <c r="M95" s="22" t="str">
        <f t="shared" si="11"/>
        <v>TC_WC_F__</v>
      </c>
      <c r="N95" s="157"/>
      <c r="O95" s="22" t="str">
        <f t="shared" si="12"/>
        <v>TC_DM_F__</v>
      </c>
      <c r="P95" s="157"/>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59" t="b">
        <v>0</v>
      </c>
      <c r="B96" s="7">
        <f t="shared" ref="B96:B127" si="14">ROW()-1</f>
        <v>95</v>
      </c>
      <c r="C96" s="27" t="e">
        <f>_xlfn.XLOOKUP($D96,Tab_Process_TCs[Process_Name],Tab_Process_TCs[Process_ID],,0,)</f>
        <v>#N/A</v>
      </c>
      <c r="D96" s="154" t="s">
        <v>31</v>
      </c>
      <c r="E96" s="154"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7"/>
      <c r="M96" s="22" t="str">
        <f t="shared" si="11"/>
        <v>TC_WC_F__</v>
      </c>
      <c r="N96" s="157"/>
      <c r="O96" s="22" t="str">
        <f t="shared" si="12"/>
        <v>TC_DM_F__</v>
      </c>
      <c r="P96" s="157"/>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59" t="b">
        <v>0</v>
      </c>
      <c r="B97" s="7">
        <f t="shared" si="14"/>
        <v>96</v>
      </c>
      <c r="C97" s="27" t="e">
        <f>_xlfn.XLOOKUP($D97,Tab_Process_TCs[Process_Name],Tab_Process_TCs[Process_ID],,0,)</f>
        <v>#N/A</v>
      </c>
      <c r="D97" s="154" t="s">
        <v>31</v>
      </c>
      <c r="E97" s="154"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7"/>
      <c r="M97" s="22" t="str">
        <f t="shared" si="11"/>
        <v>TC_WC_F__</v>
      </c>
      <c r="N97" s="157"/>
      <c r="O97" s="22" t="str">
        <f t="shared" si="12"/>
        <v>TC_DM_F__</v>
      </c>
      <c r="P97" s="157"/>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59" t="b">
        <v>0</v>
      </c>
      <c r="B98" s="7">
        <f t="shared" si="14"/>
        <v>97</v>
      </c>
      <c r="C98" s="27" t="e">
        <f>_xlfn.XLOOKUP($D98,Tab_Process_TCs[Process_Name],Tab_Process_TCs[Process_ID],,0,)</f>
        <v>#N/A</v>
      </c>
      <c r="D98" s="154" t="s">
        <v>31</v>
      </c>
      <c r="E98" s="154"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7"/>
      <c r="M98" s="22" t="str">
        <f t="shared" si="11"/>
        <v>TC_WC_F__</v>
      </c>
      <c r="N98" s="157"/>
      <c r="O98" s="22" t="str">
        <f t="shared" si="12"/>
        <v>TC_DM_F__</v>
      </c>
      <c r="P98" s="157"/>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59" t="b">
        <v>0</v>
      </c>
      <c r="B99" s="7">
        <f t="shared" si="14"/>
        <v>98</v>
      </c>
      <c r="C99" s="27" t="e">
        <f>_xlfn.XLOOKUP($D99,Tab_Process_TCs[Process_Name],Tab_Process_TCs[Process_ID],,0,)</f>
        <v>#N/A</v>
      </c>
      <c r="D99" s="154" t="s">
        <v>31</v>
      </c>
      <c r="E99" s="154"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7"/>
      <c r="M99" s="22" t="str">
        <f t="shared" si="11"/>
        <v>TC_WC_F__</v>
      </c>
      <c r="N99" s="157"/>
      <c r="O99" s="22" t="str">
        <f t="shared" si="12"/>
        <v>TC_DM_F__</v>
      </c>
      <c r="P99" s="157"/>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59" t="b">
        <v>0</v>
      </c>
      <c r="B100" s="7">
        <f t="shared" si="14"/>
        <v>99</v>
      </c>
      <c r="C100" s="27" t="e">
        <f>_xlfn.XLOOKUP($D100,Tab_Process_TCs[Process_Name],Tab_Process_TCs[Process_ID],,0,)</f>
        <v>#N/A</v>
      </c>
      <c r="D100" s="154" t="s">
        <v>31</v>
      </c>
      <c r="E100" s="154"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7"/>
      <c r="M100" s="22" t="str">
        <f t="shared" si="11"/>
        <v>TC_WC_F__</v>
      </c>
      <c r="N100" s="157"/>
      <c r="O100" s="22" t="str">
        <f t="shared" si="12"/>
        <v>TC_DM_F__</v>
      </c>
      <c r="P100" s="157"/>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59" t="b">
        <v>0</v>
      </c>
      <c r="B101" s="7">
        <f t="shared" si="14"/>
        <v>100</v>
      </c>
      <c r="C101" s="27" t="e">
        <f>_xlfn.XLOOKUP($D101,Tab_Process_TCs[Process_Name],Tab_Process_TCs[Process_ID],,0,)</f>
        <v>#N/A</v>
      </c>
      <c r="D101" s="154" t="s">
        <v>31</v>
      </c>
      <c r="E101" s="154"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7"/>
      <c r="M101" s="22" t="str">
        <f t="shared" si="11"/>
        <v>TC_WC_F__</v>
      </c>
      <c r="N101" s="157"/>
      <c r="O101" s="22" t="str">
        <f t="shared" si="12"/>
        <v>TC_DM_F__</v>
      </c>
      <c r="P101" s="157"/>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59" t="b">
        <v>0</v>
      </c>
      <c r="B102" s="7">
        <f t="shared" si="14"/>
        <v>101</v>
      </c>
      <c r="C102" s="27" t="e">
        <f>_xlfn.XLOOKUP($D102,Tab_Process_TCs[Process_Name],Tab_Process_TCs[Process_ID],,0,)</f>
        <v>#N/A</v>
      </c>
      <c r="D102" s="154" t="s">
        <v>31</v>
      </c>
      <c r="E102" s="154"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7"/>
      <c r="M102" s="22" t="str">
        <f t="shared" si="11"/>
        <v>TC_WC_F__</v>
      </c>
      <c r="N102" s="157"/>
      <c r="O102" s="22" t="str">
        <f t="shared" si="12"/>
        <v>TC_DM_F__</v>
      </c>
      <c r="P102" s="157"/>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59" t="b">
        <v>0</v>
      </c>
      <c r="B103" s="7">
        <f t="shared" si="14"/>
        <v>102</v>
      </c>
      <c r="C103" s="27" t="e">
        <f>_xlfn.XLOOKUP($D103,Tab_Process_TCs[Process_Name],Tab_Process_TCs[Process_ID],,0,)</f>
        <v>#N/A</v>
      </c>
      <c r="D103" s="154" t="s">
        <v>31</v>
      </c>
      <c r="E103" s="154"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7"/>
      <c r="M103" s="22" t="str">
        <f t="shared" si="11"/>
        <v>TC_WC_F__</v>
      </c>
      <c r="N103" s="157"/>
      <c r="O103" s="22" t="str">
        <f t="shared" si="12"/>
        <v>TC_DM_F__</v>
      </c>
      <c r="P103" s="157"/>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59" t="b">
        <v>0</v>
      </c>
      <c r="B104" s="7">
        <f t="shared" si="14"/>
        <v>103</v>
      </c>
      <c r="C104" s="27" t="e">
        <f>_xlfn.XLOOKUP($D104,Tab_Process_TCs[Process_Name],Tab_Process_TCs[Process_ID],,0,)</f>
        <v>#N/A</v>
      </c>
      <c r="D104" s="154" t="s">
        <v>31</v>
      </c>
      <c r="E104" s="154"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7"/>
      <c r="M104" s="22" t="str">
        <f t="shared" si="11"/>
        <v>TC_WC_F__</v>
      </c>
      <c r="N104" s="157"/>
      <c r="O104" s="22" t="str">
        <f t="shared" si="12"/>
        <v>TC_DM_F__</v>
      </c>
      <c r="P104" s="157"/>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59" t="b">
        <v>0</v>
      </c>
      <c r="B105" s="7">
        <f t="shared" si="14"/>
        <v>104</v>
      </c>
      <c r="C105" s="27" t="e">
        <f>_xlfn.XLOOKUP($D105,Tab_Process_TCs[Process_Name],Tab_Process_TCs[Process_ID],,0,)</f>
        <v>#N/A</v>
      </c>
      <c r="D105" s="154" t="s">
        <v>31</v>
      </c>
      <c r="E105" s="154"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7"/>
      <c r="M105" s="22" t="str">
        <f t="shared" si="11"/>
        <v>TC_WC_F__</v>
      </c>
      <c r="N105" s="157"/>
      <c r="O105" s="22" t="str">
        <f t="shared" si="12"/>
        <v>TC_DM_F__</v>
      </c>
      <c r="P105" s="157"/>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59" t="b">
        <v>0</v>
      </c>
      <c r="B106" s="7">
        <f t="shared" si="14"/>
        <v>105</v>
      </c>
      <c r="C106" s="27" t="e">
        <f>_xlfn.XLOOKUP($D106,Tab_Process_TCs[Process_Name],Tab_Process_TCs[Process_ID],,0,)</f>
        <v>#N/A</v>
      </c>
      <c r="D106" s="154" t="s">
        <v>31</v>
      </c>
      <c r="E106" s="154"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7"/>
      <c r="M106" s="22" t="str">
        <f t="shared" si="11"/>
        <v>TC_WC_F__</v>
      </c>
      <c r="N106" s="157"/>
      <c r="O106" s="22" t="str">
        <f t="shared" si="12"/>
        <v>TC_DM_F__</v>
      </c>
      <c r="P106" s="157"/>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59" t="b">
        <v>0</v>
      </c>
      <c r="B107" s="7">
        <f t="shared" si="14"/>
        <v>106</v>
      </c>
      <c r="C107" s="27" t="e">
        <f>_xlfn.XLOOKUP($D107,Tab_Process_TCs[Process_Name],Tab_Process_TCs[Process_ID],,0,)</f>
        <v>#N/A</v>
      </c>
      <c r="D107" s="154" t="s">
        <v>31</v>
      </c>
      <c r="E107" s="154"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7"/>
      <c r="M107" s="22" t="str">
        <f t="shared" si="11"/>
        <v>TC_WC_F__</v>
      </c>
      <c r="N107" s="157"/>
      <c r="O107" s="22" t="str">
        <f t="shared" si="12"/>
        <v>TC_DM_F__</v>
      </c>
      <c r="P107" s="157"/>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59" t="b">
        <v>0</v>
      </c>
      <c r="B108" s="7">
        <f t="shared" si="14"/>
        <v>107</v>
      </c>
      <c r="C108" s="27" t="e">
        <f>_xlfn.XLOOKUP($D108,Tab_Process_TCs[Process_Name],Tab_Process_TCs[Process_ID],,0,)</f>
        <v>#N/A</v>
      </c>
      <c r="D108" s="154" t="s">
        <v>31</v>
      </c>
      <c r="E108" s="154"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7"/>
      <c r="M108" s="22" t="str">
        <f t="shared" si="11"/>
        <v>TC_WC_F__</v>
      </c>
      <c r="N108" s="157"/>
      <c r="O108" s="22" t="str">
        <f t="shared" si="12"/>
        <v>TC_DM_F__</v>
      </c>
      <c r="P108" s="157"/>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59" t="b">
        <v>0</v>
      </c>
      <c r="B109" s="7">
        <f t="shared" si="14"/>
        <v>108</v>
      </c>
      <c r="C109" s="27" t="e">
        <f>_xlfn.XLOOKUP($D109,Tab_Process_TCs[Process_Name],Tab_Process_TCs[Process_ID],,0,)</f>
        <v>#N/A</v>
      </c>
      <c r="D109" s="154" t="s">
        <v>31</v>
      </c>
      <c r="E109" s="154"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7"/>
      <c r="M109" s="22" t="str">
        <f t="shared" si="11"/>
        <v>TC_WC_F__</v>
      </c>
      <c r="N109" s="157"/>
      <c r="O109" s="22" t="str">
        <f t="shared" si="12"/>
        <v>TC_DM_F__</v>
      </c>
      <c r="P109" s="157"/>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59" t="b">
        <v>0</v>
      </c>
      <c r="B110" s="7">
        <f t="shared" si="14"/>
        <v>109</v>
      </c>
      <c r="C110" s="27" t="e">
        <f>_xlfn.XLOOKUP($D110,Tab_Process_TCs[Process_Name],Tab_Process_TCs[Process_ID],,0,)</f>
        <v>#N/A</v>
      </c>
      <c r="D110" s="154" t="s">
        <v>31</v>
      </c>
      <c r="E110" s="154"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7"/>
      <c r="M110" s="22" t="str">
        <f t="shared" si="11"/>
        <v>TC_WC_F__</v>
      </c>
      <c r="N110" s="157"/>
      <c r="O110" s="22" t="str">
        <f t="shared" si="12"/>
        <v>TC_DM_F__</v>
      </c>
      <c r="P110" s="157"/>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59" t="b">
        <v>0</v>
      </c>
      <c r="B111" s="7">
        <f t="shared" si="14"/>
        <v>110</v>
      </c>
      <c r="C111" s="27" t="e">
        <f>_xlfn.XLOOKUP($D111,Tab_Process_TCs[Process_Name],Tab_Process_TCs[Process_ID],,0,)</f>
        <v>#N/A</v>
      </c>
      <c r="D111" s="154" t="s">
        <v>31</v>
      </c>
      <c r="E111" s="154"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7"/>
      <c r="M111" s="22" t="str">
        <f t="shared" si="11"/>
        <v>TC_WC_F__</v>
      </c>
      <c r="N111" s="157"/>
      <c r="O111" s="22" t="str">
        <f t="shared" si="12"/>
        <v>TC_DM_F__</v>
      </c>
      <c r="P111" s="157"/>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59" t="b">
        <v>0</v>
      </c>
      <c r="B112" s="7">
        <f t="shared" si="14"/>
        <v>111</v>
      </c>
      <c r="C112" s="27" t="e">
        <f>_xlfn.XLOOKUP($D112,Tab_Process_TCs[Process_Name],Tab_Process_TCs[Process_ID],,0,)</f>
        <v>#N/A</v>
      </c>
      <c r="D112" s="154" t="s">
        <v>31</v>
      </c>
      <c r="E112" s="154"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7"/>
      <c r="M112" s="22" t="str">
        <f t="shared" si="11"/>
        <v>TC_WC_F__</v>
      </c>
      <c r="N112" s="157"/>
      <c r="O112" s="22" t="str">
        <f t="shared" si="12"/>
        <v>TC_DM_F__</v>
      </c>
      <c r="P112" s="157"/>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59" t="b">
        <v>0</v>
      </c>
      <c r="B113" s="7">
        <f t="shared" si="14"/>
        <v>112</v>
      </c>
      <c r="C113" s="27" t="e">
        <f>_xlfn.XLOOKUP($D113,Tab_Process_TCs[Process_Name],Tab_Process_TCs[Process_ID],,0,)</f>
        <v>#N/A</v>
      </c>
      <c r="D113" s="154" t="s">
        <v>31</v>
      </c>
      <c r="E113" s="154"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7"/>
      <c r="M113" s="22" t="str">
        <f t="shared" si="11"/>
        <v>TC_WC_F__</v>
      </c>
      <c r="N113" s="157"/>
      <c r="O113" s="22" t="str">
        <f t="shared" si="12"/>
        <v>TC_DM_F__</v>
      </c>
      <c r="P113" s="157"/>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59" t="b">
        <v>0</v>
      </c>
      <c r="B114" s="7">
        <f t="shared" si="14"/>
        <v>113</v>
      </c>
      <c r="C114" s="27" t="e">
        <f>_xlfn.XLOOKUP($D114,Tab_Process_TCs[Process_Name],Tab_Process_TCs[Process_ID],,0,)</f>
        <v>#N/A</v>
      </c>
      <c r="D114" s="154" t="s">
        <v>31</v>
      </c>
      <c r="E114" s="154"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7"/>
      <c r="M114" s="22" t="str">
        <f t="shared" si="11"/>
        <v>TC_WC_F__</v>
      </c>
      <c r="N114" s="157"/>
      <c r="O114" s="22" t="str">
        <f t="shared" si="12"/>
        <v>TC_DM_F__</v>
      </c>
      <c r="P114" s="157"/>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59" t="b">
        <v>0</v>
      </c>
      <c r="B115" s="7">
        <f t="shared" si="14"/>
        <v>114</v>
      </c>
      <c r="C115" s="27" t="e">
        <f>_xlfn.XLOOKUP($D115,Tab_Process_TCs[Process_Name],Tab_Process_TCs[Process_ID],,0,)</f>
        <v>#N/A</v>
      </c>
      <c r="D115" s="154" t="s">
        <v>31</v>
      </c>
      <c r="E115" s="154"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7"/>
      <c r="M115" s="22" t="str">
        <f t="shared" si="11"/>
        <v>TC_WC_F__</v>
      </c>
      <c r="N115" s="157"/>
      <c r="O115" s="22" t="str">
        <f t="shared" si="12"/>
        <v>TC_DM_F__</v>
      </c>
      <c r="P115" s="157"/>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59" t="b">
        <v>0</v>
      </c>
      <c r="B116" s="7">
        <f t="shared" si="14"/>
        <v>115</v>
      </c>
      <c r="C116" s="27" t="e">
        <f>_xlfn.XLOOKUP($D116,Tab_Process_TCs[Process_Name],Tab_Process_TCs[Process_ID],,0,)</f>
        <v>#N/A</v>
      </c>
      <c r="D116" s="154" t="s">
        <v>31</v>
      </c>
      <c r="E116" s="154"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7"/>
      <c r="M116" s="22" t="str">
        <f t="shared" si="11"/>
        <v>TC_WC_F__</v>
      </c>
      <c r="N116" s="157"/>
      <c r="O116" s="22" t="str">
        <f t="shared" si="12"/>
        <v>TC_DM_F__</v>
      </c>
      <c r="P116" s="157"/>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59" t="b">
        <v>0</v>
      </c>
      <c r="B117" s="7">
        <f t="shared" si="14"/>
        <v>116</v>
      </c>
      <c r="C117" s="27" t="e">
        <f>_xlfn.XLOOKUP($D117,Tab_Process_TCs[Process_Name],Tab_Process_TCs[Process_ID],,0,)</f>
        <v>#N/A</v>
      </c>
      <c r="D117" s="154" t="s">
        <v>31</v>
      </c>
      <c r="E117" s="154"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7"/>
      <c r="M117" s="22" t="str">
        <f t="shared" si="11"/>
        <v>TC_WC_F__</v>
      </c>
      <c r="N117" s="157"/>
      <c r="O117" s="22" t="str">
        <f t="shared" si="12"/>
        <v>TC_DM_F__</v>
      </c>
      <c r="P117" s="157"/>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59" t="b">
        <v>0</v>
      </c>
      <c r="B118" s="7">
        <f t="shared" si="14"/>
        <v>117</v>
      </c>
      <c r="C118" s="27" t="e">
        <f>_xlfn.XLOOKUP($D118,Tab_Process_TCs[Process_Name],Tab_Process_TCs[Process_ID],,0,)</f>
        <v>#N/A</v>
      </c>
      <c r="D118" s="154" t="s">
        <v>31</v>
      </c>
      <c r="E118" s="154"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7"/>
      <c r="M118" s="22" t="str">
        <f t="shared" si="11"/>
        <v>TC_WC_F__</v>
      </c>
      <c r="N118" s="157"/>
      <c r="O118" s="22" t="str">
        <f t="shared" si="12"/>
        <v>TC_DM_F__</v>
      </c>
      <c r="P118" s="157"/>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59" t="b">
        <v>0</v>
      </c>
      <c r="B119" s="7">
        <f t="shared" si="14"/>
        <v>118</v>
      </c>
      <c r="C119" s="27" t="e">
        <f>_xlfn.XLOOKUP($D119,Tab_Process_TCs[Process_Name],Tab_Process_TCs[Process_ID],,0,)</f>
        <v>#N/A</v>
      </c>
      <c r="D119" s="154" t="s">
        <v>31</v>
      </c>
      <c r="E119" s="154"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7"/>
      <c r="M119" s="22" t="str">
        <f t="shared" si="11"/>
        <v>TC_WC_F__</v>
      </c>
      <c r="N119" s="157"/>
      <c r="O119" s="22" t="str">
        <f t="shared" si="12"/>
        <v>TC_DM_F__</v>
      </c>
      <c r="P119" s="157"/>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59" t="b">
        <v>0</v>
      </c>
      <c r="B120" s="7">
        <f t="shared" si="14"/>
        <v>119</v>
      </c>
      <c r="C120" s="27" t="e">
        <f>_xlfn.XLOOKUP($D120,Tab_Process_TCs[Process_Name],Tab_Process_TCs[Process_ID],,0,)</f>
        <v>#N/A</v>
      </c>
      <c r="D120" s="154" t="s">
        <v>31</v>
      </c>
      <c r="E120" s="154"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7"/>
      <c r="M120" s="22" t="str">
        <f t="shared" si="11"/>
        <v>TC_WC_F__</v>
      </c>
      <c r="N120" s="157"/>
      <c r="O120" s="22" t="str">
        <f t="shared" si="12"/>
        <v>TC_DM_F__</v>
      </c>
      <c r="P120" s="157"/>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59" t="b">
        <v>0</v>
      </c>
      <c r="B121" s="7">
        <f t="shared" si="14"/>
        <v>120</v>
      </c>
      <c r="C121" s="27" t="e">
        <f>_xlfn.XLOOKUP($D121,Tab_Process_TCs[Process_Name],Tab_Process_TCs[Process_ID],,0,)</f>
        <v>#N/A</v>
      </c>
      <c r="D121" s="154" t="s">
        <v>31</v>
      </c>
      <c r="E121" s="154"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7"/>
      <c r="M121" s="22" t="str">
        <f t="shared" si="11"/>
        <v>TC_WC_F__</v>
      </c>
      <c r="N121" s="157"/>
      <c r="O121" s="22" t="str">
        <f t="shared" si="12"/>
        <v>TC_DM_F__</v>
      </c>
      <c r="P121" s="157"/>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59" t="b">
        <v>0</v>
      </c>
      <c r="B122" s="7">
        <f t="shared" si="14"/>
        <v>121</v>
      </c>
      <c r="C122" s="27" t="e">
        <f>_xlfn.XLOOKUP($D122,Tab_Process_TCs[Process_Name],Tab_Process_TCs[Process_ID],,0,)</f>
        <v>#N/A</v>
      </c>
      <c r="D122" s="154" t="s">
        <v>31</v>
      </c>
      <c r="E122" s="154"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7"/>
      <c r="M122" s="22" t="str">
        <f t="shared" si="11"/>
        <v>TC_WC_F__</v>
      </c>
      <c r="N122" s="157"/>
      <c r="O122" s="22" t="str">
        <f t="shared" si="12"/>
        <v>TC_DM_F__</v>
      </c>
      <c r="P122" s="157"/>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59" t="b">
        <v>0</v>
      </c>
      <c r="B123" s="7">
        <f t="shared" si="14"/>
        <v>122</v>
      </c>
      <c r="C123" s="27" t="e">
        <f>_xlfn.XLOOKUP($D123,Tab_Process_TCs[Process_Name],Tab_Process_TCs[Process_ID],,0,)</f>
        <v>#N/A</v>
      </c>
      <c r="D123" s="154" t="s">
        <v>31</v>
      </c>
      <c r="E123" s="154"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7"/>
      <c r="M123" s="22" t="str">
        <f t="shared" si="11"/>
        <v>TC_WC_F__</v>
      </c>
      <c r="N123" s="157"/>
      <c r="O123" s="22" t="str">
        <f t="shared" si="12"/>
        <v>TC_DM_F__</v>
      </c>
      <c r="P123" s="157"/>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59" t="b">
        <v>0</v>
      </c>
      <c r="B124" s="7">
        <f t="shared" si="14"/>
        <v>123</v>
      </c>
      <c r="C124" s="27" t="e">
        <f>_xlfn.XLOOKUP($D124,Tab_Process_TCs[Process_Name],Tab_Process_TCs[Process_ID],,0,)</f>
        <v>#N/A</v>
      </c>
      <c r="D124" s="154" t="s">
        <v>31</v>
      </c>
      <c r="E124" s="154"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7"/>
      <c r="M124" s="22" t="str">
        <f t="shared" si="11"/>
        <v>TC_WC_F__</v>
      </c>
      <c r="N124" s="157"/>
      <c r="O124" s="22" t="str">
        <f t="shared" si="12"/>
        <v>TC_DM_F__</v>
      </c>
      <c r="P124" s="157"/>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59" t="b">
        <v>0</v>
      </c>
      <c r="B125" s="7">
        <f t="shared" si="14"/>
        <v>124</v>
      </c>
      <c r="C125" s="27" t="e">
        <f>_xlfn.XLOOKUP($D125,Tab_Process_TCs[Process_Name],Tab_Process_TCs[Process_ID],,0,)</f>
        <v>#N/A</v>
      </c>
      <c r="D125" s="154" t="s">
        <v>31</v>
      </c>
      <c r="E125" s="154"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7"/>
      <c r="M125" s="22" t="str">
        <f t="shared" si="11"/>
        <v>TC_WC_F__</v>
      </c>
      <c r="N125" s="157"/>
      <c r="O125" s="22" t="str">
        <f t="shared" si="12"/>
        <v>TC_DM_F__</v>
      </c>
      <c r="P125" s="157"/>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59" t="b">
        <v>0</v>
      </c>
      <c r="B126" s="7">
        <f t="shared" si="14"/>
        <v>125</v>
      </c>
      <c r="C126" s="27" t="e">
        <f>_xlfn.XLOOKUP($D126,Tab_Process_TCs[Process_Name],Tab_Process_TCs[Process_ID],,0,)</f>
        <v>#N/A</v>
      </c>
      <c r="D126" s="154" t="s">
        <v>31</v>
      </c>
      <c r="E126" s="154"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7"/>
      <c r="M126" s="22" t="str">
        <f t="shared" si="11"/>
        <v>TC_WC_F__</v>
      </c>
      <c r="N126" s="157"/>
      <c r="O126" s="22" t="str">
        <f t="shared" si="12"/>
        <v>TC_DM_F__</v>
      </c>
      <c r="P126" s="157"/>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59" t="b">
        <v>0</v>
      </c>
      <c r="B127" s="7">
        <f t="shared" si="14"/>
        <v>126</v>
      </c>
      <c r="C127" s="27" t="e">
        <f>_xlfn.XLOOKUP($D127,Tab_Process_TCs[Process_Name],Tab_Process_TCs[Process_ID],,0,)</f>
        <v>#N/A</v>
      </c>
      <c r="D127" s="154" t="s">
        <v>31</v>
      </c>
      <c r="E127" s="154"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7"/>
      <c r="M127" s="22" t="str">
        <f t="shared" si="11"/>
        <v>TC_WC_F__</v>
      </c>
      <c r="N127" s="157"/>
      <c r="O127" s="22" t="str">
        <f t="shared" si="12"/>
        <v>TC_DM_F__</v>
      </c>
      <c r="P127" s="157"/>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59" t="b">
        <v>0</v>
      </c>
      <c r="B128" s="7">
        <f t="shared" ref="B128:B149" si="16">ROW()-1</f>
        <v>127</v>
      </c>
      <c r="C128" s="27" t="e">
        <f>_xlfn.XLOOKUP($D128,Tab_Process_TCs[Process_Name],Tab_Process_TCs[Process_ID],,0,)</f>
        <v>#N/A</v>
      </c>
      <c r="D128" s="154" t="s">
        <v>31</v>
      </c>
      <c r="E128" s="154"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7"/>
      <c r="M128" s="22" t="str">
        <f t="shared" si="11"/>
        <v>TC_WC_F__</v>
      </c>
      <c r="N128" s="157"/>
      <c r="O128" s="22" t="str">
        <f t="shared" si="12"/>
        <v>TC_DM_F__</v>
      </c>
      <c r="P128" s="157"/>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59" t="b">
        <v>0</v>
      </c>
      <c r="B129" s="7">
        <f t="shared" si="16"/>
        <v>128</v>
      </c>
      <c r="C129" s="27" t="e">
        <f>_xlfn.XLOOKUP($D129,Tab_Process_TCs[Process_Name],Tab_Process_TCs[Process_ID],,0,)</f>
        <v>#N/A</v>
      </c>
      <c r="D129" s="154" t="s">
        <v>31</v>
      </c>
      <c r="E129" s="154"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7"/>
      <c r="M129" s="22" t="str">
        <f t="shared" si="11"/>
        <v>TC_WC_F__</v>
      </c>
      <c r="N129" s="157"/>
      <c r="O129" s="22" t="str">
        <f t="shared" si="12"/>
        <v>TC_DM_F__</v>
      </c>
      <c r="P129" s="157"/>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59" t="b">
        <v>0</v>
      </c>
      <c r="B130" s="7">
        <f t="shared" si="16"/>
        <v>129</v>
      </c>
      <c r="C130" s="27" t="e">
        <f>_xlfn.XLOOKUP($D130,Tab_Process_TCs[Process_Name],Tab_Process_TCs[Process_ID],,0,)</f>
        <v>#N/A</v>
      </c>
      <c r="D130" s="154" t="s">
        <v>31</v>
      </c>
      <c r="E130" s="154"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7"/>
      <c r="M130" s="22" t="str">
        <f t="shared" si="11"/>
        <v>TC_WC_F__</v>
      </c>
      <c r="N130" s="157"/>
      <c r="O130" s="22" t="str">
        <f t="shared" si="12"/>
        <v>TC_DM_F__</v>
      </c>
      <c r="P130" s="157"/>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59" t="b">
        <v>0</v>
      </c>
      <c r="B131" s="7">
        <f t="shared" si="16"/>
        <v>130</v>
      </c>
      <c r="C131" s="27" t="e">
        <f>_xlfn.XLOOKUP($D131,Tab_Process_TCs[Process_Name],Tab_Process_TCs[Process_ID],,0,)</f>
        <v>#N/A</v>
      </c>
      <c r="D131" s="154" t="s">
        <v>31</v>
      </c>
      <c r="E131" s="154"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7"/>
      <c r="M131" s="22" t="str">
        <f t="shared" ref="M131:M149" si="19">"TC_WC"&amp;"_"&amp;RIGHT(I131,5)</f>
        <v>TC_WC_F__</v>
      </c>
      <c r="N131" s="157"/>
      <c r="O131" s="22" t="str">
        <f t="shared" ref="O131:O149" si="20">"TC_DM"&amp;"_"&amp;RIGHT(I131,5)</f>
        <v>TC_DM_F__</v>
      </c>
      <c r="P131" s="157"/>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59" t="b">
        <v>0</v>
      </c>
      <c r="B132" s="7">
        <f t="shared" si="16"/>
        <v>131</v>
      </c>
      <c r="C132" s="27" t="e">
        <f>_xlfn.XLOOKUP($D132,Tab_Process_TCs[Process_Name],Tab_Process_TCs[Process_ID],,0,)</f>
        <v>#N/A</v>
      </c>
      <c r="D132" s="154" t="s">
        <v>31</v>
      </c>
      <c r="E132" s="154"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7"/>
      <c r="M132" s="22" t="str">
        <f t="shared" si="19"/>
        <v>TC_WC_F__</v>
      </c>
      <c r="N132" s="157"/>
      <c r="O132" s="22" t="str">
        <f t="shared" si="20"/>
        <v>TC_DM_F__</v>
      </c>
      <c r="P132" s="157"/>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59" t="b">
        <v>0</v>
      </c>
      <c r="B133" s="7">
        <f t="shared" si="16"/>
        <v>132</v>
      </c>
      <c r="C133" s="27" t="e">
        <f>_xlfn.XLOOKUP($D133,Tab_Process_TCs[Process_Name],Tab_Process_TCs[Process_ID],,0,)</f>
        <v>#N/A</v>
      </c>
      <c r="D133" s="154" t="s">
        <v>31</v>
      </c>
      <c r="E133" s="154"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7"/>
      <c r="M133" s="22" t="str">
        <f t="shared" si="19"/>
        <v>TC_WC_F__</v>
      </c>
      <c r="N133" s="157"/>
      <c r="O133" s="22" t="str">
        <f t="shared" si="20"/>
        <v>TC_DM_F__</v>
      </c>
      <c r="P133" s="157"/>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59" t="b">
        <v>0</v>
      </c>
      <c r="B134" s="7">
        <f t="shared" si="16"/>
        <v>133</v>
      </c>
      <c r="C134" s="27" t="e">
        <f>_xlfn.XLOOKUP($D134,Tab_Process_TCs[Process_Name],Tab_Process_TCs[Process_ID],,0,)</f>
        <v>#N/A</v>
      </c>
      <c r="D134" s="154" t="s">
        <v>31</v>
      </c>
      <c r="E134" s="154"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7"/>
      <c r="M134" s="22" t="str">
        <f t="shared" si="19"/>
        <v>TC_WC_F__</v>
      </c>
      <c r="N134" s="157"/>
      <c r="O134" s="22" t="str">
        <f t="shared" si="20"/>
        <v>TC_DM_F__</v>
      </c>
      <c r="P134" s="157"/>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59" t="b">
        <v>0</v>
      </c>
      <c r="B135" s="7">
        <f t="shared" si="16"/>
        <v>134</v>
      </c>
      <c r="C135" s="27" t="e">
        <f>_xlfn.XLOOKUP($D135,Tab_Process_TCs[Process_Name],Tab_Process_TCs[Process_ID],,0,)</f>
        <v>#N/A</v>
      </c>
      <c r="D135" s="154" t="s">
        <v>31</v>
      </c>
      <c r="E135" s="154"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7"/>
      <c r="M135" s="22" t="str">
        <f t="shared" si="19"/>
        <v>TC_WC_F__</v>
      </c>
      <c r="N135" s="157"/>
      <c r="O135" s="22" t="str">
        <f t="shared" si="20"/>
        <v>TC_DM_F__</v>
      </c>
      <c r="P135" s="157"/>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59" t="b">
        <v>0</v>
      </c>
      <c r="B136" s="7">
        <f t="shared" si="16"/>
        <v>135</v>
      </c>
      <c r="C136" s="27" t="e">
        <f>_xlfn.XLOOKUP($D136,Tab_Process_TCs[Process_Name],Tab_Process_TCs[Process_ID],,0,)</f>
        <v>#N/A</v>
      </c>
      <c r="D136" s="154" t="s">
        <v>31</v>
      </c>
      <c r="E136" s="154"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7"/>
      <c r="M136" s="22" t="str">
        <f t="shared" si="19"/>
        <v>TC_WC_F__</v>
      </c>
      <c r="N136" s="157"/>
      <c r="O136" s="22" t="str">
        <f t="shared" si="20"/>
        <v>TC_DM_F__</v>
      </c>
      <c r="P136" s="157"/>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59" t="b">
        <v>0</v>
      </c>
      <c r="B137" s="7">
        <f t="shared" si="16"/>
        <v>136</v>
      </c>
      <c r="C137" s="27" t="e">
        <f>_xlfn.XLOOKUP($D137,Tab_Process_TCs[Process_Name],Tab_Process_TCs[Process_ID],,0,)</f>
        <v>#N/A</v>
      </c>
      <c r="D137" s="154" t="s">
        <v>31</v>
      </c>
      <c r="E137" s="154"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7"/>
      <c r="M137" s="22" t="str">
        <f t="shared" si="19"/>
        <v>TC_WC_F__</v>
      </c>
      <c r="N137" s="157"/>
      <c r="O137" s="22" t="str">
        <f t="shared" si="20"/>
        <v>TC_DM_F__</v>
      </c>
      <c r="P137" s="157"/>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59" t="b">
        <v>0</v>
      </c>
      <c r="B138" s="7">
        <f t="shared" si="16"/>
        <v>137</v>
      </c>
      <c r="C138" s="27" t="e">
        <f>_xlfn.XLOOKUP($D138,Tab_Process_TCs[Process_Name],Tab_Process_TCs[Process_ID],,0,)</f>
        <v>#N/A</v>
      </c>
      <c r="D138" s="154" t="s">
        <v>31</v>
      </c>
      <c r="E138" s="154"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7"/>
      <c r="M138" s="22" t="str">
        <f t="shared" si="19"/>
        <v>TC_WC_F__</v>
      </c>
      <c r="N138" s="157"/>
      <c r="O138" s="22" t="str">
        <f t="shared" si="20"/>
        <v>TC_DM_F__</v>
      </c>
      <c r="P138" s="157"/>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59" t="b">
        <v>0</v>
      </c>
      <c r="B139" s="7">
        <f t="shared" si="16"/>
        <v>138</v>
      </c>
      <c r="C139" s="27" t="e">
        <f>_xlfn.XLOOKUP($D139,Tab_Process_TCs[Process_Name],Tab_Process_TCs[Process_ID],,0,)</f>
        <v>#N/A</v>
      </c>
      <c r="D139" s="154" t="s">
        <v>31</v>
      </c>
      <c r="E139" s="154"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7"/>
      <c r="M139" s="22" t="str">
        <f t="shared" si="19"/>
        <v>TC_WC_F__</v>
      </c>
      <c r="N139" s="157"/>
      <c r="O139" s="22" t="str">
        <f t="shared" si="20"/>
        <v>TC_DM_F__</v>
      </c>
      <c r="P139" s="157"/>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59" t="b">
        <v>0</v>
      </c>
      <c r="B140" s="7">
        <f t="shared" si="16"/>
        <v>139</v>
      </c>
      <c r="C140" s="27" t="e">
        <f>_xlfn.XLOOKUP($D140,Tab_Process_TCs[Process_Name],Tab_Process_TCs[Process_ID],,0,)</f>
        <v>#N/A</v>
      </c>
      <c r="D140" s="154" t="s">
        <v>31</v>
      </c>
      <c r="E140" s="154"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7"/>
      <c r="M140" s="22" t="str">
        <f t="shared" si="19"/>
        <v>TC_WC_F__</v>
      </c>
      <c r="N140" s="157"/>
      <c r="O140" s="22" t="str">
        <f t="shared" si="20"/>
        <v>TC_DM_F__</v>
      </c>
      <c r="P140" s="157"/>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59" t="b">
        <v>0</v>
      </c>
      <c r="B141" s="7">
        <f t="shared" si="16"/>
        <v>140</v>
      </c>
      <c r="C141" s="27" t="e">
        <f>_xlfn.XLOOKUP($D141,Tab_Process_TCs[Process_Name],Tab_Process_TCs[Process_ID],,0,)</f>
        <v>#N/A</v>
      </c>
      <c r="D141" s="154" t="s">
        <v>31</v>
      </c>
      <c r="E141" s="154"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7"/>
      <c r="M141" s="22" t="str">
        <f t="shared" si="19"/>
        <v>TC_WC_F__</v>
      </c>
      <c r="N141" s="157"/>
      <c r="O141" s="22" t="str">
        <f t="shared" si="20"/>
        <v>TC_DM_F__</v>
      </c>
      <c r="P141" s="157"/>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59" t="b">
        <v>0</v>
      </c>
      <c r="B142" s="7">
        <f t="shared" si="16"/>
        <v>141</v>
      </c>
      <c r="C142" s="27" t="e">
        <f>_xlfn.XLOOKUP($D142,Tab_Process_TCs[Process_Name],Tab_Process_TCs[Process_ID],,0,)</f>
        <v>#N/A</v>
      </c>
      <c r="D142" s="154" t="s">
        <v>31</v>
      </c>
      <c r="E142" s="154"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7"/>
      <c r="M142" s="22" t="str">
        <f t="shared" si="19"/>
        <v>TC_WC_F__</v>
      </c>
      <c r="N142" s="157"/>
      <c r="O142" s="22" t="str">
        <f t="shared" si="20"/>
        <v>TC_DM_F__</v>
      </c>
      <c r="P142" s="157"/>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59" t="b">
        <v>0</v>
      </c>
      <c r="B143" s="7">
        <f t="shared" si="16"/>
        <v>142</v>
      </c>
      <c r="C143" s="27" t="e">
        <f>_xlfn.XLOOKUP($D143,Tab_Process_TCs[Process_Name],Tab_Process_TCs[Process_ID],,0,)</f>
        <v>#N/A</v>
      </c>
      <c r="D143" s="154" t="s">
        <v>31</v>
      </c>
      <c r="E143" s="154"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7"/>
      <c r="M143" s="22" t="str">
        <f t="shared" si="19"/>
        <v>TC_WC_F__</v>
      </c>
      <c r="N143" s="157"/>
      <c r="O143" s="22" t="str">
        <f t="shared" si="20"/>
        <v>TC_DM_F__</v>
      </c>
      <c r="P143" s="157"/>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59" t="b">
        <v>0</v>
      </c>
      <c r="B144" s="7">
        <f t="shared" si="16"/>
        <v>143</v>
      </c>
      <c r="C144" s="27" t="e">
        <f>_xlfn.XLOOKUP($D144,Tab_Process_TCs[Process_Name],Tab_Process_TCs[Process_ID],,0,)</f>
        <v>#N/A</v>
      </c>
      <c r="D144" s="154" t="s">
        <v>31</v>
      </c>
      <c r="E144" s="154"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7"/>
      <c r="M144" s="22" t="str">
        <f t="shared" si="19"/>
        <v>TC_WC_F__</v>
      </c>
      <c r="N144" s="157"/>
      <c r="O144" s="22" t="str">
        <f t="shared" si="20"/>
        <v>TC_DM_F__</v>
      </c>
      <c r="P144" s="157"/>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59" t="b">
        <v>0</v>
      </c>
      <c r="B145" s="7">
        <f t="shared" si="16"/>
        <v>144</v>
      </c>
      <c r="C145" s="27" t="e">
        <f>_xlfn.XLOOKUP($D145,Tab_Process_TCs[Process_Name],Tab_Process_TCs[Process_ID],,0,)</f>
        <v>#N/A</v>
      </c>
      <c r="D145" s="154" t="s">
        <v>31</v>
      </c>
      <c r="E145" s="154"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7"/>
      <c r="M145" s="22" t="str">
        <f t="shared" si="19"/>
        <v>TC_WC_F__</v>
      </c>
      <c r="N145" s="157"/>
      <c r="O145" s="22" t="str">
        <f t="shared" si="20"/>
        <v>TC_DM_F__</v>
      </c>
      <c r="P145" s="157"/>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59" t="b">
        <v>0</v>
      </c>
      <c r="B146" s="7">
        <f t="shared" si="16"/>
        <v>145</v>
      </c>
      <c r="C146" s="27" t="e">
        <f>_xlfn.XLOOKUP($D146,Tab_Process_TCs[Process_Name],Tab_Process_TCs[Process_ID],,0,)</f>
        <v>#N/A</v>
      </c>
      <c r="D146" s="154" t="s">
        <v>31</v>
      </c>
      <c r="E146" s="154"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7"/>
      <c r="M146" s="22" t="str">
        <f t="shared" si="19"/>
        <v>TC_WC_F__</v>
      </c>
      <c r="N146" s="157"/>
      <c r="O146" s="22" t="str">
        <f t="shared" si="20"/>
        <v>TC_DM_F__</v>
      </c>
      <c r="P146" s="157"/>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59" t="b">
        <v>0</v>
      </c>
      <c r="B147" s="7">
        <f t="shared" si="16"/>
        <v>146</v>
      </c>
      <c r="C147" s="27" t="e">
        <f>_xlfn.XLOOKUP($D147,Tab_Process_TCs[Process_Name],Tab_Process_TCs[Process_ID],,0,)</f>
        <v>#N/A</v>
      </c>
      <c r="D147" s="154" t="s">
        <v>31</v>
      </c>
      <c r="E147" s="154"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7"/>
      <c r="M147" s="22" t="str">
        <f t="shared" si="19"/>
        <v>TC_WC_F__</v>
      </c>
      <c r="N147" s="157"/>
      <c r="O147" s="22" t="str">
        <f t="shared" si="20"/>
        <v>TC_DM_F__</v>
      </c>
      <c r="P147" s="157"/>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59" t="b">
        <v>0</v>
      </c>
      <c r="B148" s="7">
        <f t="shared" si="16"/>
        <v>147</v>
      </c>
      <c r="C148" s="27" t="e">
        <f>_xlfn.XLOOKUP($D148,Tab_Process_TCs[Process_Name],Tab_Process_TCs[Process_ID],,0,)</f>
        <v>#N/A</v>
      </c>
      <c r="D148" s="154" t="s">
        <v>31</v>
      </c>
      <c r="E148" s="154"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7"/>
      <c r="M148" s="22" t="str">
        <f t="shared" si="19"/>
        <v>TC_WC_F__</v>
      </c>
      <c r="N148" s="157"/>
      <c r="O148" s="22" t="str">
        <f t="shared" si="20"/>
        <v>TC_DM_F__</v>
      </c>
      <c r="P148" s="157"/>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59" t="b">
        <v>0</v>
      </c>
      <c r="B149" s="7">
        <f t="shared" si="16"/>
        <v>148</v>
      </c>
      <c r="C149" s="27" t="e">
        <f>_xlfn.XLOOKUP($D149,Tab_Process_TCs[Process_Name],Tab_Process_TCs[Process_ID],,0,)</f>
        <v>#N/A</v>
      </c>
      <c r="D149" s="154" t="s">
        <v>31</v>
      </c>
      <c r="E149" s="154"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7"/>
      <c r="M149" s="22" t="str">
        <f t="shared" si="19"/>
        <v>TC_WC_F__</v>
      </c>
      <c r="N149" s="157"/>
      <c r="O149" s="22" t="str">
        <f t="shared" si="20"/>
        <v>TC_DM_F__</v>
      </c>
      <c r="P149" s="157"/>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'2_3_static_TCs'!$D$2:$D$51</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F1" zoomScaleNormal="100" workbookViewId="0">
      <selection activeCell="L23" sqref="L23"/>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32.5703125" customWidth="1"/>
    <col min="17" max="19" width="22.28515625" customWidth="1"/>
    <col min="20" max="20" width="24.42578125" customWidth="1"/>
    <col min="21" max="21" width="30.85546875" customWidth="1"/>
  </cols>
  <sheetData>
    <row r="1" spans="1:21" x14ac:dyDescent="0.25">
      <c r="A1" s="158" t="s">
        <v>54</v>
      </c>
      <c r="B1" s="158" t="s">
        <v>28</v>
      </c>
      <c r="C1" s="158" t="s">
        <v>55</v>
      </c>
      <c r="D1" s="158" t="s">
        <v>49</v>
      </c>
      <c r="E1" s="158" t="s">
        <v>712</v>
      </c>
      <c r="F1" s="158" t="s">
        <v>77</v>
      </c>
      <c r="G1" s="158" t="s">
        <v>52</v>
      </c>
      <c r="H1" s="158" t="s">
        <v>717</v>
      </c>
      <c r="I1" s="158" t="s">
        <v>57</v>
      </c>
      <c r="J1" s="158" t="s">
        <v>224</v>
      </c>
      <c r="K1" s="158" t="s">
        <v>225</v>
      </c>
      <c r="L1" s="158" t="s">
        <v>2</v>
      </c>
      <c r="M1" s="158" t="s">
        <v>226</v>
      </c>
      <c r="N1" s="158" t="s">
        <v>227</v>
      </c>
      <c r="O1" s="158" t="s">
        <v>228</v>
      </c>
      <c r="P1" s="158" t="s">
        <v>329</v>
      </c>
      <c r="Q1" s="158" t="s">
        <v>328</v>
      </c>
      <c r="R1" s="158" t="s">
        <v>327</v>
      </c>
      <c r="S1" s="158" t="s">
        <v>37</v>
      </c>
      <c r="T1" s="158" t="s">
        <v>325</v>
      </c>
      <c r="U1" s="158" t="s">
        <v>326</v>
      </c>
    </row>
    <row r="2" spans="1:21" x14ac:dyDescent="0.25">
      <c r="A2" s="159" t="b">
        <v>0</v>
      </c>
      <c r="B2" s="7">
        <f t="shared" ref="B2:B33" si="0">ROW()-1</f>
        <v>1</v>
      </c>
      <c r="C2" s="7" t="str">
        <f>"S"&amp;"_"&amp;LEFT(D2,2)</f>
        <v>S_01</v>
      </c>
      <c r="D2" s="7" t="str">
        <f>_xlfn.XLOOKUP($E2,Tab_Def_Processes[Process_Name],Tab_Def_Processes[Process_ID],,0,)</f>
        <v>01</v>
      </c>
      <c r="E2" s="8" t="s">
        <v>724</v>
      </c>
      <c r="F2" s="7" t="str">
        <f>_xlfn.XLOOKUP($E2,Tab_Def_Processes[Process_Name],Tab_Def_Processes[Process_Type],,0,)</f>
        <v>Process</v>
      </c>
      <c r="G2" s="7" t="str">
        <f>_xlfn.XLOOKUP($E2,Tab_Def_Processes[Process_Name],Tab_Def_Processes[TC?],,0,)</f>
        <v>Yes</v>
      </c>
      <c r="H2" s="7" t="str">
        <f>_xlfn.XLOOKUP($E2,Tab_Def_Processes[Process_Name],Tab_Def_Processes[TC_Type],,0,)</f>
        <v>Static</v>
      </c>
      <c r="I2" s="7" t="str">
        <f>_xlfn.XLOOKUP($E2,Tab_Def_Processes[Process_Name],Tab_Def_Processes[Stock?],,0,)</f>
        <v>Yes</v>
      </c>
      <c r="J2" s="7" t="str">
        <f>_xlfn.XLOOKUP($E2,Tab_Def_Processes[Process_Name],Tab_Def_Processes[Initial_Stock?],,0,)</f>
        <v>Yes</v>
      </c>
      <c r="K2" s="152">
        <v>500</v>
      </c>
      <c r="L2" s="8"/>
      <c r="M2" s="16">
        <v>0</v>
      </c>
      <c r="N2" s="16">
        <v>1</v>
      </c>
      <c r="O2" s="16">
        <v>1</v>
      </c>
      <c r="P2" s="8" t="s">
        <v>740</v>
      </c>
      <c r="Q2" s="7"/>
      <c r="R2" s="8" t="s">
        <v>754</v>
      </c>
      <c r="S2" s="7" t="str">
        <f>_xlfn.XLOOKUP(R2,Tab_Def_Flows[Flow_Name],Tab_Def_Flows[Flow_ID],,0,)</f>
        <v>F_01_15</v>
      </c>
      <c r="T2" s="163">
        <v>1</v>
      </c>
      <c r="U2" s="163">
        <v>0.1</v>
      </c>
    </row>
    <row r="3" spans="1:21" x14ac:dyDescent="0.25">
      <c r="A3" s="159"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2"/>
      <c r="L3" s="8"/>
      <c r="M3" s="16"/>
      <c r="N3" s="16"/>
      <c r="O3" s="16"/>
      <c r="P3" s="8"/>
      <c r="Q3" s="7"/>
      <c r="R3" s="8"/>
      <c r="S3" s="7"/>
      <c r="T3" s="8"/>
      <c r="U3" s="163"/>
    </row>
    <row r="4" spans="1:21" x14ac:dyDescent="0.25">
      <c r="A4" s="159"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2"/>
      <c r="L4" s="8"/>
      <c r="M4" s="16"/>
      <c r="N4" s="16"/>
      <c r="O4" s="16"/>
      <c r="P4" s="8"/>
      <c r="Q4" s="7"/>
      <c r="R4" s="8"/>
      <c r="S4" s="7"/>
      <c r="T4" s="8"/>
      <c r="U4" s="163"/>
    </row>
    <row r="5" spans="1:21" x14ac:dyDescent="0.25">
      <c r="A5" s="159"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3"/>
      <c r="L5" s="8"/>
      <c r="M5" s="16"/>
      <c r="N5" s="16"/>
      <c r="O5" s="16"/>
      <c r="P5" s="8"/>
      <c r="Q5" s="7"/>
      <c r="R5" s="8"/>
      <c r="S5" s="7"/>
      <c r="T5" s="8"/>
      <c r="U5" s="163"/>
    </row>
    <row r="6" spans="1:21" x14ac:dyDescent="0.25">
      <c r="A6" s="159"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2"/>
      <c r="L6" s="8"/>
      <c r="M6" s="8"/>
      <c r="N6" s="8"/>
      <c r="O6" s="8"/>
      <c r="P6" s="8"/>
      <c r="Q6" s="7"/>
      <c r="R6" s="8"/>
      <c r="S6" s="7"/>
      <c r="T6" s="8"/>
      <c r="U6" s="163"/>
    </row>
    <row r="7" spans="1:21" x14ac:dyDescent="0.25">
      <c r="A7" s="159"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2"/>
      <c r="L7" s="8"/>
      <c r="M7" s="8"/>
      <c r="N7" s="8"/>
      <c r="O7" s="8"/>
      <c r="P7" s="8"/>
      <c r="Q7" s="7"/>
      <c r="R7" s="8"/>
      <c r="S7" s="7"/>
      <c r="T7" s="8"/>
      <c r="U7" s="163"/>
    </row>
    <row r="8" spans="1:21" x14ac:dyDescent="0.25">
      <c r="A8" s="159"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2"/>
      <c r="L8" s="8"/>
      <c r="M8" s="8"/>
      <c r="N8" s="8"/>
      <c r="O8" s="8"/>
      <c r="P8" s="8"/>
      <c r="Q8" s="7"/>
      <c r="R8" s="8"/>
      <c r="S8" s="7"/>
      <c r="T8" s="8"/>
      <c r="U8" s="163"/>
    </row>
    <row r="9" spans="1:21" x14ac:dyDescent="0.25">
      <c r="A9" s="159"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2"/>
      <c r="L9" s="8"/>
      <c r="M9" s="8"/>
      <c r="N9" s="8"/>
      <c r="O9" s="8"/>
      <c r="P9" s="8"/>
      <c r="Q9" s="7"/>
      <c r="R9" s="8"/>
      <c r="S9" s="7"/>
      <c r="T9" s="8"/>
      <c r="U9" s="163"/>
    </row>
    <row r="10" spans="1:21" x14ac:dyDescent="0.25">
      <c r="A10" s="159"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2"/>
      <c r="L10" s="8"/>
      <c r="M10" s="8"/>
      <c r="N10" s="8"/>
      <c r="O10" s="8"/>
      <c r="P10" s="8"/>
      <c r="Q10" s="7"/>
      <c r="R10" s="8"/>
      <c r="S10" s="7"/>
      <c r="T10" s="8"/>
      <c r="U10" s="163"/>
    </row>
    <row r="11" spans="1:21" x14ac:dyDescent="0.25">
      <c r="A11" s="159"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2"/>
      <c r="L11" s="8"/>
      <c r="M11" s="8"/>
      <c r="N11" s="8"/>
      <c r="O11" s="8"/>
      <c r="P11" s="8"/>
      <c r="Q11" s="7"/>
      <c r="R11" s="8"/>
      <c r="S11" s="7"/>
      <c r="T11" s="8"/>
      <c r="U11" s="163"/>
    </row>
    <row r="12" spans="1:21" x14ac:dyDescent="0.25">
      <c r="A12" s="159"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2"/>
      <c r="L12" s="8"/>
      <c r="M12" s="8"/>
      <c r="N12" s="8"/>
      <c r="O12" s="8"/>
      <c r="P12" s="8"/>
      <c r="Q12" s="7"/>
      <c r="R12" s="8"/>
      <c r="S12" s="7"/>
      <c r="T12" s="8"/>
      <c r="U12" s="163"/>
    </row>
    <row r="13" spans="1:21" x14ac:dyDescent="0.25">
      <c r="A13" s="159"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2"/>
      <c r="L13" s="8"/>
      <c r="M13" s="8"/>
      <c r="N13" s="8"/>
      <c r="O13" s="8"/>
      <c r="P13" s="8"/>
      <c r="Q13" s="7"/>
      <c r="R13" s="8"/>
      <c r="S13" s="7"/>
      <c r="T13" s="8"/>
      <c r="U13" s="163"/>
    </row>
    <row r="14" spans="1:21" x14ac:dyDescent="0.25">
      <c r="A14" s="159"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2"/>
      <c r="L14" s="8"/>
      <c r="M14" s="8"/>
      <c r="N14" s="8"/>
      <c r="O14" s="8"/>
      <c r="P14" s="8"/>
      <c r="Q14" s="7"/>
      <c r="R14" s="8"/>
      <c r="S14" s="7"/>
      <c r="T14" s="8"/>
      <c r="U14" s="163"/>
    </row>
    <row r="15" spans="1:21" x14ac:dyDescent="0.25">
      <c r="A15" s="159"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2"/>
      <c r="L15" s="8"/>
      <c r="M15" s="8"/>
      <c r="N15" s="8"/>
      <c r="O15" s="8"/>
      <c r="P15" s="8"/>
      <c r="Q15" s="7"/>
      <c r="R15" s="8"/>
      <c r="S15" s="7"/>
      <c r="T15" s="8"/>
      <c r="U15" s="163"/>
    </row>
    <row r="16" spans="1:21" x14ac:dyDescent="0.25">
      <c r="A16" s="159"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2"/>
      <c r="L16" s="8"/>
      <c r="M16" s="8"/>
      <c r="N16" s="8"/>
      <c r="O16" s="8"/>
      <c r="P16" s="8"/>
      <c r="Q16" s="7"/>
      <c r="R16" s="8"/>
      <c r="S16" s="7"/>
      <c r="T16" s="8"/>
      <c r="U16" s="163"/>
    </row>
    <row r="17" spans="1:21" x14ac:dyDescent="0.25">
      <c r="A17" s="159"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2"/>
      <c r="L17" s="8"/>
      <c r="M17" s="8"/>
      <c r="N17" s="8"/>
      <c r="O17" s="8"/>
      <c r="P17" s="8"/>
      <c r="Q17" s="7"/>
      <c r="R17" s="8"/>
      <c r="S17" s="7"/>
      <c r="T17" s="8"/>
      <c r="U17" s="163"/>
    </row>
    <row r="18" spans="1:21" x14ac:dyDescent="0.25">
      <c r="A18" s="159"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2"/>
      <c r="L18" s="8"/>
      <c r="M18" s="8"/>
      <c r="N18" s="8"/>
      <c r="O18" s="8"/>
      <c r="P18" s="8"/>
      <c r="Q18" s="7"/>
      <c r="R18" s="8"/>
      <c r="S18" s="7"/>
      <c r="T18" s="8"/>
      <c r="U18" s="163"/>
    </row>
    <row r="19" spans="1:21" x14ac:dyDescent="0.25">
      <c r="A19" s="159"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2"/>
      <c r="L19" s="8"/>
      <c r="M19" s="8"/>
      <c r="N19" s="8"/>
      <c r="O19" s="8"/>
      <c r="P19" s="8"/>
      <c r="Q19" s="7"/>
      <c r="R19" s="8"/>
      <c r="S19" s="7"/>
      <c r="T19" s="8"/>
      <c r="U19" s="163"/>
    </row>
    <row r="20" spans="1:21" x14ac:dyDescent="0.25">
      <c r="A20" s="159"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2"/>
      <c r="L20" s="8"/>
      <c r="M20" s="8"/>
      <c r="N20" s="8"/>
      <c r="O20" s="8"/>
      <c r="P20" s="8"/>
      <c r="Q20" s="7"/>
      <c r="R20" s="8"/>
      <c r="S20" s="7"/>
      <c r="T20" s="8"/>
      <c r="U20" s="163"/>
    </row>
    <row r="21" spans="1:21" x14ac:dyDescent="0.25">
      <c r="A21" s="159"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2"/>
      <c r="L21" s="8"/>
      <c r="M21" s="8"/>
      <c r="N21" s="8"/>
      <c r="O21" s="8"/>
      <c r="P21" s="8"/>
      <c r="Q21" s="7"/>
      <c r="R21" s="8"/>
      <c r="S21" s="7"/>
      <c r="T21" s="8"/>
      <c r="U21" s="163"/>
    </row>
    <row r="22" spans="1:21" x14ac:dyDescent="0.25">
      <c r="A22" s="159"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2"/>
      <c r="L22" s="8"/>
      <c r="M22" s="8"/>
      <c r="N22" s="8"/>
      <c r="O22" s="8"/>
      <c r="P22" s="8"/>
      <c r="Q22" s="7"/>
      <c r="R22" s="8"/>
      <c r="S22" s="7"/>
      <c r="T22" s="8"/>
      <c r="U22" s="163"/>
    </row>
    <row r="23" spans="1:21" x14ac:dyDescent="0.25">
      <c r="A23" s="159"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2"/>
      <c r="L23" s="8"/>
      <c r="M23" s="8"/>
      <c r="N23" s="8"/>
      <c r="O23" s="8"/>
      <c r="P23" s="8"/>
      <c r="Q23" s="7"/>
      <c r="R23" s="8"/>
      <c r="S23" s="7"/>
      <c r="T23" s="8"/>
      <c r="U23" s="163"/>
    </row>
    <row r="24" spans="1:21" x14ac:dyDescent="0.25">
      <c r="A24" s="159"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2"/>
      <c r="L24" s="8"/>
      <c r="M24" s="8"/>
      <c r="N24" s="8"/>
      <c r="O24" s="8"/>
      <c r="P24" s="8"/>
      <c r="Q24" s="7"/>
      <c r="R24" s="8"/>
      <c r="S24" s="7"/>
      <c r="T24" s="8"/>
      <c r="U24" s="163"/>
    </row>
    <row r="25" spans="1:21" x14ac:dyDescent="0.25">
      <c r="A25" s="159"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2"/>
      <c r="L25" s="8"/>
      <c r="M25" s="8"/>
      <c r="N25" s="8"/>
      <c r="O25" s="8"/>
      <c r="P25" s="8"/>
      <c r="Q25" s="7"/>
      <c r="R25" s="8"/>
      <c r="S25" s="7"/>
      <c r="T25" s="8"/>
      <c r="U25" s="163"/>
    </row>
    <row r="26" spans="1:21" x14ac:dyDescent="0.25">
      <c r="A26" s="159"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2"/>
      <c r="L26" s="8"/>
      <c r="M26" s="8"/>
      <c r="N26" s="8"/>
      <c r="O26" s="8"/>
      <c r="P26" s="8"/>
      <c r="Q26" s="7"/>
      <c r="R26" s="8"/>
      <c r="S26" s="7"/>
      <c r="T26" s="8"/>
      <c r="U26" s="163"/>
    </row>
    <row r="27" spans="1:21" x14ac:dyDescent="0.25">
      <c r="A27" s="159"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2"/>
      <c r="L27" s="8"/>
      <c r="M27" s="8"/>
      <c r="N27" s="8"/>
      <c r="O27" s="8"/>
      <c r="P27" s="8"/>
      <c r="Q27" s="7"/>
      <c r="R27" s="8"/>
      <c r="S27" s="7"/>
      <c r="T27" s="8"/>
      <c r="U27" s="163"/>
    </row>
    <row r="28" spans="1:21" x14ac:dyDescent="0.25">
      <c r="A28" s="159"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2"/>
      <c r="L28" s="8"/>
      <c r="M28" s="8"/>
      <c r="N28" s="8"/>
      <c r="O28" s="8"/>
      <c r="P28" s="8"/>
      <c r="Q28" s="7"/>
      <c r="R28" s="8"/>
      <c r="S28" s="7"/>
      <c r="T28" s="8"/>
      <c r="U28" s="163"/>
    </row>
    <row r="29" spans="1:21" x14ac:dyDescent="0.25">
      <c r="A29" s="159"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2"/>
      <c r="L29" s="8"/>
      <c r="M29" s="8"/>
      <c r="N29" s="8"/>
      <c r="O29" s="8"/>
      <c r="P29" s="8"/>
      <c r="Q29" s="7"/>
      <c r="R29" s="8"/>
      <c r="S29" s="7"/>
      <c r="T29" s="8"/>
      <c r="U29" s="163"/>
    </row>
    <row r="30" spans="1:21" x14ac:dyDescent="0.25">
      <c r="A30" s="159"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2"/>
      <c r="L30" s="8"/>
      <c r="M30" s="8"/>
      <c r="N30" s="8"/>
      <c r="O30" s="8"/>
      <c r="P30" s="8"/>
      <c r="Q30" s="7"/>
      <c r="R30" s="8"/>
      <c r="S30" s="7"/>
      <c r="T30" s="8"/>
      <c r="U30" s="163"/>
    </row>
    <row r="31" spans="1:21" x14ac:dyDescent="0.25">
      <c r="A31" s="159"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2"/>
      <c r="L31" s="8"/>
      <c r="M31" s="8"/>
      <c r="N31" s="8"/>
      <c r="O31" s="8"/>
      <c r="P31" s="8"/>
      <c r="Q31" s="7"/>
      <c r="R31" s="8"/>
      <c r="S31" s="7"/>
      <c r="T31" s="8"/>
      <c r="U31" s="163"/>
    </row>
    <row r="32" spans="1:21" x14ac:dyDescent="0.25">
      <c r="A32" s="159"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2"/>
      <c r="L32" s="8"/>
      <c r="M32" s="8"/>
      <c r="N32" s="8"/>
      <c r="O32" s="8"/>
      <c r="P32" s="8"/>
      <c r="Q32" s="7"/>
      <c r="R32" s="8"/>
      <c r="S32" s="7"/>
      <c r="T32" s="8"/>
      <c r="U32" s="163"/>
    </row>
    <row r="33" spans="1:21" x14ac:dyDescent="0.25">
      <c r="A33" s="159"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2"/>
      <c r="L33" s="8"/>
      <c r="M33" s="8"/>
      <c r="N33" s="8"/>
      <c r="O33" s="8"/>
      <c r="P33" s="8"/>
      <c r="Q33" s="7"/>
      <c r="R33" s="8"/>
      <c r="S33" s="7"/>
      <c r="T33" s="8"/>
      <c r="U33" s="163"/>
    </row>
    <row r="34" spans="1:21" x14ac:dyDescent="0.25">
      <c r="A34" s="159"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2"/>
      <c r="L34" s="8"/>
      <c r="M34" s="8"/>
      <c r="N34" s="8"/>
      <c r="O34" s="8"/>
      <c r="P34" s="8"/>
      <c r="Q34" s="7"/>
      <c r="R34" s="8"/>
      <c r="S34" s="7"/>
      <c r="T34" s="8"/>
      <c r="U34" s="163"/>
    </row>
    <row r="35" spans="1:21" x14ac:dyDescent="0.25">
      <c r="A35" s="159"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2"/>
      <c r="L35" s="8"/>
      <c r="M35" s="8"/>
      <c r="N35" s="8"/>
      <c r="O35" s="8"/>
      <c r="P35" s="8"/>
      <c r="Q35" s="7"/>
      <c r="R35" s="8"/>
      <c r="S35" s="7"/>
      <c r="T35" s="8"/>
      <c r="U35" s="163"/>
    </row>
    <row r="36" spans="1:21" x14ac:dyDescent="0.25">
      <c r="A36" s="159"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2"/>
      <c r="L36" s="8"/>
      <c r="M36" s="8"/>
      <c r="N36" s="8"/>
      <c r="O36" s="8"/>
      <c r="P36" s="8"/>
      <c r="Q36" s="7"/>
      <c r="R36" s="8"/>
      <c r="S36" s="7"/>
      <c r="T36" s="8"/>
      <c r="U36" s="163"/>
    </row>
    <row r="37" spans="1:21" x14ac:dyDescent="0.25">
      <c r="A37" s="159"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2"/>
      <c r="L37" s="8"/>
      <c r="M37" s="8"/>
      <c r="N37" s="8"/>
      <c r="O37" s="8"/>
      <c r="P37" s="8"/>
      <c r="Q37" s="7"/>
      <c r="R37" s="8"/>
      <c r="S37" s="7"/>
      <c r="T37" s="8"/>
      <c r="U37" s="163"/>
    </row>
    <row r="38" spans="1:21" x14ac:dyDescent="0.25">
      <c r="A38" s="159"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2"/>
      <c r="L38" s="8"/>
      <c r="M38" s="8"/>
      <c r="N38" s="8"/>
      <c r="O38" s="8"/>
      <c r="P38" s="8"/>
      <c r="Q38" s="7"/>
      <c r="R38" s="8"/>
      <c r="S38" s="7"/>
      <c r="T38" s="8"/>
      <c r="U38" s="163"/>
    </row>
    <row r="39" spans="1:21" x14ac:dyDescent="0.25">
      <c r="A39" s="159"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2"/>
      <c r="L39" s="8"/>
      <c r="M39" s="8"/>
      <c r="N39" s="8"/>
      <c r="O39" s="8"/>
      <c r="P39" s="8"/>
      <c r="Q39" s="7"/>
      <c r="R39" s="8"/>
      <c r="S39" s="7"/>
      <c r="T39" s="8"/>
      <c r="U39" s="163"/>
    </row>
    <row r="40" spans="1:21" x14ac:dyDescent="0.25">
      <c r="A40" s="159"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2"/>
      <c r="L40" s="8"/>
      <c r="M40" s="8"/>
      <c r="N40" s="8"/>
      <c r="O40" s="8"/>
      <c r="P40" s="8"/>
      <c r="Q40" s="7"/>
      <c r="R40" s="8"/>
      <c r="S40" s="7"/>
      <c r="T40" s="8"/>
      <c r="U40" s="163"/>
    </row>
    <row r="41" spans="1:21" x14ac:dyDescent="0.25">
      <c r="A41" s="159"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2"/>
      <c r="L41" s="8"/>
      <c r="M41" s="8"/>
      <c r="N41" s="8"/>
      <c r="O41" s="8"/>
      <c r="P41" s="8"/>
      <c r="Q41" s="7"/>
      <c r="R41" s="8"/>
      <c r="S41" s="7"/>
      <c r="T41" s="8"/>
      <c r="U41" s="163"/>
    </row>
    <row r="42" spans="1:21" x14ac:dyDescent="0.25">
      <c r="A42" s="159"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2"/>
      <c r="L42" s="8"/>
      <c r="M42" s="8"/>
      <c r="N42" s="8"/>
      <c r="O42" s="8"/>
      <c r="P42" s="8"/>
      <c r="Q42" s="7"/>
      <c r="R42" s="8"/>
      <c r="S42" s="7"/>
      <c r="T42" s="8"/>
      <c r="U42" s="163"/>
    </row>
    <row r="43" spans="1:21" x14ac:dyDescent="0.25">
      <c r="A43" s="159"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2"/>
      <c r="L43" s="8"/>
      <c r="M43" s="8"/>
      <c r="N43" s="8"/>
      <c r="O43" s="8"/>
      <c r="P43" s="8"/>
      <c r="Q43" s="7"/>
      <c r="R43" s="8"/>
      <c r="S43" s="7"/>
      <c r="T43" s="8"/>
      <c r="U43" s="163"/>
    </row>
    <row r="44" spans="1:21" x14ac:dyDescent="0.25">
      <c r="A44" s="159"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2"/>
      <c r="L44" s="8"/>
      <c r="M44" s="8"/>
      <c r="N44" s="8"/>
      <c r="O44" s="8"/>
      <c r="P44" s="8"/>
      <c r="Q44" s="7"/>
      <c r="R44" s="8"/>
      <c r="S44" s="7"/>
      <c r="T44" s="8"/>
      <c r="U44" s="163"/>
    </row>
    <row r="45" spans="1:21" x14ac:dyDescent="0.25">
      <c r="A45" s="159"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2"/>
      <c r="L45" s="8"/>
      <c r="M45" s="8"/>
      <c r="N45" s="8"/>
      <c r="O45" s="8"/>
      <c r="P45" s="8"/>
      <c r="Q45" s="7"/>
      <c r="R45" s="8"/>
      <c r="S45" s="7"/>
      <c r="T45" s="8"/>
      <c r="U45" s="163"/>
    </row>
    <row r="46" spans="1:21" x14ac:dyDescent="0.25">
      <c r="A46" s="159"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2"/>
      <c r="L46" s="8"/>
      <c r="M46" s="8"/>
      <c r="N46" s="8"/>
      <c r="O46" s="8"/>
      <c r="P46" s="8"/>
      <c r="Q46" s="7"/>
      <c r="R46" s="8"/>
      <c r="S46" s="7"/>
      <c r="T46" s="8"/>
      <c r="U46" s="163"/>
    </row>
    <row r="47" spans="1:21" x14ac:dyDescent="0.25">
      <c r="A47" s="159"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2"/>
      <c r="L47" s="8"/>
      <c r="M47" s="8"/>
      <c r="N47" s="8"/>
      <c r="O47" s="8"/>
      <c r="P47" s="8"/>
      <c r="Q47" s="7"/>
      <c r="R47" s="8"/>
      <c r="S47" s="7"/>
      <c r="T47" s="8"/>
      <c r="U47" s="163"/>
    </row>
    <row r="48" spans="1:21" x14ac:dyDescent="0.25">
      <c r="A48" s="159"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2"/>
      <c r="L48" s="8"/>
      <c r="M48" s="8"/>
      <c r="N48" s="8"/>
      <c r="O48" s="8"/>
      <c r="P48" s="8"/>
      <c r="Q48" s="7"/>
      <c r="R48" s="8"/>
      <c r="S48" s="7"/>
      <c r="T48" s="8"/>
      <c r="U48" s="163"/>
    </row>
    <row r="49" spans="1:21" x14ac:dyDescent="0.25">
      <c r="A49" s="159"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2"/>
      <c r="L49" s="8"/>
      <c r="M49" s="8"/>
      <c r="N49" s="8"/>
      <c r="O49" s="8"/>
      <c r="P49" s="8"/>
      <c r="Q49" s="7"/>
      <c r="R49" s="8"/>
      <c r="S49" s="7"/>
      <c r="T49" s="8"/>
      <c r="U49" s="163"/>
    </row>
    <row r="50" spans="1:21" x14ac:dyDescent="0.25">
      <c r="A50" s="159"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2"/>
      <c r="L50" s="8"/>
      <c r="M50" s="8"/>
      <c r="N50" s="8"/>
      <c r="O50" s="8"/>
      <c r="P50" s="8"/>
      <c r="Q50" s="7"/>
      <c r="R50" s="8"/>
      <c r="S50" s="7"/>
      <c r="T50" s="8"/>
      <c r="U50" s="163"/>
    </row>
    <row r="51" spans="1:21" x14ac:dyDescent="0.25">
      <c r="A51" s="159"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2"/>
      <c r="L51" s="8"/>
      <c r="M51" s="8"/>
      <c r="N51" s="8"/>
      <c r="O51" s="8"/>
      <c r="P51" s="8"/>
      <c r="Q51" s="7"/>
      <c r="R51" s="8"/>
      <c r="S51" s="7"/>
      <c r="T51" s="8"/>
      <c r="U51" s="163"/>
    </row>
    <row r="52" spans="1:21" x14ac:dyDescent="0.25">
      <c r="A52" s="159" t="b">
        <v>0</v>
      </c>
      <c r="B52" s="7">
        <f t="shared" ref="B52:B63" si="3">ROW()-1</f>
        <v>51</v>
      </c>
      <c r="C52" s="7" t="str">
        <f t="shared" si="1"/>
        <v>S_16</v>
      </c>
      <c r="D52" s="7" t="str">
        <f>_xlfn.XLOOKUP($E52,Tab_Def_Processes[Process_Name],Tab_Def_Processes[Process_ID],,0,)</f>
        <v>16</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2"/>
      <c r="L52" s="8"/>
      <c r="M52" s="8"/>
      <c r="N52" s="8"/>
      <c r="O52" s="8"/>
      <c r="P52" s="8"/>
      <c r="Q52" s="7"/>
      <c r="R52" s="8"/>
      <c r="S52" s="7"/>
      <c r="T52" s="8"/>
      <c r="U52" s="163"/>
    </row>
    <row r="53" spans="1:21" x14ac:dyDescent="0.25">
      <c r="A53" s="159" t="b">
        <v>0</v>
      </c>
      <c r="B53" s="7">
        <f t="shared" si="3"/>
        <v>52</v>
      </c>
      <c r="C53" s="7" t="str">
        <f t="shared" si="1"/>
        <v>S_16</v>
      </c>
      <c r="D53" s="7" t="str">
        <f>_xlfn.XLOOKUP($E53,Tab_Def_Processes[Process_Name],Tab_Def_Processes[Process_ID],,0,)</f>
        <v>16</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2"/>
      <c r="L53" s="8"/>
      <c r="M53" s="8"/>
      <c r="N53" s="8"/>
      <c r="O53" s="8"/>
      <c r="P53" s="8"/>
      <c r="Q53" s="7"/>
      <c r="R53" s="8"/>
      <c r="S53" s="7"/>
      <c r="T53" s="8"/>
      <c r="U53" s="163"/>
    </row>
    <row r="54" spans="1:21" x14ac:dyDescent="0.25">
      <c r="A54" s="159" t="b">
        <v>0</v>
      </c>
      <c r="B54" s="7">
        <f t="shared" si="3"/>
        <v>53</v>
      </c>
      <c r="C54" s="7" t="str">
        <f t="shared" si="1"/>
        <v>S_16</v>
      </c>
      <c r="D54" s="7" t="str">
        <f>_xlfn.XLOOKUP($E54,Tab_Def_Processes[Process_Name],Tab_Def_Processes[Process_ID],,0,)</f>
        <v>16</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2"/>
      <c r="L54" s="8"/>
      <c r="M54" s="8"/>
      <c r="N54" s="8"/>
      <c r="O54" s="8"/>
      <c r="P54" s="8"/>
      <c r="Q54" s="7"/>
      <c r="R54" s="8"/>
      <c r="S54" s="7"/>
      <c r="T54" s="8"/>
      <c r="U54" s="163"/>
    </row>
    <row r="55" spans="1:21" x14ac:dyDescent="0.25">
      <c r="A55" s="159" t="b">
        <v>0</v>
      </c>
      <c r="B55" s="7">
        <f t="shared" si="3"/>
        <v>54</v>
      </c>
      <c r="C55" s="7" t="str">
        <f t="shared" si="1"/>
        <v>S_16</v>
      </c>
      <c r="D55" s="7" t="str">
        <f>_xlfn.XLOOKUP($E55,Tab_Def_Processes[Process_Name],Tab_Def_Processes[Process_ID],,0,)</f>
        <v>16</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2"/>
      <c r="L55" s="8"/>
      <c r="M55" s="8"/>
      <c r="N55" s="8"/>
      <c r="O55" s="8"/>
      <c r="P55" s="8"/>
      <c r="Q55" s="7"/>
      <c r="R55" s="8"/>
      <c r="S55" s="7"/>
      <c r="T55" s="8"/>
      <c r="U55" s="163"/>
    </row>
    <row r="56" spans="1:21" x14ac:dyDescent="0.25">
      <c r="A56" s="159" t="b">
        <v>0</v>
      </c>
      <c r="B56" s="7">
        <f t="shared" si="3"/>
        <v>55</v>
      </c>
      <c r="C56" s="7" t="str">
        <f t="shared" si="1"/>
        <v>S_16</v>
      </c>
      <c r="D56" s="7" t="str">
        <f>_xlfn.XLOOKUP($E56,Tab_Def_Processes[Process_Name],Tab_Def_Processes[Process_ID],,0,)</f>
        <v>16</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2"/>
      <c r="L56" s="8"/>
      <c r="M56" s="8"/>
      <c r="N56" s="8"/>
      <c r="O56" s="8"/>
      <c r="P56" s="8"/>
      <c r="Q56" s="7"/>
      <c r="R56" s="8"/>
      <c r="S56" s="7"/>
      <c r="T56" s="8"/>
      <c r="U56" s="163"/>
    </row>
    <row r="57" spans="1:21" x14ac:dyDescent="0.25">
      <c r="A57" s="159" t="b">
        <v>0</v>
      </c>
      <c r="B57" s="7">
        <f t="shared" si="3"/>
        <v>56</v>
      </c>
      <c r="C57" s="7" t="str">
        <f t="shared" si="1"/>
        <v>S_16</v>
      </c>
      <c r="D57" s="7" t="str">
        <f>_xlfn.XLOOKUP($E57,Tab_Def_Processes[Process_Name],Tab_Def_Processes[Process_ID],,0,)</f>
        <v>16</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2"/>
      <c r="L57" s="8"/>
      <c r="M57" s="8"/>
      <c r="N57" s="8"/>
      <c r="O57" s="8"/>
      <c r="P57" s="8"/>
      <c r="Q57" s="7"/>
      <c r="R57" s="8"/>
      <c r="S57" s="7"/>
      <c r="T57" s="8"/>
      <c r="U57" s="163"/>
    </row>
    <row r="58" spans="1:21" x14ac:dyDescent="0.25">
      <c r="A58" s="159" t="b">
        <v>0</v>
      </c>
      <c r="B58" s="7">
        <f t="shared" si="3"/>
        <v>57</v>
      </c>
      <c r="C58" s="7" t="str">
        <f t="shared" si="1"/>
        <v>S_16</v>
      </c>
      <c r="D58" s="7" t="str">
        <f>_xlfn.XLOOKUP($E58,Tab_Def_Processes[Process_Name],Tab_Def_Processes[Process_ID],,0,)</f>
        <v>16</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2"/>
      <c r="L58" s="8"/>
      <c r="M58" s="8"/>
      <c r="N58" s="8"/>
      <c r="O58" s="8"/>
      <c r="P58" s="8"/>
      <c r="Q58" s="7"/>
      <c r="R58" s="8"/>
      <c r="S58" s="7"/>
      <c r="T58" s="8"/>
      <c r="U58" s="163"/>
    </row>
    <row r="59" spans="1:21" x14ac:dyDescent="0.25">
      <c r="A59" s="159" t="b">
        <v>0</v>
      </c>
      <c r="B59" s="7">
        <f t="shared" si="3"/>
        <v>58</v>
      </c>
      <c r="C59" s="7" t="str">
        <f t="shared" si="1"/>
        <v>S_16</v>
      </c>
      <c r="D59" s="7" t="str">
        <f>_xlfn.XLOOKUP($E59,Tab_Def_Processes[Process_Name],Tab_Def_Processes[Process_ID],,0,)</f>
        <v>16</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2"/>
      <c r="L59" s="8"/>
      <c r="M59" s="8"/>
      <c r="N59" s="8"/>
      <c r="O59" s="8"/>
      <c r="P59" s="8"/>
      <c r="Q59" s="7"/>
      <c r="R59" s="8"/>
      <c r="S59" s="7"/>
      <c r="T59" s="8"/>
      <c r="U59" s="163"/>
    </row>
    <row r="60" spans="1:21" x14ac:dyDescent="0.25">
      <c r="A60" s="159" t="b">
        <v>0</v>
      </c>
      <c r="B60" s="7">
        <f t="shared" si="3"/>
        <v>59</v>
      </c>
      <c r="C60" s="7" t="str">
        <f t="shared" si="1"/>
        <v>S_16</v>
      </c>
      <c r="D60" s="7" t="str">
        <f>_xlfn.XLOOKUP($E60,Tab_Def_Processes[Process_Name],Tab_Def_Processes[Process_ID],,0,)</f>
        <v>16</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2"/>
      <c r="L60" s="8"/>
      <c r="M60" s="8"/>
      <c r="N60" s="8"/>
      <c r="O60" s="8"/>
      <c r="P60" s="8"/>
      <c r="Q60" s="7"/>
      <c r="R60" s="8"/>
      <c r="S60" s="7"/>
      <c r="T60" s="8"/>
      <c r="U60" s="163"/>
    </row>
    <row r="61" spans="1:21" x14ac:dyDescent="0.25">
      <c r="A61" s="159" t="b">
        <v>0</v>
      </c>
      <c r="B61" s="7">
        <f t="shared" si="3"/>
        <v>60</v>
      </c>
      <c r="C61" s="7" t="str">
        <f t="shared" si="1"/>
        <v>S_16</v>
      </c>
      <c r="D61" s="7" t="str">
        <f>_xlfn.XLOOKUP($E61,Tab_Def_Processes[Process_Name],Tab_Def_Processes[Process_ID],,0,)</f>
        <v>16</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2"/>
      <c r="L61" s="8"/>
      <c r="M61" s="8"/>
      <c r="N61" s="8"/>
      <c r="O61" s="8"/>
      <c r="P61" s="8"/>
      <c r="Q61" s="7"/>
      <c r="R61" s="8"/>
      <c r="S61" s="7"/>
      <c r="T61" s="8"/>
      <c r="U61" s="163"/>
    </row>
    <row r="62" spans="1:21" x14ac:dyDescent="0.25">
      <c r="A62" s="159" t="b">
        <v>0</v>
      </c>
      <c r="B62" s="7">
        <f t="shared" si="3"/>
        <v>61</v>
      </c>
      <c r="C62" s="7" t="str">
        <f t="shared" si="1"/>
        <v>S_16</v>
      </c>
      <c r="D62" s="7" t="str">
        <f>_xlfn.XLOOKUP($E62,Tab_Def_Processes[Process_Name],Tab_Def_Processes[Process_ID],,0,)</f>
        <v>16</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2"/>
      <c r="L62" s="8"/>
      <c r="M62" s="8"/>
      <c r="N62" s="8"/>
      <c r="O62" s="8"/>
      <c r="P62" s="8"/>
      <c r="Q62" s="7"/>
      <c r="R62" s="8"/>
      <c r="S62" s="7"/>
      <c r="T62" s="8"/>
      <c r="U62" s="163"/>
    </row>
    <row r="63" spans="1:21" x14ac:dyDescent="0.25">
      <c r="A63" s="159" t="b">
        <v>0</v>
      </c>
      <c r="B63" s="7">
        <f t="shared" si="3"/>
        <v>62</v>
      </c>
      <c r="C63" s="7" t="str">
        <f t="shared" si="1"/>
        <v>S_16</v>
      </c>
      <c r="D63" s="7" t="str">
        <f>_xlfn.XLOOKUP($E63,Tab_Def_Processes[Process_Name],Tab_Def_Processes[Process_ID],,0,)</f>
        <v>16</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2"/>
      <c r="L63" s="8"/>
      <c r="M63" s="8"/>
      <c r="N63" s="8"/>
      <c r="O63" s="8"/>
      <c r="P63" s="8"/>
      <c r="Q63" s="7"/>
      <c r="R63" s="8"/>
      <c r="S63" s="7"/>
      <c r="T63" s="8"/>
      <c r="U63" s="16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E2:E63 P2:P63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abSelected="1" zoomScale="145" zoomScaleNormal="145" workbookViewId="0">
      <selection activeCell="D20" sqref="D2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58" t="s">
        <v>54</v>
      </c>
      <c r="B1" s="158" t="s">
        <v>28</v>
      </c>
      <c r="C1" s="158" t="s">
        <v>49</v>
      </c>
      <c r="D1" s="158" t="s">
        <v>712</v>
      </c>
      <c r="E1" s="158" t="s">
        <v>77</v>
      </c>
      <c r="F1" s="158" t="s">
        <v>52</v>
      </c>
      <c r="G1" s="158" t="s">
        <v>717</v>
      </c>
      <c r="H1" s="158" t="s">
        <v>57</v>
      </c>
      <c r="I1" s="158" t="s">
        <v>224</v>
      </c>
      <c r="J1" s="158" t="s">
        <v>229</v>
      </c>
      <c r="K1" s="158" t="s">
        <v>230</v>
      </c>
      <c r="L1" s="158" t="s">
        <v>231</v>
      </c>
      <c r="M1" s="158" t="s">
        <v>243</v>
      </c>
      <c r="N1" s="158" t="s">
        <v>249</v>
      </c>
      <c r="O1" s="158" t="s">
        <v>248</v>
      </c>
      <c r="P1" s="158" t="s">
        <v>232</v>
      </c>
      <c r="Q1" s="158" t="s">
        <v>233</v>
      </c>
      <c r="R1" s="158" t="s">
        <v>234</v>
      </c>
    </row>
    <row r="2" spans="1:18" x14ac:dyDescent="0.25">
      <c r="A2" s="159" t="b">
        <v>1</v>
      </c>
      <c r="B2" s="7">
        <f t="shared" ref="B2:B51" si="0">ROW()-1</f>
        <v>1</v>
      </c>
      <c r="C2" s="7" t="str">
        <f>_xlfn.XLOOKUP($D2,Tab_Def_Processes[Process_Name],Tab_Def_Processes[Process_ID],,0,)</f>
        <v>01</v>
      </c>
      <c r="D2" s="8" t="s">
        <v>724</v>
      </c>
      <c r="E2" s="7" t="str">
        <f>_xlfn.XLOOKUP($D2,Tab_Def_Processes[Process_Name],Tab_Def_Processes[Process_Type],,0,)</f>
        <v>Process</v>
      </c>
      <c r="F2" s="7" t="str">
        <f>_xlfn.XLOOKUP($D2,Tab_Def_Processes[Process_Name],Tab_Def_Processes[TC?],,0,)</f>
        <v>Yes</v>
      </c>
      <c r="G2" s="7" t="str">
        <f>_xlfn.XLOOKUP($D2,Tab_Def_Processes[Process_Name],Tab_Def_Processes[TC_Type],,0,)</f>
        <v>Static</v>
      </c>
      <c r="H2" s="7" t="str">
        <f>_xlfn.XLOOKUP($D2,Tab_Def_Processes[Process_Name],Tab_Def_Processes[Stock?],,0,)</f>
        <v>Yes</v>
      </c>
      <c r="I2" s="7" t="str">
        <f>_xlfn.XLOOKUP($D2,Tab_Def_Processes[Process_Name],Tab_Def_Processes[Initial_Stock?],,0,)</f>
        <v>Yes</v>
      </c>
      <c r="J2" s="7" t="str">
        <f>_xlfn.XLOOKUP($D2,Tab_Def_Processes[Process_Name],Tab_Def_Processes[DSM?],,0,)</f>
        <v>Yes</v>
      </c>
      <c r="K2" s="7" t="str">
        <f>_xlfn.XLOOKUP($D2,Tab_Def_Processes[Process_Name],Tab_Def_Processes[FOMP?],,0,)</f>
        <v>No</v>
      </c>
      <c r="L2" s="8">
        <v>1</v>
      </c>
      <c r="M2" s="7" t="str">
        <f>_xlfn.XLOOKUP($L2,Tab_DSM_Category_ID[Category ID],Tab_DSM_Category_ID[DSM Material],,0,)</f>
        <v>DSM Material 1</v>
      </c>
      <c r="N2" s="8" t="s">
        <v>751</v>
      </c>
      <c r="O2" s="16">
        <v>0.1</v>
      </c>
      <c r="P2" s="8" t="s">
        <v>244</v>
      </c>
      <c r="Q2" s="8">
        <v>3</v>
      </c>
      <c r="R2" s="8">
        <v>1</v>
      </c>
    </row>
    <row r="3" spans="1:18" x14ac:dyDescent="0.25">
      <c r="A3" s="159" t="b">
        <v>0</v>
      </c>
      <c r="B3" s="7">
        <f t="shared" si="0"/>
        <v>2</v>
      </c>
      <c r="C3" s="7" t="str">
        <f>_xlfn.XLOOKUP($D3,Tab_Def_Processes[Process_Name],Tab_Def_Processes[Process_ID],,0,)</f>
        <v>01</v>
      </c>
      <c r="D3" s="8" t="s">
        <v>724</v>
      </c>
      <c r="E3" s="7" t="str">
        <f>_xlfn.XLOOKUP($D3,Tab_Def_Processes[Process_Name],Tab_Def_Processes[Process_Type],,0,)</f>
        <v>Process</v>
      </c>
      <c r="F3" s="7" t="str">
        <f>_xlfn.XLOOKUP($D3,Tab_Def_Processes[Process_Name],Tab_Def_Processes[TC?],,0,)</f>
        <v>Yes</v>
      </c>
      <c r="G3" s="7" t="str">
        <f>_xlfn.XLOOKUP($D3,Tab_Def_Processes[Process_Name],Tab_Def_Processes[TC_Type],,0,)</f>
        <v>Static</v>
      </c>
      <c r="H3" s="7" t="str">
        <f>_xlfn.XLOOKUP($D3,Tab_Def_Processes[Process_Name],Tab_Def_Processes[Stock?],,0,)</f>
        <v>Yes</v>
      </c>
      <c r="I3" s="7" t="str">
        <f>_xlfn.XLOOKUP($D3,Tab_Def_Processes[Process_Name],Tab_Def_Processes[Initial_Stock?],,0,)</f>
        <v>Yes</v>
      </c>
      <c r="J3" s="7" t="str">
        <f>_xlfn.XLOOKUP($D3,Tab_Def_Processes[Process_Name],Tab_Def_Processes[DSM?],,0,)</f>
        <v>Yes</v>
      </c>
      <c r="K3" s="7" t="str">
        <f>_xlfn.XLOOKUP($D3,Tab_Def_Processes[Process_Name],Tab_Def_Processes[FOMP?],,0,)</f>
        <v>No</v>
      </c>
      <c r="L3" s="8">
        <v>2</v>
      </c>
      <c r="M3" s="7" t="str">
        <f>_xlfn.XLOOKUP($L3,Tab_DSM_Category_ID[Category ID],Tab_DSM_Category_ID[DSM Material],,0,)</f>
        <v>DSM Material 2</v>
      </c>
      <c r="N3" s="8" t="s">
        <v>752</v>
      </c>
      <c r="O3" s="16">
        <v>0.6</v>
      </c>
      <c r="P3" s="8" t="s">
        <v>244</v>
      </c>
      <c r="Q3" s="8">
        <v>5</v>
      </c>
      <c r="R3" s="8">
        <v>1</v>
      </c>
    </row>
    <row r="4" spans="1:18" x14ac:dyDescent="0.25">
      <c r="A4" s="159" t="b">
        <v>0</v>
      </c>
      <c r="B4" s="7">
        <f t="shared" si="0"/>
        <v>3</v>
      </c>
      <c r="C4" s="7" t="str">
        <f>_xlfn.XLOOKUP($D4,Tab_Def_Processes[Process_Name],Tab_Def_Processes[Process_ID],,0,)</f>
        <v>01</v>
      </c>
      <c r="D4" s="8" t="s">
        <v>724</v>
      </c>
      <c r="E4" s="7" t="str">
        <f>_xlfn.XLOOKUP($D4,Tab_Def_Processes[Process_Name],Tab_Def_Processes[Process_Type],,0,)</f>
        <v>Process</v>
      </c>
      <c r="F4" s="7" t="str">
        <f>_xlfn.XLOOKUP($D4,Tab_Def_Processes[Process_Name],Tab_Def_Processes[TC?],,0,)</f>
        <v>Yes</v>
      </c>
      <c r="G4" s="7" t="str">
        <f>_xlfn.XLOOKUP($D4,Tab_Def_Processes[Process_Name],Tab_Def_Processes[TC_Type],,0,)</f>
        <v>Static</v>
      </c>
      <c r="H4" s="7" t="str">
        <f>_xlfn.XLOOKUP($D4,Tab_Def_Processes[Process_Name],Tab_Def_Processes[Stock?],,0,)</f>
        <v>Yes</v>
      </c>
      <c r="I4" s="7" t="str">
        <f>_xlfn.XLOOKUP($D4,Tab_Def_Processes[Process_Name],Tab_Def_Processes[Initial_Stock?],,0,)</f>
        <v>Yes</v>
      </c>
      <c r="J4" s="7" t="str">
        <f>_xlfn.XLOOKUP($D4,Tab_Def_Processes[Process_Name],Tab_Def_Processes[DSM?],,0,)</f>
        <v>Yes</v>
      </c>
      <c r="K4" s="7" t="str">
        <f>_xlfn.XLOOKUP($D4,Tab_Def_Processes[Process_Name],Tab_Def_Processes[FOMP?],,0,)</f>
        <v>No</v>
      </c>
      <c r="L4" s="8">
        <v>3</v>
      </c>
      <c r="M4" s="7" t="str">
        <f>_xlfn.XLOOKUP($L4,Tab_DSM_Category_ID[Category ID],Tab_DSM_Category_ID[DSM Material],,0,)</f>
        <v>DSM Material 3</v>
      </c>
      <c r="N4" s="8" t="s">
        <v>753</v>
      </c>
      <c r="O4" s="16">
        <v>0.3</v>
      </c>
      <c r="P4" s="8" t="s">
        <v>244</v>
      </c>
      <c r="Q4" s="8">
        <v>7</v>
      </c>
      <c r="R4" s="8">
        <v>2</v>
      </c>
    </row>
    <row r="5" spans="1:18" x14ac:dyDescent="0.25">
      <c r="A5" s="159"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8"/>
      <c r="M5" s="7" t="e">
        <f>_xlfn.XLOOKUP($L5,Tab_DSM_Category_ID[Category ID],Tab_DSM_Category_ID[DSM Material],,0,)</f>
        <v>#N/A</v>
      </c>
      <c r="N5" s="8"/>
      <c r="O5" s="16"/>
      <c r="P5" s="8"/>
      <c r="Q5" s="8"/>
      <c r="R5" s="8"/>
    </row>
    <row r="6" spans="1:18" x14ac:dyDescent="0.25">
      <c r="A6" s="159"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8"/>
      <c r="M6" s="7" t="e">
        <f>_xlfn.XLOOKUP($L6,Tab_DSM_Category_ID[Category ID],Tab_DSM_Category_ID[DSM Material],,0,)</f>
        <v>#N/A</v>
      </c>
      <c r="N6" s="8"/>
      <c r="O6" s="16"/>
      <c r="P6" s="8"/>
      <c r="Q6" s="8"/>
      <c r="R6" s="8"/>
    </row>
    <row r="7" spans="1:18" x14ac:dyDescent="0.25">
      <c r="A7" s="159"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8"/>
      <c r="M7" s="7" t="e">
        <f>_xlfn.XLOOKUP($L7,Tab_DSM_Category_ID[Category ID],Tab_DSM_Category_ID[DSM Material],,0,)</f>
        <v>#N/A</v>
      </c>
      <c r="N7" s="8"/>
      <c r="O7" s="16"/>
      <c r="P7" s="8"/>
      <c r="Q7" s="8"/>
      <c r="R7" s="8"/>
    </row>
    <row r="8" spans="1:18" x14ac:dyDescent="0.25">
      <c r="A8" s="159"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8"/>
      <c r="M8" s="7" t="e">
        <f>_xlfn.XLOOKUP($L8,Tab_DSM_Category_ID[Category ID],Tab_DSM_Category_ID[DSM Material],,0,)</f>
        <v>#N/A</v>
      </c>
      <c r="N8" s="8"/>
      <c r="O8" s="16"/>
      <c r="P8" s="8"/>
      <c r="Q8" s="8"/>
      <c r="R8" s="8"/>
    </row>
    <row r="9" spans="1:18" x14ac:dyDescent="0.25">
      <c r="A9" s="159"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59"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59"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59"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59"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59"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59"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59"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59"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59"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59"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59"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59"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59"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59"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59"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59"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59"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59"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59"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59"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59"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59"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59"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59"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59"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59"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59"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59"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59"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59"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59"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59"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59"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59"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59"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59"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59"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59"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59"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59"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59"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59" t="b">
        <v>0</v>
      </c>
      <c r="B51" s="150">
        <f t="shared" si="0"/>
        <v>50</v>
      </c>
      <c r="C51" s="150" t="e">
        <f>_xlfn.XLOOKUP($D51,Tab_Def_Processes[Process_Name],Tab_Def_Processes[Process_ID],,0,)</f>
        <v>#N/A</v>
      </c>
      <c r="D51" s="151" t="s">
        <v>31</v>
      </c>
      <c r="E51" s="150" t="e">
        <f>_xlfn.XLOOKUP($D51,Tab_Def_Processes[Process_Name],Tab_Def_Processes[Process_Type],,0,)</f>
        <v>#N/A</v>
      </c>
      <c r="F51" s="150" t="e">
        <f>_xlfn.XLOOKUP($D51,Tab_Def_Processes[Process_Name],Tab_Def_Processes[TC?],,0,)</f>
        <v>#N/A</v>
      </c>
      <c r="G51" s="150" t="e">
        <f>_xlfn.XLOOKUP($D51,Tab_Def_Processes[Process_Name],Tab_Def_Processes[TC_Type],,0,)</f>
        <v>#N/A</v>
      </c>
      <c r="H51" s="150" t="e">
        <f>_xlfn.XLOOKUP($D51,Tab_Def_Processes[Process_Name],Tab_Def_Processes[Stock?],,0,)</f>
        <v>#N/A</v>
      </c>
      <c r="I51" s="150"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H24" sqref="H2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8" t="s">
        <v>54</v>
      </c>
      <c r="B1" s="158" t="s">
        <v>28</v>
      </c>
      <c r="C1" s="158" t="s">
        <v>49</v>
      </c>
      <c r="D1" s="158" t="s">
        <v>712</v>
      </c>
      <c r="E1" s="158" t="s">
        <v>77</v>
      </c>
      <c r="F1" s="158" t="s">
        <v>52</v>
      </c>
      <c r="G1" s="158" t="s">
        <v>717</v>
      </c>
      <c r="H1" s="158" t="s">
        <v>57</v>
      </c>
      <c r="I1" s="158" t="s">
        <v>224</v>
      </c>
      <c r="J1" s="158" t="s">
        <v>229</v>
      </c>
      <c r="K1" s="158" t="s">
        <v>230</v>
      </c>
      <c r="L1" s="158" t="s">
        <v>256</v>
      </c>
      <c r="M1" s="158" t="s">
        <v>358</v>
      </c>
      <c r="N1" s="158" t="s">
        <v>367</v>
      </c>
      <c r="O1" s="158" t="s">
        <v>361</v>
      </c>
      <c r="P1" s="158" t="s">
        <v>247</v>
      </c>
      <c r="Q1" s="158" t="s">
        <v>223</v>
      </c>
    </row>
    <row r="2" spans="1:17" x14ac:dyDescent="0.25">
      <c r="A2" s="159"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59"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59"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59"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59"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59"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59"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59"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59"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59"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59"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59"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59"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59"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59"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59"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59"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59"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59"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59"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59"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59"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59"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59"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59"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59"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59"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59"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59"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59"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59"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59"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59"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59"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59"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59"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59"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59"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59"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59" t="b">
        <v>0</v>
      </c>
      <c r="B41" s="150">
        <f t="shared" si="0"/>
        <v>40</v>
      </c>
      <c r="C41" s="150" t="e">
        <f>_xlfn.XLOOKUP($D41,Tab_Def_Processes[Process_Name],Tab_Def_Processes[Process_ID],,0,)</f>
        <v>#N/A</v>
      </c>
      <c r="D41" s="151" t="s">
        <v>31</v>
      </c>
      <c r="E41" s="150" t="e">
        <f>_xlfn.XLOOKUP($D41,Tab_Def_Processes[Process_Name],Tab_Def_Processes[Process_Type],,0,)</f>
        <v>#N/A</v>
      </c>
      <c r="F41" s="150" t="e">
        <f>_xlfn.XLOOKUP($D41,Tab_Def_Processes[Process_Name],Tab_Def_Processes[TC?],,0,)</f>
        <v>#N/A</v>
      </c>
      <c r="G41" s="150" t="e">
        <f>_xlfn.XLOOKUP($D41,Tab_Def_Processes[Process_Name],Tab_Def_Processes[TC_Type],,0,)</f>
        <v>#N/A</v>
      </c>
      <c r="H41" s="150" t="e">
        <f>_xlfn.XLOOKUP($D41,Tab_Def_Processes[Process_Name],Tab_Def_Processes[Stock?],,0,)</f>
        <v>#N/A</v>
      </c>
      <c r="I41" s="150"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8" t="s">
        <v>28</v>
      </c>
      <c r="B1" s="158" t="s">
        <v>165</v>
      </c>
      <c r="C1" s="158" t="s">
        <v>343</v>
      </c>
      <c r="D1" s="158" t="s">
        <v>247</v>
      </c>
      <c r="E1" s="158" t="s">
        <v>250</v>
      </c>
      <c r="F1" s="158" t="s">
        <v>251</v>
      </c>
      <c r="G1" s="158" t="s">
        <v>252</v>
      </c>
      <c r="H1" s="158" t="s">
        <v>253</v>
      </c>
      <c r="I1" s="158" t="s">
        <v>254</v>
      </c>
      <c r="J1" s="158" t="s">
        <v>255</v>
      </c>
    </row>
    <row r="2" spans="1:10" x14ac:dyDescent="0.25">
      <c r="A2" s="7">
        <f>ROW()-1</f>
        <v>1</v>
      </c>
      <c r="B2" s="154"/>
      <c r="C2" s="154"/>
      <c r="D2" s="154"/>
      <c r="E2" s="154"/>
      <c r="F2" s="8"/>
      <c r="G2" s="8"/>
      <c r="H2" s="8"/>
      <c r="I2" s="8"/>
      <c r="J2" s="8"/>
    </row>
    <row r="3" spans="1:10" x14ac:dyDescent="0.25">
      <c r="A3" s="7">
        <f t="shared" ref="A3:A13" si="0">ROW()-1</f>
        <v>2</v>
      </c>
      <c r="B3" s="154"/>
      <c r="C3" s="154"/>
      <c r="D3" s="154"/>
      <c r="E3" s="154"/>
      <c r="F3" s="8"/>
      <c r="G3" s="8"/>
      <c r="H3" s="8"/>
      <c r="I3" s="8"/>
      <c r="J3" s="8"/>
    </row>
    <row r="4" spans="1:10" x14ac:dyDescent="0.25">
      <c r="A4" s="7">
        <f t="shared" si="0"/>
        <v>3</v>
      </c>
      <c r="B4" s="154"/>
      <c r="C4" s="154"/>
      <c r="D4" s="154"/>
      <c r="E4" s="154"/>
      <c r="F4" s="8"/>
      <c r="G4" s="8"/>
      <c r="H4" s="8"/>
      <c r="I4" s="8"/>
      <c r="J4" s="8"/>
    </row>
    <row r="5" spans="1:10" x14ac:dyDescent="0.25">
      <c r="A5" s="7">
        <f t="shared" si="0"/>
        <v>4</v>
      </c>
      <c r="B5" s="154"/>
      <c r="C5" s="154"/>
      <c r="D5" s="154"/>
      <c r="E5" s="154"/>
      <c r="F5" s="8"/>
      <c r="G5" s="8"/>
      <c r="H5" s="8"/>
      <c r="I5" s="8"/>
      <c r="J5" s="8"/>
    </row>
    <row r="6" spans="1:10" x14ac:dyDescent="0.25">
      <c r="A6" s="7">
        <f t="shared" si="0"/>
        <v>5</v>
      </c>
      <c r="B6" s="154"/>
      <c r="C6" s="154"/>
      <c r="D6" s="154"/>
      <c r="E6" s="154"/>
      <c r="F6" s="8"/>
      <c r="G6" s="8"/>
      <c r="H6" s="8"/>
      <c r="I6" s="8"/>
      <c r="J6" s="8"/>
    </row>
    <row r="7" spans="1:10" x14ac:dyDescent="0.25">
      <c r="A7" s="7">
        <f t="shared" si="0"/>
        <v>6</v>
      </c>
      <c r="B7" s="154"/>
      <c r="C7" s="154"/>
      <c r="D7" s="154"/>
      <c r="E7" s="154"/>
      <c r="F7" s="8"/>
      <c r="G7" s="8"/>
      <c r="H7" s="8"/>
      <c r="I7" s="8"/>
      <c r="J7" s="8"/>
    </row>
    <row r="8" spans="1:10" x14ac:dyDescent="0.25">
      <c r="A8" s="7">
        <f t="shared" si="0"/>
        <v>7</v>
      </c>
      <c r="B8" s="154"/>
      <c r="C8" s="154"/>
      <c r="D8" s="154"/>
      <c r="E8" s="154"/>
      <c r="F8" s="8"/>
      <c r="G8" s="8"/>
      <c r="H8" s="8"/>
      <c r="I8" s="8"/>
      <c r="J8" s="8"/>
    </row>
    <row r="9" spans="1:10" x14ac:dyDescent="0.25">
      <c r="A9" s="7">
        <f t="shared" si="0"/>
        <v>8</v>
      </c>
      <c r="B9" s="154"/>
      <c r="C9" s="154"/>
      <c r="D9" s="154"/>
      <c r="E9" s="154"/>
      <c r="F9" s="8"/>
      <c r="G9" s="8"/>
      <c r="H9" s="8"/>
      <c r="I9" s="8"/>
      <c r="J9" s="8"/>
    </row>
    <row r="10" spans="1:10" x14ac:dyDescent="0.25">
      <c r="A10" s="7">
        <f>ROW()-1</f>
        <v>9</v>
      </c>
      <c r="B10" s="154"/>
      <c r="C10" s="154"/>
      <c r="D10" s="154"/>
      <c r="E10" s="154"/>
      <c r="F10" s="8"/>
      <c r="G10" s="8"/>
      <c r="H10" s="8"/>
      <c r="I10" s="8"/>
      <c r="J10" s="8"/>
    </row>
    <row r="11" spans="1:10" x14ac:dyDescent="0.25">
      <c r="A11" s="7">
        <f t="shared" si="0"/>
        <v>10</v>
      </c>
      <c r="B11" s="154"/>
      <c r="C11" s="154"/>
      <c r="D11" s="154"/>
      <c r="E11" s="154"/>
      <c r="F11" s="8"/>
      <c r="G11" s="8"/>
      <c r="H11" s="8"/>
      <c r="I11" s="8"/>
      <c r="J11" s="8"/>
    </row>
    <row r="12" spans="1:10" x14ac:dyDescent="0.25">
      <c r="A12" s="7">
        <f t="shared" si="0"/>
        <v>11</v>
      </c>
      <c r="B12" s="154"/>
      <c r="C12" s="154"/>
      <c r="D12" s="154"/>
      <c r="E12" s="154"/>
      <c r="F12" s="8"/>
      <c r="G12" s="8"/>
      <c r="H12" s="8"/>
      <c r="I12" s="8"/>
      <c r="J12" s="8"/>
    </row>
    <row r="13" spans="1:10" x14ac:dyDescent="0.25">
      <c r="A13" s="7">
        <f t="shared" si="0"/>
        <v>12</v>
      </c>
      <c r="B13" s="154"/>
      <c r="C13" s="154"/>
      <c r="D13" s="154"/>
      <c r="E13" s="154"/>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2" sqref="J2:J9"/>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8" t="s">
        <v>28</v>
      </c>
      <c r="B1" s="158" t="s">
        <v>383</v>
      </c>
      <c r="C1" s="158" t="s">
        <v>165</v>
      </c>
      <c r="D1" s="158" t="s">
        <v>343</v>
      </c>
      <c r="E1" s="158" t="s">
        <v>247</v>
      </c>
      <c r="F1" s="158" t="s">
        <v>377</v>
      </c>
      <c r="G1" s="158" t="s">
        <v>344</v>
      </c>
      <c r="H1" s="158" t="s">
        <v>713</v>
      </c>
      <c r="I1" s="158" t="s">
        <v>714</v>
      </c>
      <c r="J1" s="158" t="s">
        <v>38</v>
      </c>
    </row>
    <row r="2" spans="1:10" x14ac:dyDescent="0.25">
      <c r="A2" s="7">
        <f>ROW()-1</f>
        <v>1</v>
      </c>
      <c r="B2" s="154" t="s">
        <v>755</v>
      </c>
      <c r="C2" s="154"/>
      <c r="D2" s="154"/>
      <c r="E2" s="154" t="s">
        <v>757</v>
      </c>
      <c r="F2" s="154" t="s">
        <v>381</v>
      </c>
      <c r="G2" s="152" t="s">
        <v>760</v>
      </c>
      <c r="H2" s="152">
        <v>2025</v>
      </c>
      <c r="I2" s="264">
        <v>2040</v>
      </c>
      <c r="J2" s="20"/>
    </row>
    <row r="3" spans="1:10" ht="12" customHeight="1" x14ac:dyDescent="0.25">
      <c r="A3" s="7">
        <f t="shared" ref="A3:A18" si="0">ROW()-1</f>
        <v>2</v>
      </c>
      <c r="B3" s="154" t="s">
        <v>755</v>
      </c>
      <c r="C3" s="154"/>
      <c r="D3" s="154"/>
      <c r="E3" s="154" t="s">
        <v>758</v>
      </c>
      <c r="F3" s="154" t="s">
        <v>381</v>
      </c>
      <c r="G3" s="152" t="s">
        <v>760</v>
      </c>
      <c r="H3" s="152">
        <v>2025</v>
      </c>
      <c r="I3" s="264">
        <v>2040</v>
      </c>
      <c r="J3" s="20"/>
    </row>
    <row r="4" spans="1:10" x14ac:dyDescent="0.25">
      <c r="A4" s="7">
        <f t="shared" ref="A4:A17" si="1">ROW()-1</f>
        <v>3</v>
      </c>
      <c r="B4" s="154" t="s">
        <v>755</v>
      </c>
      <c r="C4" s="154"/>
      <c r="D4" s="154"/>
      <c r="E4" s="154" t="s">
        <v>759</v>
      </c>
      <c r="F4" s="154" t="s">
        <v>381</v>
      </c>
      <c r="G4" s="152" t="s">
        <v>760</v>
      </c>
      <c r="H4" s="152">
        <v>2025</v>
      </c>
      <c r="I4" s="264">
        <v>2040</v>
      </c>
      <c r="J4" s="20"/>
    </row>
    <row r="5" spans="1:10" x14ac:dyDescent="0.25">
      <c r="A5" s="7">
        <f t="shared" si="1"/>
        <v>4</v>
      </c>
      <c r="B5" s="154" t="s">
        <v>756</v>
      </c>
      <c r="C5" s="154"/>
      <c r="D5" s="154"/>
      <c r="E5" s="154" t="s">
        <v>757</v>
      </c>
      <c r="F5" s="154" t="s">
        <v>381</v>
      </c>
      <c r="G5" s="265" t="s">
        <v>761</v>
      </c>
      <c r="H5" s="152">
        <v>2025</v>
      </c>
      <c r="I5" s="264">
        <v>2040</v>
      </c>
      <c r="J5" s="20"/>
    </row>
    <row r="6" spans="1:10" x14ac:dyDescent="0.25">
      <c r="A6" s="7">
        <f t="shared" ref="A6:A15" si="2">ROW()-1</f>
        <v>5</v>
      </c>
      <c r="B6" s="154" t="s">
        <v>756</v>
      </c>
      <c r="C6" s="154"/>
      <c r="D6" s="154"/>
      <c r="E6" s="154" t="s">
        <v>758</v>
      </c>
      <c r="F6" s="154" t="s">
        <v>381</v>
      </c>
      <c r="G6" s="265" t="s">
        <v>761</v>
      </c>
      <c r="H6" s="152">
        <v>2025</v>
      </c>
      <c r="I6" s="264">
        <v>2040</v>
      </c>
      <c r="J6" s="20"/>
    </row>
    <row r="7" spans="1:10" x14ac:dyDescent="0.25">
      <c r="A7" s="7">
        <f t="shared" si="2"/>
        <v>6</v>
      </c>
      <c r="B7" s="154" t="s">
        <v>756</v>
      </c>
      <c r="C7" s="154"/>
      <c r="D7" s="154"/>
      <c r="E7" s="154" t="s">
        <v>759</v>
      </c>
      <c r="F7" s="154" t="s">
        <v>381</v>
      </c>
      <c r="G7" s="265" t="s">
        <v>761</v>
      </c>
      <c r="H7" s="152">
        <v>2025</v>
      </c>
      <c r="I7" s="264">
        <v>2040</v>
      </c>
      <c r="J7" s="20"/>
    </row>
    <row r="8" spans="1:10" x14ac:dyDescent="0.25">
      <c r="A8" s="7">
        <f t="shared" si="2"/>
        <v>7</v>
      </c>
      <c r="B8" s="154"/>
      <c r="C8" s="154"/>
      <c r="D8" s="154"/>
      <c r="E8" s="154"/>
      <c r="F8" s="154"/>
      <c r="G8" s="152"/>
      <c r="H8" s="152"/>
      <c r="I8" s="152"/>
      <c r="J8" s="20"/>
    </row>
    <row r="9" spans="1:10" x14ac:dyDescent="0.25">
      <c r="A9" s="7">
        <f t="shared" si="2"/>
        <v>8</v>
      </c>
      <c r="B9" s="154"/>
      <c r="C9" s="154"/>
      <c r="D9" s="154"/>
      <c r="E9" s="154"/>
      <c r="F9" s="154"/>
      <c r="G9" s="152"/>
      <c r="H9" s="152"/>
      <c r="I9" s="152"/>
      <c r="J9" s="20"/>
    </row>
    <row r="10" spans="1:10" x14ac:dyDescent="0.25">
      <c r="A10" s="7">
        <f t="shared" si="2"/>
        <v>9</v>
      </c>
      <c r="B10" s="154"/>
      <c r="C10" s="154"/>
      <c r="D10" s="154"/>
      <c r="E10" s="154"/>
      <c r="F10" s="154"/>
      <c r="G10" s="152"/>
      <c r="H10" s="152"/>
      <c r="I10" s="152"/>
      <c r="J10" s="20"/>
    </row>
    <row r="11" spans="1:10" x14ac:dyDescent="0.25">
      <c r="A11" s="7">
        <f t="shared" si="2"/>
        <v>10</v>
      </c>
      <c r="B11" s="154"/>
      <c r="C11" s="154"/>
      <c r="D11" s="154"/>
      <c r="E11" s="154"/>
      <c r="F11" s="154"/>
      <c r="G11" s="152"/>
      <c r="H11" s="152"/>
      <c r="I11" s="152"/>
      <c r="J11" s="20"/>
    </row>
    <row r="12" spans="1:10" x14ac:dyDescent="0.25">
      <c r="A12" s="7">
        <f t="shared" si="2"/>
        <v>11</v>
      </c>
      <c r="B12" s="154"/>
      <c r="C12" s="154"/>
      <c r="D12" s="154"/>
      <c r="E12" s="154"/>
      <c r="F12" s="154"/>
      <c r="G12" s="152"/>
      <c r="H12" s="152"/>
      <c r="I12" s="152"/>
      <c r="J12" s="20"/>
    </row>
    <row r="13" spans="1:10" x14ac:dyDescent="0.25">
      <c r="A13" s="7">
        <f t="shared" si="2"/>
        <v>12</v>
      </c>
      <c r="B13" s="154"/>
      <c r="C13" s="154"/>
      <c r="D13" s="154"/>
      <c r="E13" s="154"/>
      <c r="F13" s="154"/>
      <c r="G13" s="152"/>
      <c r="H13" s="152"/>
      <c r="I13" s="152"/>
      <c r="J13" s="20"/>
    </row>
    <row r="14" spans="1:10" x14ac:dyDescent="0.25">
      <c r="A14" s="7">
        <f t="shared" si="2"/>
        <v>13</v>
      </c>
      <c r="B14" s="154"/>
      <c r="C14" s="154"/>
      <c r="D14" s="154"/>
      <c r="E14" s="154"/>
      <c r="F14" s="154"/>
      <c r="G14" s="152"/>
      <c r="H14" s="152"/>
      <c r="I14" s="152"/>
      <c r="J14" s="20"/>
    </row>
    <row r="15" spans="1:10" x14ac:dyDescent="0.25">
      <c r="A15" s="7">
        <f t="shared" si="2"/>
        <v>14</v>
      </c>
      <c r="B15" s="154"/>
      <c r="C15" s="154"/>
      <c r="D15" s="154"/>
      <c r="E15" s="154"/>
      <c r="F15" s="154"/>
      <c r="G15" s="152"/>
      <c r="H15" s="152"/>
      <c r="I15" s="152"/>
      <c r="J15" s="20"/>
    </row>
    <row r="16" spans="1:10" x14ac:dyDescent="0.25">
      <c r="A16" s="7">
        <f t="shared" si="1"/>
        <v>15</v>
      </c>
      <c r="B16" s="154"/>
      <c r="C16" s="154"/>
      <c r="D16" s="154"/>
      <c r="E16" s="154"/>
      <c r="F16" s="154"/>
      <c r="G16" s="152"/>
      <c r="H16" s="152"/>
      <c r="I16" s="152"/>
      <c r="J16" s="20"/>
    </row>
    <row r="17" spans="1:10" x14ac:dyDescent="0.25">
      <c r="A17" s="7">
        <f t="shared" si="1"/>
        <v>16</v>
      </c>
      <c r="B17" s="154"/>
      <c r="C17" s="154"/>
      <c r="D17" s="154"/>
      <c r="E17" s="154"/>
      <c r="F17" s="154"/>
      <c r="G17" s="152"/>
      <c r="H17" s="152"/>
      <c r="I17" s="152"/>
      <c r="J17" s="20"/>
    </row>
    <row r="18" spans="1:10" x14ac:dyDescent="0.25">
      <c r="A18" s="7">
        <f t="shared" si="0"/>
        <v>17</v>
      </c>
      <c r="B18" s="154"/>
      <c r="C18" s="154"/>
      <c r="D18" s="154"/>
      <c r="E18" s="154"/>
      <c r="F18" s="154"/>
      <c r="G18" s="152"/>
      <c r="H18" s="152"/>
      <c r="I18" s="152"/>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4" t="s">
        <v>54</v>
      </c>
      <c r="B1" s="184" t="s">
        <v>28</v>
      </c>
      <c r="C1" s="184" t="s">
        <v>49</v>
      </c>
      <c r="D1" s="184" t="s">
        <v>56</v>
      </c>
      <c r="E1" s="185" t="s">
        <v>638</v>
      </c>
      <c r="F1" s="185" t="s">
        <v>497</v>
      </c>
      <c r="G1" s="185" t="s">
        <v>500</v>
      </c>
      <c r="H1" s="185" t="s">
        <v>658</v>
      </c>
      <c r="I1" t="s">
        <v>659</v>
      </c>
      <c r="J1" s="185" t="s">
        <v>660</v>
      </c>
      <c r="K1" s="185" t="s">
        <v>663</v>
      </c>
      <c r="L1" s="185" t="s">
        <v>661</v>
      </c>
      <c r="M1" s="185" t="s">
        <v>664</v>
      </c>
      <c r="N1" s="185" t="s">
        <v>662</v>
      </c>
      <c r="O1" t="s">
        <v>665</v>
      </c>
      <c r="P1" t="s">
        <v>6</v>
      </c>
    </row>
    <row r="2" spans="1:16" x14ac:dyDescent="0.25">
      <c r="A2" s="186" t="b">
        <v>0</v>
      </c>
      <c r="B2" s="7">
        <f t="shared" ref="B2:B47" si="0">ROW()-1</f>
        <v>1</v>
      </c>
      <c r="C2" s="27" t="str">
        <f>_xlfn.XLOOKUP($D2,Tab_Def_Processes[Process_Name],Tab_Def_Processes[ID],,0,)</f>
        <v>00</v>
      </c>
      <c r="D2" s="7" t="str">
        <f>Tab_Def_Processes[[#This Row],[Process_Name]]</f>
        <v>Reifenherstellung</v>
      </c>
      <c r="E2" s="187" t="s">
        <v>549</v>
      </c>
      <c r="F2" s="187" t="s">
        <v>550</v>
      </c>
      <c r="G2" s="7" t="str">
        <f>_xlfn.XLOOKUP($F2,Table32[Color_Name],Table32[Hex_Code],,0,)</f>
        <v>#228B22</v>
      </c>
      <c r="H2" s="8">
        <v>0.01</v>
      </c>
      <c r="I2" s="8">
        <v>0.2</v>
      </c>
      <c r="J2" s="8">
        <v>0.1</v>
      </c>
      <c r="K2" s="8">
        <v>0.2</v>
      </c>
      <c r="L2" s="8">
        <v>0.1</v>
      </c>
      <c r="M2" s="8">
        <v>0.2</v>
      </c>
      <c r="N2" s="8">
        <v>0.1</v>
      </c>
      <c r="O2" s="8">
        <v>0.2</v>
      </c>
      <c r="P2" s="8"/>
    </row>
    <row r="3" spans="1:16" x14ac:dyDescent="0.25">
      <c r="A3" s="186" t="b">
        <v>0</v>
      </c>
      <c r="B3" s="7">
        <f t="shared" si="0"/>
        <v>2</v>
      </c>
      <c r="C3" s="27" t="str">
        <f>_xlfn.XLOOKUP($D3,Tab_Def_Processes[Process_Name],Tab_Def_Processes[ID],,0,)</f>
        <v>01</v>
      </c>
      <c r="D3" s="7" t="str">
        <f>Tab_Def_Processes[[#This Row],[Process_Name]]</f>
        <v>Reifennutzung</v>
      </c>
      <c r="E3" s="187" t="s">
        <v>549</v>
      </c>
      <c r="F3" s="187" t="s">
        <v>566</v>
      </c>
      <c r="G3" s="7" t="str">
        <f>_xlfn.XLOOKUP($F3,Table32[Color_Name],Table32[Hex_Code],,0,)</f>
        <v>#F5DEB3</v>
      </c>
      <c r="H3" s="8">
        <v>0.01</v>
      </c>
      <c r="I3" s="8">
        <v>0.2</v>
      </c>
      <c r="J3" s="8">
        <v>0.5</v>
      </c>
      <c r="K3" s="8">
        <v>0.2</v>
      </c>
      <c r="L3" s="8">
        <v>0.5</v>
      </c>
      <c r="M3" s="8">
        <v>0.2</v>
      </c>
      <c r="N3" s="8">
        <v>0.5</v>
      </c>
      <c r="O3" s="8">
        <v>0.2</v>
      </c>
      <c r="P3" s="8"/>
    </row>
    <row r="4" spans="1:16" x14ac:dyDescent="0.25">
      <c r="A4" s="186" t="b">
        <v>0</v>
      </c>
      <c r="B4" s="7">
        <f t="shared" si="0"/>
        <v>3</v>
      </c>
      <c r="C4" s="27" t="str">
        <f>_xlfn.XLOOKUP($D4,Tab_Def_Processes[Process_Name],Tab_Def_Processes[ID],,0,)</f>
        <v>02</v>
      </c>
      <c r="D4" s="7" t="str">
        <f>Tab_Def_Processes[[#This Row],[Process_Name]]</f>
        <v>Abrieb &amp; Akkumulation in der Umwelt</v>
      </c>
      <c r="E4" s="187" t="s">
        <v>549</v>
      </c>
      <c r="F4" s="187" t="s">
        <v>566</v>
      </c>
      <c r="G4" s="7" t="str">
        <f>_xlfn.XLOOKUP($F4,Table32[Color_Name],Table32[Hex_Code],,0,)</f>
        <v>#F5DEB3</v>
      </c>
      <c r="H4" s="8">
        <v>0.2</v>
      </c>
      <c r="I4" s="8">
        <v>0.2</v>
      </c>
      <c r="J4" s="8">
        <v>0.6</v>
      </c>
      <c r="K4" s="8">
        <v>0.4</v>
      </c>
      <c r="L4" s="8">
        <v>0.6</v>
      </c>
      <c r="M4" s="8">
        <v>0.4</v>
      </c>
      <c r="N4" s="8">
        <v>0.6</v>
      </c>
      <c r="O4" s="8">
        <v>0.4</v>
      </c>
      <c r="P4" s="8"/>
    </row>
    <row r="5" spans="1:16" x14ac:dyDescent="0.25">
      <c r="A5" s="186" t="b">
        <v>0</v>
      </c>
      <c r="B5" s="7">
        <f t="shared" si="0"/>
        <v>4</v>
      </c>
      <c r="C5" s="27" t="str">
        <f>_xlfn.XLOOKUP($D5,Tab_Def_Processes[Process_Name],Tab_Def_Processes[ID],,0,)</f>
        <v>03</v>
      </c>
      <c r="D5" s="7" t="str">
        <f>Tab_Def_Processes[[#This Row],[Process_Name]]</f>
        <v>Altreifensammlung</v>
      </c>
      <c r="E5" s="187" t="s">
        <v>549</v>
      </c>
      <c r="F5" s="187" t="s">
        <v>566</v>
      </c>
      <c r="G5" s="7" t="str">
        <f>_xlfn.XLOOKUP($F5,Table32[Color_Name],Table32[Hex_Code],,0,)</f>
        <v>#F5DEB3</v>
      </c>
      <c r="H5" s="8">
        <v>0.5</v>
      </c>
      <c r="I5" s="8">
        <v>0.2</v>
      </c>
      <c r="J5" s="8">
        <v>0.4</v>
      </c>
      <c r="K5" s="8">
        <v>0.2</v>
      </c>
      <c r="L5" s="8">
        <v>0.4</v>
      </c>
      <c r="M5" s="8">
        <v>0.2</v>
      </c>
      <c r="N5" s="8">
        <v>0.4</v>
      </c>
      <c r="O5" s="8">
        <v>0.2</v>
      </c>
      <c r="P5" s="8"/>
    </row>
    <row r="6" spans="1:16" x14ac:dyDescent="0.25">
      <c r="A6" s="186" t="b">
        <v>0</v>
      </c>
      <c r="B6" s="7">
        <f t="shared" si="0"/>
        <v>5</v>
      </c>
      <c r="C6" s="27" t="str">
        <f>_xlfn.XLOOKUP($D6,Tab_Def_Processes[Process_Name],Tab_Def_Processes[ID],,0,)</f>
        <v>04</v>
      </c>
      <c r="D6" s="7" t="str">
        <f>Tab_Def_Processes[[#This Row],[Process_Name]]</f>
        <v>Runderneuerung</v>
      </c>
      <c r="E6" s="187" t="s">
        <v>549</v>
      </c>
      <c r="F6" s="187" t="s">
        <v>566</v>
      </c>
      <c r="G6" s="7" t="str">
        <f>_xlfn.XLOOKUP($F6,Table32[Color_Name],Table32[Hex_Code],,0,)</f>
        <v>#F5DEB3</v>
      </c>
      <c r="H6" s="8">
        <v>0.1</v>
      </c>
      <c r="I6" s="8">
        <v>0.5</v>
      </c>
      <c r="J6" s="8">
        <v>0.2</v>
      </c>
      <c r="K6" s="8">
        <v>0.5</v>
      </c>
      <c r="L6" s="8">
        <v>0.2</v>
      </c>
      <c r="M6" s="8">
        <v>0.5</v>
      </c>
      <c r="N6" s="8">
        <v>0.2</v>
      </c>
      <c r="O6" s="8">
        <v>0.5</v>
      </c>
      <c r="P6" s="8"/>
    </row>
    <row r="7" spans="1:16" x14ac:dyDescent="0.25">
      <c r="A7" s="186" t="b">
        <v>0</v>
      </c>
      <c r="B7" s="7">
        <f t="shared" si="0"/>
        <v>6</v>
      </c>
      <c r="C7" s="27" t="str">
        <f>_xlfn.XLOOKUP($D7,Tab_Def_Processes[Process_Name],Tab_Def_Processes[ID],,0,)</f>
        <v>05</v>
      </c>
      <c r="D7" s="7" t="str">
        <f>Tab_Def_Processes[[#This Row],[Process_Name]]</f>
        <v>Werkstoffliche Verwertung</v>
      </c>
      <c r="E7" s="187" t="s">
        <v>549</v>
      </c>
      <c r="F7" s="187" t="s">
        <v>566</v>
      </c>
      <c r="G7" s="7" t="str">
        <f>_xlfn.XLOOKUP($F7,Table32[Color_Name],Table32[Hex_Code],,0,)</f>
        <v>#F5DEB3</v>
      </c>
      <c r="H7" s="8">
        <v>0.2</v>
      </c>
      <c r="I7" s="8">
        <v>0.5</v>
      </c>
      <c r="J7" s="8">
        <v>0.3</v>
      </c>
      <c r="K7" s="8">
        <v>0.5</v>
      </c>
      <c r="L7" s="8">
        <v>0.3</v>
      </c>
      <c r="M7" s="8">
        <v>0.5</v>
      </c>
      <c r="N7" s="8">
        <v>0.3</v>
      </c>
      <c r="O7" s="8">
        <v>0.5</v>
      </c>
      <c r="P7" s="8"/>
    </row>
    <row r="8" spans="1:16" x14ac:dyDescent="0.25">
      <c r="A8" s="186" t="b">
        <v>0</v>
      </c>
      <c r="B8" s="7">
        <f t="shared" si="0"/>
        <v>7</v>
      </c>
      <c r="C8" s="27" t="str">
        <f>_xlfn.XLOOKUP($D8,Tab_Def_Processes[Process_Name],Tab_Def_Processes[ID],,0,)</f>
        <v>06</v>
      </c>
      <c r="D8" s="7" t="str">
        <f>Tab_Def_Processes[[#This Row],[Process_Name]]</f>
        <v>Thermische Vwerwertung</v>
      </c>
      <c r="E8" s="187" t="s">
        <v>549</v>
      </c>
      <c r="F8" s="187" t="s">
        <v>566</v>
      </c>
      <c r="G8" s="7" t="str">
        <f>_xlfn.XLOOKUP($F8,Table32[Color_Name],Table32[Hex_Code],,0,)</f>
        <v>#F5DEB3</v>
      </c>
      <c r="H8" s="8">
        <v>0.5</v>
      </c>
      <c r="I8" s="8">
        <v>0.5</v>
      </c>
      <c r="J8" s="8">
        <v>0.4</v>
      </c>
      <c r="K8" s="8">
        <v>0.6</v>
      </c>
      <c r="L8" s="8">
        <v>0.4</v>
      </c>
      <c r="M8" s="8">
        <v>0.6</v>
      </c>
      <c r="N8" s="8">
        <v>0.4</v>
      </c>
      <c r="O8" s="8">
        <v>0.6</v>
      </c>
      <c r="P8" s="8"/>
    </row>
    <row r="9" spans="1:16" x14ac:dyDescent="0.25">
      <c r="A9" s="186" t="b">
        <v>0</v>
      </c>
      <c r="B9" s="7">
        <f t="shared" si="0"/>
        <v>8</v>
      </c>
      <c r="C9" s="27" t="str">
        <f>_xlfn.XLOOKUP($D9,Tab_Def_Processes[Process_Name],Tab_Def_Processes[ID],,0,)</f>
        <v>07</v>
      </c>
      <c r="D9" s="7" t="str">
        <f>Tab_Def_Processes[[#This Row],[Process_Name]]</f>
        <v>Export</v>
      </c>
      <c r="E9" s="187" t="s">
        <v>549</v>
      </c>
      <c r="F9" s="187" t="s">
        <v>562</v>
      </c>
      <c r="G9" s="7" t="str">
        <f>_xlfn.XLOOKUP($F9,Table32[Color_Name],Table32[Hex_Code],,0,)</f>
        <v>#8B4513</v>
      </c>
      <c r="H9" s="8">
        <v>0.7</v>
      </c>
      <c r="I9" s="8">
        <v>0.6</v>
      </c>
      <c r="J9" s="8">
        <v>0.9</v>
      </c>
      <c r="K9" s="8">
        <v>0.6</v>
      </c>
      <c r="L9" s="8">
        <v>0.9</v>
      </c>
      <c r="M9" s="8">
        <v>0.6</v>
      </c>
      <c r="N9" s="8">
        <v>0.9</v>
      </c>
      <c r="O9" s="8">
        <v>0.6</v>
      </c>
      <c r="P9" s="8"/>
    </row>
    <row r="10" spans="1:16" x14ac:dyDescent="0.25">
      <c r="A10" s="186" t="b">
        <v>0</v>
      </c>
      <c r="B10" s="7">
        <f t="shared" si="0"/>
        <v>9</v>
      </c>
      <c r="C10" s="27" t="str">
        <f>_xlfn.XLOOKUP($D10,Tab_Def_Processes[Process_Name],Tab_Def_Processes[ID],,0,)</f>
        <v>08</v>
      </c>
      <c r="D10" s="7" t="str">
        <f>Tab_Def_Processes[[#This Row],[Process_Name]]</f>
        <v>Zementmischung</v>
      </c>
      <c r="E10" s="187" t="s">
        <v>549</v>
      </c>
      <c r="F10" s="187" t="s">
        <v>566</v>
      </c>
      <c r="G10" s="7" t="str">
        <f>_xlfn.XLOOKUP($F10,Table32[Color_Name],Table32[Hex_Code],,0,)</f>
        <v>#F5DEB3</v>
      </c>
      <c r="H10" s="8">
        <v>0.7</v>
      </c>
      <c r="I10" s="8">
        <v>0.6</v>
      </c>
      <c r="J10" s="8">
        <v>0.6</v>
      </c>
      <c r="K10" s="8">
        <v>0.6</v>
      </c>
      <c r="L10" s="8">
        <v>0.6</v>
      </c>
      <c r="M10" s="8">
        <v>0.6</v>
      </c>
      <c r="N10" s="8">
        <v>0.6</v>
      </c>
      <c r="O10" s="8">
        <v>0.6</v>
      </c>
      <c r="P10" s="8"/>
    </row>
    <row r="11" spans="1:16" x14ac:dyDescent="0.25">
      <c r="A11" s="186" t="b">
        <v>0</v>
      </c>
      <c r="B11" s="7">
        <f t="shared" si="0"/>
        <v>10</v>
      </c>
      <c r="C11" s="27" t="str">
        <f>_xlfn.XLOOKUP($D11,Tab_Def_Processes[Process_Name],Tab_Def_Processes[ID],,0,)</f>
        <v>09</v>
      </c>
      <c r="D11" s="7" t="str">
        <f>Tab_Def_Processes[[#This Row],[Process_Name]]</f>
        <v>C-Emissionen</v>
      </c>
      <c r="E11" s="187" t="s">
        <v>549</v>
      </c>
      <c r="F11" s="187" t="s">
        <v>583</v>
      </c>
      <c r="G11" s="7" t="str">
        <f>_xlfn.XLOOKUP($F11,Table32[Color_Name],Table32[Hex_Code],,0,)</f>
        <v>#87CEEB</v>
      </c>
      <c r="H11" s="8">
        <v>0.01</v>
      </c>
      <c r="I11" s="8">
        <v>0.8</v>
      </c>
      <c r="J11" s="8">
        <v>0.1</v>
      </c>
      <c r="K11" s="8">
        <v>0.8</v>
      </c>
      <c r="L11" s="8">
        <v>0.1</v>
      </c>
      <c r="M11" s="8">
        <v>0.8</v>
      </c>
      <c r="N11" s="8">
        <v>0.1</v>
      </c>
      <c r="O11" s="8">
        <v>0.8</v>
      </c>
      <c r="P11" s="8"/>
    </row>
    <row r="12" spans="1:16" x14ac:dyDescent="0.25">
      <c r="A12" s="186" t="b">
        <v>0</v>
      </c>
      <c r="B12" s="7">
        <f t="shared" si="0"/>
        <v>11</v>
      </c>
      <c r="C12" s="27" t="str">
        <f>_xlfn.XLOOKUP($D12,Tab_Def_Processes[Process_Name],Tab_Def_Processes[ID],,0,)</f>
        <v>10</v>
      </c>
      <c r="D12" s="7" t="str">
        <f>Tab_Def_Processes[[#This Row],[Process_Name]]</f>
        <v>Stahlrecycling</v>
      </c>
      <c r="E12" s="187" t="s">
        <v>549</v>
      </c>
      <c r="F12" s="187" t="s">
        <v>562</v>
      </c>
      <c r="G12" s="7" t="str">
        <f>_xlfn.XLOOKUP($F12,Table32[Color_Name],Table32[Hex_Code],,0,)</f>
        <v>#8B4513</v>
      </c>
      <c r="H12" s="8">
        <v>0.9</v>
      </c>
      <c r="I12" s="8">
        <v>0.8</v>
      </c>
      <c r="J12" s="8">
        <v>0.9</v>
      </c>
      <c r="K12" s="8">
        <v>0.6</v>
      </c>
      <c r="L12" s="8">
        <v>0.9</v>
      </c>
      <c r="M12" s="8">
        <v>0.6</v>
      </c>
      <c r="N12" s="8">
        <v>0.9</v>
      </c>
      <c r="O12" s="8">
        <v>0.6</v>
      </c>
      <c r="P12" s="8"/>
    </row>
    <row r="13" spans="1:16" x14ac:dyDescent="0.25">
      <c r="A13" s="186" t="b">
        <v>0</v>
      </c>
      <c r="B13" s="7">
        <f t="shared" si="0"/>
        <v>12</v>
      </c>
      <c r="C13" s="27" t="str">
        <f>_xlfn.XLOOKUP($D13,Tab_Def_Processes[Process_Name],Tab_Def_Processes[ID],,0,)</f>
        <v>11</v>
      </c>
      <c r="D13" s="7" t="str">
        <f>Tab_Def_Processes[[#This Row],[Process_Name]]</f>
        <v>sonstige Verwendung als Füllstoff</v>
      </c>
      <c r="E13" s="187" t="s">
        <v>604</v>
      </c>
      <c r="F13" s="187" t="s">
        <v>562</v>
      </c>
      <c r="G13" s="7" t="str">
        <f>_xlfn.XLOOKUP($F13,Table32[Color_Name],Table32[Hex_Code],,0,)</f>
        <v>#8B4513</v>
      </c>
      <c r="H13" s="8"/>
      <c r="I13" s="8"/>
      <c r="J13" s="8"/>
      <c r="K13" s="8"/>
      <c r="L13" s="8"/>
      <c r="M13" s="8"/>
      <c r="N13" s="8"/>
      <c r="O13" s="8"/>
      <c r="P13" s="8"/>
    </row>
    <row r="14" spans="1:16" x14ac:dyDescent="0.25">
      <c r="A14" s="186" t="b">
        <v>0</v>
      </c>
      <c r="B14" s="7">
        <f t="shared" si="0"/>
        <v>13</v>
      </c>
      <c r="C14" s="27" t="str">
        <f>_xlfn.XLOOKUP($D14,Tab_Def_Processes[Process_Name],Tab_Def_Processes[ID],,0,)</f>
        <v>12</v>
      </c>
      <c r="D14" s="7" t="str">
        <f>Tab_Def_Processes[[#This Row],[Process_Name]]</f>
        <v>Natur-&amp; Synthesekautchouck</v>
      </c>
      <c r="E14" s="187" t="s">
        <v>604</v>
      </c>
      <c r="F14" s="187" t="s">
        <v>562</v>
      </c>
      <c r="G14" s="7" t="str">
        <f>_xlfn.XLOOKUP($F14,Table32[Color_Name],Table32[Hex_Code],,0,)</f>
        <v>#8B4513</v>
      </c>
      <c r="H14" s="8"/>
      <c r="I14" s="8"/>
      <c r="J14" s="8"/>
      <c r="K14" s="8"/>
      <c r="L14" s="8"/>
      <c r="M14" s="8"/>
      <c r="N14" s="8"/>
      <c r="O14" s="8"/>
      <c r="P14" s="8"/>
    </row>
    <row r="15" spans="1:16" x14ac:dyDescent="0.25">
      <c r="A15" s="186" t="b">
        <v>0</v>
      </c>
      <c r="B15" s="7">
        <f t="shared" si="0"/>
        <v>14</v>
      </c>
      <c r="C15" s="27" t="str">
        <f>_xlfn.XLOOKUP($D15,Tab_Def_Processes[Process_Name],Tab_Def_Processes[ID],,0,)</f>
        <v>13</v>
      </c>
      <c r="D15" s="7" t="str">
        <f>Tab_Def_Processes[[#This Row],[Process_Name]]</f>
        <v>Füllstoffe (Ruß &amp; Kieselgel)</v>
      </c>
      <c r="E15" s="187"/>
      <c r="F15" s="187"/>
      <c r="G15" s="7" t="e">
        <f>_xlfn.XLOOKUP($F15,Table32[Color_Name],Table32[Hex_Code],,0,)</f>
        <v>#N/A</v>
      </c>
      <c r="H15" s="8"/>
      <c r="I15" s="8"/>
      <c r="J15" s="8"/>
      <c r="K15" s="8"/>
      <c r="L15" s="8"/>
      <c r="M15" s="8"/>
      <c r="N15" s="8"/>
      <c r="O15" s="8"/>
      <c r="P15" s="8"/>
    </row>
    <row r="16" spans="1:16" x14ac:dyDescent="0.25">
      <c r="A16" s="186" t="b">
        <v>0</v>
      </c>
      <c r="B16" s="7">
        <f t="shared" si="0"/>
        <v>15</v>
      </c>
      <c r="C16" s="27" t="str">
        <f>_xlfn.XLOOKUP($D16,Tab_Def_Processes[Process_Name],Tab_Def_Processes[ID],,0,)</f>
        <v>14</v>
      </c>
      <c r="D16" s="7" t="str">
        <f>Tab_Def_Processes[[#This Row],[Process_Name]]</f>
        <v>Stahldraht + Textilfaser</v>
      </c>
      <c r="E16" s="187"/>
      <c r="F16" s="187"/>
      <c r="G16" s="7" t="e">
        <f>_xlfn.XLOOKUP($F16,Table32[Color_Name],Table32[Hex_Code],,0,)</f>
        <v>#N/A</v>
      </c>
      <c r="H16" s="8"/>
      <c r="I16" s="8"/>
      <c r="J16" s="8"/>
      <c r="K16" s="8"/>
      <c r="L16" s="8"/>
      <c r="M16" s="8"/>
      <c r="N16" s="8"/>
      <c r="O16" s="8"/>
      <c r="P16" s="8"/>
    </row>
    <row r="17" spans="1:16" x14ac:dyDescent="0.25">
      <c r="A17" s="186" t="b">
        <v>0</v>
      </c>
      <c r="B17" s="7">
        <f t="shared" si="0"/>
        <v>16</v>
      </c>
      <c r="C17" s="27" t="str">
        <f>_xlfn.XLOOKUP($D17,Tab_Def_Processes[Process_Name],Tab_Def_Processes[ID],,0,)</f>
        <v>15</v>
      </c>
      <c r="D17" s="7" t="str">
        <f>Tab_Def_Processes[[#This Row],[Process_Name]]</f>
        <v>Abrieb</v>
      </c>
      <c r="E17" s="187"/>
      <c r="F17" s="187"/>
      <c r="G17" s="7" t="e">
        <f>_xlfn.XLOOKUP($F17,Table32[Color_Name],Table32[Hex_Code],,0,)</f>
        <v>#N/A</v>
      </c>
      <c r="H17" s="8"/>
      <c r="I17" s="8"/>
      <c r="J17" s="8"/>
      <c r="K17" s="8"/>
      <c r="L17" s="8"/>
      <c r="M17" s="8"/>
      <c r="N17" s="8"/>
      <c r="O17" s="8"/>
      <c r="P17" s="8"/>
    </row>
    <row r="18" spans="1:16" x14ac:dyDescent="0.25">
      <c r="A18" s="186" t="b">
        <v>0</v>
      </c>
      <c r="B18" s="7">
        <f t="shared" si="0"/>
        <v>17</v>
      </c>
      <c r="C18" s="27" t="e">
        <f>_xlfn.XLOOKUP($D18,Tab_Def_Processes[Process_Name],Tab_Def_Processes[ID],,0,)</f>
        <v>#N/A</v>
      </c>
      <c r="D18" s="7">
        <f>Tab_Def_Processes[[#This Row],[Process_Name]]</f>
        <v>0</v>
      </c>
      <c r="E18" s="187"/>
      <c r="F18" s="187"/>
      <c r="G18" s="7" t="e">
        <f>_xlfn.XLOOKUP($F18,Table32[Color_Name],Table32[Hex_Code],,0,)</f>
        <v>#N/A</v>
      </c>
      <c r="H18" s="8"/>
      <c r="I18" s="8"/>
      <c r="J18" s="8"/>
      <c r="K18" s="8"/>
      <c r="L18" s="8"/>
      <c r="M18" s="8"/>
      <c r="N18" s="8"/>
      <c r="O18" s="8"/>
      <c r="P18" s="8"/>
    </row>
    <row r="19" spans="1:16" x14ac:dyDescent="0.25">
      <c r="A19" s="186" t="b">
        <v>0</v>
      </c>
      <c r="B19" s="7">
        <f t="shared" si="0"/>
        <v>18</v>
      </c>
      <c r="C19" s="27" t="e">
        <f>_xlfn.XLOOKUP($D19,Tab_Def_Processes[Process_Name],Tab_Def_Processes[ID],,0,)</f>
        <v>#N/A</v>
      </c>
      <c r="D19" s="7">
        <f>Tab_Def_Processes[[#This Row],[Process_Name]]</f>
        <v>0</v>
      </c>
      <c r="E19" s="187"/>
      <c r="F19" s="187"/>
      <c r="G19" s="7" t="e">
        <f>_xlfn.XLOOKUP($F19,Table32[Color_Name],Table32[Hex_Code],,0,)</f>
        <v>#N/A</v>
      </c>
      <c r="H19" s="8"/>
      <c r="I19" s="8"/>
      <c r="J19" s="8"/>
      <c r="K19" s="8"/>
      <c r="L19" s="8"/>
      <c r="M19" s="8"/>
      <c r="N19" s="8"/>
      <c r="O19" s="8"/>
      <c r="P19" s="8"/>
    </row>
    <row r="20" spans="1:16" x14ac:dyDescent="0.25">
      <c r="A20" s="186" t="b">
        <v>0</v>
      </c>
      <c r="B20" s="7">
        <f t="shared" si="0"/>
        <v>19</v>
      </c>
      <c r="C20" s="27" t="e">
        <f>_xlfn.XLOOKUP($D20,Tab_Def_Processes[Process_Name],Tab_Def_Processes[ID],,0,)</f>
        <v>#N/A</v>
      </c>
      <c r="D20" s="7">
        <f>Tab_Def_Processes[[#This Row],[Process_Name]]</f>
        <v>0</v>
      </c>
      <c r="E20" s="187"/>
      <c r="F20" s="187"/>
      <c r="G20" s="7" t="e">
        <f>_xlfn.XLOOKUP($F20,Table32[Color_Name],Table32[Hex_Code],,0,)</f>
        <v>#N/A</v>
      </c>
      <c r="H20" s="8"/>
      <c r="I20" s="8"/>
      <c r="J20" s="8"/>
      <c r="K20" s="8"/>
      <c r="L20" s="8"/>
      <c r="M20" s="8"/>
      <c r="N20" s="8"/>
      <c r="O20" s="8"/>
      <c r="P20" s="8"/>
    </row>
    <row r="21" spans="1:16" x14ac:dyDescent="0.25">
      <c r="A21" s="186" t="b">
        <v>0</v>
      </c>
      <c r="B21" s="7">
        <f t="shared" si="0"/>
        <v>20</v>
      </c>
      <c r="C21" s="27" t="e">
        <f>_xlfn.XLOOKUP($D21,Tab_Def_Processes[Process_Name],Tab_Def_Processes[ID],,0,)</f>
        <v>#N/A</v>
      </c>
      <c r="D21" s="7">
        <f>Tab_Def_Processes[[#This Row],[Process_Name]]</f>
        <v>0</v>
      </c>
      <c r="E21" s="187"/>
      <c r="F21" s="187"/>
      <c r="G21" s="7" t="e">
        <f>_xlfn.XLOOKUP($F21,Table32[Color_Name],Table32[Hex_Code],,0,)</f>
        <v>#N/A</v>
      </c>
      <c r="H21" s="8"/>
      <c r="I21" s="8"/>
      <c r="J21" s="8"/>
      <c r="K21" s="8"/>
      <c r="L21" s="8"/>
      <c r="M21" s="8"/>
      <c r="N21" s="8"/>
      <c r="O21" s="8"/>
      <c r="P21" s="8"/>
    </row>
    <row r="22" spans="1:16" x14ac:dyDescent="0.25">
      <c r="A22" s="186" t="b">
        <v>0</v>
      </c>
      <c r="B22" s="7">
        <f t="shared" si="0"/>
        <v>21</v>
      </c>
      <c r="C22" s="27" t="e">
        <f>_xlfn.XLOOKUP($D22,Tab_Def_Processes[Process_Name],Tab_Def_Processes[ID],,0,)</f>
        <v>#N/A</v>
      </c>
      <c r="D22" s="7">
        <f>Tab_Def_Processes[[#This Row],[Process_Name]]</f>
        <v>0</v>
      </c>
      <c r="E22" s="187"/>
      <c r="F22" s="187"/>
      <c r="G22" s="7" t="e">
        <f>_xlfn.XLOOKUP($F22,Table32[Color_Name],Table32[Hex_Code],,0,)</f>
        <v>#N/A</v>
      </c>
      <c r="H22" s="8"/>
      <c r="I22" s="8"/>
      <c r="J22" s="8"/>
      <c r="K22" s="8"/>
      <c r="L22" s="8"/>
      <c r="M22" s="8"/>
      <c r="N22" s="8"/>
      <c r="O22" s="8"/>
      <c r="P22" s="8"/>
    </row>
    <row r="23" spans="1:16" x14ac:dyDescent="0.25">
      <c r="A23" s="186" t="b">
        <v>0</v>
      </c>
      <c r="B23" s="7">
        <f t="shared" si="0"/>
        <v>22</v>
      </c>
      <c r="C23" s="27" t="e">
        <f>_xlfn.XLOOKUP($D23,Tab_Def_Processes[Process_Name],Tab_Def_Processes[ID],,0,)</f>
        <v>#N/A</v>
      </c>
      <c r="D23" s="7">
        <f>Tab_Def_Processes[[#This Row],[Process_Name]]</f>
        <v>0</v>
      </c>
      <c r="E23" s="187"/>
      <c r="F23" s="187"/>
      <c r="G23" s="7" t="e">
        <f>_xlfn.XLOOKUP($F23,Table32[Color_Name],Table32[Hex_Code],,0,)</f>
        <v>#N/A</v>
      </c>
      <c r="H23" s="8"/>
      <c r="I23" s="8"/>
      <c r="J23" s="8"/>
      <c r="K23" s="8"/>
      <c r="L23" s="8"/>
      <c r="M23" s="8"/>
      <c r="N23" s="8"/>
      <c r="O23" s="8"/>
      <c r="P23" s="8"/>
    </row>
    <row r="24" spans="1:16" x14ac:dyDescent="0.25">
      <c r="A24" s="186" t="b">
        <v>0</v>
      </c>
      <c r="B24" s="7">
        <f t="shared" si="0"/>
        <v>23</v>
      </c>
      <c r="C24" s="27" t="e">
        <f>_xlfn.XLOOKUP($D24,Tab_Def_Processes[Process_Name],Tab_Def_Processes[ID],,0,)</f>
        <v>#N/A</v>
      </c>
      <c r="D24" s="7">
        <f>Tab_Def_Processes[[#This Row],[Process_Name]]</f>
        <v>0</v>
      </c>
      <c r="E24" s="187"/>
      <c r="F24" s="187"/>
      <c r="G24" s="7" t="e">
        <f>_xlfn.XLOOKUP($F24,Table32[Color_Name],Table32[Hex_Code],,0,)</f>
        <v>#N/A</v>
      </c>
      <c r="H24" s="8"/>
      <c r="I24" s="8"/>
      <c r="J24" s="8"/>
      <c r="K24" s="8"/>
      <c r="L24" s="8"/>
      <c r="M24" s="8"/>
      <c r="N24" s="8"/>
      <c r="O24" s="8"/>
      <c r="P24" s="8"/>
    </row>
    <row r="25" spans="1:16" x14ac:dyDescent="0.25">
      <c r="A25" s="186" t="b">
        <v>0</v>
      </c>
      <c r="B25" s="7">
        <f t="shared" si="0"/>
        <v>24</v>
      </c>
      <c r="C25" s="27" t="e">
        <f>_xlfn.XLOOKUP($D25,Tab_Def_Processes[Process_Name],Tab_Def_Processes[ID],,0,)</f>
        <v>#N/A</v>
      </c>
      <c r="D25" s="7">
        <f>Tab_Def_Processes[[#This Row],[Process_Name]]</f>
        <v>0</v>
      </c>
      <c r="E25" s="187"/>
      <c r="F25" s="187"/>
      <c r="G25" s="7" t="e">
        <f>_xlfn.XLOOKUP($F25,Table32[Color_Name],Table32[Hex_Code],,0,)</f>
        <v>#N/A</v>
      </c>
      <c r="H25" s="8"/>
      <c r="I25" s="8"/>
      <c r="J25" s="8"/>
      <c r="K25" s="8"/>
      <c r="L25" s="8"/>
      <c r="M25" s="8"/>
      <c r="N25" s="8"/>
      <c r="O25" s="8"/>
      <c r="P25" s="8"/>
    </row>
    <row r="26" spans="1:16" x14ac:dyDescent="0.25">
      <c r="A26" s="186" t="b">
        <v>0</v>
      </c>
      <c r="B26" s="7">
        <f t="shared" si="0"/>
        <v>25</v>
      </c>
      <c r="C26" s="27" t="e">
        <f>_xlfn.XLOOKUP($D26,Tab_Def_Processes[Process_Name],Tab_Def_Processes[ID],,0,)</f>
        <v>#N/A</v>
      </c>
      <c r="D26" s="7">
        <f>Tab_Def_Processes[[#This Row],[Process_Name]]</f>
        <v>0</v>
      </c>
      <c r="E26" s="187"/>
      <c r="F26" s="187"/>
      <c r="G26" s="7" t="e">
        <f>_xlfn.XLOOKUP($F26,Table32[Color_Name],Table32[Hex_Code],,0,)</f>
        <v>#N/A</v>
      </c>
      <c r="H26" s="8"/>
      <c r="I26" s="8"/>
      <c r="J26" s="8"/>
      <c r="K26" s="8"/>
      <c r="L26" s="8"/>
      <c r="M26" s="8"/>
      <c r="N26" s="8"/>
      <c r="O26" s="8"/>
      <c r="P26" s="8"/>
    </row>
    <row r="27" spans="1:16" x14ac:dyDescent="0.25">
      <c r="A27" s="186" t="b">
        <v>0</v>
      </c>
      <c r="B27" s="7">
        <f t="shared" si="0"/>
        <v>26</v>
      </c>
      <c r="C27" s="27" t="e">
        <f>_xlfn.XLOOKUP($D27,Tab_Def_Processes[Process_Name],Tab_Def_Processes[ID],,0,)</f>
        <v>#N/A</v>
      </c>
      <c r="D27" s="7">
        <f>Tab_Def_Processes[[#This Row],[Process_Name]]</f>
        <v>0</v>
      </c>
      <c r="E27" s="187"/>
      <c r="F27" s="187"/>
      <c r="G27" s="7" t="e">
        <f>_xlfn.XLOOKUP($F27,Table32[Color_Name],Table32[Hex_Code],,0,)</f>
        <v>#N/A</v>
      </c>
      <c r="H27" s="8"/>
      <c r="I27" s="8"/>
      <c r="J27" s="8"/>
      <c r="K27" s="8"/>
      <c r="L27" s="8"/>
      <c r="M27" s="8"/>
      <c r="N27" s="8"/>
      <c r="O27" s="8"/>
      <c r="P27" s="8"/>
    </row>
    <row r="28" spans="1:16" x14ac:dyDescent="0.25">
      <c r="A28" s="186" t="b">
        <v>0</v>
      </c>
      <c r="B28" s="7">
        <f t="shared" si="0"/>
        <v>27</v>
      </c>
      <c r="C28" s="27" t="e">
        <f>_xlfn.XLOOKUP($D28,Tab_Def_Processes[Process_Name],Tab_Def_Processes[ID],,0,)</f>
        <v>#N/A</v>
      </c>
      <c r="D28" s="7">
        <f>Tab_Def_Processes[[#This Row],[Process_Name]]</f>
        <v>0</v>
      </c>
      <c r="E28" s="187"/>
      <c r="F28" s="187"/>
      <c r="G28" s="7" t="e">
        <f>_xlfn.XLOOKUP($F28,Table32[Color_Name],Table32[Hex_Code],,0,)</f>
        <v>#N/A</v>
      </c>
      <c r="H28" s="8"/>
      <c r="I28" s="8"/>
      <c r="J28" s="8"/>
      <c r="K28" s="8"/>
      <c r="L28" s="8"/>
      <c r="M28" s="8"/>
      <c r="N28" s="8"/>
      <c r="O28" s="8"/>
      <c r="P28" s="8"/>
    </row>
    <row r="29" spans="1:16" x14ac:dyDescent="0.25">
      <c r="A29" s="186" t="b">
        <v>0</v>
      </c>
      <c r="B29" s="7">
        <f t="shared" si="0"/>
        <v>28</v>
      </c>
      <c r="C29" s="27" t="e">
        <f>_xlfn.XLOOKUP($D29,Tab_Def_Processes[Process_Name],Tab_Def_Processes[ID],,0,)</f>
        <v>#N/A</v>
      </c>
      <c r="D29" s="7">
        <f>Tab_Def_Processes[[#This Row],[Process_Name]]</f>
        <v>0</v>
      </c>
      <c r="E29" s="187"/>
      <c r="F29" s="187"/>
      <c r="G29" s="7" t="e">
        <f>_xlfn.XLOOKUP($F29,Table32[Color_Name],Table32[Hex_Code],,0,)</f>
        <v>#N/A</v>
      </c>
      <c r="H29" s="8"/>
      <c r="I29" s="8"/>
      <c r="J29" s="8"/>
      <c r="K29" s="8"/>
      <c r="L29" s="8"/>
      <c r="M29" s="8"/>
      <c r="N29" s="8"/>
      <c r="O29" s="8"/>
      <c r="P29" s="8"/>
    </row>
    <row r="30" spans="1:16" x14ac:dyDescent="0.25">
      <c r="A30" s="186" t="b">
        <v>0</v>
      </c>
      <c r="B30" s="7">
        <f t="shared" si="0"/>
        <v>29</v>
      </c>
      <c r="C30" s="27" t="e">
        <f>_xlfn.XLOOKUP($D30,Tab_Def_Processes[Process_Name],Tab_Def_Processes[ID],,0,)</f>
        <v>#N/A</v>
      </c>
      <c r="D30" s="7">
        <f>Tab_Def_Processes[[#This Row],[Process_Name]]</f>
        <v>0</v>
      </c>
      <c r="E30" s="187"/>
      <c r="F30" s="187"/>
      <c r="G30" s="7" t="e">
        <f>_xlfn.XLOOKUP($F30,Table32[Color_Name],Table32[Hex_Code],,0,)</f>
        <v>#N/A</v>
      </c>
      <c r="H30" s="8"/>
      <c r="I30" s="8"/>
      <c r="J30" s="8"/>
      <c r="K30" s="8"/>
      <c r="L30" s="8"/>
      <c r="M30" s="8"/>
      <c r="N30" s="8"/>
      <c r="O30" s="8"/>
      <c r="P30" s="8"/>
    </row>
    <row r="31" spans="1:16" x14ac:dyDescent="0.25">
      <c r="A31" s="186" t="b">
        <v>0</v>
      </c>
      <c r="B31" s="7">
        <f t="shared" si="0"/>
        <v>30</v>
      </c>
      <c r="C31" s="27" t="e">
        <f>_xlfn.XLOOKUP($D31,Tab_Def_Processes[Process_Name],Tab_Def_Processes[ID],,0,)</f>
        <v>#N/A</v>
      </c>
      <c r="D31" s="7">
        <f>Tab_Def_Processes[[#This Row],[Process_Name]]</f>
        <v>0</v>
      </c>
      <c r="E31" s="187"/>
      <c r="F31" s="187"/>
      <c r="G31" s="7" t="e">
        <f>_xlfn.XLOOKUP($F31,Table32[Color_Name],Table32[Hex_Code],,0,)</f>
        <v>#N/A</v>
      </c>
      <c r="H31" s="8"/>
      <c r="I31" s="8"/>
      <c r="J31" s="8"/>
      <c r="K31" s="8"/>
      <c r="L31" s="8"/>
      <c r="M31" s="8"/>
      <c r="N31" s="8"/>
      <c r="O31" s="8"/>
      <c r="P31" s="8"/>
    </row>
    <row r="32" spans="1:16" x14ac:dyDescent="0.25">
      <c r="A32" s="186" t="b">
        <v>0</v>
      </c>
      <c r="B32" s="7">
        <f t="shared" si="0"/>
        <v>31</v>
      </c>
      <c r="C32" s="27" t="e">
        <f>_xlfn.XLOOKUP($D32,Tab_Def_Processes[Process_Name],Tab_Def_Processes[ID],,0,)</f>
        <v>#N/A</v>
      </c>
      <c r="D32" s="7">
        <f>Tab_Def_Processes[[#This Row],[Process_Name]]</f>
        <v>0</v>
      </c>
      <c r="E32" s="187"/>
      <c r="F32" s="187"/>
      <c r="G32" s="7" t="e">
        <f>_xlfn.XLOOKUP($F32,Table32[Color_Name],Table32[Hex_Code],,0,)</f>
        <v>#N/A</v>
      </c>
      <c r="H32" s="8"/>
      <c r="I32" s="8"/>
      <c r="J32" s="8"/>
      <c r="K32" s="8"/>
      <c r="L32" s="8"/>
      <c r="M32" s="8"/>
      <c r="N32" s="8"/>
      <c r="O32" s="8"/>
      <c r="P32" s="8"/>
    </row>
    <row r="33" spans="1:16" x14ac:dyDescent="0.25">
      <c r="A33" s="186" t="b">
        <v>0</v>
      </c>
      <c r="B33" s="7">
        <f t="shared" si="0"/>
        <v>32</v>
      </c>
      <c r="C33" s="27" t="e">
        <f>_xlfn.XLOOKUP($D33,Tab_Def_Processes[Process_Name],Tab_Def_Processes[ID],,0,)</f>
        <v>#N/A</v>
      </c>
      <c r="D33" s="7">
        <f>Tab_Def_Processes[[#This Row],[Process_Name]]</f>
        <v>0</v>
      </c>
      <c r="E33" s="187"/>
      <c r="F33" s="187"/>
      <c r="G33" s="7" t="e">
        <f>_xlfn.XLOOKUP($F33,Table32[Color_Name],Table32[Hex_Code],,0,)</f>
        <v>#N/A</v>
      </c>
      <c r="H33" s="8"/>
      <c r="I33" s="8"/>
      <c r="J33" s="8"/>
      <c r="K33" s="8"/>
      <c r="L33" s="8"/>
      <c r="M33" s="8"/>
      <c r="N33" s="8"/>
      <c r="O33" s="8"/>
      <c r="P33" s="8"/>
    </row>
    <row r="34" spans="1:16" x14ac:dyDescent="0.25">
      <c r="A34" s="186" t="b">
        <v>0</v>
      </c>
      <c r="B34" s="7">
        <f t="shared" si="0"/>
        <v>33</v>
      </c>
      <c r="C34" s="27" t="e">
        <f>_xlfn.XLOOKUP($D34,Tab_Def_Processes[Process_Name],Tab_Def_Processes[ID],,0,)</f>
        <v>#N/A</v>
      </c>
      <c r="D34" s="7">
        <f>Tab_Def_Processes[[#This Row],[Process_Name]]</f>
        <v>0</v>
      </c>
      <c r="E34" s="187"/>
      <c r="F34" s="187"/>
      <c r="G34" s="7" t="e">
        <f>_xlfn.XLOOKUP($F34,Table32[Color_Name],Table32[Hex_Code],,0,)</f>
        <v>#N/A</v>
      </c>
      <c r="H34" s="8"/>
      <c r="I34" s="8"/>
      <c r="J34" s="8"/>
      <c r="K34" s="8"/>
      <c r="L34" s="8"/>
      <c r="M34" s="8"/>
      <c r="N34" s="8"/>
      <c r="O34" s="8"/>
      <c r="P34" s="8"/>
    </row>
    <row r="35" spans="1:16" x14ac:dyDescent="0.25">
      <c r="A35" s="186" t="b">
        <v>0</v>
      </c>
      <c r="B35" s="7">
        <f t="shared" si="0"/>
        <v>34</v>
      </c>
      <c r="C35" s="27" t="e">
        <f>_xlfn.XLOOKUP($D35,Tab_Def_Processes[Process_Name],Tab_Def_Processes[ID],,0,)</f>
        <v>#N/A</v>
      </c>
      <c r="D35" s="7">
        <f>Tab_Def_Processes[[#This Row],[Process_Name]]</f>
        <v>0</v>
      </c>
      <c r="E35" s="187"/>
      <c r="F35" s="187"/>
      <c r="G35" s="7" t="e">
        <f>_xlfn.XLOOKUP($F35,Table32[Color_Name],Table32[Hex_Code],,0,)</f>
        <v>#N/A</v>
      </c>
      <c r="H35" s="8"/>
      <c r="I35" s="8"/>
      <c r="J35" s="8"/>
      <c r="K35" s="8"/>
      <c r="L35" s="8"/>
      <c r="M35" s="8"/>
      <c r="N35" s="8"/>
      <c r="O35" s="8"/>
      <c r="P35" s="8"/>
    </row>
    <row r="36" spans="1:16" x14ac:dyDescent="0.25">
      <c r="A36" s="186" t="b">
        <v>0</v>
      </c>
      <c r="B36" s="7">
        <f t="shared" si="0"/>
        <v>35</v>
      </c>
      <c r="C36" s="27" t="e">
        <f>_xlfn.XLOOKUP($D36,Tab_Def_Processes[Process_Name],Tab_Def_Processes[ID],,0,)</f>
        <v>#N/A</v>
      </c>
      <c r="D36" s="7">
        <f>Tab_Def_Processes[[#This Row],[Process_Name]]</f>
        <v>0</v>
      </c>
      <c r="E36" s="187"/>
      <c r="F36" s="187"/>
      <c r="G36" s="7" t="e">
        <f>_xlfn.XLOOKUP($F36,Table32[Color_Name],Table32[Hex_Code],,0,)</f>
        <v>#N/A</v>
      </c>
      <c r="H36" s="8"/>
      <c r="I36" s="8"/>
      <c r="J36" s="8"/>
      <c r="K36" s="8"/>
      <c r="L36" s="8"/>
      <c r="M36" s="8"/>
      <c r="N36" s="8"/>
      <c r="O36" s="8"/>
      <c r="P36" s="8"/>
    </row>
    <row r="37" spans="1:16" x14ac:dyDescent="0.25">
      <c r="A37" s="186" t="b">
        <v>0</v>
      </c>
      <c r="B37" s="7">
        <f t="shared" si="0"/>
        <v>36</v>
      </c>
      <c r="C37" s="27" t="e">
        <f>_xlfn.XLOOKUP($D37,Tab_Def_Processes[Process_Name],Tab_Def_Processes[ID],,0,)</f>
        <v>#N/A</v>
      </c>
      <c r="D37" s="7">
        <f>Tab_Def_Processes[[#This Row],[Process_Name]]</f>
        <v>0</v>
      </c>
      <c r="E37" s="187"/>
      <c r="F37" s="187"/>
      <c r="G37" s="7" t="e">
        <f>_xlfn.XLOOKUP($F37,Table32[Color_Name],Table32[Hex_Code],,0,)</f>
        <v>#N/A</v>
      </c>
      <c r="H37" s="8"/>
      <c r="I37" s="8"/>
      <c r="J37" s="8"/>
      <c r="K37" s="8"/>
      <c r="L37" s="8"/>
      <c r="M37" s="8"/>
      <c r="N37" s="8"/>
      <c r="O37" s="8"/>
      <c r="P37" s="8"/>
    </row>
    <row r="38" spans="1:16" x14ac:dyDescent="0.25">
      <c r="A38" s="186" t="b">
        <v>0</v>
      </c>
      <c r="B38" s="7">
        <f t="shared" si="0"/>
        <v>37</v>
      </c>
      <c r="C38" s="27" t="e">
        <f>_xlfn.XLOOKUP($D38,Tab_Def_Processes[Process_Name],Tab_Def_Processes[ID],,0,)</f>
        <v>#N/A</v>
      </c>
      <c r="D38" s="7">
        <f>Tab_Def_Processes[[#This Row],[Process_Name]]</f>
        <v>0</v>
      </c>
      <c r="E38" s="187"/>
      <c r="F38" s="187"/>
      <c r="G38" s="7" t="e">
        <f>_xlfn.XLOOKUP($F38,Table32[Color_Name],Table32[Hex_Code],,0,)</f>
        <v>#N/A</v>
      </c>
      <c r="H38" s="8"/>
      <c r="I38" s="8"/>
      <c r="J38" s="8"/>
      <c r="K38" s="8"/>
      <c r="L38" s="8"/>
      <c r="M38" s="8"/>
      <c r="N38" s="8"/>
      <c r="O38" s="8"/>
      <c r="P38" s="8"/>
    </row>
    <row r="39" spans="1:16" x14ac:dyDescent="0.25">
      <c r="A39" s="186" t="b">
        <v>0</v>
      </c>
      <c r="B39" s="7">
        <f t="shared" si="0"/>
        <v>38</v>
      </c>
      <c r="C39" s="27" t="e">
        <f>_xlfn.XLOOKUP($D39,Tab_Def_Processes[Process_Name],Tab_Def_Processes[ID],,0,)</f>
        <v>#N/A</v>
      </c>
      <c r="D39" s="7">
        <f>Tab_Def_Processes[[#This Row],[Process_Name]]</f>
        <v>0</v>
      </c>
      <c r="E39" s="187"/>
      <c r="F39" s="187"/>
      <c r="G39" s="7" t="e">
        <f>_xlfn.XLOOKUP($F39,Table32[Color_Name],Table32[Hex_Code],,0,)</f>
        <v>#N/A</v>
      </c>
      <c r="H39" s="8"/>
      <c r="I39" s="8"/>
      <c r="J39" s="8"/>
      <c r="K39" s="8"/>
      <c r="L39" s="8"/>
      <c r="M39" s="8"/>
      <c r="N39" s="8"/>
      <c r="O39" s="8"/>
      <c r="P39" s="8"/>
    </row>
    <row r="40" spans="1:16" x14ac:dyDescent="0.25">
      <c r="A40" s="186" t="b">
        <v>0</v>
      </c>
      <c r="B40" s="7">
        <f t="shared" si="0"/>
        <v>39</v>
      </c>
      <c r="C40" s="27" t="e">
        <f>_xlfn.XLOOKUP($D40,Tab_Def_Processes[Process_Name],Tab_Def_Processes[ID],,0,)</f>
        <v>#N/A</v>
      </c>
      <c r="D40" s="7">
        <f>Tab_Def_Processes[[#This Row],[Process_Name]]</f>
        <v>0</v>
      </c>
      <c r="E40" s="187"/>
      <c r="F40" s="187"/>
      <c r="G40" s="7" t="e">
        <f>_xlfn.XLOOKUP($F40,Table32[Color_Name],Table32[Hex_Code],,0,)</f>
        <v>#N/A</v>
      </c>
      <c r="H40" s="8"/>
      <c r="I40" s="8"/>
      <c r="J40" s="8"/>
      <c r="K40" s="8"/>
      <c r="L40" s="8"/>
      <c r="M40" s="8"/>
      <c r="N40" s="8"/>
      <c r="O40" s="8"/>
      <c r="P40" s="8"/>
    </row>
    <row r="41" spans="1:16" x14ac:dyDescent="0.25">
      <c r="A41" s="186" t="b">
        <v>0</v>
      </c>
      <c r="B41" s="7">
        <f t="shared" si="0"/>
        <v>40</v>
      </c>
      <c r="C41" s="27" t="e">
        <f>_xlfn.XLOOKUP($D41,Tab_Def_Processes[Process_Name],Tab_Def_Processes[ID],,0,)</f>
        <v>#N/A</v>
      </c>
      <c r="D41" s="7">
        <f>Tab_Def_Processes[[#This Row],[Process_Name]]</f>
        <v>0</v>
      </c>
      <c r="E41" s="187"/>
      <c r="F41" s="187"/>
      <c r="G41" s="7" t="e">
        <f>_xlfn.XLOOKUP($F41,Table32[Color_Name],Table32[Hex_Code],,0,)</f>
        <v>#N/A</v>
      </c>
      <c r="H41" s="8"/>
      <c r="I41" s="8"/>
      <c r="J41" s="8"/>
      <c r="K41" s="8"/>
      <c r="L41" s="8"/>
      <c r="M41" s="8"/>
      <c r="N41" s="8"/>
      <c r="O41" s="8"/>
      <c r="P41" s="8"/>
    </row>
    <row r="42" spans="1:16" x14ac:dyDescent="0.25">
      <c r="A42" s="186" t="b">
        <v>0</v>
      </c>
      <c r="B42" s="7">
        <f t="shared" si="0"/>
        <v>41</v>
      </c>
      <c r="C42" s="27" t="e">
        <f>_xlfn.XLOOKUP($D42,Tab_Def_Processes[Process_Name],Tab_Def_Processes[ID],,0,)</f>
        <v>#N/A</v>
      </c>
      <c r="D42" s="7">
        <f>Tab_Def_Processes[[#This Row],[Process_Name]]</f>
        <v>0</v>
      </c>
      <c r="E42" s="187"/>
      <c r="F42" s="187"/>
      <c r="G42" s="7" t="e">
        <f>_xlfn.XLOOKUP($F42,Table32[Color_Name],Table32[Hex_Code],,0,)</f>
        <v>#N/A</v>
      </c>
      <c r="H42" s="8"/>
      <c r="I42" s="8"/>
      <c r="J42" s="8"/>
      <c r="K42" s="8"/>
      <c r="L42" s="8"/>
      <c r="M42" s="8"/>
      <c r="N42" s="8"/>
      <c r="O42" s="8"/>
      <c r="P42" s="8"/>
    </row>
    <row r="43" spans="1:16" x14ac:dyDescent="0.25">
      <c r="A43" s="186" t="b">
        <v>0</v>
      </c>
      <c r="B43" s="7">
        <f t="shared" si="0"/>
        <v>42</v>
      </c>
      <c r="C43" s="27" t="e">
        <f>_xlfn.XLOOKUP($D43,Tab_Def_Processes[Process_Name],Tab_Def_Processes[ID],,0,)</f>
        <v>#N/A</v>
      </c>
      <c r="D43" s="7">
        <f>Tab_Def_Processes[[#This Row],[Process_Name]]</f>
        <v>0</v>
      </c>
      <c r="E43" s="187"/>
      <c r="F43" s="187"/>
      <c r="G43" s="7" t="e">
        <f>_xlfn.XLOOKUP($F43,Table32[Color_Name],Table32[Hex_Code],,0,)</f>
        <v>#N/A</v>
      </c>
      <c r="H43" s="8"/>
      <c r="I43" s="8"/>
      <c r="J43" s="8"/>
      <c r="K43" s="8"/>
      <c r="L43" s="8"/>
      <c r="M43" s="8"/>
      <c r="N43" s="8"/>
      <c r="O43" s="8"/>
      <c r="P43" s="8"/>
    </row>
    <row r="44" spans="1:16" x14ac:dyDescent="0.25">
      <c r="A44" s="186" t="b">
        <v>0</v>
      </c>
      <c r="B44" s="7">
        <f t="shared" si="0"/>
        <v>43</v>
      </c>
      <c r="C44" s="27" t="e">
        <f>_xlfn.XLOOKUP($D44,Tab_Def_Processes[Process_Name],Tab_Def_Processes[ID],,0,)</f>
        <v>#N/A</v>
      </c>
      <c r="D44" s="7">
        <f>Tab_Def_Processes[[#This Row],[Process_Name]]</f>
        <v>0</v>
      </c>
      <c r="E44" s="187"/>
      <c r="F44" s="187"/>
      <c r="G44" s="7" t="e">
        <f>_xlfn.XLOOKUP($F44,Table32[Color_Name],Table32[Hex_Code],,0,)</f>
        <v>#N/A</v>
      </c>
      <c r="H44" s="8"/>
      <c r="I44" s="8"/>
      <c r="J44" s="8"/>
      <c r="K44" s="8"/>
      <c r="L44" s="8"/>
      <c r="M44" s="8"/>
      <c r="N44" s="8"/>
      <c r="O44" s="8"/>
      <c r="P44" s="8"/>
    </row>
    <row r="45" spans="1:16" x14ac:dyDescent="0.25">
      <c r="A45" s="186" t="b">
        <v>0</v>
      </c>
      <c r="B45" s="7">
        <f t="shared" si="0"/>
        <v>44</v>
      </c>
      <c r="C45" s="27" t="e">
        <f>_xlfn.XLOOKUP($D45,Tab_Def_Processes[Process_Name],Tab_Def_Processes[ID],,0,)</f>
        <v>#N/A</v>
      </c>
      <c r="D45" s="7">
        <f>Tab_Def_Processes[[#This Row],[Process_Name]]</f>
        <v>0</v>
      </c>
      <c r="E45" s="187"/>
      <c r="F45" s="187"/>
      <c r="G45" s="7" t="e">
        <f>_xlfn.XLOOKUP($F45,Table32[Color_Name],Table32[Hex_Code],,0,)</f>
        <v>#N/A</v>
      </c>
      <c r="H45" s="8"/>
      <c r="I45" s="8"/>
      <c r="J45" s="8"/>
      <c r="K45" s="8"/>
      <c r="L45" s="8"/>
      <c r="M45" s="8"/>
      <c r="N45" s="8"/>
      <c r="O45" s="8"/>
      <c r="P45" s="8"/>
    </row>
    <row r="46" spans="1:16" x14ac:dyDescent="0.25">
      <c r="A46" s="186" t="b">
        <v>0</v>
      </c>
      <c r="B46" s="7">
        <f t="shared" si="0"/>
        <v>45</v>
      </c>
      <c r="C46" s="27" t="e">
        <f>_xlfn.XLOOKUP($D46,Tab_Def_Processes[Process_Name],Tab_Def_Processes[ID],,0,)</f>
        <v>#N/A</v>
      </c>
      <c r="D46" s="7">
        <f>Tab_Def_Processes[[#This Row],[Process_Name]]</f>
        <v>0</v>
      </c>
      <c r="E46" s="187"/>
      <c r="F46" s="187"/>
      <c r="G46" s="7" t="e">
        <f>_xlfn.XLOOKUP($F46,Table32[Color_Name],Table32[Hex_Code],,0,)</f>
        <v>#N/A</v>
      </c>
      <c r="H46" s="8"/>
      <c r="I46" s="8"/>
      <c r="J46" s="8"/>
      <c r="K46" s="8"/>
      <c r="L46" s="8"/>
      <c r="M46" s="8"/>
      <c r="N46" s="8"/>
      <c r="O46" s="8"/>
      <c r="P46" s="8"/>
    </row>
    <row r="47" spans="1:16" x14ac:dyDescent="0.25">
      <c r="A47" s="186" t="b">
        <v>0</v>
      </c>
      <c r="B47" s="7">
        <f t="shared" si="0"/>
        <v>46</v>
      </c>
      <c r="C47" s="27" t="e">
        <f>_xlfn.XLOOKUP($D47,Tab_Def_Processes[Process_Name],Tab_Def_Processes[ID],,0,)</f>
        <v>#N/A</v>
      </c>
      <c r="D47" s="7">
        <f>Tab_Def_Processes[[#This Row],[Process_Name]]</f>
        <v>0</v>
      </c>
      <c r="E47" s="187"/>
      <c r="F47" s="187"/>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8" t="s">
        <v>28</v>
      </c>
      <c r="B1" s="158" t="s">
        <v>37</v>
      </c>
      <c r="C1" s="158" t="s">
        <v>56</v>
      </c>
      <c r="D1" s="188" t="s">
        <v>520</v>
      </c>
      <c r="E1" s="188" t="s">
        <v>639</v>
      </c>
      <c r="F1" s="188" t="s">
        <v>6</v>
      </c>
    </row>
    <row r="2" spans="1:6" x14ac:dyDescent="0.25">
      <c r="A2" s="9">
        <f>ROW()-1</f>
        <v>1</v>
      </c>
      <c r="B2" s="7" t="str">
        <f>_xlfn.XLOOKUP(C2,Tab_Def_Flows[Flow_Name],Tab_Def_Flows[Flow_ID],,0,)</f>
        <v>F_12_00</v>
      </c>
      <c r="C2" s="7" t="str">
        <f>Tab_Def_Flows[[#This Row],[Flow_Name]]</f>
        <v>Natur &amp; Synthese Kautchouk</v>
      </c>
      <c r="D2" s="154" t="s">
        <v>583</v>
      </c>
      <c r="E2" s="7" t="str">
        <f>_xlfn.XLOOKUP($D2,Table32[Color_Name],Table32[Hex_Code],,0,)</f>
        <v>#87CEEB</v>
      </c>
      <c r="F2" s="20"/>
    </row>
    <row r="3" spans="1:6" x14ac:dyDescent="0.25">
      <c r="A3" s="9">
        <f t="shared" ref="A3:A51" si="0">ROW()-1</f>
        <v>2</v>
      </c>
      <c r="B3" s="7" t="str">
        <f>_xlfn.XLOOKUP(C3,Tab_Def_Flows[Flow_Name],Tab_Def_Flows[Flow_ID],,0,)</f>
        <v>F_13_00</v>
      </c>
      <c r="C3" s="7" t="str">
        <f>Tab_Def_Flows[[#This Row],[Flow_Name]]</f>
        <v>Füllstoffe (Ruß &amp; Kieselgel)</v>
      </c>
      <c r="D3" s="154" t="s">
        <v>550</v>
      </c>
      <c r="E3" s="7" t="str">
        <f>_xlfn.XLOOKUP($D3,Table32[Color_Name],Table32[Hex_Code],,0,)</f>
        <v>#228B22</v>
      </c>
      <c r="F3" s="20"/>
    </row>
    <row r="4" spans="1:6" x14ac:dyDescent="0.25">
      <c r="A4" s="9">
        <f t="shared" si="0"/>
        <v>3</v>
      </c>
      <c r="B4" s="7" t="str">
        <f>_xlfn.XLOOKUP(C4,Tab_Def_Flows[Flow_Name],Tab_Def_Flows[Flow_ID],,0,)</f>
        <v>F_14_00</v>
      </c>
      <c r="C4" s="7" t="str">
        <f>Tab_Def_Flows[[#This Row],[Flow_Name]]</f>
        <v>Stahldraht &amp; Textilfaser</v>
      </c>
      <c r="D4" s="154" t="s">
        <v>566</v>
      </c>
      <c r="E4" s="7" t="str">
        <f>_xlfn.XLOOKUP($D4,Table32[Color_Name],Table32[Hex_Code],,0,)</f>
        <v>#F5DEB3</v>
      </c>
      <c r="F4" s="20"/>
    </row>
    <row r="5" spans="1:6" x14ac:dyDescent="0.25">
      <c r="A5" s="9">
        <f t="shared" si="0"/>
        <v>4</v>
      </c>
      <c r="B5" s="7" t="str">
        <f>_xlfn.XLOOKUP(C5,Tab_Def_Flows[Flow_Name],Tab_Def_Flows[Flow_ID],,0,)</f>
        <v>F_00_01</v>
      </c>
      <c r="C5" s="7" t="str">
        <f>Tab_Def_Flows[[#This Row],[Flow_Name]]</f>
        <v>Reifen</v>
      </c>
      <c r="D5" s="154" t="s">
        <v>566</v>
      </c>
      <c r="E5" s="7" t="str">
        <f>_xlfn.XLOOKUP($D5,Table32[Color_Name],Table32[Hex_Code],,0,)</f>
        <v>#F5DEB3</v>
      </c>
      <c r="F5" s="20"/>
    </row>
    <row r="6" spans="1:6" x14ac:dyDescent="0.25">
      <c r="A6" s="9">
        <f t="shared" si="0"/>
        <v>5</v>
      </c>
      <c r="B6" s="7" t="str">
        <f>_xlfn.XLOOKUP(C6,Tab_Def_Flows[Flow_Name],Tab_Def_Flows[Flow_ID],,0,)</f>
        <v>F_15_02</v>
      </c>
      <c r="C6" s="7" t="str">
        <f>Tab_Def_Flows[[#This Row],[Flow_Name]]</f>
        <v>Abrieb</v>
      </c>
      <c r="D6" s="154" t="s">
        <v>566</v>
      </c>
      <c r="E6" s="7" t="str">
        <f>_xlfn.XLOOKUP($D6,Table32[Color_Name],Table32[Hex_Code],,0,)</f>
        <v>#F5DEB3</v>
      </c>
      <c r="F6" s="20"/>
    </row>
    <row r="7" spans="1:6" x14ac:dyDescent="0.25">
      <c r="A7" s="9">
        <f t="shared" si="0"/>
        <v>6</v>
      </c>
      <c r="B7" s="7" t="str">
        <f>_xlfn.XLOOKUP(C7,Tab_Def_Flows[Flow_Name],Tab_Def_Flows[Flow_ID],,0,)</f>
        <v>F_15_03</v>
      </c>
      <c r="C7" s="7" t="str">
        <f>Tab_Def_Flows[[#This Row],[Flow_Name]]</f>
        <v>Altreifen</v>
      </c>
      <c r="D7" s="154" t="s">
        <v>583</v>
      </c>
      <c r="E7" s="7" t="str">
        <f>_xlfn.XLOOKUP($D7,Table32[Color_Name],Table32[Hex_Code],,0,)</f>
        <v>#87CEEB</v>
      </c>
      <c r="F7" s="20"/>
    </row>
    <row r="8" spans="1:6" x14ac:dyDescent="0.25">
      <c r="A8" s="9">
        <f t="shared" si="0"/>
        <v>7</v>
      </c>
      <c r="B8" s="7" t="str">
        <f>_xlfn.XLOOKUP(C8,Tab_Def_Flows[Flow_Name],Tab_Def_Flows[Flow_ID],,0,)</f>
        <v>F_03_04</v>
      </c>
      <c r="C8" s="7" t="str">
        <f>Tab_Def_Flows[[#This Row],[Flow_Name]]</f>
        <v>Altreifen_Erneuerung</v>
      </c>
      <c r="D8" s="154" t="s">
        <v>550</v>
      </c>
      <c r="E8" s="7" t="str">
        <f>_xlfn.XLOOKUP($D8,Table32[Color_Name],Table32[Hex_Code],,0,)</f>
        <v>#228B22</v>
      </c>
      <c r="F8" s="20"/>
    </row>
    <row r="9" spans="1:6" x14ac:dyDescent="0.25">
      <c r="A9" s="9">
        <f t="shared" si="0"/>
        <v>8</v>
      </c>
      <c r="B9" s="7" t="str">
        <f>_xlfn.XLOOKUP(C9,Tab_Def_Flows[Flow_Name],Tab_Def_Flows[Flow_ID],,0,)</f>
        <v>F_03_05</v>
      </c>
      <c r="C9" s="7" t="str">
        <f>Tab_Def_Flows[[#This Row],[Flow_Name]]</f>
        <v>Altreifen_Werkstofflich</v>
      </c>
      <c r="D9" s="154" t="s">
        <v>566</v>
      </c>
      <c r="E9" s="7" t="str">
        <f>_xlfn.XLOOKUP($D9,Table32[Color_Name],Table32[Hex_Code],,0,)</f>
        <v>#F5DEB3</v>
      </c>
      <c r="F9" s="20"/>
    </row>
    <row r="10" spans="1:6" x14ac:dyDescent="0.25">
      <c r="A10" s="9">
        <f t="shared" si="0"/>
        <v>9</v>
      </c>
      <c r="B10" s="7" t="str">
        <f>_xlfn.XLOOKUP(C10,Tab_Def_Flows[Flow_Name],Tab_Def_Flows[Flow_ID],,0,)</f>
        <v>F_03_06</v>
      </c>
      <c r="C10" s="7" t="str">
        <f>Tab_Def_Flows[[#This Row],[Flow_Name]]</f>
        <v>Altreifen_Thermisch</v>
      </c>
      <c r="D10" s="154" t="s">
        <v>566</v>
      </c>
      <c r="E10" s="7" t="str">
        <f>_xlfn.XLOOKUP($D10,Table32[Color_Name],Table32[Hex_Code],,0,)</f>
        <v>#F5DEB3</v>
      </c>
      <c r="F10" s="20"/>
    </row>
    <row r="11" spans="1:6" x14ac:dyDescent="0.25">
      <c r="A11" s="9">
        <f t="shared" si="0"/>
        <v>10</v>
      </c>
      <c r="B11" s="7" t="str">
        <f>_xlfn.XLOOKUP(C11,Tab_Def_Flows[Flow_Name],Tab_Def_Flows[Flow_ID],,0,)</f>
        <v>F_03_07</v>
      </c>
      <c r="C11" s="7" t="str">
        <f>Tab_Def_Flows[[#This Row],[Flow_Name]]</f>
        <v>Altreifen_export</v>
      </c>
      <c r="D11" s="154" t="s">
        <v>566</v>
      </c>
      <c r="E11" s="7" t="str">
        <f>_xlfn.XLOOKUP($D11,Table32[Color_Name],Table32[Hex_Code],,0,)</f>
        <v>#F5DEB3</v>
      </c>
      <c r="F11" s="20"/>
    </row>
    <row r="12" spans="1:6" x14ac:dyDescent="0.25">
      <c r="A12" s="9">
        <f t="shared" si="0"/>
        <v>11</v>
      </c>
      <c r="B12" s="7" t="str">
        <f>_xlfn.XLOOKUP(C12,Tab_Def_Flows[Flow_Name],Tab_Def_Flows[Flow_ID],,0,)</f>
        <v>F_04_01</v>
      </c>
      <c r="C12" s="7" t="str">
        <f>Tab_Def_Flows[[#This Row],[Flow_Name]]</f>
        <v>Reifen_runderneuert</v>
      </c>
      <c r="D12" s="154" t="s">
        <v>583</v>
      </c>
      <c r="E12" s="7" t="str">
        <f>_xlfn.XLOOKUP($D12,Table32[Color_Name],Table32[Hex_Code],,0,)</f>
        <v>#87CEEB</v>
      </c>
      <c r="F12" s="20"/>
    </row>
    <row r="13" spans="1:6" x14ac:dyDescent="0.25">
      <c r="A13" s="9">
        <f t="shared" si="0"/>
        <v>12</v>
      </c>
      <c r="B13" s="7" t="str">
        <f>_xlfn.XLOOKUP(C13,Tab_Def_Flows[Flow_Name],Tab_Def_Flows[Flow_ID],,0,)</f>
        <v>F_05_10</v>
      </c>
      <c r="C13" s="7" t="str">
        <f>Tab_Def_Flows[[#This Row],[Flow_Name]]</f>
        <v>Stahldraht</v>
      </c>
      <c r="D13" s="154" t="s">
        <v>550</v>
      </c>
      <c r="E13" s="7" t="str">
        <f>_xlfn.XLOOKUP($D13,Table32[Color_Name],Table32[Hex_Code],,0,)</f>
        <v>#228B22</v>
      </c>
      <c r="F13" s="20"/>
    </row>
    <row r="14" spans="1:6" x14ac:dyDescent="0.25">
      <c r="A14" s="9">
        <f t="shared" si="0"/>
        <v>13</v>
      </c>
      <c r="B14" s="7" t="str">
        <f>_xlfn.XLOOKUP(C14,Tab_Def_Flows[Flow_Name],Tab_Def_Flows[Flow_ID],,0,)</f>
        <v>F_05_11</v>
      </c>
      <c r="C14" s="7" t="str">
        <f>Tab_Def_Flows[[#This Row],[Flow_Name]]</f>
        <v>Kunststoffgranulat</v>
      </c>
      <c r="D14" s="154" t="s">
        <v>583</v>
      </c>
      <c r="E14" s="7" t="str">
        <f>_xlfn.XLOOKUP($D14,Table32[Color_Name],Table32[Hex_Code],,0,)</f>
        <v>#87CEEB</v>
      </c>
      <c r="F14" s="20"/>
    </row>
    <row r="15" spans="1:6" x14ac:dyDescent="0.25">
      <c r="A15" s="9">
        <f t="shared" si="0"/>
        <v>14</v>
      </c>
      <c r="B15" s="7" t="str">
        <f>_xlfn.XLOOKUP(C15,Tab_Def_Flows[Flow_Name],Tab_Def_Flows[Flow_ID],,0,)</f>
        <v>F_06_09</v>
      </c>
      <c r="C15" s="7" t="str">
        <f>Tab_Def_Flows[[#This Row],[Flow_Name]]</f>
        <v>Kohlenstoff</v>
      </c>
      <c r="D15" s="154" t="s">
        <v>550</v>
      </c>
      <c r="E15" s="7" t="str">
        <f>_xlfn.XLOOKUP($D15,Table32[Color_Name],Table32[Hex_Code],,0,)</f>
        <v>#228B22</v>
      </c>
      <c r="F15" s="20"/>
    </row>
    <row r="16" spans="1:6" x14ac:dyDescent="0.25">
      <c r="A16" s="9">
        <f t="shared" si="0"/>
        <v>15</v>
      </c>
      <c r="B16" s="7" t="str">
        <f>_xlfn.XLOOKUP(C16,Tab_Def_Flows[Flow_Name],Tab_Def_Flows[Flow_ID],,0,)</f>
        <v>F_06_08</v>
      </c>
      <c r="C16" s="7" t="str">
        <f>Tab_Def_Flows[[#This Row],[Flow_Name]]</f>
        <v>Stahldraht &amp; Textilfaser_Zement</v>
      </c>
      <c r="D16" s="154" t="s">
        <v>566</v>
      </c>
      <c r="E16" s="7" t="str">
        <f>_xlfn.XLOOKUP($D16,Table32[Color_Name],Table32[Hex_Code],,0,)</f>
        <v>#F5DEB3</v>
      </c>
      <c r="F16" s="20"/>
    </row>
    <row r="17" spans="1:6" x14ac:dyDescent="0.25">
      <c r="A17" s="9">
        <f t="shared" si="0"/>
        <v>16</v>
      </c>
      <c r="B17" s="7" t="str">
        <f>_xlfn.XLOOKUP(C17,Tab_Def_Flows[Flow_Name],Tab_Def_Flows[Flow_ID],,0,)</f>
        <v>F_01_15</v>
      </c>
      <c r="C17" s="7" t="str">
        <f>Tab_Def_Flows[[#This Row],[Flow_Name]]</f>
        <v>Reifen_Nach_Nutzung</v>
      </c>
      <c r="D17" s="154" t="s">
        <v>583</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4" t="s">
        <v>550</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4" t="s">
        <v>583</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4" t="s">
        <v>550</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4" t="s">
        <v>566</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4" t="s">
        <v>550</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4" t="s">
        <v>550</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4" t="s">
        <v>550</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4" t="s">
        <v>550</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4"/>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4"/>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4"/>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4"/>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4"/>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4"/>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4"/>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4"/>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4"/>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4"/>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4"/>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4"/>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4"/>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4"/>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4"/>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4"/>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4"/>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4"/>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4"/>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4"/>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4"/>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4"/>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4"/>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4"/>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4"/>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4"/>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89" t="s">
        <v>525</v>
      </c>
      <c r="B1" s="189" t="s">
        <v>223</v>
      </c>
      <c r="C1" s="189" t="s">
        <v>6</v>
      </c>
      <c r="D1" s="189" t="s">
        <v>526</v>
      </c>
      <c r="E1" s="189" t="s">
        <v>211</v>
      </c>
    </row>
    <row r="2" spans="1:5" x14ac:dyDescent="0.25">
      <c r="A2" s="7" t="s">
        <v>527</v>
      </c>
      <c r="B2" s="8">
        <v>0.5</v>
      </c>
      <c r="C2" s="20" t="s">
        <v>528</v>
      </c>
      <c r="D2" s="20" t="s">
        <v>529</v>
      </c>
      <c r="E2" s="20"/>
    </row>
    <row r="3" spans="1:5" x14ac:dyDescent="0.25">
      <c r="A3" s="7" t="s">
        <v>530</v>
      </c>
      <c r="B3" s="8">
        <v>0.5</v>
      </c>
      <c r="C3" s="20" t="s">
        <v>531</v>
      </c>
      <c r="D3" s="20" t="s">
        <v>529</v>
      </c>
      <c r="E3" s="20"/>
    </row>
    <row r="4" spans="1:5" x14ac:dyDescent="0.25">
      <c r="A4" s="7" t="s">
        <v>532</v>
      </c>
      <c r="B4" s="8">
        <v>0.3</v>
      </c>
      <c r="C4" s="20" t="s">
        <v>533</v>
      </c>
      <c r="D4" s="20" t="s">
        <v>534</v>
      </c>
      <c r="E4" s="20"/>
    </row>
    <row r="5" spans="1:5" x14ac:dyDescent="0.25">
      <c r="A5" s="7" t="s">
        <v>535</v>
      </c>
      <c r="B5" s="8" t="s">
        <v>666</v>
      </c>
      <c r="C5" s="20" t="s">
        <v>536</v>
      </c>
      <c r="D5" s="20" t="s">
        <v>537</v>
      </c>
      <c r="E5" s="20"/>
    </row>
    <row r="6" spans="1:5" x14ac:dyDescent="0.25">
      <c r="A6" s="7" t="s">
        <v>538</v>
      </c>
      <c r="B6" s="8" t="s">
        <v>539</v>
      </c>
      <c r="C6" s="20" t="s">
        <v>540</v>
      </c>
      <c r="D6" s="20" t="s">
        <v>541</v>
      </c>
      <c r="E6" s="20"/>
    </row>
    <row r="7" spans="1:5" x14ac:dyDescent="0.25">
      <c r="A7" s="7" t="s">
        <v>542</v>
      </c>
      <c r="B7" s="8" t="s">
        <v>543</v>
      </c>
      <c r="C7" s="20" t="s">
        <v>544</v>
      </c>
      <c r="D7" s="20" t="s">
        <v>541</v>
      </c>
      <c r="E7" s="20"/>
    </row>
    <row r="8" spans="1:5" x14ac:dyDescent="0.25">
      <c r="A8" s="7" t="s">
        <v>640</v>
      </c>
      <c r="B8" s="8">
        <v>1600</v>
      </c>
      <c r="C8" s="20" t="s">
        <v>641</v>
      </c>
      <c r="D8" s="20"/>
      <c r="E8" s="20"/>
    </row>
    <row r="9" spans="1:5" x14ac:dyDescent="0.25">
      <c r="A9" s="7" t="s">
        <v>643</v>
      </c>
      <c r="B9" s="8">
        <v>1200</v>
      </c>
      <c r="C9" s="20" t="s">
        <v>644</v>
      </c>
      <c r="D9" s="20"/>
      <c r="E9" s="20"/>
    </row>
    <row r="10" spans="1:5" x14ac:dyDescent="0.25">
      <c r="A10" s="7" t="s">
        <v>645</v>
      </c>
      <c r="B10" s="8">
        <v>1</v>
      </c>
      <c r="C10" s="20" t="s">
        <v>646</v>
      </c>
      <c r="D10" s="20" t="s">
        <v>647</v>
      </c>
      <c r="E10" s="20" t="s">
        <v>642</v>
      </c>
    </row>
    <row r="11" spans="1:5" x14ac:dyDescent="0.25">
      <c r="A11" s="7" t="s">
        <v>648</v>
      </c>
      <c r="B11" s="8">
        <v>1</v>
      </c>
      <c r="C11" s="20" t="s">
        <v>649</v>
      </c>
      <c r="D11" s="20" t="s">
        <v>647</v>
      </c>
      <c r="E11" s="20" t="s">
        <v>642</v>
      </c>
    </row>
    <row r="12" spans="1:5" x14ac:dyDescent="0.25">
      <c r="A12" s="7" t="s">
        <v>650</v>
      </c>
      <c r="B12" s="8" t="b">
        <v>1</v>
      </c>
      <c r="C12" s="20" t="s">
        <v>651</v>
      </c>
      <c r="D12" s="20" t="s">
        <v>647</v>
      </c>
      <c r="E12" s="20" t="s">
        <v>642</v>
      </c>
    </row>
    <row r="13" spans="1:5" x14ac:dyDescent="0.25">
      <c r="A13" s="7" t="s">
        <v>652</v>
      </c>
      <c r="B13" s="8">
        <v>0.3</v>
      </c>
      <c r="C13" s="20" t="s">
        <v>653</v>
      </c>
      <c r="D13" s="20" t="s">
        <v>647</v>
      </c>
      <c r="E13" s="20" t="s">
        <v>642</v>
      </c>
    </row>
    <row r="14" spans="1:5" x14ac:dyDescent="0.25">
      <c r="A14" s="7" t="s">
        <v>654</v>
      </c>
      <c r="B14" s="8">
        <v>3</v>
      </c>
      <c r="C14" s="20" t="s">
        <v>655</v>
      </c>
      <c r="D14" s="20" t="s">
        <v>647</v>
      </c>
      <c r="E14" s="20" t="s">
        <v>642</v>
      </c>
    </row>
    <row r="15" spans="1:5" x14ac:dyDescent="0.25">
      <c r="A15" s="7" t="s">
        <v>656</v>
      </c>
      <c r="B15" s="8" t="s">
        <v>666</v>
      </c>
      <c r="C15" s="20" t="s">
        <v>657</v>
      </c>
      <c r="D15" s="20" t="s">
        <v>647</v>
      </c>
      <c r="E15" s="20" t="s">
        <v>642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497</v>
      </c>
      <c r="C2" t="s">
        <v>498</v>
      </c>
      <c r="D2" t="s">
        <v>499</v>
      </c>
      <c r="E2" t="s">
        <v>521</v>
      </c>
      <c r="F2" t="s">
        <v>501</v>
      </c>
      <c r="G2" t="s">
        <v>502</v>
      </c>
      <c r="H2" t="s">
        <v>503</v>
      </c>
      <c r="I2" t="s">
        <v>504</v>
      </c>
      <c r="J2" t="s">
        <v>505</v>
      </c>
      <c r="K2" t="s">
        <v>506</v>
      </c>
      <c r="L2" t="s">
        <v>507</v>
      </c>
      <c r="M2" t="s">
        <v>508</v>
      </c>
      <c r="N2" t="s">
        <v>509</v>
      </c>
      <c r="O2" t="s">
        <v>510</v>
      </c>
      <c r="P2" t="s">
        <v>511</v>
      </c>
    </row>
    <row r="3" spans="2:16" x14ac:dyDescent="0.25">
      <c r="C3" t="s">
        <v>512</v>
      </c>
      <c r="D3" t="s">
        <v>515</v>
      </c>
      <c r="E3" t="s">
        <v>522</v>
      </c>
    </row>
    <row r="4" spans="2:16" x14ac:dyDescent="0.25">
      <c r="C4" t="s">
        <v>513</v>
      </c>
      <c r="D4" t="s">
        <v>516</v>
      </c>
      <c r="E4" t="s">
        <v>523</v>
      </c>
    </row>
    <row r="5" spans="2:16" x14ac:dyDescent="0.25">
      <c r="C5" t="s">
        <v>514</v>
      </c>
      <c r="D5" t="s">
        <v>517</v>
      </c>
      <c r="E5" t="s">
        <v>524</v>
      </c>
    </row>
    <row r="6" spans="2:16" x14ac:dyDescent="0.25">
      <c r="C6" t="s">
        <v>519</v>
      </c>
      <c r="D6" t="s">
        <v>518</v>
      </c>
    </row>
    <row r="20" spans="2:6" x14ac:dyDescent="0.25">
      <c r="B20" t="s">
        <v>497</v>
      </c>
      <c r="C20" t="s">
        <v>500</v>
      </c>
    </row>
    <row r="21" spans="2:6" x14ac:dyDescent="0.25">
      <c r="B21" s="189" t="s">
        <v>387</v>
      </c>
      <c r="C21" s="189" t="s">
        <v>545</v>
      </c>
      <c r="D21" s="189" t="s">
        <v>546</v>
      </c>
      <c r="E21" s="189" t="s">
        <v>547</v>
      </c>
      <c r="F21" s="189" t="s">
        <v>548</v>
      </c>
    </row>
    <row r="22" spans="2:6" x14ac:dyDescent="0.25">
      <c r="B22" t="s">
        <v>549</v>
      </c>
      <c r="C22" t="s">
        <v>550</v>
      </c>
      <c r="D22" t="s">
        <v>551</v>
      </c>
      <c r="E22" t="s">
        <v>552</v>
      </c>
      <c r="F22" t="s">
        <v>553</v>
      </c>
    </row>
    <row r="23" spans="2:6" x14ac:dyDescent="0.25">
      <c r="B23" t="s">
        <v>549</v>
      </c>
      <c r="C23" t="s">
        <v>554</v>
      </c>
      <c r="D23" t="s">
        <v>555</v>
      </c>
      <c r="E23" t="s">
        <v>556</v>
      </c>
      <c r="F23" t="s">
        <v>557</v>
      </c>
    </row>
    <row r="24" spans="2:6" x14ac:dyDescent="0.25">
      <c r="B24" t="s">
        <v>549</v>
      </c>
      <c r="C24" t="s">
        <v>558</v>
      </c>
      <c r="D24" t="s">
        <v>559</v>
      </c>
      <c r="E24" t="s">
        <v>560</v>
      </c>
      <c r="F24" t="s">
        <v>561</v>
      </c>
    </row>
    <row r="25" spans="2:6" x14ac:dyDescent="0.25">
      <c r="B25" t="s">
        <v>549</v>
      </c>
      <c r="C25" t="s">
        <v>562</v>
      </c>
      <c r="D25" t="s">
        <v>563</v>
      </c>
      <c r="E25" t="s">
        <v>564</v>
      </c>
      <c r="F25" t="s">
        <v>565</v>
      </c>
    </row>
    <row r="26" spans="2:6" x14ac:dyDescent="0.25">
      <c r="B26" t="s">
        <v>549</v>
      </c>
      <c r="C26" t="s">
        <v>566</v>
      </c>
      <c r="D26" t="s">
        <v>567</v>
      </c>
      <c r="E26" t="s">
        <v>568</v>
      </c>
      <c r="F26" t="s">
        <v>569</v>
      </c>
    </row>
    <row r="27" spans="2:6" x14ac:dyDescent="0.25">
      <c r="B27" t="s">
        <v>570</v>
      </c>
      <c r="C27" t="s">
        <v>571</v>
      </c>
      <c r="D27" t="s">
        <v>572</v>
      </c>
      <c r="E27" t="s">
        <v>573</v>
      </c>
      <c r="F27" t="s">
        <v>574</v>
      </c>
    </row>
    <row r="28" spans="2:6" x14ac:dyDescent="0.25">
      <c r="B28" t="s">
        <v>570</v>
      </c>
      <c r="C28" t="s">
        <v>575</v>
      </c>
      <c r="D28" t="s">
        <v>576</v>
      </c>
      <c r="E28" t="s">
        <v>577</v>
      </c>
      <c r="F28" t="s">
        <v>578</v>
      </c>
    </row>
    <row r="29" spans="2:6" x14ac:dyDescent="0.25">
      <c r="B29" t="s">
        <v>570</v>
      </c>
      <c r="C29" t="s">
        <v>579</v>
      </c>
      <c r="D29" t="s">
        <v>580</v>
      </c>
      <c r="E29" t="s">
        <v>581</v>
      </c>
      <c r="F29" t="s">
        <v>582</v>
      </c>
    </row>
    <row r="30" spans="2:6" x14ac:dyDescent="0.25">
      <c r="B30" t="s">
        <v>570</v>
      </c>
      <c r="C30" t="s">
        <v>583</v>
      </c>
      <c r="D30" t="s">
        <v>584</v>
      </c>
      <c r="E30" t="s">
        <v>585</v>
      </c>
      <c r="F30" t="s">
        <v>586</v>
      </c>
    </row>
    <row r="31" spans="2:6" x14ac:dyDescent="0.25">
      <c r="B31" t="s">
        <v>587</v>
      </c>
      <c r="C31" t="s">
        <v>588</v>
      </c>
      <c r="D31" t="s">
        <v>589</v>
      </c>
      <c r="E31" t="s">
        <v>590</v>
      </c>
      <c r="F31" t="s">
        <v>591</v>
      </c>
    </row>
    <row r="32" spans="2:6" x14ac:dyDescent="0.25">
      <c r="B32" t="s">
        <v>587</v>
      </c>
      <c r="C32" t="s">
        <v>592</v>
      </c>
      <c r="D32" t="s">
        <v>593</v>
      </c>
      <c r="E32" t="s">
        <v>594</v>
      </c>
      <c r="F32" t="s">
        <v>595</v>
      </c>
    </row>
    <row r="33" spans="2:6" x14ac:dyDescent="0.25">
      <c r="B33" t="s">
        <v>587</v>
      </c>
      <c r="C33" t="s">
        <v>596</v>
      </c>
      <c r="D33" t="s">
        <v>597</v>
      </c>
      <c r="E33" t="s">
        <v>598</v>
      </c>
      <c r="F33" t="s">
        <v>599</v>
      </c>
    </row>
    <row r="34" spans="2:6" x14ac:dyDescent="0.25">
      <c r="B34" t="s">
        <v>587</v>
      </c>
      <c r="C34" t="s">
        <v>600</v>
      </c>
      <c r="D34" t="s">
        <v>601</v>
      </c>
      <c r="E34" t="s">
        <v>602</v>
      </c>
      <c r="F34" t="s">
        <v>603</v>
      </c>
    </row>
    <row r="35" spans="2:6" x14ac:dyDescent="0.25">
      <c r="B35" t="s">
        <v>604</v>
      </c>
      <c r="C35" t="s">
        <v>605</v>
      </c>
      <c r="D35" t="s">
        <v>606</v>
      </c>
      <c r="E35" t="s">
        <v>607</v>
      </c>
      <c r="F35" t="s">
        <v>608</v>
      </c>
    </row>
    <row r="36" spans="2:6" x14ac:dyDescent="0.25">
      <c r="B36" t="s">
        <v>604</v>
      </c>
      <c r="C36" t="s">
        <v>609</v>
      </c>
      <c r="D36" t="s">
        <v>610</v>
      </c>
      <c r="E36" t="s">
        <v>611</v>
      </c>
      <c r="F36" t="s">
        <v>612</v>
      </c>
    </row>
    <row r="37" spans="2:6" x14ac:dyDescent="0.25">
      <c r="B37" t="s">
        <v>604</v>
      </c>
      <c r="C37" t="s">
        <v>613</v>
      </c>
      <c r="D37" t="s">
        <v>614</v>
      </c>
      <c r="E37" t="s">
        <v>615</v>
      </c>
      <c r="F37" t="s">
        <v>616</v>
      </c>
    </row>
    <row r="38" spans="2:6" x14ac:dyDescent="0.25">
      <c r="B38" t="s">
        <v>604</v>
      </c>
      <c r="C38" t="s">
        <v>617</v>
      </c>
      <c r="D38" t="s">
        <v>618</v>
      </c>
      <c r="E38" t="s">
        <v>619</v>
      </c>
      <c r="F38" t="s">
        <v>620</v>
      </c>
    </row>
    <row r="39" spans="2:6" x14ac:dyDescent="0.25">
      <c r="B39" t="s">
        <v>621</v>
      </c>
      <c r="C39" t="s">
        <v>622</v>
      </c>
      <c r="D39" t="s">
        <v>623</v>
      </c>
      <c r="E39" t="s">
        <v>624</v>
      </c>
      <c r="F39" t="s">
        <v>625</v>
      </c>
    </row>
    <row r="40" spans="2:6" x14ac:dyDescent="0.25">
      <c r="B40" t="s">
        <v>621</v>
      </c>
      <c r="C40" t="s">
        <v>626</v>
      </c>
      <c r="D40" t="s">
        <v>627</v>
      </c>
      <c r="E40" t="s">
        <v>628</v>
      </c>
      <c r="F40" t="s">
        <v>629</v>
      </c>
    </row>
    <row r="41" spans="2:6" x14ac:dyDescent="0.25">
      <c r="B41" t="s">
        <v>621</v>
      </c>
      <c r="C41" t="s">
        <v>630</v>
      </c>
      <c r="D41" t="s">
        <v>631</v>
      </c>
      <c r="E41" t="s">
        <v>632</v>
      </c>
      <c r="F41" t="s">
        <v>633</v>
      </c>
    </row>
    <row r="42" spans="2:6" x14ac:dyDescent="0.25">
      <c r="B42" t="s">
        <v>621</v>
      </c>
      <c r="C42" t="s">
        <v>634</v>
      </c>
      <c r="D42" t="s">
        <v>635</v>
      </c>
      <c r="E42" t="s">
        <v>636</v>
      </c>
      <c r="F42" t="s">
        <v>637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667</v>
      </c>
      <c r="C5" s="213"/>
      <c r="D5" s="214"/>
      <c r="E5" s="131" t="s">
        <v>204</v>
      </c>
      <c r="F5" s="215" t="s">
        <v>669</v>
      </c>
      <c r="G5" s="215"/>
      <c r="H5" s="216"/>
      <c r="I5" s="132"/>
      <c r="J5" s="127"/>
      <c r="K5" s="127"/>
      <c r="L5" s="127"/>
      <c r="M5" s="124"/>
    </row>
    <row r="6" spans="1:22" ht="16.5" customHeight="1" x14ac:dyDescent="0.25">
      <c r="A6" s="131" t="s">
        <v>203</v>
      </c>
      <c r="B6" s="215" t="s">
        <v>668</v>
      </c>
      <c r="C6" s="215"/>
      <c r="D6" s="216"/>
      <c r="E6" s="131" t="s">
        <v>203</v>
      </c>
      <c r="F6" s="215" t="s">
        <v>373</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s">
        <v>374</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0"/>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137</v>
      </c>
      <c r="D52" s="53" t="s">
        <v>136</v>
      </c>
      <c r="E52" s="52" t="s">
        <v>163</v>
      </c>
      <c r="F52" s="199"/>
      <c r="G52" s="199"/>
      <c r="H52" s="199"/>
      <c r="I52" s="199"/>
      <c r="J52" s="199"/>
      <c r="K52" s="199"/>
      <c r="L52" s="199"/>
      <c r="M52" s="255"/>
    </row>
    <row r="53" spans="1:18" ht="15.75" x14ac:dyDescent="0.25">
      <c r="A53" s="5" t="s">
        <v>162</v>
      </c>
      <c r="B53" s="51">
        <f>B22</f>
        <v>129</v>
      </c>
      <c r="C53" s="50">
        <f>F22</f>
        <v>86</v>
      </c>
      <c r="D53" s="49">
        <f>J22</f>
        <v>43</v>
      </c>
      <c r="E53" s="48">
        <f>C31</f>
        <v>41.28</v>
      </c>
      <c r="F53" s="199"/>
      <c r="G53" s="199"/>
      <c r="H53" s="199"/>
      <c r="I53" s="199"/>
      <c r="J53" s="199"/>
      <c r="K53" s="199"/>
      <c r="L53" s="199"/>
      <c r="M53" s="255"/>
      <c r="P53">
        <f>C53-C54</f>
        <v>0</v>
      </c>
      <c r="R53">
        <f>R50-R45</f>
        <v>0</v>
      </c>
    </row>
    <row r="54" spans="1:18" ht="16.5" thickBot="1" x14ac:dyDescent="0.3">
      <c r="A54" s="5" t="s">
        <v>161</v>
      </c>
      <c r="B54" s="51">
        <f>B41</f>
        <v>129</v>
      </c>
      <c r="C54" s="50">
        <f>F41</f>
        <v>86</v>
      </c>
      <c r="D54" s="49">
        <f>J41</f>
        <v>43</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v>
      </c>
      <c r="D56" s="44">
        <f>D53/D54</f>
        <v>1</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c r="Q57" s="191">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9"/>
      <c r="G58" s="199"/>
      <c r="H58" s="199"/>
      <c r="I58" s="199"/>
      <c r="J58" s="199"/>
      <c r="K58" s="199"/>
      <c r="L58" s="199"/>
      <c r="M58" s="25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9"/>
      <c r="G59" s="199"/>
      <c r="H59" s="199"/>
      <c r="I59" s="199"/>
      <c r="J59" s="199"/>
      <c r="K59" s="199"/>
      <c r="L59" s="199"/>
      <c r="M59" s="25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9"/>
      <c r="G60" s="199"/>
      <c r="H60" s="199"/>
      <c r="I60" s="199"/>
      <c r="J60" s="199"/>
      <c r="K60" s="199"/>
      <c r="L60" s="199"/>
      <c r="M60" s="255"/>
    </row>
    <row r="61" spans="1:18" ht="16.5" thickBot="1" x14ac:dyDescent="0.3">
      <c r="A61" s="6" t="e">
        <f t="shared" si="38"/>
        <v>#REF!</v>
      </c>
      <c r="B61" s="46">
        <f t="shared" si="39"/>
        <v>0</v>
      </c>
      <c r="C61" s="45">
        <f>($G$41*F38)/($B$22*$E$22)</f>
        <v>0</v>
      </c>
      <c r="D61" s="44">
        <f t="shared" si="40"/>
        <v>0</v>
      </c>
      <c r="E61" s="43">
        <f t="shared" si="41"/>
        <v>0</v>
      </c>
      <c r="F61" s="199"/>
      <c r="G61" s="199"/>
      <c r="H61" s="199"/>
      <c r="I61" s="199"/>
      <c r="J61" s="199"/>
      <c r="K61" s="199"/>
      <c r="L61" s="199"/>
      <c r="M61" s="255"/>
    </row>
    <row r="62" spans="1:18" ht="16.5" thickBot="1" x14ac:dyDescent="0.3">
      <c r="A62" s="6" t="e">
        <f t="shared" si="38"/>
        <v>#REF!</v>
      </c>
      <c r="B62" s="46">
        <f t="shared" si="39"/>
        <v>0</v>
      </c>
      <c r="C62" s="45">
        <f>(B39*E39)/($B$22*$E$22)</f>
        <v>0</v>
      </c>
      <c r="D62" s="44">
        <f t="shared" si="40"/>
        <v>0</v>
      </c>
      <c r="E62" s="43">
        <f t="shared" si="41"/>
        <v>0</v>
      </c>
      <c r="F62" s="199"/>
      <c r="G62" s="199"/>
      <c r="H62" s="199"/>
      <c r="I62" s="199"/>
      <c r="J62" s="199"/>
      <c r="K62" s="199"/>
      <c r="L62" s="199"/>
      <c r="M62" s="255"/>
    </row>
    <row r="63" spans="1:18" ht="16.5" thickBot="1" x14ac:dyDescent="0.3">
      <c r="A63" s="6">
        <f t="shared" si="38"/>
        <v>0</v>
      </c>
      <c r="B63" s="46">
        <f t="shared" si="39"/>
        <v>0</v>
      </c>
      <c r="C63" s="45">
        <f>(B40*E40)/($B$22*$E$22)</f>
        <v>0</v>
      </c>
      <c r="D63" s="44">
        <f t="shared" si="40"/>
        <v>0</v>
      </c>
      <c r="E63" s="43">
        <f t="shared" si="41"/>
        <v>0</v>
      </c>
      <c r="F63" s="199"/>
      <c r="G63" s="199"/>
      <c r="H63" s="199"/>
      <c r="I63" s="199"/>
      <c r="J63" s="199"/>
      <c r="K63" s="199"/>
      <c r="L63" s="199"/>
      <c r="M63" s="255"/>
    </row>
    <row r="64" spans="1:18" ht="16.5" thickBot="1" x14ac:dyDescent="0.3">
      <c r="A64" s="4" t="s">
        <v>157</v>
      </c>
      <c r="B64" s="136">
        <f>SUM(B58:B63)</f>
        <v>0.99999999999999978</v>
      </c>
      <c r="C64" s="137">
        <f>SUM(C58:C63)</f>
        <v>1</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Natur-&amp; Synthesekautchouck</v>
      </c>
      <c r="C1" s="200"/>
      <c r="D1" s="200"/>
      <c r="E1" s="200"/>
      <c r="F1" s="200"/>
      <c r="G1" s="200"/>
      <c r="H1" s="200"/>
      <c r="I1" s="130" t="s">
        <v>208</v>
      </c>
      <c r="J1" s="201" t="s">
        <v>102</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687</v>
      </c>
      <c r="C5" s="260"/>
      <c r="D5" s="261"/>
      <c r="E5" s="131" t="s">
        <v>204</v>
      </c>
      <c r="F5" s="257" t="s">
        <v>688</v>
      </c>
      <c r="G5" s="215"/>
      <c r="H5" s="216"/>
      <c r="I5" s="132"/>
      <c r="J5" s="127"/>
      <c r="K5" s="127"/>
      <c r="L5" s="127"/>
      <c r="M5" s="124"/>
    </row>
    <row r="6" spans="1:22" ht="16.5" customHeight="1" x14ac:dyDescent="0.25">
      <c r="A6" s="131" t="s">
        <v>203</v>
      </c>
      <c r="B6" s="257"/>
      <c r="C6" s="215"/>
      <c r="D6" s="216"/>
      <c r="E6" s="131" t="s">
        <v>203</v>
      </c>
      <c r="F6" s="257" t="s">
        <v>689</v>
      </c>
      <c r="G6" s="215"/>
      <c r="H6" s="216"/>
      <c r="I6" s="132"/>
      <c r="J6" s="127"/>
      <c r="K6" s="127"/>
      <c r="L6" s="127"/>
      <c r="M6" s="124"/>
    </row>
    <row r="7" spans="1:22" ht="16.5" customHeight="1" x14ac:dyDescent="0.25">
      <c r="A7" s="126" t="s">
        <v>202</v>
      </c>
      <c r="B7" s="257"/>
      <c r="C7" s="215"/>
      <c r="D7" s="216"/>
      <c r="E7" s="126" t="s">
        <v>202</v>
      </c>
      <c r="F7" s="257" t="s">
        <v>690</v>
      </c>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692</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691</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3">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3">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4">
        <f>G31-R52</f>
        <v>268.32000000000005</v>
      </c>
    </row>
    <row r="51" spans="1:18" ht="15.75" thickBot="1" x14ac:dyDescent="0.3">
      <c r="A51" s="249" t="s">
        <v>167</v>
      </c>
      <c r="B51" s="250"/>
      <c r="C51" s="250"/>
      <c r="D51" s="250"/>
      <c r="E51" s="251"/>
      <c r="F51" s="252" t="s">
        <v>166</v>
      </c>
      <c r="G51" s="253"/>
      <c r="H51" s="253"/>
      <c r="I51" s="253"/>
      <c r="J51" s="253"/>
      <c r="K51" s="253"/>
      <c r="L51" s="253"/>
      <c r="M51" s="254"/>
    </row>
    <row r="52" spans="1:18" ht="16.5" thickBot="1" x14ac:dyDescent="0.3">
      <c r="A52" s="4" t="s">
        <v>165</v>
      </c>
      <c r="B52" s="55" t="s">
        <v>164</v>
      </c>
      <c r="C52" s="54" t="s">
        <v>136</v>
      </c>
      <c r="D52" s="53" t="s">
        <v>137</v>
      </c>
      <c r="E52" s="52" t="s">
        <v>163</v>
      </c>
      <c r="F52" s="199"/>
      <c r="G52" s="199"/>
      <c r="H52" s="199"/>
      <c r="I52" s="199"/>
      <c r="J52" s="199"/>
      <c r="K52" s="199"/>
      <c r="L52" s="199"/>
      <c r="M52" s="255"/>
      <c r="R52">
        <f>G31*0.35</f>
        <v>144.47999999999999</v>
      </c>
    </row>
    <row r="53" spans="1:18" ht="15.75" x14ac:dyDescent="0.25">
      <c r="A53" s="5" t="s">
        <v>162</v>
      </c>
      <c r="B53" s="51">
        <f>B22</f>
        <v>1000</v>
      </c>
      <c r="C53" s="50">
        <f>F22</f>
        <v>140</v>
      </c>
      <c r="D53" s="49">
        <f>J22</f>
        <v>860</v>
      </c>
      <c r="E53" s="48">
        <f>C31</f>
        <v>412.8</v>
      </c>
      <c r="F53" s="199"/>
      <c r="G53" s="199"/>
      <c r="H53" s="199"/>
      <c r="I53" s="199"/>
      <c r="J53" s="199"/>
      <c r="K53" s="199"/>
      <c r="L53" s="199"/>
      <c r="M53" s="255"/>
    </row>
    <row r="54" spans="1:18"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8" ht="15.75" x14ac:dyDescent="0.25">
      <c r="A55" s="4" t="s">
        <v>160</v>
      </c>
      <c r="B55" s="140">
        <f>B53-B54</f>
        <v>0</v>
      </c>
      <c r="C55" s="141">
        <f>C53-C54</f>
        <v>0</v>
      </c>
      <c r="D55" s="142">
        <f>D53-D54</f>
        <v>0</v>
      </c>
      <c r="E55" s="143">
        <f>E53-E54</f>
        <v>0</v>
      </c>
      <c r="F55" s="199"/>
      <c r="G55" s="199"/>
      <c r="H55" s="199"/>
      <c r="I55" s="199"/>
      <c r="J55" s="199"/>
      <c r="K55" s="199"/>
      <c r="L55" s="199"/>
      <c r="M55" s="255"/>
    </row>
    <row r="56" spans="1:18"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8" ht="15.75" thickBot="1" x14ac:dyDescent="0.3">
      <c r="A57" s="249" t="s">
        <v>158</v>
      </c>
      <c r="B57" s="250"/>
      <c r="C57" s="250"/>
      <c r="D57" s="250"/>
      <c r="E57" s="251"/>
      <c r="F57" s="199"/>
      <c r="G57" s="199"/>
      <c r="H57" s="199"/>
      <c r="I57" s="199"/>
      <c r="J57" s="199"/>
      <c r="K57" s="199"/>
      <c r="L57" s="199"/>
      <c r="M57" s="25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9"/>
      <c r="G58" s="199"/>
      <c r="H58" s="199"/>
      <c r="I58" s="199"/>
      <c r="J58" s="199"/>
      <c r="K58" s="199"/>
      <c r="L58" s="199"/>
      <c r="M58" s="25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9"/>
      <c r="G59" s="199"/>
      <c r="H59" s="199"/>
      <c r="I59" s="199"/>
      <c r="J59" s="199"/>
      <c r="K59" s="199"/>
      <c r="L59" s="199"/>
      <c r="M59" s="25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9"/>
      <c r="G60" s="199"/>
      <c r="H60" s="199"/>
      <c r="I60" s="199"/>
      <c r="J60" s="199"/>
      <c r="K60" s="199"/>
      <c r="L60" s="199"/>
      <c r="M60" s="255"/>
    </row>
    <row r="61" spans="1:18"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8"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8"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8" ht="16.5" thickBot="1" x14ac:dyDescent="0.3">
      <c r="A64" s="4" t="s">
        <v>157</v>
      </c>
      <c r="B64" s="136">
        <f>SUM(B58:B63)</f>
        <v>1.0000000000000002</v>
      </c>
      <c r="C64" s="137">
        <f>SUM(C58:C63)</f>
        <v>0.99999999999999978</v>
      </c>
      <c r="D64" s="138">
        <f>SUM(D58:D63)</f>
        <v>1</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0" t="str">
        <f>_xlfn.XLOOKUP(J1,Tab_Def_Processes[Process_ID],Tab_Def_Processes[Process_Name],"N.A.",0,1)</f>
        <v>Runderneuerung</v>
      </c>
      <c r="C1" s="200"/>
      <c r="D1" s="200"/>
      <c r="E1" s="200"/>
      <c r="F1" s="200"/>
      <c r="G1" s="200"/>
      <c r="H1" s="200"/>
      <c r="I1" s="130" t="s">
        <v>208</v>
      </c>
      <c r="J1" s="201" t="s">
        <v>91</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59" t="s">
        <v>215</v>
      </c>
      <c r="C5" s="260"/>
      <c r="D5" s="261"/>
      <c r="E5" s="131" t="s">
        <v>204</v>
      </c>
      <c r="F5" s="257" t="s">
        <v>216</v>
      </c>
      <c r="G5" s="215"/>
      <c r="H5" s="216"/>
      <c r="I5" s="132"/>
      <c r="J5" s="127"/>
      <c r="K5" s="127"/>
      <c r="L5" s="127"/>
      <c r="M5" s="124"/>
    </row>
    <row r="6" spans="1:22" ht="16.5" customHeight="1" x14ac:dyDescent="0.25">
      <c r="A6" s="131" t="s">
        <v>203</v>
      </c>
      <c r="B6" s="257"/>
      <c r="C6" s="215"/>
      <c r="D6" s="216"/>
      <c r="E6" s="131" t="s">
        <v>203</v>
      </c>
      <c r="F6" s="257" t="s">
        <v>217</v>
      </c>
      <c r="G6" s="215"/>
      <c r="H6" s="216"/>
      <c r="I6" s="132"/>
      <c r="J6" s="127"/>
      <c r="K6" s="127"/>
      <c r="L6" s="127"/>
      <c r="M6" s="124"/>
    </row>
    <row r="7" spans="1:22" ht="16.5" customHeight="1" x14ac:dyDescent="0.25">
      <c r="A7" s="126" t="s">
        <v>202</v>
      </c>
      <c r="B7" s="257"/>
      <c r="C7" s="215"/>
      <c r="D7" s="216"/>
      <c r="E7" s="126" t="s">
        <v>202</v>
      </c>
      <c r="F7" s="257"/>
      <c r="G7" s="215"/>
      <c r="H7" s="216"/>
      <c r="I7" s="133"/>
      <c r="J7" s="125"/>
      <c r="K7" s="125"/>
      <c r="L7" s="125"/>
      <c r="M7" s="124"/>
    </row>
    <row r="8" spans="1:22" ht="16.5" customHeight="1" x14ac:dyDescent="0.25">
      <c r="A8" s="126" t="s">
        <v>201</v>
      </c>
      <c r="B8" s="257"/>
      <c r="C8" s="215"/>
      <c r="D8" s="216"/>
      <c r="E8" s="126" t="s">
        <v>201</v>
      </c>
      <c r="F8" s="257"/>
      <c r="G8" s="215"/>
      <c r="H8" s="216"/>
      <c r="I8" s="133"/>
      <c r="J8" s="125"/>
      <c r="K8" s="125"/>
      <c r="L8" s="125"/>
      <c r="M8" s="124"/>
    </row>
    <row r="9" spans="1:22" ht="16.5" customHeight="1" x14ac:dyDescent="0.25">
      <c r="A9" s="126" t="s">
        <v>200</v>
      </c>
      <c r="B9" s="257"/>
      <c r="C9" s="215"/>
      <c r="D9" s="216"/>
      <c r="E9" s="126" t="s">
        <v>200</v>
      </c>
      <c r="F9" s="257"/>
      <c r="G9" s="215"/>
      <c r="H9" s="216"/>
      <c r="I9" s="133"/>
      <c r="J9" s="125"/>
      <c r="K9" s="125"/>
      <c r="L9" s="125"/>
      <c r="M9" s="124"/>
    </row>
    <row r="10" spans="1:22" ht="16.5" customHeight="1" thickBot="1" x14ac:dyDescent="0.3">
      <c r="A10" s="135" t="s">
        <v>199</v>
      </c>
      <c r="B10" s="257"/>
      <c r="C10" s="215"/>
      <c r="D10" s="216"/>
      <c r="E10" s="135" t="s">
        <v>199</v>
      </c>
      <c r="F10" s="258"/>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193</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692</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7" t="s">
        <v>195</v>
      </c>
      <c r="B32" s="238"/>
      <c r="C32" s="238"/>
      <c r="D32" s="238"/>
      <c r="E32" s="238"/>
      <c r="F32" s="238"/>
      <c r="G32" s="238"/>
      <c r="H32" s="238"/>
      <c r="I32" s="238"/>
      <c r="J32" s="238"/>
      <c r="K32" s="238"/>
      <c r="L32" s="238"/>
      <c r="M32" s="239"/>
    </row>
    <row r="33" spans="1:20" ht="16.5" customHeight="1" thickBot="1" x14ac:dyDescent="0.3">
      <c r="A33" s="81" t="s">
        <v>182</v>
      </c>
      <c r="B33" s="240" t="s">
        <v>194</v>
      </c>
      <c r="C33" s="241"/>
      <c r="D33" s="242"/>
      <c r="E33" s="243" t="s">
        <v>193</v>
      </c>
      <c r="F33" s="244"/>
      <c r="G33" s="244"/>
      <c r="H33" s="245"/>
      <c r="I33" s="246" t="s">
        <v>193</v>
      </c>
      <c r="J33" s="247"/>
      <c r="K33" s="247"/>
      <c r="L33" s="247"/>
      <c r="M33" s="248"/>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691</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7" t="s">
        <v>181</v>
      </c>
      <c r="C42" s="218"/>
      <c r="D42" s="218"/>
      <c r="E42" s="218"/>
      <c r="F42" s="218"/>
      <c r="G42" s="218"/>
      <c r="H42" s="219"/>
      <c r="I42" s="220" t="s">
        <v>180</v>
      </c>
      <c r="J42" s="221"/>
      <c r="K42" s="221"/>
      <c r="L42" s="221"/>
      <c r="M42" s="222"/>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3">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3">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3">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3">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3">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3">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0"/>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136</v>
      </c>
      <c r="D52" s="53" t="s">
        <v>137</v>
      </c>
      <c r="E52" s="52" t="s">
        <v>163</v>
      </c>
      <c r="F52" s="199"/>
      <c r="G52" s="199"/>
      <c r="H52" s="199"/>
      <c r="I52" s="199"/>
      <c r="J52" s="199"/>
      <c r="K52" s="199"/>
      <c r="L52" s="199"/>
      <c r="M52" s="255"/>
    </row>
    <row r="53" spans="1:17" ht="15.75" x14ac:dyDescent="0.25">
      <c r="A53" s="5" t="s">
        <v>162</v>
      </c>
      <c r="B53" s="51">
        <f>B22</f>
        <v>1000</v>
      </c>
      <c r="C53" s="50">
        <f>F22</f>
        <v>140</v>
      </c>
      <c r="D53" s="49">
        <f>J22</f>
        <v>860</v>
      </c>
      <c r="E53" s="48">
        <f>C31</f>
        <v>412.8</v>
      </c>
      <c r="F53" s="199"/>
      <c r="G53" s="199"/>
      <c r="H53" s="199"/>
      <c r="I53" s="199"/>
      <c r="J53" s="199"/>
      <c r="K53" s="199"/>
      <c r="L53" s="199"/>
      <c r="M53" s="255"/>
    </row>
    <row r="54" spans="1:17" ht="16.5" thickBot="1" x14ac:dyDescent="0.3">
      <c r="A54" s="5" t="s">
        <v>161</v>
      </c>
      <c r="B54" s="51">
        <f>B41</f>
        <v>1000</v>
      </c>
      <c r="C54" s="50">
        <f>F41</f>
        <v>139.99999999999997</v>
      </c>
      <c r="D54" s="49">
        <f>J41</f>
        <v>860.00000000000011</v>
      </c>
      <c r="E54" s="48">
        <f>C50</f>
        <v>412.8</v>
      </c>
      <c r="F54" s="199"/>
      <c r="G54" s="199"/>
      <c r="H54" s="199"/>
      <c r="I54" s="199"/>
      <c r="J54" s="199"/>
      <c r="K54" s="199"/>
      <c r="L54" s="199"/>
      <c r="M54" s="255"/>
    </row>
    <row r="55" spans="1:17" ht="15.75" x14ac:dyDescent="0.25">
      <c r="A55" s="4" t="s">
        <v>160</v>
      </c>
      <c r="B55" s="140">
        <f>B53-B54</f>
        <v>0</v>
      </c>
      <c r="C55" s="141">
        <f>C53-C54</f>
        <v>0</v>
      </c>
      <c r="D55" s="142">
        <f>D53-D54</f>
        <v>0</v>
      </c>
      <c r="E55" s="143">
        <f>E53-E54</f>
        <v>0</v>
      </c>
      <c r="F55" s="199"/>
      <c r="G55" s="199"/>
      <c r="H55" s="199"/>
      <c r="I55" s="199"/>
      <c r="J55" s="199"/>
      <c r="K55" s="199"/>
      <c r="L55" s="199"/>
      <c r="M55" s="255"/>
    </row>
    <row r="56" spans="1:17" ht="16.5" thickBot="1" x14ac:dyDescent="0.3">
      <c r="A56" s="6" t="s">
        <v>159</v>
      </c>
      <c r="B56" s="47">
        <f>B53/B54</f>
        <v>1</v>
      </c>
      <c r="C56" s="45">
        <f>C53/C54</f>
        <v>1.0000000000000002</v>
      </c>
      <c r="D56" s="44">
        <f>D53/D54</f>
        <v>0.99999999999999989</v>
      </c>
      <c r="E56" s="43">
        <f>E53/E54</f>
        <v>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9"/>
      <c r="G58" s="199"/>
      <c r="H58" s="199"/>
      <c r="I58" s="199"/>
      <c r="J58" s="199"/>
      <c r="K58" s="199"/>
      <c r="L58" s="199"/>
      <c r="M58" s="25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9"/>
      <c r="G59" s="199"/>
      <c r="H59" s="199"/>
      <c r="I59" s="199"/>
      <c r="J59" s="199"/>
      <c r="K59" s="199"/>
      <c r="L59" s="199"/>
      <c r="M59" s="255"/>
    </row>
    <row r="60" spans="1:17" ht="16.5" thickBot="1" x14ac:dyDescent="0.3">
      <c r="A60" s="6">
        <f t="shared" si="35"/>
        <v>0</v>
      </c>
      <c r="B60" s="46">
        <f t="shared" si="36"/>
        <v>0</v>
      </c>
      <c r="C60" s="45">
        <f>(E37*B37)/($B$22*$E$22)</f>
        <v>0</v>
      </c>
      <c r="D60" s="44">
        <f t="shared" si="37"/>
        <v>0</v>
      </c>
      <c r="E60" s="38">
        <f t="shared" si="38"/>
        <v>0</v>
      </c>
      <c r="F60" s="199"/>
      <c r="G60" s="199"/>
      <c r="H60" s="199"/>
      <c r="I60" s="199"/>
      <c r="J60" s="199"/>
      <c r="K60" s="199"/>
      <c r="L60" s="199"/>
      <c r="M60" s="255"/>
    </row>
    <row r="61" spans="1:17" ht="16.5" thickBot="1" x14ac:dyDescent="0.3">
      <c r="A61" s="6">
        <f t="shared" si="35"/>
        <v>0</v>
      </c>
      <c r="B61" s="46">
        <f t="shared" si="36"/>
        <v>0</v>
      </c>
      <c r="C61" s="45">
        <f>($G$41*F38)/($B$22*$E$22)</f>
        <v>0</v>
      </c>
      <c r="D61" s="44">
        <f t="shared" si="37"/>
        <v>0</v>
      </c>
      <c r="E61" s="38">
        <f t="shared" si="38"/>
        <v>0</v>
      </c>
      <c r="F61" s="199"/>
      <c r="G61" s="199"/>
      <c r="H61" s="199"/>
      <c r="I61" s="199"/>
      <c r="J61" s="199"/>
      <c r="K61" s="199"/>
      <c r="L61" s="199"/>
      <c r="M61" s="255"/>
    </row>
    <row r="62" spans="1:17" ht="16.5" thickBot="1" x14ac:dyDescent="0.3">
      <c r="A62" s="6">
        <f t="shared" si="35"/>
        <v>0</v>
      </c>
      <c r="B62" s="46">
        <f t="shared" si="36"/>
        <v>0</v>
      </c>
      <c r="C62" s="45">
        <f>(B39*E39)/($B$22*$E$22)</f>
        <v>0</v>
      </c>
      <c r="D62" s="44">
        <f t="shared" si="37"/>
        <v>0</v>
      </c>
      <c r="E62" s="38">
        <f t="shared" si="38"/>
        <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38">
        <f t="shared" si="38"/>
        <v>0</v>
      </c>
      <c r="F63" s="199"/>
      <c r="G63" s="199"/>
      <c r="H63" s="199"/>
      <c r="I63" s="199"/>
      <c r="J63" s="199"/>
      <c r="K63" s="199"/>
      <c r="L63" s="199"/>
      <c r="M63" s="255"/>
    </row>
    <row r="64" spans="1:17" ht="16.5" thickBot="1" x14ac:dyDescent="0.3">
      <c r="A64" s="4" t="s">
        <v>157</v>
      </c>
      <c r="B64" s="136">
        <f>SUM(B58:B63)</f>
        <v>1</v>
      </c>
      <c r="C64" s="137">
        <f>SUM(C58:C63)</f>
        <v>0.99999999999999978</v>
      </c>
      <c r="D64" s="138">
        <f>SUM(D58:D63)</f>
        <v>1.0000000000000002</v>
      </c>
      <c r="E64" s="139">
        <f>SUM(E58:E63)</f>
        <v>1</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0" t="str">
        <f>'2_1_Definition_Processes'!D2</f>
        <v>Reifenherstellung</v>
      </c>
      <c r="C1" s="200"/>
      <c r="D1" s="200"/>
      <c r="E1" s="200"/>
      <c r="F1" s="200"/>
      <c r="G1" s="200"/>
      <c r="H1" s="200"/>
      <c r="I1" s="130" t="s">
        <v>208</v>
      </c>
      <c r="J1" s="201" t="s">
        <v>89</v>
      </c>
      <c r="K1" s="201"/>
      <c r="L1" s="201"/>
      <c r="M1" s="201"/>
    </row>
    <row r="2" spans="1:22" ht="16.5" thickBot="1" x14ac:dyDescent="0.3">
      <c r="A2" s="202" t="s">
        <v>207</v>
      </c>
      <c r="B2" s="203"/>
      <c r="C2" s="203"/>
      <c r="D2" s="203"/>
      <c r="E2" s="203"/>
      <c r="F2" s="203"/>
      <c r="G2" s="203"/>
      <c r="H2" s="203"/>
      <c r="I2" s="203"/>
      <c r="J2" s="203"/>
      <c r="K2" s="203"/>
      <c r="L2" s="203"/>
      <c r="M2" s="204"/>
    </row>
    <row r="3" spans="1:22" ht="126.75" customHeight="1" thickBot="1" x14ac:dyDescent="0.3">
      <c r="A3" s="205"/>
      <c r="B3" s="206"/>
      <c r="C3" s="206"/>
      <c r="D3" s="206"/>
      <c r="E3" s="206"/>
      <c r="F3" s="206"/>
      <c r="G3" s="206"/>
      <c r="H3" s="206"/>
      <c r="I3" s="206"/>
      <c r="J3" s="206"/>
      <c r="K3" s="206"/>
      <c r="L3" s="206"/>
      <c r="M3" s="207"/>
    </row>
    <row r="4" spans="1:22" ht="31.5" customHeight="1" x14ac:dyDescent="0.25">
      <c r="A4" s="129" t="s">
        <v>206</v>
      </c>
      <c r="B4" s="208"/>
      <c r="C4" s="209"/>
      <c r="D4" s="210"/>
      <c r="E4" s="211" t="s">
        <v>205</v>
      </c>
      <c r="F4" s="212"/>
      <c r="G4" s="134"/>
      <c r="H4" s="134"/>
      <c r="I4" s="128"/>
      <c r="J4" s="128"/>
      <c r="K4" s="128"/>
      <c r="L4" s="128"/>
      <c r="M4" s="128"/>
    </row>
    <row r="5" spans="1:22" ht="16.5" customHeight="1" x14ac:dyDescent="0.25">
      <c r="A5" s="131" t="s">
        <v>204</v>
      </c>
      <c r="B5" s="213" t="s">
        <v>356</v>
      </c>
      <c r="C5" s="213"/>
      <c r="D5" s="214"/>
      <c r="E5" s="131" t="s">
        <v>204</v>
      </c>
      <c r="F5" s="215" t="e">
        <f>_xlfn.XLOOKUP(J1,Tab_Def_Processes[Process_ID],#REF!,"No_flow.",0,1)</f>
        <v>#REF!</v>
      </c>
      <c r="G5" s="215"/>
      <c r="H5" s="216"/>
      <c r="I5" s="132"/>
      <c r="J5" s="127"/>
      <c r="K5" s="127"/>
      <c r="L5" s="127"/>
      <c r="M5" s="124"/>
    </row>
    <row r="6" spans="1:22" ht="16.5" customHeight="1" x14ac:dyDescent="0.25">
      <c r="A6" s="131" t="s">
        <v>203</v>
      </c>
      <c r="B6" s="215" t="s">
        <v>357</v>
      </c>
      <c r="C6" s="215"/>
      <c r="D6" s="216"/>
      <c r="E6" s="131" t="s">
        <v>203</v>
      </c>
      <c r="F6" s="215" t="e">
        <f>_xlfn.XLOOKUP(J1,Tab_Def_Processes[Process_ID],#REF!,"No_flow.",0,1)</f>
        <v>#REF!</v>
      </c>
      <c r="G6" s="215"/>
      <c r="H6" s="216"/>
      <c r="I6" s="132"/>
      <c r="J6" s="127"/>
      <c r="K6" s="127"/>
      <c r="L6" s="127"/>
      <c r="M6" s="124"/>
    </row>
    <row r="7" spans="1:22" ht="16.5" customHeight="1" x14ac:dyDescent="0.25">
      <c r="A7" s="126" t="s">
        <v>202</v>
      </c>
      <c r="B7" s="215" t="e">
        <f>_xlfn.XLOOKUP(J1,Tab_Def_Processes[Process_ID],#REF!,"No_flow.",0,1)</f>
        <v>#REF!</v>
      </c>
      <c r="C7" s="215"/>
      <c r="D7" s="216"/>
      <c r="E7" s="126" t="s">
        <v>202</v>
      </c>
      <c r="F7" s="215" t="e">
        <f>_xlfn.XLOOKUP(J1,Tab_Def_Processes[Process_ID],#REF!,"No_flow.",0,1)</f>
        <v>#REF!</v>
      </c>
      <c r="G7" s="215"/>
      <c r="H7" s="216"/>
      <c r="I7" s="133"/>
      <c r="J7" s="125"/>
      <c r="K7" s="125"/>
      <c r="L7" s="125"/>
      <c r="M7" s="124"/>
    </row>
    <row r="8" spans="1:22" ht="16.5" customHeight="1" x14ac:dyDescent="0.25">
      <c r="A8" s="126" t="s">
        <v>201</v>
      </c>
      <c r="B8" s="215" t="e">
        <f>_xlfn.XLOOKUP(J1,Tab_Def_Processes[Process_ID],#REF!,"No_flow.",0,1)</f>
        <v>#REF!</v>
      </c>
      <c r="C8" s="215"/>
      <c r="D8" s="216"/>
      <c r="E8" s="126" t="s">
        <v>201</v>
      </c>
      <c r="F8" s="215" t="e">
        <f>_xlfn.XLOOKUP(J1,Tab_Def_Processes[Process_ID],#REF!,"No_flow.",0,1)</f>
        <v>#REF!</v>
      </c>
      <c r="G8" s="215"/>
      <c r="H8" s="216"/>
      <c r="I8" s="133"/>
      <c r="J8" s="125"/>
      <c r="K8" s="125"/>
      <c r="L8" s="125"/>
      <c r="M8" s="124"/>
    </row>
    <row r="9" spans="1:22" ht="16.5" customHeight="1" x14ac:dyDescent="0.25">
      <c r="A9" s="126" t="s">
        <v>200</v>
      </c>
      <c r="B9" s="215" t="e">
        <f>_xlfn.XLOOKUP(J1,Tab_Def_Processes[Process_ID],#REF!,"No_flow.",0,1)</f>
        <v>#REF!</v>
      </c>
      <c r="C9" s="215"/>
      <c r="D9" s="216"/>
      <c r="E9" s="126" t="s">
        <v>200</v>
      </c>
      <c r="F9" s="215" t="e">
        <f>_xlfn.XLOOKUP(J1,Tab_Def_Processes[Process_ID],#REF!,"No_flow.",0,1)</f>
        <v>#REF!</v>
      </c>
      <c r="G9" s="215"/>
      <c r="H9" s="216"/>
      <c r="I9" s="133"/>
      <c r="J9" s="125"/>
      <c r="K9" s="125"/>
      <c r="L9" s="125"/>
      <c r="M9" s="124"/>
    </row>
    <row r="10" spans="1:22" ht="16.5" customHeight="1" thickBot="1" x14ac:dyDescent="0.3">
      <c r="A10" s="135" t="s">
        <v>199</v>
      </c>
      <c r="B10" s="223"/>
      <c r="C10" s="223"/>
      <c r="D10" s="224"/>
      <c r="E10" s="135" t="s">
        <v>199</v>
      </c>
      <c r="F10" s="223"/>
      <c r="G10" s="223"/>
      <c r="H10" s="224"/>
      <c r="I10" s="133"/>
      <c r="J10" s="125"/>
      <c r="K10" s="125"/>
      <c r="L10" s="125"/>
      <c r="M10" s="124"/>
    </row>
    <row r="11" spans="1:22" ht="16.5" thickBot="1" x14ac:dyDescent="0.3">
      <c r="A11" s="202" t="s">
        <v>198</v>
      </c>
      <c r="B11" s="203"/>
      <c r="C11" s="203"/>
      <c r="D11" s="203"/>
      <c r="E11" s="203"/>
      <c r="F11" s="203"/>
      <c r="G11" s="203"/>
      <c r="H11" s="203"/>
      <c r="I11" s="203"/>
      <c r="J11" s="203"/>
      <c r="K11" s="203"/>
      <c r="L11" s="203"/>
      <c r="M11" s="20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5" t="s">
        <v>196</v>
      </c>
      <c r="B13" s="226"/>
      <c r="C13" s="226"/>
      <c r="D13" s="226"/>
      <c r="E13" s="226"/>
      <c r="F13" s="226"/>
      <c r="G13" s="226"/>
      <c r="H13" s="226"/>
      <c r="I13" s="226"/>
      <c r="J13" s="226"/>
      <c r="K13" s="226"/>
      <c r="L13" s="226"/>
      <c r="M13" s="227"/>
    </row>
    <row r="14" spans="1:22" ht="16.5" thickBot="1" x14ac:dyDescent="0.3">
      <c r="A14" s="81" t="s">
        <v>182</v>
      </c>
      <c r="B14" s="228" t="s">
        <v>194</v>
      </c>
      <c r="C14" s="229"/>
      <c r="D14" s="230"/>
      <c r="E14" s="231" t="s">
        <v>193</v>
      </c>
      <c r="F14" s="232"/>
      <c r="G14" s="232"/>
      <c r="H14" s="233"/>
      <c r="I14" s="234" t="s">
        <v>192</v>
      </c>
      <c r="J14" s="235"/>
      <c r="K14" s="235"/>
      <c r="L14" s="235"/>
      <c r="M14" s="236"/>
      <c r="P14" s="168">
        <v>0.2384</v>
      </c>
      <c r="Q14" s="34" t="s">
        <v>139</v>
      </c>
      <c r="R14" s="168">
        <v>0.76160000000000005</v>
      </c>
      <c r="S14" s="34" t="s">
        <v>139</v>
      </c>
      <c r="T14" s="168">
        <v>0</v>
      </c>
      <c r="U14" s="34" t="s">
        <v>139</v>
      </c>
      <c r="V14" s="155">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8">
        <v>0.14000000000000001</v>
      </c>
      <c r="Q15" s="34" t="s">
        <v>139</v>
      </c>
      <c r="R15" s="168">
        <v>0.86</v>
      </c>
      <c r="S15" s="34" t="s">
        <v>139</v>
      </c>
      <c r="T15" s="168">
        <v>0.48</v>
      </c>
      <c r="U15" s="34" t="s">
        <v>139</v>
      </c>
      <c r="V15" s="155">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17" t="s">
        <v>181</v>
      </c>
      <c r="C23" s="218"/>
      <c r="D23" s="218"/>
      <c r="E23" s="218"/>
      <c r="F23" s="218"/>
      <c r="G23" s="218"/>
      <c r="H23" s="219"/>
      <c r="I23" s="220" t="s">
        <v>180</v>
      </c>
      <c r="J23" s="221"/>
      <c r="K23" s="221"/>
      <c r="L23" s="221"/>
      <c r="M23" s="222"/>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8">
        <v>0.14000000000000001</v>
      </c>
      <c r="Q24" s="34" t="s">
        <v>139</v>
      </c>
      <c r="R24" s="168">
        <v>0.86</v>
      </c>
      <c r="S24" s="34" t="s">
        <v>139</v>
      </c>
      <c r="T24" s="168">
        <v>0.48</v>
      </c>
      <c r="U24" s="34" t="s">
        <v>139</v>
      </c>
      <c r="V24" s="155">
        <f>Tab_Def_Flows[[#This Row],[Flow_CC_DM'[%']]]*Tab_Def_Flows[[#This Row],[Flow_DM]]</f>
        <v>0</v>
      </c>
      <c r="W24" s="169"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37" t="s">
        <v>195</v>
      </c>
      <c r="B32" s="238"/>
      <c r="C32" s="238"/>
      <c r="D32" s="238"/>
      <c r="E32" s="238"/>
      <c r="F32" s="238"/>
      <c r="G32" s="238"/>
      <c r="H32" s="238"/>
      <c r="I32" s="238"/>
      <c r="J32" s="238"/>
      <c r="K32" s="238"/>
      <c r="L32" s="238"/>
      <c r="M32" s="239"/>
    </row>
    <row r="33" spans="1:18" ht="16.5" customHeight="1" thickBot="1" x14ac:dyDescent="0.3">
      <c r="A33" s="81" t="s">
        <v>182</v>
      </c>
      <c r="B33" s="240" t="s">
        <v>194</v>
      </c>
      <c r="C33" s="241"/>
      <c r="D33" s="242"/>
      <c r="E33" s="243" t="s">
        <v>193</v>
      </c>
      <c r="F33" s="244"/>
      <c r="G33" s="244"/>
      <c r="H33" s="245"/>
      <c r="I33" s="246" t="s">
        <v>192</v>
      </c>
      <c r="J33" s="247"/>
      <c r="K33" s="247"/>
      <c r="L33" s="247"/>
      <c r="M33" s="248"/>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17" t="s">
        <v>181</v>
      </c>
      <c r="C42" s="218"/>
      <c r="D42" s="218"/>
      <c r="E42" s="218"/>
      <c r="F42" s="218"/>
      <c r="G42" s="218"/>
      <c r="H42" s="219"/>
      <c r="I42" s="220" t="s">
        <v>180</v>
      </c>
      <c r="J42" s="221"/>
      <c r="K42" s="221"/>
      <c r="L42" s="221"/>
      <c r="M42" s="222"/>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0"/>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249" t="s">
        <v>167</v>
      </c>
      <c r="B51" s="250"/>
      <c r="C51" s="250"/>
      <c r="D51" s="250"/>
      <c r="E51" s="251"/>
      <c r="F51" s="252" t="s">
        <v>166</v>
      </c>
      <c r="G51" s="253"/>
      <c r="H51" s="253"/>
      <c r="I51" s="253"/>
      <c r="J51" s="253"/>
      <c r="K51" s="253"/>
      <c r="L51" s="253"/>
      <c r="M51" s="254"/>
    </row>
    <row r="52" spans="1:17" ht="16.5" thickBot="1" x14ac:dyDescent="0.3">
      <c r="A52" s="4" t="s">
        <v>165</v>
      </c>
      <c r="B52" s="55" t="s">
        <v>164</v>
      </c>
      <c r="C52" s="54" t="s">
        <v>137</v>
      </c>
      <c r="D52" s="53" t="s">
        <v>136</v>
      </c>
      <c r="E52" s="52" t="s">
        <v>163</v>
      </c>
      <c r="F52" s="199"/>
      <c r="G52" s="199"/>
      <c r="H52" s="199"/>
      <c r="I52" s="199"/>
      <c r="J52" s="199"/>
      <c r="K52" s="199"/>
      <c r="L52" s="199"/>
      <c r="M52" s="255"/>
    </row>
    <row r="53" spans="1:17" ht="15.75" x14ac:dyDescent="0.25">
      <c r="A53" s="5" t="s">
        <v>162</v>
      </c>
      <c r="B53" s="51">
        <f>B22</f>
        <v>721668.05</v>
      </c>
      <c r="C53" s="50">
        <f>F22</f>
        <v>101033.52700000002</v>
      </c>
      <c r="D53" s="49">
        <f>J22</f>
        <v>620634.52299999993</v>
      </c>
      <c r="E53" s="48">
        <f>C31</f>
        <v>297904.57</v>
      </c>
      <c r="F53" s="199"/>
      <c r="G53" s="199"/>
      <c r="H53" s="199"/>
      <c r="I53" s="199"/>
      <c r="J53" s="199"/>
      <c r="K53" s="199"/>
      <c r="L53" s="199"/>
      <c r="M53" s="255"/>
    </row>
    <row r="54" spans="1:17" ht="16.5" thickBot="1" x14ac:dyDescent="0.3">
      <c r="A54" s="5" t="s">
        <v>161</v>
      </c>
      <c r="B54" s="51">
        <f>B41</f>
        <v>721668.05</v>
      </c>
      <c r="C54" s="50">
        <f>F41</f>
        <v>101033.52700000002</v>
      </c>
      <c r="D54" s="49">
        <f>J41</f>
        <v>620634.52300000004</v>
      </c>
      <c r="E54" s="48">
        <f>C50</f>
        <v>297904.57104000001</v>
      </c>
      <c r="F54" s="199"/>
      <c r="G54" s="199"/>
      <c r="H54" s="199"/>
      <c r="I54" s="199"/>
      <c r="J54" s="199"/>
      <c r="K54" s="199"/>
      <c r="L54" s="199"/>
      <c r="M54" s="255"/>
    </row>
    <row r="55" spans="1:17" ht="15.75" x14ac:dyDescent="0.25">
      <c r="A55" s="4" t="s">
        <v>160</v>
      </c>
      <c r="B55" s="140">
        <f>B53-B54</f>
        <v>0</v>
      </c>
      <c r="C55" s="141">
        <f>C53-C54</f>
        <v>0</v>
      </c>
      <c r="D55" s="142">
        <f>D53-D54</f>
        <v>0</v>
      </c>
      <c r="E55" s="143">
        <f>E53-E54</f>
        <v>-1.0400000028312206E-3</v>
      </c>
      <c r="F55" s="199"/>
      <c r="G55" s="199"/>
      <c r="H55" s="199"/>
      <c r="I55" s="199"/>
      <c r="J55" s="199"/>
      <c r="K55" s="199"/>
      <c r="L55" s="199"/>
      <c r="M55" s="255"/>
    </row>
    <row r="56" spans="1:17" ht="16.5" thickBot="1" x14ac:dyDescent="0.3">
      <c r="A56" s="6" t="s">
        <v>159</v>
      </c>
      <c r="B56" s="47">
        <f>B53/B54</f>
        <v>1</v>
      </c>
      <c r="C56" s="45">
        <f>C53/C54</f>
        <v>1</v>
      </c>
      <c r="D56" s="44">
        <f>D53/D54</f>
        <v>0.99999999999999978</v>
      </c>
      <c r="E56" s="43">
        <f>E53/E54</f>
        <v>0.99999999650894911</v>
      </c>
      <c r="F56" s="199"/>
      <c r="G56" s="199"/>
      <c r="H56" s="199"/>
      <c r="I56" s="199"/>
      <c r="J56" s="199"/>
      <c r="K56" s="199"/>
      <c r="L56" s="199"/>
      <c r="M56" s="255"/>
    </row>
    <row r="57" spans="1:17" ht="15.75" thickBot="1" x14ac:dyDescent="0.3">
      <c r="A57" s="249" t="s">
        <v>158</v>
      </c>
      <c r="B57" s="250"/>
      <c r="C57" s="250"/>
      <c r="D57" s="250"/>
      <c r="E57" s="251"/>
      <c r="F57" s="199"/>
      <c r="G57" s="199"/>
      <c r="H57" s="199"/>
      <c r="I57" s="199"/>
      <c r="J57" s="199"/>
      <c r="K57" s="199"/>
      <c r="L57" s="199"/>
      <c r="M57" s="25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9"/>
      <c r="G58" s="199"/>
      <c r="H58" s="199"/>
      <c r="I58" s="199"/>
      <c r="J58" s="199"/>
      <c r="K58" s="199"/>
      <c r="L58" s="199"/>
      <c r="M58" s="255"/>
    </row>
    <row r="59" spans="1:17" ht="16.5" thickBot="1" x14ac:dyDescent="0.3">
      <c r="A59" s="6" t="e">
        <f t="shared" si="35"/>
        <v>#REF!</v>
      </c>
      <c r="B59" s="46">
        <f t="shared" si="36"/>
        <v>0</v>
      </c>
      <c r="C59" s="45">
        <f>(E36*B36)/($B$22*$E$22)</f>
        <v>0</v>
      </c>
      <c r="D59" s="44">
        <f t="shared" si="37"/>
        <v>0</v>
      </c>
      <c r="E59" s="43" t="e">
        <f t="shared" si="38"/>
        <v>#DIV/0!</v>
      </c>
      <c r="F59" s="199"/>
      <c r="G59" s="199"/>
      <c r="H59" s="199"/>
      <c r="I59" s="199"/>
      <c r="J59" s="199"/>
      <c r="K59" s="199"/>
      <c r="L59" s="199"/>
      <c r="M59" s="255"/>
    </row>
    <row r="60" spans="1:17" ht="16.5" thickBot="1" x14ac:dyDescent="0.3">
      <c r="A60" s="6" t="e">
        <f t="shared" si="35"/>
        <v>#REF!</v>
      </c>
      <c r="B60" s="46">
        <f t="shared" si="36"/>
        <v>0</v>
      </c>
      <c r="C60" s="45">
        <f>(E37*B37)/($B$22*$E$22)</f>
        <v>0</v>
      </c>
      <c r="D60" s="44">
        <f t="shared" si="37"/>
        <v>0</v>
      </c>
      <c r="E60" s="43" t="e">
        <f t="shared" si="38"/>
        <v>#DIV/0!</v>
      </c>
      <c r="F60" s="199"/>
      <c r="G60" s="199"/>
      <c r="H60" s="199"/>
      <c r="I60" s="199"/>
      <c r="J60" s="199"/>
      <c r="K60" s="199"/>
      <c r="L60" s="199"/>
      <c r="M60" s="255"/>
    </row>
    <row r="61" spans="1:17" ht="16.5" thickBot="1" x14ac:dyDescent="0.3">
      <c r="A61" s="6" t="e">
        <f t="shared" si="35"/>
        <v>#REF!</v>
      </c>
      <c r="B61" s="46">
        <f t="shared" si="36"/>
        <v>0</v>
      </c>
      <c r="C61" s="45">
        <f>($G$41*F38)/($B$22*$E$22)</f>
        <v>0</v>
      </c>
      <c r="D61" s="44">
        <f t="shared" si="37"/>
        <v>0</v>
      </c>
      <c r="E61" s="43" t="e">
        <f t="shared" si="38"/>
        <v>#DIV/0!</v>
      </c>
      <c r="F61" s="199"/>
      <c r="G61" s="199"/>
      <c r="H61" s="199"/>
      <c r="I61" s="199"/>
      <c r="J61" s="199"/>
      <c r="K61" s="199"/>
      <c r="L61" s="199"/>
      <c r="M61" s="255"/>
    </row>
    <row r="62" spans="1:17" ht="16.5" thickBot="1" x14ac:dyDescent="0.3">
      <c r="A62" s="6" t="e">
        <f t="shared" si="35"/>
        <v>#REF!</v>
      </c>
      <c r="B62" s="46">
        <f t="shared" si="36"/>
        <v>0</v>
      </c>
      <c r="C62" s="45">
        <f>(B39*E39)/($B$22*$E$22)</f>
        <v>0</v>
      </c>
      <c r="D62" s="44">
        <f t="shared" si="37"/>
        <v>0</v>
      </c>
      <c r="E62" s="43" t="e">
        <f t="shared" si="38"/>
        <v>#DIV/0!</v>
      </c>
      <c r="F62" s="199"/>
      <c r="G62" s="199"/>
      <c r="H62" s="199"/>
      <c r="I62" s="199"/>
      <c r="J62" s="199"/>
      <c r="K62" s="199"/>
      <c r="L62" s="199"/>
      <c r="M62" s="255"/>
    </row>
    <row r="63" spans="1:17" ht="16.5" thickBot="1" x14ac:dyDescent="0.3">
      <c r="A63" s="6">
        <f t="shared" si="35"/>
        <v>0</v>
      </c>
      <c r="B63" s="46">
        <f t="shared" si="36"/>
        <v>0</v>
      </c>
      <c r="C63" s="45">
        <f>(B40*E40)/($B$22*$E$22)</f>
        <v>0</v>
      </c>
      <c r="D63" s="44">
        <f t="shared" si="37"/>
        <v>0</v>
      </c>
      <c r="E63" s="43" t="e">
        <f t="shared" si="38"/>
        <v>#DIV/0!</v>
      </c>
      <c r="F63" s="199"/>
      <c r="G63" s="199"/>
      <c r="H63" s="199"/>
      <c r="I63" s="199"/>
      <c r="J63" s="199"/>
      <c r="K63" s="199"/>
      <c r="L63" s="199"/>
      <c r="M63" s="255"/>
    </row>
    <row r="64" spans="1:17" ht="16.5" thickBot="1" x14ac:dyDescent="0.3">
      <c r="A64" s="4" t="s">
        <v>157</v>
      </c>
      <c r="B64" s="136">
        <f>SUM(B58:B63)</f>
        <v>1</v>
      </c>
      <c r="C64" s="137">
        <f>SUM(C58:C63)</f>
        <v>1</v>
      </c>
      <c r="D64" s="138">
        <f>SUM(D58:D63)</f>
        <v>1.0000000000000002</v>
      </c>
      <c r="E64" s="139" t="e">
        <f>SUM(E58:E63)</f>
        <v>#DIV/0!</v>
      </c>
      <c r="F64" s="199"/>
      <c r="G64" s="199"/>
      <c r="H64" s="199"/>
      <c r="I64" s="199"/>
      <c r="J64" s="199"/>
      <c r="K64" s="199"/>
      <c r="L64" s="199"/>
      <c r="M64" s="255"/>
    </row>
    <row r="65" spans="1:13" ht="16.5" thickBot="1" x14ac:dyDescent="0.3">
      <c r="A65" s="225" t="s">
        <v>156</v>
      </c>
      <c r="B65" s="226"/>
      <c r="C65" s="226"/>
      <c r="D65" s="226"/>
      <c r="E65" s="226"/>
      <c r="F65" s="226"/>
      <c r="G65" s="226"/>
      <c r="H65" s="226"/>
      <c r="I65" s="226"/>
      <c r="J65" s="226"/>
      <c r="K65" s="226"/>
      <c r="L65" s="226"/>
      <c r="M65" s="227"/>
    </row>
    <row r="66" spans="1:13" x14ac:dyDescent="0.25">
      <c r="A66" s="5" t="s">
        <v>155</v>
      </c>
      <c r="B66" s="256" t="s">
        <v>154</v>
      </c>
      <c r="C66" s="256"/>
      <c r="D66" s="256"/>
      <c r="E66" s="256"/>
      <c r="F66" s="256"/>
      <c r="G66" s="5" t="s">
        <v>153</v>
      </c>
      <c r="M66" s="37"/>
    </row>
    <row r="67" spans="1:13" ht="18.75" customHeight="1" x14ac:dyDescent="0.25">
      <c r="A67" s="5" t="s">
        <v>152</v>
      </c>
      <c r="B67" s="199" t="s">
        <v>139</v>
      </c>
      <c r="C67" s="199"/>
      <c r="D67" s="199"/>
      <c r="E67" s="199"/>
      <c r="F67" s="199"/>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4" t="s">
        <v>31</v>
      </c>
    </row>
    <row r="7" spans="2:5" x14ac:dyDescent="0.25">
      <c r="B7" t="s">
        <v>352</v>
      </c>
      <c r="D7">
        <v>0.47399999999999998</v>
      </c>
      <c r="E7" s="165">
        <v>0.47399999999999998</v>
      </c>
    </row>
    <row r="8" spans="2:5" x14ac:dyDescent="0.25">
      <c r="B8" t="s">
        <v>353</v>
      </c>
      <c r="D8">
        <v>7.3850399999999941E-2</v>
      </c>
      <c r="E8" s="165">
        <v>7.3850399999999941E-2</v>
      </c>
    </row>
    <row r="9" spans="2:5" x14ac:dyDescent="0.25">
      <c r="B9" t="s">
        <v>354</v>
      </c>
      <c r="D9">
        <v>0.38923999999999964</v>
      </c>
      <c r="E9" s="165">
        <v>0.38923999999999964</v>
      </c>
    </row>
    <row r="10" spans="2:5" x14ac:dyDescent="0.25">
      <c r="B10" t="s">
        <v>355</v>
      </c>
      <c r="D10">
        <v>6.2909599999999954E-2</v>
      </c>
      <c r="E10" s="165">
        <v>6.2909599999999954E-2</v>
      </c>
    </row>
    <row r="11" spans="2:5" x14ac:dyDescent="0.25">
      <c r="D11">
        <f>SUM(D7:D10)</f>
        <v>0.99999999999999956</v>
      </c>
      <c r="E11" s="17">
        <f>SUM(E7:E10)</f>
        <v>0.99999999999999956</v>
      </c>
    </row>
    <row r="13" spans="2:5" x14ac:dyDescent="0.25">
      <c r="B13" t="s">
        <v>353</v>
      </c>
      <c r="D13">
        <v>7.3850399999999941E-2</v>
      </c>
      <c r="E13" s="165">
        <f>D13/$D$16</f>
        <v>0.1404</v>
      </c>
    </row>
    <row r="14" spans="2:5" x14ac:dyDescent="0.25">
      <c r="B14" t="s">
        <v>354</v>
      </c>
      <c r="D14">
        <v>0.38923999999999964</v>
      </c>
      <c r="E14" s="165">
        <f t="shared" ref="E14:E15" si="0">D14/$D$16</f>
        <v>0.73999999999999988</v>
      </c>
    </row>
    <row r="15" spans="2:5" x14ac:dyDescent="0.25">
      <c r="B15" t="s">
        <v>355</v>
      </c>
      <c r="D15">
        <v>6.2909599999999954E-2</v>
      </c>
      <c r="E15" s="165">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263</v>
      </c>
      <c r="B1" s="262"/>
      <c r="C1" s="262"/>
      <c r="E1" s="262" t="s">
        <v>264</v>
      </c>
      <c r="F1" s="262"/>
      <c r="G1" s="262"/>
    </row>
    <row r="2" spans="1:12" x14ac:dyDescent="0.25">
      <c r="A2" s="13" t="s">
        <v>28</v>
      </c>
      <c r="B2" s="13" t="s">
        <v>29</v>
      </c>
      <c r="C2" s="13" t="s">
        <v>6</v>
      </c>
      <c r="E2" s="13" t="s">
        <v>28</v>
      </c>
      <c r="F2" s="13" t="s">
        <v>29</v>
      </c>
      <c r="G2" s="13" t="s">
        <v>6</v>
      </c>
      <c r="I2" s="13" t="s">
        <v>28</v>
      </c>
      <c r="J2" s="13" t="s">
        <v>29</v>
      </c>
      <c r="K2" s="13" t="s">
        <v>6</v>
      </c>
      <c r="L2" s="190"/>
    </row>
    <row r="3" spans="1:12" ht="105" x14ac:dyDescent="0.25">
      <c r="A3" s="3">
        <v>1</v>
      </c>
      <c r="B3" s="3" t="s">
        <v>162</v>
      </c>
      <c r="C3" s="3"/>
      <c r="E3" s="3">
        <v>1</v>
      </c>
      <c r="F3" s="3" t="s">
        <v>81</v>
      </c>
      <c r="G3" s="3" t="s">
        <v>83</v>
      </c>
      <c r="I3" s="3">
        <v>1</v>
      </c>
      <c r="J3" s="3" t="s">
        <v>671</v>
      </c>
      <c r="K3" s="192" t="s">
        <v>676</v>
      </c>
    </row>
    <row r="4" spans="1:12" ht="90" x14ac:dyDescent="0.25">
      <c r="A4" s="3">
        <v>2</v>
      </c>
      <c r="B4" s="3" t="s">
        <v>161</v>
      </c>
      <c r="C4" s="3"/>
      <c r="E4" s="3">
        <v>2</v>
      </c>
      <c r="F4" s="3" t="s">
        <v>82</v>
      </c>
      <c r="G4" s="3" t="s">
        <v>84</v>
      </c>
      <c r="I4">
        <v>2</v>
      </c>
      <c r="J4" t="s">
        <v>672</v>
      </c>
      <c r="K4" s="1" t="s">
        <v>677</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2" t="s">
        <v>265</v>
      </c>
      <c r="B9" s="262"/>
      <c r="C9" s="262"/>
    </row>
    <row r="10" spans="1:12" x14ac:dyDescent="0.25">
      <c r="A10" t="s">
        <v>28</v>
      </c>
      <c r="B10" t="s">
        <v>165</v>
      </c>
      <c r="C10" t="s">
        <v>6</v>
      </c>
      <c r="E10" s="262"/>
      <c r="F10" s="262"/>
      <c r="G10" s="262"/>
    </row>
    <row r="11" spans="1:12" x14ac:dyDescent="0.25">
      <c r="B11" t="s">
        <v>359</v>
      </c>
      <c r="E11" s="166"/>
      <c r="F11" s="166"/>
      <c r="G11" s="166"/>
    </row>
    <row r="12" spans="1:12" x14ac:dyDescent="0.25">
      <c r="B12" t="s">
        <v>369</v>
      </c>
      <c r="E12" s="166"/>
      <c r="F12" s="166"/>
      <c r="G12" s="166"/>
    </row>
    <row r="13" spans="1:12" x14ac:dyDescent="0.25">
      <c r="B13" t="s">
        <v>371</v>
      </c>
      <c r="E13" s="166"/>
      <c r="F13" s="166"/>
      <c r="G13" s="166"/>
    </row>
    <row r="14" spans="1:12" x14ac:dyDescent="0.25">
      <c r="B14" t="s">
        <v>370</v>
      </c>
      <c r="C14" t="s">
        <v>360</v>
      </c>
      <c r="E14" s="166"/>
      <c r="F14" s="166"/>
      <c r="G14" s="166"/>
    </row>
    <row r="15" spans="1:12" x14ac:dyDescent="0.25">
      <c r="B15" t="s">
        <v>372</v>
      </c>
      <c r="E15" s="166"/>
      <c r="F15" s="166"/>
      <c r="G15" s="166"/>
    </row>
    <row r="16" spans="1:12" x14ac:dyDescent="0.25">
      <c r="B16" t="s">
        <v>362</v>
      </c>
      <c r="E16" s="166"/>
      <c r="F16" s="166"/>
      <c r="G16" s="166"/>
    </row>
    <row r="17" spans="1:12" x14ac:dyDescent="0.25">
      <c r="B17" t="s">
        <v>368</v>
      </c>
      <c r="E17" s="166"/>
      <c r="F17" s="166"/>
      <c r="G17" s="166"/>
    </row>
    <row r="18" spans="1:12" x14ac:dyDescent="0.25">
      <c r="B18" t="s">
        <v>363</v>
      </c>
      <c r="E18" s="166"/>
      <c r="F18" s="166"/>
      <c r="G18" s="166"/>
    </row>
    <row r="19" spans="1:12" x14ac:dyDescent="0.25">
      <c r="E19" s="166"/>
      <c r="F19" s="166"/>
      <c r="G19" s="166"/>
    </row>
    <row r="20" spans="1:12" x14ac:dyDescent="0.25">
      <c r="A20" s="262" t="s">
        <v>366</v>
      </c>
      <c r="B20" s="262"/>
      <c r="C20" s="262"/>
    </row>
    <row r="21" spans="1:12" x14ac:dyDescent="0.25">
      <c r="A21" t="s">
        <v>235</v>
      </c>
      <c r="B21" t="s">
        <v>361</v>
      </c>
      <c r="C21" t="s">
        <v>6</v>
      </c>
    </row>
    <row r="22" spans="1:12" x14ac:dyDescent="0.25">
      <c r="A22" t="s">
        <v>370</v>
      </c>
      <c r="B22" t="s">
        <v>370</v>
      </c>
    </row>
    <row r="23" spans="1:12" x14ac:dyDescent="0.25">
      <c r="A23" t="s">
        <v>369</v>
      </c>
      <c r="B23" t="s">
        <v>369</v>
      </c>
    </row>
    <row r="24" spans="1:12" x14ac:dyDescent="0.25">
      <c r="A24" t="s">
        <v>372</v>
      </c>
      <c r="B24" t="s">
        <v>372</v>
      </c>
    </row>
    <row r="25" spans="1:12" x14ac:dyDescent="0.25">
      <c r="A25" t="s">
        <v>371</v>
      </c>
      <c r="B25" t="s">
        <v>371</v>
      </c>
    </row>
    <row r="26" spans="1:12" x14ac:dyDescent="0.25">
      <c r="A26" t="s">
        <v>364</v>
      </c>
      <c r="B26" t="s">
        <v>364</v>
      </c>
    </row>
    <row r="27" spans="1:12" x14ac:dyDescent="0.25">
      <c r="A27" t="s">
        <v>365</v>
      </c>
      <c r="B27" t="s">
        <v>365</v>
      </c>
    </row>
    <row r="28" spans="1:12" x14ac:dyDescent="0.25">
      <c r="J28" s="263" t="s">
        <v>50</v>
      </c>
      <c r="K28" s="263"/>
      <c r="L28" s="263"/>
    </row>
    <row r="29" spans="1:12" x14ac:dyDescent="0.25">
      <c r="J29" s="2" t="s">
        <v>28</v>
      </c>
      <c r="K29" s="2" t="s">
        <v>29</v>
      </c>
      <c r="L29" s="2" t="s">
        <v>6</v>
      </c>
    </row>
    <row r="30" spans="1:12" x14ac:dyDescent="0.25">
      <c r="J30" s="3">
        <v>1</v>
      </c>
      <c r="K30" s="3" t="s">
        <v>59</v>
      </c>
      <c r="L30" s="3" t="s">
        <v>59</v>
      </c>
    </row>
    <row r="31" spans="1:12" x14ac:dyDescent="0.25">
      <c r="A31" s="262" t="s">
        <v>266</v>
      </c>
      <c r="B31" s="262"/>
      <c r="C31" s="262"/>
      <c r="J31">
        <v>2</v>
      </c>
      <c r="K31" t="s">
        <v>13</v>
      </c>
      <c r="L31" t="s">
        <v>13</v>
      </c>
    </row>
    <row r="32" spans="1:12" x14ac:dyDescent="0.25">
      <c r="A32" t="s">
        <v>28</v>
      </c>
      <c r="B32" t="s">
        <v>267</v>
      </c>
      <c r="C32" t="s">
        <v>6</v>
      </c>
      <c r="J32" s="3">
        <v>3</v>
      </c>
      <c r="K32" s="3" t="s">
        <v>60</v>
      </c>
      <c r="L32" s="3" t="s">
        <v>60</v>
      </c>
    </row>
    <row r="33" spans="1:12" x14ac:dyDescent="0.25">
      <c r="A33">
        <v>1</v>
      </c>
      <c r="B33" t="s">
        <v>244</v>
      </c>
      <c r="C33" t="s">
        <v>268</v>
      </c>
      <c r="J33">
        <v>4</v>
      </c>
      <c r="K33" t="s">
        <v>61</v>
      </c>
      <c r="L33" t="s">
        <v>61</v>
      </c>
    </row>
    <row r="34" spans="1:12" x14ac:dyDescent="0.25">
      <c r="A34">
        <v>2</v>
      </c>
      <c r="B34" t="s">
        <v>245</v>
      </c>
      <c r="C34" t="s">
        <v>269</v>
      </c>
      <c r="J34" s="3">
        <v>5</v>
      </c>
      <c r="K34" s="3" t="s">
        <v>62</v>
      </c>
      <c r="L34" s="3" t="s">
        <v>62</v>
      </c>
    </row>
    <row r="35" spans="1:12" x14ac:dyDescent="0.25">
      <c r="A35">
        <v>3</v>
      </c>
      <c r="B35" t="s">
        <v>246</v>
      </c>
      <c r="C35" t="s">
        <v>270</v>
      </c>
    </row>
    <row r="36" spans="1:12" x14ac:dyDescent="0.25">
      <c r="A36">
        <v>4</v>
      </c>
    </row>
    <row r="38" spans="1:12" x14ac:dyDescent="0.25">
      <c r="A38" s="262" t="s">
        <v>271</v>
      </c>
      <c r="B38" s="262"/>
      <c r="C38" s="262"/>
    </row>
    <row r="39" spans="1:12" x14ac:dyDescent="0.25">
      <c r="A39" t="s">
        <v>235</v>
      </c>
      <c r="B39" t="s">
        <v>272</v>
      </c>
      <c r="C39" t="s">
        <v>6</v>
      </c>
    </row>
    <row r="40" spans="1:12" x14ac:dyDescent="0.25">
      <c r="A40">
        <v>1</v>
      </c>
      <c r="B40" t="s">
        <v>236</v>
      </c>
      <c r="F40" s="262" t="s">
        <v>51</v>
      </c>
      <c r="G40" s="262"/>
      <c r="H40" s="262"/>
    </row>
    <row r="41" spans="1:12" x14ac:dyDescent="0.25">
      <c r="A41">
        <v>2</v>
      </c>
      <c r="B41" t="s">
        <v>237</v>
      </c>
      <c r="F41" t="s">
        <v>28</v>
      </c>
      <c r="G41" t="s">
        <v>29</v>
      </c>
      <c r="H41" t="s">
        <v>6</v>
      </c>
    </row>
    <row r="42" spans="1:12" x14ac:dyDescent="0.25">
      <c r="A42">
        <v>3</v>
      </c>
      <c r="B42" t="s">
        <v>238</v>
      </c>
      <c r="F42">
        <v>1</v>
      </c>
      <c r="G42" t="s">
        <v>30</v>
      </c>
      <c r="H42" t="s">
        <v>30</v>
      </c>
    </row>
    <row r="43" spans="1:12" x14ac:dyDescent="0.25">
      <c r="A43">
        <v>4</v>
      </c>
      <c r="B43" t="s">
        <v>239</v>
      </c>
      <c r="F43">
        <v>2</v>
      </c>
      <c r="G43" t="s">
        <v>11</v>
      </c>
      <c r="H43" t="s">
        <v>11</v>
      </c>
    </row>
    <row r="44" spans="1:12" x14ac:dyDescent="0.25">
      <c r="A44">
        <v>5</v>
      </c>
      <c r="B44" t="s">
        <v>240</v>
      </c>
      <c r="F44">
        <v>3</v>
      </c>
      <c r="G44" t="s">
        <v>12</v>
      </c>
      <c r="H44" t="s">
        <v>12</v>
      </c>
    </row>
    <row r="45" spans="1:12" x14ac:dyDescent="0.25">
      <c r="A45">
        <v>6</v>
      </c>
      <c r="B45" t="s">
        <v>241</v>
      </c>
      <c r="F45">
        <v>4</v>
      </c>
      <c r="G45" t="s">
        <v>63</v>
      </c>
      <c r="H45" t="s">
        <v>63</v>
      </c>
    </row>
    <row r="46" spans="1:12" x14ac:dyDescent="0.25">
      <c r="A46">
        <v>7</v>
      </c>
      <c r="B46" t="s">
        <v>242</v>
      </c>
      <c r="F46">
        <v>5</v>
      </c>
    </row>
    <row r="47" spans="1:12" x14ac:dyDescent="0.25">
      <c r="A47">
        <v>8</v>
      </c>
      <c r="F47">
        <v>6</v>
      </c>
    </row>
    <row r="48" spans="1:12" x14ac:dyDescent="0.25">
      <c r="A48">
        <v>9</v>
      </c>
      <c r="F48">
        <v>7</v>
      </c>
    </row>
    <row r="49" spans="1:6" x14ac:dyDescent="0.25">
      <c r="F49">
        <v>8</v>
      </c>
    </row>
    <row r="51" spans="1:6" x14ac:dyDescent="0.25">
      <c r="A51" s="262" t="s">
        <v>721</v>
      </c>
      <c r="B51" s="262"/>
      <c r="E51" s="262" t="s">
        <v>720</v>
      </c>
      <c r="F51" s="262"/>
    </row>
    <row r="52" spans="1:6" x14ac:dyDescent="0.25">
      <c r="A52" t="s">
        <v>28</v>
      </c>
      <c r="B52" t="s">
        <v>32</v>
      </c>
      <c r="E52" t="s">
        <v>28</v>
      </c>
      <c r="F52" t="s">
        <v>717</v>
      </c>
    </row>
    <row r="53" spans="1:6" x14ac:dyDescent="0.25">
      <c r="A53">
        <v>1</v>
      </c>
      <c r="B53" t="s">
        <v>7</v>
      </c>
      <c r="E53">
        <v>1</v>
      </c>
      <c r="F53" t="s">
        <v>719</v>
      </c>
    </row>
    <row r="54" spans="1:6" x14ac:dyDescent="0.25">
      <c r="A54">
        <v>2</v>
      </c>
      <c r="B54" t="s">
        <v>8</v>
      </c>
      <c r="E54">
        <v>2</v>
      </c>
      <c r="F54" t="s">
        <v>718</v>
      </c>
    </row>
    <row r="55" spans="1:6" x14ac:dyDescent="0.25">
      <c r="E55">
        <v>3</v>
      </c>
      <c r="F55" t="s">
        <v>722</v>
      </c>
    </row>
    <row r="56" spans="1:6" x14ac:dyDescent="0.25">
      <c r="A56" t="s">
        <v>235</v>
      </c>
      <c r="B56" t="s">
        <v>272</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235</v>
      </c>
      <c r="B68" t="s">
        <v>345</v>
      </c>
      <c r="C68" t="s">
        <v>6</v>
      </c>
      <c r="E68" t="s">
        <v>235</v>
      </c>
      <c r="F68" t="s">
        <v>339</v>
      </c>
      <c r="G68" t="s">
        <v>6</v>
      </c>
      <c r="I68" t="s">
        <v>235</v>
      </c>
      <c r="J68" t="s">
        <v>340</v>
      </c>
      <c r="K68" t="s">
        <v>6</v>
      </c>
      <c r="M68" t="s">
        <v>235</v>
      </c>
      <c r="N68" t="s">
        <v>341</v>
      </c>
      <c r="O68" t="s">
        <v>6</v>
      </c>
      <c r="Q68" t="s">
        <v>235</v>
      </c>
      <c r="R68" t="s">
        <v>342</v>
      </c>
      <c r="S68" t="s">
        <v>6</v>
      </c>
      <c r="U68" t="s">
        <v>235</v>
      </c>
      <c r="V68" t="s">
        <v>346</v>
      </c>
      <c r="W68" t="s">
        <v>6</v>
      </c>
    </row>
    <row r="69" spans="1:23" x14ac:dyDescent="0.25">
      <c r="A69">
        <v>1</v>
      </c>
      <c r="B69" t="s">
        <v>347</v>
      </c>
      <c r="E69">
        <v>1</v>
      </c>
      <c r="F69" t="s">
        <v>330</v>
      </c>
      <c r="I69">
        <v>1</v>
      </c>
      <c r="J69" t="s">
        <v>332</v>
      </c>
      <c r="M69">
        <v>1</v>
      </c>
      <c r="N69" t="s">
        <v>334</v>
      </c>
      <c r="Q69">
        <v>1</v>
      </c>
      <c r="R69" t="s">
        <v>336</v>
      </c>
      <c r="U69">
        <v>1</v>
      </c>
      <c r="V69" t="s">
        <v>330</v>
      </c>
    </row>
    <row r="70" spans="1:23" x14ac:dyDescent="0.25">
      <c r="A70">
        <v>2</v>
      </c>
      <c r="B70" t="s">
        <v>350</v>
      </c>
      <c r="E70">
        <v>2</v>
      </c>
      <c r="F70" t="s">
        <v>331</v>
      </c>
      <c r="I70">
        <v>2</v>
      </c>
      <c r="J70" t="s">
        <v>333</v>
      </c>
      <c r="M70">
        <v>2</v>
      </c>
      <c r="N70" t="s">
        <v>335</v>
      </c>
      <c r="Q70">
        <v>2</v>
      </c>
      <c r="R70" t="s">
        <v>337</v>
      </c>
      <c r="U70">
        <v>2</v>
      </c>
      <c r="V70" t="s">
        <v>331</v>
      </c>
    </row>
    <row r="71" spans="1:23" x14ac:dyDescent="0.25">
      <c r="A71">
        <v>3</v>
      </c>
      <c r="B71" t="s">
        <v>348</v>
      </c>
      <c r="E71">
        <v>3</v>
      </c>
      <c r="I71">
        <v>3</v>
      </c>
      <c r="M71">
        <v>3</v>
      </c>
      <c r="Q71">
        <v>3</v>
      </c>
      <c r="R71" t="s">
        <v>338</v>
      </c>
      <c r="U71">
        <v>3</v>
      </c>
      <c r="V71" t="s">
        <v>332</v>
      </c>
    </row>
    <row r="72" spans="1:23" x14ac:dyDescent="0.25">
      <c r="A72">
        <v>4</v>
      </c>
      <c r="B72" t="s">
        <v>349</v>
      </c>
      <c r="E72">
        <v>4</v>
      </c>
      <c r="I72">
        <v>4</v>
      </c>
      <c r="M72">
        <v>4</v>
      </c>
      <c r="Q72">
        <v>4</v>
      </c>
      <c r="U72">
        <v>4</v>
      </c>
      <c r="V72" t="s">
        <v>333</v>
      </c>
    </row>
    <row r="73" spans="1:23" x14ac:dyDescent="0.25">
      <c r="A73">
        <v>5</v>
      </c>
      <c r="B73" t="s">
        <v>351</v>
      </c>
      <c r="E73">
        <v>5</v>
      </c>
      <c r="I73">
        <v>5</v>
      </c>
      <c r="M73">
        <v>5</v>
      </c>
      <c r="Q73">
        <v>5</v>
      </c>
      <c r="U73">
        <v>5</v>
      </c>
      <c r="V73" t="s">
        <v>334</v>
      </c>
    </row>
    <row r="74" spans="1:23" x14ac:dyDescent="0.25">
      <c r="A74">
        <v>6</v>
      </c>
      <c r="E74">
        <v>6</v>
      </c>
      <c r="I74">
        <v>6</v>
      </c>
      <c r="M74">
        <v>6</v>
      </c>
      <c r="Q74">
        <v>6</v>
      </c>
      <c r="U74">
        <v>6</v>
      </c>
      <c r="V74" t="s">
        <v>335</v>
      </c>
    </row>
    <row r="75" spans="1:23" x14ac:dyDescent="0.25">
      <c r="A75">
        <v>7</v>
      </c>
      <c r="E75">
        <v>7</v>
      </c>
      <c r="I75">
        <v>7</v>
      </c>
      <c r="M75">
        <v>7</v>
      </c>
      <c r="Q75">
        <v>7</v>
      </c>
      <c r="U75">
        <v>7</v>
      </c>
      <c r="V75" t="s">
        <v>336</v>
      </c>
    </row>
    <row r="76" spans="1:23" x14ac:dyDescent="0.25">
      <c r="A76">
        <v>8</v>
      </c>
      <c r="E76">
        <v>8</v>
      </c>
      <c r="I76">
        <v>8</v>
      </c>
      <c r="M76">
        <v>8</v>
      </c>
      <c r="Q76">
        <v>8</v>
      </c>
      <c r="U76">
        <v>8</v>
      </c>
      <c r="V76" t="s">
        <v>337</v>
      </c>
    </row>
    <row r="77" spans="1:23" x14ac:dyDescent="0.25">
      <c r="A77">
        <v>9</v>
      </c>
      <c r="E77">
        <v>9</v>
      </c>
      <c r="I77">
        <v>9</v>
      </c>
      <c r="M77">
        <v>9</v>
      </c>
      <c r="Q77">
        <v>9</v>
      </c>
      <c r="U77">
        <v>9</v>
      </c>
      <c r="V77" t="s">
        <v>338</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235</v>
      </c>
      <c r="B88" t="s">
        <v>378</v>
      </c>
      <c r="C88" t="s">
        <v>6</v>
      </c>
    </row>
    <row r="89" spans="1:21" x14ac:dyDescent="0.25">
      <c r="A89">
        <v>1</v>
      </c>
      <c r="B89" t="s">
        <v>375</v>
      </c>
      <c r="C89" t="s">
        <v>379</v>
      </c>
    </row>
    <row r="90" spans="1:21" ht="135" x14ac:dyDescent="0.25">
      <c r="A90">
        <v>2</v>
      </c>
      <c r="B90" t="s">
        <v>381</v>
      </c>
      <c r="C90" s="1" t="s">
        <v>380</v>
      </c>
    </row>
    <row r="91" spans="1:21" ht="75" x14ac:dyDescent="0.25">
      <c r="A91">
        <v>3</v>
      </c>
      <c r="B91" t="s">
        <v>376</v>
      </c>
      <c r="C91" s="1" t="s">
        <v>382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2025-10-09T12:03:54Z</dcterms:modified>
</cp:coreProperties>
</file>