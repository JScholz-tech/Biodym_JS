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B16E9E82-21FB-4679-AAAF-97CB731905CA}" xr6:coauthVersionLast="47" xr6:coauthVersionMax="47" xr10:uidLastSave="{00000000-0000-0000-0000-000000000000}"/>
  <bookViews>
    <workbookView xWindow="-120" yWindow="-120" windowWidth="38640" windowHeight="21120" tabRatio="840" firstSheet="14" activeTab="16"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<sst xmlns="http://schemas.openxmlformats.org/spreadsheetml/2006/main" count="3783" uniqueCount="808">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</sst>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1">
  <autoFilter ref="A1:P59" xr:uid="{FF9E0B7D-0B53-4192-BACF-A733D16BD97E}"/>
  <tableColumns count="16">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0" t="s">
        <v>29</v>
      </c>
      <c r="C12" s="230"/>
      <c r="D12" s="230"/>
      <c r="E12" s="230"/>
      <c r="F12" s="230"/>
      <c r="G12" s="230"/>
      <c r="H12" s="230"/>
      <c r="I12" s="230"/>
      <c r="J12" s="230"/>
      <c r="K12" s="230"/>
      <c r="L12" s="230"/>
      <c r="M12" s="230"/>
      <c r="T12">
        <v>2031</v>
      </c>
    </row>
    <row r="13" spans="2:20" x14ac:dyDescent="0.25">
      <c r="B13" s="230"/>
      <c r="C13" s="230"/>
      <c r="D13" s="230"/>
      <c r="E13" s="230"/>
      <c r="F13" s="230"/>
      <c r="G13" s="230"/>
      <c r="H13" s="230"/>
      <c r="I13" s="230"/>
      <c r="J13" s="230"/>
      <c r="K13" s="230"/>
      <c r="L13" s="230"/>
      <c r="M13" s="230"/>
      <c r="T13">
        <v>2032</v>
      </c>
    </row>
    <row r="14" spans="2:20" x14ac:dyDescent="0.25">
      <c r="B14" s="230"/>
      <c r="C14" s="230"/>
      <c r="D14" s="230"/>
      <c r="E14" s="230"/>
      <c r="F14" s="230"/>
      <c r="G14" s="230"/>
      <c r="H14" s="230"/>
      <c r="I14" s="230"/>
      <c r="J14" s="230"/>
      <c r="K14" s="230"/>
      <c r="L14" s="230"/>
      <c r="M14" s="230"/>
      <c r="T14">
        <v>2033</v>
      </c>
    </row>
    <row r="15" spans="2:20" x14ac:dyDescent="0.25">
      <c r="B15" s="231" t="s">
        <v>30</v>
      </c>
      <c r="C15" s="231"/>
      <c r="D15" s="231"/>
      <c r="E15" s="231"/>
      <c r="F15" s="231"/>
      <c r="G15" s="231"/>
      <c r="H15" s="231"/>
      <c r="I15" s="231"/>
      <c r="J15" s="231"/>
      <c r="K15" s="231"/>
      <c r="L15" s="231"/>
      <c r="T15">
        <v>2034</v>
      </c>
    </row>
    <row r="16" spans="2:20" x14ac:dyDescent="0.25">
      <c r="B16" s="231"/>
      <c r="C16" s="231"/>
      <c r="D16" s="231"/>
      <c r="E16" s="231"/>
      <c r="F16" s="231"/>
      <c r="G16" s="231"/>
      <c r="H16" s="231"/>
      <c r="I16" s="231"/>
      <c r="J16" s="231"/>
      <c r="K16" s="231"/>
      <c r="L16" s="231"/>
      <c r="T16">
        <v>2035</v>
      </c>
    </row>
    <row r="17" spans="2:20" x14ac:dyDescent="0.25">
      <c r="B17" s="231"/>
      <c r="C17" s="231"/>
      <c r="D17" s="231"/>
      <c r="E17" s="231"/>
      <c r="F17" s="231"/>
      <c r="G17" s="231"/>
      <c r="H17" s="231"/>
      <c r="I17" s="231"/>
      <c r="J17" s="231"/>
      <c r="K17" s="231"/>
      <c r="L17" s="231"/>
      <c r="T17">
        <v>2036</v>
      </c>
    </row>
    <row r="18" spans="2:20" x14ac:dyDescent="0.25">
      <c r="B18" s="231"/>
      <c r="C18" s="231"/>
      <c r="D18" s="231"/>
      <c r="E18" s="231"/>
      <c r="F18" s="231"/>
      <c r="G18" s="231"/>
      <c r="H18" s="231"/>
      <c r="I18" s="231"/>
      <c r="J18" s="231"/>
      <c r="K18" s="231"/>
      <c r="L18" s="23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I1" activePane="topRight" state="frozen"/>
      <selection pane="topRight" activeCell="D18" sqref="D18"/>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opLeftCell="G1" zoomScale="85" zoomScaleNormal="85" workbookViewId="0">
      <selection activeCell="J32" sqref="J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88</v>
      </c>
      <c r="B1" s="220" t="s">
        <v>32</v>
      </c>
      <c r="C1" s="220" t="s">
        <v>62</v>
      </c>
      <c r="D1" s="220" t="s">
        <v>90</v>
      </c>
      <c r="E1" s="224" t="s">
        <v>765</v>
      </c>
      <c r="F1" s="224" t="s">
        <v>615</v>
      </c>
      <c r="G1" s="224" t="s">
        <v>618</v>
      </c>
      <c r="H1" s="224" t="s">
        <v>799</v>
      </c>
      <c r="I1" t="s">
        <v>800</v>
      </c>
      <c r="J1" s="224" t="s">
        <v>801</v>
      </c>
      <c r="K1" s="224" t="s">
        <v>804</v>
      </c>
      <c r="L1" s="224" t="s">
        <v>802</v>
      </c>
      <c r="M1" s="224" t="s">
        <v>805</v>
      </c>
      <c r="N1" s="224" t="s">
        <v>803</v>
      </c>
      <c r="O1" t="s">
        <v>806</v>
      </c>
      <c r="P1" t="s">
        <v>6</v>
      </c>
    </row>
    <row r="2" spans="1:16" x14ac:dyDescent="0.25">
      <c r="A2" s="225" t="b">
        <v>0</v>
      </c>
      <c r="B2" s="9">
        <f>ROW()-1</f>
        <v>1</v>
      </c>
      <c r="C2" s="47" t="str">
        <f>_xlfn.XLOOKUP($D2,Tab_Def_Processes[Name(EN)],Tab_Def_Processes[ID],,0,)</f>
        <v>00</v>
      </c>
      <c r="D2" s="221" t="str">
        <f>Tab_Def_Processes[[#This Row],[Name(EN)]]</f>
        <v>Atmosphere</v>
      </c>
      <c r="E2" s="227" t="s">
        <v>676</v>
      </c>
      <c r="F2" s="227" t="s">
        <v>681</v>
      </c>
      <c r="G2" s="9" t="str">
        <f>_xlfn.XLOOKUP($F2,Table32[Color_Name],Table32[Hex_Code],,0,)</f>
        <v>#6B8E23</v>
      </c>
      <c r="H2">
        <v>0.1</v>
      </c>
      <c r="I2">
        <v>0.8</v>
      </c>
      <c r="J2">
        <v>0.2</v>
      </c>
      <c r="K2">
        <v>0.8</v>
      </c>
      <c r="L2">
        <v>0.1</v>
      </c>
      <c r="M2">
        <v>0.8</v>
      </c>
      <c r="N2">
        <v>0.2</v>
      </c>
      <c r="O2">
        <v>0.8</v>
      </c>
    </row>
    <row r="3" spans="1:16" x14ac:dyDescent="0.25">
      <c r="A3" s="225" t="b">
        <v>0</v>
      </c>
      <c r="B3" s="9">
        <f t="shared" ref="B3:B59" si="0">ROW()-1</f>
        <v>2</v>
      </c>
      <c r="C3" s="47" t="str">
        <f>_xlfn.XLOOKUP($D3,Tab_Def_Processes[Name(EN)],Tab_Def_Processes[ID],,0,)</f>
        <v>01</v>
      </c>
      <c r="D3" s="221" t="str">
        <f>Tab_Def_Processes[[#This Row],[Name(EN)]]</f>
        <v>Environment</v>
      </c>
      <c r="E3" s="227" t="s">
        <v>676</v>
      </c>
      <c r="F3" s="227" t="s">
        <v>723</v>
      </c>
      <c r="G3" s="9" t="str">
        <f>_xlfn.XLOOKUP($F3,Table32[Color_Name],Table32[Hex_Code],,0,)</f>
        <v>#FF6347</v>
      </c>
      <c r="H3">
        <v>0.1</v>
      </c>
      <c r="I3">
        <v>0.2</v>
      </c>
      <c r="J3">
        <v>0.3</v>
      </c>
      <c r="K3">
        <v>0.2</v>
      </c>
      <c r="L3">
        <v>0.1</v>
      </c>
      <c r="M3">
        <v>0.2</v>
      </c>
      <c r="N3">
        <v>0.3</v>
      </c>
      <c r="O3">
        <v>0.2</v>
      </c>
    </row>
    <row r="4" spans="1:16" x14ac:dyDescent="0.25">
      <c r="A4" s="225" t="b">
        <v>0</v>
      </c>
      <c r="B4" s="9">
        <f t="shared" si="0"/>
        <v>3</v>
      </c>
      <c r="C4" s="47" t="str">
        <f>_xlfn.XLOOKUP($D4,Tab_Def_Processes[Name(EN)],Tab_Def_Processes[ID],,0,)</f>
        <v>02</v>
      </c>
      <c r="D4" s="221" t="str">
        <f>Tab_Def_Processes[[#This Row],[Name(EN)]]</f>
        <v>Cultivation</v>
      </c>
      <c r="E4" s="227" t="s">
        <v>676</v>
      </c>
      <c r="F4" s="227" t="s">
        <v>698</v>
      </c>
      <c r="G4" s="9" t="str">
        <f>_xlfn.XLOOKUP($F4,Table32[Color_Name],Table32[Hex_Code],,0,)</f>
        <v>#0066CC</v>
      </c>
      <c r="H4">
        <v>0.2</v>
      </c>
      <c r="I4">
        <v>0.5</v>
      </c>
      <c r="J4">
        <v>0.3</v>
      </c>
      <c r="K4">
        <v>0.5</v>
      </c>
      <c r="L4">
        <v>0.2</v>
      </c>
      <c r="M4">
        <v>0.5</v>
      </c>
      <c r="N4">
        <v>0.3</v>
      </c>
      <c r="O4">
        <v>0.5</v>
      </c>
    </row>
    <row r="5" spans="1:16" x14ac:dyDescent="0.25">
      <c r="A5" s="225" t="b">
        <v>0</v>
      </c>
      <c r="B5" s="9">
        <f t="shared" si="0"/>
        <v>4</v>
      </c>
      <c r="C5" s="47" t="str">
        <f>_xlfn.XLOOKUP($D5,Tab_Def_Processes[Name(EN)],Tab_Def_Processes[ID],,0,)</f>
        <v>03</v>
      </c>
      <c r="D5" s="221" t="str">
        <f>Tab_Def_Processes[[#This Row],[Name(EN)]]</f>
        <v>Harvest</v>
      </c>
      <c r="E5" s="227" t="s">
        <v>676</v>
      </c>
      <c r="F5" s="227" t="s">
        <v>681</v>
      </c>
      <c r="G5" s="9" t="str">
        <f>_xlfn.XLOOKUP($F5,Table32[Color_Name],Table32[Hex_Code],,0,)</f>
        <v>#6B8E23</v>
      </c>
      <c r="H5">
        <v>0.3</v>
      </c>
      <c r="I5">
        <v>0.5</v>
      </c>
      <c r="J5">
        <v>0.4</v>
      </c>
      <c r="K5">
        <v>0.5</v>
      </c>
      <c r="L5">
        <v>0.3</v>
      </c>
      <c r="M5">
        <v>0.5</v>
      </c>
      <c r="N5">
        <v>0.4</v>
      </c>
      <c r="O5">
        <v>0.5</v>
      </c>
    </row>
    <row r="6" spans="1:16" x14ac:dyDescent="0.25">
      <c r="A6" s="225" t="b">
        <v>0</v>
      </c>
      <c r="B6" s="9">
        <f t="shared" si="0"/>
        <v>5</v>
      </c>
      <c r="C6" s="47" t="str">
        <f>_xlfn.XLOOKUP($D6,Tab_Def_Processes[Name(EN)],Tab_Def_Processes[ID],,0,)</f>
        <v>04</v>
      </c>
      <c r="D6" s="221" t="str">
        <f>Tab_Def_Processes[[#This Row],[Name(EN)]]</f>
        <v>Grain Processing &amp; Consumption</v>
      </c>
      <c r="E6" s="227" t="s">
        <v>676</v>
      </c>
      <c r="F6" s="227" t="s">
        <v>681</v>
      </c>
      <c r="G6" s="9" t="str">
        <f>_xlfn.XLOOKUP($F6,Table32[Color_Name],Table32[Hex_Code],,0,)</f>
        <v>#6B8E23</v>
      </c>
      <c r="H6">
        <v>0.4</v>
      </c>
      <c r="I6">
        <v>0.2</v>
      </c>
      <c r="J6">
        <v>0.5</v>
      </c>
      <c r="K6">
        <v>0.2</v>
      </c>
      <c r="L6">
        <v>0.4</v>
      </c>
      <c r="M6">
        <v>0.2</v>
      </c>
      <c r="N6">
        <v>0.5</v>
      </c>
      <c r="O6">
        <v>0.2</v>
      </c>
    </row>
    <row r="7" spans="1:16" x14ac:dyDescent="0.25">
      <c r="A7" s="225" t="b">
        <v>0</v>
      </c>
      <c r="B7" s="9">
        <f>ROW()-1</f>
        <v>6</v>
      </c>
      <c r="C7" s="47" t="str">
        <f>_xlfn.XLOOKUP($D7,Tab_Def_Processes[Name(EN)],Tab_Def_Processes[ID],,0,)</f>
        <v>05</v>
      </c>
      <c r="D7" s="221" t="str">
        <f>Tab_Def_Processes[[#This Row],[Name(EN)]]</f>
        <v>Straw C&amp;D</v>
      </c>
      <c r="E7" s="227" t="s">
        <v>676</v>
      </c>
      <c r="F7" s="227" t="s">
        <v>689</v>
      </c>
      <c r="G7" s="9" t="str">
        <f>_xlfn.XLOOKUP($F7,Table32[Color_Name],Table32[Hex_Code],,0,)</f>
        <v>#8B4513</v>
      </c>
      <c r="H7">
        <v>0.4</v>
      </c>
      <c r="I7">
        <v>0.6</v>
      </c>
      <c r="J7">
        <v>0.5</v>
      </c>
      <c r="K7">
        <v>0.6</v>
      </c>
      <c r="L7">
        <v>0.4</v>
      </c>
      <c r="M7">
        <v>0.6</v>
      </c>
      <c r="N7">
        <v>0.5</v>
      </c>
      <c r="O7">
        <v>0.6</v>
      </c>
    </row>
    <row r="8" spans="1:16" x14ac:dyDescent="0.25">
      <c r="A8" s="225" t="b">
        <v>0</v>
      </c>
      <c r="B8" s="9">
        <f t="shared" si="0"/>
        <v>7</v>
      </c>
      <c r="C8" s="47" t="str">
        <f>_xlfn.XLOOKUP($D8,Tab_Def_Processes[Name(EN)],Tab_Def_Processes[ID],,0,)</f>
        <v>06</v>
      </c>
      <c r="D8" s="221" t="str">
        <f>Tab_Def_Processes[[#This Row],[Name(EN)]]</f>
        <v>Direct Incorporation</v>
      </c>
      <c r="E8" s="227" t="s">
        <v>676</v>
      </c>
      <c r="F8" s="227" t="s">
        <v>681</v>
      </c>
      <c r="G8" s="9" t="str">
        <f>_xlfn.XLOOKUP($F8,Table32[Color_Name],Table32[Hex_Code],,0,)</f>
        <v>#6B8E23</v>
      </c>
      <c r="H8">
        <v>0.6</v>
      </c>
      <c r="I8">
        <v>0.6</v>
      </c>
      <c r="J8">
        <v>0.7</v>
      </c>
      <c r="K8">
        <v>0.6</v>
      </c>
      <c r="L8">
        <v>0.6</v>
      </c>
      <c r="M8">
        <v>0.6</v>
      </c>
      <c r="N8">
        <v>0.7</v>
      </c>
      <c r="O8">
        <v>0.6</v>
      </c>
    </row>
    <row r="9" spans="1:16" x14ac:dyDescent="0.25">
      <c r="A9" s="225" t="b">
        <v>0</v>
      </c>
      <c r="B9" s="9">
        <f t="shared" si="0"/>
        <v>8</v>
      </c>
      <c r="C9" s="47" t="str">
        <f>_xlfn.XLOOKUP($D9,Tab_Def_Processes[Name(EN)],Tab_Def_Processes[ID],,0,)</f>
        <v>07</v>
      </c>
      <c r="D9" s="221" t="str">
        <f>Tab_Def_Processes[[#This Row],[Name(EN)]]</f>
        <v>Animal bedding</v>
      </c>
      <c r="E9" s="227" t="s">
        <v>676</v>
      </c>
      <c r="F9" s="227" t="s">
        <v>761</v>
      </c>
      <c r="G9" s="9" t="str">
        <f>_xlfn.XLOOKUP($F9,Table32[Color_Name],Table32[Hex_Code],,0,)</f>
        <v>#C0C0C0</v>
      </c>
      <c r="H9">
        <v>0.5</v>
      </c>
      <c r="I9">
        <v>0.2</v>
      </c>
      <c r="J9">
        <v>0.6</v>
      </c>
      <c r="K9">
        <v>0.2</v>
      </c>
      <c r="L9">
        <v>0.5</v>
      </c>
      <c r="M9">
        <v>0.2</v>
      </c>
      <c r="N9">
        <v>0.6</v>
      </c>
      <c r="O9">
        <v>0.2</v>
      </c>
    </row>
    <row r="10" spans="1:16" x14ac:dyDescent="0.25">
      <c r="A10" s="225" t="b">
        <v>0</v>
      </c>
      <c r="B10" s="9">
        <f t="shared" si="0"/>
        <v>9</v>
      </c>
      <c r="C10" s="47" t="str">
        <f>_xlfn.XLOOKUP($D10,Tab_Def_Processes[Name(EN)],Tab_Def_Processes[ID],,0,)</f>
        <v>08</v>
      </c>
      <c r="D10" s="221" t="str">
        <f>Tab_Def_Processes[[#This Row],[Name(EN)]]</f>
        <v>Lithosphere (DI)</v>
      </c>
      <c r="E10" s="227" t="s">
        <v>676</v>
      </c>
      <c r="F10" s="227" t="s">
        <v>681</v>
      </c>
      <c r="G10" s="9" t="str">
        <f>_xlfn.XLOOKUP($F10,Table32[Color_Name],Table32[Hex_Code],,0,)</f>
        <v>#6B8E23</v>
      </c>
      <c r="H10">
        <v>0.9</v>
      </c>
      <c r="I10">
        <v>0.6</v>
      </c>
      <c r="J10">
        <v>1</v>
      </c>
      <c r="K10">
        <v>0.6</v>
      </c>
      <c r="L10">
        <v>0.9</v>
      </c>
      <c r="M10">
        <v>0.6</v>
      </c>
      <c r="N10">
        <v>1</v>
      </c>
      <c r="O10">
        <v>0.6</v>
      </c>
    </row>
    <row r="11" spans="1:16" x14ac:dyDescent="0.25">
      <c r="A11" s="225" t="b">
        <v>0</v>
      </c>
      <c r="B11" s="9">
        <f t="shared" si="0"/>
        <v>10</v>
      </c>
      <c r="C11" s="47" t="str">
        <f>_xlfn.XLOOKUP($D11,Tab_Def_Processes[Name(EN)],Tab_Def_Processes[ID],,0,)</f>
        <v>09</v>
      </c>
      <c r="D11" s="221" t="str">
        <f>Tab_Def_Processes[[#This Row],[Name(EN)]]</f>
        <v>Compostation &amp; Incorporation</v>
      </c>
      <c r="E11" s="227" t="s">
        <v>676</v>
      </c>
      <c r="F11" s="227" t="s">
        <v>706</v>
      </c>
      <c r="G11" s="9" t="str">
        <f>_xlfn.XLOOKUP($F11,Table32[Color_Name],Table32[Hex_Code],,0,)</f>
        <v>#191970</v>
      </c>
      <c r="H11">
        <v>0.6</v>
      </c>
      <c r="I11">
        <v>0.4</v>
      </c>
      <c r="J11">
        <v>0.7</v>
      </c>
      <c r="K11">
        <v>0.4</v>
      </c>
      <c r="L11">
        <v>0.6</v>
      </c>
      <c r="M11">
        <v>0.4</v>
      </c>
      <c r="N11">
        <v>0.7</v>
      </c>
      <c r="O11">
        <v>0.4</v>
      </c>
    </row>
    <row r="12" spans="1:16" x14ac:dyDescent="0.25">
      <c r="A12" s="225" t="b">
        <v>0</v>
      </c>
      <c r="B12" s="9">
        <f t="shared" si="0"/>
        <v>11</v>
      </c>
      <c r="C12" s="47" t="str">
        <f>_xlfn.XLOOKUP($D12,Tab_Def_Processes[Name(EN)],Tab_Def_Processes[ID],,0,)</f>
        <v>10</v>
      </c>
      <c r="D12" s="221" t="str">
        <f>Tab_Def_Processes[[#This Row],[Name(EN)]]</f>
        <v>Lithosphere (C&amp;I)</v>
      </c>
      <c r="E12" s="227" t="s">
        <v>676</v>
      </c>
      <c r="F12" s="227" t="s">
        <v>681</v>
      </c>
      <c r="G12" s="9" t="str">
        <f>_xlfn.XLOOKUP($F12,Table32[Color_Name],Table32[Hex_Code],,0,)</f>
        <v>#6B8E23</v>
      </c>
      <c r="H12">
        <v>0.9</v>
      </c>
      <c r="I12">
        <v>0.4</v>
      </c>
      <c r="J12">
        <v>1</v>
      </c>
      <c r="K12">
        <v>0.4</v>
      </c>
      <c r="L12">
        <v>0.9</v>
      </c>
      <c r="M12">
        <v>0.4</v>
      </c>
      <c r="N12">
        <v>1</v>
      </c>
      <c r="O12">
        <v>0.4</v>
      </c>
    </row>
    <row r="13" spans="1:16" x14ac:dyDescent="0.25">
      <c r="A13" s="225" t="b">
        <v>0</v>
      </c>
      <c r="B13" s="9">
        <f t="shared" si="0"/>
        <v>12</v>
      </c>
      <c r="C13" s="47" t="str">
        <f>_xlfn.XLOOKUP($D13,Tab_Def_Processes[Name(EN)],Tab_Def_Processes[ID],,0,)</f>
        <v>11</v>
      </c>
      <c r="D13" s="221"/>
      <c r="E13" s="227"/>
      <c r="F13" s="227"/>
      <c r="G13" s="9" t="e">
        <f>_xlfn.XLOOKUP($F13,Table32[Color_Name],Table32[Hex_Code],,0,)</f>
        <v>#N/A</v>
      </c>
    </row>
    <row r="14" spans="1:16" x14ac:dyDescent="0.25">
      <c r="A14" s="225" t="b">
        <v>0</v>
      </c>
      <c r="B14" s="9">
        <f t="shared" si="0"/>
        <v>13</v>
      </c>
      <c r="C14" s="47" t="str">
        <f>_xlfn.XLOOKUP($D14,Tab_Def_Processes[Name(EN)],Tab_Def_Processes[ID],,0,)</f>
        <v>11</v>
      </c>
      <c r="D14" s="221"/>
      <c r="E14" s="227"/>
      <c r="F14" s="227"/>
      <c r="G14" s="9" t="e">
        <f>_xlfn.XLOOKUP($F14,Table32[Color_Name],Table32[Hex_Code],,0,)</f>
        <v>#N/A</v>
      </c>
    </row>
    <row r="15" spans="1:16" x14ac:dyDescent="0.25">
      <c r="A15" s="225" t="b">
        <v>0</v>
      </c>
      <c r="B15" s="9">
        <f t="shared" si="0"/>
        <v>14</v>
      </c>
      <c r="C15" s="47" t="str">
        <f>_xlfn.XLOOKUP($D15,Tab_Def_Processes[Name(EN)],Tab_Def_Processes[ID],,0,)</f>
        <v>11</v>
      </c>
      <c r="D15" s="221"/>
      <c r="E15" s="227"/>
      <c r="F15" s="227"/>
      <c r="G15" s="9" t="e">
        <f>_xlfn.XLOOKUP($F15,Table32[Color_Name],Table32[Hex_Code],,0,)</f>
        <v>#N/A</v>
      </c>
    </row>
    <row r="16" spans="1:16" x14ac:dyDescent="0.25">
      <c r="A16" s="225" t="b">
        <v>0</v>
      </c>
      <c r="B16" s="9">
        <f t="shared" si="0"/>
        <v>15</v>
      </c>
      <c r="C16" s="47" t="str">
        <f>_xlfn.XLOOKUP($D16,Tab_Def_Processes[Name(EN)],Tab_Def_Processes[ID],,0,)</f>
        <v>11</v>
      </c>
      <c r="D16" s="221"/>
      <c r="E16" s="227"/>
      <c r="F16" s="227"/>
      <c r="G16" s="9" t="e">
        <f>_xlfn.XLOOKUP($F16,Table32[Color_Name],Table32[Hex_Code],,0,)</f>
        <v>#N/A</v>
      </c>
    </row>
    <row r="17" spans="1:7" x14ac:dyDescent="0.25">
      <c r="A17" s="225" t="b">
        <v>0</v>
      </c>
      <c r="B17" s="9">
        <f t="shared" si="0"/>
        <v>16</v>
      </c>
      <c r="C17" s="47" t="str">
        <f>_xlfn.XLOOKUP($D17,Tab_Def_Processes[Name(EN)],Tab_Def_Processes[ID],,0,)</f>
        <v>11</v>
      </c>
      <c r="D17" s="221"/>
      <c r="E17" s="227"/>
      <c r="F17" s="227"/>
      <c r="G17" s="9" t="e">
        <f>_xlfn.XLOOKUP($F17,Table32[Color_Name],Table32[Hex_Code],,0,)</f>
        <v>#N/A</v>
      </c>
    </row>
    <row r="18" spans="1:7" x14ac:dyDescent="0.25">
      <c r="A18" s="225" t="b">
        <v>0</v>
      </c>
      <c r="B18" s="9">
        <f t="shared" si="0"/>
        <v>17</v>
      </c>
      <c r="C18" s="47" t="str">
        <f>_xlfn.XLOOKUP($D18,Tab_Def_Processes[Name(EN)],Tab_Def_Processes[ID],,0,)</f>
        <v>11</v>
      </c>
      <c r="D18" s="221"/>
      <c r="E18" s="227"/>
      <c r="F18" s="227"/>
      <c r="G18" s="9" t="e">
        <f>_xlfn.XLOOKUP($F18,Table32[Color_Name],Table32[Hex_Code],,0,)</f>
        <v>#N/A</v>
      </c>
    </row>
    <row r="19" spans="1:7" x14ac:dyDescent="0.25">
      <c r="A19" s="225" t="b">
        <v>0</v>
      </c>
      <c r="B19" s="9">
        <f t="shared" si="0"/>
        <v>18</v>
      </c>
      <c r="C19" s="47" t="str">
        <f>_xlfn.XLOOKUP($D19,Tab_Def_Processes[Name(EN)],Tab_Def_Processes[ID],,0,)</f>
        <v>11</v>
      </c>
      <c r="D19" s="221"/>
      <c r="E19" s="227"/>
      <c r="F19" s="227"/>
      <c r="G19" s="9" t="e">
        <f>_xlfn.XLOOKUP($F19,Table32[Color_Name],Table32[Hex_Code],,0,)</f>
        <v>#N/A</v>
      </c>
    </row>
    <row r="20" spans="1:7" x14ac:dyDescent="0.25">
      <c r="A20" s="225" t="b">
        <v>0</v>
      </c>
      <c r="B20" s="9">
        <f t="shared" si="0"/>
        <v>19</v>
      </c>
      <c r="C20" s="47" t="str">
        <f>_xlfn.XLOOKUP($D20,Tab_Def_Processes[Name(EN)],Tab_Def_Processes[ID],,0,)</f>
        <v>11</v>
      </c>
      <c r="D20" s="221"/>
      <c r="E20" s="227"/>
      <c r="F20" s="227"/>
      <c r="G20" s="9" t="e">
        <f>_xlfn.XLOOKUP($F20,Table32[Color_Name],Table32[Hex_Code],,0,)</f>
        <v>#N/A</v>
      </c>
    </row>
    <row r="21" spans="1:7" x14ac:dyDescent="0.25">
      <c r="A21" s="225" t="b">
        <v>0</v>
      </c>
      <c r="B21" s="9">
        <f t="shared" si="0"/>
        <v>20</v>
      </c>
      <c r="C21" s="47" t="str">
        <f>_xlfn.XLOOKUP($D21,Tab_Def_Processes[Name(EN)],Tab_Def_Processes[ID],,0,)</f>
        <v>11</v>
      </c>
      <c r="D21" s="221"/>
      <c r="E21" s="227"/>
      <c r="F21" s="227"/>
      <c r="G21" s="9" t="e">
        <f>_xlfn.XLOOKUP($F21,Table32[Color_Name],Table32[Hex_Code],,0,)</f>
        <v>#N/A</v>
      </c>
    </row>
    <row r="22" spans="1:7" x14ac:dyDescent="0.25">
      <c r="A22" s="225" t="b">
        <v>0</v>
      </c>
      <c r="B22" s="9">
        <f t="shared" si="0"/>
        <v>21</v>
      </c>
      <c r="C22" s="47" t="str">
        <f>_xlfn.XLOOKUP($D22,Tab_Def_Processes[Name(EN)],Tab_Def_Processes[ID],,0,)</f>
        <v>11</v>
      </c>
      <c r="D22" s="221"/>
      <c r="E22" s="227"/>
      <c r="F22" s="227"/>
      <c r="G22" s="9" t="e">
        <f>_xlfn.XLOOKUP($F22,Table32[Color_Name],Table32[Hex_Code],,0,)</f>
        <v>#N/A</v>
      </c>
    </row>
    <row r="23" spans="1:7" x14ac:dyDescent="0.25">
      <c r="A23" s="225" t="b">
        <v>0</v>
      </c>
      <c r="B23" s="9">
        <f t="shared" si="0"/>
        <v>22</v>
      </c>
      <c r="C23" s="47" t="str">
        <f>_xlfn.XLOOKUP($D23,Tab_Def_Processes[Name(EN)],Tab_Def_Processes[ID],,0,)</f>
        <v>11</v>
      </c>
      <c r="D23" s="221"/>
      <c r="E23" s="227"/>
      <c r="F23" s="227"/>
      <c r="G23" s="9" t="e">
        <f>_xlfn.XLOOKUP($F23,Table32[Color_Name],Table32[Hex_Code],,0,)</f>
        <v>#N/A</v>
      </c>
    </row>
    <row r="24" spans="1:7" x14ac:dyDescent="0.25">
      <c r="A24" s="225" t="b">
        <v>0</v>
      </c>
      <c r="B24" s="9">
        <f t="shared" si="0"/>
        <v>23</v>
      </c>
      <c r="C24" s="47" t="str">
        <f>_xlfn.XLOOKUP($D24,Tab_Def_Processes[Name(EN)],Tab_Def_Processes[ID],,0,)</f>
        <v>11</v>
      </c>
      <c r="D24" s="221"/>
      <c r="E24" s="227"/>
      <c r="F24" s="227"/>
      <c r="G24" s="9" t="e">
        <f>_xlfn.XLOOKUP($F24,Table32[Color_Name],Table32[Hex_Code],,0,)</f>
        <v>#N/A</v>
      </c>
    </row>
    <row r="25" spans="1:7" x14ac:dyDescent="0.25">
      <c r="A25" s="225" t="b">
        <v>0</v>
      </c>
      <c r="B25" s="9">
        <f t="shared" si="0"/>
        <v>24</v>
      </c>
      <c r="C25" s="47" t="str">
        <f>_xlfn.XLOOKUP($D25,Tab_Def_Processes[Name(EN)],Tab_Def_Processes[ID],,0,)</f>
        <v>11</v>
      </c>
      <c r="D25" s="221"/>
      <c r="E25" s="227"/>
      <c r="F25" s="227"/>
      <c r="G25" s="9" t="e">
        <f>_xlfn.XLOOKUP($F25,Table32[Color_Name],Table32[Hex_Code],,0,)</f>
        <v>#N/A</v>
      </c>
    </row>
    <row r="26" spans="1:7" x14ac:dyDescent="0.25">
      <c r="A26" s="225" t="b">
        <v>0</v>
      </c>
      <c r="B26" s="9">
        <f t="shared" si="0"/>
        <v>25</v>
      </c>
      <c r="C26" s="47" t="str">
        <f>_xlfn.XLOOKUP($D26,Tab_Def_Processes[Name(EN)],Tab_Def_Processes[ID],,0,)</f>
        <v>11</v>
      </c>
      <c r="D26" s="221"/>
      <c r="E26" s="227"/>
      <c r="F26" s="227"/>
      <c r="G26" s="9" t="e">
        <f>_xlfn.XLOOKUP($F26,Table32[Color_Name],Table32[Hex_Code],,0,)</f>
        <v>#N/A</v>
      </c>
    </row>
    <row r="27" spans="1:7" x14ac:dyDescent="0.25">
      <c r="A27" s="225" t="b">
        <v>0</v>
      </c>
      <c r="B27" s="9">
        <f t="shared" si="0"/>
        <v>26</v>
      </c>
      <c r="C27" s="47" t="str">
        <f>_xlfn.XLOOKUP($D27,Tab_Def_Processes[Name(EN)],Tab_Def_Processes[ID],,0,)</f>
        <v>11</v>
      </c>
      <c r="D27" s="221"/>
      <c r="E27" s="227"/>
      <c r="F27" s="227"/>
      <c r="G27" s="9" t="e">
        <f>_xlfn.XLOOKUP($F27,Table32[Color_Name],Table32[Hex_Code],,0,)</f>
        <v>#N/A</v>
      </c>
    </row>
    <row r="28" spans="1:7" x14ac:dyDescent="0.25">
      <c r="A28" s="225" t="b">
        <v>0</v>
      </c>
      <c r="B28" s="9">
        <f t="shared" si="0"/>
        <v>27</v>
      </c>
      <c r="C28" s="47" t="str">
        <f>_xlfn.XLOOKUP($D28,Tab_Def_Processes[Name(EN)],Tab_Def_Processes[ID],,0,)</f>
        <v>11</v>
      </c>
      <c r="D28" s="221"/>
      <c r="E28" s="227"/>
      <c r="F28" s="227"/>
      <c r="G28" s="9" t="e">
        <f>_xlfn.XLOOKUP($F28,Table32[Color_Name],Table32[Hex_Code],,0,)</f>
        <v>#N/A</v>
      </c>
    </row>
    <row r="29" spans="1:7" x14ac:dyDescent="0.25">
      <c r="A29" s="225" t="b">
        <v>0</v>
      </c>
      <c r="B29" s="9">
        <f t="shared" si="0"/>
        <v>28</v>
      </c>
      <c r="C29" s="47" t="str">
        <f>_xlfn.XLOOKUP($D29,Tab_Def_Processes[Name(EN)],Tab_Def_Processes[ID],,0,)</f>
        <v>11</v>
      </c>
      <c r="D29" s="221"/>
      <c r="E29" s="227"/>
      <c r="F29" s="227"/>
      <c r="G29" s="9" t="e">
        <f>_xlfn.XLOOKUP($F29,Table32[Color_Name],Table32[Hex_Code],,0,)</f>
        <v>#N/A</v>
      </c>
    </row>
    <row r="30" spans="1:7" x14ac:dyDescent="0.25">
      <c r="A30" s="225" t="b">
        <v>0</v>
      </c>
      <c r="B30" s="9">
        <f t="shared" si="0"/>
        <v>29</v>
      </c>
      <c r="C30" s="47" t="str">
        <f>_xlfn.XLOOKUP($D30,Tab_Def_Processes[Name(EN)],Tab_Def_Processes[ID],,0,)</f>
        <v>11</v>
      </c>
      <c r="D30" s="221"/>
      <c r="E30" s="227"/>
      <c r="F30" s="227"/>
      <c r="G30" s="9" t="e">
        <f>_xlfn.XLOOKUP($F30,Table32[Color_Name],Table32[Hex_Code],,0,)</f>
        <v>#N/A</v>
      </c>
    </row>
    <row r="31" spans="1:7" x14ac:dyDescent="0.25">
      <c r="A31" s="225" t="b">
        <v>0</v>
      </c>
      <c r="B31" s="9">
        <f t="shared" si="0"/>
        <v>30</v>
      </c>
      <c r="C31" s="47" t="str">
        <f>_xlfn.XLOOKUP($D31,Tab_Def_Processes[Name(EN)],Tab_Def_Processes[ID],,0,)</f>
        <v>11</v>
      </c>
      <c r="D31" s="221"/>
      <c r="E31" s="227"/>
      <c r="F31" s="227"/>
      <c r="G31" s="9" t="e">
        <f>_xlfn.XLOOKUP($F31,Table32[Color_Name],Table32[Hex_Code],,0,)</f>
        <v>#N/A</v>
      </c>
    </row>
    <row r="32" spans="1:7" x14ac:dyDescent="0.25">
      <c r="A32" s="225" t="b">
        <v>0</v>
      </c>
      <c r="B32" s="9">
        <f t="shared" si="0"/>
        <v>31</v>
      </c>
      <c r="C32" s="47" t="str">
        <f>_xlfn.XLOOKUP($D32,Tab_Def_Processes[Name(EN)],Tab_Def_Processes[ID],,0,)</f>
        <v>11</v>
      </c>
      <c r="D32" s="221"/>
      <c r="E32" s="227"/>
      <c r="F32" s="227"/>
      <c r="G32" s="9" t="e">
        <f>_xlfn.XLOOKUP($F32,Table32[Color_Name],Table32[Hex_Code],,0,)</f>
        <v>#N/A</v>
      </c>
    </row>
    <row r="33" spans="1:7" x14ac:dyDescent="0.25">
      <c r="A33" s="225" t="b">
        <v>0</v>
      </c>
      <c r="B33" s="9">
        <f t="shared" si="0"/>
        <v>32</v>
      </c>
      <c r="C33" s="47" t="str">
        <f>_xlfn.XLOOKUP($D33,Tab_Def_Processes[Name(EN)],Tab_Def_Processes[ID],,0,)</f>
        <v>11</v>
      </c>
      <c r="D33" s="221"/>
      <c r="E33" s="227"/>
      <c r="F33" s="227"/>
      <c r="G33" s="9" t="e">
        <f>_xlfn.XLOOKUP($F33,Table32[Color_Name],Table32[Hex_Code],,0,)</f>
        <v>#N/A</v>
      </c>
    </row>
    <row r="34" spans="1:7" x14ac:dyDescent="0.25">
      <c r="A34" s="225" t="b">
        <v>0</v>
      </c>
      <c r="B34" s="9">
        <f t="shared" si="0"/>
        <v>33</v>
      </c>
      <c r="C34" s="47" t="str">
        <f>_xlfn.XLOOKUP($D34,Tab_Def_Processes[Name(EN)],Tab_Def_Processes[ID],,0,)</f>
        <v>11</v>
      </c>
      <c r="D34" s="221"/>
      <c r="E34" s="227"/>
      <c r="F34" s="227"/>
      <c r="G34" s="9" t="e">
        <f>_xlfn.XLOOKUP($F34,Table32[Color_Name],Table32[Hex_Code],,0,)</f>
        <v>#N/A</v>
      </c>
    </row>
    <row r="35" spans="1:7" x14ac:dyDescent="0.25">
      <c r="A35" s="225" t="b">
        <v>0</v>
      </c>
      <c r="B35" s="9">
        <f t="shared" si="0"/>
        <v>34</v>
      </c>
      <c r="C35" s="47" t="str">
        <f>_xlfn.XLOOKUP($D35,Tab_Def_Processes[Name(EN)],Tab_Def_Processes[ID],,0,)</f>
        <v>11</v>
      </c>
      <c r="D35" s="221"/>
      <c r="E35" s="227"/>
      <c r="F35" s="227"/>
      <c r="G35" s="9" t="e">
        <f>_xlfn.XLOOKUP($F35,Table32[Color_Name],Table32[Hex_Code],,0,)</f>
        <v>#N/A</v>
      </c>
    </row>
    <row r="36" spans="1:7" x14ac:dyDescent="0.25">
      <c r="A36" s="225" t="b">
        <v>0</v>
      </c>
      <c r="B36" s="9">
        <f t="shared" si="0"/>
        <v>35</v>
      </c>
      <c r="C36" s="47" t="str">
        <f>_xlfn.XLOOKUP($D36,Tab_Def_Processes[Name(EN)],Tab_Def_Processes[ID],,0,)</f>
        <v>11</v>
      </c>
      <c r="D36" s="221"/>
      <c r="E36" s="227"/>
      <c r="F36" s="227"/>
      <c r="G36" s="9" t="e">
        <f>_xlfn.XLOOKUP($F36,Table32[Color_Name],Table32[Hex_Code],,0,)</f>
        <v>#N/A</v>
      </c>
    </row>
    <row r="37" spans="1:7" x14ac:dyDescent="0.25">
      <c r="A37" s="225" t="b">
        <v>0</v>
      </c>
      <c r="B37" s="9">
        <f t="shared" si="0"/>
        <v>36</v>
      </c>
      <c r="C37" s="47" t="str">
        <f>_xlfn.XLOOKUP($D37,Tab_Def_Processes[Name(EN)],Tab_Def_Processes[ID],,0,)</f>
        <v>11</v>
      </c>
      <c r="D37" s="221"/>
      <c r="E37" s="227"/>
      <c r="F37" s="227"/>
      <c r="G37" s="9" t="e">
        <f>_xlfn.XLOOKUP($F37,Table32[Color_Name],Table32[Hex_Code],,0,)</f>
        <v>#N/A</v>
      </c>
    </row>
    <row r="38" spans="1:7" x14ac:dyDescent="0.25">
      <c r="A38" s="225" t="b">
        <v>0</v>
      </c>
      <c r="B38" s="9">
        <f t="shared" si="0"/>
        <v>37</v>
      </c>
      <c r="C38" s="47" t="str">
        <f>_xlfn.XLOOKUP($D38,Tab_Def_Processes[Name(EN)],Tab_Def_Processes[ID],,0,)</f>
        <v>11</v>
      </c>
      <c r="D38" s="221"/>
      <c r="E38" s="227"/>
      <c r="F38" s="227"/>
      <c r="G38" s="9" t="e">
        <f>_xlfn.XLOOKUP($F38,Table32[Color_Name],Table32[Hex_Code],,0,)</f>
        <v>#N/A</v>
      </c>
    </row>
    <row r="39" spans="1:7" x14ac:dyDescent="0.25">
      <c r="A39" s="225" t="b">
        <v>0</v>
      </c>
      <c r="B39" s="9">
        <f t="shared" si="0"/>
        <v>38</v>
      </c>
      <c r="C39" s="47" t="str">
        <f>_xlfn.XLOOKUP($D39,Tab_Def_Processes[Name(EN)],Tab_Def_Processes[ID],,0,)</f>
        <v>11</v>
      </c>
      <c r="D39" s="221"/>
      <c r="E39" s="227"/>
      <c r="F39" s="227"/>
      <c r="G39" s="9" t="e">
        <f>_xlfn.XLOOKUP($F39,Table32[Color_Name],Table32[Hex_Code],,0,)</f>
        <v>#N/A</v>
      </c>
    </row>
    <row r="40" spans="1:7" x14ac:dyDescent="0.25">
      <c r="A40" s="225" t="b">
        <v>0</v>
      </c>
      <c r="B40" s="9">
        <f t="shared" si="0"/>
        <v>39</v>
      </c>
      <c r="C40" s="47" t="str">
        <f>_xlfn.XLOOKUP($D40,Tab_Def_Processes[Name(EN)],Tab_Def_Processes[ID],,0,)</f>
        <v>11</v>
      </c>
      <c r="D40" s="221"/>
      <c r="E40" s="227"/>
      <c r="F40" s="227"/>
      <c r="G40" s="9" t="e">
        <f>_xlfn.XLOOKUP($F40,Table32[Color_Name],Table32[Hex_Code],,0,)</f>
        <v>#N/A</v>
      </c>
    </row>
    <row r="41" spans="1:7" x14ac:dyDescent="0.25">
      <c r="A41" s="225" t="b">
        <v>0</v>
      </c>
      <c r="B41" s="9">
        <f t="shared" si="0"/>
        <v>40</v>
      </c>
      <c r="C41" s="47" t="str">
        <f>_xlfn.XLOOKUP($D41,Tab_Def_Processes[Name(EN)],Tab_Def_Processes[ID],,0,)</f>
        <v>11</v>
      </c>
      <c r="D41" s="221"/>
      <c r="E41" s="227"/>
      <c r="F41" s="227"/>
      <c r="G41" s="9" t="e">
        <f>_xlfn.XLOOKUP($F41,Table32[Color_Name],Table32[Hex_Code],,0,)</f>
        <v>#N/A</v>
      </c>
    </row>
    <row r="42" spans="1:7" x14ac:dyDescent="0.25">
      <c r="A42" s="225" t="b">
        <v>0</v>
      </c>
      <c r="B42" s="9">
        <f t="shared" si="0"/>
        <v>41</v>
      </c>
      <c r="C42" s="47" t="str">
        <f>_xlfn.XLOOKUP($D42,Tab_Def_Processes[Name(EN)],Tab_Def_Processes[ID],,0,)</f>
        <v>11</v>
      </c>
      <c r="D42" s="221"/>
      <c r="E42" s="227"/>
      <c r="F42" s="227"/>
      <c r="G42" s="9" t="e">
        <f>_xlfn.XLOOKUP($F42,Table32[Color_Name],Table32[Hex_Code],,0,)</f>
        <v>#N/A</v>
      </c>
    </row>
    <row r="43" spans="1:7" x14ac:dyDescent="0.25">
      <c r="A43" s="225" t="b">
        <v>0</v>
      </c>
      <c r="B43" s="9">
        <f t="shared" si="0"/>
        <v>42</v>
      </c>
      <c r="C43" s="47" t="str">
        <f>_xlfn.XLOOKUP($D43,Tab_Def_Processes[Name(EN)],Tab_Def_Processes[ID],,0,)</f>
        <v>11</v>
      </c>
      <c r="D43" s="221"/>
      <c r="E43" s="227"/>
      <c r="F43" s="227"/>
      <c r="G43" s="9" t="e">
        <f>_xlfn.XLOOKUP($F43,Table32[Color_Name],Table32[Hex_Code],,0,)</f>
        <v>#N/A</v>
      </c>
    </row>
    <row r="44" spans="1:7" x14ac:dyDescent="0.25">
      <c r="A44" s="225" t="b">
        <v>0</v>
      </c>
      <c r="B44" s="9">
        <f t="shared" si="0"/>
        <v>43</v>
      </c>
      <c r="C44" s="47" t="str">
        <f>_xlfn.XLOOKUP($D44,Tab_Def_Processes[Name(EN)],Tab_Def_Processes[ID],,0,)</f>
        <v>11</v>
      </c>
      <c r="D44" s="221"/>
      <c r="E44" s="227"/>
      <c r="F44" s="227"/>
      <c r="G44" s="9" t="e">
        <f>_xlfn.XLOOKUP($F44,Table32[Color_Name],Table32[Hex_Code],,0,)</f>
        <v>#N/A</v>
      </c>
    </row>
    <row r="45" spans="1:7" x14ac:dyDescent="0.25">
      <c r="A45" s="225" t="b">
        <v>0</v>
      </c>
      <c r="B45" s="9">
        <f t="shared" si="0"/>
        <v>44</v>
      </c>
      <c r="C45" s="47" t="str">
        <f>_xlfn.XLOOKUP($D45,Tab_Def_Processes[Name(EN)],Tab_Def_Processes[ID],,0,)</f>
        <v>11</v>
      </c>
      <c r="D45" s="221"/>
      <c r="E45" s="227"/>
      <c r="F45" s="227"/>
      <c r="G45" s="9" t="e">
        <f>_xlfn.XLOOKUP($F45,Table32[Color_Name],Table32[Hex_Code],,0,)</f>
        <v>#N/A</v>
      </c>
    </row>
    <row r="46" spans="1:7" x14ac:dyDescent="0.25">
      <c r="A46" s="225" t="b">
        <v>0</v>
      </c>
      <c r="B46" s="9">
        <f t="shared" si="0"/>
        <v>45</v>
      </c>
      <c r="C46" s="47" t="str">
        <f>_xlfn.XLOOKUP($D46,Tab_Def_Processes[Name(EN)],Tab_Def_Processes[ID],,0,)</f>
        <v>11</v>
      </c>
      <c r="D46" s="221"/>
      <c r="E46" s="227"/>
      <c r="F46" s="227"/>
      <c r="G46" s="9" t="e">
        <f>_xlfn.XLOOKUP($F46,Table32[Color_Name],Table32[Hex_Code],,0,)</f>
        <v>#N/A</v>
      </c>
    </row>
    <row r="47" spans="1:7" x14ac:dyDescent="0.25">
      <c r="A47" s="225" t="b">
        <v>0</v>
      </c>
      <c r="B47" s="9">
        <f t="shared" si="0"/>
        <v>46</v>
      </c>
      <c r="C47" s="47" t="str">
        <f>_xlfn.XLOOKUP($D47,Tab_Def_Processes[Name(EN)],Tab_Def_Processes[ID],,0,)</f>
        <v>11</v>
      </c>
      <c r="D47" s="221"/>
      <c r="E47" s="227"/>
      <c r="F47" s="227"/>
      <c r="G47" s="9" t="e">
        <f>_xlfn.XLOOKUP($F47,Table32[Color_Name],Table32[Hex_Code],,0,)</f>
        <v>#N/A</v>
      </c>
    </row>
    <row r="48" spans="1:7" x14ac:dyDescent="0.25">
      <c r="A48" s="225" t="b">
        <v>0</v>
      </c>
      <c r="B48" s="9">
        <f t="shared" si="0"/>
        <v>47</v>
      </c>
      <c r="C48" s="47" t="str">
        <f>_xlfn.XLOOKUP($D48,Tab_Def_Processes[Name(EN)],Tab_Def_Processes[ID],,0,)</f>
        <v>11</v>
      </c>
      <c r="D48" s="221"/>
      <c r="E48" s="227"/>
      <c r="F48" s="227"/>
      <c r="G48" s="9" t="e">
        <f>_xlfn.XLOOKUP($F48,Table32[Color_Name],Table32[Hex_Code],,0,)</f>
        <v>#N/A</v>
      </c>
    </row>
    <row r="49" spans="1:7" x14ac:dyDescent="0.25">
      <c r="A49" s="225" t="b">
        <v>0</v>
      </c>
      <c r="B49" s="9">
        <f t="shared" si="0"/>
        <v>48</v>
      </c>
      <c r="C49" s="47" t="str">
        <f>_xlfn.XLOOKUP($D49,Tab_Def_Processes[Name(EN)],Tab_Def_Processes[ID],,0,)</f>
        <v>11</v>
      </c>
      <c r="D49" s="221"/>
      <c r="E49" s="227"/>
      <c r="F49" s="227"/>
      <c r="G49" s="9" t="e">
        <f>_xlfn.XLOOKUP($F49,Table32[Color_Name],Table32[Hex_Code],,0,)</f>
        <v>#N/A</v>
      </c>
    </row>
    <row r="50" spans="1:7" x14ac:dyDescent="0.25">
      <c r="A50" s="225" t="b">
        <v>0</v>
      </c>
      <c r="B50" s="9">
        <f t="shared" si="0"/>
        <v>49</v>
      </c>
      <c r="C50" s="47" t="str">
        <f>_xlfn.XLOOKUP($D50,Tab_Def_Processes[Name(EN)],Tab_Def_Processes[ID],,0,)</f>
        <v>11</v>
      </c>
      <c r="D50" s="221"/>
      <c r="E50" s="227"/>
      <c r="F50" s="227"/>
      <c r="G50" s="9" t="e">
        <f>_xlfn.XLOOKUP($F50,Table32[Color_Name],Table32[Hex_Code],,0,)</f>
        <v>#N/A</v>
      </c>
    </row>
    <row r="51" spans="1:7" x14ac:dyDescent="0.25">
      <c r="A51" s="225" t="b">
        <v>0</v>
      </c>
      <c r="B51" s="9">
        <f t="shared" si="0"/>
        <v>50</v>
      </c>
      <c r="C51" s="47" t="str">
        <f>_xlfn.XLOOKUP($D51,Tab_Def_Processes[Name(EN)],Tab_Def_Processes[ID],,0,)</f>
        <v>11</v>
      </c>
      <c r="D51" s="221"/>
      <c r="E51" s="227"/>
      <c r="F51" s="227"/>
      <c r="G51" s="9" t="e">
        <f>_xlfn.XLOOKUP($F51,Table32[Color_Name],Table32[Hex_Code],,0,)</f>
        <v>#N/A</v>
      </c>
    </row>
    <row r="52" spans="1:7" x14ac:dyDescent="0.25">
      <c r="A52" s="225" t="b">
        <v>0</v>
      </c>
      <c r="B52" s="9">
        <f t="shared" si="0"/>
        <v>51</v>
      </c>
      <c r="C52" s="47" t="str">
        <f>_xlfn.XLOOKUP($D52,Tab_Def_Processes[Name(EN)],Tab_Def_Processes[ID],,0,)</f>
        <v>11</v>
      </c>
      <c r="D52" s="221"/>
      <c r="E52" s="227"/>
      <c r="F52" s="227"/>
      <c r="G52" s="9" t="e">
        <f>_xlfn.XLOOKUP($F52,Table32[Color_Name],Table32[Hex_Code],,0,)</f>
        <v>#N/A</v>
      </c>
    </row>
    <row r="53" spans="1:7" x14ac:dyDescent="0.25">
      <c r="A53" s="225" t="b">
        <v>0</v>
      </c>
      <c r="B53" s="9">
        <f t="shared" si="0"/>
        <v>52</v>
      </c>
      <c r="C53" s="47" t="str">
        <f>_xlfn.XLOOKUP($D53,Tab_Def_Processes[Name(EN)],Tab_Def_Processes[ID],,0,)</f>
        <v>11</v>
      </c>
      <c r="D53" s="221"/>
      <c r="E53" s="227"/>
      <c r="F53" s="227"/>
      <c r="G53" s="9" t="e">
        <f>_xlfn.XLOOKUP($F53,Table32[Color_Name],Table32[Hex_Code],,0,)</f>
        <v>#N/A</v>
      </c>
    </row>
    <row r="54" spans="1:7" x14ac:dyDescent="0.25">
      <c r="A54" s="225" t="b">
        <v>0</v>
      </c>
      <c r="B54" s="9">
        <f t="shared" si="0"/>
        <v>53</v>
      </c>
      <c r="C54" s="47" t="str">
        <f>_xlfn.XLOOKUP($D54,Tab_Def_Processes[Name(EN)],Tab_Def_Processes[ID],,0,)</f>
        <v>11</v>
      </c>
      <c r="D54" s="221"/>
      <c r="E54" s="227"/>
      <c r="F54" s="227"/>
      <c r="G54" s="9" t="e">
        <f>_xlfn.XLOOKUP($F54,Table32[Color_Name],Table32[Hex_Code],,0,)</f>
        <v>#N/A</v>
      </c>
    </row>
    <row r="55" spans="1:7" x14ac:dyDescent="0.25">
      <c r="A55" s="225" t="b">
        <v>0</v>
      </c>
      <c r="B55" s="9">
        <f t="shared" si="0"/>
        <v>54</v>
      </c>
      <c r="C55" s="47" t="str">
        <f>_xlfn.XLOOKUP($D55,Tab_Def_Processes[Name(EN)],Tab_Def_Processes[ID],,0,)</f>
        <v>11</v>
      </c>
      <c r="D55" s="221"/>
      <c r="E55" s="227"/>
      <c r="F55" s="227"/>
      <c r="G55" s="9" t="e">
        <f>_xlfn.XLOOKUP($F55,Table32[Color_Name],Table32[Hex_Code],,0,)</f>
        <v>#N/A</v>
      </c>
    </row>
    <row r="56" spans="1:7" x14ac:dyDescent="0.25">
      <c r="A56" s="225" t="b">
        <v>0</v>
      </c>
      <c r="B56" s="9">
        <f t="shared" si="0"/>
        <v>55</v>
      </c>
      <c r="C56" s="47" t="str">
        <f>_xlfn.XLOOKUP($D56,Tab_Def_Processes[Name(EN)],Tab_Def_Processes[ID],,0,)</f>
        <v>11</v>
      </c>
      <c r="D56" s="221"/>
      <c r="E56" s="227"/>
      <c r="F56" s="227"/>
      <c r="G56" s="9" t="e">
        <f>_xlfn.XLOOKUP($F56,Table32[Color_Name],Table32[Hex_Code],,0,)</f>
        <v>#N/A</v>
      </c>
    </row>
    <row r="57" spans="1:7" x14ac:dyDescent="0.25">
      <c r="A57" s="225" t="b">
        <v>0</v>
      </c>
      <c r="B57" s="9">
        <f t="shared" si="0"/>
        <v>56</v>
      </c>
      <c r="C57" s="47" t="str">
        <f>_xlfn.XLOOKUP($D57,Tab_Def_Processes[Name(EN)],Tab_Def_Processes[ID],,0,)</f>
        <v>11</v>
      </c>
      <c r="D57" s="221"/>
      <c r="E57" s="227"/>
      <c r="F57" s="227"/>
      <c r="G57" s="9" t="e">
        <f>_xlfn.XLOOKUP($F57,Table32[Color_Name],Table32[Hex_Code],,0,)</f>
        <v>#N/A</v>
      </c>
    </row>
    <row r="58" spans="1:7" x14ac:dyDescent="0.25">
      <c r="A58" s="225" t="b">
        <v>0</v>
      </c>
      <c r="B58" s="9">
        <f t="shared" si="0"/>
        <v>57</v>
      </c>
      <c r="C58" s="47" t="str">
        <f>_xlfn.XLOOKUP($D58,Tab_Def_Processes[Name(EN)],Tab_Def_Processes[ID],,0,)</f>
        <v>11</v>
      </c>
      <c r="D58" s="221"/>
      <c r="E58" s="227"/>
      <c r="F58" s="227"/>
      <c r="G58" s="9" t="e">
        <f>_xlfn.XLOOKUP($F58,Table32[Color_Name],Table32[Hex_Code],,0,)</f>
        <v>#N/A</v>
      </c>
    </row>
    <row r="59" spans="1:7" ht="15.75" thickBot="1" x14ac:dyDescent="0.3">
      <c r="A59" s="226" t="b">
        <v>0</v>
      </c>
      <c r="B59" s="222">
        <f t="shared" si="0"/>
        <v>58</v>
      </c>
      <c r="C59" s="47" t="str">
        <f>_xlfn.XLOOKUP($D59,Tab_Def_Processes[Name(EN)],Tab_Def_Processes[ID],,0,)</f>
        <v>11</v>
      </c>
      <c r="D59" s="223"/>
      <c r="E59" s="227"/>
      <c r="F59" s="227"/>
      <c r="G59" s="9" t="e">
        <f>_xlfn.XLOOKUP($F59,Table32[Color_Name],Table32[Hex_Code],,0,)</f>
        <v>#N/A</v>
      </c>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E64" sqref="E64"/>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8" t="s">
        <v>638</v>
      </c>
      <c r="E1" s="228" t="s">
        <v>766</v>
      </c>
      <c r="F1" s="228" t="s">
        <v>6</v>
      </c>
    </row>
    <row r="2" spans="1:10" x14ac:dyDescent="0.25">
      <c r="A2" s="16">
        <f>ROW()-1</f>
        <v>1</v>
      </c>
      <c r="B2" s="9" t="str">
        <f>_xlfn.XLOOKUP(C2,Tab_Def_Flows[Name(EN)],Tab_Def_Flows[Flow_ID],,0,)</f>
        <v>F_00_02</v>
      </c>
      <c r="C2" s="9" t="str">
        <f>Tab_Def_Flows[[#This Row],[Name(EN)]]</f>
        <v>Atmossphere_Input_C</v>
      </c>
      <c r="D2" s="189" t="s">
        <v>681</v>
      </c>
      <c r="E2" s="9" t="str">
        <f>_xlfn.XLOOKUP($D2,Table32[Color_Name],Table32[Hex_Code],,0,)</f>
        <v>#6B8E23</v>
      </c>
      <c r="F2" s="37"/>
      <c r="J2" t="s">
        <v>767</v>
      </c>
    </row>
    <row r="3" spans="1:10" x14ac:dyDescent="0.25">
      <c r="A3" s="16">
        <f t="shared" ref="A3:A51" si="0">ROW()-1</f>
        <v>2</v>
      </c>
      <c r="B3" s="9" t="str">
        <f>_xlfn.XLOOKUP(C3,Tab_Def_Flows[Name(EN)],Tab_Def_Flows[Flow_ID],,0,)</f>
        <v>F_01_02</v>
      </c>
      <c r="C3" s="9" t="str">
        <f>Tab_Def_Flows[[#This Row],[Name(EN)]]</f>
        <v>Environment_Input_E</v>
      </c>
      <c r="D3" s="189" t="s">
        <v>689</v>
      </c>
      <c r="E3" s="9" t="str">
        <f>_xlfn.XLOOKUP($D3,Table32[Color_Name],Table32[Hex_Code],,0,)</f>
        <v>#8B4513</v>
      </c>
      <c r="F3" s="37"/>
      <c r="J3" t="s">
        <v>768</v>
      </c>
    </row>
    <row r="4" spans="1:10" x14ac:dyDescent="0.25">
      <c r="A4" s="16">
        <f t="shared" si="0"/>
        <v>3</v>
      </c>
      <c r="B4" s="9" t="str">
        <f>_xlfn.XLOOKUP(C4,Tab_Def_Flows[Name(EN)],Tab_Def_Flows[Flow_ID],,0,)</f>
        <v>F_02_03</v>
      </c>
      <c r="C4" s="9" t="str">
        <f>Tab_Def_Flows[[#This Row],[Name(EN)]]</f>
        <v>Wheat Plant</v>
      </c>
      <c r="D4" s="189" t="s">
        <v>689</v>
      </c>
      <c r="E4" s="9" t="str">
        <f>_xlfn.XLOOKUP($D4,Table32[Color_Name],Table32[Hex_Code],,0,)</f>
        <v>#8B4513</v>
      </c>
      <c r="F4" s="37"/>
      <c r="J4" t="s">
        <v>769</v>
      </c>
    </row>
    <row r="5" spans="1:10" x14ac:dyDescent="0.25">
      <c r="A5" s="16">
        <f t="shared" si="0"/>
        <v>4</v>
      </c>
      <c r="B5" s="9" t="str">
        <f>_xlfn.XLOOKUP(C5,Tab_Def_Flows[Name(EN)],Tab_Def_Flows[Flow_ID],,0,)</f>
        <v>F_03_04</v>
      </c>
      <c r="C5" s="9" t="str">
        <f>Tab_Def_Flows[[#This Row],[Name(EN)]]</f>
        <v>Grain</v>
      </c>
      <c r="D5" s="189" t="s">
        <v>702</v>
      </c>
      <c r="E5" s="9" t="str">
        <f>_xlfn.XLOOKUP($D5,Table32[Color_Name],Table32[Hex_Code],,0,)</f>
        <v>#00CED1</v>
      </c>
      <c r="F5" s="37"/>
      <c r="J5" t="s">
        <v>770</v>
      </c>
    </row>
    <row r="6" spans="1:10" x14ac:dyDescent="0.25">
      <c r="A6" s="16">
        <f t="shared" si="0"/>
        <v>5</v>
      </c>
      <c r="B6" s="9" t="str">
        <f>_xlfn.XLOOKUP(C6,Tab_Def_Flows[Name(EN)],Tab_Def_Flows[Flow_ID],,0,)</f>
        <v>F_03_05</v>
      </c>
      <c r="C6" s="9" t="str">
        <f>Tab_Def_Flows[[#This Row],[Name(EN)]]</f>
        <v>Straw</v>
      </c>
      <c r="D6" s="189" t="s">
        <v>702</v>
      </c>
      <c r="E6" s="9" t="str">
        <f>_xlfn.XLOOKUP($D6,Table32[Color_Name],Table32[Hex_Code],,0,)</f>
        <v>#00CED1</v>
      </c>
      <c r="F6" s="37"/>
      <c r="J6" t="s">
        <v>771</v>
      </c>
    </row>
    <row r="7" spans="1:10" x14ac:dyDescent="0.25">
      <c r="A7" s="16">
        <f t="shared" si="0"/>
        <v>6</v>
      </c>
      <c r="B7" s="9" t="str">
        <f>_xlfn.XLOOKUP(C7,Tab_Def_Flows[Name(EN)],Tab_Def_Flows[Flow_ID],,0,)</f>
        <v>F_04_00</v>
      </c>
      <c r="C7" s="9" t="str">
        <f>Tab_Def_Flows[[#This Row],[Name(EN)]]</f>
        <v>Food_Emissions_C</v>
      </c>
      <c r="D7" s="189" t="s">
        <v>710</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710</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710</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710</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710</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710</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710</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710</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710</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710</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710</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710</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710</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710</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710</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tabSelected="1" zoomScale="85" zoomScaleNormal="85" workbookViewId="0">
      <selection activeCell="C39" sqref="C39"/>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9" t="s">
        <v>643</v>
      </c>
      <c r="B1" s="229" t="s">
        <v>297</v>
      </c>
      <c r="C1" s="229" t="s">
        <v>6</v>
      </c>
      <c r="D1" s="229" t="s">
        <v>644</v>
      </c>
      <c r="E1" s="229" t="s">
        <v>266</v>
      </c>
      <c r="I1" s="228" t="s">
        <v>663</v>
      </c>
      <c r="J1" s="228" t="s">
        <v>664</v>
      </c>
      <c r="K1" s="228" t="s">
        <v>665</v>
      </c>
      <c r="L1" s="228" t="s">
        <v>6</v>
      </c>
    </row>
    <row r="2" spans="1:14" x14ac:dyDescent="0.25">
      <c r="A2" s="9" t="s">
        <v>645</v>
      </c>
      <c r="B2" s="11">
        <v>0.5</v>
      </c>
      <c r="C2" s="37" t="s">
        <v>646</v>
      </c>
      <c r="D2" s="37" t="s">
        <v>647</v>
      </c>
      <c r="I2" t="s">
        <v>188</v>
      </c>
      <c r="J2" t="s">
        <v>667</v>
      </c>
      <c r="K2" t="s">
        <v>666</v>
      </c>
      <c r="L2" t="s">
        <v>245</v>
      </c>
    </row>
    <row r="3" spans="1:14" x14ac:dyDescent="0.25">
      <c r="A3" s="9" t="s">
        <v>648</v>
      </c>
      <c r="B3" s="11">
        <v>0.5</v>
      </c>
      <c r="C3" s="37" t="s">
        <v>649</v>
      </c>
      <c r="D3" s="37" t="s">
        <v>647</v>
      </c>
      <c r="I3" t="s">
        <v>189</v>
      </c>
      <c r="J3" t="s">
        <v>668</v>
      </c>
      <c r="K3" t="s">
        <v>666</v>
      </c>
      <c r="L3" t="s">
        <v>669</v>
      </c>
    </row>
    <row r="4" spans="1:14" x14ac:dyDescent="0.25">
      <c r="A4" s="9" t="s">
        <v>650</v>
      </c>
      <c r="B4" s="11">
        <v>0.3</v>
      </c>
      <c r="C4" s="37" t="s">
        <v>651</v>
      </c>
      <c r="D4" s="37" t="s">
        <v>652</v>
      </c>
      <c r="I4" t="s">
        <v>190</v>
      </c>
      <c r="J4" t="s">
        <v>670</v>
      </c>
      <c r="K4" t="s">
        <v>666</v>
      </c>
      <c r="L4" t="s">
        <v>671</v>
      </c>
    </row>
    <row r="5" spans="1:14" x14ac:dyDescent="0.25">
      <c r="A5" s="9" t="s">
        <v>653</v>
      </c>
      <c r="B5" s="11" t="s">
        <v>807</v>
      </c>
      <c r="C5" s="37" t="s">
        <v>654</v>
      </c>
      <c r="D5" s="37" t="s">
        <v>655</v>
      </c>
    </row>
    <row r="6" spans="1:14" x14ac:dyDescent="0.25">
      <c r="A6" s="9" t="s">
        <v>656</v>
      </c>
      <c r="B6" s="11" t="s">
        <v>657</v>
      </c>
      <c r="C6" s="37" t="s">
        <v>658</v>
      </c>
      <c r="D6" s="37" t="s">
        <v>659</v>
      </c>
    </row>
    <row r="7" spans="1:14" x14ac:dyDescent="0.25">
      <c r="A7" s="9" t="s">
        <v>660</v>
      </c>
      <c r="B7" s="11" t="s">
        <v>661</v>
      </c>
      <c r="C7" s="37" t="s">
        <v>662</v>
      </c>
      <c r="D7" s="37" t="s">
        <v>659</v>
      </c>
    </row>
    <row r="8" spans="1:14" x14ac:dyDescent="0.25">
      <c r="A8" s="9" t="s">
        <v>772</v>
      </c>
      <c r="B8" s="11">
        <v>1600</v>
      </c>
      <c r="C8" s="37" t="s">
        <v>773</v>
      </c>
      <c r="M8" t="s">
        <v>774</v>
      </c>
      <c r="N8" t="s">
        <v>775</v>
      </c>
    </row>
    <row r="9" spans="1:14" x14ac:dyDescent="0.25">
      <c r="A9" s="9" t="s">
        <v>776</v>
      </c>
      <c r="B9" s="11">
        <v>1200</v>
      </c>
      <c r="C9" s="37" t="s">
        <v>777</v>
      </c>
      <c r="H9" s="9" t="s">
        <v>778</v>
      </c>
      <c r="I9" s="11">
        <v>800</v>
      </c>
      <c r="J9" s="37" t="s">
        <v>779</v>
      </c>
      <c r="M9" t="s">
        <v>774</v>
      </c>
      <c r="N9" t="s">
        <v>775</v>
      </c>
    </row>
    <row r="10" spans="1:14" x14ac:dyDescent="0.25">
      <c r="A10" s="9" t="s">
        <v>786</v>
      </c>
      <c r="B10" s="11">
        <v>1</v>
      </c>
      <c r="C10" s="37" t="s">
        <v>787</v>
      </c>
      <c r="D10" t="s">
        <v>788</v>
      </c>
      <c r="E10" t="s">
        <v>775</v>
      </c>
      <c r="H10" s="9" t="s">
        <v>780</v>
      </c>
      <c r="I10" s="11">
        <v>600</v>
      </c>
      <c r="J10" s="37" t="s">
        <v>781</v>
      </c>
      <c r="M10" t="s">
        <v>774</v>
      </c>
      <c r="N10" t="s">
        <v>775</v>
      </c>
    </row>
    <row r="11" spans="1:14" x14ac:dyDescent="0.25">
      <c r="A11" s="9" t="s">
        <v>789</v>
      </c>
      <c r="B11" s="11">
        <v>1</v>
      </c>
      <c r="C11" s="37" t="s">
        <v>790</v>
      </c>
      <c r="D11" t="s">
        <v>788</v>
      </c>
      <c r="E11" t="s">
        <v>775</v>
      </c>
      <c r="H11" s="9" t="s">
        <v>782</v>
      </c>
      <c r="I11" s="11">
        <v>1600</v>
      </c>
      <c r="J11" s="37" t="s">
        <v>783</v>
      </c>
      <c r="M11" t="s">
        <v>774</v>
      </c>
      <c r="N11" t="s">
        <v>775</v>
      </c>
    </row>
    <row r="12" spans="1:14" x14ac:dyDescent="0.25">
      <c r="A12" s="9" t="s">
        <v>791</v>
      </c>
      <c r="B12" s="11" t="b">
        <v>1</v>
      </c>
      <c r="C12" s="37" t="s">
        <v>792</v>
      </c>
      <c r="D12" t="s">
        <v>788</v>
      </c>
      <c r="E12" t="s">
        <v>775</v>
      </c>
      <c r="H12" s="9" t="s">
        <v>784</v>
      </c>
      <c r="I12" s="11">
        <v>1200</v>
      </c>
      <c r="J12" s="37" t="s">
        <v>785</v>
      </c>
      <c r="M12" t="s">
        <v>774</v>
      </c>
      <c r="N12" t="s">
        <v>775</v>
      </c>
    </row>
    <row r="13" spans="1:14" x14ac:dyDescent="0.25">
      <c r="A13" s="9" t="s">
        <v>793</v>
      </c>
      <c r="B13" s="11">
        <v>0.3</v>
      </c>
      <c r="C13" s="37" t="s">
        <v>794</v>
      </c>
      <c r="D13" t="s">
        <v>788</v>
      </c>
      <c r="E13" t="s">
        <v>775</v>
      </c>
      <c r="M13" t="s">
        <v>774</v>
      </c>
      <c r="N13" t="s">
        <v>775</v>
      </c>
    </row>
    <row r="14" spans="1:14" x14ac:dyDescent="0.25">
      <c r="A14" s="9" t="s">
        <v>795</v>
      </c>
      <c r="B14" s="11">
        <v>3</v>
      </c>
      <c r="C14" s="37" t="s">
        <v>796</v>
      </c>
      <c r="D14" t="s">
        <v>788</v>
      </c>
      <c r="E14" t="s">
        <v>775</v>
      </c>
      <c r="M14" t="s">
        <v>774</v>
      </c>
      <c r="N14" t="s">
        <v>775</v>
      </c>
    </row>
    <row r="15" spans="1:14" x14ac:dyDescent="0.25">
      <c r="A15" s="9" t="s">
        <v>797</v>
      </c>
      <c r="B15" s="11" t="s">
        <v>807</v>
      </c>
      <c r="C15" s="37" t="s">
        <v>798</v>
      </c>
      <c r="D15" t="s">
        <v>788</v>
      </c>
      <c r="E15" t="s">
        <v>775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29" t="s">
        <v>501</v>
      </c>
      <c r="C21" s="229" t="s">
        <v>672</v>
      </c>
      <c r="D21" s="229" t="s">
        <v>673</v>
      </c>
      <c r="E21" s="229" t="s">
        <v>674</v>
      </c>
      <c r="F21" s="229" t="s">
        <v>675</v>
      </c>
    </row>
    <row r="22" spans="2:6" x14ac:dyDescent="0.25">
      <c r="B22" t="s">
        <v>676</v>
      </c>
      <c r="C22" t="s">
        <v>677</v>
      </c>
      <c r="D22" t="s">
        <v>678</v>
      </c>
      <c r="E22" t="s">
        <v>679</v>
      </c>
      <c r="F22" t="s">
        <v>680</v>
      </c>
    </row>
    <row r="23" spans="2:6" x14ac:dyDescent="0.25">
      <c r="B23" t="s">
        <v>676</v>
      </c>
      <c r="C23" t="s">
        <v>681</v>
      </c>
      <c r="D23" t="s">
        <v>682</v>
      </c>
      <c r="E23" t="s">
        <v>683</v>
      </c>
      <c r="F23" t="s">
        <v>684</v>
      </c>
    </row>
    <row r="24" spans="2:6" x14ac:dyDescent="0.25">
      <c r="B24" t="s">
        <v>676</v>
      </c>
      <c r="C24" t="s">
        <v>685</v>
      </c>
      <c r="D24" t="s">
        <v>686</v>
      </c>
      <c r="E24" t="s">
        <v>687</v>
      </c>
      <c r="F24" t="s">
        <v>688</v>
      </c>
    </row>
    <row r="25" spans="2:6" x14ac:dyDescent="0.25">
      <c r="B25" t="s">
        <v>676</v>
      </c>
      <c r="C25" t="s">
        <v>689</v>
      </c>
      <c r="D25" t="s">
        <v>690</v>
      </c>
      <c r="E25" t="s">
        <v>691</v>
      </c>
      <c r="F25" t="s">
        <v>692</v>
      </c>
    </row>
    <row r="26" spans="2:6" x14ac:dyDescent="0.25">
      <c r="B26" t="s">
        <v>676</v>
      </c>
      <c r="C26" t="s">
        <v>693</v>
      </c>
      <c r="D26" t="s">
        <v>694</v>
      </c>
      <c r="E26" t="s">
        <v>695</v>
      </c>
      <c r="F26" t="s">
        <v>696</v>
      </c>
    </row>
    <row r="27" spans="2:6" x14ac:dyDescent="0.25">
      <c r="B27" t="s">
        <v>697</v>
      </c>
      <c r="C27" t="s">
        <v>698</v>
      </c>
      <c r="D27" t="s">
        <v>699</v>
      </c>
      <c r="E27" t="s">
        <v>700</v>
      </c>
      <c r="F27" t="s">
        <v>701</v>
      </c>
    </row>
    <row r="28" spans="2:6" x14ac:dyDescent="0.25">
      <c r="B28" t="s">
        <v>697</v>
      </c>
      <c r="C28" t="s">
        <v>702</v>
      </c>
      <c r="D28" t="s">
        <v>703</v>
      </c>
      <c r="E28" t="s">
        <v>704</v>
      </c>
      <c r="F28" t="s">
        <v>705</v>
      </c>
    </row>
    <row r="29" spans="2:6" x14ac:dyDescent="0.25">
      <c r="B29" t="s">
        <v>697</v>
      </c>
      <c r="C29" t="s">
        <v>706</v>
      </c>
      <c r="D29" t="s">
        <v>707</v>
      </c>
      <c r="E29" t="s">
        <v>708</v>
      </c>
      <c r="F29" t="s">
        <v>709</v>
      </c>
    </row>
    <row r="30" spans="2:6" x14ac:dyDescent="0.25">
      <c r="B30" t="s">
        <v>697</v>
      </c>
      <c r="C30" t="s">
        <v>710</v>
      </c>
      <c r="D30" t="s">
        <v>711</v>
      </c>
      <c r="E30" t="s">
        <v>712</v>
      </c>
      <c r="F30" t="s">
        <v>713</v>
      </c>
    </row>
    <row r="31" spans="2:6" x14ac:dyDescent="0.25">
      <c r="B31" t="s">
        <v>714</v>
      </c>
      <c r="C31" t="s">
        <v>715</v>
      </c>
      <c r="D31" t="s">
        <v>716</v>
      </c>
      <c r="E31" t="s">
        <v>717</v>
      </c>
      <c r="F31" t="s">
        <v>718</v>
      </c>
    </row>
    <row r="32" spans="2:6" x14ac:dyDescent="0.25">
      <c r="B32" t="s">
        <v>714</v>
      </c>
      <c r="C32" t="s">
        <v>719</v>
      </c>
      <c r="D32" t="s">
        <v>720</v>
      </c>
      <c r="E32" t="s">
        <v>721</v>
      </c>
      <c r="F32" t="s">
        <v>722</v>
      </c>
    </row>
    <row r="33" spans="2:6" x14ac:dyDescent="0.25">
      <c r="B33" t="s">
        <v>714</v>
      </c>
      <c r="C33" t="s">
        <v>723</v>
      </c>
      <c r="D33" t="s">
        <v>724</v>
      </c>
      <c r="E33" t="s">
        <v>725</v>
      </c>
      <c r="F33" t="s">
        <v>726</v>
      </c>
    </row>
    <row r="34" spans="2:6" x14ac:dyDescent="0.25">
      <c r="B34" t="s">
        <v>714</v>
      </c>
      <c r="C34" t="s">
        <v>727</v>
      </c>
      <c r="D34" t="s">
        <v>728</v>
      </c>
      <c r="E34" t="s">
        <v>729</v>
      </c>
      <c r="F34" t="s">
        <v>730</v>
      </c>
    </row>
    <row r="35" spans="2:6" x14ac:dyDescent="0.25">
      <c r="B35" t="s">
        <v>731</v>
      </c>
      <c r="C35" t="s">
        <v>732</v>
      </c>
      <c r="D35" t="s">
        <v>733</v>
      </c>
      <c r="E35" t="s">
        <v>734</v>
      </c>
      <c r="F35" t="s">
        <v>735</v>
      </c>
    </row>
    <row r="36" spans="2:6" x14ac:dyDescent="0.25">
      <c r="B36" t="s">
        <v>731</v>
      </c>
      <c r="C36" t="s">
        <v>736</v>
      </c>
      <c r="D36" t="s">
        <v>737</v>
      </c>
      <c r="E36" t="s">
        <v>738</v>
      </c>
      <c r="F36" t="s">
        <v>739</v>
      </c>
    </row>
    <row r="37" spans="2:6" x14ac:dyDescent="0.25">
      <c r="B37" t="s">
        <v>731</v>
      </c>
      <c r="C37" t="s">
        <v>740</v>
      </c>
      <c r="D37" t="s">
        <v>741</v>
      </c>
      <c r="E37" t="s">
        <v>742</v>
      </c>
      <c r="F37" t="s">
        <v>743</v>
      </c>
    </row>
    <row r="38" spans="2:6" x14ac:dyDescent="0.25">
      <c r="B38" t="s">
        <v>731</v>
      </c>
      <c r="C38" t="s">
        <v>744</v>
      </c>
      <c r="D38" t="s">
        <v>745</v>
      </c>
      <c r="E38" t="s">
        <v>746</v>
      </c>
      <c r="F38" t="s">
        <v>747</v>
      </c>
    </row>
    <row r="39" spans="2:6" x14ac:dyDescent="0.25">
      <c r="B39" t="s">
        <v>748</v>
      </c>
      <c r="C39" t="s">
        <v>749</v>
      </c>
      <c r="D39" t="s">
        <v>750</v>
      </c>
      <c r="E39" t="s">
        <v>751</v>
      </c>
      <c r="F39" t="s">
        <v>752</v>
      </c>
    </row>
    <row r="40" spans="2:6" x14ac:dyDescent="0.25">
      <c r="B40" t="s">
        <v>748</v>
      </c>
      <c r="C40" t="s">
        <v>753</v>
      </c>
      <c r="D40" t="s">
        <v>754</v>
      </c>
      <c r="E40" t="s">
        <v>755</v>
      </c>
      <c r="F40" t="s">
        <v>756</v>
      </c>
    </row>
    <row r="41" spans="2:6" x14ac:dyDescent="0.25">
      <c r="B41" t="s">
        <v>748</v>
      </c>
      <c r="C41" t="s">
        <v>757</v>
      </c>
      <c r="D41" t="s">
        <v>758</v>
      </c>
      <c r="E41" t="s">
        <v>759</v>
      </c>
      <c r="F41" t="s">
        <v>760</v>
      </c>
    </row>
    <row r="42" spans="2:6" x14ac:dyDescent="0.25">
      <c r="B42" t="s">
        <v>748</v>
      </c>
      <c r="C42" t="s">
        <v>761</v>
      </c>
      <c r="D42" t="s">
        <v>762</v>
      </c>
      <c r="E42" t="s">
        <v>763</v>
      </c>
      <c r="F42" t="s">
        <v>764</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79" t="str">
        <f>'2_1_Definition_Processes'!D2</f>
        <v>Atmosphere</v>
      </c>
      <c r="C1" s="279"/>
      <c r="D1" s="279"/>
      <c r="E1" s="279"/>
      <c r="F1" s="279"/>
      <c r="G1" s="279"/>
      <c r="H1" s="279"/>
      <c r="I1" s="152" t="s">
        <v>261</v>
      </c>
      <c r="J1" s="280" t="s">
        <v>133</v>
      </c>
      <c r="K1" s="280"/>
      <c r="L1" s="280"/>
      <c r="M1" s="280"/>
    </row>
    <row r="2" spans="1:22" ht="16.5" thickBot="1" x14ac:dyDescent="0.3">
      <c r="A2" s="270" t="s">
        <v>260</v>
      </c>
      <c r="B2" s="271"/>
      <c r="C2" s="271"/>
      <c r="D2" s="271"/>
      <c r="E2" s="271"/>
      <c r="F2" s="271"/>
      <c r="G2" s="271"/>
      <c r="H2" s="271"/>
      <c r="I2" s="271"/>
      <c r="J2" s="271"/>
      <c r="K2" s="271"/>
      <c r="L2" s="271"/>
      <c r="M2" s="272"/>
    </row>
    <row r="3" spans="1:22" ht="126.75" customHeight="1" thickBot="1" x14ac:dyDescent="0.3">
      <c r="A3" s="281"/>
      <c r="B3" s="282"/>
      <c r="C3" s="282"/>
      <c r="D3" s="282"/>
      <c r="E3" s="282"/>
      <c r="F3" s="282"/>
      <c r="G3" s="282"/>
      <c r="H3" s="282"/>
      <c r="I3" s="282"/>
      <c r="J3" s="282"/>
      <c r="K3" s="282"/>
      <c r="L3" s="282"/>
      <c r="M3" s="283"/>
    </row>
    <row r="4" spans="1:22" ht="31.5" customHeight="1" x14ac:dyDescent="0.25">
      <c r="A4" s="151" t="s">
        <v>259</v>
      </c>
      <c r="B4" s="284"/>
      <c r="C4" s="285"/>
      <c r="D4" s="286"/>
      <c r="E4" s="287" t="s">
        <v>258</v>
      </c>
      <c r="F4" s="288"/>
      <c r="G4" s="156"/>
      <c r="H4" s="156"/>
      <c r="I4" s="150"/>
      <c r="J4" s="150"/>
      <c r="K4" s="150"/>
      <c r="L4" s="150"/>
      <c r="M4" s="150"/>
    </row>
    <row r="5" spans="1:22" ht="16.5" customHeight="1" x14ac:dyDescent="0.25">
      <c r="A5" s="153" t="s">
        <v>257</v>
      </c>
      <c r="B5" s="273" t="s">
        <v>444</v>
      </c>
      <c r="C5" s="273"/>
      <c r="D5" s="274"/>
      <c r="E5" s="153" t="s">
        <v>257</v>
      </c>
      <c r="F5" s="275" t="str">
        <f>_xlfn.XLOOKUP(J1,Tab_Def_Processes[Process_ID],Tab_Def_Processes[Output_Flow_O_1],"No_flow.",0,1)</f>
        <v>Wheat Plant</v>
      </c>
      <c r="G5" s="275"/>
      <c r="H5" s="276"/>
      <c r="I5" s="154"/>
      <c r="J5" s="149"/>
      <c r="K5" s="149"/>
      <c r="L5" s="149"/>
      <c r="M5" s="146"/>
    </row>
    <row r="6" spans="1:22" ht="16.5" customHeight="1" x14ac:dyDescent="0.25">
      <c r="A6" s="153" t="s">
        <v>256</v>
      </c>
      <c r="B6" s="275" t="s">
        <v>445</v>
      </c>
      <c r="C6" s="275"/>
      <c r="D6" s="276"/>
      <c r="E6" s="153" t="s">
        <v>256</v>
      </c>
      <c r="F6" s="275" t="str">
        <f>_xlfn.XLOOKUP(J1,Tab_Def_Processes[Process_ID],Tab_Def_Processes[Output_Flow_O_2],"No_flow.",0,1)</f>
        <v>N.A.</v>
      </c>
      <c r="G6" s="275"/>
      <c r="H6" s="276"/>
      <c r="I6" s="154"/>
      <c r="J6" s="149"/>
      <c r="K6" s="149"/>
      <c r="L6" s="149"/>
      <c r="M6" s="146"/>
    </row>
    <row r="7" spans="1:22" ht="16.5" customHeight="1" x14ac:dyDescent="0.25">
      <c r="A7" s="148" t="s">
        <v>255</v>
      </c>
      <c r="B7" s="275" t="str">
        <f>_xlfn.XLOOKUP(J1,Tab_Def_Processes[Process_ID],Tab_Def_Processes[Input_Flow_I_3],"No_flow.",0,1)</f>
        <v>N.A.</v>
      </c>
      <c r="C7" s="275"/>
      <c r="D7" s="276"/>
      <c r="E7" s="148" t="s">
        <v>255</v>
      </c>
      <c r="F7" s="275" t="str">
        <f>_xlfn.XLOOKUP(J1,Tab_Def_Processes[Process_ID],Tab_Def_Processes[Output_Flow_O_3],"No_flow.",0,1)</f>
        <v>N.A.</v>
      </c>
      <c r="G7" s="275"/>
      <c r="H7" s="276"/>
      <c r="I7" s="155"/>
      <c r="J7" s="147"/>
      <c r="K7" s="147"/>
      <c r="L7" s="147"/>
      <c r="M7" s="146"/>
    </row>
    <row r="8" spans="1:22" ht="16.5" customHeight="1" x14ac:dyDescent="0.25">
      <c r="A8" s="148" t="s">
        <v>254</v>
      </c>
      <c r="B8" s="275" t="str">
        <f>_xlfn.XLOOKUP(J1,Tab_Def_Processes[Process_ID],Tab_Def_Processes[Input_Flow_I_4],"No_flow.",0,1)</f>
        <v>N.A.</v>
      </c>
      <c r="C8" s="275"/>
      <c r="D8" s="276"/>
      <c r="E8" s="148" t="s">
        <v>254</v>
      </c>
      <c r="F8" s="275" t="str">
        <f>_xlfn.XLOOKUP(J1,Tab_Def_Processes[Process_ID],Tab_Def_Processes[Output_Flow_O_4],"No_flow.",0,1)</f>
        <v>N.A.</v>
      </c>
      <c r="G8" s="275"/>
      <c r="H8" s="276"/>
      <c r="I8" s="155"/>
      <c r="J8" s="147"/>
      <c r="K8" s="147"/>
      <c r="L8" s="147"/>
      <c r="M8" s="146"/>
    </row>
    <row r="9" spans="1:22" ht="16.5" customHeight="1" x14ac:dyDescent="0.25">
      <c r="A9" s="148" t="s">
        <v>253</v>
      </c>
      <c r="B9" s="275" t="str">
        <f>_xlfn.XLOOKUP(J1,Tab_Def_Processes[Process_ID],Tab_Def_Processes[Input_Flow_I_5],"No_flow.",0,1)</f>
        <v>N.A.</v>
      </c>
      <c r="C9" s="275"/>
      <c r="D9" s="276"/>
      <c r="E9" s="148" t="s">
        <v>253</v>
      </c>
      <c r="F9" s="275" t="str">
        <f>_xlfn.XLOOKUP(J1,Tab_Def_Processes[Process_ID],Tab_Def_Processes[Output_Flow_O_5],"No_flow.",0,1)</f>
        <v>N.A.</v>
      </c>
      <c r="G9" s="275"/>
      <c r="H9" s="276"/>
      <c r="I9" s="155"/>
      <c r="J9" s="147"/>
      <c r="K9" s="147"/>
      <c r="L9" s="147"/>
      <c r="M9" s="146"/>
    </row>
    <row r="10" spans="1:22" ht="16.5" customHeight="1" thickBot="1" x14ac:dyDescent="0.3">
      <c r="A10" s="157" t="s">
        <v>252</v>
      </c>
      <c r="B10" s="277"/>
      <c r="C10" s="277"/>
      <c r="D10" s="278"/>
      <c r="E10" s="157" t="s">
        <v>252</v>
      </c>
      <c r="F10" s="277"/>
      <c r="G10" s="277"/>
      <c r="H10" s="278"/>
      <c r="I10" s="155"/>
      <c r="J10" s="147"/>
      <c r="K10" s="147"/>
      <c r="L10" s="147"/>
      <c r="M10" s="146"/>
    </row>
    <row r="11" spans="1:22" ht="16.5" thickBot="1" x14ac:dyDescent="0.3">
      <c r="A11" s="270" t="s">
        <v>251</v>
      </c>
      <c r="B11" s="271"/>
      <c r="C11" s="271"/>
      <c r="D11" s="271"/>
      <c r="E11" s="271"/>
      <c r="F11" s="271"/>
      <c r="G11" s="271"/>
      <c r="H11" s="271"/>
      <c r="I11" s="271"/>
      <c r="J11" s="271"/>
      <c r="K11" s="271"/>
      <c r="L11" s="271"/>
      <c r="M11" s="272"/>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5" t="s">
        <v>249</v>
      </c>
      <c r="B13" s="246"/>
      <c r="C13" s="246"/>
      <c r="D13" s="246"/>
      <c r="E13" s="246"/>
      <c r="F13" s="246"/>
      <c r="G13" s="246"/>
      <c r="H13" s="246"/>
      <c r="I13" s="246"/>
      <c r="J13" s="246"/>
      <c r="K13" s="246"/>
      <c r="L13" s="246"/>
      <c r="M13" s="247"/>
    </row>
    <row r="14" spans="1:22" ht="16.5" thickBot="1" x14ac:dyDescent="0.3">
      <c r="A14" s="103" t="s">
        <v>235</v>
      </c>
      <c r="B14" s="249" t="s">
        <v>247</v>
      </c>
      <c r="C14" s="250"/>
      <c r="D14" s="251"/>
      <c r="E14" s="252" t="s">
        <v>246</v>
      </c>
      <c r="F14" s="253"/>
      <c r="G14" s="253"/>
      <c r="H14" s="254"/>
      <c r="I14" s="255" t="s">
        <v>245</v>
      </c>
      <c r="J14" s="256"/>
      <c r="K14" s="256"/>
      <c r="L14" s="256"/>
      <c r="M14" s="257"/>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2" t="s">
        <v>234</v>
      </c>
      <c r="C23" s="233"/>
      <c r="D23" s="233"/>
      <c r="E23" s="233"/>
      <c r="F23" s="233"/>
      <c r="G23" s="233"/>
      <c r="H23" s="234"/>
      <c r="I23" s="235" t="s">
        <v>233</v>
      </c>
      <c r="J23" s="236"/>
      <c r="K23" s="236"/>
      <c r="L23" s="236"/>
      <c r="M23" s="237"/>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8" t="s">
        <v>248</v>
      </c>
      <c r="B32" s="259"/>
      <c r="C32" s="259"/>
      <c r="D32" s="259"/>
      <c r="E32" s="259"/>
      <c r="F32" s="259"/>
      <c r="G32" s="259"/>
      <c r="H32" s="259"/>
      <c r="I32" s="259"/>
      <c r="J32" s="259"/>
      <c r="K32" s="259"/>
      <c r="L32" s="259"/>
      <c r="M32" s="260"/>
    </row>
    <row r="33" spans="1:18" ht="16.5" customHeight="1" thickBot="1" x14ac:dyDescent="0.3">
      <c r="A33" s="103" t="s">
        <v>235</v>
      </c>
      <c r="B33" s="261" t="s">
        <v>247</v>
      </c>
      <c r="C33" s="262"/>
      <c r="D33" s="263"/>
      <c r="E33" s="264" t="s">
        <v>246</v>
      </c>
      <c r="F33" s="265"/>
      <c r="G33" s="265"/>
      <c r="H33" s="266"/>
      <c r="I33" s="267" t="s">
        <v>245</v>
      </c>
      <c r="J33" s="268"/>
      <c r="K33" s="268"/>
      <c r="L33" s="268"/>
      <c r="M33" s="26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2" t="s">
        <v>234</v>
      </c>
      <c r="C42" s="233"/>
      <c r="D42" s="233"/>
      <c r="E42" s="233"/>
      <c r="F42" s="233"/>
      <c r="G42" s="233"/>
      <c r="H42" s="234"/>
      <c r="I42" s="235" t="s">
        <v>233</v>
      </c>
      <c r="J42" s="236"/>
      <c r="K42" s="236"/>
      <c r="L42" s="236"/>
      <c r="M42" s="237"/>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8" t="s">
        <v>220</v>
      </c>
      <c r="B51" s="239"/>
      <c r="C51" s="239"/>
      <c r="D51" s="239"/>
      <c r="E51" s="240"/>
      <c r="F51" s="241" t="s">
        <v>219</v>
      </c>
      <c r="G51" s="242"/>
      <c r="H51" s="242"/>
      <c r="I51" s="242"/>
      <c r="J51" s="242"/>
      <c r="K51" s="242"/>
      <c r="L51" s="242"/>
      <c r="M51" s="243"/>
    </row>
    <row r="52" spans="1:17" ht="16.5" thickBot="1" x14ac:dyDescent="0.3">
      <c r="A52" s="4" t="s">
        <v>218</v>
      </c>
      <c r="B52" s="77" t="s">
        <v>217</v>
      </c>
      <c r="C52" s="76" t="s">
        <v>189</v>
      </c>
      <c r="D52" s="75" t="s">
        <v>188</v>
      </c>
      <c r="E52" s="74" t="s">
        <v>216</v>
      </c>
      <c r="F52" s="231"/>
      <c r="G52" s="231"/>
      <c r="H52" s="231"/>
      <c r="I52" s="231"/>
      <c r="J52" s="231"/>
      <c r="K52" s="231"/>
      <c r="L52" s="231"/>
      <c r="M52" s="244"/>
    </row>
    <row r="53" spans="1:17" ht="15.75" x14ac:dyDescent="0.25">
      <c r="A53" s="5" t="s">
        <v>215</v>
      </c>
      <c r="B53" s="73">
        <f>B22</f>
        <v>721668.05</v>
      </c>
      <c r="C53" s="72">
        <f>F22</f>
        <v>101033.52700000002</v>
      </c>
      <c r="D53" s="71">
        <f>J22</f>
        <v>620634.52299999993</v>
      </c>
      <c r="E53" s="70">
        <f>C31</f>
        <v>297904.57</v>
      </c>
      <c r="F53" s="231"/>
      <c r="G53" s="231"/>
      <c r="H53" s="231"/>
      <c r="I53" s="231"/>
      <c r="J53" s="231"/>
      <c r="K53" s="231"/>
      <c r="L53" s="231"/>
      <c r="M53" s="244"/>
    </row>
    <row r="54" spans="1:17" ht="16.5" thickBot="1" x14ac:dyDescent="0.3">
      <c r="A54" s="5" t="s">
        <v>214</v>
      </c>
      <c r="B54" s="73">
        <f>B41</f>
        <v>721668.05</v>
      </c>
      <c r="C54" s="72">
        <f>F41</f>
        <v>101033.52700000002</v>
      </c>
      <c r="D54" s="71">
        <f>J41</f>
        <v>620634.52300000004</v>
      </c>
      <c r="E54" s="70">
        <f>C50</f>
        <v>297904.57104000001</v>
      </c>
      <c r="F54" s="231"/>
      <c r="G54" s="231"/>
      <c r="H54" s="231"/>
      <c r="I54" s="231"/>
      <c r="J54" s="231"/>
      <c r="K54" s="231"/>
      <c r="L54" s="231"/>
      <c r="M54" s="244"/>
    </row>
    <row r="55" spans="1:17" ht="15.75" x14ac:dyDescent="0.25">
      <c r="A55" s="4" t="s">
        <v>213</v>
      </c>
      <c r="B55" s="162">
        <f>B53-B54</f>
        <v>0</v>
      </c>
      <c r="C55" s="163">
        <f>C53-C54</f>
        <v>0</v>
      </c>
      <c r="D55" s="164">
        <f>D53-D54</f>
        <v>0</v>
      </c>
      <c r="E55" s="165">
        <f>E53-E54</f>
        <v>-1.0400000028312206E-3</v>
      </c>
      <c r="F55" s="231"/>
      <c r="G55" s="231"/>
      <c r="H55" s="231"/>
      <c r="I55" s="231"/>
      <c r="J55" s="231"/>
      <c r="K55" s="231"/>
      <c r="L55" s="231"/>
      <c r="M55" s="244"/>
    </row>
    <row r="56" spans="1:17" ht="16.5" thickBot="1" x14ac:dyDescent="0.3">
      <c r="A56" s="7" t="s">
        <v>212</v>
      </c>
      <c r="B56" s="69">
        <f>B53/B54</f>
        <v>1</v>
      </c>
      <c r="C56" s="67">
        <f>C53/C54</f>
        <v>1</v>
      </c>
      <c r="D56" s="66">
        <f>D53/D54</f>
        <v>0.99999999999999978</v>
      </c>
      <c r="E56" s="65">
        <f>E53/E54</f>
        <v>0.99999999650894911</v>
      </c>
      <c r="F56" s="231"/>
      <c r="G56" s="231"/>
      <c r="H56" s="231"/>
      <c r="I56" s="231"/>
      <c r="J56" s="231"/>
      <c r="K56" s="231"/>
      <c r="L56" s="231"/>
      <c r="M56" s="244"/>
    </row>
    <row r="57" spans="1:17" ht="15.75" thickBot="1" x14ac:dyDescent="0.3">
      <c r="A57" s="238" t="s">
        <v>211</v>
      </c>
      <c r="B57" s="239"/>
      <c r="C57" s="239"/>
      <c r="D57" s="239"/>
      <c r="E57" s="240"/>
      <c r="F57" s="231"/>
      <c r="G57" s="231"/>
      <c r="H57" s="231"/>
      <c r="I57" s="231"/>
      <c r="J57" s="231"/>
      <c r="K57" s="231"/>
      <c r="L57" s="231"/>
      <c r="M57" s="244"/>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1"/>
      <c r="G58" s="231"/>
      <c r="H58" s="231"/>
      <c r="I58" s="231"/>
      <c r="J58" s="231"/>
      <c r="K58" s="231"/>
      <c r="L58" s="231"/>
      <c r="M58" s="244"/>
    </row>
    <row r="59" spans="1:17" ht="16.5" thickBot="1" x14ac:dyDescent="0.3">
      <c r="A59" s="7" t="str">
        <f t="shared" si="35"/>
        <v>N.A.</v>
      </c>
      <c r="B59" s="68">
        <f t="shared" si="36"/>
        <v>0</v>
      </c>
      <c r="C59" s="67">
        <f>(E36*B36)/($B$22*$E$22)</f>
        <v>0</v>
      </c>
      <c r="D59" s="66">
        <f t="shared" si="37"/>
        <v>0</v>
      </c>
      <c r="E59" s="65" t="e">
        <f t="shared" si="38"/>
        <v>#DIV/0!</v>
      </c>
      <c r="F59" s="231"/>
      <c r="G59" s="231"/>
      <c r="H59" s="231"/>
      <c r="I59" s="231"/>
      <c r="J59" s="231"/>
      <c r="K59" s="231"/>
      <c r="L59" s="231"/>
      <c r="M59" s="244"/>
    </row>
    <row r="60" spans="1:17" ht="16.5" thickBot="1" x14ac:dyDescent="0.3">
      <c r="A60" s="7" t="str">
        <f t="shared" si="35"/>
        <v>N.A.</v>
      </c>
      <c r="B60" s="68">
        <f t="shared" si="36"/>
        <v>0</v>
      </c>
      <c r="C60" s="67">
        <f>(E37*B37)/($B$22*$E$22)</f>
        <v>0</v>
      </c>
      <c r="D60" s="66">
        <f t="shared" si="37"/>
        <v>0</v>
      </c>
      <c r="E60" s="65" t="e">
        <f t="shared" si="38"/>
        <v>#DIV/0!</v>
      </c>
      <c r="F60" s="231"/>
      <c r="G60" s="231"/>
      <c r="H60" s="231"/>
      <c r="I60" s="231"/>
      <c r="J60" s="231"/>
      <c r="K60" s="231"/>
      <c r="L60" s="231"/>
      <c r="M60" s="244"/>
    </row>
    <row r="61" spans="1:17" ht="16.5" thickBot="1" x14ac:dyDescent="0.3">
      <c r="A61" s="7" t="str">
        <f t="shared" si="35"/>
        <v>N.A.</v>
      </c>
      <c r="B61" s="68">
        <f t="shared" si="36"/>
        <v>0</v>
      </c>
      <c r="C61" s="67">
        <f>($G$41*F38)/($B$22*$E$22)</f>
        <v>0</v>
      </c>
      <c r="D61" s="66">
        <f t="shared" si="37"/>
        <v>0</v>
      </c>
      <c r="E61" s="65" t="e">
        <f t="shared" si="38"/>
        <v>#DIV/0!</v>
      </c>
      <c r="F61" s="231"/>
      <c r="G61" s="231"/>
      <c r="H61" s="231"/>
      <c r="I61" s="231"/>
      <c r="J61" s="231"/>
      <c r="K61" s="231"/>
      <c r="L61" s="231"/>
      <c r="M61" s="244"/>
    </row>
    <row r="62" spans="1:17" ht="16.5" thickBot="1" x14ac:dyDescent="0.3">
      <c r="A62" s="7" t="str">
        <f t="shared" si="35"/>
        <v>N.A.</v>
      </c>
      <c r="B62" s="68">
        <f t="shared" si="36"/>
        <v>0</v>
      </c>
      <c r="C62" s="67">
        <f>(B39*E39)/($B$22*$E$22)</f>
        <v>0</v>
      </c>
      <c r="D62" s="66">
        <f t="shared" si="37"/>
        <v>0</v>
      </c>
      <c r="E62" s="65" t="e">
        <f t="shared" si="38"/>
        <v>#DIV/0!</v>
      </c>
      <c r="F62" s="231"/>
      <c r="G62" s="231"/>
      <c r="H62" s="231"/>
      <c r="I62" s="231"/>
      <c r="J62" s="231"/>
      <c r="K62" s="231"/>
      <c r="L62" s="231"/>
      <c r="M62" s="244"/>
    </row>
    <row r="63" spans="1:17" ht="16.5" thickBot="1" x14ac:dyDescent="0.3">
      <c r="A63" s="7">
        <f t="shared" si="35"/>
        <v>0</v>
      </c>
      <c r="B63" s="68">
        <f t="shared" si="36"/>
        <v>0</v>
      </c>
      <c r="C63" s="67">
        <f>(B40*E40)/($B$22*$E$22)</f>
        <v>0</v>
      </c>
      <c r="D63" s="66">
        <f t="shared" si="37"/>
        <v>0</v>
      </c>
      <c r="E63" s="65" t="e">
        <f t="shared" si="38"/>
        <v>#DIV/0!</v>
      </c>
      <c r="F63" s="231"/>
      <c r="G63" s="231"/>
      <c r="H63" s="231"/>
      <c r="I63" s="231"/>
      <c r="J63" s="231"/>
      <c r="K63" s="231"/>
      <c r="L63" s="231"/>
      <c r="M63" s="244"/>
    </row>
    <row r="64" spans="1:17" ht="16.5" thickBot="1" x14ac:dyDescent="0.3">
      <c r="A64" s="4" t="s">
        <v>210</v>
      </c>
      <c r="B64" s="158">
        <f>SUM(B58:B63)</f>
        <v>1</v>
      </c>
      <c r="C64" s="159">
        <f>SUM(C58:C63)</f>
        <v>1</v>
      </c>
      <c r="D64" s="160">
        <f>SUM(D58:D63)</f>
        <v>1.0000000000000002</v>
      </c>
      <c r="E64" s="161" t="e">
        <f>SUM(E58:E63)</f>
        <v>#DIV/0!</v>
      </c>
      <c r="F64" s="231"/>
      <c r="G64" s="231"/>
      <c r="H64" s="231"/>
      <c r="I64" s="231"/>
      <c r="J64" s="231"/>
      <c r="K64" s="231"/>
      <c r="L64" s="231"/>
      <c r="M64" s="244"/>
    </row>
    <row r="65" spans="1:13" ht="16.5" thickBot="1" x14ac:dyDescent="0.3">
      <c r="A65" s="245" t="s">
        <v>209</v>
      </c>
      <c r="B65" s="246"/>
      <c r="C65" s="246"/>
      <c r="D65" s="246"/>
      <c r="E65" s="246"/>
      <c r="F65" s="246"/>
      <c r="G65" s="246"/>
      <c r="H65" s="246"/>
      <c r="I65" s="246"/>
      <c r="J65" s="246"/>
      <c r="K65" s="246"/>
      <c r="L65" s="246"/>
      <c r="M65" s="247"/>
    </row>
    <row r="66" spans="1:13" x14ac:dyDescent="0.25">
      <c r="A66" s="5" t="s">
        <v>208</v>
      </c>
      <c r="B66" s="248" t="s">
        <v>207</v>
      </c>
      <c r="C66" s="248"/>
      <c r="D66" s="248"/>
      <c r="E66" s="248"/>
      <c r="F66" s="248"/>
      <c r="G66" s="5" t="s">
        <v>206</v>
      </c>
      <c r="M66" s="59"/>
    </row>
    <row r="67" spans="1:13" ht="18.75" customHeight="1" x14ac:dyDescent="0.25">
      <c r="A67" s="5" t="s">
        <v>205</v>
      </c>
      <c r="B67" s="231" t="s">
        <v>192</v>
      </c>
      <c r="C67" s="231"/>
      <c r="D67" s="231"/>
      <c r="E67" s="231"/>
      <c r="F67" s="231"/>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9" t="s">
        <v>341</v>
      </c>
      <c r="B1" s="289"/>
      <c r="C1" s="289"/>
      <c r="E1" s="289" t="s">
        <v>342</v>
      </c>
      <c r="F1" s="289"/>
      <c r="G1" s="289"/>
    </row>
    <row r="2" spans="1:12" x14ac:dyDescent="0.25">
      <c r="A2" s="22" t="s">
        <v>32</v>
      </c>
      <c r="B2" s="22" t="s">
        <v>33</v>
      </c>
      <c r="C2" s="22" t="s">
        <v>6</v>
      </c>
      <c r="E2" s="22" t="s">
        <v>32</v>
      </c>
      <c r="F2" s="22" t="s">
        <v>33</v>
      </c>
      <c r="G2" s="22" t="s">
        <v>6</v>
      </c>
      <c r="J2" s="290" t="s">
        <v>63</v>
      </c>
      <c r="K2" s="290"/>
      <c r="L2" s="290"/>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89" t="s">
        <v>343</v>
      </c>
      <c r="B9" s="289"/>
      <c r="C9" s="289"/>
      <c r="J9">
        <v>6</v>
      </c>
    </row>
    <row r="10" spans="1:12" x14ac:dyDescent="0.25">
      <c r="A10" t="s">
        <v>32</v>
      </c>
      <c r="B10" t="s">
        <v>218</v>
      </c>
      <c r="C10" t="s">
        <v>6</v>
      </c>
      <c r="E10" s="289"/>
      <c r="F10" s="289"/>
      <c r="G10" s="289"/>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89" t="s">
        <v>462</v>
      </c>
      <c r="B20" s="289"/>
      <c r="C20" s="289"/>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0" t="s">
        <v>63</v>
      </c>
      <c r="K28" s="290"/>
      <c r="L28" s="290"/>
    </row>
    <row r="29" spans="1:12" x14ac:dyDescent="0.25">
      <c r="J29" s="2" t="s">
        <v>32</v>
      </c>
      <c r="K29" s="2" t="s">
        <v>33</v>
      </c>
      <c r="L29" s="2" t="s">
        <v>6</v>
      </c>
    </row>
    <row r="30" spans="1:12" x14ac:dyDescent="0.25">
      <c r="J30" s="3">
        <v>1</v>
      </c>
      <c r="K30" s="3" t="s">
        <v>100</v>
      </c>
      <c r="L30" s="3" t="s">
        <v>100</v>
      </c>
    </row>
    <row r="31" spans="1:12" x14ac:dyDescent="0.25">
      <c r="A31" s="289" t="s">
        <v>344</v>
      </c>
      <c r="B31" s="289"/>
      <c r="C31" s="289"/>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89" t="s">
        <v>349</v>
      </c>
      <c r="B38" s="289"/>
      <c r="C38" s="289"/>
    </row>
    <row r="39" spans="1:12" x14ac:dyDescent="0.25">
      <c r="A39" t="s">
        <v>311</v>
      </c>
      <c r="B39" t="s">
        <v>350</v>
      </c>
      <c r="C39" t="s">
        <v>6</v>
      </c>
    </row>
    <row r="40" spans="1:12" x14ac:dyDescent="0.25">
      <c r="A40">
        <v>1</v>
      </c>
      <c r="B40" t="s">
        <v>312</v>
      </c>
      <c r="F40" s="289" t="s">
        <v>64</v>
      </c>
      <c r="G40" s="289"/>
      <c r="H40" s="289"/>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89" t="s">
        <v>351</v>
      </c>
      <c r="B51" s="289"/>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2025-09-12T13:16:18Z</dcterms:modified>
</cp:coreProperties>
</file>