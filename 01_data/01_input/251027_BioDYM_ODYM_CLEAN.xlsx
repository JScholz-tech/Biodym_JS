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_Configuration" sheetId="1" state="visible" r:id="rId1"/>
    <sheet xmlns:r="http://schemas.openxmlformats.org/officeDocument/2006/relationships" name="1_1_Definition_Flows" sheetId="2" state="visible" r:id="rId2"/>
    <sheet xmlns:r="http://schemas.openxmlformats.org/officeDocument/2006/relationships" name="1_2_Data_Flows" sheetId="3" state="visible" r:id="rId3"/>
    <sheet xmlns:r="http://schemas.openxmlformats.org/officeDocument/2006/relationships" name="2_1_Definition_Processes" sheetId="4" state="visible" r:id="rId4"/>
    <sheet xmlns:r="http://schemas.openxmlformats.org/officeDocument/2006/relationships" name="2_2_static_TCs" sheetId="5" state="visible" r:id="rId5"/>
    <sheet xmlns:r="http://schemas.openxmlformats.org/officeDocument/2006/relationships" name="2_3_dynamic_TCs" sheetId="6" state="visible" r:id="rId6"/>
    <sheet xmlns:r="http://schemas.openxmlformats.org/officeDocument/2006/relationships" name="2_4_Initial_Stock" sheetId="7" state="visible" r:id="rId7"/>
    <sheet xmlns:r="http://schemas.openxmlformats.org/officeDocument/2006/relationships" name="3_1_Definition_DSM" sheetId="8" state="visible" r:id="rId8"/>
    <sheet xmlns:r="http://schemas.openxmlformats.org/officeDocument/2006/relationships" name="3_2_Definition_FOMP"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sheetData>
    <row r="1">
      <c r="A1" t="inlineStr">
        <is>
          <t>Category_Settings</t>
        </is>
      </c>
      <c r="B1" t="inlineStr">
        <is>
          <t>Setting_Name</t>
        </is>
      </c>
      <c r="C1" t="inlineStr">
        <is>
          <t>Value</t>
        </is>
      </c>
      <c r="D1" t="inlineStr">
        <is>
          <t>ODYM_ID</t>
        </is>
      </c>
      <c r="E1" t="inlineStr">
        <is>
          <t>Description</t>
        </is>
      </c>
      <c r="F1" t="inlineStr">
        <is>
          <t>Category</t>
        </is>
      </c>
      <c r="G1" t="inlineStr">
        <is>
          <t>Status</t>
        </is>
      </c>
    </row>
    <row r="2">
      <c r="A2" t="inlineStr">
        <is>
          <t>ODYM Dimension: Time (t)</t>
        </is>
      </c>
      <c r="B2" t="inlineStr">
        <is>
          <t>Time</t>
        </is>
      </c>
      <c r="C2" t="b">
        <v>1</v>
      </c>
      <c r="D2" t="b">
        <v>0</v>
      </c>
      <c r="E2" t="inlineStr">
        <is>
          <t>ODYM Dimension time (t) is always automaticly activated. The time settings of the system are defined within the model configuration</t>
        </is>
      </c>
    </row>
    <row r="3">
      <c r="B3" t="inlineStr">
        <is>
          <t>Time steps:</t>
        </is>
      </c>
      <c r="C3" t="inlineStr">
        <is>
          <t>Time in steps of 1 year</t>
        </is>
      </c>
      <c r="E3" t="inlineStr">
        <is>
          <t>Default time step of 1 year</t>
        </is>
      </c>
    </row>
    <row r="4">
      <c r="B4" t="inlineStr">
        <is>
          <t>Start_Year</t>
        </is>
      </c>
      <c r="C4" t="n">
        <v>2025</v>
      </c>
      <c r="E4" t="inlineStr">
        <is>
          <t>Start year of the calculation</t>
        </is>
      </c>
    </row>
    <row r="5">
      <c r="B5" t="inlineStr">
        <is>
          <t>End_Year</t>
        </is>
      </c>
      <c r="C5" t="n">
        <v>2050</v>
      </c>
      <c r="E5" t="inlineStr">
        <is>
          <t>End year of the calculation</t>
        </is>
      </c>
    </row>
    <row r="6">
      <c r="A6" t="inlineStr">
        <is>
          <t>ODYM Dimension: Region (r )</t>
        </is>
      </c>
      <c r="B6" t="inlineStr">
        <is>
          <t>Enable ODYM Dimension_Region</t>
        </is>
      </c>
      <c r="C6" t="b">
        <v>0</v>
      </c>
      <c r="D6" t="b">
        <v>0</v>
      </c>
      <c r="E6" t="inlineStr">
        <is>
          <t>ODYM Dimension Region (r ) is always activated. Additional Regions can be used to located processes. Regions are definend in _</t>
        </is>
      </c>
    </row>
    <row r="7">
      <c r="B7" t="inlineStr">
        <is>
          <t>Region ID 1</t>
        </is>
      </c>
      <c r="C7" t="inlineStr">
        <is>
          <t>Case_Study_Region</t>
        </is>
      </c>
      <c r="E7" t="inlineStr">
        <is>
          <t xml:space="preserve">Defined region of the Case_Study. Always activated. </t>
        </is>
      </c>
    </row>
    <row r="8">
      <c r="B8" t="inlineStr">
        <is>
          <t>Region ID 2</t>
        </is>
      </c>
    </row>
    <row r="9">
      <c r="B9" t="inlineStr">
        <is>
          <t>Region ID 3</t>
        </is>
      </c>
    </row>
    <row r="10">
      <c r="A10" t="inlineStr">
        <is>
          <t>ODYM Dimension: Process (p)</t>
        </is>
      </c>
      <c r="B10" t="inlineStr">
        <is>
          <t>Enable ODYM Dimension_Process</t>
        </is>
      </c>
      <c r="C10" t="b">
        <v>0</v>
      </c>
      <c r="D10" t="b">
        <v>0</v>
      </c>
      <c r="E10" t="inlineStr">
        <is>
          <t>ODYM Dimension "Process (p) is always automaticly activated. The Processes of the system are defined within the sheet 2_1_Definition_Processes</t>
        </is>
      </c>
    </row>
    <row r="11">
      <c r="B11" t="inlineStr">
        <is>
          <t>Process Type 1</t>
        </is>
      </c>
      <c r="C11" t="inlineStr">
        <is>
          <t>Biomass Production</t>
        </is>
      </c>
      <c r="D11" t="n">
        <v>1</v>
      </c>
    </row>
    <row r="12">
      <c r="B12" t="inlineStr">
        <is>
          <t>Process Type 2</t>
        </is>
      </c>
      <c r="C12" t="inlineStr">
        <is>
          <t>Biomass Processing</t>
        </is>
      </c>
      <c r="D12" t="n">
        <v>2</v>
      </c>
    </row>
    <row r="13">
      <c r="B13" t="inlineStr">
        <is>
          <t>Process Type 3</t>
        </is>
      </c>
      <c r="C13" t="inlineStr">
        <is>
          <t>Use-Phase</t>
        </is>
      </c>
      <c r="D13" t="n">
        <v>3</v>
      </c>
    </row>
    <row r="14">
      <c r="B14" t="inlineStr">
        <is>
          <t>Process Type 4</t>
        </is>
      </c>
      <c r="C14" t="inlineStr">
        <is>
          <t>EoL-Phase</t>
        </is>
      </c>
      <c r="D14" t="n">
        <v>4</v>
      </c>
    </row>
    <row r="15">
      <c r="B15" t="inlineStr">
        <is>
          <t>Process Type 5</t>
        </is>
      </c>
      <c r="D15" t="n">
        <v>5</v>
      </c>
    </row>
    <row r="16">
      <c r="B16" t="inlineStr">
        <is>
          <t>Process Type 6</t>
        </is>
      </c>
      <c r="D16" t="n">
        <v>6</v>
      </c>
    </row>
    <row r="17">
      <c r="A17" t="inlineStr">
        <is>
          <t>ODYM Dimension: Good (g)</t>
        </is>
      </c>
      <c r="B17" t="inlineStr">
        <is>
          <t>Enable ODYM Dimension_Goods</t>
        </is>
      </c>
      <c r="C17" t="b">
        <v>0</v>
      </c>
      <c r="D17" t="b">
        <v>0</v>
      </c>
      <c r="E17" t="inlineStr">
        <is>
          <t>ODYM Dimension "Good (g) is always automaticly activated. The goods of the system are defined within sheet 1_1_Definition_Flows</t>
        </is>
      </c>
    </row>
    <row r="18">
      <c r="B18" t="inlineStr">
        <is>
          <t>Good Type 1</t>
        </is>
      </c>
      <c r="C18" t="inlineStr">
        <is>
          <t>Raw Material</t>
        </is>
      </c>
      <c r="D18" t="n">
        <v>1</v>
      </c>
    </row>
    <row r="19">
      <c r="B19" t="inlineStr">
        <is>
          <t>Good Type 2</t>
        </is>
      </c>
      <c r="C19" t="inlineStr">
        <is>
          <t>Processed Product</t>
        </is>
      </c>
      <c r="D19" t="n">
        <v>2</v>
      </c>
    </row>
    <row r="20">
      <c r="B20" t="inlineStr">
        <is>
          <t>Good Type 3</t>
        </is>
      </c>
      <c r="C20" t="inlineStr">
        <is>
          <t>Product</t>
        </is>
      </c>
      <c r="D20" t="n">
        <v>3</v>
      </c>
    </row>
    <row r="21">
      <c r="B21" t="inlineStr">
        <is>
          <t>Good Type 4</t>
        </is>
      </c>
      <c r="C21" t="inlineStr">
        <is>
          <t>Waste</t>
        </is>
      </c>
      <c r="D21" t="n">
        <v>4</v>
      </c>
    </row>
    <row r="22">
      <c r="B22" t="inlineStr">
        <is>
          <t>Good Type 5</t>
        </is>
      </c>
      <c r="D22" t="n">
        <v>5</v>
      </c>
    </row>
    <row r="23">
      <c r="B23" t="inlineStr">
        <is>
          <t>Good Type 6</t>
        </is>
      </c>
      <c r="D23" t="n">
        <v>6</v>
      </c>
    </row>
    <row r="24">
      <c r="A24" t="inlineStr">
        <is>
          <t>ODYM Dimension: Material (m)</t>
        </is>
      </c>
      <c r="B24" t="inlineStr">
        <is>
          <t>Enable ODYM Dimension_Materials</t>
        </is>
      </c>
      <c r="C24" t="b">
        <v>0</v>
      </c>
      <c r="D24" t="b">
        <v>0</v>
      </c>
      <c r="E24" t="inlineStr">
        <is>
          <t>ODYM Dimension "Material (m) is always automaticly activated. The Materials of the system are limited to the typical composition of biomass, which consists out of Watercontent (WC) and Dry Mass (DM).</t>
        </is>
      </c>
    </row>
    <row r="25">
      <c r="B25" t="inlineStr">
        <is>
          <t>Material ID 1</t>
        </is>
      </c>
      <c r="C25" t="inlineStr">
        <is>
          <t>WC</t>
        </is>
      </c>
      <c r="E25" t="inlineStr">
        <is>
          <t>Watercontent (WC)</t>
        </is>
      </c>
    </row>
    <row r="26">
      <c r="B26" t="inlineStr">
        <is>
          <t>Material ID 2</t>
        </is>
      </c>
      <c r="C26" t="inlineStr">
        <is>
          <t>DM</t>
        </is>
      </c>
      <c r="E26" t="inlineStr">
        <is>
          <t>Dry Mass (DM)</t>
        </is>
      </c>
    </row>
    <row r="27">
      <c r="B27" t="inlineStr">
        <is>
          <t>Material ID 3</t>
        </is>
      </c>
    </row>
    <row r="28">
      <c r="B28" t="inlineStr">
        <is>
          <t>Material ID 4</t>
        </is>
      </c>
    </row>
    <row r="29">
      <c r="A29" t="inlineStr">
        <is>
          <t xml:space="preserve">ODYM Dimension: Elements (e ) </t>
        </is>
      </c>
      <c r="B29" t="inlineStr">
        <is>
          <t>Enable elements?</t>
        </is>
      </c>
      <c r="C29" t="b">
        <v>1</v>
      </c>
      <c r="D29" t="b">
        <v>0</v>
      </c>
      <c r="E29" t="inlineStr">
        <is>
          <t xml:space="preserve">ODYM Dimension "Element (e) is . The elements of the system are currently limited to carbon (C) and remaining DM. The list of elements can be extended for typical elements. </t>
        </is>
      </c>
    </row>
    <row r="30">
      <c r="B30" t="inlineStr">
        <is>
          <t>Element ID 1</t>
        </is>
      </c>
      <c r="C30" t="inlineStr">
        <is>
          <t>C</t>
        </is>
      </c>
      <c r="E30" t="inlineStr">
        <is>
          <t>Elemental Carbon</t>
        </is>
      </c>
    </row>
    <row r="31">
      <c r="B31" t="inlineStr">
        <is>
          <t>Element ID 2</t>
        </is>
      </c>
      <c r="C31" t="inlineStr">
        <is>
          <t>Remaining DM</t>
        </is>
      </c>
      <c r="E31" t="inlineStr">
        <is>
          <t>Remaining DM (DryMass - tracked elements)</t>
        </is>
      </c>
    </row>
    <row r="32">
      <c r="B32" t="inlineStr">
        <is>
          <t>Element ID 3</t>
        </is>
      </c>
    </row>
    <row r="33">
      <c r="B33" t="inlineStr">
        <is>
          <t>Element ID 4</t>
        </is>
      </c>
    </row>
    <row r="34">
      <c r="B34" t="inlineStr">
        <is>
          <t>Element ID 5</t>
        </is>
      </c>
    </row>
    <row r="35">
      <c r="B35" t="inlineStr">
        <is>
          <t>Unit_of_Measurement</t>
        </is>
      </c>
      <c r="C35" t="inlineStr">
        <is>
          <t>Mg</t>
        </is>
      </c>
    </row>
    <row r="36">
      <c r="B36" t="inlineStr">
        <is>
          <t>Input_File</t>
        </is>
      </c>
      <c r="C36" t="inlineStr">
        <is>
          <t>data/01_input/250902_CS1_Wheat_Straw.xlsx</t>
        </is>
      </c>
      <c r="E36" t="inlineStr">
        <is>
          <t>Path to Excel input file</t>
        </is>
      </c>
      <c r="F36" t="inlineStr">
        <is>
          <t>Core</t>
        </is>
      </c>
      <c r="G36" t="inlineStr">
        <is>
          <t>Required</t>
        </is>
      </c>
    </row>
    <row r="37">
      <c r="B37" t="inlineStr">
        <is>
          <t>Output_File</t>
        </is>
      </c>
      <c r="C37" t="inlineStr">
        <is>
          <t>data/02_output/results.xlsx</t>
        </is>
      </c>
      <c r="E37" t="inlineStr">
        <is>
          <t>Path for results output</t>
        </is>
      </c>
      <c r="F37" t="inlineStr">
        <is>
          <t>Core</t>
        </is>
      </c>
      <c r="G37" t="inlineStr">
        <is>
          <t>Required</t>
        </is>
      </c>
    </row>
    <row r="38">
      <c r="A38" t="inlineStr">
        <is>
          <t>CALCULATION SETTINGS</t>
        </is>
      </c>
      <c r="B38" t="inlineStr">
        <is>
          <t>Run_DSM_Calculation</t>
        </is>
      </c>
      <c r="C38" t="b">
        <v>1</v>
      </c>
      <c r="D38" t="b">
        <v>0</v>
      </c>
      <c r="E38" t="inlineStr">
        <is>
          <t>Enable Dynamic Stock Model calculation</t>
        </is>
      </c>
      <c r="F38" t="inlineStr">
        <is>
          <t>Calculation</t>
        </is>
      </c>
      <c r="G38" t="inlineStr">
        <is>
          <t>Required</t>
        </is>
      </c>
    </row>
    <row r="39">
      <c r="B39" t="inlineStr">
        <is>
          <t>Run_FOMP_Calculation</t>
        </is>
      </c>
      <c r="C39" t="b">
        <v>1</v>
      </c>
      <c r="D39" t="b">
        <v>0</v>
      </c>
      <c r="E39" t="inlineStr">
        <is>
          <t>Enable First-Order Material Process calculation</t>
        </is>
      </c>
      <c r="F39" t="inlineStr">
        <is>
          <t>Calculation</t>
        </is>
      </c>
      <c r="G39" t="inlineStr">
        <is>
          <t>Required</t>
        </is>
      </c>
    </row>
    <row r="40">
      <c r="B40" t="inlineStr">
        <is>
          <t>RUN_MONTE_CARLO</t>
        </is>
      </c>
      <c r="C40" t="b">
        <v>0</v>
      </c>
      <c r="D40" t="b">
        <v>0</v>
      </c>
      <c r="E40" t="inlineStr">
        <is>
          <t>Enable Monte Carlo uncertainty analysis</t>
        </is>
      </c>
      <c r="F40" t="inlineStr">
        <is>
          <t>Calculation</t>
        </is>
      </c>
      <c r="G40" t="inlineStr">
        <is>
          <t>Optional</t>
        </is>
      </c>
    </row>
    <row r="41">
      <c r="B41" t="inlineStr">
        <is>
          <t>MC_Iterations</t>
        </is>
      </c>
      <c r="C41" t="n">
        <v>150</v>
      </c>
      <c r="E41" t="inlineStr">
        <is>
          <t>Number of Monte Carlo iterations</t>
        </is>
      </c>
      <c r="F41" t="inlineStr">
        <is>
          <t>Calculation</t>
        </is>
      </c>
      <c r="G41" t="inlineStr">
        <is>
          <t>Optional</t>
        </is>
      </c>
    </row>
    <row r="42">
      <c r="A42" t="inlineStr">
        <is>
          <t>SCENARIO ANALYSIS SETTINGS</t>
        </is>
      </c>
      <c r="B42" t="inlineStr">
        <is>
          <t>Run_Scenario_Analysis</t>
        </is>
      </c>
      <c r="C42" t="b">
        <v>0</v>
      </c>
      <c r="D42" t="b">
        <v>0</v>
      </c>
      <c r="E42" t="inlineStr">
        <is>
          <t>Enable scenario comparison analysis</t>
        </is>
      </c>
      <c r="F42" t="inlineStr">
        <is>
          <t>Scenario</t>
        </is>
      </c>
      <c r="G42" t="inlineStr">
        <is>
          <t>Optional</t>
        </is>
      </c>
    </row>
    <row r="43">
      <c r="B43" t="inlineStr">
        <is>
          <t xml:space="preserve"> Selected Scenario Name 1</t>
        </is>
      </c>
      <c r="C43" t="inlineStr">
        <is>
          <t>Scenario 1</t>
        </is>
      </c>
      <c r="E43" t="inlineStr">
        <is>
          <t>First scenario name to analyze</t>
        </is>
      </c>
      <c r="F43" t="inlineStr">
        <is>
          <t>Scenario</t>
        </is>
      </c>
      <c r="G43" t="inlineStr">
        <is>
          <t>Optional</t>
        </is>
      </c>
    </row>
    <row r="44">
      <c r="B44" t="inlineStr">
        <is>
          <t xml:space="preserve"> Selected Scenario Name 2</t>
        </is>
      </c>
      <c r="C44" t="inlineStr">
        <is>
          <t>Scenario 2</t>
        </is>
      </c>
      <c r="E44" t="inlineStr">
        <is>
          <t>Second scenario name to analyze</t>
        </is>
      </c>
      <c r="F44" t="inlineStr">
        <is>
          <t>Scenario</t>
        </is>
      </c>
      <c r="G44" t="inlineStr">
        <is>
          <t>Optional</t>
        </is>
      </c>
    </row>
    <row r="45">
      <c r="B45" t="inlineStr">
        <is>
          <t xml:space="preserve"> Selected Scenario Name 3</t>
        </is>
      </c>
      <c r="C45" t="inlineStr">
        <is>
          <t>Scenario 3</t>
        </is>
      </c>
    </row>
    <row r="46">
      <c r="B46" t="inlineStr">
        <is>
          <t xml:space="preserve"> Selected Scenario Name 4</t>
        </is>
      </c>
      <c r="C46" t="inlineStr">
        <is>
          <t>Scenario 4</t>
        </is>
      </c>
      <c r="E46" t="inlineStr">
        <is>
          <t>Third scenario name to analyze</t>
        </is>
      </c>
      <c r="F46" t="inlineStr">
        <is>
          <t>Scenario</t>
        </is>
      </c>
      <c r="G46" t="inlineStr">
        <is>
          <t>Optional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N96"/>
  <sheetViews>
    <sheetView workbookViewId="0">
      <selection activeCell="A1" sqref="A1"/>
    </sheetView>
  </sheetViews>
  <sheetFormatPr baseColWidth="8" defaultRowHeight="15"/>
  <sheetData>
    <row r="1">
      <c r="A1" t="inlineStr">
        <is>
          <t>Complete?</t>
        </is>
      </c>
      <c r="B1" t="inlineStr">
        <is>
          <t>ID</t>
        </is>
      </c>
      <c r="C1" t="inlineStr">
        <is>
          <t>Flow_ID</t>
        </is>
      </c>
      <c r="D1" t="inlineStr">
        <is>
          <t>Flow_Name</t>
        </is>
      </c>
      <c r="E1" t="inlineStr">
        <is>
          <t>ODYM_Good_Type</t>
        </is>
      </c>
      <c r="F1" t="inlineStr">
        <is>
          <t>Flow_Output_Process</t>
        </is>
      </c>
      <c r="G1" t="inlineStr">
        <is>
          <t>Flow_Output_Process_ID</t>
        </is>
      </c>
      <c r="H1" t="inlineStr">
        <is>
          <t>Flow_Input_Process</t>
        </is>
      </c>
      <c r="I1" t="inlineStr">
        <is>
          <t>Input_Process_ID</t>
        </is>
      </c>
      <c r="J1" t="inlineStr">
        <is>
          <t>WC?</t>
        </is>
      </c>
      <c r="K1" t="inlineStr">
        <is>
          <t>DM?</t>
        </is>
      </c>
      <c r="L1" t="inlineStr">
        <is>
          <t>ODYM Dimension: material (e)</t>
        </is>
      </c>
      <c r="M1" t="inlineStr">
        <is>
          <t>CC?</t>
        </is>
      </c>
      <c r="N1" t="inlineStr">
        <is>
          <t>Flow_WC_ID</t>
        </is>
      </c>
      <c r="O1" t="inlineStr">
        <is>
          <t>Flow_WC[%]</t>
        </is>
      </c>
      <c r="P1" t="inlineStr">
        <is>
          <t>WC_source</t>
        </is>
      </c>
      <c r="Q1" t="inlineStr">
        <is>
          <t>Flow_DM_ID</t>
        </is>
      </c>
      <c r="R1" t="inlineStr">
        <is>
          <t>Flow_DM[%]</t>
        </is>
      </c>
      <c r="S1" t="inlineStr">
        <is>
          <t>DM_source</t>
        </is>
      </c>
      <c r="T1" t="inlineStr">
        <is>
          <t>Flow_CC_ID</t>
        </is>
      </c>
      <c r="U1" t="inlineStr">
        <is>
          <t>Flow_CC_DM[%]</t>
        </is>
      </c>
      <c r="V1" t="inlineStr">
        <is>
          <t>CC_DM_source</t>
        </is>
      </c>
      <c r="W1" t="inlineStr">
        <is>
          <t>Flow_CC_FM[%]</t>
        </is>
      </c>
      <c r="X1" t="inlineStr">
        <is>
          <t>CC_FM_source</t>
        </is>
      </c>
      <c r="Y1" t="inlineStr">
        <is>
          <t>ODYM_time_(t)</t>
        </is>
      </c>
      <c r="Z1" t="inlineStr">
        <is>
          <t>ODYM_Time_ID</t>
        </is>
      </c>
      <c r="AA1" t="inlineStr">
        <is>
          <t>ODYM_Region_(r)</t>
        </is>
      </c>
      <c r="AB1" t="inlineStr">
        <is>
          <t>ODYM_Region_ID</t>
        </is>
      </c>
      <c r="AC1" t="inlineStr">
        <is>
          <t>ODYM_process_(p)</t>
        </is>
      </c>
      <c r="AD1" t="inlineStr">
        <is>
          <t>ODYM_Process_ID</t>
        </is>
      </c>
      <c r="AE1" t="inlineStr">
        <is>
          <t>ODYM_Good_(g)2</t>
        </is>
      </c>
      <c r="AF1" t="inlineStr">
        <is>
          <t>ODYM_Good_ID</t>
        </is>
      </c>
      <c r="AG1" t="inlineStr">
        <is>
          <t>ODYM_material_(m)</t>
        </is>
      </c>
      <c r="AH1" t="inlineStr">
        <is>
          <t>ODYM_Material_ID</t>
        </is>
      </c>
      <c r="AI1" t="inlineStr">
        <is>
          <t>ODYM_element_(e)</t>
        </is>
      </c>
      <c r="AJ1" t="inlineStr">
        <is>
          <t>ODYM_Element_ID</t>
        </is>
      </c>
      <c r="AK1" t="inlineStr">
        <is>
          <t>ODYM_Indices</t>
        </is>
      </c>
      <c r="AL1" t="inlineStr">
        <is>
          <t>Column2</t>
        </is>
      </c>
    </row>
    <row r="2">
      <c r="A2" t="b">
        <v>0</v>
      </c>
      <c r="B2">
        <f>ROW()-1</f>
        <v/>
      </c>
      <c r="C2">
        <f>"F_"&amp;LEFT(G2,2)&amp;"_"&amp;LEFT(I2,2)</f>
        <v/>
      </c>
      <c r="D2" t="inlineStr">
        <is>
          <t>Atmosphere_Input_Cultivation_C</t>
        </is>
      </c>
      <c r="E2" t="inlineStr">
        <is>
          <t>Raw Material</t>
        </is>
      </c>
      <c r="F2" t="inlineStr">
        <is>
          <t>Atmosphere</t>
        </is>
      </c>
      <c r="G2">
        <f>_xlfn.XLOOKUP(F2,Tab_Def_Processes[Process_Name],Tab_Def_Processes[Process_ID],,0,)</f>
        <v/>
      </c>
      <c r="H2" t="inlineStr">
        <is>
          <t>Rye_Cultivation</t>
        </is>
      </c>
      <c r="I2">
        <f>_xlfn.XLOOKUP(H2,Tab_Def_Processes[Process_Name],Tab_Def_Processes[Process_ID],,0,)</f>
        <v/>
      </c>
      <c r="J2" t="inlineStr">
        <is>
          <t>Yes</t>
        </is>
      </c>
      <c r="K2" t="inlineStr">
        <is>
          <t>Yes</t>
        </is>
      </c>
      <c r="M2" t="inlineStr">
        <is>
          <t>Yes</t>
        </is>
      </c>
      <c r="N2">
        <f>Tab_Def_Flows[[#This Row],[Flow_ID]]&amp;"_WC"</f>
        <v/>
      </c>
      <c r="O2" t="n">
        <v>0</v>
      </c>
      <c r="Q2">
        <f>Tab_Def_Flows[[#This Row],[Flow_ID]]&amp;"_DM"</f>
        <v/>
      </c>
      <c r="R2" t="n">
        <v>1</v>
      </c>
      <c r="T2">
        <f>Tab_Def_Flows[[#This Row],[Flow_ID]]&amp;"_CC"</f>
        <v/>
      </c>
      <c r="U2" t="n">
        <v>1</v>
      </c>
      <c r="W2">
        <f>Tab_Def_Flows[[#This Row],[Flow_CC_DM'[%']]]*Tab_Def_Flows[[#This Row],[Flow_DM'[%']]]</f>
        <v/>
      </c>
      <c r="Y2">
        <f>'0_Configuration'!$C$2</f>
        <v/>
      </c>
      <c r="Z2" t="inlineStr"/>
      <c r="AA2">
        <f>'0_Configuration'!$C$6</f>
        <v/>
      </c>
      <c r="AB2" t="inlineStr"/>
      <c r="AC2">
        <f>'0_Configuration'!$C$10</f>
        <v/>
      </c>
      <c r="AD2" t="inlineStr"/>
      <c r="AE2">
        <f>'0_Configuration'!$C$17</f>
        <v/>
      </c>
      <c r="AF2">
        <f>_xlfn.XLOOKUP(Tab_Def_Flows[[#This Row],[ODYM_Good_Type]],Tab_Configuration[Value],Tab_Configuration[ODYM_ID],,0,)</f>
        <v/>
      </c>
      <c r="AG2">
        <f>'0_Configuration'!$C$24</f>
        <v/>
      </c>
      <c r="AH2" t="inlineStr"/>
      <c r="AI2">
        <f>'0_Configuration'!$C$29</f>
        <v/>
      </c>
      <c r="AJ2" t="inlineStr"/>
      <c r="AK2">
        <f>IF(Tab_Def_Flows[[#This Row],[ODYM_time_(t)]],"t,","")&amp;IF(Tab_Def_Flows[[#This Row],[ODYM_Region_(r)]],"r,","")&amp;IF(Tab_Def_Flows[[#This Row],[ODYM_process_(p)]],"p,","")&amp;IF(Tab_Def_Flows[[#This Row],[ODYM_Good_(g)2]],"g,","")&amp;IF(Tab_Def_Flows[[#This Row],[ODYM_material_(m)]],"m,","")&amp;IF(Tab_Def_Flows[[#This Row],[ODYM_element_(e)]],"e","")</f>
        <v/>
      </c>
      <c r="AL2">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3">
      <c r="A3" t="b">
        <v>0</v>
      </c>
      <c r="B3">
        <f>ROW()-1</f>
        <v/>
      </c>
      <c r="C3">
        <f>"F_"&amp;LEFT(G3,2)&amp;"_"&amp;LEFT(I3,2)</f>
        <v/>
      </c>
      <c r="D3" t="inlineStr">
        <is>
          <t>Environment_Input_Cultivation_E</t>
        </is>
      </c>
      <c r="E3" t="inlineStr">
        <is>
          <t>Product</t>
        </is>
      </c>
      <c r="F3" t="inlineStr">
        <is>
          <t>Environment</t>
        </is>
      </c>
      <c r="G3">
        <f>_xlfn.XLOOKUP(F3,Tab_Def_Processes[Process_Name],Tab_Def_Processes[Process_ID],,0,)</f>
        <v/>
      </c>
      <c r="H3" t="inlineStr">
        <is>
          <t>Rye_Cultivation</t>
        </is>
      </c>
      <c r="I3">
        <f>_xlfn.XLOOKUP(H3,Tab_Def_Processes[Process_Name],Tab_Def_Processes[Process_ID],,0,)</f>
        <v/>
      </c>
      <c r="J3" t="inlineStr">
        <is>
          <t>Yes</t>
        </is>
      </c>
      <c r="K3" t="inlineStr">
        <is>
          <t>Yes</t>
        </is>
      </c>
      <c r="M3" t="inlineStr">
        <is>
          <t>Yes</t>
        </is>
      </c>
      <c r="N3">
        <f>Tab_Def_Flows[[#This Row],[Flow_ID]]&amp;"_WC"</f>
        <v/>
      </c>
      <c r="O3" t="n">
        <v>0.23841961852861</v>
      </c>
      <c r="Q3">
        <f>Tab_Def_Flows[[#This Row],[Flow_ID]]&amp;"_DM"</f>
        <v/>
      </c>
      <c r="R3" t="n">
        <v>0.76158038147139</v>
      </c>
      <c r="T3">
        <f>Tab_Def_Flows[[#This Row],[Flow_ID]]&amp;"_CC"</f>
        <v/>
      </c>
      <c r="U3" t="n">
        <v>0</v>
      </c>
      <c r="W3">
        <f>Tab_Def_Flows[[#This Row],[Flow_CC_DM'[%']]]*Tab_Def_Flows[[#This Row],[Flow_DM'[%']]]</f>
        <v/>
      </c>
      <c r="Y3">
        <f>'0_Configuration'!$C$2</f>
        <v/>
      </c>
      <c r="Z3" t="inlineStr"/>
      <c r="AA3">
        <f>'0_Configuration'!$C$6</f>
        <v/>
      </c>
      <c r="AB3" t="inlineStr"/>
      <c r="AC3">
        <f>'0_Configuration'!$C$10</f>
        <v/>
      </c>
      <c r="AD3" t="inlineStr"/>
      <c r="AE3">
        <f>'0_Configuration'!$C$17</f>
        <v/>
      </c>
      <c r="AF3">
        <f>_xlfn.XLOOKUP(Tab_Def_Flows[[#This Row],[ODYM_Good_Type]],Tab_Configuration[Value],Tab_Configuration[ODYM_ID],,0,)</f>
        <v/>
      </c>
      <c r="AG3">
        <f>'0_Configuration'!$C$24</f>
        <v/>
      </c>
      <c r="AH3" t="inlineStr"/>
      <c r="AI3">
        <f>'0_Configuration'!$C$29</f>
        <v/>
      </c>
      <c r="AJ3" t="inlineStr"/>
      <c r="AK3">
        <f>IF(Tab_Def_Flows[[#This Row],[ODYM_time_(t)]],"t,","")&amp;IF(Tab_Def_Flows[[#This Row],[ODYM_Region_(r)]],"r,","")&amp;IF(Tab_Def_Flows[[#This Row],[ODYM_process_(p)]],"p,","")&amp;IF(Tab_Def_Flows[[#This Row],[ODYM_Good_(g)2]],"g,","")&amp;IF(Tab_Def_Flows[[#This Row],[ODYM_material_(m)]],"m,","")&amp;IF(Tab_Def_Flows[[#This Row],[ODYM_element_(e)]],"e","")</f>
        <v/>
      </c>
      <c r="AL3">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4">
      <c r="A4" t="b">
        <v>0</v>
      </c>
      <c r="B4">
        <f>ROW()-1</f>
        <v/>
      </c>
      <c r="C4">
        <f>"F_"&amp;LEFT(G4,2)&amp;"_"&amp;LEFT(I4,2)</f>
        <v/>
      </c>
      <c r="D4" t="inlineStr">
        <is>
          <t>Atmosphere_Input_cow-manure_production_C</t>
        </is>
      </c>
      <c r="F4" t="inlineStr">
        <is>
          <t>Atmosphere</t>
        </is>
      </c>
      <c r="G4">
        <f>_xlfn.XLOOKUP(F4,Tab_Def_Processes[Process_Name],Tab_Def_Processes[Process_ID],,0,)</f>
        <v/>
      </c>
      <c r="H4" t="inlineStr">
        <is>
          <t>Cow-Manure_Production</t>
        </is>
      </c>
      <c r="I4">
        <f>_xlfn.XLOOKUP(H4,Tab_Def_Processes[Process_Name],Tab_Def_Processes[Process_ID],,0,)</f>
        <v/>
      </c>
      <c r="J4" t="inlineStr">
        <is>
          <t>Yes</t>
        </is>
      </c>
      <c r="K4" t="inlineStr">
        <is>
          <t>Yes</t>
        </is>
      </c>
      <c r="M4" t="inlineStr">
        <is>
          <t>Yes</t>
        </is>
      </c>
      <c r="N4">
        <f>Tab_Def_Flows[[#This Row],[Flow_ID]]&amp;"_WC"</f>
        <v/>
      </c>
      <c r="O4" t="n">
        <v>0</v>
      </c>
      <c r="Q4">
        <f>Tab_Def_Flows[[#This Row],[Flow_ID]]&amp;"_DM"</f>
        <v/>
      </c>
      <c r="R4" t="n">
        <v>1</v>
      </c>
      <c r="T4">
        <f>Tab_Def_Flows[[#This Row],[Flow_ID]]&amp;"_CC"</f>
        <v/>
      </c>
      <c r="U4" t="n">
        <v>1</v>
      </c>
      <c r="W4">
        <f>Tab_Def_Flows[[#This Row],[Flow_CC_DM'[%']]]*Tab_Def_Flows[[#This Row],[Flow_DM'[%']]]</f>
        <v/>
      </c>
      <c r="Y4">
        <f>'0_Configuration'!$C$2</f>
        <v/>
      </c>
      <c r="Z4" t="inlineStr"/>
      <c r="AA4">
        <f>'0_Configuration'!$C$6</f>
        <v/>
      </c>
      <c r="AB4" t="inlineStr"/>
      <c r="AC4">
        <f>'0_Configuration'!$C$10</f>
        <v/>
      </c>
      <c r="AD4" t="inlineStr"/>
      <c r="AE4">
        <f>'0_Configuration'!$C$17</f>
        <v/>
      </c>
      <c r="AF4">
        <f>_xlfn.XLOOKUP(Tab_Def_Flows[[#This Row],[ODYM_Good_Type]],Tab_Configuration[Value],Tab_Configuration[ODYM_ID],,0,)</f>
        <v/>
      </c>
      <c r="AG4">
        <f>'0_Configuration'!$C$24</f>
        <v/>
      </c>
      <c r="AH4" t="inlineStr"/>
      <c r="AI4">
        <f>'0_Configuration'!$C$29</f>
        <v/>
      </c>
      <c r="AJ4" t="inlineStr"/>
      <c r="AK4">
        <f>IF(Tab_Def_Flows[[#This Row],[ODYM_time_(t)]],"t,","")&amp;IF(Tab_Def_Flows[[#This Row],[ODYM_Region_(r)]],"r,","")&amp;IF(Tab_Def_Flows[[#This Row],[ODYM_process_(p)]],"p,","")&amp;IF(Tab_Def_Flows[[#This Row],[ODYM_Good_(g)2]],"g,","")&amp;IF(Tab_Def_Flows[[#This Row],[ODYM_material_(m)]],"m,","")&amp;IF(Tab_Def_Flows[[#This Row],[ODYM_element_(e)]],"e","")</f>
        <v/>
      </c>
      <c r="AL4">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5">
      <c r="A5" t="b">
        <v>0</v>
      </c>
      <c r="B5">
        <f>ROW()-1</f>
        <v/>
      </c>
      <c r="C5">
        <f>"F_"&amp;LEFT(G5,2)&amp;"_"&amp;LEFT(I5,2)</f>
        <v/>
      </c>
      <c r="D5" t="inlineStr">
        <is>
          <t>Environment_Input_cow-manure_production_E</t>
        </is>
      </c>
      <c r="F5" t="inlineStr">
        <is>
          <t>Environment</t>
        </is>
      </c>
      <c r="G5">
        <f>_xlfn.XLOOKUP(F5,Tab_Def_Processes[Process_Name],Tab_Def_Processes[Process_ID],,0,)</f>
        <v/>
      </c>
      <c r="H5" t="inlineStr">
        <is>
          <t>Cow-Manure_Production</t>
        </is>
      </c>
      <c r="I5">
        <f>_xlfn.XLOOKUP(H5,Tab_Def_Processes[Process_Name],Tab_Def_Processes[Process_ID],,0,)</f>
        <v/>
      </c>
      <c r="J5" t="inlineStr">
        <is>
          <t>Yes</t>
        </is>
      </c>
      <c r="K5" t="inlineStr">
        <is>
          <t>Yes</t>
        </is>
      </c>
      <c r="M5" t="inlineStr">
        <is>
          <t>Yes</t>
        </is>
      </c>
      <c r="N5">
        <f>Tab_Def_Flows[[#This Row],[Flow_ID]]&amp;"_WC"</f>
        <v/>
      </c>
      <c r="O5" t="n">
        <v>0.967389286524618</v>
      </c>
      <c r="Q5">
        <f>Tab_Def_Flows[[#This Row],[Flow_ID]]&amp;"_DM"</f>
        <v/>
      </c>
      <c r="R5" t="n">
        <v>0.0326107134753821</v>
      </c>
      <c r="T5">
        <f>Tab_Def_Flows[[#This Row],[Flow_ID]]&amp;"_CC"</f>
        <v/>
      </c>
      <c r="U5" t="n">
        <v>0</v>
      </c>
      <c r="W5">
        <f>Tab_Def_Flows[[#This Row],[Flow_CC_DM'[%']]]*Tab_Def_Flows[[#This Row],[Flow_DM'[%']]]</f>
        <v/>
      </c>
      <c r="Y5">
        <f>'0_Configuration'!$C$2</f>
        <v/>
      </c>
      <c r="Z5" t="inlineStr"/>
      <c r="AA5">
        <f>'0_Configuration'!$C$6</f>
        <v/>
      </c>
      <c r="AB5" t="inlineStr"/>
      <c r="AC5">
        <f>'0_Configuration'!$C$10</f>
        <v/>
      </c>
      <c r="AD5" t="inlineStr"/>
      <c r="AE5">
        <f>'0_Configuration'!$C$17</f>
        <v/>
      </c>
      <c r="AF5">
        <f>_xlfn.XLOOKUP(Tab_Def_Flows[[#This Row],[ODYM_Good_Type]],Tab_Configuration[Value],Tab_Configuration[ODYM_ID],,0,)</f>
        <v/>
      </c>
      <c r="AG5">
        <f>'0_Configuration'!$C$24</f>
        <v/>
      </c>
      <c r="AH5" t="inlineStr"/>
      <c r="AI5">
        <f>'0_Configuration'!$C$29</f>
        <v/>
      </c>
      <c r="AJ5" t="inlineStr"/>
      <c r="AK5">
        <f>IF(Tab_Def_Flows[[#This Row],[ODYM_time_(t)]],"t,","")&amp;IF(Tab_Def_Flows[[#This Row],[ODYM_Region_(r)]],"r,","")&amp;IF(Tab_Def_Flows[[#This Row],[ODYM_process_(p)]],"p,","")&amp;IF(Tab_Def_Flows[[#This Row],[ODYM_Good_(g)2]],"g,","")&amp;IF(Tab_Def_Flows[[#This Row],[ODYM_material_(m)]],"m,","")&amp;IF(Tab_Def_Flows[[#This Row],[ODYM_element_(e)]],"e","")</f>
        <v/>
      </c>
      <c r="AL5">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6">
      <c r="A6" t="b">
        <v>0</v>
      </c>
      <c r="B6">
        <f>ROW()-1</f>
        <v/>
      </c>
      <c r="C6">
        <f>"F_"&amp;LEFT(G6,2)&amp;"_"&amp;LEFT(I6,2)</f>
        <v/>
      </c>
      <c r="D6" t="inlineStr">
        <is>
          <t>Atmosphere_Input_millet_production_C</t>
        </is>
      </c>
      <c r="F6" t="inlineStr">
        <is>
          <t>Atmosphere</t>
        </is>
      </c>
      <c r="G6">
        <f>_xlfn.XLOOKUP(F6,Tab_Def_Processes[Process_Name],Tab_Def_Processes[Process_ID],,0,)</f>
        <v/>
      </c>
      <c r="H6" t="inlineStr">
        <is>
          <t>Millet_Production</t>
        </is>
      </c>
      <c r="I6">
        <f>_xlfn.XLOOKUP(H6,Tab_Def_Processes[Process_Name],Tab_Def_Processes[Process_ID],,0,)</f>
        <v/>
      </c>
      <c r="J6" t="inlineStr">
        <is>
          <t>Yes</t>
        </is>
      </c>
      <c r="K6" t="inlineStr">
        <is>
          <t>Yes</t>
        </is>
      </c>
      <c r="M6" t="inlineStr">
        <is>
          <t>Yes</t>
        </is>
      </c>
      <c r="N6">
        <f>Tab_Def_Flows[[#This Row],[Flow_ID]]&amp;"_WC"</f>
        <v/>
      </c>
      <c r="O6" t="n">
        <v>0</v>
      </c>
      <c r="Q6">
        <f>Tab_Def_Flows[[#This Row],[Flow_ID]]&amp;"_DM"</f>
        <v/>
      </c>
      <c r="R6" t="n">
        <v>1</v>
      </c>
      <c r="T6">
        <f>Tab_Def_Flows[[#This Row],[Flow_ID]]&amp;"_CC"</f>
        <v/>
      </c>
      <c r="U6" t="n">
        <v>1</v>
      </c>
      <c r="W6">
        <f>Tab_Def_Flows[[#This Row],[Flow_CC_DM'[%']]]*Tab_Def_Flows[[#This Row],[Flow_DM'[%']]]</f>
        <v/>
      </c>
      <c r="Y6">
        <f>'0_Configuration'!$C$2</f>
        <v/>
      </c>
      <c r="Z6" t="inlineStr"/>
      <c r="AA6">
        <f>'0_Configuration'!$C$6</f>
        <v/>
      </c>
      <c r="AB6" t="inlineStr"/>
      <c r="AC6">
        <f>'0_Configuration'!$C$10</f>
        <v/>
      </c>
      <c r="AD6" t="inlineStr"/>
      <c r="AE6">
        <f>'0_Configuration'!$C$17</f>
        <v/>
      </c>
      <c r="AF6">
        <f>_xlfn.XLOOKUP(Tab_Def_Flows[[#This Row],[ODYM_Good_Type]],Tab_Configuration[Value],Tab_Configuration[ODYM_ID],,0,)</f>
        <v/>
      </c>
      <c r="AG6">
        <f>'0_Configuration'!$C$24</f>
        <v/>
      </c>
      <c r="AH6" t="inlineStr"/>
      <c r="AI6">
        <f>'0_Configuration'!$C$29</f>
        <v/>
      </c>
      <c r="AJ6" t="inlineStr"/>
      <c r="AK6">
        <f>IF(Tab_Def_Flows[[#This Row],[ODYM_time_(t)]],"t,","")&amp;IF(Tab_Def_Flows[[#This Row],[ODYM_Region_(r)]],"r,","")&amp;IF(Tab_Def_Flows[[#This Row],[ODYM_process_(p)]],"p,","")&amp;IF(Tab_Def_Flows[[#This Row],[ODYM_Good_(g)2]],"g,","")&amp;IF(Tab_Def_Flows[[#This Row],[ODYM_material_(m)]],"m,","")&amp;IF(Tab_Def_Flows[[#This Row],[ODYM_element_(e)]],"e","")</f>
        <v/>
      </c>
      <c r="AL6">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7">
      <c r="A7" t="b">
        <v>0</v>
      </c>
      <c r="B7">
        <f>ROW()-1</f>
        <v/>
      </c>
      <c r="C7">
        <f>"F_"&amp;LEFT(G7,2)&amp;"_"&amp;LEFT(I7,2)</f>
        <v/>
      </c>
      <c r="D7" t="inlineStr">
        <is>
          <t>Environment_Input_millet_production_E</t>
        </is>
      </c>
      <c r="F7" t="inlineStr">
        <is>
          <t>Environment</t>
        </is>
      </c>
      <c r="G7">
        <f>_xlfn.XLOOKUP(F7,Tab_Def_Processes[Process_Name],Tab_Def_Processes[Process_ID],,0,)</f>
        <v/>
      </c>
      <c r="H7" t="inlineStr">
        <is>
          <t>Millet_Production</t>
        </is>
      </c>
      <c r="I7">
        <f>_xlfn.XLOOKUP(H7,Tab_Def_Processes[Process_Name],Tab_Def_Processes[Process_ID],,0,)</f>
        <v/>
      </c>
      <c r="J7" t="inlineStr">
        <is>
          <t>Yes</t>
        </is>
      </c>
      <c r="K7" t="inlineStr">
        <is>
          <t>Yes</t>
        </is>
      </c>
      <c r="M7" t="inlineStr">
        <is>
          <t>Yes</t>
        </is>
      </c>
      <c r="N7">
        <f>Tab_Def_Flows[[#This Row],[Flow_ID]]&amp;"_WC"</f>
        <v/>
      </c>
      <c r="O7" t="n">
        <v>0.152156868979719</v>
      </c>
      <c r="Q7">
        <f>Tab_Def_Flows[[#This Row],[Flow_ID]]&amp;"_DM"</f>
        <v/>
      </c>
      <c r="R7" t="n">
        <v>0.847843131020281</v>
      </c>
      <c r="T7">
        <f>Tab_Def_Flows[[#This Row],[Flow_ID]]&amp;"_CC"</f>
        <v/>
      </c>
      <c r="U7" t="n">
        <v>0</v>
      </c>
      <c r="W7">
        <f>Tab_Def_Flows[[#This Row],[Flow_CC_DM'[%']]]*Tab_Def_Flows[[#This Row],[Flow_DM'[%']]]</f>
        <v/>
      </c>
      <c r="Y7">
        <f>'0_Configuration'!$C$2</f>
        <v/>
      </c>
      <c r="Z7" t="inlineStr"/>
      <c r="AA7">
        <f>'0_Configuration'!$C$6</f>
        <v/>
      </c>
      <c r="AB7" t="inlineStr"/>
      <c r="AC7">
        <f>'0_Configuration'!$C$10</f>
        <v/>
      </c>
      <c r="AD7" t="inlineStr"/>
      <c r="AE7">
        <f>'0_Configuration'!$C$17</f>
        <v/>
      </c>
      <c r="AF7">
        <f>_xlfn.XLOOKUP(Tab_Def_Flows[[#This Row],[ODYM_Good_Type]],Tab_Configuration[Value],Tab_Configuration[ODYM_ID],,0,)</f>
        <v/>
      </c>
      <c r="AG7">
        <f>'0_Configuration'!$C$24</f>
        <v/>
      </c>
      <c r="AH7" t="inlineStr"/>
      <c r="AI7">
        <f>'0_Configuration'!$C$29</f>
        <v/>
      </c>
      <c r="AJ7" t="inlineStr"/>
      <c r="AK7">
        <f>IF(Tab_Def_Flows[[#This Row],[ODYM_time_(t)]],"t,","")&amp;IF(Tab_Def_Flows[[#This Row],[ODYM_Region_(r)]],"r,","")&amp;IF(Tab_Def_Flows[[#This Row],[ODYM_process_(p)]],"p,","")&amp;IF(Tab_Def_Flows[[#This Row],[ODYM_Good_(g)2]],"g,","")&amp;IF(Tab_Def_Flows[[#This Row],[ODYM_material_(m)]],"m,","")&amp;IF(Tab_Def_Flows[[#This Row],[ODYM_element_(e)]],"e","")</f>
        <v/>
      </c>
      <c r="AL7">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8">
      <c r="A8" t="b">
        <v>0</v>
      </c>
      <c r="B8">
        <f>ROW()-1</f>
        <v/>
      </c>
      <c r="C8">
        <f>"F_"&amp;LEFT(G8,2)&amp;"_"&amp;LEFT(I8,2)</f>
        <v/>
      </c>
      <c r="D8" t="inlineStr">
        <is>
          <t>Environment_Input_MBC_production_E</t>
        </is>
      </c>
      <c r="F8" t="inlineStr">
        <is>
          <t>Environment</t>
        </is>
      </c>
      <c r="G8">
        <f>_xlfn.XLOOKUP(F8,Tab_Def_Processes[Process_Name],Tab_Def_Processes[Process_ID],,0,)</f>
        <v/>
      </c>
      <c r="H8" t="inlineStr">
        <is>
          <t>MBC_Production</t>
        </is>
      </c>
      <c r="I8">
        <f>_xlfn.XLOOKUP(H8,Tab_Def_Processes[Process_Name],Tab_Def_Processes[Process_ID],,0,)</f>
        <v/>
      </c>
      <c r="J8" t="inlineStr">
        <is>
          <t>Yes</t>
        </is>
      </c>
      <c r="K8" t="inlineStr">
        <is>
          <t>Yes</t>
        </is>
      </c>
      <c r="M8" t="inlineStr">
        <is>
          <t>Yes</t>
        </is>
      </c>
      <c r="N8">
        <f>Tab_Def_Flows[[#This Row],[Flow_ID]]&amp;"_WC"</f>
        <v/>
      </c>
      <c r="O8" t="n">
        <v>1</v>
      </c>
      <c r="Q8">
        <f>Tab_Def_Flows[[#This Row],[Flow_ID]]&amp;"_DM"</f>
        <v/>
      </c>
      <c r="R8" t="n">
        <v>0</v>
      </c>
      <c r="T8">
        <f>Tab_Def_Flows[[#This Row],[Flow_ID]]&amp;"_CC"</f>
        <v/>
      </c>
      <c r="U8" t="n">
        <v>0</v>
      </c>
      <c r="W8">
        <f>Tab_Def_Flows[[#This Row],[Flow_CC_DM'[%']]]*Tab_Def_Flows[[#This Row],[Flow_DM'[%']]]</f>
        <v/>
      </c>
      <c r="Y8">
        <f>'0_Configuration'!$C$2</f>
        <v/>
      </c>
      <c r="Z8" t="inlineStr"/>
      <c r="AA8">
        <f>'0_Configuration'!$C$6</f>
        <v/>
      </c>
      <c r="AB8" t="inlineStr"/>
      <c r="AC8">
        <f>'0_Configuration'!$C$10</f>
        <v/>
      </c>
      <c r="AD8" t="inlineStr"/>
      <c r="AE8">
        <f>'0_Configuration'!$C$17</f>
        <v/>
      </c>
      <c r="AF8">
        <f>_xlfn.XLOOKUP(Tab_Def_Flows[[#This Row],[ODYM_Good_Type]],Tab_Configuration[Value],Tab_Configuration[ODYM_ID],,0,)</f>
        <v/>
      </c>
      <c r="AG8">
        <f>'0_Configuration'!$C$24</f>
        <v/>
      </c>
      <c r="AH8" t="inlineStr"/>
      <c r="AI8">
        <f>'0_Configuration'!$C$29</f>
        <v/>
      </c>
      <c r="AJ8" t="inlineStr"/>
      <c r="AK8">
        <f>IF(Tab_Def_Flows[[#This Row],[ODYM_time_(t)]],"t,","")&amp;IF(Tab_Def_Flows[[#This Row],[ODYM_Region_(r)]],"r,","")&amp;IF(Tab_Def_Flows[[#This Row],[ODYM_process_(p)]],"p,","")&amp;IF(Tab_Def_Flows[[#This Row],[ODYM_Good_(g)2]],"g,","")&amp;IF(Tab_Def_Flows[[#This Row],[ODYM_material_(m)]],"m,","")&amp;IF(Tab_Def_Flows[[#This Row],[ODYM_element_(e)]],"e","")</f>
        <v/>
      </c>
      <c r="AL8">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9">
      <c r="A9" t="b">
        <v>0</v>
      </c>
      <c r="B9">
        <f>ROW()-1</f>
        <v/>
      </c>
      <c r="C9">
        <f>"F_"&amp;LEFT(G9,2)&amp;"_"&amp;LEFT(I9,2)</f>
        <v/>
      </c>
      <c r="D9" t="inlineStr">
        <is>
          <t>Rye-Plant</t>
        </is>
      </c>
      <c r="F9" t="inlineStr">
        <is>
          <t>Rye_Cultivation</t>
        </is>
      </c>
      <c r="G9">
        <f>_xlfn.XLOOKUP(F9,Tab_Def_Processes[Process_Name],Tab_Def_Processes[Process_ID],,0,)</f>
        <v/>
      </c>
      <c r="H9" t="inlineStr">
        <is>
          <t>Rye_Harvest</t>
        </is>
      </c>
      <c r="I9">
        <f>_xlfn.XLOOKUP(H9,Tab_Def_Processes[Process_Name],Tab_Def_Processes[Process_ID],,0,)</f>
        <v/>
      </c>
      <c r="J9" t="inlineStr">
        <is>
          <t>Yes</t>
        </is>
      </c>
      <c r="K9" t="inlineStr">
        <is>
          <t>Yes</t>
        </is>
      </c>
      <c r="M9" t="inlineStr">
        <is>
          <t>Yes</t>
        </is>
      </c>
      <c r="N9">
        <f>Tab_Def_Flows[[#This Row],[Flow_ID]]&amp;"_WC"</f>
        <v/>
      </c>
      <c r="Q9">
        <f>Tab_Def_Flows[[#This Row],[Flow_ID]]&amp;"_DM"</f>
        <v/>
      </c>
      <c r="T9">
        <f>Tab_Def_Flows[[#This Row],[Flow_ID]]&amp;"_CC"</f>
        <v/>
      </c>
      <c r="W9">
        <f>Tab_Def_Flows[[#This Row],[Flow_CC_DM'[%']]]*Tab_Def_Flows[[#This Row],[Flow_DM'[%']]]</f>
        <v/>
      </c>
      <c r="Y9">
        <f>'0_Configuration'!$C$2</f>
        <v/>
      </c>
      <c r="Z9" t="inlineStr"/>
      <c r="AA9">
        <f>'0_Configuration'!$C$6</f>
        <v/>
      </c>
      <c r="AB9" t="inlineStr"/>
      <c r="AC9">
        <f>'0_Configuration'!$C$10</f>
        <v/>
      </c>
      <c r="AD9" t="inlineStr"/>
      <c r="AE9">
        <f>'0_Configuration'!$C$17</f>
        <v/>
      </c>
      <c r="AF9">
        <f>_xlfn.XLOOKUP(Tab_Def_Flows[[#This Row],[ODYM_Good_Type]],Tab_Configuration[Value],Tab_Configuration[ODYM_ID],,0,)</f>
        <v/>
      </c>
      <c r="AG9">
        <f>'0_Configuration'!$C$24</f>
        <v/>
      </c>
      <c r="AH9" t="inlineStr"/>
      <c r="AI9">
        <f>'0_Configuration'!$C$29</f>
        <v/>
      </c>
      <c r="AJ9" t="inlineStr"/>
      <c r="AK9">
        <f>IF(Tab_Def_Flows[[#This Row],[ODYM_time_(t)]],"t,","")&amp;IF(Tab_Def_Flows[[#This Row],[ODYM_Region_(r)]],"r,","")&amp;IF(Tab_Def_Flows[[#This Row],[ODYM_process_(p)]],"p,","")&amp;IF(Tab_Def_Flows[[#This Row],[ODYM_Good_(g)2]],"g,","")&amp;IF(Tab_Def_Flows[[#This Row],[ODYM_material_(m)]],"m,","")&amp;IF(Tab_Def_Flows[[#This Row],[ODYM_element_(e)]],"e","")</f>
        <v/>
      </c>
      <c r="AL9">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10">
      <c r="A10" t="b">
        <v>0</v>
      </c>
      <c r="B10">
        <f>ROW()-1</f>
        <v/>
      </c>
      <c r="C10">
        <f>"F_"&amp;LEFT(G10,2)&amp;"_"&amp;LEFT(I10,2)</f>
        <v/>
      </c>
      <c r="D10" t="inlineStr">
        <is>
          <t>Rye-Grain</t>
        </is>
      </c>
      <c r="F10" t="inlineStr">
        <is>
          <t>Rye_Harvest</t>
        </is>
      </c>
      <c r="G10">
        <f>_xlfn.XLOOKUP(F10,Tab_Def_Processes[Process_Name],Tab_Def_Processes[Process_ID],,0,)</f>
        <v/>
      </c>
      <c r="H10" t="inlineStr">
        <is>
          <t>Rye-Grain_Processing &amp; Consumption</t>
        </is>
      </c>
      <c r="I10">
        <f>_xlfn.XLOOKUP(H10,Tab_Def_Processes[Process_Name],Tab_Def_Processes[Process_ID],,0,)</f>
        <v/>
      </c>
      <c r="J10" t="inlineStr">
        <is>
          <t>Yes</t>
        </is>
      </c>
      <c r="K10" t="inlineStr">
        <is>
          <t>Yes</t>
        </is>
      </c>
      <c r="M10" t="inlineStr">
        <is>
          <t>Yes</t>
        </is>
      </c>
      <c r="N10">
        <f>Tab_Def_Flows[[#This Row],[Flow_ID]]&amp;"_WC"</f>
        <v/>
      </c>
      <c r="Q10">
        <f>Tab_Def_Flows[[#This Row],[Flow_ID]]&amp;"_DM"</f>
        <v/>
      </c>
      <c r="T10">
        <f>Tab_Def_Flows[[#This Row],[Flow_ID]]&amp;"_CC"</f>
        <v/>
      </c>
      <c r="W10">
        <f>Tab_Def_Flows[[#This Row],[Flow_CC_DM'[%']]]*Tab_Def_Flows[[#This Row],[Flow_DM'[%']]]</f>
        <v/>
      </c>
      <c r="Y10">
        <f>'0_Configuration'!$C$2</f>
        <v/>
      </c>
      <c r="Z10" t="inlineStr"/>
      <c r="AA10">
        <f>'0_Configuration'!$C$6</f>
        <v/>
      </c>
      <c r="AB10" t="inlineStr"/>
      <c r="AC10">
        <f>'0_Configuration'!$C$10</f>
        <v/>
      </c>
      <c r="AD10" t="inlineStr"/>
      <c r="AE10">
        <f>'0_Configuration'!$C$17</f>
        <v/>
      </c>
      <c r="AF10">
        <f>_xlfn.XLOOKUP(Tab_Def_Flows[[#This Row],[ODYM_Good_Type]],Tab_Configuration[Value],Tab_Configuration[ODYM_ID],,0,)</f>
        <v/>
      </c>
      <c r="AG10">
        <f>'0_Configuration'!$C$24</f>
        <v/>
      </c>
      <c r="AH10" t="inlineStr"/>
      <c r="AI10">
        <f>'0_Configuration'!$C$29</f>
        <v/>
      </c>
      <c r="AJ10" t="inlineStr"/>
      <c r="AK10">
        <f>IF(Tab_Def_Flows[[#This Row],[ODYM_time_(t)]],"t,","")&amp;IF(Tab_Def_Flows[[#This Row],[ODYM_Region_(r)]],"r,","")&amp;IF(Tab_Def_Flows[[#This Row],[ODYM_process_(p)]],"p,","")&amp;IF(Tab_Def_Flows[[#This Row],[ODYM_Good_(g)2]],"g,","")&amp;IF(Tab_Def_Flows[[#This Row],[ODYM_material_(m)]],"m,","")&amp;IF(Tab_Def_Flows[[#This Row],[ODYM_element_(e)]],"e","")</f>
        <v/>
      </c>
      <c r="AL10">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11">
      <c r="A11" t="b">
        <v>0</v>
      </c>
      <c r="B11">
        <f>ROW()-1</f>
        <v/>
      </c>
      <c r="C11">
        <f>"F_"&amp;LEFT(G11,2)&amp;"_"&amp;LEFT(I11,2)</f>
        <v/>
      </c>
      <c r="D11" t="inlineStr">
        <is>
          <t>Rye-Grain_Processing &amp; Consumption_Emissions_C</t>
        </is>
      </c>
      <c r="F11" t="inlineStr">
        <is>
          <t>Rye-Grain_Processing &amp; Consumption</t>
        </is>
      </c>
      <c r="G11">
        <f>_xlfn.XLOOKUP(F11,Tab_Def_Processes[Process_Name],Tab_Def_Processes[Process_ID],,0,)</f>
        <v/>
      </c>
      <c r="H11" t="inlineStr">
        <is>
          <t>Atmosphere</t>
        </is>
      </c>
      <c r="I11">
        <f>_xlfn.XLOOKUP(H11,Tab_Def_Processes[Process_Name],Tab_Def_Processes[Process_ID],,0,)</f>
        <v/>
      </c>
      <c r="J11" t="inlineStr">
        <is>
          <t>Yes</t>
        </is>
      </c>
      <c r="K11" t="inlineStr">
        <is>
          <t>Yes</t>
        </is>
      </c>
      <c r="M11" t="inlineStr">
        <is>
          <t>Yes</t>
        </is>
      </c>
      <c r="N11">
        <f>Tab_Def_Flows[[#This Row],[Flow_ID]]&amp;"_WC"</f>
        <v/>
      </c>
      <c r="Q11">
        <f>Tab_Def_Flows[[#This Row],[Flow_ID]]&amp;"_DM"</f>
        <v/>
      </c>
      <c r="T11">
        <f>Tab_Def_Flows[[#This Row],[Flow_ID]]&amp;"_CC"</f>
        <v/>
      </c>
      <c r="W11">
        <f>Tab_Def_Flows[[#This Row],[Flow_CC_DM'[%']]]*Tab_Def_Flows[[#This Row],[Flow_DM'[%']]]</f>
        <v/>
      </c>
      <c r="Y11">
        <f>'0_Configuration'!$C$2</f>
        <v/>
      </c>
      <c r="Z11" t="inlineStr"/>
      <c r="AA11">
        <f>'0_Configuration'!$C$6</f>
        <v/>
      </c>
      <c r="AB11" t="inlineStr"/>
      <c r="AC11">
        <f>'0_Configuration'!$C$10</f>
        <v/>
      </c>
      <c r="AD11" t="inlineStr"/>
      <c r="AE11">
        <f>'0_Configuration'!$C$17</f>
        <v/>
      </c>
      <c r="AF11">
        <f>_xlfn.XLOOKUP(Tab_Def_Flows[[#This Row],[ODYM_Good_Type]],Tab_Configuration[Value],Tab_Configuration[ODYM_ID],,0,)</f>
        <v/>
      </c>
      <c r="AG11">
        <f>'0_Configuration'!$C$24</f>
        <v/>
      </c>
      <c r="AH11" t="inlineStr"/>
      <c r="AI11">
        <f>'0_Configuration'!$C$29</f>
        <v/>
      </c>
      <c r="AJ11" t="inlineStr"/>
      <c r="AK11">
        <f>IF(Tab_Def_Flows[[#This Row],[ODYM_time_(t)]],"t,","")&amp;IF(Tab_Def_Flows[[#This Row],[ODYM_Region_(r)]],"r,","")&amp;IF(Tab_Def_Flows[[#This Row],[ODYM_process_(p)]],"p,","")&amp;IF(Tab_Def_Flows[[#This Row],[ODYM_Good_(g)2]],"g,","")&amp;IF(Tab_Def_Flows[[#This Row],[ODYM_material_(m)]],"m,","")&amp;IF(Tab_Def_Flows[[#This Row],[ODYM_element_(e)]],"e","")</f>
        <v/>
      </c>
      <c r="AL11">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12">
      <c r="A12" t="b">
        <v>0</v>
      </c>
      <c r="B12">
        <f>ROW()-1</f>
        <v/>
      </c>
      <c r="C12">
        <f>"F_"&amp;LEFT(G12,2)&amp;"_"&amp;LEFT(I12,2)</f>
        <v/>
      </c>
      <c r="D12" t="inlineStr">
        <is>
          <t>Rye-Grain_Processing &amp; Consumption_Emissions_E</t>
        </is>
      </c>
      <c r="F12" t="inlineStr">
        <is>
          <t>Rye-Grain_Processing &amp; Consumption</t>
        </is>
      </c>
      <c r="G12">
        <f>_xlfn.XLOOKUP(F12,Tab_Def_Processes[Process_Name],Tab_Def_Processes[Process_ID],,0,)</f>
        <v/>
      </c>
      <c r="H12" t="inlineStr">
        <is>
          <t>Environment</t>
        </is>
      </c>
      <c r="I12">
        <f>_xlfn.XLOOKUP(H12,Tab_Def_Processes[Process_Name],Tab_Def_Processes[Process_ID],,0,)</f>
        <v/>
      </c>
      <c r="J12" t="inlineStr">
        <is>
          <t>Yes</t>
        </is>
      </c>
      <c r="K12" t="inlineStr">
        <is>
          <t>Yes</t>
        </is>
      </c>
      <c r="M12" t="inlineStr">
        <is>
          <t>Yes</t>
        </is>
      </c>
      <c r="N12">
        <f>Tab_Def_Flows[[#This Row],[Flow_ID]]&amp;"_WC"</f>
        <v/>
      </c>
      <c r="Q12">
        <f>Tab_Def_Flows[[#This Row],[Flow_ID]]&amp;"_DM"</f>
        <v/>
      </c>
      <c r="T12">
        <f>Tab_Def_Flows[[#This Row],[Flow_ID]]&amp;"_CC"</f>
        <v/>
      </c>
      <c r="W12">
        <f>Tab_Def_Flows[[#This Row],[Flow_CC_DM'[%']]]*Tab_Def_Flows[[#This Row],[Flow_DM'[%']]]</f>
        <v/>
      </c>
      <c r="Y12">
        <f>'0_Configuration'!$C$2</f>
        <v/>
      </c>
      <c r="Z12" t="inlineStr"/>
      <c r="AA12">
        <f>'0_Configuration'!$C$6</f>
        <v/>
      </c>
      <c r="AB12" t="inlineStr"/>
      <c r="AC12">
        <f>'0_Configuration'!$C$10</f>
        <v/>
      </c>
      <c r="AD12" t="inlineStr"/>
      <c r="AE12">
        <f>'0_Configuration'!$C$17</f>
        <v/>
      </c>
      <c r="AF12">
        <f>_xlfn.XLOOKUP(Tab_Def_Flows[[#This Row],[ODYM_Good_Type]],Tab_Configuration[Value],Tab_Configuration[ODYM_ID],,0,)</f>
        <v/>
      </c>
      <c r="AG12">
        <f>'0_Configuration'!$C$24</f>
        <v/>
      </c>
      <c r="AH12" t="inlineStr"/>
      <c r="AI12">
        <f>'0_Configuration'!$C$29</f>
        <v/>
      </c>
      <c r="AJ12" t="inlineStr"/>
      <c r="AK12">
        <f>IF(Tab_Def_Flows[[#This Row],[ODYM_time_(t)]],"t,","")&amp;IF(Tab_Def_Flows[[#This Row],[ODYM_Region_(r)]],"r,","")&amp;IF(Tab_Def_Flows[[#This Row],[ODYM_process_(p)]],"p,","")&amp;IF(Tab_Def_Flows[[#This Row],[ODYM_Good_(g)2]],"g,","")&amp;IF(Tab_Def_Flows[[#This Row],[ODYM_material_(m)]],"m,","")&amp;IF(Tab_Def_Flows[[#This Row],[ODYM_element_(e)]],"e","")</f>
        <v/>
      </c>
      <c r="AL12">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13">
      <c r="A13" t="b">
        <v>0</v>
      </c>
      <c r="B13">
        <f>ROW()-1</f>
        <v/>
      </c>
      <c r="C13">
        <f>"F_"&amp;LEFT(G13,2)&amp;"_"&amp;LEFT(I13,2)</f>
        <v/>
      </c>
      <c r="D13" t="inlineStr">
        <is>
          <t>Rye-Straw(mobilisable-used)</t>
        </is>
      </c>
      <c r="F13" t="inlineStr">
        <is>
          <t>Rye_Harvest</t>
        </is>
      </c>
      <c r="G13">
        <f>_xlfn.XLOOKUP(F13,Tab_Def_Processes[Process_Name],Tab_Def_Processes[Process_ID],,0,)</f>
        <v/>
      </c>
      <c r="H13" t="inlineStr">
        <is>
          <t>Rye-Straw-mobilisable technical potential_Use</t>
        </is>
      </c>
      <c r="I13">
        <f>_xlfn.XLOOKUP(H13,Tab_Def_Processes[Process_Name],Tab_Def_Processes[Process_ID],,0,)</f>
        <v/>
      </c>
      <c r="J13" t="inlineStr">
        <is>
          <t>Yes</t>
        </is>
      </c>
      <c r="K13" t="inlineStr">
        <is>
          <t>Yes</t>
        </is>
      </c>
      <c r="M13" t="inlineStr">
        <is>
          <t>Yes</t>
        </is>
      </c>
      <c r="N13">
        <f>Tab_Def_Flows[[#This Row],[Flow_ID]]&amp;"_WC"</f>
        <v/>
      </c>
      <c r="Q13">
        <f>Tab_Def_Flows[[#This Row],[Flow_ID]]&amp;"_DM"</f>
        <v/>
      </c>
      <c r="T13">
        <f>Tab_Def_Flows[[#This Row],[Flow_ID]]&amp;"_CC"</f>
        <v/>
      </c>
      <c r="W13">
        <f>Tab_Def_Flows[[#This Row],[Flow_CC_DM'[%']]]*Tab_Def_Flows[[#This Row],[Flow_DM'[%']]]</f>
        <v/>
      </c>
      <c r="Y13">
        <f>'0_Configuration'!$C$2</f>
        <v/>
      </c>
      <c r="Z13" t="inlineStr"/>
      <c r="AA13">
        <f>'0_Configuration'!$C$6</f>
        <v/>
      </c>
      <c r="AB13" t="inlineStr"/>
      <c r="AC13">
        <f>'0_Configuration'!$C$10</f>
        <v/>
      </c>
      <c r="AD13" t="inlineStr"/>
      <c r="AE13">
        <f>'0_Configuration'!$C$17</f>
        <v/>
      </c>
      <c r="AF13">
        <f>_xlfn.XLOOKUP(Tab_Def_Flows[[#This Row],[ODYM_Good_Type]],Tab_Configuration[Value],Tab_Configuration[ODYM_ID],,0,)</f>
        <v/>
      </c>
      <c r="AG13">
        <f>'0_Configuration'!$C$24</f>
        <v/>
      </c>
      <c r="AH13" t="inlineStr"/>
      <c r="AI13">
        <f>'0_Configuration'!$C$29</f>
        <v/>
      </c>
      <c r="AJ13" t="inlineStr"/>
      <c r="AK13">
        <f>IF(Tab_Def_Flows[[#This Row],[ODYM_time_(t)]],"t,","")&amp;IF(Tab_Def_Flows[[#This Row],[ODYM_Region_(r)]],"r,","")&amp;IF(Tab_Def_Flows[[#This Row],[ODYM_process_(p)]],"p,","")&amp;IF(Tab_Def_Flows[[#This Row],[ODYM_Good_(g)2]],"g,","")&amp;IF(Tab_Def_Flows[[#This Row],[ODYM_material_(m)]],"m,","")&amp;IF(Tab_Def_Flows[[#This Row],[ODYM_element_(e)]],"e","")</f>
        <v/>
      </c>
      <c r="AL13">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14">
      <c r="A14" t="b">
        <v>0</v>
      </c>
      <c r="B14">
        <f>ROW()-1</f>
        <v/>
      </c>
      <c r="C14">
        <f>"F_"&amp;LEFT(G14,2)&amp;"_"&amp;LEFT(I14,2)</f>
        <v/>
      </c>
      <c r="D14" t="inlineStr">
        <is>
          <t>Rye-Straw(mobilisable)</t>
        </is>
      </c>
      <c r="F14" t="inlineStr">
        <is>
          <t>Rye_Harvest</t>
        </is>
      </c>
      <c r="G14">
        <f>_xlfn.XLOOKUP(F14,Tab_Def_Processes[Process_Name],Tab_Def_Processes[Process_ID],,0,)</f>
        <v/>
      </c>
      <c r="H14" t="inlineStr">
        <is>
          <t>Biogas_Production</t>
        </is>
      </c>
      <c r="I14">
        <f>_xlfn.XLOOKUP(H14,Tab_Def_Processes[Process_Name],Tab_Def_Processes[Process_ID],,0,)</f>
        <v/>
      </c>
      <c r="J14" t="inlineStr">
        <is>
          <t>Yes</t>
        </is>
      </c>
      <c r="K14" t="inlineStr">
        <is>
          <t>Yes</t>
        </is>
      </c>
      <c r="M14" t="inlineStr">
        <is>
          <t>Yes</t>
        </is>
      </c>
      <c r="N14">
        <f>Tab_Def_Flows[[#This Row],[Flow_ID]]&amp;"_WC"</f>
        <v/>
      </c>
      <c r="Q14">
        <f>Tab_Def_Flows[[#This Row],[Flow_ID]]&amp;"_DM"</f>
        <v/>
      </c>
      <c r="T14">
        <f>Tab_Def_Flows[[#This Row],[Flow_ID]]&amp;"_CC"</f>
        <v/>
      </c>
      <c r="W14">
        <f>Tab_Def_Flows[[#This Row],[Flow_CC_DM'[%']]]*Tab_Def_Flows[[#This Row],[Flow_DM'[%']]]</f>
        <v/>
      </c>
      <c r="Y14">
        <f>'0_Configuration'!$C$2</f>
        <v/>
      </c>
      <c r="Z14" t="inlineStr"/>
      <c r="AA14">
        <f>'0_Configuration'!$C$6</f>
        <v/>
      </c>
      <c r="AB14" t="inlineStr"/>
      <c r="AC14">
        <f>'0_Configuration'!$C$10</f>
        <v/>
      </c>
      <c r="AD14" t="inlineStr"/>
      <c r="AE14">
        <f>'0_Configuration'!$C$17</f>
        <v/>
      </c>
      <c r="AF14">
        <f>_xlfn.XLOOKUP(Tab_Def_Flows[[#This Row],[ODYM_Good_Type]],Tab_Configuration[Value],Tab_Configuration[ODYM_ID],,0,)</f>
        <v/>
      </c>
      <c r="AG14">
        <f>'0_Configuration'!$C$24</f>
        <v/>
      </c>
      <c r="AH14" t="inlineStr"/>
      <c r="AI14">
        <f>'0_Configuration'!$C$29</f>
        <v/>
      </c>
      <c r="AJ14" t="inlineStr"/>
      <c r="AK14">
        <f>IF(Tab_Def_Flows[[#This Row],[ODYM_time_(t)]],"t,","")&amp;IF(Tab_Def_Flows[[#This Row],[ODYM_Region_(r)]],"r,","")&amp;IF(Tab_Def_Flows[[#This Row],[ODYM_process_(p)]],"p,","")&amp;IF(Tab_Def_Flows[[#This Row],[ODYM_Good_(g)2]],"g,","")&amp;IF(Tab_Def_Flows[[#This Row],[ODYM_material_(m)]],"m,","")&amp;IF(Tab_Def_Flows[[#This Row],[ODYM_element_(e)]],"e","")</f>
        <v/>
      </c>
      <c r="AL14">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15">
      <c r="A15" t="b">
        <v>0</v>
      </c>
      <c r="B15">
        <f>ROW()-1</f>
        <v/>
      </c>
      <c r="C15">
        <f>"F_"&amp;LEFT(G15,2)&amp;"_"&amp;LEFT(I15,2)</f>
        <v/>
      </c>
      <c r="D15" t="inlineStr">
        <is>
          <t>Rye-Straw(Not mobilisable)</t>
        </is>
      </c>
      <c r="F15" t="inlineStr">
        <is>
          <t>Rye_Harvest</t>
        </is>
      </c>
      <c r="G15">
        <f>_xlfn.XLOOKUP(F15,Tab_Def_Processes[Process_Name],Tab_Def_Processes[Process_ID],,0,)</f>
        <v/>
      </c>
      <c r="H15" t="inlineStr">
        <is>
          <t>Rye-Straw(non-mobilizable)_Degradation</t>
        </is>
      </c>
      <c r="I15">
        <f>_xlfn.XLOOKUP(H15,Tab_Def_Processes[Process_Name],Tab_Def_Processes[Process_ID],,0,)</f>
        <v/>
      </c>
      <c r="J15" t="inlineStr">
        <is>
          <t>Yes</t>
        </is>
      </c>
      <c r="K15" t="inlineStr">
        <is>
          <t>Yes</t>
        </is>
      </c>
      <c r="M15" t="inlineStr">
        <is>
          <t>Yes</t>
        </is>
      </c>
      <c r="N15">
        <f>Tab_Def_Flows[[#This Row],[Flow_ID]]&amp;"_WC"</f>
        <v/>
      </c>
      <c r="Q15">
        <f>Tab_Def_Flows[[#This Row],[Flow_ID]]&amp;"_DM"</f>
        <v/>
      </c>
      <c r="T15">
        <f>Tab_Def_Flows[[#This Row],[Flow_ID]]&amp;"_CC"</f>
        <v/>
      </c>
      <c r="W15">
        <f>Tab_Def_Flows[[#This Row],[Flow_CC_DM'[%']]]*Tab_Def_Flows[[#This Row],[Flow_DM'[%']]]</f>
        <v/>
      </c>
      <c r="Y15">
        <f>'0_Configuration'!$C$2</f>
        <v/>
      </c>
      <c r="Z15" t="inlineStr"/>
      <c r="AA15">
        <f>'0_Configuration'!$C$6</f>
        <v/>
      </c>
      <c r="AB15" t="inlineStr"/>
      <c r="AC15">
        <f>'0_Configuration'!$C$10</f>
        <v/>
      </c>
      <c r="AD15" t="inlineStr"/>
      <c r="AE15">
        <f>'0_Configuration'!$C$17</f>
        <v/>
      </c>
      <c r="AF15">
        <f>_xlfn.XLOOKUP(Tab_Def_Flows[[#This Row],[ODYM_Good_Type]],Tab_Configuration[Value],Tab_Configuration[ODYM_ID],,0,)</f>
        <v/>
      </c>
      <c r="AG15">
        <f>'0_Configuration'!$C$24</f>
        <v/>
      </c>
      <c r="AH15" t="inlineStr"/>
      <c r="AI15">
        <f>'0_Configuration'!$C$29</f>
        <v/>
      </c>
      <c r="AJ15" t="inlineStr"/>
      <c r="AK15">
        <f>IF(Tab_Def_Flows[[#This Row],[ODYM_time_(t)]],"t,","")&amp;IF(Tab_Def_Flows[[#This Row],[ODYM_Region_(r)]],"r,","")&amp;IF(Tab_Def_Flows[[#This Row],[ODYM_process_(p)]],"p,","")&amp;IF(Tab_Def_Flows[[#This Row],[ODYM_Good_(g)2]],"g,","")&amp;IF(Tab_Def_Flows[[#This Row],[ODYM_material_(m)]],"m,","")&amp;IF(Tab_Def_Flows[[#This Row],[ODYM_element_(e)]],"e","")</f>
        <v/>
      </c>
      <c r="AL15">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16">
      <c r="A16" t="b">
        <v>0</v>
      </c>
      <c r="B16">
        <f>ROW()-1</f>
        <v/>
      </c>
      <c r="C16">
        <f>"F_"&amp;LEFT(G16,2)&amp;"_"&amp;LEFT(I16,2)</f>
        <v/>
      </c>
      <c r="D16" t="inlineStr">
        <is>
          <t>Rye-Straw(mobilisable-used)_Emissions_C</t>
        </is>
      </c>
      <c r="F16" t="inlineStr">
        <is>
          <t>Rye-Straw-mobilisable technical potential_Use</t>
        </is>
      </c>
      <c r="G16">
        <f>_xlfn.XLOOKUP(F16,Tab_Def_Processes[Process_Name],Tab_Def_Processes[Process_ID],,0,)</f>
        <v/>
      </c>
      <c r="H16" t="inlineStr">
        <is>
          <t>Atmosphere</t>
        </is>
      </c>
      <c r="I16">
        <f>_xlfn.XLOOKUP(H16,Tab_Def_Processes[Process_Name],Tab_Def_Processes[Process_ID],,0,)</f>
        <v/>
      </c>
      <c r="J16" t="inlineStr">
        <is>
          <t>Yes</t>
        </is>
      </c>
      <c r="K16" t="inlineStr">
        <is>
          <t>Yes</t>
        </is>
      </c>
      <c r="M16" t="inlineStr">
        <is>
          <t>Yes</t>
        </is>
      </c>
      <c r="N16">
        <f>Tab_Def_Flows[[#This Row],[Flow_ID]]&amp;"_WC"</f>
        <v/>
      </c>
      <c r="Q16">
        <f>Tab_Def_Flows[[#This Row],[Flow_ID]]&amp;"_DM"</f>
        <v/>
      </c>
      <c r="T16">
        <f>Tab_Def_Flows[[#This Row],[Flow_ID]]&amp;"_CC"</f>
        <v/>
      </c>
      <c r="W16">
        <f>Tab_Def_Flows[[#This Row],[Flow_CC_DM'[%']]]*Tab_Def_Flows[[#This Row],[Flow_DM'[%']]]</f>
        <v/>
      </c>
      <c r="Y16">
        <f>'0_Configuration'!$C$2</f>
        <v/>
      </c>
      <c r="Z16" t="inlineStr"/>
      <c r="AA16">
        <f>'0_Configuration'!$C$6</f>
        <v/>
      </c>
      <c r="AB16" t="inlineStr"/>
      <c r="AC16">
        <f>'0_Configuration'!$C$10</f>
        <v/>
      </c>
      <c r="AD16" t="inlineStr"/>
      <c r="AE16">
        <f>'0_Configuration'!$C$17</f>
        <v/>
      </c>
      <c r="AF16">
        <f>_xlfn.XLOOKUP(Tab_Def_Flows[[#This Row],[ODYM_Good_Type]],Tab_Configuration[Value],Tab_Configuration[ODYM_ID],,0,)</f>
        <v/>
      </c>
      <c r="AG16">
        <f>'0_Configuration'!$C$24</f>
        <v/>
      </c>
      <c r="AH16" t="inlineStr"/>
      <c r="AI16">
        <f>'0_Configuration'!$C$29</f>
        <v/>
      </c>
      <c r="AJ16" t="inlineStr"/>
      <c r="AK16">
        <f>IF(Tab_Def_Flows[[#This Row],[ODYM_time_(t)]],"t,","")&amp;IF(Tab_Def_Flows[[#This Row],[ODYM_Region_(r)]],"r,","")&amp;IF(Tab_Def_Flows[[#This Row],[ODYM_process_(p)]],"p,","")&amp;IF(Tab_Def_Flows[[#This Row],[ODYM_Good_(g)2]],"g,","")&amp;IF(Tab_Def_Flows[[#This Row],[ODYM_material_(m)]],"m,","")&amp;IF(Tab_Def_Flows[[#This Row],[ODYM_element_(e)]],"e","")</f>
        <v/>
      </c>
      <c r="AL16">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17">
      <c r="A17" t="b">
        <v>0</v>
      </c>
      <c r="B17">
        <f>ROW()-1</f>
        <v/>
      </c>
      <c r="C17">
        <f>"F_"&amp;LEFT(G17,2)&amp;"_"&amp;LEFT(I17,2)</f>
        <v/>
      </c>
      <c r="D17" t="inlineStr">
        <is>
          <t>Rye-Straw(mobilisable-used)_Emissions_E</t>
        </is>
      </c>
      <c r="F17" t="inlineStr">
        <is>
          <t>Rye-Straw-mobilisable technical potential_Use</t>
        </is>
      </c>
      <c r="G17">
        <f>_xlfn.XLOOKUP(F17,Tab_Def_Processes[Process_Name],Tab_Def_Processes[Process_ID],,0,)</f>
        <v/>
      </c>
      <c r="H17" t="inlineStr">
        <is>
          <t>Environment</t>
        </is>
      </c>
      <c r="I17">
        <f>_xlfn.XLOOKUP(H17,Tab_Def_Processes[Process_Name],Tab_Def_Processes[Process_ID],,0,)</f>
        <v/>
      </c>
      <c r="J17" t="inlineStr">
        <is>
          <t>Yes</t>
        </is>
      </c>
      <c r="K17" t="inlineStr">
        <is>
          <t>Yes</t>
        </is>
      </c>
      <c r="M17" t="inlineStr">
        <is>
          <t>Yes</t>
        </is>
      </c>
      <c r="N17">
        <f>Tab_Def_Flows[[#This Row],[Flow_ID]]&amp;"_WC"</f>
        <v/>
      </c>
      <c r="Q17">
        <f>Tab_Def_Flows[[#This Row],[Flow_ID]]&amp;"_DM"</f>
        <v/>
      </c>
      <c r="T17">
        <f>Tab_Def_Flows[[#This Row],[Flow_ID]]&amp;"_CC"</f>
        <v/>
      </c>
      <c r="W17">
        <f>Tab_Def_Flows[[#This Row],[Flow_CC_DM'[%']]]*Tab_Def_Flows[[#This Row],[Flow_DM'[%']]]</f>
        <v/>
      </c>
      <c r="Y17">
        <f>'0_Configuration'!$C$2</f>
        <v/>
      </c>
      <c r="Z17" t="inlineStr"/>
      <c r="AA17">
        <f>'0_Configuration'!$C$6</f>
        <v/>
      </c>
      <c r="AB17" t="inlineStr"/>
      <c r="AC17">
        <f>'0_Configuration'!$C$10</f>
        <v/>
      </c>
      <c r="AD17" t="inlineStr"/>
      <c r="AE17">
        <f>'0_Configuration'!$C$17</f>
        <v/>
      </c>
      <c r="AF17">
        <f>_xlfn.XLOOKUP(Tab_Def_Flows[[#This Row],[ODYM_Good_Type]],Tab_Configuration[Value],Tab_Configuration[ODYM_ID],,0,)</f>
        <v/>
      </c>
      <c r="AG17">
        <f>'0_Configuration'!$C$24</f>
        <v/>
      </c>
      <c r="AH17" t="inlineStr"/>
      <c r="AI17">
        <f>'0_Configuration'!$C$29</f>
        <v/>
      </c>
      <c r="AJ17" t="inlineStr"/>
      <c r="AK17">
        <f>IF(Tab_Def_Flows[[#This Row],[ODYM_time_(t)]],"t,","")&amp;IF(Tab_Def_Flows[[#This Row],[ODYM_Region_(r)]],"r,","")&amp;IF(Tab_Def_Flows[[#This Row],[ODYM_process_(p)]],"p,","")&amp;IF(Tab_Def_Flows[[#This Row],[ODYM_Good_(g)2]],"g,","")&amp;IF(Tab_Def_Flows[[#This Row],[ODYM_material_(m)]],"m,","")&amp;IF(Tab_Def_Flows[[#This Row],[ODYM_element_(e)]],"e","")</f>
        <v/>
      </c>
      <c r="AL17">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18">
      <c r="A18" t="b">
        <v>0</v>
      </c>
      <c r="B18">
        <f>ROW()-1</f>
        <v/>
      </c>
      <c r="C18">
        <f>"F_"&amp;LEFT(G18,2)&amp;"_"&amp;LEFT(I18,2)</f>
        <v/>
      </c>
      <c r="D18" t="inlineStr">
        <is>
          <t>Rye-Straw(Not mobilisable)_Emissions_C</t>
        </is>
      </c>
      <c r="F18" t="inlineStr">
        <is>
          <t>Rye-Straw(non-mobilizable)_Degradation</t>
        </is>
      </c>
      <c r="G18">
        <f>_xlfn.XLOOKUP(F18,Tab_Def_Processes[Process_Name],Tab_Def_Processes[Process_ID],,0,)</f>
        <v/>
      </c>
      <c r="H18" t="inlineStr">
        <is>
          <t>Atmosphere</t>
        </is>
      </c>
      <c r="I18">
        <f>_xlfn.XLOOKUP(H18,Tab_Def_Processes[Process_Name],Tab_Def_Processes[Process_ID],,0,)</f>
        <v/>
      </c>
      <c r="J18" t="inlineStr">
        <is>
          <t>Yes</t>
        </is>
      </c>
      <c r="K18" t="inlineStr">
        <is>
          <t>Yes</t>
        </is>
      </c>
      <c r="M18" t="inlineStr">
        <is>
          <t>Yes</t>
        </is>
      </c>
      <c r="N18">
        <f>Tab_Def_Flows[[#This Row],[Flow_ID]]&amp;"_WC"</f>
        <v/>
      </c>
      <c r="Q18">
        <f>Tab_Def_Flows[[#This Row],[Flow_ID]]&amp;"_DM"</f>
        <v/>
      </c>
      <c r="T18">
        <f>Tab_Def_Flows[[#This Row],[Flow_ID]]&amp;"_CC"</f>
        <v/>
      </c>
      <c r="W18">
        <f>Tab_Def_Flows[[#This Row],[Flow_CC_DM'[%']]]*Tab_Def_Flows[[#This Row],[Flow_DM'[%']]]</f>
        <v/>
      </c>
      <c r="Y18">
        <f>'0_Configuration'!$C$2</f>
        <v/>
      </c>
      <c r="Z18" t="inlineStr"/>
      <c r="AA18">
        <f>'0_Configuration'!$C$6</f>
        <v/>
      </c>
      <c r="AB18" t="inlineStr"/>
      <c r="AC18">
        <f>'0_Configuration'!$C$10</f>
        <v/>
      </c>
      <c r="AD18" t="inlineStr"/>
      <c r="AE18">
        <f>'0_Configuration'!$C$17</f>
        <v/>
      </c>
      <c r="AF18">
        <f>_xlfn.XLOOKUP(Tab_Def_Flows[[#This Row],[ODYM_Good_Type]],Tab_Configuration[Value],Tab_Configuration[ODYM_ID],,0,)</f>
        <v/>
      </c>
      <c r="AG18">
        <f>'0_Configuration'!$C$24</f>
        <v/>
      </c>
      <c r="AH18" t="inlineStr"/>
      <c r="AI18">
        <f>'0_Configuration'!$C$29</f>
        <v/>
      </c>
      <c r="AJ18" t="inlineStr"/>
      <c r="AK18">
        <f>IF(Tab_Def_Flows[[#This Row],[ODYM_time_(t)]],"t,","")&amp;IF(Tab_Def_Flows[[#This Row],[ODYM_Region_(r)]],"r,","")&amp;IF(Tab_Def_Flows[[#This Row],[ODYM_process_(p)]],"p,","")&amp;IF(Tab_Def_Flows[[#This Row],[ODYM_Good_(g)2]],"g,","")&amp;IF(Tab_Def_Flows[[#This Row],[ODYM_material_(m)]],"m,","")&amp;IF(Tab_Def_Flows[[#This Row],[ODYM_element_(e)]],"e","")</f>
        <v/>
      </c>
      <c r="AL18">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19">
      <c r="A19" t="b">
        <v>0</v>
      </c>
      <c r="B19">
        <f>ROW()-1</f>
        <v/>
      </c>
      <c r="C19">
        <f>"F_"&amp;LEFT(G19,2)&amp;"_"&amp;LEFT(I19,2)</f>
        <v/>
      </c>
      <c r="D19" t="inlineStr">
        <is>
          <t>Rye-Straw(Not mobilisable)_Emissions_E</t>
        </is>
      </c>
      <c r="F19" t="inlineStr">
        <is>
          <t>Rye-Straw(non-mobilizable)_Degradation</t>
        </is>
      </c>
      <c r="G19">
        <f>_xlfn.XLOOKUP(F19,Tab_Def_Processes[Process_Name],Tab_Def_Processes[Process_ID],,0,)</f>
        <v/>
      </c>
      <c r="H19" t="inlineStr">
        <is>
          <t>Environment</t>
        </is>
      </c>
      <c r="I19">
        <f>_xlfn.XLOOKUP(H19,Tab_Def_Processes[Process_Name],Tab_Def_Processes[Process_ID],,0,)</f>
        <v/>
      </c>
      <c r="J19" t="inlineStr">
        <is>
          <t>Yes</t>
        </is>
      </c>
      <c r="K19" t="inlineStr">
        <is>
          <t>Yes</t>
        </is>
      </c>
      <c r="M19" t="inlineStr">
        <is>
          <t>Yes</t>
        </is>
      </c>
      <c r="N19">
        <f>Tab_Def_Flows[[#This Row],[Flow_ID]]&amp;"_WC"</f>
        <v/>
      </c>
      <c r="Q19">
        <f>Tab_Def_Flows[[#This Row],[Flow_ID]]&amp;"_DM"</f>
        <v/>
      </c>
      <c r="T19">
        <f>Tab_Def_Flows[[#This Row],[Flow_ID]]&amp;"_CC"</f>
        <v/>
      </c>
      <c r="W19">
        <f>Tab_Def_Flows[[#This Row],[Flow_CC_DM'[%']]]*Tab_Def_Flows[[#This Row],[Flow_DM'[%']]]</f>
        <v/>
      </c>
      <c r="Y19">
        <f>'0_Configuration'!$C$2</f>
        <v/>
      </c>
      <c r="Z19" t="inlineStr"/>
      <c r="AA19">
        <f>'0_Configuration'!$C$6</f>
        <v/>
      </c>
      <c r="AB19" t="inlineStr"/>
      <c r="AC19">
        <f>'0_Configuration'!$C$10</f>
        <v/>
      </c>
      <c r="AD19" t="inlineStr"/>
      <c r="AE19">
        <f>'0_Configuration'!$C$17</f>
        <v/>
      </c>
      <c r="AF19">
        <f>_xlfn.XLOOKUP(Tab_Def_Flows[[#This Row],[ODYM_Good_Type]],Tab_Configuration[Value],Tab_Configuration[ODYM_ID],,0,)</f>
        <v/>
      </c>
      <c r="AG19">
        <f>'0_Configuration'!$C$24</f>
        <v/>
      </c>
      <c r="AH19" t="inlineStr"/>
      <c r="AI19">
        <f>'0_Configuration'!$C$29</f>
        <v/>
      </c>
      <c r="AJ19" t="inlineStr"/>
      <c r="AK19">
        <f>IF(Tab_Def_Flows[[#This Row],[ODYM_time_(t)]],"t,","")&amp;IF(Tab_Def_Flows[[#This Row],[ODYM_Region_(r)]],"r,","")&amp;IF(Tab_Def_Flows[[#This Row],[ODYM_process_(p)]],"p,","")&amp;IF(Tab_Def_Flows[[#This Row],[ODYM_Good_(g)2]],"g,","")&amp;IF(Tab_Def_Flows[[#This Row],[ODYM_material_(m)]],"m,","")&amp;IF(Tab_Def_Flows[[#This Row],[ODYM_element_(e)]],"e","")</f>
        <v/>
      </c>
      <c r="AL19">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20">
      <c r="A20" t="b">
        <v>0</v>
      </c>
      <c r="B20">
        <f>ROW()-1</f>
        <v/>
      </c>
      <c r="C20">
        <f>"F_"&amp;LEFT(G20,2)&amp;"_"&amp;LEFT(I20,2)</f>
        <v/>
      </c>
      <c r="D20" t="inlineStr">
        <is>
          <t>Cow-Manure</t>
        </is>
      </c>
      <c r="F20" t="inlineStr">
        <is>
          <t>Cow-Manure_Production</t>
        </is>
      </c>
      <c r="G20">
        <f>_xlfn.XLOOKUP(F20,Tab_Def_Processes[Process_Name],Tab_Def_Processes[Process_ID],,0,)</f>
        <v/>
      </c>
      <c r="H20" t="inlineStr">
        <is>
          <t>MBC_Production</t>
        </is>
      </c>
      <c r="I20">
        <f>_xlfn.XLOOKUP(H20,Tab_Def_Processes[Process_Name],Tab_Def_Processes[Process_ID],,0,)</f>
        <v/>
      </c>
      <c r="J20" t="inlineStr">
        <is>
          <t>Yes</t>
        </is>
      </c>
      <c r="K20" t="inlineStr">
        <is>
          <t>Yes</t>
        </is>
      </c>
      <c r="M20" t="inlineStr">
        <is>
          <t>Yes</t>
        </is>
      </c>
      <c r="N20">
        <f>Tab_Def_Flows[[#This Row],[Flow_ID]]&amp;"_WC"</f>
        <v/>
      </c>
      <c r="Q20">
        <f>Tab_Def_Flows[[#This Row],[Flow_ID]]&amp;"_DM"</f>
        <v/>
      </c>
      <c r="T20">
        <f>Tab_Def_Flows[[#This Row],[Flow_ID]]&amp;"_CC"</f>
        <v/>
      </c>
      <c r="W20">
        <f>Tab_Def_Flows[[#This Row],[Flow_CC_DM'[%']]]*Tab_Def_Flows[[#This Row],[Flow_DM'[%']]]</f>
        <v/>
      </c>
      <c r="Y20">
        <f>'0_Configuration'!$C$2</f>
        <v/>
      </c>
      <c r="Z20" t="inlineStr"/>
      <c r="AA20">
        <f>'0_Configuration'!$C$6</f>
        <v/>
      </c>
      <c r="AB20" t="inlineStr"/>
      <c r="AC20">
        <f>'0_Configuration'!$C$10</f>
        <v/>
      </c>
      <c r="AD20" t="inlineStr"/>
      <c r="AE20">
        <f>'0_Configuration'!$C$17</f>
        <v/>
      </c>
      <c r="AF20">
        <f>_xlfn.XLOOKUP(Tab_Def_Flows[[#This Row],[ODYM_Good_Type]],Tab_Configuration[Value],Tab_Configuration[ODYM_ID],,0,)</f>
        <v/>
      </c>
      <c r="AG20">
        <f>'0_Configuration'!$C$24</f>
        <v/>
      </c>
      <c r="AH20" t="inlineStr"/>
      <c r="AI20">
        <f>'0_Configuration'!$C$29</f>
        <v/>
      </c>
      <c r="AJ20" t="inlineStr"/>
      <c r="AK20">
        <f>IF(Tab_Def_Flows[[#This Row],[ODYM_time_(t)]],"t,","")&amp;IF(Tab_Def_Flows[[#This Row],[ODYM_Region_(r)]],"r,","")&amp;IF(Tab_Def_Flows[[#This Row],[ODYM_process_(p)]],"p,","")&amp;IF(Tab_Def_Flows[[#This Row],[ODYM_Good_(g)2]],"g,","")&amp;IF(Tab_Def_Flows[[#This Row],[ODYM_material_(m)]],"m,","")&amp;IF(Tab_Def_Flows[[#This Row],[ODYM_element_(e)]],"e","")</f>
        <v/>
      </c>
      <c r="AL20">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21">
      <c r="A21" t="b">
        <v>0</v>
      </c>
      <c r="B21">
        <f>ROW()-1</f>
        <v/>
      </c>
      <c r="C21">
        <f>"F_"&amp;LEFT(G21,2)&amp;"_"&amp;LEFT(I21,2)</f>
        <v/>
      </c>
      <c r="D21" t="inlineStr">
        <is>
          <t>Biogas</t>
        </is>
      </c>
      <c r="F21" t="inlineStr">
        <is>
          <t>Biogas_Production</t>
        </is>
      </c>
      <c r="G21">
        <f>_xlfn.XLOOKUP(F21,Tab_Def_Processes[Process_Name],Tab_Def_Processes[Process_ID],,0,)</f>
        <v/>
      </c>
      <c r="H21" t="inlineStr">
        <is>
          <t>Biogas_Incineration</t>
        </is>
      </c>
      <c r="I21">
        <f>_xlfn.XLOOKUP(H21,Tab_Def_Processes[Process_Name],Tab_Def_Processes[Process_ID],,0,)</f>
        <v/>
      </c>
      <c r="J21" t="inlineStr">
        <is>
          <t>Yes</t>
        </is>
      </c>
      <c r="K21" t="inlineStr">
        <is>
          <t>Yes</t>
        </is>
      </c>
      <c r="M21" t="inlineStr">
        <is>
          <t>Yes</t>
        </is>
      </c>
      <c r="N21">
        <f>Tab_Def_Flows[[#This Row],[Flow_ID]]&amp;"_WC"</f>
        <v/>
      </c>
      <c r="Q21">
        <f>Tab_Def_Flows[[#This Row],[Flow_ID]]&amp;"_DM"</f>
        <v/>
      </c>
      <c r="T21">
        <f>Tab_Def_Flows[[#This Row],[Flow_ID]]&amp;"_CC"</f>
        <v/>
      </c>
      <c r="W21">
        <f>Tab_Def_Flows[[#This Row],[Flow_CC_DM'[%']]]*Tab_Def_Flows[[#This Row],[Flow_DM'[%']]]</f>
        <v/>
      </c>
      <c r="Y21">
        <f>'0_Configuration'!$C$2</f>
        <v/>
      </c>
      <c r="Z21" t="inlineStr"/>
      <c r="AA21">
        <f>'0_Configuration'!$C$6</f>
        <v/>
      </c>
      <c r="AB21" t="inlineStr"/>
      <c r="AC21">
        <f>'0_Configuration'!$C$10</f>
        <v/>
      </c>
      <c r="AD21" t="inlineStr"/>
      <c r="AE21">
        <f>'0_Configuration'!$C$17</f>
        <v/>
      </c>
      <c r="AF21">
        <f>_xlfn.XLOOKUP(Tab_Def_Flows[[#This Row],[ODYM_Good_Type]],Tab_Configuration[Value],Tab_Configuration[ODYM_ID],,0,)</f>
        <v/>
      </c>
      <c r="AG21">
        <f>'0_Configuration'!$C$24</f>
        <v/>
      </c>
      <c r="AH21" t="inlineStr"/>
      <c r="AI21">
        <f>'0_Configuration'!$C$29</f>
        <v/>
      </c>
      <c r="AJ21" t="inlineStr"/>
      <c r="AK21">
        <f>IF(Tab_Def_Flows[[#This Row],[ODYM_time_(t)]],"t,","")&amp;IF(Tab_Def_Flows[[#This Row],[ODYM_Region_(r)]],"r,","")&amp;IF(Tab_Def_Flows[[#This Row],[ODYM_process_(p)]],"p,","")&amp;IF(Tab_Def_Flows[[#This Row],[ODYM_Good_(g)2]],"g,","")&amp;IF(Tab_Def_Flows[[#This Row],[ODYM_material_(m)]],"m,","")&amp;IF(Tab_Def_Flows[[#This Row],[ODYM_element_(e)]],"e","")</f>
        <v/>
      </c>
      <c r="AL21">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22">
      <c r="A22" t="b">
        <v>0</v>
      </c>
      <c r="B22">
        <f>ROW()-1</f>
        <v/>
      </c>
      <c r="C22">
        <f>"F_"&amp;LEFT(G22,2)&amp;"_"&amp;LEFT(I22,2)</f>
        <v/>
      </c>
      <c r="D22" t="inlineStr">
        <is>
          <t>Biogas-Incineration_Emission_C</t>
        </is>
      </c>
      <c r="F22" t="inlineStr">
        <is>
          <t>Biogas_Incineration</t>
        </is>
      </c>
      <c r="G22">
        <f>_xlfn.XLOOKUP(F22,Tab_Def_Processes[Process_Name],Tab_Def_Processes[Process_ID],,0,)</f>
        <v/>
      </c>
      <c r="H22" t="inlineStr">
        <is>
          <t>Atmosphere</t>
        </is>
      </c>
      <c r="I22">
        <f>_xlfn.XLOOKUP(H22,Tab_Def_Processes[Process_Name],Tab_Def_Processes[Process_ID],,0,)</f>
        <v/>
      </c>
      <c r="J22" t="inlineStr">
        <is>
          <t>Yes</t>
        </is>
      </c>
      <c r="K22" t="inlineStr">
        <is>
          <t>Yes</t>
        </is>
      </c>
      <c r="M22" t="inlineStr">
        <is>
          <t>Yes</t>
        </is>
      </c>
      <c r="N22">
        <f>Tab_Def_Flows[[#This Row],[Flow_ID]]&amp;"_WC"</f>
        <v/>
      </c>
      <c r="Q22">
        <f>Tab_Def_Flows[[#This Row],[Flow_ID]]&amp;"_DM"</f>
        <v/>
      </c>
      <c r="T22">
        <f>Tab_Def_Flows[[#This Row],[Flow_ID]]&amp;"_CC"</f>
        <v/>
      </c>
      <c r="W22">
        <f>Tab_Def_Flows[[#This Row],[Flow_CC_DM'[%']]]*Tab_Def_Flows[[#This Row],[Flow_DM'[%']]]</f>
        <v/>
      </c>
      <c r="Y22">
        <f>'0_Configuration'!$C$2</f>
        <v/>
      </c>
      <c r="Z22" t="inlineStr"/>
      <c r="AA22">
        <f>'0_Configuration'!$C$6</f>
        <v/>
      </c>
      <c r="AB22" t="inlineStr"/>
      <c r="AC22">
        <f>'0_Configuration'!$C$10</f>
        <v/>
      </c>
      <c r="AD22" t="inlineStr"/>
      <c r="AE22">
        <f>'0_Configuration'!$C$17</f>
        <v/>
      </c>
      <c r="AF22">
        <f>_xlfn.XLOOKUP(Tab_Def_Flows[[#This Row],[ODYM_Good_Type]],Tab_Configuration[Value],Tab_Configuration[ODYM_ID],,0,)</f>
        <v/>
      </c>
      <c r="AG22">
        <f>'0_Configuration'!$C$24</f>
        <v/>
      </c>
      <c r="AH22" t="inlineStr"/>
      <c r="AI22">
        <f>'0_Configuration'!$C$29</f>
        <v/>
      </c>
      <c r="AJ22" t="inlineStr"/>
      <c r="AK22">
        <f>IF(Tab_Def_Flows[[#This Row],[ODYM_time_(t)]],"t,","")&amp;IF(Tab_Def_Flows[[#This Row],[ODYM_Region_(r)]],"r,","")&amp;IF(Tab_Def_Flows[[#This Row],[ODYM_process_(p)]],"p,","")&amp;IF(Tab_Def_Flows[[#This Row],[ODYM_Good_(g)2]],"g,","")&amp;IF(Tab_Def_Flows[[#This Row],[ODYM_material_(m)]],"m,","")&amp;IF(Tab_Def_Flows[[#This Row],[ODYM_element_(e)]],"e","")</f>
        <v/>
      </c>
      <c r="AL22">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23">
      <c r="A23" t="b">
        <v>0</v>
      </c>
      <c r="B23">
        <f>ROW()-1</f>
        <v/>
      </c>
      <c r="C23">
        <f>"F_"&amp;LEFT(G23,2)&amp;"_"&amp;LEFT(I23,2)</f>
        <v/>
      </c>
      <c r="D23" t="inlineStr">
        <is>
          <t>Biogas-Incineration_Emission_E</t>
        </is>
      </c>
      <c r="F23" t="inlineStr">
        <is>
          <t>Biogas_Incineration</t>
        </is>
      </c>
      <c r="G23">
        <f>_xlfn.XLOOKUP(F23,Tab_Def_Processes[Process_Name],Tab_Def_Processes[Process_ID],,0,)</f>
        <v/>
      </c>
      <c r="H23" t="inlineStr">
        <is>
          <t>Environment</t>
        </is>
      </c>
      <c r="I23">
        <f>_xlfn.XLOOKUP(H23,Tab_Def_Processes[Process_Name],Tab_Def_Processes[Process_ID],,0,)</f>
        <v/>
      </c>
      <c r="J23" t="inlineStr">
        <is>
          <t>Yes</t>
        </is>
      </c>
      <c r="K23" t="inlineStr">
        <is>
          <t>Yes</t>
        </is>
      </c>
      <c r="M23" t="inlineStr">
        <is>
          <t>Yes</t>
        </is>
      </c>
      <c r="N23">
        <f>Tab_Def_Flows[[#This Row],[Flow_ID]]&amp;"_WC"</f>
        <v/>
      </c>
      <c r="Q23">
        <f>Tab_Def_Flows[[#This Row],[Flow_ID]]&amp;"_DM"</f>
        <v/>
      </c>
      <c r="T23">
        <f>Tab_Def_Flows[[#This Row],[Flow_ID]]&amp;"_CC"</f>
        <v/>
      </c>
      <c r="W23">
        <f>Tab_Def_Flows[[#This Row],[Flow_CC_DM'[%']]]*Tab_Def_Flows[[#This Row],[Flow_DM'[%']]]</f>
        <v/>
      </c>
      <c r="Y23">
        <f>'0_Configuration'!$C$2</f>
        <v/>
      </c>
      <c r="Z23" t="inlineStr"/>
      <c r="AA23">
        <f>'0_Configuration'!$C$6</f>
        <v/>
      </c>
      <c r="AB23" t="inlineStr"/>
      <c r="AC23">
        <f>'0_Configuration'!$C$10</f>
        <v/>
      </c>
      <c r="AD23" t="inlineStr"/>
      <c r="AE23">
        <f>'0_Configuration'!$C$17</f>
        <v/>
      </c>
      <c r="AF23">
        <f>_xlfn.XLOOKUP(Tab_Def_Flows[[#This Row],[ODYM_Good_Type]],Tab_Configuration[Value],Tab_Configuration[ODYM_ID],,0,)</f>
        <v/>
      </c>
      <c r="AG23">
        <f>'0_Configuration'!$C$24</f>
        <v/>
      </c>
      <c r="AH23" t="inlineStr"/>
      <c r="AI23">
        <f>'0_Configuration'!$C$29</f>
        <v/>
      </c>
      <c r="AJ23" t="inlineStr"/>
      <c r="AK23">
        <f>IF(Tab_Def_Flows[[#This Row],[ODYM_time_(t)]],"t,","")&amp;IF(Tab_Def_Flows[[#This Row],[ODYM_Region_(r)]],"r,","")&amp;IF(Tab_Def_Flows[[#This Row],[ODYM_process_(p)]],"p,","")&amp;IF(Tab_Def_Flows[[#This Row],[ODYM_Good_(g)2]],"g,","")&amp;IF(Tab_Def_Flows[[#This Row],[ODYM_material_(m)]],"m,","")&amp;IF(Tab_Def_Flows[[#This Row],[ODYM_element_(e)]],"e","")</f>
        <v/>
      </c>
      <c r="AL23">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24">
      <c r="A24" t="b">
        <v>0</v>
      </c>
      <c r="B24">
        <f>ROW()-1</f>
        <v/>
      </c>
      <c r="C24">
        <f>"F_"&amp;LEFT(G24,2)&amp;"_"&amp;LEFT(I24,2)</f>
        <v/>
      </c>
      <c r="D24" t="inlineStr">
        <is>
          <t>Biogas-Production-Delta</t>
        </is>
      </c>
      <c r="F24" t="inlineStr">
        <is>
          <t>Biogas_Production</t>
        </is>
      </c>
      <c r="G24">
        <f>_xlfn.XLOOKUP(F24,Tab_Def_Processes[Process_Name],Tab_Def_Processes[Process_ID],,0,)</f>
        <v/>
      </c>
      <c r="H24" t="inlineStr">
        <is>
          <t>Biogas_Production-Delta</t>
        </is>
      </c>
      <c r="I24">
        <f>_xlfn.XLOOKUP(H24,Tab_Def_Processes[Process_Name],Tab_Def_Processes[Process_ID],,0,)</f>
        <v/>
      </c>
      <c r="J24" t="inlineStr">
        <is>
          <t>Yes</t>
        </is>
      </c>
      <c r="K24" t="inlineStr">
        <is>
          <t>Yes</t>
        </is>
      </c>
      <c r="M24" t="inlineStr">
        <is>
          <t>Yes</t>
        </is>
      </c>
      <c r="N24">
        <f>Tab_Def_Flows[[#This Row],[Flow_ID]]&amp;"_WC"</f>
        <v/>
      </c>
      <c r="Q24">
        <f>Tab_Def_Flows[[#This Row],[Flow_ID]]&amp;"_DM"</f>
        <v/>
      </c>
      <c r="T24">
        <f>Tab_Def_Flows[[#This Row],[Flow_ID]]&amp;"_CC"</f>
        <v/>
      </c>
      <c r="W24">
        <f>Tab_Def_Flows[[#This Row],[Flow_CC_DM'[%']]]*Tab_Def_Flows[[#This Row],[Flow_DM'[%']]]</f>
        <v/>
      </c>
      <c r="Y24">
        <f>'0_Configuration'!$C$2</f>
        <v/>
      </c>
      <c r="Z24" t="inlineStr"/>
      <c r="AA24">
        <f>'0_Configuration'!$C$6</f>
        <v/>
      </c>
      <c r="AB24" t="inlineStr"/>
      <c r="AC24">
        <f>'0_Configuration'!$C$10</f>
        <v/>
      </c>
      <c r="AD24" t="inlineStr"/>
      <c r="AE24">
        <f>'0_Configuration'!$C$17</f>
        <v/>
      </c>
      <c r="AF24">
        <f>_xlfn.XLOOKUP(Tab_Def_Flows[[#This Row],[ODYM_Good_Type]],Tab_Configuration[Value],Tab_Configuration[ODYM_ID],,0,)</f>
        <v/>
      </c>
      <c r="AG24">
        <f>'0_Configuration'!$C$24</f>
        <v/>
      </c>
      <c r="AH24" t="inlineStr"/>
      <c r="AI24">
        <f>'0_Configuration'!$C$29</f>
        <v/>
      </c>
      <c r="AJ24" t="inlineStr"/>
      <c r="AK24">
        <f>IF(Tab_Def_Flows[[#This Row],[ODYM_time_(t)]],"t,","")&amp;IF(Tab_Def_Flows[[#This Row],[ODYM_Region_(r)]],"r,","")&amp;IF(Tab_Def_Flows[[#This Row],[ODYM_process_(p)]],"p,","")&amp;IF(Tab_Def_Flows[[#This Row],[ODYM_Good_(g)2]],"g,","")&amp;IF(Tab_Def_Flows[[#This Row],[ODYM_material_(m)]],"m,","")&amp;IF(Tab_Def_Flows[[#This Row],[ODYM_element_(e)]],"e","")</f>
        <v/>
      </c>
      <c r="AL24">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25">
      <c r="A25" t="b">
        <v>0</v>
      </c>
      <c r="B25">
        <f>ROW()-1</f>
        <v/>
      </c>
      <c r="C25">
        <f>"F_"&amp;LEFT(G25,2)&amp;"_"&amp;LEFT(I25,2)</f>
        <v/>
      </c>
      <c r="D25" t="inlineStr">
        <is>
          <t>Biogas-Production-Delta_Emission_C</t>
        </is>
      </c>
      <c r="F25" t="inlineStr">
        <is>
          <t>Biogas_Production-Delta</t>
        </is>
      </c>
      <c r="G25">
        <f>_xlfn.XLOOKUP(F25,Tab_Def_Processes[Process_Name],Tab_Def_Processes[Process_ID],,0,)</f>
        <v/>
      </c>
      <c r="H25" t="inlineStr">
        <is>
          <t>Atmosphere</t>
        </is>
      </c>
      <c r="I25">
        <f>_xlfn.XLOOKUP(H25,Tab_Def_Processes[Process_Name],Tab_Def_Processes[Process_ID],,0,)</f>
        <v/>
      </c>
      <c r="J25" t="inlineStr">
        <is>
          <t>Yes</t>
        </is>
      </c>
      <c r="K25" t="inlineStr">
        <is>
          <t>Yes</t>
        </is>
      </c>
      <c r="M25" t="inlineStr">
        <is>
          <t>Yes</t>
        </is>
      </c>
      <c r="N25">
        <f>Tab_Def_Flows[[#This Row],[Flow_ID]]&amp;"_WC"</f>
        <v/>
      </c>
      <c r="Q25">
        <f>Tab_Def_Flows[[#This Row],[Flow_ID]]&amp;"_DM"</f>
        <v/>
      </c>
      <c r="T25">
        <f>Tab_Def_Flows[[#This Row],[Flow_ID]]&amp;"_CC"</f>
        <v/>
      </c>
      <c r="W25">
        <f>Tab_Def_Flows[[#This Row],[Flow_CC_DM'[%']]]*Tab_Def_Flows[[#This Row],[Flow_DM'[%']]]</f>
        <v/>
      </c>
      <c r="Y25">
        <f>'0_Configuration'!$C$2</f>
        <v/>
      </c>
      <c r="Z25" t="inlineStr"/>
      <c r="AA25">
        <f>'0_Configuration'!$C$6</f>
        <v/>
      </c>
      <c r="AB25" t="inlineStr"/>
      <c r="AC25">
        <f>'0_Configuration'!$C$10</f>
        <v/>
      </c>
      <c r="AD25" t="inlineStr"/>
      <c r="AE25">
        <f>'0_Configuration'!$C$17</f>
        <v/>
      </c>
      <c r="AF25">
        <f>_xlfn.XLOOKUP(Tab_Def_Flows[[#This Row],[ODYM_Good_Type]],Tab_Configuration[Value],Tab_Configuration[ODYM_ID],,0,)</f>
        <v/>
      </c>
      <c r="AG25">
        <f>'0_Configuration'!$C$24</f>
        <v/>
      </c>
      <c r="AH25" t="inlineStr"/>
      <c r="AI25">
        <f>'0_Configuration'!$C$29</f>
        <v/>
      </c>
      <c r="AJ25" t="inlineStr"/>
      <c r="AK25">
        <f>IF(Tab_Def_Flows[[#This Row],[ODYM_time_(t)]],"t,","")&amp;IF(Tab_Def_Flows[[#This Row],[ODYM_Region_(r)]],"r,","")&amp;IF(Tab_Def_Flows[[#This Row],[ODYM_process_(p)]],"p,","")&amp;IF(Tab_Def_Flows[[#This Row],[ODYM_Good_(g)2]],"g,","")&amp;IF(Tab_Def_Flows[[#This Row],[ODYM_material_(m)]],"m,","")&amp;IF(Tab_Def_Flows[[#This Row],[ODYM_element_(e)]],"e","")</f>
        <v/>
      </c>
      <c r="AL25">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26">
      <c r="A26" t="b">
        <v>0</v>
      </c>
      <c r="B26">
        <f>ROW()-1</f>
        <v/>
      </c>
      <c r="C26">
        <f>"F_"&amp;LEFT(G26,2)&amp;"_"&amp;LEFT(I26,2)</f>
        <v/>
      </c>
      <c r="D26" t="inlineStr">
        <is>
          <t>Biogas-Production-Delta_Emission_E</t>
        </is>
      </c>
      <c r="F26" t="inlineStr">
        <is>
          <t>Biogas_Production-Delta</t>
        </is>
      </c>
      <c r="G26">
        <f>_xlfn.XLOOKUP(F26,Tab_Def_Processes[Process_Name],Tab_Def_Processes[Process_ID],,0,)</f>
        <v/>
      </c>
      <c r="H26" t="inlineStr">
        <is>
          <t>Environment</t>
        </is>
      </c>
      <c r="I26">
        <f>_xlfn.XLOOKUP(H26,Tab_Def_Processes[Process_Name],Tab_Def_Processes[Process_ID],,0,)</f>
        <v/>
      </c>
      <c r="J26" t="inlineStr">
        <is>
          <t>Yes</t>
        </is>
      </c>
      <c r="K26" t="inlineStr">
        <is>
          <t>Yes</t>
        </is>
      </c>
      <c r="M26" t="inlineStr">
        <is>
          <t>Yes</t>
        </is>
      </c>
      <c r="N26">
        <f>Tab_Def_Flows[[#This Row],[Flow_ID]]&amp;"_WC"</f>
        <v/>
      </c>
      <c r="Q26">
        <f>Tab_Def_Flows[[#This Row],[Flow_ID]]&amp;"_DM"</f>
        <v/>
      </c>
      <c r="T26">
        <f>Tab_Def_Flows[[#This Row],[Flow_ID]]&amp;"_CC"</f>
        <v/>
      </c>
      <c r="W26">
        <f>Tab_Def_Flows[[#This Row],[Flow_CC_DM'[%']]]*Tab_Def_Flows[[#This Row],[Flow_DM'[%']]]</f>
        <v/>
      </c>
      <c r="Y26">
        <f>'0_Configuration'!$C$2</f>
        <v/>
      </c>
      <c r="Z26" t="inlineStr"/>
      <c r="AA26">
        <f>'0_Configuration'!$C$6</f>
        <v/>
      </c>
      <c r="AB26" t="inlineStr"/>
      <c r="AC26">
        <f>'0_Configuration'!$C$10</f>
        <v/>
      </c>
      <c r="AD26" t="inlineStr"/>
      <c r="AE26">
        <f>'0_Configuration'!$C$17</f>
        <v/>
      </c>
      <c r="AF26">
        <f>_xlfn.XLOOKUP(Tab_Def_Flows[[#This Row],[ODYM_Good_Type]],Tab_Configuration[Value],Tab_Configuration[ODYM_ID],,0,)</f>
        <v/>
      </c>
      <c r="AG26">
        <f>'0_Configuration'!$C$24</f>
        <v/>
      </c>
      <c r="AH26" t="inlineStr"/>
      <c r="AI26">
        <f>'0_Configuration'!$C$29</f>
        <v/>
      </c>
      <c r="AJ26" t="inlineStr"/>
      <c r="AK26">
        <f>IF(Tab_Def_Flows[[#This Row],[ODYM_time_(t)]],"t,","")&amp;IF(Tab_Def_Flows[[#This Row],[ODYM_Region_(r)]],"r,","")&amp;IF(Tab_Def_Flows[[#This Row],[ODYM_process_(p)]],"p,","")&amp;IF(Tab_Def_Flows[[#This Row],[ODYM_Good_(g)2]],"g,","")&amp;IF(Tab_Def_Flows[[#This Row],[ODYM_material_(m)]],"m,","")&amp;IF(Tab_Def_Flows[[#This Row],[ODYM_element_(e)]],"e","")</f>
        <v/>
      </c>
      <c r="AL26">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27">
      <c r="A27" t="b">
        <v>0</v>
      </c>
      <c r="B27">
        <f>ROW()-1</f>
        <v/>
      </c>
      <c r="C27">
        <f>"F_"&amp;LEFT(G27,2)&amp;"_"&amp;LEFT(I27,2)</f>
        <v/>
      </c>
      <c r="D27" t="inlineStr">
        <is>
          <t>Rye-Straw-Digestate</t>
        </is>
      </c>
      <c r="F27" t="inlineStr">
        <is>
          <t>Biogas_Production</t>
        </is>
      </c>
      <c r="G27">
        <f>_xlfn.XLOOKUP(F27,Tab_Def_Processes[Process_Name],Tab_Def_Processes[Process_ID],,0,)</f>
        <v/>
      </c>
      <c r="H27" t="inlineStr">
        <is>
          <t>MBC_Production</t>
        </is>
      </c>
      <c r="I27">
        <f>_xlfn.XLOOKUP(H27,Tab_Def_Processes[Process_Name],Tab_Def_Processes[Process_ID],,0,)</f>
        <v/>
      </c>
      <c r="J27" t="inlineStr">
        <is>
          <t>Yes</t>
        </is>
      </c>
      <c r="K27" t="inlineStr">
        <is>
          <t>Yes</t>
        </is>
      </c>
      <c r="M27" t="inlineStr">
        <is>
          <t>Yes</t>
        </is>
      </c>
      <c r="N27">
        <f>Tab_Def_Flows[[#This Row],[Flow_ID]]&amp;"_WC"</f>
        <v/>
      </c>
      <c r="Q27">
        <f>Tab_Def_Flows[[#This Row],[Flow_ID]]&amp;"_DM"</f>
        <v/>
      </c>
      <c r="T27">
        <f>Tab_Def_Flows[[#This Row],[Flow_ID]]&amp;"_CC"</f>
        <v/>
      </c>
      <c r="W27">
        <f>Tab_Def_Flows[[#This Row],[Flow_CC_DM'[%']]]*Tab_Def_Flows[[#This Row],[Flow_DM'[%']]]</f>
        <v/>
      </c>
      <c r="Y27">
        <f>'0_Configuration'!$C$2</f>
        <v/>
      </c>
      <c r="Z27" t="inlineStr"/>
      <c r="AA27">
        <f>'0_Configuration'!$C$6</f>
        <v/>
      </c>
      <c r="AB27" t="inlineStr"/>
      <c r="AC27">
        <f>'0_Configuration'!$C$10</f>
        <v/>
      </c>
      <c r="AD27" t="inlineStr"/>
      <c r="AE27">
        <f>'0_Configuration'!$C$17</f>
        <v/>
      </c>
      <c r="AF27">
        <f>_xlfn.XLOOKUP(Tab_Def_Flows[[#This Row],[ODYM_Good_Type]],Tab_Configuration[Value],Tab_Configuration[ODYM_ID],,0,)</f>
        <v/>
      </c>
      <c r="AG27">
        <f>'0_Configuration'!$C$24</f>
        <v/>
      </c>
      <c r="AH27" t="inlineStr"/>
      <c r="AI27">
        <f>'0_Configuration'!$C$29</f>
        <v/>
      </c>
      <c r="AJ27" t="inlineStr"/>
      <c r="AK27">
        <f>IF(Tab_Def_Flows[[#This Row],[ODYM_time_(t)]],"t,","")&amp;IF(Tab_Def_Flows[[#This Row],[ODYM_Region_(r)]],"r,","")&amp;IF(Tab_Def_Flows[[#This Row],[ODYM_process_(p)]],"p,","")&amp;IF(Tab_Def_Flows[[#This Row],[ODYM_Good_(g)2]],"g,","")&amp;IF(Tab_Def_Flows[[#This Row],[ODYM_material_(m)]],"m,","")&amp;IF(Tab_Def_Flows[[#This Row],[ODYM_element_(e)]],"e","")</f>
        <v/>
      </c>
      <c r="AL27">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28">
      <c r="A28" t="b">
        <v>0</v>
      </c>
      <c r="B28">
        <f>ROW()-1</f>
        <v/>
      </c>
      <c r="C28">
        <f>"F_"&amp;LEFT(G28,2)&amp;"_"&amp;LEFT(I28,2)</f>
        <v/>
      </c>
      <c r="D28" t="inlineStr">
        <is>
          <t>MBC-Product</t>
        </is>
      </c>
      <c r="F28" t="inlineStr">
        <is>
          <t>MBC_Production</t>
        </is>
      </c>
      <c r="G28">
        <f>_xlfn.XLOOKUP(F28,Tab_Def_Processes[Process_Name],Tab_Def_Processes[Process_ID],,0,)</f>
        <v/>
      </c>
      <c r="H28" t="inlineStr">
        <is>
          <t>MBC_Use-Phase</t>
        </is>
      </c>
      <c r="I28">
        <f>_xlfn.XLOOKUP(H28,Tab_Def_Processes[Process_Name],Tab_Def_Processes[Process_ID],,0,)</f>
        <v/>
      </c>
      <c r="J28" t="inlineStr">
        <is>
          <t>Yes</t>
        </is>
      </c>
      <c r="K28" t="inlineStr">
        <is>
          <t>Yes</t>
        </is>
      </c>
      <c r="M28" t="inlineStr">
        <is>
          <t>Yes</t>
        </is>
      </c>
      <c r="N28">
        <f>Tab_Def_Flows[[#This Row],[Flow_ID]]&amp;"_WC"</f>
        <v/>
      </c>
      <c r="Q28">
        <f>Tab_Def_Flows[[#This Row],[Flow_ID]]&amp;"_DM"</f>
        <v/>
      </c>
      <c r="T28">
        <f>Tab_Def_Flows[[#This Row],[Flow_ID]]&amp;"_CC"</f>
        <v/>
      </c>
      <c r="W28">
        <f>Tab_Def_Flows[[#This Row],[Flow_CC_DM'[%']]]*Tab_Def_Flows[[#This Row],[Flow_DM'[%']]]</f>
        <v/>
      </c>
      <c r="Y28">
        <f>'0_Configuration'!$C$2</f>
        <v/>
      </c>
      <c r="Z28" t="inlineStr"/>
      <c r="AA28">
        <f>'0_Configuration'!$C$6</f>
        <v/>
      </c>
      <c r="AB28" t="inlineStr"/>
      <c r="AC28">
        <f>'0_Configuration'!$C$10</f>
        <v/>
      </c>
      <c r="AD28" t="inlineStr"/>
      <c r="AE28">
        <f>'0_Configuration'!$C$17</f>
        <v/>
      </c>
      <c r="AF28">
        <f>_xlfn.XLOOKUP(Tab_Def_Flows[[#This Row],[ODYM_Good_Type]],Tab_Configuration[Value],Tab_Configuration[ODYM_ID],,0,)</f>
        <v/>
      </c>
      <c r="AG28">
        <f>'0_Configuration'!$C$24</f>
        <v/>
      </c>
      <c r="AH28" t="inlineStr"/>
      <c r="AI28">
        <f>'0_Configuration'!$C$29</f>
        <v/>
      </c>
      <c r="AJ28" t="inlineStr"/>
      <c r="AK28">
        <f>IF(Tab_Def_Flows[[#This Row],[ODYM_time_(t)]],"t,","")&amp;IF(Tab_Def_Flows[[#This Row],[ODYM_Region_(r)]],"r,","")&amp;IF(Tab_Def_Flows[[#This Row],[ODYM_process_(p)]],"p,","")&amp;IF(Tab_Def_Flows[[#This Row],[ODYM_Good_(g)2]],"g,","")&amp;IF(Tab_Def_Flows[[#This Row],[ODYM_material_(m)]],"m,","")&amp;IF(Tab_Def_Flows[[#This Row],[ODYM_element_(e)]],"e","")</f>
        <v/>
      </c>
      <c r="AL28">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29">
      <c r="A29" t="b">
        <v>0</v>
      </c>
      <c r="B29">
        <f>ROW()-1</f>
        <v/>
      </c>
      <c r="C29">
        <f>"F_"&amp;LEFT(G29,2)&amp;"_"&amp;LEFT(I29,2)</f>
        <v/>
      </c>
      <c r="D29" t="inlineStr">
        <is>
          <t>MBC-EoL</t>
        </is>
      </c>
      <c r="F29" t="inlineStr">
        <is>
          <t>MBC_Use-Phase</t>
        </is>
      </c>
      <c r="G29">
        <f>_xlfn.XLOOKUP(F29,Tab_Def_Processes[Process_Name],Tab_Def_Processes[Process_ID],,0,)</f>
        <v/>
      </c>
      <c r="H29" t="inlineStr">
        <is>
          <t>MBC-EoL_Treatment</t>
        </is>
      </c>
      <c r="I29">
        <f>_xlfn.XLOOKUP(H29,Tab_Def_Processes[Process_Name],Tab_Def_Processes[Process_ID],,0,)</f>
        <v/>
      </c>
      <c r="J29" t="inlineStr">
        <is>
          <t>Yes</t>
        </is>
      </c>
      <c r="K29" t="inlineStr">
        <is>
          <t>Yes</t>
        </is>
      </c>
      <c r="M29" t="inlineStr">
        <is>
          <t>Yes</t>
        </is>
      </c>
      <c r="N29">
        <f>Tab_Def_Flows[[#This Row],[Flow_ID]]&amp;"_WC"</f>
        <v/>
      </c>
      <c r="Q29">
        <f>Tab_Def_Flows[[#This Row],[Flow_ID]]&amp;"_DM"</f>
        <v/>
      </c>
      <c r="T29">
        <f>Tab_Def_Flows[[#This Row],[Flow_ID]]&amp;"_CC"</f>
        <v/>
      </c>
      <c r="W29">
        <f>Tab_Def_Flows[[#This Row],[Flow_CC_DM'[%']]]*Tab_Def_Flows[[#This Row],[Flow_DM'[%']]]</f>
        <v/>
      </c>
      <c r="Y29">
        <f>'0_Configuration'!$C$2</f>
        <v/>
      </c>
      <c r="Z29" t="inlineStr"/>
      <c r="AA29">
        <f>'0_Configuration'!$C$6</f>
        <v/>
      </c>
      <c r="AB29" t="inlineStr"/>
      <c r="AC29">
        <f>'0_Configuration'!$C$10</f>
        <v/>
      </c>
      <c r="AD29" t="inlineStr"/>
      <c r="AE29">
        <f>'0_Configuration'!$C$17</f>
        <v/>
      </c>
      <c r="AF29">
        <f>_xlfn.XLOOKUP(Tab_Def_Flows[[#This Row],[ODYM_Good_Type]],Tab_Configuration[Value],Tab_Configuration[ODYM_ID],,0,)</f>
        <v/>
      </c>
      <c r="AG29">
        <f>'0_Configuration'!$C$24</f>
        <v/>
      </c>
      <c r="AH29" t="inlineStr"/>
      <c r="AI29">
        <f>'0_Configuration'!$C$29</f>
        <v/>
      </c>
      <c r="AJ29" t="inlineStr"/>
      <c r="AK29">
        <f>IF(Tab_Def_Flows[[#This Row],[ODYM_time_(t)]],"t,","")&amp;IF(Tab_Def_Flows[[#This Row],[ODYM_Region_(r)]],"r,","")&amp;IF(Tab_Def_Flows[[#This Row],[ODYM_process_(p)]],"p,","")&amp;IF(Tab_Def_Flows[[#This Row],[ODYM_Good_(g)2]],"g,","")&amp;IF(Tab_Def_Flows[[#This Row],[ODYM_material_(m)]],"m,","")&amp;IF(Tab_Def_Flows[[#This Row],[ODYM_element_(e)]],"e","")</f>
        <v/>
      </c>
      <c r="AL29">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30">
      <c r="A30" t="b">
        <v>0</v>
      </c>
      <c r="B30">
        <f>ROW()-1</f>
        <v/>
      </c>
      <c r="C30">
        <f>"F_"&amp;LEFT(G30,2)&amp;"_"&amp;LEFT(I30,2)</f>
        <v/>
      </c>
      <c r="D30" t="inlineStr">
        <is>
          <t>MBC-Production waste</t>
        </is>
      </c>
      <c r="F30" t="inlineStr">
        <is>
          <t>MBC_Production</t>
        </is>
      </c>
      <c r="G30">
        <f>_xlfn.XLOOKUP(F30,Tab_Def_Processes[Process_Name],Tab_Def_Processes[Process_ID],,0,)</f>
        <v/>
      </c>
      <c r="H30" t="inlineStr">
        <is>
          <t>MBC-Production Waste_Treatment</t>
        </is>
      </c>
      <c r="I30">
        <f>_xlfn.XLOOKUP(H30,Tab_Def_Processes[Process_Name],Tab_Def_Processes[Process_ID],,0,)</f>
        <v/>
      </c>
      <c r="J30" t="inlineStr">
        <is>
          <t>Yes</t>
        </is>
      </c>
      <c r="K30" t="inlineStr">
        <is>
          <t>Yes</t>
        </is>
      </c>
      <c r="M30" t="inlineStr">
        <is>
          <t>Yes</t>
        </is>
      </c>
      <c r="N30">
        <f>Tab_Def_Flows[[#This Row],[Flow_ID]]&amp;"_WC"</f>
        <v/>
      </c>
      <c r="Q30">
        <f>Tab_Def_Flows[[#This Row],[Flow_ID]]&amp;"_DM"</f>
        <v/>
      </c>
      <c r="T30">
        <f>Tab_Def_Flows[[#This Row],[Flow_ID]]&amp;"_CC"</f>
        <v/>
      </c>
      <c r="W30">
        <f>Tab_Def_Flows[[#This Row],[Flow_CC_DM'[%']]]*Tab_Def_Flows[[#This Row],[Flow_DM'[%']]]</f>
        <v/>
      </c>
      <c r="Y30">
        <f>'0_Configuration'!$C$2</f>
        <v/>
      </c>
      <c r="Z30" t="inlineStr"/>
      <c r="AA30">
        <f>'0_Configuration'!$C$6</f>
        <v/>
      </c>
      <c r="AB30" t="inlineStr"/>
      <c r="AC30">
        <f>'0_Configuration'!$C$10</f>
        <v/>
      </c>
      <c r="AD30" t="inlineStr"/>
      <c r="AE30">
        <f>'0_Configuration'!$C$17</f>
        <v/>
      </c>
      <c r="AF30">
        <f>_xlfn.XLOOKUP(Tab_Def_Flows[[#This Row],[ODYM_Good_Type]],Tab_Configuration[Value],Tab_Configuration[ODYM_ID],,0,)</f>
        <v/>
      </c>
      <c r="AG30">
        <f>'0_Configuration'!$C$24</f>
        <v/>
      </c>
      <c r="AH30" t="inlineStr"/>
      <c r="AI30">
        <f>'0_Configuration'!$C$29</f>
        <v/>
      </c>
      <c r="AJ30" t="inlineStr"/>
      <c r="AK30">
        <f>IF(Tab_Def_Flows[[#This Row],[ODYM_time_(t)]],"t,","")&amp;IF(Tab_Def_Flows[[#This Row],[ODYM_Region_(r)]],"r,","")&amp;IF(Tab_Def_Flows[[#This Row],[ODYM_process_(p)]],"p,","")&amp;IF(Tab_Def_Flows[[#This Row],[ODYM_Good_(g)2]],"g,","")&amp;IF(Tab_Def_Flows[[#This Row],[ODYM_material_(m)]],"m,","")&amp;IF(Tab_Def_Flows[[#This Row],[ODYM_element_(e)]],"e","")</f>
        <v/>
      </c>
      <c r="AL30">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31">
      <c r="A31" t="b">
        <v>0</v>
      </c>
      <c r="B31">
        <f>ROW()-1</f>
        <v/>
      </c>
      <c r="C31">
        <f>"F_"&amp;LEFT(G31,2)&amp;"_"&amp;LEFT(I31,2)</f>
        <v/>
      </c>
      <c r="D31" t="inlineStr">
        <is>
          <t>MBC-production_Emissions_E</t>
        </is>
      </c>
      <c r="F31" t="inlineStr">
        <is>
          <t>MBC_Production</t>
        </is>
      </c>
      <c r="G31">
        <f>_xlfn.XLOOKUP(F31,Tab_Def_Processes[Process_Name],Tab_Def_Processes[Process_ID],,0,)</f>
        <v/>
      </c>
      <c r="H31" t="inlineStr">
        <is>
          <t>Environment</t>
        </is>
      </c>
      <c r="I31">
        <f>_xlfn.XLOOKUP(H31,Tab_Def_Processes[Process_Name],Tab_Def_Processes[Process_ID],,0,)</f>
        <v/>
      </c>
      <c r="J31" t="inlineStr">
        <is>
          <t>Yes</t>
        </is>
      </c>
      <c r="K31" t="inlineStr">
        <is>
          <t>Yes</t>
        </is>
      </c>
      <c r="M31" t="inlineStr">
        <is>
          <t>Yes</t>
        </is>
      </c>
      <c r="N31">
        <f>Tab_Def_Flows[[#This Row],[Flow_ID]]&amp;"_WC"</f>
        <v/>
      </c>
      <c r="Q31">
        <f>Tab_Def_Flows[[#This Row],[Flow_ID]]&amp;"_DM"</f>
        <v/>
      </c>
      <c r="T31">
        <f>Tab_Def_Flows[[#This Row],[Flow_ID]]&amp;"_CC"</f>
        <v/>
      </c>
      <c r="W31">
        <f>Tab_Def_Flows[[#This Row],[Flow_CC_DM'[%']]]*Tab_Def_Flows[[#This Row],[Flow_DM'[%']]]</f>
        <v/>
      </c>
      <c r="Y31">
        <f>'0_Configuration'!$C$2</f>
        <v/>
      </c>
      <c r="Z31" t="inlineStr"/>
      <c r="AA31">
        <f>'0_Configuration'!$C$6</f>
        <v/>
      </c>
      <c r="AB31" t="inlineStr"/>
      <c r="AC31">
        <f>'0_Configuration'!$C$10</f>
        <v/>
      </c>
      <c r="AD31" t="inlineStr"/>
      <c r="AE31">
        <f>'0_Configuration'!$C$17</f>
        <v/>
      </c>
      <c r="AF31">
        <f>_xlfn.XLOOKUP(Tab_Def_Flows[[#This Row],[ODYM_Good_Type]],Tab_Configuration[Value],Tab_Configuration[ODYM_ID],,0,)</f>
        <v/>
      </c>
      <c r="AG31">
        <f>'0_Configuration'!$C$24</f>
        <v/>
      </c>
      <c r="AH31" t="inlineStr"/>
      <c r="AI31">
        <f>'0_Configuration'!$C$29</f>
        <v/>
      </c>
      <c r="AJ31" t="inlineStr"/>
      <c r="AK31">
        <f>IF(Tab_Def_Flows[[#This Row],[ODYM_time_(t)]],"t,","")&amp;IF(Tab_Def_Flows[[#This Row],[ODYM_Region_(r)]],"r,","")&amp;IF(Tab_Def_Flows[[#This Row],[ODYM_process_(p)]],"p,","")&amp;IF(Tab_Def_Flows[[#This Row],[ODYM_Good_(g)2]],"g,","")&amp;IF(Tab_Def_Flows[[#This Row],[ODYM_material_(m)]],"m,","")&amp;IF(Tab_Def_Flows[[#This Row],[ODYM_element_(e)]],"e","")</f>
        <v/>
      </c>
      <c r="AL31">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32">
      <c r="A32" t="b">
        <v>0</v>
      </c>
      <c r="B32">
        <f>ROW()-1</f>
        <v/>
      </c>
      <c r="C32">
        <f>"F_"&amp;LEFT(G32,2)&amp;"_"&amp;LEFT(I32,2)</f>
        <v/>
      </c>
      <c r="D32" t="inlineStr">
        <is>
          <t>MBC-Production Waste_Treatment_Emissions_C</t>
        </is>
      </c>
      <c r="F32" t="inlineStr">
        <is>
          <t>MBC-Production Waste_Treatment</t>
        </is>
      </c>
      <c r="G32">
        <f>_xlfn.XLOOKUP(F32,Tab_Def_Processes[Process_Name],Tab_Def_Processes[Process_ID],,0,)</f>
        <v/>
      </c>
      <c r="H32" t="inlineStr">
        <is>
          <t>Atmosphere</t>
        </is>
      </c>
      <c r="I32">
        <f>_xlfn.XLOOKUP(H32,Tab_Def_Processes[Process_Name],Tab_Def_Processes[Process_ID],,0,)</f>
        <v/>
      </c>
      <c r="J32" t="inlineStr">
        <is>
          <t>Yes</t>
        </is>
      </c>
      <c r="K32" t="inlineStr">
        <is>
          <t>Yes</t>
        </is>
      </c>
      <c r="M32" t="inlineStr">
        <is>
          <t>Yes</t>
        </is>
      </c>
      <c r="N32">
        <f>Tab_Def_Flows[[#This Row],[Flow_ID]]&amp;"_WC"</f>
        <v/>
      </c>
      <c r="Q32">
        <f>Tab_Def_Flows[[#This Row],[Flow_ID]]&amp;"_DM"</f>
        <v/>
      </c>
      <c r="T32">
        <f>Tab_Def_Flows[[#This Row],[Flow_ID]]&amp;"_CC"</f>
        <v/>
      </c>
      <c r="W32">
        <f>Tab_Def_Flows[[#This Row],[Flow_CC_DM'[%']]]*Tab_Def_Flows[[#This Row],[Flow_DM'[%']]]</f>
        <v/>
      </c>
      <c r="Y32">
        <f>'0_Configuration'!$C$2</f>
        <v/>
      </c>
      <c r="Z32" t="inlineStr"/>
      <c r="AA32">
        <f>'0_Configuration'!$C$6</f>
        <v/>
      </c>
      <c r="AB32" t="inlineStr"/>
      <c r="AC32">
        <f>'0_Configuration'!$C$10</f>
        <v/>
      </c>
      <c r="AD32" t="inlineStr"/>
      <c r="AE32">
        <f>'0_Configuration'!$C$17</f>
        <v/>
      </c>
      <c r="AF32">
        <f>_xlfn.XLOOKUP(Tab_Def_Flows[[#This Row],[ODYM_Good_Type]],Tab_Configuration[Value],Tab_Configuration[ODYM_ID],,0,)</f>
        <v/>
      </c>
      <c r="AG32">
        <f>'0_Configuration'!$C$24</f>
        <v/>
      </c>
      <c r="AH32" t="inlineStr"/>
      <c r="AI32">
        <f>'0_Configuration'!$C$29</f>
        <v/>
      </c>
      <c r="AJ32" t="inlineStr"/>
      <c r="AK32">
        <f>IF(Tab_Def_Flows[[#This Row],[ODYM_time_(t)]],"t,","")&amp;IF(Tab_Def_Flows[[#This Row],[ODYM_Region_(r)]],"r,","")&amp;IF(Tab_Def_Flows[[#This Row],[ODYM_process_(p)]],"p,","")&amp;IF(Tab_Def_Flows[[#This Row],[ODYM_Good_(g)2]],"g,","")&amp;IF(Tab_Def_Flows[[#This Row],[ODYM_material_(m)]],"m,","")&amp;IF(Tab_Def_Flows[[#This Row],[ODYM_element_(e)]],"e","")</f>
        <v/>
      </c>
      <c r="AL32">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33">
      <c r="A33" t="b">
        <v>0</v>
      </c>
      <c r="B33">
        <f>ROW()-1</f>
        <v/>
      </c>
      <c r="C33">
        <f>"F_"&amp;LEFT(G33,2)&amp;"_"&amp;LEFT(I33,2)</f>
        <v/>
      </c>
      <c r="D33" t="inlineStr">
        <is>
          <t>MBC-Production Waste_Treatment_Emissions_E</t>
        </is>
      </c>
      <c r="F33" t="inlineStr">
        <is>
          <t>MBC-Production Waste_Treatment</t>
        </is>
      </c>
      <c r="G33">
        <f>_xlfn.XLOOKUP(F33,Tab_Def_Processes[Process_Name],Tab_Def_Processes[Process_ID],,0,)</f>
        <v/>
      </c>
      <c r="H33" t="inlineStr">
        <is>
          <t>Environment</t>
        </is>
      </c>
      <c r="I33">
        <f>_xlfn.XLOOKUP(H33,Tab_Def_Processes[Process_Name],Tab_Def_Processes[Process_ID],,0,)</f>
        <v/>
      </c>
      <c r="J33" t="inlineStr">
        <is>
          <t>Yes</t>
        </is>
      </c>
      <c r="K33" t="inlineStr">
        <is>
          <t>Yes</t>
        </is>
      </c>
      <c r="M33" t="inlineStr">
        <is>
          <t>Yes</t>
        </is>
      </c>
      <c r="N33">
        <f>Tab_Def_Flows[[#This Row],[Flow_ID]]&amp;"_WC"</f>
        <v/>
      </c>
      <c r="Q33">
        <f>Tab_Def_Flows[[#This Row],[Flow_ID]]&amp;"_DM"</f>
        <v/>
      </c>
      <c r="T33">
        <f>Tab_Def_Flows[[#This Row],[Flow_ID]]&amp;"_CC"</f>
        <v/>
      </c>
      <c r="W33">
        <f>Tab_Def_Flows[[#This Row],[Flow_CC_DM'[%']]]*Tab_Def_Flows[[#This Row],[Flow_DM'[%']]]</f>
        <v/>
      </c>
      <c r="Y33">
        <f>'0_Configuration'!$C$2</f>
        <v/>
      </c>
      <c r="Z33" t="inlineStr"/>
      <c r="AA33">
        <f>'0_Configuration'!$C$6</f>
        <v/>
      </c>
      <c r="AB33" t="inlineStr"/>
      <c r="AC33">
        <f>'0_Configuration'!$C$10</f>
        <v/>
      </c>
      <c r="AD33" t="inlineStr"/>
      <c r="AE33">
        <f>'0_Configuration'!$C$17</f>
        <v/>
      </c>
      <c r="AF33">
        <f>_xlfn.XLOOKUP(Tab_Def_Flows[[#This Row],[ODYM_Good_Type]],Tab_Configuration[Value],Tab_Configuration[ODYM_ID],,0,)</f>
        <v/>
      </c>
      <c r="AG33">
        <f>'0_Configuration'!$C$24</f>
        <v/>
      </c>
      <c r="AH33" t="inlineStr"/>
      <c r="AI33">
        <f>'0_Configuration'!$C$29</f>
        <v/>
      </c>
      <c r="AJ33" t="inlineStr"/>
      <c r="AK33">
        <f>IF(Tab_Def_Flows[[#This Row],[ODYM_time_(t)]],"t,","")&amp;IF(Tab_Def_Flows[[#This Row],[ODYM_Region_(r)]],"r,","")&amp;IF(Tab_Def_Flows[[#This Row],[ODYM_process_(p)]],"p,","")&amp;IF(Tab_Def_Flows[[#This Row],[ODYM_Good_(g)2]],"g,","")&amp;IF(Tab_Def_Flows[[#This Row],[ODYM_material_(m)]],"m,","")&amp;IF(Tab_Def_Flows[[#This Row],[ODYM_element_(e)]],"e","")</f>
        <v/>
      </c>
      <c r="AL33">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34">
      <c r="A34" t="b">
        <v>0</v>
      </c>
      <c r="B34">
        <f>ROW()-1</f>
        <v/>
      </c>
      <c r="C34">
        <f>"F_"&amp;LEFT(G34,2)&amp;"_"&amp;LEFT(I34,2)</f>
        <v/>
      </c>
      <c r="D34" t="inlineStr">
        <is>
          <t>Millet-Grain</t>
        </is>
      </c>
      <c r="F34" t="inlineStr">
        <is>
          <t>Millet_Production</t>
        </is>
      </c>
      <c r="G34">
        <f>_xlfn.XLOOKUP(F34,Tab_Def_Processes[Process_Name],Tab_Def_Processes[Process_ID],,0,)</f>
        <v/>
      </c>
      <c r="H34" t="inlineStr">
        <is>
          <t>MBC_Production</t>
        </is>
      </c>
      <c r="I34">
        <f>_xlfn.XLOOKUP(H34,Tab_Def_Processes[Process_Name],Tab_Def_Processes[Process_ID],,0,)</f>
        <v/>
      </c>
      <c r="J34" t="inlineStr">
        <is>
          <t>Yes</t>
        </is>
      </c>
      <c r="K34" t="inlineStr">
        <is>
          <t>Yes</t>
        </is>
      </c>
      <c r="M34" t="inlineStr">
        <is>
          <t>Yes</t>
        </is>
      </c>
      <c r="N34">
        <f>Tab_Def_Flows[[#This Row],[Flow_ID]]&amp;"_WC"</f>
        <v/>
      </c>
      <c r="Q34">
        <f>Tab_Def_Flows[[#This Row],[Flow_ID]]&amp;"_DM"</f>
        <v/>
      </c>
      <c r="T34">
        <f>Tab_Def_Flows[[#This Row],[Flow_ID]]&amp;"_CC"</f>
        <v/>
      </c>
      <c r="W34">
        <f>Tab_Def_Flows[[#This Row],[Flow_CC_DM'[%']]]*Tab_Def_Flows[[#This Row],[Flow_DM'[%']]]</f>
        <v/>
      </c>
      <c r="Y34">
        <f>'0_Configuration'!$C$2</f>
        <v/>
      </c>
      <c r="Z34" t="inlineStr"/>
      <c r="AA34">
        <f>'0_Configuration'!$C$6</f>
        <v/>
      </c>
      <c r="AB34" t="inlineStr"/>
      <c r="AC34">
        <f>'0_Configuration'!$C$10</f>
        <v/>
      </c>
      <c r="AD34" t="inlineStr"/>
      <c r="AE34">
        <f>'0_Configuration'!$C$17</f>
        <v/>
      </c>
      <c r="AF34">
        <f>_xlfn.XLOOKUP(Tab_Def_Flows[[#This Row],[ODYM_Good_Type]],Tab_Configuration[Value],Tab_Configuration[ODYM_ID],,0,)</f>
        <v/>
      </c>
      <c r="AG34">
        <f>'0_Configuration'!$C$24</f>
        <v/>
      </c>
      <c r="AH34" t="inlineStr"/>
      <c r="AI34">
        <f>'0_Configuration'!$C$29</f>
        <v/>
      </c>
      <c r="AJ34" t="inlineStr"/>
      <c r="AK34">
        <f>IF(Tab_Def_Flows[[#This Row],[ODYM_time_(t)]],"t,","")&amp;IF(Tab_Def_Flows[[#This Row],[ODYM_Region_(r)]],"r,","")&amp;IF(Tab_Def_Flows[[#This Row],[ODYM_process_(p)]],"p,","")&amp;IF(Tab_Def_Flows[[#This Row],[ODYM_Good_(g)2]],"g,","")&amp;IF(Tab_Def_Flows[[#This Row],[ODYM_material_(m)]],"m,","")&amp;IF(Tab_Def_Flows[[#This Row],[ODYM_element_(e)]],"e","")</f>
        <v/>
      </c>
      <c r="AL34">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35">
      <c r="A35" t="b">
        <v>0</v>
      </c>
      <c r="B35">
        <f>ROW()-1</f>
        <v/>
      </c>
      <c r="C35">
        <f>"F_"&amp;LEFT(G35,2)&amp;"_"&amp;LEFT(I35,2)</f>
        <v/>
      </c>
      <c r="D35" t="inlineStr">
        <is>
          <t>MBC-Production-Delta</t>
        </is>
      </c>
      <c r="F35" t="inlineStr">
        <is>
          <t>MBC_Production</t>
        </is>
      </c>
      <c r="G35">
        <f>_xlfn.XLOOKUP(F35,Tab_Def_Processes[Process_Name],Tab_Def_Processes[Process_ID],,0,)</f>
        <v/>
      </c>
      <c r="H35" t="inlineStr">
        <is>
          <t>MBC-Production-Delta_Production</t>
        </is>
      </c>
      <c r="I35">
        <f>_xlfn.XLOOKUP(H35,Tab_Def_Processes[Process_Name],Tab_Def_Processes[Process_ID],,0,)</f>
        <v/>
      </c>
      <c r="J35" t="inlineStr">
        <is>
          <t>Yes</t>
        </is>
      </c>
      <c r="K35" t="inlineStr">
        <is>
          <t>Yes</t>
        </is>
      </c>
      <c r="M35" t="inlineStr">
        <is>
          <t>Yes</t>
        </is>
      </c>
      <c r="N35">
        <f>Tab_Def_Flows[[#This Row],[Flow_ID]]&amp;"_WC"</f>
        <v/>
      </c>
      <c r="Q35">
        <f>Tab_Def_Flows[[#This Row],[Flow_ID]]&amp;"_DM"</f>
        <v/>
      </c>
      <c r="T35">
        <f>Tab_Def_Flows[[#This Row],[Flow_ID]]&amp;"_CC"</f>
        <v/>
      </c>
      <c r="W35">
        <f>Tab_Def_Flows[[#This Row],[Flow_CC_DM'[%']]]*Tab_Def_Flows[[#This Row],[Flow_DM'[%']]]</f>
        <v/>
      </c>
      <c r="Y35">
        <f>'0_Configuration'!$C$2</f>
        <v/>
      </c>
      <c r="Z35" t="inlineStr"/>
      <c r="AA35">
        <f>'0_Configuration'!$C$6</f>
        <v/>
      </c>
      <c r="AB35" t="inlineStr"/>
      <c r="AC35">
        <f>'0_Configuration'!$C$10</f>
        <v/>
      </c>
      <c r="AD35" t="inlineStr"/>
      <c r="AE35">
        <f>'0_Configuration'!$C$17</f>
        <v/>
      </c>
      <c r="AF35">
        <f>_xlfn.XLOOKUP(Tab_Def_Flows[[#This Row],[ODYM_Good_Type]],Tab_Configuration[Value],Tab_Configuration[ODYM_ID],,0,)</f>
        <v/>
      </c>
      <c r="AG35">
        <f>'0_Configuration'!$C$24</f>
        <v/>
      </c>
      <c r="AH35" t="inlineStr"/>
      <c r="AI35">
        <f>'0_Configuration'!$C$29</f>
        <v/>
      </c>
      <c r="AJ35" t="inlineStr"/>
      <c r="AK35">
        <f>IF(Tab_Def_Flows[[#This Row],[ODYM_time_(t)]],"t,","")&amp;IF(Tab_Def_Flows[[#This Row],[ODYM_Region_(r)]],"r,","")&amp;IF(Tab_Def_Flows[[#This Row],[ODYM_process_(p)]],"p,","")&amp;IF(Tab_Def_Flows[[#This Row],[ODYM_Good_(g)2]],"g,","")&amp;IF(Tab_Def_Flows[[#This Row],[ODYM_material_(m)]],"m,","")&amp;IF(Tab_Def_Flows[[#This Row],[ODYM_element_(e)]],"e","")</f>
        <v/>
      </c>
      <c r="AL35">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36">
      <c r="A36" t="b">
        <v>0</v>
      </c>
      <c r="B36">
        <f>ROW()-1</f>
        <v/>
      </c>
      <c r="C36">
        <f>"F_"&amp;LEFT(G36,2)&amp;"_"&amp;LEFT(I36,2)</f>
        <v/>
      </c>
      <c r="D36" t="inlineStr">
        <is>
          <t>MBC-Production-Delta_Emissions_C</t>
        </is>
      </c>
      <c r="F36" t="inlineStr">
        <is>
          <t>MBC-Production-Delta_Production</t>
        </is>
      </c>
      <c r="G36">
        <f>_xlfn.XLOOKUP(F36,Tab_Def_Processes[Process_Name],Tab_Def_Processes[Process_ID],,0,)</f>
        <v/>
      </c>
      <c r="H36" t="inlineStr">
        <is>
          <t>Atmosphere</t>
        </is>
      </c>
      <c r="I36">
        <f>_xlfn.XLOOKUP(H36,Tab_Def_Processes[Process_Name],Tab_Def_Processes[Process_ID],,0,)</f>
        <v/>
      </c>
      <c r="J36" t="inlineStr">
        <is>
          <t>Yes</t>
        </is>
      </c>
      <c r="K36" t="inlineStr">
        <is>
          <t>Yes</t>
        </is>
      </c>
      <c r="M36" t="inlineStr">
        <is>
          <t>Yes</t>
        </is>
      </c>
      <c r="N36">
        <f>Tab_Def_Flows[[#This Row],[Flow_ID]]&amp;"_WC"</f>
        <v/>
      </c>
      <c r="Q36">
        <f>Tab_Def_Flows[[#This Row],[Flow_ID]]&amp;"_DM"</f>
        <v/>
      </c>
      <c r="T36">
        <f>Tab_Def_Flows[[#This Row],[Flow_ID]]&amp;"_CC"</f>
        <v/>
      </c>
      <c r="W36">
        <f>Tab_Def_Flows[[#This Row],[Flow_CC_DM'[%']]]*Tab_Def_Flows[[#This Row],[Flow_DM'[%']]]</f>
        <v/>
      </c>
      <c r="Y36">
        <f>'0_Configuration'!$C$2</f>
        <v/>
      </c>
      <c r="Z36" t="inlineStr"/>
      <c r="AA36">
        <f>'0_Configuration'!$C$6</f>
        <v/>
      </c>
      <c r="AB36" t="inlineStr"/>
      <c r="AC36">
        <f>'0_Configuration'!$C$10</f>
        <v/>
      </c>
      <c r="AD36" t="inlineStr"/>
      <c r="AE36">
        <f>'0_Configuration'!$C$17</f>
        <v/>
      </c>
      <c r="AF36">
        <f>_xlfn.XLOOKUP(Tab_Def_Flows[[#This Row],[ODYM_Good_Type]],Tab_Configuration[Value],Tab_Configuration[ODYM_ID],,0,)</f>
        <v/>
      </c>
      <c r="AG36">
        <f>'0_Configuration'!$C$24</f>
        <v/>
      </c>
      <c r="AH36" t="inlineStr"/>
      <c r="AI36">
        <f>'0_Configuration'!$C$29</f>
        <v/>
      </c>
      <c r="AJ36" t="inlineStr"/>
      <c r="AK36">
        <f>IF(Tab_Def_Flows[[#This Row],[ODYM_time_(t)]],"t,","")&amp;IF(Tab_Def_Flows[[#This Row],[ODYM_Region_(r)]],"r,","")&amp;IF(Tab_Def_Flows[[#This Row],[ODYM_process_(p)]],"p,","")&amp;IF(Tab_Def_Flows[[#This Row],[ODYM_Good_(g)2]],"g,","")&amp;IF(Tab_Def_Flows[[#This Row],[ODYM_material_(m)]],"m,","")&amp;IF(Tab_Def_Flows[[#This Row],[ODYM_element_(e)]],"e","")</f>
        <v/>
      </c>
      <c r="AL36">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37">
      <c r="A37" t="b">
        <v>0</v>
      </c>
      <c r="B37">
        <f>ROW()-1</f>
        <v/>
      </c>
      <c r="C37">
        <f>"F_"&amp;LEFT(G37,2)&amp;"_"&amp;LEFT(I37,2)</f>
        <v/>
      </c>
      <c r="D37" t="inlineStr">
        <is>
          <t>MBC-Production-Delta_Emissions_E</t>
        </is>
      </c>
      <c r="F37" t="inlineStr">
        <is>
          <t>MBC-Production-Delta_Production</t>
        </is>
      </c>
      <c r="G37">
        <f>_xlfn.XLOOKUP(F37,Tab_Def_Processes[Process_Name],Tab_Def_Processes[Process_ID],,0,)</f>
        <v/>
      </c>
      <c r="H37" t="inlineStr">
        <is>
          <t>Environment</t>
        </is>
      </c>
      <c r="I37">
        <f>_xlfn.XLOOKUP(H37,Tab_Def_Processes[Process_Name],Tab_Def_Processes[Process_ID],,0,)</f>
        <v/>
      </c>
      <c r="J37" t="inlineStr">
        <is>
          <t>Yes</t>
        </is>
      </c>
      <c r="K37" t="inlineStr">
        <is>
          <t>Yes</t>
        </is>
      </c>
      <c r="M37" t="inlineStr">
        <is>
          <t>Yes</t>
        </is>
      </c>
      <c r="N37">
        <f>Tab_Def_Flows[[#This Row],[Flow_ID]]&amp;"_WC"</f>
        <v/>
      </c>
      <c r="Q37">
        <f>Tab_Def_Flows[[#This Row],[Flow_ID]]&amp;"_DM"</f>
        <v/>
      </c>
      <c r="T37">
        <f>Tab_Def_Flows[[#This Row],[Flow_ID]]&amp;"_CC"</f>
        <v/>
      </c>
      <c r="W37">
        <f>Tab_Def_Flows[[#This Row],[Flow_CC_DM'[%']]]*Tab_Def_Flows[[#This Row],[Flow_DM'[%']]]</f>
        <v/>
      </c>
      <c r="Y37">
        <f>'0_Configuration'!$C$2</f>
        <v/>
      </c>
      <c r="Z37" t="inlineStr"/>
      <c r="AA37">
        <f>'0_Configuration'!$C$6</f>
        <v/>
      </c>
      <c r="AB37" t="inlineStr"/>
      <c r="AC37">
        <f>'0_Configuration'!$C$10</f>
        <v/>
      </c>
      <c r="AD37" t="inlineStr"/>
      <c r="AE37">
        <f>'0_Configuration'!$C$17</f>
        <v/>
      </c>
      <c r="AF37">
        <f>_xlfn.XLOOKUP(Tab_Def_Flows[[#This Row],[ODYM_Good_Type]],Tab_Configuration[Value],Tab_Configuration[ODYM_ID],,0,)</f>
        <v/>
      </c>
      <c r="AG37">
        <f>'0_Configuration'!$C$24</f>
        <v/>
      </c>
      <c r="AH37" t="inlineStr"/>
      <c r="AI37">
        <f>'0_Configuration'!$C$29</f>
        <v/>
      </c>
      <c r="AJ37" t="inlineStr"/>
      <c r="AK37">
        <f>IF(Tab_Def_Flows[[#This Row],[ODYM_time_(t)]],"t,","")&amp;IF(Tab_Def_Flows[[#This Row],[ODYM_Region_(r)]],"r,","")&amp;IF(Tab_Def_Flows[[#This Row],[ODYM_process_(p)]],"p,","")&amp;IF(Tab_Def_Flows[[#This Row],[ODYM_Good_(g)2]],"g,","")&amp;IF(Tab_Def_Flows[[#This Row],[ODYM_material_(m)]],"m,","")&amp;IF(Tab_Def_Flows[[#This Row],[ODYM_element_(e)]],"e","")</f>
        <v/>
      </c>
      <c r="AL37">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38">
      <c r="A38" t="b">
        <v>0</v>
      </c>
      <c r="B38">
        <f>ROW()-1</f>
        <v/>
      </c>
      <c r="C38">
        <f>"F_"&amp;LEFT(G38,2)&amp;"_"&amp;LEFT(I38,2)</f>
        <v/>
      </c>
      <c r="D38" t="inlineStr">
        <is>
          <t>MBC (EoL)-Pyrolysis</t>
        </is>
      </c>
      <c r="F38" t="inlineStr">
        <is>
          <t>MBC-EoL_Treatment</t>
        </is>
      </c>
      <c r="G38">
        <f>_xlfn.XLOOKUP(F38,Tab_Def_Processes[Process_Name],Tab_Def_Processes[Process_ID],,0,)</f>
        <v/>
      </c>
      <c r="H38" t="inlineStr">
        <is>
          <t>MBC-EoL_Pyrolysis</t>
        </is>
      </c>
      <c r="I38">
        <f>_xlfn.XLOOKUP(H38,Tab_Def_Processes[Process_Name],Tab_Def_Processes[Process_ID],,0,)</f>
        <v/>
      </c>
      <c r="J38" t="inlineStr">
        <is>
          <t>Yes</t>
        </is>
      </c>
      <c r="K38" t="inlineStr">
        <is>
          <t>Yes</t>
        </is>
      </c>
      <c r="M38" t="inlineStr">
        <is>
          <t>Yes</t>
        </is>
      </c>
      <c r="N38">
        <f>Tab_Def_Flows[[#This Row],[Flow_ID]]&amp;"_WC"</f>
        <v/>
      </c>
      <c r="Q38">
        <f>Tab_Def_Flows[[#This Row],[Flow_ID]]&amp;"_DM"</f>
        <v/>
      </c>
      <c r="T38">
        <f>Tab_Def_Flows[[#This Row],[Flow_ID]]&amp;"_CC"</f>
        <v/>
      </c>
      <c r="W38">
        <f>Tab_Def_Flows[[#This Row],[Flow_CC_DM'[%']]]*Tab_Def_Flows[[#This Row],[Flow_DM'[%']]]</f>
        <v/>
      </c>
      <c r="Y38">
        <f>'0_Configuration'!$C$2</f>
        <v/>
      </c>
      <c r="Z38" t="inlineStr"/>
      <c r="AA38">
        <f>'0_Configuration'!$C$6</f>
        <v/>
      </c>
      <c r="AB38" t="inlineStr"/>
      <c r="AC38">
        <f>'0_Configuration'!$C$10</f>
        <v/>
      </c>
      <c r="AD38" t="inlineStr"/>
      <c r="AE38">
        <f>'0_Configuration'!$C$17</f>
        <v/>
      </c>
      <c r="AF38">
        <f>_xlfn.XLOOKUP(Tab_Def_Flows[[#This Row],[ODYM_Good_Type]],Tab_Configuration[Value],Tab_Configuration[ODYM_ID],,0,)</f>
        <v/>
      </c>
      <c r="AG38">
        <f>'0_Configuration'!$C$24</f>
        <v/>
      </c>
      <c r="AH38" t="inlineStr"/>
      <c r="AI38">
        <f>'0_Configuration'!$C$29</f>
        <v/>
      </c>
      <c r="AJ38" t="inlineStr"/>
      <c r="AK38">
        <f>IF(Tab_Def_Flows[[#This Row],[ODYM_time_(t)]],"t,","")&amp;IF(Tab_Def_Flows[[#This Row],[ODYM_Region_(r)]],"r,","")&amp;IF(Tab_Def_Flows[[#This Row],[ODYM_process_(p)]],"p,","")&amp;IF(Tab_Def_Flows[[#This Row],[ODYM_Good_(g)2]],"g,","")&amp;IF(Tab_Def_Flows[[#This Row],[ODYM_material_(m)]],"m,","")&amp;IF(Tab_Def_Flows[[#This Row],[ODYM_element_(e)]],"e","")</f>
        <v/>
      </c>
      <c r="AL38">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39">
      <c r="A39" t="b">
        <v>0</v>
      </c>
      <c r="B39">
        <f>ROW()-1</f>
        <v/>
      </c>
      <c r="C39">
        <f>"F_"&amp;LEFT(G39,2)&amp;"_"&amp;LEFT(I39,2)</f>
        <v/>
      </c>
      <c r="D39" t="inlineStr">
        <is>
          <t>MBC (EoL)-Incineration</t>
        </is>
      </c>
      <c r="F39" t="inlineStr">
        <is>
          <t>MBC-EoL_Treatment</t>
        </is>
      </c>
      <c r="G39">
        <f>_xlfn.XLOOKUP(F39,Tab_Def_Processes[Process_Name],Tab_Def_Processes[Process_ID],,0,)</f>
        <v/>
      </c>
      <c r="H39" t="inlineStr">
        <is>
          <t>MBC-EoL_Incineration</t>
        </is>
      </c>
      <c r="I39">
        <f>_xlfn.XLOOKUP(H39,Tab_Def_Processes[Process_Name],Tab_Def_Processes[Process_ID],,0,)</f>
        <v/>
      </c>
      <c r="J39" t="inlineStr">
        <is>
          <t>Yes</t>
        </is>
      </c>
      <c r="K39" t="inlineStr">
        <is>
          <t>Yes</t>
        </is>
      </c>
      <c r="M39" t="inlineStr">
        <is>
          <t>Yes</t>
        </is>
      </c>
      <c r="N39">
        <f>Tab_Def_Flows[[#This Row],[Flow_ID]]&amp;"_WC"</f>
        <v/>
      </c>
      <c r="Q39">
        <f>Tab_Def_Flows[[#This Row],[Flow_ID]]&amp;"_DM"</f>
        <v/>
      </c>
      <c r="T39">
        <f>Tab_Def_Flows[[#This Row],[Flow_ID]]&amp;"_CC"</f>
        <v/>
      </c>
      <c r="W39">
        <f>Tab_Def_Flows[[#This Row],[Flow_CC_DM'[%']]]*Tab_Def_Flows[[#This Row],[Flow_DM'[%']]]</f>
        <v/>
      </c>
      <c r="Y39">
        <f>'0_Configuration'!$C$2</f>
        <v/>
      </c>
      <c r="Z39" t="inlineStr"/>
      <c r="AA39">
        <f>'0_Configuration'!$C$6</f>
        <v/>
      </c>
      <c r="AB39" t="inlineStr"/>
      <c r="AC39">
        <f>'0_Configuration'!$C$10</f>
        <v/>
      </c>
      <c r="AD39" t="inlineStr"/>
      <c r="AE39">
        <f>'0_Configuration'!$C$17</f>
        <v/>
      </c>
      <c r="AF39">
        <f>_xlfn.XLOOKUP(Tab_Def_Flows[[#This Row],[ODYM_Good_Type]],Tab_Configuration[Value],Tab_Configuration[ODYM_ID],,0,)</f>
        <v/>
      </c>
      <c r="AG39">
        <f>'0_Configuration'!$C$24</f>
        <v/>
      </c>
      <c r="AH39" t="inlineStr"/>
      <c r="AI39">
        <f>'0_Configuration'!$C$29</f>
        <v/>
      </c>
      <c r="AJ39" t="inlineStr"/>
      <c r="AK39">
        <f>IF(Tab_Def_Flows[[#This Row],[ODYM_time_(t)]],"t,","")&amp;IF(Tab_Def_Flows[[#This Row],[ODYM_Region_(r)]],"r,","")&amp;IF(Tab_Def_Flows[[#This Row],[ODYM_process_(p)]],"p,","")&amp;IF(Tab_Def_Flows[[#This Row],[ODYM_Good_(g)2]],"g,","")&amp;IF(Tab_Def_Flows[[#This Row],[ODYM_material_(m)]],"m,","")&amp;IF(Tab_Def_Flows[[#This Row],[ODYM_element_(e)]],"e","")</f>
        <v/>
      </c>
      <c r="AL39">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40">
      <c r="A40" t="b">
        <v>0</v>
      </c>
      <c r="B40">
        <f>ROW()-1</f>
        <v/>
      </c>
      <c r="C40">
        <f>"F_"&amp;LEFT(G40,2)&amp;"_"&amp;LEFT(I40,2)</f>
        <v/>
      </c>
      <c r="D40" t="inlineStr">
        <is>
          <t>MBC_(EoL)-Incineration_Emissions_C</t>
        </is>
      </c>
      <c r="F40" t="inlineStr">
        <is>
          <t>MBC-EoL_Incineration</t>
        </is>
      </c>
      <c r="G40">
        <f>_xlfn.XLOOKUP(F40,Tab_Def_Processes[Process_Name],Tab_Def_Processes[Process_ID],,0,)</f>
        <v/>
      </c>
      <c r="H40" t="inlineStr">
        <is>
          <t>Atmosphere</t>
        </is>
      </c>
      <c r="I40">
        <f>_xlfn.XLOOKUP(H40,Tab_Def_Processes[Process_Name],Tab_Def_Processes[Process_ID],,0,)</f>
        <v/>
      </c>
      <c r="J40" t="inlineStr">
        <is>
          <t>Yes</t>
        </is>
      </c>
      <c r="K40" t="inlineStr">
        <is>
          <t>Yes</t>
        </is>
      </c>
      <c r="M40" t="inlineStr">
        <is>
          <t>Yes</t>
        </is>
      </c>
      <c r="N40">
        <f>Tab_Def_Flows[[#This Row],[Flow_ID]]&amp;"_WC"</f>
        <v/>
      </c>
      <c r="Q40">
        <f>Tab_Def_Flows[[#This Row],[Flow_ID]]&amp;"_DM"</f>
        <v/>
      </c>
      <c r="T40">
        <f>Tab_Def_Flows[[#This Row],[Flow_ID]]&amp;"_CC"</f>
        <v/>
      </c>
      <c r="W40">
        <f>Tab_Def_Flows[[#This Row],[Flow_CC_DM'[%']]]*Tab_Def_Flows[[#This Row],[Flow_DM'[%']]]</f>
        <v/>
      </c>
      <c r="Y40">
        <f>'0_Configuration'!$C$2</f>
        <v/>
      </c>
      <c r="Z40" t="inlineStr"/>
      <c r="AA40">
        <f>'0_Configuration'!$C$6</f>
        <v/>
      </c>
      <c r="AB40" t="inlineStr"/>
      <c r="AC40">
        <f>'0_Configuration'!$C$10</f>
        <v/>
      </c>
      <c r="AD40" t="inlineStr"/>
      <c r="AE40">
        <f>'0_Configuration'!$C$17</f>
        <v/>
      </c>
      <c r="AF40">
        <f>_xlfn.XLOOKUP(Tab_Def_Flows[[#This Row],[ODYM_Good_Type]],Tab_Configuration[Value],Tab_Configuration[ODYM_ID],,0,)</f>
        <v/>
      </c>
      <c r="AG40">
        <f>'0_Configuration'!$C$24</f>
        <v/>
      </c>
      <c r="AH40" t="inlineStr"/>
      <c r="AI40">
        <f>'0_Configuration'!$C$29</f>
        <v/>
      </c>
      <c r="AJ40" t="inlineStr"/>
      <c r="AK40">
        <f>IF(Tab_Def_Flows[[#This Row],[ODYM_time_(t)]],"t,","")&amp;IF(Tab_Def_Flows[[#This Row],[ODYM_Region_(r)]],"r,","")&amp;IF(Tab_Def_Flows[[#This Row],[ODYM_process_(p)]],"p,","")&amp;IF(Tab_Def_Flows[[#This Row],[ODYM_Good_(g)2]],"g,","")&amp;IF(Tab_Def_Flows[[#This Row],[ODYM_material_(m)]],"m,","")&amp;IF(Tab_Def_Flows[[#This Row],[ODYM_element_(e)]],"e","")</f>
        <v/>
      </c>
      <c r="AL40">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41">
      <c r="A41" t="b">
        <v>0</v>
      </c>
      <c r="B41">
        <f>ROW()-1</f>
        <v/>
      </c>
      <c r="C41">
        <f>"F_"&amp;LEFT(G41,2)&amp;"_"&amp;LEFT(I41,2)</f>
        <v/>
      </c>
      <c r="D41" t="inlineStr">
        <is>
          <t>MBC_(EoL)-Incineration_Emissions_E</t>
        </is>
      </c>
      <c r="F41" t="inlineStr">
        <is>
          <t>MBC-EoL_Incineration</t>
        </is>
      </c>
      <c r="G41">
        <f>_xlfn.XLOOKUP(F41,Tab_Def_Processes[Process_Name],Tab_Def_Processes[Process_ID],,0,)</f>
        <v/>
      </c>
      <c r="H41" t="inlineStr">
        <is>
          <t>Environment</t>
        </is>
      </c>
      <c r="I41">
        <f>_xlfn.XLOOKUP(H41,Tab_Def_Processes[Process_Name],Tab_Def_Processes[Process_ID],,0,)</f>
        <v/>
      </c>
      <c r="J41" t="inlineStr">
        <is>
          <t>Yes</t>
        </is>
      </c>
      <c r="K41" t="inlineStr">
        <is>
          <t>Yes</t>
        </is>
      </c>
      <c r="M41" t="inlineStr">
        <is>
          <t>Yes</t>
        </is>
      </c>
      <c r="N41">
        <f>Tab_Def_Flows[[#This Row],[Flow_ID]]&amp;"_WC"</f>
        <v/>
      </c>
      <c r="Q41">
        <f>Tab_Def_Flows[[#This Row],[Flow_ID]]&amp;"_DM"</f>
        <v/>
      </c>
      <c r="T41">
        <f>Tab_Def_Flows[[#This Row],[Flow_ID]]&amp;"_CC"</f>
        <v/>
      </c>
      <c r="W41">
        <f>Tab_Def_Flows[[#This Row],[Flow_CC_DM'[%']]]*Tab_Def_Flows[[#This Row],[Flow_DM'[%']]]</f>
        <v/>
      </c>
      <c r="Y41">
        <f>'0_Configuration'!$C$2</f>
        <v/>
      </c>
      <c r="Z41" t="inlineStr"/>
      <c r="AA41">
        <f>'0_Configuration'!$C$6</f>
        <v/>
      </c>
      <c r="AB41" t="inlineStr"/>
      <c r="AC41">
        <f>'0_Configuration'!$C$10</f>
        <v/>
      </c>
      <c r="AD41" t="inlineStr"/>
      <c r="AE41">
        <f>'0_Configuration'!$C$17</f>
        <v/>
      </c>
      <c r="AF41">
        <f>_xlfn.XLOOKUP(Tab_Def_Flows[[#This Row],[ODYM_Good_Type]],Tab_Configuration[Value],Tab_Configuration[ODYM_ID],,0,)</f>
        <v/>
      </c>
      <c r="AG41">
        <f>'0_Configuration'!$C$24</f>
        <v/>
      </c>
      <c r="AH41" t="inlineStr"/>
      <c r="AI41">
        <f>'0_Configuration'!$C$29</f>
        <v/>
      </c>
      <c r="AJ41" t="inlineStr"/>
      <c r="AK41">
        <f>IF(Tab_Def_Flows[[#This Row],[ODYM_time_(t)]],"t,","")&amp;IF(Tab_Def_Flows[[#This Row],[ODYM_Region_(r)]],"r,","")&amp;IF(Tab_Def_Flows[[#This Row],[ODYM_process_(p)]],"p,","")&amp;IF(Tab_Def_Flows[[#This Row],[ODYM_Good_(g)2]],"g,","")&amp;IF(Tab_Def_Flows[[#This Row],[ODYM_material_(m)]],"m,","")&amp;IF(Tab_Def_Flows[[#This Row],[ODYM_element_(e)]],"e","")</f>
        <v/>
      </c>
      <c r="AL41">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42">
      <c r="A42" t="b">
        <v>0</v>
      </c>
      <c r="B42">
        <f>ROW()-1</f>
        <v/>
      </c>
      <c r="C42">
        <f>"F_"&amp;LEFT(G42,2)&amp;"_"&amp;LEFT(I42,2)</f>
        <v/>
      </c>
      <c r="D42" t="inlineStr">
        <is>
          <t>Biochar-Pyrolysis</t>
        </is>
      </c>
      <c r="F42" t="inlineStr">
        <is>
          <t>MBC-EoL_Pyrolysis</t>
        </is>
      </c>
      <c r="G42">
        <f>_xlfn.XLOOKUP(F42,Tab_Def_Processes[Process_Name],Tab_Def_Processes[Process_ID],,0,)</f>
        <v/>
      </c>
      <c r="H42" t="inlineStr">
        <is>
          <t>Lithosphere_Stock</t>
        </is>
      </c>
      <c r="I42">
        <f>_xlfn.XLOOKUP(H42,Tab_Def_Processes[Process_Name],Tab_Def_Processes[Process_ID],,0,)</f>
        <v/>
      </c>
      <c r="J42" t="inlineStr">
        <is>
          <t>Yes</t>
        </is>
      </c>
      <c r="K42" t="inlineStr">
        <is>
          <t>Yes</t>
        </is>
      </c>
      <c r="M42" t="inlineStr">
        <is>
          <t>Yes</t>
        </is>
      </c>
      <c r="N42">
        <f>Tab_Def_Flows[[#This Row],[Flow_ID]]&amp;"_WC"</f>
        <v/>
      </c>
      <c r="Q42">
        <f>Tab_Def_Flows[[#This Row],[Flow_ID]]&amp;"_DM"</f>
        <v/>
      </c>
      <c r="T42">
        <f>Tab_Def_Flows[[#This Row],[Flow_ID]]&amp;"_CC"</f>
        <v/>
      </c>
      <c r="W42">
        <f>Tab_Def_Flows[[#This Row],[Flow_CC_DM'[%']]]*Tab_Def_Flows[[#This Row],[Flow_DM'[%']]]</f>
        <v/>
      </c>
      <c r="Y42">
        <f>'0_Configuration'!$C$2</f>
        <v/>
      </c>
      <c r="Z42" t="inlineStr"/>
      <c r="AA42">
        <f>'0_Configuration'!$C$6</f>
        <v/>
      </c>
      <c r="AB42" t="inlineStr"/>
      <c r="AC42">
        <f>'0_Configuration'!$C$10</f>
        <v/>
      </c>
      <c r="AD42" t="inlineStr"/>
      <c r="AE42">
        <f>'0_Configuration'!$C$17</f>
        <v/>
      </c>
      <c r="AF42">
        <f>_xlfn.XLOOKUP(Tab_Def_Flows[[#This Row],[ODYM_Good_Type]],Tab_Configuration[Value],Tab_Configuration[ODYM_ID],,0,)</f>
        <v/>
      </c>
      <c r="AG42">
        <f>'0_Configuration'!$C$24</f>
        <v/>
      </c>
      <c r="AH42" t="inlineStr"/>
      <c r="AI42">
        <f>'0_Configuration'!$C$29</f>
        <v/>
      </c>
      <c r="AJ42" t="inlineStr"/>
      <c r="AK42">
        <f>IF(Tab_Def_Flows[[#This Row],[ODYM_time_(t)]],"t,","")&amp;IF(Tab_Def_Flows[[#This Row],[ODYM_Region_(r)]],"r,","")&amp;IF(Tab_Def_Flows[[#This Row],[ODYM_process_(p)]],"p,","")&amp;IF(Tab_Def_Flows[[#This Row],[ODYM_Good_(g)2]],"g,","")&amp;IF(Tab_Def_Flows[[#This Row],[ODYM_material_(m)]],"m,","")&amp;IF(Tab_Def_Flows[[#This Row],[ODYM_element_(e)]],"e","")</f>
        <v/>
      </c>
      <c r="AL42">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43">
      <c r="A43" t="b">
        <v>0</v>
      </c>
      <c r="B43">
        <f>ROW()-1</f>
        <v/>
      </c>
      <c r="C43">
        <f>"F_"&amp;LEFT(G43,2)&amp;"_"&amp;LEFT(I43,2)</f>
        <v/>
      </c>
      <c r="D43" t="inlineStr">
        <is>
          <t>MBC_(EoL)-Incineration_Ash</t>
        </is>
      </c>
      <c r="F43" t="inlineStr">
        <is>
          <t>MBC-EoL_Incineration</t>
        </is>
      </c>
      <c r="G43">
        <f>_xlfn.XLOOKUP(F43,Tab_Def_Processes[Process_Name],Tab_Def_Processes[Process_ID],,0,)</f>
        <v/>
      </c>
      <c r="H43" t="inlineStr">
        <is>
          <t>Ash_Treatment</t>
        </is>
      </c>
      <c r="I43">
        <f>_xlfn.XLOOKUP(H43,Tab_Def_Processes[Process_Name],Tab_Def_Processes[Process_ID],,0,)</f>
        <v/>
      </c>
      <c r="J43" t="inlineStr">
        <is>
          <t>Yes</t>
        </is>
      </c>
      <c r="K43" t="inlineStr">
        <is>
          <t>Yes</t>
        </is>
      </c>
      <c r="M43" t="inlineStr">
        <is>
          <t>Yes</t>
        </is>
      </c>
      <c r="N43">
        <f>Tab_Def_Flows[[#This Row],[Flow_ID]]&amp;"_WC"</f>
        <v/>
      </c>
      <c r="Q43">
        <f>Tab_Def_Flows[[#This Row],[Flow_ID]]&amp;"_DM"</f>
        <v/>
      </c>
      <c r="T43">
        <f>Tab_Def_Flows[[#This Row],[Flow_ID]]&amp;"_CC"</f>
        <v/>
      </c>
      <c r="W43">
        <f>Tab_Def_Flows[[#This Row],[Flow_CC_DM'[%']]]*Tab_Def_Flows[[#This Row],[Flow_DM'[%']]]</f>
        <v/>
      </c>
      <c r="Y43">
        <f>'0_Configuration'!$C$2</f>
        <v/>
      </c>
      <c r="Z43" t="inlineStr"/>
      <c r="AA43">
        <f>'0_Configuration'!$C$6</f>
        <v/>
      </c>
      <c r="AB43" t="inlineStr"/>
      <c r="AC43">
        <f>'0_Configuration'!$C$10</f>
        <v/>
      </c>
      <c r="AD43" t="inlineStr"/>
      <c r="AE43">
        <f>'0_Configuration'!$C$17</f>
        <v/>
      </c>
      <c r="AF43">
        <f>_xlfn.XLOOKUP(Tab_Def_Flows[[#This Row],[ODYM_Good_Type]],Tab_Configuration[Value],Tab_Configuration[ODYM_ID],,0,)</f>
        <v/>
      </c>
      <c r="AG43">
        <f>'0_Configuration'!$C$24</f>
        <v/>
      </c>
      <c r="AH43" t="inlineStr"/>
      <c r="AI43">
        <f>'0_Configuration'!$C$29</f>
        <v/>
      </c>
      <c r="AJ43" t="inlineStr"/>
      <c r="AK43">
        <f>IF(Tab_Def_Flows[[#This Row],[ODYM_time_(t)]],"t,","")&amp;IF(Tab_Def_Flows[[#This Row],[ODYM_Region_(r)]],"r,","")&amp;IF(Tab_Def_Flows[[#This Row],[ODYM_process_(p)]],"p,","")&amp;IF(Tab_Def_Flows[[#This Row],[ODYM_Good_(g)2]],"g,","")&amp;IF(Tab_Def_Flows[[#This Row],[ODYM_material_(m)]],"m,","")&amp;IF(Tab_Def_Flows[[#This Row],[ODYM_element_(e)]],"e","")</f>
        <v/>
      </c>
      <c r="AL43">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44">
      <c r="A44" t="b">
        <v>0</v>
      </c>
      <c r="B44">
        <f>ROW()-1</f>
        <v/>
      </c>
      <c r="C44">
        <f>"F_"&amp;LEFT(G44,2)&amp;"_"&amp;LEFT(I44,2)</f>
        <v/>
      </c>
      <c r="D44" t="inlineStr">
        <is>
          <t>MBC_(EoL)-Incineration_Emissions_C</t>
        </is>
      </c>
      <c r="F44" t="inlineStr">
        <is>
          <t>MBC-EoL_Incineration</t>
        </is>
      </c>
      <c r="G44">
        <f>_xlfn.XLOOKUP(F44,Tab_Def_Processes[Process_Name],Tab_Def_Processes[Process_ID],,0,)</f>
        <v/>
      </c>
      <c r="H44" t="inlineStr">
        <is>
          <t>Atmosphere</t>
        </is>
      </c>
      <c r="I44">
        <f>_xlfn.XLOOKUP(H44,Tab_Def_Processes[Process_Name],Tab_Def_Processes[Process_ID],,0,)</f>
        <v/>
      </c>
      <c r="J44" t="inlineStr">
        <is>
          <t>Yes</t>
        </is>
      </c>
      <c r="K44" t="inlineStr">
        <is>
          <t>Yes</t>
        </is>
      </c>
      <c r="M44" t="inlineStr">
        <is>
          <t>Yes</t>
        </is>
      </c>
      <c r="N44">
        <f>Tab_Def_Flows[[#This Row],[Flow_ID]]&amp;"_WC"</f>
        <v/>
      </c>
      <c r="Q44">
        <f>Tab_Def_Flows[[#This Row],[Flow_ID]]&amp;"_DM"</f>
        <v/>
      </c>
      <c r="T44">
        <f>Tab_Def_Flows[[#This Row],[Flow_ID]]&amp;"_CC"</f>
        <v/>
      </c>
      <c r="W44">
        <f>Tab_Def_Flows[[#This Row],[Flow_CC_DM'[%']]]*Tab_Def_Flows[[#This Row],[Flow_DM'[%']]]</f>
        <v/>
      </c>
      <c r="Y44">
        <f>'0_Configuration'!$C$2</f>
        <v/>
      </c>
      <c r="Z44" t="inlineStr"/>
      <c r="AA44">
        <f>'0_Configuration'!$C$6</f>
        <v/>
      </c>
      <c r="AB44" t="inlineStr"/>
      <c r="AC44">
        <f>'0_Configuration'!$C$10</f>
        <v/>
      </c>
      <c r="AD44" t="inlineStr"/>
      <c r="AE44">
        <f>'0_Configuration'!$C$17</f>
        <v/>
      </c>
      <c r="AF44">
        <f>_xlfn.XLOOKUP(Tab_Def_Flows[[#This Row],[ODYM_Good_Type]],Tab_Configuration[Value],Tab_Configuration[ODYM_ID],,0,)</f>
        <v/>
      </c>
      <c r="AG44">
        <f>'0_Configuration'!$C$24</f>
        <v/>
      </c>
      <c r="AH44" t="inlineStr"/>
      <c r="AI44">
        <f>'0_Configuration'!$C$29</f>
        <v/>
      </c>
      <c r="AJ44" t="inlineStr"/>
      <c r="AK44">
        <f>IF(Tab_Def_Flows[[#This Row],[ODYM_time_(t)]],"t,","")&amp;IF(Tab_Def_Flows[[#This Row],[ODYM_Region_(r)]],"r,","")&amp;IF(Tab_Def_Flows[[#This Row],[ODYM_process_(p)]],"p,","")&amp;IF(Tab_Def_Flows[[#This Row],[ODYM_Good_(g)2]],"g,","")&amp;IF(Tab_Def_Flows[[#This Row],[ODYM_material_(m)]],"m,","")&amp;IF(Tab_Def_Flows[[#This Row],[ODYM_element_(e)]],"e","")</f>
        <v/>
      </c>
      <c r="AL44">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45">
      <c r="A45" t="b">
        <v>0</v>
      </c>
      <c r="B45">
        <f>ROW()-1</f>
        <v/>
      </c>
      <c r="C45">
        <f>"F_"&amp;LEFT(G45,2)&amp;"_"&amp;LEFT(I45,2)</f>
        <v/>
      </c>
      <c r="D45" t="inlineStr">
        <is>
          <t>MBC_(EoL)-Incineration_Emissions_E</t>
        </is>
      </c>
      <c r="F45" t="inlineStr">
        <is>
          <t>MBC-EoL_Incineration</t>
        </is>
      </c>
      <c r="G45">
        <f>_xlfn.XLOOKUP(F45,Tab_Def_Processes[Process_Name],Tab_Def_Processes[Process_ID],,0,)</f>
        <v/>
      </c>
      <c r="H45" t="inlineStr">
        <is>
          <t>Environment</t>
        </is>
      </c>
      <c r="I45">
        <f>_xlfn.XLOOKUP(H45,Tab_Def_Processes[Process_Name],Tab_Def_Processes[Process_ID],,0,)</f>
        <v/>
      </c>
      <c r="J45" t="inlineStr">
        <is>
          <t>Yes</t>
        </is>
      </c>
      <c r="K45" t="inlineStr">
        <is>
          <t>Yes</t>
        </is>
      </c>
      <c r="M45" t="inlineStr">
        <is>
          <t>Yes</t>
        </is>
      </c>
      <c r="N45">
        <f>Tab_Def_Flows[[#This Row],[Flow_ID]]&amp;"_WC"</f>
        <v/>
      </c>
      <c r="Q45">
        <f>Tab_Def_Flows[[#This Row],[Flow_ID]]&amp;"_DM"</f>
        <v/>
      </c>
      <c r="T45">
        <f>Tab_Def_Flows[[#This Row],[Flow_ID]]&amp;"_CC"</f>
        <v/>
      </c>
      <c r="W45">
        <f>Tab_Def_Flows[[#This Row],[Flow_CC_DM'[%']]]*Tab_Def_Flows[[#This Row],[Flow_DM'[%']]]</f>
        <v/>
      </c>
      <c r="Y45">
        <f>'0_Configuration'!$C$2</f>
        <v/>
      </c>
      <c r="Z45" t="inlineStr"/>
      <c r="AA45">
        <f>'0_Configuration'!$C$6</f>
        <v/>
      </c>
      <c r="AB45" t="inlineStr"/>
      <c r="AC45">
        <f>'0_Configuration'!$C$10</f>
        <v/>
      </c>
      <c r="AD45" t="inlineStr"/>
      <c r="AE45">
        <f>'0_Configuration'!$C$17</f>
        <v/>
      </c>
      <c r="AF45">
        <f>_xlfn.XLOOKUP(Tab_Def_Flows[[#This Row],[ODYM_Good_Type]],Tab_Configuration[Value],Tab_Configuration[ODYM_ID],,0,)</f>
        <v/>
      </c>
      <c r="AG45">
        <f>'0_Configuration'!$C$24</f>
        <v/>
      </c>
      <c r="AH45" t="inlineStr"/>
      <c r="AI45">
        <f>'0_Configuration'!$C$29</f>
        <v/>
      </c>
      <c r="AJ45" t="inlineStr"/>
      <c r="AK45">
        <f>IF(Tab_Def_Flows[[#This Row],[ODYM_time_(t)]],"t,","")&amp;IF(Tab_Def_Flows[[#This Row],[ODYM_Region_(r)]],"r,","")&amp;IF(Tab_Def_Flows[[#This Row],[ODYM_process_(p)]],"p,","")&amp;IF(Tab_Def_Flows[[#This Row],[ODYM_Good_(g)2]],"g,","")&amp;IF(Tab_Def_Flows[[#This Row],[ODYM_material_(m)]],"m,","")&amp;IF(Tab_Def_Flows[[#This Row],[ODYM_element_(e)]],"e","")</f>
        <v/>
      </c>
      <c r="AL45">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46">
      <c r="A46" t="b">
        <v>0</v>
      </c>
      <c r="B46">
        <f>ROW()-1</f>
        <v/>
      </c>
      <c r="C46">
        <f>"F_"&amp;LEFT(G46,2)&amp;"_"&amp;LEFT(I46,2)</f>
        <v/>
      </c>
      <c r="D46" t="inlineStr">
        <is>
          <t>Biochar-Pyrolysis</t>
        </is>
      </c>
      <c r="F46" t="inlineStr">
        <is>
          <t>MBC-EoL_Pyrolysis</t>
        </is>
      </c>
      <c r="G46">
        <f>_xlfn.XLOOKUP(F46,Tab_Def_Processes[Process_Name],Tab_Def_Processes[Process_ID],,0,)</f>
        <v/>
      </c>
      <c r="H46" t="inlineStr">
        <is>
          <t>Lithosphere_Stock</t>
        </is>
      </c>
      <c r="I46">
        <f>_xlfn.XLOOKUP(H46,Tab_Def_Processes[Process_Name],Tab_Def_Processes[Process_ID],,0,)</f>
        <v/>
      </c>
      <c r="J46" t="inlineStr">
        <is>
          <t>Yes</t>
        </is>
      </c>
      <c r="K46" t="inlineStr">
        <is>
          <t>Yes</t>
        </is>
      </c>
      <c r="M46" t="inlineStr">
        <is>
          <t>Yes</t>
        </is>
      </c>
      <c r="N46">
        <f>Tab_Def_Flows[[#This Row],[Flow_ID]]&amp;"_WC"</f>
        <v/>
      </c>
      <c r="Q46">
        <f>Tab_Def_Flows[[#This Row],[Flow_ID]]&amp;"_DM"</f>
        <v/>
      </c>
      <c r="T46">
        <f>Tab_Def_Flows[[#This Row],[Flow_ID]]&amp;"_CC"</f>
        <v/>
      </c>
      <c r="W46">
        <f>Tab_Def_Flows[[#This Row],[Flow_CC_DM'[%']]]*Tab_Def_Flows[[#This Row],[Flow_DM'[%']]]</f>
        <v/>
      </c>
      <c r="Y46">
        <f>'0_Configuration'!$C$2</f>
        <v/>
      </c>
      <c r="Z46" t="inlineStr"/>
      <c r="AA46">
        <f>'0_Configuration'!$C$6</f>
        <v/>
      </c>
      <c r="AB46" t="inlineStr"/>
      <c r="AC46">
        <f>'0_Configuration'!$C$10</f>
        <v/>
      </c>
      <c r="AD46" t="inlineStr"/>
      <c r="AE46">
        <f>'0_Configuration'!$C$17</f>
        <v/>
      </c>
      <c r="AF46">
        <f>_xlfn.XLOOKUP(Tab_Def_Flows[[#This Row],[ODYM_Good_Type]],Tab_Configuration[Value],Tab_Configuration[ODYM_ID],,0,)</f>
        <v/>
      </c>
      <c r="AG46">
        <f>'0_Configuration'!$C$24</f>
        <v/>
      </c>
      <c r="AH46" t="inlineStr"/>
      <c r="AI46">
        <f>'0_Configuration'!$C$29</f>
        <v/>
      </c>
      <c r="AJ46" t="inlineStr"/>
      <c r="AK46">
        <f>IF(Tab_Def_Flows[[#This Row],[ODYM_time_(t)]],"t,","")&amp;IF(Tab_Def_Flows[[#This Row],[ODYM_Region_(r)]],"r,","")&amp;IF(Tab_Def_Flows[[#This Row],[ODYM_process_(p)]],"p,","")&amp;IF(Tab_Def_Flows[[#This Row],[ODYM_Good_(g)2]],"g,","")&amp;IF(Tab_Def_Flows[[#This Row],[ODYM_material_(m)]],"m,","")&amp;IF(Tab_Def_Flows[[#This Row],[ODYM_element_(e)]],"e","")</f>
        <v/>
      </c>
      <c r="AL46">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47">
      <c r="A47" t="b">
        <v>0</v>
      </c>
      <c r="B47">
        <f>ROW()-1</f>
        <v/>
      </c>
      <c r="C47">
        <f>"F_"&amp;LEFT(G47,2)&amp;"_"&amp;LEFT(I47,2)</f>
        <v/>
      </c>
      <c r="D47" t="inlineStr">
        <is>
          <t>Pyrolysis_Emissions_C</t>
        </is>
      </c>
      <c r="F47" t="inlineStr">
        <is>
          <t>MBC-EoL_Pyrolysis</t>
        </is>
      </c>
      <c r="G47">
        <f>_xlfn.XLOOKUP(F47,Tab_Def_Processes[Process_Name],Tab_Def_Processes[Process_ID],,0,)</f>
        <v/>
      </c>
      <c r="H47" t="inlineStr">
        <is>
          <t>Atmosphere</t>
        </is>
      </c>
      <c r="I47">
        <f>_xlfn.XLOOKUP(H47,Tab_Def_Processes[Process_Name],Tab_Def_Processes[Process_ID],,0,)</f>
        <v/>
      </c>
      <c r="J47" t="inlineStr">
        <is>
          <t>Yes</t>
        </is>
      </c>
      <c r="K47" t="inlineStr">
        <is>
          <t>Yes</t>
        </is>
      </c>
      <c r="M47" t="inlineStr">
        <is>
          <t>Yes</t>
        </is>
      </c>
      <c r="N47">
        <f>Tab_Def_Flows[[#This Row],[Flow_ID]]&amp;"_WC"</f>
        <v/>
      </c>
      <c r="Q47">
        <f>Tab_Def_Flows[[#This Row],[Flow_ID]]&amp;"_DM"</f>
        <v/>
      </c>
      <c r="T47">
        <f>Tab_Def_Flows[[#This Row],[Flow_ID]]&amp;"_CC"</f>
        <v/>
      </c>
      <c r="W47">
        <f>Tab_Def_Flows[[#This Row],[Flow_CC_DM'[%']]]*Tab_Def_Flows[[#This Row],[Flow_DM'[%']]]</f>
        <v/>
      </c>
      <c r="Y47">
        <f>'0_Configuration'!$C$2</f>
        <v/>
      </c>
      <c r="Z47" t="inlineStr"/>
      <c r="AA47">
        <f>'0_Configuration'!$C$6</f>
        <v/>
      </c>
      <c r="AB47" t="inlineStr"/>
      <c r="AC47">
        <f>'0_Configuration'!$C$10</f>
        <v/>
      </c>
      <c r="AD47" t="inlineStr"/>
      <c r="AE47">
        <f>'0_Configuration'!$C$17</f>
        <v/>
      </c>
      <c r="AF47">
        <f>_xlfn.XLOOKUP(Tab_Def_Flows[[#This Row],[ODYM_Good_Type]],Tab_Configuration[Value],Tab_Configuration[ODYM_ID],,0,)</f>
        <v/>
      </c>
      <c r="AG47">
        <f>'0_Configuration'!$C$24</f>
        <v/>
      </c>
      <c r="AH47" t="inlineStr"/>
      <c r="AI47">
        <f>'0_Configuration'!$C$29</f>
        <v/>
      </c>
      <c r="AJ47" t="inlineStr"/>
      <c r="AK47">
        <f>IF(Tab_Def_Flows[[#This Row],[ODYM_time_(t)]],"t,","")&amp;IF(Tab_Def_Flows[[#This Row],[ODYM_Region_(r)]],"r,","")&amp;IF(Tab_Def_Flows[[#This Row],[ODYM_process_(p)]],"p,","")&amp;IF(Tab_Def_Flows[[#This Row],[ODYM_Good_(g)2]],"g,","")&amp;IF(Tab_Def_Flows[[#This Row],[ODYM_material_(m)]],"m,","")&amp;IF(Tab_Def_Flows[[#This Row],[ODYM_element_(e)]],"e","")</f>
        <v/>
      </c>
      <c r="AL47">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48">
      <c r="A48" t="b">
        <v>0</v>
      </c>
      <c r="B48">
        <f>ROW()-1</f>
        <v/>
      </c>
      <c r="C48">
        <f>"F_"&amp;LEFT(G48,2)&amp;"_"&amp;LEFT(I48,2)</f>
        <v/>
      </c>
      <c r="D48" t="inlineStr">
        <is>
          <t>Pyrolysis_Emissions_E</t>
        </is>
      </c>
      <c r="F48" t="inlineStr">
        <is>
          <t>MBC-EoL_Pyrolysis</t>
        </is>
      </c>
      <c r="G48">
        <f>_xlfn.XLOOKUP(F48,Tab_Def_Processes[Process_Name],Tab_Def_Processes[Process_ID],,0,)</f>
        <v/>
      </c>
      <c r="H48" t="inlineStr">
        <is>
          <t>Environment</t>
        </is>
      </c>
      <c r="I48">
        <f>_xlfn.XLOOKUP(H48,Tab_Def_Processes[Process_Name],Tab_Def_Processes[Process_ID],,0,)</f>
        <v/>
      </c>
      <c r="J48" t="inlineStr">
        <is>
          <t>Yes</t>
        </is>
      </c>
      <c r="K48" t="inlineStr">
        <is>
          <t>Yes</t>
        </is>
      </c>
      <c r="M48" t="inlineStr">
        <is>
          <t>Yes</t>
        </is>
      </c>
      <c r="N48">
        <f>Tab_Def_Flows[[#This Row],[Flow_ID]]&amp;"_WC"</f>
        <v/>
      </c>
      <c r="Q48">
        <f>Tab_Def_Flows[[#This Row],[Flow_ID]]&amp;"_DM"</f>
        <v/>
      </c>
      <c r="T48">
        <f>Tab_Def_Flows[[#This Row],[Flow_ID]]&amp;"_CC"</f>
        <v/>
      </c>
      <c r="W48">
        <f>Tab_Def_Flows[[#This Row],[Flow_CC_DM'[%']]]*Tab_Def_Flows[[#This Row],[Flow_DM'[%']]]</f>
        <v/>
      </c>
      <c r="Y48">
        <f>'0_Configuration'!$C$2</f>
        <v/>
      </c>
      <c r="Z48" t="inlineStr"/>
      <c r="AA48">
        <f>'0_Configuration'!$C$6</f>
        <v/>
      </c>
      <c r="AB48" t="inlineStr"/>
      <c r="AC48">
        <f>'0_Configuration'!$C$10</f>
        <v/>
      </c>
      <c r="AD48" t="inlineStr"/>
      <c r="AE48">
        <f>'0_Configuration'!$C$17</f>
        <v/>
      </c>
      <c r="AF48">
        <f>_xlfn.XLOOKUP(Tab_Def_Flows[[#This Row],[ODYM_Good_Type]],Tab_Configuration[Value],Tab_Configuration[ODYM_ID],,0,)</f>
        <v/>
      </c>
      <c r="AG48">
        <f>'0_Configuration'!$C$24</f>
        <v/>
      </c>
      <c r="AH48" t="inlineStr"/>
      <c r="AI48">
        <f>'0_Configuration'!$C$29</f>
        <v/>
      </c>
      <c r="AJ48" t="inlineStr"/>
      <c r="AK48">
        <f>IF(Tab_Def_Flows[[#This Row],[ODYM_time_(t)]],"t,","")&amp;IF(Tab_Def_Flows[[#This Row],[ODYM_Region_(r)]],"r,","")&amp;IF(Tab_Def_Flows[[#This Row],[ODYM_process_(p)]],"p,","")&amp;IF(Tab_Def_Flows[[#This Row],[ODYM_Good_(g)2]],"g,","")&amp;IF(Tab_Def_Flows[[#This Row],[ODYM_material_(m)]],"m,","")&amp;IF(Tab_Def_Flows[[#This Row],[ODYM_element_(e)]],"e","")</f>
        <v/>
      </c>
      <c r="AL48">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49">
      <c r="A49" t="b">
        <v>0</v>
      </c>
      <c r="B49">
        <f>ROW()-1</f>
        <v/>
      </c>
      <c r="C49">
        <f>"F_"&amp;LEFT(G49,2)&amp;"_"&amp;LEFT(I49,2)</f>
        <v/>
      </c>
      <c r="D49" t="inlineStr">
        <is>
          <t>Lithosphere_Emissions_C</t>
        </is>
      </c>
      <c r="F49" t="inlineStr">
        <is>
          <t>Lithosphere_Stock</t>
        </is>
      </c>
      <c r="G49">
        <f>_xlfn.XLOOKUP(F49,Tab_Def_Processes[Process_Name],Tab_Def_Processes[Process_ID],,0,)</f>
        <v/>
      </c>
      <c r="H49" t="inlineStr">
        <is>
          <t>Atmosphere</t>
        </is>
      </c>
      <c r="I49">
        <f>_xlfn.XLOOKUP(H49,Tab_Def_Processes[Process_Name],Tab_Def_Processes[Process_ID],,0,)</f>
        <v/>
      </c>
      <c r="J49" t="inlineStr">
        <is>
          <t>Yes</t>
        </is>
      </c>
      <c r="K49" t="inlineStr">
        <is>
          <t>Yes</t>
        </is>
      </c>
      <c r="M49" t="inlineStr">
        <is>
          <t>Yes</t>
        </is>
      </c>
      <c r="N49">
        <f>Tab_Def_Flows[[#This Row],[Flow_ID]]&amp;"_WC"</f>
        <v/>
      </c>
      <c r="Q49">
        <f>Tab_Def_Flows[[#This Row],[Flow_ID]]&amp;"_DM"</f>
        <v/>
      </c>
      <c r="T49">
        <f>Tab_Def_Flows[[#This Row],[Flow_ID]]&amp;"_CC"</f>
        <v/>
      </c>
      <c r="W49">
        <f>Tab_Def_Flows[[#This Row],[Flow_CC_DM'[%']]]*Tab_Def_Flows[[#This Row],[Flow_DM'[%']]]</f>
        <v/>
      </c>
      <c r="Y49">
        <f>'0_Configuration'!$C$2</f>
        <v/>
      </c>
      <c r="Z49" t="inlineStr"/>
      <c r="AA49">
        <f>'0_Configuration'!$C$6</f>
        <v/>
      </c>
      <c r="AB49" t="inlineStr"/>
      <c r="AC49">
        <f>'0_Configuration'!$C$10</f>
        <v/>
      </c>
      <c r="AD49" t="inlineStr"/>
      <c r="AE49">
        <f>'0_Configuration'!$C$17</f>
        <v/>
      </c>
      <c r="AF49">
        <f>_xlfn.XLOOKUP(Tab_Def_Flows[[#This Row],[ODYM_Good_Type]],Tab_Configuration[Value],Tab_Configuration[ODYM_ID],,0,)</f>
        <v/>
      </c>
      <c r="AG49">
        <f>'0_Configuration'!$C$24</f>
        <v/>
      </c>
      <c r="AH49" t="inlineStr"/>
      <c r="AI49">
        <f>'0_Configuration'!$C$29</f>
        <v/>
      </c>
      <c r="AJ49" t="inlineStr"/>
      <c r="AK49">
        <f>IF(Tab_Def_Flows[[#This Row],[ODYM_time_(t)]],"t,","")&amp;IF(Tab_Def_Flows[[#This Row],[ODYM_Region_(r)]],"r,","")&amp;IF(Tab_Def_Flows[[#This Row],[ODYM_process_(p)]],"p,","")&amp;IF(Tab_Def_Flows[[#This Row],[ODYM_Good_(g)2]],"g,","")&amp;IF(Tab_Def_Flows[[#This Row],[ODYM_material_(m)]],"m,","")&amp;IF(Tab_Def_Flows[[#This Row],[ODYM_element_(e)]],"e","")</f>
        <v/>
      </c>
      <c r="AL49">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50">
      <c r="A50" t="b">
        <v>0</v>
      </c>
      <c r="B50">
        <f>ROW()-1</f>
        <v/>
      </c>
      <c r="C50">
        <f>"F_"&amp;LEFT(G50,2)&amp;"_"&amp;LEFT(I50,2)</f>
        <v/>
      </c>
      <c r="D50" t="inlineStr">
        <is>
          <t>Lithosphere_Emissions_E</t>
        </is>
      </c>
      <c r="F50" t="inlineStr">
        <is>
          <t>Lithosphere_Stock</t>
        </is>
      </c>
      <c r="G50">
        <f>_xlfn.XLOOKUP(F50,Tab_Def_Processes[Process_Name],Tab_Def_Processes[Process_ID],,0,)</f>
        <v/>
      </c>
      <c r="H50" t="inlineStr">
        <is>
          <t>Environment</t>
        </is>
      </c>
      <c r="I50">
        <f>_xlfn.XLOOKUP(H50,Tab_Def_Processes[Process_Name],Tab_Def_Processes[Process_ID],,0,)</f>
        <v/>
      </c>
      <c r="J50" t="inlineStr">
        <is>
          <t>Yes</t>
        </is>
      </c>
      <c r="K50" t="inlineStr">
        <is>
          <t>Yes</t>
        </is>
      </c>
      <c r="M50" t="inlineStr">
        <is>
          <t>Yes</t>
        </is>
      </c>
      <c r="N50">
        <f>Tab_Def_Flows[[#This Row],[Flow_ID]]&amp;"_WC"</f>
        <v/>
      </c>
      <c r="Q50">
        <f>Tab_Def_Flows[[#This Row],[Flow_ID]]&amp;"_DM"</f>
        <v/>
      </c>
      <c r="T50">
        <f>Tab_Def_Flows[[#This Row],[Flow_ID]]&amp;"_CC"</f>
        <v/>
      </c>
      <c r="W50">
        <f>Tab_Def_Flows[[#This Row],[Flow_CC_DM'[%']]]*Tab_Def_Flows[[#This Row],[Flow_DM'[%']]]</f>
        <v/>
      </c>
      <c r="Y50">
        <f>'0_Configuration'!$C$2</f>
        <v/>
      </c>
      <c r="Z50" t="inlineStr"/>
      <c r="AA50">
        <f>'0_Configuration'!$C$6</f>
        <v/>
      </c>
      <c r="AB50" t="inlineStr"/>
      <c r="AC50">
        <f>'0_Configuration'!$C$10</f>
        <v/>
      </c>
      <c r="AD50" t="inlineStr"/>
      <c r="AE50">
        <f>'0_Configuration'!$C$17</f>
        <v/>
      </c>
      <c r="AF50">
        <f>_xlfn.XLOOKUP(Tab_Def_Flows[[#This Row],[ODYM_Good_Type]],Tab_Configuration[Value],Tab_Configuration[ODYM_ID],,0,)</f>
        <v/>
      </c>
      <c r="AG50">
        <f>'0_Configuration'!$C$24</f>
        <v/>
      </c>
      <c r="AH50" t="inlineStr"/>
      <c r="AI50">
        <f>'0_Configuration'!$C$29</f>
        <v/>
      </c>
      <c r="AJ50" t="inlineStr"/>
      <c r="AK50">
        <f>IF(Tab_Def_Flows[[#This Row],[ODYM_time_(t)]],"t,","")&amp;IF(Tab_Def_Flows[[#This Row],[ODYM_Region_(r)]],"r,","")&amp;IF(Tab_Def_Flows[[#This Row],[ODYM_process_(p)]],"p,","")&amp;IF(Tab_Def_Flows[[#This Row],[ODYM_Good_(g)2]],"g,","")&amp;IF(Tab_Def_Flows[[#This Row],[ODYM_material_(m)]],"m,","")&amp;IF(Tab_Def_Flows[[#This Row],[ODYM_element_(e)]],"e","")</f>
        <v/>
      </c>
      <c r="AL50">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51">
      <c r="A51" t="b">
        <v>0</v>
      </c>
      <c r="B51">
        <f>ROW()-1</f>
        <v/>
      </c>
      <c r="C51">
        <f>"F_"&amp;LEFT(G51,2)&amp;"_"&amp;LEFT(I51,2)</f>
        <v/>
      </c>
      <c r="D51" t="inlineStr">
        <is>
          <t>Ash-Incineration_Emissions_C</t>
        </is>
      </c>
      <c r="F51" t="inlineStr">
        <is>
          <t>Ash_Treatment</t>
        </is>
      </c>
      <c r="G51">
        <f>_xlfn.XLOOKUP(F51,Tab_Def_Processes[Process_Name],Tab_Def_Processes[Process_ID],,0,)</f>
        <v/>
      </c>
      <c r="H51" t="inlineStr">
        <is>
          <t>Atmosphere</t>
        </is>
      </c>
      <c r="I51">
        <f>_xlfn.XLOOKUP(H51,Tab_Def_Processes[Process_Name],Tab_Def_Processes[Process_ID],,0,)</f>
        <v/>
      </c>
      <c r="J51" t="inlineStr">
        <is>
          <t>Yes</t>
        </is>
      </c>
      <c r="K51" t="inlineStr">
        <is>
          <t>Yes</t>
        </is>
      </c>
      <c r="M51" t="inlineStr">
        <is>
          <t>Yes</t>
        </is>
      </c>
      <c r="N51">
        <f>Tab_Def_Flows[[#This Row],[Flow_ID]]&amp;"_WC"</f>
        <v/>
      </c>
      <c r="Q51">
        <f>Tab_Def_Flows[[#This Row],[Flow_ID]]&amp;"_DM"</f>
        <v/>
      </c>
      <c r="T51">
        <f>Tab_Def_Flows[[#This Row],[Flow_ID]]&amp;"_CC"</f>
        <v/>
      </c>
      <c r="W51">
        <f>Tab_Def_Flows[[#This Row],[Flow_CC_DM'[%']]]*Tab_Def_Flows[[#This Row],[Flow_DM'[%']]]</f>
        <v/>
      </c>
      <c r="Y51">
        <f>'0_Configuration'!$C$2</f>
        <v/>
      </c>
      <c r="Z51" t="inlineStr"/>
      <c r="AA51">
        <f>'0_Configuration'!$C$6</f>
        <v/>
      </c>
      <c r="AB51" t="inlineStr"/>
      <c r="AC51">
        <f>'0_Configuration'!$C$10</f>
        <v/>
      </c>
      <c r="AD51" t="inlineStr"/>
      <c r="AE51">
        <f>'0_Configuration'!$C$17</f>
        <v/>
      </c>
      <c r="AF51">
        <f>_xlfn.XLOOKUP(Tab_Def_Flows[[#This Row],[ODYM_Good_Type]],Tab_Configuration[Value],Tab_Configuration[ODYM_ID],,0,)</f>
        <v/>
      </c>
      <c r="AG51">
        <f>'0_Configuration'!$C$24</f>
        <v/>
      </c>
      <c r="AH51" t="inlineStr"/>
      <c r="AI51">
        <f>'0_Configuration'!$C$29</f>
        <v/>
      </c>
      <c r="AJ51" t="inlineStr"/>
      <c r="AK51">
        <f>IF(Tab_Def_Flows[[#This Row],[ODYM_time_(t)]],"t,","")&amp;IF(Tab_Def_Flows[[#This Row],[ODYM_Region_(r)]],"r,","")&amp;IF(Tab_Def_Flows[[#This Row],[ODYM_process_(p)]],"p,","")&amp;IF(Tab_Def_Flows[[#This Row],[ODYM_Good_(g)2]],"g,","")&amp;IF(Tab_Def_Flows[[#This Row],[ODYM_material_(m)]],"m,","")&amp;IF(Tab_Def_Flows[[#This Row],[ODYM_element_(e)]],"e","")</f>
        <v/>
      </c>
      <c r="AL51">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52">
      <c r="A52" t="b">
        <v>0</v>
      </c>
      <c r="B52">
        <f>ROW()-1</f>
        <v/>
      </c>
      <c r="C52">
        <f>"F_"&amp;LEFT(G52,2)&amp;"_"&amp;LEFT(I52,2)</f>
        <v/>
      </c>
      <c r="D52" t="inlineStr">
        <is>
          <t>Ash-Incineration_Emissions_E</t>
        </is>
      </c>
      <c r="F52" t="inlineStr">
        <is>
          <t>Ash_Treatment</t>
        </is>
      </c>
      <c r="G52">
        <f>_xlfn.XLOOKUP(F52,Tab_Def_Processes[Process_Name],Tab_Def_Processes[Process_ID],,0,)</f>
        <v/>
      </c>
      <c r="H52" t="inlineStr">
        <is>
          <t>Environment</t>
        </is>
      </c>
      <c r="I52">
        <f>_xlfn.XLOOKUP(H52,Tab_Def_Processes[Process_Name],Tab_Def_Processes[Process_ID],,0,)</f>
        <v/>
      </c>
      <c r="J52" t="inlineStr">
        <is>
          <t>Yes</t>
        </is>
      </c>
      <c r="K52" t="inlineStr">
        <is>
          <t>Yes</t>
        </is>
      </c>
      <c r="M52" t="inlineStr">
        <is>
          <t>Yes</t>
        </is>
      </c>
      <c r="N52">
        <f>Tab_Def_Flows[[#This Row],[Flow_ID]]&amp;"_WC"</f>
        <v/>
      </c>
      <c r="Q52">
        <f>Tab_Def_Flows[[#This Row],[Flow_ID]]&amp;"_DM"</f>
        <v/>
      </c>
      <c r="T52">
        <f>Tab_Def_Flows[[#This Row],[Flow_ID]]&amp;"_CC"</f>
        <v/>
      </c>
      <c r="W52">
        <f>Tab_Def_Flows[[#This Row],[Flow_CC_DM'[%']]]*Tab_Def_Flows[[#This Row],[Flow_DM'[%']]]</f>
        <v/>
      </c>
      <c r="Y52">
        <f>'0_Configuration'!$C$2</f>
        <v/>
      </c>
      <c r="Z52" t="inlineStr"/>
      <c r="AA52">
        <f>'0_Configuration'!$C$6</f>
        <v/>
      </c>
      <c r="AB52" t="inlineStr"/>
      <c r="AC52">
        <f>'0_Configuration'!$C$10</f>
        <v/>
      </c>
      <c r="AD52" t="inlineStr"/>
      <c r="AE52">
        <f>'0_Configuration'!$C$17</f>
        <v/>
      </c>
      <c r="AF52">
        <f>_xlfn.XLOOKUP(Tab_Def_Flows[[#This Row],[ODYM_Good_Type]],Tab_Configuration[Value],Tab_Configuration[ODYM_ID],,0,)</f>
        <v/>
      </c>
      <c r="AG52">
        <f>'0_Configuration'!$C$24</f>
        <v/>
      </c>
      <c r="AH52" t="inlineStr"/>
      <c r="AI52">
        <f>'0_Configuration'!$C$29</f>
        <v/>
      </c>
      <c r="AJ52" t="inlineStr"/>
      <c r="AK52">
        <f>IF(Tab_Def_Flows[[#This Row],[ODYM_time_(t)]],"t,","")&amp;IF(Tab_Def_Flows[[#This Row],[ODYM_Region_(r)]],"r,","")&amp;IF(Tab_Def_Flows[[#This Row],[ODYM_process_(p)]],"p,","")&amp;IF(Tab_Def_Flows[[#This Row],[ODYM_Good_(g)2]],"g,","")&amp;IF(Tab_Def_Flows[[#This Row],[ODYM_material_(m)]],"m,","")&amp;IF(Tab_Def_Flows[[#This Row],[ODYM_element_(e)]],"e","")</f>
        <v/>
      </c>
      <c r="AL52">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53">
      <c r="A53" t="b">
        <v>0</v>
      </c>
      <c r="B53">
        <f>ROW()-1</f>
        <v/>
      </c>
      <c r="C53">
        <f>"F_"&amp;LEFT(G53,2)&amp;"_"&amp;LEFT(I53,2)</f>
        <v/>
      </c>
      <c r="G53">
        <f>_xlfn.XLOOKUP(F53,Tab_Def_Processes[Process_Name],Tab_Def_Processes[Process_ID],,0,)</f>
        <v/>
      </c>
      <c r="I53">
        <f>_xlfn.XLOOKUP(H53,Tab_Def_Processes[Process_Name],Tab_Def_Processes[Process_ID],,0,)</f>
        <v/>
      </c>
      <c r="J53" t="inlineStr">
        <is>
          <t>Yes</t>
        </is>
      </c>
      <c r="K53" t="inlineStr">
        <is>
          <t>Yes</t>
        </is>
      </c>
      <c r="M53" t="inlineStr">
        <is>
          <t>Yes</t>
        </is>
      </c>
      <c r="N53">
        <f>Tab_Def_Flows[[#This Row],[Flow_ID]]&amp;"_WC"</f>
        <v/>
      </c>
      <c r="Q53">
        <f>Tab_Def_Flows[[#This Row],[Flow_ID]]&amp;"_DM"</f>
        <v/>
      </c>
      <c r="T53">
        <f>Tab_Def_Flows[[#This Row],[Flow_ID]]&amp;"_CC"</f>
        <v/>
      </c>
      <c r="W53">
        <f>Tab_Def_Flows[[#This Row],[Flow_CC_DM'[%']]]*Tab_Def_Flows[[#This Row],[Flow_DM'[%']]]</f>
        <v/>
      </c>
      <c r="Y53">
        <f>'0_Configuration'!$C$2</f>
        <v/>
      </c>
      <c r="Z53" t="inlineStr"/>
      <c r="AA53">
        <f>'0_Configuration'!$C$6</f>
        <v/>
      </c>
      <c r="AB53" t="inlineStr"/>
      <c r="AC53">
        <f>'0_Configuration'!$C$10</f>
        <v/>
      </c>
      <c r="AD53" t="inlineStr"/>
      <c r="AE53">
        <f>'0_Configuration'!$C$17</f>
        <v/>
      </c>
      <c r="AF53">
        <f>_xlfn.XLOOKUP(Tab_Def_Flows[[#This Row],[ODYM_Good_Type]],Tab_Configuration[Value],Tab_Configuration[ODYM_ID],,0,)</f>
        <v/>
      </c>
      <c r="AG53">
        <f>'0_Configuration'!$C$24</f>
        <v/>
      </c>
      <c r="AH53" t="inlineStr"/>
      <c r="AI53">
        <f>'0_Configuration'!$C$29</f>
        <v/>
      </c>
      <c r="AJ53" t="inlineStr"/>
      <c r="AK53">
        <f>IF(Tab_Def_Flows[[#This Row],[ODYM_time_(t)]],"t,","")&amp;IF(Tab_Def_Flows[[#This Row],[ODYM_Region_(r)]],"r,","")&amp;IF(Tab_Def_Flows[[#This Row],[ODYM_process_(p)]],"p,","")&amp;IF(Tab_Def_Flows[[#This Row],[ODYM_Good_(g)2]],"g,","")&amp;IF(Tab_Def_Flows[[#This Row],[ODYM_material_(m)]],"m,","")&amp;IF(Tab_Def_Flows[[#This Row],[ODYM_element_(e)]],"e","")</f>
        <v/>
      </c>
      <c r="AL53">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54">
      <c r="A54" t="b">
        <v>0</v>
      </c>
      <c r="B54">
        <f>ROW()-1</f>
        <v/>
      </c>
      <c r="C54">
        <f>"F_"&amp;LEFT(G54,2)&amp;"_"&amp;LEFT(I54,2)</f>
        <v/>
      </c>
      <c r="G54">
        <f>_xlfn.XLOOKUP(F54,Tab_Def_Processes[Process_Name],Tab_Def_Processes[Process_ID],,0,)</f>
        <v/>
      </c>
      <c r="I54">
        <f>_xlfn.XLOOKUP(H54,Tab_Def_Processes[Process_Name],Tab_Def_Processes[Process_ID],,0,)</f>
        <v/>
      </c>
      <c r="J54" t="inlineStr">
        <is>
          <t>Yes</t>
        </is>
      </c>
      <c r="K54" t="inlineStr">
        <is>
          <t>Yes</t>
        </is>
      </c>
      <c r="M54" t="inlineStr">
        <is>
          <t>Yes</t>
        </is>
      </c>
      <c r="N54">
        <f>Tab_Def_Flows[[#This Row],[Flow_ID]]&amp;"_WC"</f>
        <v/>
      </c>
      <c r="Q54">
        <f>Tab_Def_Flows[[#This Row],[Flow_ID]]&amp;"_DM"</f>
        <v/>
      </c>
      <c r="T54">
        <f>Tab_Def_Flows[[#This Row],[Flow_ID]]&amp;"_CC"</f>
        <v/>
      </c>
      <c r="W54">
        <f>Tab_Def_Flows[[#This Row],[Flow_CC_DM'[%']]]*Tab_Def_Flows[[#This Row],[Flow_DM'[%']]]</f>
        <v/>
      </c>
      <c r="Y54">
        <f>'0_Configuration'!$C$2</f>
        <v/>
      </c>
      <c r="Z54" t="inlineStr"/>
      <c r="AA54">
        <f>'0_Configuration'!$C$6</f>
        <v/>
      </c>
      <c r="AB54" t="inlineStr"/>
      <c r="AC54">
        <f>'0_Configuration'!$C$10</f>
        <v/>
      </c>
      <c r="AD54" t="inlineStr"/>
      <c r="AE54">
        <f>'0_Configuration'!$C$17</f>
        <v/>
      </c>
      <c r="AF54">
        <f>_xlfn.XLOOKUP(Tab_Def_Flows[[#This Row],[ODYM_Good_Type]],Tab_Configuration[Value],Tab_Configuration[ODYM_ID],,0,)</f>
        <v/>
      </c>
      <c r="AG54">
        <f>'0_Configuration'!$C$24</f>
        <v/>
      </c>
      <c r="AH54" t="inlineStr"/>
      <c r="AI54">
        <f>'0_Configuration'!$C$29</f>
        <v/>
      </c>
      <c r="AJ54" t="inlineStr"/>
      <c r="AK54">
        <f>IF(Tab_Def_Flows[[#This Row],[ODYM_time_(t)]],"t,","")&amp;IF(Tab_Def_Flows[[#This Row],[ODYM_Region_(r)]],"r,","")&amp;IF(Tab_Def_Flows[[#This Row],[ODYM_process_(p)]],"p,","")&amp;IF(Tab_Def_Flows[[#This Row],[ODYM_Good_(g)2]],"g,","")&amp;IF(Tab_Def_Flows[[#This Row],[ODYM_material_(m)]],"m,","")&amp;IF(Tab_Def_Flows[[#This Row],[ODYM_element_(e)]],"e","")</f>
        <v/>
      </c>
      <c r="AL54">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55">
      <c r="A55" t="b">
        <v>0</v>
      </c>
      <c r="B55">
        <f>ROW()-1</f>
        <v/>
      </c>
      <c r="C55">
        <f>"F_"&amp;LEFT(G55,2)&amp;"_"&amp;LEFT(I55,2)</f>
        <v/>
      </c>
      <c r="G55">
        <f>_xlfn.XLOOKUP(F55,Tab_Def_Processes[Process_Name],Tab_Def_Processes[Process_ID],,0,)</f>
        <v/>
      </c>
      <c r="I55">
        <f>_xlfn.XLOOKUP(H55,Tab_Def_Processes[Process_Name],Tab_Def_Processes[Process_ID],,0,)</f>
        <v/>
      </c>
      <c r="J55" t="inlineStr">
        <is>
          <t>Yes</t>
        </is>
      </c>
      <c r="K55" t="inlineStr">
        <is>
          <t>Yes</t>
        </is>
      </c>
      <c r="M55" t="inlineStr">
        <is>
          <t>Yes</t>
        </is>
      </c>
      <c r="N55">
        <f>Tab_Def_Flows[[#This Row],[Flow_ID]]&amp;"_WC"</f>
        <v/>
      </c>
      <c r="Q55">
        <f>Tab_Def_Flows[[#This Row],[Flow_ID]]&amp;"_DM"</f>
        <v/>
      </c>
      <c r="T55">
        <f>Tab_Def_Flows[[#This Row],[Flow_ID]]&amp;"_CC"</f>
        <v/>
      </c>
      <c r="W55">
        <f>Tab_Def_Flows[[#This Row],[Flow_CC_DM'[%']]]*Tab_Def_Flows[[#This Row],[Flow_DM'[%']]]</f>
        <v/>
      </c>
      <c r="Y55">
        <f>'0_Configuration'!$C$2</f>
        <v/>
      </c>
      <c r="Z55" t="inlineStr"/>
      <c r="AA55">
        <f>'0_Configuration'!$C$6</f>
        <v/>
      </c>
      <c r="AB55" t="inlineStr"/>
      <c r="AC55">
        <f>'0_Configuration'!$C$10</f>
        <v/>
      </c>
      <c r="AD55" t="inlineStr"/>
      <c r="AE55">
        <f>'0_Configuration'!$C$17</f>
        <v/>
      </c>
      <c r="AF55">
        <f>_xlfn.XLOOKUP(Tab_Def_Flows[[#This Row],[ODYM_Good_Type]],Tab_Configuration[Value],Tab_Configuration[ODYM_ID],,0,)</f>
        <v/>
      </c>
      <c r="AG55">
        <f>'0_Configuration'!$C$24</f>
        <v/>
      </c>
      <c r="AH55" t="inlineStr"/>
      <c r="AI55">
        <f>'0_Configuration'!$C$29</f>
        <v/>
      </c>
      <c r="AJ55" t="inlineStr"/>
      <c r="AK55">
        <f>IF(Tab_Def_Flows[[#This Row],[ODYM_time_(t)]],"t,","")&amp;IF(Tab_Def_Flows[[#This Row],[ODYM_Region_(r)]],"r,","")&amp;IF(Tab_Def_Flows[[#This Row],[ODYM_process_(p)]],"p,","")&amp;IF(Tab_Def_Flows[[#This Row],[ODYM_Good_(g)2]],"g,","")&amp;IF(Tab_Def_Flows[[#This Row],[ODYM_material_(m)]],"m,","")&amp;IF(Tab_Def_Flows[[#This Row],[ODYM_element_(e)]],"e","")</f>
        <v/>
      </c>
      <c r="AL55">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56">
      <c r="A56" t="b">
        <v>0</v>
      </c>
      <c r="B56">
        <f>ROW()-1</f>
        <v/>
      </c>
      <c r="C56">
        <f>"F_"&amp;LEFT(G56,2)&amp;"_"&amp;LEFT(I56,2)</f>
        <v/>
      </c>
      <c r="G56">
        <f>_xlfn.XLOOKUP(F56,Tab_Def_Processes[Process_Name],Tab_Def_Processes[Process_ID],,0,)</f>
        <v/>
      </c>
      <c r="I56">
        <f>_xlfn.XLOOKUP(H56,Tab_Def_Processes[Process_Name],Tab_Def_Processes[Process_ID],,0,)</f>
        <v/>
      </c>
      <c r="J56" t="inlineStr">
        <is>
          <t>Yes</t>
        </is>
      </c>
      <c r="K56" t="inlineStr">
        <is>
          <t>Yes</t>
        </is>
      </c>
      <c r="M56" t="inlineStr">
        <is>
          <t>Yes</t>
        </is>
      </c>
      <c r="N56">
        <f>Tab_Def_Flows[[#This Row],[Flow_ID]]&amp;"_WC"</f>
        <v/>
      </c>
      <c r="Q56">
        <f>Tab_Def_Flows[[#This Row],[Flow_ID]]&amp;"_DM"</f>
        <v/>
      </c>
      <c r="T56">
        <f>Tab_Def_Flows[[#This Row],[Flow_ID]]&amp;"_CC"</f>
        <v/>
      </c>
      <c r="W56">
        <f>Tab_Def_Flows[[#This Row],[Flow_CC_DM'[%']]]*Tab_Def_Flows[[#This Row],[Flow_DM'[%']]]</f>
        <v/>
      </c>
      <c r="Y56">
        <f>'0_Configuration'!$C$2</f>
        <v/>
      </c>
      <c r="Z56" t="inlineStr"/>
      <c r="AA56">
        <f>'0_Configuration'!$C$6</f>
        <v/>
      </c>
      <c r="AB56" t="inlineStr"/>
      <c r="AC56">
        <f>'0_Configuration'!$C$10</f>
        <v/>
      </c>
      <c r="AD56" t="inlineStr"/>
      <c r="AE56">
        <f>'0_Configuration'!$C$17</f>
        <v/>
      </c>
      <c r="AF56">
        <f>_xlfn.XLOOKUP(Tab_Def_Flows[[#This Row],[ODYM_Good_Type]],Tab_Configuration[Value],Tab_Configuration[ODYM_ID],,0,)</f>
        <v/>
      </c>
      <c r="AG56">
        <f>'0_Configuration'!$C$24</f>
        <v/>
      </c>
      <c r="AH56" t="inlineStr"/>
      <c r="AI56">
        <f>'0_Configuration'!$C$29</f>
        <v/>
      </c>
      <c r="AJ56" t="inlineStr"/>
      <c r="AK56">
        <f>IF(Tab_Def_Flows[[#This Row],[ODYM_time_(t)]],"t,","")&amp;IF(Tab_Def_Flows[[#This Row],[ODYM_Region_(r)]],"r,","")&amp;IF(Tab_Def_Flows[[#This Row],[ODYM_process_(p)]],"p,","")&amp;IF(Tab_Def_Flows[[#This Row],[ODYM_Good_(g)2]],"g,","")&amp;IF(Tab_Def_Flows[[#This Row],[ODYM_material_(m)]],"m,","")&amp;IF(Tab_Def_Flows[[#This Row],[ODYM_element_(e)]],"e","")</f>
        <v/>
      </c>
      <c r="AL56">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57">
      <c r="A57" t="b">
        <v>0</v>
      </c>
      <c r="B57">
        <f>ROW()-1</f>
        <v/>
      </c>
      <c r="C57">
        <f>"F_"&amp;LEFT(G57,2)&amp;"_"&amp;LEFT(I57,2)</f>
        <v/>
      </c>
      <c r="G57">
        <f>_xlfn.XLOOKUP(F57,Tab_Def_Processes[Process_Name],Tab_Def_Processes[Process_ID],,0,)</f>
        <v/>
      </c>
      <c r="I57">
        <f>_xlfn.XLOOKUP(H57,Tab_Def_Processes[Process_Name],Tab_Def_Processes[Process_ID],,0,)</f>
        <v/>
      </c>
      <c r="J57" t="inlineStr">
        <is>
          <t>Yes</t>
        </is>
      </c>
      <c r="K57" t="inlineStr">
        <is>
          <t>Yes</t>
        </is>
      </c>
      <c r="M57" t="inlineStr">
        <is>
          <t>Yes</t>
        </is>
      </c>
      <c r="N57">
        <f>Tab_Def_Flows[[#This Row],[Flow_ID]]&amp;"_WC"</f>
        <v/>
      </c>
      <c r="Q57">
        <f>Tab_Def_Flows[[#This Row],[Flow_ID]]&amp;"_DM"</f>
        <v/>
      </c>
      <c r="T57">
        <f>Tab_Def_Flows[[#This Row],[Flow_ID]]&amp;"_CC"</f>
        <v/>
      </c>
      <c r="W57">
        <f>Tab_Def_Flows[[#This Row],[Flow_CC_DM'[%']]]*Tab_Def_Flows[[#This Row],[Flow_DM'[%']]]</f>
        <v/>
      </c>
      <c r="Y57">
        <f>'0_Configuration'!$C$2</f>
        <v/>
      </c>
      <c r="Z57" t="inlineStr"/>
      <c r="AA57">
        <f>'0_Configuration'!$C$6</f>
        <v/>
      </c>
      <c r="AB57" t="inlineStr"/>
      <c r="AC57">
        <f>'0_Configuration'!$C$10</f>
        <v/>
      </c>
      <c r="AD57" t="inlineStr"/>
      <c r="AE57">
        <f>'0_Configuration'!$C$17</f>
        <v/>
      </c>
      <c r="AF57">
        <f>_xlfn.XLOOKUP(Tab_Def_Flows[[#This Row],[ODYM_Good_Type]],Tab_Configuration[Value],Tab_Configuration[ODYM_ID],,0,)</f>
        <v/>
      </c>
      <c r="AG57">
        <f>'0_Configuration'!$C$24</f>
        <v/>
      </c>
      <c r="AH57" t="inlineStr"/>
      <c r="AI57">
        <f>'0_Configuration'!$C$29</f>
        <v/>
      </c>
      <c r="AJ57" t="inlineStr"/>
      <c r="AK57">
        <f>IF(Tab_Def_Flows[[#This Row],[ODYM_time_(t)]],"t,","")&amp;IF(Tab_Def_Flows[[#This Row],[ODYM_Region_(r)]],"r,","")&amp;IF(Tab_Def_Flows[[#This Row],[ODYM_process_(p)]],"p,","")&amp;IF(Tab_Def_Flows[[#This Row],[ODYM_Good_(g)2]],"g,","")&amp;IF(Tab_Def_Flows[[#This Row],[ODYM_material_(m)]],"m,","")&amp;IF(Tab_Def_Flows[[#This Row],[ODYM_element_(e)]],"e","")</f>
        <v/>
      </c>
      <c r="AL57">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58">
      <c r="A58" t="b">
        <v>0</v>
      </c>
      <c r="B58">
        <f>ROW()-1</f>
        <v/>
      </c>
      <c r="C58">
        <f>"F_"&amp;LEFT(G58,2)&amp;"_"&amp;LEFT(I58,2)</f>
        <v/>
      </c>
      <c r="G58">
        <f>_xlfn.XLOOKUP(F58,Tab_Def_Processes[Process_Name],Tab_Def_Processes[Process_ID],,0,)</f>
        <v/>
      </c>
      <c r="I58">
        <f>_xlfn.XLOOKUP(H58,Tab_Def_Processes[Process_Name],Tab_Def_Processes[Process_ID],,0,)</f>
        <v/>
      </c>
      <c r="J58" t="inlineStr">
        <is>
          <t>Yes</t>
        </is>
      </c>
      <c r="K58" t="inlineStr">
        <is>
          <t>Yes</t>
        </is>
      </c>
      <c r="M58" t="inlineStr">
        <is>
          <t>Yes</t>
        </is>
      </c>
      <c r="N58">
        <f>Tab_Def_Flows[[#This Row],[Flow_ID]]&amp;"_WC"</f>
        <v/>
      </c>
      <c r="Q58">
        <f>Tab_Def_Flows[[#This Row],[Flow_ID]]&amp;"_DM"</f>
        <v/>
      </c>
      <c r="T58">
        <f>Tab_Def_Flows[[#This Row],[Flow_ID]]&amp;"_CC"</f>
        <v/>
      </c>
      <c r="W58">
        <f>Tab_Def_Flows[[#This Row],[Flow_CC_DM'[%']]]*Tab_Def_Flows[[#This Row],[Flow_DM'[%']]]</f>
        <v/>
      </c>
      <c r="Y58">
        <f>'0_Configuration'!$C$2</f>
        <v/>
      </c>
      <c r="Z58" t="inlineStr"/>
      <c r="AA58">
        <f>'0_Configuration'!$C$6</f>
        <v/>
      </c>
      <c r="AB58" t="inlineStr"/>
      <c r="AC58">
        <f>'0_Configuration'!$C$10</f>
        <v/>
      </c>
      <c r="AD58" t="inlineStr"/>
      <c r="AE58">
        <f>'0_Configuration'!$C$17</f>
        <v/>
      </c>
      <c r="AF58">
        <f>_xlfn.XLOOKUP(Tab_Def_Flows[[#This Row],[ODYM_Good_Type]],Tab_Configuration[Value],Tab_Configuration[ODYM_ID],,0,)</f>
        <v/>
      </c>
      <c r="AG58">
        <f>'0_Configuration'!$C$24</f>
        <v/>
      </c>
      <c r="AH58" t="inlineStr"/>
      <c r="AI58">
        <f>'0_Configuration'!$C$29</f>
        <v/>
      </c>
      <c r="AJ58" t="inlineStr"/>
      <c r="AK58">
        <f>IF(Tab_Def_Flows[[#This Row],[ODYM_time_(t)]],"t,","")&amp;IF(Tab_Def_Flows[[#This Row],[ODYM_Region_(r)]],"r,","")&amp;IF(Tab_Def_Flows[[#This Row],[ODYM_process_(p)]],"p,","")&amp;IF(Tab_Def_Flows[[#This Row],[ODYM_Good_(g)2]],"g,","")&amp;IF(Tab_Def_Flows[[#This Row],[ODYM_material_(m)]],"m,","")&amp;IF(Tab_Def_Flows[[#This Row],[ODYM_element_(e)]],"e","")</f>
        <v/>
      </c>
      <c r="AL58">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59">
      <c r="A59" t="b">
        <v>0</v>
      </c>
      <c r="B59">
        <f>ROW()-1</f>
        <v/>
      </c>
      <c r="C59">
        <f>"F_"&amp;LEFT(G59,2)&amp;"_"&amp;LEFT(I59,2)</f>
        <v/>
      </c>
      <c r="G59">
        <f>_xlfn.XLOOKUP(F59,Tab_Def_Processes[Process_Name],Tab_Def_Processes[Process_ID],,0,)</f>
        <v/>
      </c>
      <c r="I59">
        <f>_xlfn.XLOOKUP(H59,Tab_Def_Processes[Process_Name],Tab_Def_Processes[Process_ID],,0,)</f>
        <v/>
      </c>
      <c r="J59" t="inlineStr">
        <is>
          <t>Yes</t>
        </is>
      </c>
      <c r="K59" t="inlineStr">
        <is>
          <t>Yes</t>
        </is>
      </c>
      <c r="M59" t="inlineStr">
        <is>
          <t>Yes</t>
        </is>
      </c>
      <c r="N59">
        <f>Tab_Def_Flows[[#This Row],[Flow_ID]]&amp;"_WC"</f>
        <v/>
      </c>
      <c r="Q59">
        <f>Tab_Def_Flows[[#This Row],[Flow_ID]]&amp;"_DM"</f>
        <v/>
      </c>
      <c r="T59">
        <f>Tab_Def_Flows[[#This Row],[Flow_ID]]&amp;"_CC"</f>
        <v/>
      </c>
      <c r="W59">
        <f>Tab_Def_Flows[[#This Row],[Flow_CC_DM'[%']]]*Tab_Def_Flows[[#This Row],[Flow_DM'[%']]]</f>
        <v/>
      </c>
      <c r="Y59">
        <f>'0_Configuration'!$C$2</f>
        <v/>
      </c>
      <c r="Z59" t="inlineStr"/>
      <c r="AA59">
        <f>'0_Configuration'!$C$6</f>
        <v/>
      </c>
      <c r="AB59" t="inlineStr"/>
      <c r="AC59">
        <f>'0_Configuration'!$C$10</f>
        <v/>
      </c>
      <c r="AD59" t="inlineStr"/>
      <c r="AE59">
        <f>'0_Configuration'!$C$17</f>
        <v/>
      </c>
      <c r="AF59">
        <f>_xlfn.XLOOKUP(Tab_Def_Flows[[#This Row],[ODYM_Good_Type]],Tab_Configuration[Value],Tab_Configuration[ODYM_ID],,0,)</f>
        <v/>
      </c>
      <c r="AG59">
        <f>'0_Configuration'!$C$24</f>
        <v/>
      </c>
      <c r="AH59" t="inlineStr"/>
      <c r="AI59">
        <f>'0_Configuration'!$C$29</f>
        <v/>
      </c>
      <c r="AJ59" t="inlineStr"/>
      <c r="AK59">
        <f>IF(Tab_Def_Flows[[#This Row],[ODYM_time_(t)]],"t,","")&amp;IF(Tab_Def_Flows[[#This Row],[ODYM_Region_(r)]],"r,","")&amp;IF(Tab_Def_Flows[[#This Row],[ODYM_process_(p)]],"p,","")&amp;IF(Tab_Def_Flows[[#This Row],[ODYM_Good_(g)2]],"g,","")&amp;IF(Tab_Def_Flows[[#This Row],[ODYM_material_(m)]],"m,","")&amp;IF(Tab_Def_Flows[[#This Row],[ODYM_element_(e)]],"e","")</f>
        <v/>
      </c>
      <c r="AL59">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60">
      <c r="A60" t="b">
        <v>0</v>
      </c>
      <c r="B60">
        <f>ROW()-1</f>
        <v/>
      </c>
      <c r="C60">
        <f>"F_"&amp;LEFT(G60,2)&amp;"_"&amp;LEFT(I60,2)</f>
        <v/>
      </c>
      <c r="G60">
        <f>_xlfn.XLOOKUP(F60,Tab_Def_Processes[Process_Name],Tab_Def_Processes[Process_ID],,0,)</f>
        <v/>
      </c>
      <c r="I60">
        <f>_xlfn.XLOOKUP(H60,Tab_Def_Processes[Process_Name],Tab_Def_Processes[Process_ID],,0,)</f>
        <v/>
      </c>
      <c r="J60" t="inlineStr">
        <is>
          <t>Yes</t>
        </is>
      </c>
      <c r="K60" t="inlineStr">
        <is>
          <t>Yes</t>
        </is>
      </c>
      <c r="M60" t="inlineStr">
        <is>
          <t>Yes</t>
        </is>
      </c>
      <c r="N60">
        <f>Tab_Def_Flows[[#This Row],[Flow_ID]]&amp;"_WC"</f>
        <v/>
      </c>
      <c r="Q60">
        <f>Tab_Def_Flows[[#This Row],[Flow_ID]]&amp;"_DM"</f>
        <v/>
      </c>
      <c r="T60">
        <f>Tab_Def_Flows[[#This Row],[Flow_ID]]&amp;"_CC"</f>
        <v/>
      </c>
      <c r="W60">
        <f>Tab_Def_Flows[[#This Row],[Flow_CC_DM'[%']]]*Tab_Def_Flows[[#This Row],[Flow_DM'[%']]]</f>
        <v/>
      </c>
      <c r="Y60">
        <f>'0_Configuration'!$C$2</f>
        <v/>
      </c>
      <c r="Z60" t="inlineStr"/>
      <c r="AA60">
        <f>'0_Configuration'!$C$6</f>
        <v/>
      </c>
      <c r="AB60" t="inlineStr"/>
      <c r="AC60">
        <f>'0_Configuration'!$C$10</f>
        <v/>
      </c>
      <c r="AD60" t="inlineStr"/>
      <c r="AE60">
        <f>'0_Configuration'!$C$17</f>
        <v/>
      </c>
      <c r="AF60">
        <f>_xlfn.XLOOKUP(Tab_Def_Flows[[#This Row],[ODYM_Good_Type]],Tab_Configuration[Value],Tab_Configuration[ODYM_ID],,0,)</f>
        <v/>
      </c>
      <c r="AG60">
        <f>'0_Configuration'!$C$24</f>
        <v/>
      </c>
      <c r="AH60" t="inlineStr"/>
      <c r="AI60">
        <f>'0_Configuration'!$C$29</f>
        <v/>
      </c>
      <c r="AJ60" t="inlineStr"/>
      <c r="AK60">
        <f>IF(Tab_Def_Flows[[#This Row],[ODYM_time_(t)]],"t,","")&amp;IF(Tab_Def_Flows[[#This Row],[ODYM_Region_(r)]],"r,","")&amp;IF(Tab_Def_Flows[[#This Row],[ODYM_process_(p)]],"p,","")&amp;IF(Tab_Def_Flows[[#This Row],[ODYM_Good_(g)2]],"g,","")&amp;IF(Tab_Def_Flows[[#This Row],[ODYM_material_(m)]],"m,","")&amp;IF(Tab_Def_Flows[[#This Row],[ODYM_element_(e)]],"e","")</f>
        <v/>
      </c>
      <c r="AL60">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61">
      <c r="A61" t="b">
        <v>0</v>
      </c>
      <c r="B61">
        <f>ROW()-1</f>
        <v/>
      </c>
      <c r="C61">
        <f>"F_"&amp;LEFT(G61,2)&amp;"_"&amp;LEFT(I61,2)</f>
        <v/>
      </c>
      <c r="G61">
        <f>_xlfn.XLOOKUP(F61,Tab_Def_Processes[Process_Name],Tab_Def_Processes[Process_ID],,0,)</f>
        <v/>
      </c>
      <c r="I61">
        <f>_xlfn.XLOOKUP(H61,Tab_Def_Processes[Process_Name],Tab_Def_Processes[Process_ID],,0,)</f>
        <v/>
      </c>
      <c r="J61" t="inlineStr">
        <is>
          <t>Yes</t>
        </is>
      </c>
      <c r="K61" t="inlineStr">
        <is>
          <t>Yes</t>
        </is>
      </c>
      <c r="M61" t="inlineStr">
        <is>
          <t>Yes</t>
        </is>
      </c>
      <c r="N61">
        <f>Tab_Def_Flows[[#This Row],[Flow_ID]]&amp;"_WC"</f>
        <v/>
      </c>
      <c r="Q61">
        <f>Tab_Def_Flows[[#This Row],[Flow_ID]]&amp;"_DM"</f>
        <v/>
      </c>
      <c r="T61">
        <f>Tab_Def_Flows[[#This Row],[Flow_ID]]&amp;"_CC"</f>
        <v/>
      </c>
      <c r="W61">
        <f>Tab_Def_Flows[[#This Row],[Flow_CC_DM'[%']]]*Tab_Def_Flows[[#This Row],[Flow_DM'[%']]]</f>
        <v/>
      </c>
      <c r="Y61">
        <f>'0_Configuration'!$C$2</f>
        <v/>
      </c>
      <c r="Z61" t="inlineStr"/>
      <c r="AA61">
        <f>'0_Configuration'!$C$6</f>
        <v/>
      </c>
      <c r="AB61" t="inlineStr"/>
      <c r="AC61">
        <f>'0_Configuration'!$C$10</f>
        <v/>
      </c>
      <c r="AD61" t="inlineStr"/>
      <c r="AE61">
        <f>'0_Configuration'!$C$17</f>
        <v/>
      </c>
      <c r="AF61">
        <f>_xlfn.XLOOKUP(Tab_Def_Flows[[#This Row],[ODYM_Good_Type]],Tab_Configuration[Value],Tab_Configuration[ODYM_ID],,0,)</f>
        <v/>
      </c>
      <c r="AG61">
        <f>'0_Configuration'!$C$24</f>
        <v/>
      </c>
      <c r="AH61" t="inlineStr"/>
      <c r="AI61">
        <f>'0_Configuration'!$C$29</f>
        <v/>
      </c>
      <c r="AJ61" t="inlineStr"/>
      <c r="AK61">
        <f>IF(Tab_Def_Flows[[#This Row],[ODYM_time_(t)]],"t,","")&amp;IF(Tab_Def_Flows[[#This Row],[ODYM_Region_(r)]],"r,","")&amp;IF(Tab_Def_Flows[[#This Row],[ODYM_process_(p)]],"p,","")&amp;IF(Tab_Def_Flows[[#This Row],[ODYM_Good_(g)2]],"g,","")&amp;IF(Tab_Def_Flows[[#This Row],[ODYM_material_(m)]],"m,","")&amp;IF(Tab_Def_Flows[[#This Row],[ODYM_element_(e)]],"e","")</f>
        <v/>
      </c>
      <c r="AL61">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62">
      <c r="A62" t="b">
        <v>0</v>
      </c>
      <c r="B62">
        <f>ROW()-1</f>
        <v/>
      </c>
      <c r="C62">
        <f>"F_"&amp;LEFT(G62,2)&amp;"_"&amp;LEFT(I62,2)</f>
        <v/>
      </c>
      <c r="G62">
        <f>_xlfn.XLOOKUP(F62,Tab_Def_Processes[Process_Name],Tab_Def_Processes[Process_ID],,0,)</f>
        <v/>
      </c>
      <c r="I62">
        <f>_xlfn.XLOOKUP(H62,Tab_Def_Processes[Process_Name],Tab_Def_Processes[Process_ID],,0,)</f>
        <v/>
      </c>
      <c r="J62" t="inlineStr">
        <is>
          <t>Yes</t>
        </is>
      </c>
      <c r="K62" t="inlineStr">
        <is>
          <t>Yes</t>
        </is>
      </c>
      <c r="M62" t="inlineStr">
        <is>
          <t>Yes</t>
        </is>
      </c>
      <c r="N62">
        <f>Tab_Def_Flows[[#This Row],[Flow_ID]]&amp;"_WC"</f>
        <v/>
      </c>
      <c r="Q62">
        <f>Tab_Def_Flows[[#This Row],[Flow_ID]]&amp;"_DM"</f>
        <v/>
      </c>
      <c r="T62">
        <f>Tab_Def_Flows[[#This Row],[Flow_ID]]&amp;"_CC"</f>
        <v/>
      </c>
      <c r="W62">
        <f>Tab_Def_Flows[[#This Row],[Flow_CC_DM'[%']]]*Tab_Def_Flows[[#This Row],[Flow_DM'[%']]]</f>
        <v/>
      </c>
      <c r="Y62">
        <f>'0_Configuration'!$C$2</f>
        <v/>
      </c>
      <c r="Z62" t="inlineStr"/>
      <c r="AA62">
        <f>'0_Configuration'!$C$6</f>
        <v/>
      </c>
      <c r="AB62" t="inlineStr"/>
      <c r="AC62">
        <f>'0_Configuration'!$C$10</f>
        <v/>
      </c>
      <c r="AD62" t="inlineStr"/>
      <c r="AE62">
        <f>'0_Configuration'!$C$17</f>
        <v/>
      </c>
      <c r="AF62">
        <f>_xlfn.XLOOKUP(Tab_Def_Flows[[#This Row],[ODYM_Good_Type]],Tab_Configuration[Value],Tab_Configuration[ODYM_ID],,0,)</f>
        <v/>
      </c>
      <c r="AG62">
        <f>'0_Configuration'!$C$24</f>
        <v/>
      </c>
      <c r="AH62" t="inlineStr"/>
      <c r="AI62">
        <f>'0_Configuration'!$C$29</f>
        <v/>
      </c>
      <c r="AJ62" t="inlineStr"/>
      <c r="AK62">
        <f>IF(Tab_Def_Flows[[#This Row],[ODYM_time_(t)]],"t,","")&amp;IF(Tab_Def_Flows[[#This Row],[ODYM_Region_(r)]],"r,","")&amp;IF(Tab_Def_Flows[[#This Row],[ODYM_process_(p)]],"p,","")&amp;IF(Tab_Def_Flows[[#This Row],[ODYM_Good_(g)2]],"g,","")&amp;IF(Tab_Def_Flows[[#This Row],[ODYM_material_(m)]],"m,","")&amp;IF(Tab_Def_Flows[[#This Row],[ODYM_element_(e)]],"e","")</f>
        <v/>
      </c>
      <c r="AL62">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63">
      <c r="A63" t="b">
        <v>0</v>
      </c>
      <c r="B63">
        <f>ROW()-1</f>
        <v/>
      </c>
      <c r="C63">
        <f>"F_"&amp;LEFT(G63,2)&amp;"_"&amp;LEFT(I63,2)</f>
        <v/>
      </c>
      <c r="G63">
        <f>_xlfn.XLOOKUP(F63,Tab_Def_Processes[Process_Name],Tab_Def_Processes[Process_ID],,0,)</f>
        <v/>
      </c>
      <c r="I63">
        <f>_xlfn.XLOOKUP(H63,Tab_Def_Processes[Process_Name],Tab_Def_Processes[Process_ID],,0,)</f>
        <v/>
      </c>
      <c r="J63" t="inlineStr">
        <is>
          <t>Yes</t>
        </is>
      </c>
      <c r="K63" t="inlineStr">
        <is>
          <t>Yes</t>
        </is>
      </c>
      <c r="M63" t="inlineStr">
        <is>
          <t>Yes</t>
        </is>
      </c>
      <c r="N63">
        <f>Tab_Def_Flows[[#This Row],[Flow_ID]]&amp;"_WC"</f>
        <v/>
      </c>
      <c r="Q63">
        <f>Tab_Def_Flows[[#This Row],[Flow_ID]]&amp;"_DM"</f>
        <v/>
      </c>
      <c r="T63">
        <f>Tab_Def_Flows[[#This Row],[Flow_ID]]&amp;"_CC"</f>
        <v/>
      </c>
      <c r="W63">
        <f>Tab_Def_Flows[[#This Row],[Flow_CC_DM'[%']]]*Tab_Def_Flows[[#This Row],[Flow_DM'[%']]]</f>
        <v/>
      </c>
      <c r="Y63">
        <f>'0_Configuration'!$C$2</f>
        <v/>
      </c>
      <c r="Z63" t="inlineStr"/>
      <c r="AA63">
        <f>'0_Configuration'!$C$6</f>
        <v/>
      </c>
      <c r="AB63" t="inlineStr"/>
      <c r="AC63">
        <f>'0_Configuration'!$C$10</f>
        <v/>
      </c>
      <c r="AD63" t="inlineStr"/>
      <c r="AE63">
        <f>'0_Configuration'!$C$17</f>
        <v/>
      </c>
      <c r="AF63">
        <f>_xlfn.XLOOKUP(Tab_Def_Flows[[#This Row],[ODYM_Good_Type]],Tab_Configuration[Value],Tab_Configuration[ODYM_ID],,0,)</f>
        <v/>
      </c>
      <c r="AG63">
        <f>'0_Configuration'!$C$24</f>
        <v/>
      </c>
      <c r="AH63" t="inlineStr"/>
      <c r="AI63">
        <f>'0_Configuration'!$C$29</f>
        <v/>
      </c>
      <c r="AJ63" t="inlineStr"/>
      <c r="AK63">
        <f>IF(Tab_Def_Flows[[#This Row],[ODYM_time_(t)]],"t,","")&amp;IF(Tab_Def_Flows[[#This Row],[ODYM_Region_(r)]],"r,","")&amp;IF(Tab_Def_Flows[[#This Row],[ODYM_process_(p)]],"p,","")&amp;IF(Tab_Def_Flows[[#This Row],[ODYM_Good_(g)2]],"g,","")&amp;IF(Tab_Def_Flows[[#This Row],[ODYM_material_(m)]],"m,","")&amp;IF(Tab_Def_Flows[[#This Row],[ODYM_element_(e)]],"e","")</f>
        <v/>
      </c>
      <c r="AL63">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64">
      <c r="A64" t="b">
        <v>0</v>
      </c>
      <c r="B64">
        <f>ROW()-1</f>
        <v/>
      </c>
      <c r="C64">
        <f>"F_"&amp;LEFT(G64,2)&amp;"_"&amp;LEFT(I64,2)</f>
        <v/>
      </c>
      <c r="G64">
        <f>_xlfn.XLOOKUP(F64,Tab_Def_Processes[Process_Name],Tab_Def_Processes[Process_ID],,0,)</f>
        <v/>
      </c>
      <c r="I64">
        <f>_xlfn.XLOOKUP(H64,Tab_Def_Processes[Process_Name],Tab_Def_Processes[Process_ID],,0,)</f>
        <v/>
      </c>
      <c r="J64" t="inlineStr">
        <is>
          <t>Yes</t>
        </is>
      </c>
      <c r="K64" t="inlineStr">
        <is>
          <t>Yes</t>
        </is>
      </c>
      <c r="M64" t="inlineStr">
        <is>
          <t>Yes</t>
        </is>
      </c>
      <c r="N64">
        <f>Tab_Def_Flows[[#This Row],[Flow_ID]]&amp;"_WC"</f>
        <v/>
      </c>
      <c r="Q64">
        <f>Tab_Def_Flows[[#This Row],[Flow_ID]]&amp;"_DM"</f>
        <v/>
      </c>
      <c r="T64">
        <f>Tab_Def_Flows[[#This Row],[Flow_ID]]&amp;"_CC"</f>
        <v/>
      </c>
      <c r="W64">
        <f>Tab_Def_Flows[[#This Row],[Flow_CC_DM'[%']]]*Tab_Def_Flows[[#This Row],[Flow_DM'[%']]]</f>
        <v/>
      </c>
      <c r="Y64">
        <f>'0_Configuration'!$C$2</f>
        <v/>
      </c>
      <c r="Z64" t="inlineStr"/>
      <c r="AA64">
        <f>'0_Configuration'!$C$6</f>
        <v/>
      </c>
      <c r="AB64" t="inlineStr"/>
      <c r="AC64">
        <f>'0_Configuration'!$C$10</f>
        <v/>
      </c>
      <c r="AD64" t="inlineStr"/>
      <c r="AE64">
        <f>'0_Configuration'!$C$17</f>
        <v/>
      </c>
      <c r="AF64">
        <f>_xlfn.XLOOKUP(Tab_Def_Flows[[#This Row],[ODYM_Good_Type]],Tab_Configuration[Value],Tab_Configuration[ODYM_ID],,0,)</f>
        <v/>
      </c>
      <c r="AG64">
        <f>'0_Configuration'!$C$24</f>
        <v/>
      </c>
      <c r="AH64" t="inlineStr"/>
      <c r="AI64">
        <f>'0_Configuration'!$C$29</f>
        <v/>
      </c>
      <c r="AJ64" t="inlineStr"/>
      <c r="AK64">
        <f>IF(Tab_Def_Flows[[#This Row],[ODYM_time_(t)]],"t,","")&amp;IF(Tab_Def_Flows[[#This Row],[ODYM_Region_(r)]],"r,","")&amp;IF(Tab_Def_Flows[[#This Row],[ODYM_process_(p)]],"p,","")&amp;IF(Tab_Def_Flows[[#This Row],[ODYM_Good_(g)2]],"g,","")&amp;IF(Tab_Def_Flows[[#This Row],[ODYM_material_(m)]],"m,","")&amp;IF(Tab_Def_Flows[[#This Row],[ODYM_element_(e)]],"e","")</f>
        <v/>
      </c>
      <c r="AL64">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65">
      <c r="A65" t="b">
        <v>0</v>
      </c>
      <c r="B65">
        <f>ROW()-1</f>
        <v/>
      </c>
      <c r="C65">
        <f>"F_"&amp;LEFT(G65,2)&amp;"_"&amp;LEFT(I65,2)</f>
        <v/>
      </c>
      <c r="G65">
        <f>_xlfn.XLOOKUP(F65,Tab_Def_Processes[Process_Name],Tab_Def_Processes[Process_ID],,0,)</f>
        <v/>
      </c>
      <c r="I65">
        <f>_xlfn.XLOOKUP(H65,Tab_Def_Processes[Process_Name],Tab_Def_Processes[Process_ID],,0,)</f>
        <v/>
      </c>
      <c r="J65" t="inlineStr">
        <is>
          <t>Yes</t>
        </is>
      </c>
      <c r="K65" t="inlineStr">
        <is>
          <t>Yes</t>
        </is>
      </c>
      <c r="M65" t="inlineStr">
        <is>
          <t>Yes</t>
        </is>
      </c>
      <c r="N65">
        <f>Tab_Def_Flows[[#This Row],[Flow_ID]]&amp;"_WC"</f>
        <v/>
      </c>
      <c r="Q65">
        <f>Tab_Def_Flows[[#This Row],[Flow_ID]]&amp;"_DM"</f>
        <v/>
      </c>
      <c r="T65">
        <f>Tab_Def_Flows[[#This Row],[Flow_ID]]&amp;"_CC"</f>
        <v/>
      </c>
      <c r="W65">
        <f>Tab_Def_Flows[[#This Row],[Flow_CC_DM'[%']]]*Tab_Def_Flows[[#This Row],[Flow_DM'[%']]]</f>
        <v/>
      </c>
      <c r="Y65">
        <f>'0_Configuration'!$C$2</f>
        <v/>
      </c>
      <c r="Z65" t="inlineStr"/>
      <c r="AA65">
        <f>'0_Configuration'!$C$6</f>
        <v/>
      </c>
      <c r="AB65" t="inlineStr"/>
      <c r="AC65">
        <f>'0_Configuration'!$C$10</f>
        <v/>
      </c>
      <c r="AD65" t="inlineStr"/>
      <c r="AE65">
        <f>'0_Configuration'!$C$17</f>
        <v/>
      </c>
      <c r="AF65">
        <f>_xlfn.XLOOKUP(Tab_Def_Flows[[#This Row],[ODYM_Good_Type]],Tab_Configuration[Value],Tab_Configuration[ODYM_ID],,0,)</f>
        <v/>
      </c>
      <c r="AG65">
        <f>'0_Configuration'!$C$24</f>
        <v/>
      </c>
      <c r="AH65" t="inlineStr"/>
      <c r="AI65">
        <f>'0_Configuration'!$C$29</f>
        <v/>
      </c>
      <c r="AJ65" t="inlineStr"/>
      <c r="AK65">
        <f>IF(Tab_Def_Flows[[#This Row],[ODYM_time_(t)]],"t,","")&amp;IF(Tab_Def_Flows[[#This Row],[ODYM_Region_(r)]],"r,","")&amp;IF(Tab_Def_Flows[[#This Row],[ODYM_process_(p)]],"p,","")&amp;IF(Tab_Def_Flows[[#This Row],[ODYM_Good_(g)2]],"g,","")&amp;IF(Tab_Def_Flows[[#This Row],[ODYM_material_(m)]],"m,","")&amp;IF(Tab_Def_Flows[[#This Row],[ODYM_element_(e)]],"e","")</f>
        <v/>
      </c>
      <c r="AL65">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66">
      <c r="A66" t="b">
        <v>0</v>
      </c>
      <c r="B66">
        <f>ROW()-1</f>
        <v/>
      </c>
      <c r="C66">
        <f>"F_"&amp;LEFT(G66,2)&amp;"_"&amp;LEFT(I66,2)</f>
        <v/>
      </c>
      <c r="G66">
        <f>_xlfn.XLOOKUP(F66,Tab_Def_Processes[Process_Name],Tab_Def_Processes[Process_ID],,0,)</f>
        <v/>
      </c>
      <c r="I66">
        <f>_xlfn.XLOOKUP(H66,Tab_Def_Processes[Process_Name],Tab_Def_Processes[Process_ID],,0,)</f>
        <v/>
      </c>
      <c r="J66" t="inlineStr">
        <is>
          <t>Yes</t>
        </is>
      </c>
      <c r="K66" t="inlineStr">
        <is>
          <t>Yes</t>
        </is>
      </c>
      <c r="M66" t="inlineStr">
        <is>
          <t>Yes</t>
        </is>
      </c>
      <c r="N66">
        <f>Tab_Def_Flows[[#This Row],[Flow_ID]]&amp;"_WC"</f>
        <v/>
      </c>
      <c r="Q66">
        <f>Tab_Def_Flows[[#This Row],[Flow_ID]]&amp;"_DM"</f>
        <v/>
      </c>
      <c r="T66">
        <f>Tab_Def_Flows[[#This Row],[Flow_ID]]&amp;"_CC"</f>
        <v/>
      </c>
      <c r="W66">
        <f>Tab_Def_Flows[[#This Row],[Flow_CC_DM'[%']]]*Tab_Def_Flows[[#This Row],[Flow_DM'[%']]]</f>
        <v/>
      </c>
      <c r="Y66">
        <f>'0_Configuration'!$C$2</f>
        <v/>
      </c>
      <c r="Z66" t="inlineStr"/>
      <c r="AA66">
        <f>'0_Configuration'!$C$6</f>
        <v/>
      </c>
      <c r="AB66" t="inlineStr"/>
      <c r="AC66">
        <f>'0_Configuration'!$C$10</f>
        <v/>
      </c>
      <c r="AD66" t="inlineStr"/>
      <c r="AE66">
        <f>'0_Configuration'!$C$17</f>
        <v/>
      </c>
      <c r="AF66">
        <f>_xlfn.XLOOKUP(Tab_Def_Flows[[#This Row],[ODYM_Good_Type]],Tab_Configuration[Value],Tab_Configuration[ODYM_ID],,0,)</f>
        <v/>
      </c>
      <c r="AG66">
        <f>'0_Configuration'!$C$24</f>
        <v/>
      </c>
      <c r="AH66" t="inlineStr"/>
      <c r="AI66">
        <f>'0_Configuration'!$C$29</f>
        <v/>
      </c>
      <c r="AJ66" t="inlineStr"/>
      <c r="AK66">
        <f>IF(Tab_Def_Flows[[#This Row],[ODYM_time_(t)]],"t,","")&amp;IF(Tab_Def_Flows[[#This Row],[ODYM_Region_(r)]],"r,","")&amp;IF(Tab_Def_Flows[[#This Row],[ODYM_process_(p)]],"p,","")&amp;IF(Tab_Def_Flows[[#This Row],[ODYM_Good_(g)2]],"g,","")&amp;IF(Tab_Def_Flows[[#This Row],[ODYM_material_(m)]],"m,","")&amp;IF(Tab_Def_Flows[[#This Row],[ODYM_element_(e)]],"e","")</f>
        <v/>
      </c>
      <c r="AL66">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67">
      <c r="A67" t="b">
        <v>0</v>
      </c>
      <c r="B67">
        <f>ROW()-1</f>
        <v/>
      </c>
      <c r="C67">
        <f>"F_"&amp;LEFT(G67,2)&amp;"_"&amp;LEFT(I67,2)</f>
        <v/>
      </c>
      <c r="G67">
        <f>_xlfn.XLOOKUP(F67,Tab_Def_Processes[Process_Name],Tab_Def_Processes[Process_ID],,0,)</f>
        <v/>
      </c>
      <c r="I67">
        <f>_xlfn.XLOOKUP(H67,Tab_Def_Processes[Process_Name],Tab_Def_Processes[Process_ID],,0,)</f>
        <v/>
      </c>
      <c r="J67" t="inlineStr">
        <is>
          <t>Yes</t>
        </is>
      </c>
      <c r="K67" t="inlineStr">
        <is>
          <t>Yes</t>
        </is>
      </c>
      <c r="M67" t="inlineStr">
        <is>
          <t>Yes</t>
        </is>
      </c>
      <c r="N67">
        <f>Tab_Def_Flows[[#This Row],[Flow_ID]]&amp;"_WC"</f>
        <v/>
      </c>
      <c r="Q67">
        <f>Tab_Def_Flows[[#This Row],[Flow_ID]]&amp;"_DM"</f>
        <v/>
      </c>
      <c r="T67">
        <f>Tab_Def_Flows[[#This Row],[Flow_ID]]&amp;"_CC"</f>
        <v/>
      </c>
      <c r="W67">
        <f>Tab_Def_Flows[[#This Row],[Flow_CC_DM'[%']]]*Tab_Def_Flows[[#This Row],[Flow_DM'[%']]]</f>
        <v/>
      </c>
      <c r="Y67">
        <f>'0_Configuration'!$C$2</f>
        <v/>
      </c>
      <c r="Z67" t="inlineStr"/>
      <c r="AA67">
        <f>'0_Configuration'!$C$6</f>
        <v/>
      </c>
      <c r="AB67" t="inlineStr"/>
      <c r="AC67">
        <f>'0_Configuration'!$C$10</f>
        <v/>
      </c>
      <c r="AD67" t="inlineStr"/>
      <c r="AE67">
        <f>'0_Configuration'!$C$17</f>
        <v/>
      </c>
      <c r="AF67">
        <f>_xlfn.XLOOKUP(Tab_Def_Flows[[#This Row],[ODYM_Good_Type]],Tab_Configuration[Value],Tab_Configuration[ODYM_ID],,0,)</f>
        <v/>
      </c>
      <c r="AG67">
        <f>'0_Configuration'!$C$24</f>
        <v/>
      </c>
      <c r="AH67" t="inlineStr"/>
      <c r="AI67">
        <f>'0_Configuration'!$C$29</f>
        <v/>
      </c>
      <c r="AJ67" t="inlineStr"/>
      <c r="AK67">
        <f>IF(Tab_Def_Flows[[#This Row],[ODYM_time_(t)]],"t,","")&amp;IF(Tab_Def_Flows[[#This Row],[ODYM_Region_(r)]],"r,","")&amp;IF(Tab_Def_Flows[[#This Row],[ODYM_process_(p)]],"p,","")&amp;IF(Tab_Def_Flows[[#This Row],[ODYM_Good_(g)2]],"g,","")&amp;IF(Tab_Def_Flows[[#This Row],[ODYM_material_(m)]],"m,","")&amp;IF(Tab_Def_Flows[[#This Row],[ODYM_element_(e)]],"e","")</f>
        <v/>
      </c>
      <c r="AL67">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68">
      <c r="A68" t="b">
        <v>0</v>
      </c>
      <c r="B68">
        <f>ROW()-1</f>
        <v/>
      </c>
      <c r="C68">
        <f>"F_"&amp;LEFT(G68,2)&amp;"_"&amp;LEFT(I68,2)</f>
        <v/>
      </c>
      <c r="G68">
        <f>_xlfn.XLOOKUP(F68,Tab_Def_Processes[Process_Name],Tab_Def_Processes[Process_ID],,0,)</f>
        <v/>
      </c>
      <c r="I68">
        <f>_xlfn.XLOOKUP(H68,Tab_Def_Processes[Process_Name],Tab_Def_Processes[Process_ID],,0,)</f>
        <v/>
      </c>
      <c r="J68" t="inlineStr">
        <is>
          <t>Yes</t>
        </is>
      </c>
      <c r="K68" t="inlineStr">
        <is>
          <t>Yes</t>
        </is>
      </c>
      <c r="M68" t="inlineStr">
        <is>
          <t>Yes</t>
        </is>
      </c>
      <c r="N68">
        <f>Tab_Def_Flows[[#This Row],[Flow_ID]]&amp;"_WC"</f>
        <v/>
      </c>
      <c r="Q68">
        <f>Tab_Def_Flows[[#This Row],[Flow_ID]]&amp;"_DM"</f>
        <v/>
      </c>
      <c r="T68">
        <f>Tab_Def_Flows[[#This Row],[Flow_ID]]&amp;"_CC"</f>
        <v/>
      </c>
      <c r="W68">
        <f>Tab_Def_Flows[[#This Row],[Flow_CC_DM'[%']]]*Tab_Def_Flows[[#This Row],[Flow_DM'[%']]]</f>
        <v/>
      </c>
      <c r="Y68">
        <f>'0_Configuration'!$C$2</f>
        <v/>
      </c>
      <c r="Z68" t="inlineStr"/>
      <c r="AA68">
        <f>'0_Configuration'!$C$6</f>
        <v/>
      </c>
      <c r="AB68" t="inlineStr"/>
      <c r="AC68">
        <f>'0_Configuration'!$C$10</f>
        <v/>
      </c>
      <c r="AD68" t="inlineStr"/>
      <c r="AE68">
        <f>'0_Configuration'!$C$17</f>
        <v/>
      </c>
      <c r="AF68">
        <f>_xlfn.XLOOKUP(Tab_Def_Flows[[#This Row],[ODYM_Good_Type]],Tab_Configuration[Value],Tab_Configuration[ODYM_ID],,0,)</f>
        <v/>
      </c>
      <c r="AG68">
        <f>'0_Configuration'!$C$24</f>
        <v/>
      </c>
      <c r="AH68" t="inlineStr"/>
      <c r="AI68">
        <f>'0_Configuration'!$C$29</f>
        <v/>
      </c>
      <c r="AJ68" t="inlineStr"/>
      <c r="AK68">
        <f>IF(Tab_Def_Flows[[#This Row],[ODYM_time_(t)]],"t,","")&amp;IF(Tab_Def_Flows[[#This Row],[ODYM_Region_(r)]],"r,","")&amp;IF(Tab_Def_Flows[[#This Row],[ODYM_process_(p)]],"p,","")&amp;IF(Tab_Def_Flows[[#This Row],[ODYM_Good_(g)2]],"g,","")&amp;IF(Tab_Def_Flows[[#This Row],[ODYM_material_(m)]],"m,","")&amp;IF(Tab_Def_Flows[[#This Row],[ODYM_element_(e)]],"e","")</f>
        <v/>
      </c>
      <c r="AL68">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69">
      <c r="A69" t="b">
        <v>0</v>
      </c>
      <c r="B69">
        <f>ROW()-1</f>
        <v/>
      </c>
      <c r="C69">
        <f>"F_"&amp;LEFT(G69,2)&amp;"_"&amp;LEFT(I69,2)</f>
        <v/>
      </c>
      <c r="G69">
        <f>_xlfn.XLOOKUP(F69,Tab_Def_Processes[Process_Name],Tab_Def_Processes[Process_ID],,0,)</f>
        <v/>
      </c>
      <c r="I69">
        <f>_xlfn.XLOOKUP(H69,Tab_Def_Processes[Process_Name],Tab_Def_Processes[Process_ID],,0,)</f>
        <v/>
      </c>
      <c r="J69" t="inlineStr">
        <is>
          <t>Yes</t>
        </is>
      </c>
      <c r="K69" t="inlineStr">
        <is>
          <t>Yes</t>
        </is>
      </c>
      <c r="M69" t="inlineStr">
        <is>
          <t>Yes</t>
        </is>
      </c>
      <c r="N69">
        <f>Tab_Def_Flows[[#This Row],[Flow_ID]]&amp;"_WC"</f>
        <v/>
      </c>
      <c r="Q69">
        <f>Tab_Def_Flows[[#This Row],[Flow_ID]]&amp;"_DM"</f>
        <v/>
      </c>
      <c r="T69">
        <f>Tab_Def_Flows[[#This Row],[Flow_ID]]&amp;"_CC"</f>
        <v/>
      </c>
      <c r="W69">
        <f>Tab_Def_Flows[[#This Row],[Flow_CC_DM'[%']]]*Tab_Def_Flows[[#This Row],[Flow_DM'[%']]]</f>
        <v/>
      </c>
      <c r="Y69">
        <f>'0_Configuration'!$C$2</f>
        <v/>
      </c>
      <c r="Z69" t="inlineStr"/>
      <c r="AA69">
        <f>'0_Configuration'!$C$6</f>
        <v/>
      </c>
      <c r="AB69" t="inlineStr"/>
      <c r="AC69">
        <f>'0_Configuration'!$C$10</f>
        <v/>
      </c>
      <c r="AD69" t="inlineStr"/>
      <c r="AE69">
        <f>'0_Configuration'!$C$17</f>
        <v/>
      </c>
      <c r="AF69">
        <f>_xlfn.XLOOKUP(Tab_Def_Flows[[#This Row],[ODYM_Good_Type]],Tab_Configuration[Value],Tab_Configuration[ODYM_ID],,0,)</f>
        <v/>
      </c>
      <c r="AG69">
        <f>'0_Configuration'!$C$24</f>
        <v/>
      </c>
      <c r="AH69" t="inlineStr"/>
      <c r="AI69">
        <f>'0_Configuration'!$C$29</f>
        <v/>
      </c>
      <c r="AJ69" t="inlineStr"/>
      <c r="AK69">
        <f>IF(Tab_Def_Flows[[#This Row],[ODYM_time_(t)]],"t,","")&amp;IF(Tab_Def_Flows[[#This Row],[ODYM_Region_(r)]],"r,","")&amp;IF(Tab_Def_Flows[[#This Row],[ODYM_process_(p)]],"p,","")&amp;IF(Tab_Def_Flows[[#This Row],[ODYM_Good_(g)2]],"g,","")&amp;IF(Tab_Def_Flows[[#This Row],[ODYM_material_(m)]],"m,","")&amp;IF(Tab_Def_Flows[[#This Row],[ODYM_element_(e)]],"e","")</f>
        <v/>
      </c>
      <c r="AL69">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70">
      <c r="A70" t="b">
        <v>0</v>
      </c>
      <c r="B70">
        <f>ROW()-1</f>
        <v/>
      </c>
      <c r="C70">
        <f>"F_"&amp;LEFT(G70,2)&amp;"_"&amp;LEFT(I70,2)</f>
        <v/>
      </c>
      <c r="G70">
        <f>_xlfn.XLOOKUP(F70,Tab_Def_Processes[Process_Name],Tab_Def_Processes[Process_ID],,0,)</f>
        <v/>
      </c>
      <c r="I70">
        <f>_xlfn.XLOOKUP(H70,Tab_Def_Processes[Process_Name],Tab_Def_Processes[Process_ID],,0,)</f>
        <v/>
      </c>
      <c r="J70" t="inlineStr">
        <is>
          <t>Yes</t>
        </is>
      </c>
      <c r="K70" t="inlineStr">
        <is>
          <t>Yes</t>
        </is>
      </c>
      <c r="M70" t="inlineStr">
        <is>
          <t>Yes</t>
        </is>
      </c>
      <c r="N70">
        <f>Tab_Def_Flows[[#This Row],[Flow_ID]]&amp;"_WC"</f>
        <v/>
      </c>
      <c r="Q70">
        <f>Tab_Def_Flows[[#This Row],[Flow_ID]]&amp;"_DM"</f>
        <v/>
      </c>
      <c r="T70">
        <f>Tab_Def_Flows[[#This Row],[Flow_ID]]&amp;"_CC"</f>
        <v/>
      </c>
      <c r="W70">
        <f>Tab_Def_Flows[[#This Row],[Flow_CC_DM'[%']]]*Tab_Def_Flows[[#This Row],[Flow_DM'[%']]]</f>
        <v/>
      </c>
      <c r="Y70">
        <f>'0_Configuration'!$C$2</f>
        <v/>
      </c>
      <c r="Z70" t="inlineStr"/>
      <c r="AA70">
        <f>'0_Configuration'!$C$6</f>
        <v/>
      </c>
      <c r="AB70" t="inlineStr"/>
      <c r="AC70">
        <f>'0_Configuration'!$C$10</f>
        <v/>
      </c>
      <c r="AD70" t="inlineStr"/>
      <c r="AE70">
        <f>'0_Configuration'!$C$17</f>
        <v/>
      </c>
      <c r="AF70">
        <f>_xlfn.XLOOKUP(Tab_Def_Flows[[#This Row],[ODYM_Good_Type]],Tab_Configuration[Value],Tab_Configuration[ODYM_ID],,0,)</f>
        <v/>
      </c>
      <c r="AG70">
        <f>'0_Configuration'!$C$24</f>
        <v/>
      </c>
      <c r="AH70" t="inlineStr"/>
      <c r="AI70">
        <f>'0_Configuration'!$C$29</f>
        <v/>
      </c>
      <c r="AJ70" t="inlineStr"/>
      <c r="AK70">
        <f>IF(Tab_Def_Flows[[#This Row],[ODYM_time_(t)]],"t,","")&amp;IF(Tab_Def_Flows[[#This Row],[ODYM_Region_(r)]],"r,","")&amp;IF(Tab_Def_Flows[[#This Row],[ODYM_process_(p)]],"p,","")&amp;IF(Tab_Def_Flows[[#This Row],[ODYM_Good_(g)2]],"g,","")&amp;IF(Tab_Def_Flows[[#This Row],[ODYM_material_(m)]],"m,","")&amp;IF(Tab_Def_Flows[[#This Row],[ODYM_element_(e)]],"e","")</f>
        <v/>
      </c>
      <c r="AL70">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71">
      <c r="A71" t="b">
        <v>0</v>
      </c>
      <c r="B71">
        <f>ROW()-1</f>
        <v/>
      </c>
      <c r="C71">
        <f>"F_"&amp;LEFT(G71,2)&amp;"_"&amp;LEFT(I71,2)</f>
        <v/>
      </c>
      <c r="G71">
        <f>_xlfn.XLOOKUP(F71,Tab_Def_Processes[Process_Name],Tab_Def_Processes[Process_ID],,0,)</f>
        <v/>
      </c>
      <c r="I71">
        <f>_xlfn.XLOOKUP(H71,Tab_Def_Processes[Process_Name],Tab_Def_Processes[Process_ID],,0,)</f>
        <v/>
      </c>
      <c r="J71" t="inlineStr">
        <is>
          <t>Yes</t>
        </is>
      </c>
      <c r="K71" t="inlineStr">
        <is>
          <t>Yes</t>
        </is>
      </c>
      <c r="M71" t="inlineStr">
        <is>
          <t>Yes</t>
        </is>
      </c>
      <c r="N71">
        <f>Tab_Def_Flows[[#This Row],[Flow_ID]]&amp;"_WC"</f>
        <v/>
      </c>
      <c r="Q71">
        <f>Tab_Def_Flows[[#This Row],[Flow_ID]]&amp;"_DM"</f>
        <v/>
      </c>
      <c r="T71">
        <f>Tab_Def_Flows[[#This Row],[Flow_ID]]&amp;"_CC"</f>
        <v/>
      </c>
      <c r="W71">
        <f>Tab_Def_Flows[[#This Row],[Flow_CC_DM'[%']]]*Tab_Def_Flows[[#This Row],[Flow_DM'[%']]]</f>
        <v/>
      </c>
      <c r="Y71">
        <f>'0_Configuration'!$C$2</f>
        <v/>
      </c>
      <c r="Z71" t="inlineStr"/>
      <c r="AA71">
        <f>'0_Configuration'!$C$6</f>
        <v/>
      </c>
      <c r="AB71" t="inlineStr"/>
      <c r="AC71">
        <f>'0_Configuration'!$C$10</f>
        <v/>
      </c>
      <c r="AD71" t="inlineStr"/>
      <c r="AE71">
        <f>'0_Configuration'!$C$17</f>
        <v/>
      </c>
      <c r="AF71">
        <f>_xlfn.XLOOKUP(Tab_Def_Flows[[#This Row],[ODYM_Good_Type]],Tab_Configuration[Value],Tab_Configuration[ODYM_ID],,0,)</f>
        <v/>
      </c>
      <c r="AG71">
        <f>'0_Configuration'!$C$24</f>
        <v/>
      </c>
      <c r="AH71" t="inlineStr"/>
      <c r="AI71">
        <f>'0_Configuration'!$C$29</f>
        <v/>
      </c>
      <c r="AJ71" t="inlineStr"/>
      <c r="AK71">
        <f>IF(Tab_Def_Flows[[#This Row],[ODYM_time_(t)]],"t,","")&amp;IF(Tab_Def_Flows[[#This Row],[ODYM_Region_(r)]],"r,","")&amp;IF(Tab_Def_Flows[[#This Row],[ODYM_process_(p)]],"p,","")&amp;IF(Tab_Def_Flows[[#This Row],[ODYM_Good_(g)2]],"g,","")&amp;IF(Tab_Def_Flows[[#This Row],[ODYM_material_(m)]],"m,","")&amp;IF(Tab_Def_Flows[[#This Row],[ODYM_element_(e)]],"e","")</f>
        <v/>
      </c>
      <c r="AL71">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72">
      <c r="A72" t="b">
        <v>0</v>
      </c>
      <c r="B72">
        <f>ROW()-1</f>
        <v/>
      </c>
      <c r="C72">
        <f>"F_"&amp;LEFT(G72,2)&amp;"_"&amp;LEFT(I72,2)</f>
        <v/>
      </c>
      <c r="G72">
        <f>_xlfn.XLOOKUP(F72,Tab_Def_Processes[Process_Name],Tab_Def_Processes[Process_ID],,0,)</f>
        <v/>
      </c>
      <c r="I72">
        <f>_xlfn.XLOOKUP(H72,Tab_Def_Processes[Process_Name],Tab_Def_Processes[Process_ID],,0,)</f>
        <v/>
      </c>
      <c r="J72" t="inlineStr">
        <is>
          <t>Yes</t>
        </is>
      </c>
      <c r="K72" t="inlineStr">
        <is>
          <t>Yes</t>
        </is>
      </c>
      <c r="M72" t="inlineStr">
        <is>
          <t>Yes</t>
        </is>
      </c>
      <c r="N72">
        <f>Tab_Def_Flows[[#This Row],[Flow_ID]]&amp;"_WC"</f>
        <v/>
      </c>
      <c r="Q72">
        <f>Tab_Def_Flows[[#This Row],[Flow_ID]]&amp;"_DM"</f>
        <v/>
      </c>
      <c r="T72">
        <f>Tab_Def_Flows[[#This Row],[Flow_ID]]&amp;"_CC"</f>
        <v/>
      </c>
      <c r="W72">
        <f>Tab_Def_Flows[[#This Row],[Flow_CC_DM'[%']]]*Tab_Def_Flows[[#This Row],[Flow_DM'[%']]]</f>
        <v/>
      </c>
      <c r="Y72">
        <f>'0_Configuration'!$C$2</f>
        <v/>
      </c>
      <c r="Z72" t="inlineStr"/>
      <c r="AA72">
        <f>'0_Configuration'!$C$6</f>
        <v/>
      </c>
      <c r="AB72" t="inlineStr"/>
      <c r="AC72">
        <f>'0_Configuration'!$C$10</f>
        <v/>
      </c>
      <c r="AD72" t="inlineStr"/>
      <c r="AE72">
        <f>'0_Configuration'!$C$17</f>
        <v/>
      </c>
      <c r="AF72">
        <f>_xlfn.XLOOKUP(Tab_Def_Flows[[#This Row],[ODYM_Good_Type]],Tab_Configuration[Value],Tab_Configuration[ODYM_ID],,0,)</f>
        <v/>
      </c>
      <c r="AG72">
        <f>'0_Configuration'!$C$24</f>
        <v/>
      </c>
      <c r="AH72" t="inlineStr"/>
      <c r="AI72">
        <f>'0_Configuration'!$C$29</f>
        <v/>
      </c>
      <c r="AJ72" t="inlineStr"/>
      <c r="AK72">
        <f>IF(Tab_Def_Flows[[#This Row],[ODYM_time_(t)]],"t,","")&amp;IF(Tab_Def_Flows[[#This Row],[ODYM_Region_(r)]],"r,","")&amp;IF(Tab_Def_Flows[[#This Row],[ODYM_process_(p)]],"p,","")&amp;IF(Tab_Def_Flows[[#This Row],[ODYM_Good_(g)2]],"g,","")&amp;IF(Tab_Def_Flows[[#This Row],[ODYM_material_(m)]],"m,","")&amp;IF(Tab_Def_Flows[[#This Row],[ODYM_element_(e)]],"e","")</f>
        <v/>
      </c>
      <c r="AL72">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73">
      <c r="A73" t="b">
        <v>0</v>
      </c>
      <c r="B73">
        <f>ROW()-1</f>
        <v/>
      </c>
      <c r="C73">
        <f>"F_"&amp;LEFT(G73,2)&amp;"_"&amp;LEFT(I73,2)</f>
        <v/>
      </c>
      <c r="G73">
        <f>_xlfn.XLOOKUP(F73,Tab_Def_Processes[Process_Name],Tab_Def_Processes[Process_ID],,0,)</f>
        <v/>
      </c>
      <c r="I73">
        <f>_xlfn.XLOOKUP(H73,Tab_Def_Processes[Process_Name],Tab_Def_Processes[Process_ID],,0,)</f>
        <v/>
      </c>
      <c r="J73" t="inlineStr">
        <is>
          <t>Yes</t>
        </is>
      </c>
      <c r="K73" t="inlineStr">
        <is>
          <t>Yes</t>
        </is>
      </c>
      <c r="M73" t="inlineStr">
        <is>
          <t>Yes</t>
        </is>
      </c>
      <c r="N73">
        <f>Tab_Def_Flows[[#This Row],[Flow_ID]]&amp;"_WC"</f>
        <v/>
      </c>
      <c r="Q73">
        <f>Tab_Def_Flows[[#This Row],[Flow_ID]]&amp;"_DM"</f>
        <v/>
      </c>
      <c r="T73">
        <f>Tab_Def_Flows[[#This Row],[Flow_ID]]&amp;"_CC"</f>
        <v/>
      </c>
      <c r="W73">
        <f>Tab_Def_Flows[[#This Row],[Flow_CC_DM'[%']]]*Tab_Def_Flows[[#This Row],[Flow_DM'[%']]]</f>
        <v/>
      </c>
      <c r="Y73">
        <f>'0_Configuration'!$C$2</f>
        <v/>
      </c>
      <c r="Z73" t="inlineStr"/>
      <c r="AA73">
        <f>'0_Configuration'!$C$6</f>
        <v/>
      </c>
      <c r="AB73" t="inlineStr"/>
      <c r="AC73">
        <f>'0_Configuration'!$C$10</f>
        <v/>
      </c>
      <c r="AD73" t="inlineStr"/>
      <c r="AE73">
        <f>'0_Configuration'!$C$17</f>
        <v/>
      </c>
      <c r="AF73">
        <f>_xlfn.XLOOKUP(Tab_Def_Flows[[#This Row],[ODYM_Good_Type]],Tab_Configuration[Value],Tab_Configuration[ODYM_ID],,0,)</f>
        <v/>
      </c>
      <c r="AG73">
        <f>'0_Configuration'!$C$24</f>
        <v/>
      </c>
      <c r="AH73" t="inlineStr"/>
      <c r="AI73">
        <f>'0_Configuration'!$C$29</f>
        <v/>
      </c>
      <c r="AJ73" t="inlineStr"/>
      <c r="AK73">
        <f>IF(Tab_Def_Flows[[#This Row],[ODYM_time_(t)]],"t,","")&amp;IF(Tab_Def_Flows[[#This Row],[ODYM_Region_(r)]],"r,","")&amp;IF(Tab_Def_Flows[[#This Row],[ODYM_process_(p)]],"p,","")&amp;IF(Tab_Def_Flows[[#This Row],[ODYM_Good_(g)2]],"g,","")&amp;IF(Tab_Def_Flows[[#This Row],[ODYM_material_(m)]],"m,","")&amp;IF(Tab_Def_Flows[[#This Row],[ODYM_element_(e)]],"e","")</f>
        <v/>
      </c>
      <c r="AL73">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74">
      <c r="A74" t="b">
        <v>0</v>
      </c>
      <c r="B74">
        <f>ROW()-1</f>
        <v/>
      </c>
      <c r="C74">
        <f>"F_"&amp;LEFT(G74,2)&amp;"_"&amp;LEFT(I74,2)</f>
        <v/>
      </c>
      <c r="G74">
        <f>_xlfn.XLOOKUP(F74,Tab_Def_Processes[Process_Name],Tab_Def_Processes[Process_ID],,0,)</f>
        <v/>
      </c>
      <c r="I74">
        <f>_xlfn.XLOOKUP(H74,Tab_Def_Processes[Process_Name],Tab_Def_Processes[Process_ID],,0,)</f>
        <v/>
      </c>
      <c r="J74" t="inlineStr">
        <is>
          <t>Yes</t>
        </is>
      </c>
      <c r="K74" t="inlineStr">
        <is>
          <t>Yes</t>
        </is>
      </c>
      <c r="M74" t="inlineStr">
        <is>
          <t>Yes</t>
        </is>
      </c>
      <c r="N74">
        <f>Tab_Def_Flows[[#This Row],[Flow_ID]]&amp;"_WC"</f>
        <v/>
      </c>
      <c r="Q74">
        <f>Tab_Def_Flows[[#This Row],[Flow_ID]]&amp;"_DM"</f>
        <v/>
      </c>
      <c r="T74">
        <f>Tab_Def_Flows[[#This Row],[Flow_ID]]&amp;"_CC"</f>
        <v/>
      </c>
      <c r="W74">
        <f>Tab_Def_Flows[[#This Row],[Flow_CC_DM'[%']]]*Tab_Def_Flows[[#This Row],[Flow_DM'[%']]]</f>
        <v/>
      </c>
      <c r="Y74">
        <f>'0_Configuration'!$C$2</f>
        <v/>
      </c>
      <c r="Z74" t="inlineStr"/>
      <c r="AA74">
        <f>'0_Configuration'!$C$6</f>
        <v/>
      </c>
      <c r="AB74" t="inlineStr"/>
      <c r="AC74">
        <f>'0_Configuration'!$C$10</f>
        <v/>
      </c>
      <c r="AD74" t="inlineStr"/>
      <c r="AE74">
        <f>'0_Configuration'!$C$17</f>
        <v/>
      </c>
      <c r="AF74">
        <f>_xlfn.XLOOKUP(Tab_Def_Flows[[#This Row],[ODYM_Good_Type]],Tab_Configuration[Value],Tab_Configuration[ODYM_ID],,0,)</f>
        <v/>
      </c>
      <c r="AG74">
        <f>'0_Configuration'!$C$24</f>
        <v/>
      </c>
      <c r="AH74" t="inlineStr"/>
      <c r="AI74">
        <f>'0_Configuration'!$C$29</f>
        <v/>
      </c>
      <c r="AJ74" t="inlineStr"/>
      <c r="AK74">
        <f>IF(Tab_Def_Flows[[#This Row],[ODYM_time_(t)]],"t,","")&amp;IF(Tab_Def_Flows[[#This Row],[ODYM_Region_(r)]],"r,","")&amp;IF(Tab_Def_Flows[[#This Row],[ODYM_process_(p)]],"p,","")&amp;IF(Tab_Def_Flows[[#This Row],[ODYM_Good_(g)2]],"g,","")&amp;IF(Tab_Def_Flows[[#This Row],[ODYM_material_(m)]],"m,","")&amp;IF(Tab_Def_Flows[[#This Row],[ODYM_element_(e)]],"e","")</f>
        <v/>
      </c>
      <c r="AL74">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75">
      <c r="A75" t="b">
        <v>0</v>
      </c>
      <c r="B75">
        <f>ROW()-1</f>
        <v/>
      </c>
      <c r="C75">
        <f>"F_"&amp;LEFT(G75,2)&amp;"_"&amp;LEFT(I75,2)</f>
        <v/>
      </c>
      <c r="G75">
        <f>_xlfn.XLOOKUP(F75,Tab_Def_Processes[Process_Name],Tab_Def_Processes[Process_ID],,0,)</f>
        <v/>
      </c>
      <c r="I75">
        <f>_xlfn.XLOOKUP(H75,Tab_Def_Processes[Process_Name],Tab_Def_Processes[Process_ID],,0,)</f>
        <v/>
      </c>
      <c r="J75" t="inlineStr">
        <is>
          <t>Yes</t>
        </is>
      </c>
      <c r="K75" t="inlineStr">
        <is>
          <t>Yes</t>
        </is>
      </c>
      <c r="M75" t="inlineStr">
        <is>
          <t>Yes</t>
        </is>
      </c>
      <c r="N75">
        <f>Tab_Def_Flows[[#This Row],[Flow_ID]]&amp;"_WC"</f>
        <v/>
      </c>
      <c r="Q75">
        <f>Tab_Def_Flows[[#This Row],[Flow_ID]]&amp;"_DM"</f>
        <v/>
      </c>
      <c r="T75">
        <f>Tab_Def_Flows[[#This Row],[Flow_ID]]&amp;"_CC"</f>
        <v/>
      </c>
      <c r="W75">
        <f>Tab_Def_Flows[[#This Row],[Flow_CC_DM'[%']]]*Tab_Def_Flows[[#This Row],[Flow_DM'[%']]]</f>
        <v/>
      </c>
      <c r="Y75">
        <f>'0_Configuration'!$C$2</f>
        <v/>
      </c>
      <c r="Z75" t="inlineStr"/>
      <c r="AA75">
        <f>'0_Configuration'!$C$6</f>
        <v/>
      </c>
      <c r="AB75" t="inlineStr"/>
      <c r="AC75">
        <f>'0_Configuration'!$C$10</f>
        <v/>
      </c>
      <c r="AD75" t="inlineStr"/>
      <c r="AE75">
        <f>'0_Configuration'!$C$17</f>
        <v/>
      </c>
      <c r="AF75">
        <f>_xlfn.XLOOKUP(Tab_Def_Flows[[#This Row],[ODYM_Good_Type]],Tab_Configuration[Value],Tab_Configuration[ODYM_ID],,0,)</f>
        <v/>
      </c>
      <c r="AG75">
        <f>'0_Configuration'!$C$24</f>
        <v/>
      </c>
      <c r="AH75" t="inlineStr"/>
      <c r="AI75">
        <f>'0_Configuration'!$C$29</f>
        <v/>
      </c>
      <c r="AJ75" t="inlineStr"/>
      <c r="AK75">
        <f>IF(Tab_Def_Flows[[#This Row],[ODYM_time_(t)]],"t,","")&amp;IF(Tab_Def_Flows[[#This Row],[ODYM_Region_(r)]],"r,","")&amp;IF(Tab_Def_Flows[[#This Row],[ODYM_process_(p)]],"p,","")&amp;IF(Tab_Def_Flows[[#This Row],[ODYM_Good_(g)2]],"g,","")&amp;IF(Tab_Def_Flows[[#This Row],[ODYM_material_(m)]],"m,","")&amp;IF(Tab_Def_Flows[[#This Row],[ODYM_element_(e)]],"e","")</f>
        <v/>
      </c>
      <c r="AL75">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76">
      <c r="A76" t="b">
        <v>0</v>
      </c>
      <c r="B76">
        <f>ROW()-1</f>
        <v/>
      </c>
      <c r="C76">
        <f>"F_"&amp;LEFT(G76,2)&amp;"_"&amp;LEFT(I76,2)</f>
        <v/>
      </c>
      <c r="G76">
        <f>_xlfn.XLOOKUP(F76,Tab_Def_Processes[Process_Name],Tab_Def_Processes[Process_ID],,0,)</f>
        <v/>
      </c>
      <c r="I76">
        <f>_xlfn.XLOOKUP(H76,Tab_Def_Processes[Process_Name],Tab_Def_Processes[Process_ID],,0,)</f>
        <v/>
      </c>
      <c r="J76" t="inlineStr">
        <is>
          <t>Yes</t>
        </is>
      </c>
      <c r="K76" t="inlineStr">
        <is>
          <t>Yes</t>
        </is>
      </c>
      <c r="M76" t="inlineStr">
        <is>
          <t>Yes</t>
        </is>
      </c>
      <c r="N76">
        <f>Tab_Def_Flows[[#This Row],[Flow_ID]]&amp;"_WC"</f>
        <v/>
      </c>
      <c r="Q76">
        <f>Tab_Def_Flows[[#This Row],[Flow_ID]]&amp;"_DM"</f>
        <v/>
      </c>
      <c r="T76">
        <f>Tab_Def_Flows[[#This Row],[Flow_ID]]&amp;"_CC"</f>
        <v/>
      </c>
      <c r="W76">
        <f>Tab_Def_Flows[[#This Row],[Flow_CC_DM'[%']]]*Tab_Def_Flows[[#This Row],[Flow_DM'[%']]]</f>
        <v/>
      </c>
      <c r="Y76">
        <f>'0_Configuration'!$C$2</f>
        <v/>
      </c>
      <c r="Z76" t="inlineStr"/>
      <c r="AA76">
        <f>'0_Configuration'!$C$6</f>
        <v/>
      </c>
      <c r="AB76" t="inlineStr"/>
      <c r="AC76">
        <f>'0_Configuration'!$C$10</f>
        <v/>
      </c>
      <c r="AD76" t="inlineStr"/>
      <c r="AE76">
        <f>'0_Configuration'!$C$17</f>
        <v/>
      </c>
      <c r="AF76">
        <f>_xlfn.XLOOKUP(Tab_Def_Flows[[#This Row],[ODYM_Good_Type]],Tab_Configuration[Value],Tab_Configuration[ODYM_ID],,0,)</f>
        <v/>
      </c>
      <c r="AG76">
        <f>'0_Configuration'!$C$24</f>
        <v/>
      </c>
      <c r="AH76" t="inlineStr"/>
      <c r="AI76">
        <f>'0_Configuration'!$C$29</f>
        <v/>
      </c>
      <c r="AJ76" t="inlineStr"/>
      <c r="AK76">
        <f>IF(Tab_Def_Flows[[#This Row],[ODYM_time_(t)]],"t,","")&amp;IF(Tab_Def_Flows[[#This Row],[ODYM_Region_(r)]],"r,","")&amp;IF(Tab_Def_Flows[[#This Row],[ODYM_process_(p)]],"p,","")&amp;IF(Tab_Def_Flows[[#This Row],[ODYM_Good_(g)2]],"g,","")&amp;IF(Tab_Def_Flows[[#This Row],[ODYM_material_(m)]],"m,","")&amp;IF(Tab_Def_Flows[[#This Row],[ODYM_element_(e)]],"e","")</f>
        <v/>
      </c>
      <c r="AL76">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77">
      <c r="A77" t="b">
        <v>0</v>
      </c>
      <c r="B77">
        <f>ROW()-1</f>
        <v/>
      </c>
      <c r="C77">
        <f>"F_"&amp;LEFT(G77,2)&amp;"_"&amp;LEFT(I77,2)</f>
        <v/>
      </c>
      <c r="G77">
        <f>_xlfn.XLOOKUP(F77,Tab_Def_Processes[Process_Name],Tab_Def_Processes[Process_ID],,0,)</f>
        <v/>
      </c>
      <c r="I77">
        <f>_xlfn.XLOOKUP(H77,Tab_Def_Processes[Process_Name],Tab_Def_Processes[Process_ID],,0,)</f>
        <v/>
      </c>
      <c r="J77" t="inlineStr">
        <is>
          <t>Yes</t>
        </is>
      </c>
      <c r="K77" t="inlineStr">
        <is>
          <t>Yes</t>
        </is>
      </c>
      <c r="M77" t="inlineStr">
        <is>
          <t>Yes</t>
        </is>
      </c>
      <c r="N77">
        <f>Tab_Def_Flows[[#This Row],[Flow_ID]]&amp;"_WC"</f>
        <v/>
      </c>
      <c r="Q77">
        <f>Tab_Def_Flows[[#This Row],[Flow_ID]]&amp;"_DM"</f>
        <v/>
      </c>
      <c r="T77">
        <f>Tab_Def_Flows[[#This Row],[Flow_ID]]&amp;"_CC"</f>
        <v/>
      </c>
      <c r="W77">
        <f>Tab_Def_Flows[[#This Row],[Flow_CC_DM'[%']]]*Tab_Def_Flows[[#This Row],[Flow_DM'[%']]]</f>
        <v/>
      </c>
      <c r="Y77">
        <f>'0_Configuration'!$C$2</f>
        <v/>
      </c>
      <c r="Z77" t="inlineStr"/>
      <c r="AA77">
        <f>'0_Configuration'!$C$6</f>
        <v/>
      </c>
      <c r="AB77" t="inlineStr"/>
      <c r="AC77">
        <f>'0_Configuration'!$C$10</f>
        <v/>
      </c>
      <c r="AD77" t="inlineStr"/>
      <c r="AE77">
        <f>'0_Configuration'!$C$17</f>
        <v/>
      </c>
      <c r="AF77">
        <f>_xlfn.XLOOKUP(Tab_Def_Flows[[#This Row],[ODYM_Good_Type]],Tab_Configuration[Value],Tab_Configuration[ODYM_ID],,0,)</f>
        <v/>
      </c>
      <c r="AG77">
        <f>'0_Configuration'!$C$24</f>
        <v/>
      </c>
      <c r="AH77" t="inlineStr"/>
      <c r="AI77">
        <f>'0_Configuration'!$C$29</f>
        <v/>
      </c>
      <c r="AJ77" t="inlineStr"/>
      <c r="AK77">
        <f>IF(Tab_Def_Flows[[#This Row],[ODYM_time_(t)]],"t,","")&amp;IF(Tab_Def_Flows[[#This Row],[ODYM_Region_(r)]],"r,","")&amp;IF(Tab_Def_Flows[[#This Row],[ODYM_process_(p)]],"p,","")&amp;IF(Tab_Def_Flows[[#This Row],[ODYM_Good_(g)2]],"g,","")&amp;IF(Tab_Def_Flows[[#This Row],[ODYM_material_(m)]],"m,","")&amp;IF(Tab_Def_Flows[[#This Row],[ODYM_element_(e)]],"e","")</f>
        <v/>
      </c>
      <c r="AL77">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78">
      <c r="A78" t="b">
        <v>0</v>
      </c>
      <c r="B78">
        <f>ROW()-1</f>
        <v/>
      </c>
      <c r="C78">
        <f>"F_"&amp;LEFT(G78,2)&amp;"_"&amp;LEFT(I78,2)</f>
        <v/>
      </c>
      <c r="G78">
        <f>_xlfn.XLOOKUP(F78,Tab_Def_Processes[Process_Name],Tab_Def_Processes[Process_ID],,0,)</f>
        <v/>
      </c>
      <c r="I78">
        <f>_xlfn.XLOOKUP(H78,Tab_Def_Processes[Process_Name],Tab_Def_Processes[Process_ID],,0,)</f>
        <v/>
      </c>
      <c r="J78" t="inlineStr">
        <is>
          <t>Yes</t>
        </is>
      </c>
      <c r="K78" t="inlineStr">
        <is>
          <t>Yes</t>
        </is>
      </c>
      <c r="M78" t="inlineStr">
        <is>
          <t>Yes</t>
        </is>
      </c>
      <c r="N78">
        <f>Tab_Def_Flows[[#This Row],[Flow_ID]]&amp;"_WC"</f>
        <v/>
      </c>
      <c r="Q78">
        <f>Tab_Def_Flows[[#This Row],[Flow_ID]]&amp;"_DM"</f>
        <v/>
      </c>
      <c r="T78">
        <f>Tab_Def_Flows[[#This Row],[Flow_ID]]&amp;"_CC"</f>
        <v/>
      </c>
      <c r="W78">
        <f>Tab_Def_Flows[[#This Row],[Flow_CC_DM'[%']]]*Tab_Def_Flows[[#This Row],[Flow_DM'[%']]]</f>
        <v/>
      </c>
      <c r="Y78">
        <f>'0_Configuration'!$C$2</f>
        <v/>
      </c>
      <c r="Z78" t="inlineStr"/>
      <c r="AA78">
        <f>'0_Configuration'!$C$6</f>
        <v/>
      </c>
      <c r="AB78" t="inlineStr"/>
      <c r="AC78">
        <f>'0_Configuration'!$C$10</f>
        <v/>
      </c>
      <c r="AD78" t="inlineStr"/>
      <c r="AE78">
        <f>'0_Configuration'!$C$17</f>
        <v/>
      </c>
      <c r="AF78">
        <f>_xlfn.XLOOKUP(Tab_Def_Flows[[#This Row],[ODYM_Good_Type]],Tab_Configuration[Value],Tab_Configuration[ODYM_ID],,0,)</f>
        <v/>
      </c>
      <c r="AG78">
        <f>'0_Configuration'!$C$24</f>
        <v/>
      </c>
      <c r="AH78" t="inlineStr"/>
      <c r="AI78">
        <f>'0_Configuration'!$C$29</f>
        <v/>
      </c>
      <c r="AJ78" t="inlineStr"/>
      <c r="AK78">
        <f>IF(Tab_Def_Flows[[#This Row],[ODYM_time_(t)]],"t,","")&amp;IF(Tab_Def_Flows[[#This Row],[ODYM_Region_(r)]],"r,","")&amp;IF(Tab_Def_Flows[[#This Row],[ODYM_process_(p)]],"p,","")&amp;IF(Tab_Def_Flows[[#This Row],[ODYM_Good_(g)2]],"g,","")&amp;IF(Tab_Def_Flows[[#This Row],[ODYM_material_(m)]],"m,","")&amp;IF(Tab_Def_Flows[[#This Row],[ODYM_element_(e)]],"e","")</f>
        <v/>
      </c>
      <c r="AL78">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79">
      <c r="A79" t="b">
        <v>0</v>
      </c>
      <c r="B79">
        <f>ROW()-1</f>
        <v/>
      </c>
      <c r="C79">
        <f>"F_"&amp;LEFT(G79,2)&amp;"_"&amp;LEFT(I79,2)</f>
        <v/>
      </c>
      <c r="G79">
        <f>_xlfn.XLOOKUP(F79,Tab_Def_Processes[Process_Name],Tab_Def_Processes[Process_ID],,0,)</f>
        <v/>
      </c>
      <c r="I79">
        <f>_xlfn.XLOOKUP(H79,Tab_Def_Processes[Process_Name],Tab_Def_Processes[Process_ID],,0,)</f>
        <v/>
      </c>
      <c r="J79" t="inlineStr">
        <is>
          <t>Yes</t>
        </is>
      </c>
      <c r="K79" t="inlineStr">
        <is>
          <t>Yes</t>
        </is>
      </c>
      <c r="M79" t="inlineStr">
        <is>
          <t>Yes</t>
        </is>
      </c>
      <c r="N79">
        <f>Tab_Def_Flows[[#This Row],[Flow_ID]]&amp;"_WC"</f>
        <v/>
      </c>
      <c r="Q79">
        <f>Tab_Def_Flows[[#This Row],[Flow_ID]]&amp;"_DM"</f>
        <v/>
      </c>
      <c r="T79">
        <f>Tab_Def_Flows[[#This Row],[Flow_ID]]&amp;"_CC"</f>
        <v/>
      </c>
      <c r="W79">
        <f>Tab_Def_Flows[[#This Row],[Flow_CC_DM'[%']]]*Tab_Def_Flows[[#This Row],[Flow_DM'[%']]]</f>
        <v/>
      </c>
      <c r="Y79">
        <f>'0_Configuration'!$C$2</f>
        <v/>
      </c>
      <c r="Z79" t="inlineStr"/>
      <c r="AA79">
        <f>'0_Configuration'!$C$6</f>
        <v/>
      </c>
      <c r="AB79" t="inlineStr"/>
      <c r="AC79">
        <f>'0_Configuration'!$C$10</f>
        <v/>
      </c>
      <c r="AD79" t="inlineStr"/>
      <c r="AE79">
        <f>'0_Configuration'!$C$17</f>
        <v/>
      </c>
      <c r="AF79">
        <f>_xlfn.XLOOKUP(Tab_Def_Flows[[#This Row],[ODYM_Good_Type]],Tab_Configuration[Value],Tab_Configuration[ODYM_ID],,0,)</f>
        <v/>
      </c>
      <c r="AG79">
        <f>'0_Configuration'!$C$24</f>
        <v/>
      </c>
      <c r="AH79" t="inlineStr"/>
      <c r="AI79">
        <f>'0_Configuration'!$C$29</f>
        <v/>
      </c>
      <c r="AJ79" t="inlineStr"/>
      <c r="AK79">
        <f>IF(Tab_Def_Flows[[#This Row],[ODYM_time_(t)]],"t,","")&amp;IF(Tab_Def_Flows[[#This Row],[ODYM_Region_(r)]],"r,","")&amp;IF(Tab_Def_Flows[[#This Row],[ODYM_process_(p)]],"p,","")&amp;IF(Tab_Def_Flows[[#This Row],[ODYM_Good_(g)2]],"g,","")&amp;IF(Tab_Def_Flows[[#This Row],[ODYM_material_(m)]],"m,","")&amp;IF(Tab_Def_Flows[[#This Row],[ODYM_element_(e)]],"e","")</f>
        <v/>
      </c>
      <c r="AL79">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80">
      <c r="A80" t="b">
        <v>0</v>
      </c>
      <c r="B80">
        <f>ROW()-1</f>
        <v/>
      </c>
      <c r="C80">
        <f>"F_"&amp;LEFT(G80,2)&amp;"_"&amp;LEFT(I80,2)</f>
        <v/>
      </c>
      <c r="G80">
        <f>_xlfn.XLOOKUP(F80,Tab_Def_Processes[Process_Name],Tab_Def_Processes[Process_ID],,0,)</f>
        <v/>
      </c>
      <c r="I80">
        <f>_xlfn.XLOOKUP(H80,Tab_Def_Processes[Process_Name],Tab_Def_Processes[Process_ID],,0,)</f>
        <v/>
      </c>
      <c r="J80" t="inlineStr">
        <is>
          <t>Yes</t>
        </is>
      </c>
      <c r="K80" t="inlineStr">
        <is>
          <t>Yes</t>
        </is>
      </c>
      <c r="M80" t="inlineStr">
        <is>
          <t>Yes</t>
        </is>
      </c>
      <c r="N80">
        <f>Tab_Def_Flows[[#This Row],[Flow_ID]]&amp;"_WC"</f>
        <v/>
      </c>
      <c r="Q80">
        <f>Tab_Def_Flows[[#This Row],[Flow_ID]]&amp;"_DM"</f>
        <v/>
      </c>
      <c r="T80">
        <f>Tab_Def_Flows[[#This Row],[Flow_ID]]&amp;"_CC"</f>
        <v/>
      </c>
      <c r="W80">
        <f>Tab_Def_Flows[[#This Row],[Flow_CC_DM'[%']]]*Tab_Def_Flows[[#This Row],[Flow_DM'[%']]]</f>
        <v/>
      </c>
      <c r="Y80">
        <f>'0_Configuration'!$C$2</f>
        <v/>
      </c>
      <c r="Z80" t="inlineStr"/>
      <c r="AA80">
        <f>'0_Configuration'!$C$6</f>
        <v/>
      </c>
      <c r="AB80" t="inlineStr"/>
      <c r="AC80">
        <f>'0_Configuration'!$C$10</f>
        <v/>
      </c>
      <c r="AD80" t="inlineStr"/>
      <c r="AE80">
        <f>'0_Configuration'!$C$17</f>
        <v/>
      </c>
      <c r="AF80">
        <f>_xlfn.XLOOKUP(Tab_Def_Flows[[#This Row],[ODYM_Good_Type]],Tab_Configuration[Value],Tab_Configuration[ODYM_ID],,0,)</f>
        <v/>
      </c>
      <c r="AG80">
        <f>'0_Configuration'!$C$24</f>
        <v/>
      </c>
      <c r="AH80" t="inlineStr"/>
      <c r="AI80">
        <f>'0_Configuration'!$C$29</f>
        <v/>
      </c>
      <c r="AJ80" t="inlineStr"/>
      <c r="AK80">
        <f>IF(Tab_Def_Flows[[#This Row],[ODYM_time_(t)]],"t,","")&amp;IF(Tab_Def_Flows[[#This Row],[ODYM_Region_(r)]],"r,","")&amp;IF(Tab_Def_Flows[[#This Row],[ODYM_process_(p)]],"p,","")&amp;IF(Tab_Def_Flows[[#This Row],[ODYM_Good_(g)2]],"g,","")&amp;IF(Tab_Def_Flows[[#This Row],[ODYM_material_(m)]],"m,","")&amp;IF(Tab_Def_Flows[[#This Row],[ODYM_element_(e)]],"e","")</f>
        <v/>
      </c>
      <c r="AL80">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81">
      <c r="A81" t="b">
        <v>0</v>
      </c>
      <c r="B81">
        <f>ROW()-1</f>
        <v/>
      </c>
      <c r="C81">
        <f>"F_"&amp;LEFT(G81,2)&amp;"_"&amp;LEFT(I81,2)</f>
        <v/>
      </c>
      <c r="G81">
        <f>_xlfn.XLOOKUP(F81,Tab_Def_Processes[Process_Name],Tab_Def_Processes[Process_ID],,0,)</f>
        <v/>
      </c>
      <c r="I81">
        <f>_xlfn.XLOOKUP(H81,Tab_Def_Processes[Process_Name],Tab_Def_Processes[Process_ID],,0,)</f>
        <v/>
      </c>
      <c r="J81" t="inlineStr">
        <is>
          <t>Yes</t>
        </is>
      </c>
      <c r="K81" t="inlineStr">
        <is>
          <t>Yes</t>
        </is>
      </c>
      <c r="M81" t="inlineStr">
        <is>
          <t>Yes</t>
        </is>
      </c>
      <c r="N81">
        <f>Tab_Def_Flows[[#This Row],[Flow_ID]]&amp;"_WC"</f>
        <v/>
      </c>
      <c r="Q81">
        <f>Tab_Def_Flows[[#This Row],[Flow_ID]]&amp;"_DM"</f>
        <v/>
      </c>
      <c r="T81">
        <f>Tab_Def_Flows[[#This Row],[Flow_ID]]&amp;"_CC"</f>
        <v/>
      </c>
      <c r="W81">
        <f>Tab_Def_Flows[[#This Row],[Flow_CC_DM'[%']]]*Tab_Def_Flows[[#This Row],[Flow_DM'[%']]]</f>
        <v/>
      </c>
      <c r="Y81">
        <f>'0_Configuration'!$C$2</f>
        <v/>
      </c>
      <c r="Z81" t="inlineStr"/>
      <c r="AA81">
        <f>'0_Configuration'!$C$6</f>
        <v/>
      </c>
      <c r="AB81" t="inlineStr"/>
      <c r="AC81">
        <f>'0_Configuration'!$C$10</f>
        <v/>
      </c>
      <c r="AD81" t="inlineStr"/>
      <c r="AE81">
        <f>'0_Configuration'!$C$17</f>
        <v/>
      </c>
      <c r="AF81">
        <f>_xlfn.XLOOKUP(Tab_Def_Flows[[#This Row],[ODYM_Good_Type]],Tab_Configuration[Value],Tab_Configuration[ODYM_ID],,0,)</f>
        <v/>
      </c>
      <c r="AG81">
        <f>'0_Configuration'!$C$24</f>
        <v/>
      </c>
      <c r="AH81" t="inlineStr"/>
      <c r="AI81">
        <f>'0_Configuration'!$C$29</f>
        <v/>
      </c>
      <c r="AJ81" t="inlineStr"/>
      <c r="AK81">
        <f>IF(Tab_Def_Flows[[#This Row],[ODYM_time_(t)]],"t,","")&amp;IF(Tab_Def_Flows[[#This Row],[ODYM_Region_(r)]],"r,","")&amp;IF(Tab_Def_Flows[[#This Row],[ODYM_process_(p)]],"p,","")&amp;IF(Tab_Def_Flows[[#This Row],[ODYM_Good_(g)2]],"g,","")&amp;IF(Tab_Def_Flows[[#This Row],[ODYM_material_(m)]],"m,","")&amp;IF(Tab_Def_Flows[[#This Row],[ODYM_element_(e)]],"e","")</f>
        <v/>
      </c>
      <c r="AL81">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82">
      <c r="A82" t="b">
        <v>0</v>
      </c>
      <c r="B82">
        <f>ROW()-1</f>
        <v/>
      </c>
      <c r="C82">
        <f>"F_"&amp;LEFT(G82,2)&amp;"_"&amp;LEFT(I82,2)</f>
        <v/>
      </c>
      <c r="G82">
        <f>_xlfn.XLOOKUP(F82,Tab_Def_Processes[Process_Name],Tab_Def_Processes[Process_ID],,0,)</f>
        <v/>
      </c>
      <c r="I82">
        <f>_xlfn.XLOOKUP(H82,Tab_Def_Processes[Process_Name],Tab_Def_Processes[Process_ID],,0,)</f>
        <v/>
      </c>
      <c r="J82" t="inlineStr">
        <is>
          <t>Yes</t>
        </is>
      </c>
      <c r="K82" t="inlineStr">
        <is>
          <t>Yes</t>
        </is>
      </c>
      <c r="M82" t="inlineStr">
        <is>
          <t>Yes</t>
        </is>
      </c>
      <c r="N82">
        <f>Tab_Def_Flows[[#This Row],[Flow_ID]]&amp;"_WC"</f>
        <v/>
      </c>
      <c r="Q82">
        <f>Tab_Def_Flows[[#This Row],[Flow_ID]]&amp;"_DM"</f>
        <v/>
      </c>
      <c r="T82">
        <f>Tab_Def_Flows[[#This Row],[Flow_ID]]&amp;"_CC"</f>
        <v/>
      </c>
      <c r="W82">
        <f>Tab_Def_Flows[[#This Row],[Flow_CC_DM'[%']]]*Tab_Def_Flows[[#This Row],[Flow_DM'[%']]]</f>
        <v/>
      </c>
      <c r="Y82">
        <f>'0_Configuration'!$C$2</f>
        <v/>
      </c>
      <c r="Z82" t="inlineStr"/>
      <c r="AA82">
        <f>'0_Configuration'!$C$6</f>
        <v/>
      </c>
      <c r="AB82" t="inlineStr"/>
      <c r="AC82">
        <f>'0_Configuration'!$C$10</f>
        <v/>
      </c>
      <c r="AD82" t="inlineStr"/>
      <c r="AE82">
        <f>'0_Configuration'!$C$17</f>
        <v/>
      </c>
      <c r="AF82">
        <f>_xlfn.XLOOKUP(Tab_Def_Flows[[#This Row],[ODYM_Good_Type]],Tab_Configuration[Value],Tab_Configuration[ODYM_ID],,0,)</f>
        <v/>
      </c>
      <c r="AG82">
        <f>'0_Configuration'!$C$24</f>
        <v/>
      </c>
      <c r="AH82" t="inlineStr"/>
      <c r="AI82">
        <f>'0_Configuration'!$C$29</f>
        <v/>
      </c>
      <c r="AJ82" t="inlineStr"/>
      <c r="AK82">
        <f>IF(Tab_Def_Flows[[#This Row],[ODYM_time_(t)]],"t,","")&amp;IF(Tab_Def_Flows[[#This Row],[ODYM_Region_(r)]],"r,","")&amp;IF(Tab_Def_Flows[[#This Row],[ODYM_process_(p)]],"p,","")&amp;IF(Tab_Def_Flows[[#This Row],[ODYM_Good_(g)2]],"g,","")&amp;IF(Tab_Def_Flows[[#This Row],[ODYM_material_(m)]],"m,","")&amp;IF(Tab_Def_Flows[[#This Row],[ODYM_element_(e)]],"e","")</f>
        <v/>
      </c>
      <c r="AL82">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83">
      <c r="A83" t="b">
        <v>0</v>
      </c>
      <c r="B83">
        <f>ROW()-1</f>
        <v/>
      </c>
      <c r="C83">
        <f>"F_"&amp;LEFT(G83,2)&amp;"_"&amp;LEFT(I83,2)</f>
        <v/>
      </c>
      <c r="G83">
        <f>_xlfn.XLOOKUP(F83,Tab_Def_Processes[Process_Name],Tab_Def_Processes[Process_ID],,0,)</f>
        <v/>
      </c>
      <c r="I83">
        <f>_xlfn.XLOOKUP(H83,Tab_Def_Processes[Process_Name],Tab_Def_Processes[Process_ID],,0,)</f>
        <v/>
      </c>
      <c r="J83" t="inlineStr">
        <is>
          <t>Yes</t>
        </is>
      </c>
      <c r="K83" t="inlineStr">
        <is>
          <t>Yes</t>
        </is>
      </c>
      <c r="M83" t="inlineStr">
        <is>
          <t>Yes</t>
        </is>
      </c>
      <c r="N83">
        <f>Tab_Def_Flows[[#This Row],[Flow_ID]]&amp;"_WC"</f>
        <v/>
      </c>
      <c r="Q83">
        <f>Tab_Def_Flows[[#This Row],[Flow_ID]]&amp;"_DM"</f>
        <v/>
      </c>
      <c r="T83">
        <f>Tab_Def_Flows[[#This Row],[Flow_ID]]&amp;"_CC"</f>
        <v/>
      </c>
      <c r="W83">
        <f>Tab_Def_Flows[[#This Row],[Flow_CC_DM'[%']]]*Tab_Def_Flows[[#This Row],[Flow_DM'[%']]]</f>
        <v/>
      </c>
      <c r="Y83">
        <f>'0_Configuration'!$C$2</f>
        <v/>
      </c>
      <c r="Z83" t="inlineStr"/>
      <c r="AA83">
        <f>'0_Configuration'!$C$6</f>
        <v/>
      </c>
      <c r="AB83" t="inlineStr"/>
      <c r="AC83">
        <f>'0_Configuration'!$C$10</f>
        <v/>
      </c>
      <c r="AD83" t="inlineStr"/>
      <c r="AE83">
        <f>'0_Configuration'!$C$17</f>
        <v/>
      </c>
      <c r="AF83">
        <f>_xlfn.XLOOKUP(Tab_Def_Flows[[#This Row],[ODYM_Good_Type]],Tab_Configuration[Value],Tab_Configuration[ODYM_ID],,0,)</f>
        <v/>
      </c>
      <c r="AG83">
        <f>'0_Configuration'!$C$24</f>
        <v/>
      </c>
      <c r="AH83" t="inlineStr"/>
      <c r="AI83">
        <f>'0_Configuration'!$C$29</f>
        <v/>
      </c>
      <c r="AJ83" t="inlineStr"/>
      <c r="AK83">
        <f>IF(Tab_Def_Flows[[#This Row],[ODYM_time_(t)]],"t,","")&amp;IF(Tab_Def_Flows[[#This Row],[ODYM_Region_(r)]],"r,","")&amp;IF(Tab_Def_Flows[[#This Row],[ODYM_process_(p)]],"p,","")&amp;IF(Tab_Def_Flows[[#This Row],[ODYM_Good_(g)2]],"g,","")&amp;IF(Tab_Def_Flows[[#This Row],[ODYM_material_(m)]],"m,","")&amp;IF(Tab_Def_Flows[[#This Row],[ODYM_element_(e)]],"e","")</f>
        <v/>
      </c>
      <c r="AL83">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84">
      <c r="A84" t="b">
        <v>0</v>
      </c>
      <c r="B84">
        <f>ROW()-1</f>
        <v/>
      </c>
      <c r="C84">
        <f>"F_"&amp;LEFT(G84,2)&amp;"_"&amp;LEFT(I84,2)</f>
        <v/>
      </c>
      <c r="G84">
        <f>_xlfn.XLOOKUP(F84,Tab_Def_Processes[Process_Name],Tab_Def_Processes[Process_ID],,0,)</f>
        <v/>
      </c>
      <c r="I84">
        <f>_xlfn.XLOOKUP(H84,Tab_Def_Processes[Process_Name],Tab_Def_Processes[Process_ID],,0,)</f>
        <v/>
      </c>
      <c r="J84" t="inlineStr">
        <is>
          <t>Yes</t>
        </is>
      </c>
      <c r="K84" t="inlineStr">
        <is>
          <t>Yes</t>
        </is>
      </c>
      <c r="M84" t="inlineStr">
        <is>
          <t>Yes</t>
        </is>
      </c>
      <c r="N84">
        <f>Tab_Def_Flows[[#This Row],[Flow_ID]]&amp;"_WC"</f>
        <v/>
      </c>
      <c r="Q84">
        <f>Tab_Def_Flows[[#This Row],[Flow_ID]]&amp;"_DM"</f>
        <v/>
      </c>
      <c r="T84">
        <f>Tab_Def_Flows[[#This Row],[Flow_ID]]&amp;"_CC"</f>
        <v/>
      </c>
      <c r="W84">
        <f>Tab_Def_Flows[[#This Row],[Flow_CC_DM'[%']]]*Tab_Def_Flows[[#This Row],[Flow_DM'[%']]]</f>
        <v/>
      </c>
      <c r="Y84">
        <f>'0_Configuration'!$C$2</f>
        <v/>
      </c>
      <c r="Z84" t="inlineStr"/>
      <c r="AA84">
        <f>'0_Configuration'!$C$6</f>
        <v/>
      </c>
      <c r="AB84" t="inlineStr"/>
      <c r="AC84">
        <f>'0_Configuration'!$C$10</f>
        <v/>
      </c>
      <c r="AD84" t="inlineStr"/>
      <c r="AE84">
        <f>'0_Configuration'!$C$17</f>
        <v/>
      </c>
      <c r="AF84">
        <f>_xlfn.XLOOKUP(Tab_Def_Flows[[#This Row],[ODYM_Good_Type]],Tab_Configuration[Value],Tab_Configuration[ODYM_ID],,0,)</f>
        <v/>
      </c>
      <c r="AG84">
        <f>'0_Configuration'!$C$24</f>
        <v/>
      </c>
      <c r="AH84" t="inlineStr"/>
      <c r="AI84">
        <f>'0_Configuration'!$C$29</f>
        <v/>
      </c>
      <c r="AJ84" t="inlineStr"/>
      <c r="AK84">
        <f>IF(Tab_Def_Flows[[#This Row],[ODYM_time_(t)]],"t,","")&amp;IF(Tab_Def_Flows[[#This Row],[ODYM_Region_(r)]],"r,","")&amp;IF(Tab_Def_Flows[[#This Row],[ODYM_process_(p)]],"p,","")&amp;IF(Tab_Def_Flows[[#This Row],[ODYM_Good_(g)2]],"g,","")&amp;IF(Tab_Def_Flows[[#This Row],[ODYM_material_(m)]],"m,","")&amp;IF(Tab_Def_Flows[[#This Row],[ODYM_element_(e)]],"e","")</f>
        <v/>
      </c>
      <c r="AL84">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85">
      <c r="A85" t="b">
        <v>0</v>
      </c>
      <c r="B85">
        <f>ROW()-1</f>
        <v/>
      </c>
      <c r="C85">
        <f>"F_"&amp;LEFT(G85,2)&amp;"_"&amp;LEFT(I85,2)</f>
        <v/>
      </c>
      <c r="G85">
        <f>_xlfn.XLOOKUP(F85,Tab_Def_Processes[Process_Name],Tab_Def_Processes[Process_ID],,0,)</f>
        <v/>
      </c>
      <c r="I85">
        <f>_xlfn.XLOOKUP(H85,Tab_Def_Processes[Process_Name],Tab_Def_Processes[Process_ID],,0,)</f>
        <v/>
      </c>
      <c r="J85" t="inlineStr">
        <is>
          <t>Yes</t>
        </is>
      </c>
      <c r="K85" t="inlineStr">
        <is>
          <t>Yes</t>
        </is>
      </c>
      <c r="M85" t="inlineStr">
        <is>
          <t>Yes</t>
        </is>
      </c>
      <c r="N85">
        <f>Tab_Def_Flows[[#This Row],[Flow_ID]]&amp;"_WC"</f>
        <v/>
      </c>
      <c r="Q85">
        <f>Tab_Def_Flows[[#This Row],[Flow_ID]]&amp;"_DM"</f>
        <v/>
      </c>
      <c r="T85">
        <f>Tab_Def_Flows[[#This Row],[Flow_ID]]&amp;"_CC"</f>
        <v/>
      </c>
      <c r="W85">
        <f>Tab_Def_Flows[[#This Row],[Flow_CC_DM'[%']]]*Tab_Def_Flows[[#This Row],[Flow_DM'[%']]]</f>
        <v/>
      </c>
      <c r="Y85">
        <f>'0_Configuration'!$C$2</f>
        <v/>
      </c>
      <c r="Z85" t="inlineStr"/>
      <c r="AA85">
        <f>'0_Configuration'!$C$6</f>
        <v/>
      </c>
      <c r="AB85" t="inlineStr"/>
      <c r="AC85">
        <f>'0_Configuration'!$C$10</f>
        <v/>
      </c>
      <c r="AD85" t="inlineStr"/>
      <c r="AE85">
        <f>'0_Configuration'!$C$17</f>
        <v/>
      </c>
      <c r="AF85">
        <f>_xlfn.XLOOKUP(Tab_Def_Flows[[#This Row],[ODYM_Good_Type]],Tab_Configuration[Value],Tab_Configuration[ODYM_ID],,0,)</f>
        <v/>
      </c>
      <c r="AG85">
        <f>'0_Configuration'!$C$24</f>
        <v/>
      </c>
      <c r="AH85" t="inlineStr"/>
      <c r="AI85">
        <f>'0_Configuration'!$C$29</f>
        <v/>
      </c>
      <c r="AJ85" t="inlineStr"/>
      <c r="AK85">
        <f>IF(Tab_Def_Flows[[#This Row],[ODYM_time_(t)]],"t,","")&amp;IF(Tab_Def_Flows[[#This Row],[ODYM_Region_(r)]],"r,","")&amp;IF(Tab_Def_Flows[[#This Row],[ODYM_process_(p)]],"p,","")&amp;IF(Tab_Def_Flows[[#This Row],[ODYM_Good_(g)2]],"g,","")&amp;IF(Tab_Def_Flows[[#This Row],[ODYM_material_(m)]],"m,","")&amp;IF(Tab_Def_Flows[[#This Row],[ODYM_element_(e)]],"e","")</f>
        <v/>
      </c>
      <c r="AL85">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86">
      <c r="A86" t="b">
        <v>0</v>
      </c>
      <c r="B86">
        <f>ROW()-1</f>
        <v/>
      </c>
      <c r="C86">
        <f>"F_"&amp;LEFT(G86,2)&amp;"_"&amp;LEFT(I86,2)</f>
        <v/>
      </c>
      <c r="G86">
        <f>_xlfn.XLOOKUP(F86,Tab_Def_Processes[Process_Name],Tab_Def_Processes[Process_ID],,0,)</f>
        <v/>
      </c>
      <c r="I86">
        <f>_xlfn.XLOOKUP(H86,Tab_Def_Processes[Process_Name],Tab_Def_Processes[Process_ID],,0,)</f>
        <v/>
      </c>
      <c r="J86" t="inlineStr">
        <is>
          <t>Yes</t>
        </is>
      </c>
      <c r="K86" t="inlineStr">
        <is>
          <t>Yes</t>
        </is>
      </c>
      <c r="M86" t="inlineStr">
        <is>
          <t>Yes</t>
        </is>
      </c>
      <c r="N86">
        <f>Tab_Def_Flows[[#This Row],[Flow_ID]]&amp;"_WC"</f>
        <v/>
      </c>
      <c r="Q86">
        <f>Tab_Def_Flows[[#This Row],[Flow_ID]]&amp;"_DM"</f>
        <v/>
      </c>
      <c r="T86">
        <f>Tab_Def_Flows[[#This Row],[Flow_ID]]&amp;"_CC"</f>
        <v/>
      </c>
      <c r="W86">
        <f>Tab_Def_Flows[[#This Row],[Flow_CC_DM'[%']]]*Tab_Def_Flows[[#This Row],[Flow_DM'[%']]]</f>
        <v/>
      </c>
      <c r="Y86">
        <f>'0_Configuration'!$C$2</f>
        <v/>
      </c>
      <c r="Z86" t="inlineStr"/>
      <c r="AA86">
        <f>'0_Configuration'!$C$6</f>
        <v/>
      </c>
      <c r="AB86" t="inlineStr"/>
      <c r="AC86">
        <f>'0_Configuration'!$C$10</f>
        <v/>
      </c>
      <c r="AD86" t="inlineStr"/>
      <c r="AE86">
        <f>'0_Configuration'!$C$17</f>
        <v/>
      </c>
      <c r="AF86">
        <f>_xlfn.XLOOKUP(Tab_Def_Flows[[#This Row],[ODYM_Good_Type]],Tab_Configuration[Value],Tab_Configuration[ODYM_ID],,0,)</f>
        <v/>
      </c>
      <c r="AG86">
        <f>'0_Configuration'!$C$24</f>
        <v/>
      </c>
      <c r="AH86" t="inlineStr"/>
      <c r="AI86">
        <f>'0_Configuration'!$C$29</f>
        <v/>
      </c>
      <c r="AJ86" t="inlineStr"/>
      <c r="AK86">
        <f>IF(Tab_Def_Flows[[#This Row],[ODYM_time_(t)]],"t,","")&amp;IF(Tab_Def_Flows[[#This Row],[ODYM_Region_(r)]],"r,","")&amp;IF(Tab_Def_Flows[[#This Row],[ODYM_process_(p)]],"p,","")&amp;IF(Tab_Def_Flows[[#This Row],[ODYM_Good_(g)2]],"g,","")&amp;IF(Tab_Def_Flows[[#This Row],[ODYM_material_(m)]],"m,","")&amp;IF(Tab_Def_Flows[[#This Row],[ODYM_element_(e)]],"e","")</f>
        <v/>
      </c>
      <c r="AL86">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87">
      <c r="A87" t="b">
        <v>0</v>
      </c>
      <c r="B87">
        <f>ROW()-1</f>
        <v/>
      </c>
      <c r="C87">
        <f>"F_"&amp;LEFT(G87,2)&amp;"_"&amp;LEFT(I87,2)</f>
        <v/>
      </c>
      <c r="G87">
        <f>_xlfn.XLOOKUP(F87,Tab_Def_Processes[Process_Name],Tab_Def_Processes[Process_ID],,0,)</f>
        <v/>
      </c>
      <c r="I87">
        <f>_xlfn.XLOOKUP(H87,Tab_Def_Processes[Process_Name],Tab_Def_Processes[Process_ID],,0,)</f>
        <v/>
      </c>
      <c r="J87" t="inlineStr">
        <is>
          <t>Yes</t>
        </is>
      </c>
      <c r="K87" t="inlineStr">
        <is>
          <t>Yes</t>
        </is>
      </c>
      <c r="M87" t="inlineStr">
        <is>
          <t>Yes</t>
        </is>
      </c>
      <c r="N87">
        <f>Tab_Def_Flows[[#This Row],[Flow_ID]]&amp;"_WC"</f>
        <v/>
      </c>
      <c r="Q87">
        <f>Tab_Def_Flows[[#This Row],[Flow_ID]]&amp;"_DM"</f>
        <v/>
      </c>
      <c r="T87">
        <f>Tab_Def_Flows[[#This Row],[Flow_ID]]&amp;"_CC"</f>
        <v/>
      </c>
      <c r="W87">
        <f>Tab_Def_Flows[[#This Row],[Flow_CC_DM'[%']]]*Tab_Def_Flows[[#This Row],[Flow_DM'[%']]]</f>
        <v/>
      </c>
      <c r="Y87">
        <f>'0_Configuration'!$C$2</f>
        <v/>
      </c>
      <c r="Z87" t="inlineStr"/>
      <c r="AA87">
        <f>'0_Configuration'!$C$6</f>
        <v/>
      </c>
      <c r="AB87" t="inlineStr"/>
      <c r="AC87">
        <f>'0_Configuration'!$C$10</f>
        <v/>
      </c>
      <c r="AD87" t="inlineStr"/>
      <c r="AE87">
        <f>'0_Configuration'!$C$17</f>
        <v/>
      </c>
      <c r="AF87">
        <f>_xlfn.XLOOKUP(Tab_Def_Flows[[#This Row],[ODYM_Good_Type]],Tab_Configuration[Value],Tab_Configuration[ODYM_ID],,0,)</f>
        <v/>
      </c>
      <c r="AG87">
        <f>'0_Configuration'!$C$24</f>
        <v/>
      </c>
      <c r="AH87" t="inlineStr"/>
      <c r="AI87">
        <f>'0_Configuration'!$C$29</f>
        <v/>
      </c>
      <c r="AJ87" t="inlineStr"/>
      <c r="AK87">
        <f>IF(Tab_Def_Flows[[#This Row],[ODYM_time_(t)]],"t,","")&amp;IF(Tab_Def_Flows[[#This Row],[ODYM_Region_(r)]],"r,","")&amp;IF(Tab_Def_Flows[[#This Row],[ODYM_process_(p)]],"p,","")&amp;IF(Tab_Def_Flows[[#This Row],[ODYM_Good_(g)2]],"g,","")&amp;IF(Tab_Def_Flows[[#This Row],[ODYM_material_(m)]],"m,","")&amp;IF(Tab_Def_Flows[[#This Row],[ODYM_element_(e)]],"e","")</f>
        <v/>
      </c>
      <c r="AL87">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88">
      <c r="A88" t="b">
        <v>0</v>
      </c>
      <c r="B88">
        <f>ROW()-1</f>
        <v/>
      </c>
      <c r="C88">
        <f>"F_"&amp;LEFT(G88,2)&amp;"_"&amp;LEFT(I88,2)</f>
        <v/>
      </c>
      <c r="G88">
        <f>_xlfn.XLOOKUP(F88,Tab_Def_Processes[Process_Name],Tab_Def_Processes[Process_ID],,0,)</f>
        <v/>
      </c>
      <c r="I88">
        <f>_xlfn.XLOOKUP(H88,Tab_Def_Processes[Process_Name],Tab_Def_Processes[Process_ID],,0,)</f>
        <v/>
      </c>
      <c r="J88" t="inlineStr">
        <is>
          <t>Yes</t>
        </is>
      </c>
      <c r="K88" t="inlineStr">
        <is>
          <t>Yes</t>
        </is>
      </c>
      <c r="M88" t="inlineStr">
        <is>
          <t>Yes</t>
        </is>
      </c>
      <c r="N88">
        <f>Tab_Def_Flows[[#This Row],[Flow_ID]]&amp;"_WC"</f>
        <v/>
      </c>
      <c r="Q88">
        <f>Tab_Def_Flows[[#This Row],[Flow_ID]]&amp;"_DM"</f>
        <v/>
      </c>
      <c r="T88">
        <f>Tab_Def_Flows[[#This Row],[Flow_ID]]&amp;"_CC"</f>
        <v/>
      </c>
      <c r="W88">
        <f>Tab_Def_Flows[[#This Row],[Flow_CC_DM'[%']]]*Tab_Def_Flows[[#This Row],[Flow_DM'[%']]]</f>
        <v/>
      </c>
      <c r="Y88">
        <f>'0_Configuration'!$C$2</f>
        <v/>
      </c>
      <c r="Z88" t="inlineStr"/>
      <c r="AA88">
        <f>'0_Configuration'!$C$6</f>
        <v/>
      </c>
      <c r="AB88" t="inlineStr"/>
      <c r="AC88">
        <f>'0_Configuration'!$C$10</f>
        <v/>
      </c>
      <c r="AD88" t="inlineStr"/>
      <c r="AE88">
        <f>'0_Configuration'!$C$17</f>
        <v/>
      </c>
      <c r="AF88">
        <f>_xlfn.XLOOKUP(Tab_Def_Flows[[#This Row],[ODYM_Good_Type]],Tab_Configuration[Value],Tab_Configuration[ODYM_ID],,0,)</f>
        <v/>
      </c>
      <c r="AG88">
        <f>'0_Configuration'!$C$24</f>
        <v/>
      </c>
      <c r="AH88" t="inlineStr"/>
      <c r="AI88">
        <f>'0_Configuration'!$C$29</f>
        <v/>
      </c>
      <c r="AJ88" t="inlineStr"/>
      <c r="AK88">
        <f>IF(Tab_Def_Flows[[#This Row],[ODYM_time_(t)]],"t,","")&amp;IF(Tab_Def_Flows[[#This Row],[ODYM_Region_(r)]],"r,","")&amp;IF(Tab_Def_Flows[[#This Row],[ODYM_process_(p)]],"p,","")&amp;IF(Tab_Def_Flows[[#This Row],[ODYM_Good_(g)2]],"g,","")&amp;IF(Tab_Def_Flows[[#This Row],[ODYM_material_(m)]],"m,","")&amp;IF(Tab_Def_Flows[[#This Row],[ODYM_element_(e)]],"e","")</f>
        <v/>
      </c>
      <c r="AL88">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89">
      <c r="A89" t="b">
        <v>0</v>
      </c>
      <c r="B89">
        <f>ROW()-1</f>
        <v/>
      </c>
      <c r="C89">
        <f>"F_"&amp;LEFT(G89,2)&amp;"_"&amp;LEFT(I89,2)</f>
        <v/>
      </c>
      <c r="G89">
        <f>_xlfn.XLOOKUP(F89,Tab_Def_Processes[Process_Name],Tab_Def_Processes[Process_ID],,0,)</f>
        <v/>
      </c>
      <c r="I89">
        <f>_xlfn.XLOOKUP(H89,Tab_Def_Processes[Process_Name],Tab_Def_Processes[Process_ID],,0,)</f>
        <v/>
      </c>
      <c r="J89" t="inlineStr">
        <is>
          <t>Yes</t>
        </is>
      </c>
      <c r="K89" t="inlineStr">
        <is>
          <t>Yes</t>
        </is>
      </c>
      <c r="M89" t="inlineStr">
        <is>
          <t>Yes</t>
        </is>
      </c>
      <c r="N89">
        <f>Tab_Def_Flows[[#This Row],[Flow_ID]]&amp;"_WC"</f>
        <v/>
      </c>
      <c r="Q89">
        <f>Tab_Def_Flows[[#This Row],[Flow_ID]]&amp;"_DM"</f>
        <v/>
      </c>
      <c r="T89">
        <f>Tab_Def_Flows[[#This Row],[Flow_ID]]&amp;"_CC"</f>
        <v/>
      </c>
      <c r="W89">
        <f>Tab_Def_Flows[[#This Row],[Flow_CC_DM'[%']]]*Tab_Def_Flows[[#This Row],[Flow_DM'[%']]]</f>
        <v/>
      </c>
      <c r="Y89">
        <f>'0_Configuration'!$C$2</f>
        <v/>
      </c>
      <c r="Z89" t="inlineStr"/>
      <c r="AA89">
        <f>'0_Configuration'!$C$6</f>
        <v/>
      </c>
      <c r="AB89" t="inlineStr"/>
      <c r="AC89">
        <f>'0_Configuration'!$C$10</f>
        <v/>
      </c>
      <c r="AD89" t="inlineStr"/>
      <c r="AE89">
        <f>'0_Configuration'!$C$17</f>
        <v/>
      </c>
      <c r="AF89">
        <f>_xlfn.XLOOKUP(Tab_Def_Flows[[#This Row],[ODYM_Good_Type]],Tab_Configuration[Value],Tab_Configuration[ODYM_ID],,0,)</f>
        <v/>
      </c>
      <c r="AG89">
        <f>'0_Configuration'!$C$24</f>
        <v/>
      </c>
      <c r="AH89" t="inlineStr"/>
      <c r="AI89">
        <f>'0_Configuration'!$C$29</f>
        <v/>
      </c>
      <c r="AJ89" t="inlineStr"/>
      <c r="AK89">
        <f>IF(Tab_Def_Flows[[#This Row],[ODYM_time_(t)]],"t,","")&amp;IF(Tab_Def_Flows[[#This Row],[ODYM_Region_(r)]],"r,","")&amp;IF(Tab_Def_Flows[[#This Row],[ODYM_process_(p)]],"p,","")&amp;IF(Tab_Def_Flows[[#This Row],[ODYM_Good_(g)2]],"g,","")&amp;IF(Tab_Def_Flows[[#This Row],[ODYM_material_(m)]],"m,","")&amp;IF(Tab_Def_Flows[[#This Row],[ODYM_element_(e)]],"e","")</f>
        <v/>
      </c>
      <c r="AL89">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90">
      <c r="A90" t="b">
        <v>0</v>
      </c>
      <c r="B90">
        <f>ROW()-1</f>
        <v/>
      </c>
      <c r="C90">
        <f>"F_"&amp;LEFT(G90,2)&amp;"_"&amp;LEFT(I90,2)</f>
        <v/>
      </c>
      <c r="G90">
        <f>_xlfn.XLOOKUP(F90,Tab_Def_Processes[Process_Name],Tab_Def_Processes[Process_ID],,0,)</f>
        <v/>
      </c>
      <c r="I90">
        <f>_xlfn.XLOOKUP(H90,Tab_Def_Processes[Process_Name],Tab_Def_Processes[Process_ID],,0,)</f>
        <v/>
      </c>
      <c r="J90" t="inlineStr">
        <is>
          <t>Yes</t>
        </is>
      </c>
      <c r="K90" t="inlineStr">
        <is>
          <t>Yes</t>
        </is>
      </c>
      <c r="M90" t="inlineStr">
        <is>
          <t>Yes</t>
        </is>
      </c>
      <c r="N90">
        <f>Tab_Def_Flows[[#This Row],[Flow_ID]]&amp;"_WC"</f>
        <v/>
      </c>
      <c r="Q90">
        <f>Tab_Def_Flows[[#This Row],[Flow_ID]]&amp;"_DM"</f>
        <v/>
      </c>
      <c r="T90">
        <f>Tab_Def_Flows[[#This Row],[Flow_ID]]&amp;"_CC"</f>
        <v/>
      </c>
      <c r="W90">
        <f>Tab_Def_Flows[[#This Row],[Flow_CC_DM'[%']]]*Tab_Def_Flows[[#This Row],[Flow_DM'[%']]]</f>
        <v/>
      </c>
      <c r="Y90">
        <f>'0_Configuration'!$C$2</f>
        <v/>
      </c>
      <c r="Z90" t="inlineStr"/>
      <c r="AA90">
        <f>'0_Configuration'!$C$6</f>
        <v/>
      </c>
      <c r="AB90" t="inlineStr"/>
      <c r="AC90">
        <f>'0_Configuration'!$C$10</f>
        <v/>
      </c>
      <c r="AD90" t="inlineStr"/>
      <c r="AE90">
        <f>'0_Configuration'!$C$17</f>
        <v/>
      </c>
      <c r="AF90">
        <f>_xlfn.XLOOKUP(Tab_Def_Flows[[#This Row],[ODYM_Good_Type]],Tab_Configuration[Value],Tab_Configuration[ODYM_ID],,0,)</f>
        <v/>
      </c>
      <c r="AG90">
        <f>'0_Configuration'!$C$24</f>
        <v/>
      </c>
      <c r="AH90" t="inlineStr"/>
      <c r="AI90">
        <f>'0_Configuration'!$C$29</f>
        <v/>
      </c>
      <c r="AJ90" t="inlineStr"/>
      <c r="AK90">
        <f>IF(Tab_Def_Flows[[#This Row],[ODYM_time_(t)]],"t,","")&amp;IF(Tab_Def_Flows[[#This Row],[ODYM_Region_(r)]],"r,","")&amp;IF(Tab_Def_Flows[[#This Row],[ODYM_process_(p)]],"p,","")&amp;IF(Tab_Def_Flows[[#This Row],[ODYM_Good_(g)2]],"g,","")&amp;IF(Tab_Def_Flows[[#This Row],[ODYM_material_(m)]],"m,","")&amp;IF(Tab_Def_Flows[[#This Row],[ODYM_element_(e)]],"e","")</f>
        <v/>
      </c>
      <c r="AL90">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91">
      <c r="A91" t="b">
        <v>0</v>
      </c>
      <c r="B91">
        <f>ROW()-1</f>
        <v/>
      </c>
      <c r="C91">
        <f>"F_"&amp;LEFT(G91,2)&amp;"_"&amp;LEFT(I91,2)</f>
        <v/>
      </c>
      <c r="G91">
        <f>_xlfn.XLOOKUP(F91,Tab_Def_Processes[Process_Name],Tab_Def_Processes[Process_ID],,0,)</f>
        <v/>
      </c>
      <c r="I91">
        <f>_xlfn.XLOOKUP(H91,Tab_Def_Processes[Process_Name],Tab_Def_Processes[Process_ID],,0,)</f>
        <v/>
      </c>
      <c r="J91" t="inlineStr">
        <is>
          <t>Yes</t>
        </is>
      </c>
      <c r="K91" t="inlineStr">
        <is>
          <t>Yes</t>
        </is>
      </c>
      <c r="M91" t="inlineStr">
        <is>
          <t>Yes</t>
        </is>
      </c>
      <c r="N91">
        <f>Tab_Def_Flows[[#This Row],[Flow_ID]]&amp;"_WC"</f>
        <v/>
      </c>
      <c r="Q91">
        <f>Tab_Def_Flows[[#This Row],[Flow_ID]]&amp;"_DM"</f>
        <v/>
      </c>
      <c r="T91">
        <f>Tab_Def_Flows[[#This Row],[Flow_ID]]&amp;"_CC"</f>
        <v/>
      </c>
      <c r="W91">
        <f>Tab_Def_Flows[[#This Row],[Flow_CC_DM'[%']]]*Tab_Def_Flows[[#This Row],[Flow_DM'[%']]]</f>
        <v/>
      </c>
      <c r="Y91">
        <f>'0_Configuration'!$C$2</f>
        <v/>
      </c>
      <c r="Z91" t="inlineStr"/>
      <c r="AA91">
        <f>'0_Configuration'!$C$6</f>
        <v/>
      </c>
      <c r="AB91" t="inlineStr"/>
      <c r="AC91">
        <f>'0_Configuration'!$C$10</f>
        <v/>
      </c>
      <c r="AD91" t="inlineStr"/>
      <c r="AE91">
        <f>'0_Configuration'!$C$17</f>
        <v/>
      </c>
      <c r="AF91">
        <f>_xlfn.XLOOKUP(Tab_Def_Flows[[#This Row],[ODYM_Good_Type]],Tab_Configuration[Value],Tab_Configuration[ODYM_ID],,0,)</f>
        <v/>
      </c>
      <c r="AG91">
        <f>'0_Configuration'!$C$24</f>
        <v/>
      </c>
      <c r="AH91" t="inlineStr"/>
      <c r="AI91">
        <f>'0_Configuration'!$C$29</f>
        <v/>
      </c>
      <c r="AJ91" t="inlineStr"/>
      <c r="AK91">
        <f>IF(Tab_Def_Flows[[#This Row],[ODYM_time_(t)]],"t,","")&amp;IF(Tab_Def_Flows[[#This Row],[ODYM_Region_(r)]],"r,","")&amp;IF(Tab_Def_Flows[[#This Row],[ODYM_process_(p)]],"p,","")&amp;IF(Tab_Def_Flows[[#This Row],[ODYM_Good_(g)2]],"g,","")&amp;IF(Tab_Def_Flows[[#This Row],[ODYM_material_(m)]],"m,","")&amp;IF(Tab_Def_Flows[[#This Row],[ODYM_element_(e)]],"e","")</f>
        <v/>
      </c>
      <c r="AL91">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92">
      <c r="A92" t="b">
        <v>0</v>
      </c>
      <c r="B92">
        <f>ROW()-1</f>
        <v/>
      </c>
      <c r="C92">
        <f>"F_"&amp;LEFT(G92,2)&amp;"_"&amp;LEFT(I92,2)</f>
        <v/>
      </c>
      <c r="G92">
        <f>_xlfn.XLOOKUP(F92,Tab_Def_Processes[Process_Name],Tab_Def_Processes[Process_ID],,0,)</f>
        <v/>
      </c>
      <c r="I92">
        <f>_xlfn.XLOOKUP(H92,Tab_Def_Processes[Process_Name],Tab_Def_Processes[Process_ID],,0,)</f>
        <v/>
      </c>
      <c r="J92" t="inlineStr">
        <is>
          <t>Yes</t>
        </is>
      </c>
      <c r="K92" t="inlineStr">
        <is>
          <t>Yes</t>
        </is>
      </c>
      <c r="M92" t="inlineStr">
        <is>
          <t>Yes</t>
        </is>
      </c>
      <c r="N92">
        <f>Tab_Def_Flows[[#This Row],[Flow_ID]]&amp;"_WC"</f>
        <v/>
      </c>
      <c r="Q92">
        <f>Tab_Def_Flows[[#This Row],[Flow_ID]]&amp;"_DM"</f>
        <v/>
      </c>
      <c r="T92">
        <f>Tab_Def_Flows[[#This Row],[Flow_ID]]&amp;"_CC"</f>
        <v/>
      </c>
      <c r="W92">
        <f>Tab_Def_Flows[[#This Row],[Flow_CC_DM'[%']]]*Tab_Def_Flows[[#This Row],[Flow_DM'[%']]]</f>
        <v/>
      </c>
      <c r="Y92">
        <f>'0_Configuration'!$C$2</f>
        <v/>
      </c>
      <c r="Z92" t="inlineStr"/>
      <c r="AA92">
        <f>'0_Configuration'!$C$6</f>
        <v/>
      </c>
      <c r="AB92" t="inlineStr"/>
      <c r="AC92">
        <f>'0_Configuration'!$C$10</f>
        <v/>
      </c>
      <c r="AD92" t="inlineStr"/>
      <c r="AE92">
        <f>'0_Configuration'!$C$17</f>
        <v/>
      </c>
      <c r="AF92">
        <f>_xlfn.XLOOKUP(Tab_Def_Flows[[#This Row],[ODYM_Good_Type]],Tab_Configuration[Value],Tab_Configuration[ODYM_ID],,0,)</f>
        <v/>
      </c>
      <c r="AG92">
        <f>'0_Configuration'!$C$24</f>
        <v/>
      </c>
      <c r="AH92" t="inlineStr"/>
      <c r="AI92">
        <f>'0_Configuration'!$C$29</f>
        <v/>
      </c>
      <c r="AJ92" t="inlineStr"/>
      <c r="AK92">
        <f>IF(Tab_Def_Flows[[#This Row],[ODYM_time_(t)]],"t,","")&amp;IF(Tab_Def_Flows[[#This Row],[ODYM_Region_(r)]],"r,","")&amp;IF(Tab_Def_Flows[[#This Row],[ODYM_process_(p)]],"p,","")&amp;IF(Tab_Def_Flows[[#This Row],[ODYM_Good_(g)2]],"g,","")&amp;IF(Tab_Def_Flows[[#This Row],[ODYM_material_(m)]],"m,","")&amp;IF(Tab_Def_Flows[[#This Row],[ODYM_element_(e)]],"e","")</f>
        <v/>
      </c>
      <c r="AL92">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93">
      <c r="A93" t="b">
        <v>0</v>
      </c>
      <c r="B93">
        <f>ROW()-1</f>
        <v/>
      </c>
      <c r="C93">
        <f>"F_"&amp;LEFT(G93,2)&amp;"_"&amp;LEFT(I93,2)</f>
        <v/>
      </c>
      <c r="G93">
        <f>_xlfn.XLOOKUP(F93,Tab_Def_Processes[Process_Name],Tab_Def_Processes[Process_ID],,0,)</f>
        <v/>
      </c>
      <c r="I93">
        <f>_xlfn.XLOOKUP(H93,Tab_Def_Processes[Process_Name],Tab_Def_Processes[Process_ID],,0,)</f>
        <v/>
      </c>
      <c r="J93" t="inlineStr">
        <is>
          <t>Yes</t>
        </is>
      </c>
      <c r="K93" t="inlineStr">
        <is>
          <t>Yes</t>
        </is>
      </c>
      <c r="M93" t="inlineStr">
        <is>
          <t>Yes</t>
        </is>
      </c>
      <c r="N93">
        <f>Tab_Def_Flows[[#This Row],[Flow_ID]]&amp;"_WC"</f>
        <v/>
      </c>
      <c r="Q93">
        <f>Tab_Def_Flows[[#This Row],[Flow_ID]]&amp;"_DM"</f>
        <v/>
      </c>
      <c r="T93">
        <f>Tab_Def_Flows[[#This Row],[Flow_ID]]&amp;"_CC"</f>
        <v/>
      </c>
      <c r="W93">
        <f>Tab_Def_Flows[[#This Row],[Flow_CC_DM'[%']]]*Tab_Def_Flows[[#This Row],[Flow_DM'[%']]]</f>
        <v/>
      </c>
      <c r="Y93">
        <f>'0_Configuration'!$C$2</f>
        <v/>
      </c>
      <c r="Z93" t="inlineStr"/>
      <c r="AA93">
        <f>'0_Configuration'!$C$6</f>
        <v/>
      </c>
      <c r="AB93" t="inlineStr"/>
      <c r="AC93">
        <f>'0_Configuration'!$C$10</f>
        <v/>
      </c>
      <c r="AD93" t="inlineStr"/>
      <c r="AE93">
        <f>'0_Configuration'!$C$17</f>
        <v/>
      </c>
      <c r="AF93">
        <f>_xlfn.XLOOKUP(Tab_Def_Flows[[#This Row],[ODYM_Good_Type]],Tab_Configuration[Value],Tab_Configuration[ODYM_ID],,0,)</f>
        <v/>
      </c>
      <c r="AG93">
        <f>'0_Configuration'!$C$24</f>
        <v/>
      </c>
      <c r="AH93" t="inlineStr"/>
      <c r="AI93">
        <f>'0_Configuration'!$C$29</f>
        <v/>
      </c>
      <c r="AJ93" t="inlineStr"/>
      <c r="AK93">
        <f>IF(Tab_Def_Flows[[#This Row],[ODYM_time_(t)]],"t,","")&amp;IF(Tab_Def_Flows[[#This Row],[ODYM_Region_(r)]],"r,","")&amp;IF(Tab_Def_Flows[[#This Row],[ODYM_process_(p)]],"p,","")&amp;IF(Tab_Def_Flows[[#This Row],[ODYM_Good_(g)2]],"g,","")&amp;IF(Tab_Def_Flows[[#This Row],[ODYM_material_(m)]],"m,","")&amp;IF(Tab_Def_Flows[[#This Row],[ODYM_element_(e)]],"e","")</f>
        <v/>
      </c>
      <c r="AL93">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94">
      <c r="A94" t="b">
        <v>0</v>
      </c>
      <c r="B94">
        <f>ROW()-1</f>
        <v/>
      </c>
      <c r="C94">
        <f>"F_"&amp;LEFT(G94,2)&amp;"_"&amp;LEFT(I94,2)</f>
        <v/>
      </c>
      <c r="G94">
        <f>_xlfn.XLOOKUP(F94,Tab_Def_Processes[Process_Name],Tab_Def_Processes[Process_ID],,0,)</f>
        <v/>
      </c>
      <c r="I94">
        <f>_xlfn.XLOOKUP(H94,Tab_Def_Processes[Process_Name],Tab_Def_Processes[Process_ID],,0,)</f>
        <v/>
      </c>
      <c r="J94" t="inlineStr">
        <is>
          <t>Yes</t>
        </is>
      </c>
      <c r="K94" t="inlineStr">
        <is>
          <t>Yes</t>
        </is>
      </c>
      <c r="M94" t="inlineStr">
        <is>
          <t>Yes</t>
        </is>
      </c>
      <c r="N94">
        <f>Tab_Def_Flows[[#This Row],[Flow_ID]]&amp;"_WC"</f>
        <v/>
      </c>
      <c r="Q94">
        <f>Tab_Def_Flows[[#This Row],[Flow_ID]]&amp;"_DM"</f>
        <v/>
      </c>
      <c r="T94">
        <f>Tab_Def_Flows[[#This Row],[Flow_ID]]&amp;"_CC"</f>
        <v/>
      </c>
      <c r="W94">
        <f>Tab_Def_Flows[[#This Row],[Flow_CC_DM'[%']]]*Tab_Def_Flows[[#This Row],[Flow_DM'[%']]]</f>
        <v/>
      </c>
      <c r="Y94">
        <f>'0_Configuration'!$C$2</f>
        <v/>
      </c>
      <c r="Z94" t="inlineStr"/>
      <c r="AA94">
        <f>'0_Configuration'!$C$6</f>
        <v/>
      </c>
      <c r="AB94" t="inlineStr"/>
      <c r="AC94">
        <f>'0_Configuration'!$C$10</f>
        <v/>
      </c>
      <c r="AD94" t="inlineStr"/>
      <c r="AE94">
        <f>'0_Configuration'!$C$17</f>
        <v/>
      </c>
      <c r="AF94">
        <f>_xlfn.XLOOKUP(Tab_Def_Flows[[#This Row],[ODYM_Good_Type]],Tab_Configuration[Value],Tab_Configuration[ODYM_ID],,0,)</f>
        <v/>
      </c>
      <c r="AG94">
        <f>'0_Configuration'!$C$24</f>
        <v/>
      </c>
      <c r="AH94" t="inlineStr"/>
      <c r="AI94">
        <f>'0_Configuration'!$C$29</f>
        <v/>
      </c>
      <c r="AJ94" t="inlineStr"/>
      <c r="AK94">
        <f>IF(Tab_Def_Flows[[#This Row],[ODYM_time_(t)]],"t,","")&amp;IF(Tab_Def_Flows[[#This Row],[ODYM_Region_(r)]],"r,","")&amp;IF(Tab_Def_Flows[[#This Row],[ODYM_process_(p)]],"p,","")&amp;IF(Tab_Def_Flows[[#This Row],[ODYM_Good_(g)2]],"g,","")&amp;IF(Tab_Def_Flows[[#This Row],[ODYM_material_(m)]],"m,","")&amp;IF(Tab_Def_Flows[[#This Row],[ODYM_element_(e)]],"e","")</f>
        <v/>
      </c>
      <c r="AL94">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95">
      <c r="A95" t="b">
        <v>0</v>
      </c>
      <c r="B95">
        <f>ROW()-1</f>
        <v/>
      </c>
      <c r="C95">
        <f>"F_"&amp;LEFT(G95,2)&amp;"_"&amp;LEFT(I95,2)</f>
        <v/>
      </c>
      <c r="G95">
        <f>_xlfn.XLOOKUP(F95,Tab_Def_Processes[Process_Name],Tab_Def_Processes[Process_ID],,0,)</f>
        <v/>
      </c>
      <c r="I95">
        <f>_xlfn.XLOOKUP(H95,Tab_Def_Processes[Process_Name],Tab_Def_Processes[Process_ID],,0,)</f>
        <v/>
      </c>
      <c r="J95" t="inlineStr">
        <is>
          <t>Yes</t>
        </is>
      </c>
      <c r="K95" t="inlineStr">
        <is>
          <t>Yes</t>
        </is>
      </c>
      <c r="M95" t="inlineStr">
        <is>
          <t>Yes</t>
        </is>
      </c>
      <c r="N95">
        <f>Tab_Def_Flows[[#This Row],[Flow_ID]]&amp;"_WC"</f>
        <v/>
      </c>
      <c r="Q95">
        <f>Tab_Def_Flows[[#This Row],[Flow_ID]]&amp;"_DM"</f>
        <v/>
      </c>
      <c r="T95">
        <f>Tab_Def_Flows[[#This Row],[Flow_ID]]&amp;"_CC"</f>
        <v/>
      </c>
      <c r="W95">
        <f>Tab_Def_Flows[[#This Row],[Flow_CC_DM'[%']]]*Tab_Def_Flows[[#This Row],[Flow_DM'[%']]]</f>
        <v/>
      </c>
      <c r="Y95">
        <f>'0_Configuration'!$C$2</f>
        <v/>
      </c>
      <c r="Z95" t="inlineStr"/>
      <c r="AA95">
        <f>'0_Configuration'!$C$6</f>
        <v/>
      </c>
      <c r="AB95" t="inlineStr"/>
      <c r="AC95">
        <f>'0_Configuration'!$C$10</f>
        <v/>
      </c>
      <c r="AD95" t="inlineStr"/>
      <c r="AE95">
        <f>'0_Configuration'!$C$17</f>
        <v/>
      </c>
      <c r="AF95">
        <f>_xlfn.XLOOKUP(Tab_Def_Flows[[#This Row],[ODYM_Good_Type]],Tab_Configuration[Value],Tab_Configuration[ODYM_ID],,0,)</f>
        <v/>
      </c>
      <c r="AG95">
        <f>'0_Configuration'!$C$24</f>
        <v/>
      </c>
      <c r="AH95" t="inlineStr"/>
      <c r="AI95">
        <f>'0_Configuration'!$C$29</f>
        <v/>
      </c>
      <c r="AJ95" t="inlineStr"/>
      <c r="AK95">
        <f>IF(Tab_Def_Flows[[#This Row],[ODYM_time_(t)]],"t,","")&amp;IF(Tab_Def_Flows[[#This Row],[ODYM_Region_(r)]],"r,","")&amp;IF(Tab_Def_Flows[[#This Row],[ODYM_process_(p)]],"p,","")&amp;IF(Tab_Def_Flows[[#This Row],[ODYM_Good_(g)2]],"g,","")&amp;IF(Tab_Def_Flows[[#This Row],[ODYM_material_(m)]],"m,","")&amp;IF(Tab_Def_Flows[[#This Row],[ODYM_element_(e)]],"e","")</f>
        <v/>
      </c>
      <c r="AL95">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row r="96">
      <c r="A96" t="b">
        <v>0</v>
      </c>
      <c r="B96">
        <f>ROW()-1</f>
        <v/>
      </c>
      <c r="C96">
        <f>"F_"&amp;LEFT(G96,2)&amp;"_"&amp;LEFT(I96,2)</f>
        <v/>
      </c>
      <c r="D96" t="inlineStr">
        <is>
          <t>N.A.</t>
        </is>
      </c>
      <c r="J96" t="inlineStr">
        <is>
          <t>Yes</t>
        </is>
      </c>
      <c r="K96" t="inlineStr">
        <is>
          <t>Yes</t>
        </is>
      </c>
      <c r="M96" t="inlineStr">
        <is>
          <t>Yes</t>
        </is>
      </c>
      <c r="N96">
        <f>Tab_Def_Flows[[#This Row],[Flow_ID]]&amp;"_WC"</f>
        <v/>
      </c>
      <c r="Q96">
        <f>Tab_Def_Flows[[#This Row],[Flow_ID]]&amp;"_DM"</f>
        <v/>
      </c>
      <c r="T96">
        <f>Tab_Def_Flows[[#This Row],[Flow_ID]]&amp;"_CC"</f>
        <v/>
      </c>
      <c r="W96">
        <f>Tab_Def_Flows[[#This Row],[Flow_CC_DM'[%']]]*Tab_Def_Flows[[#This Row],[Flow_DM'[%']]]</f>
        <v/>
      </c>
      <c r="Y96">
        <f>'0_Configuration'!$C$2</f>
        <v/>
      </c>
      <c r="Z96" t="inlineStr"/>
      <c r="AA96">
        <f>'0_Configuration'!$C$6</f>
        <v/>
      </c>
      <c r="AB96" t="inlineStr"/>
      <c r="AC96">
        <f>'0_Configuration'!$C$10</f>
        <v/>
      </c>
      <c r="AD96" t="inlineStr"/>
      <c r="AE96">
        <f>'0_Configuration'!$C$17</f>
        <v/>
      </c>
      <c r="AF96">
        <f>_xlfn.XLOOKUP(Tab_Def_Flows[[#This Row],[ODYM_Good_Type]],Tab_Configuration[Value],Tab_Configuration[ODYM_ID],,0,)</f>
        <v/>
      </c>
      <c r="AG96">
        <f>'0_Configuration'!$C$24</f>
        <v/>
      </c>
      <c r="AH96" t="inlineStr"/>
      <c r="AI96">
        <f>'0_Configuration'!$C$29</f>
        <v/>
      </c>
      <c r="AJ96" t="inlineStr"/>
      <c r="AK96">
        <f>IF(Tab_Def_Flows[[#This Row],[ODYM_time_(t)]],"t,","")&amp;IF(Tab_Def_Flows[[#This Row],[ODYM_Region_(r)]],"r,","")&amp;IF(Tab_Def_Flows[[#This Row],[ODYM_process_(p)]],"p,","")&amp;IF(Tab_Def_Flows[[#This Row],[ODYM_Good_(g)2]],"g,","")&amp;IF(Tab_Def_Flows[[#This Row],[ODYM_material_(m)]],"m,","")&amp;IF(Tab_Def_Flows[[#This Row],[ODYM_element_(e)]],"e","")</f>
        <v/>
      </c>
      <c r="AL96">
        <f>IF(Tab_Def_Flows[[#This Row],[ODYM_time_(t)]],Tab_Def_Flows[[#This Row],[ODYM_Time_ID]]&amp;",","")&amp;IF(Tab_Def_Flows[[#This Row],[ODYM_Region_(r)]],Tab_Def_Flows[[#This Row],[ODYM_Region_ID]]&amp;",","")&amp;IF(Tab_Def_Flows[[#This Row],[ODYM_process_(p)]],Tab_Def_Flows[[#This Row],[ODYM_Process_ID]]&amp;",","")&amp;IF(Tab_Def_Flows[[#This Row],[ODYM_Good_(g)2]],Tab_Def_Flows[[#This Row],[ODYM_Good_ID]]&amp;",","")&amp;IF(Tab_Def_Flows[[#This Row],[ODYM_material_(m)]],Tab_Def_Flows[[#This Row],[ODYM_Material_ID]]&amp;",","")&amp;IF(Tab_Def_Flows[[#This Row],[ODYM_element_(e)]],Tab_Def_Flows[[#This Row],[ODYM_Element_ID]]&amp;",","")</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G351"/>
  <sheetViews>
    <sheetView workbookViewId="0">
      <selection activeCell="A1" sqref="A1"/>
    </sheetView>
  </sheetViews>
  <sheetFormatPr baseColWidth="8" defaultRowHeight="15"/>
  <sheetData>
    <row r="1">
      <c r="A1" t="inlineStr">
        <is>
          <t>ID</t>
        </is>
      </c>
      <c r="B1" t="inlineStr">
        <is>
          <t>Flow_ID</t>
        </is>
      </c>
      <c r="C1" t="inlineStr">
        <is>
          <t>Flow_Name</t>
        </is>
      </c>
      <c r="D1" t="inlineStr">
        <is>
          <t>WC?</t>
        </is>
      </c>
      <c r="E1" t="inlineStr">
        <is>
          <t>DM?</t>
        </is>
      </c>
      <c r="F1" t="inlineStr">
        <is>
          <t>CC?</t>
        </is>
      </c>
      <c r="G1" t="inlineStr">
        <is>
          <t>Flow_Data_Year</t>
        </is>
      </c>
      <c r="H1" t="inlineStr">
        <is>
          <t>Flow</t>
        </is>
      </c>
      <c r="I1" t="inlineStr">
        <is>
          <t>UoM_Source</t>
        </is>
      </c>
      <c r="J1" t="inlineStr">
        <is>
          <t>Titel_source</t>
        </is>
      </c>
      <c r="K1" t="inlineStr">
        <is>
          <t>Year_publication</t>
        </is>
      </c>
      <c r="L1" t="inlineStr">
        <is>
          <t>Author_source</t>
        </is>
      </c>
      <c r="M1" t="inlineStr">
        <is>
          <t>Type_source</t>
        </is>
      </c>
      <c r="N1" t="inlineStr">
        <is>
          <t>URL_source</t>
        </is>
      </c>
      <c r="O1" t="inlineStr">
        <is>
          <t>CF_required?</t>
        </is>
      </c>
      <c r="P1" t="inlineStr">
        <is>
          <t>CF</t>
        </is>
      </c>
      <c r="Q1" t="inlineStr">
        <is>
          <t>Name_CF</t>
        </is>
      </c>
      <c r="R1" t="inlineStr">
        <is>
          <t>Flow_material_year_ID</t>
        </is>
      </c>
      <c r="S1" t="inlineStr">
        <is>
          <t>Flow_Material</t>
        </is>
      </c>
      <c r="T1" t="inlineStr">
        <is>
          <t>UoM_Flow_Py</t>
        </is>
      </c>
      <c r="U1" t="inlineStr">
        <is>
          <t>WC_[%]</t>
        </is>
      </c>
      <c r="V1" t="inlineStr">
        <is>
          <t>Flow_WC_year_ID</t>
        </is>
      </c>
      <c r="W1" t="inlineStr">
        <is>
          <t>WC_Flow_Py</t>
        </is>
      </c>
      <c r="X1" t="inlineStr">
        <is>
          <t>UoM_WC_Flow_Py</t>
        </is>
      </c>
      <c r="Y1" t="inlineStr">
        <is>
          <t>DM_[%]</t>
        </is>
      </c>
      <c r="Z1" t="inlineStr">
        <is>
          <t>Flow_DM_year_ID</t>
        </is>
      </c>
      <c r="AA1" t="inlineStr">
        <is>
          <t>DM_Flow_Py</t>
        </is>
      </c>
      <c r="AB1" t="inlineStr">
        <is>
          <t>UoM_DM_Flow_Py</t>
        </is>
      </c>
      <c r="AC1" t="inlineStr">
        <is>
          <t>CC_[%]</t>
        </is>
      </c>
      <c r="AD1" t="inlineStr">
        <is>
          <t>Flow_CC_year_ID</t>
        </is>
      </c>
      <c r="AE1" t="inlineStr">
        <is>
          <t>CC_Flow_Py</t>
        </is>
      </c>
      <c r="AF1" t="inlineStr">
        <is>
          <t>UoM_CC_Flow_Py</t>
        </is>
      </c>
    </row>
    <row r="2">
      <c r="A2">
        <f>ROW()-1</f>
        <v/>
      </c>
      <c r="B2">
        <f>_xlfn.XLOOKUP(C2,Tab_Def_Flows[Flow_Name],Tab_Def_Flows[Flow_ID],,0,)</f>
        <v/>
      </c>
      <c r="C2" t="inlineStr">
        <is>
          <t>Atmosphere_Input_Cultivation_C</t>
        </is>
      </c>
      <c r="D2">
        <f>_xlfn.XLOOKUP(C2,Tab_Def_Flows[Flow_Name],Tab_Def_Flows[WC?],,0,)</f>
        <v/>
      </c>
      <c r="E2">
        <f>_xlfn.XLOOKUP(C2,Tab_Def_Flows[Flow_Name],Tab_Def_Flows[DM?],,0,)</f>
        <v/>
      </c>
      <c r="F2">
        <f>_xlfn.XLOOKUP(C2,Tab_Def_Flows[Flow_Name],Tab_Def_Flows[CC?],,0,)</f>
        <v/>
      </c>
      <c r="G2" t="n">
        <v>2025</v>
      </c>
      <c r="H2" t="n">
        <v>496713.1149473685</v>
      </c>
      <c r="I2">
        <f>'0_Configuration'!$C$35</f>
        <v/>
      </c>
      <c r="O2" t="inlineStr">
        <is>
          <t>No</t>
        </is>
      </c>
      <c r="R2">
        <f>Tab_Data_Flows[[#This Row],[Flow_ID]]&amp;"_"&amp;"material_"&amp;Tab_Data_Flows[[#This Row],[Flow_Data_Year]]</f>
        <v/>
      </c>
      <c r="S2">
        <f>IF(O2="no",H2,H2*P2)</f>
        <v/>
      </c>
      <c r="T2">
        <f>Tab_Data_Flows[[#This Row],[UoM_Source]]</f>
        <v/>
      </c>
      <c r="U2">
        <f>INDEX(Tab_Def_Flows[[Flow_ID]:[CC_DM_source]],MATCH(Tab_Data_Flows[[#This Row],[Flow_Name]],Tab_Def_Flows[Flow_Name],0),11)</f>
        <v/>
      </c>
      <c r="V2">
        <f>Tab_Data_Flows[[#This Row],[Flow_ID]]&amp;"_"&amp;"WC_"&amp;Tab_Data_Flows[[#This Row],[Flow_Data_Year]]</f>
        <v/>
      </c>
      <c r="W2">
        <f>IF(D2="Yes",S2*Tab_Data_Flows[[#This Row],[WC_'[%']]],"N.A.")</f>
        <v/>
      </c>
      <c r="X2">
        <f>Tab_Data_Flows[[#This Row],[UoM_Flow_Py]]</f>
        <v/>
      </c>
      <c r="Y2">
        <f>INDEX(Tab_Def_Flows[[Flow_ID]:[CC_DM_source]],MATCH(Tab_Data_Flows[[#This Row],[Flow_Name]],Tab_Def_Flows[Flow_Name],0),14)</f>
        <v/>
      </c>
      <c r="Z2">
        <f>Tab_Data_Flows[[#This Row],[Flow_ID]]&amp;"_"&amp;"DM_"&amp;Tab_Data_Flows[[#This Row],[Flow_Data_Year]]</f>
        <v/>
      </c>
      <c r="AA2">
        <f>IF(E2="Yes",Y2*Tab_Data_Flows[[#This Row],[Flow_Material]],"N.A.")</f>
        <v/>
      </c>
      <c r="AB2">
        <f>Tab_Data_Flows[[#This Row],[UoM_Flow_Py]]</f>
        <v/>
      </c>
      <c r="AC2">
        <f>INDEX(Tab_Def_Flows[[Flow_ID]:[CC_DM_source]],MATCH(Tab_Data_Flows[[#This Row],[Flow_Name]],Tab_Def_Flows[Flow_Name],0),17)</f>
        <v/>
      </c>
      <c r="AD2">
        <f>Tab_Data_Flows[[#This Row],[Flow_ID]]&amp;"_"&amp;"CC_"&amp;Tab_Data_Flows[[#This Row],[Flow_Data_Year]]</f>
        <v/>
      </c>
      <c r="AE2">
        <f>IF(F2="Yes",AC2*Tab_Data_Flows[[#This Row],[Flow_Material]]*Tab_Data_Flows[[#This Row],[DM_'[%']]],"N.A.")</f>
        <v/>
      </c>
      <c r="AF2">
        <f>Tab_Data_Flows[[#This Row],[UoM_Flow_Py]]</f>
        <v/>
      </c>
    </row>
    <row r="3">
      <c r="A3">
        <f>ROW()-1</f>
        <v/>
      </c>
      <c r="B3">
        <f>_xlfn.XLOOKUP(C3,Tab_Def_Flows[Flow_Name],Tab_Def_Flows[Flow_ID],,0,)</f>
        <v/>
      </c>
      <c r="C3" t="inlineStr">
        <is>
          <t>Atmosphere_Input_Cultivation_C</t>
        </is>
      </c>
      <c r="D3">
        <f>_xlfn.XLOOKUP(C3,Tab_Def_Flows[Flow_Name],Tab_Def_Flows[WC?],,0,)</f>
        <v/>
      </c>
      <c r="E3">
        <f>_xlfn.XLOOKUP(C3,Tab_Def_Flows[Flow_Name],Tab_Def_Flows[DM?],,0,)</f>
        <v/>
      </c>
      <c r="F3">
        <f>_xlfn.XLOOKUP(C3,Tab_Def_Flows[Flow_Name],Tab_Def_Flows[CC?],,0,)</f>
        <v/>
      </c>
      <c r="G3" t="n">
        <v>2026</v>
      </c>
      <c r="H3" t="n">
        <v>418626.9978947369</v>
      </c>
      <c r="I3">
        <f>'0_Configuration'!$C$35</f>
        <v/>
      </c>
      <c r="O3" t="inlineStr">
        <is>
          <t>No</t>
        </is>
      </c>
      <c r="R3">
        <f>Tab_Data_Flows[[#This Row],[Flow_ID]]&amp;"_"&amp;"material_"&amp;Tab_Data_Flows[[#This Row],[Flow_Data_Year]]</f>
        <v/>
      </c>
      <c r="S3">
        <f>IF(O3="no",H3,H3*P3)</f>
        <v/>
      </c>
      <c r="T3">
        <f>Tab_Data_Flows[[#This Row],[UoM_Source]]</f>
        <v/>
      </c>
      <c r="U3">
        <f>INDEX(Tab_Def_Flows[[Flow_ID]:[CC_DM_source]],MATCH(Tab_Data_Flows[[#This Row],[Flow_Name]],Tab_Def_Flows[Flow_Name],0),11)</f>
        <v/>
      </c>
      <c r="V3">
        <f>Tab_Data_Flows[[#This Row],[Flow_ID]]&amp;"_"&amp;"WC_"&amp;Tab_Data_Flows[[#This Row],[Flow_Data_Year]]</f>
        <v/>
      </c>
      <c r="W3">
        <f>IF(D3="Yes",S3*Tab_Data_Flows[[#This Row],[WC_'[%']]],"N.A.")</f>
        <v/>
      </c>
      <c r="X3">
        <f>Tab_Data_Flows[[#This Row],[UoM_Flow_Py]]</f>
        <v/>
      </c>
      <c r="Y3">
        <f>INDEX(Tab_Def_Flows[[Flow_ID]:[CC_DM_source]],MATCH(Tab_Data_Flows[[#This Row],[Flow_Name]],Tab_Def_Flows[Flow_Name],0),14)</f>
        <v/>
      </c>
      <c r="Z3">
        <f>Tab_Data_Flows[[#This Row],[Flow_ID]]&amp;"_"&amp;"DM_"&amp;Tab_Data_Flows[[#This Row],[Flow_Data_Year]]</f>
        <v/>
      </c>
      <c r="AA3">
        <f>IF(E3="Yes",Y3*Tab_Data_Flows[[#This Row],[Flow_Material]],"N.A.")</f>
        <v/>
      </c>
      <c r="AB3">
        <f>Tab_Data_Flows[[#This Row],[UoM_Flow_Py]]</f>
        <v/>
      </c>
      <c r="AC3">
        <f>INDEX(Tab_Def_Flows[[Flow_ID]:[CC_DM_source]],MATCH(Tab_Data_Flows[[#This Row],[Flow_Name]],Tab_Def_Flows[Flow_Name],0),17)</f>
        <v/>
      </c>
      <c r="AD3">
        <f>Tab_Data_Flows[[#This Row],[Flow_ID]]&amp;"_"&amp;"CC_"&amp;Tab_Data_Flows[[#This Row],[Flow_Data_Year]]</f>
        <v/>
      </c>
      <c r="AE3">
        <f>IF(F3="Yes",AC3*Tab_Data_Flows[[#This Row],[Flow_Material]]*Tab_Data_Flows[[#This Row],[DM_'[%']]],"N.A.")</f>
        <v/>
      </c>
      <c r="AF3">
        <f>Tab_Data_Flows[[#This Row],[UoM_Flow_Py]]</f>
        <v/>
      </c>
    </row>
    <row r="4">
      <c r="A4">
        <f>ROW()-1</f>
        <v/>
      </c>
      <c r="B4">
        <f>_xlfn.XLOOKUP(C4,Tab_Def_Flows[Flow_Name],Tab_Def_Flows[Flow_ID],,0,)</f>
        <v/>
      </c>
      <c r="C4" t="inlineStr">
        <is>
          <t>Atmosphere_Input_Cultivation_C</t>
        </is>
      </c>
      <c r="D4">
        <f>_xlfn.XLOOKUP(C4,Tab_Def_Flows[Flow_Name],Tab_Def_Flows[WC?],,0,)</f>
        <v/>
      </c>
      <c r="E4">
        <f>_xlfn.XLOOKUP(C4,Tab_Def_Flows[Flow_Name],Tab_Def_Flows[DM?],,0,)</f>
        <v/>
      </c>
      <c r="F4">
        <f>_xlfn.XLOOKUP(C4,Tab_Def_Flows[Flow_Name],Tab_Def_Flows[CC?],,0,)</f>
        <v/>
      </c>
      <c r="G4" t="n">
        <v>2027</v>
      </c>
      <c r="H4" t="n">
        <v>515279.555368421</v>
      </c>
      <c r="I4">
        <f>'0_Configuration'!$C$35</f>
        <v/>
      </c>
      <c r="O4" t="inlineStr">
        <is>
          <t>No</t>
        </is>
      </c>
      <c r="R4">
        <f>Tab_Data_Flows[[#This Row],[Flow_ID]]&amp;"_"&amp;"material_"&amp;Tab_Data_Flows[[#This Row],[Flow_Data_Year]]</f>
        <v/>
      </c>
      <c r="S4">
        <f>IF(O4="no",H4,H4*P4)</f>
        <v/>
      </c>
      <c r="T4">
        <f>Tab_Data_Flows[[#This Row],[UoM_Source]]</f>
        <v/>
      </c>
      <c r="U4">
        <f>INDEX(Tab_Def_Flows[[Flow_ID]:[CC_DM_source]],MATCH(Tab_Data_Flows[[#This Row],[Flow_Name]],Tab_Def_Flows[Flow_Name],0),11)</f>
        <v/>
      </c>
      <c r="V4">
        <f>Tab_Data_Flows[[#This Row],[Flow_ID]]&amp;"_"&amp;"WC_"&amp;Tab_Data_Flows[[#This Row],[Flow_Data_Year]]</f>
        <v/>
      </c>
      <c r="W4">
        <f>IF(D4="Yes",S4*Tab_Data_Flows[[#This Row],[WC_'[%']]],"N.A.")</f>
        <v/>
      </c>
      <c r="X4">
        <f>Tab_Data_Flows[[#This Row],[UoM_Flow_Py]]</f>
        <v/>
      </c>
      <c r="Y4">
        <f>INDEX(Tab_Def_Flows[[Flow_ID]:[CC_DM_source]],MATCH(Tab_Data_Flows[[#This Row],[Flow_Name]],Tab_Def_Flows[Flow_Name],0),14)</f>
        <v/>
      </c>
      <c r="Z4">
        <f>Tab_Data_Flows[[#This Row],[Flow_ID]]&amp;"_"&amp;"DM_"&amp;Tab_Data_Flows[[#This Row],[Flow_Data_Year]]</f>
        <v/>
      </c>
      <c r="AA4">
        <f>IF(E4="Yes",Y4*Tab_Data_Flows[[#This Row],[Flow_Material]],"N.A.")</f>
        <v/>
      </c>
      <c r="AB4">
        <f>Tab_Data_Flows[[#This Row],[UoM_Flow_Py]]</f>
        <v/>
      </c>
      <c r="AC4">
        <f>INDEX(Tab_Def_Flows[[Flow_ID]:[CC_DM_source]],MATCH(Tab_Data_Flows[[#This Row],[Flow_Name]],Tab_Def_Flows[Flow_Name],0),17)</f>
        <v/>
      </c>
      <c r="AD4">
        <f>Tab_Data_Flows[[#This Row],[Flow_ID]]&amp;"_"&amp;"CC_"&amp;Tab_Data_Flows[[#This Row],[Flow_Data_Year]]</f>
        <v/>
      </c>
      <c r="AE4">
        <f>IF(F4="Yes",AC4*Tab_Data_Flows[[#This Row],[Flow_Material]]*Tab_Data_Flows[[#This Row],[DM_'[%']]],"N.A.")</f>
        <v/>
      </c>
      <c r="AF4">
        <f>Tab_Data_Flows[[#This Row],[UoM_Flow_Py]]</f>
        <v/>
      </c>
    </row>
    <row r="5">
      <c r="A5">
        <f>ROW()-1</f>
        <v/>
      </c>
      <c r="B5">
        <f>_xlfn.XLOOKUP(C5,Tab_Def_Flows[Flow_Name],Tab_Def_Flows[Flow_ID],,0,)</f>
        <v/>
      </c>
      <c r="C5" t="inlineStr">
        <is>
          <t>Atmosphere_Input_Cultivation_C</t>
        </is>
      </c>
      <c r="D5">
        <f>_xlfn.XLOOKUP(C5,Tab_Def_Flows[Flow_Name],Tab_Def_Flows[WC?],,0,)</f>
        <v/>
      </c>
      <c r="E5">
        <f>_xlfn.XLOOKUP(C5,Tab_Def_Flows[Flow_Name],Tab_Def_Flows[DM?],,0,)</f>
        <v/>
      </c>
      <c r="F5">
        <f>_xlfn.XLOOKUP(C5,Tab_Def_Flows[Flow_Name],Tab_Def_Flows[CC?],,0,)</f>
        <v/>
      </c>
      <c r="G5" t="n">
        <v>2028</v>
      </c>
      <c r="H5" t="n">
        <v>622924.7595789473</v>
      </c>
      <c r="I5">
        <f>'0_Configuration'!$C$35</f>
        <v/>
      </c>
      <c r="O5" t="inlineStr">
        <is>
          <t>No</t>
        </is>
      </c>
      <c r="R5">
        <f>Tab_Data_Flows[[#This Row],[Flow_ID]]&amp;"_"&amp;"material_"&amp;Tab_Data_Flows[[#This Row],[Flow_Data_Year]]</f>
        <v/>
      </c>
      <c r="S5">
        <f>IF(O5="no",H5,H5*P5)</f>
        <v/>
      </c>
      <c r="T5">
        <f>Tab_Data_Flows[[#This Row],[UoM_Source]]</f>
        <v/>
      </c>
      <c r="U5">
        <f>INDEX(Tab_Def_Flows[[Flow_ID]:[CC_DM_source]],MATCH(Tab_Data_Flows[[#This Row],[Flow_Name]],Tab_Def_Flows[Flow_Name],0),11)</f>
        <v/>
      </c>
      <c r="V5">
        <f>Tab_Data_Flows[[#This Row],[Flow_ID]]&amp;"_"&amp;"WC_"&amp;Tab_Data_Flows[[#This Row],[Flow_Data_Year]]</f>
        <v/>
      </c>
      <c r="W5">
        <f>IF(D5="Yes",S5*Tab_Data_Flows[[#This Row],[WC_'[%']]],"N.A.")</f>
        <v/>
      </c>
      <c r="X5">
        <f>Tab_Data_Flows[[#This Row],[UoM_Flow_Py]]</f>
        <v/>
      </c>
      <c r="Y5">
        <f>INDEX(Tab_Def_Flows[[Flow_ID]:[CC_DM_source]],MATCH(Tab_Data_Flows[[#This Row],[Flow_Name]],Tab_Def_Flows[Flow_Name],0),14)</f>
        <v/>
      </c>
      <c r="Z5">
        <f>Tab_Data_Flows[[#This Row],[Flow_ID]]&amp;"_"&amp;"DM_"&amp;Tab_Data_Flows[[#This Row],[Flow_Data_Year]]</f>
        <v/>
      </c>
      <c r="AA5">
        <f>IF(E5="Yes",Y5*Tab_Data_Flows[[#This Row],[Flow_Material]],"N.A.")</f>
        <v/>
      </c>
      <c r="AB5">
        <f>Tab_Data_Flows[[#This Row],[UoM_Flow_Py]]</f>
        <v/>
      </c>
      <c r="AC5">
        <f>INDEX(Tab_Def_Flows[[Flow_ID]:[CC_DM_source]],MATCH(Tab_Data_Flows[[#This Row],[Flow_Name]],Tab_Def_Flows[Flow_Name],0),17)</f>
        <v/>
      </c>
      <c r="AD5">
        <f>Tab_Data_Flows[[#This Row],[Flow_ID]]&amp;"_"&amp;"CC_"&amp;Tab_Data_Flows[[#This Row],[Flow_Data_Year]]</f>
        <v/>
      </c>
      <c r="AE5">
        <f>IF(F5="Yes",AC5*Tab_Data_Flows[[#This Row],[Flow_Material]]*Tab_Data_Flows[[#This Row],[DM_'[%']]],"N.A.")</f>
        <v/>
      </c>
      <c r="AF5">
        <f>Tab_Data_Flows[[#This Row],[UoM_Flow_Py]]</f>
        <v/>
      </c>
    </row>
    <row r="6">
      <c r="A6">
        <f>ROW()-1</f>
        <v/>
      </c>
      <c r="B6">
        <f>_xlfn.XLOOKUP(C6,Tab_Def_Flows[Flow_Name],Tab_Def_Flows[Flow_ID],,0,)</f>
        <v/>
      </c>
      <c r="C6" t="inlineStr">
        <is>
          <t>Atmosphere_Input_Cultivation_C</t>
        </is>
      </c>
      <c r="D6">
        <f>_xlfn.XLOOKUP(C6,Tab_Def_Flows[Flow_Name],Tab_Def_Flows[WC?],,0,)</f>
        <v/>
      </c>
      <c r="E6">
        <f>_xlfn.XLOOKUP(C6,Tab_Def_Flows[Flow_Name],Tab_Def_Flows[DM?],,0,)</f>
        <v/>
      </c>
      <c r="F6">
        <f>_xlfn.XLOOKUP(C6,Tab_Def_Flows[Flow_Name],Tab_Def_Flows[CC?],,0,)</f>
        <v/>
      </c>
      <c r="G6" t="n">
        <v>2029</v>
      </c>
      <c r="H6" t="n">
        <v>406837.4298947369</v>
      </c>
      <c r="I6">
        <f>'0_Configuration'!$C$35</f>
        <v/>
      </c>
      <c r="O6" t="inlineStr">
        <is>
          <t>No</t>
        </is>
      </c>
      <c r="R6">
        <f>Tab_Data_Flows[[#This Row],[Flow_ID]]&amp;"_"&amp;"material_"&amp;Tab_Data_Flows[[#This Row],[Flow_Data_Year]]</f>
        <v/>
      </c>
      <c r="S6">
        <f>IF(O6="no",H6,H6*P6)</f>
        <v/>
      </c>
      <c r="T6">
        <f>Tab_Data_Flows[[#This Row],[UoM_Source]]</f>
        <v/>
      </c>
      <c r="U6">
        <f>INDEX(Tab_Def_Flows[[Flow_ID]:[CC_DM_source]],MATCH(Tab_Data_Flows[[#This Row],[Flow_Name]],Tab_Def_Flows[Flow_Name],0),11)</f>
        <v/>
      </c>
      <c r="V6">
        <f>Tab_Data_Flows[[#This Row],[Flow_ID]]&amp;"_"&amp;"WC_"&amp;Tab_Data_Flows[[#This Row],[Flow_Data_Year]]</f>
        <v/>
      </c>
      <c r="W6">
        <f>IF(D6="Yes",S6*Tab_Data_Flows[[#This Row],[WC_'[%']]],"N.A.")</f>
        <v/>
      </c>
      <c r="X6">
        <f>Tab_Data_Flows[[#This Row],[UoM_Flow_Py]]</f>
        <v/>
      </c>
      <c r="Y6">
        <f>INDEX(Tab_Def_Flows[[Flow_ID]:[CC_DM_source]],MATCH(Tab_Data_Flows[[#This Row],[Flow_Name]],Tab_Def_Flows[Flow_Name],0),14)</f>
        <v/>
      </c>
      <c r="Z6">
        <f>Tab_Data_Flows[[#This Row],[Flow_ID]]&amp;"_"&amp;"DM_"&amp;Tab_Data_Flows[[#This Row],[Flow_Data_Year]]</f>
        <v/>
      </c>
      <c r="AA6">
        <f>IF(E6="Yes",Y6*Tab_Data_Flows[[#This Row],[Flow_Material]],"N.A.")</f>
        <v/>
      </c>
      <c r="AB6">
        <f>Tab_Data_Flows[[#This Row],[UoM_Flow_Py]]</f>
        <v/>
      </c>
      <c r="AC6">
        <f>INDEX(Tab_Def_Flows[[Flow_ID]:[CC_DM_source]],MATCH(Tab_Data_Flows[[#This Row],[Flow_Name]],Tab_Def_Flows[Flow_Name],0),17)</f>
        <v/>
      </c>
      <c r="AD6">
        <f>Tab_Data_Flows[[#This Row],[Flow_ID]]&amp;"_"&amp;"CC_"&amp;Tab_Data_Flows[[#This Row],[Flow_Data_Year]]</f>
        <v/>
      </c>
      <c r="AE6">
        <f>IF(F6="Yes",AC6*Tab_Data_Flows[[#This Row],[Flow_Material]]*Tab_Data_Flows[[#This Row],[DM_'[%']]],"N.A.")</f>
        <v/>
      </c>
      <c r="AF6">
        <f>Tab_Data_Flows[[#This Row],[UoM_Flow_Py]]</f>
        <v/>
      </c>
    </row>
    <row r="7">
      <c r="A7">
        <f>ROW()-1</f>
        <v/>
      </c>
      <c r="B7">
        <f>_xlfn.XLOOKUP(C7,Tab_Def_Flows[Flow_Name],Tab_Def_Flows[Flow_ID],,0,)</f>
        <v/>
      </c>
      <c r="C7" t="inlineStr">
        <is>
          <t>Atmosphere_Input_Cultivation_C</t>
        </is>
      </c>
      <c r="D7">
        <f>_xlfn.XLOOKUP(C7,Tab_Def_Flows[Flow_Name],Tab_Def_Flows[WC?],,0,)</f>
        <v/>
      </c>
      <c r="E7">
        <f>_xlfn.XLOOKUP(C7,Tab_Def_Flows[Flow_Name],Tab_Def_Flows[DM?],,0,)</f>
        <v/>
      </c>
      <c r="F7">
        <f>_xlfn.XLOOKUP(C7,Tab_Def_Flows[Flow_Name],Tab_Def_Flows[CC?],,0,)</f>
        <v/>
      </c>
      <c r="G7" t="n">
        <v>2030</v>
      </c>
      <c r="H7" t="n">
        <v>406837.4298947369</v>
      </c>
      <c r="I7">
        <f>'0_Configuration'!$C$35</f>
        <v/>
      </c>
      <c r="O7" t="inlineStr">
        <is>
          <t>No</t>
        </is>
      </c>
      <c r="R7">
        <f>Tab_Data_Flows[[#This Row],[Flow_ID]]&amp;"_"&amp;"material_"&amp;Tab_Data_Flows[[#This Row],[Flow_Data_Year]]</f>
        <v/>
      </c>
      <c r="S7">
        <f>IF(O7="no",H7,H7*P7)</f>
        <v/>
      </c>
      <c r="T7">
        <f>Tab_Data_Flows[[#This Row],[UoM_Source]]</f>
        <v/>
      </c>
      <c r="U7">
        <f>INDEX(Tab_Def_Flows[[Flow_ID]:[CC_DM_source]],MATCH(Tab_Data_Flows[[#This Row],[Flow_Name]],Tab_Def_Flows[Flow_Name],0),11)</f>
        <v/>
      </c>
      <c r="V7">
        <f>Tab_Data_Flows[[#This Row],[Flow_ID]]&amp;"_"&amp;"WC_"&amp;Tab_Data_Flows[[#This Row],[Flow_Data_Year]]</f>
        <v/>
      </c>
      <c r="W7">
        <f>IF(D7="Yes",S7*Tab_Data_Flows[[#This Row],[WC_'[%']]],"N.A.")</f>
        <v/>
      </c>
      <c r="X7">
        <f>Tab_Data_Flows[[#This Row],[UoM_Flow_Py]]</f>
        <v/>
      </c>
      <c r="Y7">
        <f>INDEX(Tab_Def_Flows[[Flow_ID]:[CC_DM_source]],MATCH(Tab_Data_Flows[[#This Row],[Flow_Name]],Tab_Def_Flows[Flow_Name],0),14)</f>
        <v/>
      </c>
      <c r="Z7">
        <f>Tab_Data_Flows[[#This Row],[Flow_ID]]&amp;"_"&amp;"DM_"&amp;Tab_Data_Flows[[#This Row],[Flow_Data_Year]]</f>
        <v/>
      </c>
      <c r="AA7">
        <f>IF(E7="Yes",Y7*Tab_Data_Flows[[#This Row],[Flow_Material]],"N.A.")</f>
        <v/>
      </c>
      <c r="AB7">
        <f>Tab_Data_Flows[[#This Row],[UoM_Flow_Py]]</f>
        <v/>
      </c>
      <c r="AC7">
        <f>INDEX(Tab_Def_Flows[[Flow_ID]:[CC_DM_source]],MATCH(Tab_Data_Flows[[#This Row],[Flow_Name]],Tab_Def_Flows[Flow_Name],0),17)</f>
        <v/>
      </c>
      <c r="AD7">
        <f>Tab_Data_Flows[[#This Row],[Flow_ID]]&amp;"_"&amp;"CC_"&amp;Tab_Data_Flows[[#This Row],[Flow_Data_Year]]</f>
        <v/>
      </c>
      <c r="AE7">
        <f>IF(F7="Yes",AC7*Tab_Data_Flows[[#This Row],[Flow_Material]]*Tab_Data_Flows[[#This Row],[DM_'[%']]],"N.A.")</f>
        <v/>
      </c>
      <c r="AF7">
        <f>Tab_Data_Flows[[#This Row],[UoM_Flow_Py]]</f>
        <v/>
      </c>
    </row>
    <row r="8">
      <c r="A8">
        <f>ROW()-1</f>
        <v/>
      </c>
      <c r="B8">
        <f>_xlfn.XLOOKUP(C8,Tab_Def_Flows[Flow_Name],Tab_Def_Flows[Flow_ID],,0,)</f>
        <v/>
      </c>
      <c r="C8" t="inlineStr">
        <is>
          <t>Atmosphere_Input_Cultivation_C</t>
        </is>
      </c>
      <c r="D8">
        <f>_xlfn.XLOOKUP(C8,Tab_Def_Flows[Flow_Name],Tab_Def_Flows[WC?],,0,)</f>
        <v/>
      </c>
      <c r="E8">
        <f>_xlfn.XLOOKUP(C8,Tab_Def_Flows[Flow_Name],Tab_Def_Flows[DM?],,0,)</f>
        <v/>
      </c>
      <c r="F8">
        <f>_xlfn.XLOOKUP(C8,Tab_Def_Flows[Flow_Name],Tab_Def_Flows[CC?],,0,)</f>
        <v/>
      </c>
      <c r="G8" t="n">
        <v>2031</v>
      </c>
      <c r="H8" t="n">
        <v>629829.382736842</v>
      </c>
      <c r="I8">
        <f>'0_Configuration'!$C$35</f>
        <v/>
      </c>
      <c r="O8" t="inlineStr">
        <is>
          <t>No</t>
        </is>
      </c>
      <c r="R8">
        <f>Tab_Data_Flows[[#This Row],[Flow_ID]]&amp;"_"&amp;"material_"&amp;Tab_Data_Flows[[#This Row],[Flow_Data_Year]]</f>
        <v/>
      </c>
      <c r="S8">
        <f>IF(O8="no",H8,H8*P8)</f>
        <v/>
      </c>
      <c r="T8">
        <f>Tab_Data_Flows[[#This Row],[UoM_Source]]</f>
        <v/>
      </c>
      <c r="U8">
        <f>INDEX(Tab_Def_Flows[[Flow_ID]:[CC_DM_source]],MATCH(Tab_Data_Flows[[#This Row],[Flow_Name]],Tab_Def_Flows[Flow_Name],0),11)</f>
        <v/>
      </c>
      <c r="V8">
        <f>Tab_Data_Flows[[#This Row],[Flow_ID]]&amp;"_"&amp;"WC_"&amp;Tab_Data_Flows[[#This Row],[Flow_Data_Year]]</f>
        <v/>
      </c>
      <c r="W8">
        <f>IF(D8="Yes",S8*Tab_Data_Flows[[#This Row],[WC_'[%']]],"N.A.")</f>
        <v/>
      </c>
      <c r="X8">
        <f>Tab_Data_Flows[[#This Row],[UoM_Flow_Py]]</f>
        <v/>
      </c>
      <c r="Y8">
        <f>INDEX(Tab_Def_Flows[[Flow_ID]:[CC_DM_source]],MATCH(Tab_Data_Flows[[#This Row],[Flow_Name]],Tab_Def_Flows[Flow_Name],0),14)</f>
        <v/>
      </c>
      <c r="Z8">
        <f>Tab_Data_Flows[[#This Row],[Flow_ID]]&amp;"_"&amp;"DM_"&amp;Tab_Data_Flows[[#This Row],[Flow_Data_Year]]</f>
        <v/>
      </c>
      <c r="AA8">
        <f>IF(E8="Yes",Y8*Tab_Data_Flows[[#This Row],[Flow_Material]],"N.A.")</f>
        <v/>
      </c>
      <c r="AB8">
        <f>Tab_Data_Flows[[#This Row],[UoM_Flow_Py]]</f>
        <v/>
      </c>
      <c r="AC8">
        <f>INDEX(Tab_Def_Flows[[Flow_ID]:[CC_DM_source]],MATCH(Tab_Data_Flows[[#This Row],[Flow_Name]],Tab_Def_Flows[Flow_Name],0),17)</f>
        <v/>
      </c>
      <c r="AD8">
        <f>Tab_Data_Flows[[#This Row],[Flow_ID]]&amp;"_"&amp;"CC_"&amp;Tab_Data_Flows[[#This Row],[Flow_Data_Year]]</f>
        <v/>
      </c>
      <c r="AE8">
        <f>IF(F8="Yes",AC8*Tab_Data_Flows[[#This Row],[Flow_Material]]*Tab_Data_Flows[[#This Row],[DM_'[%']]],"N.A.")</f>
        <v/>
      </c>
      <c r="AF8">
        <f>Tab_Data_Flows[[#This Row],[UoM_Flow_Py]]</f>
        <v/>
      </c>
    </row>
    <row r="9">
      <c r="A9">
        <f>ROW()-1</f>
        <v/>
      </c>
      <c r="B9">
        <f>_xlfn.XLOOKUP(C9,Tab_Def_Flows[Flow_Name],Tab_Def_Flows[Flow_ID],,0,)</f>
        <v/>
      </c>
      <c r="C9" t="inlineStr">
        <is>
          <t>Atmosphere_Input_Cultivation_C</t>
        </is>
      </c>
      <c r="D9">
        <f>_xlfn.XLOOKUP(C9,Tab_Def_Flows[Flow_Name],Tab_Def_Flows[WC?],,0,)</f>
        <v/>
      </c>
      <c r="E9">
        <f>_xlfn.XLOOKUP(C9,Tab_Def_Flows[Flow_Name],Tab_Def_Flows[DM?],,0,)</f>
        <v/>
      </c>
      <c r="F9">
        <f>_xlfn.XLOOKUP(C9,Tab_Def_Flows[Flow_Name],Tab_Def_Flows[CC?],,0,)</f>
        <v/>
      </c>
      <c r="G9" t="n">
        <v>2032</v>
      </c>
      <c r="H9" t="n">
        <v>530001.3069473684</v>
      </c>
      <c r="I9">
        <f>'0_Configuration'!$C$35</f>
        <v/>
      </c>
      <c r="O9" t="inlineStr">
        <is>
          <t>No</t>
        </is>
      </c>
      <c r="R9">
        <f>Tab_Data_Flows[[#This Row],[Flow_ID]]&amp;"_"&amp;"material_"&amp;Tab_Data_Flows[[#This Row],[Flow_Data_Year]]</f>
        <v/>
      </c>
      <c r="S9">
        <f>IF(O9="no",H9,H9*P9)</f>
        <v/>
      </c>
      <c r="T9">
        <f>Tab_Data_Flows[[#This Row],[UoM_Source]]</f>
        <v/>
      </c>
      <c r="U9">
        <f>INDEX(Tab_Def_Flows[[Flow_ID]:[CC_DM_source]],MATCH(Tab_Data_Flows[[#This Row],[Flow_Name]],Tab_Def_Flows[Flow_Name],0),11)</f>
        <v/>
      </c>
      <c r="V9">
        <f>Tab_Data_Flows[[#This Row],[Flow_ID]]&amp;"_"&amp;"WC_"&amp;Tab_Data_Flows[[#This Row],[Flow_Data_Year]]</f>
        <v/>
      </c>
      <c r="W9">
        <f>IF(D9="Yes",S9*Tab_Data_Flows[[#This Row],[WC_'[%']]],"N.A.")</f>
        <v/>
      </c>
      <c r="X9">
        <f>Tab_Data_Flows[[#This Row],[UoM_Flow_Py]]</f>
        <v/>
      </c>
      <c r="Y9">
        <f>INDEX(Tab_Def_Flows[[Flow_ID]:[CC_DM_source]],MATCH(Tab_Data_Flows[[#This Row],[Flow_Name]],Tab_Def_Flows[Flow_Name],0),14)</f>
        <v/>
      </c>
      <c r="Z9">
        <f>Tab_Data_Flows[[#This Row],[Flow_ID]]&amp;"_"&amp;"DM_"&amp;Tab_Data_Flows[[#This Row],[Flow_Data_Year]]</f>
        <v/>
      </c>
      <c r="AA9">
        <f>IF(E9="Yes",Y9*Tab_Data_Flows[[#This Row],[Flow_Material]],"N.A.")</f>
        <v/>
      </c>
      <c r="AB9">
        <f>Tab_Data_Flows[[#This Row],[UoM_Flow_Py]]</f>
        <v/>
      </c>
      <c r="AC9">
        <f>INDEX(Tab_Def_Flows[[Flow_ID]:[CC_DM_source]],MATCH(Tab_Data_Flows[[#This Row],[Flow_Name]],Tab_Def_Flows[Flow_Name],0),17)</f>
        <v/>
      </c>
      <c r="AD9">
        <f>Tab_Data_Flows[[#This Row],[Flow_ID]]&amp;"_"&amp;"CC_"&amp;Tab_Data_Flows[[#This Row],[Flow_Data_Year]]</f>
        <v/>
      </c>
      <c r="AE9">
        <f>IF(F9="Yes",AC9*Tab_Data_Flows[[#This Row],[Flow_Material]]*Tab_Data_Flows[[#This Row],[DM_'[%']]],"N.A.")</f>
        <v/>
      </c>
      <c r="AF9">
        <f>Tab_Data_Flows[[#This Row],[UoM_Flow_Py]]</f>
        <v/>
      </c>
    </row>
    <row r="10">
      <c r="A10">
        <f>ROW()-1</f>
        <v/>
      </c>
      <c r="B10">
        <f>_xlfn.XLOOKUP(C10,Tab_Def_Flows[Flow_Name],Tab_Def_Flows[Flow_ID],,0,)</f>
        <v/>
      </c>
      <c r="C10" t="inlineStr">
        <is>
          <t>Atmosphere_Input_Cultivation_C</t>
        </is>
      </c>
      <c r="D10">
        <f>_xlfn.XLOOKUP(C10,Tab_Def_Flows[Flow_Name],Tab_Def_Flows[WC?],,0,)</f>
        <v/>
      </c>
      <c r="E10">
        <f>_xlfn.XLOOKUP(C10,Tab_Def_Flows[Flow_Name],Tab_Def_Flows[DM?],,0,)</f>
        <v/>
      </c>
      <c r="F10">
        <f>_xlfn.XLOOKUP(C10,Tab_Def_Flows[Flow_Name],Tab_Def_Flows[CC?],,0,)</f>
        <v/>
      </c>
      <c r="G10" t="n">
        <v>2033</v>
      </c>
      <c r="H10" t="n">
        <v>377898.8463157895</v>
      </c>
      <c r="I10">
        <f>'0_Configuration'!$C$35</f>
        <v/>
      </c>
      <c r="O10" t="inlineStr">
        <is>
          <t>No</t>
        </is>
      </c>
      <c r="R10">
        <f>Tab_Data_Flows[[#This Row],[Flow_ID]]&amp;"_"&amp;"material_"&amp;Tab_Data_Flows[[#This Row],[Flow_Data_Year]]</f>
        <v/>
      </c>
      <c r="S10">
        <f>IF(O10="no",H10,H10*P10)</f>
        <v/>
      </c>
      <c r="T10">
        <f>Tab_Data_Flows[[#This Row],[UoM_Source]]</f>
        <v/>
      </c>
      <c r="U10">
        <f>INDEX(Tab_Def_Flows[[Flow_ID]:[CC_DM_source]],MATCH(Tab_Data_Flows[[#This Row],[Flow_Name]],Tab_Def_Flows[Flow_Name],0),11)</f>
        <v/>
      </c>
      <c r="V10">
        <f>Tab_Data_Flows[[#This Row],[Flow_ID]]&amp;"_"&amp;"WC_"&amp;Tab_Data_Flows[[#This Row],[Flow_Data_Year]]</f>
        <v/>
      </c>
      <c r="W10">
        <f>IF(D10="Yes",S10*Tab_Data_Flows[[#This Row],[WC_'[%']]],"N.A.")</f>
        <v/>
      </c>
      <c r="X10">
        <f>Tab_Data_Flows[[#This Row],[UoM_Flow_Py]]</f>
        <v/>
      </c>
      <c r="Y10">
        <f>INDEX(Tab_Def_Flows[[Flow_ID]:[CC_DM_source]],MATCH(Tab_Data_Flows[[#This Row],[Flow_Name]],Tab_Def_Flows[Flow_Name],0),14)</f>
        <v/>
      </c>
      <c r="Z10">
        <f>Tab_Data_Flows[[#This Row],[Flow_ID]]&amp;"_"&amp;"DM_"&amp;Tab_Data_Flows[[#This Row],[Flow_Data_Year]]</f>
        <v/>
      </c>
      <c r="AA10">
        <f>IF(E10="Yes",Y10*Tab_Data_Flows[[#This Row],[Flow_Material]],"N.A.")</f>
        <v/>
      </c>
      <c r="AB10">
        <f>Tab_Data_Flows[[#This Row],[UoM_Flow_Py]]</f>
        <v/>
      </c>
      <c r="AC10">
        <f>INDEX(Tab_Def_Flows[[Flow_ID]:[CC_DM_source]],MATCH(Tab_Data_Flows[[#This Row],[Flow_Name]],Tab_Def_Flows[Flow_Name],0),17)</f>
        <v/>
      </c>
      <c r="AD10">
        <f>Tab_Data_Flows[[#This Row],[Flow_ID]]&amp;"_"&amp;"CC_"&amp;Tab_Data_Flows[[#This Row],[Flow_Data_Year]]</f>
        <v/>
      </c>
      <c r="AE10">
        <f>IF(F10="Yes",AC10*Tab_Data_Flows[[#This Row],[Flow_Material]]*Tab_Data_Flows[[#This Row],[DM_'[%']]],"N.A.")</f>
        <v/>
      </c>
      <c r="AF10">
        <f>Tab_Data_Flows[[#This Row],[UoM_Flow_Py]]</f>
        <v/>
      </c>
    </row>
    <row r="11">
      <c r="A11">
        <f>ROW()-1</f>
        <v/>
      </c>
      <c r="B11">
        <f>_xlfn.XLOOKUP(C11,Tab_Def_Flows[Flow_Name],Tab_Def_Flows[Flow_ID],,0,)</f>
        <v/>
      </c>
      <c r="C11" t="inlineStr">
        <is>
          <t>Atmosphere_Input_Cultivation_C</t>
        </is>
      </c>
      <c r="D11">
        <f>_xlfn.XLOOKUP(C11,Tab_Def_Flows[Flow_Name],Tab_Def_Flows[WC?],,0,)</f>
        <v/>
      </c>
      <c r="E11">
        <f>_xlfn.XLOOKUP(C11,Tab_Def_Flows[Flow_Name],Tab_Def_Flows[DM?],,0,)</f>
        <v/>
      </c>
      <c r="F11">
        <f>_xlfn.XLOOKUP(C11,Tab_Def_Flows[Flow_Name],Tab_Def_Flows[CC?],,0,)</f>
        <v/>
      </c>
      <c r="G11" t="n">
        <v>2034</v>
      </c>
      <c r="H11" t="n">
        <v>502352.3974736842</v>
      </c>
      <c r="I11">
        <f>'0_Configuration'!$C$35</f>
        <v/>
      </c>
      <c r="O11" t="inlineStr">
        <is>
          <t>No</t>
        </is>
      </c>
      <c r="R11">
        <f>Tab_Data_Flows[[#This Row],[Flow_ID]]&amp;"_"&amp;"material_"&amp;Tab_Data_Flows[[#This Row],[Flow_Data_Year]]</f>
        <v/>
      </c>
      <c r="S11">
        <f>IF(O11="no",H11,H11*P11)</f>
        <v/>
      </c>
      <c r="T11">
        <f>Tab_Data_Flows[[#This Row],[UoM_Source]]</f>
        <v/>
      </c>
      <c r="U11">
        <f>INDEX(Tab_Def_Flows[[Flow_ID]:[CC_DM_source]],MATCH(Tab_Data_Flows[[#This Row],[Flow_Name]],Tab_Def_Flows[Flow_Name],0),11)</f>
        <v/>
      </c>
      <c r="V11">
        <f>Tab_Data_Flows[[#This Row],[Flow_ID]]&amp;"_"&amp;"WC_"&amp;Tab_Data_Flows[[#This Row],[Flow_Data_Year]]</f>
        <v/>
      </c>
      <c r="W11">
        <f>IF(D11="Yes",S11*Tab_Data_Flows[[#This Row],[WC_'[%']]],"N.A.")</f>
        <v/>
      </c>
      <c r="X11">
        <f>Tab_Data_Flows[[#This Row],[UoM_Flow_Py]]</f>
        <v/>
      </c>
      <c r="Y11">
        <f>INDEX(Tab_Def_Flows[[Flow_ID]:[CC_DM_source]],MATCH(Tab_Data_Flows[[#This Row],[Flow_Name]],Tab_Def_Flows[Flow_Name],0),14)</f>
        <v/>
      </c>
      <c r="Z11">
        <f>Tab_Data_Flows[[#This Row],[Flow_ID]]&amp;"_"&amp;"DM_"&amp;Tab_Data_Flows[[#This Row],[Flow_Data_Year]]</f>
        <v/>
      </c>
      <c r="AA11">
        <f>IF(E11="Yes",Y11*Tab_Data_Flows[[#This Row],[Flow_Material]],"N.A.")</f>
        <v/>
      </c>
      <c r="AB11">
        <f>Tab_Data_Flows[[#This Row],[UoM_Flow_Py]]</f>
        <v/>
      </c>
      <c r="AC11">
        <f>INDEX(Tab_Def_Flows[[Flow_ID]:[CC_DM_source]],MATCH(Tab_Data_Flows[[#This Row],[Flow_Name]],Tab_Def_Flows[Flow_Name],0),17)</f>
        <v/>
      </c>
      <c r="AD11">
        <f>Tab_Data_Flows[[#This Row],[Flow_ID]]&amp;"_"&amp;"CC_"&amp;Tab_Data_Flows[[#This Row],[Flow_Data_Year]]</f>
        <v/>
      </c>
      <c r="AE11">
        <f>IF(F11="Yes",AC11*Tab_Data_Flows[[#This Row],[Flow_Material]]*Tab_Data_Flows[[#This Row],[DM_'[%']]],"N.A.")</f>
        <v/>
      </c>
      <c r="AF11">
        <f>Tab_Data_Flows[[#This Row],[UoM_Flow_Py]]</f>
        <v/>
      </c>
    </row>
    <row r="12">
      <c r="A12">
        <f>ROW()-1</f>
        <v/>
      </c>
      <c r="B12">
        <f>_xlfn.XLOOKUP(C12,Tab_Def_Flows[Flow_Name],Tab_Def_Flows[Flow_ID],,0,)</f>
        <v/>
      </c>
      <c r="C12" t="inlineStr">
        <is>
          <t>Atmosphere_Input_Cultivation_C</t>
        </is>
      </c>
      <c r="D12">
        <f>_xlfn.XLOOKUP(C12,Tab_Def_Flows[Flow_Name],Tab_Def_Flows[WC?],,0,)</f>
        <v/>
      </c>
      <c r="E12">
        <f>_xlfn.XLOOKUP(C12,Tab_Def_Flows[Flow_Name],Tab_Def_Flows[DM?],,0,)</f>
        <v/>
      </c>
      <c r="F12">
        <f>_xlfn.XLOOKUP(C12,Tab_Def_Flows[Flow_Name],Tab_Def_Flows[CC?],,0,)</f>
        <v/>
      </c>
      <c r="G12" t="n">
        <v>2035</v>
      </c>
      <c r="H12" t="n">
        <v>378641.0172631579</v>
      </c>
      <c r="I12">
        <f>'0_Configuration'!$C$35</f>
        <v/>
      </c>
      <c r="O12" t="inlineStr">
        <is>
          <t>No</t>
        </is>
      </c>
      <c r="R12">
        <f>Tab_Data_Flows[[#This Row],[Flow_ID]]&amp;"_"&amp;"material_"&amp;Tab_Data_Flows[[#This Row],[Flow_Data_Year]]</f>
        <v/>
      </c>
      <c r="S12">
        <f>IF(O12="no",H12,H12*P12)</f>
        <v/>
      </c>
      <c r="T12">
        <f>Tab_Data_Flows[[#This Row],[UoM_Source]]</f>
        <v/>
      </c>
      <c r="U12">
        <f>INDEX(Tab_Def_Flows[[Flow_ID]:[CC_DM_source]],MATCH(Tab_Data_Flows[[#This Row],[Flow_Name]],Tab_Def_Flows[Flow_Name],0),11)</f>
        <v/>
      </c>
      <c r="V12">
        <f>Tab_Data_Flows[[#This Row],[Flow_ID]]&amp;"_"&amp;"WC_"&amp;Tab_Data_Flows[[#This Row],[Flow_Data_Year]]</f>
        <v/>
      </c>
      <c r="W12">
        <f>IF(D12="Yes",S12*Tab_Data_Flows[[#This Row],[WC_'[%']]],"N.A.")</f>
        <v/>
      </c>
      <c r="X12">
        <f>Tab_Data_Flows[[#This Row],[UoM_Flow_Py]]</f>
        <v/>
      </c>
      <c r="Y12">
        <f>INDEX(Tab_Def_Flows[[Flow_ID]:[CC_DM_source]],MATCH(Tab_Data_Flows[[#This Row],[Flow_Name]],Tab_Def_Flows[Flow_Name],0),14)</f>
        <v/>
      </c>
      <c r="Z12">
        <f>Tab_Data_Flows[[#This Row],[Flow_ID]]&amp;"_"&amp;"DM_"&amp;Tab_Data_Flows[[#This Row],[Flow_Data_Year]]</f>
        <v/>
      </c>
      <c r="AA12">
        <f>IF(E12="Yes",Y12*Tab_Data_Flows[[#This Row],[Flow_Material]],"N.A.")</f>
        <v/>
      </c>
      <c r="AB12">
        <f>Tab_Data_Flows[[#This Row],[UoM_Flow_Py]]</f>
        <v/>
      </c>
      <c r="AC12">
        <f>INDEX(Tab_Def_Flows[[Flow_ID]:[CC_DM_source]],MATCH(Tab_Data_Flows[[#This Row],[Flow_Name]],Tab_Def_Flows[Flow_Name],0),17)</f>
        <v/>
      </c>
      <c r="AD12">
        <f>Tab_Data_Flows[[#This Row],[Flow_ID]]&amp;"_"&amp;"CC_"&amp;Tab_Data_Flows[[#This Row],[Flow_Data_Year]]</f>
        <v/>
      </c>
      <c r="AE12">
        <f>IF(F12="Yes",AC12*Tab_Data_Flows[[#This Row],[Flow_Material]]*Tab_Data_Flows[[#This Row],[DM_'[%']]],"N.A.")</f>
        <v/>
      </c>
      <c r="AF12">
        <f>Tab_Data_Flows[[#This Row],[UoM_Flow_Py]]</f>
        <v/>
      </c>
    </row>
    <row r="13">
      <c r="A13">
        <f>ROW()-1</f>
        <v/>
      </c>
      <c r="B13">
        <f>_xlfn.XLOOKUP(C13,Tab_Def_Flows[Flow_Name],Tab_Def_Flows[Flow_ID],,0,)</f>
        <v/>
      </c>
      <c r="C13" t="inlineStr">
        <is>
          <t>Atmosphere_Input_Cultivation_C</t>
        </is>
      </c>
      <c r="D13">
        <f>_xlfn.XLOOKUP(C13,Tab_Def_Flows[Flow_Name],Tab_Def_Flows[WC?],,0,)</f>
        <v/>
      </c>
      <c r="E13">
        <f>_xlfn.XLOOKUP(C13,Tab_Def_Flows[Flow_Name],Tab_Def_Flows[DM?],,0,)</f>
        <v/>
      </c>
      <c r="F13">
        <f>_xlfn.XLOOKUP(C13,Tab_Def_Flows[Flow_Name],Tab_Def_Flows[CC?],,0,)</f>
        <v/>
      </c>
      <c r="G13" t="n">
        <v>2036</v>
      </c>
      <c r="H13" t="n">
        <v>378355.0989473684</v>
      </c>
      <c r="I13">
        <f>'0_Configuration'!$C$35</f>
        <v/>
      </c>
      <c r="O13" t="inlineStr">
        <is>
          <t>No</t>
        </is>
      </c>
      <c r="R13">
        <f>Tab_Data_Flows[[#This Row],[Flow_ID]]&amp;"_"&amp;"material_"&amp;Tab_Data_Flows[[#This Row],[Flow_Data_Year]]</f>
        <v/>
      </c>
      <c r="S13">
        <f>IF(O13="no",H13,H13*P13)</f>
        <v/>
      </c>
      <c r="T13">
        <f>Tab_Data_Flows[[#This Row],[UoM_Source]]</f>
        <v/>
      </c>
      <c r="U13">
        <f>INDEX(Tab_Def_Flows[[Flow_ID]:[CC_DM_source]],MATCH(Tab_Data_Flows[[#This Row],[Flow_Name]],Tab_Def_Flows[Flow_Name],0),11)</f>
        <v/>
      </c>
      <c r="V13">
        <f>Tab_Data_Flows[[#This Row],[Flow_ID]]&amp;"_"&amp;"WC_"&amp;Tab_Data_Flows[[#This Row],[Flow_Data_Year]]</f>
        <v/>
      </c>
      <c r="W13">
        <f>IF(D13="Yes",S13*Tab_Data_Flows[[#This Row],[WC_'[%']]],"N.A.")</f>
        <v/>
      </c>
      <c r="X13">
        <f>Tab_Data_Flows[[#This Row],[UoM_Flow_Py]]</f>
        <v/>
      </c>
      <c r="Y13">
        <f>INDEX(Tab_Def_Flows[[Flow_ID]:[CC_DM_source]],MATCH(Tab_Data_Flows[[#This Row],[Flow_Name]],Tab_Def_Flows[Flow_Name],0),14)</f>
        <v/>
      </c>
      <c r="Z13">
        <f>Tab_Data_Flows[[#This Row],[Flow_ID]]&amp;"_"&amp;"DM_"&amp;Tab_Data_Flows[[#This Row],[Flow_Data_Year]]</f>
        <v/>
      </c>
      <c r="AA13">
        <f>IF(E13="Yes",Y13*Tab_Data_Flows[[#This Row],[Flow_Material]],"N.A.")</f>
        <v/>
      </c>
      <c r="AB13">
        <f>Tab_Data_Flows[[#This Row],[UoM_Flow_Py]]</f>
        <v/>
      </c>
      <c r="AC13">
        <f>INDEX(Tab_Def_Flows[[Flow_ID]:[CC_DM_source]],MATCH(Tab_Data_Flows[[#This Row],[Flow_Name]],Tab_Def_Flows[Flow_Name],0),17)</f>
        <v/>
      </c>
      <c r="AD13">
        <f>Tab_Data_Flows[[#This Row],[Flow_ID]]&amp;"_"&amp;"CC_"&amp;Tab_Data_Flows[[#This Row],[Flow_Data_Year]]</f>
        <v/>
      </c>
      <c r="AE13">
        <f>IF(F13="Yes",AC13*Tab_Data_Flows[[#This Row],[Flow_Material]]*Tab_Data_Flows[[#This Row],[DM_'[%']]],"N.A.")</f>
        <v/>
      </c>
      <c r="AF13">
        <f>Tab_Data_Flows[[#This Row],[UoM_Flow_Py]]</f>
        <v/>
      </c>
    </row>
    <row r="14">
      <c r="A14">
        <f>ROW()-1</f>
        <v/>
      </c>
      <c r="B14">
        <f>_xlfn.XLOOKUP(C14,Tab_Def_Flows[Flow_Name],Tab_Def_Flows[Flow_ID],,0,)</f>
        <v/>
      </c>
      <c r="C14" t="inlineStr">
        <is>
          <t>Atmosphere_Input_Cultivation_C</t>
        </is>
      </c>
      <c r="D14">
        <f>_xlfn.XLOOKUP(C14,Tab_Def_Flows[Flow_Name],Tab_Def_Flows[WC?],,0,)</f>
        <v/>
      </c>
      <c r="E14">
        <f>_xlfn.XLOOKUP(C14,Tab_Def_Flows[Flow_Name],Tab_Def_Flows[DM?],,0,)</f>
        <v/>
      </c>
      <c r="F14">
        <f>_xlfn.XLOOKUP(C14,Tab_Def_Flows[Flow_Name],Tab_Def_Flows[CC?],,0,)</f>
        <v/>
      </c>
      <c r="G14" t="n">
        <v>2037</v>
      </c>
      <c r="H14" t="n">
        <v>465383.7675789474</v>
      </c>
      <c r="I14">
        <f>'0_Configuration'!$C$35</f>
        <v/>
      </c>
      <c r="O14" t="inlineStr">
        <is>
          <t>No</t>
        </is>
      </c>
      <c r="R14">
        <f>Tab_Data_Flows[[#This Row],[Flow_ID]]&amp;"_"&amp;"material_"&amp;Tab_Data_Flows[[#This Row],[Flow_Data_Year]]</f>
        <v/>
      </c>
      <c r="S14">
        <f>IF(O14="no",H14,H14*P14)</f>
        <v/>
      </c>
      <c r="T14">
        <f>Tab_Data_Flows[[#This Row],[UoM_Source]]</f>
        <v/>
      </c>
      <c r="U14">
        <f>INDEX(Tab_Def_Flows[[Flow_ID]:[CC_DM_source]],MATCH(Tab_Data_Flows[[#This Row],[Flow_Name]],Tab_Def_Flows[Flow_Name],0),11)</f>
        <v/>
      </c>
      <c r="V14">
        <f>Tab_Data_Flows[[#This Row],[Flow_ID]]&amp;"_"&amp;"WC_"&amp;Tab_Data_Flows[[#This Row],[Flow_Data_Year]]</f>
        <v/>
      </c>
      <c r="W14">
        <f>IF(D14="Yes",S14*Tab_Data_Flows[[#This Row],[WC_'[%']]],"N.A.")</f>
        <v/>
      </c>
      <c r="X14">
        <f>Tab_Data_Flows[[#This Row],[UoM_Flow_Py]]</f>
        <v/>
      </c>
      <c r="Y14">
        <f>INDEX(Tab_Def_Flows[[Flow_ID]:[CC_DM_source]],MATCH(Tab_Data_Flows[[#This Row],[Flow_Name]],Tab_Def_Flows[Flow_Name],0),14)</f>
        <v/>
      </c>
      <c r="Z14">
        <f>Tab_Data_Flows[[#This Row],[Flow_ID]]&amp;"_"&amp;"DM_"&amp;Tab_Data_Flows[[#This Row],[Flow_Data_Year]]</f>
        <v/>
      </c>
      <c r="AA14">
        <f>IF(E14="Yes",Y14*Tab_Data_Flows[[#This Row],[Flow_Material]],"N.A.")</f>
        <v/>
      </c>
      <c r="AB14">
        <f>Tab_Data_Flows[[#This Row],[UoM_Flow_Py]]</f>
        <v/>
      </c>
      <c r="AC14">
        <f>INDEX(Tab_Def_Flows[[Flow_ID]:[CC_DM_source]],MATCH(Tab_Data_Flows[[#This Row],[Flow_Name]],Tab_Def_Flows[Flow_Name],0),17)</f>
        <v/>
      </c>
      <c r="AD14">
        <f>Tab_Data_Flows[[#This Row],[Flow_ID]]&amp;"_"&amp;"CC_"&amp;Tab_Data_Flows[[#This Row],[Flow_Data_Year]]</f>
        <v/>
      </c>
      <c r="AE14">
        <f>IF(F14="Yes",AC14*Tab_Data_Flows[[#This Row],[Flow_Material]]*Tab_Data_Flows[[#This Row],[DM_'[%']]],"N.A.")</f>
        <v/>
      </c>
      <c r="AF14">
        <f>Tab_Data_Flows[[#This Row],[UoM_Flow_Py]]</f>
        <v/>
      </c>
    </row>
    <row r="15">
      <c r="A15">
        <f>ROW()-1</f>
        <v/>
      </c>
      <c r="B15">
        <f>_xlfn.XLOOKUP(C15,Tab_Def_Flows[Flow_Name],Tab_Def_Flows[Flow_ID],,0,)</f>
        <v/>
      </c>
      <c r="C15" t="inlineStr">
        <is>
          <t>Atmosphere_Input_Cultivation_C</t>
        </is>
      </c>
      <c r="D15">
        <f>_xlfn.XLOOKUP(C15,Tab_Def_Flows[Flow_Name],Tab_Def_Flows[WC?],,0,)</f>
        <v/>
      </c>
      <c r="E15">
        <f>_xlfn.XLOOKUP(C15,Tab_Def_Flows[Flow_Name],Tab_Def_Flows[DM?],,0,)</f>
        <v/>
      </c>
      <c r="F15">
        <f>_xlfn.XLOOKUP(C15,Tab_Def_Flows[Flow_Name],Tab_Def_Flows[CC?],,0,)</f>
        <v/>
      </c>
      <c r="G15" t="n">
        <v>2038</v>
      </c>
      <c r="H15" t="n">
        <v>200349.6555789474</v>
      </c>
      <c r="I15">
        <f>'0_Configuration'!$C$35</f>
        <v/>
      </c>
      <c r="O15" t="inlineStr">
        <is>
          <t>No</t>
        </is>
      </c>
      <c r="R15">
        <f>Tab_Data_Flows[[#This Row],[Flow_ID]]&amp;"_"&amp;"material_"&amp;Tab_Data_Flows[[#This Row],[Flow_Data_Year]]</f>
        <v/>
      </c>
      <c r="S15">
        <f>IF(O15="no",H15,H15*P15)</f>
        <v/>
      </c>
      <c r="T15">
        <f>Tab_Data_Flows[[#This Row],[UoM_Source]]</f>
        <v/>
      </c>
      <c r="U15">
        <f>INDEX(Tab_Def_Flows[[Flow_ID]:[CC_DM_source]],MATCH(Tab_Data_Flows[[#This Row],[Flow_Name]],Tab_Def_Flows[Flow_Name],0),11)</f>
        <v/>
      </c>
      <c r="V15">
        <f>Tab_Data_Flows[[#This Row],[Flow_ID]]&amp;"_"&amp;"WC_"&amp;Tab_Data_Flows[[#This Row],[Flow_Data_Year]]</f>
        <v/>
      </c>
      <c r="W15">
        <f>IF(D15="Yes",S15*Tab_Data_Flows[[#This Row],[WC_'[%']]],"N.A.")</f>
        <v/>
      </c>
      <c r="X15">
        <f>Tab_Data_Flows[[#This Row],[UoM_Flow_Py]]</f>
        <v/>
      </c>
      <c r="Y15">
        <f>INDEX(Tab_Def_Flows[[Flow_ID]:[CC_DM_source]],MATCH(Tab_Data_Flows[[#This Row],[Flow_Name]],Tab_Def_Flows[Flow_Name],0),14)</f>
        <v/>
      </c>
      <c r="Z15">
        <f>Tab_Data_Flows[[#This Row],[Flow_ID]]&amp;"_"&amp;"DM_"&amp;Tab_Data_Flows[[#This Row],[Flow_Data_Year]]</f>
        <v/>
      </c>
      <c r="AA15">
        <f>IF(E15="Yes",Y15*Tab_Data_Flows[[#This Row],[Flow_Material]],"N.A.")</f>
        <v/>
      </c>
      <c r="AB15">
        <f>Tab_Data_Flows[[#This Row],[UoM_Flow_Py]]</f>
        <v/>
      </c>
      <c r="AC15">
        <f>INDEX(Tab_Def_Flows[[Flow_ID]:[CC_DM_source]],MATCH(Tab_Data_Flows[[#This Row],[Flow_Name]],Tab_Def_Flows[Flow_Name],0),17)</f>
        <v/>
      </c>
      <c r="AD15">
        <f>Tab_Data_Flows[[#This Row],[Flow_ID]]&amp;"_"&amp;"CC_"&amp;Tab_Data_Flows[[#This Row],[Flow_Data_Year]]</f>
        <v/>
      </c>
      <c r="AE15">
        <f>IF(F15="Yes",AC15*Tab_Data_Flows[[#This Row],[Flow_Material]]*Tab_Data_Flows[[#This Row],[DM_'[%']]],"N.A.")</f>
        <v/>
      </c>
      <c r="AF15">
        <f>Tab_Data_Flows[[#This Row],[UoM_Flow_Py]]</f>
        <v/>
      </c>
    </row>
    <row r="16">
      <c r="A16">
        <f>ROW()-1</f>
        <v/>
      </c>
      <c r="B16">
        <f>_xlfn.XLOOKUP(C16,Tab_Def_Flows[Flow_Name],Tab_Def_Flows[Flow_ID],,0,)</f>
        <v/>
      </c>
      <c r="C16" t="inlineStr">
        <is>
          <t>Atmosphere_Input_Cultivation_C</t>
        </is>
      </c>
      <c r="D16">
        <f>_xlfn.XLOOKUP(C16,Tab_Def_Flows[Flow_Name],Tab_Def_Flows[WC?],,0,)</f>
        <v/>
      </c>
      <c r="E16">
        <f>_xlfn.XLOOKUP(C16,Tab_Def_Flows[Flow_Name],Tab_Def_Flows[DM?],,0,)</f>
        <v/>
      </c>
      <c r="F16">
        <f>_xlfn.XLOOKUP(C16,Tab_Def_Flows[Flow_Name],Tab_Def_Flows[CC?],,0,)</f>
        <v/>
      </c>
      <c r="G16" t="n">
        <v>2039</v>
      </c>
      <c r="H16" t="n">
        <v>223509.0391578948</v>
      </c>
      <c r="I16">
        <f>'0_Configuration'!$C$35</f>
        <v/>
      </c>
      <c r="O16" t="inlineStr">
        <is>
          <t>No</t>
        </is>
      </c>
      <c r="R16">
        <f>Tab_Data_Flows[[#This Row],[Flow_ID]]&amp;"_"&amp;"material_"&amp;Tab_Data_Flows[[#This Row],[Flow_Data_Year]]</f>
        <v/>
      </c>
      <c r="S16">
        <f>IF(O16="no",H16,H16*P16)</f>
        <v/>
      </c>
      <c r="T16">
        <f>Tab_Data_Flows[[#This Row],[UoM_Source]]</f>
        <v/>
      </c>
      <c r="U16">
        <f>INDEX(Tab_Def_Flows[[Flow_ID]:[CC_DM_source]],MATCH(Tab_Data_Flows[[#This Row],[Flow_Name]],Tab_Def_Flows[Flow_Name],0),11)</f>
        <v/>
      </c>
      <c r="V16">
        <f>Tab_Data_Flows[[#This Row],[Flow_ID]]&amp;"_"&amp;"WC_"&amp;Tab_Data_Flows[[#This Row],[Flow_Data_Year]]</f>
        <v/>
      </c>
      <c r="W16">
        <f>IF(D16="Yes",S16*Tab_Data_Flows[[#This Row],[WC_'[%']]],"N.A.")</f>
        <v/>
      </c>
      <c r="X16">
        <f>Tab_Data_Flows[[#This Row],[UoM_Flow_Py]]</f>
        <v/>
      </c>
      <c r="Y16">
        <f>INDEX(Tab_Def_Flows[[Flow_ID]:[CC_DM_source]],MATCH(Tab_Data_Flows[[#This Row],[Flow_Name]],Tab_Def_Flows[Flow_Name],0),14)</f>
        <v/>
      </c>
      <c r="Z16">
        <f>Tab_Data_Flows[[#This Row],[Flow_ID]]&amp;"_"&amp;"DM_"&amp;Tab_Data_Flows[[#This Row],[Flow_Data_Year]]</f>
        <v/>
      </c>
      <c r="AA16">
        <f>IF(E16="Yes",Y16*Tab_Data_Flows[[#This Row],[Flow_Material]],"N.A.")</f>
        <v/>
      </c>
      <c r="AB16">
        <f>Tab_Data_Flows[[#This Row],[UoM_Flow_Py]]</f>
        <v/>
      </c>
      <c r="AC16">
        <f>INDEX(Tab_Def_Flows[[Flow_ID]:[CC_DM_source]],MATCH(Tab_Data_Flows[[#This Row],[Flow_Name]],Tab_Def_Flows[Flow_Name],0),17)</f>
        <v/>
      </c>
      <c r="AD16">
        <f>Tab_Data_Flows[[#This Row],[Flow_ID]]&amp;"_"&amp;"CC_"&amp;Tab_Data_Flows[[#This Row],[Flow_Data_Year]]</f>
        <v/>
      </c>
      <c r="AE16">
        <f>IF(F16="Yes",AC16*Tab_Data_Flows[[#This Row],[Flow_Material]]*Tab_Data_Flows[[#This Row],[DM_'[%']]],"N.A.")</f>
        <v/>
      </c>
      <c r="AF16">
        <f>Tab_Data_Flows[[#This Row],[UoM_Flow_Py]]</f>
        <v/>
      </c>
    </row>
    <row r="17">
      <c r="A17">
        <f>ROW()-1</f>
        <v/>
      </c>
      <c r="B17">
        <f>_xlfn.XLOOKUP(C17,Tab_Def_Flows[Flow_Name],Tab_Def_Flows[Flow_ID],,0,)</f>
        <v/>
      </c>
      <c r="C17" t="inlineStr">
        <is>
          <t>Atmosphere_Input_Cultivation_C</t>
        </is>
      </c>
      <c r="D17">
        <f>_xlfn.XLOOKUP(C17,Tab_Def_Flows[Flow_Name],Tab_Def_Flows[WC?],,0,)</f>
        <v/>
      </c>
      <c r="E17">
        <f>_xlfn.XLOOKUP(C17,Tab_Def_Flows[Flow_Name],Tab_Def_Flows[DM?],,0,)</f>
        <v/>
      </c>
      <c r="F17">
        <f>_xlfn.XLOOKUP(C17,Tab_Def_Flows[Flow_Name],Tab_Def_Flows[CC?],,0,)</f>
        <v/>
      </c>
      <c r="G17" t="n">
        <v>2040</v>
      </c>
      <c r="H17" t="n">
        <v>366486.4471578947</v>
      </c>
      <c r="I17">
        <f>'0_Configuration'!$C$35</f>
        <v/>
      </c>
      <c r="O17" t="inlineStr">
        <is>
          <t>No</t>
        </is>
      </c>
      <c r="R17">
        <f>Tab_Data_Flows[[#This Row],[Flow_ID]]&amp;"_"&amp;"material_"&amp;Tab_Data_Flows[[#This Row],[Flow_Data_Year]]</f>
        <v/>
      </c>
      <c r="S17">
        <f>IF(O17="no",H17,H17*P17)</f>
        <v/>
      </c>
      <c r="T17">
        <f>Tab_Data_Flows[[#This Row],[UoM_Source]]</f>
        <v/>
      </c>
      <c r="U17">
        <f>INDEX(Tab_Def_Flows[[Flow_ID]:[CC_DM_source]],MATCH(Tab_Data_Flows[[#This Row],[Flow_Name]],Tab_Def_Flows[Flow_Name],0),11)</f>
        <v/>
      </c>
      <c r="V17">
        <f>Tab_Data_Flows[[#This Row],[Flow_ID]]&amp;"_"&amp;"WC_"&amp;Tab_Data_Flows[[#This Row],[Flow_Data_Year]]</f>
        <v/>
      </c>
      <c r="W17">
        <f>IF(D17="Yes",S17*Tab_Data_Flows[[#This Row],[WC_'[%']]],"N.A.")</f>
        <v/>
      </c>
      <c r="X17">
        <f>Tab_Data_Flows[[#This Row],[UoM_Flow_Py]]</f>
        <v/>
      </c>
      <c r="Y17">
        <f>INDEX(Tab_Def_Flows[[Flow_ID]:[CC_DM_source]],MATCH(Tab_Data_Flows[[#This Row],[Flow_Name]],Tab_Def_Flows[Flow_Name],0),14)</f>
        <v/>
      </c>
      <c r="Z17">
        <f>Tab_Data_Flows[[#This Row],[Flow_ID]]&amp;"_"&amp;"DM_"&amp;Tab_Data_Flows[[#This Row],[Flow_Data_Year]]</f>
        <v/>
      </c>
      <c r="AA17">
        <f>IF(E17="Yes",Y17*Tab_Data_Flows[[#This Row],[Flow_Material]],"N.A.")</f>
        <v/>
      </c>
      <c r="AB17">
        <f>Tab_Data_Flows[[#This Row],[UoM_Flow_Py]]</f>
        <v/>
      </c>
      <c r="AC17">
        <f>INDEX(Tab_Def_Flows[[Flow_ID]:[CC_DM_source]],MATCH(Tab_Data_Flows[[#This Row],[Flow_Name]],Tab_Def_Flows[Flow_Name],0),17)</f>
        <v/>
      </c>
      <c r="AD17">
        <f>Tab_Data_Flows[[#This Row],[Flow_ID]]&amp;"_"&amp;"CC_"&amp;Tab_Data_Flows[[#This Row],[Flow_Data_Year]]</f>
        <v/>
      </c>
      <c r="AE17">
        <f>IF(F17="Yes",AC17*Tab_Data_Flows[[#This Row],[Flow_Material]]*Tab_Data_Flows[[#This Row],[DM_'[%']]],"N.A.")</f>
        <v/>
      </c>
      <c r="AF17">
        <f>Tab_Data_Flows[[#This Row],[UoM_Flow_Py]]</f>
        <v/>
      </c>
    </row>
    <row r="18">
      <c r="A18">
        <f>ROW()-1</f>
        <v/>
      </c>
      <c r="B18">
        <f>_xlfn.XLOOKUP(C18,Tab_Def_Flows[Flow_Name],Tab_Def_Flows[Flow_ID],,0,)</f>
        <v/>
      </c>
      <c r="C18" t="inlineStr">
        <is>
          <t>Atmosphere_Input_Cultivation_C</t>
        </is>
      </c>
      <c r="D18">
        <f>_xlfn.XLOOKUP(C18,Tab_Def_Flows[Flow_Name],Tab_Def_Flows[WC?],,0,)</f>
        <v/>
      </c>
      <c r="E18">
        <f>_xlfn.XLOOKUP(C18,Tab_Def_Flows[Flow_Name],Tab_Def_Flows[DM?],,0,)</f>
        <v/>
      </c>
      <c r="F18">
        <f>_xlfn.XLOOKUP(C18,Tab_Def_Flows[Flow_Name],Tab_Def_Flows[CC?],,0,)</f>
        <v/>
      </c>
      <c r="G18" t="n">
        <v>2041</v>
      </c>
      <c r="H18" t="n">
        <v>311079.1275789474</v>
      </c>
      <c r="I18">
        <f>'0_Configuration'!$C$35</f>
        <v/>
      </c>
      <c r="O18" t="inlineStr">
        <is>
          <t>No</t>
        </is>
      </c>
      <c r="R18">
        <f>Tab_Data_Flows[[#This Row],[Flow_ID]]&amp;"_"&amp;"material_"&amp;Tab_Data_Flows[[#This Row],[Flow_Data_Year]]</f>
        <v/>
      </c>
      <c r="S18">
        <f>IF(O18="no",H18,H18*P18)</f>
        <v/>
      </c>
      <c r="T18">
        <f>Tab_Data_Flows[[#This Row],[UoM_Source]]</f>
        <v/>
      </c>
      <c r="U18">
        <f>INDEX(Tab_Def_Flows[[Flow_ID]:[CC_DM_source]],MATCH(Tab_Data_Flows[[#This Row],[Flow_Name]],Tab_Def_Flows[Flow_Name],0),11)</f>
        <v/>
      </c>
      <c r="V18">
        <f>Tab_Data_Flows[[#This Row],[Flow_ID]]&amp;"_"&amp;"WC_"&amp;Tab_Data_Flows[[#This Row],[Flow_Data_Year]]</f>
        <v/>
      </c>
      <c r="W18">
        <f>IF(D18="Yes",S18*Tab_Data_Flows[[#This Row],[WC_'[%']]],"N.A.")</f>
        <v/>
      </c>
      <c r="X18">
        <f>Tab_Data_Flows[[#This Row],[UoM_Flow_Py]]</f>
        <v/>
      </c>
      <c r="Y18">
        <f>INDEX(Tab_Def_Flows[[Flow_ID]:[CC_DM_source]],MATCH(Tab_Data_Flows[[#This Row],[Flow_Name]],Tab_Def_Flows[Flow_Name],0),14)</f>
        <v/>
      </c>
      <c r="Z18">
        <f>Tab_Data_Flows[[#This Row],[Flow_ID]]&amp;"_"&amp;"DM_"&amp;Tab_Data_Flows[[#This Row],[Flow_Data_Year]]</f>
        <v/>
      </c>
      <c r="AA18">
        <f>IF(E18="Yes",Y18*Tab_Data_Flows[[#This Row],[Flow_Material]],"N.A.")</f>
        <v/>
      </c>
      <c r="AB18">
        <f>Tab_Data_Flows[[#This Row],[UoM_Flow_Py]]</f>
        <v/>
      </c>
      <c r="AC18">
        <f>INDEX(Tab_Def_Flows[[Flow_ID]:[CC_DM_source]],MATCH(Tab_Data_Flows[[#This Row],[Flow_Name]],Tab_Def_Flows[Flow_Name],0),17)</f>
        <v/>
      </c>
      <c r="AD18">
        <f>Tab_Data_Flows[[#This Row],[Flow_ID]]&amp;"_"&amp;"CC_"&amp;Tab_Data_Flows[[#This Row],[Flow_Data_Year]]</f>
        <v/>
      </c>
      <c r="AE18">
        <f>IF(F18="Yes",AC18*Tab_Data_Flows[[#This Row],[Flow_Material]]*Tab_Data_Flows[[#This Row],[DM_'[%']]],"N.A.")</f>
        <v/>
      </c>
      <c r="AF18">
        <f>Tab_Data_Flows[[#This Row],[UoM_Flow_Py]]</f>
        <v/>
      </c>
    </row>
    <row r="19">
      <c r="A19">
        <f>ROW()-1</f>
        <v/>
      </c>
      <c r="B19">
        <f>_xlfn.XLOOKUP(C19,Tab_Def_Flows[Flow_Name],Tab_Def_Flows[Flow_ID],,0,)</f>
        <v/>
      </c>
      <c r="C19" t="inlineStr">
        <is>
          <t>Atmosphere_Input_Cultivation_C</t>
        </is>
      </c>
      <c r="D19">
        <f>_xlfn.XLOOKUP(C19,Tab_Def_Flows[Flow_Name],Tab_Def_Flows[WC?],,0,)</f>
        <v/>
      </c>
      <c r="E19">
        <f>_xlfn.XLOOKUP(C19,Tab_Def_Flows[Flow_Name],Tab_Def_Flows[DM?],,0,)</f>
        <v/>
      </c>
      <c r="F19">
        <f>_xlfn.XLOOKUP(C19,Tab_Def_Flows[Flow_Name],Tab_Def_Flows[CC?],,0,)</f>
        <v/>
      </c>
      <c r="G19" t="n">
        <v>2042</v>
      </c>
      <c r="H19" t="n">
        <v>474271.5688421053</v>
      </c>
      <c r="I19">
        <f>'0_Configuration'!$C$35</f>
        <v/>
      </c>
      <c r="O19" t="inlineStr">
        <is>
          <t>No</t>
        </is>
      </c>
      <c r="R19">
        <f>Tab_Data_Flows[[#This Row],[Flow_ID]]&amp;"_"&amp;"material_"&amp;Tab_Data_Flows[[#This Row],[Flow_Data_Year]]</f>
        <v/>
      </c>
      <c r="S19">
        <f>IF(O19="no",H19,H19*P19)</f>
        <v/>
      </c>
      <c r="T19">
        <f>Tab_Data_Flows[[#This Row],[UoM_Source]]</f>
        <v/>
      </c>
      <c r="U19">
        <f>INDEX(Tab_Def_Flows[[Flow_ID]:[CC_DM_source]],MATCH(Tab_Data_Flows[[#This Row],[Flow_Name]],Tab_Def_Flows[Flow_Name],0),11)</f>
        <v/>
      </c>
      <c r="V19">
        <f>Tab_Data_Flows[[#This Row],[Flow_ID]]&amp;"_"&amp;"WC_"&amp;Tab_Data_Flows[[#This Row],[Flow_Data_Year]]</f>
        <v/>
      </c>
      <c r="W19">
        <f>IF(D19="Yes",S19*Tab_Data_Flows[[#This Row],[WC_'[%']]],"N.A.")</f>
        <v/>
      </c>
      <c r="X19">
        <f>Tab_Data_Flows[[#This Row],[UoM_Flow_Py]]</f>
        <v/>
      </c>
      <c r="Y19">
        <f>INDEX(Tab_Def_Flows[[Flow_ID]:[CC_DM_source]],MATCH(Tab_Data_Flows[[#This Row],[Flow_Name]],Tab_Def_Flows[Flow_Name],0),14)</f>
        <v/>
      </c>
      <c r="Z19">
        <f>Tab_Data_Flows[[#This Row],[Flow_ID]]&amp;"_"&amp;"DM_"&amp;Tab_Data_Flows[[#This Row],[Flow_Data_Year]]</f>
        <v/>
      </c>
      <c r="AA19">
        <f>IF(E19="Yes",Y19*Tab_Data_Flows[[#This Row],[Flow_Material]],"N.A.")</f>
        <v/>
      </c>
      <c r="AB19">
        <f>Tab_Data_Flows[[#This Row],[UoM_Flow_Py]]</f>
        <v/>
      </c>
      <c r="AC19">
        <f>INDEX(Tab_Def_Flows[[Flow_ID]:[CC_DM_source]],MATCH(Tab_Data_Flows[[#This Row],[Flow_Name]],Tab_Def_Flows[Flow_Name],0),17)</f>
        <v/>
      </c>
      <c r="AD19">
        <f>Tab_Data_Flows[[#This Row],[Flow_ID]]&amp;"_"&amp;"CC_"&amp;Tab_Data_Flows[[#This Row],[Flow_Data_Year]]</f>
        <v/>
      </c>
      <c r="AE19">
        <f>IF(F19="Yes",AC19*Tab_Data_Flows[[#This Row],[Flow_Material]]*Tab_Data_Flows[[#This Row],[DM_'[%']]],"N.A.")</f>
        <v/>
      </c>
      <c r="AF19">
        <f>Tab_Data_Flows[[#This Row],[UoM_Flow_Py]]</f>
        <v/>
      </c>
    </row>
    <row r="20">
      <c r="A20">
        <f>ROW()-1</f>
        <v/>
      </c>
      <c r="B20">
        <f>_xlfn.XLOOKUP(C20,Tab_Def_Flows[Flow_Name],Tab_Def_Flows[Flow_ID],,0,)</f>
        <v/>
      </c>
      <c r="C20" t="inlineStr">
        <is>
          <t>Atmosphere_Input_Cultivation_C</t>
        </is>
      </c>
      <c r="D20">
        <f>_xlfn.XLOOKUP(C20,Tab_Def_Flows[Flow_Name],Tab_Def_Flows[WC?],,0,)</f>
        <v/>
      </c>
      <c r="E20">
        <f>_xlfn.XLOOKUP(C20,Tab_Def_Flows[Flow_Name],Tab_Def_Flows[DM?],,0,)</f>
        <v/>
      </c>
      <c r="F20">
        <f>_xlfn.XLOOKUP(C20,Tab_Def_Flows[Flow_Name],Tab_Def_Flows[CC?],,0,)</f>
        <v/>
      </c>
      <c r="G20" t="n">
        <v>2043</v>
      </c>
      <c r="H20" t="n">
        <v>323969.7852631579</v>
      </c>
      <c r="I20">
        <f>'0_Configuration'!$C$35</f>
        <v/>
      </c>
      <c r="O20" t="inlineStr">
        <is>
          <t>No</t>
        </is>
      </c>
      <c r="R20">
        <f>Tab_Data_Flows[[#This Row],[Flow_ID]]&amp;"_"&amp;"material_"&amp;Tab_Data_Flows[[#This Row],[Flow_Data_Year]]</f>
        <v/>
      </c>
      <c r="S20">
        <f>IF(O20="no",H20,H20*P20)</f>
        <v/>
      </c>
      <c r="T20">
        <f>Tab_Data_Flows[[#This Row],[UoM_Source]]</f>
        <v/>
      </c>
      <c r="U20">
        <f>INDEX(Tab_Def_Flows[[Flow_ID]:[CC_DM_source]],MATCH(Tab_Data_Flows[[#This Row],[Flow_Name]],Tab_Def_Flows[Flow_Name],0),11)</f>
        <v/>
      </c>
      <c r="V20">
        <f>Tab_Data_Flows[[#This Row],[Flow_ID]]&amp;"_"&amp;"WC_"&amp;Tab_Data_Flows[[#This Row],[Flow_Data_Year]]</f>
        <v/>
      </c>
      <c r="W20">
        <f>IF(D20="Yes",S20*Tab_Data_Flows[[#This Row],[WC_'[%']]],"N.A.")</f>
        <v/>
      </c>
      <c r="X20">
        <f>Tab_Data_Flows[[#This Row],[UoM_Flow_Py]]</f>
        <v/>
      </c>
      <c r="Y20">
        <f>INDEX(Tab_Def_Flows[[Flow_ID]:[CC_DM_source]],MATCH(Tab_Data_Flows[[#This Row],[Flow_Name]],Tab_Def_Flows[Flow_Name],0),14)</f>
        <v/>
      </c>
      <c r="Z20">
        <f>Tab_Data_Flows[[#This Row],[Flow_ID]]&amp;"_"&amp;"DM_"&amp;Tab_Data_Flows[[#This Row],[Flow_Data_Year]]</f>
        <v/>
      </c>
      <c r="AA20">
        <f>IF(E20="Yes",Y20*Tab_Data_Flows[[#This Row],[Flow_Material]],"N.A.")</f>
        <v/>
      </c>
      <c r="AB20">
        <f>Tab_Data_Flows[[#This Row],[UoM_Flow_Py]]</f>
        <v/>
      </c>
      <c r="AC20">
        <f>INDEX(Tab_Def_Flows[[Flow_ID]:[CC_DM_source]],MATCH(Tab_Data_Flows[[#This Row],[Flow_Name]],Tab_Def_Flows[Flow_Name],0),17)</f>
        <v/>
      </c>
      <c r="AD20">
        <f>Tab_Data_Flows[[#This Row],[Flow_ID]]&amp;"_"&amp;"CC_"&amp;Tab_Data_Flows[[#This Row],[Flow_Data_Year]]</f>
        <v/>
      </c>
      <c r="AE20">
        <f>IF(F20="Yes",AC20*Tab_Data_Flows[[#This Row],[Flow_Material]]*Tab_Data_Flows[[#This Row],[DM_'[%']]],"N.A.")</f>
        <v/>
      </c>
      <c r="AF20">
        <f>Tab_Data_Flows[[#This Row],[UoM_Flow_Py]]</f>
        <v/>
      </c>
    </row>
    <row r="21">
      <c r="A21">
        <f>ROW()-1</f>
        <v/>
      </c>
      <c r="B21">
        <f>_xlfn.XLOOKUP(C21,Tab_Def_Flows[Flow_Name],Tab_Def_Flows[Flow_ID],,0,)</f>
        <v/>
      </c>
      <c r="C21" t="inlineStr">
        <is>
          <t>Atmosphere_Input_Cultivation_C</t>
        </is>
      </c>
      <c r="D21">
        <f>_xlfn.XLOOKUP(C21,Tab_Def_Flows[Flow_Name],Tab_Def_Flows[WC?],,0,)</f>
        <v/>
      </c>
      <c r="E21">
        <f>_xlfn.XLOOKUP(C21,Tab_Def_Flows[Flow_Name],Tab_Def_Flows[DM?],,0,)</f>
        <v/>
      </c>
      <c r="F21">
        <f>_xlfn.XLOOKUP(C21,Tab_Def_Flows[Flow_Name],Tab_Def_Flows[CC?],,0,)</f>
        <v/>
      </c>
      <c r="G21" t="n">
        <v>2044</v>
      </c>
      <c r="H21" t="n">
        <v>261955.9275789474</v>
      </c>
      <c r="I21">
        <f>'0_Configuration'!$C$35</f>
        <v/>
      </c>
      <c r="O21" t="inlineStr">
        <is>
          <t>No</t>
        </is>
      </c>
      <c r="R21">
        <f>Tab_Data_Flows[[#This Row],[Flow_ID]]&amp;"_"&amp;"material_"&amp;Tab_Data_Flows[[#This Row],[Flow_Data_Year]]</f>
        <v/>
      </c>
      <c r="S21">
        <f>IF(O21="no",H21,H21*P21)</f>
        <v/>
      </c>
      <c r="T21">
        <f>Tab_Data_Flows[[#This Row],[UoM_Source]]</f>
        <v/>
      </c>
      <c r="U21">
        <f>INDEX(Tab_Def_Flows[[Flow_ID]:[CC_DM_source]],MATCH(Tab_Data_Flows[[#This Row],[Flow_Name]],Tab_Def_Flows[Flow_Name],0),11)</f>
        <v/>
      </c>
      <c r="V21">
        <f>Tab_Data_Flows[[#This Row],[Flow_ID]]&amp;"_"&amp;"WC_"&amp;Tab_Data_Flows[[#This Row],[Flow_Data_Year]]</f>
        <v/>
      </c>
      <c r="W21">
        <f>IF(D21="Yes",S21*Tab_Data_Flows[[#This Row],[WC_'[%']]],"N.A.")</f>
        <v/>
      </c>
      <c r="X21">
        <f>Tab_Data_Flows[[#This Row],[UoM_Flow_Py]]</f>
        <v/>
      </c>
      <c r="Y21">
        <f>INDEX(Tab_Def_Flows[[Flow_ID]:[CC_DM_source]],MATCH(Tab_Data_Flows[[#This Row],[Flow_Name]],Tab_Def_Flows[Flow_Name],0),14)</f>
        <v/>
      </c>
      <c r="Z21">
        <f>Tab_Data_Flows[[#This Row],[Flow_ID]]&amp;"_"&amp;"DM_"&amp;Tab_Data_Flows[[#This Row],[Flow_Data_Year]]</f>
        <v/>
      </c>
      <c r="AA21">
        <f>IF(E21="Yes",Y21*Tab_Data_Flows[[#This Row],[Flow_Material]],"N.A.")</f>
        <v/>
      </c>
      <c r="AB21">
        <f>Tab_Data_Flows[[#This Row],[UoM_Flow_Py]]</f>
        <v/>
      </c>
      <c r="AC21">
        <f>INDEX(Tab_Def_Flows[[Flow_ID]:[CC_DM_source]],MATCH(Tab_Data_Flows[[#This Row],[Flow_Name]],Tab_Def_Flows[Flow_Name],0),17)</f>
        <v/>
      </c>
      <c r="AD21">
        <f>Tab_Data_Flows[[#This Row],[Flow_ID]]&amp;"_"&amp;"CC_"&amp;Tab_Data_Flows[[#This Row],[Flow_Data_Year]]</f>
        <v/>
      </c>
      <c r="AE21">
        <f>IF(F21="Yes",AC21*Tab_Data_Flows[[#This Row],[Flow_Material]]*Tab_Data_Flows[[#This Row],[DM_'[%']]],"N.A.")</f>
        <v/>
      </c>
      <c r="AF21">
        <f>Tab_Data_Flows[[#This Row],[UoM_Flow_Py]]</f>
        <v/>
      </c>
    </row>
    <row r="22">
      <c r="A22">
        <f>ROW()-1</f>
        <v/>
      </c>
      <c r="B22">
        <f>_xlfn.XLOOKUP(C22,Tab_Def_Flows[Flow_Name],Tab_Def_Flows[Flow_ID],,0,)</f>
        <v/>
      </c>
      <c r="C22" t="inlineStr">
        <is>
          <t>Atmosphere_Input_Cultivation_C</t>
        </is>
      </c>
      <c r="D22">
        <f>_xlfn.XLOOKUP(C22,Tab_Def_Flows[Flow_Name],Tab_Def_Flows[WC?],,0,)</f>
        <v/>
      </c>
      <c r="E22">
        <f>_xlfn.XLOOKUP(C22,Tab_Def_Flows[Flow_Name],Tab_Def_Flows[DM?],,0,)</f>
        <v/>
      </c>
      <c r="F22">
        <f>_xlfn.XLOOKUP(C22,Tab_Def_Flows[Flow_Name],Tab_Def_Flows[CC?],,0,)</f>
        <v/>
      </c>
      <c r="G22" t="n">
        <v>2045</v>
      </c>
      <c r="H22" t="n">
        <v>615868.0522105263</v>
      </c>
      <c r="I22">
        <f>'0_Configuration'!$C$35</f>
        <v/>
      </c>
      <c r="O22" t="inlineStr">
        <is>
          <t>No</t>
        </is>
      </c>
      <c r="R22">
        <f>Tab_Data_Flows[[#This Row],[Flow_ID]]&amp;"_"&amp;"material_"&amp;Tab_Data_Flows[[#This Row],[Flow_Data_Year]]</f>
        <v/>
      </c>
      <c r="S22">
        <f>IF(O22="no",H22,H22*P22)</f>
        <v/>
      </c>
      <c r="T22">
        <f>Tab_Data_Flows[[#This Row],[UoM_Source]]</f>
        <v/>
      </c>
      <c r="U22">
        <f>INDEX(Tab_Def_Flows[[Flow_ID]:[CC_DM_source]],MATCH(Tab_Data_Flows[[#This Row],[Flow_Name]],Tab_Def_Flows[Flow_Name],0),11)</f>
        <v/>
      </c>
      <c r="V22">
        <f>Tab_Data_Flows[[#This Row],[Flow_ID]]&amp;"_"&amp;"WC_"&amp;Tab_Data_Flows[[#This Row],[Flow_Data_Year]]</f>
        <v/>
      </c>
      <c r="W22">
        <f>IF(D22="Yes",S22*Tab_Data_Flows[[#This Row],[WC_'[%']]],"N.A.")</f>
        <v/>
      </c>
      <c r="X22">
        <f>Tab_Data_Flows[[#This Row],[UoM_Flow_Py]]</f>
        <v/>
      </c>
      <c r="Y22">
        <f>INDEX(Tab_Def_Flows[[Flow_ID]:[CC_DM_source]],MATCH(Tab_Data_Flows[[#This Row],[Flow_Name]],Tab_Def_Flows[Flow_Name],0),14)</f>
        <v/>
      </c>
      <c r="Z22">
        <f>Tab_Data_Flows[[#This Row],[Flow_ID]]&amp;"_"&amp;"DM_"&amp;Tab_Data_Flows[[#This Row],[Flow_Data_Year]]</f>
        <v/>
      </c>
      <c r="AA22">
        <f>IF(E22="Yes",Y22*Tab_Data_Flows[[#This Row],[Flow_Material]],"N.A.")</f>
        <v/>
      </c>
      <c r="AB22">
        <f>Tab_Data_Flows[[#This Row],[UoM_Flow_Py]]</f>
        <v/>
      </c>
      <c r="AC22">
        <f>INDEX(Tab_Def_Flows[[Flow_ID]:[CC_DM_source]],MATCH(Tab_Data_Flows[[#This Row],[Flow_Name]],Tab_Def_Flows[Flow_Name],0),17)</f>
        <v/>
      </c>
      <c r="AD22">
        <f>Tab_Data_Flows[[#This Row],[Flow_ID]]&amp;"_"&amp;"CC_"&amp;Tab_Data_Flows[[#This Row],[Flow_Data_Year]]</f>
        <v/>
      </c>
      <c r="AE22">
        <f>IF(F22="Yes",AC22*Tab_Data_Flows[[#This Row],[Flow_Material]]*Tab_Data_Flows[[#This Row],[DM_'[%']]],"N.A.")</f>
        <v/>
      </c>
      <c r="AF22">
        <f>Tab_Data_Flows[[#This Row],[UoM_Flow_Py]]</f>
        <v/>
      </c>
    </row>
    <row r="23">
      <c r="A23">
        <f>ROW()-1</f>
        <v/>
      </c>
      <c r="B23">
        <f>_xlfn.XLOOKUP(C23,Tab_Def_Flows[Flow_Name],Tab_Def_Flows[Flow_ID],,0,)</f>
        <v/>
      </c>
      <c r="C23" t="inlineStr">
        <is>
          <t>Atmosphere_Input_Cultivation_C</t>
        </is>
      </c>
      <c r="D23">
        <f>_xlfn.XLOOKUP(C23,Tab_Def_Flows[Flow_Name],Tab_Def_Flows[WC?],,0,)</f>
        <v/>
      </c>
      <c r="E23">
        <f>_xlfn.XLOOKUP(C23,Tab_Def_Flows[Flow_Name],Tab_Def_Flows[DM?],,0,)</f>
        <v/>
      </c>
      <c r="F23">
        <f>_xlfn.XLOOKUP(C23,Tab_Def_Flows[Flow_Name],Tab_Def_Flows[CC?],,0,)</f>
        <v/>
      </c>
      <c r="G23" t="n">
        <v>2046</v>
      </c>
      <c r="H23" t="n">
        <v>407865.5191578948</v>
      </c>
      <c r="I23">
        <f>'0_Configuration'!$C$35</f>
        <v/>
      </c>
      <c r="O23" t="inlineStr">
        <is>
          <t>No</t>
        </is>
      </c>
      <c r="R23">
        <f>Tab_Data_Flows[[#This Row],[Flow_ID]]&amp;"_"&amp;"material_"&amp;Tab_Data_Flows[[#This Row],[Flow_Data_Year]]</f>
        <v/>
      </c>
      <c r="S23">
        <f>IF(O23="no",H23,H23*P23)</f>
        <v/>
      </c>
      <c r="T23">
        <f>Tab_Data_Flows[[#This Row],[UoM_Source]]</f>
        <v/>
      </c>
      <c r="U23">
        <f>INDEX(Tab_Def_Flows[[Flow_ID]:[CC_DM_source]],MATCH(Tab_Data_Flows[[#This Row],[Flow_Name]],Tab_Def_Flows[Flow_Name],0),11)</f>
        <v/>
      </c>
      <c r="V23">
        <f>Tab_Data_Flows[[#This Row],[Flow_ID]]&amp;"_"&amp;"WC_"&amp;Tab_Data_Flows[[#This Row],[Flow_Data_Year]]</f>
        <v/>
      </c>
      <c r="W23">
        <f>IF(D23="Yes",S23*Tab_Data_Flows[[#This Row],[WC_'[%']]],"N.A.")</f>
        <v/>
      </c>
      <c r="X23">
        <f>Tab_Data_Flows[[#This Row],[UoM_Flow_Py]]</f>
        <v/>
      </c>
      <c r="Y23">
        <f>INDEX(Tab_Def_Flows[[Flow_ID]:[CC_DM_source]],MATCH(Tab_Data_Flows[[#This Row],[Flow_Name]],Tab_Def_Flows[Flow_Name],0),14)</f>
        <v/>
      </c>
      <c r="Z23">
        <f>Tab_Data_Flows[[#This Row],[Flow_ID]]&amp;"_"&amp;"DM_"&amp;Tab_Data_Flows[[#This Row],[Flow_Data_Year]]</f>
        <v/>
      </c>
      <c r="AA23">
        <f>IF(E23="Yes",Y23*Tab_Data_Flows[[#This Row],[Flow_Material]],"N.A.")</f>
        <v/>
      </c>
      <c r="AB23">
        <f>Tab_Data_Flows[[#This Row],[UoM_Flow_Py]]</f>
        <v/>
      </c>
      <c r="AC23">
        <f>INDEX(Tab_Def_Flows[[Flow_ID]:[CC_DM_source]],MATCH(Tab_Data_Flows[[#This Row],[Flow_Name]],Tab_Def_Flows[Flow_Name],0),17)</f>
        <v/>
      </c>
      <c r="AD23">
        <f>Tab_Data_Flows[[#This Row],[Flow_ID]]&amp;"_"&amp;"CC_"&amp;Tab_Data_Flows[[#This Row],[Flow_Data_Year]]</f>
        <v/>
      </c>
      <c r="AE23">
        <f>IF(F23="Yes",AC23*Tab_Data_Flows[[#This Row],[Flow_Material]]*Tab_Data_Flows[[#This Row],[DM_'[%']]],"N.A.")</f>
        <v/>
      </c>
      <c r="AF23">
        <f>Tab_Data_Flows[[#This Row],[UoM_Flow_Py]]</f>
        <v/>
      </c>
    </row>
    <row r="24">
      <c r="A24">
        <f>ROW()-1</f>
        <v/>
      </c>
      <c r="B24">
        <f>_xlfn.XLOOKUP(C24,Tab_Def_Flows[Flow_Name],Tab_Def_Flows[Flow_ID],,0,)</f>
        <v/>
      </c>
      <c r="C24" t="inlineStr">
        <is>
          <t>Atmosphere_Input_Cultivation_C</t>
        </is>
      </c>
      <c r="D24">
        <f>_xlfn.XLOOKUP(C24,Tab_Def_Flows[Flow_Name],Tab_Def_Flows[WC?],,0,)</f>
        <v/>
      </c>
      <c r="E24">
        <f>_xlfn.XLOOKUP(C24,Tab_Def_Flows[Flow_Name],Tab_Def_Flows[DM?],,0,)</f>
        <v/>
      </c>
      <c r="F24">
        <f>_xlfn.XLOOKUP(C24,Tab_Def_Flows[Flow_Name],Tab_Def_Flows[CC?],,0,)</f>
        <v/>
      </c>
      <c r="G24" t="n">
        <v>2047</v>
      </c>
      <c r="H24" t="n">
        <v>443933.8105263158</v>
      </c>
      <c r="I24">
        <f>'0_Configuration'!$C$35</f>
        <v/>
      </c>
      <c r="O24" t="inlineStr">
        <is>
          <t>No</t>
        </is>
      </c>
      <c r="R24">
        <f>Tab_Data_Flows[[#This Row],[Flow_ID]]&amp;"_"&amp;"material_"&amp;Tab_Data_Flows[[#This Row],[Flow_Data_Year]]</f>
        <v/>
      </c>
      <c r="S24">
        <f>IF(O24="no",H24,H24*P24)</f>
        <v/>
      </c>
      <c r="T24">
        <f>Tab_Data_Flows[[#This Row],[UoM_Source]]</f>
        <v/>
      </c>
      <c r="U24">
        <f>INDEX(Tab_Def_Flows[[Flow_ID]:[CC_DM_source]],MATCH(Tab_Data_Flows[[#This Row],[Flow_Name]],Tab_Def_Flows[Flow_Name],0),11)</f>
        <v/>
      </c>
      <c r="V24">
        <f>Tab_Data_Flows[[#This Row],[Flow_ID]]&amp;"_"&amp;"WC_"&amp;Tab_Data_Flows[[#This Row],[Flow_Data_Year]]</f>
        <v/>
      </c>
      <c r="W24">
        <f>IF(D24="Yes",S24*Tab_Data_Flows[[#This Row],[WC_'[%']]],"N.A.")</f>
        <v/>
      </c>
      <c r="X24">
        <f>Tab_Data_Flows[[#This Row],[UoM_Flow_Py]]</f>
        <v/>
      </c>
      <c r="Y24">
        <f>INDEX(Tab_Def_Flows[[Flow_ID]:[CC_DM_source]],MATCH(Tab_Data_Flows[[#This Row],[Flow_Name]],Tab_Def_Flows[Flow_Name],0),14)</f>
        <v/>
      </c>
      <c r="Z24">
        <f>Tab_Data_Flows[[#This Row],[Flow_ID]]&amp;"_"&amp;"DM_"&amp;Tab_Data_Flows[[#This Row],[Flow_Data_Year]]</f>
        <v/>
      </c>
      <c r="AA24">
        <f>IF(E24="Yes",Y24*Tab_Data_Flows[[#This Row],[Flow_Material]],"N.A.")</f>
        <v/>
      </c>
      <c r="AB24">
        <f>Tab_Data_Flows[[#This Row],[UoM_Flow_Py]]</f>
        <v/>
      </c>
      <c r="AC24">
        <f>INDEX(Tab_Def_Flows[[Flow_ID]:[CC_DM_source]],MATCH(Tab_Data_Flows[[#This Row],[Flow_Name]],Tab_Def_Flows[Flow_Name],0),17)</f>
        <v/>
      </c>
      <c r="AD24">
        <f>Tab_Data_Flows[[#This Row],[Flow_ID]]&amp;"_"&amp;"CC_"&amp;Tab_Data_Flows[[#This Row],[Flow_Data_Year]]</f>
        <v/>
      </c>
      <c r="AE24">
        <f>IF(F24="Yes",AC24*Tab_Data_Flows[[#This Row],[Flow_Material]]*Tab_Data_Flows[[#This Row],[DM_'[%']]],"N.A.")</f>
        <v/>
      </c>
      <c r="AF24">
        <f>Tab_Data_Flows[[#This Row],[UoM_Flow_Py]]</f>
        <v/>
      </c>
    </row>
    <row r="25">
      <c r="A25">
        <f>ROW()-1</f>
        <v/>
      </c>
      <c r="B25">
        <f>_xlfn.XLOOKUP(C25,Tab_Def_Flows[Flow_Name],Tab_Def_Flows[Flow_ID],,0,)</f>
        <v/>
      </c>
      <c r="C25" t="inlineStr">
        <is>
          <t>Atmosphere_Input_Cultivation_C</t>
        </is>
      </c>
      <c r="D25">
        <f>_xlfn.XLOOKUP(C25,Tab_Def_Flows[Flow_Name],Tab_Def_Flows[WC?],,0,)</f>
        <v/>
      </c>
      <c r="E25">
        <f>_xlfn.XLOOKUP(C25,Tab_Def_Flows[Flow_Name],Tab_Def_Flows[DM?],,0,)</f>
        <v/>
      </c>
      <c r="F25">
        <f>_xlfn.XLOOKUP(C25,Tab_Def_Flows[Flow_Name],Tab_Def_Flows[CC?],,0,)</f>
        <v/>
      </c>
      <c r="G25" t="n">
        <v>2048</v>
      </c>
      <c r="H25" t="n">
        <v>260422.9187368421</v>
      </c>
      <c r="I25">
        <f>'0_Configuration'!$C$35</f>
        <v/>
      </c>
      <c r="O25" t="inlineStr">
        <is>
          <t>No</t>
        </is>
      </c>
      <c r="R25">
        <f>Tab_Data_Flows[[#This Row],[Flow_ID]]&amp;"_"&amp;"material_"&amp;Tab_Data_Flows[[#This Row],[Flow_Data_Year]]</f>
        <v/>
      </c>
      <c r="S25">
        <f>IF(O25="no",H25,H25*P25)</f>
        <v/>
      </c>
      <c r="T25">
        <f>Tab_Data_Flows[[#This Row],[UoM_Source]]</f>
        <v/>
      </c>
      <c r="U25">
        <f>INDEX(Tab_Def_Flows[[Flow_ID]:[CC_DM_source]],MATCH(Tab_Data_Flows[[#This Row],[Flow_Name]],Tab_Def_Flows[Flow_Name],0),11)</f>
        <v/>
      </c>
      <c r="V25">
        <f>Tab_Data_Flows[[#This Row],[Flow_ID]]&amp;"_"&amp;"WC_"&amp;Tab_Data_Flows[[#This Row],[Flow_Data_Year]]</f>
        <v/>
      </c>
      <c r="W25">
        <f>IF(D25="Yes",S25*Tab_Data_Flows[[#This Row],[WC_'[%']]],"N.A.")</f>
        <v/>
      </c>
      <c r="X25">
        <f>Tab_Data_Flows[[#This Row],[UoM_Flow_Py]]</f>
        <v/>
      </c>
      <c r="Y25">
        <f>INDEX(Tab_Def_Flows[[Flow_ID]:[CC_DM_source]],MATCH(Tab_Data_Flows[[#This Row],[Flow_Name]],Tab_Def_Flows[Flow_Name],0),14)</f>
        <v/>
      </c>
      <c r="Z25">
        <f>Tab_Data_Flows[[#This Row],[Flow_ID]]&amp;"_"&amp;"DM_"&amp;Tab_Data_Flows[[#This Row],[Flow_Data_Year]]</f>
        <v/>
      </c>
      <c r="AA25">
        <f>IF(E25="Yes",Y25*Tab_Data_Flows[[#This Row],[Flow_Material]],"N.A.")</f>
        <v/>
      </c>
      <c r="AB25">
        <f>Tab_Data_Flows[[#This Row],[UoM_Flow_Py]]</f>
        <v/>
      </c>
      <c r="AC25">
        <f>INDEX(Tab_Def_Flows[[Flow_ID]:[CC_DM_source]],MATCH(Tab_Data_Flows[[#This Row],[Flow_Name]],Tab_Def_Flows[Flow_Name],0),17)</f>
        <v/>
      </c>
      <c r="AD25">
        <f>Tab_Data_Flows[[#This Row],[Flow_ID]]&amp;"_"&amp;"CC_"&amp;Tab_Data_Flows[[#This Row],[Flow_Data_Year]]</f>
        <v/>
      </c>
      <c r="AE25">
        <f>IF(F25="Yes",AC25*Tab_Data_Flows[[#This Row],[Flow_Material]]*Tab_Data_Flows[[#This Row],[DM_'[%']]],"N.A.")</f>
        <v/>
      </c>
      <c r="AF25">
        <f>Tab_Data_Flows[[#This Row],[UoM_Flow_Py]]</f>
        <v/>
      </c>
    </row>
    <row r="26">
      <c r="A26">
        <f>ROW()-1</f>
        <v/>
      </c>
      <c r="B26">
        <f>_xlfn.XLOOKUP(C26,Tab_Def_Flows[Flow_Name],Tab_Def_Flows[Flow_ID],,0,)</f>
        <v/>
      </c>
      <c r="C26" t="inlineStr">
        <is>
          <t>Atmosphere_Input_Cultivation_C</t>
        </is>
      </c>
      <c r="D26">
        <f>_xlfn.XLOOKUP(C26,Tab_Def_Flows[Flow_Name],Tab_Def_Flows[WC?],,0,)</f>
        <v/>
      </c>
      <c r="E26">
        <f>_xlfn.XLOOKUP(C26,Tab_Def_Flows[Flow_Name],Tab_Def_Flows[DM?],,0,)</f>
        <v/>
      </c>
      <c r="F26">
        <f>_xlfn.XLOOKUP(C26,Tab_Def_Flows[Flow_Name],Tab_Def_Flows[CC?],,0,)</f>
        <v/>
      </c>
      <c r="G26" t="n">
        <v>2049</v>
      </c>
      <c r="H26" t="n">
        <v>368682.5431578947</v>
      </c>
      <c r="I26">
        <f>'0_Configuration'!$C$35</f>
        <v/>
      </c>
      <c r="O26" t="inlineStr">
        <is>
          <t>No</t>
        </is>
      </c>
      <c r="R26">
        <f>Tab_Data_Flows[[#This Row],[Flow_ID]]&amp;"_"&amp;"material_"&amp;Tab_Data_Flows[[#This Row],[Flow_Data_Year]]</f>
        <v/>
      </c>
      <c r="S26">
        <f>IF(O26="no",H26,H26*P26)</f>
        <v/>
      </c>
      <c r="T26">
        <f>Tab_Data_Flows[[#This Row],[UoM_Source]]</f>
        <v/>
      </c>
      <c r="U26">
        <f>INDEX(Tab_Def_Flows[[Flow_ID]:[CC_DM_source]],MATCH(Tab_Data_Flows[[#This Row],[Flow_Name]],Tab_Def_Flows[Flow_Name],0),11)</f>
        <v/>
      </c>
      <c r="V26">
        <f>Tab_Data_Flows[[#This Row],[Flow_ID]]&amp;"_"&amp;"WC_"&amp;Tab_Data_Flows[[#This Row],[Flow_Data_Year]]</f>
        <v/>
      </c>
      <c r="W26">
        <f>IF(D26="Yes",S26*Tab_Data_Flows[[#This Row],[WC_'[%']]],"N.A.")</f>
        <v/>
      </c>
      <c r="X26">
        <f>Tab_Data_Flows[[#This Row],[UoM_Flow_Py]]</f>
        <v/>
      </c>
      <c r="Y26">
        <f>INDEX(Tab_Def_Flows[[Flow_ID]:[CC_DM_source]],MATCH(Tab_Data_Flows[[#This Row],[Flow_Name]],Tab_Def_Flows[Flow_Name],0),14)</f>
        <v/>
      </c>
      <c r="Z26">
        <f>Tab_Data_Flows[[#This Row],[Flow_ID]]&amp;"_"&amp;"DM_"&amp;Tab_Data_Flows[[#This Row],[Flow_Data_Year]]</f>
        <v/>
      </c>
      <c r="AA26">
        <f>IF(E26="Yes",Y26*Tab_Data_Flows[[#This Row],[Flow_Material]],"N.A.")</f>
        <v/>
      </c>
      <c r="AB26">
        <f>Tab_Data_Flows[[#This Row],[UoM_Flow_Py]]</f>
        <v/>
      </c>
      <c r="AC26">
        <f>INDEX(Tab_Def_Flows[[Flow_ID]:[CC_DM_source]],MATCH(Tab_Data_Flows[[#This Row],[Flow_Name]],Tab_Def_Flows[Flow_Name],0),17)</f>
        <v/>
      </c>
      <c r="AD26">
        <f>Tab_Data_Flows[[#This Row],[Flow_ID]]&amp;"_"&amp;"CC_"&amp;Tab_Data_Flows[[#This Row],[Flow_Data_Year]]</f>
        <v/>
      </c>
      <c r="AE26">
        <f>IF(F26="Yes",AC26*Tab_Data_Flows[[#This Row],[Flow_Material]]*Tab_Data_Flows[[#This Row],[DM_'[%']]],"N.A.")</f>
        <v/>
      </c>
      <c r="AF26">
        <f>Tab_Data_Flows[[#This Row],[UoM_Flow_Py]]</f>
        <v/>
      </c>
    </row>
    <row r="27">
      <c r="A27">
        <f>ROW()-1</f>
        <v/>
      </c>
      <c r="B27">
        <f>_xlfn.XLOOKUP(C27,Tab_Def_Flows[Flow_Name],Tab_Def_Flows[Flow_ID],,0,)</f>
        <v/>
      </c>
      <c r="C27" t="inlineStr">
        <is>
          <t>Atmosphere_Input_Cultivation_C</t>
        </is>
      </c>
      <c r="D27">
        <f>_xlfn.XLOOKUP(C27,Tab_Def_Flows[Flow_Name],Tab_Def_Flows[WC?],,0,)</f>
        <v/>
      </c>
      <c r="E27">
        <f>_xlfn.XLOOKUP(C27,Tab_Def_Flows[Flow_Name],Tab_Def_Flows[DM?],,0,)</f>
        <v/>
      </c>
      <c r="F27">
        <f>_xlfn.XLOOKUP(C27,Tab_Def_Flows[Flow_Name],Tab_Def_Flows[CC?],,0,)</f>
        <v/>
      </c>
      <c r="G27" t="n">
        <v>2050</v>
      </c>
      <c r="H27" t="n">
        <v>449268.924631579</v>
      </c>
      <c r="I27">
        <f>'0_Configuration'!$C$35</f>
        <v/>
      </c>
      <c r="O27" t="inlineStr">
        <is>
          <t>No</t>
        </is>
      </c>
      <c r="R27">
        <f>Tab_Data_Flows[[#This Row],[Flow_ID]]&amp;"_"&amp;"material_"&amp;Tab_Data_Flows[[#This Row],[Flow_Data_Year]]</f>
        <v/>
      </c>
      <c r="S27">
        <f>IF(O27="no",H27,H27*P27)</f>
        <v/>
      </c>
      <c r="T27">
        <f>Tab_Data_Flows[[#This Row],[UoM_Source]]</f>
        <v/>
      </c>
      <c r="U27">
        <f>INDEX(Tab_Def_Flows[[Flow_ID]:[CC_DM_source]],MATCH(Tab_Data_Flows[[#This Row],[Flow_Name]],Tab_Def_Flows[Flow_Name],0),11)</f>
        <v/>
      </c>
      <c r="V27">
        <f>Tab_Data_Flows[[#This Row],[Flow_ID]]&amp;"_"&amp;"WC_"&amp;Tab_Data_Flows[[#This Row],[Flow_Data_Year]]</f>
        <v/>
      </c>
      <c r="W27">
        <f>IF(D27="Yes",S27*Tab_Data_Flows[[#This Row],[WC_'[%']]],"N.A.")</f>
        <v/>
      </c>
      <c r="X27">
        <f>Tab_Data_Flows[[#This Row],[UoM_Flow_Py]]</f>
        <v/>
      </c>
      <c r="Y27">
        <f>INDEX(Tab_Def_Flows[[Flow_ID]:[CC_DM_source]],MATCH(Tab_Data_Flows[[#This Row],[Flow_Name]],Tab_Def_Flows[Flow_Name],0),14)</f>
        <v/>
      </c>
      <c r="Z27">
        <f>Tab_Data_Flows[[#This Row],[Flow_ID]]&amp;"_"&amp;"DM_"&amp;Tab_Data_Flows[[#This Row],[Flow_Data_Year]]</f>
        <v/>
      </c>
      <c r="AA27">
        <f>IF(E27="Yes",Y27*Tab_Data_Flows[[#This Row],[Flow_Material]],"N.A.")</f>
        <v/>
      </c>
      <c r="AB27">
        <f>Tab_Data_Flows[[#This Row],[UoM_Flow_Py]]</f>
        <v/>
      </c>
      <c r="AC27">
        <f>INDEX(Tab_Def_Flows[[Flow_ID]:[CC_DM_source]],MATCH(Tab_Data_Flows[[#This Row],[Flow_Name]],Tab_Def_Flows[Flow_Name],0),17)</f>
        <v/>
      </c>
      <c r="AD27">
        <f>Tab_Data_Flows[[#This Row],[Flow_ID]]&amp;"_"&amp;"CC_"&amp;Tab_Data_Flows[[#This Row],[Flow_Data_Year]]</f>
        <v/>
      </c>
      <c r="AE27">
        <f>IF(F27="Yes",AC27*Tab_Data_Flows[[#This Row],[Flow_Material]]*Tab_Data_Flows[[#This Row],[DM_'[%']]],"N.A.")</f>
        <v/>
      </c>
      <c r="AF27">
        <f>Tab_Data_Flows[[#This Row],[UoM_Flow_Py]]</f>
        <v/>
      </c>
    </row>
    <row r="28">
      <c r="A28">
        <f>ROW()-1</f>
        <v/>
      </c>
      <c r="B28">
        <f>_xlfn.XLOOKUP(C28,Tab_Def_Flows[Flow_Name],Tab_Def_Flows[Flow_ID],,0,)</f>
        <v/>
      </c>
      <c r="C28" t="inlineStr">
        <is>
          <t>Environment_Input_Cultivation_E</t>
        </is>
      </c>
      <c r="D28">
        <f>_xlfn.XLOOKUP(C28,Tab_Def_Flows[Flow_Name],Tab_Def_Flows[WC?],,0,)</f>
        <v/>
      </c>
      <c r="E28">
        <f>_xlfn.XLOOKUP(C28,Tab_Def_Flows[Flow_Name],Tab_Def_Flows[DM?],,0,)</f>
        <v/>
      </c>
      <c r="F28">
        <f>_xlfn.XLOOKUP(C28,Tab_Def_Flows[Flow_Name],Tab_Def_Flows[CC?],,0,)</f>
        <v/>
      </c>
      <c r="G28" t="n">
        <v>2025</v>
      </c>
      <c r="H28" t="n">
        <v>706564.7797894737</v>
      </c>
      <c r="I28">
        <f>'0_Configuration'!$C$35</f>
        <v/>
      </c>
      <c r="O28" t="inlineStr">
        <is>
          <t>No</t>
        </is>
      </c>
      <c r="R28">
        <f>Tab_Data_Flows[[#This Row],[Flow_ID]]&amp;"_"&amp;"material_"&amp;Tab_Data_Flows[[#This Row],[Flow_Data_Year]]</f>
        <v/>
      </c>
      <c r="S28">
        <f>IF(O28="no",H28,H28*P28)</f>
        <v/>
      </c>
      <c r="T28">
        <f>Tab_Data_Flows[[#This Row],[UoM_Source]]</f>
        <v/>
      </c>
      <c r="U28">
        <f>INDEX(Tab_Def_Flows[[Flow_ID]:[CC_DM_source]],MATCH(Tab_Data_Flows[[#This Row],[Flow_Name]],Tab_Def_Flows[Flow_Name],0),11)</f>
        <v/>
      </c>
      <c r="V28">
        <f>Tab_Data_Flows[[#This Row],[Flow_ID]]&amp;"_"&amp;"WC_"&amp;Tab_Data_Flows[[#This Row],[Flow_Data_Year]]</f>
        <v/>
      </c>
      <c r="W28">
        <f>IF(D28="Yes",S28*Tab_Data_Flows[[#This Row],[WC_'[%']]],"N.A.")</f>
        <v/>
      </c>
      <c r="X28">
        <f>Tab_Data_Flows[[#This Row],[UoM_Flow_Py]]</f>
        <v/>
      </c>
      <c r="Y28">
        <f>INDEX(Tab_Def_Flows[[Flow_ID]:[CC_DM_source]],MATCH(Tab_Data_Flows[[#This Row],[Flow_Name]],Tab_Def_Flows[Flow_Name],0),14)</f>
        <v/>
      </c>
      <c r="Z28">
        <f>Tab_Data_Flows[[#This Row],[Flow_ID]]&amp;"_"&amp;"DM_"&amp;Tab_Data_Flows[[#This Row],[Flow_Data_Year]]</f>
        <v/>
      </c>
      <c r="AA28">
        <f>IF(E28="Yes",Y28*Tab_Data_Flows[[#This Row],[Flow_Material]],"N.A.")</f>
        <v/>
      </c>
      <c r="AB28">
        <f>Tab_Data_Flows[[#This Row],[UoM_Flow_Py]]</f>
        <v/>
      </c>
      <c r="AC28">
        <f>INDEX(Tab_Def_Flows[[Flow_ID]:[CC_DM_source]],MATCH(Tab_Data_Flows[[#This Row],[Flow_Name]],Tab_Def_Flows[Flow_Name],0),17)</f>
        <v/>
      </c>
      <c r="AD28">
        <f>Tab_Data_Flows[[#This Row],[Flow_ID]]&amp;"_"&amp;"CC_"&amp;Tab_Data_Flows[[#This Row],[Flow_Data_Year]]</f>
        <v/>
      </c>
      <c r="AE28">
        <f>IF(F28="Yes",AC28*Tab_Data_Flows[[#This Row],[Flow_Material]]*Tab_Data_Flows[[#This Row],[DM_'[%']]],"N.A.")</f>
        <v/>
      </c>
      <c r="AF28">
        <f>Tab_Data_Flows[[#This Row],[UoM_Flow_Py]]</f>
        <v/>
      </c>
    </row>
    <row r="29">
      <c r="A29">
        <f>ROW()-1</f>
        <v/>
      </c>
      <c r="B29">
        <f>_xlfn.XLOOKUP(C29,Tab_Def_Flows[Flow_Name],Tab_Def_Flows[Flow_ID],,0,)</f>
        <v/>
      </c>
      <c r="C29" t="inlineStr">
        <is>
          <t>Environment_Input_Cultivation_E</t>
        </is>
      </c>
      <c r="D29">
        <f>_xlfn.XLOOKUP(C29,Tab_Def_Flows[Flow_Name],Tab_Def_Flows[WC?],,0,)</f>
        <v/>
      </c>
      <c r="E29">
        <f>_xlfn.XLOOKUP(C29,Tab_Def_Flows[Flow_Name],Tab_Def_Flows[DM?],,0,)</f>
        <v/>
      </c>
      <c r="F29">
        <f>_xlfn.XLOOKUP(C29,Tab_Def_Flows[Flow_Name],Tab_Def_Flows[CC?],,0,)</f>
        <v/>
      </c>
      <c r="G29" t="n">
        <v>2026</v>
      </c>
      <c r="H29" t="n">
        <v>595488.7915789473</v>
      </c>
      <c r="I29">
        <f>'0_Configuration'!$C$35</f>
        <v/>
      </c>
      <c r="O29" t="inlineStr">
        <is>
          <t>No</t>
        </is>
      </c>
      <c r="R29">
        <f>Tab_Data_Flows[[#This Row],[Flow_ID]]&amp;"_"&amp;"material_"&amp;Tab_Data_Flows[[#This Row],[Flow_Data_Year]]</f>
        <v/>
      </c>
      <c r="S29">
        <f>IF(O29="no",H29,H29*P29)</f>
        <v/>
      </c>
      <c r="T29">
        <f>Tab_Data_Flows[[#This Row],[UoM_Source]]</f>
        <v/>
      </c>
      <c r="U29">
        <f>INDEX(Tab_Def_Flows[[Flow_ID]:[CC_DM_source]],MATCH(Tab_Data_Flows[[#This Row],[Flow_Name]],Tab_Def_Flows[Flow_Name],0),11)</f>
        <v/>
      </c>
      <c r="V29">
        <f>Tab_Data_Flows[[#This Row],[Flow_ID]]&amp;"_"&amp;"WC_"&amp;Tab_Data_Flows[[#This Row],[Flow_Data_Year]]</f>
        <v/>
      </c>
      <c r="W29">
        <f>IF(D29="Yes",S29*Tab_Data_Flows[[#This Row],[WC_'[%']]],"N.A.")</f>
        <v/>
      </c>
      <c r="X29">
        <f>Tab_Data_Flows[[#This Row],[UoM_Flow_Py]]</f>
        <v/>
      </c>
      <c r="Y29">
        <f>INDEX(Tab_Def_Flows[[Flow_ID]:[CC_DM_source]],MATCH(Tab_Data_Flows[[#This Row],[Flow_Name]],Tab_Def_Flows[Flow_Name],0),14)</f>
        <v/>
      </c>
      <c r="Z29">
        <f>Tab_Data_Flows[[#This Row],[Flow_ID]]&amp;"_"&amp;"DM_"&amp;Tab_Data_Flows[[#This Row],[Flow_Data_Year]]</f>
        <v/>
      </c>
      <c r="AA29">
        <f>IF(E29="Yes",Y29*Tab_Data_Flows[[#This Row],[Flow_Material]],"N.A.")</f>
        <v/>
      </c>
      <c r="AB29">
        <f>Tab_Data_Flows[[#This Row],[UoM_Flow_Py]]</f>
        <v/>
      </c>
      <c r="AC29">
        <f>INDEX(Tab_Def_Flows[[Flow_ID]:[CC_DM_source]],MATCH(Tab_Data_Flows[[#This Row],[Flow_Name]],Tab_Def_Flows[Flow_Name],0),17)</f>
        <v/>
      </c>
      <c r="AD29">
        <f>Tab_Data_Flows[[#This Row],[Flow_ID]]&amp;"_"&amp;"CC_"&amp;Tab_Data_Flows[[#This Row],[Flow_Data_Year]]</f>
        <v/>
      </c>
      <c r="AE29">
        <f>IF(F29="Yes",AC29*Tab_Data_Flows[[#This Row],[Flow_Material]]*Tab_Data_Flows[[#This Row],[DM_'[%']]],"N.A.")</f>
        <v/>
      </c>
      <c r="AF29">
        <f>Tab_Data_Flows[[#This Row],[UoM_Flow_Py]]</f>
        <v/>
      </c>
    </row>
    <row r="30">
      <c r="A30">
        <f>ROW()-1</f>
        <v/>
      </c>
      <c r="B30">
        <f>_xlfn.XLOOKUP(C30,Tab_Def_Flows[Flow_Name],Tab_Def_Flows[Flow_ID],,0,)</f>
        <v/>
      </c>
      <c r="C30" t="inlineStr">
        <is>
          <t>Environment_Input_Cultivation_E</t>
        </is>
      </c>
      <c r="D30">
        <f>_xlfn.XLOOKUP(C30,Tab_Def_Flows[Flow_Name],Tab_Def_Flows[WC?],,0,)</f>
        <v/>
      </c>
      <c r="E30">
        <f>_xlfn.XLOOKUP(C30,Tab_Def_Flows[Flow_Name],Tab_Def_Flows[DM?],,0,)</f>
        <v/>
      </c>
      <c r="F30">
        <f>_xlfn.XLOOKUP(C30,Tab_Def_Flows[Flow_Name],Tab_Def_Flows[CC?],,0,)</f>
        <v/>
      </c>
      <c r="G30" t="n">
        <v>2027</v>
      </c>
      <c r="H30" t="n">
        <v>732975.181473684</v>
      </c>
      <c r="I30">
        <f>'0_Configuration'!$C$35</f>
        <v/>
      </c>
      <c r="O30" t="inlineStr">
        <is>
          <t>No</t>
        </is>
      </c>
      <c r="R30">
        <f>Tab_Data_Flows[[#This Row],[Flow_ID]]&amp;"_"&amp;"material_"&amp;Tab_Data_Flows[[#This Row],[Flow_Data_Year]]</f>
        <v/>
      </c>
      <c r="S30">
        <f>IF(O30="no",H30,H30*P30)</f>
        <v/>
      </c>
      <c r="T30">
        <f>Tab_Data_Flows[[#This Row],[UoM_Source]]</f>
        <v/>
      </c>
      <c r="U30">
        <f>INDEX(Tab_Def_Flows[[Flow_ID]:[CC_DM_source]],MATCH(Tab_Data_Flows[[#This Row],[Flow_Name]],Tab_Def_Flows[Flow_Name],0),11)</f>
        <v/>
      </c>
      <c r="V30">
        <f>Tab_Data_Flows[[#This Row],[Flow_ID]]&amp;"_"&amp;"WC_"&amp;Tab_Data_Flows[[#This Row],[Flow_Data_Year]]</f>
        <v/>
      </c>
      <c r="W30">
        <f>IF(D30="Yes",S30*Tab_Data_Flows[[#This Row],[WC_'[%']]],"N.A.")</f>
        <v/>
      </c>
      <c r="X30">
        <f>Tab_Data_Flows[[#This Row],[UoM_Flow_Py]]</f>
        <v/>
      </c>
      <c r="Y30">
        <f>INDEX(Tab_Def_Flows[[Flow_ID]:[CC_DM_source]],MATCH(Tab_Data_Flows[[#This Row],[Flow_Name]],Tab_Def_Flows[Flow_Name],0),14)</f>
        <v/>
      </c>
      <c r="Z30">
        <f>Tab_Data_Flows[[#This Row],[Flow_ID]]&amp;"_"&amp;"DM_"&amp;Tab_Data_Flows[[#This Row],[Flow_Data_Year]]</f>
        <v/>
      </c>
      <c r="AA30">
        <f>IF(E30="Yes",Y30*Tab_Data_Flows[[#This Row],[Flow_Material]],"N.A.")</f>
        <v/>
      </c>
      <c r="AB30">
        <f>Tab_Data_Flows[[#This Row],[UoM_Flow_Py]]</f>
        <v/>
      </c>
      <c r="AC30">
        <f>INDEX(Tab_Def_Flows[[Flow_ID]:[CC_DM_source]],MATCH(Tab_Data_Flows[[#This Row],[Flow_Name]],Tab_Def_Flows[Flow_Name],0),17)</f>
        <v/>
      </c>
      <c r="AD30">
        <f>Tab_Data_Flows[[#This Row],[Flow_ID]]&amp;"_"&amp;"CC_"&amp;Tab_Data_Flows[[#This Row],[Flow_Data_Year]]</f>
        <v/>
      </c>
      <c r="AE30">
        <f>IF(F30="Yes",AC30*Tab_Data_Flows[[#This Row],[Flow_Material]]*Tab_Data_Flows[[#This Row],[DM_'[%']]],"N.A.")</f>
        <v/>
      </c>
      <c r="AF30">
        <f>Tab_Data_Flows[[#This Row],[UoM_Flow_Py]]</f>
        <v/>
      </c>
    </row>
    <row r="31">
      <c r="A31">
        <f>ROW()-1</f>
        <v/>
      </c>
      <c r="B31">
        <f>_xlfn.XLOOKUP(C31,Tab_Def_Flows[Flow_Name],Tab_Def_Flows[Flow_ID],,0,)</f>
        <v/>
      </c>
      <c r="C31" t="inlineStr">
        <is>
          <t>Environment_Input_Cultivation_E</t>
        </is>
      </c>
      <c r="D31">
        <f>_xlfn.XLOOKUP(C31,Tab_Def_Flows[Flow_Name],Tab_Def_Flows[WC?],,0,)</f>
        <v/>
      </c>
      <c r="E31">
        <f>_xlfn.XLOOKUP(C31,Tab_Def_Flows[Flow_Name],Tab_Def_Flows[DM?],,0,)</f>
        <v/>
      </c>
      <c r="F31">
        <f>_xlfn.XLOOKUP(C31,Tab_Def_Flows[Flow_Name],Tab_Def_Flows[CC?],,0,)</f>
        <v/>
      </c>
      <c r="G31" t="n">
        <v>2028</v>
      </c>
      <c r="H31" t="n">
        <v>886098.3983157894</v>
      </c>
      <c r="I31">
        <f>'0_Configuration'!$C$35</f>
        <v/>
      </c>
      <c r="O31" t="inlineStr">
        <is>
          <t>No</t>
        </is>
      </c>
      <c r="R31">
        <f>Tab_Data_Flows[[#This Row],[Flow_ID]]&amp;"_"&amp;"material_"&amp;Tab_Data_Flows[[#This Row],[Flow_Data_Year]]</f>
        <v/>
      </c>
      <c r="S31">
        <f>IF(O31="no",H31,H31*P31)</f>
        <v/>
      </c>
      <c r="T31">
        <f>Tab_Data_Flows[[#This Row],[UoM_Source]]</f>
        <v/>
      </c>
      <c r="U31">
        <f>INDEX(Tab_Def_Flows[[Flow_ID]:[CC_DM_source]],MATCH(Tab_Data_Flows[[#This Row],[Flow_Name]],Tab_Def_Flows[Flow_Name],0),11)</f>
        <v/>
      </c>
      <c r="V31">
        <f>Tab_Data_Flows[[#This Row],[Flow_ID]]&amp;"_"&amp;"WC_"&amp;Tab_Data_Flows[[#This Row],[Flow_Data_Year]]</f>
        <v/>
      </c>
      <c r="W31">
        <f>IF(D31="Yes",S31*Tab_Data_Flows[[#This Row],[WC_'[%']]],"N.A.")</f>
        <v/>
      </c>
      <c r="X31">
        <f>Tab_Data_Flows[[#This Row],[UoM_Flow_Py]]</f>
        <v/>
      </c>
      <c r="Y31">
        <f>INDEX(Tab_Def_Flows[[Flow_ID]:[CC_DM_source]],MATCH(Tab_Data_Flows[[#This Row],[Flow_Name]],Tab_Def_Flows[Flow_Name],0),14)</f>
        <v/>
      </c>
      <c r="Z31">
        <f>Tab_Data_Flows[[#This Row],[Flow_ID]]&amp;"_"&amp;"DM_"&amp;Tab_Data_Flows[[#This Row],[Flow_Data_Year]]</f>
        <v/>
      </c>
      <c r="AA31">
        <f>IF(E31="Yes",Y31*Tab_Data_Flows[[#This Row],[Flow_Material]],"N.A.")</f>
        <v/>
      </c>
      <c r="AB31">
        <f>Tab_Data_Flows[[#This Row],[UoM_Flow_Py]]</f>
        <v/>
      </c>
      <c r="AC31">
        <f>INDEX(Tab_Def_Flows[[Flow_ID]:[CC_DM_source]],MATCH(Tab_Data_Flows[[#This Row],[Flow_Name]],Tab_Def_Flows[Flow_Name],0),17)</f>
        <v/>
      </c>
      <c r="AD31">
        <f>Tab_Data_Flows[[#This Row],[Flow_ID]]&amp;"_"&amp;"CC_"&amp;Tab_Data_Flows[[#This Row],[Flow_Data_Year]]</f>
        <v/>
      </c>
      <c r="AE31">
        <f>IF(F31="Yes",AC31*Tab_Data_Flows[[#This Row],[Flow_Material]]*Tab_Data_Flows[[#This Row],[DM_'[%']]],"N.A.")</f>
        <v/>
      </c>
      <c r="AF31">
        <f>Tab_Data_Flows[[#This Row],[UoM_Flow_Py]]</f>
        <v/>
      </c>
    </row>
    <row r="32">
      <c r="A32">
        <f>ROW()-1</f>
        <v/>
      </c>
      <c r="B32">
        <f>_xlfn.XLOOKUP(C32,Tab_Def_Flows[Flow_Name],Tab_Def_Flows[Flow_ID],,0,)</f>
        <v/>
      </c>
      <c r="C32" t="inlineStr">
        <is>
          <t>Environment_Input_Cultivation_E</t>
        </is>
      </c>
      <c r="D32">
        <f>_xlfn.XLOOKUP(C32,Tab_Def_Flows[Flow_Name],Tab_Def_Flows[WC?],,0,)</f>
        <v/>
      </c>
      <c r="E32">
        <f>_xlfn.XLOOKUP(C32,Tab_Def_Flows[Flow_Name],Tab_Def_Flows[DM?],,0,)</f>
        <v/>
      </c>
      <c r="F32">
        <f>_xlfn.XLOOKUP(C32,Tab_Def_Flows[Flow_Name],Tab_Def_Flows[CC?],,0,)</f>
        <v/>
      </c>
      <c r="G32" t="n">
        <v>2029</v>
      </c>
      <c r="H32" t="n">
        <v>578718.3595789473</v>
      </c>
      <c r="I32">
        <f>'0_Configuration'!$C$35</f>
        <v/>
      </c>
      <c r="O32" t="inlineStr">
        <is>
          <t>No</t>
        </is>
      </c>
      <c r="R32">
        <f>Tab_Data_Flows[[#This Row],[Flow_ID]]&amp;"_"&amp;"material_"&amp;Tab_Data_Flows[[#This Row],[Flow_Data_Year]]</f>
        <v/>
      </c>
      <c r="S32">
        <f>IF(O32="no",H32,H32*P32)</f>
        <v/>
      </c>
      <c r="T32">
        <f>Tab_Data_Flows[[#This Row],[UoM_Source]]</f>
        <v/>
      </c>
      <c r="U32">
        <f>INDEX(Tab_Def_Flows[[Flow_ID]:[CC_DM_source]],MATCH(Tab_Data_Flows[[#This Row],[Flow_Name]],Tab_Def_Flows[Flow_Name],0),11)</f>
        <v/>
      </c>
      <c r="V32">
        <f>Tab_Data_Flows[[#This Row],[Flow_ID]]&amp;"_"&amp;"WC_"&amp;Tab_Data_Flows[[#This Row],[Flow_Data_Year]]</f>
        <v/>
      </c>
      <c r="W32">
        <f>IF(D32="Yes",S32*Tab_Data_Flows[[#This Row],[WC_'[%']]],"N.A.")</f>
        <v/>
      </c>
      <c r="X32">
        <f>Tab_Data_Flows[[#This Row],[UoM_Flow_Py]]</f>
        <v/>
      </c>
      <c r="Y32">
        <f>INDEX(Tab_Def_Flows[[Flow_ID]:[CC_DM_source]],MATCH(Tab_Data_Flows[[#This Row],[Flow_Name]],Tab_Def_Flows[Flow_Name],0),14)</f>
        <v/>
      </c>
      <c r="Z32">
        <f>Tab_Data_Flows[[#This Row],[Flow_ID]]&amp;"_"&amp;"DM_"&amp;Tab_Data_Flows[[#This Row],[Flow_Data_Year]]</f>
        <v/>
      </c>
      <c r="AA32">
        <f>IF(E32="Yes",Y32*Tab_Data_Flows[[#This Row],[Flow_Material]],"N.A.")</f>
        <v/>
      </c>
      <c r="AB32">
        <f>Tab_Data_Flows[[#This Row],[UoM_Flow_Py]]</f>
        <v/>
      </c>
      <c r="AC32">
        <f>INDEX(Tab_Def_Flows[[Flow_ID]:[CC_DM_source]],MATCH(Tab_Data_Flows[[#This Row],[Flow_Name]],Tab_Def_Flows[Flow_Name],0),17)</f>
        <v/>
      </c>
      <c r="AD32">
        <f>Tab_Data_Flows[[#This Row],[Flow_ID]]&amp;"_"&amp;"CC_"&amp;Tab_Data_Flows[[#This Row],[Flow_Data_Year]]</f>
        <v/>
      </c>
      <c r="AE32">
        <f>IF(F32="Yes",AC32*Tab_Data_Flows[[#This Row],[Flow_Material]]*Tab_Data_Flows[[#This Row],[DM_'[%']]],"N.A.")</f>
        <v/>
      </c>
      <c r="AF32">
        <f>Tab_Data_Flows[[#This Row],[UoM_Flow_Py]]</f>
        <v/>
      </c>
    </row>
    <row r="33">
      <c r="A33">
        <f>ROW()-1</f>
        <v/>
      </c>
      <c r="B33">
        <f>_xlfn.XLOOKUP(C33,Tab_Def_Flows[Flow_Name],Tab_Def_Flows[Flow_ID],,0,)</f>
        <v/>
      </c>
      <c r="C33" t="inlineStr">
        <is>
          <t>Environment_Input_Cultivation_E</t>
        </is>
      </c>
      <c r="D33">
        <f>_xlfn.XLOOKUP(C33,Tab_Def_Flows[Flow_Name],Tab_Def_Flows[WC?],,0,)</f>
        <v/>
      </c>
      <c r="E33">
        <f>_xlfn.XLOOKUP(C33,Tab_Def_Flows[Flow_Name],Tab_Def_Flows[DM?],,0,)</f>
        <v/>
      </c>
      <c r="F33">
        <f>_xlfn.XLOOKUP(C33,Tab_Def_Flows[Flow_Name],Tab_Def_Flows[CC?],,0,)</f>
        <v/>
      </c>
      <c r="G33" t="n">
        <v>2030</v>
      </c>
      <c r="H33" t="n">
        <v>578718.3595789473</v>
      </c>
      <c r="I33">
        <f>'0_Configuration'!$C$35</f>
        <v/>
      </c>
      <c r="O33" t="inlineStr">
        <is>
          <t>No</t>
        </is>
      </c>
      <c r="R33">
        <f>Tab_Data_Flows[[#This Row],[Flow_ID]]&amp;"_"&amp;"material_"&amp;Tab_Data_Flows[[#This Row],[Flow_Data_Year]]</f>
        <v/>
      </c>
      <c r="S33">
        <f>IF(O33="no",H33,H33*P33)</f>
        <v/>
      </c>
      <c r="T33">
        <f>Tab_Data_Flows[[#This Row],[UoM_Source]]</f>
        <v/>
      </c>
      <c r="U33">
        <f>INDEX(Tab_Def_Flows[[Flow_ID]:[CC_DM_source]],MATCH(Tab_Data_Flows[[#This Row],[Flow_Name]],Tab_Def_Flows[Flow_Name],0),11)</f>
        <v/>
      </c>
      <c r="V33">
        <f>Tab_Data_Flows[[#This Row],[Flow_ID]]&amp;"_"&amp;"WC_"&amp;Tab_Data_Flows[[#This Row],[Flow_Data_Year]]</f>
        <v/>
      </c>
      <c r="W33">
        <f>IF(D33="Yes",S33*Tab_Data_Flows[[#This Row],[WC_'[%']]],"N.A.")</f>
        <v/>
      </c>
      <c r="X33">
        <f>Tab_Data_Flows[[#This Row],[UoM_Flow_Py]]</f>
        <v/>
      </c>
      <c r="Y33">
        <f>INDEX(Tab_Def_Flows[[Flow_ID]:[CC_DM_source]],MATCH(Tab_Data_Flows[[#This Row],[Flow_Name]],Tab_Def_Flows[Flow_Name],0),14)</f>
        <v/>
      </c>
      <c r="Z33">
        <f>Tab_Data_Flows[[#This Row],[Flow_ID]]&amp;"_"&amp;"DM_"&amp;Tab_Data_Flows[[#This Row],[Flow_Data_Year]]</f>
        <v/>
      </c>
      <c r="AA33">
        <f>IF(E33="Yes",Y33*Tab_Data_Flows[[#This Row],[Flow_Material]],"N.A.")</f>
        <v/>
      </c>
      <c r="AB33">
        <f>Tab_Data_Flows[[#This Row],[UoM_Flow_Py]]</f>
        <v/>
      </c>
      <c r="AC33">
        <f>INDEX(Tab_Def_Flows[[Flow_ID]:[CC_DM_source]],MATCH(Tab_Data_Flows[[#This Row],[Flow_Name]],Tab_Def_Flows[Flow_Name],0),17)</f>
        <v/>
      </c>
      <c r="AD33">
        <f>Tab_Data_Flows[[#This Row],[Flow_ID]]&amp;"_"&amp;"CC_"&amp;Tab_Data_Flows[[#This Row],[Flow_Data_Year]]</f>
        <v/>
      </c>
      <c r="AE33">
        <f>IF(F33="Yes",AC33*Tab_Data_Flows[[#This Row],[Flow_Material]]*Tab_Data_Flows[[#This Row],[DM_'[%']]],"N.A.")</f>
        <v/>
      </c>
      <c r="AF33">
        <f>Tab_Data_Flows[[#This Row],[UoM_Flow_Py]]</f>
        <v/>
      </c>
    </row>
    <row r="34">
      <c r="A34">
        <f>ROW()-1</f>
        <v/>
      </c>
      <c r="B34">
        <f>_xlfn.XLOOKUP(C34,Tab_Def_Flows[Flow_Name],Tab_Def_Flows[Flow_ID],,0,)</f>
        <v/>
      </c>
      <c r="C34" t="inlineStr">
        <is>
          <t>Environment_Input_Cultivation_E</t>
        </is>
      </c>
      <c r="D34">
        <f>_xlfn.XLOOKUP(C34,Tab_Def_Flows[Flow_Name],Tab_Def_Flows[WC?],,0,)</f>
        <v/>
      </c>
      <c r="E34">
        <f>_xlfn.XLOOKUP(C34,Tab_Def_Flows[Flow_Name],Tab_Def_Flows[DM?],,0,)</f>
        <v/>
      </c>
      <c r="F34">
        <f>_xlfn.XLOOKUP(C34,Tab_Def_Flows[Flow_Name],Tab_Def_Flows[CC?],,0,)</f>
        <v/>
      </c>
      <c r="G34" t="n">
        <v>2031</v>
      </c>
      <c r="H34" t="n">
        <v>895920.0909473682</v>
      </c>
      <c r="I34">
        <f>'0_Configuration'!$C$35</f>
        <v/>
      </c>
      <c r="O34" t="inlineStr">
        <is>
          <t>No</t>
        </is>
      </c>
      <c r="R34">
        <f>Tab_Data_Flows[[#This Row],[Flow_ID]]&amp;"_"&amp;"material_"&amp;Tab_Data_Flows[[#This Row],[Flow_Data_Year]]</f>
        <v/>
      </c>
      <c r="S34">
        <f>IF(O34="no",H34,H34*P34)</f>
        <v/>
      </c>
      <c r="T34">
        <f>Tab_Data_Flows[[#This Row],[UoM_Source]]</f>
        <v/>
      </c>
      <c r="U34">
        <f>INDEX(Tab_Def_Flows[[Flow_ID]:[CC_DM_source]],MATCH(Tab_Data_Flows[[#This Row],[Flow_Name]],Tab_Def_Flows[Flow_Name],0),11)</f>
        <v/>
      </c>
      <c r="V34">
        <f>Tab_Data_Flows[[#This Row],[Flow_ID]]&amp;"_"&amp;"WC_"&amp;Tab_Data_Flows[[#This Row],[Flow_Data_Year]]</f>
        <v/>
      </c>
      <c r="W34">
        <f>IF(D34="Yes",S34*Tab_Data_Flows[[#This Row],[WC_'[%']]],"N.A.")</f>
        <v/>
      </c>
      <c r="X34">
        <f>Tab_Data_Flows[[#This Row],[UoM_Flow_Py]]</f>
        <v/>
      </c>
      <c r="Y34">
        <f>INDEX(Tab_Def_Flows[[Flow_ID]:[CC_DM_source]],MATCH(Tab_Data_Flows[[#This Row],[Flow_Name]],Tab_Def_Flows[Flow_Name],0),14)</f>
        <v/>
      </c>
      <c r="Z34">
        <f>Tab_Data_Flows[[#This Row],[Flow_ID]]&amp;"_"&amp;"DM_"&amp;Tab_Data_Flows[[#This Row],[Flow_Data_Year]]</f>
        <v/>
      </c>
      <c r="AA34">
        <f>IF(E34="Yes",Y34*Tab_Data_Flows[[#This Row],[Flow_Material]],"N.A.")</f>
        <v/>
      </c>
      <c r="AB34">
        <f>Tab_Data_Flows[[#This Row],[UoM_Flow_Py]]</f>
        <v/>
      </c>
      <c r="AC34">
        <f>INDEX(Tab_Def_Flows[[Flow_ID]:[CC_DM_source]],MATCH(Tab_Data_Flows[[#This Row],[Flow_Name]],Tab_Def_Flows[Flow_Name],0),17)</f>
        <v/>
      </c>
      <c r="AD34">
        <f>Tab_Data_Flows[[#This Row],[Flow_ID]]&amp;"_"&amp;"CC_"&amp;Tab_Data_Flows[[#This Row],[Flow_Data_Year]]</f>
        <v/>
      </c>
      <c r="AE34">
        <f>IF(F34="Yes",AC34*Tab_Data_Flows[[#This Row],[Flow_Material]]*Tab_Data_Flows[[#This Row],[DM_'[%']]],"N.A.")</f>
        <v/>
      </c>
      <c r="AF34">
        <f>Tab_Data_Flows[[#This Row],[UoM_Flow_Py]]</f>
        <v/>
      </c>
    </row>
    <row r="35">
      <c r="A35">
        <f>ROW()-1</f>
        <v/>
      </c>
      <c r="B35">
        <f>_xlfn.XLOOKUP(C35,Tab_Def_Flows[Flow_Name],Tab_Def_Flows[Flow_ID],,0,)</f>
        <v/>
      </c>
      <c r="C35" t="inlineStr">
        <is>
          <t>Environment_Input_Cultivation_E</t>
        </is>
      </c>
      <c r="D35">
        <f>_xlfn.XLOOKUP(C35,Tab_Def_Flows[Flow_Name],Tab_Def_Flows[WC?],,0,)</f>
        <v/>
      </c>
      <c r="E35">
        <f>_xlfn.XLOOKUP(C35,Tab_Def_Flows[Flow_Name],Tab_Def_Flows[DM?],,0,)</f>
        <v/>
      </c>
      <c r="F35">
        <f>_xlfn.XLOOKUP(C35,Tab_Def_Flows[Flow_Name],Tab_Def_Flows[CC?],,0,)</f>
        <v/>
      </c>
      <c r="G35" t="n">
        <v>2032</v>
      </c>
      <c r="H35" t="n">
        <v>753916.5877894737</v>
      </c>
      <c r="I35">
        <f>'0_Configuration'!$C$35</f>
        <v/>
      </c>
      <c r="O35" t="inlineStr">
        <is>
          <t>No</t>
        </is>
      </c>
      <c r="R35">
        <f>Tab_Data_Flows[[#This Row],[Flow_ID]]&amp;"_"&amp;"material_"&amp;Tab_Data_Flows[[#This Row],[Flow_Data_Year]]</f>
        <v/>
      </c>
      <c r="S35">
        <f>IF(O35="no",H35,H35*P35)</f>
        <v/>
      </c>
      <c r="T35">
        <f>Tab_Data_Flows[[#This Row],[UoM_Source]]</f>
        <v/>
      </c>
      <c r="U35">
        <f>INDEX(Tab_Def_Flows[[Flow_ID]:[CC_DM_source]],MATCH(Tab_Data_Flows[[#This Row],[Flow_Name]],Tab_Def_Flows[Flow_Name],0),11)</f>
        <v/>
      </c>
      <c r="V35">
        <f>Tab_Data_Flows[[#This Row],[Flow_ID]]&amp;"_"&amp;"WC_"&amp;Tab_Data_Flows[[#This Row],[Flow_Data_Year]]</f>
        <v/>
      </c>
      <c r="W35">
        <f>IF(D35="Yes",S35*Tab_Data_Flows[[#This Row],[WC_'[%']]],"N.A.")</f>
        <v/>
      </c>
      <c r="X35">
        <f>Tab_Data_Flows[[#This Row],[UoM_Flow_Py]]</f>
        <v/>
      </c>
      <c r="Y35">
        <f>INDEX(Tab_Def_Flows[[Flow_ID]:[CC_DM_source]],MATCH(Tab_Data_Flows[[#This Row],[Flow_Name]],Tab_Def_Flows[Flow_Name],0),14)</f>
        <v/>
      </c>
      <c r="Z35">
        <f>Tab_Data_Flows[[#This Row],[Flow_ID]]&amp;"_"&amp;"DM_"&amp;Tab_Data_Flows[[#This Row],[Flow_Data_Year]]</f>
        <v/>
      </c>
      <c r="AA35">
        <f>IF(E35="Yes",Y35*Tab_Data_Flows[[#This Row],[Flow_Material]],"N.A.")</f>
        <v/>
      </c>
      <c r="AB35">
        <f>Tab_Data_Flows[[#This Row],[UoM_Flow_Py]]</f>
        <v/>
      </c>
      <c r="AC35">
        <f>INDEX(Tab_Def_Flows[[Flow_ID]:[CC_DM_source]],MATCH(Tab_Data_Flows[[#This Row],[Flow_Name]],Tab_Def_Flows[Flow_Name],0),17)</f>
        <v/>
      </c>
      <c r="AD35">
        <f>Tab_Data_Flows[[#This Row],[Flow_ID]]&amp;"_"&amp;"CC_"&amp;Tab_Data_Flows[[#This Row],[Flow_Data_Year]]</f>
        <v/>
      </c>
      <c r="AE35">
        <f>IF(F35="Yes",AC35*Tab_Data_Flows[[#This Row],[Flow_Material]]*Tab_Data_Flows[[#This Row],[DM_'[%']]],"N.A.")</f>
        <v/>
      </c>
      <c r="AF35">
        <f>Tab_Data_Flows[[#This Row],[UoM_Flow_Py]]</f>
        <v/>
      </c>
    </row>
    <row r="36">
      <c r="A36">
        <f>ROW()-1</f>
        <v/>
      </c>
      <c r="B36">
        <f>_xlfn.XLOOKUP(C36,Tab_Def_Flows[Flow_Name],Tab_Def_Flows[Flow_ID],,0,)</f>
        <v/>
      </c>
      <c r="C36" t="inlineStr">
        <is>
          <t>Environment_Input_Cultivation_E</t>
        </is>
      </c>
      <c r="D36">
        <f>_xlfn.XLOOKUP(C36,Tab_Def_Flows[Flow_Name],Tab_Def_Flows[WC?],,0,)</f>
        <v/>
      </c>
      <c r="E36">
        <f>_xlfn.XLOOKUP(C36,Tab_Def_Flows[Flow_Name],Tab_Def_Flows[DM?],,0,)</f>
        <v/>
      </c>
      <c r="F36">
        <f>_xlfn.XLOOKUP(C36,Tab_Def_Flows[Flow_Name],Tab_Def_Flows[CC?],,0,)</f>
        <v/>
      </c>
      <c r="G36" t="n">
        <v>2033</v>
      </c>
      <c r="H36" t="n">
        <v>537553.7852631579</v>
      </c>
      <c r="I36">
        <f>'0_Configuration'!$C$35</f>
        <v/>
      </c>
      <c r="O36" t="inlineStr">
        <is>
          <t>No</t>
        </is>
      </c>
      <c r="R36">
        <f>Tab_Data_Flows[[#This Row],[Flow_ID]]&amp;"_"&amp;"material_"&amp;Tab_Data_Flows[[#This Row],[Flow_Data_Year]]</f>
        <v/>
      </c>
      <c r="S36">
        <f>IF(O36="no",H36,H36*P36)</f>
        <v/>
      </c>
      <c r="T36">
        <f>Tab_Data_Flows[[#This Row],[UoM_Source]]</f>
        <v/>
      </c>
      <c r="U36">
        <f>INDEX(Tab_Def_Flows[[Flow_ID]:[CC_DM_source]],MATCH(Tab_Data_Flows[[#This Row],[Flow_Name]],Tab_Def_Flows[Flow_Name],0),11)</f>
        <v/>
      </c>
      <c r="V36">
        <f>Tab_Data_Flows[[#This Row],[Flow_ID]]&amp;"_"&amp;"WC_"&amp;Tab_Data_Flows[[#This Row],[Flow_Data_Year]]</f>
        <v/>
      </c>
      <c r="W36">
        <f>IF(D36="Yes",S36*Tab_Data_Flows[[#This Row],[WC_'[%']]],"N.A.")</f>
        <v/>
      </c>
      <c r="X36">
        <f>Tab_Data_Flows[[#This Row],[UoM_Flow_Py]]</f>
        <v/>
      </c>
      <c r="Y36">
        <f>INDEX(Tab_Def_Flows[[Flow_ID]:[CC_DM_source]],MATCH(Tab_Data_Flows[[#This Row],[Flow_Name]],Tab_Def_Flows[Flow_Name],0),14)</f>
        <v/>
      </c>
      <c r="Z36">
        <f>Tab_Data_Flows[[#This Row],[Flow_ID]]&amp;"_"&amp;"DM_"&amp;Tab_Data_Flows[[#This Row],[Flow_Data_Year]]</f>
        <v/>
      </c>
      <c r="AA36">
        <f>IF(E36="Yes",Y36*Tab_Data_Flows[[#This Row],[Flow_Material]],"N.A.")</f>
        <v/>
      </c>
      <c r="AB36">
        <f>Tab_Data_Flows[[#This Row],[UoM_Flow_Py]]</f>
        <v/>
      </c>
      <c r="AC36">
        <f>INDEX(Tab_Def_Flows[[Flow_ID]:[CC_DM_source]],MATCH(Tab_Data_Flows[[#This Row],[Flow_Name]],Tab_Def_Flows[Flow_Name],0),17)</f>
        <v/>
      </c>
      <c r="AD36">
        <f>Tab_Data_Flows[[#This Row],[Flow_ID]]&amp;"_"&amp;"CC_"&amp;Tab_Data_Flows[[#This Row],[Flow_Data_Year]]</f>
        <v/>
      </c>
      <c r="AE36">
        <f>IF(F36="Yes",AC36*Tab_Data_Flows[[#This Row],[Flow_Material]]*Tab_Data_Flows[[#This Row],[DM_'[%']]],"N.A.")</f>
        <v/>
      </c>
      <c r="AF36">
        <f>Tab_Data_Flows[[#This Row],[UoM_Flow_Py]]</f>
        <v/>
      </c>
    </row>
    <row r="37">
      <c r="A37">
        <f>ROW()-1</f>
        <v/>
      </c>
      <c r="B37">
        <f>_xlfn.XLOOKUP(C37,Tab_Def_Flows[Flow_Name],Tab_Def_Flows[Flow_ID],,0,)</f>
        <v/>
      </c>
      <c r="C37" t="inlineStr">
        <is>
          <t>Environment_Input_Cultivation_E</t>
        </is>
      </c>
      <c r="D37">
        <f>_xlfn.XLOOKUP(C37,Tab_Def_Flows[Flow_Name],Tab_Def_Flows[WC?],,0,)</f>
        <v/>
      </c>
      <c r="E37">
        <f>_xlfn.XLOOKUP(C37,Tab_Def_Flows[Flow_Name],Tab_Def_Flows[DM?],,0,)</f>
        <v/>
      </c>
      <c r="F37">
        <f>_xlfn.XLOOKUP(C37,Tab_Def_Flows[Flow_Name],Tab_Def_Flows[CC?],,0,)</f>
        <v/>
      </c>
      <c r="G37" t="n">
        <v>2034</v>
      </c>
      <c r="H37" t="n">
        <v>714586.5498947368</v>
      </c>
      <c r="I37">
        <f>'0_Configuration'!$C$35</f>
        <v/>
      </c>
      <c r="O37" t="inlineStr">
        <is>
          <t>No</t>
        </is>
      </c>
      <c r="R37">
        <f>Tab_Data_Flows[[#This Row],[Flow_ID]]&amp;"_"&amp;"material_"&amp;Tab_Data_Flows[[#This Row],[Flow_Data_Year]]</f>
        <v/>
      </c>
      <c r="S37">
        <f>IF(O37="no",H37,H37*P37)</f>
        <v/>
      </c>
      <c r="T37">
        <f>Tab_Data_Flows[[#This Row],[UoM_Source]]</f>
        <v/>
      </c>
      <c r="U37">
        <f>INDEX(Tab_Def_Flows[[Flow_ID]:[CC_DM_source]],MATCH(Tab_Data_Flows[[#This Row],[Flow_Name]],Tab_Def_Flows[Flow_Name],0),11)</f>
        <v/>
      </c>
      <c r="V37">
        <f>Tab_Data_Flows[[#This Row],[Flow_ID]]&amp;"_"&amp;"WC_"&amp;Tab_Data_Flows[[#This Row],[Flow_Data_Year]]</f>
        <v/>
      </c>
      <c r="W37">
        <f>IF(D37="Yes",S37*Tab_Data_Flows[[#This Row],[WC_'[%']]],"N.A.")</f>
        <v/>
      </c>
      <c r="X37">
        <f>Tab_Data_Flows[[#This Row],[UoM_Flow_Py]]</f>
        <v/>
      </c>
      <c r="Y37">
        <f>INDEX(Tab_Def_Flows[[Flow_ID]:[CC_DM_source]],MATCH(Tab_Data_Flows[[#This Row],[Flow_Name]],Tab_Def_Flows[Flow_Name],0),14)</f>
        <v/>
      </c>
      <c r="Z37">
        <f>Tab_Data_Flows[[#This Row],[Flow_ID]]&amp;"_"&amp;"DM_"&amp;Tab_Data_Flows[[#This Row],[Flow_Data_Year]]</f>
        <v/>
      </c>
      <c r="AA37">
        <f>IF(E37="Yes",Y37*Tab_Data_Flows[[#This Row],[Flow_Material]],"N.A.")</f>
        <v/>
      </c>
      <c r="AB37">
        <f>Tab_Data_Flows[[#This Row],[UoM_Flow_Py]]</f>
        <v/>
      </c>
      <c r="AC37">
        <f>INDEX(Tab_Def_Flows[[Flow_ID]:[CC_DM_source]],MATCH(Tab_Data_Flows[[#This Row],[Flow_Name]],Tab_Def_Flows[Flow_Name],0),17)</f>
        <v/>
      </c>
      <c r="AD37">
        <f>Tab_Data_Flows[[#This Row],[Flow_ID]]&amp;"_"&amp;"CC_"&amp;Tab_Data_Flows[[#This Row],[Flow_Data_Year]]</f>
        <v/>
      </c>
      <c r="AE37">
        <f>IF(F37="Yes",AC37*Tab_Data_Flows[[#This Row],[Flow_Material]]*Tab_Data_Flows[[#This Row],[DM_'[%']]],"N.A.")</f>
        <v/>
      </c>
      <c r="AF37">
        <f>Tab_Data_Flows[[#This Row],[UoM_Flow_Py]]</f>
        <v/>
      </c>
    </row>
    <row r="38">
      <c r="A38">
        <f>ROW()-1</f>
        <v/>
      </c>
      <c r="B38">
        <f>_xlfn.XLOOKUP(C38,Tab_Def_Flows[Flow_Name],Tab_Def_Flows[Flow_ID],,0,)</f>
        <v/>
      </c>
      <c r="C38" t="inlineStr">
        <is>
          <t>Environment_Input_Cultivation_E</t>
        </is>
      </c>
      <c r="D38">
        <f>_xlfn.XLOOKUP(C38,Tab_Def_Flows[Flow_Name],Tab_Def_Flows[WC?],,0,)</f>
        <v/>
      </c>
      <c r="E38">
        <f>_xlfn.XLOOKUP(C38,Tab_Def_Flows[Flow_Name],Tab_Def_Flows[DM?],,0,)</f>
        <v/>
      </c>
      <c r="F38">
        <f>_xlfn.XLOOKUP(C38,Tab_Def_Flows[Flow_Name],Tab_Def_Flows[CC?],,0,)</f>
        <v/>
      </c>
      <c r="G38" t="n">
        <v>2035</v>
      </c>
      <c r="H38" t="n">
        <v>538609.5090526316</v>
      </c>
      <c r="I38">
        <f>'0_Configuration'!$C$35</f>
        <v/>
      </c>
      <c r="O38" t="inlineStr">
        <is>
          <t>No</t>
        </is>
      </c>
      <c r="R38">
        <f>Tab_Data_Flows[[#This Row],[Flow_ID]]&amp;"_"&amp;"material_"&amp;Tab_Data_Flows[[#This Row],[Flow_Data_Year]]</f>
        <v/>
      </c>
      <c r="S38">
        <f>IF(O38="no",H38,H38*P38)</f>
        <v/>
      </c>
      <c r="T38">
        <f>Tab_Data_Flows[[#This Row],[UoM_Source]]</f>
        <v/>
      </c>
      <c r="U38">
        <f>INDEX(Tab_Def_Flows[[Flow_ID]:[CC_DM_source]],MATCH(Tab_Data_Flows[[#This Row],[Flow_Name]],Tab_Def_Flows[Flow_Name],0),11)</f>
        <v/>
      </c>
      <c r="V38">
        <f>Tab_Data_Flows[[#This Row],[Flow_ID]]&amp;"_"&amp;"WC_"&amp;Tab_Data_Flows[[#This Row],[Flow_Data_Year]]</f>
        <v/>
      </c>
      <c r="W38">
        <f>IF(D38="Yes",S38*Tab_Data_Flows[[#This Row],[WC_'[%']]],"N.A.")</f>
        <v/>
      </c>
      <c r="X38">
        <f>Tab_Data_Flows[[#This Row],[UoM_Flow_Py]]</f>
        <v/>
      </c>
      <c r="Y38">
        <f>INDEX(Tab_Def_Flows[[Flow_ID]:[CC_DM_source]],MATCH(Tab_Data_Flows[[#This Row],[Flow_Name]],Tab_Def_Flows[Flow_Name],0),14)</f>
        <v/>
      </c>
      <c r="Z38">
        <f>Tab_Data_Flows[[#This Row],[Flow_ID]]&amp;"_"&amp;"DM_"&amp;Tab_Data_Flows[[#This Row],[Flow_Data_Year]]</f>
        <v/>
      </c>
      <c r="AA38">
        <f>IF(E38="Yes",Y38*Tab_Data_Flows[[#This Row],[Flow_Material]],"N.A.")</f>
        <v/>
      </c>
      <c r="AB38">
        <f>Tab_Data_Flows[[#This Row],[UoM_Flow_Py]]</f>
        <v/>
      </c>
      <c r="AC38">
        <f>INDEX(Tab_Def_Flows[[Flow_ID]:[CC_DM_source]],MATCH(Tab_Data_Flows[[#This Row],[Flow_Name]],Tab_Def_Flows[Flow_Name],0),17)</f>
        <v/>
      </c>
      <c r="AD38">
        <f>Tab_Data_Flows[[#This Row],[Flow_ID]]&amp;"_"&amp;"CC_"&amp;Tab_Data_Flows[[#This Row],[Flow_Data_Year]]</f>
        <v/>
      </c>
      <c r="AE38">
        <f>IF(F38="Yes",AC38*Tab_Data_Flows[[#This Row],[Flow_Material]]*Tab_Data_Flows[[#This Row],[DM_'[%']]],"N.A.")</f>
        <v/>
      </c>
      <c r="AF38">
        <f>Tab_Data_Flows[[#This Row],[UoM_Flow_Py]]</f>
        <v/>
      </c>
    </row>
    <row r="39">
      <c r="A39">
        <f>ROW()-1</f>
        <v/>
      </c>
      <c r="B39">
        <f>_xlfn.XLOOKUP(C39,Tab_Def_Flows[Flow_Name],Tab_Def_Flows[Flow_ID],,0,)</f>
        <v/>
      </c>
      <c r="C39" t="inlineStr">
        <is>
          <t>Environment_Input_Cultivation_E</t>
        </is>
      </c>
      <c r="D39">
        <f>_xlfn.XLOOKUP(C39,Tab_Def_Flows[Flow_Name],Tab_Def_Flows[WC?],,0,)</f>
        <v/>
      </c>
      <c r="E39">
        <f>_xlfn.XLOOKUP(C39,Tab_Def_Flows[Flow_Name],Tab_Def_Flows[DM?],,0,)</f>
        <v/>
      </c>
      <c r="F39">
        <f>_xlfn.XLOOKUP(C39,Tab_Def_Flows[Flow_Name],Tab_Def_Flows[CC?],,0,)</f>
        <v/>
      </c>
      <c r="G39" t="n">
        <v>2036</v>
      </c>
      <c r="H39" t="n">
        <v>538202.7957894737</v>
      </c>
      <c r="I39">
        <f>'0_Configuration'!$C$35</f>
        <v/>
      </c>
      <c r="O39" t="inlineStr">
        <is>
          <t>No</t>
        </is>
      </c>
      <c r="R39">
        <f>Tab_Data_Flows[[#This Row],[Flow_ID]]&amp;"_"&amp;"material_"&amp;Tab_Data_Flows[[#This Row],[Flow_Data_Year]]</f>
        <v/>
      </c>
      <c r="S39">
        <f>IF(O39="no",H39,H39*P39)</f>
        <v/>
      </c>
      <c r="T39">
        <f>Tab_Data_Flows[[#This Row],[UoM_Source]]</f>
        <v/>
      </c>
      <c r="U39">
        <f>INDEX(Tab_Def_Flows[[Flow_ID]:[CC_DM_source]],MATCH(Tab_Data_Flows[[#This Row],[Flow_Name]],Tab_Def_Flows[Flow_Name],0),11)</f>
        <v/>
      </c>
      <c r="V39">
        <f>Tab_Data_Flows[[#This Row],[Flow_ID]]&amp;"_"&amp;"WC_"&amp;Tab_Data_Flows[[#This Row],[Flow_Data_Year]]</f>
        <v/>
      </c>
      <c r="W39">
        <f>IF(D39="Yes",S39*Tab_Data_Flows[[#This Row],[WC_'[%']]],"N.A.")</f>
        <v/>
      </c>
      <c r="X39">
        <f>Tab_Data_Flows[[#This Row],[UoM_Flow_Py]]</f>
        <v/>
      </c>
      <c r="Y39">
        <f>INDEX(Tab_Def_Flows[[Flow_ID]:[CC_DM_source]],MATCH(Tab_Data_Flows[[#This Row],[Flow_Name]],Tab_Def_Flows[Flow_Name],0),14)</f>
        <v/>
      </c>
      <c r="Z39">
        <f>Tab_Data_Flows[[#This Row],[Flow_ID]]&amp;"_"&amp;"DM_"&amp;Tab_Data_Flows[[#This Row],[Flow_Data_Year]]</f>
        <v/>
      </c>
      <c r="AA39">
        <f>IF(E39="Yes",Y39*Tab_Data_Flows[[#This Row],[Flow_Material]],"N.A.")</f>
        <v/>
      </c>
      <c r="AB39">
        <f>Tab_Data_Flows[[#This Row],[UoM_Flow_Py]]</f>
        <v/>
      </c>
      <c r="AC39">
        <f>INDEX(Tab_Def_Flows[[Flow_ID]:[CC_DM_source]],MATCH(Tab_Data_Flows[[#This Row],[Flow_Name]],Tab_Def_Flows[Flow_Name],0),17)</f>
        <v/>
      </c>
      <c r="AD39">
        <f>Tab_Data_Flows[[#This Row],[Flow_ID]]&amp;"_"&amp;"CC_"&amp;Tab_Data_Flows[[#This Row],[Flow_Data_Year]]</f>
        <v/>
      </c>
      <c r="AE39">
        <f>IF(F39="Yes",AC39*Tab_Data_Flows[[#This Row],[Flow_Material]]*Tab_Data_Flows[[#This Row],[DM_'[%']]],"N.A.")</f>
        <v/>
      </c>
      <c r="AF39">
        <f>Tab_Data_Flows[[#This Row],[UoM_Flow_Py]]</f>
        <v/>
      </c>
    </row>
    <row r="40">
      <c r="A40">
        <f>ROW()-1</f>
        <v/>
      </c>
      <c r="B40">
        <f>_xlfn.XLOOKUP(C40,Tab_Def_Flows[Flow_Name],Tab_Def_Flows[Flow_ID],,0,)</f>
        <v/>
      </c>
      <c r="C40" t="inlineStr">
        <is>
          <t>Environment_Input_Cultivation_E</t>
        </is>
      </c>
      <c r="D40">
        <f>_xlfn.XLOOKUP(C40,Tab_Def_Flows[Flow_Name],Tab_Def_Flows[WC?],,0,)</f>
        <v/>
      </c>
      <c r="E40">
        <f>_xlfn.XLOOKUP(C40,Tab_Def_Flows[Flow_Name],Tab_Def_Flows[DM?],,0,)</f>
        <v/>
      </c>
      <c r="F40">
        <f>_xlfn.XLOOKUP(C40,Tab_Def_Flows[Flow_Name],Tab_Def_Flows[CC?],,0,)</f>
        <v/>
      </c>
      <c r="G40" t="n">
        <v>2037</v>
      </c>
      <c r="H40" t="n">
        <v>661999.3903157894</v>
      </c>
      <c r="I40">
        <f>'0_Configuration'!$C$35</f>
        <v/>
      </c>
      <c r="O40" t="inlineStr">
        <is>
          <t>No</t>
        </is>
      </c>
      <c r="R40">
        <f>Tab_Data_Flows[[#This Row],[Flow_ID]]&amp;"_"&amp;"material_"&amp;Tab_Data_Flows[[#This Row],[Flow_Data_Year]]</f>
        <v/>
      </c>
      <c r="S40">
        <f>IF(O40="no",H40,H40*P40)</f>
        <v/>
      </c>
      <c r="T40">
        <f>Tab_Data_Flows[[#This Row],[UoM_Source]]</f>
        <v/>
      </c>
      <c r="U40">
        <f>INDEX(Tab_Def_Flows[[Flow_ID]:[CC_DM_source]],MATCH(Tab_Data_Flows[[#This Row],[Flow_Name]],Tab_Def_Flows[Flow_Name],0),11)</f>
        <v/>
      </c>
      <c r="V40">
        <f>Tab_Data_Flows[[#This Row],[Flow_ID]]&amp;"_"&amp;"WC_"&amp;Tab_Data_Flows[[#This Row],[Flow_Data_Year]]</f>
        <v/>
      </c>
      <c r="W40">
        <f>IF(D40="Yes",S40*Tab_Data_Flows[[#This Row],[WC_'[%']]],"N.A.")</f>
        <v/>
      </c>
      <c r="X40">
        <f>Tab_Data_Flows[[#This Row],[UoM_Flow_Py]]</f>
        <v/>
      </c>
      <c r="Y40">
        <f>INDEX(Tab_Def_Flows[[Flow_ID]:[CC_DM_source]],MATCH(Tab_Data_Flows[[#This Row],[Flow_Name]],Tab_Def_Flows[Flow_Name],0),14)</f>
        <v/>
      </c>
      <c r="Z40">
        <f>Tab_Data_Flows[[#This Row],[Flow_ID]]&amp;"_"&amp;"DM_"&amp;Tab_Data_Flows[[#This Row],[Flow_Data_Year]]</f>
        <v/>
      </c>
      <c r="AA40">
        <f>IF(E40="Yes",Y40*Tab_Data_Flows[[#This Row],[Flow_Material]],"N.A.")</f>
        <v/>
      </c>
      <c r="AB40">
        <f>Tab_Data_Flows[[#This Row],[UoM_Flow_Py]]</f>
        <v/>
      </c>
      <c r="AC40">
        <f>INDEX(Tab_Def_Flows[[Flow_ID]:[CC_DM_source]],MATCH(Tab_Data_Flows[[#This Row],[Flow_Name]],Tab_Def_Flows[Flow_Name],0),17)</f>
        <v/>
      </c>
      <c r="AD40">
        <f>Tab_Data_Flows[[#This Row],[Flow_ID]]&amp;"_"&amp;"CC_"&amp;Tab_Data_Flows[[#This Row],[Flow_Data_Year]]</f>
        <v/>
      </c>
      <c r="AE40">
        <f>IF(F40="Yes",AC40*Tab_Data_Flows[[#This Row],[Flow_Material]]*Tab_Data_Flows[[#This Row],[DM_'[%']]],"N.A.")</f>
        <v/>
      </c>
      <c r="AF40">
        <f>Tab_Data_Flows[[#This Row],[UoM_Flow_Py]]</f>
        <v/>
      </c>
    </row>
    <row r="41">
      <c r="A41">
        <f>ROW()-1</f>
        <v/>
      </c>
      <c r="B41">
        <f>_xlfn.XLOOKUP(C41,Tab_Def_Flows[Flow_Name],Tab_Def_Flows[Flow_ID],,0,)</f>
        <v/>
      </c>
      <c r="C41" t="inlineStr">
        <is>
          <t>Environment_Input_Cultivation_E</t>
        </is>
      </c>
      <c r="D41">
        <f>_xlfn.XLOOKUP(C41,Tab_Def_Flows[Flow_Name],Tab_Def_Flows[WC?],,0,)</f>
        <v/>
      </c>
      <c r="E41">
        <f>_xlfn.XLOOKUP(C41,Tab_Def_Flows[Flow_Name],Tab_Def_Flows[DM?],,0,)</f>
        <v/>
      </c>
      <c r="F41">
        <f>_xlfn.XLOOKUP(C41,Tab_Def_Flows[Flow_Name],Tab_Def_Flows[CC?],,0,)</f>
        <v/>
      </c>
      <c r="G41" t="n">
        <v>2038</v>
      </c>
      <c r="H41" t="n">
        <v>284993.5023157895</v>
      </c>
      <c r="I41">
        <f>'0_Configuration'!$C$35</f>
        <v/>
      </c>
      <c r="O41" t="inlineStr">
        <is>
          <t>No</t>
        </is>
      </c>
      <c r="R41">
        <f>Tab_Data_Flows[[#This Row],[Flow_ID]]&amp;"_"&amp;"material_"&amp;Tab_Data_Flows[[#This Row],[Flow_Data_Year]]</f>
        <v/>
      </c>
      <c r="S41">
        <f>IF(O41="no",H41,H41*P41)</f>
        <v/>
      </c>
      <c r="T41">
        <f>Tab_Data_Flows[[#This Row],[UoM_Source]]</f>
        <v/>
      </c>
      <c r="U41">
        <f>INDEX(Tab_Def_Flows[[Flow_ID]:[CC_DM_source]],MATCH(Tab_Data_Flows[[#This Row],[Flow_Name]],Tab_Def_Flows[Flow_Name],0),11)</f>
        <v/>
      </c>
      <c r="V41">
        <f>Tab_Data_Flows[[#This Row],[Flow_ID]]&amp;"_"&amp;"WC_"&amp;Tab_Data_Flows[[#This Row],[Flow_Data_Year]]</f>
        <v/>
      </c>
      <c r="W41">
        <f>IF(D41="Yes",S41*Tab_Data_Flows[[#This Row],[WC_'[%']]],"N.A.")</f>
        <v/>
      </c>
      <c r="X41">
        <f>Tab_Data_Flows[[#This Row],[UoM_Flow_Py]]</f>
        <v/>
      </c>
      <c r="Y41">
        <f>INDEX(Tab_Def_Flows[[Flow_ID]:[CC_DM_source]],MATCH(Tab_Data_Flows[[#This Row],[Flow_Name]],Tab_Def_Flows[Flow_Name],0),14)</f>
        <v/>
      </c>
      <c r="Z41">
        <f>Tab_Data_Flows[[#This Row],[Flow_ID]]&amp;"_"&amp;"DM_"&amp;Tab_Data_Flows[[#This Row],[Flow_Data_Year]]</f>
        <v/>
      </c>
      <c r="AA41">
        <f>IF(E41="Yes",Y41*Tab_Data_Flows[[#This Row],[Flow_Material]],"N.A.")</f>
        <v/>
      </c>
      <c r="AB41">
        <f>Tab_Data_Flows[[#This Row],[UoM_Flow_Py]]</f>
        <v/>
      </c>
      <c r="AC41">
        <f>INDEX(Tab_Def_Flows[[Flow_ID]:[CC_DM_source]],MATCH(Tab_Data_Flows[[#This Row],[Flow_Name]],Tab_Def_Flows[Flow_Name],0),17)</f>
        <v/>
      </c>
      <c r="AD41">
        <f>Tab_Data_Flows[[#This Row],[Flow_ID]]&amp;"_"&amp;"CC_"&amp;Tab_Data_Flows[[#This Row],[Flow_Data_Year]]</f>
        <v/>
      </c>
      <c r="AE41">
        <f>IF(F41="Yes",AC41*Tab_Data_Flows[[#This Row],[Flow_Material]]*Tab_Data_Flows[[#This Row],[DM_'[%']]],"N.A.")</f>
        <v/>
      </c>
      <c r="AF41">
        <f>Tab_Data_Flows[[#This Row],[UoM_Flow_Py]]</f>
        <v/>
      </c>
    </row>
    <row r="42">
      <c r="A42">
        <f>ROW()-1</f>
        <v/>
      </c>
      <c r="B42">
        <f>_xlfn.XLOOKUP(C42,Tab_Def_Flows[Flow_Name],Tab_Def_Flows[Flow_ID],,0,)</f>
        <v/>
      </c>
      <c r="C42" t="inlineStr">
        <is>
          <t>Environment_Input_Cultivation_E</t>
        </is>
      </c>
      <c r="D42">
        <f>_xlfn.XLOOKUP(C42,Tab_Def_Flows[Flow_Name],Tab_Def_Flows[WC?],,0,)</f>
        <v/>
      </c>
      <c r="E42">
        <f>_xlfn.XLOOKUP(C42,Tab_Def_Flows[Flow_Name],Tab_Def_Flows[DM?],,0,)</f>
        <v/>
      </c>
      <c r="F42">
        <f>_xlfn.XLOOKUP(C42,Tab_Def_Flows[Flow_Name],Tab_Def_Flows[CC?],,0,)</f>
        <v/>
      </c>
      <c r="G42" t="n">
        <v>2039</v>
      </c>
      <c r="H42" t="n">
        <v>317937.2766315789</v>
      </c>
      <c r="I42">
        <f>'0_Configuration'!$C$35</f>
        <v/>
      </c>
      <c r="O42" t="inlineStr">
        <is>
          <t>No</t>
        </is>
      </c>
      <c r="R42">
        <f>Tab_Data_Flows[[#This Row],[Flow_ID]]&amp;"_"&amp;"material_"&amp;Tab_Data_Flows[[#This Row],[Flow_Data_Year]]</f>
        <v/>
      </c>
      <c r="S42">
        <f>IF(O42="no",H42,H42*P42)</f>
        <v/>
      </c>
      <c r="T42">
        <f>Tab_Data_Flows[[#This Row],[UoM_Source]]</f>
        <v/>
      </c>
      <c r="U42">
        <f>INDEX(Tab_Def_Flows[[Flow_ID]:[CC_DM_source]],MATCH(Tab_Data_Flows[[#This Row],[Flow_Name]],Tab_Def_Flows[Flow_Name],0),11)</f>
        <v/>
      </c>
      <c r="V42">
        <f>Tab_Data_Flows[[#This Row],[Flow_ID]]&amp;"_"&amp;"WC_"&amp;Tab_Data_Flows[[#This Row],[Flow_Data_Year]]</f>
        <v/>
      </c>
      <c r="W42">
        <f>IF(D42="Yes",S42*Tab_Data_Flows[[#This Row],[WC_'[%']]],"N.A.")</f>
        <v/>
      </c>
      <c r="X42">
        <f>Tab_Data_Flows[[#This Row],[UoM_Flow_Py]]</f>
        <v/>
      </c>
      <c r="Y42">
        <f>INDEX(Tab_Def_Flows[[Flow_ID]:[CC_DM_source]],MATCH(Tab_Data_Flows[[#This Row],[Flow_Name]],Tab_Def_Flows[Flow_Name],0),14)</f>
        <v/>
      </c>
      <c r="Z42">
        <f>Tab_Data_Flows[[#This Row],[Flow_ID]]&amp;"_"&amp;"DM_"&amp;Tab_Data_Flows[[#This Row],[Flow_Data_Year]]</f>
        <v/>
      </c>
      <c r="AA42">
        <f>IF(E42="Yes",Y42*Tab_Data_Flows[[#This Row],[Flow_Material]],"N.A.")</f>
        <v/>
      </c>
      <c r="AB42">
        <f>Tab_Data_Flows[[#This Row],[UoM_Flow_Py]]</f>
        <v/>
      </c>
      <c r="AC42">
        <f>INDEX(Tab_Def_Flows[[Flow_ID]:[CC_DM_source]],MATCH(Tab_Data_Flows[[#This Row],[Flow_Name]],Tab_Def_Flows[Flow_Name],0),17)</f>
        <v/>
      </c>
      <c r="AD42">
        <f>Tab_Data_Flows[[#This Row],[Flow_ID]]&amp;"_"&amp;"CC_"&amp;Tab_Data_Flows[[#This Row],[Flow_Data_Year]]</f>
        <v/>
      </c>
      <c r="AE42">
        <f>IF(F42="Yes",AC42*Tab_Data_Flows[[#This Row],[Flow_Material]]*Tab_Data_Flows[[#This Row],[DM_'[%']]],"N.A.")</f>
        <v/>
      </c>
      <c r="AF42">
        <f>Tab_Data_Flows[[#This Row],[UoM_Flow_Py]]</f>
        <v/>
      </c>
    </row>
    <row r="43">
      <c r="A43">
        <f>ROW()-1</f>
        <v/>
      </c>
      <c r="B43">
        <f>_xlfn.XLOOKUP(C43,Tab_Def_Flows[Flow_Name],Tab_Def_Flows[Flow_ID],,0,)</f>
        <v/>
      </c>
      <c r="C43" t="inlineStr">
        <is>
          <t>Environment_Input_Cultivation_E</t>
        </is>
      </c>
      <c r="D43">
        <f>_xlfn.XLOOKUP(C43,Tab_Def_Flows[Flow_Name],Tab_Def_Flows[WC?],,0,)</f>
        <v/>
      </c>
      <c r="E43">
        <f>_xlfn.XLOOKUP(C43,Tab_Def_Flows[Flow_Name],Tab_Def_Flows[DM?],,0,)</f>
        <v/>
      </c>
      <c r="F43">
        <f>_xlfn.XLOOKUP(C43,Tab_Def_Flows[Flow_Name],Tab_Def_Flows[CC?],,0,)</f>
        <v/>
      </c>
      <c r="G43" t="n">
        <v>2040</v>
      </c>
      <c r="H43" t="n">
        <v>521319.8686315789</v>
      </c>
      <c r="I43">
        <f>'0_Configuration'!$C$35</f>
        <v/>
      </c>
      <c r="O43" t="inlineStr">
        <is>
          <t>No</t>
        </is>
      </c>
      <c r="R43">
        <f>Tab_Data_Flows[[#This Row],[Flow_ID]]&amp;"_"&amp;"material_"&amp;Tab_Data_Flows[[#This Row],[Flow_Data_Year]]</f>
        <v/>
      </c>
      <c r="S43">
        <f>IF(O43="no",H43,H43*P43)</f>
        <v/>
      </c>
      <c r="T43">
        <f>Tab_Data_Flows[[#This Row],[UoM_Source]]</f>
        <v/>
      </c>
      <c r="U43">
        <f>INDEX(Tab_Def_Flows[[Flow_ID]:[CC_DM_source]],MATCH(Tab_Data_Flows[[#This Row],[Flow_Name]],Tab_Def_Flows[Flow_Name],0),11)</f>
        <v/>
      </c>
      <c r="V43">
        <f>Tab_Data_Flows[[#This Row],[Flow_ID]]&amp;"_"&amp;"WC_"&amp;Tab_Data_Flows[[#This Row],[Flow_Data_Year]]</f>
        <v/>
      </c>
      <c r="W43">
        <f>IF(D43="Yes",S43*Tab_Data_Flows[[#This Row],[WC_'[%']]],"N.A.")</f>
        <v/>
      </c>
      <c r="X43">
        <f>Tab_Data_Flows[[#This Row],[UoM_Flow_Py]]</f>
        <v/>
      </c>
      <c r="Y43">
        <f>INDEX(Tab_Def_Flows[[Flow_ID]:[CC_DM_source]],MATCH(Tab_Data_Flows[[#This Row],[Flow_Name]],Tab_Def_Flows[Flow_Name],0),14)</f>
        <v/>
      </c>
      <c r="Z43">
        <f>Tab_Data_Flows[[#This Row],[Flow_ID]]&amp;"_"&amp;"DM_"&amp;Tab_Data_Flows[[#This Row],[Flow_Data_Year]]</f>
        <v/>
      </c>
      <c r="AA43">
        <f>IF(E43="Yes",Y43*Tab_Data_Flows[[#This Row],[Flow_Material]],"N.A.")</f>
        <v/>
      </c>
      <c r="AB43">
        <f>Tab_Data_Flows[[#This Row],[UoM_Flow_Py]]</f>
        <v/>
      </c>
      <c r="AC43">
        <f>INDEX(Tab_Def_Flows[[Flow_ID]:[CC_DM_source]],MATCH(Tab_Data_Flows[[#This Row],[Flow_Name]],Tab_Def_Flows[Flow_Name],0),17)</f>
        <v/>
      </c>
      <c r="AD43">
        <f>Tab_Data_Flows[[#This Row],[Flow_ID]]&amp;"_"&amp;"CC_"&amp;Tab_Data_Flows[[#This Row],[Flow_Data_Year]]</f>
        <v/>
      </c>
      <c r="AE43">
        <f>IF(F43="Yes",AC43*Tab_Data_Flows[[#This Row],[Flow_Material]]*Tab_Data_Flows[[#This Row],[DM_'[%']]],"N.A.")</f>
        <v/>
      </c>
      <c r="AF43">
        <f>Tab_Data_Flows[[#This Row],[UoM_Flow_Py]]</f>
        <v/>
      </c>
    </row>
    <row r="44">
      <c r="A44">
        <f>ROW()-1</f>
        <v/>
      </c>
      <c r="B44">
        <f>_xlfn.XLOOKUP(C44,Tab_Def_Flows[Flow_Name],Tab_Def_Flows[Flow_ID],,0,)</f>
        <v/>
      </c>
      <c r="C44" t="inlineStr">
        <is>
          <t>Environment_Input_Cultivation_E</t>
        </is>
      </c>
      <c r="D44">
        <f>_xlfn.XLOOKUP(C44,Tab_Def_Flows[Flow_Name],Tab_Def_Flows[WC?],,0,)</f>
        <v/>
      </c>
      <c r="E44">
        <f>_xlfn.XLOOKUP(C44,Tab_Def_Flows[Flow_Name],Tab_Def_Flows[DM?],,0,)</f>
        <v/>
      </c>
      <c r="F44">
        <f>_xlfn.XLOOKUP(C44,Tab_Def_Flows[Flow_Name],Tab_Def_Flows[CC?],,0,)</f>
        <v/>
      </c>
      <c r="G44" t="n">
        <v>2041</v>
      </c>
      <c r="H44" t="n">
        <v>442504.0303157895</v>
      </c>
      <c r="I44">
        <f>'0_Configuration'!$C$35</f>
        <v/>
      </c>
      <c r="O44" t="inlineStr">
        <is>
          <t>No</t>
        </is>
      </c>
      <c r="R44">
        <f>Tab_Data_Flows[[#This Row],[Flow_ID]]&amp;"_"&amp;"material_"&amp;Tab_Data_Flows[[#This Row],[Flow_Data_Year]]</f>
        <v/>
      </c>
      <c r="S44">
        <f>IF(O44="no",H44,H44*P44)</f>
        <v/>
      </c>
      <c r="T44">
        <f>Tab_Data_Flows[[#This Row],[UoM_Source]]</f>
        <v/>
      </c>
      <c r="U44">
        <f>INDEX(Tab_Def_Flows[[Flow_ID]:[CC_DM_source]],MATCH(Tab_Data_Flows[[#This Row],[Flow_Name]],Tab_Def_Flows[Flow_Name],0),11)</f>
        <v/>
      </c>
      <c r="V44">
        <f>Tab_Data_Flows[[#This Row],[Flow_ID]]&amp;"_"&amp;"WC_"&amp;Tab_Data_Flows[[#This Row],[Flow_Data_Year]]</f>
        <v/>
      </c>
      <c r="W44">
        <f>IF(D44="Yes",S44*Tab_Data_Flows[[#This Row],[WC_'[%']]],"N.A.")</f>
        <v/>
      </c>
      <c r="X44">
        <f>Tab_Data_Flows[[#This Row],[UoM_Flow_Py]]</f>
        <v/>
      </c>
      <c r="Y44">
        <f>INDEX(Tab_Def_Flows[[Flow_ID]:[CC_DM_source]],MATCH(Tab_Data_Flows[[#This Row],[Flow_Name]],Tab_Def_Flows[Flow_Name],0),14)</f>
        <v/>
      </c>
      <c r="Z44">
        <f>Tab_Data_Flows[[#This Row],[Flow_ID]]&amp;"_"&amp;"DM_"&amp;Tab_Data_Flows[[#This Row],[Flow_Data_Year]]</f>
        <v/>
      </c>
      <c r="AA44">
        <f>IF(E44="Yes",Y44*Tab_Data_Flows[[#This Row],[Flow_Material]],"N.A.")</f>
        <v/>
      </c>
      <c r="AB44">
        <f>Tab_Data_Flows[[#This Row],[UoM_Flow_Py]]</f>
        <v/>
      </c>
      <c r="AC44">
        <f>INDEX(Tab_Def_Flows[[Flow_ID]:[CC_DM_source]],MATCH(Tab_Data_Flows[[#This Row],[Flow_Name]],Tab_Def_Flows[Flow_Name],0),17)</f>
        <v/>
      </c>
      <c r="AD44">
        <f>Tab_Data_Flows[[#This Row],[Flow_ID]]&amp;"_"&amp;"CC_"&amp;Tab_Data_Flows[[#This Row],[Flow_Data_Year]]</f>
        <v/>
      </c>
      <c r="AE44">
        <f>IF(F44="Yes",AC44*Tab_Data_Flows[[#This Row],[Flow_Material]]*Tab_Data_Flows[[#This Row],[DM_'[%']]],"N.A.")</f>
        <v/>
      </c>
      <c r="AF44">
        <f>Tab_Data_Flows[[#This Row],[UoM_Flow_Py]]</f>
        <v/>
      </c>
    </row>
    <row r="45">
      <c r="A45">
        <f>ROW()-1</f>
        <v/>
      </c>
      <c r="B45">
        <f>_xlfn.XLOOKUP(C45,Tab_Def_Flows[Flow_Name],Tab_Def_Flows[Flow_ID],,0,)</f>
        <v/>
      </c>
      <c r="C45" t="inlineStr">
        <is>
          <t>Environment_Input_Cultivation_E</t>
        </is>
      </c>
      <c r="D45">
        <f>_xlfn.XLOOKUP(C45,Tab_Def_Flows[Flow_Name],Tab_Def_Flows[WC?],,0,)</f>
        <v/>
      </c>
      <c r="E45">
        <f>_xlfn.XLOOKUP(C45,Tab_Def_Flows[Flow_Name],Tab_Def_Flows[DM?],,0,)</f>
        <v/>
      </c>
      <c r="F45">
        <f>_xlfn.XLOOKUP(C45,Tab_Def_Flows[Flow_Name],Tab_Def_Flows[CC?],,0,)</f>
        <v/>
      </c>
      <c r="G45" t="n">
        <v>2042</v>
      </c>
      <c r="H45" t="n">
        <v>674642.115368421</v>
      </c>
      <c r="I45">
        <f>'0_Configuration'!$C$35</f>
        <v/>
      </c>
      <c r="O45" t="inlineStr">
        <is>
          <t>No</t>
        </is>
      </c>
      <c r="R45">
        <f>Tab_Data_Flows[[#This Row],[Flow_ID]]&amp;"_"&amp;"material_"&amp;Tab_Data_Flows[[#This Row],[Flow_Data_Year]]</f>
        <v/>
      </c>
      <c r="S45">
        <f>IF(O45="no",H45,H45*P45)</f>
        <v/>
      </c>
      <c r="T45">
        <f>Tab_Data_Flows[[#This Row],[UoM_Source]]</f>
        <v/>
      </c>
      <c r="U45">
        <f>INDEX(Tab_Def_Flows[[Flow_ID]:[CC_DM_source]],MATCH(Tab_Data_Flows[[#This Row],[Flow_Name]],Tab_Def_Flows[Flow_Name],0),11)</f>
        <v/>
      </c>
      <c r="V45">
        <f>Tab_Data_Flows[[#This Row],[Flow_ID]]&amp;"_"&amp;"WC_"&amp;Tab_Data_Flows[[#This Row],[Flow_Data_Year]]</f>
        <v/>
      </c>
      <c r="W45">
        <f>IF(D45="Yes",S45*Tab_Data_Flows[[#This Row],[WC_'[%']]],"N.A.")</f>
        <v/>
      </c>
      <c r="X45">
        <f>Tab_Data_Flows[[#This Row],[UoM_Flow_Py]]</f>
        <v/>
      </c>
      <c r="Y45">
        <f>INDEX(Tab_Def_Flows[[Flow_ID]:[CC_DM_source]],MATCH(Tab_Data_Flows[[#This Row],[Flow_Name]],Tab_Def_Flows[Flow_Name],0),14)</f>
        <v/>
      </c>
      <c r="Z45">
        <f>Tab_Data_Flows[[#This Row],[Flow_ID]]&amp;"_"&amp;"DM_"&amp;Tab_Data_Flows[[#This Row],[Flow_Data_Year]]</f>
        <v/>
      </c>
      <c r="AA45">
        <f>IF(E45="Yes",Y45*Tab_Data_Flows[[#This Row],[Flow_Material]],"N.A.")</f>
        <v/>
      </c>
      <c r="AB45">
        <f>Tab_Data_Flows[[#This Row],[UoM_Flow_Py]]</f>
        <v/>
      </c>
      <c r="AC45">
        <f>INDEX(Tab_Def_Flows[[Flow_ID]:[CC_DM_source]],MATCH(Tab_Data_Flows[[#This Row],[Flow_Name]],Tab_Def_Flows[Flow_Name],0),17)</f>
        <v/>
      </c>
      <c r="AD45">
        <f>Tab_Data_Flows[[#This Row],[Flow_ID]]&amp;"_"&amp;"CC_"&amp;Tab_Data_Flows[[#This Row],[Flow_Data_Year]]</f>
        <v/>
      </c>
      <c r="AE45">
        <f>IF(F45="Yes",AC45*Tab_Data_Flows[[#This Row],[Flow_Material]]*Tab_Data_Flows[[#This Row],[DM_'[%']]],"N.A.")</f>
        <v/>
      </c>
      <c r="AF45">
        <f>Tab_Data_Flows[[#This Row],[UoM_Flow_Py]]</f>
        <v/>
      </c>
    </row>
    <row r="46">
      <c r="A46">
        <f>ROW()-1</f>
        <v/>
      </c>
      <c r="B46">
        <f>_xlfn.XLOOKUP(C46,Tab_Def_Flows[Flow_Name],Tab_Def_Flows[Flow_ID],,0,)</f>
        <v/>
      </c>
      <c r="C46" t="inlineStr">
        <is>
          <t>Environment_Input_Cultivation_E</t>
        </is>
      </c>
      <c r="D46">
        <f>_xlfn.XLOOKUP(C46,Tab_Def_Flows[Flow_Name],Tab_Def_Flows[WC?],,0,)</f>
        <v/>
      </c>
      <c r="E46">
        <f>_xlfn.XLOOKUP(C46,Tab_Def_Flows[Flow_Name],Tab_Def_Flows[DM?],,0,)</f>
        <v/>
      </c>
      <c r="F46">
        <f>_xlfn.XLOOKUP(C46,Tab_Def_Flows[Flow_Name],Tab_Def_Flows[CC?],,0,)</f>
        <v/>
      </c>
      <c r="G46" t="n">
        <v>2043</v>
      </c>
      <c r="H46" t="n">
        <v>460840.7410526315</v>
      </c>
      <c r="I46">
        <f>'0_Configuration'!$C$35</f>
        <v/>
      </c>
      <c r="O46" t="inlineStr">
        <is>
          <t>No</t>
        </is>
      </c>
      <c r="R46">
        <f>Tab_Data_Flows[[#This Row],[Flow_ID]]&amp;"_"&amp;"material_"&amp;Tab_Data_Flows[[#This Row],[Flow_Data_Year]]</f>
        <v/>
      </c>
      <c r="S46">
        <f>IF(O46="no",H46,H46*P46)</f>
        <v/>
      </c>
      <c r="T46">
        <f>Tab_Data_Flows[[#This Row],[UoM_Source]]</f>
        <v/>
      </c>
      <c r="U46">
        <f>INDEX(Tab_Def_Flows[[Flow_ID]:[CC_DM_source]],MATCH(Tab_Data_Flows[[#This Row],[Flow_Name]],Tab_Def_Flows[Flow_Name],0),11)</f>
        <v/>
      </c>
      <c r="V46">
        <f>Tab_Data_Flows[[#This Row],[Flow_ID]]&amp;"_"&amp;"WC_"&amp;Tab_Data_Flows[[#This Row],[Flow_Data_Year]]</f>
        <v/>
      </c>
      <c r="W46">
        <f>IF(D46="Yes",S46*Tab_Data_Flows[[#This Row],[WC_'[%']]],"N.A.")</f>
        <v/>
      </c>
      <c r="X46">
        <f>Tab_Data_Flows[[#This Row],[UoM_Flow_Py]]</f>
        <v/>
      </c>
      <c r="Y46">
        <f>INDEX(Tab_Def_Flows[[Flow_ID]:[CC_DM_source]],MATCH(Tab_Data_Flows[[#This Row],[Flow_Name]],Tab_Def_Flows[Flow_Name],0),14)</f>
        <v/>
      </c>
      <c r="Z46">
        <f>Tab_Data_Flows[[#This Row],[Flow_ID]]&amp;"_"&amp;"DM_"&amp;Tab_Data_Flows[[#This Row],[Flow_Data_Year]]</f>
        <v/>
      </c>
      <c r="AA46">
        <f>IF(E46="Yes",Y46*Tab_Data_Flows[[#This Row],[Flow_Material]],"N.A.")</f>
        <v/>
      </c>
      <c r="AB46">
        <f>Tab_Data_Flows[[#This Row],[UoM_Flow_Py]]</f>
        <v/>
      </c>
      <c r="AC46">
        <f>INDEX(Tab_Def_Flows[[Flow_ID]:[CC_DM_source]],MATCH(Tab_Data_Flows[[#This Row],[Flow_Name]],Tab_Def_Flows[Flow_Name],0),17)</f>
        <v/>
      </c>
      <c r="AD46">
        <f>Tab_Data_Flows[[#This Row],[Flow_ID]]&amp;"_"&amp;"CC_"&amp;Tab_Data_Flows[[#This Row],[Flow_Data_Year]]</f>
        <v/>
      </c>
      <c r="AE46">
        <f>IF(F46="Yes",AC46*Tab_Data_Flows[[#This Row],[Flow_Material]]*Tab_Data_Flows[[#This Row],[DM_'[%']]],"N.A.")</f>
        <v/>
      </c>
      <c r="AF46">
        <f>Tab_Data_Flows[[#This Row],[UoM_Flow_Py]]</f>
        <v/>
      </c>
    </row>
    <row r="47">
      <c r="A47">
        <f>ROW()-1</f>
        <v/>
      </c>
      <c r="B47">
        <f>_xlfn.XLOOKUP(C47,Tab_Def_Flows[Flow_Name],Tab_Def_Flows[Flow_ID],,0,)</f>
        <v/>
      </c>
      <c r="C47" t="inlineStr">
        <is>
          <t>Environment_Input_Cultivation_E</t>
        </is>
      </c>
      <c r="D47">
        <f>_xlfn.XLOOKUP(C47,Tab_Def_Flows[Flow_Name],Tab_Def_Flows[WC?],,0,)</f>
        <v/>
      </c>
      <c r="E47">
        <f>_xlfn.XLOOKUP(C47,Tab_Def_Flows[Flow_Name],Tab_Def_Flows[DM?],,0,)</f>
        <v/>
      </c>
      <c r="F47">
        <f>_xlfn.XLOOKUP(C47,Tab_Def_Flows[Flow_Name],Tab_Def_Flows[CC?],,0,)</f>
        <v/>
      </c>
      <c r="G47" t="n">
        <v>2044</v>
      </c>
      <c r="H47" t="n">
        <v>372627.2303157895</v>
      </c>
      <c r="I47">
        <f>'0_Configuration'!$C$35</f>
        <v/>
      </c>
      <c r="O47" t="inlineStr">
        <is>
          <t>No</t>
        </is>
      </c>
      <c r="R47">
        <f>Tab_Data_Flows[[#This Row],[Flow_ID]]&amp;"_"&amp;"material_"&amp;Tab_Data_Flows[[#This Row],[Flow_Data_Year]]</f>
        <v/>
      </c>
      <c r="S47">
        <f>IF(O47="no",H47,H47*P47)</f>
        <v/>
      </c>
      <c r="T47">
        <f>Tab_Data_Flows[[#This Row],[UoM_Source]]</f>
        <v/>
      </c>
      <c r="U47">
        <f>INDEX(Tab_Def_Flows[[Flow_ID]:[CC_DM_source]],MATCH(Tab_Data_Flows[[#This Row],[Flow_Name]],Tab_Def_Flows[Flow_Name],0),11)</f>
        <v/>
      </c>
      <c r="V47">
        <f>Tab_Data_Flows[[#This Row],[Flow_ID]]&amp;"_"&amp;"WC_"&amp;Tab_Data_Flows[[#This Row],[Flow_Data_Year]]</f>
        <v/>
      </c>
      <c r="W47">
        <f>IF(D47="Yes",S47*Tab_Data_Flows[[#This Row],[WC_'[%']]],"N.A.")</f>
        <v/>
      </c>
      <c r="X47">
        <f>Tab_Data_Flows[[#This Row],[UoM_Flow_Py]]</f>
        <v/>
      </c>
      <c r="Y47">
        <f>INDEX(Tab_Def_Flows[[Flow_ID]:[CC_DM_source]],MATCH(Tab_Data_Flows[[#This Row],[Flow_Name]],Tab_Def_Flows[Flow_Name],0),14)</f>
        <v/>
      </c>
      <c r="Z47">
        <f>Tab_Data_Flows[[#This Row],[Flow_ID]]&amp;"_"&amp;"DM_"&amp;Tab_Data_Flows[[#This Row],[Flow_Data_Year]]</f>
        <v/>
      </c>
      <c r="AA47">
        <f>IF(E47="Yes",Y47*Tab_Data_Flows[[#This Row],[Flow_Material]],"N.A.")</f>
        <v/>
      </c>
      <c r="AB47">
        <f>Tab_Data_Flows[[#This Row],[UoM_Flow_Py]]</f>
        <v/>
      </c>
      <c r="AC47">
        <f>INDEX(Tab_Def_Flows[[Flow_ID]:[CC_DM_source]],MATCH(Tab_Data_Flows[[#This Row],[Flow_Name]],Tab_Def_Flows[Flow_Name],0),17)</f>
        <v/>
      </c>
      <c r="AD47">
        <f>Tab_Data_Flows[[#This Row],[Flow_ID]]&amp;"_"&amp;"CC_"&amp;Tab_Data_Flows[[#This Row],[Flow_Data_Year]]</f>
        <v/>
      </c>
      <c r="AE47">
        <f>IF(F47="Yes",AC47*Tab_Data_Flows[[#This Row],[Flow_Material]]*Tab_Data_Flows[[#This Row],[DM_'[%']]],"N.A.")</f>
        <v/>
      </c>
      <c r="AF47">
        <f>Tab_Data_Flows[[#This Row],[UoM_Flow_Py]]</f>
        <v/>
      </c>
    </row>
    <row r="48">
      <c r="A48">
        <f>ROW()-1</f>
        <v/>
      </c>
      <c r="B48">
        <f>_xlfn.XLOOKUP(C48,Tab_Def_Flows[Flow_Name],Tab_Def_Flows[Flow_ID],,0,)</f>
        <v/>
      </c>
      <c r="C48" t="inlineStr">
        <is>
          <t>Environment_Input_Cultivation_E</t>
        </is>
      </c>
      <c r="D48">
        <f>_xlfn.XLOOKUP(C48,Tab_Def_Flows[Flow_Name],Tab_Def_Flows[WC?],,0,)</f>
        <v/>
      </c>
      <c r="E48">
        <f>_xlfn.XLOOKUP(C48,Tab_Def_Flows[Flow_Name],Tab_Def_Flows[DM?],,0,)</f>
        <v/>
      </c>
      <c r="F48">
        <f>_xlfn.XLOOKUP(C48,Tab_Def_Flows[Flow_Name],Tab_Def_Flows[CC?],,0,)</f>
        <v/>
      </c>
      <c r="G48" t="n">
        <v>2045</v>
      </c>
      <c r="H48" t="n">
        <v>876060.3688421053</v>
      </c>
      <c r="I48">
        <f>'0_Configuration'!$C$35</f>
        <v/>
      </c>
      <c r="O48" t="inlineStr">
        <is>
          <t>No</t>
        </is>
      </c>
      <c r="R48">
        <f>Tab_Data_Flows[[#This Row],[Flow_ID]]&amp;"_"&amp;"material_"&amp;Tab_Data_Flows[[#This Row],[Flow_Data_Year]]</f>
        <v/>
      </c>
      <c r="S48">
        <f>IF(O48="no",H48,H48*P48)</f>
        <v/>
      </c>
      <c r="T48">
        <f>Tab_Data_Flows[[#This Row],[UoM_Source]]</f>
        <v/>
      </c>
      <c r="U48">
        <f>INDEX(Tab_Def_Flows[[Flow_ID]:[CC_DM_source]],MATCH(Tab_Data_Flows[[#This Row],[Flow_Name]],Tab_Def_Flows[Flow_Name],0),11)</f>
        <v/>
      </c>
      <c r="V48">
        <f>Tab_Data_Flows[[#This Row],[Flow_ID]]&amp;"_"&amp;"WC_"&amp;Tab_Data_Flows[[#This Row],[Flow_Data_Year]]</f>
        <v/>
      </c>
      <c r="W48">
        <f>IF(D48="Yes",S48*Tab_Data_Flows[[#This Row],[WC_'[%']]],"N.A.")</f>
        <v/>
      </c>
      <c r="X48">
        <f>Tab_Data_Flows[[#This Row],[UoM_Flow_Py]]</f>
        <v/>
      </c>
      <c r="Y48">
        <f>INDEX(Tab_Def_Flows[[Flow_ID]:[CC_DM_source]],MATCH(Tab_Data_Flows[[#This Row],[Flow_Name]],Tab_Def_Flows[Flow_Name],0),14)</f>
        <v/>
      </c>
      <c r="Z48">
        <f>Tab_Data_Flows[[#This Row],[Flow_ID]]&amp;"_"&amp;"DM_"&amp;Tab_Data_Flows[[#This Row],[Flow_Data_Year]]</f>
        <v/>
      </c>
      <c r="AA48">
        <f>IF(E48="Yes",Y48*Tab_Data_Flows[[#This Row],[Flow_Material]],"N.A.")</f>
        <v/>
      </c>
      <c r="AB48">
        <f>Tab_Data_Flows[[#This Row],[UoM_Flow_Py]]</f>
        <v/>
      </c>
      <c r="AC48">
        <f>INDEX(Tab_Def_Flows[[Flow_ID]:[CC_DM_source]],MATCH(Tab_Data_Flows[[#This Row],[Flow_Name]],Tab_Def_Flows[Flow_Name],0),17)</f>
        <v/>
      </c>
      <c r="AD48">
        <f>Tab_Data_Flows[[#This Row],[Flow_ID]]&amp;"_"&amp;"CC_"&amp;Tab_Data_Flows[[#This Row],[Flow_Data_Year]]</f>
        <v/>
      </c>
      <c r="AE48">
        <f>IF(F48="Yes",AC48*Tab_Data_Flows[[#This Row],[Flow_Material]]*Tab_Data_Flows[[#This Row],[DM_'[%']]],"N.A.")</f>
        <v/>
      </c>
      <c r="AF48">
        <f>Tab_Data_Flows[[#This Row],[UoM_Flow_Py]]</f>
        <v/>
      </c>
    </row>
    <row r="49">
      <c r="A49">
        <f>ROW()-1</f>
        <v/>
      </c>
      <c r="B49">
        <f>_xlfn.XLOOKUP(C49,Tab_Def_Flows[Flow_Name],Tab_Def_Flows[Flow_ID],,0,)</f>
        <v/>
      </c>
      <c r="C49" t="inlineStr">
        <is>
          <t>Environment_Input_Cultivation_E</t>
        </is>
      </c>
      <c r="D49">
        <f>_xlfn.XLOOKUP(C49,Tab_Def_Flows[Flow_Name],Tab_Def_Flows[WC?],,0,)</f>
        <v/>
      </c>
      <c r="E49">
        <f>_xlfn.XLOOKUP(C49,Tab_Def_Flows[Flow_Name],Tab_Def_Flows[DM?],,0,)</f>
        <v/>
      </c>
      <c r="F49">
        <f>_xlfn.XLOOKUP(C49,Tab_Def_Flows[Flow_Name],Tab_Def_Flows[CC?],,0,)</f>
        <v/>
      </c>
      <c r="G49" t="n">
        <v>2046</v>
      </c>
      <c r="H49" t="n">
        <v>580180.7966315789</v>
      </c>
      <c r="I49">
        <f>'0_Configuration'!$C$35</f>
        <v/>
      </c>
      <c r="O49" t="inlineStr">
        <is>
          <t>No</t>
        </is>
      </c>
      <c r="R49">
        <f>Tab_Data_Flows[[#This Row],[Flow_ID]]&amp;"_"&amp;"material_"&amp;Tab_Data_Flows[[#This Row],[Flow_Data_Year]]</f>
        <v/>
      </c>
      <c r="S49">
        <f>IF(O49="no",H49,H49*P49)</f>
        <v/>
      </c>
      <c r="T49">
        <f>Tab_Data_Flows[[#This Row],[UoM_Source]]</f>
        <v/>
      </c>
      <c r="U49">
        <f>INDEX(Tab_Def_Flows[[Flow_ID]:[CC_DM_source]],MATCH(Tab_Data_Flows[[#This Row],[Flow_Name]],Tab_Def_Flows[Flow_Name],0),11)</f>
        <v/>
      </c>
      <c r="V49">
        <f>Tab_Data_Flows[[#This Row],[Flow_ID]]&amp;"_"&amp;"WC_"&amp;Tab_Data_Flows[[#This Row],[Flow_Data_Year]]</f>
        <v/>
      </c>
      <c r="W49">
        <f>IF(D49="Yes",S49*Tab_Data_Flows[[#This Row],[WC_'[%']]],"N.A.")</f>
        <v/>
      </c>
      <c r="X49">
        <f>Tab_Data_Flows[[#This Row],[UoM_Flow_Py]]</f>
        <v/>
      </c>
      <c r="Y49">
        <f>INDEX(Tab_Def_Flows[[Flow_ID]:[CC_DM_source]],MATCH(Tab_Data_Flows[[#This Row],[Flow_Name]],Tab_Def_Flows[Flow_Name],0),14)</f>
        <v/>
      </c>
      <c r="Z49">
        <f>Tab_Data_Flows[[#This Row],[Flow_ID]]&amp;"_"&amp;"DM_"&amp;Tab_Data_Flows[[#This Row],[Flow_Data_Year]]</f>
        <v/>
      </c>
      <c r="AA49">
        <f>IF(E49="Yes",Y49*Tab_Data_Flows[[#This Row],[Flow_Material]],"N.A.")</f>
        <v/>
      </c>
      <c r="AB49">
        <f>Tab_Data_Flows[[#This Row],[UoM_Flow_Py]]</f>
        <v/>
      </c>
      <c r="AC49">
        <f>INDEX(Tab_Def_Flows[[Flow_ID]:[CC_DM_source]],MATCH(Tab_Data_Flows[[#This Row],[Flow_Name]],Tab_Def_Flows[Flow_Name],0),17)</f>
        <v/>
      </c>
      <c r="AD49">
        <f>Tab_Data_Flows[[#This Row],[Flow_ID]]&amp;"_"&amp;"CC_"&amp;Tab_Data_Flows[[#This Row],[Flow_Data_Year]]</f>
        <v/>
      </c>
      <c r="AE49">
        <f>IF(F49="Yes",AC49*Tab_Data_Flows[[#This Row],[Flow_Material]]*Tab_Data_Flows[[#This Row],[DM_'[%']]],"N.A.")</f>
        <v/>
      </c>
      <c r="AF49">
        <f>Tab_Data_Flows[[#This Row],[UoM_Flow_Py]]</f>
        <v/>
      </c>
    </row>
    <row r="50">
      <c r="A50">
        <f>ROW()-1</f>
        <v/>
      </c>
      <c r="B50">
        <f>_xlfn.XLOOKUP(C50,Tab_Def_Flows[Flow_Name],Tab_Def_Flows[Flow_ID],,0,)</f>
        <v/>
      </c>
      <c r="C50" t="inlineStr">
        <is>
          <t>Environment_Input_Cultivation_E</t>
        </is>
      </c>
      <c r="D50">
        <f>_xlfn.XLOOKUP(C50,Tab_Def_Flows[Flow_Name],Tab_Def_Flows[WC?],,0,)</f>
        <v/>
      </c>
      <c r="E50">
        <f>_xlfn.XLOOKUP(C50,Tab_Def_Flows[Flow_Name],Tab_Def_Flows[DM?],,0,)</f>
        <v/>
      </c>
      <c r="F50">
        <f>_xlfn.XLOOKUP(C50,Tab_Def_Flows[Flow_Name],Tab_Def_Flows[CC?],,0,)</f>
        <v/>
      </c>
      <c r="G50" t="n">
        <v>2047</v>
      </c>
      <c r="H50" t="n">
        <v>631487.2421052631</v>
      </c>
      <c r="I50">
        <f>'0_Configuration'!$C$35</f>
        <v/>
      </c>
      <c r="O50" t="inlineStr">
        <is>
          <t>No</t>
        </is>
      </c>
      <c r="R50">
        <f>Tab_Data_Flows[[#This Row],[Flow_ID]]&amp;"_"&amp;"material_"&amp;Tab_Data_Flows[[#This Row],[Flow_Data_Year]]</f>
        <v/>
      </c>
      <c r="S50">
        <f>IF(O50="no",H50,H50*P50)</f>
        <v/>
      </c>
      <c r="T50">
        <f>Tab_Data_Flows[[#This Row],[UoM_Source]]</f>
        <v/>
      </c>
      <c r="U50">
        <f>INDEX(Tab_Def_Flows[[Flow_ID]:[CC_DM_source]],MATCH(Tab_Data_Flows[[#This Row],[Flow_Name]],Tab_Def_Flows[Flow_Name],0),11)</f>
        <v/>
      </c>
      <c r="V50">
        <f>Tab_Data_Flows[[#This Row],[Flow_ID]]&amp;"_"&amp;"WC_"&amp;Tab_Data_Flows[[#This Row],[Flow_Data_Year]]</f>
        <v/>
      </c>
      <c r="W50">
        <f>IF(D50="Yes",S50*Tab_Data_Flows[[#This Row],[WC_'[%']]],"N.A.")</f>
        <v/>
      </c>
      <c r="X50">
        <f>Tab_Data_Flows[[#This Row],[UoM_Flow_Py]]</f>
        <v/>
      </c>
      <c r="Y50">
        <f>INDEX(Tab_Def_Flows[[Flow_ID]:[CC_DM_source]],MATCH(Tab_Data_Flows[[#This Row],[Flow_Name]],Tab_Def_Flows[Flow_Name],0),14)</f>
        <v/>
      </c>
      <c r="Z50">
        <f>Tab_Data_Flows[[#This Row],[Flow_ID]]&amp;"_"&amp;"DM_"&amp;Tab_Data_Flows[[#This Row],[Flow_Data_Year]]</f>
        <v/>
      </c>
      <c r="AA50">
        <f>IF(E50="Yes",Y50*Tab_Data_Flows[[#This Row],[Flow_Material]],"N.A.")</f>
        <v/>
      </c>
      <c r="AB50">
        <f>Tab_Data_Flows[[#This Row],[UoM_Flow_Py]]</f>
        <v/>
      </c>
      <c r="AC50">
        <f>INDEX(Tab_Def_Flows[[Flow_ID]:[CC_DM_source]],MATCH(Tab_Data_Flows[[#This Row],[Flow_Name]],Tab_Def_Flows[Flow_Name],0),17)</f>
        <v/>
      </c>
      <c r="AD50">
        <f>Tab_Data_Flows[[#This Row],[Flow_ID]]&amp;"_"&amp;"CC_"&amp;Tab_Data_Flows[[#This Row],[Flow_Data_Year]]</f>
        <v/>
      </c>
      <c r="AE50">
        <f>IF(F50="Yes",AC50*Tab_Data_Flows[[#This Row],[Flow_Material]]*Tab_Data_Flows[[#This Row],[DM_'[%']]],"N.A.")</f>
        <v/>
      </c>
      <c r="AF50">
        <f>Tab_Data_Flows[[#This Row],[UoM_Flow_Py]]</f>
        <v/>
      </c>
    </row>
    <row r="51">
      <c r="A51">
        <f>ROW()-1</f>
        <v/>
      </c>
      <c r="B51">
        <f>_xlfn.XLOOKUP(C51,Tab_Def_Flows[Flow_Name],Tab_Def_Flows[Flow_ID],,0,)</f>
        <v/>
      </c>
      <c r="C51" t="inlineStr">
        <is>
          <t>Environment_Input_Cultivation_E</t>
        </is>
      </c>
      <c r="D51">
        <f>_xlfn.XLOOKUP(C51,Tab_Def_Flows[Flow_Name],Tab_Def_Flows[WC?],,0,)</f>
        <v/>
      </c>
      <c r="E51">
        <f>_xlfn.XLOOKUP(C51,Tab_Def_Flows[Flow_Name],Tab_Def_Flows[DM?],,0,)</f>
        <v/>
      </c>
      <c r="F51">
        <f>_xlfn.XLOOKUP(C51,Tab_Def_Flows[Flow_Name],Tab_Def_Flows[CC?],,0,)</f>
        <v/>
      </c>
      <c r="G51" t="n">
        <v>2048</v>
      </c>
      <c r="H51" t="n">
        <v>370446.5549473684</v>
      </c>
      <c r="I51">
        <f>'0_Configuration'!$C$35</f>
        <v/>
      </c>
      <c r="O51" t="inlineStr">
        <is>
          <t>No</t>
        </is>
      </c>
      <c r="R51">
        <f>Tab_Data_Flows[[#This Row],[Flow_ID]]&amp;"_"&amp;"material_"&amp;Tab_Data_Flows[[#This Row],[Flow_Data_Year]]</f>
        <v/>
      </c>
      <c r="S51">
        <f>IF(O51="no",H51,H51*P51)</f>
        <v/>
      </c>
      <c r="T51">
        <f>Tab_Data_Flows[[#This Row],[UoM_Source]]</f>
        <v/>
      </c>
      <c r="U51">
        <f>INDEX(Tab_Def_Flows[[Flow_ID]:[CC_DM_source]],MATCH(Tab_Data_Flows[[#This Row],[Flow_Name]],Tab_Def_Flows[Flow_Name],0),11)</f>
        <v/>
      </c>
      <c r="V51">
        <f>Tab_Data_Flows[[#This Row],[Flow_ID]]&amp;"_"&amp;"WC_"&amp;Tab_Data_Flows[[#This Row],[Flow_Data_Year]]</f>
        <v/>
      </c>
      <c r="W51">
        <f>IF(D51="Yes",S51*Tab_Data_Flows[[#This Row],[WC_'[%']]],"N.A.")</f>
        <v/>
      </c>
      <c r="X51">
        <f>Tab_Data_Flows[[#This Row],[UoM_Flow_Py]]</f>
        <v/>
      </c>
      <c r="Y51">
        <f>INDEX(Tab_Def_Flows[[Flow_ID]:[CC_DM_source]],MATCH(Tab_Data_Flows[[#This Row],[Flow_Name]],Tab_Def_Flows[Flow_Name],0),14)</f>
        <v/>
      </c>
      <c r="Z51">
        <f>Tab_Data_Flows[[#This Row],[Flow_ID]]&amp;"_"&amp;"DM_"&amp;Tab_Data_Flows[[#This Row],[Flow_Data_Year]]</f>
        <v/>
      </c>
      <c r="AA51">
        <f>IF(E51="Yes",Y51*Tab_Data_Flows[[#This Row],[Flow_Material]],"N.A.")</f>
        <v/>
      </c>
      <c r="AB51">
        <f>Tab_Data_Flows[[#This Row],[UoM_Flow_Py]]</f>
        <v/>
      </c>
      <c r="AC51">
        <f>INDEX(Tab_Def_Flows[[Flow_ID]:[CC_DM_source]],MATCH(Tab_Data_Flows[[#This Row],[Flow_Name]],Tab_Def_Flows[Flow_Name],0),17)</f>
        <v/>
      </c>
      <c r="AD51">
        <f>Tab_Data_Flows[[#This Row],[Flow_ID]]&amp;"_"&amp;"CC_"&amp;Tab_Data_Flows[[#This Row],[Flow_Data_Year]]</f>
        <v/>
      </c>
      <c r="AE51">
        <f>IF(F51="Yes",AC51*Tab_Data_Flows[[#This Row],[Flow_Material]]*Tab_Data_Flows[[#This Row],[DM_'[%']]],"N.A.")</f>
        <v/>
      </c>
      <c r="AF51">
        <f>Tab_Data_Flows[[#This Row],[UoM_Flow_Py]]</f>
        <v/>
      </c>
    </row>
    <row r="52">
      <c r="A52">
        <f>ROW()-1</f>
        <v/>
      </c>
      <c r="B52">
        <f>_xlfn.XLOOKUP(C52,Tab_Def_Flows[Flow_Name],Tab_Def_Flows[Flow_ID],,0,)</f>
        <v/>
      </c>
      <c r="C52" t="inlineStr">
        <is>
          <t>Environment_Input_Cultivation_E</t>
        </is>
      </c>
      <c r="D52">
        <f>_xlfn.XLOOKUP(C52,Tab_Def_Flows[Flow_Name],Tab_Def_Flows[WC?],,0,)</f>
        <v/>
      </c>
      <c r="E52">
        <f>_xlfn.XLOOKUP(C52,Tab_Def_Flows[Flow_Name],Tab_Def_Flows[DM?],,0,)</f>
        <v/>
      </c>
      <c r="F52">
        <f>_xlfn.XLOOKUP(C52,Tab_Def_Flows[Flow_Name],Tab_Def_Flows[CC?],,0,)</f>
        <v/>
      </c>
      <c r="G52" t="n">
        <v>2049</v>
      </c>
      <c r="H52" t="n">
        <v>524443.772631579</v>
      </c>
      <c r="I52">
        <f>'0_Configuration'!$C$35</f>
        <v/>
      </c>
      <c r="O52" t="inlineStr">
        <is>
          <t>No</t>
        </is>
      </c>
      <c r="R52">
        <f>Tab_Data_Flows[[#This Row],[Flow_ID]]&amp;"_"&amp;"material_"&amp;Tab_Data_Flows[[#This Row],[Flow_Data_Year]]</f>
        <v/>
      </c>
      <c r="S52">
        <f>IF(O52="no",H52,H52*P52)</f>
        <v/>
      </c>
      <c r="T52">
        <f>Tab_Data_Flows[[#This Row],[UoM_Source]]</f>
        <v/>
      </c>
      <c r="U52">
        <f>INDEX(Tab_Def_Flows[[Flow_ID]:[CC_DM_source]],MATCH(Tab_Data_Flows[[#This Row],[Flow_Name]],Tab_Def_Flows[Flow_Name],0),11)</f>
        <v/>
      </c>
      <c r="V52">
        <f>Tab_Data_Flows[[#This Row],[Flow_ID]]&amp;"_"&amp;"WC_"&amp;Tab_Data_Flows[[#This Row],[Flow_Data_Year]]</f>
        <v/>
      </c>
      <c r="W52">
        <f>IF(D52="Yes",S52*Tab_Data_Flows[[#This Row],[WC_'[%']]],"N.A.")</f>
        <v/>
      </c>
      <c r="X52">
        <f>Tab_Data_Flows[[#This Row],[UoM_Flow_Py]]</f>
        <v/>
      </c>
      <c r="Y52">
        <f>INDEX(Tab_Def_Flows[[Flow_ID]:[CC_DM_source]],MATCH(Tab_Data_Flows[[#This Row],[Flow_Name]],Tab_Def_Flows[Flow_Name],0),14)</f>
        <v/>
      </c>
      <c r="Z52">
        <f>Tab_Data_Flows[[#This Row],[Flow_ID]]&amp;"_"&amp;"DM_"&amp;Tab_Data_Flows[[#This Row],[Flow_Data_Year]]</f>
        <v/>
      </c>
      <c r="AA52">
        <f>IF(E52="Yes",Y52*Tab_Data_Flows[[#This Row],[Flow_Material]],"N.A.")</f>
        <v/>
      </c>
      <c r="AB52">
        <f>Tab_Data_Flows[[#This Row],[UoM_Flow_Py]]</f>
        <v/>
      </c>
      <c r="AC52">
        <f>INDEX(Tab_Def_Flows[[Flow_ID]:[CC_DM_source]],MATCH(Tab_Data_Flows[[#This Row],[Flow_Name]],Tab_Def_Flows[Flow_Name],0),17)</f>
        <v/>
      </c>
      <c r="AD52">
        <f>Tab_Data_Flows[[#This Row],[Flow_ID]]&amp;"_"&amp;"CC_"&amp;Tab_Data_Flows[[#This Row],[Flow_Data_Year]]</f>
        <v/>
      </c>
      <c r="AE52">
        <f>IF(F52="Yes",AC52*Tab_Data_Flows[[#This Row],[Flow_Material]]*Tab_Data_Flows[[#This Row],[DM_'[%']]],"N.A.")</f>
        <v/>
      </c>
      <c r="AF52">
        <f>Tab_Data_Flows[[#This Row],[UoM_Flow_Py]]</f>
        <v/>
      </c>
    </row>
    <row r="53">
      <c r="A53">
        <f>ROW()-1</f>
        <v/>
      </c>
      <c r="B53">
        <f>_xlfn.XLOOKUP(C53,Tab_Def_Flows[Flow_Name],Tab_Def_Flows[Flow_ID],,0,)</f>
        <v/>
      </c>
      <c r="C53" t="inlineStr">
        <is>
          <t>Environment_Input_Cultivation_E</t>
        </is>
      </c>
      <c r="D53">
        <f>_xlfn.XLOOKUP(C53,Tab_Def_Flows[Flow_Name],Tab_Def_Flows[WC?],,0,)</f>
        <v/>
      </c>
      <c r="E53">
        <f>_xlfn.XLOOKUP(C53,Tab_Def_Flows[Flow_Name],Tab_Def_Flows[DM?],,0,)</f>
        <v/>
      </c>
      <c r="F53">
        <f>_xlfn.XLOOKUP(C53,Tab_Def_Flows[Flow_Name],Tab_Def_Flows[CC?],,0,)</f>
        <v/>
      </c>
      <c r="G53" t="n">
        <v>2050</v>
      </c>
      <c r="H53" t="n">
        <v>639076.3385263158</v>
      </c>
      <c r="I53">
        <f>'0_Configuration'!$C$35</f>
        <v/>
      </c>
      <c r="O53" t="inlineStr">
        <is>
          <t>No</t>
        </is>
      </c>
      <c r="R53">
        <f>Tab_Data_Flows[[#This Row],[Flow_ID]]&amp;"_"&amp;"material_"&amp;Tab_Data_Flows[[#This Row],[Flow_Data_Year]]</f>
        <v/>
      </c>
      <c r="S53">
        <f>IF(O53="no",H53,H53*P53)</f>
        <v/>
      </c>
      <c r="T53">
        <f>Tab_Data_Flows[[#This Row],[UoM_Source]]</f>
        <v/>
      </c>
      <c r="U53">
        <f>INDEX(Tab_Def_Flows[[Flow_ID]:[CC_DM_source]],MATCH(Tab_Data_Flows[[#This Row],[Flow_Name]],Tab_Def_Flows[Flow_Name],0),11)</f>
        <v/>
      </c>
      <c r="V53">
        <f>Tab_Data_Flows[[#This Row],[Flow_ID]]&amp;"_"&amp;"WC_"&amp;Tab_Data_Flows[[#This Row],[Flow_Data_Year]]</f>
        <v/>
      </c>
      <c r="W53">
        <f>IF(D53="Yes",S53*Tab_Data_Flows[[#This Row],[WC_'[%']]],"N.A.")</f>
        <v/>
      </c>
      <c r="X53">
        <f>Tab_Data_Flows[[#This Row],[UoM_Flow_Py]]</f>
        <v/>
      </c>
      <c r="Y53">
        <f>INDEX(Tab_Def_Flows[[Flow_ID]:[CC_DM_source]],MATCH(Tab_Data_Flows[[#This Row],[Flow_Name]],Tab_Def_Flows[Flow_Name],0),14)</f>
        <v/>
      </c>
      <c r="Z53">
        <f>Tab_Data_Flows[[#This Row],[Flow_ID]]&amp;"_"&amp;"DM_"&amp;Tab_Data_Flows[[#This Row],[Flow_Data_Year]]</f>
        <v/>
      </c>
      <c r="AA53">
        <f>IF(E53="Yes",Y53*Tab_Data_Flows[[#This Row],[Flow_Material]],"N.A.")</f>
        <v/>
      </c>
      <c r="AB53">
        <f>Tab_Data_Flows[[#This Row],[UoM_Flow_Py]]</f>
        <v/>
      </c>
      <c r="AC53">
        <f>INDEX(Tab_Def_Flows[[Flow_ID]:[CC_DM_source]],MATCH(Tab_Data_Flows[[#This Row],[Flow_Name]],Tab_Def_Flows[Flow_Name],0),17)</f>
        <v/>
      </c>
      <c r="AD53">
        <f>Tab_Data_Flows[[#This Row],[Flow_ID]]&amp;"_"&amp;"CC_"&amp;Tab_Data_Flows[[#This Row],[Flow_Data_Year]]</f>
        <v/>
      </c>
      <c r="AE53">
        <f>IF(F53="Yes",AC53*Tab_Data_Flows[[#This Row],[Flow_Material]]*Tab_Data_Flows[[#This Row],[DM_'[%']]],"N.A.")</f>
        <v/>
      </c>
      <c r="AF53">
        <f>Tab_Data_Flows[[#This Row],[UoM_Flow_Py]]</f>
        <v/>
      </c>
    </row>
    <row r="54">
      <c r="A54">
        <f>ROW()-1</f>
        <v/>
      </c>
      <c r="B54">
        <f>_xlfn.XLOOKUP(C54,Tab_Def_Flows[Flow_Name],Tab_Def_Flows[Flow_ID],,0,)</f>
        <v/>
      </c>
      <c r="C54" t="inlineStr">
        <is>
          <t>Atmosphere_Input_cow-manure_production_C</t>
        </is>
      </c>
      <c r="D54">
        <f>_xlfn.XLOOKUP(C54,Tab_Def_Flows[Flow_Name],Tab_Def_Flows[WC?],,0,)</f>
        <v/>
      </c>
      <c r="E54">
        <f>_xlfn.XLOOKUP(C54,Tab_Def_Flows[Flow_Name],Tab_Def_Flows[DM?],,0,)</f>
        <v/>
      </c>
      <c r="F54">
        <f>_xlfn.XLOOKUP(C54,Tab_Def_Flows[Flow_Name],Tab_Def_Flows[CC?],,0,)</f>
        <v/>
      </c>
      <c r="G54" t="n">
        <v>2025</v>
      </c>
      <c r="H54" t="n">
        <v>1349.822192791225</v>
      </c>
      <c r="I54">
        <f>'0_Configuration'!$C$35</f>
        <v/>
      </c>
      <c r="O54" t="inlineStr">
        <is>
          <t>No</t>
        </is>
      </c>
      <c r="R54">
        <f>Tab_Data_Flows[[#This Row],[Flow_ID]]&amp;"_"&amp;"material_"&amp;Tab_Data_Flows[[#This Row],[Flow_Data_Year]]</f>
        <v/>
      </c>
      <c r="S54">
        <f>IF(O54="no",H54,H54*P54)</f>
        <v/>
      </c>
      <c r="T54">
        <f>Tab_Data_Flows[[#This Row],[UoM_Source]]</f>
        <v/>
      </c>
      <c r="U54">
        <f>INDEX(Tab_Def_Flows[[Flow_ID]:[CC_DM_source]],MATCH(Tab_Data_Flows[[#This Row],[Flow_Name]],Tab_Def_Flows[Flow_Name],0),11)</f>
        <v/>
      </c>
      <c r="V54">
        <f>Tab_Data_Flows[[#This Row],[Flow_ID]]&amp;"_"&amp;"WC_"&amp;Tab_Data_Flows[[#This Row],[Flow_Data_Year]]</f>
        <v/>
      </c>
      <c r="W54">
        <f>IF(D54="Yes",S54*Tab_Data_Flows[[#This Row],[WC_'[%']]],"N.A.")</f>
        <v/>
      </c>
      <c r="X54">
        <f>Tab_Data_Flows[[#This Row],[UoM_Flow_Py]]</f>
        <v/>
      </c>
      <c r="Y54">
        <f>INDEX(Tab_Def_Flows[[Flow_ID]:[CC_DM_source]],MATCH(Tab_Data_Flows[[#This Row],[Flow_Name]],Tab_Def_Flows[Flow_Name],0),14)</f>
        <v/>
      </c>
      <c r="Z54">
        <f>Tab_Data_Flows[[#This Row],[Flow_ID]]&amp;"_"&amp;"DM_"&amp;Tab_Data_Flows[[#This Row],[Flow_Data_Year]]</f>
        <v/>
      </c>
      <c r="AA54">
        <f>IF(E54="Yes",Y54*Tab_Data_Flows[[#This Row],[Flow_Material]],"N.A.")</f>
        <v/>
      </c>
      <c r="AB54">
        <f>Tab_Data_Flows[[#This Row],[UoM_Flow_Py]]</f>
        <v/>
      </c>
      <c r="AC54">
        <f>INDEX(Tab_Def_Flows[[Flow_ID]:[CC_DM_source]],MATCH(Tab_Data_Flows[[#This Row],[Flow_Name]],Tab_Def_Flows[Flow_Name],0),17)</f>
        <v/>
      </c>
      <c r="AD54">
        <f>Tab_Data_Flows[[#This Row],[Flow_ID]]&amp;"_"&amp;"CC_"&amp;Tab_Data_Flows[[#This Row],[Flow_Data_Year]]</f>
        <v/>
      </c>
      <c r="AE54">
        <f>IF(F54="Yes",AC54*Tab_Data_Flows[[#This Row],[Flow_Material]]*Tab_Data_Flows[[#This Row],[DM_'[%']]],"N.A.")</f>
        <v/>
      </c>
      <c r="AF54">
        <f>Tab_Data_Flows[[#This Row],[UoM_Flow_Py]]</f>
        <v/>
      </c>
    </row>
    <row r="55">
      <c r="A55">
        <f>ROW()-1</f>
        <v/>
      </c>
      <c r="B55">
        <f>_xlfn.XLOOKUP(C55,Tab_Def_Flows[Flow_Name],Tab_Def_Flows[Flow_ID],,0,)</f>
        <v/>
      </c>
      <c r="C55" t="inlineStr">
        <is>
          <t>Atmosphere_Input_cow-manure_production_C</t>
        </is>
      </c>
      <c r="D55">
        <f>_xlfn.XLOOKUP(C55,Tab_Def_Flows[Flow_Name],Tab_Def_Flows[WC?],,0,)</f>
        <v/>
      </c>
      <c r="E55">
        <f>_xlfn.XLOOKUP(C55,Tab_Def_Flows[Flow_Name],Tab_Def_Flows[DM?],,0,)</f>
        <v/>
      </c>
      <c r="F55">
        <f>_xlfn.XLOOKUP(C55,Tab_Def_Flows[Flow_Name],Tab_Def_Flows[CC?],,0,)</f>
        <v/>
      </c>
      <c r="G55" t="n">
        <v>2026</v>
      </c>
      <c r="H55" t="n">
        <v>1137.62249325701</v>
      </c>
      <c r="I55">
        <f>'0_Configuration'!$C$35</f>
        <v/>
      </c>
      <c r="O55" t="inlineStr">
        <is>
          <t>No</t>
        </is>
      </c>
      <c r="R55">
        <f>Tab_Data_Flows[[#This Row],[Flow_ID]]&amp;"_"&amp;"material_"&amp;Tab_Data_Flows[[#This Row],[Flow_Data_Year]]</f>
        <v/>
      </c>
      <c r="S55">
        <f>IF(O55="no",H55,H55*P55)</f>
        <v/>
      </c>
      <c r="T55">
        <f>Tab_Data_Flows[[#This Row],[UoM_Source]]</f>
        <v/>
      </c>
      <c r="U55">
        <f>INDEX(Tab_Def_Flows[[Flow_ID]:[CC_DM_source]],MATCH(Tab_Data_Flows[[#This Row],[Flow_Name]],Tab_Def_Flows[Flow_Name],0),11)</f>
        <v/>
      </c>
      <c r="V55">
        <f>Tab_Data_Flows[[#This Row],[Flow_ID]]&amp;"_"&amp;"WC_"&amp;Tab_Data_Flows[[#This Row],[Flow_Data_Year]]</f>
        <v/>
      </c>
      <c r="W55">
        <f>IF(D55="Yes",S55*Tab_Data_Flows[[#This Row],[WC_'[%']]],"N.A.")</f>
        <v/>
      </c>
      <c r="X55">
        <f>Tab_Data_Flows[[#This Row],[UoM_Flow_Py]]</f>
        <v/>
      </c>
      <c r="Y55">
        <f>INDEX(Tab_Def_Flows[[Flow_ID]:[CC_DM_source]],MATCH(Tab_Data_Flows[[#This Row],[Flow_Name]],Tab_Def_Flows[Flow_Name],0),14)</f>
        <v/>
      </c>
      <c r="Z55">
        <f>Tab_Data_Flows[[#This Row],[Flow_ID]]&amp;"_"&amp;"DM_"&amp;Tab_Data_Flows[[#This Row],[Flow_Data_Year]]</f>
        <v/>
      </c>
      <c r="AA55">
        <f>IF(E55="Yes",Y55*Tab_Data_Flows[[#This Row],[Flow_Material]],"N.A.")</f>
        <v/>
      </c>
      <c r="AB55">
        <f>Tab_Data_Flows[[#This Row],[UoM_Flow_Py]]</f>
        <v/>
      </c>
      <c r="AC55">
        <f>INDEX(Tab_Def_Flows[[Flow_ID]:[CC_DM_source]],MATCH(Tab_Data_Flows[[#This Row],[Flow_Name]],Tab_Def_Flows[Flow_Name],0),17)</f>
        <v/>
      </c>
      <c r="AD55">
        <f>Tab_Data_Flows[[#This Row],[Flow_ID]]&amp;"_"&amp;"CC_"&amp;Tab_Data_Flows[[#This Row],[Flow_Data_Year]]</f>
        <v/>
      </c>
      <c r="AE55">
        <f>IF(F55="Yes",AC55*Tab_Data_Flows[[#This Row],[Flow_Material]]*Tab_Data_Flows[[#This Row],[DM_'[%']]],"N.A.")</f>
        <v/>
      </c>
      <c r="AF55">
        <f>Tab_Data_Flows[[#This Row],[UoM_Flow_Py]]</f>
        <v/>
      </c>
    </row>
    <row r="56">
      <c r="A56">
        <f>ROW()-1</f>
        <v/>
      </c>
      <c r="B56">
        <f>_xlfn.XLOOKUP(C56,Tab_Def_Flows[Flow_Name],Tab_Def_Flows[Flow_ID],,0,)</f>
        <v/>
      </c>
      <c r="C56" t="inlineStr">
        <is>
          <t>Atmosphere_Input_cow-manure_production_C</t>
        </is>
      </c>
      <c r="D56">
        <f>_xlfn.XLOOKUP(C56,Tab_Def_Flows[Flow_Name],Tab_Def_Flows[WC?],,0,)</f>
        <v/>
      </c>
      <c r="E56">
        <f>_xlfn.XLOOKUP(C56,Tab_Def_Flows[Flow_Name],Tab_Def_Flows[DM?],,0,)</f>
        <v/>
      </c>
      <c r="F56">
        <f>_xlfn.XLOOKUP(C56,Tab_Def_Flows[Flow_Name],Tab_Def_Flows[CC?],,0,)</f>
        <v/>
      </c>
      <c r="G56" t="n">
        <v>2027</v>
      </c>
      <c r="H56" t="n">
        <v>1400.276655472623</v>
      </c>
      <c r="I56">
        <f>'0_Configuration'!$C$35</f>
        <v/>
      </c>
      <c r="O56" t="inlineStr">
        <is>
          <t>No</t>
        </is>
      </c>
      <c r="R56">
        <f>Tab_Data_Flows[[#This Row],[Flow_ID]]&amp;"_"&amp;"material_"&amp;Tab_Data_Flows[[#This Row],[Flow_Data_Year]]</f>
        <v/>
      </c>
      <c r="S56">
        <f>IF(O56="no",H56,H56*P56)</f>
        <v/>
      </c>
      <c r="T56">
        <f>Tab_Data_Flows[[#This Row],[UoM_Source]]</f>
        <v/>
      </c>
      <c r="U56">
        <f>INDEX(Tab_Def_Flows[[Flow_ID]:[CC_DM_source]],MATCH(Tab_Data_Flows[[#This Row],[Flow_Name]],Tab_Def_Flows[Flow_Name],0),11)</f>
        <v/>
      </c>
      <c r="V56">
        <f>Tab_Data_Flows[[#This Row],[Flow_ID]]&amp;"_"&amp;"WC_"&amp;Tab_Data_Flows[[#This Row],[Flow_Data_Year]]</f>
        <v/>
      </c>
      <c r="W56">
        <f>IF(D56="Yes",S56*Tab_Data_Flows[[#This Row],[WC_'[%']]],"N.A.")</f>
        <v/>
      </c>
      <c r="X56">
        <f>Tab_Data_Flows[[#This Row],[UoM_Flow_Py]]</f>
        <v/>
      </c>
      <c r="Y56">
        <f>INDEX(Tab_Def_Flows[[Flow_ID]:[CC_DM_source]],MATCH(Tab_Data_Flows[[#This Row],[Flow_Name]],Tab_Def_Flows[Flow_Name],0),14)</f>
        <v/>
      </c>
      <c r="Z56">
        <f>Tab_Data_Flows[[#This Row],[Flow_ID]]&amp;"_"&amp;"DM_"&amp;Tab_Data_Flows[[#This Row],[Flow_Data_Year]]</f>
        <v/>
      </c>
      <c r="AA56">
        <f>IF(E56="Yes",Y56*Tab_Data_Flows[[#This Row],[Flow_Material]],"N.A.")</f>
        <v/>
      </c>
      <c r="AB56">
        <f>Tab_Data_Flows[[#This Row],[UoM_Flow_Py]]</f>
        <v/>
      </c>
      <c r="AC56">
        <f>INDEX(Tab_Def_Flows[[Flow_ID]:[CC_DM_source]],MATCH(Tab_Data_Flows[[#This Row],[Flow_Name]],Tab_Def_Flows[Flow_Name],0),17)</f>
        <v/>
      </c>
      <c r="AD56">
        <f>Tab_Data_Flows[[#This Row],[Flow_ID]]&amp;"_"&amp;"CC_"&amp;Tab_Data_Flows[[#This Row],[Flow_Data_Year]]</f>
        <v/>
      </c>
      <c r="AE56">
        <f>IF(F56="Yes",AC56*Tab_Data_Flows[[#This Row],[Flow_Material]]*Tab_Data_Flows[[#This Row],[DM_'[%']]],"N.A.")</f>
        <v/>
      </c>
      <c r="AF56">
        <f>Tab_Data_Flows[[#This Row],[UoM_Flow_Py]]</f>
        <v/>
      </c>
    </row>
    <row r="57">
      <c r="A57">
        <f>ROW()-1</f>
        <v/>
      </c>
      <c r="B57">
        <f>_xlfn.XLOOKUP(C57,Tab_Def_Flows[Flow_Name],Tab_Def_Flows[Flow_ID],,0,)</f>
        <v/>
      </c>
      <c r="C57" t="inlineStr">
        <is>
          <t>Atmosphere_Input_cow-manure_production_C</t>
        </is>
      </c>
      <c r="D57">
        <f>_xlfn.XLOOKUP(C57,Tab_Def_Flows[Flow_Name],Tab_Def_Flows[WC?],,0,)</f>
        <v/>
      </c>
      <c r="E57">
        <f>_xlfn.XLOOKUP(C57,Tab_Def_Flows[Flow_Name],Tab_Def_Flows[DM?],,0,)</f>
        <v/>
      </c>
      <c r="F57">
        <f>_xlfn.XLOOKUP(C57,Tab_Def_Flows[Flow_Name],Tab_Def_Flows[CC?],,0,)</f>
        <v/>
      </c>
      <c r="G57" t="n">
        <v>2028</v>
      </c>
      <c r="H57" t="n">
        <v>1692.803430422602</v>
      </c>
      <c r="I57">
        <f>'0_Configuration'!$C$35</f>
        <v/>
      </c>
      <c r="O57" t="inlineStr">
        <is>
          <t>No</t>
        </is>
      </c>
      <c r="R57">
        <f>Tab_Data_Flows[[#This Row],[Flow_ID]]&amp;"_"&amp;"material_"&amp;Tab_Data_Flows[[#This Row],[Flow_Data_Year]]</f>
        <v/>
      </c>
      <c r="S57">
        <f>IF(O57="no",H57,H57*P57)</f>
        <v/>
      </c>
      <c r="T57">
        <f>Tab_Data_Flows[[#This Row],[UoM_Source]]</f>
        <v/>
      </c>
      <c r="U57">
        <f>INDEX(Tab_Def_Flows[[Flow_ID]:[CC_DM_source]],MATCH(Tab_Data_Flows[[#This Row],[Flow_Name]],Tab_Def_Flows[Flow_Name],0),11)</f>
        <v/>
      </c>
      <c r="V57">
        <f>Tab_Data_Flows[[#This Row],[Flow_ID]]&amp;"_"&amp;"WC_"&amp;Tab_Data_Flows[[#This Row],[Flow_Data_Year]]</f>
        <v/>
      </c>
      <c r="W57">
        <f>IF(D57="Yes",S57*Tab_Data_Flows[[#This Row],[WC_'[%']]],"N.A.")</f>
        <v/>
      </c>
      <c r="X57">
        <f>Tab_Data_Flows[[#This Row],[UoM_Flow_Py]]</f>
        <v/>
      </c>
      <c r="Y57">
        <f>INDEX(Tab_Def_Flows[[Flow_ID]:[CC_DM_source]],MATCH(Tab_Data_Flows[[#This Row],[Flow_Name]],Tab_Def_Flows[Flow_Name],0),14)</f>
        <v/>
      </c>
      <c r="Z57">
        <f>Tab_Data_Flows[[#This Row],[Flow_ID]]&amp;"_"&amp;"DM_"&amp;Tab_Data_Flows[[#This Row],[Flow_Data_Year]]</f>
        <v/>
      </c>
      <c r="AA57">
        <f>IF(E57="Yes",Y57*Tab_Data_Flows[[#This Row],[Flow_Material]],"N.A.")</f>
        <v/>
      </c>
      <c r="AB57">
        <f>Tab_Data_Flows[[#This Row],[UoM_Flow_Py]]</f>
        <v/>
      </c>
      <c r="AC57">
        <f>INDEX(Tab_Def_Flows[[Flow_ID]:[CC_DM_source]],MATCH(Tab_Data_Flows[[#This Row],[Flow_Name]],Tab_Def_Flows[Flow_Name],0),17)</f>
        <v/>
      </c>
      <c r="AD57">
        <f>Tab_Data_Flows[[#This Row],[Flow_ID]]&amp;"_"&amp;"CC_"&amp;Tab_Data_Flows[[#This Row],[Flow_Data_Year]]</f>
        <v/>
      </c>
      <c r="AE57">
        <f>IF(F57="Yes",AC57*Tab_Data_Flows[[#This Row],[Flow_Material]]*Tab_Data_Flows[[#This Row],[DM_'[%']]],"N.A.")</f>
        <v/>
      </c>
      <c r="AF57">
        <f>Tab_Data_Flows[[#This Row],[UoM_Flow_Py]]</f>
        <v/>
      </c>
    </row>
    <row r="58">
      <c r="A58">
        <f>ROW()-1</f>
        <v/>
      </c>
      <c r="B58">
        <f>_xlfn.XLOOKUP(C58,Tab_Def_Flows[Flow_Name],Tab_Def_Flows[Flow_ID],,0,)</f>
        <v/>
      </c>
      <c r="C58" t="inlineStr">
        <is>
          <t>Atmosphere_Input_cow-manure_production_C</t>
        </is>
      </c>
      <c r="D58">
        <f>_xlfn.XLOOKUP(C58,Tab_Def_Flows[Flow_Name],Tab_Def_Flows[WC?],,0,)</f>
        <v/>
      </c>
      <c r="E58">
        <f>_xlfn.XLOOKUP(C58,Tab_Def_Flows[Flow_Name],Tab_Def_Flows[DM?],,0,)</f>
        <v/>
      </c>
      <c r="F58">
        <f>_xlfn.XLOOKUP(C58,Tab_Def_Flows[Flow_Name],Tab_Def_Flows[CC?],,0,)</f>
        <v/>
      </c>
      <c r="G58" t="n">
        <v>2029</v>
      </c>
      <c r="H58" t="n">
        <v>1105.58424008645</v>
      </c>
      <c r="I58">
        <f>'0_Configuration'!$C$35</f>
        <v/>
      </c>
      <c r="O58" t="inlineStr">
        <is>
          <t>No</t>
        </is>
      </c>
      <c r="R58">
        <f>Tab_Data_Flows[[#This Row],[Flow_ID]]&amp;"_"&amp;"material_"&amp;Tab_Data_Flows[[#This Row],[Flow_Data_Year]]</f>
        <v/>
      </c>
      <c r="S58">
        <f>IF(O58="no",H58,H58*P58)</f>
        <v/>
      </c>
      <c r="T58">
        <f>Tab_Data_Flows[[#This Row],[UoM_Source]]</f>
        <v/>
      </c>
      <c r="U58">
        <f>INDEX(Tab_Def_Flows[[Flow_ID]:[CC_DM_source]],MATCH(Tab_Data_Flows[[#This Row],[Flow_Name]],Tab_Def_Flows[Flow_Name],0),11)</f>
        <v/>
      </c>
      <c r="V58">
        <f>Tab_Data_Flows[[#This Row],[Flow_ID]]&amp;"_"&amp;"WC_"&amp;Tab_Data_Flows[[#This Row],[Flow_Data_Year]]</f>
        <v/>
      </c>
      <c r="W58">
        <f>IF(D58="Yes",S58*Tab_Data_Flows[[#This Row],[WC_'[%']]],"N.A.")</f>
        <v/>
      </c>
      <c r="X58">
        <f>Tab_Data_Flows[[#This Row],[UoM_Flow_Py]]</f>
        <v/>
      </c>
      <c r="Y58">
        <f>INDEX(Tab_Def_Flows[[Flow_ID]:[CC_DM_source]],MATCH(Tab_Data_Flows[[#This Row],[Flow_Name]],Tab_Def_Flows[Flow_Name],0),14)</f>
        <v/>
      </c>
      <c r="Z58">
        <f>Tab_Data_Flows[[#This Row],[Flow_ID]]&amp;"_"&amp;"DM_"&amp;Tab_Data_Flows[[#This Row],[Flow_Data_Year]]</f>
        <v/>
      </c>
      <c r="AA58">
        <f>IF(E58="Yes",Y58*Tab_Data_Flows[[#This Row],[Flow_Material]],"N.A.")</f>
        <v/>
      </c>
      <c r="AB58">
        <f>Tab_Data_Flows[[#This Row],[UoM_Flow_Py]]</f>
        <v/>
      </c>
      <c r="AC58">
        <f>INDEX(Tab_Def_Flows[[Flow_ID]:[CC_DM_source]],MATCH(Tab_Data_Flows[[#This Row],[Flow_Name]],Tab_Def_Flows[Flow_Name],0),17)</f>
        <v/>
      </c>
      <c r="AD58">
        <f>Tab_Data_Flows[[#This Row],[Flow_ID]]&amp;"_"&amp;"CC_"&amp;Tab_Data_Flows[[#This Row],[Flow_Data_Year]]</f>
        <v/>
      </c>
      <c r="AE58">
        <f>IF(F58="Yes",AC58*Tab_Data_Flows[[#This Row],[Flow_Material]]*Tab_Data_Flows[[#This Row],[DM_'[%']]],"N.A.")</f>
        <v/>
      </c>
      <c r="AF58">
        <f>Tab_Data_Flows[[#This Row],[UoM_Flow_Py]]</f>
        <v/>
      </c>
    </row>
    <row r="59">
      <c r="A59">
        <f>ROW()-1</f>
        <v/>
      </c>
      <c r="B59">
        <f>_xlfn.XLOOKUP(C59,Tab_Def_Flows[Flow_Name],Tab_Def_Flows[Flow_ID],,0,)</f>
        <v/>
      </c>
      <c r="C59" t="inlineStr">
        <is>
          <t>Atmosphere_Input_cow-manure_production_C</t>
        </is>
      </c>
      <c r="D59">
        <f>_xlfn.XLOOKUP(C59,Tab_Def_Flows[Flow_Name],Tab_Def_Flows[WC?],,0,)</f>
        <v/>
      </c>
      <c r="E59">
        <f>_xlfn.XLOOKUP(C59,Tab_Def_Flows[Flow_Name],Tab_Def_Flows[DM?],,0,)</f>
        <v/>
      </c>
      <c r="F59">
        <f>_xlfn.XLOOKUP(C59,Tab_Def_Flows[Flow_Name],Tab_Def_Flows[CC?],,0,)</f>
        <v/>
      </c>
      <c r="G59" t="n">
        <v>2030</v>
      </c>
      <c r="H59" t="n">
        <v>1105.58424008645</v>
      </c>
      <c r="I59">
        <f>'0_Configuration'!$C$35</f>
        <v/>
      </c>
      <c r="O59" t="inlineStr">
        <is>
          <t>No</t>
        </is>
      </c>
      <c r="R59">
        <f>Tab_Data_Flows[[#This Row],[Flow_ID]]&amp;"_"&amp;"material_"&amp;Tab_Data_Flows[[#This Row],[Flow_Data_Year]]</f>
        <v/>
      </c>
      <c r="S59">
        <f>IF(O59="no",H59,H59*P59)</f>
        <v/>
      </c>
      <c r="T59">
        <f>Tab_Data_Flows[[#This Row],[UoM_Source]]</f>
        <v/>
      </c>
      <c r="U59">
        <f>INDEX(Tab_Def_Flows[[Flow_ID]:[CC_DM_source]],MATCH(Tab_Data_Flows[[#This Row],[Flow_Name]],Tab_Def_Flows[Flow_Name],0),11)</f>
        <v/>
      </c>
      <c r="V59">
        <f>Tab_Data_Flows[[#This Row],[Flow_ID]]&amp;"_"&amp;"WC_"&amp;Tab_Data_Flows[[#This Row],[Flow_Data_Year]]</f>
        <v/>
      </c>
      <c r="W59">
        <f>IF(D59="Yes",S59*Tab_Data_Flows[[#This Row],[WC_'[%']]],"N.A.")</f>
        <v/>
      </c>
      <c r="X59">
        <f>Tab_Data_Flows[[#This Row],[UoM_Flow_Py]]</f>
        <v/>
      </c>
      <c r="Y59">
        <f>INDEX(Tab_Def_Flows[[Flow_ID]:[CC_DM_source]],MATCH(Tab_Data_Flows[[#This Row],[Flow_Name]],Tab_Def_Flows[Flow_Name],0),14)</f>
        <v/>
      </c>
      <c r="Z59">
        <f>Tab_Data_Flows[[#This Row],[Flow_ID]]&amp;"_"&amp;"DM_"&amp;Tab_Data_Flows[[#This Row],[Flow_Data_Year]]</f>
        <v/>
      </c>
      <c r="AA59">
        <f>IF(E59="Yes",Y59*Tab_Data_Flows[[#This Row],[Flow_Material]],"N.A.")</f>
        <v/>
      </c>
      <c r="AB59">
        <f>Tab_Data_Flows[[#This Row],[UoM_Flow_Py]]</f>
        <v/>
      </c>
      <c r="AC59">
        <f>INDEX(Tab_Def_Flows[[Flow_ID]:[CC_DM_source]],MATCH(Tab_Data_Flows[[#This Row],[Flow_Name]],Tab_Def_Flows[Flow_Name],0),17)</f>
        <v/>
      </c>
      <c r="AD59">
        <f>Tab_Data_Flows[[#This Row],[Flow_ID]]&amp;"_"&amp;"CC_"&amp;Tab_Data_Flows[[#This Row],[Flow_Data_Year]]</f>
        <v/>
      </c>
      <c r="AE59">
        <f>IF(F59="Yes",AC59*Tab_Data_Flows[[#This Row],[Flow_Material]]*Tab_Data_Flows[[#This Row],[DM_'[%']]],"N.A.")</f>
        <v/>
      </c>
      <c r="AF59">
        <f>Tab_Data_Flows[[#This Row],[UoM_Flow_Py]]</f>
        <v/>
      </c>
    </row>
    <row r="60">
      <c r="A60">
        <f>ROW()-1</f>
        <v/>
      </c>
      <c r="B60">
        <f>_xlfn.XLOOKUP(C60,Tab_Def_Flows[Flow_Name],Tab_Def_Flows[Flow_ID],,0,)</f>
        <v/>
      </c>
      <c r="C60" t="inlineStr">
        <is>
          <t>Atmosphere_Input_cow-manure_production_C</t>
        </is>
      </c>
      <c r="D60">
        <f>_xlfn.XLOOKUP(C60,Tab_Def_Flows[Flow_Name],Tab_Def_Flows[WC?],,0,)</f>
        <v/>
      </c>
      <c r="E60">
        <f>_xlfn.XLOOKUP(C60,Tab_Def_Flows[Flow_Name],Tab_Def_Flows[DM?],,0,)</f>
        <v/>
      </c>
      <c r="F60">
        <f>_xlfn.XLOOKUP(C60,Tab_Def_Flows[Flow_Name],Tab_Def_Flows[CC?],,0,)</f>
        <v/>
      </c>
      <c r="G60" t="n">
        <v>2031</v>
      </c>
      <c r="H60" t="n">
        <v>1711.566803667486</v>
      </c>
      <c r="I60">
        <f>'0_Configuration'!$C$35</f>
        <v/>
      </c>
      <c r="O60" t="inlineStr">
        <is>
          <t>No</t>
        </is>
      </c>
      <c r="R60">
        <f>Tab_Data_Flows[[#This Row],[Flow_ID]]&amp;"_"&amp;"material_"&amp;Tab_Data_Flows[[#This Row],[Flow_Data_Year]]</f>
        <v/>
      </c>
      <c r="S60">
        <f>IF(O60="no",H60,H60*P60)</f>
        <v/>
      </c>
      <c r="T60">
        <f>Tab_Data_Flows[[#This Row],[UoM_Source]]</f>
        <v/>
      </c>
      <c r="U60">
        <f>INDEX(Tab_Def_Flows[[Flow_ID]:[CC_DM_source]],MATCH(Tab_Data_Flows[[#This Row],[Flow_Name]],Tab_Def_Flows[Flow_Name],0),11)</f>
        <v/>
      </c>
      <c r="V60">
        <f>Tab_Data_Flows[[#This Row],[Flow_ID]]&amp;"_"&amp;"WC_"&amp;Tab_Data_Flows[[#This Row],[Flow_Data_Year]]</f>
        <v/>
      </c>
      <c r="W60">
        <f>IF(D60="Yes",S60*Tab_Data_Flows[[#This Row],[WC_'[%']]],"N.A.")</f>
        <v/>
      </c>
      <c r="X60">
        <f>Tab_Data_Flows[[#This Row],[UoM_Flow_Py]]</f>
        <v/>
      </c>
      <c r="Y60">
        <f>INDEX(Tab_Def_Flows[[Flow_ID]:[CC_DM_source]],MATCH(Tab_Data_Flows[[#This Row],[Flow_Name]],Tab_Def_Flows[Flow_Name],0),14)</f>
        <v/>
      </c>
      <c r="Z60">
        <f>Tab_Data_Flows[[#This Row],[Flow_ID]]&amp;"_"&amp;"DM_"&amp;Tab_Data_Flows[[#This Row],[Flow_Data_Year]]</f>
        <v/>
      </c>
      <c r="AA60">
        <f>IF(E60="Yes",Y60*Tab_Data_Flows[[#This Row],[Flow_Material]],"N.A.")</f>
        <v/>
      </c>
      <c r="AB60">
        <f>Tab_Data_Flows[[#This Row],[UoM_Flow_Py]]</f>
        <v/>
      </c>
      <c r="AC60">
        <f>INDEX(Tab_Def_Flows[[Flow_ID]:[CC_DM_source]],MATCH(Tab_Data_Flows[[#This Row],[Flow_Name]],Tab_Def_Flows[Flow_Name],0),17)</f>
        <v/>
      </c>
      <c r="AD60">
        <f>Tab_Data_Flows[[#This Row],[Flow_ID]]&amp;"_"&amp;"CC_"&amp;Tab_Data_Flows[[#This Row],[Flow_Data_Year]]</f>
        <v/>
      </c>
      <c r="AE60">
        <f>IF(F60="Yes",AC60*Tab_Data_Flows[[#This Row],[Flow_Material]]*Tab_Data_Flows[[#This Row],[DM_'[%']]],"N.A.")</f>
        <v/>
      </c>
      <c r="AF60">
        <f>Tab_Data_Flows[[#This Row],[UoM_Flow_Py]]</f>
        <v/>
      </c>
    </row>
    <row r="61">
      <c r="A61">
        <f>ROW()-1</f>
        <v/>
      </c>
      <c r="B61">
        <f>_xlfn.XLOOKUP(C61,Tab_Def_Flows[Flow_Name],Tab_Def_Flows[Flow_ID],,0,)</f>
        <v/>
      </c>
      <c r="C61" t="inlineStr">
        <is>
          <t>Atmosphere_Input_cow-manure_production_C</t>
        </is>
      </c>
      <c r="D61">
        <f>_xlfn.XLOOKUP(C61,Tab_Def_Flows[Flow_Name],Tab_Def_Flows[WC?],,0,)</f>
        <v/>
      </c>
      <c r="E61">
        <f>_xlfn.XLOOKUP(C61,Tab_Def_Flows[Flow_Name],Tab_Def_Flows[DM?],,0,)</f>
        <v/>
      </c>
      <c r="F61">
        <f>_xlfn.XLOOKUP(C61,Tab_Def_Flows[Flow_Name],Tab_Def_Flows[CC?],,0,)</f>
        <v/>
      </c>
      <c r="G61" t="n">
        <v>2032</v>
      </c>
      <c r="H61" t="n">
        <v>1440.283142919865</v>
      </c>
      <c r="I61">
        <f>'0_Configuration'!$C$35</f>
        <v/>
      </c>
      <c r="O61" t="inlineStr">
        <is>
          <t>No</t>
        </is>
      </c>
      <c r="R61">
        <f>Tab_Data_Flows[[#This Row],[Flow_ID]]&amp;"_"&amp;"material_"&amp;Tab_Data_Flows[[#This Row],[Flow_Data_Year]]</f>
        <v/>
      </c>
      <c r="S61">
        <f>IF(O61="no",H61,H61*P61)</f>
        <v/>
      </c>
      <c r="T61">
        <f>Tab_Data_Flows[[#This Row],[UoM_Source]]</f>
        <v/>
      </c>
      <c r="U61">
        <f>INDEX(Tab_Def_Flows[[Flow_ID]:[CC_DM_source]],MATCH(Tab_Data_Flows[[#This Row],[Flow_Name]],Tab_Def_Flows[Flow_Name],0),11)</f>
        <v/>
      </c>
      <c r="V61">
        <f>Tab_Data_Flows[[#This Row],[Flow_ID]]&amp;"_"&amp;"WC_"&amp;Tab_Data_Flows[[#This Row],[Flow_Data_Year]]</f>
        <v/>
      </c>
      <c r="W61">
        <f>IF(D61="Yes",S61*Tab_Data_Flows[[#This Row],[WC_'[%']]],"N.A.")</f>
        <v/>
      </c>
      <c r="X61">
        <f>Tab_Data_Flows[[#This Row],[UoM_Flow_Py]]</f>
        <v/>
      </c>
      <c r="Y61">
        <f>INDEX(Tab_Def_Flows[[Flow_ID]:[CC_DM_source]],MATCH(Tab_Data_Flows[[#This Row],[Flow_Name]],Tab_Def_Flows[Flow_Name],0),14)</f>
        <v/>
      </c>
      <c r="Z61">
        <f>Tab_Data_Flows[[#This Row],[Flow_ID]]&amp;"_"&amp;"DM_"&amp;Tab_Data_Flows[[#This Row],[Flow_Data_Year]]</f>
        <v/>
      </c>
      <c r="AA61">
        <f>IF(E61="Yes",Y61*Tab_Data_Flows[[#This Row],[Flow_Material]],"N.A.")</f>
        <v/>
      </c>
      <c r="AB61">
        <f>Tab_Data_Flows[[#This Row],[UoM_Flow_Py]]</f>
        <v/>
      </c>
      <c r="AC61">
        <f>INDEX(Tab_Def_Flows[[Flow_ID]:[CC_DM_source]],MATCH(Tab_Data_Flows[[#This Row],[Flow_Name]],Tab_Def_Flows[Flow_Name],0),17)</f>
        <v/>
      </c>
      <c r="AD61">
        <f>Tab_Data_Flows[[#This Row],[Flow_ID]]&amp;"_"&amp;"CC_"&amp;Tab_Data_Flows[[#This Row],[Flow_Data_Year]]</f>
        <v/>
      </c>
      <c r="AE61">
        <f>IF(F61="Yes",AC61*Tab_Data_Flows[[#This Row],[Flow_Material]]*Tab_Data_Flows[[#This Row],[DM_'[%']]],"N.A.")</f>
        <v/>
      </c>
      <c r="AF61">
        <f>Tab_Data_Flows[[#This Row],[UoM_Flow_Py]]</f>
        <v/>
      </c>
    </row>
    <row r="62">
      <c r="A62">
        <f>ROW()-1</f>
        <v/>
      </c>
      <c r="B62">
        <f>_xlfn.XLOOKUP(C62,Tab_Def_Flows[Flow_Name],Tab_Def_Flows[Flow_ID],,0,)</f>
        <v/>
      </c>
      <c r="C62" t="inlineStr">
        <is>
          <t>Atmosphere_Input_cow-manure_production_C</t>
        </is>
      </c>
      <c r="D62">
        <f>_xlfn.XLOOKUP(C62,Tab_Def_Flows[Flow_Name],Tab_Def_Flows[WC?],,0,)</f>
        <v/>
      </c>
      <c r="E62">
        <f>_xlfn.XLOOKUP(C62,Tab_Def_Flows[Flow_Name],Tab_Def_Flows[DM?],,0,)</f>
        <v/>
      </c>
      <c r="F62">
        <f>_xlfn.XLOOKUP(C62,Tab_Def_Flows[Flow_Name],Tab_Def_Flows[CC?],,0,)</f>
        <v/>
      </c>
      <c r="G62" t="n">
        <v>2033</v>
      </c>
      <c r="H62" t="n">
        <v>1026.943388521768</v>
      </c>
      <c r="I62">
        <f>'0_Configuration'!$C$35</f>
        <v/>
      </c>
      <c r="O62" t="inlineStr">
        <is>
          <t>No</t>
        </is>
      </c>
      <c r="R62">
        <f>Tab_Data_Flows[[#This Row],[Flow_ID]]&amp;"_"&amp;"material_"&amp;Tab_Data_Flows[[#This Row],[Flow_Data_Year]]</f>
        <v/>
      </c>
      <c r="S62">
        <f>IF(O62="no",H62,H62*P62)</f>
        <v/>
      </c>
      <c r="T62">
        <f>Tab_Data_Flows[[#This Row],[UoM_Source]]</f>
        <v/>
      </c>
      <c r="U62">
        <f>INDEX(Tab_Def_Flows[[Flow_ID]:[CC_DM_source]],MATCH(Tab_Data_Flows[[#This Row],[Flow_Name]],Tab_Def_Flows[Flow_Name],0),11)</f>
        <v/>
      </c>
      <c r="V62">
        <f>Tab_Data_Flows[[#This Row],[Flow_ID]]&amp;"_"&amp;"WC_"&amp;Tab_Data_Flows[[#This Row],[Flow_Data_Year]]</f>
        <v/>
      </c>
      <c r="W62">
        <f>IF(D62="Yes",S62*Tab_Data_Flows[[#This Row],[WC_'[%']]],"N.A.")</f>
        <v/>
      </c>
      <c r="X62">
        <f>Tab_Data_Flows[[#This Row],[UoM_Flow_Py]]</f>
        <v/>
      </c>
      <c r="Y62">
        <f>INDEX(Tab_Def_Flows[[Flow_ID]:[CC_DM_source]],MATCH(Tab_Data_Flows[[#This Row],[Flow_Name]],Tab_Def_Flows[Flow_Name],0),14)</f>
        <v/>
      </c>
      <c r="Z62">
        <f>Tab_Data_Flows[[#This Row],[Flow_ID]]&amp;"_"&amp;"DM_"&amp;Tab_Data_Flows[[#This Row],[Flow_Data_Year]]</f>
        <v/>
      </c>
      <c r="AA62">
        <f>IF(E62="Yes",Y62*Tab_Data_Flows[[#This Row],[Flow_Material]],"N.A.")</f>
        <v/>
      </c>
      <c r="AB62">
        <f>Tab_Data_Flows[[#This Row],[UoM_Flow_Py]]</f>
        <v/>
      </c>
      <c r="AC62">
        <f>INDEX(Tab_Def_Flows[[Flow_ID]:[CC_DM_source]],MATCH(Tab_Data_Flows[[#This Row],[Flow_Name]],Tab_Def_Flows[Flow_Name],0),17)</f>
        <v/>
      </c>
      <c r="AD62">
        <f>Tab_Data_Flows[[#This Row],[Flow_ID]]&amp;"_"&amp;"CC_"&amp;Tab_Data_Flows[[#This Row],[Flow_Data_Year]]</f>
        <v/>
      </c>
      <c r="AE62">
        <f>IF(F62="Yes",AC62*Tab_Data_Flows[[#This Row],[Flow_Material]]*Tab_Data_Flows[[#This Row],[DM_'[%']]],"N.A.")</f>
        <v/>
      </c>
      <c r="AF62">
        <f>Tab_Data_Flows[[#This Row],[UoM_Flow_Py]]</f>
        <v/>
      </c>
    </row>
    <row r="63">
      <c r="A63">
        <f>ROW()-1</f>
        <v/>
      </c>
      <c r="B63">
        <f>_xlfn.XLOOKUP(C63,Tab_Def_Flows[Flow_Name],Tab_Def_Flows[Flow_ID],,0,)</f>
        <v/>
      </c>
      <c r="C63" t="inlineStr">
        <is>
          <t>Atmosphere_Input_cow-manure_production_C</t>
        </is>
      </c>
      <c r="D63">
        <f>_xlfn.XLOOKUP(C63,Tab_Def_Flows[Flow_Name],Tab_Def_Flows[WC?],,0,)</f>
        <v/>
      </c>
      <c r="E63">
        <f>_xlfn.XLOOKUP(C63,Tab_Def_Flows[Flow_Name],Tab_Def_Flows[DM?],,0,)</f>
        <v/>
      </c>
      <c r="F63">
        <f>_xlfn.XLOOKUP(C63,Tab_Def_Flows[Flow_Name],Tab_Def_Flows[CC?],,0,)</f>
        <v/>
      </c>
      <c r="G63" t="n">
        <v>2034</v>
      </c>
      <c r="H63" t="n">
        <v>1365.146991908413</v>
      </c>
      <c r="I63">
        <f>'0_Configuration'!$C$35</f>
        <v/>
      </c>
      <c r="O63" t="inlineStr">
        <is>
          <t>No</t>
        </is>
      </c>
      <c r="R63">
        <f>Tab_Data_Flows[[#This Row],[Flow_ID]]&amp;"_"&amp;"material_"&amp;Tab_Data_Flows[[#This Row],[Flow_Data_Year]]</f>
        <v/>
      </c>
      <c r="S63">
        <f>IF(O63="no",H63,H63*P63)</f>
        <v/>
      </c>
      <c r="T63">
        <f>Tab_Data_Flows[[#This Row],[UoM_Source]]</f>
        <v/>
      </c>
      <c r="U63">
        <f>INDEX(Tab_Def_Flows[[Flow_ID]:[CC_DM_source]],MATCH(Tab_Data_Flows[[#This Row],[Flow_Name]],Tab_Def_Flows[Flow_Name],0),11)</f>
        <v/>
      </c>
      <c r="V63">
        <f>Tab_Data_Flows[[#This Row],[Flow_ID]]&amp;"_"&amp;"WC_"&amp;Tab_Data_Flows[[#This Row],[Flow_Data_Year]]</f>
        <v/>
      </c>
      <c r="W63">
        <f>IF(D63="Yes",S63*Tab_Data_Flows[[#This Row],[WC_'[%']]],"N.A.")</f>
        <v/>
      </c>
      <c r="X63">
        <f>Tab_Data_Flows[[#This Row],[UoM_Flow_Py]]</f>
        <v/>
      </c>
      <c r="Y63">
        <f>INDEX(Tab_Def_Flows[[Flow_ID]:[CC_DM_source]],MATCH(Tab_Data_Flows[[#This Row],[Flow_Name]],Tab_Def_Flows[Flow_Name],0),14)</f>
        <v/>
      </c>
      <c r="Z63">
        <f>Tab_Data_Flows[[#This Row],[Flow_ID]]&amp;"_"&amp;"DM_"&amp;Tab_Data_Flows[[#This Row],[Flow_Data_Year]]</f>
        <v/>
      </c>
      <c r="AA63">
        <f>IF(E63="Yes",Y63*Tab_Data_Flows[[#This Row],[Flow_Material]],"N.A.")</f>
        <v/>
      </c>
      <c r="AB63">
        <f>Tab_Data_Flows[[#This Row],[UoM_Flow_Py]]</f>
        <v/>
      </c>
      <c r="AC63">
        <f>INDEX(Tab_Def_Flows[[Flow_ID]:[CC_DM_source]],MATCH(Tab_Data_Flows[[#This Row],[Flow_Name]],Tab_Def_Flows[Flow_Name],0),17)</f>
        <v/>
      </c>
      <c r="AD63">
        <f>Tab_Data_Flows[[#This Row],[Flow_ID]]&amp;"_"&amp;"CC_"&amp;Tab_Data_Flows[[#This Row],[Flow_Data_Year]]</f>
        <v/>
      </c>
      <c r="AE63">
        <f>IF(F63="Yes",AC63*Tab_Data_Flows[[#This Row],[Flow_Material]]*Tab_Data_Flows[[#This Row],[DM_'[%']]],"N.A.")</f>
        <v/>
      </c>
      <c r="AF63">
        <f>Tab_Data_Flows[[#This Row],[UoM_Flow_Py]]</f>
        <v/>
      </c>
    </row>
    <row r="64">
      <c r="A64">
        <f>ROW()-1</f>
        <v/>
      </c>
      <c r="B64">
        <f>_xlfn.XLOOKUP(C64,Tab_Def_Flows[Flow_Name],Tab_Def_Flows[Flow_ID],,0,)</f>
        <v/>
      </c>
      <c r="C64" t="inlineStr">
        <is>
          <t>Atmosphere_Input_cow-manure_production_C</t>
        </is>
      </c>
      <c r="D64">
        <f>_xlfn.XLOOKUP(C64,Tab_Def_Flows[Flow_Name],Tab_Def_Flows[WC?],,0,)</f>
        <v/>
      </c>
      <c r="E64">
        <f>_xlfn.XLOOKUP(C64,Tab_Def_Flows[Flow_Name],Tab_Def_Flows[DM?],,0,)</f>
        <v/>
      </c>
      <c r="F64">
        <f>_xlfn.XLOOKUP(C64,Tab_Def_Flows[Flow_Name],Tab_Def_Flows[CC?],,0,)</f>
        <v/>
      </c>
      <c r="G64" t="n">
        <v>2035</v>
      </c>
      <c r="H64" t="n">
        <v>1028.960244500513</v>
      </c>
      <c r="I64">
        <f>'0_Configuration'!$C$35</f>
        <v/>
      </c>
      <c r="O64" t="inlineStr">
        <is>
          <t>No</t>
        </is>
      </c>
      <c r="R64">
        <f>Tab_Data_Flows[[#This Row],[Flow_ID]]&amp;"_"&amp;"material_"&amp;Tab_Data_Flows[[#This Row],[Flow_Data_Year]]</f>
        <v/>
      </c>
      <c r="S64">
        <f>IF(O64="no",H64,H64*P64)</f>
        <v/>
      </c>
      <c r="T64">
        <f>Tab_Data_Flows[[#This Row],[UoM_Source]]</f>
        <v/>
      </c>
      <c r="U64">
        <f>INDEX(Tab_Def_Flows[[Flow_ID]:[CC_DM_source]],MATCH(Tab_Data_Flows[[#This Row],[Flow_Name]],Tab_Def_Flows[Flow_Name],0),11)</f>
        <v/>
      </c>
      <c r="V64">
        <f>Tab_Data_Flows[[#This Row],[Flow_ID]]&amp;"_"&amp;"WC_"&amp;Tab_Data_Flows[[#This Row],[Flow_Data_Year]]</f>
        <v/>
      </c>
      <c r="W64">
        <f>IF(D64="Yes",S64*Tab_Data_Flows[[#This Row],[WC_'[%']]],"N.A.")</f>
        <v/>
      </c>
      <c r="X64">
        <f>Tab_Data_Flows[[#This Row],[UoM_Flow_Py]]</f>
        <v/>
      </c>
      <c r="Y64">
        <f>INDEX(Tab_Def_Flows[[Flow_ID]:[CC_DM_source]],MATCH(Tab_Data_Flows[[#This Row],[Flow_Name]],Tab_Def_Flows[Flow_Name],0),14)</f>
        <v/>
      </c>
      <c r="Z64">
        <f>Tab_Data_Flows[[#This Row],[Flow_ID]]&amp;"_"&amp;"DM_"&amp;Tab_Data_Flows[[#This Row],[Flow_Data_Year]]</f>
        <v/>
      </c>
      <c r="AA64">
        <f>IF(E64="Yes",Y64*Tab_Data_Flows[[#This Row],[Flow_Material]],"N.A.")</f>
        <v/>
      </c>
      <c r="AB64">
        <f>Tab_Data_Flows[[#This Row],[UoM_Flow_Py]]</f>
        <v/>
      </c>
      <c r="AC64">
        <f>INDEX(Tab_Def_Flows[[Flow_ID]:[CC_DM_source]],MATCH(Tab_Data_Flows[[#This Row],[Flow_Name]],Tab_Def_Flows[Flow_Name],0),17)</f>
        <v/>
      </c>
      <c r="AD64">
        <f>Tab_Data_Flows[[#This Row],[Flow_ID]]&amp;"_"&amp;"CC_"&amp;Tab_Data_Flows[[#This Row],[Flow_Data_Year]]</f>
        <v/>
      </c>
      <c r="AE64">
        <f>IF(F64="Yes",AC64*Tab_Data_Flows[[#This Row],[Flow_Material]]*Tab_Data_Flows[[#This Row],[DM_'[%']]],"N.A.")</f>
        <v/>
      </c>
      <c r="AF64">
        <f>Tab_Data_Flows[[#This Row],[UoM_Flow_Py]]</f>
        <v/>
      </c>
    </row>
    <row r="65">
      <c r="A65">
        <f>ROW()-1</f>
        <v/>
      </c>
      <c r="B65">
        <f>_xlfn.XLOOKUP(C65,Tab_Def_Flows[Flow_Name],Tab_Def_Flows[Flow_ID],,0,)</f>
        <v/>
      </c>
      <c r="C65" t="inlineStr">
        <is>
          <t>Atmosphere_Input_cow-manure_production_C</t>
        </is>
      </c>
      <c r="D65">
        <f>_xlfn.XLOOKUP(C65,Tab_Def_Flows[Flow_Name],Tab_Def_Flows[WC?],,0,)</f>
        <v/>
      </c>
      <c r="E65">
        <f>_xlfn.XLOOKUP(C65,Tab_Def_Flows[Flow_Name],Tab_Def_Flows[DM?],,0,)</f>
        <v/>
      </c>
      <c r="F65">
        <f>_xlfn.XLOOKUP(C65,Tab_Def_Flows[Flow_Name],Tab_Def_Flows[CC?],,0,)</f>
        <v/>
      </c>
      <c r="G65" t="n">
        <v>2036</v>
      </c>
      <c r="H65" t="n">
        <v>1028.183259000505</v>
      </c>
      <c r="I65">
        <f>'0_Configuration'!$C$35</f>
        <v/>
      </c>
      <c r="O65" t="inlineStr">
        <is>
          <t>No</t>
        </is>
      </c>
      <c r="R65">
        <f>Tab_Data_Flows[[#This Row],[Flow_ID]]&amp;"_"&amp;"material_"&amp;Tab_Data_Flows[[#This Row],[Flow_Data_Year]]</f>
        <v/>
      </c>
      <c r="S65">
        <f>IF(O65="no",H65,H65*P65)</f>
        <v/>
      </c>
      <c r="T65">
        <f>Tab_Data_Flows[[#This Row],[UoM_Source]]</f>
        <v/>
      </c>
      <c r="U65">
        <f>INDEX(Tab_Def_Flows[[Flow_ID]:[CC_DM_source]],MATCH(Tab_Data_Flows[[#This Row],[Flow_Name]],Tab_Def_Flows[Flow_Name],0),11)</f>
        <v/>
      </c>
      <c r="V65">
        <f>Tab_Data_Flows[[#This Row],[Flow_ID]]&amp;"_"&amp;"WC_"&amp;Tab_Data_Flows[[#This Row],[Flow_Data_Year]]</f>
        <v/>
      </c>
      <c r="W65">
        <f>IF(D65="Yes",S65*Tab_Data_Flows[[#This Row],[WC_'[%']]],"N.A.")</f>
        <v/>
      </c>
      <c r="X65">
        <f>Tab_Data_Flows[[#This Row],[UoM_Flow_Py]]</f>
        <v/>
      </c>
      <c r="Y65">
        <f>INDEX(Tab_Def_Flows[[Flow_ID]:[CC_DM_source]],MATCH(Tab_Data_Flows[[#This Row],[Flow_Name]],Tab_Def_Flows[Flow_Name],0),14)</f>
        <v/>
      </c>
      <c r="Z65">
        <f>Tab_Data_Flows[[#This Row],[Flow_ID]]&amp;"_"&amp;"DM_"&amp;Tab_Data_Flows[[#This Row],[Flow_Data_Year]]</f>
        <v/>
      </c>
      <c r="AA65">
        <f>IF(E65="Yes",Y65*Tab_Data_Flows[[#This Row],[Flow_Material]],"N.A.")</f>
        <v/>
      </c>
      <c r="AB65">
        <f>Tab_Data_Flows[[#This Row],[UoM_Flow_Py]]</f>
        <v/>
      </c>
      <c r="AC65">
        <f>INDEX(Tab_Def_Flows[[Flow_ID]:[CC_DM_source]],MATCH(Tab_Data_Flows[[#This Row],[Flow_Name]],Tab_Def_Flows[Flow_Name],0),17)</f>
        <v/>
      </c>
      <c r="AD65">
        <f>Tab_Data_Flows[[#This Row],[Flow_ID]]&amp;"_"&amp;"CC_"&amp;Tab_Data_Flows[[#This Row],[Flow_Data_Year]]</f>
        <v/>
      </c>
      <c r="AE65">
        <f>IF(F65="Yes",AC65*Tab_Data_Flows[[#This Row],[Flow_Material]]*Tab_Data_Flows[[#This Row],[DM_'[%']]],"N.A.")</f>
        <v/>
      </c>
      <c r="AF65">
        <f>Tab_Data_Flows[[#This Row],[UoM_Flow_Py]]</f>
        <v/>
      </c>
    </row>
    <row r="66">
      <c r="A66">
        <f>ROW()-1</f>
        <v/>
      </c>
      <c r="B66">
        <f>_xlfn.XLOOKUP(C66,Tab_Def_Flows[Flow_Name],Tab_Def_Flows[Flow_ID],,0,)</f>
        <v/>
      </c>
      <c r="C66" t="inlineStr">
        <is>
          <t>Atmosphere_Input_cow-manure_production_C</t>
        </is>
      </c>
      <c r="D66">
        <f>_xlfn.XLOOKUP(C66,Tab_Def_Flows[Flow_Name],Tab_Def_Flows[WC?],,0,)</f>
        <v/>
      </c>
      <c r="E66">
        <f>_xlfn.XLOOKUP(C66,Tab_Def_Flows[Flow_Name],Tab_Def_Flows[DM?],,0,)</f>
        <v/>
      </c>
      <c r="F66">
        <f>_xlfn.XLOOKUP(C66,Tab_Def_Flows[Flow_Name],Tab_Def_Flows[CC?],,0,)</f>
        <v/>
      </c>
      <c r="G66" t="n">
        <v>2037</v>
      </c>
      <c r="H66" t="n">
        <v>1264.684419917962</v>
      </c>
      <c r="I66">
        <f>'0_Configuration'!$C$35</f>
        <v/>
      </c>
      <c r="O66" t="inlineStr">
        <is>
          <t>No</t>
        </is>
      </c>
      <c r="R66">
        <f>Tab_Data_Flows[[#This Row],[Flow_ID]]&amp;"_"&amp;"material_"&amp;Tab_Data_Flows[[#This Row],[Flow_Data_Year]]</f>
        <v/>
      </c>
      <c r="S66">
        <f>IF(O66="no",H66,H66*P66)</f>
        <v/>
      </c>
      <c r="T66">
        <f>Tab_Data_Flows[[#This Row],[UoM_Source]]</f>
        <v/>
      </c>
      <c r="U66">
        <f>INDEX(Tab_Def_Flows[[Flow_ID]:[CC_DM_source]],MATCH(Tab_Data_Flows[[#This Row],[Flow_Name]],Tab_Def_Flows[Flow_Name],0),11)</f>
        <v/>
      </c>
      <c r="V66">
        <f>Tab_Data_Flows[[#This Row],[Flow_ID]]&amp;"_"&amp;"WC_"&amp;Tab_Data_Flows[[#This Row],[Flow_Data_Year]]</f>
        <v/>
      </c>
      <c r="W66">
        <f>IF(D66="Yes",S66*Tab_Data_Flows[[#This Row],[WC_'[%']]],"N.A.")</f>
        <v/>
      </c>
      <c r="X66">
        <f>Tab_Data_Flows[[#This Row],[UoM_Flow_Py]]</f>
        <v/>
      </c>
      <c r="Y66">
        <f>INDEX(Tab_Def_Flows[[Flow_ID]:[CC_DM_source]],MATCH(Tab_Data_Flows[[#This Row],[Flow_Name]],Tab_Def_Flows[Flow_Name],0),14)</f>
        <v/>
      </c>
      <c r="Z66">
        <f>Tab_Data_Flows[[#This Row],[Flow_ID]]&amp;"_"&amp;"DM_"&amp;Tab_Data_Flows[[#This Row],[Flow_Data_Year]]</f>
        <v/>
      </c>
      <c r="AA66">
        <f>IF(E66="Yes",Y66*Tab_Data_Flows[[#This Row],[Flow_Material]],"N.A.")</f>
        <v/>
      </c>
      <c r="AB66">
        <f>Tab_Data_Flows[[#This Row],[UoM_Flow_Py]]</f>
        <v/>
      </c>
      <c r="AC66">
        <f>INDEX(Tab_Def_Flows[[Flow_ID]:[CC_DM_source]],MATCH(Tab_Data_Flows[[#This Row],[Flow_Name]],Tab_Def_Flows[Flow_Name],0),17)</f>
        <v/>
      </c>
      <c r="AD66">
        <f>Tab_Data_Flows[[#This Row],[Flow_ID]]&amp;"_"&amp;"CC_"&amp;Tab_Data_Flows[[#This Row],[Flow_Data_Year]]</f>
        <v/>
      </c>
      <c r="AE66">
        <f>IF(F66="Yes",AC66*Tab_Data_Flows[[#This Row],[Flow_Material]]*Tab_Data_Flows[[#This Row],[DM_'[%']]],"N.A.")</f>
        <v/>
      </c>
      <c r="AF66">
        <f>Tab_Data_Flows[[#This Row],[UoM_Flow_Py]]</f>
        <v/>
      </c>
    </row>
    <row r="67">
      <c r="A67">
        <f>ROW()-1</f>
        <v/>
      </c>
      <c r="B67">
        <f>_xlfn.XLOOKUP(C67,Tab_Def_Flows[Flow_Name],Tab_Def_Flows[Flow_ID],,0,)</f>
        <v/>
      </c>
      <c r="C67" t="inlineStr">
        <is>
          <t>Atmosphere_Input_cow-manure_production_C</t>
        </is>
      </c>
      <c r="D67">
        <f>_xlfn.XLOOKUP(C67,Tab_Def_Flows[Flow_Name],Tab_Def_Flows[WC?],,0,)</f>
        <v/>
      </c>
      <c r="E67">
        <f>_xlfn.XLOOKUP(C67,Tab_Def_Flows[Flow_Name],Tab_Def_Flows[DM?],,0,)</f>
        <v/>
      </c>
      <c r="F67">
        <f>_xlfn.XLOOKUP(C67,Tab_Def_Flows[Flow_Name],Tab_Def_Flows[CC?],,0,)</f>
        <v/>
      </c>
      <c r="G67" t="n">
        <v>2038</v>
      </c>
      <c r="H67" t="n">
        <v>544.4519246229221</v>
      </c>
      <c r="I67">
        <f>'0_Configuration'!$C$35</f>
        <v/>
      </c>
      <c r="O67" t="inlineStr">
        <is>
          <t>No</t>
        </is>
      </c>
      <c r="R67">
        <f>Tab_Data_Flows[[#This Row],[Flow_ID]]&amp;"_"&amp;"material_"&amp;Tab_Data_Flows[[#This Row],[Flow_Data_Year]]</f>
        <v/>
      </c>
      <c r="S67">
        <f>IF(O67="no",H67,H67*P67)</f>
        <v/>
      </c>
      <c r="T67">
        <f>Tab_Data_Flows[[#This Row],[UoM_Source]]</f>
        <v/>
      </c>
      <c r="U67">
        <f>INDEX(Tab_Def_Flows[[Flow_ID]:[CC_DM_source]],MATCH(Tab_Data_Flows[[#This Row],[Flow_Name]],Tab_Def_Flows[Flow_Name],0),11)</f>
        <v/>
      </c>
      <c r="V67">
        <f>Tab_Data_Flows[[#This Row],[Flow_ID]]&amp;"_"&amp;"WC_"&amp;Tab_Data_Flows[[#This Row],[Flow_Data_Year]]</f>
        <v/>
      </c>
      <c r="W67">
        <f>IF(D67="Yes",S67*Tab_Data_Flows[[#This Row],[WC_'[%']]],"N.A.")</f>
        <v/>
      </c>
      <c r="X67">
        <f>Tab_Data_Flows[[#This Row],[UoM_Flow_Py]]</f>
        <v/>
      </c>
      <c r="Y67">
        <f>INDEX(Tab_Def_Flows[[Flow_ID]:[CC_DM_source]],MATCH(Tab_Data_Flows[[#This Row],[Flow_Name]],Tab_Def_Flows[Flow_Name],0),14)</f>
        <v/>
      </c>
      <c r="Z67">
        <f>Tab_Data_Flows[[#This Row],[Flow_ID]]&amp;"_"&amp;"DM_"&amp;Tab_Data_Flows[[#This Row],[Flow_Data_Year]]</f>
        <v/>
      </c>
      <c r="AA67">
        <f>IF(E67="Yes",Y67*Tab_Data_Flows[[#This Row],[Flow_Material]],"N.A.")</f>
        <v/>
      </c>
      <c r="AB67">
        <f>Tab_Data_Flows[[#This Row],[UoM_Flow_Py]]</f>
        <v/>
      </c>
      <c r="AC67">
        <f>INDEX(Tab_Def_Flows[[Flow_ID]:[CC_DM_source]],MATCH(Tab_Data_Flows[[#This Row],[Flow_Name]],Tab_Def_Flows[Flow_Name],0),17)</f>
        <v/>
      </c>
      <c r="AD67">
        <f>Tab_Data_Flows[[#This Row],[Flow_ID]]&amp;"_"&amp;"CC_"&amp;Tab_Data_Flows[[#This Row],[Flow_Data_Year]]</f>
        <v/>
      </c>
      <c r="AE67">
        <f>IF(F67="Yes",AC67*Tab_Data_Flows[[#This Row],[Flow_Material]]*Tab_Data_Flows[[#This Row],[DM_'[%']]],"N.A.")</f>
        <v/>
      </c>
      <c r="AF67">
        <f>Tab_Data_Flows[[#This Row],[UoM_Flow_Py]]</f>
        <v/>
      </c>
    </row>
    <row r="68">
      <c r="A68">
        <f>ROW()-1</f>
        <v/>
      </c>
      <c r="B68">
        <f>_xlfn.XLOOKUP(C68,Tab_Def_Flows[Flow_Name],Tab_Def_Flows[Flow_ID],,0,)</f>
        <v/>
      </c>
      <c r="C68" t="inlineStr">
        <is>
          <t>Atmosphere_Input_cow-manure_production_C</t>
        </is>
      </c>
      <c r="D68">
        <f>_xlfn.XLOOKUP(C68,Tab_Def_Flows[Flow_Name],Tab_Def_Flows[WC?],,0,)</f>
        <v/>
      </c>
      <c r="E68">
        <f>_xlfn.XLOOKUP(C68,Tab_Def_Flows[Flow_Name],Tab_Def_Flows[DM?],,0,)</f>
        <v/>
      </c>
      <c r="F68">
        <f>_xlfn.XLOOKUP(C68,Tab_Def_Flows[Flow_Name],Tab_Def_Flows[CC?],,0,)</f>
        <v/>
      </c>
      <c r="G68" t="n">
        <v>2039</v>
      </c>
      <c r="H68" t="n">
        <v>607.3877501236042</v>
      </c>
      <c r="I68">
        <f>'0_Configuration'!$C$35</f>
        <v/>
      </c>
      <c r="O68" t="inlineStr">
        <is>
          <t>No</t>
        </is>
      </c>
      <c r="R68">
        <f>Tab_Data_Flows[[#This Row],[Flow_ID]]&amp;"_"&amp;"material_"&amp;Tab_Data_Flows[[#This Row],[Flow_Data_Year]]</f>
        <v/>
      </c>
      <c r="S68">
        <f>IF(O68="no",H68,H68*P68)</f>
        <v/>
      </c>
      <c r="T68">
        <f>Tab_Data_Flows[[#This Row],[UoM_Source]]</f>
        <v/>
      </c>
      <c r="U68">
        <f>INDEX(Tab_Def_Flows[[Flow_ID]:[CC_DM_source]],MATCH(Tab_Data_Flows[[#This Row],[Flow_Name]],Tab_Def_Flows[Flow_Name],0),11)</f>
        <v/>
      </c>
      <c r="V68">
        <f>Tab_Data_Flows[[#This Row],[Flow_ID]]&amp;"_"&amp;"WC_"&amp;Tab_Data_Flows[[#This Row],[Flow_Data_Year]]</f>
        <v/>
      </c>
      <c r="W68">
        <f>IF(D68="Yes",S68*Tab_Data_Flows[[#This Row],[WC_'[%']]],"N.A.")</f>
        <v/>
      </c>
      <c r="X68">
        <f>Tab_Data_Flows[[#This Row],[UoM_Flow_Py]]</f>
        <v/>
      </c>
      <c r="Y68">
        <f>INDEX(Tab_Def_Flows[[Flow_ID]:[CC_DM_source]],MATCH(Tab_Data_Flows[[#This Row],[Flow_Name]],Tab_Def_Flows[Flow_Name],0),14)</f>
        <v/>
      </c>
      <c r="Z68">
        <f>Tab_Data_Flows[[#This Row],[Flow_ID]]&amp;"_"&amp;"DM_"&amp;Tab_Data_Flows[[#This Row],[Flow_Data_Year]]</f>
        <v/>
      </c>
      <c r="AA68">
        <f>IF(E68="Yes",Y68*Tab_Data_Flows[[#This Row],[Flow_Material]],"N.A.")</f>
        <v/>
      </c>
      <c r="AB68">
        <f>Tab_Data_Flows[[#This Row],[UoM_Flow_Py]]</f>
        <v/>
      </c>
      <c r="AC68">
        <f>INDEX(Tab_Def_Flows[[Flow_ID]:[CC_DM_source]],MATCH(Tab_Data_Flows[[#This Row],[Flow_Name]],Tab_Def_Flows[Flow_Name],0),17)</f>
        <v/>
      </c>
      <c r="AD68">
        <f>Tab_Data_Flows[[#This Row],[Flow_ID]]&amp;"_"&amp;"CC_"&amp;Tab_Data_Flows[[#This Row],[Flow_Data_Year]]</f>
        <v/>
      </c>
      <c r="AE68">
        <f>IF(F68="Yes",AC68*Tab_Data_Flows[[#This Row],[Flow_Material]]*Tab_Data_Flows[[#This Row],[DM_'[%']]],"N.A.")</f>
        <v/>
      </c>
      <c r="AF68">
        <f>Tab_Data_Flows[[#This Row],[UoM_Flow_Py]]</f>
        <v/>
      </c>
    </row>
    <row r="69">
      <c r="A69">
        <f>ROW()-1</f>
        <v/>
      </c>
      <c r="B69">
        <f>_xlfn.XLOOKUP(C69,Tab_Def_Flows[Flow_Name],Tab_Def_Flows[Flow_ID],,0,)</f>
        <v/>
      </c>
      <c r="C69" t="inlineStr">
        <is>
          <t>Atmosphere_Input_cow-manure_production_C</t>
        </is>
      </c>
      <c r="D69">
        <f>_xlfn.XLOOKUP(C69,Tab_Def_Flows[Flow_Name],Tab_Def_Flows[WC?],,0,)</f>
        <v/>
      </c>
      <c r="E69">
        <f>_xlfn.XLOOKUP(C69,Tab_Def_Flows[Flow_Name],Tab_Def_Flows[DM?],,0,)</f>
        <v/>
      </c>
      <c r="F69">
        <f>_xlfn.XLOOKUP(C69,Tab_Def_Flows[Flow_Name],Tab_Def_Flows[CC?],,0,)</f>
        <v/>
      </c>
      <c r="G69" t="n">
        <v>2040</v>
      </c>
      <c r="H69" t="n">
        <v>995.9300949469642</v>
      </c>
      <c r="I69">
        <f>'0_Configuration'!$C$35</f>
        <v/>
      </c>
      <c r="O69" t="inlineStr">
        <is>
          <t>No</t>
        </is>
      </c>
      <c r="R69">
        <f>Tab_Data_Flows[[#This Row],[Flow_ID]]&amp;"_"&amp;"material_"&amp;Tab_Data_Flows[[#This Row],[Flow_Data_Year]]</f>
        <v/>
      </c>
      <c r="S69">
        <f>IF(O69="no",H69,H69*P69)</f>
        <v/>
      </c>
      <c r="T69">
        <f>Tab_Data_Flows[[#This Row],[UoM_Source]]</f>
        <v/>
      </c>
      <c r="U69">
        <f>INDEX(Tab_Def_Flows[[Flow_ID]:[CC_DM_source]],MATCH(Tab_Data_Flows[[#This Row],[Flow_Name]],Tab_Def_Flows[Flow_Name],0),11)</f>
        <v/>
      </c>
      <c r="V69">
        <f>Tab_Data_Flows[[#This Row],[Flow_ID]]&amp;"_"&amp;"WC_"&amp;Tab_Data_Flows[[#This Row],[Flow_Data_Year]]</f>
        <v/>
      </c>
      <c r="W69">
        <f>IF(D69="Yes",S69*Tab_Data_Flows[[#This Row],[WC_'[%']]],"N.A.")</f>
        <v/>
      </c>
      <c r="X69">
        <f>Tab_Data_Flows[[#This Row],[UoM_Flow_Py]]</f>
        <v/>
      </c>
      <c r="Y69">
        <f>INDEX(Tab_Def_Flows[[Flow_ID]:[CC_DM_source]],MATCH(Tab_Data_Flows[[#This Row],[Flow_Name]],Tab_Def_Flows[Flow_Name],0),14)</f>
        <v/>
      </c>
      <c r="Z69">
        <f>Tab_Data_Flows[[#This Row],[Flow_ID]]&amp;"_"&amp;"DM_"&amp;Tab_Data_Flows[[#This Row],[Flow_Data_Year]]</f>
        <v/>
      </c>
      <c r="AA69">
        <f>IF(E69="Yes",Y69*Tab_Data_Flows[[#This Row],[Flow_Material]],"N.A.")</f>
        <v/>
      </c>
      <c r="AB69">
        <f>Tab_Data_Flows[[#This Row],[UoM_Flow_Py]]</f>
        <v/>
      </c>
      <c r="AC69">
        <f>INDEX(Tab_Def_Flows[[Flow_ID]:[CC_DM_source]],MATCH(Tab_Data_Flows[[#This Row],[Flow_Name]],Tab_Def_Flows[Flow_Name],0),17)</f>
        <v/>
      </c>
      <c r="AD69">
        <f>Tab_Data_Flows[[#This Row],[Flow_ID]]&amp;"_"&amp;"CC_"&amp;Tab_Data_Flows[[#This Row],[Flow_Data_Year]]</f>
        <v/>
      </c>
      <c r="AE69">
        <f>IF(F69="Yes",AC69*Tab_Data_Flows[[#This Row],[Flow_Material]]*Tab_Data_Flows[[#This Row],[DM_'[%']]],"N.A.")</f>
        <v/>
      </c>
      <c r="AF69">
        <f>Tab_Data_Flows[[#This Row],[UoM_Flow_Py]]</f>
        <v/>
      </c>
    </row>
    <row r="70">
      <c r="A70">
        <f>ROW()-1</f>
        <v/>
      </c>
      <c r="B70">
        <f>_xlfn.XLOOKUP(C70,Tab_Def_Flows[Flow_Name],Tab_Def_Flows[Flow_ID],,0,)</f>
        <v/>
      </c>
      <c r="C70" t="inlineStr">
        <is>
          <t>Atmosphere_Input_cow-manure_production_C</t>
        </is>
      </c>
      <c r="D70">
        <f>_xlfn.XLOOKUP(C70,Tab_Def_Flows[Flow_Name],Tab_Def_Flows[WC?],,0,)</f>
        <v/>
      </c>
      <c r="E70">
        <f>_xlfn.XLOOKUP(C70,Tab_Def_Flows[Flow_Name],Tab_Def_Flows[DM?],,0,)</f>
        <v/>
      </c>
      <c r="F70">
        <f>_xlfn.XLOOKUP(C70,Tab_Def_Flows[Flow_Name],Tab_Def_Flows[CC?],,0,)</f>
        <v/>
      </c>
      <c r="G70" t="n">
        <v>2041</v>
      </c>
      <c r="H70" t="n">
        <v>845.3602240091622</v>
      </c>
      <c r="I70">
        <f>'0_Configuration'!$C$35</f>
        <v/>
      </c>
      <c r="O70" t="inlineStr">
        <is>
          <t>No</t>
        </is>
      </c>
      <c r="R70">
        <f>Tab_Data_Flows[[#This Row],[Flow_ID]]&amp;"_"&amp;"material_"&amp;Tab_Data_Flows[[#This Row],[Flow_Data_Year]]</f>
        <v/>
      </c>
      <c r="S70">
        <f>IF(O70="no",H70,H70*P70)</f>
        <v/>
      </c>
      <c r="T70">
        <f>Tab_Data_Flows[[#This Row],[UoM_Source]]</f>
        <v/>
      </c>
      <c r="U70">
        <f>INDEX(Tab_Def_Flows[[Flow_ID]:[CC_DM_source]],MATCH(Tab_Data_Flows[[#This Row],[Flow_Name]],Tab_Def_Flows[Flow_Name],0),11)</f>
        <v/>
      </c>
      <c r="V70">
        <f>Tab_Data_Flows[[#This Row],[Flow_ID]]&amp;"_"&amp;"WC_"&amp;Tab_Data_Flows[[#This Row],[Flow_Data_Year]]</f>
        <v/>
      </c>
      <c r="W70">
        <f>IF(D70="Yes",S70*Tab_Data_Flows[[#This Row],[WC_'[%']]],"N.A.")</f>
        <v/>
      </c>
      <c r="X70">
        <f>Tab_Data_Flows[[#This Row],[UoM_Flow_Py]]</f>
        <v/>
      </c>
      <c r="Y70">
        <f>INDEX(Tab_Def_Flows[[Flow_ID]:[CC_DM_source]],MATCH(Tab_Data_Flows[[#This Row],[Flow_Name]],Tab_Def_Flows[Flow_Name],0),14)</f>
        <v/>
      </c>
      <c r="Z70">
        <f>Tab_Data_Flows[[#This Row],[Flow_ID]]&amp;"_"&amp;"DM_"&amp;Tab_Data_Flows[[#This Row],[Flow_Data_Year]]</f>
        <v/>
      </c>
      <c r="AA70">
        <f>IF(E70="Yes",Y70*Tab_Data_Flows[[#This Row],[Flow_Material]],"N.A.")</f>
        <v/>
      </c>
      <c r="AB70">
        <f>Tab_Data_Flows[[#This Row],[UoM_Flow_Py]]</f>
        <v/>
      </c>
      <c r="AC70">
        <f>INDEX(Tab_Def_Flows[[Flow_ID]:[CC_DM_source]],MATCH(Tab_Data_Flows[[#This Row],[Flow_Name]],Tab_Def_Flows[Flow_Name],0),17)</f>
        <v/>
      </c>
      <c r="AD70">
        <f>Tab_Data_Flows[[#This Row],[Flow_ID]]&amp;"_"&amp;"CC_"&amp;Tab_Data_Flows[[#This Row],[Flow_Data_Year]]</f>
        <v/>
      </c>
      <c r="AE70">
        <f>IF(F70="Yes",AC70*Tab_Data_Flows[[#This Row],[Flow_Material]]*Tab_Data_Flows[[#This Row],[DM_'[%']]],"N.A.")</f>
        <v/>
      </c>
      <c r="AF70">
        <f>Tab_Data_Flows[[#This Row],[UoM_Flow_Py]]</f>
        <v/>
      </c>
    </row>
    <row r="71">
      <c r="A71">
        <f>ROW()-1</f>
        <v/>
      </c>
      <c r="B71">
        <f>_xlfn.XLOOKUP(C71,Tab_Def_Flows[Flow_Name],Tab_Def_Flows[Flow_ID],,0,)</f>
        <v/>
      </c>
      <c r="C71" t="inlineStr">
        <is>
          <t>Atmosphere_Input_cow-manure_production_C</t>
        </is>
      </c>
      <c r="D71">
        <f>_xlfn.XLOOKUP(C71,Tab_Def_Flows[Flow_Name],Tab_Def_Flows[WC?],,0,)</f>
        <v/>
      </c>
      <c r="E71">
        <f>_xlfn.XLOOKUP(C71,Tab_Def_Flows[Flow_Name],Tab_Def_Flows[DM?],,0,)</f>
        <v/>
      </c>
      <c r="F71">
        <f>_xlfn.XLOOKUP(C71,Tab_Def_Flows[Flow_Name],Tab_Def_Flows[CC?],,0,)</f>
        <v/>
      </c>
      <c r="G71" t="n">
        <v>2042</v>
      </c>
      <c r="H71" t="n">
        <v>1288.837096843756</v>
      </c>
      <c r="I71">
        <f>'0_Configuration'!$C$35</f>
        <v/>
      </c>
      <c r="O71" t="inlineStr">
        <is>
          <t>No</t>
        </is>
      </c>
      <c r="R71">
        <f>Tab_Data_Flows[[#This Row],[Flow_ID]]&amp;"_"&amp;"material_"&amp;Tab_Data_Flows[[#This Row],[Flow_Data_Year]]</f>
        <v/>
      </c>
      <c r="S71">
        <f>IF(O71="no",H71,H71*P71)</f>
        <v/>
      </c>
      <c r="T71">
        <f>Tab_Data_Flows[[#This Row],[UoM_Source]]</f>
        <v/>
      </c>
      <c r="U71">
        <f>INDEX(Tab_Def_Flows[[Flow_ID]:[CC_DM_source]],MATCH(Tab_Data_Flows[[#This Row],[Flow_Name]],Tab_Def_Flows[Flow_Name],0),11)</f>
        <v/>
      </c>
      <c r="V71">
        <f>Tab_Data_Flows[[#This Row],[Flow_ID]]&amp;"_"&amp;"WC_"&amp;Tab_Data_Flows[[#This Row],[Flow_Data_Year]]</f>
        <v/>
      </c>
      <c r="W71">
        <f>IF(D71="Yes",S71*Tab_Data_Flows[[#This Row],[WC_'[%']]],"N.A.")</f>
        <v/>
      </c>
      <c r="X71">
        <f>Tab_Data_Flows[[#This Row],[UoM_Flow_Py]]</f>
        <v/>
      </c>
      <c r="Y71">
        <f>INDEX(Tab_Def_Flows[[Flow_ID]:[CC_DM_source]],MATCH(Tab_Data_Flows[[#This Row],[Flow_Name]],Tab_Def_Flows[Flow_Name],0),14)</f>
        <v/>
      </c>
      <c r="Z71">
        <f>Tab_Data_Flows[[#This Row],[Flow_ID]]&amp;"_"&amp;"DM_"&amp;Tab_Data_Flows[[#This Row],[Flow_Data_Year]]</f>
        <v/>
      </c>
      <c r="AA71">
        <f>IF(E71="Yes",Y71*Tab_Data_Flows[[#This Row],[Flow_Material]],"N.A.")</f>
        <v/>
      </c>
      <c r="AB71">
        <f>Tab_Data_Flows[[#This Row],[UoM_Flow_Py]]</f>
        <v/>
      </c>
      <c r="AC71">
        <f>INDEX(Tab_Def_Flows[[Flow_ID]:[CC_DM_source]],MATCH(Tab_Data_Flows[[#This Row],[Flow_Name]],Tab_Def_Flows[Flow_Name],0),17)</f>
        <v/>
      </c>
      <c r="AD71">
        <f>Tab_Data_Flows[[#This Row],[Flow_ID]]&amp;"_"&amp;"CC_"&amp;Tab_Data_Flows[[#This Row],[Flow_Data_Year]]</f>
        <v/>
      </c>
      <c r="AE71">
        <f>IF(F71="Yes",AC71*Tab_Data_Flows[[#This Row],[Flow_Material]]*Tab_Data_Flows[[#This Row],[DM_'[%']]],"N.A.")</f>
        <v/>
      </c>
      <c r="AF71">
        <f>Tab_Data_Flows[[#This Row],[UoM_Flow_Py]]</f>
        <v/>
      </c>
    </row>
    <row r="72">
      <c r="A72">
        <f>ROW()-1</f>
        <v/>
      </c>
      <c r="B72">
        <f>_xlfn.XLOOKUP(C72,Tab_Def_Flows[Flow_Name],Tab_Def_Flows[Flow_ID],,0,)</f>
        <v/>
      </c>
      <c r="C72" t="inlineStr">
        <is>
          <t>Atmosphere_Input_cow-manure_production_C</t>
        </is>
      </c>
      <c r="D72">
        <f>_xlfn.XLOOKUP(C72,Tab_Def_Flows[Flow_Name],Tab_Def_Flows[WC?],,0,)</f>
        <v/>
      </c>
      <c r="E72">
        <f>_xlfn.XLOOKUP(C72,Tab_Def_Flows[Flow_Name],Tab_Def_Flows[DM?],,0,)</f>
        <v/>
      </c>
      <c r="F72">
        <f>_xlfn.XLOOKUP(C72,Tab_Def_Flows[Flow_Name],Tab_Def_Flows[CC?],,0,)</f>
        <v/>
      </c>
      <c r="G72" t="n">
        <v>2043</v>
      </c>
      <c r="H72" t="n">
        <v>880.3906979350736</v>
      </c>
      <c r="I72">
        <f>'0_Configuration'!$C$35</f>
        <v/>
      </c>
      <c r="O72" t="inlineStr">
        <is>
          <t>No</t>
        </is>
      </c>
      <c r="R72">
        <f>Tab_Data_Flows[[#This Row],[Flow_ID]]&amp;"_"&amp;"material_"&amp;Tab_Data_Flows[[#This Row],[Flow_Data_Year]]</f>
        <v/>
      </c>
      <c r="S72">
        <f>IF(O72="no",H72,H72*P72)</f>
        <v/>
      </c>
      <c r="T72">
        <f>Tab_Data_Flows[[#This Row],[UoM_Source]]</f>
        <v/>
      </c>
      <c r="U72">
        <f>INDEX(Tab_Def_Flows[[Flow_ID]:[CC_DM_source]],MATCH(Tab_Data_Flows[[#This Row],[Flow_Name]],Tab_Def_Flows[Flow_Name],0),11)</f>
        <v/>
      </c>
      <c r="V72">
        <f>Tab_Data_Flows[[#This Row],[Flow_ID]]&amp;"_"&amp;"WC_"&amp;Tab_Data_Flows[[#This Row],[Flow_Data_Year]]</f>
        <v/>
      </c>
      <c r="W72">
        <f>IF(D72="Yes",S72*Tab_Data_Flows[[#This Row],[WC_'[%']]],"N.A.")</f>
        <v/>
      </c>
      <c r="X72">
        <f>Tab_Data_Flows[[#This Row],[UoM_Flow_Py]]</f>
        <v/>
      </c>
      <c r="Y72">
        <f>INDEX(Tab_Def_Flows[[Flow_ID]:[CC_DM_source]],MATCH(Tab_Data_Flows[[#This Row],[Flow_Name]],Tab_Def_Flows[Flow_Name],0),14)</f>
        <v/>
      </c>
      <c r="Z72">
        <f>Tab_Data_Flows[[#This Row],[Flow_ID]]&amp;"_"&amp;"DM_"&amp;Tab_Data_Flows[[#This Row],[Flow_Data_Year]]</f>
        <v/>
      </c>
      <c r="AA72">
        <f>IF(E72="Yes",Y72*Tab_Data_Flows[[#This Row],[Flow_Material]],"N.A.")</f>
        <v/>
      </c>
      <c r="AB72">
        <f>Tab_Data_Flows[[#This Row],[UoM_Flow_Py]]</f>
        <v/>
      </c>
      <c r="AC72">
        <f>INDEX(Tab_Def_Flows[[Flow_ID]:[CC_DM_source]],MATCH(Tab_Data_Flows[[#This Row],[Flow_Name]],Tab_Def_Flows[Flow_Name],0),17)</f>
        <v/>
      </c>
      <c r="AD72">
        <f>Tab_Data_Flows[[#This Row],[Flow_ID]]&amp;"_"&amp;"CC_"&amp;Tab_Data_Flows[[#This Row],[Flow_Data_Year]]</f>
        <v/>
      </c>
      <c r="AE72">
        <f>IF(F72="Yes",AC72*Tab_Data_Flows[[#This Row],[Flow_Material]]*Tab_Data_Flows[[#This Row],[DM_'[%']]],"N.A.")</f>
        <v/>
      </c>
      <c r="AF72">
        <f>Tab_Data_Flows[[#This Row],[UoM_Flow_Py]]</f>
        <v/>
      </c>
    </row>
    <row r="73">
      <c r="A73">
        <f>ROW()-1</f>
        <v/>
      </c>
      <c r="B73">
        <f>_xlfn.XLOOKUP(C73,Tab_Def_Flows[Flow_Name],Tab_Def_Flows[Flow_ID],,0,)</f>
        <v/>
      </c>
      <c r="C73" t="inlineStr">
        <is>
          <t>Atmosphere_Input_cow-manure_production_C</t>
        </is>
      </c>
      <c r="D73">
        <f>_xlfn.XLOOKUP(C73,Tab_Def_Flows[Flow_Name],Tab_Def_Flows[WC?],,0,)</f>
        <v/>
      </c>
      <c r="E73">
        <f>_xlfn.XLOOKUP(C73,Tab_Def_Flows[Flow_Name],Tab_Def_Flows[DM?],,0,)</f>
        <v/>
      </c>
      <c r="F73">
        <f>_xlfn.XLOOKUP(C73,Tab_Def_Flows[Flow_Name],Tab_Def_Flows[CC?],,0,)</f>
        <v/>
      </c>
      <c r="G73" t="n">
        <v>2044</v>
      </c>
      <c r="H73" t="n">
        <v>711.867502465162</v>
      </c>
      <c r="I73">
        <f>'0_Configuration'!$C$35</f>
        <v/>
      </c>
      <c r="O73" t="inlineStr">
        <is>
          <t>No</t>
        </is>
      </c>
      <c r="R73">
        <f>Tab_Data_Flows[[#This Row],[Flow_ID]]&amp;"_"&amp;"material_"&amp;Tab_Data_Flows[[#This Row],[Flow_Data_Year]]</f>
        <v/>
      </c>
      <c r="S73">
        <f>IF(O73="no",H73,H73*P73)</f>
        <v/>
      </c>
      <c r="T73">
        <f>Tab_Data_Flows[[#This Row],[UoM_Source]]</f>
        <v/>
      </c>
      <c r="U73">
        <f>INDEX(Tab_Def_Flows[[Flow_ID]:[CC_DM_source]],MATCH(Tab_Data_Flows[[#This Row],[Flow_Name]],Tab_Def_Flows[Flow_Name],0),11)</f>
        <v/>
      </c>
      <c r="V73">
        <f>Tab_Data_Flows[[#This Row],[Flow_ID]]&amp;"_"&amp;"WC_"&amp;Tab_Data_Flows[[#This Row],[Flow_Data_Year]]</f>
        <v/>
      </c>
      <c r="W73">
        <f>IF(D73="Yes",S73*Tab_Data_Flows[[#This Row],[WC_'[%']]],"N.A.")</f>
        <v/>
      </c>
      <c r="X73">
        <f>Tab_Data_Flows[[#This Row],[UoM_Flow_Py]]</f>
        <v/>
      </c>
      <c r="Y73">
        <f>INDEX(Tab_Def_Flows[[Flow_ID]:[CC_DM_source]],MATCH(Tab_Data_Flows[[#This Row],[Flow_Name]],Tab_Def_Flows[Flow_Name],0),14)</f>
        <v/>
      </c>
      <c r="Z73">
        <f>Tab_Data_Flows[[#This Row],[Flow_ID]]&amp;"_"&amp;"DM_"&amp;Tab_Data_Flows[[#This Row],[Flow_Data_Year]]</f>
        <v/>
      </c>
      <c r="AA73">
        <f>IF(E73="Yes",Y73*Tab_Data_Flows[[#This Row],[Flow_Material]],"N.A.")</f>
        <v/>
      </c>
      <c r="AB73">
        <f>Tab_Data_Flows[[#This Row],[UoM_Flow_Py]]</f>
        <v/>
      </c>
      <c r="AC73">
        <f>INDEX(Tab_Def_Flows[[Flow_ID]:[CC_DM_source]],MATCH(Tab_Data_Flows[[#This Row],[Flow_Name]],Tab_Def_Flows[Flow_Name],0),17)</f>
        <v/>
      </c>
      <c r="AD73">
        <f>Tab_Data_Flows[[#This Row],[Flow_ID]]&amp;"_"&amp;"CC_"&amp;Tab_Data_Flows[[#This Row],[Flow_Data_Year]]</f>
        <v/>
      </c>
      <c r="AE73">
        <f>IF(F73="Yes",AC73*Tab_Data_Flows[[#This Row],[Flow_Material]]*Tab_Data_Flows[[#This Row],[DM_'[%']]],"N.A.")</f>
        <v/>
      </c>
      <c r="AF73">
        <f>Tab_Data_Flows[[#This Row],[UoM_Flow_Py]]</f>
        <v/>
      </c>
    </row>
    <row r="74">
      <c r="A74">
        <f>ROW()-1</f>
        <v/>
      </c>
      <c r="B74">
        <f>_xlfn.XLOOKUP(C74,Tab_Def_Flows[Flow_Name],Tab_Def_Flows[Flow_ID],,0,)</f>
        <v/>
      </c>
      <c r="C74" t="inlineStr">
        <is>
          <t>Atmosphere_Input_cow-manure_production_C</t>
        </is>
      </c>
      <c r="D74">
        <f>_xlfn.XLOOKUP(C74,Tab_Def_Flows[Flow_Name],Tab_Def_Flows[WC?],,0,)</f>
        <v/>
      </c>
      <c r="E74">
        <f>_xlfn.XLOOKUP(C74,Tab_Def_Flows[Flow_Name],Tab_Def_Flows[DM?],,0,)</f>
        <v/>
      </c>
      <c r="F74">
        <f>_xlfn.XLOOKUP(C74,Tab_Def_Flows[Flow_Name],Tab_Def_Flows[CC?],,0,)</f>
        <v/>
      </c>
      <c r="G74" t="n">
        <v>2045</v>
      </c>
      <c r="H74" t="n">
        <v>1673.626767018139</v>
      </c>
      <c r="I74">
        <f>'0_Configuration'!$C$35</f>
        <v/>
      </c>
      <c r="O74" t="inlineStr">
        <is>
          <t>No</t>
        </is>
      </c>
      <c r="R74">
        <f>Tab_Data_Flows[[#This Row],[Flow_ID]]&amp;"_"&amp;"material_"&amp;Tab_Data_Flows[[#This Row],[Flow_Data_Year]]</f>
        <v/>
      </c>
      <c r="S74">
        <f>IF(O74="no",H74,H74*P74)</f>
        <v/>
      </c>
      <c r="T74">
        <f>Tab_Data_Flows[[#This Row],[UoM_Source]]</f>
        <v/>
      </c>
      <c r="U74">
        <f>INDEX(Tab_Def_Flows[[Flow_ID]:[CC_DM_source]],MATCH(Tab_Data_Flows[[#This Row],[Flow_Name]],Tab_Def_Flows[Flow_Name],0),11)</f>
        <v/>
      </c>
      <c r="V74">
        <f>Tab_Data_Flows[[#This Row],[Flow_ID]]&amp;"_"&amp;"WC_"&amp;Tab_Data_Flows[[#This Row],[Flow_Data_Year]]</f>
        <v/>
      </c>
      <c r="W74">
        <f>IF(D74="Yes",S74*Tab_Data_Flows[[#This Row],[WC_'[%']]],"N.A.")</f>
        <v/>
      </c>
      <c r="X74">
        <f>Tab_Data_Flows[[#This Row],[UoM_Flow_Py]]</f>
        <v/>
      </c>
      <c r="Y74">
        <f>INDEX(Tab_Def_Flows[[Flow_ID]:[CC_DM_source]],MATCH(Tab_Data_Flows[[#This Row],[Flow_Name]],Tab_Def_Flows[Flow_Name],0),14)</f>
        <v/>
      </c>
      <c r="Z74">
        <f>Tab_Data_Flows[[#This Row],[Flow_ID]]&amp;"_"&amp;"DM_"&amp;Tab_Data_Flows[[#This Row],[Flow_Data_Year]]</f>
        <v/>
      </c>
      <c r="AA74">
        <f>IF(E74="Yes",Y74*Tab_Data_Flows[[#This Row],[Flow_Material]],"N.A.")</f>
        <v/>
      </c>
      <c r="AB74">
        <f>Tab_Data_Flows[[#This Row],[UoM_Flow_Py]]</f>
        <v/>
      </c>
      <c r="AC74">
        <f>INDEX(Tab_Def_Flows[[Flow_ID]:[CC_DM_source]],MATCH(Tab_Data_Flows[[#This Row],[Flow_Name]],Tab_Def_Flows[Flow_Name],0),17)</f>
        <v/>
      </c>
      <c r="AD74">
        <f>Tab_Data_Flows[[#This Row],[Flow_ID]]&amp;"_"&amp;"CC_"&amp;Tab_Data_Flows[[#This Row],[Flow_Data_Year]]</f>
        <v/>
      </c>
      <c r="AE74">
        <f>IF(F74="Yes",AC74*Tab_Data_Flows[[#This Row],[Flow_Material]]*Tab_Data_Flows[[#This Row],[DM_'[%']]],"N.A.")</f>
        <v/>
      </c>
      <c r="AF74">
        <f>Tab_Data_Flows[[#This Row],[UoM_Flow_Py]]</f>
        <v/>
      </c>
    </row>
    <row r="75">
      <c r="A75">
        <f>ROW()-1</f>
        <v/>
      </c>
      <c r="B75">
        <f>_xlfn.XLOOKUP(C75,Tab_Def_Flows[Flow_Name],Tab_Def_Flows[Flow_ID],,0,)</f>
        <v/>
      </c>
      <c r="C75" t="inlineStr">
        <is>
          <t>Atmosphere_Input_cow-manure_production_C</t>
        </is>
      </c>
      <c r="D75">
        <f>_xlfn.XLOOKUP(C75,Tab_Def_Flows[Flow_Name],Tab_Def_Flows[WC?],,0,)</f>
        <v/>
      </c>
      <c r="E75">
        <f>_xlfn.XLOOKUP(C75,Tab_Def_Flows[Flow_Name],Tab_Def_Flows[DM?],,0,)</f>
        <v/>
      </c>
      <c r="F75">
        <f>_xlfn.XLOOKUP(C75,Tab_Def_Flows[Flow_Name],Tab_Def_Flows[CC?],,0,)</f>
        <v/>
      </c>
      <c r="G75" t="n">
        <v>2046</v>
      </c>
      <c r="H75" t="n">
        <v>1108.378081565204</v>
      </c>
      <c r="I75">
        <f>'0_Configuration'!$C$35</f>
        <v/>
      </c>
      <c r="O75" t="inlineStr">
        <is>
          <t>No</t>
        </is>
      </c>
      <c r="R75">
        <f>Tab_Data_Flows[[#This Row],[Flow_ID]]&amp;"_"&amp;"material_"&amp;Tab_Data_Flows[[#This Row],[Flow_Data_Year]]</f>
        <v/>
      </c>
      <c r="S75">
        <f>IF(O75="no",H75,H75*P75)</f>
        <v/>
      </c>
      <c r="T75">
        <f>Tab_Data_Flows[[#This Row],[UoM_Source]]</f>
        <v/>
      </c>
      <c r="U75">
        <f>INDEX(Tab_Def_Flows[[Flow_ID]:[CC_DM_source]],MATCH(Tab_Data_Flows[[#This Row],[Flow_Name]],Tab_Def_Flows[Flow_Name],0),11)</f>
        <v/>
      </c>
      <c r="V75">
        <f>Tab_Data_Flows[[#This Row],[Flow_ID]]&amp;"_"&amp;"WC_"&amp;Tab_Data_Flows[[#This Row],[Flow_Data_Year]]</f>
        <v/>
      </c>
      <c r="W75">
        <f>IF(D75="Yes",S75*Tab_Data_Flows[[#This Row],[WC_'[%']]],"N.A.")</f>
        <v/>
      </c>
      <c r="X75">
        <f>Tab_Data_Flows[[#This Row],[UoM_Flow_Py]]</f>
        <v/>
      </c>
      <c r="Y75">
        <f>INDEX(Tab_Def_Flows[[Flow_ID]:[CC_DM_source]],MATCH(Tab_Data_Flows[[#This Row],[Flow_Name]],Tab_Def_Flows[Flow_Name],0),14)</f>
        <v/>
      </c>
      <c r="Z75">
        <f>Tab_Data_Flows[[#This Row],[Flow_ID]]&amp;"_"&amp;"DM_"&amp;Tab_Data_Flows[[#This Row],[Flow_Data_Year]]</f>
        <v/>
      </c>
      <c r="AA75">
        <f>IF(E75="Yes",Y75*Tab_Data_Flows[[#This Row],[Flow_Material]],"N.A.")</f>
        <v/>
      </c>
      <c r="AB75">
        <f>Tab_Data_Flows[[#This Row],[UoM_Flow_Py]]</f>
        <v/>
      </c>
      <c r="AC75">
        <f>INDEX(Tab_Def_Flows[[Flow_ID]:[CC_DM_source]],MATCH(Tab_Data_Flows[[#This Row],[Flow_Name]],Tab_Def_Flows[Flow_Name],0),17)</f>
        <v/>
      </c>
      <c r="AD75">
        <f>Tab_Data_Flows[[#This Row],[Flow_ID]]&amp;"_"&amp;"CC_"&amp;Tab_Data_Flows[[#This Row],[Flow_Data_Year]]</f>
        <v/>
      </c>
      <c r="AE75">
        <f>IF(F75="Yes",AC75*Tab_Data_Flows[[#This Row],[Flow_Material]]*Tab_Data_Flows[[#This Row],[DM_'[%']]],"N.A.")</f>
        <v/>
      </c>
      <c r="AF75">
        <f>Tab_Data_Flows[[#This Row],[UoM_Flow_Py]]</f>
        <v/>
      </c>
    </row>
    <row r="76">
      <c r="A76">
        <f>ROW()-1</f>
        <v/>
      </c>
      <c r="B76">
        <f>_xlfn.XLOOKUP(C76,Tab_Def_Flows[Flow_Name],Tab_Def_Flows[Flow_ID],,0,)</f>
        <v/>
      </c>
      <c r="C76" t="inlineStr">
        <is>
          <t>Atmosphere_Input_cow-manure_production_C</t>
        </is>
      </c>
      <c r="D76">
        <f>_xlfn.XLOOKUP(C76,Tab_Def_Flows[Flow_Name],Tab_Def_Flows[WC?],,0,)</f>
        <v/>
      </c>
      <c r="E76">
        <f>_xlfn.XLOOKUP(C76,Tab_Def_Flows[Flow_Name],Tab_Def_Flows[DM?],,0,)</f>
        <v/>
      </c>
      <c r="F76">
        <f>_xlfn.XLOOKUP(C76,Tab_Def_Flows[Flow_Name],Tab_Def_Flows[CC?],,0,)</f>
        <v/>
      </c>
      <c r="G76" t="n">
        <v>2047</v>
      </c>
      <c r="H76" t="n">
        <v>1206.393975810947</v>
      </c>
      <c r="I76">
        <f>'0_Configuration'!$C$35</f>
        <v/>
      </c>
      <c r="O76" t="inlineStr">
        <is>
          <t>No</t>
        </is>
      </c>
      <c r="R76">
        <f>Tab_Data_Flows[[#This Row],[Flow_ID]]&amp;"_"&amp;"material_"&amp;Tab_Data_Flows[[#This Row],[Flow_Data_Year]]</f>
        <v/>
      </c>
      <c r="S76">
        <f>IF(O76="no",H76,H76*P76)</f>
        <v/>
      </c>
      <c r="T76">
        <f>Tab_Data_Flows[[#This Row],[UoM_Source]]</f>
        <v/>
      </c>
      <c r="U76">
        <f>INDEX(Tab_Def_Flows[[Flow_ID]:[CC_DM_source]],MATCH(Tab_Data_Flows[[#This Row],[Flow_Name]],Tab_Def_Flows[Flow_Name],0),11)</f>
        <v/>
      </c>
      <c r="V76">
        <f>Tab_Data_Flows[[#This Row],[Flow_ID]]&amp;"_"&amp;"WC_"&amp;Tab_Data_Flows[[#This Row],[Flow_Data_Year]]</f>
        <v/>
      </c>
      <c r="W76">
        <f>IF(D76="Yes",S76*Tab_Data_Flows[[#This Row],[WC_'[%']]],"N.A.")</f>
        <v/>
      </c>
      <c r="X76">
        <f>Tab_Data_Flows[[#This Row],[UoM_Flow_Py]]</f>
        <v/>
      </c>
      <c r="Y76">
        <f>INDEX(Tab_Def_Flows[[Flow_ID]:[CC_DM_source]],MATCH(Tab_Data_Flows[[#This Row],[Flow_Name]],Tab_Def_Flows[Flow_Name],0),14)</f>
        <v/>
      </c>
      <c r="Z76">
        <f>Tab_Data_Flows[[#This Row],[Flow_ID]]&amp;"_"&amp;"DM_"&amp;Tab_Data_Flows[[#This Row],[Flow_Data_Year]]</f>
        <v/>
      </c>
      <c r="AA76">
        <f>IF(E76="Yes",Y76*Tab_Data_Flows[[#This Row],[Flow_Material]],"N.A.")</f>
        <v/>
      </c>
      <c r="AB76">
        <f>Tab_Data_Flows[[#This Row],[UoM_Flow_Py]]</f>
        <v/>
      </c>
      <c r="AC76">
        <f>INDEX(Tab_Def_Flows[[Flow_ID]:[CC_DM_source]],MATCH(Tab_Data_Flows[[#This Row],[Flow_Name]],Tab_Def_Flows[Flow_Name],0),17)</f>
        <v/>
      </c>
      <c r="AD76">
        <f>Tab_Data_Flows[[#This Row],[Flow_ID]]&amp;"_"&amp;"CC_"&amp;Tab_Data_Flows[[#This Row],[Flow_Data_Year]]</f>
        <v/>
      </c>
      <c r="AE76">
        <f>IF(F76="Yes",AC76*Tab_Data_Flows[[#This Row],[Flow_Material]]*Tab_Data_Flows[[#This Row],[DM_'[%']]],"N.A.")</f>
        <v/>
      </c>
      <c r="AF76">
        <f>Tab_Data_Flows[[#This Row],[UoM_Flow_Py]]</f>
        <v/>
      </c>
    </row>
    <row r="77">
      <c r="A77">
        <f>ROW()-1</f>
        <v/>
      </c>
      <c r="B77">
        <f>_xlfn.XLOOKUP(C77,Tab_Def_Flows[Flow_Name],Tab_Def_Flows[Flow_ID],,0,)</f>
        <v/>
      </c>
      <c r="C77" t="inlineStr">
        <is>
          <t>Atmosphere_Input_cow-manure_production_C</t>
        </is>
      </c>
      <c r="D77">
        <f>_xlfn.XLOOKUP(C77,Tab_Def_Flows[Flow_Name],Tab_Def_Flows[WC?],,0,)</f>
        <v/>
      </c>
      <c r="E77">
        <f>_xlfn.XLOOKUP(C77,Tab_Def_Flows[Flow_Name],Tab_Def_Flows[DM?],,0,)</f>
        <v/>
      </c>
      <c r="F77">
        <f>_xlfn.XLOOKUP(C77,Tab_Def_Flows[Flow_Name],Tab_Def_Flows[CC?],,0,)</f>
        <v/>
      </c>
      <c r="G77" t="n">
        <v>2048</v>
      </c>
      <c r="H77" t="n">
        <v>707.7015376566063</v>
      </c>
      <c r="I77">
        <f>'0_Configuration'!$C$35</f>
        <v/>
      </c>
      <c r="O77" t="inlineStr">
        <is>
          <t>No</t>
        </is>
      </c>
      <c r="R77">
        <f>Tab_Data_Flows[[#This Row],[Flow_ID]]&amp;"_"&amp;"material_"&amp;Tab_Data_Flows[[#This Row],[Flow_Data_Year]]</f>
        <v/>
      </c>
      <c r="S77">
        <f>IF(O77="no",H77,H77*P77)</f>
        <v/>
      </c>
      <c r="T77">
        <f>Tab_Data_Flows[[#This Row],[UoM_Source]]</f>
        <v/>
      </c>
      <c r="U77">
        <f>INDEX(Tab_Def_Flows[[Flow_ID]:[CC_DM_source]],MATCH(Tab_Data_Flows[[#This Row],[Flow_Name]],Tab_Def_Flows[Flow_Name],0),11)</f>
        <v/>
      </c>
      <c r="V77">
        <f>Tab_Data_Flows[[#This Row],[Flow_ID]]&amp;"_"&amp;"WC_"&amp;Tab_Data_Flows[[#This Row],[Flow_Data_Year]]</f>
        <v/>
      </c>
      <c r="W77">
        <f>IF(D77="Yes",S77*Tab_Data_Flows[[#This Row],[WC_'[%']]],"N.A.")</f>
        <v/>
      </c>
      <c r="X77">
        <f>Tab_Data_Flows[[#This Row],[UoM_Flow_Py]]</f>
        <v/>
      </c>
      <c r="Y77">
        <f>INDEX(Tab_Def_Flows[[Flow_ID]:[CC_DM_source]],MATCH(Tab_Data_Flows[[#This Row],[Flow_Name]],Tab_Def_Flows[Flow_Name],0),14)</f>
        <v/>
      </c>
      <c r="Z77">
        <f>Tab_Data_Flows[[#This Row],[Flow_ID]]&amp;"_"&amp;"DM_"&amp;Tab_Data_Flows[[#This Row],[Flow_Data_Year]]</f>
        <v/>
      </c>
      <c r="AA77">
        <f>IF(E77="Yes",Y77*Tab_Data_Flows[[#This Row],[Flow_Material]],"N.A.")</f>
        <v/>
      </c>
      <c r="AB77">
        <f>Tab_Data_Flows[[#This Row],[UoM_Flow_Py]]</f>
        <v/>
      </c>
      <c r="AC77">
        <f>INDEX(Tab_Def_Flows[[Flow_ID]:[CC_DM_source]],MATCH(Tab_Data_Flows[[#This Row],[Flow_Name]],Tab_Def_Flows[Flow_Name],0),17)</f>
        <v/>
      </c>
      <c r="AD77">
        <f>Tab_Data_Flows[[#This Row],[Flow_ID]]&amp;"_"&amp;"CC_"&amp;Tab_Data_Flows[[#This Row],[Flow_Data_Year]]</f>
        <v/>
      </c>
      <c r="AE77">
        <f>IF(F77="Yes",AC77*Tab_Data_Flows[[#This Row],[Flow_Material]]*Tab_Data_Flows[[#This Row],[DM_'[%']]],"N.A.")</f>
        <v/>
      </c>
      <c r="AF77">
        <f>Tab_Data_Flows[[#This Row],[UoM_Flow_Py]]</f>
        <v/>
      </c>
    </row>
    <row r="78">
      <c r="A78">
        <f>ROW()-1</f>
        <v/>
      </c>
      <c r="B78">
        <f>_xlfn.XLOOKUP(C78,Tab_Def_Flows[Flow_Name],Tab_Def_Flows[Flow_ID],,0,)</f>
        <v/>
      </c>
      <c r="C78" t="inlineStr">
        <is>
          <t>Atmosphere_Input_cow-manure_production_C</t>
        </is>
      </c>
      <c r="D78">
        <f>_xlfn.XLOOKUP(C78,Tab_Def_Flows[Flow_Name],Tab_Def_Flows[WC?],,0,)</f>
        <v/>
      </c>
      <c r="E78">
        <f>_xlfn.XLOOKUP(C78,Tab_Def_Flows[Flow_Name],Tab_Def_Flows[DM?],,0,)</f>
        <v/>
      </c>
      <c r="F78">
        <f>_xlfn.XLOOKUP(C78,Tab_Def_Flows[Flow_Name],Tab_Def_Flows[CC?],,0,)</f>
        <v/>
      </c>
      <c r="G78" t="n">
        <v>2049</v>
      </c>
      <c r="H78" t="n">
        <v>1001.898004851284</v>
      </c>
      <c r="I78">
        <f>'0_Configuration'!$C$35</f>
        <v/>
      </c>
      <c r="O78" t="inlineStr">
        <is>
          <t>No</t>
        </is>
      </c>
      <c r="R78">
        <f>Tab_Data_Flows[[#This Row],[Flow_ID]]&amp;"_"&amp;"material_"&amp;Tab_Data_Flows[[#This Row],[Flow_Data_Year]]</f>
        <v/>
      </c>
      <c r="S78">
        <f>IF(O78="no",H78,H78*P78)</f>
        <v/>
      </c>
      <c r="T78">
        <f>Tab_Data_Flows[[#This Row],[UoM_Source]]</f>
        <v/>
      </c>
      <c r="U78">
        <f>INDEX(Tab_Def_Flows[[Flow_ID]:[CC_DM_source]],MATCH(Tab_Data_Flows[[#This Row],[Flow_Name]],Tab_Def_Flows[Flow_Name],0),11)</f>
        <v/>
      </c>
      <c r="V78">
        <f>Tab_Data_Flows[[#This Row],[Flow_ID]]&amp;"_"&amp;"WC_"&amp;Tab_Data_Flows[[#This Row],[Flow_Data_Year]]</f>
        <v/>
      </c>
      <c r="W78">
        <f>IF(D78="Yes",S78*Tab_Data_Flows[[#This Row],[WC_'[%']]],"N.A.")</f>
        <v/>
      </c>
      <c r="X78">
        <f>Tab_Data_Flows[[#This Row],[UoM_Flow_Py]]</f>
        <v/>
      </c>
      <c r="Y78">
        <f>INDEX(Tab_Def_Flows[[Flow_ID]:[CC_DM_source]],MATCH(Tab_Data_Flows[[#This Row],[Flow_Name]],Tab_Def_Flows[Flow_Name],0),14)</f>
        <v/>
      </c>
      <c r="Z78">
        <f>Tab_Data_Flows[[#This Row],[Flow_ID]]&amp;"_"&amp;"DM_"&amp;Tab_Data_Flows[[#This Row],[Flow_Data_Year]]</f>
        <v/>
      </c>
      <c r="AA78">
        <f>IF(E78="Yes",Y78*Tab_Data_Flows[[#This Row],[Flow_Material]],"N.A.")</f>
        <v/>
      </c>
      <c r="AB78">
        <f>Tab_Data_Flows[[#This Row],[UoM_Flow_Py]]</f>
        <v/>
      </c>
      <c r="AC78">
        <f>INDEX(Tab_Def_Flows[[Flow_ID]:[CC_DM_source]],MATCH(Tab_Data_Flows[[#This Row],[Flow_Name]],Tab_Def_Flows[Flow_Name],0),17)</f>
        <v/>
      </c>
      <c r="AD78">
        <f>Tab_Data_Flows[[#This Row],[Flow_ID]]&amp;"_"&amp;"CC_"&amp;Tab_Data_Flows[[#This Row],[Flow_Data_Year]]</f>
        <v/>
      </c>
      <c r="AE78">
        <f>IF(F78="Yes",AC78*Tab_Data_Flows[[#This Row],[Flow_Material]]*Tab_Data_Flows[[#This Row],[DM_'[%']]],"N.A.")</f>
        <v/>
      </c>
      <c r="AF78">
        <f>Tab_Data_Flows[[#This Row],[UoM_Flow_Py]]</f>
        <v/>
      </c>
    </row>
    <row r="79">
      <c r="A79">
        <f>ROW()-1</f>
        <v/>
      </c>
      <c r="B79">
        <f>_xlfn.XLOOKUP(C79,Tab_Def_Flows[Flow_Name],Tab_Def_Flows[Flow_ID],,0,)</f>
        <v/>
      </c>
      <c r="C79" t="inlineStr">
        <is>
          <t>Atmosphere_Input_cow-manure_production_C</t>
        </is>
      </c>
      <c r="D79">
        <f>_xlfn.XLOOKUP(C79,Tab_Def_Flows[Flow_Name],Tab_Def_Flows[WC?],,0,)</f>
        <v/>
      </c>
      <c r="E79">
        <f>_xlfn.XLOOKUP(C79,Tab_Def_Flows[Flow_Name],Tab_Def_Flows[DM?],,0,)</f>
        <v/>
      </c>
      <c r="F79">
        <f>_xlfn.XLOOKUP(C79,Tab_Def_Flows[Flow_Name],Tab_Def_Flows[CC?],,0,)</f>
        <v/>
      </c>
      <c r="G79" t="n">
        <v>2050</v>
      </c>
      <c r="H79" t="n">
        <v>1220.892194608977</v>
      </c>
      <c r="I79">
        <f>'0_Configuration'!$C$35</f>
        <v/>
      </c>
      <c r="O79" t="inlineStr">
        <is>
          <t>No</t>
        </is>
      </c>
      <c r="R79">
        <f>Tab_Data_Flows[[#This Row],[Flow_ID]]&amp;"_"&amp;"material_"&amp;Tab_Data_Flows[[#This Row],[Flow_Data_Year]]</f>
        <v/>
      </c>
      <c r="S79">
        <f>IF(O79="no",H79,H79*P79)</f>
        <v/>
      </c>
      <c r="T79">
        <f>Tab_Data_Flows[[#This Row],[UoM_Source]]</f>
        <v/>
      </c>
      <c r="U79">
        <f>INDEX(Tab_Def_Flows[[Flow_ID]:[CC_DM_source]],MATCH(Tab_Data_Flows[[#This Row],[Flow_Name]],Tab_Def_Flows[Flow_Name],0),11)</f>
        <v/>
      </c>
      <c r="V79">
        <f>Tab_Data_Flows[[#This Row],[Flow_ID]]&amp;"_"&amp;"WC_"&amp;Tab_Data_Flows[[#This Row],[Flow_Data_Year]]</f>
        <v/>
      </c>
      <c r="W79">
        <f>IF(D79="Yes",S79*Tab_Data_Flows[[#This Row],[WC_'[%']]],"N.A.")</f>
        <v/>
      </c>
      <c r="X79">
        <f>Tab_Data_Flows[[#This Row],[UoM_Flow_Py]]</f>
        <v/>
      </c>
      <c r="Y79">
        <f>INDEX(Tab_Def_Flows[[Flow_ID]:[CC_DM_source]],MATCH(Tab_Data_Flows[[#This Row],[Flow_Name]],Tab_Def_Flows[Flow_Name],0),14)</f>
        <v/>
      </c>
      <c r="Z79">
        <f>Tab_Data_Flows[[#This Row],[Flow_ID]]&amp;"_"&amp;"DM_"&amp;Tab_Data_Flows[[#This Row],[Flow_Data_Year]]</f>
        <v/>
      </c>
      <c r="AA79">
        <f>IF(E79="Yes",Y79*Tab_Data_Flows[[#This Row],[Flow_Material]],"N.A.")</f>
        <v/>
      </c>
      <c r="AB79">
        <f>Tab_Data_Flows[[#This Row],[UoM_Flow_Py]]</f>
        <v/>
      </c>
      <c r="AC79">
        <f>INDEX(Tab_Def_Flows[[Flow_ID]:[CC_DM_source]],MATCH(Tab_Data_Flows[[#This Row],[Flow_Name]],Tab_Def_Flows[Flow_Name],0),17)</f>
        <v/>
      </c>
      <c r="AD79">
        <f>Tab_Data_Flows[[#This Row],[Flow_ID]]&amp;"_"&amp;"CC_"&amp;Tab_Data_Flows[[#This Row],[Flow_Data_Year]]</f>
        <v/>
      </c>
      <c r="AE79">
        <f>IF(F79="Yes",AC79*Tab_Data_Flows[[#This Row],[Flow_Material]]*Tab_Data_Flows[[#This Row],[DM_'[%']]],"N.A.")</f>
        <v/>
      </c>
      <c r="AF79">
        <f>Tab_Data_Flows[[#This Row],[UoM_Flow_Py]]</f>
        <v/>
      </c>
    </row>
    <row r="80">
      <c r="A80">
        <f>ROW()-1</f>
        <v/>
      </c>
      <c r="B80">
        <f>_xlfn.XLOOKUP(C80,Tab_Def_Flows[Flow_Name],Tab_Def_Flows[Flow_ID],,0,)</f>
        <v/>
      </c>
      <c r="C80" t="inlineStr">
        <is>
          <t>Environment_Input_cow-manure_production_E</t>
        </is>
      </c>
      <c r="D80">
        <f>_xlfn.XLOOKUP(C80,Tab_Def_Flows[Flow_Name],Tab_Def_Flows[WC?],,0,)</f>
        <v/>
      </c>
      <c r="E80">
        <f>_xlfn.XLOOKUP(C80,Tab_Def_Flows[Flow_Name],Tab_Def_Flows[DM?],,0,)</f>
        <v/>
      </c>
      <c r="F80">
        <f>_xlfn.XLOOKUP(C80,Tab_Def_Flows[Flow_Name],Tab_Def_Flows[CC?],,0,)</f>
        <v/>
      </c>
      <c r="G80" t="n">
        <v>2025</v>
      </c>
      <c r="H80" t="n">
        <v>43081.45472594562</v>
      </c>
      <c r="I80">
        <f>'0_Configuration'!$C$35</f>
        <v/>
      </c>
      <c r="O80" t="inlineStr">
        <is>
          <t>No</t>
        </is>
      </c>
      <c r="R80">
        <f>Tab_Data_Flows[[#This Row],[Flow_ID]]&amp;"_"&amp;"material_"&amp;Tab_Data_Flows[[#This Row],[Flow_Data_Year]]</f>
        <v/>
      </c>
      <c r="S80">
        <f>IF(O80="no",H80,H80*P80)</f>
        <v/>
      </c>
      <c r="T80">
        <f>Tab_Data_Flows[[#This Row],[UoM_Source]]</f>
        <v/>
      </c>
      <c r="U80">
        <f>INDEX(Tab_Def_Flows[[Flow_ID]:[CC_DM_source]],MATCH(Tab_Data_Flows[[#This Row],[Flow_Name]],Tab_Def_Flows[Flow_Name],0),11)</f>
        <v/>
      </c>
      <c r="V80">
        <f>Tab_Data_Flows[[#This Row],[Flow_ID]]&amp;"_"&amp;"WC_"&amp;Tab_Data_Flows[[#This Row],[Flow_Data_Year]]</f>
        <v/>
      </c>
      <c r="W80">
        <f>IF(D80="Yes",S80*Tab_Data_Flows[[#This Row],[WC_'[%']]],"N.A.")</f>
        <v/>
      </c>
      <c r="X80">
        <f>Tab_Data_Flows[[#This Row],[UoM_Flow_Py]]</f>
        <v/>
      </c>
      <c r="Y80">
        <f>INDEX(Tab_Def_Flows[[Flow_ID]:[CC_DM_source]],MATCH(Tab_Data_Flows[[#This Row],[Flow_Name]],Tab_Def_Flows[Flow_Name],0),14)</f>
        <v/>
      </c>
      <c r="Z80">
        <f>Tab_Data_Flows[[#This Row],[Flow_ID]]&amp;"_"&amp;"DM_"&amp;Tab_Data_Flows[[#This Row],[Flow_Data_Year]]</f>
        <v/>
      </c>
      <c r="AA80">
        <f>IF(E80="Yes",Y80*Tab_Data_Flows[[#This Row],[Flow_Material]],"N.A.")</f>
        <v/>
      </c>
      <c r="AB80">
        <f>Tab_Data_Flows[[#This Row],[UoM_Flow_Py]]</f>
        <v/>
      </c>
      <c r="AC80">
        <f>INDEX(Tab_Def_Flows[[Flow_ID]:[CC_DM_source]],MATCH(Tab_Data_Flows[[#This Row],[Flow_Name]],Tab_Def_Flows[Flow_Name],0),17)</f>
        <v/>
      </c>
      <c r="AD80">
        <f>Tab_Data_Flows[[#This Row],[Flow_ID]]&amp;"_"&amp;"CC_"&amp;Tab_Data_Flows[[#This Row],[Flow_Data_Year]]</f>
        <v/>
      </c>
      <c r="AE80">
        <f>IF(F80="Yes",AC80*Tab_Data_Flows[[#This Row],[Flow_Material]]*Tab_Data_Flows[[#This Row],[DM_'[%']]],"N.A.")</f>
        <v/>
      </c>
      <c r="AF80">
        <f>Tab_Data_Flows[[#This Row],[UoM_Flow_Py]]</f>
        <v/>
      </c>
    </row>
    <row r="81">
      <c r="A81">
        <f>ROW()-1</f>
        <v/>
      </c>
      <c r="B81">
        <f>_xlfn.XLOOKUP(C81,Tab_Def_Flows[Flow_Name],Tab_Def_Flows[Flow_ID],,0,)</f>
        <v/>
      </c>
      <c r="C81" t="inlineStr">
        <is>
          <t>Environment_Input_cow-manure_production_E</t>
        </is>
      </c>
      <c r="D81">
        <f>_xlfn.XLOOKUP(C81,Tab_Def_Flows[Flow_Name],Tab_Def_Flows[WC?],,0,)</f>
        <v/>
      </c>
      <c r="E81">
        <f>_xlfn.XLOOKUP(C81,Tab_Def_Flows[Flow_Name],Tab_Def_Flows[DM?],,0,)</f>
        <v/>
      </c>
      <c r="F81">
        <f>_xlfn.XLOOKUP(C81,Tab_Def_Flows[Flow_Name],Tab_Def_Flows[CC?],,0,)</f>
        <v/>
      </c>
      <c r="G81" t="n">
        <v>2026</v>
      </c>
      <c r="H81" t="n">
        <v>36308.80585621668</v>
      </c>
      <c r="I81">
        <f>'0_Configuration'!$C$35</f>
        <v/>
      </c>
      <c r="O81" t="inlineStr">
        <is>
          <t>No</t>
        </is>
      </c>
      <c r="R81">
        <f>Tab_Data_Flows[[#This Row],[Flow_ID]]&amp;"_"&amp;"material_"&amp;Tab_Data_Flows[[#This Row],[Flow_Data_Year]]</f>
        <v/>
      </c>
      <c r="S81">
        <f>IF(O81="no",H81,H81*P81)</f>
        <v/>
      </c>
      <c r="T81">
        <f>Tab_Data_Flows[[#This Row],[UoM_Source]]</f>
        <v/>
      </c>
      <c r="U81">
        <f>INDEX(Tab_Def_Flows[[Flow_ID]:[CC_DM_source]],MATCH(Tab_Data_Flows[[#This Row],[Flow_Name]],Tab_Def_Flows[Flow_Name],0),11)</f>
        <v/>
      </c>
      <c r="V81">
        <f>Tab_Data_Flows[[#This Row],[Flow_ID]]&amp;"_"&amp;"WC_"&amp;Tab_Data_Flows[[#This Row],[Flow_Data_Year]]</f>
        <v/>
      </c>
      <c r="W81">
        <f>IF(D81="Yes",S81*Tab_Data_Flows[[#This Row],[WC_'[%']]],"N.A.")</f>
        <v/>
      </c>
      <c r="X81">
        <f>Tab_Data_Flows[[#This Row],[UoM_Flow_Py]]</f>
        <v/>
      </c>
      <c r="Y81">
        <f>INDEX(Tab_Def_Flows[[Flow_ID]:[CC_DM_source]],MATCH(Tab_Data_Flows[[#This Row],[Flow_Name]],Tab_Def_Flows[Flow_Name],0),14)</f>
        <v/>
      </c>
      <c r="Z81">
        <f>Tab_Data_Flows[[#This Row],[Flow_ID]]&amp;"_"&amp;"DM_"&amp;Tab_Data_Flows[[#This Row],[Flow_Data_Year]]</f>
        <v/>
      </c>
      <c r="AA81">
        <f>IF(E81="Yes",Y81*Tab_Data_Flows[[#This Row],[Flow_Material]],"N.A.")</f>
        <v/>
      </c>
      <c r="AB81">
        <f>Tab_Data_Flows[[#This Row],[UoM_Flow_Py]]</f>
        <v/>
      </c>
      <c r="AC81">
        <f>INDEX(Tab_Def_Flows[[Flow_ID]:[CC_DM_source]],MATCH(Tab_Data_Flows[[#This Row],[Flow_Name]],Tab_Def_Flows[Flow_Name],0),17)</f>
        <v/>
      </c>
      <c r="AD81">
        <f>Tab_Data_Flows[[#This Row],[Flow_ID]]&amp;"_"&amp;"CC_"&amp;Tab_Data_Flows[[#This Row],[Flow_Data_Year]]</f>
        <v/>
      </c>
      <c r="AE81">
        <f>IF(F81="Yes",AC81*Tab_Data_Flows[[#This Row],[Flow_Material]]*Tab_Data_Flows[[#This Row],[DM_'[%']]],"N.A.")</f>
        <v/>
      </c>
      <c r="AF81">
        <f>Tab_Data_Flows[[#This Row],[UoM_Flow_Py]]</f>
        <v/>
      </c>
    </row>
    <row r="82">
      <c r="A82">
        <f>ROW()-1</f>
        <v/>
      </c>
      <c r="B82">
        <f>_xlfn.XLOOKUP(C82,Tab_Def_Flows[Flow_Name],Tab_Def_Flows[Flow_ID],,0,)</f>
        <v/>
      </c>
      <c r="C82" t="inlineStr">
        <is>
          <t>Environment_Input_cow-manure_production_E</t>
        </is>
      </c>
      <c r="D82">
        <f>_xlfn.XLOOKUP(C82,Tab_Def_Flows[Flow_Name],Tab_Def_Flows[WC?],,0,)</f>
        <v/>
      </c>
      <c r="E82">
        <f>_xlfn.XLOOKUP(C82,Tab_Def_Flows[Flow_Name],Tab_Def_Flows[DM?],,0,)</f>
        <v/>
      </c>
      <c r="F82">
        <f>_xlfn.XLOOKUP(C82,Tab_Def_Flows[Flow_Name],Tab_Def_Flows[CC?],,0,)</f>
        <v/>
      </c>
      <c r="G82" t="n">
        <v>2027</v>
      </c>
      <c r="H82" t="n">
        <v>44691.77915336948</v>
      </c>
      <c r="I82">
        <f>'0_Configuration'!$C$35</f>
        <v/>
      </c>
      <c r="O82" t="inlineStr">
        <is>
          <t>No</t>
        </is>
      </c>
      <c r="R82">
        <f>Tab_Data_Flows[[#This Row],[Flow_ID]]&amp;"_"&amp;"material_"&amp;Tab_Data_Flows[[#This Row],[Flow_Data_Year]]</f>
        <v/>
      </c>
      <c r="S82">
        <f>IF(O82="no",H82,H82*P82)</f>
        <v/>
      </c>
      <c r="T82">
        <f>Tab_Data_Flows[[#This Row],[UoM_Source]]</f>
        <v/>
      </c>
      <c r="U82">
        <f>INDEX(Tab_Def_Flows[[Flow_ID]:[CC_DM_source]],MATCH(Tab_Data_Flows[[#This Row],[Flow_Name]],Tab_Def_Flows[Flow_Name],0),11)</f>
        <v/>
      </c>
      <c r="V82">
        <f>Tab_Data_Flows[[#This Row],[Flow_ID]]&amp;"_"&amp;"WC_"&amp;Tab_Data_Flows[[#This Row],[Flow_Data_Year]]</f>
        <v/>
      </c>
      <c r="W82">
        <f>IF(D82="Yes",S82*Tab_Data_Flows[[#This Row],[WC_'[%']]],"N.A.")</f>
        <v/>
      </c>
      <c r="X82">
        <f>Tab_Data_Flows[[#This Row],[UoM_Flow_Py]]</f>
        <v/>
      </c>
      <c r="Y82">
        <f>INDEX(Tab_Def_Flows[[Flow_ID]:[CC_DM_source]],MATCH(Tab_Data_Flows[[#This Row],[Flow_Name]],Tab_Def_Flows[Flow_Name],0),14)</f>
        <v/>
      </c>
      <c r="Z82">
        <f>Tab_Data_Flows[[#This Row],[Flow_ID]]&amp;"_"&amp;"DM_"&amp;Tab_Data_Flows[[#This Row],[Flow_Data_Year]]</f>
        <v/>
      </c>
      <c r="AA82">
        <f>IF(E82="Yes",Y82*Tab_Data_Flows[[#This Row],[Flow_Material]],"N.A.")</f>
        <v/>
      </c>
      <c r="AB82">
        <f>Tab_Data_Flows[[#This Row],[UoM_Flow_Py]]</f>
        <v/>
      </c>
      <c r="AC82">
        <f>INDEX(Tab_Def_Flows[[Flow_ID]:[CC_DM_source]],MATCH(Tab_Data_Flows[[#This Row],[Flow_Name]],Tab_Def_Flows[Flow_Name],0),17)</f>
        <v/>
      </c>
      <c r="AD82">
        <f>Tab_Data_Flows[[#This Row],[Flow_ID]]&amp;"_"&amp;"CC_"&amp;Tab_Data_Flows[[#This Row],[Flow_Data_Year]]</f>
        <v/>
      </c>
      <c r="AE82">
        <f>IF(F82="Yes",AC82*Tab_Data_Flows[[#This Row],[Flow_Material]]*Tab_Data_Flows[[#This Row],[DM_'[%']]],"N.A.")</f>
        <v/>
      </c>
      <c r="AF82">
        <f>Tab_Data_Flows[[#This Row],[UoM_Flow_Py]]</f>
        <v/>
      </c>
    </row>
    <row r="83">
      <c r="A83">
        <f>ROW()-1</f>
        <v/>
      </c>
      <c r="B83">
        <f>_xlfn.XLOOKUP(C83,Tab_Def_Flows[Flow_Name],Tab_Def_Flows[Flow_ID],,0,)</f>
        <v/>
      </c>
      <c r="C83" t="inlineStr">
        <is>
          <t>Environment_Input_cow-manure_production_E</t>
        </is>
      </c>
      <c r="D83">
        <f>_xlfn.XLOOKUP(C83,Tab_Def_Flows[Flow_Name],Tab_Def_Flows[WC?],,0,)</f>
        <v/>
      </c>
      <c r="E83">
        <f>_xlfn.XLOOKUP(C83,Tab_Def_Flows[Flow_Name],Tab_Def_Flows[DM?],,0,)</f>
        <v/>
      </c>
      <c r="F83">
        <f>_xlfn.XLOOKUP(C83,Tab_Def_Flows[Flow_Name],Tab_Def_Flows[CC?],,0,)</f>
        <v/>
      </c>
      <c r="G83" t="n">
        <v>2028</v>
      </c>
      <c r="H83" t="n">
        <v>54028.17847947214</v>
      </c>
      <c r="I83">
        <f>'0_Configuration'!$C$35</f>
        <v/>
      </c>
      <c r="O83" t="inlineStr">
        <is>
          <t>No</t>
        </is>
      </c>
      <c r="R83">
        <f>Tab_Data_Flows[[#This Row],[Flow_ID]]&amp;"_"&amp;"material_"&amp;Tab_Data_Flows[[#This Row],[Flow_Data_Year]]</f>
        <v/>
      </c>
      <c r="S83">
        <f>IF(O83="no",H83,H83*P83)</f>
        <v/>
      </c>
      <c r="T83">
        <f>Tab_Data_Flows[[#This Row],[UoM_Source]]</f>
        <v/>
      </c>
      <c r="U83">
        <f>INDEX(Tab_Def_Flows[[Flow_ID]:[CC_DM_source]],MATCH(Tab_Data_Flows[[#This Row],[Flow_Name]],Tab_Def_Flows[Flow_Name],0),11)</f>
        <v/>
      </c>
      <c r="V83">
        <f>Tab_Data_Flows[[#This Row],[Flow_ID]]&amp;"_"&amp;"WC_"&amp;Tab_Data_Flows[[#This Row],[Flow_Data_Year]]</f>
        <v/>
      </c>
      <c r="W83">
        <f>IF(D83="Yes",S83*Tab_Data_Flows[[#This Row],[WC_'[%']]],"N.A.")</f>
        <v/>
      </c>
      <c r="X83">
        <f>Tab_Data_Flows[[#This Row],[UoM_Flow_Py]]</f>
        <v/>
      </c>
      <c r="Y83">
        <f>INDEX(Tab_Def_Flows[[Flow_ID]:[CC_DM_source]],MATCH(Tab_Data_Flows[[#This Row],[Flow_Name]],Tab_Def_Flows[Flow_Name],0),14)</f>
        <v/>
      </c>
      <c r="Z83">
        <f>Tab_Data_Flows[[#This Row],[Flow_ID]]&amp;"_"&amp;"DM_"&amp;Tab_Data_Flows[[#This Row],[Flow_Data_Year]]</f>
        <v/>
      </c>
      <c r="AA83">
        <f>IF(E83="Yes",Y83*Tab_Data_Flows[[#This Row],[Flow_Material]],"N.A.")</f>
        <v/>
      </c>
      <c r="AB83">
        <f>Tab_Data_Flows[[#This Row],[UoM_Flow_Py]]</f>
        <v/>
      </c>
      <c r="AC83">
        <f>INDEX(Tab_Def_Flows[[Flow_ID]:[CC_DM_source]],MATCH(Tab_Data_Flows[[#This Row],[Flow_Name]],Tab_Def_Flows[Flow_Name],0),17)</f>
        <v/>
      </c>
      <c r="AD83">
        <f>Tab_Data_Flows[[#This Row],[Flow_ID]]&amp;"_"&amp;"CC_"&amp;Tab_Data_Flows[[#This Row],[Flow_Data_Year]]</f>
        <v/>
      </c>
      <c r="AE83">
        <f>IF(F83="Yes",AC83*Tab_Data_Flows[[#This Row],[Flow_Material]]*Tab_Data_Flows[[#This Row],[DM_'[%']]],"N.A.")</f>
        <v/>
      </c>
      <c r="AF83">
        <f>Tab_Data_Flows[[#This Row],[UoM_Flow_Py]]</f>
        <v/>
      </c>
    </row>
    <row r="84">
      <c r="A84">
        <f>ROW()-1</f>
        <v/>
      </c>
      <c r="B84">
        <f>_xlfn.XLOOKUP(C84,Tab_Def_Flows[Flow_Name],Tab_Def_Flows[Flow_ID],,0,)</f>
        <v/>
      </c>
      <c r="C84" t="inlineStr">
        <is>
          <t>Environment_Input_cow-manure_production_E</t>
        </is>
      </c>
      <c r="D84">
        <f>_xlfn.XLOOKUP(C84,Tab_Def_Flows[Flow_Name],Tab_Def_Flows[WC?],,0,)</f>
        <v/>
      </c>
      <c r="E84">
        <f>_xlfn.XLOOKUP(C84,Tab_Def_Flows[Flow_Name],Tab_Def_Flows[DM?],,0,)</f>
        <v/>
      </c>
      <c r="F84">
        <f>_xlfn.XLOOKUP(C84,Tab_Def_Flows[Flow_Name],Tab_Def_Flows[CC?],,0,)</f>
        <v/>
      </c>
      <c r="G84" t="n">
        <v>2029</v>
      </c>
      <c r="H84" t="n">
        <v>35286.26039738723</v>
      </c>
      <c r="I84">
        <f>'0_Configuration'!$C$35</f>
        <v/>
      </c>
      <c r="O84" t="inlineStr">
        <is>
          <t>No</t>
        </is>
      </c>
      <c r="R84">
        <f>Tab_Data_Flows[[#This Row],[Flow_ID]]&amp;"_"&amp;"material_"&amp;Tab_Data_Flows[[#This Row],[Flow_Data_Year]]</f>
        <v/>
      </c>
      <c r="S84">
        <f>IF(O84="no",H84,H84*P84)</f>
        <v/>
      </c>
      <c r="T84">
        <f>Tab_Data_Flows[[#This Row],[UoM_Source]]</f>
        <v/>
      </c>
      <c r="U84">
        <f>INDEX(Tab_Def_Flows[[Flow_ID]:[CC_DM_source]],MATCH(Tab_Data_Flows[[#This Row],[Flow_Name]],Tab_Def_Flows[Flow_Name],0),11)</f>
        <v/>
      </c>
      <c r="V84">
        <f>Tab_Data_Flows[[#This Row],[Flow_ID]]&amp;"_"&amp;"WC_"&amp;Tab_Data_Flows[[#This Row],[Flow_Data_Year]]</f>
        <v/>
      </c>
      <c r="W84">
        <f>IF(D84="Yes",S84*Tab_Data_Flows[[#This Row],[WC_'[%']]],"N.A.")</f>
        <v/>
      </c>
      <c r="X84">
        <f>Tab_Data_Flows[[#This Row],[UoM_Flow_Py]]</f>
        <v/>
      </c>
      <c r="Y84">
        <f>INDEX(Tab_Def_Flows[[Flow_ID]:[CC_DM_source]],MATCH(Tab_Data_Flows[[#This Row],[Flow_Name]],Tab_Def_Flows[Flow_Name],0),14)</f>
        <v/>
      </c>
      <c r="Z84">
        <f>Tab_Data_Flows[[#This Row],[Flow_ID]]&amp;"_"&amp;"DM_"&amp;Tab_Data_Flows[[#This Row],[Flow_Data_Year]]</f>
        <v/>
      </c>
      <c r="AA84">
        <f>IF(E84="Yes",Y84*Tab_Data_Flows[[#This Row],[Flow_Material]],"N.A.")</f>
        <v/>
      </c>
      <c r="AB84">
        <f>Tab_Data_Flows[[#This Row],[UoM_Flow_Py]]</f>
        <v/>
      </c>
      <c r="AC84">
        <f>INDEX(Tab_Def_Flows[[Flow_ID]:[CC_DM_source]],MATCH(Tab_Data_Flows[[#This Row],[Flow_Name]],Tab_Def_Flows[Flow_Name],0),17)</f>
        <v/>
      </c>
      <c r="AD84">
        <f>Tab_Data_Flows[[#This Row],[Flow_ID]]&amp;"_"&amp;"CC_"&amp;Tab_Data_Flows[[#This Row],[Flow_Data_Year]]</f>
        <v/>
      </c>
      <c r="AE84">
        <f>IF(F84="Yes",AC84*Tab_Data_Flows[[#This Row],[Flow_Material]]*Tab_Data_Flows[[#This Row],[DM_'[%']]],"N.A.")</f>
        <v/>
      </c>
      <c r="AF84">
        <f>Tab_Data_Flows[[#This Row],[UoM_Flow_Py]]</f>
        <v/>
      </c>
    </row>
    <row r="85">
      <c r="A85">
        <f>ROW()-1</f>
        <v/>
      </c>
      <c r="B85">
        <f>_xlfn.XLOOKUP(C85,Tab_Def_Flows[Flow_Name],Tab_Def_Flows[Flow_ID],,0,)</f>
        <v/>
      </c>
      <c r="C85" t="inlineStr">
        <is>
          <t>Environment_Input_cow-manure_production_E</t>
        </is>
      </c>
      <c r="D85">
        <f>_xlfn.XLOOKUP(C85,Tab_Def_Flows[Flow_Name],Tab_Def_Flows[WC?],,0,)</f>
        <v/>
      </c>
      <c r="E85">
        <f>_xlfn.XLOOKUP(C85,Tab_Def_Flows[Flow_Name],Tab_Def_Flows[DM?],,0,)</f>
        <v/>
      </c>
      <c r="F85">
        <f>_xlfn.XLOOKUP(C85,Tab_Def_Flows[Flow_Name],Tab_Def_Flows[CC?],,0,)</f>
        <v/>
      </c>
      <c r="G85" t="n">
        <v>2030</v>
      </c>
      <c r="H85" t="n">
        <v>35286.26039738723</v>
      </c>
      <c r="I85">
        <f>'0_Configuration'!$C$35</f>
        <v/>
      </c>
      <c r="O85" t="inlineStr">
        <is>
          <t>No</t>
        </is>
      </c>
      <c r="R85">
        <f>Tab_Data_Flows[[#This Row],[Flow_ID]]&amp;"_"&amp;"material_"&amp;Tab_Data_Flows[[#This Row],[Flow_Data_Year]]</f>
        <v/>
      </c>
      <c r="S85">
        <f>IF(O85="no",H85,H85*P85)</f>
        <v/>
      </c>
      <c r="T85">
        <f>Tab_Data_Flows[[#This Row],[UoM_Source]]</f>
        <v/>
      </c>
      <c r="U85">
        <f>INDEX(Tab_Def_Flows[[Flow_ID]:[CC_DM_source]],MATCH(Tab_Data_Flows[[#This Row],[Flow_Name]],Tab_Def_Flows[Flow_Name],0),11)</f>
        <v/>
      </c>
      <c r="V85">
        <f>Tab_Data_Flows[[#This Row],[Flow_ID]]&amp;"_"&amp;"WC_"&amp;Tab_Data_Flows[[#This Row],[Flow_Data_Year]]</f>
        <v/>
      </c>
      <c r="W85">
        <f>IF(D85="Yes",S85*Tab_Data_Flows[[#This Row],[WC_'[%']]],"N.A.")</f>
        <v/>
      </c>
      <c r="X85">
        <f>Tab_Data_Flows[[#This Row],[UoM_Flow_Py]]</f>
        <v/>
      </c>
      <c r="Y85">
        <f>INDEX(Tab_Def_Flows[[Flow_ID]:[CC_DM_source]],MATCH(Tab_Data_Flows[[#This Row],[Flow_Name]],Tab_Def_Flows[Flow_Name],0),14)</f>
        <v/>
      </c>
      <c r="Z85">
        <f>Tab_Data_Flows[[#This Row],[Flow_ID]]&amp;"_"&amp;"DM_"&amp;Tab_Data_Flows[[#This Row],[Flow_Data_Year]]</f>
        <v/>
      </c>
      <c r="AA85">
        <f>IF(E85="Yes",Y85*Tab_Data_Flows[[#This Row],[Flow_Material]],"N.A.")</f>
        <v/>
      </c>
      <c r="AB85">
        <f>Tab_Data_Flows[[#This Row],[UoM_Flow_Py]]</f>
        <v/>
      </c>
      <c r="AC85">
        <f>INDEX(Tab_Def_Flows[[Flow_ID]:[CC_DM_source]],MATCH(Tab_Data_Flows[[#This Row],[Flow_Name]],Tab_Def_Flows[Flow_Name],0),17)</f>
        <v/>
      </c>
      <c r="AD85">
        <f>Tab_Data_Flows[[#This Row],[Flow_ID]]&amp;"_"&amp;"CC_"&amp;Tab_Data_Flows[[#This Row],[Flow_Data_Year]]</f>
        <v/>
      </c>
      <c r="AE85">
        <f>IF(F85="Yes",AC85*Tab_Data_Flows[[#This Row],[Flow_Material]]*Tab_Data_Flows[[#This Row],[DM_'[%']]],"N.A.")</f>
        <v/>
      </c>
      <c r="AF85">
        <f>Tab_Data_Flows[[#This Row],[UoM_Flow_Py]]</f>
        <v/>
      </c>
    </row>
    <row r="86">
      <c r="A86">
        <f>ROW()-1</f>
        <v/>
      </c>
      <c r="B86">
        <f>_xlfn.XLOOKUP(C86,Tab_Def_Flows[Flow_Name],Tab_Def_Flows[Flow_ID],,0,)</f>
        <v/>
      </c>
      <c r="C86" t="inlineStr">
        <is>
          <t>Environment_Input_cow-manure_production_E</t>
        </is>
      </c>
      <c r="D86">
        <f>_xlfn.XLOOKUP(C86,Tab_Def_Flows[Flow_Name],Tab_Def_Flows[WC?],,0,)</f>
        <v/>
      </c>
      <c r="E86">
        <f>_xlfn.XLOOKUP(C86,Tab_Def_Flows[Flow_Name],Tab_Def_Flows[DM?],,0,)</f>
        <v/>
      </c>
      <c r="F86">
        <f>_xlfn.XLOOKUP(C86,Tab_Def_Flows[Flow_Name],Tab_Def_Flows[CC?],,0,)</f>
        <v/>
      </c>
      <c r="G86" t="n">
        <v>2031</v>
      </c>
      <c r="H86" t="n">
        <v>54627.03766201672</v>
      </c>
      <c r="I86">
        <f>'0_Configuration'!$C$35</f>
        <v/>
      </c>
      <c r="O86" t="inlineStr">
        <is>
          <t>No</t>
        </is>
      </c>
      <c r="R86">
        <f>Tab_Data_Flows[[#This Row],[Flow_ID]]&amp;"_"&amp;"material_"&amp;Tab_Data_Flows[[#This Row],[Flow_Data_Year]]</f>
        <v/>
      </c>
      <c r="S86">
        <f>IF(O86="no",H86,H86*P86)</f>
        <v/>
      </c>
      <c r="T86">
        <f>Tab_Data_Flows[[#This Row],[UoM_Source]]</f>
        <v/>
      </c>
      <c r="U86">
        <f>INDEX(Tab_Def_Flows[[Flow_ID]:[CC_DM_source]],MATCH(Tab_Data_Flows[[#This Row],[Flow_Name]],Tab_Def_Flows[Flow_Name],0),11)</f>
        <v/>
      </c>
      <c r="V86">
        <f>Tab_Data_Flows[[#This Row],[Flow_ID]]&amp;"_"&amp;"WC_"&amp;Tab_Data_Flows[[#This Row],[Flow_Data_Year]]</f>
        <v/>
      </c>
      <c r="W86">
        <f>IF(D86="Yes",S86*Tab_Data_Flows[[#This Row],[WC_'[%']]],"N.A.")</f>
        <v/>
      </c>
      <c r="X86">
        <f>Tab_Data_Flows[[#This Row],[UoM_Flow_Py]]</f>
        <v/>
      </c>
      <c r="Y86">
        <f>INDEX(Tab_Def_Flows[[Flow_ID]:[CC_DM_source]],MATCH(Tab_Data_Flows[[#This Row],[Flow_Name]],Tab_Def_Flows[Flow_Name],0),14)</f>
        <v/>
      </c>
      <c r="Z86">
        <f>Tab_Data_Flows[[#This Row],[Flow_ID]]&amp;"_"&amp;"DM_"&amp;Tab_Data_Flows[[#This Row],[Flow_Data_Year]]</f>
        <v/>
      </c>
      <c r="AA86">
        <f>IF(E86="Yes",Y86*Tab_Data_Flows[[#This Row],[Flow_Material]],"N.A.")</f>
        <v/>
      </c>
      <c r="AB86">
        <f>Tab_Data_Flows[[#This Row],[UoM_Flow_Py]]</f>
        <v/>
      </c>
      <c r="AC86">
        <f>INDEX(Tab_Def_Flows[[Flow_ID]:[CC_DM_source]],MATCH(Tab_Data_Flows[[#This Row],[Flow_Name]],Tab_Def_Flows[Flow_Name],0),17)</f>
        <v/>
      </c>
      <c r="AD86">
        <f>Tab_Data_Flows[[#This Row],[Flow_ID]]&amp;"_"&amp;"CC_"&amp;Tab_Data_Flows[[#This Row],[Flow_Data_Year]]</f>
        <v/>
      </c>
      <c r="AE86">
        <f>IF(F86="Yes",AC86*Tab_Data_Flows[[#This Row],[Flow_Material]]*Tab_Data_Flows[[#This Row],[DM_'[%']]],"N.A.")</f>
        <v/>
      </c>
      <c r="AF86">
        <f>Tab_Data_Flows[[#This Row],[UoM_Flow_Py]]</f>
        <v/>
      </c>
    </row>
    <row r="87">
      <c r="A87">
        <f>ROW()-1</f>
        <v/>
      </c>
      <c r="B87">
        <f>_xlfn.XLOOKUP(C87,Tab_Def_Flows[Flow_Name],Tab_Def_Flows[Flow_ID],,0,)</f>
        <v/>
      </c>
      <c r="C87" t="inlineStr">
        <is>
          <t>Environment_Input_cow-manure_production_E</t>
        </is>
      </c>
      <c r="D87">
        <f>_xlfn.XLOOKUP(C87,Tab_Def_Flows[Flow_Name],Tab_Def_Flows[WC?],,0,)</f>
        <v/>
      </c>
      <c r="E87">
        <f>_xlfn.XLOOKUP(C87,Tab_Def_Flows[Flow_Name],Tab_Def_Flows[DM?],,0,)</f>
        <v/>
      </c>
      <c r="F87">
        <f>_xlfn.XLOOKUP(C87,Tab_Def_Flows[Flow_Name],Tab_Def_Flows[CC?],,0,)</f>
        <v/>
      </c>
      <c r="G87" t="n">
        <v>2032</v>
      </c>
      <c r="H87" t="n">
        <v>45968.64190381698</v>
      </c>
      <c r="I87">
        <f>'0_Configuration'!$C$35</f>
        <v/>
      </c>
      <c r="O87" t="inlineStr">
        <is>
          <t>No</t>
        </is>
      </c>
      <c r="R87">
        <f>Tab_Data_Flows[[#This Row],[Flow_ID]]&amp;"_"&amp;"material_"&amp;Tab_Data_Flows[[#This Row],[Flow_Data_Year]]</f>
        <v/>
      </c>
      <c r="S87">
        <f>IF(O87="no",H87,H87*P87)</f>
        <v/>
      </c>
      <c r="T87">
        <f>Tab_Data_Flows[[#This Row],[UoM_Source]]</f>
        <v/>
      </c>
      <c r="U87">
        <f>INDEX(Tab_Def_Flows[[Flow_ID]:[CC_DM_source]],MATCH(Tab_Data_Flows[[#This Row],[Flow_Name]],Tab_Def_Flows[Flow_Name],0),11)</f>
        <v/>
      </c>
      <c r="V87">
        <f>Tab_Data_Flows[[#This Row],[Flow_ID]]&amp;"_"&amp;"WC_"&amp;Tab_Data_Flows[[#This Row],[Flow_Data_Year]]</f>
        <v/>
      </c>
      <c r="W87">
        <f>IF(D87="Yes",S87*Tab_Data_Flows[[#This Row],[WC_'[%']]],"N.A.")</f>
        <v/>
      </c>
      <c r="X87">
        <f>Tab_Data_Flows[[#This Row],[UoM_Flow_Py]]</f>
        <v/>
      </c>
      <c r="Y87">
        <f>INDEX(Tab_Def_Flows[[Flow_ID]:[CC_DM_source]],MATCH(Tab_Data_Flows[[#This Row],[Flow_Name]],Tab_Def_Flows[Flow_Name],0),14)</f>
        <v/>
      </c>
      <c r="Z87">
        <f>Tab_Data_Flows[[#This Row],[Flow_ID]]&amp;"_"&amp;"DM_"&amp;Tab_Data_Flows[[#This Row],[Flow_Data_Year]]</f>
        <v/>
      </c>
      <c r="AA87">
        <f>IF(E87="Yes",Y87*Tab_Data_Flows[[#This Row],[Flow_Material]],"N.A.")</f>
        <v/>
      </c>
      <c r="AB87">
        <f>Tab_Data_Flows[[#This Row],[UoM_Flow_Py]]</f>
        <v/>
      </c>
      <c r="AC87">
        <f>INDEX(Tab_Def_Flows[[Flow_ID]:[CC_DM_source]],MATCH(Tab_Data_Flows[[#This Row],[Flow_Name]],Tab_Def_Flows[Flow_Name],0),17)</f>
        <v/>
      </c>
      <c r="AD87">
        <f>Tab_Data_Flows[[#This Row],[Flow_ID]]&amp;"_"&amp;"CC_"&amp;Tab_Data_Flows[[#This Row],[Flow_Data_Year]]</f>
        <v/>
      </c>
      <c r="AE87">
        <f>IF(F87="Yes",AC87*Tab_Data_Flows[[#This Row],[Flow_Material]]*Tab_Data_Flows[[#This Row],[DM_'[%']]],"N.A.")</f>
        <v/>
      </c>
      <c r="AF87">
        <f>Tab_Data_Flows[[#This Row],[UoM_Flow_Py]]</f>
        <v/>
      </c>
    </row>
    <row r="88">
      <c r="A88">
        <f>ROW()-1</f>
        <v/>
      </c>
      <c r="B88">
        <f>_xlfn.XLOOKUP(C88,Tab_Def_Flows[Flow_Name],Tab_Def_Flows[Flow_ID],,0,)</f>
        <v/>
      </c>
      <c r="C88" t="inlineStr">
        <is>
          <t>Environment_Input_cow-manure_production_E</t>
        </is>
      </c>
      <c r="D88">
        <f>_xlfn.XLOOKUP(C88,Tab_Def_Flows[Flow_Name],Tab_Def_Flows[WC?],,0,)</f>
        <v/>
      </c>
      <c r="E88">
        <f>_xlfn.XLOOKUP(C88,Tab_Def_Flows[Flow_Name],Tab_Def_Flows[DM?],,0,)</f>
        <v/>
      </c>
      <c r="F88">
        <f>_xlfn.XLOOKUP(C88,Tab_Def_Flows[Flow_Name],Tab_Def_Flows[CC?],,0,)</f>
        <v/>
      </c>
      <c r="G88" t="n">
        <v>2033</v>
      </c>
      <c r="H88" t="n">
        <v>32776.32812305718</v>
      </c>
      <c r="I88">
        <f>'0_Configuration'!$C$35</f>
        <v/>
      </c>
      <c r="O88" t="inlineStr">
        <is>
          <t>No</t>
        </is>
      </c>
      <c r="R88">
        <f>Tab_Data_Flows[[#This Row],[Flow_ID]]&amp;"_"&amp;"material_"&amp;Tab_Data_Flows[[#This Row],[Flow_Data_Year]]</f>
        <v/>
      </c>
      <c r="S88">
        <f>IF(O88="no",H88,H88*P88)</f>
        <v/>
      </c>
      <c r="T88">
        <f>Tab_Data_Flows[[#This Row],[UoM_Source]]</f>
        <v/>
      </c>
      <c r="U88">
        <f>INDEX(Tab_Def_Flows[[Flow_ID]:[CC_DM_source]],MATCH(Tab_Data_Flows[[#This Row],[Flow_Name]],Tab_Def_Flows[Flow_Name],0),11)</f>
        <v/>
      </c>
      <c r="V88">
        <f>Tab_Data_Flows[[#This Row],[Flow_ID]]&amp;"_"&amp;"WC_"&amp;Tab_Data_Flows[[#This Row],[Flow_Data_Year]]</f>
        <v/>
      </c>
      <c r="W88">
        <f>IF(D88="Yes",S88*Tab_Data_Flows[[#This Row],[WC_'[%']]],"N.A.")</f>
        <v/>
      </c>
      <c r="X88">
        <f>Tab_Data_Flows[[#This Row],[UoM_Flow_Py]]</f>
        <v/>
      </c>
      <c r="Y88">
        <f>INDEX(Tab_Def_Flows[[Flow_ID]:[CC_DM_source]],MATCH(Tab_Data_Flows[[#This Row],[Flow_Name]],Tab_Def_Flows[Flow_Name],0),14)</f>
        <v/>
      </c>
      <c r="Z88">
        <f>Tab_Data_Flows[[#This Row],[Flow_ID]]&amp;"_"&amp;"DM_"&amp;Tab_Data_Flows[[#This Row],[Flow_Data_Year]]</f>
        <v/>
      </c>
      <c r="AA88">
        <f>IF(E88="Yes",Y88*Tab_Data_Flows[[#This Row],[Flow_Material]],"N.A.")</f>
        <v/>
      </c>
      <c r="AB88">
        <f>Tab_Data_Flows[[#This Row],[UoM_Flow_Py]]</f>
        <v/>
      </c>
      <c r="AC88">
        <f>INDEX(Tab_Def_Flows[[Flow_ID]:[CC_DM_source]],MATCH(Tab_Data_Flows[[#This Row],[Flow_Name]],Tab_Def_Flows[Flow_Name],0),17)</f>
        <v/>
      </c>
      <c r="AD88">
        <f>Tab_Data_Flows[[#This Row],[Flow_ID]]&amp;"_"&amp;"CC_"&amp;Tab_Data_Flows[[#This Row],[Flow_Data_Year]]</f>
        <v/>
      </c>
      <c r="AE88">
        <f>IF(F88="Yes",AC88*Tab_Data_Flows[[#This Row],[Flow_Material]]*Tab_Data_Flows[[#This Row],[DM_'[%']]],"N.A.")</f>
        <v/>
      </c>
      <c r="AF88">
        <f>Tab_Data_Flows[[#This Row],[UoM_Flow_Py]]</f>
        <v/>
      </c>
    </row>
    <row r="89">
      <c r="A89">
        <f>ROW()-1</f>
        <v/>
      </c>
      <c r="B89">
        <f>_xlfn.XLOOKUP(C89,Tab_Def_Flows[Flow_Name],Tab_Def_Flows[Flow_ID],,0,)</f>
        <v/>
      </c>
      <c r="C89" t="inlineStr">
        <is>
          <t>Environment_Input_cow-manure_production_E</t>
        </is>
      </c>
      <c r="D89">
        <f>_xlfn.XLOOKUP(C89,Tab_Def_Flows[Flow_Name],Tab_Def_Flows[WC?],,0,)</f>
        <v/>
      </c>
      <c r="E89">
        <f>_xlfn.XLOOKUP(C89,Tab_Def_Flows[Flow_Name],Tab_Def_Flows[DM?],,0,)</f>
        <v/>
      </c>
      <c r="F89">
        <f>_xlfn.XLOOKUP(C89,Tab_Def_Flows[Flow_Name],Tab_Def_Flows[CC?],,0,)</f>
        <v/>
      </c>
      <c r="G89" t="n">
        <v>2034</v>
      </c>
      <c r="H89" t="n">
        <v>43570.56702746001</v>
      </c>
      <c r="I89">
        <f>'0_Configuration'!$C$35</f>
        <v/>
      </c>
      <c r="O89" t="inlineStr">
        <is>
          <t>No</t>
        </is>
      </c>
      <c r="R89">
        <f>Tab_Data_Flows[[#This Row],[Flow_ID]]&amp;"_"&amp;"material_"&amp;Tab_Data_Flows[[#This Row],[Flow_Data_Year]]</f>
        <v/>
      </c>
      <c r="S89">
        <f>IF(O89="no",H89,H89*P89)</f>
        <v/>
      </c>
      <c r="T89">
        <f>Tab_Data_Flows[[#This Row],[UoM_Source]]</f>
        <v/>
      </c>
      <c r="U89">
        <f>INDEX(Tab_Def_Flows[[Flow_ID]:[CC_DM_source]],MATCH(Tab_Data_Flows[[#This Row],[Flow_Name]],Tab_Def_Flows[Flow_Name],0),11)</f>
        <v/>
      </c>
      <c r="V89">
        <f>Tab_Data_Flows[[#This Row],[Flow_ID]]&amp;"_"&amp;"WC_"&amp;Tab_Data_Flows[[#This Row],[Flow_Data_Year]]</f>
        <v/>
      </c>
      <c r="W89">
        <f>IF(D89="Yes",S89*Tab_Data_Flows[[#This Row],[WC_'[%']]],"N.A.")</f>
        <v/>
      </c>
      <c r="X89">
        <f>Tab_Data_Flows[[#This Row],[UoM_Flow_Py]]</f>
        <v/>
      </c>
      <c r="Y89">
        <f>INDEX(Tab_Def_Flows[[Flow_ID]:[CC_DM_source]],MATCH(Tab_Data_Flows[[#This Row],[Flow_Name]],Tab_Def_Flows[Flow_Name],0),14)</f>
        <v/>
      </c>
      <c r="Z89">
        <f>Tab_Data_Flows[[#This Row],[Flow_ID]]&amp;"_"&amp;"DM_"&amp;Tab_Data_Flows[[#This Row],[Flow_Data_Year]]</f>
        <v/>
      </c>
      <c r="AA89">
        <f>IF(E89="Yes",Y89*Tab_Data_Flows[[#This Row],[Flow_Material]],"N.A.")</f>
        <v/>
      </c>
      <c r="AB89">
        <f>Tab_Data_Flows[[#This Row],[UoM_Flow_Py]]</f>
        <v/>
      </c>
      <c r="AC89">
        <f>INDEX(Tab_Def_Flows[[Flow_ID]:[CC_DM_source]],MATCH(Tab_Data_Flows[[#This Row],[Flow_Name]],Tab_Def_Flows[Flow_Name],0),17)</f>
        <v/>
      </c>
      <c r="AD89">
        <f>Tab_Data_Flows[[#This Row],[Flow_ID]]&amp;"_"&amp;"CC_"&amp;Tab_Data_Flows[[#This Row],[Flow_Data_Year]]</f>
        <v/>
      </c>
      <c r="AE89">
        <f>IF(F89="Yes",AC89*Tab_Data_Flows[[#This Row],[Flow_Material]]*Tab_Data_Flows[[#This Row],[DM_'[%']]],"N.A.")</f>
        <v/>
      </c>
      <c r="AF89">
        <f>Tab_Data_Flows[[#This Row],[UoM_Flow_Py]]</f>
        <v/>
      </c>
    </row>
    <row r="90">
      <c r="A90">
        <f>ROW()-1</f>
        <v/>
      </c>
      <c r="B90">
        <f>_xlfn.XLOOKUP(C90,Tab_Def_Flows[Flow_Name],Tab_Def_Flows[Flow_ID],,0,)</f>
        <v/>
      </c>
      <c r="C90" t="inlineStr">
        <is>
          <t>Environment_Input_cow-manure_production_E</t>
        </is>
      </c>
      <c r="D90">
        <f>_xlfn.XLOOKUP(C90,Tab_Def_Flows[Flow_Name],Tab_Def_Flows[WC?],,0,)</f>
        <v/>
      </c>
      <c r="E90">
        <f>_xlfn.XLOOKUP(C90,Tab_Def_Flows[Flow_Name],Tab_Def_Flows[DM?],,0,)</f>
        <v/>
      </c>
      <c r="F90">
        <f>_xlfn.XLOOKUP(C90,Tab_Def_Flows[Flow_Name],Tab_Def_Flows[CC?],,0,)</f>
        <v/>
      </c>
      <c r="G90" t="n">
        <v>2035</v>
      </c>
      <c r="H90" t="n">
        <v>32840.69888981528</v>
      </c>
      <c r="I90">
        <f>'0_Configuration'!$C$35</f>
        <v/>
      </c>
      <c r="O90" t="inlineStr">
        <is>
          <t>No</t>
        </is>
      </c>
      <c r="R90">
        <f>Tab_Data_Flows[[#This Row],[Flow_ID]]&amp;"_"&amp;"material_"&amp;Tab_Data_Flows[[#This Row],[Flow_Data_Year]]</f>
        <v/>
      </c>
      <c r="S90">
        <f>IF(O90="no",H90,H90*P90)</f>
        <v/>
      </c>
      <c r="T90">
        <f>Tab_Data_Flows[[#This Row],[UoM_Source]]</f>
        <v/>
      </c>
      <c r="U90">
        <f>INDEX(Tab_Def_Flows[[Flow_ID]:[CC_DM_source]],MATCH(Tab_Data_Flows[[#This Row],[Flow_Name]],Tab_Def_Flows[Flow_Name],0),11)</f>
        <v/>
      </c>
      <c r="V90">
        <f>Tab_Data_Flows[[#This Row],[Flow_ID]]&amp;"_"&amp;"WC_"&amp;Tab_Data_Flows[[#This Row],[Flow_Data_Year]]</f>
        <v/>
      </c>
      <c r="W90">
        <f>IF(D90="Yes",S90*Tab_Data_Flows[[#This Row],[WC_'[%']]],"N.A.")</f>
        <v/>
      </c>
      <c r="X90">
        <f>Tab_Data_Flows[[#This Row],[UoM_Flow_Py]]</f>
        <v/>
      </c>
      <c r="Y90">
        <f>INDEX(Tab_Def_Flows[[Flow_ID]:[CC_DM_source]],MATCH(Tab_Data_Flows[[#This Row],[Flow_Name]],Tab_Def_Flows[Flow_Name],0),14)</f>
        <v/>
      </c>
      <c r="Z90">
        <f>Tab_Data_Flows[[#This Row],[Flow_ID]]&amp;"_"&amp;"DM_"&amp;Tab_Data_Flows[[#This Row],[Flow_Data_Year]]</f>
        <v/>
      </c>
      <c r="AA90">
        <f>IF(E90="Yes",Y90*Tab_Data_Flows[[#This Row],[Flow_Material]],"N.A.")</f>
        <v/>
      </c>
      <c r="AB90">
        <f>Tab_Data_Flows[[#This Row],[UoM_Flow_Py]]</f>
        <v/>
      </c>
      <c r="AC90">
        <f>INDEX(Tab_Def_Flows[[Flow_ID]:[CC_DM_source]],MATCH(Tab_Data_Flows[[#This Row],[Flow_Name]],Tab_Def_Flows[Flow_Name],0),17)</f>
        <v/>
      </c>
      <c r="AD90">
        <f>Tab_Data_Flows[[#This Row],[Flow_ID]]&amp;"_"&amp;"CC_"&amp;Tab_Data_Flows[[#This Row],[Flow_Data_Year]]</f>
        <v/>
      </c>
      <c r="AE90">
        <f>IF(F90="Yes",AC90*Tab_Data_Flows[[#This Row],[Flow_Material]]*Tab_Data_Flows[[#This Row],[DM_'[%']]],"N.A.")</f>
        <v/>
      </c>
      <c r="AF90">
        <f>Tab_Data_Flows[[#This Row],[UoM_Flow_Py]]</f>
        <v/>
      </c>
    </row>
    <row r="91">
      <c r="A91">
        <f>ROW()-1</f>
        <v/>
      </c>
      <c r="B91">
        <f>_xlfn.XLOOKUP(C91,Tab_Def_Flows[Flow_Name],Tab_Def_Flows[Flow_ID],,0,)</f>
        <v/>
      </c>
      <c r="C91" t="inlineStr">
        <is>
          <t>Environment_Input_cow-manure_production_E</t>
        </is>
      </c>
      <c r="D91">
        <f>_xlfn.XLOOKUP(C91,Tab_Def_Flows[Flow_Name],Tab_Def_Flows[WC?],,0,)</f>
        <v/>
      </c>
      <c r="E91">
        <f>_xlfn.XLOOKUP(C91,Tab_Def_Flows[Flow_Name],Tab_Def_Flows[DM?],,0,)</f>
        <v/>
      </c>
      <c r="F91">
        <f>_xlfn.XLOOKUP(C91,Tab_Def_Flows[Flow_Name],Tab_Def_Flows[CC?],,0,)</f>
        <v/>
      </c>
      <c r="G91" t="n">
        <v>2036</v>
      </c>
      <c r="H91" t="n">
        <v>32815.90031573634</v>
      </c>
      <c r="I91">
        <f>'0_Configuration'!$C$35</f>
        <v/>
      </c>
      <c r="O91" t="inlineStr">
        <is>
          <t>No</t>
        </is>
      </c>
      <c r="R91">
        <f>Tab_Data_Flows[[#This Row],[Flow_ID]]&amp;"_"&amp;"material_"&amp;Tab_Data_Flows[[#This Row],[Flow_Data_Year]]</f>
        <v/>
      </c>
      <c r="S91">
        <f>IF(O91="no",H91,H91*P91)</f>
        <v/>
      </c>
      <c r="T91">
        <f>Tab_Data_Flows[[#This Row],[UoM_Source]]</f>
        <v/>
      </c>
      <c r="U91">
        <f>INDEX(Tab_Def_Flows[[Flow_ID]:[CC_DM_source]],MATCH(Tab_Data_Flows[[#This Row],[Flow_Name]],Tab_Def_Flows[Flow_Name],0),11)</f>
        <v/>
      </c>
      <c r="V91">
        <f>Tab_Data_Flows[[#This Row],[Flow_ID]]&amp;"_"&amp;"WC_"&amp;Tab_Data_Flows[[#This Row],[Flow_Data_Year]]</f>
        <v/>
      </c>
      <c r="W91">
        <f>IF(D91="Yes",S91*Tab_Data_Flows[[#This Row],[WC_'[%']]],"N.A.")</f>
        <v/>
      </c>
      <c r="X91">
        <f>Tab_Data_Flows[[#This Row],[UoM_Flow_Py]]</f>
        <v/>
      </c>
      <c r="Y91">
        <f>INDEX(Tab_Def_Flows[[Flow_ID]:[CC_DM_source]],MATCH(Tab_Data_Flows[[#This Row],[Flow_Name]],Tab_Def_Flows[Flow_Name],0),14)</f>
        <v/>
      </c>
      <c r="Z91">
        <f>Tab_Data_Flows[[#This Row],[Flow_ID]]&amp;"_"&amp;"DM_"&amp;Tab_Data_Flows[[#This Row],[Flow_Data_Year]]</f>
        <v/>
      </c>
      <c r="AA91">
        <f>IF(E91="Yes",Y91*Tab_Data_Flows[[#This Row],[Flow_Material]],"N.A.")</f>
        <v/>
      </c>
      <c r="AB91">
        <f>Tab_Data_Flows[[#This Row],[UoM_Flow_Py]]</f>
        <v/>
      </c>
      <c r="AC91">
        <f>INDEX(Tab_Def_Flows[[Flow_ID]:[CC_DM_source]],MATCH(Tab_Data_Flows[[#This Row],[Flow_Name]],Tab_Def_Flows[Flow_Name],0),17)</f>
        <v/>
      </c>
      <c r="AD91">
        <f>Tab_Data_Flows[[#This Row],[Flow_ID]]&amp;"_"&amp;"CC_"&amp;Tab_Data_Flows[[#This Row],[Flow_Data_Year]]</f>
        <v/>
      </c>
      <c r="AE91">
        <f>IF(F91="Yes",AC91*Tab_Data_Flows[[#This Row],[Flow_Material]]*Tab_Data_Flows[[#This Row],[DM_'[%']]],"N.A.")</f>
        <v/>
      </c>
      <c r="AF91">
        <f>Tab_Data_Flows[[#This Row],[UoM_Flow_Py]]</f>
        <v/>
      </c>
    </row>
    <row r="92">
      <c r="A92">
        <f>ROW()-1</f>
        <v/>
      </c>
      <c r="B92">
        <f>_xlfn.XLOOKUP(C92,Tab_Def_Flows[Flow_Name],Tab_Def_Flows[Flow_ID],,0,)</f>
        <v/>
      </c>
      <c r="C92" t="inlineStr">
        <is>
          <t>Environment_Input_cow-manure_production_E</t>
        </is>
      </c>
      <c r="D92">
        <f>_xlfn.XLOOKUP(C92,Tab_Def_Flows[Flow_Name],Tab_Def_Flows[WC?],,0,)</f>
        <v/>
      </c>
      <c r="E92">
        <f>_xlfn.XLOOKUP(C92,Tab_Def_Flows[Flow_Name],Tab_Def_Flows[DM?],,0,)</f>
        <v/>
      </c>
      <c r="F92">
        <f>_xlfn.XLOOKUP(C92,Tab_Def_Flows[Flow_Name],Tab_Def_Flows[CC?],,0,)</f>
        <v/>
      </c>
      <c r="G92" t="n">
        <v>2037</v>
      </c>
      <c r="H92" t="n">
        <v>40364.16416197678</v>
      </c>
      <c r="I92">
        <f>'0_Configuration'!$C$35</f>
        <v/>
      </c>
      <c r="O92" t="inlineStr">
        <is>
          <t>No</t>
        </is>
      </c>
      <c r="R92">
        <f>Tab_Data_Flows[[#This Row],[Flow_ID]]&amp;"_"&amp;"material_"&amp;Tab_Data_Flows[[#This Row],[Flow_Data_Year]]</f>
        <v/>
      </c>
      <c r="S92">
        <f>IF(O92="no",H92,H92*P92)</f>
        <v/>
      </c>
      <c r="T92">
        <f>Tab_Data_Flows[[#This Row],[UoM_Source]]</f>
        <v/>
      </c>
      <c r="U92">
        <f>INDEX(Tab_Def_Flows[[Flow_ID]:[CC_DM_source]],MATCH(Tab_Data_Flows[[#This Row],[Flow_Name]],Tab_Def_Flows[Flow_Name],0),11)</f>
        <v/>
      </c>
      <c r="V92">
        <f>Tab_Data_Flows[[#This Row],[Flow_ID]]&amp;"_"&amp;"WC_"&amp;Tab_Data_Flows[[#This Row],[Flow_Data_Year]]</f>
        <v/>
      </c>
      <c r="W92">
        <f>IF(D92="Yes",S92*Tab_Data_Flows[[#This Row],[WC_'[%']]],"N.A.")</f>
        <v/>
      </c>
      <c r="X92">
        <f>Tab_Data_Flows[[#This Row],[UoM_Flow_Py]]</f>
        <v/>
      </c>
      <c r="Y92">
        <f>INDEX(Tab_Def_Flows[[Flow_ID]:[CC_DM_source]],MATCH(Tab_Data_Flows[[#This Row],[Flow_Name]],Tab_Def_Flows[Flow_Name],0),14)</f>
        <v/>
      </c>
      <c r="Z92">
        <f>Tab_Data_Flows[[#This Row],[Flow_ID]]&amp;"_"&amp;"DM_"&amp;Tab_Data_Flows[[#This Row],[Flow_Data_Year]]</f>
        <v/>
      </c>
      <c r="AA92">
        <f>IF(E92="Yes",Y92*Tab_Data_Flows[[#This Row],[Flow_Material]],"N.A.")</f>
        <v/>
      </c>
      <c r="AB92">
        <f>Tab_Data_Flows[[#This Row],[UoM_Flow_Py]]</f>
        <v/>
      </c>
      <c r="AC92">
        <f>INDEX(Tab_Def_Flows[[Flow_ID]:[CC_DM_source]],MATCH(Tab_Data_Flows[[#This Row],[Flow_Name]],Tab_Def_Flows[Flow_Name],0),17)</f>
        <v/>
      </c>
      <c r="AD92">
        <f>Tab_Data_Flows[[#This Row],[Flow_ID]]&amp;"_"&amp;"CC_"&amp;Tab_Data_Flows[[#This Row],[Flow_Data_Year]]</f>
        <v/>
      </c>
      <c r="AE92">
        <f>IF(F92="Yes",AC92*Tab_Data_Flows[[#This Row],[Flow_Material]]*Tab_Data_Flows[[#This Row],[DM_'[%']]],"N.A.")</f>
        <v/>
      </c>
      <c r="AF92">
        <f>Tab_Data_Flows[[#This Row],[UoM_Flow_Py]]</f>
        <v/>
      </c>
    </row>
    <row r="93">
      <c r="A93">
        <f>ROW()-1</f>
        <v/>
      </c>
      <c r="B93">
        <f>_xlfn.XLOOKUP(C93,Tab_Def_Flows[Flow_Name],Tab_Def_Flows[Flow_ID],,0,)</f>
        <v/>
      </c>
      <c r="C93" t="inlineStr">
        <is>
          <t>Environment_Input_cow-manure_production_E</t>
        </is>
      </c>
      <c r="D93">
        <f>_xlfn.XLOOKUP(C93,Tab_Def_Flows[Flow_Name],Tab_Def_Flows[WC?],,0,)</f>
        <v/>
      </c>
      <c r="E93">
        <f>_xlfn.XLOOKUP(C93,Tab_Def_Flows[Flow_Name],Tab_Def_Flows[DM?],,0,)</f>
        <v/>
      </c>
      <c r="F93">
        <f>_xlfn.XLOOKUP(C93,Tab_Def_Flows[Flow_Name],Tab_Def_Flows[CC?],,0,)</f>
        <v/>
      </c>
      <c r="G93" t="n">
        <v>2038</v>
      </c>
      <c r="H93" t="n">
        <v>17376.94124927181</v>
      </c>
      <c r="I93">
        <f>'0_Configuration'!$C$35</f>
        <v/>
      </c>
      <c r="O93" t="inlineStr">
        <is>
          <t>No</t>
        </is>
      </c>
      <c r="R93">
        <f>Tab_Data_Flows[[#This Row],[Flow_ID]]&amp;"_"&amp;"material_"&amp;Tab_Data_Flows[[#This Row],[Flow_Data_Year]]</f>
        <v/>
      </c>
      <c r="S93">
        <f>IF(O93="no",H93,H93*P93)</f>
        <v/>
      </c>
      <c r="T93">
        <f>Tab_Data_Flows[[#This Row],[UoM_Source]]</f>
        <v/>
      </c>
      <c r="U93">
        <f>INDEX(Tab_Def_Flows[[Flow_ID]:[CC_DM_source]],MATCH(Tab_Data_Flows[[#This Row],[Flow_Name]],Tab_Def_Flows[Flow_Name],0),11)</f>
        <v/>
      </c>
      <c r="V93">
        <f>Tab_Data_Flows[[#This Row],[Flow_ID]]&amp;"_"&amp;"WC_"&amp;Tab_Data_Flows[[#This Row],[Flow_Data_Year]]</f>
        <v/>
      </c>
      <c r="W93">
        <f>IF(D93="Yes",S93*Tab_Data_Flows[[#This Row],[WC_'[%']]],"N.A.")</f>
        <v/>
      </c>
      <c r="X93">
        <f>Tab_Data_Flows[[#This Row],[UoM_Flow_Py]]</f>
        <v/>
      </c>
      <c r="Y93">
        <f>INDEX(Tab_Def_Flows[[Flow_ID]:[CC_DM_source]],MATCH(Tab_Data_Flows[[#This Row],[Flow_Name]],Tab_Def_Flows[Flow_Name],0),14)</f>
        <v/>
      </c>
      <c r="Z93">
        <f>Tab_Data_Flows[[#This Row],[Flow_ID]]&amp;"_"&amp;"DM_"&amp;Tab_Data_Flows[[#This Row],[Flow_Data_Year]]</f>
        <v/>
      </c>
      <c r="AA93">
        <f>IF(E93="Yes",Y93*Tab_Data_Flows[[#This Row],[Flow_Material]],"N.A.")</f>
        <v/>
      </c>
      <c r="AB93">
        <f>Tab_Data_Flows[[#This Row],[UoM_Flow_Py]]</f>
        <v/>
      </c>
      <c r="AC93">
        <f>INDEX(Tab_Def_Flows[[Flow_ID]:[CC_DM_source]],MATCH(Tab_Data_Flows[[#This Row],[Flow_Name]],Tab_Def_Flows[Flow_Name],0),17)</f>
        <v/>
      </c>
      <c r="AD93">
        <f>Tab_Data_Flows[[#This Row],[Flow_ID]]&amp;"_"&amp;"CC_"&amp;Tab_Data_Flows[[#This Row],[Flow_Data_Year]]</f>
        <v/>
      </c>
      <c r="AE93">
        <f>IF(F93="Yes",AC93*Tab_Data_Flows[[#This Row],[Flow_Material]]*Tab_Data_Flows[[#This Row],[DM_'[%']]],"N.A.")</f>
        <v/>
      </c>
      <c r="AF93">
        <f>Tab_Data_Flows[[#This Row],[UoM_Flow_Py]]</f>
        <v/>
      </c>
    </row>
    <row r="94">
      <c r="A94">
        <f>ROW()-1</f>
        <v/>
      </c>
      <c r="B94">
        <f>_xlfn.XLOOKUP(C94,Tab_Def_Flows[Flow_Name],Tab_Def_Flows[Flow_ID],,0,)</f>
        <v/>
      </c>
      <c r="C94" t="inlineStr">
        <is>
          <t>Environment_Input_cow-manure_production_E</t>
        </is>
      </c>
      <c r="D94">
        <f>_xlfn.XLOOKUP(C94,Tab_Def_Flows[Flow_Name],Tab_Def_Flows[WC?],,0,)</f>
        <v/>
      </c>
      <c r="E94">
        <f>_xlfn.XLOOKUP(C94,Tab_Def_Flows[Flow_Name],Tab_Def_Flows[DM?],,0,)</f>
        <v/>
      </c>
      <c r="F94">
        <f>_xlfn.XLOOKUP(C94,Tab_Def_Flows[Flow_Name],Tab_Def_Flows[CC?],,0,)</f>
        <v/>
      </c>
      <c r="G94" t="n">
        <v>2039</v>
      </c>
      <c r="H94" t="n">
        <v>19385.62574966587</v>
      </c>
      <c r="I94">
        <f>'0_Configuration'!$C$35</f>
        <v/>
      </c>
      <c r="O94" t="inlineStr">
        <is>
          <t>No</t>
        </is>
      </c>
      <c r="R94">
        <f>Tab_Data_Flows[[#This Row],[Flow_ID]]&amp;"_"&amp;"material_"&amp;Tab_Data_Flows[[#This Row],[Flow_Data_Year]]</f>
        <v/>
      </c>
      <c r="S94">
        <f>IF(O94="no",H94,H94*P94)</f>
        <v/>
      </c>
      <c r="T94">
        <f>Tab_Data_Flows[[#This Row],[UoM_Source]]</f>
        <v/>
      </c>
      <c r="U94">
        <f>INDEX(Tab_Def_Flows[[Flow_ID]:[CC_DM_source]],MATCH(Tab_Data_Flows[[#This Row],[Flow_Name]],Tab_Def_Flows[Flow_Name],0),11)</f>
        <v/>
      </c>
      <c r="V94">
        <f>Tab_Data_Flows[[#This Row],[Flow_ID]]&amp;"_"&amp;"WC_"&amp;Tab_Data_Flows[[#This Row],[Flow_Data_Year]]</f>
        <v/>
      </c>
      <c r="W94">
        <f>IF(D94="Yes",S94*Tab_Data_Flows[[#This Row],[WC_'[%']]],"N.A.")</f>
        <v/>
      </c>
      <c r="X94">
        <f>Tab_Data_Flows[[#This Row],[UoM_Flow_Py]]</f>
        <v/>
      </c>
      <c r="Y94">
        <f>INDEX(Tab_Def_Flows[[Flow_ID]:[CC_DM_source]],MATCH(Tab_Data_Flows[[#This Row],[Flow_Name]],Tab_Def_Flows[Flow_Name],0),14)</f>
        <v/>
      </c>
      <c r="Z94">
        <f>Tab_Data_Flows[[#This Row],[Flow_ID]]&amp;"_"&amp;"DM_"&amp;Tab_Data_Flows[[#This Row],[Flow_Data_Year]]</f>
        <v/>
      </c>
      <c r="AA94">
        <f>IF(E94="Yes",Y94*Tab_Data_Flows[[#This Row],[Flow_Material]],"N.A.")</f>
        <v/>
      </c>
      <c r="AB94">
        <f>Tab_Data_Flows[[#This Row],[UoM_Flow_Py]]</f>
        <v/>
      </c>
      <c r="AC94">
        <f>INDEX(Tab_Def_Flows[[Flow_ID]:[CC_DM_source]],MATCH(Tab_Data_Flows[[#This Row],[Flow_Name]],Tab_Def_Flows[Flow_Name],0),17)</f>
        <v/>
      </c>
      <c r="AD94">
        <f>Tab_Data_Flows[[#This Row],[Flow_ID]]&amp;"_"&amp;"CC_"&amp;Tab_Data_Flows[[#This Row],[Flow_Data_Year]]</f>
        <v/>
      </c>
      <c r="AE94">
        <f>IF(F94="Yes",AC94*Tab_Data_Flows[[#This Row],[Flow_Material]]*Tab_Data_Flows[[#This Row],[DM_'[%']]],"N.A.")</f>
        <v/>
      </c>
      <c r="AF94">
        <f>Tab_Data_Flows[[#This Row],[UoM_Flow_Py]]</f>
        <v/>
      </c>
    </row>
    <row r="95">
      <c r="A95">
        <f>ROW()-1</f>
        <v/>
      </c>
      <c r="B95">
        <f>_xlfn.XLOOKUP(C95,Tab_Def_Flows[Flow_Name],Tab_Def_Flows[Flow_ID],,0,)</f>
        <v/>
      </c>
      <c r="C95" t="inlineStr">
        <is>
          <t>Environment_Input_cow-manure_production_E</t>
        </is>
      </c>
      <c r="D95">
        <f>_xlfn.XLOOKUP(C95,Tab_Def_Flows[Flow_Name],Tab_Def_Flows[WC?],,0,)</f>
        <v/>
      </c>
      <c r="E95">
        <f>_xlfn.XLOOKUP(C95,Tab_Def_Flows[Flow_Name],Tab_Def_Flows[DM?],,0,)</f>
        <v/>
      </c>
      <c r="F95">
        <f>_xlfn.XLOOKUP(C95,Tab_Def_Flows[Flow_Name],Tab_Def_Flows[CC?],,0,)</f>
        <v/>
      </c>
      <c r="G95" t="n">
        <v>2040</v>
      </c>
      <c r="H95" t="n">
        <v>31786.49567684251</v>
      </c>
      <c r="I95">
        <f>'0_Configuration'!$C$35</f>
        <v/>
      </c>
      <c r="O95" t="inlineStr">
        <is>
          <t>No</t>
        </is>
      </c>
      <c r="R95">
        <f>Tab_Data_Flows[[#This Row],[Flow_ID]]&amp;"_"&amp;"material_"&amp;Tab_Data_Flows[[#This Row],[Flow_Data_Year]]</f>
        <v/>
      </c>
      <c r="S95">
        <f>IF(O95="no",H95,H95*P95)</f>
        <v/>
      </c>
      <c r="T95">
        <f>Tab_Data_Flows[[#This Row],[UoM_Source]]</f>
        <v/>
      </c>
      <c r="U95">
        <f>INDEX(Tab_Def_Flows[[Flow_ID]:[CC_DM_source]],MATCH(Tab_Data_Flows[[#This Row],[Flow_Name]],Tab_Def_Flows[Flow_Name],0),11)</f>
        <v/>
      </c>
      <c r="V95">
        <f>Tab_Data_Flows[[#This Row],[Flow_ID]]&amp;"_"&amp;"WC_"&amp;Tab_Data_Flows[[#This Row],[Flow_Data_Year]]</f>
        <v/>
      </c>
      <c r="W95">
        <f>IF(D95="Yes",S95*Tab_Data_Flows[[#This Row],[WC_'[%']]],"N.A.")</f>
        <v/>
      </c>
      <c r="X95">
        <f>Tab_Data_Flows[[#This Row],[UoM_Flow_Py]]</f>
        <v/>
      </c>
      <c r="Y95">
        <f>INDEX(Tab_Def_Flows[[Flow_ID]:[CC_DM_source]],MATCH(Tab_Data_Flows[[#This Row],[Flow_Name]],Tab_Def_Flows[Flow_Name],0),14)</f>
        <v/>
      </c>
      <c r="Z95">
        <f>Tab_Data_Flows[[#This Row],[Flow_ID]]&amp;"_"&amp;"DM_"&amp;Tab_Data_Flows[[#This Row],[Flow_Data_Year]]</f>
        <v/>
      </c>
      <c r="AA95">
        <f>IF(E95="Yes",Y95*Tab_Data_Flows[[#This Row],[Flow_Material]],"N.A.")</f>
        <v/>
      </c>
      <c r="AB95">
        <f>Tab_Data_Flows[[#This Row],[UoM_Flow_Py]]</f>
        <v/>
      </c>
      <c r="AC95">
        <f>INDEX(Tab_Def_Flows[[Flow_ID]:[CC_DM_source]],MATCH(Tab_Data_Flows[[#This Row],[Flow_Name]],Tab_Def_Flows[Flow_Name],0),17)</f>
        <v/>
      </c>
      <c r="AD95">
        <f>Tab_Data_Flows[[#This Row],[Flow_ID]]&amp;"_"&amp;"CC_"&amp;Tab_Data_Flows[[#This Row],[Flow_Data_Year]]</f>
        <v/>
      </c>
      <c r="AE95">
        <f>IF(F95="Yes",AC95*Tab_Data_Flows[[#This Row],[Flow_Material]]*Tab_Data_Flows[[#This Row],[DM_'[%']]],"N.A.")</f>
        <v/>
      </c>
      <c r="AF95">
        <f>Tab_Data_Flows[[#This Row],[UoM_Flow_Py]]</f>
        <v/>
      </c>
    </row>
    <row r="96">
      <c r="A96">
        <f>ROW()-1</f>
        <v/>
      </c>
      <c r="B96">
        <f>_xlfn.XLOOKUP(C96,Tab_Def_Flows[Flow_Name],Tab_Def_Flows[Flow_ID],,0,)</f>
        <v/>
      </c>
      <c r="C96" t="inlineStr">
        <is>
          <t>Environment_Input_cow-manure_production_E</t>
        </is>
      </c>
      <c r="D96">
        <f>_xlfn.XLOOKUP(C96,Tab_Def_Flows[Flow_Name],Tab_Def_Flows[WC?],,0,)</f>
        <v/>
      </c>
      <c r="E96">
        <f>_xlfn.XLOOKUP(C96,Tab_Def_Flows[Flow_Name],Tab_Def_Flows[DM?],,0,)</f>
        <v/>
      </c>
      <c r="F96">
        <f>_xlfn.XLOOKUP(C96,Tab_Def_Flows[Flow_Name],Tab_Def_Flows[CC?],,0,)</f>
        <v/>
      </c>
      <c r="G96" t="n">
        <v>2041</v>
      </c>
      <c r="H96" t="n">
        <v>26980.84859788558</v>
      </c>
      <c r="I96">
        <f>'0_Configuration'!$C$35</f>
        <v/>
      </c>
      <c r="O96" t="inlineStr">
        <is>
          <t>No</t>
        </is>
      </c>
      <c r="R96">
        <f>Tab_Data_Flows[[#This Row],[Flow_ID]]&amp;"_"&amp;"material_"&amp;Tab_Data_Flows[[#This Row],[Flow_Data_Year]]</f>
        <v/>
      </c>
      <c r="S96">
        <f>IF(O96="no",H96,H96*P96)</f>
        <v/>
      </c>
      <c r="T96">
        <f>Tab_Data_Flows[[#This Row],[UoM_Source]]</f>
        <v/>
      </c>
      <c r="U96">
        <f>INDEX(Tab_Def_Flows[[Flow_ID]:[CC_DM_source]],MATCH(Tab_Data_Flows[[#This Row],[Flow_Name]],Tab_Def_Flows[Flow_Name],0),11)</f>
        <v/>
      </c>
      <c r="V96">
        <f>Tab_Data_Flows[[#This Row],[Flow_ID]]&amp;"_"&amp;"WC_"&amp;Tab_Data_Flows[[#This Row],[Flow_Data_Year]]</f>
        <v/>
      </c>
      <c r="W96">
        <f>IF(D96="Yes",S96*Tab_Data_Flows[[#This Row],[WC_'[%']]],"N.A.")</f>
        <v/>
      </c>
      <c r="X96">
        <f>Tab_Data_Flows[[#This Row],[UoM_Flow_Py]]</f>
        <v/>
      </c>
      <c r="Y96">
        <f>INDEX(Tab_Def_Flows[[Flow_ID]:[CC_DM_source]],MATCH(Tab_Data_Flows[[#This Row],[Flow_Name]],Tab_Def_Flows[Flow_Name],0),14)</f>
        <v/>
      </c>
      <c r="Z96">
        <f>Tab_Data_Flows[[#This Row],[Flow_ID]]&amp;"_"&amp;"DM_"&amp;Tab_Data_Flows[[#This Row],[Flow_Data_Year]]</f>
        <v/>
      </c>
      <c r="AA96">
        <f>IF(E96="Yes",Y96*Tab_Data_Flows[[#This Row],[Flow_Material]],"N.A.")</f>
        <v/>
      </c>
      <c r="AB96">
        <f>Tab_Data_Flows[[#This Row],[UoM_Flow_Py]]</f>
        <v/>
      </c>
      <c r="AC96">
        <f>INDEX(Tab_Def_Flows[[Flow_ID]:[CC_DM_source]],MATCH(Tab_Data_Flows[[#This Row],[Flow_Name]],Tab_Def_Flows[Flow_Name],0),17)</f>
        <v/>
      </c>
      <c r="AD96">
        <f>Tab_Data_Flows[[#This Row],[Flow_ID]]&amp;"_"&amp;"CC_"&amp;Tab_Data_Flows[[#This Row],[Flow_Data_Year]]</f>
        <v/>
      </c>
      <c r="AE96">
        <f>IF(F96="Yes",AC96*Tab_Data_Flows[[#This Row],[Flow_Material]]*Tab_Data_Flows[[#This Row],[DM_'[%']]],"N.A.")</f>
        <v/>
      </c>
      <c r="AF96">
        <f>Tab_Data_Flows[[#This Row],[UoM_Flow_Py]]</f>
        <v/>
      </c>
    </row>
    <row r="97">
      <c r="A97">
        <f>ROW()-1</f>
        <v/>
      </c>
      <c r="B97">
        <f>_xlfn.XLOOKUP(C97,Tab_Def_Flows[Flow_Name],Tab_Def_Flows[Flow_ID],,0,)</f>
        <v/>
      </c>
      <c r="C97" t="inlineStr">
        <is>
          <t>Environment_Input_cow-manure_production_E</t>
        </is>
      </c>
      <c r="D97">
        <f>_xlfn.XLOOKUP(C97,Tab_Def_Flows[Flow_Name],Tab_Def_Flows[WC?],,0,)</f>
        <v/>
      </c>
      <c r="E97">
        <f>_xlfn.XLOOKUP(C97,Tab_Def_Flows[Flow_Name],Tab_Def_Flows[DM?],,0,)</f>
        <v/>
      </c>
      <c r="F97">
        <f>_xlfn.XLOOKUP(C97,Tab_Def_Flows[Flow_Name],Tab_Def_Flows[CC?],,0,)</f>
        <v/>
      </c>
      <c r="G97" t="n">
        <v>2042</v>
      </c>
      <c r="H97" t="n">
        <v>41135.03047536677</v>
      </c>
      <c r="I97">
        <f>'0_Configuration'!$C$35</f>
        <v/>
      </c>
      <c r="O97" t="inlineStr">
        <is>
          <t>No</t>
        </is>
      </c>
      <c r="R97">
        <f>Tab_Data_Flows[[#This Row],[Flow_ID]]&amp;"_"&amp;"material_"&amp;Tab_Data_Flows[[#This Row],[Flow_Data_Year]]</f>
        <v/>
      </c>
      <c r="S97">
        <f>IF(O97="no",H97,H97*P97)</f>
        <v/>
      </c>
      <c r="T97">
        <f>Tab_Data_Flows[[#This Row],[UoM_Source]]</f>
        <v/>
      </c>
      <c r="U97">
        <f>INDEX(Tab_Def_Flows[[Flow_ID]:[CC_DM_source]],MATCH(Tab_Data_Flows[[#This Row],[Flow_Name]],Tab_Def_Flows[Flow_Name],0),11)</f>
        <v/>
      </c>
      <c r="V97">
        <f>Tab_Data_Flows[[#This Row],[Flow_ID]]&amp;"_"&amp;"WC_"&amp;Tab_Data_Flows[[#This Row],[Flow_Data_Year]]</f>
        <v/>
      </c>
      <c r="W97">
        <f>IF(D97="Yes",S97*Tab_Data_Flows[[#This Row],[WC_'[%']]],"N.A.")</f>
        <v/>
      </c>
      <c r="X97">
        <f>Tab_Data_Flows[[#This Row],[UoM_Flow_Py]]</f>
        <v/>
      </c>
      <c r="Y97">
        <f>INDEX(Tab_Def_Flows[[Flow_ID]:[CC_DM_source]],MATCH(Tab_Data_Flows[[#This Row],[Flow_Name]],Tab_Def_Flows[Flow_Name],0),14)</f>
        <v/>
      </c>
      <c r="Z97">
        <f>Tab_Data_Flows[[#This Row],[Flow_ID]]&amp;"_"&amp;"DM_"&amp;Tab_Data_Flows[[#This Row],[Flow_Data_Year]]</f>
        <v/>
      </c>
      <c r="AA97">
        <f>IF(E97="Yes",Y97*Tab_Data_Flows[[#This Row],[Flow_Material]],"N.A.")</f>
        <v/>
      </c>
      <c r="AB97">
        <f>Tab_Data_Flows[[#This Row],[UoM_Flow_Py]]</f>
        <v/>
      </c>
      <c r="AC97">
        <f>INDEX(Tab_Def_Flows[[Flow_ID]:[CC_DM_source]],MATCH(Tab_Data_Flows[[#This Row],[Flow_Name]],Tab_Def_Flows[Flow_Name],0),17)</f>
        <v/>
      </c>
      <c r="AD97">
        <f>Tab_Data_Flows[[#This Row],[Flow_ID]]&amp;"_"&amp;"CC_"&amp;Tab_Data_Flows[[#This Row],[Flow_Data_Year]]</f>
        <v/>
      </c>
      <c r="AE97">
        <f>IF(F97="Yes",AC97*Tab_Data_Flows[[#This Row],[Flow_Material]]*Tab_Data_Flows[[#This Row],[DM_'[%']]],"N.A.")</f>
        <v/>
      </c>
      <c r="AF97">
        <f>Tab_Data_Flows[[#This Row],[UoM_Flow_Py]]</f>
        <v/>
      </c>
    </row>
    <row r="98">
      <c r="A98">
        <f>ROW()-1</f>
        <v/>
      </c>
      <c r="B98">
        <f>_xlfn.XLOOKUP(C98,Tab_Def_Flows[Flow_Name],Tab_Def_Flows[Flow_ID],,0,)</f>
        <v/>
      </c>
      <c r="C98" t="inlineStr">
        <is>
          <t>Environment_Input_cow-manure_production_E</t>
        </is>
      </c>
      <c r="D98">
        <f>_xlfn.XLOOKUP(C98,Tab_Def_Flows[Flow_Name],Tab_Def_Flows[WC?],,0,)</f>
        <v/>
      </c>
      <c r="E98">
        <f>_xlfn.XLOOKUP(C98,Tab_Def_Flows[Flow_Name],Tab_Def_Flows[DM?],,0,)</f>
        <v/>
      </c>
      <c r="F98">
        <f>_xlfn.XLOOKUP(C98,Tab_Def_Flows[Flow_Name],Tab_Def_Flows[CC?],,0,)</f>
        <v/>
      </c>
      <c r="G98" t="n">
        <v>2043</v>
      </c>
      <c r="H98" t="n">
        <v>28098.89494838072</v>
      </c>
      <c r="I98">
        <f>'0_Configuration'!$C$35</f>
        <v/>
      </c>
      <c r="O98" t="inlineStr">
        <is>
          <t>No</t>
        </is>
      </c>
      <c r="R98">
        <f>Tab_Data_Flows[[#This Row],[Flow_ID]]&amp;"_"&amp;"material_"&amp;Tab_Data_Flows[[#This Row],[Flow_Data_Year]]</f>
        <v/>
      </c>
      <c r="S98">
        <f>IF(O98="no",H98,H98*P98)</f>
        <v/>
      </c>
      <c r="T98">
        <f>Tab_Data_Flows[[#This Row],[UoM_Source]]</f>
        <v/>
      </c>
      <c r="U98">
        <f>INDEX(Tab_Def_Flows[[Flow_ID]:[CC_DM_source]],MATCH(Tab_Data_Flows[[#This Row],[Flow_Name]],Tab_Def_Flows[Flow_Name],0),11)</f>
        <v/>
      </c>
      <c r="V98">
        <f>Tab_Data_Flows[[#This Row],[Flow_ID]]&amp;"_"&amp;"WC_"&amp;Tab_Data_Flows[[#This Row],[Flow_Data_Year]]</f>
        <v/>
      </c>
      <c r="W98">
        <f>IF(D98="Yes",S98*Tab_Data_Flows[[#This Row],[WC_'[%']]],"N.A.")</f>
        <v/>
      </c>
      <c r="X98">
        <f>Tab_Data_Flows[[#This Row],[UoM_Flow_Py]]</f>
        <v/>
      </c>
      <c r="Y98">
        <f>INDEX(Tab_Def_Flows[[Flow_ID]:[CC_DM_source]],MATCH(Tab_Data_Flows[[#This Row],[Flow_Name]],Tab_Def_Flows[Flow_Name],0),14)</f>
        <v/>
      </c>
      <c r="Z98">
        <f>Tab_Data_Flows[[#This Row],[Flow_ID]]&amp;"_"&amp;"DM_"&amp;Tab_Data_Flows[[#This Row],[Flow_Data_Year]]</f>
        <v/>
      </c>
      <c r="AA98">
        <f>IF(E98="Yes",Y98*Tab_Data_Flows[[#This Row],[Flow_Material]],"N.A.")</f>
        <v/>
      </c>
      <c r="AB98">
        <f>Tab_Data_Flows[[#This Row],[UoM_Flow_Py]]</f>
        <v/>
      </c>
      <c r="AC98">
        <f>INDEX(Tab_Def_Flows[[Flow_ID]:[CC_DM_source]],MATCH(Tab_Data_Flows[[#This Row],[Flow_Name]],Tab_Def_Flows[Flow_Name],0),17)</f>
        <v/>
      </c>
      <c r="AD98">
        <f>Tab_Data_Flows[[#This Row],[Flow_ID]]&amp;"_"&amp;"CC_"&amp;Tab_Data_Flows[[#This Row],[Flow_Data_Year]]</f>
        <v/>
      </c>
      <c r="AE98">
        <f>IF(F98="Yes",AC98*Tab_Data_Flows[[#This Row],[Flow_Material]]*Tab_Data_Flows[[#This Row],[DM_'[%']]],"N.A.")</f>
        <v/>
      </c>
      <c r="AF98">
        <f>Tab_Data_Flows[[#This Row],[UoM_Flow_Py]]</f>
        <v/>
      </c>
    </row>
    <row r="99">
      <c r="A99">
        <f>ROW()-1</f>
        <v/>
      </c>
      <c r="B99">
        <f>_xlfn.XLOOKUP(C99,Tab_Def_Flows[Flow_Name],Tab_Def_Flows[Flow_ID],,0,)</f>
        <v/>
      </c>
      <c r="C99" t="inlineStr">
        <is>
          <t>Environment_Input_cow-manure_production_E</t>
        </is>
      </c>
      <c r="D99">
        <f>_xlfn.XLOOKUP(C99,Tab_Def_Flows[Flow_Name],Tab_Def_Flows[WC?],,0,)</f>
        <v/>
      </c>
      <c r="E99">
        <f>_xlfn.XLOOKUP(C99,Tab_Def_Flows[Flow_Name],Tab_Def_Flows[DM?],,0,)</f>
        <v/>
      </c>
      <c r="F99">
        <f>_xlfn.XLOOKUP(C99,Tab_Def_Flows[Flow_Name],Tab_Def_Flows[CC?],,0,)</f>
        <v/>
      </c>
      <c r="G99" t="n">
        <v>2044</v>
      </c>
      <c r="H99" t="n">
        <v>22720.24251942958</v>
      </c>
      <c r="I99">
        <f>'0_Configuration'!$C$35</f>
        <v/>
      </c>
      <c r="O99" t="inlineStr">
        <is>
          <t>No</t>
        </is>
      </c>
      <c r="R99">
        <f>Tab_Data_Flows[[#This Row],[Flow_ID]]&amp;"_"&amp;"material_"&amp;Tab_Data_Flows[[#This Row],[Flow_Data_Year]]</f>
        <v/>
      </c>
      <c r="S99">
        <f>IF(O99="no",H99,H99*P99)</f>
        <v/>
      </c>
      <c r="T99">
        <f>Tab_Data_Flows[[#This Row],[UoM_Source]]</f>
        <v/>
      </c>
      <c r="U99">
        <f>INDEX(Tab_Def_Flows[[Flow_ID]:[CC_DM_source]],MATCH(Tab_Data_Flows[[#This Row],[Flow_Name]],Tab_Def_Flows[Flow_Name],0),11)</f>
        <v/>
      </c>
      <c r="V99">
        <f>Tab_Data_Flows[[#This Row],[Flow_ID]]&amp;"_"&amp;"WC_"&amp;Tab_Data_Flows[[#This Row],[Flow_Data_Year]]</f>
        <v/>
      </c>
      <c r="W99">
        <f>IF(D99="Yes",S99*Tab_Data_Flows[[#This Row],[WC_'[%']]],"N.A.")</f>
        <v/>
      </c>
      <c r="X99">
        <f>Tab_Data_Flows[[#This Row],[UoM_Flow_Py]]</f>
        <v/>
      </c>
      <c r="Y99">
        <f>INDEX(Tab_Def_Flows[[Flow_ID]:[CC_DM_source]],MATCH(Tab_Data_Flows[[#This Row],[Flow_Name]],Tab_Def_Flows[Flow_Name],0),14)</f>
        <v/>
      </c>
      <c r="Z99">
        <f>Tab_Data_Flows[[#This Row],[Flow_ID]]&amp;"_"&amp;"DM_"&amp;Tab_Data_Flows[[#This Row],[Flow_Data_Year]]</f>
        <v/>
      </c>
      <c r="AA99">
        <f>IF(E99="Yes",Y99*Tab_Data_Flows[[#This Row],[Flow_Material]],"N.A.")</f>
        <v/>
      </c>
      <c r="AB99">
        <f>Tab_Data_Flows[[#This Row],[UoM_Flow_Py]]</f>
        <v/>
      </c>
      <c r="AC99">
        <f>INDEX(Tab_Def_Flows[[Flow_ID]:[CC_DM_source]],MATCH(Tab_Data_Flows[[#This Row],[Flow_Name]],Tab_Def_Flows[Flow_Name],0),17)</f>
        <v/>
      </c>
      <c r="AD99">
        <f>Tab_Data_Flows[[#This Row],[Flow_ID]]&amp;"_"&amp;"CC_"&amp;Tab_Data_Flows[[#This Row],[Flow_Data_Year]]</f>
        <v/>
      </c>
      <c r="AE99">
        <f>IF(F99="Yes",AC99*Tab_Data_Flows[[#This Row],[Flow_Material]]*Tab_Data_Flows[[#This Row],[DM_'[%']]],"N.A.")</f>
        <v/>
      </c>
      <c r="AF99">
        <f>Tab_Data_Flows[[#This Row],[UoM_Flow_Py]]</f>
        <v/>
      </c>
    </row>
    <row r="100">
      <c r="A100">
        <f>ROW()-1</f>
        <v/>
      </c>
      <c r="B100">
        <f>_xlfn.XLOOKUP(C100,Tab_Def_Flows[Flow_Name],Tab_Def_Flows[Flow_ID],,0,)</f>
        <v/>
      </c>
      <c r="C100" t="inlineStr">
        <is>
          <t>Environment_Input_cow-manure_production_E</t>
        </is>
      </c>
      <c r="D100">
        <f>_xlfn.XLOOKUP(C100,Tab_Def_Flows[Flow_Name],Tab_Def_Flows[WC?],,0,)</f>
        <v/>
      </c>
      <c r="E100">
        <f>_xlfn.XLOOKUP(C100,Tab_Def_Flows[Flow_Name],Tab_Def_Flows[DM?],,0,)</f>
        <v/>
      </c>
      <c r="F100">
        <f>_xlfn.XLOOKUP(C100,Tab_Def_Flows[Flow_Name],Tab_Def_Flows[CC?],,0,)</f>
        <v/>
      </c>
      <c r="G100" t="n">
        <v>2045</v>
      </c>
      <c r="H100" t="n">
        <v>53416.1285660345</v>
      </c>
      <c r="I100">
        <f>'0_Configuration'!$C$35</f>
        <v/>
      </c>
      <c r="O100" t="inlineStr">
        <is>
          <t>No</t>
        </is>
      </c>
      <c r="R100">
        <f>Tab_Data_Flows[[#This Row],[Flow_ID]]&amp;"_"&amp;"material_"&amp;Tab_Data_Flows[[#This Row],[Flow_Data_Year]]</f>
        <v/>
      </c>
      <c r="S100">
        <f>IF(O100="no",H100,H100*P100)</f>
        <v/>
      </c>
      <c r="T100">
        <f>Tab_Data_Flows[[#This Row],[UoM_Source]]</f>
        <v/>
      </c>
      <c r="U100">
        <f>INDEX(Tab_Def_Flows[[Flow_ID]:[CC_DM_source]],MATCH(Tab_Data_Flows[[#This Row],[Flow_Name]],Tab_Def_Flows[Flow_Name],0),11)</f>
        <v/>
      </c>
      <c r="V100">
        <f>Tab_Data_Flows[[#This Row],[Flow_ID]]&amp;"_"&amp;"WC_"&amp;Tab_Data_Flows[[#This Row],[Flow_Data_Year]]</f>
        <v/>
      </c>
      <c r="W100">
        <f>IF(D100="Yes",S100*Tab_Data_Flows[[#This Row],[WC_'[%']]],"N.A.")</f>
        <v/>
      </c>
      <c r="X100">
        <f>Tab_Data_Flows[[#This Row],[UoM_Flow_Py]]</f>
        <v/>
      </c>
      <c r="Y100">
        <f>INDEX(Tab_Def_Flows[[Flow_ID]:[CC_DM_source]],MATCH(Tab_Data_Flows[[#This Row],[Flow_Name]],Tab_Def_Flows[Flow_Name],0),14)</f>
        <v/>
      </c>
      <c r="Z100">
        <f>Tab_Data_Flows[[#This Row],[Flow_ID]]&amp;"_"&amp;"DM_"&amp;Tab_Data_Flows[[#This Row],[Flow_Data_Year]]</f>
        <v/>
      </c>
      <c r="AA100">
        <f>IF(E100="Yes",Y100*Tab_Data_Flows[[#This Row],[Flow_Material]],"N.A.")</f>
        <v/>
      </c>
      <c r="AB100">
        <f>Tab_Data_Flows[[#This Row],[UoM_Flow_Py]]</f>
        <v/>
      </c>
      <c r="AC100">
        <f>INDEX(Tab_Def_Flows[[Flow_ID]:[CC_DM_source]],MATCH(Tab_Data_Flows[[#This Row],[Flow_Name]],Tab_Def_Flows[Flow_Name],0),17)</f>
        <v/>
      </c>
      <c r="AD100">
        <f>Tab_Data_Flows[[#This Row],[Flow_ID]]&amp;"_"&amp;"CC_"&amp;Tab_Data_Flows[[#This Row],[Flow_Data_Year]]</f>
        <v/>
      </c>
      <c r="AE100">
        <f>IF(F100="Yes",AC100*Tab_Data_Flows[[#This Row],[Flow_Material]]*Tab_Data_Flows[[#This Row],[DM_'[%']]],"N.A.")</f>
        <v/>
      </c>
      <c r="AF100">
        <f>Tab_Data_Flows[[#This Row],[UoM_Flow_Py]]</f>
        <v/>
      </c>
    </row>
    <row r="101">
      <c r="A101">
        <f>ROW()-1</f>
        <v/>
      </c>
      <c r="B101">
        <f>_xlfn.XLOOKUP(C101,Tab_Def_Flows[Flow_Name],Tab_Def_Flows[Flow_ID],,0,)</f>
        <v/>
      </c>
      <c r="C101" t="inlineStr">
        <is>
          <t>Environment_Input_cow-manure_production_E</t>
        </is>
      </c>
      <c r="D101">
        <f>_xlfn.XLOOKUP(C101,Tab_Def_Flows[Flow_Name],Tab_Def_Flows[WC?],,0,)</f>
        <v/>
      </c>
      <c r="E101">
        <f>_xlfn.XLOOKUP(C101,Tab_Def_Flows[Flow_Name],Tab_Def_Flows[DM?],,0,)</f>
        <v/>
      </c>
      <c r="F101">
        <f>_xlfn.XLOOKUP(C101,Tab_Def_Flows[Flow_Name],Tab_Def_Flows[CC?],,0,)</f>
        <v/>
      </c>
      <c r="G101" t="n">
        <v>2046</v>
      </c>
      <c r="H101" t="n">
        <v>35375.42973822427</v>
      </c>
      <c r="I101">
        <f>'0_Configuration'!$C$35</f>
        <v/>
      </c>
      <c r="O101" t="inlineStr">
        <is>
          <t>No</t>
        </is>
      </c>
      <c r="R101">
        <f>Tab_Data_Flows[[#This Row],[Flow_ID]]&amp;"_"&amp;"material_"&amp;Tab_Data_Flows[[#This Row],[Flow_Data_Year]]</f>
        <v/>
      </c>
      <c r="S101">
        <f>IF(O101="no",H101,H101*P101)</f>
        <v/>
      </c>
      <c r="T101">
        <f>Tab_Data_Flows[[#This Row],[UoM_Source]]</f>
        <v/>
      </c>
      <c r="U101">
        <f>INDEX(Tab_Def_Flows[[Flow_ID]:[CC_DM_source]],MATCH(Tab_Data_Flows[[#This Row],[Flow_Name]],Tab_Def_Flows[Flow_Name],0),11)</f>
        <v/>
      </c>
      <c r="V101">
        <f>Tab_Data_Flows[[#This Row],[Flow_ID]]&amp;"_"&amp;"WC_"&amp;Tab_Data_Flows[[#This Row],[Flow_Data_Year]]</f>
        <v/>
      </c>
      <c r="W101">
        <f>IF(D101="Yes",S101*Tab_Data_Flows[[#This Row],[WC_'[%']]],"N.A.")</f>
        <v/>
      </c>
      <c r="X101">
        <f>Tab_Data_Flows[[#This Row],[UoM_Flow_Py]]</f>
        <v/>
      </c>
      <c r="Y101">
        <f>INDEX(Tab_Def_Flows[[Flow_ID]:[CC_DM_source]],MATCH(Tab_Data_Flows[[#This Row],[Flow_Name]],Tab_Def_Flows[Flow_Name],0),14)</f>
        <v/>
      </c>
      <c r="Z101">
        <f>Tab_Data_Flows[[#This Row],[Flow_ID]]&amp;"_"&amp;"DM_"&amp;Tab_Data_Flows[[#This Row],[Flow_Data_Year]]</f>
        <v/>
      </c>
      <c r="AA101">
        <f>IF(E101="Yes",Y101*Tab_Data_Flows[[#This Row],[Flow_Material]],"N.A.")</f>
        <v/>
      </c>
      <c r="AB101">
        <f>Tab_Data_Flows[[#This Row],[UoM_Flow_Py]]</f>
        <v/>
      </c>
      <c r="AC101">
        <f>INDEX(Tab_Def_Flows[[Flow_ID]:[CC_DM_source]],MATCH(Tab_Data_Flows[[#This Row],[Flow_Name]],Tab_Def_Flows[Flow_Name],0),17)</f>
        <v/>
      </c>
      <c r="AD101">
        <f>Tab_Data_Flows[[#This Row],[Flow_ID]]&amp;"_"&amp;"CC_"&amp;Tab_Data_Flows[[#This Row],[Flow_Data_Year]]</f>
        <v/>
      </c>
      <c r="AE101">
        <f>IF(F101="Yes",AC101*Tab_Data_Flows[[#This Row],[Flow_Material]]*Tab_Data_Flows[[#This Row],[DM_'[%']]],"N.A.")</f>
        <v/>
      </c>
      <c r="AF101">
        <f>Tab_Data_Flows[[#This Row],[UoM_Flow_Py]]</f>
        <v/>
      </c>
    </row>
    <row r="102">
      <c r="A102">
        <f>ROW()-1</f>
        <v/>
      </c>
      <c r="B102">
        <f>_xlfn.XLOOKUP(C102,Tab_Def_Flows[Flow_Name],Tab_Def_Flows[Flow_ID],,0,)</f>
        <v/>
      </c>
      <c r="C102" t="inlineStr">
        <is>
          <t>Environment_Input_cow-manure_production_E</t>
        </is>
      </c>
      <c r="D102">
        <f>_xlfn.XLOOKUP(C102,Tab_Def_Flows[Flow_Name],Tab_Def_Flows[WC?],,0,)</f>
        <v/>
      </c>
      <c r="E102">
        <f>_xlfn.XLOOKUP(C102,Tab_Def_Flows[Flow_Name],Tab_Def_Flows[DM?],,0,)</f>
        <v/>
      </c>
      <c r="F102">
        <f>_xlfn.XLOOKUP(C102,Tab_Def_Flows[Flow_Name],Tab_Def_Flows[CC?],,0,)</f>
        <v/>
      </c>
      <c r="G102" t="n">
        <v>2047</v>
      </c>
      <c r="H102" t="n">
        <v>38503.74347682064</v>
      </c>
      <c r="I102">
        <f>'0_Configuration'!$C$35</f>
        <v/>
      </c>
      <c r="O102" t="inlineStr">
        <is>
          <t>No</t>
        </is>
      </c>
      <c r="R102">
        <f>Tab_Data_Flows[[#This Row],[Flow_ID]]&amp;"_"&amp;"material_"&amp;Tab_Data_Flows[[#This Row],[Flow_Data_Year]]</f>
        <v/>
      </c>
      <c r="S102">
        <f>IF(O102="no",H102,H102*P102)</f>
        <v/>
      </c>
      <c r="T102">
        <f>Tab_Data_Flows[[#This Row],[UoM_Source]]</f>
        <v/>
      </c>
      <c r="U102">
        <f>INDEX(Tab_Def_Flows[[Flow_ID]:[CC_DM_source]],MATCH(Tab_Data_Flows[[#This Row],[Flow_Name]],Tab_Def_Flows[Flow_Name],0),11)</f>
        <v/>
      </c>
      <c r="V102">
        <f>Tab_Data_Flows[[#This Row],[Flow_ID]]&amp;"_"&amp;"WC_"&amp;Tab_Data_Flows[[#This Row],[Flow_Data_Year]]</f>
        <v/>
      </c>
      <c r="W102">
        <f>IF(D102="Yes",S102*Tab_Data_Flows[[#This Row],[WC_'[%']]],"N.A.")</f>
        <v/>
      </c>
      <c r="X102">
        <f>Tab_Data_Flows[[#This Row],[UoM_Flow_Py]]</f>
        <v/>
      </c>
      <c r="Y102">
        <f>INDEX(Tab_Def_Flows[[Flow_ID]:[CC_DM_source]],MATCH(Tab_Data_Flows[[#This Row],[Flow_Name]],Tab_Def_Flows[Flow_Name],0),14)</f>
        <v/>
      </c>
      <c r="Z102">
        <f>Tab_Data_Flows[[#This Row],[Flow_ID]]&amp;"_"&amp;"DM_"&amp;Tab_Data_Flows[[#This Row],[Flow_Data_Year]]</f>
        <v/>
      </c>
      <c r="AA102">
        <f>IF(E102="Yes",Y102*Tab_Data_Flows[[#This Row],[Flow_Material]],"N.A.")</f>
        <v/>
      </c>
      <c r="AB102">
        <f>Tab_Data_Flows[[#This Row],[UoM_Flow_Py]]</f>
        <v/>
      </c>
      <c r="AC102">
        <f>INDEX(Tab_Def_Flows[[Flow_ID]:[CC_DM_source]],MATCH(Tab_Data_Flows[[#This Row],[Flow_Name]],Tab_Def_Flows[Flow_Name],0),17)</f>
        <v/>
      </c>
      <c r="AD102">
        <f>Tab_Data_Flows[[#This Row],[Flow_ID]]&amp;"_"&amp;"CC_"&amp;Tab_Data_Flows[[#This Row],[Flow_Data_Year]]</f>
        <v/>
      </c>
      <c r="AE102">
        <f>IF(F102="Yes",AC102*Tab_Data_Flows[[#This Row],[Flow_Material]]*Tab_Data_Flows[[#This Row],[DM_'[%']]],"N.A.")</f>
        <v/>
      </c>
      <c r="AF102">
        <f>Tab_Data_Flows[[#This Row],[UoM_Flow_Py]]</f>
        <v/>
      </c>
    </row>
    <row r="103">
      <c r="A103">
        <f>ROW()-1</f>
        <v/>
      </c>
      <c r="B103">
        <f>_xlfn.XLOOKUP(C103,Tab_Def_Flows[Flow_Name],Tab_Def_Flows[Flow_ID],,0,)</f>
        <v/>
      </c>
      <c r="C103" t="inlineStr">
        <is>
          <t>Environment_Input_cow-manure_production_E</t>
        </is>
      </c>
      <c r="D103">
        <f>_xlfn.XLOOKUP(C103,Tab_Def_Flows[Flow_Name],Tab_Def_Flows[WC?],,0,)</f>
        <v/>
      </c>
      <c r="E103">
        <f>_xlfn.XLOOKUP(C103,Tab_Def_Flows[Flow_Name],Tab_Def_Flows[DM?],,0,)</f>
        <v/>
      </c>
      <c r="F103">
        <f>_xlfn.XLOOKUP(C103,Tab_Def_Flows[Flow_Name],Tab_Def_Flows[CC?],,0,)</f>
        <v/>
      </c>
      <c r="G103" t="n">
        <v>2048</v>
      </c>
      <c r="H103" t="n">
        <v>22587.27995202761</v>
      </c>
      <c r="I103">
        <f>'0_Configuration'!$C$35</f>
        <v/>
      </c>
      <c r="O103" t="inlineStr">
        <is>
          <t>No</t>
        </is>
      </c>
      <c r="R103">
        <f>Tab_Data_Flows[[#This Row],[Flow_ID]]&amp;"_"&amp;"material_"&amp;Tab_Data_Flows[[#This Row],[Flow_Data_Year]]</f>
        <v/>
      </c>
      <c r="S103">
        <f>IF(O103="no",H103,H103*P103)</f>
        <v/>
      </c>
      <c r="T103">
        <f>Tab_Data_Flows[[#This Row],[UoM_Source]]</f>
        <v/>
      </c>
      <c r="U103">
        <f>INDEX(Tab_Def_Flows[[Flow_ID]:[CC_DM_source]],MATCH(Tab_Data_Flows[[#This Row],[Flow_Name]],Tab_Def_Flows[Flow_Name],0),11)</f>
        <v/>
      </c>
      <c r="V103">
        <f>Tab_Data_Flows[[#This Row],[Flow_ID]]&amp;"_"&amp;"WC_"&amp;Tab_Data_Flows[[#This Row],[Flow_Data_Year]]</f>
        <v/>
      </c>
      <c r="W103">
        <f>IF(D103="Yes",S103*Tab_Data_Flows[[#This Row],[WC_'[%']]],"N.A.")</f>
        <v/>
      </c>
      <c r="X103">
        <f>Tab_Data_Flows[[#This Row],[UoM_Flow_Py]]</f>
        <v/>
      </c>
      <c r="Y103">
        <f>INDEX(Tab_Def_Flows[[Flow_ID]:[CC_DM_source]],MATCH(Tab_Data_Flows[[#This Row],[Flow_Name]],Tab_Def_Flows[Flow_Name],0),14)</f>
        <v/>
      </c>
      <c r="Z103">
        <f>Tab_Data_Flows[[#This Row],[Flow_ID]]&amp;"_"&amp;"DM_"&amp;Tab_Data_Flows[[#This Row],[Flow_Data_Year]]</f>
        <v/>
      </c>
      <c r="AA103">
        <f>IF(E103="Yes",Y103*Tab_Data_Flows[[#This Row],[Flow_Material]],"N.A.")</f>
        <v/>
      </c>
      <c r="AB103">
        <f>Tab_Data_Flows[[#This Row],[UoM_Flow_Py]]</f>
        <v/>
      </c>
      <c r="AC103">
        <f>INDEX(Tab_Def_Flows[[Flow_ID]:[CC_DM_source]],MATCH(Tab_Data_Flows[[#This Row],[Flow_Name]],Tab_Def_Flows[Flow_Name],0),17)</f>
        <v/>
      </c>
      <c r="AD103">
        <f>Tab_Data_Flows[[#This Row],[Flow_ID]]&amp;"_"&amp;"CC_"&amp;Tab_Data_Flows[[#This Row],[Flow_Data_Year]]</f>
        <v/>
      </c>
      <c r="AE103">
        <f>IF(F103="Yes",AC103*Tab_Data_Flows[[#This Row],[Flow_Material]]*Tab_Data_Flows[[#This Row],[DM_'[%']]],"N.A.")</f>
        <v/>
      </c>
      <c r="AF103">
        <f>Tab_Data_Flows[[#This Row],[UoM_Flow_Py]]</f>
        <v/>
      </c>
    </row>
    <row r="104">
      <c r="A104">
        <f>ROW()-1</f>
        <v/>
      </c>
      <c r="B104">
        <f>_xlfn.XLOOKUP(C104,Tab_Def_Flows[Flow_Name],Tab_Def_Flows[Flow_ID],,0,)</f>
        <v/>
      </c>
      <c r="C104" t="inlineStr">
        <is>
          <t>Environment_Input_cow-manure_production_E</t>
        </is>
      </c>
      <c r="D104">
        <f>_xlfn.XLOOKUP(C104,Tab_Def_Flows[Flow_Name],Tab_Def_Flows[WC?],,0,)</f>
        <v/>
      </c>
      <c r="E104">
        <f>_xlfn.XLOOKUP(C104,Tab_Def_Flows[Flow_Name],Tab_Def_Flows[DM?],,0,)</f>
        <v/>
      </c>
      <c r="F104">
        <f>_xlfn.XLOOKUP(C104,Tab_Def_Flows[Flow_Name],Tab_Def_Flows[CC?],,0,)</f>
        <v/>
      </c>
      <c r="G104" t="n">
        <v>2049</v>
      </c>
      <c r="H104" t="n">
        <v>31976.9698309382</v>
      </c>
      <c r="I104">
        <f>'0_Configuration'!$C$35</f>
        <v/>
      </c>
      <c r="O104" t="inlineStr">
        <is>
          <t>No</t>
        </is>
      </c>
      <c r="R104">
        <f>Tab_Data_Flows[[#This Row],[Flow_ID]]&amp;"_"&amp;"material_"&amp;Tab_Data_Flows[[#This Row],[Flow_Data_Year]]</f>
        <v/>
      </c>
      <c r="S104">
        <f>IF(O104="no",H104,H104*P104)</f>
        <v/>
      </c>
      <c r="T104">
        <f>Tab_Data_Flows[[#This Row],[UoM_Source]]</f>
        <v/>
      </c>
      <c r="U104">
        <f>INDEX(Tab_Def_Flows[[Flow_ID]:[CC_DM_source]],MATCH(Tab_Data_Flows[[#This Row],[Flow_Name]],Tab_Def_Flows[Flow_Name],0),11)</f>
        <v/>
      </c>
      <c r="V104">
        <f>Tab_Data_Flows[[#This Row],[Flow_ID]]&amp;"_"&amp;"WC_"&amp;Tab_Data_Flows[[#This Row],[Flow_Data_Year]]</f>
        <v/>
      </c>
      <c r="W104">
        <f>IF(D104="Yes",S104*Tab_Data_Flows[[#This Row],[WC_'[%']]],"N.A.")</f>
        <v/>
      </c>
      <c r="X104">
        <f>Tab_Data_Flows[[#This Row],[UoM_Flow_Py]]</f>
        <v/>
      </c>
      <c r="Y104">
        <f>INDEX(Tab_Def_Flows[[Flow_ID]:[CC_DM_source]],MATCH(Tab_Data_Flows[[#This Row],[Flow_Name]],Tab_Def_Flows[Flow_Name],0),14)</f>
        <v/>
      </c>
      <c r="Z104">
        <f>Tab_Data_Flows[[#This Row],[Flow_ID]]&amp;"_"&amp;"DM_"&amp;Tab_Data_Flows[[#This Row],[Flow_Data_Year]]</f>
        <v/>
      </c>
      <c r="AA104">
        <f>IF(E104="Yes",Y104*Tab_Data_Flows[[#This Row],[Flow_Material]],"N.A.")</f>
        <v/>
      </c>
      <c r="AB104">
        <f>Tab_Data_Flows[[#This Row],[UoM_Flow_Py]]</f>
        <v/>
      </c>
      <c r="AC104">
        <f>INDEX(Tab_Def_Flows[[Flow_ID]:[CC_DM_source]],MATCH(Tab_Data_Flows[[#This Row],[Flow_Name]],Tab_Def_Flows[Flow_Name],0),17)</f>
        <v/>
      </c>
      <c r="AD104">
        <f>Tab_Data_Flows[[#This Row],[Flow_ID]]&amp;"_"&amp;"CC_"&amp;Tab_Data_Flows[[#This Row],[Flow_Data_Year]]</f>
        <v/>
      </c>
      <c r="AE104">
        <f>IF(F104="Yes",AC104*Tab_Data_Flows[[#This Row],[Flow_Material]]*Tab_Data_Flows[[#This Row],[DM_'[%']]],"N.A.")</f>
        <v/>
      </c>
      <c r="AF104">
        <f>Tab_Data_Flows[[#This Row],[UoM_Flow_Py]]</f>
        <v/>
      </c>
    </row>
    <row r="105">
      <c r="A105">
        <f>ROW()-1</f>
        <v/>
      </c>
      <c r="B105">
        <f>_xlfn.XLOOKUP(C105,Tab_Def_Flows[Flow_Name],Tab_Def_Flows[Flow_ID],,0,)</f>
        <v/>
      </c>
      <c r="C105" t="inlineStr">
        <is>
          <t>Environment_Input_cow-manure_production_E</t>
        </is>
      </c>
      <c r="D105">
        <f>_xlfn.XLOOKUP(C105,Tab_Def_Flows[Flow_Name],Tab_Def_Flows[WC?],,0,)</f>
        <v/>
      </c>
      <c r="E105">
        <f>_xlfn.XLOOKUP(C105,Tab_Def_Flows[Flow_Name],Tab_Def_Flows[DM?],,0,)</f>
        <v/>
      </c>
      <c r="F105">
        <f>_xlfn.XLOOKUP(C105,Tab_Def_Flows[Flow_Name],Tab_Def_Flows[CC?],,0,)</f>
        <v/>
      </c>
      <c r="G105" t="n">
        <v>2050</v>
      </c>
      <c r="H105" t="n">
        <v>38966.47431654892</v>
      </c>
      <c r="I105">
        <f>'0_Configuration'!$C$35</f>
        <v/>
      </c>
      <c r="O105" t="inlineStr">
        <is>
          <t>No</t>
        </is>
      </c>
      <c r="R105">
        <f>Tab_Data_Flows[[#This Row],[Flow_ID]]&amp;"_"&amp;"material_"&amp;Tab_Data_Flows[[#This Row],[Flow_Data_Year]]</f>
        <v/>
      </c>
      <c r="S105">
        <f>IF(O105="no",H105,H105*P105)</f>
        <v/>
      </c>
      <c r="T105">
        <f>Tab_Data_Flows[[#This Row],[UoM_Source]]</f>
        <v/>
      </c>
      <c r="U105">
        <f>INDEX(Tab_Def_Flows[[Flow_ID]:[CC_DM_source]],MATCH(Tab_Data_Flows[[#This Row],[Flow_Name]],Tab_Def_Flows[Flow_Name],0),11)</f>
        <v/>
      </c>
      <c r="V105">
        <f>Tab_Data_Flows[[#This Row],[Flow_ID]]&amp;"_"&amp;"WC_"&amp;Tab_Data_Flows[[#This Row],[Flow_Data_Year]]</f>
        <v/>
      </c>
      <c r="W105">
        <f>IF(D105="Yes",S105*Tab_Data_Flows[[#This Row],[WC_'[%']]],"N.A.")</f>
        <v/>
      </c>
      <c r="X105">
        <f>Tab_Data_Flows[[#This Row],[UoM_Flow_Py]]</f>
        <v/>
      </c>
      <c r="Y105">
        <f>INDEX(Tab_Def_Flows[[Flow_ID]:[CC_DM_source]],MATCH(Tab_Data_Flows[[#This Row],[Flow_Name]],Tab_Def_Flows[Flow_Name],0),14)</f>
        <v/>
      </c>
      <c r="Z105">
        <f>Tab_Data_Flows[[#This Row],[Flow_ID]]&amp;"_"&amp;"DM_"&amp;Tab_Data_Flows[[#This Row],[Flow_Data_Year]]</f>
        <v/>
      </c>
      <c r="AA105">
        <f>IF(E105="Yes",Y105*Tab_Data_Flows[[#This Row],[Flow_Material]],"N.A.")</f>
        <v/>
      </c>
      <c r="AB105">
        <f>Tab_Data_Flows[[#This Row],[UoM_Flow_Py]]</f>
        <v/>
      </c>
      <c r="AC105">
        <f>INDEX(Tab_Def_Flows[[Flow_ID]:[CC_DM_source]],MATCH(Tab_Data_Flows[[#This Row],[Flow_Name]],Tab_Def_Flows[Flow_Name],0),17)</f>
        <v/>
      </c>
      <c r="AD105">
        <f>Tab_Data_Flows[[#This Row],[Flow_ID]]&amp;"_"&amp;"CC_"&amp;Tab_Data_Flows[[#This Row],[Flow_Data_Year]]</f>
        <v/>
      </c>
      <c r="AE105">
        <f>IF(F105="Yes",AC105*Tab_Data_Flows[[#This Row],[Flow_Material]]*Tab_Data_Flows[[#This Row],[DM_'[%']]],"N.A.")</f>
        <v/>
      </c>
      <c r="AF105">
        <f>Tab_Data_Flows[[#This Row],[UoM_Flow_Py]]</f>
        <v/>
      </c>
    </row>
    <row r="106">
      <c r="A106">
        <f>ROW()-1</f>
        <v/>
      </c>
      <c r="B106">
        <f>_xlfn.XLOOKUP(C106,Tab_Def_Flows[Flow_Name],Tab_Def_Flows[Flow_ID],,0,)</f>
        <v/>
      </c>
      <c r="C106" t="inlineStr">
        <is>
          <t>Atmosphere_Input_millet_production_C</t>
        </is>
      </c>
      <c r="D106">
        <f>_xlfn.XLOOKUP(C106,Tab_Def_Flows[Flow_Name],Tab_Def_Flows[WC?],,0,)</f>
        <v/>
      </c>
      <c r="E106">
        <f>_xlfn.XLOOKUP(C106,Tab_Def_Flows[Flow_Name],Tab_Def_Flows[DM?],,0,)</f>
        <v/>
      </c>
      <c r="F106">
        <f>_xlfn.XLOOKUP(C106,Tab_Def_Flows[Flow_Name],Tab_Def_Flows[CC?],,0,)</f>
        <v/>
      </c>
      <c r="G106" t="n">
        <v>2025</v>
      </c>
      <c r="H106" t="n">
        <v>911.0315115381703</v>
      </c>
      <c r="I106">
        <f>'0_Configuration'!$C$35</f>
        <v/>
      </c>
      <c r="O106" t="inlineStr">
        <is>
          <t>No</t>
        </is>
      </c>
      <c r="R106">
        <f>Tab_Data_Flows[[#This Row],[Flow_ID]]&amp;"_"&amp;"material_"&amp;Tab_Data_Flows[[#This Row],[Flow_Data_Year]]</f>
        <v/>
      </c>
      <c r="S106">
        <f>IF(O106="no",H106,H106*P106)</f>
        <v/>
      </c>
      <c r="T106">
        <f>Tab_Data_Flows[[#This Row],[UoM_Source]]</f>
        <v/>
      </c>
      <c r="U106">
        <f>INDEX(Tab_Def_Flows[[Flow_ID]:[CC_DM_source]],MATCH(Tab_Data_Flows[[#This Row],[Flow_Name]],Tab_Def_Flows[Flow_Name],0),11)</f>
        <v/>
      </c>
      <c r="V106">
        <f>Tab_Data_Flows[[#This Row],[Flow_ID]]&amp;"_"&amp;"WC_"&amp;Tab_Data_Flows[[#This Row],[Flow_Data_Year]]</f>
        <v/>
      </c>
      <c r="W106">
        <f>IF(D106="Yes",S106*Tab_Data_Flows[[#This Row],[WC_'[%']]],"N.A.")</f>
        <v/>
      </c>
      <c r="X106">
        <f>Tab_Data_Flows[[#This Row],[UoM_Flow_Py]]</f>
        <v/>
      </c>
      <c r="Y106">
        <f>INDEX(Tab_Def_Flows[[Flow_ID]:[CC_DM_source]],MATCH(Tab_Data_Flows[[#This Row],[Flow_Name]],Tab_Def_Flows[Flow_Name],0),14)</f>
        <v/>
      </c>
      <c r="Z106">
        <f>Tab_Data_Flows[[#This Row],[Flow_ID]]&amp;"_"&amp;"DM_"&amp;Tab_Data_Flows[[#This Row],[Flow_Data_Year]]</f>
        <v/>
      </c>
      <c r="AA106">
        <f>IF(E106="Yes",Y106*Tab_Data_Flows[[#This Row],[Flow_Material]],"N.A.")</f>
        <v/>
      </c>
      <c r="AB106">
        <f>Tab_Data_Flows[[#This Row],[UoM_Flow_Py]]</f>
        <v/>
      </c>
      <c r="AC106">
        <f>INDEX(Tab_Def_Flows[[Flow_ID]:[CC_DM_source]],MATCH(Tab_Data_Flows[[#This Row],[Flow_Name]],Tab_Def_Flows[Flow_Name],0),17)</f>
        <v/>
      </c>
      <c r="AD106">
        <f>Tab_Data_Flows[[#This Row],[Flow_ID]]&amp;"_"&amp;"CC_"&amp;Tab_Data_Flows[[#This Row],[Flow_Data_Year]]</f>
        <v/>
      </c>
      <c r="AE106">
        <f>IF(F106="Yes",AC106*Tab_Data_Flows[[#This Row],[Flow_Material]]*Tab_Data_Flows[[#This Row],[DM_'[%']]],"N.A.")</f>
        <v/>
      </c>
      <c r="AF106">
        <f>Tab_Data_Flows[[#This Row],[UoM_Flow_Py]]</f>
        <v/>
      </c>
    </row>
    <row r="107">
      <c r="A107">
        <f>ROW()-1</f>
        <v/>
      </c>
      <c r="B107">
        <f>_xlfn.XLOOKUP(C107,Tab_Def_Flows[Flow_Name],Tab_Def_Flows[Flow_ID],,0,)</f>
        <v/>
      </c>
      <c r="C107" t="inlineStr">
        <is>
          <t>Atmosphere_Input_millet_production_C</t>
        </is>
      </c>
      <c r="D107">
        <f>_xlfn.XLOOKUP(C107,Tab_Def_Flows[Flow_Name],Tab_Def_Flows[WC?],,0,)</f>
        <v/>
      </c>
      <c r="E107">
        <f>_xlfn.XLOOKUP(C107,Tab_Def_Flows[Flow_Name],Tab_Def_Flows[DM?],,0,)</f>
        <v/>
      </c>
      <c r="F107">
        <f>_xlfn.XLOOKUP(C107,Tab_Def_Flows[Flow_Name],Tab_Def_Flows[CC?],,0,)</f>
        <v/>
      </c>
      <c r="G107" t="n">
        <v>2026</v>
      </c>
      <c r="H107" t="n">
        <v>767.8121941739744</v>
      </c>
      <c r="I107">
        <f>'0_Configuration'!$C$35</f>
        <v/>
      </c>
      <c r="O107" t="inlineStr">
        <is>
          <t>No</t>
        </is>
      </c>
      <c r="R107">
        <f>Tab_Data_Flows[[#This Row],[Flow_ID]]&amp;"_"&amp;"material_"&amp;Tab_Data_Flows[[#This Row],[Flow_Data_Year]]</f>
        <v/>
      </c>
      <c r="S107">
        <f>IF(O107="no",H107,H107*P107)</f>
        <v/>
      </c>
      <c r="T107">
        <f>Tab_Data_Flows[[#This Row],[UoM_Source]]</f>
        <v/>
      </c>
      <c r="U107">
        <f>INDEX(Tab_Def_Flows[[Flow_ID]:[CC_DM_source]],MATCH(Tab_Data_Flows[[#This Row],[Flow_Name]],Tab_Def_Flows[Flow_Name],0),11)</f>
        <v/>
      </c>
      <c r="V107">
        <f>Tab_Data_Flows[[#This Row],[Flow_ID]]&amp;"_"&amp;"WC_"&amp;Tab_Data_Flows[[#This Row],[Flow_Data_Year]]</f>
        <v/>
      </c>
      <c r="W107">
        <f>IF(D107="Yes",S107*Tab_Data_Flows[[#This Row],[WC_'[%']]],"N.A.")</f>
        <v/>
      </c>
      <c r="X107">
        <f>Tab_Data_Flows[[#This Row],[UoM_Flow_Py]]</f>
        <v/>
      </c>
      <c r="Y107">
        <f>INDEX(Tab_Def_Flows[[Flow_ID]:[CC_DM_source]],MATCH(Tab_Data_Flows[[#This Row],[Flow_Name]],Tab_Def_Flows[Flow_Name],0),14)</f>
        <v/>
      </c>
      <c r="Z107">
        <f>Tab_Data_Flows[[#This Row],[Flow_ID]]&amp;"_"&amp;"DM_"&amp;Tab_Data_Flows[[#This Row],[Flow_Data_Year]]</f>
        <v/>
      </c>
      <c r="AA107">
        <f>IF(E107="Yes",Y107*Tab_Data_Flows[[#This Row],[Flow_Material]],"N.A.")</f>
        <v/>
      </c>
      <c r="AB107">
        <f>Tab_Data_Flows[[#This Row],[UoM_Flow_Py]]</f>
        <v/>
      </c>
      <c r="AC107">
        <f>INDEX(Tab_Def_Flows[[Flow_ID]:[CC_DM_source]],MATCH(Tab_Data_Flows[[#This Row],[Flow_Name]],Tab_Def_Flows[Flow_Name],0),17)</f>
        <v/>
      </c>
      <c r="AD107">
        <f>Tab_Data_Flows[[#This Row],[Flow_ID]]&amp;"_"&amp;"CC_"&amp;Tab_Data_Flows[[#This Row],[Flow_Data_Year]]</f>
        <v/>
      </c>
      <c r="AE107">
        <f>IF(F107="Yes",AC107*Tab_Data_Flows[[#This Row],[Flow_Material]]*Tab_Data_Flows[[#This Row],[DM_'[%']]],"N.A.")</f>
        <v/>
      </c>
      <c r="AF107">
        <f>Tab_Data_Flows[[#This Row],[UoM_Flow_Py]]</f>
        <v/>
      </c>
    </row>
    <row r="108">
      <c r="A108">
        <f>ROW()-1</f>
        <v/>
      </c>
      <c r="B108">
        <f>_xlfn.XLOOKUP(C108,Tab_Def_Flows[Flow_Name],Tab_Def_Flows[Flow_ID],,0,)</f>
        <v/>
      </c>
      <c r="C108" t="inlineStr">
        <is>
          <t>Atmosphere_Input_millet_production_C</t>
        </is>
      </c>
      <c r="D108">
        <f>_xlfn.XLOOKUP(C108,Tab_Def_Flows[Flow_Name],Tab_Def_Flows[WC?],,0,)</f>
        <v/>
      </c>
      <c r="E108">
        <f>_xlfn.XLOOKUP(C108,Tab_Def_Flows[Flow_Name],Tab_Def_Flows[DM?],,0,)</f>
        <v/>
      </c>
      <c r="F108">
        <f>_xlfn.XLOOKUP(C108,Tab_Def_Flows[Flow_Name],Tab_Def_Flows[CC?],,0,)</f>
        <v/>
      </c>
      <c r="G108" t="n">
        <v>2027</v>
      </c>
      <c r="H108" t="n">
        <v>945.0845932299374</v>
      </c>
      <c r="I108">
        <f>'0_Configuration'!$C$35</f>
        <v/>
      </c>
      <c r="O108" t="inlineStr">
        <is>
          <t>No</t>
        </is>
      </c>
      <c r="R108">
        <f>Tab_Data_Flows[[#This Row],[Flow_ID]]&amp;"_"&amp;"material_"&amp;Tab_Data_Flows[[#This Row],[Flow_Data_Year]]</f>
        <v/>
      </c>
      <c r="S108">
        <f>IF(O108="no",H108,H108*P108)</f>
        <v/>
      </c>
      <c r="T108">
        <f>Tab_Data_Flows[[#This Row],[UoM_Source]]</f>
        <v/>
      </c>
      <c r="U108">
        <f>INDEX(Tab_Def_Flows[[Flow_ID]:[CC_DM_source]],MATCH(Tab_Data_Flows[[#This Row],[Flow_Name]],Tab_Def_Flows[Flow_Name],0),11)</f>
        <v/>
      </c>
      <c r="V108">
        <f>Tab_Data_Flows[[#This Row],[Flow_ID]]&amp;"_"&amp;"WC_"&amp;Tab_Data_Flows[[#This Row],[Flow_Data_Year]]</f>
        <v/>
      </c>
      <c r="W108">
        <f>IF(D108="Yes",S108*Tab_Data_Flows[[#This Row],[WC_'[%']]],"N.A.")</f>
        <v/>
      </c>
      <c r="X108">
        <f>Tab_Data_Flows[[#This Row],[UoM_Flow_Py]]</f>
        <v/>
      </c>
      <c r="Y108">
        <f>INDEX(Tab_Def_Flows[[Flow_ID]:[CC_DM_source]],MATCH(Tab_Data_Flows[[#This Row],[Flow_Name]],Tab_Def_Flows[Flow_Name],0),14)</f>
        <v/>
      </c>
      <c r="Z108">
        <f>Tab_Data_Flows[[#This Row],[Flow_ID]]&amp;"_"&amp;"DM_"&amp;Tab_Data_Flows[[#This Row],[Flow_Data_Year]]</f>
        <v/>
      </c>
      <c r="AA108">
        <f>IF(E108="Yes",Y108*Tab_Data_Flows[[#This Row],[Flow_Material]],"N.A.")</f>
        <v/>
      </c>
      <c r="AB108">
        <f>Tab_Data_Flows[[#This Row],[UoM_Flow_Py]]</f>
        <v/>
      </c>
      <c r="AC108">
        <f>INDEX(Tab_Def_Flows[[Flow_ID]:[CC_DM_source]],MATCH(Tab_Data_Flows[[#This Row],[Flow_Name]],Tab_Def_Flows[Flow_Name],0),17)</f>
        <v/>
      </c>
      <c r="AD108">
        <f>Tab_Data_Flows[[#This Row],[Flow_ID]]&amp;"_"&amp;"CC_"&amp;Tab_Data_Flows[[#This Row],[Flow_Data_Year]]</f>
        <v/>
      </c>
      <c r="AE108">
        <f>IF(F108="Yes",AC108*Tab_Data_Flows[[#This Row],[Flow_Material]]*Tab_Data_Flows[[#This Row],[DM_'[%']]],"N.A.")</f>
        <v/>
      </c>
      <c r="AF108">
        <f>Tab_Data_Flows[[#This Row],[UoM_Flow_Py]]</f>
        <v/>
      </c>
    </row>
    <row r="109">
      <c r="A109">
        <f>ROW()-1</f>
        <v/>
      </c>
      <c r="B109">
        <f>_xlfn.XLOOKUP(C109,Tab_Def_Flows[Flow_Name],Tab_Def_Flows[Flow_ID],,0,)</f>
        <v/>
      </c>
      <c r="C109" t="inlineStr">
        <is>
          <t>Atmosphere_Input_millet_production_C</t>
        </is>
      </c>
      <c r="D109">
        <f>_xlfn.XLOOKUP(C109,Tab_Def_Flows[Flow_Name],Tab_Def_Flows[WC?],,0,)</f>
        <v/>
      </c>
      <c r="E109">
        <f>_xlfn.XLOOKUP(C109,Tab_Def_Flows[Flow_Name],Tab_Def_Flows[DM?],,0,)</f>
        <v/>
      </c>
      <c r="F109">
        <f>_xlfn.XLOOKUP(C109,Tab_Def_Flows[Flow_Name],Tab_Def_Flows[CC?],,0,)</f>
        <v/>
      </c>
      <c r="G109" t="n">
        <v>2028</v>
      </c>
      <c r="H109" t="n">
        <v>1142.518826695148</v>
      </c>
      <c r="I109">
        <f>'0_Configuration'!$C$35</f>
        <v/>
      </c>
      <c r="O109" t="inlineStr">
        <is>
          <t>No</t>
        </is>
      </c>
      <c r="R109">
        <f>Tab_Data_Flows[[#This Row],[Flow_ID]]&amp;"_"&amp;"material_"&amp;Tab_Data_Flows[[#This Row],[Flow_Data_Year]]</f>
        <v/>
      </c>
      <c r="S109">
        <f>IF(O109="no",H109,H109*P109)</f>
        <v/>
      </c>
      <c r="T109">
        <f>Tab_Data_Flows[[#This Row],[UoM_Source]]</f>
        <v/>
      </c>
      <c r="U109">
        <f>INDEX(Tab_Def_Flows[[Flow_ID]:[CC_DM_source]],MATCH(Tab_Data_Flows[[#This Row],[Flow_Name]],Tab_Def_Flows[Flow_Name],0),11)</f>
        <v/>
      </c>
      <c r="V109">
        <f>Tab_Data_Flows[[#This Row],[Flow_ID]]&amp;"_"&amp;"WC_"&amp;Tab_Data_Flows[[#This Row],[Flow_Data_Year]]</f>
        <v/>
      </c>
      <c r="W109">
        <f>IF(D109="Yes",S109*Tab_Data_Flows[[#This Row],[WC_'[%']]],"N.A.")</f>
        <v/>
      </c>
      <c r="X109">
        <f>Tab_Data_Flows[[#This Row],[UoM_Flow_Py]]</f>
        <v/>
      </c>
      <c r="Y109">
        <f>INDEX(Tab_Def_Flows[[Flow_ID]:[CC_DM_source]],MATCH(Tab_Data_Flows[[#This Row],[Flow_Name]],Tab_Def_Flows[Flow_Name],0),14)</f>
        <v/>
      </c>
      <c r="Z109">
        <f>Tab_Data_Flows[[#This Row],[Flow_ID]]&amp;"_"&amp;"DM_"&amp;Tab_Data_Flows[[#This Row],[Flow_Data_Year]]</f>
        <v/>
      </c>
      <c r="AA109">
        <f>IF(E109="Yes",Y109*Tab_Data_Flows[[#This Row],[Flow_Material]],"N.A.")</f>
        <v/>
      </c>
      <c r="AB109">
        <f>Tab_Data_Flows[[#This Row],[UoM_Flow_Py]]</f>
        <v/>
      </c>
      <c r="AC109">
        <f>INDEX(Tab_Def_Flows[[Flow_ID]:[CC_DM_source]],MATCH(Tab_Data_Flows[[#This Row],[Flow_Name]],Tab_Def_Flows[Flow_Name],0),17)</f>
        <v/>
      </c>
      <c r="AD109">
        <f>Tab_Data_Flows[[#This Row],[Flow_ID]]&amp;"_"&amp;"CC_"&amp;Tab_Data_Flows[[#This Row],[Flow_Data_Year]]</f>
        <v/>
      </c>
      <c r="AE109">
        <f>IF(F109="Yes",AC109*Tab_Data_Flows[[#This Row],[Flow_Material]]*Tab_Data_Flows[[#This Row],[DM_'[%']]],"N.A.")</f>
        <v/>
      </c>
      <c r="AF109">
        <f>Tab_Data_Flows[[#This Row],[UoM_Flow_Py]]</f>
        <v/>
      </c>
    </row>
    <row r="110">
      <c r="A110">
        <f>ROW()-1</f>
        <v/>
      </c>
      <c r="B110">
        <f>_xlfn.XLOOKUP(C110,Tab_Def_Flows[Flow_Name],Tab_Def_Flows[Flow_ID],,0,)</f>
        <v/>
      </c>
      <c r="C110" t="inlineStr">
        <is>
          <t>Atmosphere_Input_millet_production_C</t>
        </is>
      </c>
      <c r="D110">
        <f>_xlfn.XLOOKUP(C110,Tab_Def_Flows[Flow_Name],Tab_Def_Flows[WC?],,0,)</f>
        <v/>
      </c>
      <c r="E110">
        <f>_xlfn.XLOOKUP(C110,Tab_Def_Flows[Flow_Name],Tab_Def_Flows[DM?],,0,)</f>
        <v/>
      </c>
      <c r="F110">
        <f>_xlfn.XLOOKUP(C110,Tab_Def_Flows[Flow_Name],Tab_Def_Flows[CC?],,0,)</f>
        <v/>
      </c>
      <c r="G110" t="n">
        <v>2029</v>
      </c>
      <c r="H110" t="n">
        <v>746.1887104522689</v>
      </c>
      <c r="I110">
        <f>'0_Configuration'!$C$35</f>
        <v/>
      </c>
      <c r="O110" t="inlineStr">
        <is>
          <t>No</t>
        </is>
      </c>
      <c r="R110">
        <f>Tab_Data_Flows[[#This Row],[Flow_ID]]&amp;"_"&amp;"material_"&amp;Tab_Data_Flows[[#This Row],[Flow_Data_Year]]</f>
        <v/>
      </c>
      <c r="S110">
        <f>IF(O110="no",H110,H110*P110)</f>
        <v/>
      </c>
      <c r="T110">
        <f>Tab_Data_Flows[[#This Row],[UoM_Source]]</f>
        <v/>
      </c>
      <c r="U110">
        <f>INDEX(Tab_Def_Flows[[Flow_ID]:[CC_DM_source]],MATCH(Tab_Data_Flows[[#This Row],[Flow_Name]],Tab_Def_Flows[Flow_Name],0),11)</f>
        <v/>
      </c>
      <c r="V110">
        <f>Tab_Data_Flows[[#This Row],[Flow_ID]]&amp;"_"&amp;"WC_"&amp;Tab_Data_Flows[[#This Row],[Flow_Data_Year]]</f>
        <v/>
      </c>
      <c r="W110">
        <f>IF(D110="Yes",S110*Tab_Data_Flows[[#This Row],[WC_'[%']]],"N.A.")</f>
        <v/>
      </c>
      <c r="X110">
        <f>Tab_Data_Flows[[#This Row],[UoM_Flow_Py]]</f>
        <v/>
      </c>
      <c r="Y110">
        <f>INDEX(Tab_Def_Flows[[Flow_ID]:[CC_DM_source]],MATCH(Tab_Data_Flows[[#This Row],[Flow_Name]],Tab_Def_Flows[Flow_Name],0),14)</f>
        <v/>
      </c>
      <c r="Z110">
        <f>Tab_Data_Flows[[#This Row],[Flow_ID]]&amp;"_"&amp;"DM_"&amp;Tab_Data_Flows[[#This Row],[Flow_Data_Year]]</f>
        <v/>
      </c>
      <c r="AA110">
        <f>IF(E110="Yes",Y110*Tab_Data_Flows[[#This Row],[Flow_Material]],"N.A.")</f>
        <v/>
      </c>
      <c r="AB110">
        <f>Tab_Data_Flows[[#This Row],[UoM_Flow_Py]]</f>
        <v/>
      </c>
      <c r="AC110">
        <f>INDEX(Tab_Def_Flows[[Flow_ID]:[CC_DM_source]],MATCH(Tab_Data_Flows[[#This Row],[Flow_Name]],Tab_Def_Flows[Flow_Name],0),17)</f>
        <v/>
      </c>
      <c r="AD110">
        <f>Tab_Data_Flows[[#This Row],[Flow_ID]]&amp;"_"&amp;"CC_"&amp;Tab_Data_Flows[[#This Row],[Flow_Data_Year]]</f>
        <v/>
      </c>
      <c r="AE110">
        <f>IF(F110="Yes",AC110*Tab_Data_Flows[[#This Row],[Flow_Material]]*Tab_Data_Flows[[#This Row],[DM_'[%']]],"N.A.")</f>
        <v/>
      </c>
      <c r="AF110">
        <f>Tab_Data_Flows[[#This Row],[UoM_Flow_Py]]</f>
        <v/>
      </c>
    </row>
    <row r="111">
      <c r="A111">
        <f>ROW()-1</f>
        <v/>
      </c>
      <c r="B111">
        <f>_xlfn.XLOOKUP(C111,Tab_Def_Flows[Flow_Name],Tab_Def_Flows[Flow_ID],,0,)</f>
        <v/>
      </c>
      <c r="C111" t="inlineStr">
        <is>
          <t>Atmosphere_Input_millet_production_C</t>
        </is>
      </c>
      <c r="D111">
        <f>_xlfn.XLOOKUP(C111,Tab_Def_Flows[Flow_Name],Tab_Def_Flows[WC?],,0,)</f>
        <v/>
      </c>
      <c r="E111">
        <f>_xlfn.XLOOKUP(C111,Tab_Def_Flows[Flow_Name],Tab_Def_Flows[DM?],,0,)</f>
        <v/>
      </c>
      <c r="F111">
        <f>_xlfn.XLOOKUP(C111,Tab_Def_Flows[Flow_Name],Tab_Def_Flows[CC?],,0,)</f>
        <v/>
      </c>
      <c r="G111" t="n">
        <v>2030</v>
      </c>
      <c r="H111" t="n">
        <v>746.1887104522689</v>
      </c>
      <c r="I111">
        <f>'0_Configuration'!$C$35</f>
        <v/>
      </c>
      <c r="O111" t="inlineStr">
        <is>
          <t>No</t>
        </is>
      </c>
      <c r="R111">
        <f>Tab_Data_Flows[[#This Row],[Flow_ID]]&amp;"_"&amp;"material_"&amp;Tab_Data_Flows[[#This Row],[Flow_Data_Year]]</f>
        <v/>
      </c>
      <c r="S111">
        <f>IF(O111="no",H111,H111*P111)</f>
        <v/>
      </c>
      <c r="T111">
        <f>Tab_Data_Flows[[#This Row],[UoM_Source]]</f>
        <v/>
      </c>
      <c r="U111">
        <f>INDEX(Tab_Def_Flows[[Flow_ID]:[CC_DM_source]],MATCH(Tab_Data_Flows[[#This Row],[Flow_Name]],Tab_Def_Flows[Flow_Name],0),11)</f>
        <v/>
      </c>
      <c r="V111">
        <f>Tab_Data_Flows[[#This Row],[Flow_ID]]&amp;"_"&amp;"WC_"&amp;Tab_Data_Flows[[#This Row],[Flow_Data_Year]]</f>
        <v/>
      </c>
      <c r="W111">
        <f>IF(D111="Yes",S111*Tab_Data_Flows[[#This Row],[WC_'[%']]],"N.A.")</f>
        <v/>
      </c>
      <c r="X111">
        <f>Tab_Data_Flows[[#This Row],[UoM_Flow_Py]]</f>
        <v/>
      </c>
      <c r="Y111">
        <f>INDEX(Tab_Def_Flows[[Flow_ID]:[CC_DM_source]],MATCH(Tab_Data_Flows[[#This Row],[Flow_Name]],Tab_Def_Flows[Flow_Name],0),14)</f>
        <v/>
      </c>
      <c r="Z111">
        <f>Tab_Data_Flows[[#This Row],[Flow_ID]]&amp;"_"&amp;"DM_"&amp;Tab_Data_Flows[[#This Row],[Flow_Data_Year]]</f>
        <v/>
      </c>
      <c r="AA111">
        <f>IF(E111="Yes",Y111*Tab_Data_Flows[[#This Row],[Flow_Material]],"N.A.")</f>
        <v/>
      </c>
      <c r="AB111">
        <f>Tab_Data_Flows[[#This Row],[UoM_Flow_Py]]</f>
        <v/>
      </c>
      <c r="AC111">
        <f>INDEX(Tab_Def_Flows[[Flow_ID]:[CC_DM_source]],MATCH(Tab_Data_Flows[[#This Row],[Flow_Name]],Tab_Def_Flows[Flow_Name],0),17)</f>
        <v/>
      </c>
      <c r="AD111">
        <f>Tab_Data_Flows[[#This Row],[Flow_ID]]&amp;"_"&amp;"CC_"&amp;Tab_Data_Flows[[#This Row],[Flow_Data_Year]]</f>
        <v/>
      </c>
      <c r="AE111">
        <f>IF(F111="Yes",AC111*Tab_Data_Flows[[#This Row],[Flow_Material]]*Tab_Data_Flows[[#This Row],[DM_'[%']]],"N.A.")</f>
        <v/>
      </c>
      <c r="AF111">
        <f>Tab_Data_Flows[[#This Row],[UoM_Flow_Py]]</f>
        <v/>
      </c>
    </row>
    <row r="112">
      <c r="A112">
        <f>ROW()-1</f>
        <v/>
      </c>
      <c r="B112">
        <f>_xlfn.XLOOKUP(C112,Tab_Def_Flows[Flow_Name],Tab_Def_Flows[Flow_ID],,0,)</f>
        <v/>
      </c>
      <c r="C112" t="inlineStr">
        <is>
          <t>Atmosphere_Input_millet_production_C</t>
        </is>
      </c>
      <c r="D112">
        <f>_xlfn.XLOOKUP(C112,Tab_Def_Flows[Flow_Name],Tab_Def_Flows[WC?],,0,)</f>
        <v/>
      </c>
      <c r="E112">
        <f>_xlfn.XLOOKUP(C112,Tab_Def_Flows[Flow_Name],Tab_Def_Flows[DM?],,0,)</f>
        <v/>
      </c>
      <c r="F112">
        <f>_xlfn.XLOOKUP(C112,Tab_Def_Flows[Flow_Name],Tab_Def_Flows[CC?],,0,)</f>
        <v/>
      </c>
      <c r="G112" t="n">
        <v>2031</v>
      </c>
      <c r="H112" t="n">
        <v>1155.182734860337</v>
      </c>
      <c r="I112">
        <f>'0_Configuration'!$C$35</f>
        <v/>
      </c>
      <c r="O112" t="inlineStr">
        <is>
          <t>No</t>
        </is>
      </c>
      <c r="R112">
        <f>Tab_Data_Flows[[#This Row],[Flow_ID]]&amp;"_"&amp;"material_"&amp;Tab_Data_Flows[[#This Row],[Flow_Data_Year]]</f>
        <v/>
      </c>
      <c r="S112">
        <f>IF(O112="no",H112,H112*P112)</f>
        <v/>
      </c>
      <c r="T112">
        <f>Tab_Data_Flows[[#This Row],[UoM_Source]]</f>
        <v/>
      </c>
      <c r="U112">
        <f>INDEX(Tab_Def_Flows[[Flow_ID]:[CC_DM_source]],MATCH(Tab_Data_Flows[[#This Row],[Flow_Name]],Tab_Def_Flows[Flow_Name],0),11)</f>
        <v/>
      </c>
      <c r="V112">
        <f>Tab_Data_Flows[[#This Row],[Flow_ID]]&amp;"_"&amp;"WC_"&amp;Tab_Data_Flows[[#This Row],[Flow_Data_Year]]</f>
        <v/>
      </c>
      <c r="W112">
        <f>IF(D112="Yes",S112*Tab_Data_Flows[[#This Row],[WC_'[%']]],"N.A.")</f>
        <v/>
      </c>
      <c r="X112">
        <f>Tab_Data_Flows[[#This Row],[UoM_Flow_Py]]</f>
        <v/>
      </c>
      <c r="Y112">
        <f>INDEX(Tab_Def_Flows[[Flow_ID]:[CC_DM_source]],MATCH(Tab_Data_Flows[[#This Row],[Flow_Name]],Tab_Def_Flows[Flow_Name],0),14)</f>
        <v/>
      </c>
      <c r="Z112">
        <f>Tab_Data_Flows[[#This Row],[Flow_ID]]&amp;"_"&amp;"DM_"&amp;Tab_Data_Flows[[#This Row],[Flow_Data_Year]]</f>
        <v/>
      </c>
      <c r="AA112">
        <f>IF(E112="Yes",Y112*Tab_Data_Flows[[#This Row],[Flow_Material]],"N.A.")</f>
        <v/>
      </c>
      <c r="AB112">
        <f>Tab_Data_Flows[[#This Row],[UoM_Flow_Py]]</f>
        <v/>
      </c>
      <c r="AC112">
        <f>INDEX(Tab_Def_Flows[[Flow_ID]:[CC_DM_source]],MATCH(Tab_Data_Flows[[#This Row],[Flow_Name]],Tab_Def_Flows[Flow_Name],0),17)</f>
        <v/>
      </c>
      <c r="AD112">
        <f>Tab_Data_Flows[[#This Row],[Flow_ID]]&amp;"_"&amp;"CC_"&amp;Tab_Data_Flows[[#This Row],[Flow_Data_Year]]</f>
        <v/>
      </c>
      <c r="AE112">
        <f>IF(F112="Yes",AC112*Tab_Data_Flows[[#This Row],[Flow_Material]]*Tab_Data_Flows[[#This Row],[DM_'[%']]],"N.A.")</f>
        <v/>
      </c>
      <c r="AF112">
        <f>Tab_Data_Flows[[#This Row],[UoM_Flow_Py]]</f>
        <v/>
      </c>
    </row>
    <row r="113">
      <c r="A113">
        <f>ROW()-1</f>
        <v/>
      </c>
      <c r="B113">
        <f>_xlfn.XLOOKUP(C113,Tab_Def_Flows[Flow_Name],Tab_Def_Flows[Flow_ID],,0,)</f>
        <v/>
      </c>
      <c r="C113" t="inlineStr">
        <is>
          <t>Atmosphere_Input_millet_production_C</t>
        </is>
      </c>
      <c r="D113">
        <f>_xlfn.XLOOKUP(C113,Tab_Def_Flows[Flow_Name],Tab_Def_Flows[WC?],,0,)</f>
        <v/>
      </c>
      <c r="E113">
        <f>_xlfn.XLOOKUP(C113,Tab_Def_Flows[Flow_Name],Tab_Def_Flows[DM?],,0,)</f>
        <v/>
      </c>
      <c r="F113">
        <f>_xlfn.XLOOKUP(C113,Tab_Def_Flows[Flow_Name],Tab_Def_Flows[CC?],,0,)</f>
        <v/>
      </c>
      <c r="G113" t="n">
        <v>2032</v>
      </c>
      <c r="H113" t="n">
        <v>972.0860538112209</v>
      </c>
      <c r="I113">
        <f>'0_Configuration'!$C$35</f>
        <v/>
      </c>
      <c r="O113" t="inlineStr">
        <is>
          <t>No</t>
        </is>
      </c>
      <c r="R113">
        <f>Tab_Data_Flows[[#This Row],[Flow_ID]]&amp;"_"&amp;"material_"&amp;Tab_Data_Flows[[#This Row],[Flow_Data_Year]]</f>
        <v/>
      </c>
      <c r="S113">
        <f>IF(O113="no",H113,H113*P113)</f>
        <v/>
      </c>
      <c r="T113">
        <f>Tab_Data_Flows[[#This Row],[UoM_Source]]</f>
        <v/>
      </c>
      <c r="U113">
        <f>INDEX(Tab_Def_Flows[[Flow_ID]:[CC_DM_source]],MATCH(Tab_Data_Flows[[#This Row],[Flow_Name]],Tab_Def_Flows[Flow_Name],0),11)</f>
        <v/>
      </c>
      <c r="V113">
        <f>Tab_Data_Flows[[#This Row],[Flow_ID]]&amp;"_"&amp;"WC_"&amp;Tab_Data_Flows[[#This Row],[Flow_Data_Year]]</f>
        <v/>
      </c>
      <c r="W113">
        <f>IF(D113="Yes",S113*Tab_Data_Flows[[#This Row],[WC_'[%']]],"N.A.")</f>
        <v/>
      </c>
      <c r="X113">
        <f>Tab_Data_Flows[[#This Row],[UoM_Flow_Py]]</f>
        <v/>
      </c>
      <c r="Y113">
        <f>INDEX(Tab_Def_Flows[[Flow_ID]:[CC_DM_source]],MATCH(Tab_Data_Flows[[#This Row],[Flow_Name]],Tab_Def_Flows[Flow_Name],0),14)</f>
        <v/>
      </c>
      <c r="Z113">
        <f>Tab_Data_Flows[[#This Row],[Flow_ID]]&amp;"_"&amp;"DM_"&amp;Tab_Data_Flows[[#This Row],[Flow_Data_Year]]</f>
        <v/>
      </c>
      <c r="AA113">
        <f>IF(E113="Yes",Y113*Tab_Data_Flows[[#This Row],[Flow_Material]],"N.A.")</f>
        <v/>
      </c>
      <c r="AB113">
        <f>Tab_Data_Flows[[#This Row],[UoM_Flow_Py]]</f>
        <v/>
      </c>
      <c r="AC113">
        <f>INDEX(Tab_Def_Flows[[Flow_ID]:[CC_DM_source]],MATCH(Tab_Data_Flows[[#This Row],[Flow_Name]],Tab_Def_Flows[Flow_Name],0),17)</f>
        <v/>
      </c>
      <c r="AD113">
        <f>Tab_Data_Flows[[#This Row],[Flow_ID]]&amp;"_"&amp;"CC_"&amp;Tab_Data_Flows[[#This Row],[Flow_Data_Year]]</f>
        <v/>
      </c>
      <c r="AE113">
        <f>IF(F113="Yes",AC113*Tab_Data_Flows[[#This Row],[Flow_Material]]*Tab_Data_Flows[[#This Row],[DM_'[%']]],"N.A.")</f>
        <v/>
      </c>
      <c r="AF113">
        <f>Tab_Data_Flows[[#This Row],[UoM_Flow_Py]]</f>
        <v/>
      </c>
    </row>
    <row r="114">
      <c r="A114">
        <f>ROW()-1</f>
        <v/>
      </c>
      <c r="B114">
        <f>_xlfn.XLOOKUP(C114,Tab_Def_Flows[Flow_Name],Tab_Def_Flows[Flow_ID],,0,)</f>
        <v/>
      </c>
      <c r="C114" t="inlineStr">
        <is>
          <t>Atmosphere_Input_millet_production_C</t>
        </is>
      </c>
      <c r="D114">
        <f>_xlfn.XLOOKUP(C114,Tab_Def_Flows[Flow_Name],Tab_Def_Flows[WC?],,0,)</f>
        <v/>
      </c>
      <c r="E114">
        <f>_xlfn.XLOOKUP(C114,Tab_Def_Flows[Flow_Name],Tab_Def_Flows[DM?],,0,)</f>
        <v/>
      </c>
      <c r="F114">
        <f>_xlfn.XLOOKUP(C114,Tab_Def_Flows[Flow_Name],Tab_Def_Flows[CC?],,0,)</f>
        <v/>
      </c>
      <c r="G114" t="n">
        <v>2033</v>
      </c>
      <c r="H114" t="n">
        <v>693.11187244187</v>
      </c>
      <c r="I114">
        <f>'0_Configuration'!$C$35</f>
        <v/>
      </c>
      <c r="O114" t="inlineStr">
        <is>
          <t>No</t>
        </is>
      </c>
      <c r="R114">
        <f>Tab_Data_Flows[[#This Row],[Flow_ID]]&amp;"_"&amp;"material_"&amp;Tab_Data_Flows[[#This Row],[Flow_Data_Year]]</f>
        <v/>
      </c>
      <c r="S114">
        <f>IF(O114="no",H114,H114*P114)</f>
        <v/>
      </c>
      <c r="T114">
        <f>Tab_Data_Flows[[#This Row],[UoM_Source]]</f>
        <v/>
      </c>
      <c r="U114">
        <f>INDEX(Tab_Def_Flows[[Flow_ID]:[CC_DM_source]],MATCH(Tab_Data_Flows[[#This Row],[Flow_Name]],Tab_Def_Flows[Flow_Name],0),11)</f>
        <v/>
      </c>
      <c r="V114">
        <f>Tab_Data_Flows[[#This Row],[Flow_ID]]&amp;"_"&amp;"WC_"&amp;Tab_Data_Flows[[#This Row],[Flow_Data_Year]]</f>
        <v/>
      </c>
      <c r="W114">
        <f>IF(D114="Yes",S114*Tab_Data_Flows[[#This Row],[WC_'[%']]],"N.A.")</f>
        <v/>
      </c>
      <c r="X114">
        <f>Tab_Data_Flows[[#This Row],[UoM_Flow_Py]]</f>
        <v/>
      </c>
      <c r="Y114">
        <f>INDEX(Tab_Def_Flows[[Flow_ID]:[CC_DM_source]],MATCH(Tab_Data_Flows[[#This Row],[Flow_Name]],Tab_Def_Flows[Flow_Name],0),14)</f>
        <v/>
      </c>
      <c r="Z114">
        <f>Tab_Data_Flows[[#This Row],[Flow_ID]]&amp;"_"&amp;"DM_"&amp;Tab_Data_Flows[[#This Row],[Flow_Data_Year]]</f>
        <v/>
      </c>
      <c r="AA114">
        <f>IF(E114="Yes",Y114*Tab_Data_Flows[[#This Row],[Flow_Material]],"N.A.")</f>
        <v/>
      </c>
      <c r="AB114">
        <f>Tab_Data_Flows[[#This Row],[UoM_Flow_Py]]</f>
        <v/>
      </c>
      <c r="AC114">
        <f>INDEX(Tab_Def_Flows[[Flow_ID]:[CC_DM_source]],MATCH(Tab_Data_Flows[[#This Row],[Flow_Name]],Tab_Def_Flows[Flow_Name],0),17)</f>
        <v/>
      </c>
      <c r="AD114">
        <f>Tab_Data_Flows[[#This Row],[Flow_ID]]&amp;"_"&amp;"CC_"&amp;Tab_Data_Flows[[#This Row],[Flow_Data_Year]]</f>
        <v/>
      </c>
      <c r="AE114">
        <f>IF(F114="Yes",AC114*Tab_Data_Flows[[#This Row],[Flow_Material]]*Tab_Data_Flows[[#This Row],[DM_'[%']]],"N.A.")</f>
        <v/>
      </c>
      <c r="AF114">
        <f>Tab_Data_Flows[[#This Row],[UoM_Flow_Py]]</f>
        <v/>
      </c>
    </row>
    <row r="115">
      <c r="A115">
        <f>ROW()-1</f>
        <v/>
      </c>
      <c r="B115">
        <f>_xlfn.XLOOKUP(C115,Tab_Def_Flows[Flow_Name],Tab_Def_Flows[Flow_ID],,0,)</f>
        <v/>
      </c>
      <c r="C115" t="inlineStr">
        <is>
          <t>Atmosphere_Input_millet_production_C</t>
        </is>
      </c>
      <c r="D115">
        <f>_xlfn.XLOOKUP(C115,Tab_Def_Flows[Flow_Name],Tab_Def_Flows[WC?],,0,)</f>
        <v/>
      </c>
      <c r="E115">
        <f>_xlfn.XLOOKUP(C115,Tab_Def_Flows[Flow_Name],Tab_Def_Flows[DM?],,0,)</f>
        <v/>
      </c>
      <c r="F115">
        <f>_xlfn.XLOOKUP(C115,Tab_Def_Flows[Flow_Name],Tab_Def_Flows[CC?],,0,)</f>
        <v/>
      </c>
      <c r="G115" t="n">
        <v>2034</v>
      </c>
      <c r="H115" t="n">
        <v>921.3746330087693</v>
      </c>
      <c r="I115">
        <f>'0_Configuration'!$C$35</f>
        <v/>
      </c>
      <c r="O115" t="inlineStr">
        <is>
          <t>No</t>
        </is>
      </c>
      <c r="R115">
        <f>Tab_Data_Flows[[#This Row],[Flow_ID]]&amp;"_"&amp;"material_"&amp;Tab_Data_Flows[[#This Row],[Flow_Data_Year]]</f>
        <v/>
      </c>
      <c r="S115">
        <f>IF(O115="no",H115,H115*P115)</f>
        <v/>
      </c>
      <c r="T115">
        <f>Tab_Data_Flows[[#This Row],[UoM_Source]]</f>
        <v/>
      </c>
      <c r="U115">
        <f>INDEX(Tab_Def_Flows[[Flow_ID]:[CC_DM_source]],MATCH(Tab_Data_Flows[[#This Row],[Flow_Name]],Tab_Def_Flows[Flow_Name],0),11)</f>
        <v/>
      </c>
      <c r="V115">
        <f>Tab_Data_Flows[[#This Row],[Flow_ID]]&amp;"_"&amp;"WC_"&amp;Tab_Data_Flows[[#This Row],[Flow_Data_Year]]</f>
        <v/>
      </c>
      <c r="W115">
        <f>IF(D115="Yes",S115*Tab_Data_Flows[[#This Row],[WC_'[%']]],"N.A.")</f>
        <v/>
      </c>
      <c r="X115">
        <f>Tab_Data_Flows[[#This Row],[UoM_Flow_Py]]</f>
        <v/>
      </c>
      <c r="Y115">
        <f>INDEX(Tab_Def_Flows[[Flow_ID]:[CC_DM_source]],MATCH(Tab_Data_Flows[[#This Row],[Flow_Name]],Tab_Def_Flows[Flow_Name],0),14)</f>
        <v/>
      </c>
      <c r="Z115">
        <f>Tab_Data_Flows[[#This Row],[Flow_ID]]&amp;"_"&amp;"DM_"&amp;Tab_Data_Flows[[#This Row],[Flow_Data_Year]]</f>
        <v/>
      </c>
      <c r="AA115">
        <f>IF(E115="Yes",Y115*Tab_Data_Flows[[#This Row],[Flow_Material]],"N.A.")</f>
        <v/>
      </c>
      <c r="AB115">
        <f>Tab_Data_Flows[[#This Row],[UoM_Flow_Py]]</f>
        <v/>
      </c>
      <c r="AC115">
        <f>INDEX(Tab_Def_Flows[[Flow_ID]:[CC_DM_source]],MATCH(Tab_Data_Flows[[#This Row],[Flow_Name]],Tab_Def_Flows[Flow_Name],0),17)</f>
        <v/>
      </c>
      <c r="AD115">
        <f>Tab_Data_Flows[[#This Row],[Flow_ID]]&amp;"_"&amp;"CC_"&amp;Tab_Data_Flows[[#This Row],[Flow_Data_Year]]</f>
        <v/>
      </c>
      <c r="AE115">
        <f>IF(F115="Yes",AC115*Tab_Data_Flows[[#This Row],[Flow_Material]]*Tab_Data_Flows[[#This Row],[DM_'[%']]],"N.A.")</f>
        <v/>
      </c>
      <c r="AF115">
        <f>Tab_Data_Flows[[#This Row],[UoM_Flow_Py]]</f>
        <v/>
      </c>
    </row>
    <row r="116">
      <c r="A116">
        <f>ROW()-1</f>
        <v/>
      </c>
      <c r="B116">
        <f>_xlfn.XLOOKUP(C116,Tab_Def_Flows[Flow_Name],Tab_Def_Flows[Flow_ID],,0,)</f>
        <v/>
      </c>
      <c r="C116" t="inlineStr">
        <is>
          <t>Atmosphere_Input_millet_production_C</t>
        </is>
      </c>
      <c r="D116">
        <f>_xlfn.XLOOKUP(C116,Tab_Def_Flows[Flow_Name],Tab_Def_Flows[WC?],,0,)</f>
        <v/>
      </c>
      <c r="E116">
        <f>_xlfn.XLOOKUP(C116,Tab_Def_Flows[Flow_Name],Tab_Def_Flows[DM?],,0,)</f>
        <v/>
      </c>
      <c r="F116">
        <f>_xlfn.XLOOKUP(C116,Tab_Def_Flows[Flow_Name],Tab_Def_Flows[CC?],,0,)</f>
        <v/>
      </c>
      <c r="G116" t="n">
        <v>2035</v>
      </c>
      <c r="H116" t="n">
        <v>694.4731030992735</v>
      </c>
      <c r="I116">
        <f>'0_Configuration'!$C$35</f>
        <v/>
      </c>
      <c r="O116" t="inlineStr">
        <is>
          <t>No</t>
        </is>
      </c>
      <c r="R116">
        <f>Tab_Data_Flows[[#This Row],[Flow_ID]]&amp;"_"&amp;"material_"&amp;Tab_Data_Flows[[#This Row],[Flow_Data_Year]]</f>
        <v/>
      </c>
      <c r="S116">
        <f>IF(O116="no",H116,H116*P116)</f>
        <v/>
      </c>
      <c r="T116">
        <f>Tab_Data_Flows[[#This Row],[UoM_Source]]</f>
        <v/>
      </c>
      <c r="U116">
        <f>INDEX(Tab_Def_Flows[[Flow_ID]:[CC_DM_source]],MATCH(Tab_Data_Flows[[#This Row],[Flow_Name]],Tab_Def_Flows[Flow_Name],0),11)</f>
        <v/>
      </c>
      <c r="V116">
        <f>Tab_Data_Flows[[#This Row],[Flow_ID]]&amp;"_"&amp;"WC_"&amp;Tab_Data_Flows[[#This Row],[Flow_Data_Year]]</f>
        <v/>
      </c>
      <c r="W116">
        <f>IF(D116="Yes",S116*Tab_Data_Flows[[#This Row],[WC_'[%']]],"N.A.")</f>
        <v/>
      </c>
      <c r="X116">
        <f>Tab_Data_Flows[[#This Row],[UoM_Flow_Py]]</f>
        <v/>
      </c>
      <c r="Y116">
        <f>INDEX(Tab_Def_Flows[[Flow_ID]:[CC_DM_source]],MATCH(Tab_Data_Flows[[#This Row],[Flow_Name]],Tab_Def_Flows[Flow_Name],0),14)</f>
        <v/>
      </c>
      <c r="Z116">
        <f>Tab_Data_Flows[[#This Row],[Flow_ID]]&amp;"_"&amp;"DM_"&amp;Tab_Data_Flows[[#This Row],[Flow_Data_Year]]</f>
        <v/>
      </c>
      <c r="AA116">
        <f>IF(E116="Yes",Y116*Tab_Data_Flows[[#This Row],[Flow_Material]],"N.A.")</f>
        <v/>
      </c>
      <c r="AB116">
        <f>Tab_Data_Flows[[#This Row],[UoM_Flow_Py]]</f>
        <v/>
      </c>
      <c r="AC116">
        <f>INDEX(Tab_Def_Flows[[Flow_ID]:[CC_DM_source]],MATCH(Tab_Data_Flows[[#This Row],[Flow_Name]],Tab_Def_Flows[Flow_Name],0),17)</f>
        <v/>
      </c>
      <c r="AD116">
        <f>Tab_Data_Flows[[#This Row],[Flow_ID]]&amp;"_"&amp;"CC_"&amp;Tab_Data_Flows[[#This Row],[Flow_Data_Year]]</f>
        <v/>
      </c>
      <c r="AE116">
        <f>IF(F116="Yes",AC116*Tab_Data_Flows[[#This Row],[Flow_Material]]*Tab_Data_Flows[[#This Row],[DM_'[%']]],"N.A.")</f>
        <v/>
      </c>
      <c r="AF116">
        <f>Tab_Data_Flows[[#This Row],[UoM_Flow_Py]]</f>
        <v/>
      </c>
    </row>
    <row r="117">
      <c r="A117">
        <f>ROW()-1</f>
        <v/>
      </c>
      <c r="B117">
        <f>_xlfn.XLOOKUP(C117,Tab_Def_Flows[Flow_Name],Tab_Def_Flows[Flow_ID],,0,)</f>
        <v/>
      </c>
      <c r="C117" t="inlineStr">
        <is>
          <t>Atmosphere_Input_millet_production_C</t>
        </is>
      </c>
      <c r="D117">
        <f>_xlfn.XLOOKUP(C117,Tab_Def_Flows[Flow_Name],Tab_Def_Flows[WC?],,0,)</f>
        <v/>
      </c>
      <c r="E117">
        <f>_xlfn.XLOOKUP(C117,Tab_Def_Flows[Flow_Name],Tab_Def_Flows[DM?],,0,)</f>
        <v/>
      </c>
      <c r="F117">
        <f>_xlfn.XLOOKUP(C117,Tab_Def_Flows[Flow_Name],Tab_Def_Flows[CC?],,0,)</f>
        <v/>
      </c>
      <c r="G117" t="n">
        <v>2036</v>
      </c>
      <c r="H117" t="n">
        <v>693.9486945673231</v>
      </c>
      <c r="I117">
        <f>'0_Configuration'!$C$35</f>
        <v/>
      </c>
      <c r="O117" t="inlineStr">
        <is>
          <t>No</t>
        </is>
      </c>
      <c r="R117">
        <f>Tab_Data_Flows[[#This Row],[Flow_ID]]&amp;"_"&amp;"material_"&amp;Tab_Data_Flows[[#This Row],[Flow_Data_Year]]</f>
        <v/>
      </c>
      <c r="S117">
        <f>IF(O117="no",H117,H117*P117)</f>
        <v/>
      </c>
      <c r="T117">
        <f>Tab_Data_Flows[[#This Row],[UoM_Source]]</f>
        <v/>
      </c>
      <c r="U117">
        <f>INDEX(Tab_Def_Flows[[Flow_ID]:[CC_DM_source]],MATCH(Tab_Data_Flows[[#This Row],[Flow_Name]],Tab_Def_Flows[Flow_Name],0),11)</f>
        <v/>
      </c>
      <c r="V117">
        <f>Tab_Data_Flows[[#This Row],[Flow_ID]]&amp;"_"&amp;"WC_"&amp;Tab_Data_Flows[[#This Row],[Flow_Data_Year]]</f>
        <v/>
      </c>
      <c r="W117">
        <f>IF(D117="Yes",S117*Tab_Data_Flows[[#This Row],[WC_'[%']]],"N.A.")</f>
        <v/>
      </c>
      <c r="X117">
        <f>Tab_Data_Flows[[#This Row],[UoM_Flow_Py]]</f>
        <v/>
      </c>
      <c r="Y117">
        <f>INDEX(Tab_Def_Flows[[Flow_ID]:[CC_DM_source]],MATCH(Tab_Data_Flows[[#This Row],[Flow_Name]],Tab_Def_Flows[Flow_Name],0),14)</f>
        <v/>
      </c>
      <c r="Z117">
        <f>Tab_Data_Flows[[#This Row],[Flow_ID]]&amp;"_"&amp;"DM_"&amp;Tab_Data_Flows[[#This Row],[Flow_Data_Year]]</f>
        <v/>
      </c>
      <c r="AA117">
        <f>IF(E117="Yes",Y117*Tab_Data_Flows[[#This Row],[Flow_Material]],"N.A.")</f>
        <v/>
      </c>
      <c r="AB117">
        <f>Tab_Data_Flows[[#This Row],[UoM_Flow_Py]]</f>
        <v/>
      </c>
      <c r="AC117">
        <f>INDEX(Tab_Def_Flows[[Flow_ID]:[CC_DM_source]],MATCH(Tab_Data_Flows[[#This Row],[Flow_Name]],Tab_Def_Flows[Flow_Name],0),17)</f>
        <v/>
      </c>
      <c r="AD117">
        <f>Tab_Data_Flows[[#This Row],[Flow_ID]]&amp;"_"&amp;"CC_"&amp;Tab_Data_Flows[[#This Row],[Flow_Data_Year]]</f>
        <v/>
      </c>
      <c r="AE117">
        <f>IF(F117="Yes",AC117*Tab_Data_Flows[[#This Row],[Flow_Material]]*Tab_Data_Flows[[#This Row],[DM_'[%']]],"N.A.")</f>
        <v/>
      </c>
      <c r="AF117">
        <f>Tab_Data_Flows[[#This Row],[UoM_Flow_Py]]</f>
        <v/>
      </c>
    </row>
    <row r="118">
      <c r="A118">
        <f>ROW()-1</f>
        <v/>
      </c>
      <c r="B118">
        <f>_xlfn.XLOOKUP(C118,Tab_Def_Flows[Flow_Name],Tab_Def_Flows[Flow_ID],,0,)</f>
        <v/>
      </c>
      <c r="C118" t="inlineStr">
        <is>
          <t>Atmosphere_Input_millet_production_C</t>
        </is>
      </c>
      <c r="D118">
        <f>_xlfn.XLOOKUP(C118,Tab_Def_Flows[Flow_Name],Tab_Def_Flows[WC?],,0,)</f>
        <v/>
      </c>
      <c r="E118">
        <f>_xlfn.XLOOKUP(C118,Tab_Def_Flows[Flow_Name],Tab_Def_Flows[DM?],,0,)</f>
        <v/>
      </c>
      <c r="F118">
        <f>_xlfn.XLOOKUP(C118,Tab_Def_Flows[Flow_Name],Tab_Def_Flows[CC?],,0,)</f>
        <v/>
      </c>
      <c r="G118" t="n">
        <v>2037</v>
      </c>
      <c r="H118" t="n">
        <v>853.5697255903976</v>
      </c>
      <c r="I118">
        <f>'0_Configuration'!$C$35</f>
        <v/>
      </c>
      <c r="O118" t="inlineStr">
        <is>
          <t>No</t>
        </is>
      </c>
      <c r="R118">
        <f>Tab_Data_Flows[[#This Row],[Flow_ID]]&amp;"_"&amp;"material_"&amp;Tab_Data_Flows[[#This Row],[Flow_Data_Year]]</f>
        <v/>
      </c>
      <c r="S118">
        <f>IF(O118="no",H118,H118*P118)</f>
        <v/>
      </c>
      <c r="T118">
        <f>Tab_Data_Flows[[#This Row],[UoM_Source]]</f>
        <v/>
      </c>
      <c r="U118">
        <f>INDEX(Tab_Def_Flows[[Flow_ID]:[CC_DM_source]],MATCH(Tab_Data_Flows[[#This Row],[Flow_Name]],Tab_Def_Flows[Flow_Name],0),11)</f>
        <v/>
      </c>
      <c r="V118">
        <f>Tab_Data_Flows[[#This Row],[Flow_ID]]&amp;"_"&amp;"WC_"&amp;Tab_Data_Flows[[#This Row],[Flow_Data_Year]]</f>
        <v/>
      </c>
      <c r="W118">
        <f>IF(D118="Yes",S118*Tab_Data_Flows[[#This Row],[WC_'[%']]],"N.A.")</f>
        <v/>
      </c>
      <c r="X118">
        <f>Tab_Data_Flows[[#This Row],[UoM_Flow_Py]]</f>
        <v/>
      </c>
      <c r="Y118">
        <f>INDEX(Tab_Def_Flows[[Flow_ID]:[CC_DM_source]],MATCH(Tab_Data_Flows[[#This Row],[Flow_Name]],Tab_Def_Flows[Flow_Name],0),14)</f>
        <v/>
      </c>
      <c r="Z118">
        <f>Tab_Data_Flows[[#This Row],[Flow_ID]]&amp;"_"&amp;"DM_"&amp;Tab_Data_Flows[[#This Row],[Flow_Data_Year]]</f>
        <v/>
      </c>
      <c r="AA118">
        <f>IF(E118="Yes",Y118*Tab_Data_Flows[[#This Row],[Flow_Material]],"N.A.")</f>
        <v/>
      </c>
      <c r="AB118">
        <f>Tab_Data_Flows[[#This Row],[UoM_Flow_Py]]</f>
        <v/>
      </c>
      <c r="AC118">
        <f>INDEX(Tab_Def_Flows[[Flow_ID]:[CC_DM_source]],MATCH(Tab_Data_Flows[[#This Row],[Flow_Name]],Tab_Def_Flows[Flow_Name],0),17)</f>
        <v/>
      </c>
      <c r="AD118">
        <f>Tab_Data_Flows[[#This Row],[Flow_ID]]&amp;"_"&amp;"CC_"&amp;Tab_Data_Flows[[#This Row],[Flow_Data_Year]]</f>
        <v/>
      </c>
      <c r="AE118">
        <f>IF(F118="Yes",AC118*Tab_Data_Flows[[#This Row],[Flow_Material]]*Tab_Data_Flows[[#This Row],[DM_'[%']]],"N.A.")</f>
        <v/>
      </c>
      <c r="AF118">
        <f>Tab_Data_Flows[[#This Row],[UoM_Flow_Py]]</f>
        <v/>
      </c>
    </row>
    <row r="119">
      <c r="A119">
        <f>ROW()-1</f>
        <v/>
      </c>
      <c r="B119">
        <f>_xlfn.XLOOKUP(C119,Tab_Def_Flows[Flow_Name],Tab_Def_Flows[Flow_ID],,0,)</f>
        <v/>
      </c>
      <c r="C119" t="inlineStr">
        <is>
          <t>Atmosphere_Input_millet_production_C</t>
        </is>
      </c>
      <c r="D119">
        <f>_xlfn.XLOOKUP(C119,Tab_Def_Flows[Flow_Name],Tab_Def_Flows[WC?],,0,)</f>
        <v/>
      </c>
      <c r="E119">
        <f>_xlfn.XLOOKUP(C119,Tab_Def_Flows[Flow_Name],Tab_Def_Flows[DM?],,0,)</f>
        <v/>
      </c>
      <c r="F119">
        <f>_xlfn.XLOOKUP(C119,Tab_Def_Flows[Flow_Name],Tab_Def_Flows[CC?],,0,)</f>
        <v/>
      </c>
      <c r="G119" t="n">
        <v>2038</v>
      </c>
      <c r="H119" t="n">
        <v>367.4653317289205</v>
      </c>
      <c r="I119">
        <f>'0_Configuration'!$C$35</f>
        <v/>
      </c>
      <c r="O119" t="inlineStr">
        <is>
          <t>No</t>
        </is>
      </c>
      <c r="R119">
        <f>Tab_Data_Flows[[#This Row],[Flow_ID]]&amp;"_"&amp;"material_"&amp;Tab_Data_Flows[[#This Row],[Flow_Data_Year]]</f>
        <v/>
      </c>
      <c r="S119">
        <f>IF(O119="no",H119,H119*P119)</f>
        <v/>
      </c>
      <c r="T119">
        <f>Tab_Data_Flows[[#This Row],[UoM_Source]]</f>
        <v/>
      </c>
      <c r="U119">
        <f>INDEX(Tab_Def_Flows[[Flow_ID]:[CC_DM_source]],MATCH(Tab_Data_Flows[[#This Row],[Flow_Name]],Tab_Def_Flows[Flow_Name],0),11)</f>
        <v/>
      </c>
      <c r="V119">
        <f>Tab_Data_Flows[[#This Row],[Flow_ID]]&amp;"_"&amp;"WC_"&amp;Tab_Data_Flows[[#This Row],[Flow_Data_Year]]</f>
        <v/>
      </c>
      <c r="W119">
        <f>IF(D119="Yes",S119*Tab_Data_Flows[[#This Row],[WC_'[%']]],"N.A.")</f>
        <v/>
      </c>
      <c r="X119">
        <f>Tab_Data_Flows[[#This Row],[UoM_Flow_Py]]</f>
        <v/>
      </c>
      <c r="Y119">
        <f>INDEX(Tab_Def_Flows[[Flow_ID]:[CC_DM_source]],MATCH(Tab_Data_Flows[[#This Row],[Flow_Name]],Tab_Def_Flows[Flow_Name],0),14)</f>
        <v/>
      </c>
      <c r="Z119">
        <f>Tab_Data_Flows[[#This Row],[Flow_ID]]&amp;"_"&amp;"DM_"&amp;Tab_Data_Flows[[#This Row],[Flow_Data_Year]]</f>
        <v/>
      </c>
      <c r="AA119">
        <f>IF(E119="Yes",Y119*Tab_Data_Flows[[#This Row],[Flow_Material]],"N.A.")</f>
        <v/>
      </c>
      <c r="AB119">
        <f>Tab_Data_Flows[[#This Row],[UoM_Flow_Py]]</f>
        <v/>
      </c>
      <c r="AC119">
        <f>INDEX(Tab_Def_Flows[[Flow_ID]:[CC_DM_source]],MATCH(Tab_Data_Flows[[#This Row],[Flow_Name]],Tab_Def_Flows[Flow_Name],0),17)</f>
        <v/>
      </c>
      <c r="AD119">
        <f>Tab_Data_Flows[[#This Row],[Flow_ID]]&amp;"_"&amp;"CC_"&amp;Tab_Data_Flows[[#This Row],[Flow_Data_Year]]</f>
        <v/>
      </c>
      <c r="AE119">
        <f>IF(F119="Yes",AC119*Tab_Data_Flows[[#This Row],[Flow_Material]]*Tab_Data_Flows[[#This Row],[DM_'[%']]],"N.A.")</f>
        <v/>
      </c>
      <c r="AF119">
        <f>Tab_Data_Flows[[#This Row],[UoM_Flow_Py]]</f>
        <v/>
      </c>
    </row>
    <row r="120">
      <c r="A120">
        <f>ROW()-1</f>
        <v/>
      </c>
      <c r="B120">
        <f>_xlfn.XLOOKUP(C120,Tab_Def_Flows[Flow_Name],Tab_Def_Flows[Flow_ID],,0,)</f>
        <v/>
      </c>
      <c r="C120" t="inlineStr">
        <is>
          <t>Atmosphere_Input_millet_production_C</t>
        </is>
      </c>
      <c r="D120">
        <f>_xlfn.XLOOKUP(C120,Tab_Def_Flows[Flow_Name],Tab_Def_Flows[WC?],,0,)</f>
        <v/>
      </c>
      <c r="E120">
        <f>_xlfn.XLOOKUP(C120,Tab_Def_Flows[Flow_Name],Tab_Def_Flows[DM?],,0,)</f>
        <v/>
      </c>
      <c r="F120">
        <f>_xlfn.XLOOKUP(C120,Tab_Def_Flows[Flow_Name],Tab_Def_Flows[CC?],,0,)</f>
        <v/>
      </c>
      <c r="G120" t="n">
        <v>2039</v>
      </c>
      <c r="H120" t="n">
        <v>409.9424228169148</v>
      </c>
      <c r="I120">
        <f>'0_Configuration'!$C$35</f>
        <v/>
      </c>
      <c r="O120" t="inlineStr">
        <is>
          <t>No</t>
        </is>
      </c>
      <c r="R120">
        <f>Tab_Data_Flows[[#This Row],[Flow_ID]]&amp;"_"&amp;"material_"&amp;Tab_Data_Flows[[#This Row],[Flow_Data_Year]]</f>
        <v/>
      </c>
      <c r="S120">
        <f>IF(O120="no",H120,H120*P120)</f>
        <v/>
      </c>
      <c r="T120">
        <f>Tab_Data_Flows[[#This Row],[UoM_Source]]</f>
        <v/>
      </c>
      <c r="U120">
        <f>INDEX(Tab_Def_Flows[[Flow_ID]:[CC_DM_source]],MATCH(Tab_Data_Flows[[#This Row],[Flow_Name]],Tab_Def_Flows[Flow_Name],0),11)</f>
        <v/>
      </c>
      <c r="V120">
        <f>Tab_Data_Flows[[#This Row],[Flow_ID]]&amp;"_"&amp;"WC_"&amp;Tab_Data_Flows[[#This Row],[Flow_Data_Year]]</f>
        <v/>
      </c>
      <c r="W120">
        <f>IF(D120="Yes",S120*Tab_Data_Flows[[#This Row],[WC_'[%']]],"N.A.")</f>
        <v/>
      </c>
      <c r="X120">
        <f>Tab_Data_Flows[[#This Row],[UoM_Flow_Py]]</f>
        <v/>
      </c>
      <c r="Y120">
        <f>INDEX(Tab_Def_Flows[[Flow_ID]:[CC_DM_source]],MATCH(Tab_Data_Flows[[#This Row],[Flow_Name]],Tab_Def_Flows[Flow_Name],0),14)</f>
        <v/>
      </c>
      <c r="Z120">
        <f>Tab_Data_Flows[[#This Row],[Flow_ID]]&amp;"_"&amp;"DM_"&amp;Tab_Data_Flows[[#This Row],[Flow_Data_Year]]</f>
        <v/>
      </c>
      <c r="AA120">
        <f>IF(E120="Yes",Y120*Tab_Data_Flows[[#This Row],[Flow_Material]],"N.A.")</f>
        <v/>
      </c>
      <c r="AB120">
        <f>Tab_Data_Flows[[#This Row],[UoM_Flow_Py]]</f>
        <v/>
      </c>
      <c r="AC120">
        <f>INDEX(Tab_Def_Flows[[Flow_ID]:[CC_DM_source]],MATCH(Tab_Data_Flows[[#This Row],[Flow_Name]],Tab_Def_Flows[Flow_Name],0),17)</f>
        <v/>
      </c>
      <c r="AD120">
        <f>Tab_Data_Flows[[#This Row],[Flow_ID]]&amp;"_"&amp;"CC_"&amp;Tab_Data_Flows[[#This Row],[Flow_Data_Year]]</f>
        <v/>
      </c>
      <c r="AE120">
        <f>IF(F120="Yes",AC120*Tab_Data_Flows[[#This Row],[Flow_Material]]*Tab_Data_Flows[[#This Row],[DM_'[%']]],"N.A.")</f>
        <v/>
      </c>
      <c r="AF120">
        <f>Tab_Data_Flows[[#This Row],[UoM_Flow_Py]]</f>
        <v/>
      </c>
    </row>
    <row r="121">
      <c r="A121">
        <f>ROW()-1</f>
        <v/>
      </c>
      <c r="B121">
        <f>_xlfn.XLOOKUP(C121,Tab_Def_Flows[Flow_Name],Tab_Def_Flows[Flow_ID],,0,)</f>
        <v/>
      </c>
      <c r="C121" t="inlineStr">
        <is>
          <t>Atmosphere_Input_millet_production_C</t>
        </is>
      </c>
      <c r="D121">
        <f>_xlfn.XLOOKUP(C121,Tab_Def_Flows[Flow_Name],Tab_Def_Flows[WC?],,0,)</f>
        <v/>
      </c>
      <c r="E121">
        <f>_xlfn.XLOOKUP(C121,Tab_Def_Flows[Flow_Name],Tab_Def_Flows[DM?],,0,)</f>
        <v/>
      </c>
      <c r="F121">
        <f>_xlfn.XLOOKUP(C121,Tab_Def_Flows[Flow_Name],Tab_Def_Flows[CC?],,0,)</f>
        <v/>
      </c>
      <c r="G121" t="n">
        <v>2040</v>
      </c>
      <c r="H121" t="n">
        <v>672.1801616772058</v>
      </c>
      <c r="I121">
        <f>'0_Configuration'!$C$35</f>
        <v/>
      </c>
      <c r="O121" t="inlineStr">
        <is>
          <t>No</t>
        </is>
      </c>
      <c r="R121">
        <f>Tab_Data_Flows[[#This Row],[Flow_ID]]&amp;"_"&amp;"material_"&amp;Tab_Data_Flows[[#This Row],[Flow_Data_Year]]</f>
        <v/>
      </c>
      <c r="S121">
        <f>IF(O121="no",H121,H121*P121)</f>
        <v/>
      </c>
      <c r="T121">
        <f>Tab_Data_Flows[[#This Row],[UoM_Source]]</f>
        <v/>
      </c>
      <c r="U121">
        <f>INDEX(Tab_Def_Flows[[Flow_ID]:[CC_DM_source]],MATCH(Tab_Data_Flows[[#This Row],[Flow_Name]],Tab_Def_Flows[Flow_Name],0),11)</f>
        <v/>
      </c>
      <c r="V121">
        <f>Tab_Data_Flows[[#This Row],[Flow_ID]]&amp;"_"&amp;"WC_"&amp;Tab_Data_Flows[[#This Row],[Flow_Data_Year]]</f>
        <v/>
      </c>
      <c r="W121">
        <f>IF(D121="Yes",S121*Tab_Data_Flows[[#This Row],[WC_'[%']]],"N.A.")</f>
        <v/>
      </c>
      <c r="X121">
        <f>Tab_Data_Flows[[#This Row],[UoM_Flow_Py]]</f>
        <v/>
      </c>
      <c r="Y121">
        <f>INDEX(Tab_Def_Flows[[Flow_ID]:[CC_DM_source]],MATCH(Tab_Data_Flows[[#This Row],[Flow_Name]],Tab_Def_Flows[Flow_Name],0),14)</f>
        <v/>
      </c>
      <c r="Z121">
        <f>Tab_Data_Flows[[#This Row],[Flow_ID]]&amp;"_"&amp;"DM_"&amp;Tab_Data_Flows[[#This Row],[Flow_Data_Year]]</f>
        <v/>
      </c>
      <c r="AA121">
        <f>IF(E121="Yes",Y121*Tab_Data_Flows[[#This Row],[Flow_Material]],"N.A.")</f>
        <v/>
      </c>
      <c r="AB121">
        <f>Tab_Data_Flows[[#This Row],[UoM_Flow_Py]]</f>
        <v/>
      </c>
      <c r="AC121">
        <f>INDEX(Tab_Def_Flows[[Flow_ID]:[CC_DM_source]],MATCH(Tab_Data_Flows[[#This Row],[Flow_Name]],Tab_Def_Flows[Flow_Name],0),17)</f>
        <v/>
      </c>
      <c r="AD121">
        <f>Tab_Data_Flows[[#This Row],[Flow_ID]]&amp;"_"&amp;"CC_"&amp;Tab_Data_Flows[[#This Row],[Flow_Data_Year]]</f>
        <v/>
      </c>
      <c r="AE121">
        <f>IF(F121="Yes",AC121*Tab_Data_Flows[[#This Row],[Flow_Material]]*Tab_Data_Flows[[#This Row],[DM_'[%']]],"N.A.")</f>
        <v/>
      </c>
      <c r="AF121">
        <f>Tab_Data_Flows[[#This Row],[UoM_Flow_Py]]</f>
        <v/>
      </c>
    </row>
    <row r="122">
      <c r="A122">
        <f>ROW()-1</f>
        <v/>
      </c>
      <c r="B122">
        <f>_xlfn.XLOOKUP(C122,Tab_Def_Flows[Flow_Name],Tab_Def_Flows[Flow_ID],,0,)</f>
        <v/>
      </c>
      <c r="C122" t="inlineStr">
        <is>
          <t>Atmosphere_Input_millet_production_C</t>
        </is>
      </c>
      <c r="D122">
        <f>_xlfn.XLOOKUP(C122,Tab_Def_Flows[Flow_Name],Tab_Def_Flows[WC?],,0,)</f>
        <v/>
      </c>
      <c r="E122">
        <f>_xlfn.XLOOKUP(C122,Tab_Def_Flows[Flow_Name],Tab_Def_Flows[DM?],,0,)</f>
        <v/>
      </c>
      <c r="F122">
        <f>_xlfn.XLOOKUP(C122,Tab_Def_Flows[Flow_Name],Tab_Def_Flows[CC?],,0,)</f>
        <v/>
      </c>
      <c r="G122" t="n">
        <v>2041</v>
      </c>
      <c r="H122" t="n">
        <v>570.5564827621936</v>
      </c>
      <c r="I122">
        <f>'0_Configuration'!$C$35</f>
        <v/>
      </c>
      <c r="O122" t="inlineStr">
        <is>
          <t>No</t>
        </is>
      </c>
      <c r="R122">
        <f>Tab_Data_Flows[[#This Row],[Flow_ID]]&amp;"_"&amp;"material_"&amp;Tab_Data_Flows[[#This Row],[Flow_Data_Year]]</f>
        <v/>
      </c>
      <c r="S122">
        <f>IF(O122="no",H122,H122*P122)</f>
        <v/>
      </c>
      <c r="T122">
        <f>Tab_Data_Flows[[#This Row],[UoM_Source]]</f>
        <v/>
      </c>
      <c r="U122">
        <f>INDEX(Tab_Def_Flows[[Flow_ID]:[CC_DM_source]],MATCH(Tab_Data_Flows[[#This Row],[Flow_Name]],Tab_Def_Flows[Flow_Name],0),11)</f>
        <v/>
      </c>
      <c r="V122">
        <f>Tab_Data_Flows[[#This Row],[Flow_ID]]&amp;"_"&amp;"WC_"&amp;Tab_Data_Flows[[#This Row],[Flow_Data_Year]]</f>
        <v/>
      </c>
      <c r="W122">
        <f>IF(D122="Yes",S122*Tab_Data_Flows[[#This Row],[WC_'[%']]],"N.A.")</f>
        <v/>
      </c>
      <c r="X122">
        <f>Tab_Data_Flows[[#This Row],[UoM_Flow_Py]]</f>
        <v/>
      </c>
      <c r="Y122">
        <f>INDEX(Tab_Def_Flows[[Flow_ID]:[CC_DM_source]],MATCH(Tab_Data_Flows[[#This Row],[Flow_Name]],Tab_Def_Flows[Flow_Name],0),14)</f>
        <v/>
      </c>
      <c r="Z122">
        <f>Tab_Data_Flows[[#This Row],[Flow_ID]]&amp;"_"&amp;"DM_"&amp;Tab_Data_Flows[[#This Row],[Flow_Data_Year]]</f>
        <v/>
      </c>
      <c r="AA122">
        <f>IF(E122="Yes",Y122*Tab_Data_Flows[[#This Row],[Flow_Material]],"N.A.")</f>
        <v/>
      </c>
      <c r="AB122">
        <f>Tab_Data_Flows[[#This Row],[UoM_Flow_Py]]</f>
        <v/>
      </c>
      <c r="AC122">
        <f>INDEX(Tab_Def_Flows[[Flow_ID]:[CC_DM_source]],MATCH(Tab_Data_Flows[[#This Row],[Flow_Name]],Tab_Def_Flows[Flow_Name],0),17)</f>
        <v/>
      </c>
      <c r="AD122">
        <f>Tab_Data_Flows[[#This Row],[Flow_ID]]&amp;"_"&amp;"CC_"&amp;Tab_Data_Flows[[#This Row],[Flow_Data_Year]]</f>
        <v/>
      </c>
      <c r="AE122">
        <f>IF(F122="Yes",AC122*Tab_Data_Flows[[#This Row],[Flow_Material]]*Tab_Data_Flows[[#This Row],[DM_'[%']]],"N.A.")</f>
        <v/>
      </c>
      <c r="AF122">
        <f>Tab_Data_Flows[[#This Row],[UoM_Flow_Py]]</f>
        <v/>
      </c>
    </row>
    <row r="123">
      <c r="A123">
        <f>ROW()-1</f>
        <v/>
      </c>
      <c r="B123">
        <f>_xlfn.XLOOKUP(C123,Tab_Def_Flows[Flow_Name],Tab_Def_Flows[Flow_ID],,0,)</f>
        <v/>
      </c>
      <c r="C123" t="inlineStr">
        <is>
          <t>Atmosphere_Input_millet_production_C</t>
        </is>
      </c>
      <c r="D123">
        <f>_xlfn.XLOOKUP(C123,Tab_Def_Flows[Flow_Name],Tab_Def_Flows[WC?],,0,)</f>
        <v/>
      </c>
      <c r="E123">
        <f>_xlfn.XLOOKUP(C123,Tab_Def_Flows[Flow_Name],Tab_Def_Flows[DM?],,0,)</f>
        <v/>
      </c>
      <c r="F123">
        <f>_xlfn.XLOOKUP(C123,Tab_Def_Flows[Flow_Name],Tab_Def_Flows[CC?],,0,)</f>
        <v/>
      </c>
      <c r="G123" t="n">
        <v>2042</v>
      </c>
      <c r="H123" t="n">
        <v>869.871020594222</v>
      </c>
      <c r="I123">
        <f>'0_Configuration'!$C$35</f>
        <v/>
      </c>
      <c r="O123" t="inlineStr">
        <is>
          <t>No</t>
        </is>
      </c>
      <c r="R123">
        <f>Tab_Data_Flows[[#This Row],[Flow_ID]]&amp;"_"&amp;"material_"&amp;Tab_Data_Flows[[#This Row],[Flow_Data_Year]]</f>
        <v/>
      </c>
      <c r="S123">
        <f>IF(O123="no",H123,H123*P123)</f>
        <v/>
      </c>
      <c r="T123">
        <f>Tab_Data_Flows[[#This Row],[UoM_Source]]</f>
        <v/>
      </c>
      <c r="U123">
        <f>INDEX(Tab_Def_Flows[[Flow_ID]:[CC_DM_source]],MATCH(Tab_Data_Flows[[#This Row],[Flow_Name]],Tab_Def_Flows[Flow_Name],0),11)</f>
        <v/>
      </c>
      <c r="V123">
        <f>Tab_Data_Flows[[#This Row],[Flow_ID]]&amp;"_"&amp;"WC_"&amp;Tab_Data_Flows[[#This Row],[Flow_Data_Year]]</f>
        <v/>
      </c>
      <c r="W123">
        <f>IF(D123="Yes",S123*Tab_Data_Flows[[#This Row],[WC_'[%']]],"N.A.")</f>
        <v/>
      </c>
      <c r="X123">
        <f>Tab_Data_Flows[[#This Row],[UoM_Flow_Py]]</f>
        <v/>
      </c>
      <c r="Y123">
        <f>INDEX(Tab_Def_Flows[[Flow_ID]:[CC_DM_source]],MATCH(Tab_Data_Flows[[#This Row],[Flow_Name]],Tab_Def_Flows[Flow_Name],0),14)</f>
        <v/>
      </c>
      <c r="Z123">
        <f>Tab_Data_Flows[[#This Row],[Flow_ID]]&amp;"_"&amp;"DM_"&amp;Tab_Data_Flows[[#This Row],[Flow_Data_Year]]</f>
        <v/>
      </c>
      <c r="AA123">
        <f>IF(E123="Yes",Y123*Tab_Data_Flows[[#This Row],[Flow_Material]],"N.A.")</f>
        <v/>
      </c>
      <c r="AB123">
        <f>Tab_Data_Flows[[#This Row],[UoM_Flow_Py]]</f>
        <v/>
      </c>
      <c r="AC123">
        <f>INDEX(Tab_Def_Flows[[Flow_ID]:[CC_DM_source]],MATCH(Tab_Data_Flows[[#This Row],[Flow_Name]],Tab_Def_Flows[Flow_Name],0),17)</f>
        <v/>
      </c>
      <c r="AD123">
        <f>Tab_Data_Flows[[#This Row],[Flow_ID]]&amp;"_"&amp;"CC_"&amp;Tab_Data_Flows[[#This Row],[Flow_Data_Year]]</f>
        <v/>
      </c>
      <c r="AE123">
        <f>IF(F123="Yes",AC123*Tab_Data_Flows[[#This Row],[Flow_Material]]*Tab_Data_Flows[[#This Row],[DM_'[%']]],"N.A.")</f>
        <v/>
      </c>
      <c r="AF123">
        <f>Tab_Data_Flows[[#This Row],[UoM_Flow_Py]]</f>
        <v/>
      </c>
    </row>
    <row r="124">
      <c r="A124">
        <f>ROW()-1</f>
        <v/>
      </c>
      <c r="B124">
        <f>_xlfn.XLOOKUP(C124,Tab_Def_Flows[Flow_Name],Tab_Def_Flows[Flow_ID],,0,)</f>
        <v/>
      </c>
      <c r="C124" t="inlineStr">
        <is>
          <t>Atmosphere_Input_millet_production_C</t>
        </is>
      </c>
      <c r="D124">
        <f>_xlfn.XLOOKUP(C124,Tab_Def_Flows[Flow_Name],Tab_Def_Flows[WC?],,0,)</f>
        <v/>
      </c>
      <c r="E124">
        <f>_xlfn.XLOOKUP(C124,Tab_Def_Flows[Flow_Name],Tab_Def_Flows[DM?],,0,)</f>
        <v/>
      </c>
      <c r="F124">
        <f>_xlfn.XLOOKUP(C124,Tab_Def_Flows[Flow_Name],Tab_Def_Flows[CC?],,0,)</f>
        <v/>
      </c>
      <c r="G124" t="n">
        <v>2043</v>
      </c>
      <c r="H124" t="n">
        <v>594.1994972133256</v>
      </c>
      <c r="I124">
        <f>'0_Configuration'!$C$35</f>
        <v/>
      </c>
      <c r="O124" t="inlineStr">
        <is>
          <t>No</t>
        </is>
      </c>
      <c r="R124">
        <f>Tab_Data_Flows[[#This Row],[Flow_ID]]&amp;"_"&amp;"material_"&amp;Tab_Data_Flows[[#This Row],[Flow_Data_Year]]</f>
        <v/>
      </c>
      <c r="S124">
        <f>IF(O124="no",H124,H124*P124)</f>
        <v/>
      </c>
      <c r="T124">
        <f>Tab_Data_Flows[[#This Row],[UoM_Source]]</f>
        <v/>
      </c>
      <c r="U124">
        <f>INDEX(Tab_Def_Flows[[Flow_ID]:[CC_DM_source]],MATCH(Tab_Data_Flows[[#This Row],[Flow_Name]],Tab_Def_Flows[Flow_Name],0),11)</f>
        <v/>
      </c>
      <c r="V124">
        <f>Tab_Data_Flows[[#This Row],[Flow_ID]]&amp;"_"&amp;"WC_"&amp;Tab_Data_Flows[[#This Row],[Flow_Data_Year]]</f>
        <v/>
      </c>
      <c r="W124">
        <f>IF(D124="Yes",S124*Tab_Data_Flows[[#This Row],[WC_'[%']]],"N.A.")</f>
        <v/>
      </c>
      <c r="X124">
        <f>Tab_Data_Flows[[#This Row],[UoM_Flow_Py]]</f>
        <v/>
      </c>
      <c r="Y124">
        <f>INDEX(Tab_Def_Flows[[Flow_ID]:[CC_DM_source]],MATCH(Tab_Data_Flows[[#This Row],[Flow_Name]],Tab_Def_Flows[Flow_Name],0),14)</f>
        <v/>
      </c>
      <c r="Z124">
        <f>Tab_Data_Flows[[#This Row],[Flow_ID]]&amp;"_"&amp;"DM_"&amp;Tab_Data_Flows[[#This Row],[Flow_Data_Year]]</f>
        <v/>
      </c>
      <c r="AA124">
        <f>IF(E124="Yes",Y124*Tab_Data_Flows[[#This Row],[Flow_Material]],"N.A.")</f>
        <v/>
      </c>
      <c r="AB124">
        <f>Tab_Data_Flows[[#This Row],[UoM_Flow_Py]]</f>
        <v/>
      </c>
      <c r="AC124">
        <f>INDEX(Tab_Def_Flows[[Flow_ID]:[CC_DM_source]],MATCH(Tab_Data_Flows[[#This Row],[Flow_Name]],Tab_Def_Flows[Flow_Name],0),17)</f>
        <v/>
      </c>
      <c r="AD124">
        <f>Tab_Data_Flows[[#This Row],[Flow_ID]]&amp;"_"&amp;"CC_"&amp;Tab_Data_Flows[[#This Row],[Flow_Data_Year]]</f>
        <v/>
      </c>
      <c r="AE124">
        <f>IF(F124="Yes",AC124*Tab_Data_Flows[[#This Row],[Flow_Material]]*Tab_Data_Flows[[#This Row],[DM_'[%']]],"N.A.")</f>
        <v/>
      </c>
      <c r="AF124">
        <f>Tab_Data_Flows[[#This Row],[UoM_Flow_Py]]</f>
        <v/>
      </c>
    </row>
    <row r="125">
      <c r="A125">
        <f>ROW()-1</f>
        <v/>
      </c>
      <c r="B125">
        <f>_xlfn.XLOOKUP(C125,Tab_Def_Flows[Flow_Name],Tab_Def_Flows[Flow_ID],,0,)</f>
        <v/>
      </c>
      <c r="C125" t="inlineStr">
        <is>
          <t>Atmosphere_Input_millet_production_C</t>
        </is>
      </c>
      <c r="D125">
        <f>_xlfn.XLOOKUP(C125,Tab_Def_Flows[Flow_Name],Tab_Def_Flows[WC?],,0,)</f>
        <v/>
      </c>
      <c r="E125">
        <f>_xlfn.XLOOKUP(C125,Tab_Def_Flows[Flow_Name],Tab_Def_Flows[DM?],,0,)</f>
        <v/>
      </c>
      <c r="F125">
        <f>_xlfn.XLOOKUP(C125,Tab_Def_Flows[Flow_Name],Tab_Def_Flows[CC?],,0,)</f>
        <v/>
      </c>
      <c r="G125" t="n">
        <v>2044</v>
      </c>
      <c r="H125" t="n">
        <v>480.458633921754</v>
      </c>
      <c r="I125">
        <f>'0_Configuration'!$C$35</f>
        <v/>
      </c>
      <c r="O125" t="inlineStr">
        <is>
          <t>No</t>
        </is>
      </c>
      <c r="R125">
        <f>Tab_Data_Flows[[#This Row],[Flow_ID]]&amp;"_"&amp;"material_"&amp;Tab_Data_Flows[[#This Row],[Flow_Data_Year]]</f>
        <v/>
      </c>
      <c r="S125">
        <f>IF(O125="no",H125,H125*P125)</f>
        <v/>
      </c>
      <c r="T125">
        <f>Tab_Data_Flows[[#This Row],[UoM_Source]]</f>
        <v/>
      </c>
      <c r="U125">
        <f>INDEX(Tab_Def_Flows[[Flow_ID]:[CC_DM_source]],MATCH(Tab_Data_Flows[[#This Row],[Flow_Name]],Tab_Def_Flows[Flow_Name],0),11)</f>
        <v/>
      </c>
      <c r="V125">
        <f>Tab_Data_Flows[[#This Row],[Flow_ID]]&amp;"_"&amp;"WC_"&amp;Tab_Data_Flows[[#This Row],[Flow_Data_Year]]</f>
        <v/>
      </c>
      <c r="W125">
        <f>IF(D125="Yes",S125*Tab_Data_Flows[[#This Row],[WC_'[%']]],"N.A.")</f>
        <v/>
      </c>
      <c r="X125">
        <f>Tab_Data_Flows[[#This Row],[UoM_Flow_Py]]</f>
        <v/>
      </c>
      <c r="Y125">
        <f>INDEX(Tab_Def_Flows[[Flow_ID]:[CC_DM_source]],MATCH(Tab_Data_Flows[[#This Row],[Flow_Name]],Tab_Def_Flows[Flow_Name],0),14)</f>
        <v/>
      </c>
      <c r="Z125">
        <f>Tab_Data_Flows[[#This Row],[Flow_ID]]&amp;"_"&amp;"DM_"&amp;Tab_Data_Flows[[#This Row],[Flow_Data_Year]]</f>
        <v/>
      </c>
      <c r="AA125">
        <f>IF(E125="Yes",Y125*Tab_Data_Flows[[#This Row],[Flow_Material]],"N.A.")</f>
        <v/>
      </c>
      <c r="AB125">
        <f>Tab_Data_Flows[[#This Row],[UoM_Flow_Py]]</f>
        <v/>
      </c>
      <c r="AC125">
        <f>INDEX(Tab_Def_Flows[[Flow_ID]:[CC_DM_source]],MATCH(Tab_Data_Flows[[#This Row],[Flow_Name]],Tab_Def_Flows[Flow_Name],0),17)</f>
        <v/>
      </c>
      <c r="AD125">
        <f>Tab_Data_Flows[[#This Row],[Flow_ID]]&amp;"_"&amp;"CC_"&amp;Tab_Data_Flows[[#This Row],[Flow_Data_Year]]</f>
        <v/>
      </c>
      <c r="AE125">
        <f>IF(F125="Yes",AC125*Tab_Data_Flows[[#This Row],[Flow_Material]]*Tab_Data_Flows[[#This Row],[DM_'[%']]],"N.A.")</f>
        <v/>
      </c>
      <c r="AF125">
        <f>Tab_Data_Flows[[#This Row],[UoM_Flow_Py]]</f>
        <v/>
      </c>
    </row>
    <row r="126">
      <c r="A126">
        <f>ROW()-1</f>
        <v/>
      </c>
      <c r="B126">
        <f>_xlfn.XLOOKUP(C126,Tab_Def_Flows[Flow_Name],Tab_Def_Flows[Flow_ID],,0,)</f>
        <v/>
      </c>
      <c r="C126" t="inlineStr">
        <is>
          <t>Atmosphere_Input_millet_production_C</t>
        </is>
      </c>
      <c r="D126">
        <f>_xlfn.XLOOKUP(C126,Tab_Def_Flows[Flow_Name],Tab_Def_Flows[WC?],,0,)</f>
        <v/>
      </c>
      <c r="E126">
        <f>_xlfn.XLOOKUP(C126,Tab_Def_Flows[Flow_Name],Tab_Def_Flows[DM?],,0,)</f>
        <v/>
      </c>
      <c r="F126">
        <f>_xlfn.XLOOKUP(C126,Tab_Def_Flows[Flow_Name],Tab_Def_Flows[CC?],,0,)</f>
        <v/>
      </c>
      <c r="G126" t="n">
        <v>2045</v>
      </c>
      <c r="H126" t="n">
        <v>1129.575977821475</v>
      </c>
      <c r="I126">
        <f>'0_Configuration'!$C$35</f>
        <v/>
      </c>
      <c r="O126" t="inlineStr">
        <is>
          <t>No</t>
        </is>
      </c>
      <c r="R126">
        <f>Tab_Data_Flows[[#This Row],[Flow_ID]]&amp;"_"&amp;"material_"&amp;Tab_Data_Flows[[#This Row],[Flow_Data_Year]]</f>
        <v/>
      </c>
      <c r="S126">
        <f>IF(O126="no",H126,H126*P126)</f>
        <v/>
      </c>
      <c r="T126">
        <f>Tab_Data_Flows[[#This Row],[UoM_Source]]</f>
        <v/>
      </c>
      <c r="U126">
        <f>INDEX(Tab_Def_Flows[[Flow_ID]:[CC_DM_source]],MATCH(Tab_Data_Flows[[#This Row],[Flow_Name]],Tab_Def_Flows[Flow_Name],0),11)</f>
        <v/>
      </c>
      <c r="V126">
        <f>Tab_Data_Flows[[#This Row],[Flow_ID]]&amp;"_"&amp;"WC_"&amp;Tab_Data_Flows[[#This Row],[Flow_Data_Year]]</f>
        <v/>
      </c>
      <c r="W126">
        <f>IF(D126="Yes",S126*Tab_Data_Flows[[#This Row],[WC_'[%']]],"N.A.")</f>
        <v/>
      </c>
      <c r="X126">
        <f>Tab_Data_Flows[[#This Row],[UoM_Flow_Py]]</f>
        <v/>
      </c>
      <c r="Y126">
        <f>INDEX(Tab_Def_Flows[[Flow_ID]:[CC_DM_source]],MATCH(Tab_Data_Flows[[#This Row],[Flow_Name]],Tab_Def_Flows[Flow_Name],0),14)</f>
        <v/>
      </c>
      <c r="Z126">
        <f>Tab_Data_Flows[[#This Row],[Flow_ID]]&amp;"_"&amp;"DM_"&amp;Tab_Data_Flows[[#This Row],[Flow_Data_Year]]</f>
        <v/>
      </c>
      <c r="AA126">
        <f>IF(E126="Yes",Y126*Tab_Data_Flows[[#This Row],[Flow_Material]],"N.A.")</f>
        <v/>
      </c>
      <c r="AB126">
        <f>Tab_Data_Flows[[#This Row],[UoM_Flow_Py]]</f>
        <v/>
      </c>
      <c r="AC126">
        <f>INDEX(Tab_Def_Flows[[Flow_ID]:[CC_DM_source]],MATCH(Tab_Data_Flows[[#This Row],[Flow_Name]],Tab_Def_Flows[Flow_Name],0),17)</f>
        <v/>
      </c>
      <c r="AD126">
        <f>Tab_Data_Flows[[#This Row],[Flow_ID]]&amp;"_"&amp;"CC_"&amp;Tab_Data_Flows[[#This Row],[Flow_Data_Year]]</f>
        <v/>
      </c>
      <c r="AE126">
        <f>IF(F126="Yes",AC126*Tab_Data_Flows[[#This Row],[Flow_Material]]*Tab_Data_Flows[[#This Row],[DM_'[%']]],"N.A.")</f>
        <v/>
      </c>
      <c r="AF126">
        <f>Tab_Data_Flows[[#This Row],[UoM_Flow_Py]]</f>
        <v/>
      </c>
    </row>
    <row r="127">
      <c r="A127">
        <f>ROW()-1</f>
        <v/>
      </c>
      <c r="B127">
        <f>_xlfn.XLOOKUP(C127,Tab_Def_Flows[Flow_Name],Tab_Def_Flows[Flow_ID],,0,)</f>
        <v/>
      </c>
      <c r="C127" t="inlineStr">
        <is>
          <t>Atmosphere_Input_millet_production_C</t>
        </is>
      </c>
      <c r="D127">
        <f>_xlfn.XLOOKUP(C127,Tab_Def_Flows[Flow_Name],Tab_Def_Flows[WC?],,0,)</f>
        <v/>
      </c>
      <c r="E127">
        <f>_xlfn.XLOOKUP(C127,Tab_Def_Flows[Flow_Name],Tab_Def_Flows[DM?],,0,)</f>
        <v/>
      </c>
      <c r="F127">
        <f>_xlfn.XLOOKUP(C127,Tab_Def_Flows[Flow_Name],Tab_Def_Flows[CC?],,0,)</f>
        <v/>
      </c>
      <c r="G127" t="n">
        <v>2046</v>
      </c>
      <c r="H127" t="n">
        <v>748.074349641623</v>
      </c>
      <c r="I127">
        <f>'0_Configuration'!$C$35</f>
        <v/>
      </c>
      <c r="O127" t="inlineStr">
        <is>
          <t>No</t>
        </is>
      </c>
      <c r="R127">
        <f>Tab_Data_Flows[[#This Row],[Flow_ID]]&amp;"_"&amp;"material_"&amp;Tab_Data_Flows[[#This Row],[Flow_Data_Year]]</f>
        <v/>
      </c>
      <c r="S127">
        <f>IF(O127="no",H127,H127*P127)</f>
        <v/>
      </c>
      <c r="T127">
        <f>Tab_Data_Flows[[#This Row],[UoM_Source]]</f>
        <v/>
      </c>
      <c r="U127">
        <f>INDEX(Tab_Def_Flows[[Flow_ID]:[CC_DM_source]],MATCH(Tab_Data_Flows[[#This Row],[Flow_Name]],Tab_Def_Flows[Flow_Name],0),11)</f>
        <v/>
      </c>
      <c r="V127">
        <f>Tab_Data_Flows[[#This Row],[Flow_ID]]&amp;"_"&amp;"WC_"&amp;Tab_Data_Flows[[#This Row],[Flow_Data_Year]]</f>
        <v/>
      </c>
      <c r="W127">
        <f>IF(D127="Yes",S127*Tab_Data_Flows[[#This Row],[WC_'[%']]],"N.A.")</f>
        <v/>
      </c>
      <c r="X127">
        <f>Tab_Data_Flows[[#This Row],[UoM_Flow_Py]]</f>
        <v/>
      </c>
      <c r="Y127">
        <f>INDEX(Tab_Def_Flows[[Flow_ID]:[CC_DM_source]],MATCH(Tab_Data_Flows[[#This Row],[Flow_Name]],Tab_Def_Flows[Flow_Name],0),14)</f>
        <v/>
      </c>
      <c r="Z127">
        <f>Tab_Data_Flows[[#This Row],[Flow_ID]]&amp;"_"&amp;"DM_"&amp;Tab_Data_Flows[[#This Row],[Flow_Data_Year]]</f>
        <v/>
      </c>
      <c r="AA127">
        <f>IF(E127="Yes",Y127*Tab_Data_Flows[[#This Row],[Flow_Material]],"N.A.")</f>
        <v/>
      </c>
      <c r="AB127">
        <f>Tab_Data_Flows[[#This Row],[UoM_Flow_Py]]</f>
        <v/>
      </c>
      <c r="AC127">
        <f>INDEX(Tab_Def_Flows[[Flow_ID]:[CC_DM_source]],MATCH(Tab_Data_Flows[[#This Row],[Flow_Name]],Tab_Def_Flows[Flow_Name],0),17)</f>
        <v/>
      </c>
      <c r="AD127">
        <f>Tab_Data_Flows[[#This Row],[Flow_ID]]&amp;"_"&amp;"CC_"&amp;Tab_Data_Flows[[#This Row],[Flow_Data_Year]]</f>
        <v/>
      </c>
      <c r="AE127">
        <f>IF(F127="Yes",AC127*Tab_Data_Flows[[#This Row],[Flow_Material]]*Tab_Data_Flows[[#This Row],[DM_'[%']]],"N.A.")</f>
        <v/>
      </c>
      <c r="AF127">
        <f>Tab_Data_Flows[[#This Row],[UoM_Flow_Py]]</f>
        <v/>
      </c>
    </row>
    <row r="128">
      <c r="A128">
        <f>ROW()-1</f>
        <v/>
      </c>
      <c r="B128">
        <f>_xlfn.XLOOKUP(C128,Tab_Def_Flows[Flow_Name],Tab_Def_Flows[Flow_ID],,0,)</f>
        <v/>
      </c>
      <c r="C128" t="inlineStr">
        <is>
          <t>Atmosphere_Input_millet_production_C</t>
        </is>
      </c>
      <c r="D128">
        <f>_xlfn.XLOOKUP(C128,Tab_Def_Flows[Flow_Name],Tab_Def_Flows[WC?],,0,)</f>
        <v/>
      </c>
      <c r="E128">
        <f>_xlfn.XLOOKUP(C128,Tab_Def_Flows[Flow_Name],Tab_Def_Flows[DM?],,0,)</f>
        <v/>
      </c>
      <c r="F128">
        <f>_xlfn.XLOOKUP(C128,Tab_Def_Flows[Flow_Name],Tab_Def_Flows[CC?],,0,)</f>
        <v/>
      </c>
      <c r="G128" t="n">
        <v>2047</v>
      </c>
      <c r="H128" t="n">
        <v>814.2279280657673</v>
      </c>
      <c r="I128">
        <f>'0_Configuration'!$C$35</f>
        <v/>
      </c>
      <c r="O128" t="inlineStr">
        <is>
          <t>No</t>
        </is>
      </c>
      <c r="R128">
        <f>Tab_Data_Flows[[#This Row],[Flow_ID]]&amp;"_"&amp;"material_"&amp;Tab_Data_Flows[[#This Row],[Flow_Data_Year]]</f>
        <v/>
      </c>
      <c r="S128">
        <f>IF(O128="no",H128,H128*P128)</f>
        <v/>
      </c>
      <c r="T128">
        <f>Tab_Data_Flows[[#This Row],[UoM_Source]]</f>
        <v/>
      </c>
      <c r="U128">
        <f>INDEX(Tab_Def_Flows[[Flow_ID]:[CC_DM_source]],MATCH(Tab_Data_Flows[[#This Row],[Flow_Name]],Tab_Def_Flows[Flow_Name],0),11)</f>
        <v/>
      </c>
      <c r="V128">
        <f>Tab_Data_Flows[[#This Row],[Flow_ID]]&amp;"_"&amp;"WC_"&amp;Tab_Data_Flows[[#This Row],[Flow_Data_Year]]</f>
        <v/>
      </c>
      <c r="W128">
        <f>IF(D128="Yes",S128*Tab_Data_Flows[[#This Row],[WC_'[%']]],"N.A.")</f>
        <v/>
      </c>
      <c r="X128">
        <f>Tab_Data_Flows[[#This Row],[UoM_Flow_Py]]</f>
        <v/>
      </c>
      <c r="Y128">
        <f>INDEX(Tab_Def_Flows[[Flow_ID]:[CC_DM_source]],MATCH(Tab_Data_Flows[[#This Row],[Flow_Name]],Tab_Def_Flows[Flow_Name],0),14)</f>
        <v/>
      </c>
      <c r="Z128">
        <f>Tab_Data_Flows[[#This Row],[Flow_ID]]&amp;"_"&amp;"DM_"&amp;Tab_Data_Flows[[#This Row],[Flow_Data_Year]]</f>
        <v/>
      </c>
      <c r="AA128">
        <f>IF(E128="Yes",Y128*Tab_Data_Flows[[#This Row],[Flow_Material]],"N.A.")</f>
        <v/>
      </c>
      <c r="AB128">
        <f>Tab_Data_Flows[[#This Row],[UoM_Flow_Py]]</f>
        <v/>
      </c>
      <c r="AC128">
        <f>INDEX(Tab_Def_Flows[[Flow_ID]:[CC_DM_source]],MATCH(Tab_Data_Flows[[#This Row],[Flow_Name]],Tab_Def_Flows[Flow_Name],0),17)</f>
        <v/>
      </c>
      <c r="AD128">
        <f>Tab_Data_Flows[[#This Row],[Flow_ID]]&amp;"_"&amp;"CC_"&amp;Tab_Data_Flows[[#This Row],[Flow_Data_Year]]</f>
        <v/>
      </c>
      <c r="AE128">
        <f>IF(F128="Yes",AC128*Tab_Data_Flows[[#This Row],[Flow_Material]]*Tab_Data_Flows[[#This Row],[DM_'[%']]],"N.A.")</f>
        <v/>
      </c>
      <c r="AF128">
        <f>Tab_Data_Flows[[#This Row],[UoM_Flow_Py]]</f>
        <v/>
      </c>
    </row>
    <row r="129">
      <c r="A129">
        <f>ROW()-1</f>
        <v/>
      </c>
      <c r="B129">
        <f>_xlfn.XLOOKUP(C129,Tab_Def_Flows[Flow_Name],Tab_Def_Flows[Flow_ID],,0,)</f>
        <v/>
      </c>
      <c r="C129" t="inlineStr">
        <is>
          <t>Atmosphere_Input_millet_production_C</t>
        </is>
      </c>
      <c r="D129">
        <f>_xlfn.XLOOKUP(C129,Tab_Def_Flows[Flow_Name],Tab_Def_Flows[WC?],,0,)</f>
        <v/>
      </c>
      <c r="E129">
        <f>_xlfn.XLOOKUP(C129,Tab_Def_Flows[Flow_Name],Tab_Def_Flows[DM?],,0,)</f>
        <v/>
      </c>
      <c r="F129">
        <f>_xlfn.XLOOKUP(C129,Tab_Def_Flows[Flow_Name],Tab_Def_Flows[CC?],,0,)</f>
        <v/>
      </c>
      <c r="G129" t="n">
        <v>2048</v>
      </c>
      <c r="H129" t="n">
        <v>477.646911580232</v>
      </c>
      <c r="I129">
        <f>'0_Configuration'!$C$35</f>
        <v/>
      </c>
      <c r="O129" t="inlineStr">
        <is>
          <t>No</t>
        </is>
      </c>
      <c r="R129">
        <f>Tab_Data_Flows[[#This Row],[Flow_ID]]&amp;"_"&amp;"material_"&amp;Tab_Data_Flows[[#This Row],[Flow_Data_Year]]</f>
        <v/>
      </c>
      <c r="S129">
        <f>IF(O129="no",H129,H129*P129)</f>
        <v/>
      </c>
      <c r="T129">
        <f>Tab_Data_Flows[[#This Row],[UoM_Source]]</f>
        <v/>
      </c>
      <c r="U129">
        <f>INDEX(Tab_Def_Flows[[Flow_ID]:[CC_DM_source]],MATCH(Tab_Data_Flows[[#This Row],[Flow_Name]],Tab_Def_Flows[Flow_Name],0),11)</f>
        <v/>
      </c>
      <c r="V129">
        <f>Tab_Data_Flows[[#This Row],[Flow_ID]]&amp;"_"&amp;"WC_"&amp;Tab_Data_Flows[[#This Row],[Flow_Data_Year]]</f>
        <v/>
      </c>
      <c r="W129">
        <f>IF(D129="Yes",S129*Tab_Data_Flows[[#This Row],[WC_'[%']]],"N.A.")</f>
        <v/>
      </c>
      <c r="X129">
        <f>Tab_Data_Flows[[#This Row],[UoM_Flow_Py]]</f>
        <v/>
      </c>
      <c r="Y129">
        <f>INDEX(Tab_Def_Flows[[Flow_ID]:[CC_DM_source]],MATCH(Tab_Data_Flows[[#This Row],[Flow_Name]],Tab_Def_Flows[Flow_Name],0),14)</f>
        <v/>
      </c>
      <c r="Z129">
        <f>Tab_Data_Flows[[#This Row],[Flow_ID]]&amp;"_"&amp;"DM_"&amp;Tab_Data_Flows[[#This Row],[Flow_Data_Year]]</f>
        <v/>
      </c>
      <c r="AA129">
        <f>IF(E129="Yes",Y129*Tab_Data_Flows[[#This Row],[Flow_Material]],"N.A.")</f>
        <v/>
      </c>
      <c r="AB129">
        <f>Tab_Data_Flows[[#This Row],[UoM_Flow_Py]]</f>
        <v/>
      </c>
      <c r="AC129">
        <f>INDEX(Tab_Def_Flows[[Flow_ID]:[CC_DM_source]],MATCH(Tab_Data_Flows[[#This Row],[Flow_Name]],Tab_Def_Flows[Flow_Name],0),17)</f>
        <v/>
      </c>
      <c r="AD129">
        <f>Tab_Data_Flows[[#This Row],[Flow_ID]]&amp;"_"&amp;"CC_"&amp;Tab_Data_Flows[[#This Row],[Flow_Data_Year]]</f>
        <v/>
      </c>
      <c r="AE129">
        <f>IF(F129="Yes",AC129*Tab_Data_Flows[[#This Row],[Flow_Material]]*Tab_Data_Flows[[#This Row],[DM_'[%']]],"N.A.")</f>
        <v/>
      </c>
      <c r="AF129">
        <f>Tab_Data_Flows[[#This Row],[UoM_Flow_Py]]</f>
        <v/>
      </c>
    </row>
    <row r="130">
      <c r="A130">
        <f>ROW()-1</f>
        <v/>
      </c>
      <c r="B130">
        <f>_xlfn.XLOOKUP(C130,Tab_Def_Flows[Flow_Name],Tab_Def_Flows[Flow_ID],,0,)</f>
        <v/>
      </c>
      <c r="C130" t="inlineStr">
        <is>
          <t>Atmosphere_Input_millet_production_C</t>
        </is>
      </c>
      <c r="D130">
        <f>_xlfn.XLOOKUP(C130,Tab_Def_Flows[Flow_Name],Tab_Def_Flows[WC?],,0,)</f>
        <v/>
      </c>
      <c r="E130">
        <f>_xlfn.XLOOKUP(C130,Tab_Def_Flows[Flow_Name],Tab_Def_Flows[DM?],,0,)</f>
        <v/>
      </c>
      <c r="F130">
        <f>_xlfn.XLOOKUP(C130,Tab_Def_Flows[Flow_Name],Tab_Def_Flows[CC?],,0,)</f>
        <v/>
      </c>
      <c r="G130" t="n">
        <v>2049</v>
      </c>
      <c r="H130" t="n">
        <v>676.2080655077195</v>
      </c>
      <c r="I130">
        <f>'0_Configuration'!$C$35</f>
        <v/>
      </c>
      <c r="O130" t="inlineStr">
        <is>
          <t>No</t>
        </is>
      </c>
      <c r="R130">
        <f>Tab_Data_Flows[[#This Row],[Flow_ID]]&amp;"_"&amp;"material_"&amp;Tab_Data_Flows[[#This Row],[Flow_Data_Year]]</f>
        <v/>
      </c>
      <c r="S130">
        <f>IF(O130="no",H130,H130*P130)</f>
        <v/>
      </c>
      <c r="T130">
        <f>Tab_Data_Flows[[#This Row],[UoM_Source]]</f>
        <v/>
      </c>
      <c r="U130">
        <f>INDEX(Tab_Def_Flows[[Flow_ID]:[CC_DM_source]],MATCH(Tab_Data_Flows[[#This Row],[Flow_Name]],Tab_Def_Flows[Flow_Name],0),11)</f>
        <v/>
      </c>
      <c r="V130">
        <f>Tab_Data_Flows[[#This Row],[Flow_ID]]&amp;"_"&amp;"WC_"&amp;Tab_Data_Flows[[#This Row],[Flow_Data_Year]]</f>
        <v/>
      </c>
      <c r="W130">
        <f>IF(D130="Yes",S130*Tab_Data_Flows[[#This Row],[WC_'[%']]],"N.A.")</f>
        <v/>
      </c>
      <c r="X130">
        <f>Tab_Data_Flows[[#This Row],[UoM_Flow_Py]]</f>
        <v/>
      </c>
      <c r="Y130">
        <f>INDEX(Tab_Def_Flows[[Flow_ID]:[CC_DM_source]],MATCH(Tab_Data_Flows[[#This Row],[Flow_Name]],Tab_Def_Flows[Flow_Name],0),14)</f>
        <v/>
      </c>
      <c r="Z130">
        <f>Tab_Data_Flows[[#This Row],[Flow_ID]]&amp;"_"&amp;"DM_"&amp;Tab_Data_Flows[[#This Row],[Flow_Data_Year]]</f>
        <v/>
      </c>
      <c r="AA130">
        <f>IF(E130="Yes",Y130*Tab_Data_Flows[[#This Row],[Flow_Material]],"N.A.")</f>
        <v/>
      </c>
      <c r="AB130">
        <f>Tab_Data_Flows[[#This Row],[UoM_Flow_Py]]</f>
        <v/>
      </c>
      <c r="AC130">
        <f>INDEX(Tab_Def_Flows[[Flow_ID]:[CC_DM_source]],MATCH(Tab_Data_Flows[[#This Row],[Flow_Name]],Tab_Def_Flows[Flow_Name],0),17)</f>
        <v/>
      </c>
      <c r="AD130">
        <f>Tab_Data_Flows[[#This Row],[Flow_ID]]&amp;"_"&amp;"CC_"&amp;Tab_Data_Flows[[#This Row],[Flow_Data_Year]]</f>
        <v/>
      </c>
      <c r="AE130">
        <f>IF(F130="Yes",AC130*Tab_Data_Flows[[#This Row],[Flow_Material]]*Tab_Data_Flows[[#This Row],[DM_'[%']]],"N.A.")</f>
        <v/>
      </c>
      <c r="AF130">
        <f>Tab_Data_Flows[[#This Row],[UoM_Flow_Py]]</f>
        <v/>
      </c>
    </row>
    <row r="131">
      <c r="A131">
        <f>ROW()-1</f>
        <v/>
      </c>
      <c r="B131">
        <f>_xlfn.XLOOKUP(C131,Tab_Def_Flows[Flow_Name],Tab_Def_Flows[Flow_ID],,0,)</f>
        <v/>
      </c>
      <c r="C131" t="inlineStr">
        <is>
          <t>Atmosphere_Input_millet_production_C</t>
        </is>
      </c>
      <c r="D131">
        <f>_xlfn.XLOOKUP(C131,Tab_Def_Flows[Flow_Name],Tab_Def_Flows[WC?],,0,)</f>
        <v/>
      </c>
      <c r="E131">
        <f>_xlfn.XLOOKUP(C131,Tab_Def_Flows[Flow_Name],Tab_Def_Flows[DM?],,0,)</f>
        <v/>
      </c>
      <c r="F131">
        <f>_xlfn.XLOOKUP(C131,Tab_Def_Flows[Flow_Name],Tab_Def_Flows[CC?],,0,)</f>
        <v/>
      </c>
      <c r="G131" t="n">
        <v>2050</v>
      </c>
      <c r="H131" t="n">
        <v>824.0131681193976</v>
      </c>
      <c r="I131">
        <f>'0_Configuration'!$C$35</f>
        <v/>
      </c>
      <c r="O131" t="inlineStr">
        <is>
          <t>No</t>
        </is>
      </c>
      <c r="R131">
        <f>Tab_Data_Flows[[#This Row],[Flow_ID]]&amp;"_"&amp;"material_"&amp;Tab_Data_Flows[[#This Row],[Flow_Data_Year]]</f>
        <v/>
      </c>
      <c r="S131">
        <f>IF(O131="no",H131,H131*P131)</f>
        <v/>
      </c>
      <c r="T131">
        <f>Tab_Data_Flows[[#This Row],[UoM_Source]]</f>
        <v/>
      </c>
      <c r="U131">
        <f>INDEX(Tab_Def_Flows[[Flow_ID]:[CC_DM_source]],MATCH(Tab_Data_Flows[[#This Row],[Flow_Name]],Tab_Def_Flows[Flow_Name],0),11)</f>
        <v/>
      </c>
      <c r="V131">
        <f>Tab_Data_Flows[[#This Row],[Flow_ID]]&amp;"_"&amp;"WC_"&amp;Tab_Data_Flows[[#This Row],[Flow_Data_Year]]</f>
        <v/>
      </c>
      <c r="W131">
        <f>IF(D131="Yes",S131*Tab_Data_Flows[[#This Row],[WC_'[%']]],"N.A.")</f>
        <v/>
      </c>
      <c r="X131">
        <f>Tab_Data_Flows[[#This Row],[UoM_Flow_Py]]</f>
        <v/>
      </c>
      <c r="Y131">
        <f>INDEX(Tab_Def_Flows[[Flow_ID]:[CC_DM_source]],MATCH(Tab_Data_Flows[[#This Row],[Flow_Name]],Tab_Def_Flows[Flow_Name],0),14)</f>
        <v/>
      </c>
      <c r="Z131">
        <f>Tab_Data_Flows[[#This Row],[Flow_ID]]&amp;"_"&amp;"DM_"&amp;Tab_Data_Flows[[#This Row],[Flow_Data_Year]]</f>
        <v/>
      </c>
      <c r="AA131">
        <f>IF(E131="Yes",Y131*Tab_Data_Flows[[#This Row],[Flow_Material]],"N.A.")</f>
        <v/>
      </c>
      <c r="AB131">
        <f>Tab_Data_Flows[[#This Row],[UoM_Flow_Py]]</f>
        <v/>
      </c>
      <c r="AC131">
        <f>INDEX(Tab_Def_Flows[[Flow_ID]:[CC_DM_source]],MATCH(Tab_Data_Flows[[#This Row],[Flow_Name]],Tab_Def_Flows[Flow_Name],0),17)</f>
        <v/>
      </c>
      <c r="AD131">
        <f>Tab_Data_Flows[[#This Row],[Flow_ID]]&amp;"_"&amp;"CC_"&amp;Tab_Data_Flows[[#This Row],[Flow_Data_Year]]</f>
        <v/>
      </c>
      <c r="AE131">
        <f>IF(F131="Yes",AC131*Tab_Data_Flows[[#This Row],[Flow_Material]]*Tab_Data_Flows[[#This Row],[DM_'[%']]],"N.A.")</f>
        <v/>
      </c>
      <c r="AF131">
        <f>Tab_Data_Flows[[#This Row],[UoM_Flow_Py]]</f>
        <v/>
      </c>
    </row>
    <row r="132">
      <c r="A132">
        <f>ROW()-1</f>
        <v/>
      </c>
      <c r="B132">
        <f>_xlfn.XLOOKUP(C132,Tab_Def_Flows[Flow_Name],Tab_Def_Flows[Flow_ID],,0,)</f>
        <v/>
      </c>
      <c r="C132" t="inlineStr">
        <is>
          <t>Environment_Input_millet_production_E</t>
        </is>
      </c>
      <c r="D132">
        <f>_xlfn.XLOOKUP(C132,Tab_Def_Flows[Flow_Name],Tab_Def_Flows[WC?],,0,)</f>
        <v/>
      </c>
      <c r="E132">
        <f>_xlfn.XLOOKUP(C132,Tab_Def_Flows[Flow_Name],Tab_Def_Flows[DM?],,0,)</f>
        <v/>
      </c>
      <c r="F132">
        <f>_xlfn.XLOOKUP(C132,Tab_Def_Flows[Flow_Name],Tab_Def_Flows[CC?],,0,)</f>
        <v/>
      </c>
      <c r="G132" t="n">
        <v>2025</v>
      </c>
      <c r="H132" t="n">
        <v>1251.290631840357</v>
      </c>
      <c r="I132">
        <f>'0_Configuration'!$C$35</f>
        <v/>
      </c>
      <c r="O132" t="inlineStr">
        <is>
          <t>No</t>
        </is>
      </c>
      <c r="R132">
        <f>Tab_Data_Flows[[#This Row],[Flow_ID]]&amp;"_"&amp;"material_"&amp;Tab_Data_Flows[[#This Row],[Flow_Data_Year]]</f>
        <v/>
      </c>
      <c r="S132">
        <f>IF(O132="no",H132,H132*P132)</f>
        <v/>
      </c>
      <c r="T132">
        <f>Tab_Data_Flows[[#This Row],[UoM_Source]]</f>
        <v/>
      </c>
      <c r="U132">
        <f>INDEX(Tab_Def_Flows[[Flow_ID]:[CC_DM_source]],MATCH(Tab_Data_Flows[[#This Row],[Flow_Name]],Tab_Def_Flows[Flow_Name],0),11)</f>
        <v/>
      </c>
      <c r="V132">
        <f>Tab_Data_Flows[[#This Row],[Flow_ID]]&amp;"_"&amp;"WC_"&amp;Tab_Data_Flows[[#This Row],[Flow_Data_Year]]</f>
        <v/>
      </c>
      <c r="W132">
        <f>IF(D132="Yes",S132*Tab_Data_Flows[[#This Row],[WC_'[%']]],"N.A.")</f>
        <v/>
      </c>
      <c r="X132">
        <f>Tab_Data_Flows[[#This Row],[UoM_Flow_Py]]</f>
        <v/>
      </c>
      <c r="Y132">
        <f>INDEX(Tab_Def_Flows[[Flow_ID]:[CC_DM_source]],MATCH(Tab_Data_Flows[[#This Row],[Flow_Name]],Tab_Def_Flows[Flow_Name],0),14)</f>
        <v/>
      </c>
      <c r="Z132">
        <f>Tab_Data_Flows[[#This Row],[Flow_ID]]&amp;"_"&amp;"DM_"&amp;Tab_Data_Flows[[#This Row],[Flow_Data_Year]]</f>
        <v/>
      </c>
      <c r="AA132">
        <f>IF(E132="Yes",Y132*Tab_Data_Flows[[#This Row],[Flow_Material]],"N.A.")</f>
        <v/>
      </c>
      <c r="AB132">
        <f>Tab_Data_Flows[[#This Row],[UoM_Flow_Py]]</f>
        <v/>
      </c>
      <c r="AC132">
        <f>INDEX(Tab_Def_Flows[[Flow_ID]:[CC_DM_source]],MATCH(Tab_Data_Flows[[#This Row],[Flow_Name]],Tab_Def_Flows[Flow_Name],0),17)</f>
        <v/>
      </c>
      <c r="AD132">
        <f>Tab_Data_Flows[[#This Row],[Flow_ID]]&amp;"_"&amp;"CC_"&amp;Tab_Data_Flows[[#This Row],[Flow_Data_Year]]</f>
        <v/>
      </c>
      <c r="AE132">
        <f>IF(F132="Yes",AC132*Tab_Data_Flows[[#This Row],[Flow_Material]]*Tab_Data_Flows[[#This Row],[DM_'[%']]],"N.A.")</f>
        <v/>
      </c>
      <c r="AF132">
        <f>Tab_Data_Flows[[#This Row],[UoM_Flow_Py]]</f>
        <v/>
      </c>
    </row>
    <row r="133">
      <c r="A133">
        <f>ROW()-1</f>
        <v/>
      </c>
      <c r="B133">
        <f>_xlfn.XLOOKUP(C133,Tab_Def_Flows[Flow_Name],Tab_Def_Flows[Flow_ID],,0,)</f>
        <v/>
      </c>
      <c r="C133" t="inlineStr">
        <is>
          <t>Environment_Input_millet_production_E</t>
        </is>
      </c>
      <c r="D133">
        <f>_xlfn.XLOOKUP(C133,Tab_Def_Flows[Flow_Name],Tab_Def_Flows[WC?],,0,)</f>
        <v/>
      </c>
      <c r="E133">
        <f>_xlfn.XLOOKUP(C133,Tab_Def_Flows[Flow_Name],Tab_Def_Flows[DM?],,0,)</f>
        <v/>
      </c>
      <c r="F133">
        <f>_xlfn.XLOOKUP(C133,Tab_Def_Flows[Flow_Name],Tab_Def_Flows[CC?],,0,)</f>
        <v/>
      </c>
      <c r="G133" t="n">
        <v>2026</v>
      </c>
      <c r="H133" t="n">
        <v>1054.580652167079</v>
      </c>
      <c r="I133">
        <f>'0_Configuration'!$C$35</f>
        <v/>
      </c>
      <c r="O133" t="inlineStr">
        <is>
          <t>No</t>
        </is>
      </c>
      <c r="R133">
        <f>Tab_Data_Flows[[#This Row],[Flow_ID]]&amp;"_"&amp;"material_"&amp;Tab_Data_Flows[[#This Row],[Flow_Data_Year]]</f>
        <v/>
      </c>
      <c r="S133">
        <f>IF(O133="no",H133,H133*P133)</f>
        <v/>
      </c>
      <c r="T133">
        <f>Tab_Data_Flows[[#This Row],[UoM_Source]]</f>
        <v/>
      </c>
      <c r="U133">
        <f>INDEX(Tab_Def_Flows[[Flow_ID]:[CC_DM_source]],MATCH(Tab_Data_Flows[[#This Row],[Flow_Name]],Tab_Def_Flows[Flow_Name],0),11)</f>
        <v/>
      </c>
      <c r="V133">
        <f>Tab_Data_Flows[[#This Row],[Flow_ID]]&amp;"_"&amp;"WC_"&amp;Tab_Data_Flows[[#This Row],[Flow_Data_Year]]</f>
        <v/>
      </c>
      <c r="W133">
        <f>IF(D133="Yes",S133*Tab_Data_Flows[[#This Row],[WC_'[%']]],"N.A.")</f>
        <v/>
      </c>
      <c r="X133">
        <f>Tab_Data_Flows[[#This Row],[UoM_Flow_Py]]</f>
        <v/>
      </c>
      <c r="Y133">
        <f>INDEX(Tab_Def_Flows[[Flow_ID]:[CC_DM_source]],MATCH(Tab_Data_Flows[[#This Row],[Flow_Name]],Tab_Def_Flows[Flow_Name],0),14)</f>
        <v/>
      </c>
      <c r="Z133">
        <f>Tab_Data_Flows[[#This Row],[Flow_ID]]&amp;"_"&amp;"DM_"&amp;Tab_Data_Flows[[#This Row],[Flow_Data_Year]]</f>
        <v/>
      </c>
      <c r="AA133">
        <f>IF(E133="Yes",Y133*Tab_Data_Flows[[#This Row],[Flow_Material]],"N.A.")</f>
        <v/>
      </c>
      <c r="AB133">
        <f>Tab_Data_Flows[[#This Row],[UoM_Flow_Py]]</f>
        <v/>
      </c>
      <c r="AC133">
        <f>INDEX(Tab_Def_Flows[[Flow_ID]:[CC_DM_source]],MATCH(Tab_Data_Flows[[#This Row],[Flow_Name]],Tab_Def_Flows[Flow_Name],0),17)</f>
        <v/>
      </c>
      <c r="AD133">
        <f>Tab_Data_Flows[[#This Row],[Flow_ID]]&amp;"_"&amp;"CC_"&amp;Tab_Data_Flows[[#This Row],[Flow_Data_Year]]</f>
        <v/>
      </c>
      <c r="AE133">
        <f>IF(F133="Yes",AC133*Tab_Data_Flows[[#This Row],[Flow_Material]]*Tab_Data_Flows[[#This Row],[DM_'[%']]],"N.A.")</f>
        <v/>
      </c>
      <c r="AF133">
        <f>Tab_Data_Flows[[#This Row],[UoM_Flow_Py]]</f>
        <v/>
      </c>
    </row>
    <row r="134">
      <c r="A134">
        <f>ROW()-1</f>
        <v/>
      </c>
      <c r="B134">
        <f>_xlfn.XLOOKUP(C134,Tab_Def_Flows[Flow_Name],Tab_Def_Flows[Flow_ID],,0,)</f>
        <v/>
      </c>
      <c r="C134" t="inlineStr">
        <is>
          <t>Environment_Input_millet_production_E</t>
        </is>
      </c>
      <c r="D134">
        <f>_xlfn.XLOOKUP(C134,Tab_Def_Flows[Flow_Name],Tab_Def_Flows[WC?],,0,)</f>
        <v/>
      </c>
      <c r="E134">
        <f>_xlfn.XLOOKUP(C134,Tab_Def_Flows[Flow_Name],Tab_Def_Flows[DM?],,0,)</f>
        <v/>
      </c>
      <c r="F134">
        <f>_xlfn.XLOOKUP(C134,Tab_Def_Flows[Flow_Name],Tab_Def_Flows[CC?],,0,)</f>
        <v/>
      </c>
      <c r="G134" t="n">
        <v>2027</v>
      </c>
      <c r="H134" t="n">
        <v>1298.062122800379</v>
      </c>
      <c r="I134">
        <f>'0_Configuration'!$C$35</f>
        <v/>
      </c>
      <c r="O134" t="inlineStr">
        <is>
          <t>No</t>
        </is>
      </c>
      <c r="R134">
        <f>Tab_Data_Flows[[#This Row],[Flow_ID]]&amp;"_"&amp;"material_"&amp;Tab_Data_Flows[[#This Row],[Flow_Data_Year]]</f>
        <v/>
      </c>
      <c r="S134">
        <f>IF(O134="no",H134,H134*P134)</f>
        <v/>
      </c>
      <c r="T134">
        <f>Tab_Data_Flows[[#This Row],[UoM_Source]]</f>
        <v/>
      </c>
      <c r="U134">
        <f>INDEX(Tab_Def_Flows[[Flow_ID]:[CC_DM_source]],MATCH(Tab_Data_Flows[[#This Row],[Flow_Name]],Tab_Def_Flows[Flow_Name],0),11)</f>
        <v/>
      </c>
      <c r="V134">
        <f>Tab_Data_Flows[[#This Row],[Flow_ID]]&amp;"_"&amp;"WC_"&amp;Tab_Data_Flows[[#This Row],[Flow_Data_Year]]</f>
        <v/>
      </c>
      <c r="W134">
        <f>IF(D134="Yes",S134*Tab_Data_Flows[[#This Row],[WC_'[%']]],"N.A.")</f>
        <v/>
      </c>
      <c r="X134">
        <f>Tab_Data_Flows[[#This Row],[UoM_Flow_Py]]</f>
        <v/>
      </c>
      <c r="Y134">
        <f>INDEX(Tab_Def_Flows[[Flow_ID]:[CC_DM_source]],MATCH(Tab_Data_Flows[[#This Row],[Flow_Name]],Tab_Def_Flows[Flow_Name],0),14)</f>
        <v/>
      </c>
      <c r="Z134">
        <f>Tab_Data_Flows[[#This Row],[Flow_ID]]&amp;"_"&amp;"DM_"&amp;Tab_Data_Flows[[#This Row],[Flow_Data_Year]]</f>
        <v/>
      </c>
      <c r="AA134">
        <f>IF(E134="Yes",Y134*Tab_Data_Flows[[#This Row],[Flow_Material]],"N.A.")</f>
        <v/>
      </c>
      <c r="AB134">
        <f>Tab_Data_Flows[[#This Row],[UoM_Flow_Py]]</f>
        <v/>
      </c>
      <c r="AC134">
        <f>INDEX(Tab_Def_Flows[[Flow_ID]:[CC_DM_source]],MATCH(Tab_Data_Flows[[#This Row],[Flow_Name]],Tab_Def_Flows[Flow_Name],0),17)</f>
        <v/>
      </c>
      <c r="AD134">
        <f>Tab_Data_Flows[[#This Row],[Flow_ID]]&amp;"_"&amp;"CC_"&amp;Tab_Data_Flows[[#This Row],[Flow_Data_Year]]</f>
        <v/>
      </c>
      <c r="AE134">
        <f>IF(F134="Yes",AC134*Tab_Data_Flows[[#This Row],[Flow_Material]]*Tab_Data_Flows[[#This Row],[DM_'[%']]],"N.A.")</f>
        <v/>
      </c>
      <c r="AF134">
        <f>Tab_Data_Flows[[#This Row],[UoM_Flow_Py]]</f>
        <v/>
      </c>
    </row>
    <row r="135">
      <c r="A135">
        <f>ROW()-1</f>
        <v/>
      </c>
      <c r="B135">
        <f>_xlfn.XLOOKUP(C135,Tab_Def_Flows[Flow_Name],Tab_Def_Flows[Flow_ID],,0,)</f>
        <v/>
      </c>
      <c r="C135" t="inlineStr">
        <is>
          <t>Environment_Input_millet_production_E</t>
        </is>
      </c>
      <c r="D135">
        <f>_xlfn.XLOOKUP(C135,Tab_Def_Flows[Flow_Name],Tab_Def_Flows[WC?],,0,)</f>
        <v/>
      </c>
      <c r="E135">
        <f>_xlfn.XLOOKUP(C135,Tab_Def_Flows[Flow_Name],Tab_Def_Flows[DM?],,0,)</f>
        <v/>
      </c>
      <c r="F135">
        <f>_xlfn.XLOOKUP(C135,Tab_Def_Flows[Flow_Name],Tab_Def_Flows[CC?],,0,)</f>
        <v/>
      </c>
      <c r="G135" t="n">
        <v>2028</v>
      </c>
      <c r="H135" t="n">
        <v>1569.235626253063</v>
      </c>
      <c r="I135">
        <f>'0_Configuration'!$C$35</f>
        <v/>
      </c>
      <c r="O135" t="inlineStr">
        <is>
          <t>No</t>
        </is>
      </c>
      <c r="R135">
        <f>Tab_Data_Flows[[#This Row],[Flow_ID]]&amp;"_"&amp;"material_"&amp;Tab_Data_Flows[[#This Row],[Flow_Data_Year]]</f>
        <v/>
      </c>
      <c r="S135">
        <f>IF(O135="no",H135,H135*P135)</f>
        <v/>
      </c>
      <c r="T135">
        <f>Tab_Data_Flows[[#This Row],[UoM_Source]]</f>
        <v/>
      </c>
      <c r="U135">
        <f>INDEX(Tab_Def_Flows[[Flow_ID]:[CC_DM_source]],MATCH(Tab_Data_Flows[[#This Row],[Flow_Name]],Tab_Def_Flows[Flow_Name],0),11)</f>
        <v/>
      </c>
      <c r="V135">
        <f>Tab_Data_Flows[[#This Row],[Flow_ID]]&amp;"_"&amp;"WC_"&amp;Tab_Data_Flows[[#This Row],[Flow_Data_Year]]</f>
        <v/>
      </c>
      <c r="W135">
        <f>IF(D135="Yes",S135*Tab_Data_Flows[[#This Row],[WC_'[%']]],"N.A.")</f>
        <v/>
      </c>
      <c r="X135">
        <f>Tab_Data_Flows[[#This Row],[UoM_Flow_Py]]</f>
        <v/>
      </c>
      <c r="Y135">
        <f>INDEX(Tab_Def_Flows[[Flow_ID]:[CC_DM_source]],MATCH(Tab_Data_Flows[[#This Row],[Flow_Name]],Tab_Def_Flows[Flow_Name],0),14)</f>
        <v/>
      </c>
      <c r="Z135">
        <f>Tab_Data_Flows[[#This Row],[Flow_ID]]&amp;"_"&amp;"DM_"&amp;Tab_Data_Flows[[#This Row],[Flow_Data_Year]]</f>
        <v/>
      </c>
      <c r="AA135">
        <f>IF(E135="Yes",Y135*Tab_Data_Flows[[#This Row],[Flow_Material]],"N.A.")</f>
        <v/>
      </c>
      <c r="AB135">
        <f>Tab_Data_Flows[[#This Row],[UoM_Flow_Py]]</f>
        <v/>
      </c>
      <c r="AC135">
        <f>INDEX(Tab_Def_Flows[[Flow_ID]:[CC_DM_source]],MATCH(Tab_Data_Flows[[#This Row],[Flow_Name]],Tab_Def_Flows[Flow_Name],0),17)</f>
        <v/>
      </c>
      <c r="AD135">
        <f>Tab_Data_Flows[[#This Row],[Flow_ID]]&amp;"_"&amp;"CC_"&amp;Tab_Data_Flows[[#This Row],[Flow_Data_Year]]</f>
        <v/>
      </c>
      <c r="AE135">
        <f>IF(F135="Yes",AC135*Tab_Data_Flows[[#This Row],[Flow_Material]]*Tab_Data_Flows[[#This Row],[DM_'[%']]],"N.A.")</f>
        <v/>
      </c>
      <c r="AF135">
        <f>Tab_Data_Flows[[#This Row],[UoM_Flow_Py]]</f>
        <v/>
      </c>
    </row>
    <row r="136">
      <c r="A136">
        <f>ROW()-1</f>
        <v/>
      </c>
      <c r="B136">
        <f>_xlfn.XLOOKUP(C136,Tab_Def_Flows[Flow_Name],Tab_Def_Flows[Flow_ID],,0,)</f>
        <v/>
      </c>
      <c r="C136" t="inlineStr">
        <is>
          <t>Environment_Input_millet_production_E</t>
        </is>
      </c>
      <c r="D136">
        <f>_xlfn.XLOOKUP(C136,Tab_Def_Flows[Flow_Name],Tab_Def_Flows[WC?],,0,)</f>
        <v/>
      </c>
      <c r="E136">
        <f>_xlfn.XLOOKUP(C136,Tab_Def_Flows[Flow_Name],Tab_Def_Flows[DM?],,0,)</f>
        <v/>
      </c>
      <c r="F136">
        <f>_xlfn.XLOOKUP(C136,Tab_Def_Flows[Flow_Name],Tab_Def_Flows[CC?],,0,)</f>
        <v/>
      </c>
      <c r="G136" t="n">
        <v>2029</v>
      </c>
      <c r="H136" t="n">
        <v>1024.881061904784</v>
      </c>
      <c r="I136">
        <f>'0_Configuration'!$C$35</f>
        <v/>
      </c>
      <c r="O136" t="inlineStr">
        <is>
          <t>No</t>
        </is>
      </c>
      <c r="R136">
        <f>Tab_Data_Flows[[#This Row],[Flow_ID]]&amp;"_"&amp;"material_"&amp;Tab_Data_Flows[[#This Row],[Flow_Data_Year]]</f>
        <v/>
      </c>
      <c r="S136">
        <f>IF(O136="no",H136,H136*P136)</f>
        <v/>
      </c>
      <c r="T136">
        <f>Tab_Data_Flows[[#This Row],[UoM_Source]]</f>
        <v/>
      </c>
      <c r="U136">
        <f>INDEX(Tab_Def_Flows[[Flow_ID]:[CC_DM_source]],MATCH(Tab_Data_Flows[[#This Row],[Flow_Name]],Tab_Def_Flows[Flow_Name],0),11)</f>
        <v/>
      </c>
      <c r="V136">
        <f>Tab_Data_Flows[[#This Row],[Flow_ID]]&amp;"_"&amp;"WC_"&amp;Tab_Data_Flows[[#This Row],[Flow_Data_Year]]</f>
        <v/>
      </c>
      <c r="W136">
        <f>IF(D136="Yes",S136*Tab_Data_Flows[[#This Row],[WC_'[%']]],"N.A.")</f>
        <v/>
      </c>
      <c r="X136">
        <f>Tab_Data_Flows[[#This Row],[UoM_Flow_Py]]</f>
        <v/>
      </c>
      <c r="Y136">
        <f>INDEX(Tab_Def_Flows[[Flow_ID]:[CC_DM_source]],MATCH(Tab_Data_Flows[[#This Row],[Flow_Name]],Tab_Def_Flows[Flow_Name],0),14)</f>
        <v/>
      </c>
      <c r="Z136">
        <f>Tab_Data_Flows[[#This Row],[Flow_ID]]&amp;"_"&amp;"DM_"&amp;Tab_Data_Flows[[#This Row],[Flow_Data_Year]]</f>
        <v/>
      </c>
      <c r="AA136">
        <f>IF(E136="Yes",Y136*Tab_Data_Flows[[#This Row],[Flow_Material]],"N.A.")</f>
        <v/>
      </c>
      <c r="AB136">
        <f>Tab_Data_Flows[[#This Row],[UoM_Flow_Py]]</f>
        <v/>
      </c>
      <c r="AC136">
        <f>INDEX(Tab_Def_Flows[[Flow_ID]:[CC_DM_source]],MATCH(Tab_Data_Flows[[#This Row],[Flow_Name]],Tab_Def_Flows[Flow_Name],0),17)</f>
        <v/>
      </c>
      <c r="AD136">
        <f>Tab_Data_Flows[[#This Row],[Flow_ID]]&amp;"_"&amp;"CC_"&amp;Tab_Data_Flows[[#This Row],[Flow_Data_Year]]</f>
        <v/>
      </c>
      <c r="AE136">
        <f>IF(F136="Yes",AC136*Tab_Data_Flows[[#This Row],[Flow_Material]]*Tab_Data_Flows[[#This Row],[DM_'[%']]],"N.A.")</f>
        <v/>
      </c>
      <c r="AF136">
        <f>Tab_Data_Flows[[#This Row],[UoM_Flow_Py]]</f>
        <v/>
      </c>
    </row>
    <row r="137">
      <c r="A137">
        <f>ROW()-1</f>
        <v/>
      </c>
      <c r="B137">
        <f>_xlfn.XLOOKUP(C137,Tab_Def_Flows[Flow_Name],Tab_Def_Flows[Flow_ID],,0,)</f>
        <v/>
      </c>
      <c r="C137" t="inlineStr">
        <is>
          <t>Environment_Input_millet_production_E</t>
        </is>
      </c>
      <c r="D137">
        <f>_xlfn.XLOOKUP(C137,Tab_Def_Flows[Flow_Name],Tab_Def_Flows[WC?],,0,)</f>
        <v/>
      </c>
      <c r="E137">
        <f>_xlfn.XLOOKUP(C137,Tab_Def_Flows[Flow_Name],Tab_Def_Flows[DM?],,0,)</f>
        <v/>
      </c>
      <c r="F137">
        <f>_xlfn.XLOOKUP(C137,Tab_Def_Flows[Flow_Name],Tab_Def_Flows[CC?],,0,)</f>
        <v/>
      </c>
      <c r="G137" t="n">
        <v>2030</v>
      </c>
      <c r="H137" t="n">
        <v>1024.881061904784</v>
      </c>
      <c r="I137">
        <f>'0_Configuration'!$C$35</f>
        <v/>
      </c>
      <c r="O137" t="inlineStr">
        <is>
          <t>No</t>
        </is>
      </c>
      <c r="R137">
        <f>Tab_Data_Flows[[#This Row],[Flow_ID]]&amp;"_"&amp;"material_"&amp;Tab_Data_Flows[[#This Row],[Flow_Data_Year]]</f>
        <v/>
      </c>
      <c r="S137">
        <f>IF(O137="no",H137,H137*P137)</f>
        <v/>
      </c>
      <c r="T137">
        <f>Tab_Data_Flows[[#This Row],[UoM_Source]]</f>
        <v/>
      </c>
      <c r="U137">
        <f>INDEX(Tab_Def_Flows[[Flow_ID]:[CC_DM_source]],MATCH(Tab_Data_Flows[[#This Row],[Flow_Name]],Tab_Def_Flows[Flow_Name],0),11)</f>
        <v/>
      </c>
      <c r="V137">
        <f>Tab_Data_Flows[[#This Row],[Flow_ID]]&amp;"_"&amp;"WC_"&amp;Tab_Data_Flows[[#This Row],[Flow_Data_Year]]</f>
        <v/>
      </c>
      <c r="W137">
        <f>IF(D137="Yes",S137*Tab_Data_Flows[[#This Row],[WC_'[%']]],"N.A.")</f>
        <v/>
      </c>
      <c r="X137">
        <f>Tab_Data_Flows[[#This Row],[UoM_Flow_Py]]</f>
        <v/>
      </c>
      <c r="Y137">
        <f>INDEX(Tab_Def_Flows[[Flow_ID]:[CC_DM_source]],MATCH(Tab_Data_Flows[[#This Row],[Flow_Name]],Tab_Def_Flows[Flow_Name],0),14)</f>
        <v/>
      </c>
      <c r="Z137">
        <f>Tab_Data_Flows[[#This Row],[Flow_ID]]&amp;"_"&amp;"DM_"&amp;Tab_Data_Flows[[#This Row],[Flow_Data_Year]]</f>
        <v/>
      </c>
      <c r="AA137">
        <f>IF(E137="Yes",Y137*Tab_Data_Flows[[#This Row],[Flow_Material]],"N.A.")</f>
        <v/>
      </c>
      <c r="AB137">
        <f>Tab_Data_Flows[[#This Row],[UoM_Flow_Py]]</f>
        <v/>
      </c>
      <c r="AC137">
        <f>INDEX(Tab_Def_Flows[[Flow_ID]:[CC_DM_source]],MATCH(Tab_Data_Flows[[#This Row],[Flow_Name]],Tab_Def_Flows[Flow_Name],0),17)</f>
        <v/>
      </c>
      <c r="AD137">
        <f>Tab_Data_Flows[[#This Row],[Flow_ID]]&amp;"_"&amp;"CC_"&amp;Tab_Data_Flows[[#This Row],[Flow_Data_Year]]</f>
        <v/>
      </c>
      <c r="AE137">
        <f>IF(F137="Yes",AC137*Tab_Data_Flows[[#This Row],[Flow_Material]]*Tab_Data_Flows[[#This Row],[DM_'[%']]],"N.A.")</f>
        <v/>
      </c>
      <c r="AF137">
        <f>Tab_Data_Flows[[#This Row],[UoM_Flow_Py]]</f>
        <v/>
      </c>
    </row>
    <row r="138">
      <c r="A138">
        <f>ROW()-1</f>
        <v/>
      </c>
      <c r="B138">
        <f>_xlfn.XLOOKUP(C138,Tab_Def_Flows[Flow_Name],Tab_Def_Flows[Flow_ID],,0,)</f>
        <v/>
      </c>
      <c r="C138" t="inlineStr">
        <is>
          <t>Environment_Input_millet_production_E</t>
        </is>
      </c>
      <c r="D138">
        <f>_xlfn.XLOOKUP(C138,Tab_Def_Flows[Flow_Name],Tab_Def_Flows[WC?],,0,)</f>
        <v/>
      </c>
      <c r="E138">
        <f>_xlfn.XLOOKUP(C138,Tab_Def_Flows[Flow_Name],Tab_Def_Flows[DM?],,0,)</f>
        <v/>
      </c>
      <c r="F138">
        <f>_xlfn.XLOOKUP(C138,Tab_Def_Flows[Flow_Name],Tab_Def_Flows[CC?],,0,)</f>
        <v/>
      </c>
      <c r="G138" t="n">
        <v>2031</v>
      </c>
      <c r="H138" t="n">
        <v>1586.629349136295</v>
      </c>
      <c r="I138">
        <f>'0_Configuration'!$C$35</f>
        <v/>
      </c>
      <c r="O138" t="inlineStr">
        <is>
          <t>No</t>
        </is>
      </c>
      <c r="R138">
        <f>Tab_Data_Flows[[#This Row],[Flow_ID]]&amp;"_"&amp;"material_"&amp;Tab_Data_Flows[[#This Row],[Flow_Data_Year]]</f>
        <v/>
      </c>
      <c r="S138">
        <f>IF(O138="no",H138,H138*P138)</f>
        <v/>
      </c>
      <c r="T138">
        <f>Tab_Data_Flows[[#This Row],[UoM_Source]]</f>
        <v/>
      </c>
      <c r="U138">
        <f>INDEX(Tab_Def_Flows[[Flow_ID]:[CC_DM_source]],MATCH(Tab_Data_Flows[[#This Row],[Flow_Name]],Tab_Def_Flows[Flow_Name],0),11)</f>
        <v/>
      </c>
      <c r="V138">
        <f>Tab_Data_Flows[[#This Row],[Flow_ID]]&amp;"_"&amp;"WC_"&amp;Tab_Data_Flows[[#This Row],[Flow_Data_Year]]</f>
        <v/>
      </c>
      <c r="W138">
        <f>IF(D138="Yes",S138*Tab_Data_Flows[[#This Row],[WC_'[%']]],"N.A.")</f>
        <v/>
      </c>
      <c r="X138">
        <f>Tab_Data_Flows[[#This Row],[UoM_Flow_Py]]</f>
        <v/>
      </c>
      <c r="Y138">
        <f>INDEX(Tab_Def_Flows[[Flow_ID]:[CC_DM_source]],MATCH(Tab_Data_Flows[[#This Row],[Flow_Name]],Tab_Def_Flows[Flow_Name],0),14)</f>
        <v/>
      </c>
      <c r="Z138">
        <f>Tab_Data_Flows[[#This Row],[Flow_ID]]&amp;"_"&amp;"DM_"&amp;Tab_Data_Flows[[#This Row],[Flow_Data_Year]]</f>
        <v/>
      </c>
      <c r="AA138">
        <f>IF(E138="Yes",Y138*Tab_Data_Flows[[#This Row],[Flow_Material]],"N.A.")</f>
        <v/>
      </c>
      <c r="AB138">
        <f>Tab_Data_Flows[[#This Row],[UoM_Flow_Py]]</f>
        <v/>
      </c>
      <c r="AC138">
        <f>INDEX(Tab_Def_Flows[[Flow_ID]:[CC_DM_source]],MATCH(Tab_Data_Flows[[#This Row],[Flow_Name]],Tab_Def_Flows[Flow_Name],0),17)</f>
        <v/>
      </c>
      <c r="AD138">
        <f>Tab_Data_Flows[[#This Row],[Flow_ID]]&amp;"_"&amp;"CC_"&amp;Tab_Data_Flows[[#This Row],[Flow_Data_Year]]</f>
        <v/>
      </c>
      <c r="AE138">
        <f>IF(F138="Yes",AC138*Tab_Data_Flows[[#This Row],[Flow_Material]]*Tab_Data_Flows[[#This Row],[DM_'[%']]],"N.A.")</f>
        <v/>
      </c>
      <c r="AF138">
        <f>Tab_Data_Flows[[#This Row],[UoM_Flow_Py]]</f>
        <v/>
      </c>
    </row>
    <row r="139">
      <c r="A139">
        <f>ROW()-1</f>
        <v/>
      </c>
      <c r="B139">
        <f>_xlfn.XLOOKUP(C139,Tab_Def_Flows[Flow_Name],Tab_Def_Flows[Flow_ID],,0,)</f>
        <v/>
      </c>
      <c r="C139" t="inlineStr">
        <is>
          <t>Environment_Input_millet_production_E</t>
        </is>
      </c>
      <c r="D139">
        <f>_xlfn.XLOOKUP(C139,Tab_Def_Flows[Flow_Name],Tab_Def_Flows[WC?],,0,)</f>
        <v/>
      </c>
      <c r="E139">
        <f>_xlfn.XLOOKUP(C139,Tab_Def_Flows[Flow_Name],Tab_Def_Flows[DM?],,0,)</f>
        <v/>
      </c>
      <c r="F139">
        <f>_xlfn.XLOOKUP(C139,Tab_Def_Flows[Flow_Name],Tab_Def_Flows[CC?],,0,)</f>
        <v/>
      </c>
      <c r="G139" t="n">
        <v>2032</v>
      </c>
      <c r="H139" t="n">
        <v>1335.148298463306</v>
      </c>
      <c r="I139">
        <f>'0_Configuration'!$C$35</f>
        <v/>
      </c>
      <c r="O139" t="inlineStr">
        <is>
          <t>No</t>
        </is>
      </c>
      <c r="R139">
        <f>Tab_Data_Flows[[#This Row],[Flow_ID]]&amp;"_"&amp;"material_"&amp;Tab_Data_Flows[[#This Row],[Flow_Data_Year]]</f>
        <v/>
      </c>
      <c r="S139">
        <f>IF(O139="no",H139,H139*P139)</f>
        <v/>
      </c>
      <c r="T139">
        <f>Tab_Data_Flows[[#This Row],[UoM_Source]]</f>
        <v/>
      </c>
      <c r="U139">
        <f>INDEX(Tab_Def_Flows[[Flow_ID]:[CC_DM_source]],MATCH(Tab_Data_Flows[[#This Row],[Flow_Name]],Tab_Def_Flows[Flow_Name],0),11)</f>
        <v/>
      </c>
      <c r="V139">
        <f>Tab_Data_Flows[[#This Row],[Flow_ID]]&amp;"_"&amp;"WC_"&amp;Tab_Data_Flows[[#This Row],[Flow_Data_Year]]</f>
        <v/>
      </c>
      <c r="W139">
        <f>IF(D139="Yes",S139*Tab_Data_Flows[[#This Row],[WC_'[%']]],"N.A.")</f>
        <v/>
      </c>
      <c r="X139">
        <f>Tab_Data_Flows[[#This Row],[UoM_Flow_Py]]</f>
        <v/>
      </c>
      <c r="Y139">
        <f>INDEX(Tab_Def_Flows[[Flow_ID]:[CC_DM_source]],MATCH(Tab_Data_Flows[[#This Row],[Flow_Name]],Tab_Def_Flows[Flow_Name],0),14)</f>
        <v/>
      </c>
      <c r="Z139">
        <f>Tab_Data_Flows[[#This Row],[Flow_ID]]&amp;"_"&amp;"DM_"&amp;Tab_Data_Flows[[#This Row],[Flow_Data_Year]]</f>
        <v/>
      </c>
      <c r="AA139">
        <f>IF(E139="Yes",Y139*Tab_Data_Flows[[#This Row],[Flow_Material]],"N.A.")</f>
        <v/>
      </c>
      <c r="AB139">
        <f>Tab_Data_Flows[[#This Row],[UoM_Flow_Py]]</f>
        <v/>
      </c>
      <c r="AC139">
        <f>INDEX(Tab_Def_Flows[[Flow_ID]:[CC_DM_source]],MATCH(Tab_Data_Flows[[#This Row],[Flow_Name]],Tab_Def_Flows[Flow_Name],0),17)</f>
        <v/>
      </c>
      <c r="AD139">
        <f>Tab_Data_Flows[[#This Row],[Flow_ID]]&amp;"_"&amp;"CC_"&amp;Tab_Data_Flows[[#This Row],[Flow_Data_Year]]</f>
        <v/>
      </c>
      <c r="AE139">
        <f>IF(F139="Yes",AC139*Tab_Data_Flows[[#This Row],[Flow_Material]]*Tab_Data_Flows[[#This Row],[DM_'[%']]],"N.A.")</f>
        <v/>
      </c>
      <c r="AF139">
        <f>Tab_Data_Flows[[#This Row],[UoM_Flow_Py]]</f>
        <v/>
      </c>
    </row>
    <row r="140">
      <c r="A140">
        <f>ROW()-1</f>
        <v/>
      </c>
      <c r="B140">
        <f>_xlfn.XLOOKUP(C140,Tab_Def_Flows[Flow_Name],Tab_Def_Flows[Flow_ID],,0,)</f>
        <v/>
      </c>
      <c r="C140" t="inlineStr">
        <is>
          <t>Environment_Input_millet_production_E</t>
        </is>
      </c>
      <c r="D140">
        <f>_xlfn.XLOOKUP(C140,Tab_Def_Flows[Flow_Name],Tab_Def_Flows[WC?],,0,)</f>
        <v/>
      </c>
      <c r="E140">
        <f>_xlfn.XLOOKUP(C140,Tab_Def_Flows[Flow_Name],Tab_Def_Flows[DM?],,0,)</f>
        <v/>
      </c>
      <c r="F140">
        <f>_xlfn.XLOOKUP(C140,Tab_Def_Flows[Flow_Name],Tab_Def_Flows[CC?],,0,)</f>
        <v/>
      </c>
      <c r="G140" t="n">
        <v>2033</v>
      </c>
      <c r="H140" t="n">
        <v>951.9806744549724</v>
      </c>
      <c r="I140">
        <f>'0_Configuration'!$C$35</f>
        <v/>
      </c>
      <c r="O140" t="inlineStr">
        <is>
          <t>No</t>
        </is>
      </c>
      <c r="R140">
        <f>Tab_Data_Flows[[#This Row],[Flow_ID]]&amp;"_"&amp;"material_"&amp;Tab_Data_Flows[[#This Row],[Flow_Data_Year]]</f>
        <v/>
      </c>
      <c r="S140">
        <f>IF(O140="no",H140,H140*P140)</f>
        <v/>
      </c>
      <c r="T140">
        <f>Tab_Data_Flows[[#This Row],[UoM_Source]]</f>
        <v/>
      </c>
      <c r="U140">
        <f>INDEX(Tab_Def_Flows[[Flow_ID]:[CC_DM_source]],MATCH(Tab_Data_Flows[[#This Row],[Flow_Name]],Tab_Def_Flows[Flow_Name],0),11)</f>
        <v/>
      </c>
      <c r="V140">
        <f>Tab_Data_Flows[[#This Row],[Flow_ID]]&amp;"_"&amp;"WC_"&amp;Tab_Data_Flows[[#This Row],[Flow_Data_Year]]</f>
        <v/>
      </c>
      <c r="W140">
        <f>IF(D140="Yes",S140*Tab_Data_Flows[[#This Row],[WC_'[%']]],"N.A.")</f>
        <v/>
      </c>
      <c r="X140">
        <f>Tab_Data_Flows[[#This Row],[UoM_Flow_Py]]</f>
        <v/>
      </c>
      <c r="Y140">
        <f>INDEX(Tab_Def_Flows[[Flow_ID]:[CC_DM_source]],MATCH(Tab_Data_Flows[[#This Row],[Flow_Name]],Tab_Def_Flows[Flow_Name],0),14)</f>
        <v/>
      </c>
      <c r="Z140">
        <f>Tab_Data_Flows[[#This Row],[Flow_ID]]&amp;"_"&amp;"DM_"&amp;Tab_Data_Flows[[#This Row],[Flow_Data_Year]]</f>
        <v/>
      </c>
      <c r="AA140">
        <f>IF(E140="Yes",Y140*Tab_Data_Flows[[#This Row],[Flow_Material]],"N.A.")</f>
        <v/>
      </c>
      <c r="AB140">
        <f>Tab_Data_Flows[[#This Row],[UoM_Flow_Py]]</f>
        <v/>
      </c>
      <c r="AC140">
        <f>INDEX(Tab_Def_Flows[[Flow_ID]:[CC_DM_source]],MATCH(Tab_Data_Flows[[#This Row],[Flow_Name]],Tab_Def_Flows[Flow_Name],0),17)</f>
        <v/>
      </c>
      <c r="AD140">
        <f>Tab_Data_Flows[[#This Row],[Flow_ID]]&amp;"_"&amp;"CC_"&amp;Tab_Data_Flows[[#This Row],[Flow_Data_Year]]</f>
        <v/>
      </c>
      <c r="AE140">
        <f>IF(F140="Yes",AC140*Tab_Data_Flows[[#This Row],[Flow_Material]]*Tab_Data_Flows[[#This Row],[DM_'[%']]],"N.A.")</f>
        <v/>
      </c>
      <c r="AF140">
        <f>Tab_Data_Flows[[#This Row],[UoM_Flow_Py]]</f>
        <v/>
      </c>
    </row>
    <row r="141">
      <c r="A141">
        <f>ROW()-1</f>
        <v/>
      </c>
      <c r="B141">
        <f>_xlfn.XLOOKUP(C141,Tab_Def_Flows[Flow_Name],Tab_Def_Flows[Flow_ID],,0,)</f>
        <v/>
      </c>
      <c r="C141" t="inlineStr">
        <is>
          <t>Environment_Input_millet_production_E</t>
        </is>
      </c>
      <c r="D141">
        <f>_xlfn.XLOOKUP(C141,Tab_Def_Flows[Flow_Name],Tab_Def_Flows[WC?],,0,)</f>
        <v/>
      </c>
      <c r="E141">
        <f>_xlfn.XLOOKUP(C141,Tab_Def_Flows[Flow_Name],Tab_Def_Flows[DM?],,0,)</f>
        <v/>
      </c>
      <c r="F141">
        <f>_xlfn.XLOOKUP(C141,Tab_Def_Flows[Flow_Name],Tab_Def_Flows[CC?],,0,)</f>
        <v/>
      </c>
      <c r="G141" t="n">
        <v>2034</v>
      </c>
      <c r="H141" t="n">
        <v>1265.496782600494</v>
      </c>
      <c r="I141">
        <f>'0_Configuration'!$C$35</f>
        <v/>
      </c>
      <c r="O141" t="inlineStr">
        <is>
          <t>No</t>
        </is>
      </c>
      <c r="R141">
        <f>Tab_Data_Flows[[#This Row],[Flow_ID]]&amp;"_"&amp;"material_"&amp;Tab_Data_Flows[[#This Row],[Flow_Data_Year]]</f>
        <v/>
      </c>
      <c r="S141">
        <f>IF(O141="no",H141,H141*P141)</f>
        <v/>
      </c>
      <c r="T141">
        <f>Tab_Data_Flows[[#This Row],[UoM_Source]]</f>
        <v/>
      </c>
      <c r="U141">
        <f>INDEX(Tab_Def_Flows[[Flow_ID]:[CC_DM_source]],MATCH(Tab_Data_Flows[[#This Row],[Flow_Name]],Tab_Def_Flows[Flow_Name],0),11)</f>
        <v/>
      </c>
      <c r="V141">
        <f>Tab_Data_Flows[[#This Row],[Flow_ID]]&amp;"_"&amp;"WC_"&amp;Tab_Data_Flows[[#This Row],[Flow_Data_Year]]</f>
        <v/>
      </c>
      <c r="W141">
        <f>IF(D141="Yes",S141*Tab_Data_Flows[[#This Row],[WC_'[%']]],"N.A.")</f>
        <v/>
      </c>
      <c r="X141">
        <f>Tab_Data_Flows[[#This Row],[UoM_Flow_Py]]</f>
        <v/>
      </c>
      <c r="Y141">
        <f>INDEX(Tab_Def_Flows[[Flow_ID]:[CC_DM_source]],MATCH(Tab_Data_Flows[[#This Row],[Flow_Name]],Tab_Def_Flows[Flow_Name],0),14)</f>
        <v/>
      </c>
      <c r="Z141">
        <f>Tab_Data_Flows[[#This Row],[Flow_ID]]&amp;"_"&amp;"DM_"&amp;Tab_Data_Flows[[#This Row],[Flow_Data_Year]]</f>
        <v/>
      </c>
      <c r="AA141">
        <f>IF(E141="Yes",Y141*Tab_Data_Flows[[#This Row],[Flow_Material]],"N.A.")</f>
        <v/>
      </c>
      <c r="AB141">
        <f>Tab_Data_Flows[[#This Row],[UoM_Flow_Py]]</f>
        <v/>
      </c>
      <c r="AC141">
        <f>INDEX(Tab_Def_Flows[[Flow_ID]:[CC_DM_source]],MATCH(Tab_Data_Flows[[#This Row],[Flow_Name]],Tab_Def_Flows[Flow_Name],0),17)</f>
        <v/>
      </c>
      <c r="AD141">
        <f>Tab_Data_Flows[[#This Row],[Flow_ID]]&amp;"_"&amp;"CC_"&amp;Tab_Data_Flows[[#This Row],[Flow_Data_Year]]</f>
        <v/>
      </c>
      <c r="AE141">
        <f>IF(F141="Yes",AC141*Tab_Data_Flows[[#This Row],[Flow_Material]]*Tab_Data_Flows[[#This Row],[DM_'[%']]],"N.A.")</f>
        <v/>
      </c>
      <c r="AF141">
        <f>Tab_Data_Flows[[#This Row],[UoM_Flow_Py]]</f>
        <v/>
      </c>
    </row>
    <row r="142">
      <c r="A142">
        <f>ROW()-1</f>
        <v/>
      </c>
      <c r="B142">
        <f>_xlfn.XLOOKUP(C142,Tab_Def_Flows[Flow_Name],Tab_Def_Flows[Flow_ID],,0,)</f>
        <v/>
      </c>
      <c r="C142" t="inlineStr">
        <is>
          <t>Environment_Input_millet_production_E</t>
        </is>
      </c>
      <c r="D142">
        <f>_xlfn.XLOOKUP(C142,Tab_Def_Flows[Flow_Name],Tab_Def_Flows[WC?],,0,)</f>
        <v/>
      </c>
      <c r="E142">
        <f>_xlfn.XLOOKUP(C142,Tab_Def_Flows[Flow_Name],Tab_Def_Flows[DM?],,0,)</f>
        <v/>
      </c>
      <c r="F142">
        <f>_xlfn.XLOOKUP(C142,Tab_Def_Flows[Flow_Name],Tab_Def_Flows[CC?],,0,)</f>
        <v/>
      </c>
      <c r="G142" t="n">
        <v>2035</v>
      </c>
      <c r="H142" t="n">
        <v>953.850308104095</v>
      </c>
      <c r="I142">
        <f>'0_Configuration'!$C$35</f>
        <v/>
      </c>
      <c r="O142" t="inlineStr">
        <is>
          <t>No</t>
        </is>
      </c>
      <c r="R142">
        <f>Tab_Data_Flows[[#This Row],[Flow_ID]]&amp;"_"&amp;"material_"&amp;Tab_Data_Flows[[#This Row],[Flow_Data_Year]]</f>
        <v/>
      </c>
      <c r="S142">
        <f>IF(O142="no",H142,H142*P142)</f>
        <v/>
      </c>
      <c r="T142">
        <f>Tab_Data_Flows[[#This Row],[UoM_Source]]</f>
        <v/>
      </c>
      <c r="U142">
        <f>INDEX(Tab_Def_Flows[[Flow_ID]:[CC_DM_source]],MATCH(Tab_Data_Flows[[#This Row],[Flow_Name]],Tab_Def_Flows[Flow_Name],0),11)</f>
        <v/>
      </c>
      <c r="V142">
        <f>Tab_Data_Flows[[#This Row],[Flow_ID]]&amp;"_"&amp;"WC_"&amp;Tab_Data_Flows[[#This Row],[Flow_Data_Year]]</f>
        <v/>
      </c>
      <c r="W142">
        <f>IF(D142="Yes",S142*Tab_Data_Flows[[#This Row],[WC_'[%']]],"N.A.")</f>
        <v/>
      </c>
      <c r="X142">
        <f>Tab_Data_Flows[[#This Row],[UoM_Flow_Py]]</f>
        <v/>
      </c>
      <c r="Y142">
        <f>INDEX(Tab_Def_Flows[[Flow_ID]:[CC_DM_source]],MATCH(Tab_Data_Flows[[#This Row],[Flow_Name]],Tab_Def_Flows[Flow_Name],0),14)</f>
        <v/>
      </c>
      <c r="Z142">
        <f>Tab_Data_Flows[[#This Row],[Flow_ID]]&amp;"_"&amp;"DM_"&amp;Tab_Data_Flows[[#This Row],[Flow_Data_Year]]</f>
        <v/>
      </c>
      <c r="AA142">
        <f>IF(E142="Yes",Y142*Tab_Data_Flows[[#This Row],[Flow_Material]],"N.A.")</f>
        <v/>
      </c>
      <c r="AB142">
        <f>Tab_Data_Flows[[#This Row],[UoM_Flow_Py]]</f>
        <v/>
      </c>
      <c r="AC142">
        <f>INDEX(Tab_Def_Flows[[Flow_ID]:[CC_DM_source]],MATCH(Tab_Data_Flows[[#This Row],[Flow_Name]],Tab_Def_Flows[Flow_Name],0),17)</f>
        <v/>
      </c>
      <c r="AD142">
        <f>Tab_Data_Flows[[#This Row],[Flow_ID]]&amp;"_"&amp;"CC_"&amp;Tab_Data_Flows[[#This Row],[Flow_Data_Year]]</f>
        <v/>
      </c>
      <c r="AE142">
        <f>IF(F142="Yes",AC142*Tab_Data_Flows[[#This Row],[Flow_Material]]*Tab_Data_Flows[[#This Row],[DM_'[%']]],"N.A.")</f>
        <v/>
      </c>
      <c r="AF142">
        <f>Tab_Data_Flows[[#This Row],[UoM_Flow_Py]]</f>
        <v/>
      </c>
    </row>
    <row r="143">
      <c r="A143">
        <f>ROW()-1</f>
        <v/>
      </c>
      <c r="B143">
        <f>_xlfn.XLOOKUP(C143,Tab_Def_Flows[Flow_Name],Tab_Def_Flows[Flow_ID],,0,)</f>
        <v/>
      </c>
      <c r="C143" t="inlineStr">
        <is>
          <t>Environment_Input_millet_production_E</t>
        </is>
      </c>
      <c r="D143">
        <f>_xlfn.XLOOKUP(C143,Tab_Def_Flows[Flow_Name],Tab_Def_Flows[WC?],,0,)</f>
        <v/>
      </c>
      <c r="E143">
        <f>_xlfn.XLOOKUP(C143,Tab_Def_Flows[Flow_Name],Tab_Def_Flows[DM?],,0,)</f>
        <v/>
      </c>
      <c r="F143">
        <f>_xlfn.XLOOKUP(C143,Tab_Def_Flows[Flow_Name],Tab_Def_Flows[CC?],,0,)</f>
        <v/>
      </c>
      <c r="G143" t="n">
        <v>2036</v>
      </c>
      <c r="H143" t="n">
        <v>953.1300394032036</v>
      </c>
      <c r="I143">
        <f>'0_Configuration'!$C$35</f>
        <v/>
      </c>
      <c r="O143" t="inlineStr">
        <is>
          <t>No</t>
        </is>
      </c>
      <c r="R143">
        <f>Tab_Data_Flows[[#This Row],[Flow_ID]]&amp;"_"&amp;"material_"&amp;Tab_Data_Flows[[#This Row],[Flow_Data_Year]]</f>
        <v/>
      </c>
      <c r="S143">
        <f>IF(O143="no",H143,H143*P143)</f>
        <v/>
      </c>
      <c r="T143">
        <f>Tab_Data_Flows[[#This Row],[UoM_Source]]</f>
        <v/>
      </c>
      <c r="U143">
        <f>INDEX(Tab_Def_Flows[[Flow_ID]:[CC_DM_source]],MATCH(Tab_Data_Flows[[#This Row],[Flow_Name]],Tab_Def_Flows[Flow_Name],0),11)</f>
        <v/>
      </c>
      <c r="V143">
        <f>Tab_Data_Flows[[#This Row],[Flow_ID]]&amp;"_"&amp;"WC_"&amp;Tab_Data_Flows[[#This Row],[Flow_Data_Year]]</f>
        <v/>
      </c>
      <c r="W143">
        <f>IF(D143="Yes",S143*Tab_Data_Flows[[#This Row],[WC_'[%']]],"N.A.")</f>
        <v/>
      </c>
      <c r="X143">
        <f>Tab_Data_Flows[[#This Row],[UoM_Flow_Py]]</f>
        <v/>
      </c>
      <c r="Y143">
        <f>INDEX(Tab_Def_Flows[[Flow_ID]:[CC_DM_source]],MATCH(Tab_Data_Flows[[#This Row],[Flow_Name]],Tab_Def_Flows[Flow_Name],0),14)</f>
        <v/>
      </c>
      <c r="Z143">
        <f>Tab_Data_Flows[[#This Row],[Flow_ID]]&amp;"_"&amp;"DM_"&amp;Tab_Data_Flows[[#This Row],[Flow_Data_Year]]</f>
        <v/>
      </c>
      <c r="AA143">
        <f>IF(E143="Yes",Y143*Tab_Data_Flows[[#This Row],[Flow_Material]],"N.A.")</f>
        <v/>
      </c>
      <c r="AB143">
        <f>Tab_Data_Flows[[#This Row],[UoM_Flow_Py]]</f>
        <v/>
      </c>
      <c r="AC143">
        <f>INDEX(Tab_Def_Flows[[Flow_ID]:[CC_DM_source]],MATCH(Tab_Data_Flows[[#This Row],[Flow_Name]],Tab_Def_Flows[Flow_Name],0),17)</f>
        <v/>
      </c>
      <c r="AD143">
        <f>Tab_Data_Flows[[#This Row],[Flow_ID]]&amp;"_"&amp;"CC_"&amp;Tab_Data_Flows[[#This Row],[Flow_Data_Year]]</f>
        <v/>
      </c>
      <c r="AE143">
        <f>IF(F143="Yes",AC143*Tab_Data_Flows[[#This Row],[Flow_Material]]*Tab_Data_Flows[[#This Row],[DM_'[%']]],"N.A.")</f>
        <v/>
      </c>
      <c r="AF143">
        <f>Tab_Data_Flows[[#This Row],[UoM_Flow_Py]]</f>
        <v/>
      </c>
    </row>
    <row r="144">
      <c r="A144">
        <f>ROW()-1</f>
        <v/>
      </c>
      <c r="B144">
        <f>_xlfn.XLOOKUP(C144,Tab_Def_Flows[Flow_Name],Tab_Def_Flows[Flow_ID],,0,)</f>
        <v/>
      </c>
      <c r="C144" t="inlineStr">
        <is>
          <t>Environment_Input_millet_production_E</t>
        </is>
      </c>
      <c r="D144">
        <f>_xlfn.XLOOKUP(C144,Tab_Def_Flows[Flow_Name],Tab_Def_Flows[WC?],,0,)</f>
        <v/>
      </c>
      <c r="E144">
        <f>_xlfn.XLOOKUP(C144,Tab_Def_Flows[Flow_Name],Tab_Def_Flows[DM?],,0,)</f>
        <v/>
      </c>
      <c r="F144">
        <f>_xlfn.XLOOKUP(C144,Tab_Def_Flows[Flow_Name],Tab_Def_Flows[CC?],,0,)</f>
        <v/>
      </c>
      <c r="G144" t="n">
        <v>2037</v>
      </c>
      <c r="H144" t="n">
        <v>1172.367572061813</v>
      </c>
      <c r="I144">
        <f>'0_Configuration'!$C$35</f>
        <v/>
      </c>
      <c r="O144" t="inlineStr">
        <is>
          <t>No</t>
        </is>
      </c>
      <c r="R144">
        <f>Tab_Data_Flows[[#This Row],[Flow_ID]]&amp;"_"&amp;"material_"&amp;Tab_Data_Flows[[#This Row],[Flow_Data_Year]]</f>
        <v/>
      </c>
      <c r="S144">
        <f>IF(O144="no",H144,H144*P144)</f>
        <v/>
      </c>
      <c r="T144">
        <f>Tab_Data_Flows[[#This Row],[UoM_Source]]</f>
        <v/>
      </c>
      <c r="U144">
        <f>INDEX(Tab_Def_Flows[[Flow_ID]:[CC_DM_source]],MATCH(Tab_Data_Flows[[#This Row],[Flow_Name]],Tab_Def_Flows[Flow_Name],0),11)</f>
        <v/>
      </c>
      <c r="V144">
        <f>Tab_Data_Flows[[#This Row],[Flow_ID]]&amp;"_"&amp;"WC_"&amp;Tab_Data_Flows[[#This Row],[Flow_Data_Year]]</f>
        <v/>
      </c>
      <c r="W144">
        <f>IF(D144="Yes",S144*Tab_Data_Flows[[#This Row],[WC_'[%']]],"N.A.")</f>
        <v/>
      </c>
      <c r="X144">
        <f>Tab_Data_Flows[[#This Row],[UoM_Flow_Py]]</f>
        <v/>
      </c>
      <c r="Y144">
        <f>INDEX(Tab_Def_Flows[[Flow_ID]:[CC_DM_source]],MATCH(Tab_Data_Flows[[#This Row],[Flow_Name]],Tab_Def_Flows[Flow_Name],0),14)</f>
        <v/>
      </c>
      <c r="Z144">
        <f>Tab_Data_Flows[[#This Row],[Flow_ID]]&amp;"_"&amp;"DM_"&amp;Tab_Data_Flows[[#This Row],[Flow_Data_Year]]</f>
        <v/>
      </c>
      <c r="AA144">
        <f>IF(E144="Yes",Y144*Tab_Data_Flows[[#This Row],[Flow_Material]],"N.A.")</f>
        <v/>
      </c>
      <c r="AB144">
        <f>Tab_Data_Flows[[#This Row],[UoM_Flow_Py]]</f>
        <v/>
      </c>
      <c r="AC144">
        <f>INDEX(Tab_Def_Flows[[Flow_ID]:[CC_DM_source]],MATCH(Tab_Data_Flows[[#This Row],[Flow_Name]],Tab_Def_Flows[Flow_Name],0),17)</f>
        <v/>
      </c>
      <c r="AD144">
        <f>Tab_Data_Flows[[#This Row],[Flow_ID]]&amp;"_"&amp;"CC_"&amp;Tab_Data_Flows[[#This Row],[Flow_Data_Year]]</f>
        <v/>
      </c>
      <c r="AE144">
        <f>IF(F144="Yes",AC144*Tab_Data_Flows[[#This Row],[Flow_Material]]*Tab_Data_Flows[[#This Row],[DM_'[%']]],"N.A.")</f>
        <v/>
      </c>
      <c r="AF144">
        <f>Tab_Data_Flows[[#This Row],[UoM_Flow_Py]]</f>
        <v/>
      </c>
    </row>
    <row r="145">
      <c r="A145">
        <f>ROW()-1</f>
        <v/>
      </c>
      <c r="B145">
        <f>_xlfn.XLOOKUP(C145,Tab_Def_Flows[Flow_Name],Tab_Def_Flows[Flow_ID],,0,)</f>
        <v/>
      </c>
      <c r="C145" t="inlineStr">
        <is>
          <t>Environment_Input_millet_production_E</t>
        </is>
      </c>
      <c r="D145">
        <f>_xlfn.XLOOKUP(C145,Tab_Def_Flows[Flow_Name],Tab_Def_Flows[WC?],,0,)</f>
        <v/>
      </c>
      <c r="E145">
        <f>_xlfn.XLOOKUP(C145,Tab_Def_Flows[Flow_Name],Tab_Def_Flows[DM?],,0,)</f>
        <v/>
      </c>
      <c r="F145">
        <f>_xlfn.XLOOKUP(C145,Tab_Def_Flows[Flow_Name],Tab_Def_Flows[CC?],,0,)</f>
        <v/>
      </c>
      <c r="G145" t="n">
        <v>2038</v>
      </c>
      <c r="H145" t="n">
        <v>504.70913606729</v>
      </c>
      <c r="I145">
        <f>'0_Configuration'!$C$35</f>
        <v/>
      </c>
      <c r="O145" t="inlineStr">
        <is>
          <t>No</t>
        </is>
      </c>
      <c r="R145">
        <f>Tab_Data_Flows[[#This Row],[Flow_ID]]&amp;"_"&amp;"material_"&amp;Tab_Data_Flows[[#This Row],[Flow_Data_Year]]</f>
        <v/>
      </c>
      <c r="S145">
        <f>IF(O145="no",H145,H145*P145)</f>
        <v/>
      </c>
      <c r="T145">
        <f>Tab_Data_Flows[[#This Row],[UoM_Source]]</f>
        <v/>
      </c>
      <c r="U145">
        <f>INDEX(Tab_Def_Flows[[Flow_ID]:[CC_DM_source]],MATCH(Tab_Data_Flows[[#This Row],[Flow_Name]],Tab_Def_Flows[Flow_Name],0),11)</f>
        <v/>
      </c>
      <c r="V145">
        <f>Tab_Data_Flows[[#This Row],[Flow_ID]]&amp;"_"&amp;"WC_"&amp;Tab_Data_Flows[[#This Row],[Flow_Data_Year]]</f>
        <v/>
      </c>
      <c r="W145">
        <f>IF(D145="Yes",S145*Tab_Data_Flows[[#This Row],[WC_'[%']]],"N.A.")</f>
        <v/>
      </c>
      <c r="X145">
        <f>Tab_Data_Flows[[#This Row],[UoM_Flow_Py]]</f>
        <v/>
      </c>
      <c r="Y145">
        <f>INDEX(Tab_Def_Flows[[Flow_ID]:[CC_DM_source]],MATCH(Tab_Data_Flows[[#This Row],[Flow_Name]],Tab_Def_Flows[Flow_Name],0),14)</f>
        <v/>
      </c>
      <c r="Z145">
        <f>Tab_Data_Flows[[#This Row],[Flow_ID]]&amp;"_"&amp;"DM_"&amp;Tab_Data_Flows[[#This Row],[Flow_Data_Year]]</f>
        <v/>
      </c>
      <c r="AA145">
        <f>IF(E145="Yes",Y145*Tab_Data_Flows[[#This Row],[Flow_Material]],"N.A.")</f>
        <v/>
      </c>
      <c r="AB145">
        <f>Tab_Data_Flows[[#This Row],[UoM_Flow_Py]]</f>
        <v/>
      </c>
      <c r="AC145">
        <f>INDEX(Tab_Def_Flows[[Flow_ID]:[CC_DM_source]],MATCH(Tab_Data_Flows[[#This Row],[Flow_Name]],Tab_Def_Flows[Flow_Name],0),17)</f>
        <v/>
      </c>
      <c r="AD145">
        <f>Tab_Data_Flows[[#This Row],[Flow_ID]]&amp;"_"&amp;"CC_"&amp;Tab_Data_Flows[[#This Row],[Flow_Data_Year]]</f>
        <v/>
      </c>
      <c r="AE145">
        <f>IF(F145="Yes",AC145*Tab_Data_Flows[[#This Row],[Flow_Material]]*Tab_Data_Flows[[#This Row],[DM_'[%']]],"N.A.")</f>
        <v/>
      </c>
      <c r="AF145">
        <f>Tab_Data_Flows[[#This Row],[UoM_Flow_Py]]</f>
        <v/>
      </c>
    </row>
    <row r="146">
      <c r="A146">
        <f>ROW()-1</f>
        <v/>
      </c>
      <c r="B146">
        <f>_xlfn.XLOOKUP(C146,Tab_Def_Flows[Flow_Name],Tab_Def_Flows[Flow_ID],,0,)</f>
        <v/>
      </c>
      <c r="C146" t="inlineStr">
        <is>
          <t>Environment_Input_millet_production_E</t>
        </is>
      </c>
      <c r="D146">
        <f>_xlfn.XLOOKUP(C146,Tab_Def_Flows[Flow_Name],Tab_Def_Flows[WC?],,0,)</f>
        <v/>
      </c>
      <c r="E146">
        <f>_xlfn.XLOOKUP(C146,Tab_Def_Flows[Flow_Name],Tab_Def_Flows[DM?],,0,)</f>
        <v/>
      </c>
      <c r="F146">
        <f>_xlfn.XLOOKUP(C146,Tab_Def_Flows[Flow_Name],Tab_Def_Flows[CC?],,0,)</f>
        <v/>
      </c>
      <c r="G146" t="n">
        <v>2039</v>
      </c>
      <c r="H146" t="n">
        <v>563.0509008395064</v>
      </c>
      <c r="I146">
        <f>'0_Configuration'!$C$35</f>
        <v/>
      </c>
      <c r="O146" t="inlineStr">
        <is>
          <t>No</t>
        </is>
      </c>
      <c r="R146">
        <f>Tab_Data_Flows[[#This Row],[Flow_ID]]&amp;"_"&amp;"material_"&amp;Tab_Data_Flows[[#This Row],[Flow_Data_Year]]</f>
        <v/>
      </c>
      <c r="S146">
        <f>IF(O146="no",H146,H146*P146)</f>
        <v/>
      </c>
      <c r="T146">
        <f>Tab_Data_Flows[[#This Row],[UoM_Source]]</f>
        <v/>
      </c>
      <c r="U146">
        <f>INDEX(Tab_Def_Flows[[Flow_ID]:[CC_DM_source]],MATCH(Tab_Data_Flows[[#This Row],[Flow_Name]],Tab_Def_Flows[Flow_Name],0),11)</f>
        <v/>
      </c>
      <c r="V146">
        <f>Tab_Data_Flows[[#This Row],[Flow_ID]]&amp;"_"&amp;"WC_"&amp;Tab_Data_Flows[[#This Row],[Flow_Data_Year]]</f>
        <v/>
      </c>
      <c r="W146">
        <f>IF(D146="Yes",S146*Tab_Data_Flows[[#This Row],[WC_'[%']]],"N.A.")</f>
        <v/>
      </c>
      <c r="X146">
        <f>Tab_Data_Flows[[#This Row],[UoM_Flow_Py]]</f>
        <v/>
      </c>
      <c r="Y146">
        <f>INDEX(Tab_Def_Flows[[Flow_ID]:[CC_DM_source]],MATCH(Tab_Data_Flows[[#This Row],[Flow_Name]],Tab_Def_Flows[Flow_Name],0),14)</f>
        <v/>
      </c>
      <c r="Z146">
        <f>Tab_Data_Flows[[#This Row],[Flow_ID]]&amp;"_"&amp;"DM_"&amp;Tab_Data_Flows[[#This Row],[Flow_Data_Year]]</f>
        <v/>
      </c>
      <c r="AA146">
        <f>IF(E146="Yes",Y146*Tab_Data_Flows[[#This Row],[Flow_Material]],"N.A.")</f>
        <v/>
      </c>
      <c r="AB146">
        <f>Tab_Data_Flows[[#This Row],[UoM_Flow_Py]]</f>
        <v/>
      </c>
      <c r="AC146">
        <f>INDEX(Tab_Def_Flows[[Flow_ID]:[CC_DM_source]],MATCH(Tab_Data_Flows[[#This Row],[Flow_Name]],Tab_Def_Flows[Flow_Name],0),17)</f>
        <v/>
      </c>
      <c r="AD146">
        <f>Tab_Data_Flows[[#This Row],[Flow_ID]]&amp;"_"&amp;"CC_"&amp;Tab_Data_Flows[[#This Row],[Flow_Data_Year]]</f>
        <v/>
      </c>
      <c r="AE146">
        <f>IF(F146="Yes",AC146*Tab_Data_Flows[[#This Row],[Flow_Material]]*Tab_Data_Flows[[#This Row],[DM_'[%']]],"N.A.")</f>
        <v/>
      </c>
      <c r="AF146">
        <f>Tab_Data_Flows[[#This Row],[UoM_Flow_Py]]</f>
        <v/>
      </c>
    </row>
    <row r="147">
      <c r="A147">
        <f>ROW()-1</f>
        <v/>
      </c>
      <c r="B147">
        <f>_xlfn.XLOOKUP(C147,Tab_Def_Flows[Flow_Name],Tab_Def_Flows[Flow_ID],,0,)</f>
        <v/>
      </c>
      <c r="C147" t="inlineStr">
        <is>
          <t>Environment_Input_millet_production_E</t>
        </is>
      </c>
      <c r="D147">
        <f>_xlfn.XLOOKUP(C147,Tab_Def_Flows[Flow_Name],Tab_Def_Flows[WC?],,0,)</f>
        <v/>
      </c>
      <c r="E147">
        <f>_xlfn.XLOOKUP(C147,Tab_Def_Flows[Flow_Name],Tab_Def_Flows[DM?],,0,)</f>
        <v/>
      </c>
      <c r="F147">
        <f>_xlfn.XLOOKUP(C147,Tab_Def_Flows[Flow_Name],Tab_Def_Flows[CC?],,0,)</f>
        <v/>
      </c>
      <c r="G147" t="n">
        <v>2040</v>
      </c>
      <c r="H147" t="n">
        <v>923.2312258832156</v>
      </c>
      <c r="I147">
        <f>'0_Configuration'!$C$35</f>
        <v/>
      </c>
      <c r="O147" t="inlineStr">
        <is>
          <t>No</t>
        </is>
      </c>
      <c r="R147">
        <f>Tab_Data_Flows[[#This Row],[Flow_ID]]&amp;"_"&amp;"material_"&amp;Tab_Data_Flows[[#This Row],[Flow_Data_Year]]</f>
        <v/>
      </c>
      <c r="S147">
        <f>IF(O147="no",H147,H147*P147)</f>
        <v/>
      </c>
      <c r="T147">
        <f>Tab_Data_Flows[[#This Row],[UoM_Source]]</f>
        <v/>
      </c>
      <c r="U147">
        <f>INDEX(Tab_Def_Flows[[Flow_ID]:[CC_DM_source]],MATCH(Tab_Data_Flows[[#This Row],[Flow_Name]],Tab_Def_Flows[Flow_Name],0),11)</f>
        <v/>
      </c>
      <c r="V147">
        <f>Tab_Data_Flows[[#This Row],[Flow_ID]]&amp;"_"&amp;"WC_"&amp;Tab_Data_Flows[[#This Row],[Flow_Data_Year]]</f>
        <v/>
      </c>
      <c r="W147">
        <f>IF(D147="Yes",S147*Tab_Data_Flows[[#This Row],[WC_'[%']]],"N.A.")</f>
        <v/>
      </c>
      <c r="X147">
        <f>Tab_Data_Flows[[#This Row],[UoM_Flow_Py]]</f>
        <v/>
      </c>
      <c r="Y147">
        <f>INDEX(Tab_Def_Flows[[Flow_ID]:[CC_DM_source]],MATCH(Tab_Data_Flows[[#This Row],[Flow_Name]],Tab_Def_Flows[Flow_Name],0),14)</f>
        <v/>
      </c>
      <c r="Z147">
        <f>Tab_Data_Flows[[#This Row],[Flow_ID]]&amp;"_"&amp;"DM_"&amp;Tab_Data_Flows[[#This Row],[Flow_Data_Year]]</f>
        <v/>
      </c>
      <c r="AA147">
        <f>IF(E147="Yes",Y147*Tab_Data_Flows[[#This Row],[Flow_Material]],"N.A.")</f>
        <v/>
      </c>
      <c r="AB147">
        <f>Tab_Data_Flows[[#This Row],[UoM_Flow_Py]]</f>
        <v/>
      </c>
      <c r="AC147">
        <f>INDEX(Tab_Def_Flows[[Flow_ID]:[CC_DM_source]],MATCH(Tab_Data_Flows[[#This Row],[Flow_Name]],Tab_Def_Flows[Flow_Name],0),17)</f>
        <v/>
      </c>
      <c r="AD147">
        <f>Tab_Data_Flows[[#This Row],[Flow_ID]]&amp;"_"&amp;"CC_"&amp;Tab_Data_Flows[[#This Row],[Flow_Data_Year]]</f>
        <v/>
      </c>
      <c r="AE147">
        <f>IF(F147="Yes",AC147*Tab_Data_Flows[[#This Row],[Flow_Material]]*Tab_Data_Flows[[#This Row],[DM_'[%']]],"N.A.")</f>
        <v/>
      </c>
      <c r="AF147">
        <f>Tab_Data_Flows[[#This Row],[UoM_Flow_Py]]</f>
        <v/>
      </c>
    </row>
    <row r="148">
      <c r="A148">
        <f>ROW()-1</f>
        <v/>
      </c>
      <c r="B148">
        <f>_xlfn.XLOOKUP(C148,Tab_Def_Flows[Flow_Name],Tab_Def_Flows[Flow_ID],,0,)</f>
        <v/>
      </c>
      <c r="C148" t="inlineStr">
        <is>
          <t>Environment_Input_millet_production_E</t>
        </is>
      </c>
      <c r="D148">
        <f>_xlfn.XLOOKUP(C148,Tab_Def_Flows[Flow_Name],Tab_Def_Flows[WC?],,0,)</f>
        <v/>
      </c>
      <c r="E148">
        <f>_xlfn.XLOOKUP(C148,Tab_Def_Flows[Flow_Name],Tab_Def_Flows[DM?],,0,)</f>
        <v/>
      </c>
      <c r="F148">
        <f>_xlfn.XLOOKUP(C148,Tab_Def_Flows[Flow_Name],Tab_Def_Flows[CC?],,0,)</f>
        <v/>
      </c>
      <c r="G148" t="n">
        <v>2041</v>
      </c>
      <c r="H148" t="n">
        <v>783.6523465700172</v>
      </c>
      <c r="I148">
        <f>'0_Configuration'!$C$35</f>
        <v/>
      </c>
      <c r="O148" t="inlineStr">
        <is>
          <t>No</t>
        </is>
      </c>
      <c r="R148">
        <f>Tab_Data_Flows[[#This Row],[Flow_ID]]&amp;"_"&amp;"material_"&amp;Tab_Data_Flows[[#This Row],[Flow_Data_Year]]</f>
        <v/>
      </c>
      <c r="S148">
        <f>IF(O148="no",H148,H148*P148)</f>
        <v/>
      </c>
      <c r="T148">
        <f>Tab_Data_Flows[[#This Row],[UoM_Source]]</f>
        <v/>
      </c>
      <c r="U148">
        <f>INDEX(Tab_Def_Flows[[Flow_ID]:[CC_DM_source]],MATCH(Tab_Data_Flows[[#This Row],[Flow_Name]],Tab_Def_Flows[Flow_Name],0),11)</f>
        <v/>
      </c>
      <c r="V148">
        <f>Tab_Data_Flows[[#This Row],[Flow_ID]]&amp;"_"&amp;"WC_"&amp;Tab_Data_Flows[[#This Row],[Flow_Data_Year]]</f>
        <v/>
      </c>
      <c r="W148">
        <f>IF(D148="Yes",S148*Tab_Data_Flows[[#This Row],[WC_'[%']]],"N.A.")</f>
        <v/>
      </c>
      <c r="X148">
        <f>Tab_Data_Flows[[#This Row],[UoM_Flow_Py]]</f>
        <v/>
      </c>
      <c r="Y148">
        <f>INDEX(Tab_Def_Flows[[Flow_ID]:[CC_DM_source]],MATCH(Tab_Data_Flows[[#This Row],[Flow_Name]],Tab_Def_Flows[Flow_Name],0),14)</f>
        <v/>
      </c>
      <c r="Z148">
        <f>Tab_Data_Flows[[#This Row],[Flow_ID]]&amp;"_"&amp;"DM_"&amp;Tab_Data_Flows[[#This Row],[Flow_Data_Year]]</f>
        <v/>
      </c>
      <c r="AA148">
        <f>IF(E148="Yes",Y148*Tab_Data_Flows[[#This Row],[Flow_Material]],"N.A.")</f>
        <v/>
      </c>
      <c r="AB148">
        <f>Tab_Data_Flows[[#This Row],[UoM_Flow_Py]]</f>
        <v/>
      </c>
      <c r="AC148">
        <f>INDEX(Tab_Def_Flows[[Flow_ID]:[CC_DM_source]],MATCH(Tab_Data_Flows[[#This Row],[Flow_Name]],Tab_Def_Flows[Flow_Name],0),17)</f>
        <v/>
      </c>
      <c r="AD148">
        <f>Tab_Data_Flows[[#This Row],[Flow_ID]]&amp;"_"&amp;"CC_"&amp;Tab_Data_Flows[[#This Row],[Flow_Data_Year]]</f>
        <v/>
      </c>
      <c r="AE148">
        <f>IF(F148="Yes",AC148*Tab_Data_Flows[[#This Row],[Flow_Material]]*Tab_Data_Flows[[#This Row],[DM_'[%']]],"N.A.")</f>
        <v/>
      </c>
      <c r="AF148">
        <f>Tab_Data_Flows[[#This Row],[UoM_Flow_Py]]</f>
        <v/>
      </c>
    </row>
    <row r="149">
      <c r="A149">
        <f>ROW()-1</f>
        <v/>
      </c>
      <c r="B149">
        <f>_xlfn.XLOOKUP(C149,Tab_Def_Flows[Flow_Name],Tab_Def_Flows[Flow_ID],,0,)</f>
        <v/>
      </c>
      <c r="C149" t="inlineStr">
        <is>
          <t>Environment_Input_millet_production_E</t>
        </is>
      </c>
      <c r="D149">
        <f>_xlfn.XLOOKUP(C149,Tab_Def_Flows[Flow_Name],Tab_Def_Flows[WC?],,0,)</f>
        <v/>
      </c>
      <c r="E149">
        <f>_xlfn.XLOOKUP(C149,Tab_Def_Flows[Flow_Name],Tab_Def_Flows[DM?],,0,)</f>
        <v/>
      </c>
      <c r="F149">
        <f>_xlfn.XLOOKUP(C149,Tab_Def_Flows[Flow_Name],Tab_Def_Flows[CC?],,0,)</f>
        <v/>
      </c>
      <c r="G149" t="n">
        <v>2042</v>
      </c>
      <c r="H149" t="n">
        <v>1194.757201253357</v>
      </c>
      <c r="I149">
        <f>'0_Configuration'!$C$35</f>
        <v/>
      </c>
      <c r="O149" t="inlineStr">
        <is>
          <t>No</t>
        </is>
      </c>
      <c r="R149">
        <f>Tab_Data_Flows[[#This Row],[Flow_ID]]&amp;"_"&amp;"material_"&amp;Tab_Data_Flows[[#This Row],[Flow_Data_Year]]</f>
        <v/>
      </c>
      <c r="S149">
        <f>IF(O149="no",H149,H149*P149)</f>
        <v/>
      </c>
      <c r="T149">
        <f>Tab_Data_Flows[[#This Row],[UoM_Source]]</f>
        <v/>
      </c>
      <c r="U149">
        <f>INDEX(Tab_Def_Flows[[Flow_ID]:[CC_DM_source]],MATCH(Tab_Data_Flows[[#This Row],[Flow_Name]],Tab_Def_Flows[Flow_Name],0),11)</f>
        <v/>
      </c>
      <c r="V149">
        <f>Tab_Data_Flows[[#This Row],[Flow_ID]]&amp;"_"&amp;"WC_"&amp;Tab_Data_Flows[[#This Row],[Flow_Data_Year]]</f>
        <v/>
      </c>
      <c r="W149">
        <f>IF(D149="Yes",S149*Tab_Data_Flows[[#This Row],[WC_'[%']]],"N.A.")</f>
        <v/>
      </c>
      <c r="X149">
        <f>Tab_Data_Flows[[#This Row],[UoM_Flow_Py]]</f>
        <v/>
      </c>
      <c r="Y149">
        <f>INDEX(Tab_Def_Flows[[Flow_ID]:[CC_DM_source]],MATCH(Tab_Data_Flows[[#This Row],[Flow_Name]],Tab_Def_Flows[Flow_Name],0),14)</f>
        <v/>
      </c>
      <c r="Z149">
        <f>Tab_Data_Flows[[#This Row],[Flow_ID]]&amp;"_"&amp;"DM_"&amp;Tab_Data_Flows[[#This Row],[Flow_Data_Year]]</f>
        <v/>
      </c>
      <c r="AA149">
        <f>IF(E149="Yes",Y149*Tab_Data_Flows[[#This Row],[Flow_Material]],"N.A.")</f>
        <v/>
      </c>
      <c r="AB149">
        <f>Tab_Data_Flows[[#This Row],[UoM_Flow_Py]]</f>
        <v/>
      </c>
      <c r="AC149">
        <f>INDEX(Tab_Def_Flows[[Flow_ID]:[CC_DM_source]],MATCH(Tab_Data_Flows[[#This Row],[Flow_Name]],Tab_Def_Flows[Flow_Name],0),17)</f>
        <v/>
      </c>
      <c r="AD149">
        <f>Tab_Data_Flows[[#This Row],[Flow_ID]]&amp;"_"&amp;"CC_"&amp;Tab_Data_Flows[[#This Row],[Flow_Data_Year]]</f>
        <v/>
      </c>
      <c r="AE149">
        <f>IF(F149="Yes",AC149*Tab_Data_Flows[[#This Row],[Flow_Material]]*Tab_Data_Flows[[#This Row],[DM_'[%']]],"N.A.")</f>
        <v/>
      </c>
      <c r="AF149">
        <f>Tab_Data_Flows[[#This Row],[UoM_Flow_Py]]</f>
        <v/>
      </c>
    </row>
    <row r="150">
      <c r="A150">
        <f>ROW()-1</f>
        <v/>
      </c>
      <c r="B150">
        <f>_xlfn.XLOOKUP(C150,Tab_Def_Flows[Flow_Name],Tab_Def_Flows[Flow_ID],,0,)</f>
        <v/>
      </c>
      <c r="C150" t="inlineStr">
        <is>
          <t>Environment_Input_millet_production_E</t>
        </is>
      </c>
      <c r="D150">
        <f>_xlfn.XLOOKUP(C150,Tab_Def_Flows[Flow_Name],Tab_Def_Flows[WC?],,0,)</f>
        <v/>
      </c>
      <c r="E150">
        <f>_xlfn.XLOOKUP(C150,Tab_Def_Flows[Flow_Name],Tab_Def_Flows[DM?],,0,)</f>
        <v/>
      </c>
      <c r="F150">
        <f>_xlfn.XLOOKUP(C150,Tab_Def_Flows[Flow_Name],Tab_Def_Flows[CC?],,0,)</f>
        <v/>
      </c>
      <c r="G150" t="n">
        <v>2043</v>
      </c>
      <c r="H150" t="n">
        <v>816.125737574043</v>
      </c>
      <c r="I150">
        <f>'0_Configuration'!$C$35</f>
        <v/>
      </c>
      <c r="O150" t="inlineStr">
        <is>
          <t>No</t>
        </is>
      </c>
      <c r="R150">
        <f>Tab_Data_Flows[[#This Row],[Flow_ID]]&amp;"_"&amp;"material_"&amp;Tab_Data_Flows[[#This Row],[Flow_Data_Year]]</f>
        <v/>
      </c>
      <c r="S150">
        <f>IF(O150="no",H150,H150*P150)</f>
        <v/>
      </c>
      <c r="T150">
        <f>Tab_Data_Flows[[#This Row],[UoM_Source]]</f>
        <v/>
      </c>
      <c r="U150">
        <f>INDEX(Tab_Def_Flows[[Flow_ID]:[CC_DM_source]],MATCH(Tab_Data_Flows[[#This Row],[Flow_Name]],Tab_Def_Flows[Flow_Name],0),11)</f>
        <v/>
      </c>
      <c r="V150">
        <f>Tab_Data_Flows[[#This Row],[Flow_ID]]&amp;"_"&amp;"WC_"&amp;Tab_Data_Flows[[#This Row],[Flow_Data_Year]]</f>
        <v/>
      </c>
      <c r="W150">
        <f>IF(D150="Yes",S150*Tab_Data_Flows[[#This Row],[WC_'[%']]],"N.A.")</f>
        <v/>
      </c>
      <c r="X150">
        <f>Tab_Data_Flows[[#This Row],[UoM_Flow_Py]]</f>
        <v/>
      </c>
      <c r="Y150">
        <f>INDEX(Tab_Def_Flows[[Flow_ID]:[CC_DM_source]],MATCH(Tab_Data_Flows[[#This Row],[Flow_Name]],Tab_Def_Flows[Flow_Name],0),14)</f>
        <v/>
      </c>
      <c r="Z150">
        <f>Tab_Data_Flows[[#This Row],[Flow_ID]]&amp;"_"&amp;"DM_"&amp;Tab_Data_Flows[[#This Row],[Flow_Data_Year]]</f>
        <v/>
      </c>
      <c r="AA150">
        <f>IF(E150="Yes",Y150*Tab_Data_Flows[[#This Row],[Flow_Material]],"N.A.")</f>
        <v/>
      </c>
      <c r="AB150">
        <f>Tab_Data_Flows[[#This Row],[UoM_Flow_Py]]</f>
        <v/>
      </c>
      <c r="AC150">
        <f>INDEX(Tab_Def_Flows[[Flow_ID]:[CC_DM_source]],MATCH(Tab_Data_Flows[[#This Row],[Flow_Name]],Tab_Def_Flows[Flow_Name],0),17)</f>
        <v/>
      </c>
      <c r="AD150">
        <f>Tab_Data_Flows[[#This Row],[Flow_ID]]&amp;"_"&amp;"CC_"&amp;Tab_Data_Flows[[#This Row],[Flow_Data_Year]]</f>
        <v/>
      </c>
      <c r="AE150">
        <f>IF(F150="Yes",AC150*Tab_Data_Flows[[#This Row],[Flow_Material]]*Tab_Data_Flows[[#This Row],[DM_'[%']]],"N.A.")</f>
        <v/>
      </c>
      <c r="AF150">
        <f>Tab_Data_Flows[[#This Row],[UoM_Flow_Py]]</f>
        <v/>
      </c>
    </row>
    <row r="151">
      <c r="A151">
        <f>ROW()-1</f>
        <v/>
      </c>
      <c r="B151">
        <f>_xlfn.XLOOKUP(C151,Tab_Def_Flows[Flow_Name],Tab_Def_Flows[Flow_ID],,0,)</f>
        <v/>
      </c>
      <c r="C151" t="inlineStr">
        <is>
          <t>Environment_Input_millet_production_E</t>
        </is>
      </c>
      <c r="D151">
        <f>_xlfn.XLOOKUP(C151,Tab_Def_Flows[Flow_Name],Tab_Def_Flows[WC?],,0,)</f>
        <v/>
      </c>
      <c r="E151">
        <f>_xlfn.XLOOKUP(C151,Tab_Def_Flows[Flow_Name],Tab_Def_Flows[DM?],,0,)</f>
        <v/>
      </c>
      <c r="F151">
        <f>_xlfn.XLOOKUP(C151,Tab_Def_Flows[Flow_Name],Tab_Def_Flows[CC?],,0,)</f>
        <v/>
      </c>
      <c r="G151" t="n">
        <v>2044</v>
      </c>
      <c r="H151" t="n">
        <v>659.9040538104565</v>
      </c>
      <c r="I151">
        <f>'0_Configuration'!$C$35</f>
        <v/>
      </c>
      <c r="O151" t="inlineStr">
        <is>
          <t>No</t>
        </is>
      </c>
      <c r="R151">
        <f>Tab_Data_Flows[[#This Row],[Flow_ID]]&amp;"_"&amp;"material_"&amp;Tab_Data_Flows[[#This Row],[Flow_Data_Year]]</f>
        <v/>
      </c>
      <c r="S151">
        <f>IF(O151="no",H151,H151*P151)</f>
        <v/>
      </c>
      <c r="T151">
        <f>Tab_Data_Flows[[#This Row],[UoM_Source]]</f>
        <v/>
      </c>
      <c r="U151">
        <f>INDEX(Tab_Def_Flows[[Flow_ID]:[CC_DM_source]],MATCH(Tab_Data_Flows[[#This Row],[Flow_Name]],Tab_Def_Flows[Flow_Name],0),11)</f>
        <v/>
      </c>
      <c r="V151">
        <f>Tab_Data_Flows[[#This Row],[Flow_ID]]&amp;"_"&amp;"WC_"&amp;Tab_Data_Flows[[#This Row],[Flow_Data_Year]]</f>
        <v/>
      </c>
      <c r="W151">
        <f>IF(D151="Yes",S151*Tab_Data_Flows[[#This Row],[WC_'[%']]],"N.A.")</f>
        <v/>
      </c>
      <c r="X151">
        <f>Tab_Data_Flows[[#This Row],[UoM_Flow_Py]]</f>
        <v/>
      </c>
      <c r="Y151">
        <f>INDEX(Tab_Def_Flows[[Flow_ID]:[CC_DM_source]],MATCH(Tab_Data_Flows[[#This Row],[Flow_Name]],Tab_Def_Flows[Flow_Name],0),14)</f>
        <v/>
      </c>
      <c r="Z151">
        <f>Tab_Data_Flows[[#This Row],[Flow_ID]]&amp;"_"&amp;"DM_"&amp;Tab_Data_Flows[[#This Row],[Flow_Data_Year]]</f>
        <v/>
      </c>
      <c r="AA151">
        <f>IF(E151="Yes",Y151*Tab_Data_Flows[[#This Row],[Flow_Material]],"N.A.")</f>
        <v/>
      </c>
      <c r="AB151">
        <f>Tab_Data_Flows[[#This Row],[UoM_Flow_Py]]</f>
        <v/>
      </c>
      <c r="AC151">
        <f>INDEX(Tab_Def_Flows[[Flow_ID]:[CC_DM_source]],MATCH(Tab_Data_Flows[[#This Row],[Flow_Name]],Tab_Def_Flows[Flow_Name],0),17)</f>
        <v/>
      </c>
      <c r="AD151">
        <f>Tab_Data_Flows[[#This Row],[Flow_ID]]&amp;"_"&amp;"CC_"&amp;Tab_Data_Flows[[#This Row],[Flow_Data_Year]]</f>
        <v/>
      </c>
      <c r="AE151">
        <f>IF(F151="Yes",AC151*Tab_Data_Flows[[#This Row],[Flow_Material]]*Tab_Data_Flows[[#This Row],[DM_'[%']]],"N.A.")</f>
        <v/>
      </c>
      <c r="AF151">
        <f>Tab_Data_Flows[[#This Row],[UoM_Flow_Py]]</f>
        <v/>
      </c>
    </row>
    <row r="152">
      <c r="A152">
        <f>ROW()-1</f>
        <v/>
      </c>
      <c r="B152">
        <f>_xlfn.XLOOKUP(C152,Tab_Def_Flows[Flow_Name],Tab_Def_Flows[Flow_ID],,0,)</f>
        <v/>
      </c>
      <c r="C152" t="inlineStr">
        <is>
          <t>Environment_Input_millet_production_E</t>
        </is>
      </c>
      <c r="D152">
        <f>_xlfn.XLOOKUP(C152,Tab_Def_Flows[Flow_Name],Tab_Def_Flows[WC?],,0,)</f>
        <v/>
      </c>
      <c r="E152">
        <f>_xlfn.XLOOKUP(C152,Tab_Def_Flows[Flow_Name],Tab_Def_Flows[DM?],,0,)</f>
        <v/>
      </c>
      <c r="F152">
        <f>_xlfn.XLOOKUP(C152,Tab_Def_Flows[Flow_Name],Tab_Def_Flows[CC?],,0,)</f>
        <v/>
      </c>
      <c r="G152" t="n">
        <v>2045</v>
      </c>
      <c r="H152" t="n">
        <v>1551.45878172042</v>
      </c>
      <c r="I152">
        <f>'0_Configuration'!$C$35</f>
        <v/>
      </c>
      <c r="O152" t="inlineStr">
        <is>
          <t>No</t>
        </is>
      </c>
      <c r="R152">
        <f>Tab_Data_Flows[[#This Row],[Flow_ID]]&amp;"_"&amp;"material_"&amp;Tab_Data_Flows[[#This Row],[Flow_Data_Year]]</f>
        <v/>
      </c>
      <c r="S152">
        <f>IF(O152="no",H152,H152*P152)</f>
        <v/>
      </c>
      <c r="T152">
        <f>Tab_Data_Flows[[#This Row],[UoM_Source]]</f>
        <v/>
      </c>
      <c r="U152">
        <f>INDEX(Tab_Def_Flows[[Flow_ID]:[CC_DM_source]],MATCH(Tab_Data_Flows[[#This Row],[Flow_Name]],Tab_Def_Flows[Flow_Name],0),11)</f>
        <v/>
      </c>
      <c r="V152">
        <f>Tab_Data_Flows[[#This Row],[Flow_ID]]&amp;"_"&amp;"WC_"&amp;Tab_Data_Flows[[#This Row],[Flow_Data_Year]]</f>
        <v/>
      </c>
      <c r="W152">
        <f>IF(D152="Yes",S152*Tab_Data_Flows[[#This Row],[WC_'[%']]],"N.A.")</f>
        <v/>
      </c>
      <c r="X152">
        <f>Tab_Data_Flows[[#This Row],[UoM_Flow_Py]]</f>
        <v/>
      </c>
      <c r="Y152">
        <f>INDEX(Tab_Def_Flows[[Flow_ID]:[CC_DM_source]],MATCH(Tab_Data_Flows[[#This Row],[Flow_Name]],Tab_Def_Flows[Flow_Name],0),14)</f>
        <v/>
      </c>
      <c r="Z152">
        <f>Tab_Data_Flows[[#This Row],[Flow_ID]]&amp;"_"&amp;"DM_"&amp;Tab_Data_Flows[[#This Row],[Flow_Data_Year]]</f>
        <v/>
      </c>
      <c r="AA152">
        <f>IF(E152="Yes",Y152*Tab_Data_Flows[[#This Row],[Flow_Material]],"N.A.")</f>
        <v/>
      </c>
      <c r="AB152">
        <f>Tab_Data_Flows[[#This Row],[UoM_Flow_Py]]</f>
        <v/>
      </c>
      <c r="AC152">
        <f>INDEX(Tab_Def_Flows[[Flow_ID]:[CC_DM_source]],MATCH(Tab_Data_Flows[[#This Row],[Flow_Name]],Tab_Def_Flows[Flow_Name],0),17)</f>
        <v/>
      </c>
      <c r="AD152">
        <f>Tab_Data_Flows[[#This Row],[Flow_ID]]&amp;"_"&amp;"CC_"&amp;Tab_Data_Flows[[#This Row],[Flow_Data_Year]]</f>
        <v/>
      </c>
      <c r="AE152">
        <f>IF(F152="Yes",AC152*Tab_Data_Flows[[#This Row],[Flow_Material]]*Tab_Data_Flows[[#This Row],[DM_'[%']]],"N.A.")</f>
        <v/>
      </c>
      <c r="AF152">
        <f>Tab_Data_Flows[[#This Row],[UoM_Flow_Py]]</f>
        <v/>
      </c>
    </row>
    <row r="153">
      <c r="A153">
        <f>ROW()-1</f>
        <v/>
      </c>
      <c r="B153">
        <f>_xlfn.XLOOKUP(C153,Tab_Def_Flows[Flow_Name],Tab_Def_Flows[Flow_ID],,0,)</f>
        <v/>
      </c>
      <c r="C153" t="inlineStr">
        <is>
          <t>Environment_Input_millet_production_E</t>
        </is>
      </c>
      <c r="D153">
        <f>_xlfn.XLOOKUP(C153,Tab_Def_Flows[Flow_Name],Tab_Def_Flows[WC?],,0,)</f>
        <v/>
      </c>
      <c r="E153">
        <f>_xlfn.XLOOKUP(C153,Tab_Def_Flows[Flow_Name],Tab_Def_Flows[DM?],,0,)</f>
        <v/>
      </c>
      <c r="F153">
        <f>_xlfn.XLOOKUP(C153,Tab_Def_Flows[Flow_Name],Tab_Def_Flows[CC?],,0,)</f>
        <v/>
      </c>
      <c r="G153" t="n">
        <v>2046</v>
      </c>
      <c r="H153" t="n">
        <v>1027.470964254798</v>
      </c>
      <c r="I153">
        <f>'0_Configuration'!$C$35</f>
        <v/>
      </c>
      <c r="O153" t="inlineStr">
        <is>
          <t>No</t>
        </is>
      </c>
      <c r="R153">
        <f>Tab_Data_Flows[[#This Row],[Flow_ID]]&amp;"_"&amp;"material_"&amp;Tab_Data_Flows[[#This Row],[Flow_Data_Year]]</f>
        <v/>
      </c>
      <c r="S153">
        <f>IF(O153="no",H153,H153*P153)</f>
        <v/>
      </c>
      <c r="T153">
        <f>Tab_Data_Flows[[#This Row],[UoM_Source]]</f>
        <v/>
      </c>
      <c r="U153">
        <f>INDEX(Tab_Def_Flows[[Flow_ID]:[CC_DM_source]],MATCH(Tab_Data_Flows[[#This Row],[Flow_Name]],Tab_Def_Flows[Flow_Name],0),11)</f>
        <v/>
      </c>
      <c r="V153">
        <f>Tab_Data_Flows[[#This Row],[Flow_ID]]&amp;"_"&amp;"WC_"&amp;Tab_Data_Flows[[#This Row],[Flow_Data_Year]]</f>
        <v/>
      </c>
      <c r="W153">
        <f>IF(D153="Yes",S153*Tab_Data_Flows[[#This Row],[WC_'[%']]],"N.A.")</f>
        <v/>
      </c>
      <c r="X153">
        <f>Tab_Data_Flows[[#This Row],[UoM_Flow_Py]]</f>
        <v/>
      </c>
      <c r="Y153">
        <f>INDEX(Tab_Def_Flows[[Flow_ID]:[CC_DM_source]],MATCH(Tab_Data_Flows[[#This Row],[Flow_Name]],Tab_Def_Flows[Flow_Name],0),14)</f>
        <v/>
      </c>
      <c r="Z153">
        <f>Tab_Data_Flows[[#This Row],[Flow_ID]]&amp;"_"&amp;"DM_"&amp;Tab_Data_Flows[[#This Row],[Flow_Data_Year]]</f>
        <v/>
      </c>
      <c r="AA153">
        <f>IF(E153="Yes",Y153*Tab_Data_Flows[[#This Row],[Flow_Material]],"N.A.")</f>
        <v/>
      </c>
      <c r="AB153">
        <f>Tab_Data_Flows[[#This Row],[UoM_Flow_Py]]</f>
        <v/>
      </c>
      <c r="AC153">
        <f>INDEX(Tab_Def_Flows[[Flow_ID]:[CC_DM_source]],MATCH(Tab_Data_Flows[[#This Row],[Flow_Name]],Tab_Def_Flows[Flow_Name],0),17)</f>
        <v/>
      </c>
      <c r="AD153">
        <f>Tab_Data_Flows[[#This Row],[Flow_ID]]&amp;"_"&amp;"CC_"&amp;Tab_Data_Flows[[#This Row],[Flow_Data_Year]]</f>
        <v/>
      </c>
      <c r="AE153">
        <f>IF(F153="Yes",AC153*Tab_Data_Flows[[#This Row],[Flow_Material]]*Tab_Data_Flows[[#This Row],[DM_'[%']]],"N.A.")</f>
        <v/>
      </c>
      <c r="AF153">
        <f>Tab_Data_Flows[[#This Row],[UoM_Flow_Py]]</f>
        <v/>
      </c>
    </row>
    <row r="154">
      <c r="A154">
        <f>ROW()-1</f>
        <v/>
      </c>
      <c r="B154">
        <f>_xlfn.XLOOKUP(C154,Tab_Def_Flows[Flow_Name],Tab_Def_Flows[Flow_ID],,0,)</f>
        <v/>
      </c>
      <c r="C154" t="inlineStr">
        <is>
          <t>Environment_Input_millet_production_E</t>
        </is>
      </c>
      <c r="D154">
        <f>_xlfn.XLOOKUP(C154,Tab_Def_Flows[Flow_Name],Tab_Def_Flows[WC?],,0,)</f>
        <v/>
      </c>
      <c r="E154">
        <f>_xlfn.XLOOKUP(C154,Tab_Def_Flows[Flow_Name],Tab_Def_Flows[DM?],,0,)</f>
        <v/>
      </c>
      <c r="F154">
        <f>_xlfn.XLOOKUP(C154,Tab_Def_Flows[Flow_Name],Tab_Def_Flows[CC?],,0,)</f>
        <v/>
      </c>
      <c r="G154" t="n">
        <v>2047</v>
      </c>
      <c r="H154" t="n">
        <v>1118.33209462897</v>
      </c>
      <c r="I154">
        <f>'0_Configuration'!$C$35</f>
        <v/>
      </c>
      <c r="O154" t="inlineStr">
        <is>
          <t>No</t>
        </is>
      </c>
      <c r="R154">
        <f>Tab_Data_Flows[[#This Row],[Flow_ID]]&amp;"_"&amp;"material_"&amp;Tab_Data_Flows[[#This Row],[Flow_Data_Year]]</f>
        <v/>
      </c>
      <c r="S154">
        <f>IF(O154="no",H154,H154*P154)</f>
        <v/>
      </c>
      <c r="T154">
        <f>Tab_Data_Flows[[#This Row],[UoM_Source]]</f>
        <v/>
      </c>
      <c r="U154">
        <f>INDEX(Tab_Def_Flows[[Flow_ID]:[CC_DM_source]],MATCH(Tab_Data_Flows[[#This Row],[Flow_Name]],Tab_Def_Flows[Flow_Name],0),11)</f>
        <v/>
      </c>
      <c r="V154">
        <f>Tab_Data_Flows[[#This Row],[Flow_ID]]&amp;"_"&amp;"WC_"&amp;Tab_Data_Flows[[#This Row],[Flow_Data_Year]]</f>
        <v/>
      </c>
      <c r="W154">
        <f>IF(D154="Yes",S154*Tab_Data_Flows[[#This Row],[WC_'[%']]],"N.A.")</f>
        <v/>
      </c>
      <c r="X154">
        <f>Tab_Data_Flows[[#This Row],[UoM_Flow_Py]]</f>
        <v/>
      </c>
      <c r="Y154">
        <f>INDEX(Tab_Def_Flows[[Flow_ID]:[CC_DM_source]],MATCH(Tab_Data_Flows[[#This Row],[Flow_Name]],Tab_Def_Flows[Flow_Name],0),14)</f>
        <v/>
      </c>
      <c r="Z154">
        <f>Tab_Data_Flows[[#This Row],[Flow_ID]]&amp;"_"&amp;"DM_"&amp;Tab_Data_Flows[[#This Row],[Flow_Data_Year]]</f>
        <v/>
      </c>
      <c r="AA154">
        <f>IF(E154="Yes",Y154*Tab_Data_Flows[[#This Row],[Flow_Material]],"N.A.")</f>
        <v/>
      </c>
      <c r="AB154">
        <f>Tab_Data_Flows[[#This Row],[UoM_Flow_Py]]</f>
        <v/>
      </c>
      <c r="AC154">
        <f>INDEX(Tab_Def_Flows[[Flow_ID]:[CC_DM_source]],MATCH(Tab_Data_Flows[[#This Row],[Flow_Name]],Tab_Def_Flows[Flow_Name],0),17)</f>
        <v/>
      </c>
      <c r="AD154">
        <f>Tab_Data_Flows[[#This Row],[Flow_ID]]&amp;"_"&amp;"CC_"&amp;Tab_Data_Flows[[#This Row],[Flow_Data_Year]]</f>
        <v/>
      </c>
      <c r="AE154">
        <f>IF(F154="Yes",AC154*Tab_Data_Flows[[#This Row],[Flow_Material]]*Tab_Data_Flows[[#This Row],[DM_'[%']]],"N.A.")</f>
        <v/>
      </c>
      <c r="AF154">
        <f>Tab_Data_Flows[[#This Row],[UoM_Flow_Py]]</f>
        <v/>
      </c>
    </row>
    <row r="155">
      <c r="A155">
        <f>ROW()-1</f>
        <v/>
      </c>
      <c r="B155">
        <f>_xlfn.XLOOKUP(C155,Tab_Def_Flows[Flow_Name],Tab_Def_Flows[Flow_ID],,0,)</f>
        <v/>
      </c>
      <c r="C155" t="inlineStr">
        <is>
          <t>Environment_Input_millet_production_E</t>
        </is>
      </c>
      <c r="D155">
        <f>_xlfn.XLOOKUP(C155,Tab_Def_Flows[Flow_Name],Tab_Def_Flows[WC?],,0,)</f>
        <v/>
      </c>
      <c r="E155">
        <f>_xlfn.XLOOKUP(C155,Tab_Def_Flows[Flow_Name],Tab_Def_Flows[DM?],,0,)</f>
        <v/>
      </c>
      <c r="F155">
        <f>_xlfn.XLOOKUP(C155,Tab_Def_Flows[Flow_Name],Tab_Def_Flows[CC?],,0,)</f>
        <v/>
      </c>
      <c r="G155" t="n">
        <v>2048</v>
      </c>
      <c r="H155" t="n">
        <v>656.0421875843997</v>
      </c>
      <c r="I155">
        <f>'0_Configuration'!$C$35</f>
        <v/>
      </c>
      <c r="O155" t="inlineStr">
        <is>
          <t>No</t>
        </is>
      </c>
      <c r="R155">
        <f>Tab_Data_Flows[[#This Row],[Flow_ID]]&amp;"_"&amp;"material_"&amp;Tab_Data_Flows[[#This Row],[Flow_Data_Year]]</f>
        <v/>
      </c>
      <c r="S155">
        <f>IF(O155="no",H155,H155*P155)</f>
        <v/>
      </c>
      <c r="T155">
        <f>Tab_Data_Flows[[#This Row],[UoM_Source]]</f>
        <v/>
      </c>
      <c r="U155">
        <f>INDEX(Tab_Def_Flows[[Flow_ID]:[CC_DM_source]],MATCH(Tab_Data_Flows[[#This Row],[Flow_Name]],Tab_Def_Flows[Flow_Name],0),11)</f>
        <v/>
      </c>
      <c r="V155">
        <f>Tab_Data_Flows[[#This Row],[Flow_ID]]&amp;"_"&amp;"WC_"&amp;Tab_Data_Flows[[#This Row],[Flow_Data_Year]]</f>
        <v/>
      </c>
      <c r="W155">
        <f>IF(D155="Yes",S155*Tab_Data_Flows[[#This Row],[WC_'[%']]],"N.A.")</f>
        <v/>
      </c>
      <c r="X155">
        <f>Tab_Data_Flows[[#This Row],[UoM_Flow_Py]]</f>
        <v/>
      </c>
      <c r="Y155">
        <f>INDEX(Tab_Def_Flows[[Flow_ID]:[CC_DM_source]],MATCH(Tab_Data_Flows[[#This Row],[Flow_Name]],Tab_Def_Flows[Flow_Name],0),14)</f>
        <v/>
      </c>
      <c r="Z155">
        <f>Tab_Data_Flows[[#This Row],[Flow_ID]]&amp;"_"&amp;"DM_"&amp;Tab_Data_Flows[[#This Row],[Flow_Data_Year]]</f>
        <v/>
      </c>
      <c r="AA155">
        <f>IF(E155="Yes",Y155*Tab_Data_Flows[[#This Row],[Flow_Material]],"N.A.")</f>
        <v/>
      </c>
      <c r="AB155">
        <f>Tab_Data_Flows[[#This Row],[UoM_Flow_Py]]</f>
        <v/>
      </c>
      <c r="AC155">
        <f>INDEX(Tab_Def_Flows[[Flow_ID]:[CC_DM_source]],MATCH(Tab_Data_Flows[[#This Row],[Flow_Name]],Tab_Def_Flows[Flow_Name],0),17)</f>
        <v/>
      </c>
      <c r="AD155">
        <f>Tab_Data_Flows[[#This Row],[Flow_ID]]&amp;"_"&amp;"CC_"&amp;Tab_Data_Flows[[#This Row],[Flow_Data_Year]]</f>
        <v/>
      </c>
      <c r="AE155">
        <f>IF(F155="Yes",AC155*Tab_Data_Flows[[#This Row],[Flow_Material]]*Tab_Data_Flows[[#This Row],[DM_'[%']]],"N.A.")</f>
        <v/>
      </c>
      <c r="AF155">
        <f>Tab_Data_Flows[[#This Row],[UoM_Flow_Py]]</f>
        <v/>
      </c>
    </row>
    <row r="156">
      <c r="A156">
        <f>ROW()-1</f>
        <v/>
      </c>
      <c r="B156">
        <f>_xlfn.XLOOKUP(C156,Tab_Def_Flows[Flow_Name],Tab_Def_Flows[Flow_ID],,0,)</f>
        <v/>
      </c>
      <c r="C156" t="inlineStr">
        <is>
          <t>Environment_Input_millet_production_E</t>
        </is>
      </c>
      <c r="D156">
        <f>_xlfn.XLOOKUP(C156,Tab_Def_Flows[Flow_Name],Tab_Def_Flows[WC?],,0,)</f>
        <v/>
      </c>
      <c r="E156">
        <f>_xlfn.XLOOKUP(C156,Tab_Def_Flows[Flow_Name],Tab_Def_Flows[DM?],,0,)</f>
        <v/>
      </c>
      <c r="F156">
        <f>_xlfn.XLOOKUP(C156,Tab_Def_Flows[Flow_Name],Tab_Def_Flows[CC?],,0,)</f>
        <v/>
      </c>
      <c r="G156" t="n">
        <v>2049</v>
      </c>
      <c r="H156" t="n">
        <v>928.7635025007021</v>
      </c>
      <c r="I156">
        <f>'0_Configuration'!$C$35</f>
        <v/>
      </c>
      <c r="O156" t="inlineStr">
        <is>
          <t>No</t>
        </is>
      </c>
      <c r="R156">
        <f>Tab_Data_Flows[[#This Row],[Flow_ID]]&amp;"_"&amp;"material_"&amp;Tab_Data_Flows[[#This Row],[Flow_Data_Year]]</f>
        <v/>
      </c>
      <c r="S156">
        <f>IF(O156="no",H156,H156*P156)</f>
        <v/>
      </c>
      <c r="T156">
        <f>Tab_Data_Flows[[#This Row],[UoM_Source]]</f>
        <v/>
      </c>
      <c r="U156">
        <f>INDEX(Tab_Def_Flows[[Flow_ID]:[CC_DM_source]],MATCH(Tab_Data_Flows[[#This Row],[Flow_Name]],Tab_Def_Flows[Flow_Name],0),11)</f>
        <v/>
      </c>
      <c r="V156">
        <f>Tab_Data_Flows[[#This Row],[Flow_ID]]&amp;"_"&amp;"WC_"&amp;Tab_Data_Flows[[#This Row],[Flow_Data_Year]]</f>
        <v/>
      </c>
      <c r="W156">
        <f>IF(D156="Yes",S156*Tab_Data_Flows[[#This Row],[WC_'[%']]],"N.A.")</f>
        <v/>
      </c>
      <c r="X156">
        <f>Tab_Data_Flows[[#This Row],[UoM_Flow_Py]]</f>
        <v/>
      </c>
      <c r="Y156">
        <f>INDEX(Tab_Def_Flows[[Flow_ID]:[CC_DM_source]],MATCH(Tab_Data_Flows[[#This Row],[Flow_Name]],Tab_Def_Flows[Flow_Name],0),14)</f>
        <v/>
      </c>
      <c r="Z156">
        <f>Tab_Data_Flows[[#This Row],[Flow_ID]]&amp;"_"&amp;"DM_"&amp;Tab_Data_Flows[[#This Row],[Flow_Data_Year]]</f>
        <v/>
      </c>
      <c r="AA156">
        <f>IF(E156="Yes",Y156*Tab_Data_Flows[[#This Row],[Flow_Material]],"N.A.")</f>
        <v/>
      </c>
      <c r="AB156">
        <f>Tab_Data_Flows[[#This Row],[UoM_Flow_Py]]</f>
        <v/>
      </c>
      <c r="AC156">
        <f>INDEX(Tab_Def_Flows[[Flow_ID]:[CC_DM_source]],MATCH(Tab_Data_Flows[[#This Row],[Flow_Name]],Tab_Def_Flows[Flow_Name],0),17)</f>
        <v/>
      </c>
      <c r="AD156">
        <f>Tab_Data_Flows[[#This Row],[Flow_ID]]&amp;"_"&amp;"CC_"&amp;Tab_Data_Flows[[#This Row],[Flow_Data_Year]]</f>
        <v/>
      </c>
      <c r="AE156">
        <f>IF(F156="Yes",AC156*Tab_Data_Flows[[#This Row],[Flow_Material]]*Tab_Data_Flows[[#This Row],[DM_'[%']]],"N.A.")</f>
        <v/>
      </c>
      <c r="AF156">
        <f>Tab_Data_Flows[[#This Row],[UoM_Flow_Py]]</f>
        <v/>
      </c>
    </row>
    <row r="157">
      <c r="A157">
        <f>ROW()-1</f>
        <v/>
      </c>
      <c r="B157">
        <f>_xlfn.XLOOKUP(C157,Tab_Def_Flows[Flow_Name],Tab_Def_Flows[Flow_ID],,0,)</f>
        <v/>
      </c>
      <c r="C157" t="inlineStr">
        <is>
          <t>Environment_Input_millet_production_E</t>
        </is>
      </c>
      <c r="D157">
        <f>_xlfn.XLOOKUP(C157,Tab_Def_Flows[Flow_Name],Tab_Def_Flows[WC?],,0,)</f>
        <v/>
      </c>
      <c r="E157">
        <f>_xlfn.XLOOKUP(C157,Tab_Def_Flows[Flow_Name],Tab_Def_Flows[DM?],,0,)</f>
        <v/>
      </c>
      <c r="F157">
        <f>_xlfn.XLOOKUP(C157,Tab_Def_Flows[Flow_Name],Tab_Def_Flows[CC?],,0,)</f>
        <v/>
      </c>
      <c r="G157" t="n">
        <v>2050</v>
      </c>
      <c r="H157" t="n">
        <v>1131.772002090287</v>
      </c>
      <c r="I157">
        <f>'0_Configuration'!$C$35</f>
        <v/>
      </c>
      <c r="O157" t="inlineStr">
        <is>
          <t>No</t>
        </is>
      </c>
      <c r="R157">
        <f>Tab_Data_Flows[[#This Row],[Flow_ID]]&amp;"_"&amp;"material_"&amp;Tab_Data_Flows[[#This Row],[Flow_Data_Year]]</f>
        <v/>
      </c>
      <c r="S157">
        <f>IF(O157="no",H157,H157*P157)</f>
        <v/>
      </c>
      <c r="T157">
        <f>Tab_Data_Flows[[#This Row],[UoM_Source]]</f>
        <v/>
      </c>
      <c r="U157">
        <f>INDEX(Tab_Def_Flows[[Flow_ID]:[CC_DM_source]],MATCH(Tab_Data_Flows[[#This Row],[Flow_Name]],Tab_Def_Flows[Flow_Name],0),11)</f>
        <v/>
      </c>
      <c r="V157">
        <f>Tab_Data_Flows[[#This Row],[Flow_ID]]&amp;"_"&amp;"WC_"&amp;Tab_Data_Flows[[#This Row],[Flow_Data_Year]]</f>
        <v/>
      </c>
      <c r="W157">
        <f>IF(D157="Yes",S157*Tab_Data_Flows[[#This Row],[WC_'[%']]],"N.A.")</f>
        <v/>
      </c>
      <c r="X157">
        <f>Tab_Data_Flows[[#This Row],[UoM_Flow_Py]]</f>
        <v/>
      </c>
      <c r="Y157">
        <f>INDEX(Tab_Def_Flows[[Flow_ID]:[CC_DM_source]],MATCH(Tab_Data_Flows[[#This Row],[Flow_Name]],Tab_Def_Flows[Flow_Name],0),14)</f>
        <v/>
      </c>
      <c r="Z157">
        <f>Tab_Data_Flows[[#This Row],[Flow_ID]]&amp;"_"&amp;"DM_"&amp;Tab_Data_Flows[[#This Row],[Flow_Data_Year]]</f>
        <v/>
      </c>
      <c r="AA157">
        <f>IF(E157="Yes",Y157*Tab_Data_Flows[[#This Row],[Flow_Material]],"N.A.")</f>
        <v/>
      </c>
      <c r="AB157">
        <f>Tab_Data_Flows[[#This Row],[UoM_Flow_Py]]</f>
        <v/>
      </c>
      <c r="AC157">
        <f>INDEX(Tab_Def_Flows[[Flow_ID]:[CC_DM_source]],MATCH(Tab_Data_Flows[[#This Row],[Flow_Name]],Tab_Def_Flows[Flow_Name],0),17)</f>
        <v/>
      </c>
      <c r="AD157">
        <f>Tab_Data_Flows[[#This Row],[Flow_ID]]&amp;"_"&amp;"CC_"&amp;Tab_Data_Flows[[#This Row],[Flow_Data_Year]]</f>
        <v/>
      </c>
      <c r="AE157">
        <f>IF(F157="Yes",AC157*Tab_Data_Flows[[#This Row],[Flow_Material]]*Tab_Data_Flows[[#This Row],[DM_'[%']]],"N.A.")</f>
        <v/>
      </c>
      <c r="AF157">
        <f>Tab_Data_Flows[[#This Row],[UoM_Flow_Py]]</f>
        <v/>
      </c>
    </row>
    <row r="158">
      <c r="A158">
        <f>ROW()-1</f>
        <v/>
      </c>
      <c r="B158">
        <f>_xlfn.XLOOKUP(C158,Tab_Def_Flows[Flow_Name],Tab_Def_Flows[Flow_ID],,0,)</f>
        <v/>
      </c>
      <c r="C158" t="inlineStr">
        <is>
          <t>Environment_Input_MBC_production_E</t>
        </is>
      </c>
      <c r="D158">
        <f>_xlfn.XLOOKUP(C158,Tab_Def_Flows[Flow_Name],Tab_Def_Flows[WC?],,0,)</f>
        <v/>
      </c>
      <c r="E158">
        <f>_xlfn.XLOOKUP(C158,Tab_Def_Flows[Flow_Name],Tab_Def_Flows[DM?],,0,)</f>
        <v/>
      </c>
      <c r="F158">
        <f>_xlfn.XLOOKUP(C158,Tab_Def_Flows[Flow_Name],Tab_Def_Flows[CC?],,0,)</f>
        <v/>
      </c>
      <c r="G158" t="n">
        <v>2025</v>
      </c>
      <c r="H158" t="n">
        <v>27014.21636659201</v>
      </c>
      <c r="I158">
        <f>'0_Configuration'!$C$35</f>
        <v/>
      </c>
      <c r="O158" t="inlineStr">
        <is>
          <t>No</t>
        </is>
      </c>
      <c r="R158">
        <f>Tab_Data_Flows[[#This Row],[Flow_ID]]&amp;"_"&amp;"material_"&amp;Tab_Data_Flows[[#This Row],[Flow_Data_Year]]</f>
        <v/>
      </c>
      <c r="S158">
        <f>IF(O158="no",H158,H158*P158)</f>
        <v/>
      </c>
      <c r="T158">
        <f>Tab_Data_Flows[[#This Row],[UoM_Source]]</f>
        <v/>
      </c>
      <c r="U158">
        <f>INDEX(Tab_Def_Flows[[Flow_ID]:[CC_DM_source]],MATCH(Tab_Data_Flows[[#This Row],[Flow_Name]],Tab_Def_Flows[Flow_Name],0),11)</f>
        <v/>
      </c>
      <c r="V158">
        <f>Tab_Data_Flows[[#This Row],[Flow_ID]]&amp;"_"&amp;"WC_"&amp;Tab_Data_Flows[[#This Row],[Flow_Data_Year]]</f>
        <v/>
      </c>
      <c r="W158">
        <f>IF(D158="Yes",S158*Tab_Data_Flows[[#This Row],[WC_'[%']]],"N.A.")</f>
        <v/>
      </c>
      <c r="X158">
        <f>Tab_Data_Flows[[#This Row],[UoM_Flow_Py]]</f>
        <v/>
      </c>
      <c r="Y158">
        <f>INDEX(Tab_Def_Flows[[Flow_ID]:[CC_DM_source]],MATCH(Tab_Data_Flows[[#This Row],[Flow_Name]],Tab_Def_Flows[Flow_Name],0),14)</f>
        <v/>
      </c>
      <c r="Z158">
        <f>Tab_Data_Flows[[#This Row],[Flow_ID]]&amp;"_"&amp;"DM_"&amp;Tab_Data_Flows[[#This Row],[Flow_Data_Year]]</f>
        <v/>
      </c>
      <c r="AA158">
        <f>IF(E158="Yes",Y158*Tab_Data_Flows[[#This Row],[Flow_Material]],"N.A.")</f>
        <v/>
      </c>
      <c r="AB158">
        <f>Tab_Data_Flows[[#This Row],[UoM_Flow_Py]]</f>
        <v/>
      </c>
      <c r="AC158">
        <f>INDEX(Tab_Def_Flows[[Flow_ID]:[CC_DM_source]],MATCH(Tab_Data_Flows[[#This Row],[Flow_Name]],Tab_Def_Flows[Flow_Name],0),17)</f>
        <v/>
      </c>
      <c r="AD158">
        <f>Tab_Data_Flows[[#This Row],[Flow_ID]]&amp;"_"&amp;"CC_"&amp;Tab_Data_Flows[[#This Row],[Flow_Data_Year]]</f>
        <v/>
      </c>
      <c r="AE158">
        <f>IF(F158="Yes",AC158*Tab_Data_Flows[[#This Row],[Flow_Material]]*Tab_Data_Flows[[#This Row],[DM_'[%']]],"N.A.")</f>
        <v/>
      </c>
      <c r="AF158">
        <f>Tab_Data_Flows[[#This Row],[UoM_Flow_Py]]</f>
        <v/>
      </c>
    </row>
    <row r="159">
      <c r="A159">
        <f>ROW()-1</f>
        <v/>
      </c>
      <c r="B159">
        <f>_xlfn.XLOOKUP(C159,Tab_Def_Flows[Flow_Name],Tab_Def_Flows[Flow_ID],,0,)</f>
        <v/>
      </c>
      <c r="C159" t="inlineStr">
        <is>
          <t>Environment_Input_MBC_production_E</t>
        </is>
      </c>
      <c r="D159">
        <f>_xlfn.XLOOKUP(C159,Tab_Def_Flows[Flow_Name],Tab_Def_Flows[WC?],,0,)</f>
        <v/>
      </c>
      <c r="E159">
        <f>_xlfn.XLOOKUP(C159,Tab_Def_Flows[Flow_Name],Tab_Def_Flows[DM?],,0,)</f>
        <v/>
      </c>
      <c r="F159">
        <f>_xlfn.XLOOKUP(C159,Tab_Def_Flows[Flow_Name],Tab_Def_Flows[CC?],,0,)</f>
        <v/>
      </c>
      <c r="G159" t="n">
        <v>2026</v>
      </c>
      <c r="H159" t="n">
        <v>22767.42843648001</v>
      </c>
      <c r="I159">
        <f>'0_Configuration'!$C$35</f>
        <v/>
      </c>
      <c r="O159" t="inlineStr">
        <is>
          <t>No</t>
        </is>
      </c>
      <c r="R159">
        <f>Tab_Data_Flows[[#This Row],[Flow_ID]]&amp;"_"&amp;"material_"&amp;Tab_Data_Flows[[#This Row],[Flow_Data_Year]]</f>
        <v/>
      </c>
      <c r="S159">
        <f>IF(O159="no",H159,H159*P159)</f>
        <v/>
      </c>
      <c r="T159">
        <f>Tab_Data_Flows[[#This Row],[UoM_Source]]</f>
        <v/>
      </c>
      <c r="U159">
        <f>INDEX(Tab_Def_Flows[[Flow_ID]:[CC_DM_source]],MATCH(Tab_Data_Flows[[#This Row],[Flow_Name]],Tab_Def_Flows[Flow_Name],0),11)</f>
        <v/>
      </c>
      <c r="V159">
        <f>Tab_Data_Flows[[#This Row],[Flow_ID]]&amp;"_"&amp;"WC_"&amp;Tab_Data_Flows[[#This Row],[Flow_Data_Year]]</f>
        <v/>
      </c>
      <c r="W159">
        <f>IF(D159="Yes",S159*Tab_Data_Flows[[#This Row],[WC_'[%']]],"N.A.")</f>
        <v/>
      </c>
      <c r="X159">
        <f>Tab_Data_Flows[[#This Row],[UoM_Flow_Py]]</f>
        <v/>
      </c>
      <c r="Y159">
        <f>INDEX(Tab_Def_Flows[[Flow_ID]:[CC_DM_source]],MATCH(Tab_Data_Flows[[#This Row],[Flow_Name]],Tab_Def_Flows[Flow_Name],0),14)</f>
        <v/>
      </c>
      <c r="Z159">
        <f>Tab_Data_Flows[[#This Row],[Flow_ID]]&amp;"_"&amp;"DM_"&amp;Tab_Data_Flows[[#This Row],[Flow_Data_Year]]</f>
        <v/>
      </c>
      <c r="AA159">
        <f>IF(E159="Yes",Y159*Tab_Data_Flows[[#This Row],[Flow_Material]],"N.A.")</f>
        <v/>
      </c>
      <c r="AB159">
        <f>Tab_Data_Flows[[#This Row],[UoM_Flow_Py]]</f>
        <v/>
      </c>
      <c r="AC159">
        <f>INDEX(Tab_Def_Flows[[Flow_ID]:[CC_DM_source]],MATCH(Tab_Data_Flows[[#This Row],[Flow_Name]],Tab_Def_Flows[Flow_Name],0),17)</f>
        <v/>
      </c>
      <c r="AD159">
        <f>Tab_Data_Flows[[#This Row],[Flow_ID]]&amp;"_"&amp;"CC_"&amp;Tab_Data_Flows[[#This Row],[Flow_Data_Year]]</f>
        <v/>
      </c>
      <c r="AE159">
        <f>IF(F159="Yes",AC159*Tab_Data_Flows[[#This Row],[Flow_Material]]*Tab_Data_Flows[[#This Row],[DM_'[%']]],"N.A.")</f>
        <v/>
      </c>
      <c r="AF159">
        <f>Tab_Data_Flows[[#This Row],[UoM_Flow_Py]]</f>
        <v/>
      </c>
    </row>
    <row r="160">
      <c r="A160">
        <f>ROW()-1</f>
        <v/>
      </c>
      <c r="B160">
        <f>_xlfn.XLOOKUP(C160,Tab_Def_Flows[Flow_Name],Tab_Def_Flows[Flow_ID],,0,)</f>
        <v/>
      </c>
      <c r="C160" t="inlineStr">
        <is>
          <t>Environment_Input_MBC_production_E</t>
        </is>
      </c>
      <c r="D160">
        <f>_xlfn.XLOOKUP(C160,Tab_Def_Flows[Flow_Name],Tab_Def_Flows[WC?],,0,)</f>
        <v/>
      </c>
      <c r="E160">
        <f>_xlfn.XLOOKUP(C160,Tab_Def_Flows[Flow_Name],Tab_Def_Flows[DM?],,0,)</f>
        <v/>
      </c>
      <c r="F160">
        <f>_xlfn.XLOOKUP(C160,Tab_Def_Flows[Flow_Name],Tab_Def_Flows[CC?],,0,)</f>
        <v/>
      </c>
      <c r="G160" t="n">
        <v>2027</v>
      </c>
      <c r="H160" t="n">
        <v>28023.96993177601</v>
      </c>
      <c r="I160">
        <f>'0_Configuration'!$C$35</f>
        <v/>
      </c>
      <c r="O160" t="inlineStr">
        <is>
          <t>No</t>
        </is>
      </c>
      <c r="R160">
        <f>Tab_Data_Flows[[#This Row],[Flow_ID]]&amp;"_"&amp;"material_"&amp;Tab_Data_Flows[[#This Row],[Flow_Data_Year]]</f>
        <v/>
      </c>
      <c r="S160">
        <f>IF(O160="no",H160,H160*P160)</f>
        <v/>
      </c>
      <c r="T160">
        <f>Tab_Data_Flows[[#This Row],[UoM_Source]]</f>
        <v/>
      </c>
      <c r="U160">
        <f>INDEX(Tab_Def_Flows[[Flow_ID]:[CC_DM_source]],MATCH(Tab_Data_Flows[[#This Row],[Flow_Name]],Tab_Def_Flows[Flow_Name],0),11)</f>
        <v/>
      </c>
      <c r="V160">
        <f>Tab_Data_Flows[[#This Row],[Flow_ID]]&amp;"_"&amp;"WC_"&amp;Tab_Data_Flows[[#This Row],[Flow_Data_Year]]</f>
        <v/>
      </c>
      <c r="W160">
        <f>IF(D160="Yes",S160*Tab_Data_Flows[[#This Row],[WC_'[%']]],"N.A.")</f>
        <v/>
      </c>
      <c r="X160">
        <f>Tab_Data_Flows[[#This Row],[UoM_Flow_Py]]</f>
        <v/>
      </c>
      <c r="Y160">
        <f>INDEX(Tab_Def_Flows[[Flow_ID]:[CC_DM_source]],MATCH(Tab_Data_Flows[[#This Row],[Flow_Name]],Tab_Def_Flows[Flow_Name],0),14)</f>
        <v/>
      </c>
      <c r="Z160">
        <f>Tab_Data_Flows[[#This Row],[Flow_ID]]&amp;"_"&amp;"DM_"&amp;Tab_Data_Flows[[#This Row],[Flow_Data_Year]]</f>
        <v/>
      </c>
      <c r="AA160">
        <f>IF(E160="Yes",Y160*Tab_Data_Flows[[#This Row],[Flow_Material]],"N.A.")</f>
        <v/>
      </c>
      <c r="AB160">
        <f>Tab_Data_Flows[[#This Row],[UoM_Flow_Py]]</f>
        <v/>
      </c>
      <c r="AC160">
        <f>INDEX(Tab_Def_Flows[[Flow_ID]:[CC_DM_source]],MATCH(Tab_Data_Flows[[#This Row],[Flow_Name]],Tab_Def_Flows[Flow_Name],0),17)</f>
        <v/>
      </c>
      <c r="AD160">
        <f>Tab_Data_Flows[[#This Row],[Flow_ID]]&amp;"_"&amp;"CC_"&amp;Tab_Data_Flows[[#This Row],[Flow_Data_Year]]</f>
        <v/>
      </c>
      <c r="AE160">
        <f>IF(F160="Yes",AC160*Tab_Data_Flows[[#This Row],[Flow_Material]]*Tab_Data_Flows[[#This Row],[DM_'[%']]],"N.A.")</f>
        <v/>
      </c>
      <c r="AF160">
        <f>Tab_Data_Flows[[#This Row],[UoM_Flow_Py]]</f>
        <v/>
      </c>
    </row>
    <row r="161">
      <c r="A161">
        <f>ROW()-1</f>
        <v/>
      </c>
      <c r="B161">
        <f>_xlfn.XLOOKUP(C161,Tab_Def_Flows[Flow_Name],Tab_Def_Flows[Flow_ID],,0,)</f>
        <v/>
      </c>
      <c r="C161" t="inlineStr">
        <is>
          <t>Environment_Input_MBC_production_E</t>
        </is>
      </c>
      <c r="D161">
        <f>_xlfn.XLOOKUP(C161,Tab_Def_Flows[Flow_Name],Tab_Def_Flows[WC?],,0,)</f>
        <v/>
      </c>
      <c r="E161">
        <f>_xlfn.XLOOKUP(C161,Tab_Def_Flows[Flow_Name],Tab_Def_Flows[DM?],,0,)</f>
        <v/>
      </c>
      <c r="F161">
        <f>_xlfn.XLOOKUP(C161,Tab_Def_Flows[Flow_Name],Tab_Def_Flows[CC?],,0,)</f>
        <v/>
      </c>
      <c r="G161" t="n">
        <v>2028</v>
      </c>
      <c r="H161" t="n">
        <v>33878.35700121601</v>
      </c>
      <c r="I161">
        <f>'0_Configuration'!$C$35</f>
        <v/>
      </c>
      <c r="O161" t="inlineStr">
        <is>
          <t>No</t>
        </is>
      </c>
      <c r="R161">
        <f>Tab_Data_Flows[[#This Row],[Flow_ID]]&amp;"_"&amp;"material_"&amp;Tab_Data_Flows[[#This Row],[Flow_Data_Year]]</f>
        <v/>
      </c>
      <c r="S161">
        <f>IF(O161="no",H161,H161*P161)</f>
        <v/>
      </c>
      <c r="T161">
        <f>Tab_Data_Flows[[#This Row],[UoM_Source]]</f>
        <v/>
      </c>
      <c r="U161">
        <f>INDEX(Tab_Def_Flows[[Flow_ID]:[CC_DM_source]],MATCH(Tab_Data_Flows[[#This Row],[Flow_Name]],Tab_Def_Flows[Flow_Name],0),11)</f>
        <v/>
      </c>
      <c r="V161">
        <f>Tab_Data_Flows[[#This Row],[Flow_ID]]&amp;"_"&amp;"WC_"&amp;Tab_Data_Flows[[#This Row],[Flow_Data_Year]]</f>
        <v/>
      </c>
      <c r="W161">
        <f>IF(D161="Yes",S161*Tab_Data_Flows[[#This Row],[WC_'[%']]],"N.A.")</f>
        <v/>
      </c>
      <c r="X161">
        <f>Tab_Data_Flows[[#This Row],[UoM_Flow_Py]]</f>
        <v/>
      </c>
      <c r="Y161">
        <f>INDEX(Tab_Def_Flows[[Flow_ID]:[CC_DM_source]],MATCH(Tab_Data_Flows[[#This Row],[Flow_Name]],Tab_Def_Flows[Flow_Name],0),14)</f>
        <v/>
      </c>
      <c r="Z161">
        <f>Tab_Data_Flows[[#This Row],[Flow_ID]]&amp;"_"&amp;"DM_"&amp;Tab_Data_Flows[[#This Row],[Flow_Data_Year]]</f>
        <v/>
      </c>
      <c r="AA161">
        <f>IF(E161="Yes",Y161*Tab_Data_Flows[[#This Row],[Flow_Material]],"N.A.")</f>
        <v/>
      </c>
      <c r="AB161">
        <f>Tab_Data_Flows[[#This Row],[UoM_Flow_Py]]</f>
        <v/>
      </c>
      <c r="AC161">
        <f>INDEX(Tab_Def_Flows[[Flow_ID]:[CC_DM_source]],MATCH(Tab_Data_Flows[[#This Row],[Flow_Name]],Tab_Def_Flows[Flow_Name],0),17)</f>
        <v/>
      </c>
      <c r="AD161">
        <f>Tab_Data_Flows[[#This Row],[Flow_ID]]&amp;"_"&amp;"CC_"&amp;Tab_Data_Flows[[#This Row],[Flow_Data_Year]]</f>
        <v/>
      </c>
      <c r="AE161">
        <f>IF(F161="Yes",AC161*Tab_Data_Flows[[#This Row],[Flow_Material]]*Tab_Data_Flows[[#This Row],[DM_'[%']]],"N.A.")</f>
        <v/>
      </c>
      <c r="AF161">
        <f>Tab_Data_Flows[[#This Row],[UoM_Flow_Py]]</f>
        <v/>
      </c>
    </row>
    <row r="162">
      <c r="A162">
        <f>ROW()-1</f>
        <v/>
      </c>
      <c r="B162">
        <f>_xlfn.XLOOKUP(C162,Tab_Def_Flows[Flow_Name],Tab_Def_Flows[Flow_ID],,0,)</f>
        <v/>
      </c>
      <c r="C162" t="inlineStr">
        <is>
          <t>Environment_Input_MBC_production_E</t>
        </is>
      </c>
      <c r="D162">
        <f>_xlfn.XLOOKUP(C162,Tab_Def_Flows[Flow_Name],Tab_Def_Flows[WC?],,0,)</f>
        <v/>
      </c>
      <c r="E162">
        <f>_xlfn.XLOOKUP(C162,Tab_Def_Flows[Flow_Name],Tab_Def_Flows[DM?],,0,)</f>
        <v/>
      </c>
      <c r="F162">
        <f>_xlfn.XLOOKUP(C162,Tab_Def_Flows[Flow_Name],Tab_Def_Flows[CC?],,0,)</f>
        <v/>
      </c>
      <c r="G162" t="n">
        <v>2029</v>
      </c>
      <c r="H162" t="n">
        <v>22126.24153958401</v>
      </c>
      <c r="I162">
        <f>'0_Configuration'!$C$35</f>
        <v/>
      </c>
      <c r="O162" t="inlineStr">
        <is>
          <t>No</t>
        </is>
      </c>
      <c r="R162">
        <f>Tab_Data_Flows[[#This Row],[Flow_ID]]&amp;"_"&amp;"material_"&amp;Tab_Data_Flows[[#This Row],[Flow_Data_Year]]</f>
        <v/>
      </c>
      <c r="S162">
        <f>IF(O162="no",H162,H162*P162)</f>
        <v/>
      </c>
      <c r="T162">
        <f>Tab_Data_Flows[[#This Row],[UoM_Source]]</f>
        <v/>
      </c>
      <c r="U162">
        <f>INDEX(Tab_Def_Flows[[Flow_ID]:[CC_DM_source]],MATCH(Tab_Data_Flows[[#This Row],[Flow_Name]],Tab_Def_Flows[Flow_Name],0),11)</f>
        <v/>
      </c>
      <c r="V162">
        <f>Tab_Data_Flows[[#This Row],[Flow_ID]]&amp;"_"&amp;"WC_"&amp;Tab_Data_Flows[[#This Row],[Flow_Data_Year]]</f>
        <v/>
      </c>
      <c r="W162">
        <f>IF(D162="Yes",S162*Tab_Data_Flows[[#This Row],[WC_'[%']]],"N.A.")</f>
        <v/>
      </c>
      <c r="X162">
        <f>Tab_Data_Flows[[#This Row],[UoM_Flow_Py]]</f>
        <v/>
      </c>
      <c r="Y162">
        <f>INDEX(Tab_Def_Flows[[Flow_ID]:[CC_DM_source]],MATCH(Tab_Data_Flows[[#This Row],[Flow_Name]],Tab_Def_Flows[Flow_Name],0),14)</f>
        <v/>
      </c>
      <c r="Z162">
        <f>Tab_Data_Flows[[#This Row],[Flow_ID]]&amp;"_"&amp;"DM_"&amp;Tab_Data_Flows[[#This Row],[Flow_Data_Year]]</f>
        <v/>
      </c>
      <c r="AA162">
        <f>IF(E162="Yes",Y162*Tab_Data_Flows[[#This Row],[Flow_Material]],"N.A.")</f>
        <v/>
      </c>
      <c r="AB162">
        <f>Tab_Data_Flows[[#This Row],[UoM_Flow_Py]]</f>
        <v/>
      </c>
      <c r="AC162">
        <f>INDEX(Tab_Def_Flows[[Flow_ID]:[CC_DM_source]],MATCH(Tab_Data_Flows[[#This Row],[Flow_Name]],Tab_Def_Flows[Flow_Name],0),17)</f>
        <v/>
      </c>
      <c r="AD162">
        <f>Tab_Data_Flows[[#This Row],[Flow_ID]]&amp;"_"&amp;"CC_"&amp;Tab_Data_Flows[[#This Row],[Flow_Data_Year]]</f>
        <v/>
      </c>
      <c r="AE162">
        <f>IF(F162="Yes",AC162*Tab_Data_Flows[[#This Row],[Flow_Material]]*Tab_Data_Flows[[#This Row],[DM_'[%']]],"N.A.")</f>
        <v/>
      </c>
      <c r="AF162">
        <f>Tab_Data_Flows[[#This Row],[UoM_Flow_Py]]</f>
        <v/>
      </c>
    </row>
    <row r="163">
      <c r="A163">
        <f>ROW()-1</f>
        <v/>
      </c>
      <c r="B163">
        <f>_xlfn.XLOOKUP(C163,Tab_Def_Flows[Flow_Name],Tab_Def_Flows[Flow_ID],,0,)</f>
        <v/>
      </c>
      <c r="C163" t="inlineStr">
        <is>
          <t>Environment_Input_MBC_production_E</t>
        </is>
      </c>
      <c r="D163">
        <f>_xlfn.XLOOKUP(C163,Tab_Def_Flows[Flow_Name],Tab_Def_Flows[WC?],,0,)</f>
        <v/>
      </c>
      <c r="E163">
        <f>_xlfn.XLOOKUP(C163,Tab_Def_Flows[Flow_Name],Tab_Def_Flows[DM?],,0,)</f>
        <v/>
      </c>
      <c r="F163">
        <f>_xlfn.XLOOKUP(C163,Tab_Def_Flows[Flow_Name],Tab_Def_Flows[CC?],,0,)</f>
        <v/>
      </c>
      <c r="G163" t="n">
        <v>2030</v>
      </c>
      <c r="H163" t="n">
        <v>22126.24153958401</v>
      </c>
      <c r="I163">
        <f>'0_Configuration'!$C$35</f>
        <v/>
      </c>
      <c r="O163" t="inlineStr">
        <is>
          <t>No</t>
        </is>
      </c>
      <c r="R163">
        <f>Tab_Data_Flows[[#This Row],[Flow_ID]]&amp;"_"&amp;"material_"&amp;Tab_Data_Flows[[#This Row],[Flow_Data_Year]]</f>
        <v/>
      </c>
      <c r="S163">
        <f>IF(O163="no",H163,H163*P163)</f>
        <v/>
      </c>
      <c r="T163">
        <f>Tab_Data_Flows[[#This Row],[UoM_Source]]</f>
        <v/>
      </c>
      <c r="U163">
        <f>INDEX(Tab_Def_Flows[[Flow_ID]:[CC_DM_source]],MATCH(Tab_Data_Flows[[#This Row],[Flow_Name]],Tab_Def_Flows[Flow_Name],0),11)</f>
        <v/>
      </c>
      <c r="V163">
        <f>Tab_Data_Flows[[#This Row],[Flow_ID]]&amp;"_"&amp;"WC_"&amp;Tab_Data_Flows[[#This Row],[Flow_Data_Year]]</f>
        <v/>
      </c>
      <c r="W163">
        <f>IF(D163="Yes",S163*Tab_Data_Flows[[#This Row],[WC_'[%']]],"N.A.")</f>
        <v/>
      </c>
      <c r="X163">
        <f>Tab_Data_Flows[[#This Row],[UoM_Flow_Py]]</f>
        <v/>
      </c>
      <c r="Y163">
        <f>INDEX(Tab_Def_Flows[[Flow_ID]:[CC_DM_source]],MATCH(Tab_Data_Flows[[#This Row],[Flow_Name]],Tab_Def_Flows[Flow_Name],0),14)</f>
        <v/>
      </c>
      <c r="Z163">
        <f>Tab_Data_Flows[[#This Row],[Flow_ID]]&amp;"_"&amp;"DM_"&amp;Tab_Data_Flows[[#This Row],[Flow_Data_Year]]</f>
        <v/>
      </c>
      <c r="AA163">
        <f>IF(E163="Yes",Y163*Tab_Data_Flows[[#This Row],[Flow_Material]],"N.A.")</f>
        <v/>
      </c>
      <c r="AB163">
        <f>Tab_Data_Flows[[#This Row],[UoM_Flow_Py]]</f>
        <v/>
      </c>
      <c r="AC163">
        <f>INDEX(Tab_Def_Flows[[Flow_ID]:[CC_DM_source]],MATCH(Tab_Data_Flows[[#This Row],[Flow_Name]],Tab_Def_Flows[Flow_Name],0),17)</f>
        <v/>
      </c>
      <c r="AD163">
        <f>Tab_Data_Flows[[#This Row],[Flow_ID]]&amp;"_"&amp;"CC_"&amp;Tab_Data_Flows[[#This Row],[Flow_Data_Year]]</f>
        <v/>
      </c>
      <c r="AE163">
        <f>IF(F163="Yes",AC163*Tab_Data_Flows[[#This Row],[Flow_Material]]*Tab_Data_Flows[[#This Row],[DM_'[%']]],"N.A.")</f>
        <v/>
      </c>
      <c r="AF163">
        <f>Tab_Data_Flows[[#This Row],[UoM_Flow_Py]]</f>
        <v/>
      </c>
    </row>
    <row r="164">
      <c r="A164">
        <f>ROW()-1</f>
        <v/>
      </c>
      <c r="B164">
        <f>_xlfn.XLOOKUP(C164,Tab_Def_Flows[Flow_Name],Tab_Def_Flows[Flow_ID],,0,)</f>
        <v/>
      </c>
      <c r="C164" t="inlineStr">
        <is>
          <t>Environment_Input_MBC_production_E</t>
        </is>
      </c>
      <c r="D164">
        <f>_xlfn.XLOOKUP(C164,Tab_Def_Flows[Flow_Name],Tab_Def_Flows[WC?],,0,)</f>
        <v/>
      </c>
      <c r="E164">
        <f>_xlfn.XLOOKUP(C164,Tab_Def_Flows[Flow_Name],Tab_Def_Flows[DM?],,0,)</f>
        <v/>
      </c>
      <c r="F164">
        <f>_xlfn.XLOOKUP(C164,Tab_Def_Flows[Flow_Name],Tab_Def_Flows[CC?],,0,)</f>
        <v/>
      </c>
      <c r="G164" t="n">
        <v>2031</v>
      </c>
      <c r="H164" t="n">
        <v>34253.87151513601</v>
      </c>
      <c r="I164">
        <f>'0_Configuration'!$C$35</f>
        <v/>
      </c>
      <c r="O164" t="inlineStr">
        <is>
          <t>No</t>
        </is>
      </c>
      <c r="R164">
        <f>Tab_Data_Flows[[#This Row],[Flow_ID]]&amp;"_"&amp;"material_"&amp;Tab_Data_Flows[[#This Row],[Flow_Data_Year]]</f>
        <v/>
      </c>
      <c r="S164">
        <f>IF(O164="no",H164,H164*P164)</f>
        <v/>
      </c>
      <c r="T164">
        <f>Tab_Data_Flows[[#This Row],[UoM_Source]]</f>
        <v/>
      </c>
      <c r="U164">
        <f>INDEX(Tab_Def_Flows[[Flow_ID]:[CC_DM_source]],MATCH(Tab_Data_Flows[[#This Row],[Flow_Name]],Tab_Def_Flows[Flow_Name],0),11)</f>
        <v/>
      </c>
      <c r="V164">
        <f>Tab_Data_Flows[[#This Row],[Flow_ID]]&amp;"_"&amp;"WC_"&amp;Tab_Data_Flows[[#This Row],[Flow_Data_Year]]</f>
        <v/>
      </c>
      <c r="W164">
        <f>IF(D164="Yes",S164*Tab_Data_Flows[[#This Row],[WC_'[%']]],"N.A.")</f>
        <v/>
      </c>
      <c r="X164">
        <f>Tab_Data_Flows[[#This Row],[UoM_Flow_Py]]</f>
        <v/>
      </c>
      <c r="Y164">
        <f>INDEX(Tab_Def_Flows[[Flow_ID]:[CC_DM_source]],MATCH(Tab_Data_Flows[[#This Row],[Flow_Name]],Tab_Def_Flows[Flow_Name],0),14)</f>
        <v/>
      </c>
      <c r="Z164">
        <f>Tab_Data_Flows[[#This Row],[Flow_ID]]&amp;"_"&amp;"DM_"&amp;Tab_Data_Flows[[#This Row],[Flow_Data_Year]]</f>
        <v/>
      </c>
      <c r="AA164">
        <f>IF(E164="Yes",Y164*Tab_Data_Flows[[#This Row],[Flow_Material]],"N.A.")</f>
        <v/>
      </c>
      <c r="AB164">
        <f>Tab_Data_Flows[[#This Row],[UoM_Flow_Py]]</f>
        <v/>
      </c>
      <c r="AC164">
        <f>INDEX(Tab_Def_Flows[[Flow_ID]:[CC_DM_source]],MATCH(Tab_Data_Flows[[#This Row],[Flow_Name]],Tab_Def_Flows[Flow_Name],0),17)</f>
        <v/>
      </c>
      <c r="AD164">
        <f>Tab_Data_Flows[[#This Row],[Flow_ID]]&amp;"_"&amp;"CC_"&amp;Tab_Data_Flows[[#This Row],[Flow_Data_Year]]</f>
        <v/>
      </c>
      <c r="AE164">
        <f>IF(F164="Yes",AC164*Tab_Data_Flows[[#This Row],[Flow_Material]]*Tab_Data_Flows[[#This Row],[DM_'[%']]],"N.A.")</f>
        <v/>
      </c>
      <c r="AF164">
        <f>Tab_Data_Flows[[#This Row],[UoM_Flow_Py]]</f>
        <v/>
      </c>
    </row>
    <row r="165">
      <c r="A165">
        <f>ROW()-1</f>
        <v/>
      </c>
      <c r="B165">
        <f>_xlfn.XLOOKUP(C165,Tab_Def_Flows[Flow_Name],Tab_Def_Flows[Flow_ID],,0,)</f>
        <v/>
      </c>
      <c r="C165" t="inlineStr">
        <is>
          <t>Environment_Input_MBC_production_E</t>
        </is>
      </c>
      <c r="D165">
        <f>_xlfn.XLOOKUP(C165,Tab_Def_Flows[Flow_Name],Tab_Def_Flows[WC?],,0,)</f>
        <v/>
      </c>
      <c r="E165">
        <f>_xlfn.XLOOKUP(C165,Tab_Def_Flows[Flow_Name],Tab_Def_Flows[DM?],,0,)</f>
        <v/>
      </c>
      <c r="F165">
        <f>_xlfn.XLOOKUP(C165,Tab_Def_Flows[Flow_Name],Tab_Def_Flows[CC?],,0,)</f>
        <v/>
      </c>
      <c r="G165" t="n">
        <v>2032</v>
      </c>
      <c r="H165" t="n">
        <v>28824.62642841601</v>
      </c>
      <c r="I165">
        <f>'0_Configuration'!$C$35</f>
        <v/>
      </c>
      <c r="O165" t="inlineStr">
        <is>
          <t>No</t>
        </is>
      </c>
      <c r="R165">
        <f>Tab_Data_Flows[[#This Row],[Flow_ID]]&amp;"_"&amp;"material_"&amp;Tab_Data_Flows[[#This Row],[Flow_Data_Year]]</f>
        <v/>
      </c>
      <c r="S165">
        <f>IF(O165="no",H165,H165*P165)</f>
        <v/>
      </c>
      <c r="T165">
        <f>Tab_Data_Flows[[#This Row],[UoM_Source]]</f>
        <v/>
      </c>
      <c r="U165">
        <f>INDEX(Tab_Def_Flows[[Flow_ID]:[CC_DM_source]],MATCH(Tab_Data_Flows[[#This Row],[Flow_Name]],Tab_Def_Flows[Flow_Name],0),11)</f>
        <v/>
      </c>
      <c r="V165">
        <f>Tab_Data_Flows[[#This Row],[Flow_ID]]&amp;"_"&amp;"WC_"&amp;Tab_Data_Flows[[#This Row],[Flow_Data_Year]]</f>
        <v/>
      </c>
      <c r="W165">
        <f>IF(D165="Yes",S165*Tab_Data_Flows[[#This Row],[WC_'[%']]],"N.A.")</f>
        <v/>
      </c>
      <c r="X165">
        <f>Tab_Data_Flows[[#This Row],[UoM_Flow_Py]]</f>
        <v/>
      </c>
      <c r="Y165">
        <f>INDEX(Tab_Def_Flows[[Flow_ID]:[CC_DM_source]],MATCH(Tab_Data_Flows[[#This Row],[Flow_Name]],Tab_Def_Flows[Flow_Name],0),14)</f>
        <v/>
      </c>
      <c r="Z165">
        <f>Tab_Data_Flows[[#This Row],[Flow_ID]]&amp;"_"&amp;"DM_"&amp;Tab_Data_Flows[[#This Row],[Flow_Data_Year]]</f>
        <v/>
      </c>
      <c r="AA165">
        <f>IF(E165="Yes",Y165*Tab_Data_Flows[[#This Row],[Flow_Material]],"N.A.")</f>
        <v/>
      </c>
      <c r="AB165">
        <f>Tab_Data_Flows[[#This Row],[UoM_Flow_Py]]</f>
        <v/>
      </c>
      <c r="AC165">
        <f>INDEX(Tab_Def_Flows[[Flow_ID]:[CC_DM_source]],MATCH(Tab_Data_Flows[[#This Row],[Flow_Name]],Tab_Def_Flows[Flow_Name],0),17)</f>
        <v/>
      </c>
      <c r="AD165">
        <f>Tab_Data_Flows[[#This Row],[Flow_ID]]&amp;"_"&amp;"CC_"&amp;Tab_Data_Flows[[#This Row],[Flow_Data_Year]]</f>
        <v/>
      </c>
      <c r="AE165">
        <f>IF(F165="Yes",AC165*Tab_Data_Flows[[#This Row],[Flow_Material]]*Tab_Data_Flows[[#This Row],[DM_'[%']]],"N.A.")</f>
        <v/>
      </c>
      <c r="AF165">
        <f>Tab_Data_Flows[[#This Row],[UoM_Flow_Py]]</f>
        <v/>
      </c>
    </row>
    <row r="166">
      <c r="A166">
        <f>ROW()-1</f>
        <v/>
      </c>
      <c r="B166">
        <f>_xlfn.XLOOKUP(C166,Tab_Def_Flows[Flow_Name],Tab_Def_Flows[Flow_ID],,0,)</f>
        <v/>
      </c>
      <c r="C166" t="inlineStr">
        <is>
          <t>Environment_Input_MBC_production_E</t>
        </is>
      </c>
      <c r="D166">
        <f>_xlfn.XLOOKUP(C166,Tab_Def_Flows[Flow_Name],Tab_Def_Flows[WC?],,0,)</f>
        <v/>
      </c>
      <c r="E166">
        <f>_xlfn.XLOOKUP(C166,Tab_Def_Flows[Flow_Name],Tab_Def_Flows[DM?],,0,)</f>
        <v/>
      </c>
      <c r="F166">
        <f>_xlfn.XLOOKUP(C166,Tab_Def_Flows[Flow_Name],Tab_Def_Flows[CC?],,0,)</f>
        <v/>
      </c>
      <c r="G166" t="n">
        <v>2033</v>
      </c>
      <c r="H166" t="n">
        <v>20552.38907904001</v>
      </c>
      <c r="I166">
        <f>'0_Configuration'!$C$35</f>
        <v/>
      </c>
      <c r="O166" t="inlineStr">
        <is>
          <t>No</t>
        </is>
      </c>
      <c r="R166">
        <f>Tab_Data_Flows[[#This Row],[Flow_ID]]&amp;"_"&amp;"material_"&amp;Tab_Data_Flows[[#This Row],[Flow_Data_Year]]</f>
        <v/>
      </c>
      <c r="S166">
        <f>IF(O166="no",H166,H166*P166)</f>
        <v/>
      </c>
      <c r="T166">
        <f>Tab_Data_Flows[[#This Row],[UoM_Source]]</f>
        <v/>
      </c>
      <c r="U166">
        <f>INDEX(Tab_Def_Flows[[Flow_ID]:[CC_DM_source]],MATCH(Tab_Data_Flows[[#This Row],[Flow_Name]],Tab_Def_Flows[Flow_Name],0),11)</f>
        <v/>
      </c>
      <c r="V166">
        <f>Tab_Data_Flows[[#This Row],[Flow_ID]]&amp;"_"&amp;"WC_"&amp;Tab_Data_Flows[[#This Row],[Flow_Data_Year]]</f>
        <v/>
      </c>
      <c r="W166">
        <f>IF(D166="Yes",S166*Tab_Data_Flows[[#This Row],[WC_'[%']]],"N.A.")</f>
        <v/>
      </c>
      <c r="X166">
        <f>Tab_Data_Flows[[#This Row],[UoM_Flow_Py]]</f>
        <v/>
      </c>
      <c r="Y166">
        <f>INDEX(Tab_Def_Flows[[Flow_ID]:[CC_DM_source]],MATCH(Tab_Data_Flows[[#This Row],[Flow_Name]],Tab_Def_Flows[Flow_Name],0),14)</f>
        <v/>
      </c>
      <c r="Z166">
        <f>Tab_Data_Flows[[#This Row],[Flow_ID]]&amp;"_"&amp;"DM_"&amp;Tab_Data_Flows[[#This Row],[Flow_Data_Year]]</f>
        <v/>
      </c>
      <c r="AA166">
        <f>IF(E166="Yes",Y166*Tab_Data_Flows[[#This Row],[Flow_Material]],"N.A.")</f>
        <v/>
      </c>
      <c r="AB166">
        <f>Tab_Data_Flows[[#This Row],[UoM_Flow_Py]]</f>
        <v/>
      </c>
      <c r="AC166">
        <f>INDEX(Tab_Def_Flows[[Flow_ID]:[CC_DM_source]],MATCH(Tab_Data_Flows[[#This Row],[Flow_Name]],Tab_Def_Flows[Flow_Name],0),17)</f>
        <v/>
      </c>
      <c r="AD166">
        <f>Tab_Data_Flows[[#This Row],[Flow_ID]]&amp;"_"&amp;"CC_"&amp;Tab_Data_Flows[[#This Row],[Flow_Data_Year]]</f>
        <v/>
      </c>
      <c r="AE166">
        <f>IF(F166="Yes",AC166*Tab_Data_Flows[[#This Row],[Flow_Material]]*Tab_Data_Flows[[#This Row],[DM_'[%']]],"N.A.")</f>
        <v/>
      </c>
      <c r="AF166">
        <f>Tab_Data_Flows[[#This Row],[UoM_Flow_Py]]</f>
        <v/>
      </c>
    </row>
    <row r="167">
      <c r="A167">
        <f>ROW()-1</f>
        <v/>
      </c>
      <c r="B167">
        <f>_xlfn.XLOOKUP(C167,Tab_Def_Flows[Flow_Name],Tab_Def_Flows[Flow_ID],,0,)</f>
        <v/>
      </c>
      <c r="C167" t="inlineStr">
        <is>
          <t>Environment_Input_MBC_production_E</t>
        </is>
      </c>
      <c r="D167">
        <f>_xlfn.XLOOKUP(C167,Tab_Def_Flows[Flow_Name],Tab_Def_Flows[WC?],,0,)</f>
        <v/>
      </c>
      <c r="E167">
        <f>_xlfn.XLOOKUP(C167,Tab_Def_Flows[Flow_Name],Tab_Def_Flows[DM?],,0,)</f>
        <v/>
      </c>
      <c r="F167">
        <f>_xlfn.XLOOKUP(C167,Tab_Def_Flows[Flow_Name],Tab_Def_Flows[CC?],,0,)</f>
        <v/>
      </c>
      <c r="G167" t="n">
        <v>2034</v>
      </c>
      <c r="H167" t="n">
        <v>27320.91412377601</v>
      </c>
      <c r="I167">
        <f>'0_Configuration'!$C$35</f>
        <v/>
      </c>
      <c r="O167" t="inlineStr">
        <is>
          <t>No</t>
        </is>
      </c>
      <c r="R167">
        <f>Tab_Data_Flows[[#This Row],[Flow_ID]]&amp;"_"&amp;"material_"&amp;Tab_Data_Flows[[#This Row],[Flow_Data_Year]]</f>
        <v/>
      </c>
      <c r="S167">
        <f>IF(O167="no",H167,H167*P167)</f>
        <v/>
      </c>
      <c r="T167">
        <f>Tab_Data_Flows[[#This Row],[UoM_Source]]</f>
        <v/>
      </c>
      <c r="U167">
        <f>INDEX(Tab_Def_Flows[[Flow_ID]:[CC_DM_source]],MATCH(Tab_Data_Flows[[#This Row],[Flow_Name]],Tab_Def_Flows[Flow_Name],0),11)</f>
        <v/>
      </c>
      <c r="V167">
        <f>Tab_Data_Flows[[#This Row],[Flow_ID]]&amp;"_"&amp;"WC_"&amp;Tab_Data_Flows[[#This Row],[Flow_Data_Year]]</f>
        <v/>
      </c>
      <c r="W167">
        <f>IF(D167="Yes",S167*Tab_Data_Flows[[#This Row],[WC_'[%']]],"N.A.")</f>
        <v/>
      </c>
      <c r="X167">
        <f>Tab_Data_Flows[[#This Row],[UoM_Flow_Py]]</f>
        <v/>
      </c>
      <c r="Y167">
        <f>INDEX(Tab_Def_Flows[[Flow_ID]:[CC_DM_source]],MATCH(Tab_Data_Flows[[#This Row],[Flow_Name]],Tab_Def_Flows[Flow_Name],0),14)</f>
        <v/>
      </c>
      <c r="Z167">
        <f>Tab_Data_Flows[[#This Row],[Flow_ID]]&amp;"_"&amp;"DM_"&amp;Tab_Data_Flows[[#This Row],[Flow_Data_Year]]</f>
        <v/>
      </c>
      <c r="AA167">
        <f>IF(E167="Yes",Y167*Tab_Data_Flows[[#This Row],[Flow_Material]],"N.A.")</f>
        <v/>
      </c>
      <c r="AB167">
        <f>Tab_Data_Flows[[#This Row],[UoM_Flow_Py]]</f>
        <v/>
      </c>
      <c r="AC167">
        <f>INDEX(Tab_Def_Flows[[Flow_ID]:[CC_DM_source]],MATCH(Tab_Data_Flows[[#This Row],[Flow_Name]],Tab_Def_Flows[Flow_Name],0),17)</f>
        <v/>
      </c>
      <c r="AD167">
        <f>Tab_Data_Flows[[#This Row],[Flow_ID]]&amp;"_"&amp;"CC_"&amp;Tab_Data_Flows[[#This Row],[Flow_Data_Year]]</f>
        <v/>
      </c>
      <c r="AE167">
        <f>IF(F167="Yes",AC167*Tab_Data_Flows[[#This Row],[Flow_Material]]*Tab_Data_Flows[[#This Row],[DM_'[%']]],"N.A.")</f>
        <v/>
      </c>
      <c r="AF167">
        <f>Tab_Data_Flows[[#This Row],[UoM_Flow_Py]]</f>
        <v/>
      </c>
    </row>
    <row r="168">
      <c r="A168">
        <f>ROW()-1</f>
        <v/>
      </c>
      <c r="B168">
        <f>_xlfn.XLOOKUP(C168,Tab_Def_Flows[Flow_Name],Tab_Def_Flows[Flow_ID],,0,)</f>
        <v/>
      </c>
      <c r="C168" t="inlineStr">
        <is>
          <t>Environment_Input_MBC_production_E</t>
        </is>
      </c>
      <c r="D168">
        <f>_xlfn.XLOOKUP(C168,Tab_Def_Flows[Flow_Name],Tab_Def_Flows[WC?],,0,)</f>
        <v/>
      </c>
      <c r="E168">
        <f>_xlfn.XLOOKUP(C168,Tab_Def_Flows[Flow_Name],Tab_Def_Flows[DM?],,0,)</f>
        <v/>
      </c>
      <c r="F168">
        <f>_xlfn.XLOOKUP(C168,Tab_Def_Flows[Flow_Name],Tab_Def_Flows[CC?],,0,)</f>
        <v/>
      </c>
      <c r="G168" t="n">
        <v>2035</v>
      </c>
      <c r="H168" t="n">
        <v>20592.752753664</v>
      </c>
      <c r="I168">
        <f>'0_Configuration'!$C$35</f>
        <v/>
      </c>
      <c r="O168" t="inlineStr">
        <is>
          <t>No</t>
        </is>
      </c>
      <c r="R168">
        <f>Tab_Data_Flows[[#This Row],[Flow_ID]]&amp;"_"&amp;"material_"&amp;Tab_Data_Flows[[#This Row],[Flow_Data_Year]]</f>
        <v/>
      </c>
      <c r="S168">
        <f>IF(O168="no",H168,H168*P168)</f>
        <v/>
      </c>
      <c r="T168">
        <f>Tab_Data_Flows[[#This Row],[UoM_Source]]</f>
        <v/>
      </c>
      <c r="U168">
        <f>INDEX(Tab_Def_Flows[[Flow_ID]:[CC_DM_source]],MATCH(Tab_Data_Flows[[#This Row],[Flow_Name]],Tab_Def_Flows[Flow_Name],0),11)</f>
        <v/>
      </c>
      <c r="V168">
        <f>Tab_Data_Flows[[#This Row],[Flow_ID]]&amp;"_"&amp;"WC_"&amp;Tab_Data_Flows[[#This Row],[Flow_Data_Year]]</f>
        <v/>
      </c>
      <c r="W168">
        <f>IF(D168="Yes",S168*Tab_Data_Flows[[#This Row],[WC_'[%']]],"N.A.")</f>
        <v/>
      </c>
      <c r="X168">
        <f>Tab_Data_Flows[[#This Row],[UoM_Flow_Py]]</f>
        <v/>
      </c>
      <c r="Y168">
        <f>INDEX(Tab_Def_Flows[[Flow_ID]:[CC_DM_source]],MATCH(Tab_Data_Flows[[#This Row],[Flow_Name]],Tab_Def_Flows[Flow_Name],0),14)</f>
        <v/>
      </c>
      <c r="Z168">
        <f>Tab_Data_Flows[[#This Row],[Flow_ID]]&amp;"_"&amp;"DM_"&amp;Tab_Data_Flows[[#This Row],[Flow_Data_Year]]</f>
        <v/>
      </c>
      <c r="AA168">
        <f>IF(E168="Yes",Y168*Tab_Data_Flows[[#This Row],[Flow_Material]],"N.A.")</f>
        <v/>
      </c>
      <c r="AB168">
        <f>Tab_Data_Flows[[#This Row],[UoM_Flow_Py]]</f>
        <v/>
      </c>
      <c r="AC168">
        <f>INDEX(Tab_Def_Flows[[Flow_ID]:[CC_DM_source]],MATCH(Tab_Data_Flows[[#This Row],[Flow_Name]],Tab_Def_Flows[Flow_Name],0),17)</f>
        <v/>
      </c>
      <c r="AD168">
        <f>Tab_Data_Flows[[#This Row],[Flow_ID]]&amp;"_"&amp;"CC_"&amp;Tab_Data_Flows[[#This Row],[Flow_Data_Year]]</f>
        <v/>
      </c>
      <c r="AE168">
        <f>IF(F168="Yes",AC168*Tab_Data_Flows[[#This Row],[Flow_Material]]*Tab_Data_Flows[[#This Row],[DM_'[%']]],"N.A.")</f>
        <v/>
      </c>
      <c r="AF168">
        <f>Tab_Data_Flows[[#This Row],[UoM_Flow_Py]]</f>
        <v/>
      </c>
    </row>
    <row r="169">
      <c r="A169">
        <f>ROW()-1</f>
        <v/>
      </c>
      <c r="B169">
        <f>_xlfn.XLOOKUP(C169,Tab_Def_Flows[Flow_Name],Tab_Def_Flows[Flow_ID],,0,)</f>
        <v/>
      </c>
      <c r="C169" t="inlineStr">
        <is>
          <t>Environment_Input_MBC_production_E</t>
        </is>
      </c>
      <c r="D169">
        <f>_xlfn.XLOOKUP(C169,Tab_Def_Flows[Flow_Name],Tab_Def_Flows[WC?],,0,)</f>
        <v/>
      </c>
      <c r="E169">
        <f>_xlfn.XLOOKUP(C169,Tab_Def_Flows[Flow_Name],Tab_Def_Flows[DM?],,0,)</f>
        <v/>
      </c>
      <c r="F169">
        <f>_xlfn.XLOOKUP(C169,Tab_Def_Flows[Flow_Name],Tab_Def_Flows[CC?],,0,)</f>
        <v/>
      </c>
      <c r="G169" t="n">
        <v>2036</v>
      </c>
      <c r="H169" t="n">
        <v>20577.20281344001</v>
      </c>
      <c r="I169">
        <f>'0_Configuration'!$C$35</f>
        <v/>
      </c>
      <c r="O169" t="inlineStr">
        <is>
          <t>No</t>
        </is>
      </c>
      <c r="R169">
        <f>Tab_Data_Flows[[#This Row],[Flow_ID]]&amp;"_"&amp;"material_"&amp;Tab_Data_Flows[[#This Row],[Flow_Data_Year]]</f>
        <v/>
      </c>
      <c r="S169">
        <f>IF(O169="no",H169,H169*P169)</f>
        <v/>
      </c>
      <c r="T169">
        <f>Tab_Data_Flows[[#This Row],[UoM_Source]]</f>
        <v/>
      </c>
      <c r="U169">
        <f>INDEX(Tab_Def_Flows[[Flow_ID]:[CC_DM_source]],MATCH(Tab_Data_Flows[[#This Row],[Flow_Name]],Tab_Def_Flows[Flow_Name],0),11)</f>
        <v/>
      </c>
      <c r="V169">
        <f>Tab_Data_Flows[[#This Row],[Flow_ID]]&amp;"_"&amp;"WC_"&amp;Tab_Data_Flows[[#This Row],[Flow_Data_Year]]</f>
        <v/>
      </c>
      <c r="W169">
        <f>IF(D169="Yes",S169*Tab_Data_Flows[[#This Row],[WC_'[%']]],"N.A.")</f>
        <v/>
      </c>
      <c r="X169">
        <f>Tab_Data_Flows[[#This Row],[UoM_Flow_Py]]</f>
        <v/>
      </c>
      <c r="Y169">
        <f>INDEX(Tab_Def_Flows[[Flow_ID]:[CC_DM_source]],MATCH(Tab_Data_Flows[[#This Row],[Flow_Name]],Tab_Def_Flows[Flow_Name],0),14)</f>
        <v/>
      </c>
      <c r="Z169">
        <f>Tab_Data_Flows[[#This Row],[Flow_ID]]&amp;"_"&amp;"DM_"&amp;Tab_Data_Flows[[#This Row],[Flow_Data_Year]]</f>
        <v/>
      </c>
      <c r="AA169">
        <f>IF(E169="Yes",Y169*Tab_Data_Flows[[#This Row],[Flow_Material]],"N.A.")</f>
        <v/>
      </c>
      <c r="AB169">
        <f>Tab_Data_Flows[[#This Row],[UoM_Flow_Py]]</f>
        <v/>
      </c>
      <c r="AC169">
        <f>INDEX(Tab_Def_Flows[[Flow_ID]:[CC_DM_source]],MATCH(Tab_Data_Flows[[#This Row],[Flow_Name]],Tab_Def_Flows[Flow_Name],0),17)</f>
        <v/>
      </c>
      <c r="AD169">
        <f>Tab_Data_Flows[[#This Row],[Flow_ID]]&amp;"_"&amp;"CC_"&amp;Tab_Data_Flows[[#This Row],[Flow_Data_Year]]</f>
        <v/>
      </c>
      <c r="AE169">
        <f>IF(F169="Yes",AC169*Tab_Data_Flows[[#This Row],[Flow_Material]]*Tab_Data_Flows[[#This Row],[DM_'[%']]],"N.A.")</f>
        <v/>
      </c>
      <c r="AF169">
        <f>Tab_Data_Flows[[#This Row],[UoM_Flow_Py]]</f>
        <v/>
      </c>
    </row>
    <row r="170">
      <c r="A170">
        <f>ROW()-1</f>
        <v/>
      </c>
      <c r="B170">
        <f>_xlfn.XLOOKUP(C170,Tab_Def_Flows[Flow_Name],Tab_Def_Flows[Flow_ID],,0,)</f>
        <v/>
      </c>
      <c r="C170" t="inlineStr">
        <is>
          <t>Environment_Input_MBC_production_E</t>
        </is>
      </c>
      <c r="D170">
        <f>_xlfn.XLOOKUP(C170,Tab_Def_Flows[Flow_Name],Tab_Def_Flows[WC?],,0,)</f>
        <v/>
      </c>
      <c r="E170">
        <f>_xlfn.XLOOKUP(C170,Tab_Def_Flows[Flow_Name],Tab_Def_Flows[DM?],,0,)</f>
        <v/>
      </c>
      <c r="F170">
        <f>_xlfn.XLOOKUP(C170,Tab_Def_Flows[Flow_Name],Tab_Def_Flows[CC?],,0,)</f>
        <v/>
      </c>
      <c r="G170" t="n">
        <v>2037</v>
      </c>
      <c r="H170" t="n">
        <v>25310.33993779201</v>
      </c>
      <c r="I170">
        <f>'0_Configuration'!$C$35</f>
        <v/>
      </c>
      <c r="O170" t="inlineStr">
        <is>
          <t>No</t>
        </is>
      </c>
      <c r="R170">
        <f>Tab_Data_Flows[[#This Row],[Flow_ID]]&amp;"_"&amp;"material_"&amp;Tab_Data_Flows[[#This Row],[Flow_Data_Year]]</f>
        <v/>
      </c>
      <c r="S170">
        <f>IF(O170="no",H170,H170*P170)</f>
        <v/>
      </c>
      <c r="T170">
        <f>Tab_Data_Flows[[#This Row],[UoM_Source]]</f>
        <v/>
      </c>
      <c r="U170">
        <f>INDEX(Tab_Def_Flows[[Flow_ID]:[CC_DM_source]],MATCH(Tab_Data_Flows[[#This Row],[Flow_Name]],Tab_Def_Flows[Flow_Name],0),11)</f>
        <v/>
      </c>
      <c r="V170">
        <f>Tab_Data_Flows[[#This Row],[Flow_ID]]&amp;"_"&amp;"WC_"&amp;Tab_Data_Flows[[#This Row],[Flow_Data_Year]]</f>
        <v/>
      </c>
      <c r="W170">
        <f>IF(D170="Yes",S170*Tab_Data_Flows[[#This Row],[WC_'[%']]],"N.A.")</f>
        <v/>
      </c>
      <c r="X170">
        <f>Tab_Data_Flows[[#This Row],[UoM_Flow_Py]]</f>
        <v/>
      </c>
      <c r="Y170">
        <f>INDEX(Tab_Def_Flows[[Flow_ID]:[CC_DM_source]],MATCH(Tab_Data_Flows[[#This Row],[Flow_Name]],Tab_Def_Flows[Flow_Name],0),14)</f>
        <v/>
      </c>
      <c r="Z170">
        <f>Tab_Data_Flows[[#This Row],[Flow_ID]]&amp;"_"&amp;"DM_"&amp;Tab_Data_Flows[[#This Row],[Flow_Data_Year]]</f>
        <v/>
      </c>
      <c r="AA170">
        <f>IF(E170="Yes",Y170*Tab_Data_Flows[[#This Row],[Flow_Material]],"N.A.")</f>
        <v/>
      </c>
      <c r="AB170">
        <f>Tab_Data_Flows[[#This Row],[UoM_Flow_Py]]</f>
        <v/>
      </c>
      <c r="AC170">
        <f>INDEX(Tab_Def_Flows[[Flow_ID]:[CC_DM_source]],MATCH(Tab_Data_Flows[[#This Row],[Flow_Name]],Tab_Def_Flows[Flow_Name],0),17)</f>
        <v/>
      </c>
      <c r="AD170">
        <f>Tab_Data_Flows[[#This Row],[Flow_ID]]&amp;"_"&amp;"CC_"&amp;Tab_Data_Flows[[#This Row],[Flow_Data_Year]]</f>
        <v/>
      </c>
      <c r="AE170">
        <f>IF(F170="Yes",AC170*Tab_Data_Flows[[#This Row],[Flow_Material]]*Tab_Data_Flows[[#This Row],[DM_'[%']]],"N.A.")</f>
        <v/>
      </c>
      <c r="AF170">
        <f>Tab_Data_Flows[[#This Row],[UoM_Flow_Py]]</f>
        <v/>
      </c>
    </row>
    <row r="171">
      <c r="A171">
        <f>ROW()-1</f>
        <v/>
      </c>
      <c r="B171">
        <f>_xlfn.XLOOKUP(C171,Tab_Def_Flows[Flow_Name],Tab_Def_Flows[Flow_ID],,0,)</f>
        <v/>
      </c>
      <c r="C171" t="inlineStr">
        <is>
          <t>Environment_Input_MBC_production_E</t>
        </is>
      </c>
      <c r="D171">
        <f>_xlfn.XLOOKUP(C171,Tab_Def_Flows[Flow_Name],Tab_Def_Flows[WC?],,0,)</f>
        <v/>
      </c>
      <c r="E171">
        <f>_xlfn.XLOOKUP(C171,Tab_Def_Flows[Flow_Name],Tab_Def_Flows[DM?],,0,)</f>
        <v/>
      </c>
      <c r="F171">
        <f>_xlfn.XLOOKUP(C171,Tab_Def_Flows[Flow_Name],Tab_Def_Flows[CC?],,0,)</f>
        <v/>
      </c>
      <c r="G171" t="n">
        <v>2038</v>
      </c>
      <c r="H171" t="n">
        <v>10896.207049728</v>
      </c>
      <c r="I171">
        <f>'0_Configuration'!$C$35</f>
        <v/>
      </c>
      <c r="O171" t="inlineStr">
        <is>
          <t>No</t>
        </is>
      </c>
      <c r="R171">
        <f>Tab_Data_Flows[[#This Row],[Flow_ID]]&amp;"_"&amp;"material_"&amp;Tab_Data_Flows[[#This Row],[Flow_Data_Year]]</f>
        <v/>
      </c>
      <c r="S171">
        <f>IF(O171="no",H171,H171*P171)</f>
        <v/>
      </c>
      <c r="T171">
        <f>Tab_Data_Flows[[#This Row],[UoM_Source]]</f>
        <v/>
      </c>
      <c r="U171">
        <f>INDEX(Tab_Def_Flows[[Flow_ID]:[CC_DM_source]],MATCH(Tab_Data_Flows[[#This Row],[Flow_Name]],Tab_Def_Flows[Flow_Name],0),11)</f>
        <v/>
      </c>
      <c r="V171">
        <f>Tab_Data_Flows[[#This Row],[Flow_ID]]&amp;"_"&amp;"WC_"&amp;Tab_Data_Flows[[#This Row],[Flow_Data_Year]]</f>
        <v/>
      </c>
      <c r="W171">
        <f>IF(D171="Yes",S171*Tab_Data_Flows[[#This Row],[WC_'[%']]],"N.A.")</f>
        <v/>
      </c>
      <c r="X171">
        <f>Tab_Data_Flows[[#This Row],[UoM_Flow_Py]]</f>
        <v/>
      </c>
      <c r="Y171">
        <f>INDEX(Tab_Def_Flows[[Flow_ID]:[CC_DM_source]],MATCH(Tab_Data_Flows[[#This Row],[Flow_Name]],Tab_Def_Flows[Flow_Name],0),14)</f>
        <v/>
      </c>
      <c r="Z171">
        <f>Tab_Data_Flows[[#This Row],[Flow_ID]]&amp;"_"&amp;"DM_"&amp;Tab_Data_Flows[[#This Row],[Flow_Data_Year]]</f>
        <v/>
      </c>
      <c r="AA171">
        <f>IF(E171="Yes",Y171*Tab_Data_Flows[[#This Row],[Flow_Material]],"N.A.")</f>
        <v/>
      </c>
      <c r="AB171">
        <f>Tab_Data_Flows[[#This Row],[UoM_Flow_Py]]</f>
        <v/>
      </c>
      <c r="AC171">
        <f>INDEX(Tab_Def_Flows[[Flow_ID]:[CC_DM_source]],MATCH(Tab_Data_Flows[[#This Row],[Flow_Name]],Tab_Def_Flows[Flow_Name],0),17)</f>
        <v/>
      </c>
      <c r="AD171">
        <f>Tab_Data_Flows[[#This Row],[Flow_ID]]&amp;"_"&amp;"CC_"&amp;Tab_Data_Flows[[#This Row],[Flow_Data_Year]]</f>
        <v/>
      </c>
      <c r="AE171">
        <f>IF(F171="Yes",AC171*Tab_Data_Flows[[#This Row],[Flow_Material]]*Tab_Data_Flows[[#This Row],[DM_'[%']]],"N.A.")</f>
        <v/>
      </c>
      <c r="AF171">
        <f>Tab_Data_Flows[[#This Row],[UoM_Flow_Py]]</f>
        <v/>
      </c>
    </row>
    <row r="172">
      <c r="A172">
        <f>ROW()-1</f>
        <v/>
      </c>
      <c r="B172">
        <f>_xlfn.XLOOKUP(C172,Tab_Def_Flows[Flow_Name],Tab_Def_Flows[Flow_ID],,0,)</f>
        <v/>
      </c>
      <c r="C172" t="inlineStr">
        <is>
          <t>Environment_Input_MBC_production_E</t>
        </is>
      </c>
      <c r="D172">
        <f>_xlfn.XLOOKUP(C172,Tab_Def_Flows[Flow_Name],Tab_Def_Flows[WC?],,0,)</f>
        <v/>
      </c>
      <c r="E172">
        <f>_xlfn.XLOOKUP(C172,Tab_Def_Flows[Flow_Name],Tab_Def_Flows[DM?],,0,)</f>
        <v/>
      </c>
      <c r="F172">
        <f>_xlfn.XLOOKUP(C172,Tab_Def_Flows[Flow_Name],Tab_Def_Flows[CC?],,0,)</f>
        <v/>
      </c>
      <c r="G172" t="n">
        <v>2039</v>
      </c>
      <c r="H172" t="n">
        <v>12155.752207872</v>
      </c>
      <c r="I172">
        <f>'0_Configuration'!$C$35</f>
        <v/>
      </c>
      <c r="O172" t="inlineStr">
        <is>
          <t>No</t>
        </is>
      </c>
      <c r="R172">
        <f>Tab_Data_Flows[[#This Row],[Flow_ID]]&amp;"_"&amp;"material_"&amp;Tab_Data_Flows[[#This Row],[Flow_Data_Year]]</f>
        <v/>
      </c>
      <c r="S172">
        <f>IF(O172="no",H172,H172*P172)</f>
        <v/>
      </c>
      <c r="T172">
        <f>Tab_Data_Flows[[#This Row],[UoM_Source]]</f>
        <v/>
      </c>
      <c r="U172">
        <f>INDEX(Tab_Def_Flows[[Flow_ID]:[CC_DM_source]],MATCH(Tab_Data_Flows[[#This Row],[Flow_Name]],Tab_Def_Flows[Flow_Name],0),11)</f>
        <v/>
      </c>
      <c r="V172">
        <f>Tab_Data_Flows[[#This Row],[Flow_ID]]&amp;"_"&amp;"WC_"&amp;Tab_Data_Flows[[#This Row],[Flow_Data_Year]]</f>
        <v/>
      </c>
      <c r="W172">
        <f>IF(D172="Yes",S172*Tab_Data_Flows[[#This Row],[WC_'[%']]],"N.A.")</f>
        <v/>
      </c>
      <c r="X172">
        <f>Tab_Data_Flows[[#This Row],[UoM_Flow_Py]]</f>
        <v/>
      </c>
      <c r="Y172">
        <f>INDEX(Tab_Def_Flows[[Flow_ID]:[CC_DM_source]],MATCH(Tab_Data_Flows[[#This Row],[Flow_Name]],Tab_Def_Flows[Flow_Name],0),14)</f>
        <v/>
      </c>
      <c r="Z172">
        <f>Tab_Data_Flows[[#This Row],[Flow_ID]]&amp;"_"&amp;"DM_"&amp;Tab_Data_Flows[[#This Row],[Flow_Data_Year]]</f>
        <v/>
      </c>
      <c r="AA172">
        <f>IF(E172="Yes",Y172*Tab_Data_Flows[[#This Row],[Flow_Material]],"N.A.")</f>
        <v/>
      </c>
      <c r="AB172">
        <f>Tab_Data_Flows[[#This Row],[UoM_Flow_Py]]</f>
        <v/>
      </c>
      <c r="AC172">
        <f>INDEX(Tab_Def_Flows[[Flow_ID]:[CC_DM_source]],MATCH(Tab_Data_Flows[[#This Row],[Flow_Name]],Tab_Def_Flows[Flow_Name],0),17)</f>
        <v/>
      </c>
      <c r="AD172">
        <f>Tab_Data_Flows[[#This Row],[Flow_ID]]&amp;"_"&amp;"CC_"&amp;Tab_Data_Flows[[#This Row],[Flow_Data_Year]]</f>
        <v/>
      </c>
      <c r="AE172">
        <f>IF(F172="Yes",AC172*Tab_Data_Flows[[#This Row],[Flow_Material]]*Tab_Data_Flows[[#This Row],[DM_'[%']]],"N.A.")</f>
        <v/>
      </c>
      <c r="AF172">
        <f>Tab_Data_Flows[[#This Row],[UoM_Flow_Py]]</f>
        <v/>
      </c>
    </row>
    <row r="173">
      <c r="A173">
        <f>ROW()-1</f>
        <v/>
      </c>
      <c r="B173">
        <f>_xlfn.XLOOKUP(C173,Tab_Def_Flows[Flow_Name],Tab_Def_Flows[Flow_ID],,0,)</f>
        <v/>
      </c>
      <c r="C173" t="inlineStr">
        <is>
          <t>Environment_Input_MBC_production_E</t>
        </is>
      </c>
      <c r="D173">
        <f>_xlfn.XLOOKUP(C173,Tab_Def_Flows[Flow_Name],Tab_Def_Flows[WC?],,0,)</f>
        <v/>
      </c>
      <c r="E173">
        <f>_xlfn.XLOOKUP(C173,Tab_Def_Flows[Flow_Name],Tab_Def_Flows[DM?],,0,)</f>
        <v/>
      </c>
      <c r="F173">
        <f>_xlfn.XLOOKUP(C173,Tab_Def_Flows[Flow_Name],Tab_Def_Flows[CC?],,0,)</f>
        <v/>
      </c>
      <c r="G173" t="n">
        <v>2040</v>
      </c>
      <c r="H173" t="n">
        <v>19931.71486924801</v>
      </c>
      <c r="I173">
        <f>'0_Configuration'!$C$35</f>
        <v/>
      </c>
      <c r="O173" t="inlineStr">
        <is>
          <t>No</t>
        </is>
      </c>
      <c r="R173">
        <f>Tab_Data_Flows[[#This Row],[Flow_ID]]&amp;"_"&amp;"material_"&amp;Tab_Data_Flows[[#This Row],[Flow_Data_Year]]</f>
        <v/>
      </c>
      <c r="S173">
        <f>IF(O173="no",H173,H173*P173)</f>
        <v/>
      </c>
      <c r="T173">
        <f>Tab_Data_Flows[[#This Row],[UoM_Source]]</f>
        <v/>
      </c>
      <c r="U173">
        <f>INDEX(Tab_Def_Flows[[Flow_ID]:[CC_DM_source]],MATCH(Tab_Data_Flows[[#This Row],[Flow_Name]],Tab_Def_Flows[Flow_Name],0),11)</f>
        <v/>
      </c>
      <c r="V173">
        <f>Tab_Data_Flows[[#This Row],[Flow_ID]]&amp;"_"&amp;"WC_"&amp;Tab_Data_Flows[[#This Row],[Flow_Data_Year]]</f>
        <v/>
      </c>
      <c r="W173">
        <f>IF(D173="Yes",S173*Tab_Data_Flows[[#This Row],[WC_'[%']]],"N.A.")</f>
        <v/>
      </c>
      <c r="X173">
        <f>Tab_Data_Flows[[#This Row],[UoM_Flow_Py]]</f>
        <v/>
      </c>
      <c r="Y173">
        <f>INDEX(Tab_Def_Flows[[Flow_ID]:[CC_DM_source]],MATCH(Tab_Data_Flows[[#This Row],[Flow_Name]],Tab_Def_Flows[Flow_Name],0),14)</f>
        <v/>
      </c>
      <c r="Z173">
        <f>Tab_Data_Flows[[#This Row],[Flow_ID]]&amp;"_"&amp;"DM_"&amp;Tab_Data_Flows[[#This Row],[Flow_Data_Year]]</f>
        <v/>
      </c>
      <c r="AA173">
        <f>IF(E173="Yes",Y173*Tab_Data_Flows[[#This Row],[Flow_Material]],"N.A.")</f>
        <v/>
      </c>
      <c r="AB173">
        <f>Tab_Data_Flows[[#This Row],[UoM_Flow_Py]]</f>
        <v/>
      </c>
      <c r="AC173">
        <f>INDEX(Tab_Def_Flows[[Flow_ID]:[CC_DM_source]],MATCH(Tab_Data_Flows[[#This Row],[Flow_Name]],Tab_Def_Flows[Flow_Name],0),17)</f>
        <v/>
      </c>
      <c r="AD173">
        <f>Tab_Data_Flows[[#This Row],[Flow_ID]]&amp;"_"&amp;"CC_"&amp;Tab_Data_Flows[[#This Row],[Flow_Data_Year]]</f>
        <v/>
      </c>
      <c r="AE173">
        <f>IF(F173="Yes",AC173*Tab_Data_Flows[[#This Row],[Flow_Material]]*Tab_Data_Flows[[#This Row],[DM_'[%']]],"N.A.")</f>
        <v/>
      </c>
      <c r="AF173">
        <f>Tab_Data_Flows[[#This Row],[UoM_Flow_Py]]</f>
        <v/>
      </c>
    </row>
    <row r="174">
      <c r="A174">
        <f>ROW()-1</f>
        <v/>
      </c>
      <c r="B174">
        <f>_xlfn.XLOOKUP(C174,Tab_Def_Flows[Flow_Name],Tab_Def_Flows[Flow_ID],,0,)</f>
        <v/>
      </c>
      <c r="C174" t="inlineStr">
        <is>
          <t>Environment_Input_MBC_production_E</t>
        </is>
      </c>
      <c r="D174">
        <f>_xlfn.XLOOKUP(C174,Tab_Def_Flows[Flow_Name],Tab_Def_Flows[WC?],,0,)</f>
        <v/>
      </c>
      <c r="E174">
        <f>_xlfn.XLOOKUP(C174,Tab_Def_Flows[Flow_Name],Tab_Def_Flows[DM?],,0,)</f>
        <v/>
      </c>
      <c r="F174">
        <f>_xlfn.XLOOKUP(C174,Tab_Def_Flows[Flow_Name],Tab_Def_Flows[CC?],,0,)</f>
        <v/>
      </c>
      <c r="G174" t="n">
        <v>2041</v>
      </c>
      <c r="H174" t="n">
        <v>16918.334963712</v>
      </c>
      <c r="I174">
        <f>'0_Configuration'!$C$35</f>
        <v/>
      </c>
      <c r="O174" t="inlineStr">
        <is>
          <t>No</t>
        </is>
      </c>
      <c r="R174">
        <f>Tab_Data_Flows[[#This Row],[Flow_ID]]&amp;"_"&amp;"material_"&amp;Tab_Data_Flows[[#This Row],[Flow_Data_Year]]</f>
        <v/>
      </c>
      <c r="S174">
        <f>IF(O174="no",H174,H174*P174)</f>
        <v/>
      </c>
      <c r="T174">
        <f>Tab_Data_Flows[[#This Row],[UoM_Source]]</f>
        <v/>
      </c>
      <c r="U174">
        <f>INDEX(Tab_Def_Flows[[Flow_ID]:[CC_DM_source]],MATCH(Tab_Data_Flows[[#This Row],[Flow_Name]],Tab_Def_Flows[Flow_Name],0),11)</f>
        <v/>
      </c>
      <c r="V174">
        <f>Tab_Data_Flows[[#This Row],[Flow_ID]]&amp;"_"&amp;"WC_"&amp;Tab_Data_Flows[[#This Row],[Flow_Data_Year]]</f>
        <v/>
      </c>
      <c r="W174">
        <f>IF(D174="Yes",S174*Tab_Data_Flows[[#This Row],[WC_'[%']]],"N.A.")</f>
        <v/>
      </c>
      <c r="X174">
        <f>Tab_Data_Flows[[#This Row],[UoM_Flow_Py]]</f>
        <v/>
      </c>
      <c r="Y174">
        <f>INDEX(Tab_Def_Flows[[Flow_ID]:[CC_DM_source]],MATCH(Tab_Data_Flows[[#This Row],[Flow_Name]],Tab_Def_Flows[Flow_Name],0),14)</f>
        <v/>
      </c>
      <c r="Z174">
        <f>Tab_Data_Flows[[#This Row],[Flow_ID]]&amp;"_"&amp;"DM_"&amp;Tab_Data_Flows[[#This Row],[Flow_Data_Year]]</f>
        <v/>
      </c>
      <c r="AA174">
        <f>IF(E174="Yes",Y174*Tab_Data_Flows[[#This Row],[Flow_Material]],"N.A.")</f>
        <v/>
      </c>
      <c r="AB174">
        <f>Tab_Data_Flows[[#This Row],[UoM_Flow_Py]]</f>
        <v/>
      </c>
      <c r="AC174">
        <f>INDEX(Tab_Def_Flows[[Flow_ID]:[CC_DM_source]],MATCH(Tab_Data_Flows[[#This Row],[Flow_Name]],Tab_Def_Flows[Flow_Name],0),17)</f>
        <v/>
      </c>
      <c r="AD174">
        <f>Tab_Data_Flows[[#This Row],[Flow_ID]]&amp;"_"&amp;"CC_"&amp;Tab_Data_Flows[[#This Row],[Flow_Data_Year]]</f>
        <v/>
      </c>
      <c r="AE174">
        <f>IF(F174="Yes",AC174*Tab_Data_Flows[[#This Row],[Flow_Material]]*Tab_Data_Flows[[#This Row],[DM_'[%']]],"N.A.")</f>
        <v/>
      </c>
      <c r="AF174">
        <f>Tab_Data_Flows[[#This Row],[UoM_Flow_Py]]</f>
        <v/>
      </c>
    </row>
    <row r="175">
      <c r="A175">
        <f>ROW()-1</f>
        <v/>
      </c>
      <c r="B175">
        <f>_xlfn.XLOOKUP(C175,Tab_Def_Flows[Flow_Name],Tab_Def_Flows[Flow_ID],,0,)</f>
        <v/>
      </c>
      <c r="C175" t="inlineStr">
        <is>
          <t>Environment_Input_MBC_production_E</t>
        </is>
      </c>
      <c r="D175">
        <f>_xlfn.XLOOKUP(C175,Tab_Def_Flows[Flow_Name],Tab_Def_Flows[WC?],,0,)</f>
        <v/>
      </c>
      <c r="E175">
        <f>_xlfn.XLOOKUP(C175,Tab_Def_Flows[Flow_Name],Tab_Def_Flows[DM?],,0,)</f>
        <v/>
      </c>
      <c r="F175">
        <f>_xlfn.XLOOKUP(C175,Tab_Def_Flows[Flow_Name],Tab_Def_Flows[CC?],,0,)</f>
        <v/>
      </c>
      <c r="G175" t="n">
        <v>2042</v>
      </c>
      <c r="H175" t="n">
        <v>25793.71148390401</v>
      </c>
      <c r="I175">
        <f>'0_Configuration'!$C$35</f>
        <v/>
      </c>
      <c r="O175" t="inlineStr">
        <is>
          <t>No</t>
        </is>
      </c>
      <c r="R175">
        <f>Tab_Data_Flows[[#This Row],[Flow_ID]]&amp;"_"&amp;"material_"&amp;Tab_Data_Flows[[#This Row],[Flow_Data_Year]]</f>
        <v/>
      </c>
      <c r="S175">
        <f>IF(O175="no",H175,H175*P175)</f>
        <v/>
      </c>
      <c r="T175">
        <f>Tab_Data_Flows[[#This Row],[UoM_Source]]</f>
        <v/>
      </c>
      <c r="U175">
        <f>INDEX(Tab_Def_Flows[[Flow_ID]:[CC_DM_source]],MATCH(Tab_Data_Flows[[#This Row],[Flow_Name]],Tab_Def_Flows[Flow_Name],0),11)</f>
        <v/>
      </c>
      <c r="V175">
        <f>Tab_Data_Flows[[#This Row],[Flow_ID]]&amp;"_"&amp;"WC_"&amp;Tab_Data_Flows[[#This Row],[Flow_Data_Year]]</f>
        <v/>
      </c>
      <c r="W175">
        <f>IF(D175="Yes",S175*Tab_Data_Flows[[#This Row],[WC_'[%']]],"N.A.")</f>
        <v/>
      </c>
      <c r="X175">
        <f>Tab_Data_Flows[[#This Row],[UoM_Flow_Py]]</f>
        <v/>
      </c>
      <c r="Y175">
        <f>INDEX(Tab_Def_Flows[[Flow_ID]:[CC_DM_source]],MATCH(Tab_Data_Flows[[#This Row],[Flow_Name]],Tab_Def_Flows[Flow_Name],0),14)</f>
        <v/>
      </c>
      <c r="Z175">
        <f>Tab_Data_Flows[[#This Row],[Flow_ID]]&amp;"_"&amp;"DM_"&amp;Tab_Data_Flows[[#This Row],[Flow_Data_Year]]</f>
        <v/>
      </c>
      <c r="AA175">
        <f>IF(E175="Yes",Y175*Tab_Data_Flows[[#This Row],[Flow_Material]],"N.A.")</f>
        <v/>
      </c>
      <c r="AB175">
        <f>Tab_Data_Flows[[#This Row],[UoM_Flow_Py]]</f>
        <v/>
      </c>
      <c r="AC175">
        <f>INDEX(Tab_Def_Flows[[Flow_ID]:[CC_DM_source]],MATCH(Tab_Data_Flows[[#This Row],[Flow_Name]],Tab_Def_Flows[Flow_Name],0),17)</f>
        <v/>
      </c>
      <c r="AD175">
        <f>Tab_Data_Flows[[#This Row],[Flow_ID]]&amp;"_"&amp;"CC_"&amp;Tab_Data_Flows[[#This Row],[Flow_Data_Year]]</f>
        <v/>
      </c>
      <c r="AE175">
        <f>IF(F175="Yes",AC175*Tab_Data_Flows[[#This Row],[Flow_Material]]*Tab_Data_Flows[[#This Row],[DM_'[%']]],"N.A.")</f>
        <v/>
      </c>
      <c r="AF175">
        <f>Tab_Data_Flows[[#This Row],[UoM_Flow_Py]]</f>
        <v/>
      </c>
    </row>
    <row r="176">
      <c r="A176">
        <f>ROW()-1</f>
        <v/>
      </c>
      <c r="B176">
        <f>_xlfn.XLOOKUP(C176,Tab_Def_Flows[Flow_Name],Tab_Def_Flows[Flow_ID],,0,)</f>
        <v/>
      </c>
      <c r="C176" t="inlineStr">
        <is>
          <t>Environment_Input_MBC_production_E</t>
        </is>
      </c>
      <c r="D176">
        <f>_xlfn.XLOOKUP(C176,Tab_Def_Flows[Flow_Name],Tab_Def_Flows[WC?],,0,)</f>
        <v/>
      </c>
      <c r="E176">
        <f>_xlfn.XLOOKUP(C176,Tab_Def_Flows[Flow_Name],Tab_Def_Flows[DM?],,0,)</f>
        <v/>
      </c>
      <c r="F176">
        <f>_xlfn.XLOOKUP(C176,Tab_Def_Flows[Flow_Name],Tab_Def_Flows[CC?],,0,)</f>
        <v/>
      </c>
      <c r="G176" t="n">
        <v>2043</v>
      </c>
      <c r="H176" t="n">
        <v>17619.40567296001</v>
      </c>
      <c r="I176">
        <f>'0_Configuration'!$C$35</f>
        <v/>
      </c>
      <c r="O176" t="inlineStr">
        <is>
          <t>No</t>
        </is>
      </c>
      <c r="R176">
        <f>Tab_Data_Flows[[#This Row],[Flow_ID]]&amp;"_"&amp;"material_"&amp;Tab_Data_Flows[[#This Row],[Flow_Data_Year]]</f>
        <v/>
      </c>
      <c r="S176">
        <f>IF(O176="no",H176,H176*P176)</f>
        <v/>
      </c>
      <c r="T176">
        <f>Tab_Data_Flows[[#This Row],[UoM_Source]]</f>
        <v/>
      </c>
      <c r="U176">
        <f>INDEX(Tab_Def_Flows[[Flow_ID]:[CC_DM_source]],MATCH(Tab_Data_Flows[[#This Row],[Flow_Name]],Tab_Def_Flows[Flow_Name],0),11)</f>
        <v/>
      </c>
      <c r="V176">
        <f>Tab_Data_Flows[[#This Row],[Flow_ID]]&amp;"_"&amp;"WC_"&amp;Tab_Data_Flows[[#This Row],[Flow_Data_Year]]</f>
        <v/>
      </c>
      <c r="W176">
        <f>IF(D176="Yes",S176*Tab_Data_Flows[[#This Row],[WC_'[%']]],"N.A.")</f>
        <v/>
      </c>
      <c r="X176">
        <f>Tab_Data_Flows[[#This Row],[UoM_Flow_Py]]</f>
        <v/>
      </c>
      <c r="Y176">
        <f>INDEX(Tab_Def_Flows[[Flow_ID]:[CC_DM_source]],MATCH(Tab_Data_Flows[[#This Row],[Flow_Name]],Tab_Def_Flows[Flow_Name],0),14)</f>
        <v/>
      </c>
      <c r="Z176">
        <f>Tab_Data_Flows[[#This Row],[Flow_ID]]&amp;"_"&amp;"DM_"&amp;Tab_Data_Flows[[#This Row],[Flow_Data_Year]]</f>
        <v/>
      </c>
      <c r="AA176">
        <f>IF(E176="Yes",Y176*Tab_Data_Flows[[#This Row],[Flow_Material]],"N.A.")</f>
        <v/>
      </c>
      <c r="AB176">
        <f>Tab_Data_Flows[[#This Row],[UoM_Flow_Py]]</f>
        <v/>
      </c>
      <c r="AC176">
        <f>INDEX(Tab_Def_Flows[[Flow_ID]:[CC_DM_source]],MATCH(Tab_Data_Flows[[#This Row],[Flow_Name]],Tab_Def_Flows[Flow_Name],0),17)</f>
        <v/>
      </c>
      <c r="AD176">
        <f>Tab_Data_Flows[[#This Row],[Flow_ID]]&amp;"_"&amp;"CC_"&amp;Tab_Data_Flows[[#This Row],[Flow_Data_Year]]</f>
        <v/>
      </c>
      <c r="AE176">
        <f>IF(F176="Yes",AC176*Tab_Data_Flows[[#This Row],[Flow_Material]]*Tab_Data_Flows[[#This Row],[DM_'[%']]],"N.A.")</f>
        <v/>
      </c>
      <c r="AF176">
        <f>Tab_Data_Flows[[#This Row],[UoM_Flow_Py]]</f>
        <v/>
      </c>
    </row>
    <row r="177">
      <c r="A177">
        <f>ROW()-1</f>
        <v/>
      </c>
      <c r="B177">
        <f>_xlfn.XLOOKUP(C177,Tab_Def_Flows[Flow_Name],Tab_Def_Flows[Flow_ID],,0,)</f>
        <v/>
      </c>
      <c r="C177" t="inlineStr">
        <is>
          <t>Environment_Input_MBC_production_E</t>
        </is>
      </c>
      <c r="D177">
        <f>_xlfn.XLOOKUP(C177,Tab_Def_Flows[Flow_Name],Tab_Def_Flows[WC?],,0,)</f>
        <v/>
      </c>
      <c r="E177">
        <f>_xlfn.XLOOKUP(C177,Tab_Def_Flows[Flow_Name],Tab_Def_Flows[DM?],,0,)</f>
        <v/>
      </c>
      <c r="F177">
        <f>_xlfn.XLOOKUP(C177,Tab_Def_Flows[Flow_Name],Tab_Def_Flows[CC?],,0,)</f>
        <v/>
      </c>
      <c r="G177" t="n">
        <v>2044</v>
      </c>
      <c r="H177" t="n">
        <v>14246.722893312</v>
      </c>
      <c r="I177">
        <f>'0_Configuration'!$C$35</f>
        <v/>
      </c>
      <c r="O177" t="inlineStr">
        <is>
          <t>No</t>
        </is>
      </c>
      <c r="R177">
        <f>Tab_Data_Flows[[#This Row],[Flow_ID]]&amp;"_"&amp;"material_"&amp;Tab_Data_Flows[[#This Row],[Flow_Data_Year]]</f>
        <v/>
      </c>
      <c r="S177">
        <f>IF(O177="no",H177,H177*P177)</f>
        <v/>
      </c>
      <c r="T177">
        <f>Tab_Data_Flows[[#This Row],[UoM_Source]]</f>
        <v/>
      </c>
      <c r="U177">
        <f>INDEX(Tab_Def_Flows[[Flow_ID]:[CC_DM_source]],MATCH(Tab_Data_Flows[[#This Row],[Flow_Name]],Tab_Def_Flows[Flow_Name],0),11)</f>
        <v/>
      </c>
      <c r="V177">
        <f>Tab_Data_Flows[[#This Row],[Flow_ID]]&amp;"_"&amp;"WC_"&amp;Tab_Data_Flows[[#This Row],[Flow_Data_Year]]</f>
        <v/>
      </c>
      <c r="W177">
        <f>IF(D177="Yes",S177*Tab_Data_Flows[[#This Row],[WC_'[%']]],"N.A.")</f>
        <v/>
      </c>
      <c r="X177">
        <f>Tab_Data_Flows[[#This Row],[UoM_Flow_Py]]</f>
        <v/>
      </c>
      <c r="Y177">
        <f>INDEX(Tab_Def_Flows[[Flow_ID]:[CC_DM_source]],MATCH(Tab_Data_Flows[[#This Row],[Flow_Name]],Tab_Def_Flows[Flow_Name],0),14)</f>
        <v/>
      </c>
      <c r="Z177">
        <f>Tab_Data_Flows[[#This Row],[Flow_ID]]&amp;"_"&amp;"DM_"&amp;Tab_Data_Flows[[#This Row],[Flow_Data_Year]]</f>
        <v/>
      </c>
      <c r="AA177">
        <f>IF(E177="Yes",Y177*Tab_Data_Flows[[#This Row],[Flow_Material]],"N.A.")</f>
        <v/>
      </c>
      <c r="AB177">
        <f>Tab_Data_Flows[[#This Row],[UoM_Flow_Py]]</f>
        <v/>
      </c>
      <c r="AC177">
        <f>INDEX(Tab_Def_Flows[[Flow_ID]:[CC_DM_source]],MATCH(Tab_Data_Flows[[#This Row],[Flow_Name]],Tab_Def_Flows[Flow_Name],0),17)</f>
        <v/>
      </c>
      <c r="AD177">
        <f>Tab_Data_Flows[[#This Row],[Flow_ID]]&amp;"_"&amp;"CC_"&amp;Tab_Data_Flows[[#This Row],[Flow_Data_Year]]</f>
        <v/>
      </c>
      <c r="AE177">
        <f>IF(F177="Yes",AC177*Tab_Data_Flows[[#This Row],[Flow_Material]]*Tab_Data_Flows[[#This Row],[DM_'[%']]],"N.A.")</f>
        <v/>
      </c>
      <c r="AF177">
        <f>Tab_Data_Flows[[#This Row],[UoM_Flow_Py]]</f>
        <v/>
      </c>
    </row>
    <row r="178">
      <c r="A178">
        <f>ROW()-1</f>
        <v/>
      </c>
      <c r="B178">
        <f>_xlfn.XLOOKUP(C178,Tab_Def_Flows[Flow_Name],Tab_Def_Flows[Flow_ID],,0,)</f>
        <v/>
      </c>
      <c r="C178" t="inlineStr">
        <is>
          <t>Environment_Input_MBC_production_E</t>
        </is>
      </c>
      <c r="D178">
        <f>_xlfn.XLOOKUP(C178,Tab_Def_Flows[Flow_Name],Tab_Def_Flows[WC?],,0,)</f>
        <v/>
      </c>
      <c r="E178">
        <f>_xlfn.XLOOKUP(C178,Tab_Def_Flows[Flow_Name],Tab_Def_Flows[DM?],,0,)</f>
        <v/>
      </c>
      <c r="F178">
        <f>_xlfn.XLOOKUP(C178,Tab_Def_Flows[Flow_Name],Tab_Def_Flows[CC?],,0,)</f>
        <v/>
      </c>
      <c r="G178" t="n">
        <v>2045</v>
      </c>
      <c r="H178" t="n">
        <v>33494.57124249601</v>
      </c>
      <c r="I178">
        <f>'0_Configuration'!$C$35</f>
        <v/>
      </c>
      <c r="O178" t="inlineStr">
        <is>
          <t>No</t>
        </is>
      </c>
      <c r="R178">
        <f>Tab_Data_Flows[[#This Row],[Flow_ID]]&amp;"_"&amp;"material_"&amp;Tab_Data_Flows[[#This Row],[Flow_Data_Year]]</f>
        <v/>
      </c>
      <c r="S178">
        <f>IF(O178="no",H178,H178*P178)</f>
        <v/>
      </c>
      <c r="T178">
        <f>Tab_Data_Flows[[#This Row],[UoM_Source]]</f>
        <v/>
      </c>
      <c r="U178">
        <f>INDEX(Tab_Def_Flows[[Flow_ID]:[CC_DM_source]],MATCH(Tab_Data_Flows[[#This Row],[Flow_Name]],Tab_Def_Flows[Flow_Name],0),11)</f>
        <v/>
      </c>
      <c r="V178">
        <f>Tab_Data_Flows[[#This Row],[Flow_ID]]&amp;"_"&amp;"WC_"&amp;Tab_Data_Flows[[#This Row],[Flow_Data_Year]]</f>
        <v/>
      </c>
      <c r="W178">
        <f>IF(D178="Yes",S178*Tab_Data_Flows[[#This Row],[WC_'[%']]],"N.A.")</f>
        <v/>
      </c>
      <c r="X178">
        <f>Tab_Data_Flows[[#This Row],[UoM_Flow_Py]]</f>
        <v/>
      </c>
      <c r="Y178">
        <f>INDEX(Tab_Def_Flows[[Flow_ID]:[CC_DM_source]],MATCH(Tab_Data_Flows[[#This Row],[Flow_Name]],Tab_Def_Flows[Flow_Name],0),14)</f>
        <v/>
      </c>
      <c r="Z178">
        <f>Tab_Data_Flows[[#This Row],[Flow_ID]]&amp;"_"&amp;"DM_"&amp;Tab_Data_Flows[[#This Row],[Flow_Data_Year]]</f>
        <v/>
      </c>
      <c r="AA178">
        <f>IF(E178="Yes",Y178*Tab_Data_Flows[[#This Row],[Flow_Material]],"N.A.")</f>
        <v/>
      </c>
      <c r="AB178">
        <f>Tab_Data_Flows[[#This Row],[UoM_Flow_Py]]</f>
        <v/>
      </c>
      <c r="AC178">
        <f>INDEX(Tab_Def_Flows[[Flow_ID]:[CC_DM_source]],MATCH(Tab_Data_Flows[[#This Row],[Flow_Name]],Tab_Def_Flows[Flow_Name],0),17)</f>
        <v/>
      </c>
      <c r="AD178">
        <f>Tab_Data_Flows[[#This Row],[Flow_ID]]&amp;"_"&amp;"CC_"&amp;Tab_Data_Flows[[#This Row],[Flow_Data_Year]]</f>
        <v/>
      </c>
      <c r="AE178">
        <f>IF(F178="Yes",AC178*Tab_Data_Flows[[#This Row],[Flow_Material]]*Tab_Data_Flows[[#This Row],[DM_'[%']]],"N.A.")</f>
        <v/>
      </c>
      <c r="AF178">
        <f>Tab_Data_Flows[[#This Row],[UoM_Flow_Py]]</f>
        <v/>
      </c>
    </row>
    <row r="179">
      <c r="A179">
        <f>ROW()-1</f>
        <v/>
      </c>
      <c r="B179">
        <f>_xlfn.XLOOKUP(C179,Tab_Def_Flows[Flow_Name],Tab_Def_Flows[Flow_ID],,0,)</f>
        <v/>
      </c>
      <c r="C179" t="inlineStr">
        <is>
          <t>Environment_Input_MBC_production_E</t>
        </is>
      </c>
      <c r="D179">
        <f>_xlfn.XLOOKUP(C179,Tab_Def_Flows[Flow_Name],Tab_Def_Flows[WC?],,0,)</f>
        <v/>
      </c>
      <c r="E179">
        <f>_xlfn.XLOOKUP(C179,Tab_Def_Flows[Flow_Name],Tab_Def_Flows[DM?],,0,)</f>
        <v/>
      </c>
      <c r="F179">
        <f>_xlfn.XLOOKUP(C179,Tab_Def_Flows[Flow_Name],Tab_Def_Flows[CC?],,0,)</f>
        <v/>
      </c>
      <c r="G179" t="n">
        <v>2046</v>
      </c>
      <c r="H179" t="n">
        <v>22182.15515443201</v>
      </c>
      <c r="I179">
        <f>'0_Configuration'!$C$35</f>
        <v/>
      </c>
      <c r="O179" t="inlineStr">
        <is>
          <t>No</t>
        </is>
      </c>
      <c r="R179">
        <f>Tab_Data_Flows[[#This Row],[Flow_ID]]&amp;"_"&amp;"material_"&amp;Tab_Data_Flows[[#This Row],[Flow_Data_Year]]</f>
        <v/>
      </c>
      <c r="S179">
        <f>IF(O179="no",H179,H179*P179)</f>
        <v/>
      </c>
      <c r="T179">
        <f>Tab_Data_Flows[[#This Row],[UoM_Source]]</f>
        <v/>
      </c>
      <c r="U179">
        <f>INDEX(Tab_Def_Flows[[Flow_ID]:[CC_DM_source]],MATCH(Tab_Data_Flows[[#This Row],[Flow_Name]],Tab_Def_Flows[Flow_Name],0),11)</f>
        <v/>
      </c>
      <c r="V179">
        <f>Tab_Data_Flows[[#This Row],[Flow_ID]]&amp;"_"&amp;"WC_"&amp;Tab_Data_Flows[[#This Row],[Flow_Data_Year]]</f>
        <v/>
      </c>
      <c r="W179">
        <f>IF(D179="Yes",S179*Tab_Data_Flows[[#This Row],[WC_'[%']]],"N.A.")</f>
        <v/>
      </c>
      <c r="X179">
        <f>Tab_Data_Flows[[#This Row],[UoM_Flow_Py]]</f>
        <v/>
      </c>
      <c r="Y179">
        <f>INDEX(Tab_Def_Flows[[Flow_ID]:[CC_DM_source]],MATCH(Tab_Data_Flows[[#This Row],[Flow_Name]],Tab_Def_Flows[Flow_Name],0),14)</f>
        <v/>
      </c>
      <c r="Z179">
        <f>Tab_Data_Flows[[#This Row],[Flow_ID]]&amp;"_"&amp;"DM_"&amp;Tab_Data_Flows[[#This Row],[Flow_Data_Year]]</f>
        <v/>
      </c>
      <c r="AA179">
        <f>IF(E179="Yes",Y179*Tab_Data_Flows[[#This Row],[Flow_Material]],"N.A.")</f>
        <v/>
      </c>
      <c r="AB179">
        <f>Tab_Data_Flows[[#This Row],[UoM_Flow_Py]]</f>
        <v/>
      </c>
      <c r="AC179">
        <f>INDEX(Tab_Def_Flows[[Flow_ID]:[CC_DM_source]],MATCH(Tab_Data_Flows[[#This Row],[Flow_Name]],Tab_Def_Flows[Flow_Name],0),17)</f>
        <v/>
      </c>
      <c r="AD179">
        <f>Tab_Data_Flows[[#This Row],[Flow_ID]]&amp;"_"&amp;"CC_"&amp;Tab_Data_Flows[[#This Row],[Flow_Data_Year]]</f>
        <v/>
      </c>
      <c r="AE179">
        <f>IF(F179="Yes",AC179*Tab_Data_Flows[[#This Row],[Flow_Material]]*Tab_Data_Flows[[#This Row],[DM_'[%']]],"N.A.")</f>
        <v/>
      </c>
      <c r="AF179">
        <f>Tab_Data_Flows[[#This Row],[UoM_Flow_Py]]</f>
        <v/>
      </c>
    </row>
    <row r="180">
      <c r="A180">
        <f>ROW()-1</f>
        <v/>
      </c>
      <c r="B180">
        <f>_xlfn.XLOOKUP(C180,Tab_Def_Flows[Flow_Name],Tab_Def_Flows[Flow_ID],,0,)</f>
        <v/>
      </c>
      <c r="C180" t="inlineStr">
        <is>
          <t>Environment_Input_MBC_production_E</t>
        </is>
      </c>
      <c r="D180">
        <f>_xlfn.XLOOKUP(C180,Tab_Def_Flows[Flow_Name],Tab_Def_Flows[WC?],,0,)</f>
        <v/>
      </c>
      <c r="E180">
        <f>_xlfn.XLOOKUP(C180,Tab_Def_Flows[Flow_Name],Tab_Def_Flows[DM?],,0,)</f>
        <v/>
      </c>
      <c r="F180">
        <f>_xlfn.XLOOKUP(C180,Tab_Def_Flows[Flow_Name],Tab_Def_Flows[CC?],,0,)</f>
        <v/>
      </c>
      <c r="G180" t="n">
        <v>2047</v>
      </c>
      <c r="H180" t="n">
        <v>24143.76357120001</v>
      </c>
      <c r="I180">
        <f>'0_Configuration'!$C$35</f>
        <v/>
      </c>
      <c r="O180" t="inlineStr">
        <is>
          <t>No</t>
        </is>
      </c>
      <c r="R180">
        <f>Tab_Data_Flows[[#This Row],[Flow_ID]]&amp;"_"&amp;"material_"&amp;Tab_Data_Flows[[#This Row],[Flow_Data_Year]]</f>
        <v/>
      </c>
      <c r="S180">
        <f>IF(O180="no",H180,H180*P180)</f>
        <v/>
      </c>
      <c r="T180">
        <f>Tab_Data_Flows[[#This Row],[UoM_Source]]</f>
        <v/>
      </c>
      <c r="U180">
        <f>INDEX(Tab_Def_Flows[[Flow_ID]:[CC_DM_source]],MATCH(Tab_Data_Flows[[#This Row],[Flow_Name]],Tab_Def_Flows[Flow_Name],0),11)</f>
        <v/>
      </c>
      <c r="V180">
        <f>Tab_Data_Flows[[#This Row],[Flow_ID]]&amp;"_"&amp;"WC_"&amp;Tab_Data_Flows[[#This Row],[Flow_Data_Year]]</f>
        <v/>
      </c>
      <c r="W180">
        <f>IF(D180="Yes",S180*Tab_Data_Flows[[#This Row],[WC_'[%']]],"N.A.")</f>
        <v/>
      </c>
      <c r="X180">
        <f>Tab_Data_Flows[[#This Row],[UoM_Flow_Py]]</f>
        <v/>
      </c>
      <c r="Y180">
        <f>INDEX(Tab_Def_Flows[[Flow_ID]:[CC_DM_source]],MATCH(Tab_Data_Flows[[#This Row],[Flow_Name]],Tab_Def_Flows[Flow_Name],0),14)</f>
        <v/>
      </c>
      <c r="Z180">
        <f>Tab_Data_Flows[[#This Row],[Flow_ID]]&amp;"_"&amp;"DM_"&amp;Tab_Data_Flows[[#This Row],[Flow_Data_Year]]</f>
        <v/>
      </c>
      <c r="AA180">
        <f>IF(E180="Yes",Y180*Tab_Data_Flows[[#This Row],[Flow_Material]],"N.A.")</f>
        <v/>
      </c>
      <c r="AB180">
        <f>Tab_Data_Flows[[#This Row],[UoM_Flow_Py]]</f>
        <v/>
      </c>
      <c r="AC180">
        <f>INDEX(Tab_Def_Flows[[Flow_ID]:[CC_DM_source]],MATCH(Tab_Data_Flows[[#This Row],[Flow_Name]],Tab_Def_Flows[Flow_Name],0),17)</f>
        <v/>
      </c>
      <c r="AD180">
        <f>Tab_Data_Flows[[#This Row],[Flow_ID]]&amp;"_"&amp;"CC_"&amp;Tab_Data_Flows[[#This Row],[Flow_Data_Year]]</f>
        <v/>
      </c>
      <c r="AE180">
        <f>IF(F180="Yes",AC180*Tab_Data_Flows[[#This Row],[Flow_Material]]*Tab_Data_Flows[[#This Row],[DM_'[%']]],"N.A.")</f>
        <v/>
      </c>
      <c r="AF180">
        <f>Tab_Data_Flows[[#This Row],[UoM_Flow_Py]]</f>
        <v/>
      </c>
    </row>
    <row r="181">
      <c r="A181">
        <f>ROW()-1</f>
        <v/>
      </c>
      <c r="B181">
        <f>_xlfn.XLOOKUP(C181,Tab_Def_Flows[Flow_Name],Tab_Def_Flows[Flow_ID],,0,)</f>
        <v/>
      </c>
      <c r="C181" t="inlineStr">
        <is>
          <t>Environment_Input_MBC_production_E</t>
        </is>
      </c>
      <c r="D181">
        <f>_xlfn.XLOOKUP(C181,Tab_Def_Flows[Flow_Name],Tab_Def_Flows[WC?],,0,)</f>
        <v/>
      </c>
      <c r="E181">
        <f>_xlfn.XLOOKUP(C181,Tab_Def_Flows[Flow_Name],Tab_Def_Flows[DM?],,0,)</f>
        <v/>
      </c>
      <c r="F181">
        <f>_xlfn.XLOOKUP(C181,Tab_Def_Flows[Flow_Name],Tab_Def_Flows[CC?],,0,)</f>
        <v/>
      </c>
      <c r="G181" t="n">
        <v>2048</v>
      </c>
      <c r="H181" t="n">
        <v>14163.348745728</v>
      </c>
      <c r="I181">
        <f>'0_Configuration'!$C$35</f>
        <v/>
      </c>
      <c r="O181" t="inlineStr">
        <is>
          <t>No</t>
        </is>
      </c>
      <c r="R181">
        <f>Tab_Data_Flows[[#This Row],[Flow_ID]]&amp;"_"&amp;"material_"&amp;Tab_Data_Flows[[#This Row],[Flow_Data_Year]]</f>
        <v/>
      </c>
      <c r="S181">
        <f>IF(O181="no",H181,H181*P181)</f>
        <v/>
      </c>
      <c r="T181">
        <f>Tab_Data_Flows[[#This Row],[UoM_Source]]</f>
        <v/>
      </c>
      <c r="U181">
        <f>INDEX(Tab_Def_Flows[[Flow_ID]:[CC_DM_source]],MATCH(Tab_Data_Flows[[#This Row],[Flow_Name]],Tab_Def_Flows[Flow_Name],0),11)</f>
        <v/>
      </c>
      <c r="V181">
        <f>Tab_Data_Flows[[#This Row],[Flow_ID]]&amp;"_"&amp;"WC_"&amp;Tab_Data_Flows[[#This Row],[Flow_Data_Year]]</f>
        <v/>
      </c>
      <c r="W181">
        <f>IF(D181="Yes",S181*Tab_Data_Flows[[#This Row],[WC_'[%']]],"N.A.")</f>
        <v/>
      </c>
      <c r="X181">
        <f>Tab_Data_Flows[[#This Row],[UoM_Flow_Py]]</f>
        <v/>
      </c>
      <c r="Y181">
        <f>INDEX(Tab_Def_Flows[[Flow_ID]:[CC_DM_source]],MATCH(Tab_Data_Flows[[#This Row],[Flow_Name]],Tab_Def_Flows[Flow_Name],0),14)</f>
        <v/>
      </c>
      <c r="Z181">
        <f>Tab_Data_Flows[[#This Row],[Flow_ID]]&amp;"_"&amp;"DM_"&amp;Tab_Data_Flows[[#This Row],[Flow_Data_Year]]</f>
        <v/>
      </c>
      <c r="AA181">
        <f>IF(E181="Yes",Y181*Tab_Data_Flows[[#This Row],[Flow_Material]],"N.A.")</f>
        <v/>
      </c>
      <c r="AB181">
        <f>Tab_Data_Flows[[#This Row],[UoM_Flow_Py]]</f>
        <v/>
      </c>
      <c r="AC181">
        <f>INDEX(Tab_Def_Flows[[Flow_ID]:[CC_DM_source]],MATCH(Tab_Data_Flows[[#This Row],[Flow_Name]],Tab_Def_Flows[Flow_Name],0),17)</f>
        <v/>
      </c>
      <c r="AD181">
        <f>Tab_Data_Flows[[#This Row],[Flow_ID]]&amp;"_"&amp;"CC_"&amp;Tab_Data_Flows[[#This Row],[Flow_Data_Year]]</f>
        <v/>
      </c>
      <c r="AE181">
        <f>IF(F181="Yes",AC181*Tab_Data_Flows[[#This Row],[Flow_Material]]*Tab_Data_Flows[[#This Row],[DM_'[%']]],"N.A.")</f>
        <v/>
      </c>
      <c r="AF181">
        <f>Tab_Data_Flows[[#This Row],[UoM_Flow_Py]]</f>
        <v/>
      </c>
    </row>
    <row r="182">
      <c r="A182">
        <f>ROW()-1</f>
        <v/>
      </c>
      <c r="B182">
        <f>_xlfn.XLOOKUP(C182,Tab_Def_Flows[Flow_Name],Tab_Def_Flows[Flow_ID],,0,)</f>
        <v/>
      </c>
      <c r="C182" t="inlineStr">
        <is>
          <t>Environment_Input_MBC_production_E</t>
        </is>
      </c>
      <c r="D182">
        <f>_xlfn.XLOOKUP(C182,Tab_Def_Flows[Flow_Name],Tab_Def_Flows[WC?],,0,)</f>
        <v/>
      </c>
      <c r="E182">
        <f>_xlfn.XLOOKUP(C182,Tab_Def_Flows[Flow_Name],Tab_Def_Flows[DM?],,0,)</f>
        <v/>
      </c>
      <c r="F182">
        <f>_xlfn.XLOOKUP(C182,Tab_Def_Flows[Flow_Name],Tab_Def_Flows[CC?],,0,)</f>
        <v/>
      </c>
      <c r="G182" t="n">
        <v>2049</v>
      </c>
      <c r="H182" t="n">
        <v>20051.15164416001</v>
      </c>
      <c r="I182">
        <f>'0_Configuration'!$C$35</f>
        <v/>
      </c>
      <c r="O182" t="inlineStr">
        <is>
          <t>No</t>
        </is>
      </c>
      <c r="R182">
        <f>Tab_Data_Flows[[#This Row],[Flow_ID]]&amp;"_"&amp;"material_"&amp;Tab_Data_Flows[[#This Row],[Flow_Data_Year]]</f>
        <v/>
      </c>
      <c r="S182">
        <f>IF(O182="no",H182,H182*P182)</f>
        <v/>
      </c>
      <c r="T182">
        <f>Tab_Data_Flows[[#This Row],[UoM_Source]]</f>
        <v/>
      </c>
      <c r="U182">
        <f>INDEX(Tab_Def_Flows[[Flow_ID]:[CC_DM_source]],MATCH(Tab_Data_Flows[[#This Row],[Flow_Name]],Tab_Def_Flows[Flow_Name],0),11)</f>
        <v/>
      </c>
      <c r="V182">
        <f>Tab_Data_Flows[[#This Row],[Flow_ID]]&amp;"_"&amp;"WC_"&amp;Tab_Data_Flows[[#This Row],[Flow_Data_Year]]</f>
        <v/>
      </c>
      <c r="W182">
        <f>IF(D182="Yes",S182*Tab_Data_Flows[[#This Row],[WC_'[%']]],"N.A.")</f>
        <v/>
      </c>
      <c r="X182">
        <f>Tab_Data_Flows[[#This Row],[UoM_Flow_Py]]</f>
        <v/>
      </c>
      <c r="Y182">
        <f>INDEX(Tab_Def_Flows[[Flow_ID]:[CC_DM_source]],MATCH(Tab_Data_Flows[[#This Row],[Flow_Name]],Tab_Def_Flows[Flow_Name],0),14)</f>
        <v/>
      </c>
      <c r="Z182">
        <f>Tab_Data_Flows[[#This Row],[Flow_ID]]&amp;"_"&amp;"DM_"&amp;Tab_Data_Flows[[#This Row],[Flow_Data_Year]]</f>
        <v/>
      </c>
      <c r="AA182">
        <f>IF(E182="Yes",Y182*Tab_Data_Flows[[#This Row],[Flow_Material]],"N.A.")</f>
        <v/>
      </c>
      <c r="AB182">
        <f>Tab_Data_Flows[[#This Row],[UoM_Flow_Py]]</f>
        <v/>
      </c>
      <c r="AC182">
        <f>INDEX(Tab_Def_Flows[[Flow_ID]:[CC_DM_source]],MATCH(Tab_Data_Flows[[#This Row],[Flow_Name]],Tab_Def_Flows[Flow_Name],0),17)</f>
        <v/>
      </c>
      <c r="AD182">
        <f>Tab_Data_Flows[[#This Row],[Flow_ID]]&amp;"_"&amp;"CC_"&amp;Tab_Data_Flows[[#This Row],[Flow_Data_Year]]</f>
        <v/>
      </c>
      <c r="AE182">
        <f>IF(F182="Yes",AC182*Tab_Data_Flows[[#This Row],[Flow_Material]]*Tab_Data_Flows[[#This Row],[DM_'[%']]],"N.A.")</f>
        <v/>
      </c>
      <c r="AF182">
        <f>Tab_Data_Flows[[#This Row],[UoM_Flow_Py]]</f>
        <v/>
      </c>
    </row>
    <row r="183">
      <c r="A183">
        <f>ROW()-1</f>
        <v/>
      </c>
      <c r="B183">
        <f>_xlfn.XLOOKUP(C183,Tab_Def_Flows[Flow_Name],Tab_Def_Flows[Flow_ID],,0,)</f>
        <v/>
      </c>
      <c r="C183" t="inlineStr">
        <is>
          <t>Environment_Input_MBC_production_E</t>
        </is>
      </c>
      <c r="D183">
        <f>_xlfn.XLOOKUP(C183,Tab_Def_Flows[Flow_Name],Tab_Def_Flows[WC?],,0,)</f>
        <v/>
      </c>
      <c r="E183">
        <f>_xlfn.XLOOKUP(C183,Tab_Def_Flows[Flow_Name],Tab_Def_Flows[DM?],,0,)</f>
        <v/>
      </c>
      <c r="F183">
        <f>_xlfn.XLOOKUP(C183,Tab_Def_Flows[Flow_Name],Tab_Def_Flows[CC?],,0,)</f>
        <v/>
      </c>
      <c r="G183" t="n">
        <v>2050</v>
      </c>
      <c r="H183" t="n">
        <v>24433.91883878401</v>
      </c>
      <c r="I183">
        <f>'0_Configuration'!$C$35</f>
        <v/>
      </c>
      <c r="O183" t="inlineStr">
        <is>
          <t>No</t>
        </is>
      </c>
      <c r="R183">
        <f>Tab_Data_Flows[[#This Row],[Flow_ID]]&amp;"_"&amp;"material_"&amp;Tab_Data_Flows[[#This Row],[Flow_Data_Year]]</f>
        <v/>
      </c>
      <c r="S183">
        <f>IF(O183="no",H183,H183*P183)</f>
        <v/>
      </c>
      <c r="T183">
        <f>Tab_Data_Flows[[#This Row],[UoM_Source]]</f>
        <v/>
      </c>
      <c r="U183">
        <f>INDEX(Tab_Def_Flows[[Flow_ID]:[CC_DM_source]],MATCH(Tab_Data_Flows[[#This Row],[Flow_Name]],Tab_Def_Flows[Flow_Name],0),11)</f>
        <v/>
      </c>
      <c r="V183">
        <f>Tab_Data_Flows[[#This Row],[Flow_ID]]&amp;"_"&amp;"WC_"&amp;Tab_Data_Flows[[#This Row],[Flow_Data_Year]]</f>
        <v/>
      </c>
      <c r="W183">
        <f>IF(D183="Yes",S183*Tab_Data_Flows[[#This Row],[WC_'[%']]],"N.A.")</f>
        <v/>
      </c>
      <c r="X183">
        <f>Tab_Data_Flows[[#This Row],[UoM_Flow_Py]]</f>
        <v/>
      </c>
      <c r="Y183">
        <f>INDEX(Tab_Def_Flows[[Flow_ID]:[CC_DM_source]],MATCH(Tab_Data_Flows[[#This Row],[Flow_Name]],Tab_Def_Flows[Flow_Name],0),14)</f>
        <v/>
      </c>
      <c r="Z183">
        <f>Tab_Data_Flows[[#This Row],[Flow_ID]]&amp;"_"&amp;"DM_"&amp;Tab_Data_Flows[[#This Row],[Flow_Data_Year]]</f>
        <v/>
      </c>
      <c r="AA183">
        <f>IF(E183="Yes",Y183*Tab_Data_Flows[[#This Row],[Flow_Material]],"N.A.")</f>
        <v/>
      </c>
      <c r="AB183">
        <f>Tab_Data_Flows[[#This Row],[UoM_Flow_Py]]</f>
        <v/>
      </c>
      <c r="AC183">
        <f>INDEX(Tab_Def_Flows[[Flow_ID]:[CC_DM_source]],MATCH(Tab_Data_Flows[[#This Row],[Flow_Name]],Tab_Def_Flows[Flow_Name],0),17)</f>
        <v/>
      </c>
      <c r="AD183">
        <f>Tab_Data_Flows[[#This Row],[Flow_ID]]&amp;"_"&amp;"CC_"&amp;Tab_Data_Flows[[#This Row],[Flow_Data_Year]]</f>
        <v/>
      </c>
      <c r="AE183">
        <f>IF(F183="Yes",AC183*Tab_Data_Flows[[#This Row],[Flow_Material]]*Tab_Data_Flows[[#This Row],[DM_'[%']]],"N.A.")</f>
        <v/>
      </c>
      <c r="AF183">
        <f>Tab_Data_Flows[[#This Row],[UoM_Flow_Py]]</f>
        <v/>
      </c>
    </row>
    <row r="184">
      <c r="A184">
        <f>ROW()-1</f>
        <v/>
      </c>
      <c r="B184">
        <f>_xlfn.XLOOKUP(C184,Tab_Def_Flows[Flow_Name],Tab_Def_Flows[Flow_ID],,0,)</f>
        <v/>
      </c>
      <c r="C184" t="inlineStr">
        <is>
          <t>N.A.</t>
        </is>
      </c>
      <c r="D184">
        <f>_xlfn.XLOOKUP(C184,Tab_Def_Flows[Flow_Name],Tab_Def_Flows[WC?],,0,)</f>
        <v/>
      </c>
      <c r="E184">
        <f>_xlfn.XLOOKUP(C184,Tab_Def_Flows[Flow_Name],Tab_Def_Flows[DM?],,0,)</f>
        <v/>
      </c>
      <c r="F184">
        <f>_xlfn.XLOOKUP(C184,Tab_Def_Flows[Flow_Name],Tab_Def_Flows[CC?],,0,)</f>
        <v/>
      </c>
      <c r="I184">
        <f>'0_Configuration'!$C$35</f>
        <v/>
      </c>
      <c r="O184" t="inlineStr">
        <is>
          <t>No</t>
        </is>
      </c>
      <c r="R184">
        <f>Tab_Data_Flows[[#This Row],[Flow_ID]]&amp;"_"&amp;"material_"&amp;Tab_Data_Flows[[#This Row],[Flow_Data_Year]]</f>
        <v/>
      </c>
      <c r="S184">
        <f>IF(O184="no",H184,H184*P184)</f>
        <v/>
      </c>
      <c r="T184">
        <f>Tab_Data_Flows[[#This Row],[UoM_Source]]</f>
        <v/>
      </c>
      <c r="U184">
        <f>INDEX(Tab_Def_Flows[[Flow_ID]:[CC_DM_source]],MATCH(Tab_Data_Flows[[#This Row],[Flow_Name]],Tab_Def_Flows[Flow_Name],0),11)</f>
        <v/>
      </c>
      <c r="V184">
        <f>Tab_Data_Flows[[#This Row],[Flow_ID]]&amp;"_"&amp;"WC_"&amp;Tab_Data_Flows[[#This Row],[Flow_Data_Year]]</f>
        <v/>
      </c>
      <c r="W184">
        <f>IF(D184="Yes",S184*Tab_Data_Flows[[#This Row],[WC_'[%']]],"N.A.")</f>
        <v/>
      </c>
      <c r="X184">
        <f>Tab_Data_Flows[[#This Row],[UoM_Flow_Py]]</f>
        <v/>
      </c>
      <c r="Y184">
        <f>INDEX(Tab_Def_Flows[[Flow_ID]:[CC_DM_source]],MATCH(Tab_Data_Flows[[#This Row],[Flow_Name]],Tab_Def_Flows[Flow_Name],0),14)</f>
        <v/>
      </c>
      <c r="Z184">
        <f>Tab_Data_Flows[[#This Row],[Flow_ID]]&amp;"_"&amp;"DM_"&amp;Tab_Data_Flows[[#This Row],[Flow_Data_Year]]</f>
        <v/>
      </c>
      <c r="AA184">
        <f>IF(E184="Yes",Y184*Tab_Data_Flows[[#This Row],[Flow_Material]],"N.A.")</f>
        <v/>
      </c>
      <c r="AB184">
        <f>Tab_Data_Flows[[#This Row],[UoM_Flow_Py]]</f>
        <v/>
      </c>
      <c r="AC184">
        <f>INDEX(Tab_Def_Flows[[Flow_ID]:[CC_DM_source]],MATCH(Tab_Data_Flows[[#This Row],[Flow_Name]],Tab_Def_Flows[Flow_Name],0),17)</f>
        <v/>
      </c>
      <c r="AD184">
        <f>Tab_Data_Flows[[#This Row],[Flow_ID]]&amp;"_"&amp;"CC_"&amp;Tab_Data_Flows[[#This Row],[Flow_Data_Year]]</f>
        <v/>
      </c>
      <c r="AE184">
        <f>IF(F184="Yes",AC184*Tab_Data_Flows[[#This Row],[Flow_Material]]*Tab_Data_Flows[[#This Row],[DM_'[%']]],"N.A.")</f>
        <v/>
      </c>
      <c r="AF184">
        <f>Tab_Data_Flows[[#This Row],[UoM_Flow_Py]]</f>
        <v/>
      </c>
    </row>
    <row r="185">
      <c r="A185">
        <f>ROW()-1</f>
        <v/>
      </c>
      <c r="B185">
        <f>_xlfn.XLOOKUP(C185,Tab_Def_Flows[Flow_Name],Tab_Def_Flows[Flow_ID],,0,)</f>
        <v/>
      </c>
      <c r="C185" t="inlineStr">
        <is>
          <t>N.A.</t>
        </is>
      </c>
      <c r="D185">
        <f>_xlfn.XLOOKUP(C185,Tab_Def_Flows[Flow_Name],Tab_Def_Flows[WC?],,0,)</f>
        <v/>
      </c>
      <c r="E185">
        <f>_xlfn.XLOOKUP(C185,Tab_Def_Flows[Flow_Name],Tab_Def_Flows[DM?],,0,)</f>
        <v/>
      </c>
      <c r="F185">
        <f>_xlfn.XLOOKUP(C185,Tab_Def_Flows[Flow_Name],Tab_Def_Flows[CC?],,0,)</f>
        <v/>
      </c>
      <c r="I185">
        <f>'0_Configuration'!$C$35</f>
        <v/>
      </c>
      <c r="O185" t="inlineStr">
        <is>
          <t>No</t>
        </is>
      </c>
      <c r="R185">
        <f>Tab_Data_Flows[[#This Row],[Flow_ID]]&amp;"_"&amp;"material_"&amp;Tab_Data_Flows[[#This Row],[Flow_Data_Year]]</f>
        <v/>
      </c>
      <c r="S185">
        <f>IF(O185="no",H185,H185*P185)</f>
        <v/>
      </c>
      <c r="T185">
        <f>Tab_Data_Flows[[#This Row],[UoM_Source]]</f>
        <v/>
      </c>
      <c r="U185">
        <f>INDEX(Tab_Def_Flows[[Flow_ID]:[CC_DM_source]],MATCH(Tab_Data_Flows[[#This Row],[Flow_Name]],Tab_Def_Flows[Flow_Name],0),11)</f>
        <v/>
      </c>
      <c r="V185">
        <f>Tab_Data_Flows[[#This Row],[Flow_ID]]&amp;"_"&amp;"WC_"&amp;Tab_Data_Flows[[#This Row],[Flow_Data_Year]]</f>
        <v/>
      </c>
      <c r="W185">
        <f>IF(D185="Yes",S185*Tab_Data_Flows[[#This Row],[WC_'[%']]],"N.A.")</f>
        <v/>
      </c>
      <c r="X185">
        <f>Tab_Data_Flows[[#This Row],[UoM_Flow_Py]]</f>
        <v/>
      </c>
      <c r="Y185">
        <f>INDEX(Tab_Def_Flows[[Flow_ID]:[CC_DM_source]],MATCH(Tab_Data_Flows[[#This Row],[Flow_Name]],Tab_Def_Flows[Flow_Name],0),14)</f>
        <v/>
      </c>
      <c r="Z185">
        <f>Tab_Data_Flows[[#This Row],[Flow_ID]]&amp;"_"&amp;"DM_"&amp;Tab_Data_Flows[[#This Row],[Flow_Data_Year]]</f>
        <v/>
      </c>
      <c r="AA185">
        <f>IF(E185="Yes",Y185*Tab_Data_Flows[[#This Row],[Flow_Material]],"N.A.")</f>
        <v/>
      </c>
      <c r="AB185">
        <f>Tab_Data_Flows[[#This Row],[UoM_Flow_Py]]</f>
        <v/>
      </c>
      <c r="AC185">
        <f>INDEX(Tab_Def_Flows[[Flow_ID]:[CC_DM_source]],MATCH(Tab_Data_Flows[[#This Row],[Flow_Name]],Tab_Def_Flows[Flow_Name],0),17)</f>
        <v/>
      </c>
      <c r="AD185">
        <f>Tab_Data_Flows[[#This Row],[Flow_ID]]&amp;"_"&amp;"CC_"&amp;Tab_Data_Flows[[#This Row],[Flow_Data_Year]]</f>
        <v/>
      </c>
      <c r="AE185">
        <f>IF(F185="Yes",AC185*Tab_Data_Flows[[#This Row],[Flow_Material]]*Tab_Data_Flows[[#This Row],[DM_'[%']]],"N.A.")</f>
        <v/>
      </c>
      <c r="AF185">
        <f>Tab_Data_Flows[[#This Row],[UoM_Flow_Py]]</f>
        <v/>
      </c>
    </row>
    <row r="186">
      <c r="A186">
        <f>ROW()-1</f>
        <v/>
      </c>
      <c r="B186">
        <f>_xlfn.XLOOKUP(C186,Tab_Def_Flows[Flow_Name],Tab_Def_Flows[Flow_ID],,0,)</f>
        <v/>
      </c>
      <c r="C186" t="inlineStr">
        <is>
          <t>N.A.</t>
        </is>
      </c>
      <c r="D186">
        <f>_xlfn.XLOOKUP(C186,Tab_Def_Flows[Flow_Name],Tab_Def_Flows[WC?],,0,)</f>
        <v/>
      </c>
      <c r="E186">
        <f>_xlfn.XLOOKUP(C186,Tab_Def_Flows[Flow_Name],Tab_Def_Flows[DM?],,0,)</f>
        <v/>
      </c>
      <c r="F186">
        <f>_xlfn.XLOOKUP(C186,Tab_Def_Flows[Flow_Name],Tab_Def_Flows[CC?],,0,)</f>
        <v/>
      </c>
      <c r="I186">
        <f>'0_Configuration'!$C$35</f>
        <v/>
      </c>
      <c r="O186" t="inlineStr">
        <is>
          <t>No</t>
        </is>
      </c>
      <c r="R186">
        <f>Tab_Data_Flows[[#This Row],[Flow_ID]]&amp;"_"&amp;"material_"&amp;Tab_Data_Flows[[#This Row],[Flow_Data_Year]]</f>
        <v/>
      </c>
      <c r="S186">
        <f>IF(O186="no",H186,H186*P186)</f>
        <v/>
      </c>
      <c r="T186">
        <f>Tab_Data_Flows[[#This Row],[UoM_Source]]</f>
        <v/>
      </c>
      <c r="U186">
        <f>INDEX(Tab_Def_Flows[[Flow_ID]:[CC_DM_source]],MATCH(Tab_Data_Flows[[#This Row],[Flow_Name]],Tab_Def_Flows[Flow_Name],0),11)</f>
        <v/>
      </c>
      <c r="V186">
        <f>Tab_Data_Flows[[#This Row],[Flow_ID]]&amp;"_"&amp;"WC_"&amp;Tab_Data_Flows[[#This Row],[Flow_Data_Year]]</f>
        <v/>
      </c>
      <c r="W186">
        <f>IF(D186="Yes",S186*Tab_Data_Flows[[#This Row],[WC_'[%']]],"N.A.")</f>
        <v/>
      </c>
      <c r="X186">
        <f>Tab_Data_Flows[[#This Row],[UoM_Flow_Py]]</f>
        <v/>
      </c>
      <c r="Y186">
        <f>INDEX(Tab_Def_Flows[[Flow_ID]:[CC_DM_source]],MATCH(Tab_Data_Flows[[#This Row],[Flow_Name]],Tab_Def_Flows[Flow_Name],0),14)</f>
        <v/>
      </c>
      <c r="Z186">
        <f>Tab_Data_Flows[[#This Row],[Flow_ID]]&amp;"_"&amp;"DM_"&amp;Tab_Data_Flows[[#This Row],[Flow_Data_Year]]</f>
        <v/>
      </c>
      <c r="AA186">
        <f>IF(E186="Yes",Y186*Tab_Data_Flows[[#This Row],[Flow_Material]],"N.A.")</f>
        <v/>
      </c>
      <c r="AB186">
        <f>Tab_Data_Flows[[#This Row],[UoM_Flow_Py]]</f>
        <v/>
      </c>
      <c r="AC186">
        <f>INDEX(Tab_Def_Flows[[Flow_ID]:[CC_DM_source]],MATCH(Tab_Data_Flows[[#This Row],[Flow_Name]],Tab_Def_Flows[Flow_Name],0),17)</f>
        <v/>
      </c>
      <c r="AD186">
        <f>Tab_Data_Flows[[#This Row],[Flow_ID]]&amp;"_"&amp;"CC_"&amp;Tab_Data_Flows[[#This Row],[Flow_Data_Year]]</f>
        <v/>
      </c>
      <c r="AE186">
        <f>IF(F186="Yes",AC186*Tab_Data_Flows[[#This Row],[Flow_Material]]*Tab_Data_Flows[[#This Row],[DM_'[%']]],"N.A.")</f>
        <v/>
      </c>
      <c r="AF186">
        <f>Tab_Data_Flows[[#This Row],[UoM_Flow_Py]]</f>
        <v/>
      </c>
    </row>
    <row r="187">
      <c r="A187">
        <f>ROW()-1</f>
        <v/>
      </c>
      <c r="B187">
        <f>_xlfn.XLOOKUP(C187,Tab_Def_Flows[Flow_Name],Tab_Def_Flows[Flow_ID],,0,)</f>
        <v/>
      </c>
      <c r="C187" t="inlineStr">
        <is>
          <t>N.A.</t>
        </is>
      </c>
      <c r="D187">
        <f>_xlfn.XLOOKUP(C187,Tab_Def_Flows[Flow_Name],Tab_Def_Flows[WC?],,0,)</f>
        <v/>
      </c>
      <c r="E187">
        <f>_xlfn.XLOOKUP(C187,Tab_Def_Flows[Flow_Name],Tab_Def_Flows[DM?],,0,)</f>
        <v/>
      </c>
      <c r="F187">
        <f>_xlfn.XLOOKUP(C187,Tab_Def_Flows[Flow_Name],Tab_Def_Flows[CC?],,0,)</f>
        <v/>
      </c>
      <c r="I187">
        <f>'0_Configuration'!$C$35</f>
        <v/>
      </c>
      <c r="O187" t="inlineStr">
        <is>
          <t>No</t>
        </is>
      </c>
      <c r="R187">
        <f>Tab_Data_Flows[[#This Row],[Flow_ID]]&amp;"_"&amp;"material_"&amp;Tab_Data_Flows[[#This Row],[Flow_Data_Year]]</f>
        <v/>
      </c>
      <c r="S187">
        <f>IF(O187="no",H187,H187*P187)</f>
        <v/>
      </c>
      <c r="T187">
        <f>Tab_Data_Flows[[#This Row],[UoM_Source]]</f>
        <v/>
      </c>
      <c r="U187">
        <f>INDEX(Tab_Def_Flows[[Flow_ID]:[CC_DM_source]],MATCH(Tab_Data_Flows[[#This Row],[Flow_Name]],Tab_Def_Flows[Flow_Name],0),11)</f>
        <v/>
      </c>
      <c r="V187">
        <f>Tab_Data_Flows[[#This Row],[Flow_ID]]&amp;"_"&amp;"WC_"&amp;Tab_Data_Flows[[#This Row],[Flow_Data_Year]]</f>
        <v/>
      </c>
      <c r="W187">
        <f>IF(D187="Yes",S187*Tab_Data_Flows[[#This Row],[WC_'[%']]],"N.A.")</f>
        <v/>
      </c>
      <c r="X187">
        <f>Tab_Data_Flows[[#This Row],[UoM_Flow_Py]]</f>
        <v/>
      </c>
      <c r="Y187">
        <f>INDEX(Tab_Def_Flows[[Flow_ID]:[CC_DM_source]],MATCH(Tab_Data_Flows[[#This Row],[Flow_Name]],Tab_Def_Flows[Flow_Name],0),14)</f>
        <v/>
      </c>
      <c r="Z187">
        <f>Tab_Data_Flows[[#This Row],[Flow_ID]]&amp;"_"&amp;"DM_"&amp;Tab_Data_Flows[[#This Row],[Flow_Data_Year]]</f>
        <v/>
      </c>
      <c r="AA187">
        <f>IF(E187="Yes",Y187*Tab_Data_Flows[[#This Row],[Flow_Material]],"N.A.")</f>
        <v/>
      </c>
      <c r="AB187">
        <f>Tab_Data_Flows[[#This Row],[UoM_Flow_Py]]</f>
        <v/>
      </c>
      <c r="AC187">
        <f>INDEX(Tab_Def_Flows[[Flow_ID]:[CC_DM_source]],MATCH(Tab_Data_Flows[[#This Row],[Flow_Name]],Tab_Def_Flows[Flow_Name],0),17)</f>
        <v/>
      </c>
      <c r="AD187">
        <f>Tab_Data_Flows[[#This Row],[Flow_ID]]&amp;"_"&amp;"CC_"&amp;Tab_Data_Flows[[#This Row],[Flow_Data_Year]]</f>
        <v/>
      </c>
      <c r="AE187">
        <f>IF(F187="Yes",AC187*Tab_Data_Flows[[#This Row],[Flow_Material]]*Tab_Data_Flows[[#This Row],[DM_'[%']]],"N.A.")</f>
        <v/>
      </c>
      <c r="AF187">
        <f>Tab_Data_Flows[[#This Row],[UoM_Flow_Py]]</f>
        <v/>
      </c>
    </row>
    <row r="188">
      <c r="A188">
        <f>ROW()-1</f>
        <v/>
      </c>
      <c r="B188">
        <f>_xlfn.XLOOKUP(C188,Tab_Def_Flows[Flow_Name],Tab_Def_Flows[Flow_ID],,0,)</f>
        <v/>
      </c>
      <c r="C188" t="inlineStr">
        <is>
          <t>N.A.</t>
        </is>
      </c>
      <c r="D188">
        <f>_xlfn.XLOOKUP(C188,Tab_Def_Flows[Flow_Name],Tab_Def_Flows[WC?],,0,)</f>
        <v/>
      </c>
      <c r="E188">
        <f>_xlfn.XLOOKUP(C188,Tab_Def_Flows[Flow_Name],Tab_Def_Flows[DM?],,0,)</f>
        <v/>
      </c>
      <c r="F188">
        <f>_xlfn.XLOOKUP(C188,Tab_Def_Flows[Flow_Name],Tab_Def_Flows[CC?],,0,)</f>
        <v/>
      </c>
      <c r="I188">
        <f>'0_Configuration'!$C$35</f>
        <v/>
      </c>
      <c r="O188" t="inlineStr">
        <is>
          <t>No</t>
        </is>
      </c>
      <c r="R188">
        <f>Tab_Data_Flows[[#This Row],[Flow_ID]]&amp;"_"&amp;"material_"&amp;Tab_Data_Flows[[#This Row],[Flow_Data_Year]]</f>
        <v/>
      </c>
      <c r="S188">
        <f>IF(O188="no",H188,H188*P188)</f>
        <v/>
      </c>
      <c r="T188">
        <f>Tab_Data_Flows[[#This Row],[UoM_Source]]</f>
        <v/>
      </c>
      <c r="U188">
        <f>INDEX(Tab_Def_Flows[[Flow_ID]:[CC_DM_source]],MATCH(Tab_Data_Flows[[#This Row],[Flow_Name]],Tab_Def_Flows[Flow_Name],0),11)</f>
        <v/>
      </c>
      <c r="V188">
        <f>Tab_Data_Flows[[#This Row],[Flow_ID]]&amp;"_"&amp;"WC_"&amp;Tab_Data_Flows[[#This Row],[Flow_Data_Year]]</f>
        <v/>
      </c>
      <c r="W188">
        <f>IF(D188="Yes",S188*Tab_Data_Flows[[#This Row],[WC_'[%']]],"N.A.")</f>
        <v/>
      </c>
      <c r="X188">
        <f>Tab_Data_Flows[[#This Row],[UoM_Flow_Py]]</f>
        <v/>
      </c>
      <c r="Y188">
        <f>INDEX(Tab_Def_Flows[[Flow_ID]:[CC_DM_source]],MATCH(Tab_Data_Flows[[#This Row],[Flow_Name]],Tab_Def_Flows[Flow_Name],0),14)</f>
        <v/>
      </c>
      <c r="Z188">
        <f>Tab_Data_Flows[[#This Row],[Flow_ID]]&amp;"_"&amp;"DM_"&amp;Tab_Data_Flows[[#This Row],[Flow_Data_Year]]</f>
        <v/>
      </c>
      <c r="AA188">
        <f>IF(E188="Yes",Y188*Tab_Data_Flows[[#This Row],[Flow_Material]],"N.A.")</f>
        <v/>
      </c>
      <c r="AB188">
        <f>Tab_Data_Flows[[#This Row],[UoM_Flow_Py]]</f>
        <v/>
      </c>
      <c r="AC188">
        <f>INDEX(Tab_Def_Flows[[Flow_ID]:[CC_DM_source]],MATCH(Tab_Data_Flows[[#This Row],[Flow_Name]],Tab_Def_Flows[Flow_Name],0),17)</f>
        <v/>
      </c>
      <c r="AD188">
        <f>Tab_Data_Flows[[#This Row],[Flow_ID]]&amp;"_"&amp;"CC_"&amp;Tab_Data_Flows[[#This Row],[Flow_Data_Year]]</f>
        <v/>
      </c>
      <c r="AE188">
        <f>IF(F188="Yes",AC188*Tab_Data_Flows[[#This Row],[Flow_Material]]*Tab_Data_Flows[[#This Row],[DM_'[%']]],"N.A.")</f>
        <v/>
      </c>
      <c r="AF188">
        <f>Tab_Data_Flows[[#This Row],[UoM_Flow_Py]]</f>
        <v/>
      </c>
    </row>
    <row r="189">
      <c r="A189">
        <f>ROW()-1</f>
        <v/>
      </c>
      <c r="B189">
        <f>_xlfn.XLOOKUP(C189,Tab_Def_Flows[Flow_Name],Tab_Def_Flows[Flow_ID],,0,)</f>
        <v/>
      </c>
      <c r="C189" t="inlineStr">
        <is>
          <t>N.A.</t>
        </is>
      </c>
      <c r="D189">
        <f>_xlfn.XLOOKUP(C189,Tab_Def_Flows[Flow_Name],Tab_Def_Flows[WC?],,0,)</f>
        <v/>
      </c>
      <c r="E189">
        <f>_xlfn.XLOOKUP(C189,Tab_Def_Flows[Flow_Name],Tab_Def_Flows[DM?],,0,)</f>
        <v/>
      </c>
      <c r="F189">
        <f>_xlfn.XLOOKUP(C189,Tab_Def_Flows[Flow_Name],Tab_Def_Flows[CC?],,0,)</f>
        <v/>
      </c>
      <c r="I189">
        <f>'0_Configuration'!$C$35</f>
        <v/>
      </c>
      <c r="O189" t="inlineStr">
        <is>
          <t>No</t>
        </is>
      </c>
      <c r="R189">
        <f>Tab_Data_Flows[[#This Row],[Flow_ID]]&amp;"_"&amp;"material_"&amp;Tab_Data_Flows[[#This Row],[Flow_Data_Year]]</f>
        <v/>
      </c>
      <c r="S189">
        <f>IF(O189="no",H189,H189*P189)</f>
        <v/>
      </c>
      <c r="T189">
        <f>Tab_Data_Flows[[#This Row],[UoM_Source]]</f>
        <v/>
      </c>
      <c r="U189">
        <f>INDEX(Tab_Def_Flows[[Flow_ID]:[CC_DM_source]],MATCH(Tab_Data_Flows[[#This Row],[Flow_Name]],Tab_Def_Flows[Flow_Name],0),11)</f>
        <v/>
      </c>
      <c r="V189">
        <f>Tab_Data_Flows[[#This Row],[Flow_ID]]&amp;"_"&amp;"WC_"&amp;Tab_Data_Flows[[#This Row],[Flow_Data_Year]]</f>
        <v/>
      </c>
      <c r="W189">
        <f>IF(D189="Yes",S189*Tab_Data_Flows[[#This Row],[WC_'[%']]],"N.A.")</f>
        <v/>
      </c>
      <c r="X189">
        <f>Tab_Data_Flows[[#This Row],[UoM_Flow_Py]]</f>
        <v/>
      </c>
      <c r="Y189">
        <f>INDEX(Tab_Def_Flows[[Flow_ID]:[CC_DM_source]],MATCH(Tab_Data_Flows[[#This Row],[Flow_Name]],Tab_Def_Flows[Flow_Name],0),14)</f>
        <v/>
      </c>
      <c r="Z189">
        <f>Tab_Data_Flows[[#This Row],[Flow_ID]]&amp;"_"&amp;"DM_"&amp;Tab_Data_Flows[[#This Row],[Flow_Data_Year]]</f>
        <v/>
      </c>
      <c r="AA189">
        <f>IF(E189="Yes",Y189*Tab_Data_Flows[[#This Row],[Flow_Material]],"N.A.")</f>
        <v/>
      </c>
      <c r="AB189">
        <f>Tab_Data_Flows[[#This Row],[UoM_Flow_Py]]</f>
        <v/>
      </c>
      <c r="AC189">
        <f>INDEX(Tab_Def_Flows[[Flow_ID]:[CC_DM_source]],MATCH(Tab_Data_Flows[[#This Row],[Flow_Name]],Tab_Def_Flows[Flow_Name],0),17)</f>
        <v/>
      </c>
      <c r="AD189">
        <f>Tab_Data_Flows[[#This Row],[Flow_ID]]&amp;"_"&amp;"CC_"&amp;Tab_Data_Flows[[#This Row],[Flow_Data_Year]]</f>
        <v/>
      </c>
      <c r="AE189">
        <f>IF(F189="Yes",AC189*Tab_Data_Flows[[#This Row],[Flow_Material]]*Tab_Data_Flows[[#This Row],[DM_'[%']]],"N.A.")</f>
        <v/>
      </c>
      <c r="AF189">
        <f>Tab_Data_Flows[[#This Row],[UoM_Flow_Py]]</f>
        <v/>
      </c>
    </row>
    <row r="190">
      <c r="A190">
        <f>ROW()-1</f>
        <v/>
      </c>
      <c r="B190">
        <f>_xlfn.XLOOKUP(C190,Tab_Def_Flows[Flow_Name],Tab_Def_Flows[Flow_ID],,0,)</f>
        <v/>
      </c>
      <c r="C190" t="inlineStr">
        <is>
          <t>N.A.</t>
        </is>
      </c>
      <c r="D190">
        <f>_xlfn.XLOOKUP(C190,Tab_Def_Flows[Flow_Name],Tab_Def_Flows[WC?],,0,)</f>
        <v/>
      </c>
      <c r="E190">
        <f>_xlfn.XLOOKUP(C190,Tab_Def_Flows[Flow_Name],Tab_Def_Flows[DM?],,0,)</f>
        <v/>
      </c>
      <c r="F190">
        <f>_xlfn.XLOOKUP(C190,Tab_Def_Flows[Flow_Name],Tab_Def_Flows[CC?],,0,)</f>
        <v/>
      </c>
      <c r="I190">
        <f>'0_Configuration'!$C$35</f>
        <v/>
      </c>
      <c r="O190" t="inlineStr">
        <is>
          <t>No</t>
        </is>
      </c>
      <c r="R190">
        <f>Tab_Data_Flows[[#This Row],[Flow_ID]]&amp;"_"&amp;"material_"&amp;Tab_Data_Flows[[#This Row],[Flow_Data_Year]]</f>
        <v/>
      </c>
      <c r="S190">
        <f>IF(O190="no",H190,H190*P190)</f>
        <v/>
      </c>
      <c r="T190">
        <f>Tab_Data_Flows[[#This Row],[UoM_Source]]</f>
        <v/>
      </c>
      <c r="U190">
        <f>INDEX(Tab_Def_Flows[[Flow_ID]:[CC_DM_source]],MATCH(Tab_Data_Flows[[#This Row],[Flow_Name]],Tab_Def_Flows[Flow_Name],0),11)</f>
        <v/>
      </c>
      <c r="V190">
        <f>Tab_Data_Flows[[#This Row],[Flow_ID]]&amp;"_"&amp;"WC_"&amp;Tab_Data_Flows[[#This Row],[Flow_Data_Year]]</f>
        <v/>
      </c>
      <c r="W190">
        <f>IF(D190="Yes",S190*Tab_Data_Flows[[#This Row],[WC_'[%']]],"N.A.")</f>
        <v/>
      </c>
      <c r="X190">
        <f>Tab_Data_Flows[[#This Row],[UoM_Flow_Py]]</f>
        <v/>
      </c>
      <c r="Y190">
        <f>INDEX(Tab_Def_Flows[[Flow_ID]:[CC_DM_source]],MATCH(Tab_Data_Flows[[#This Row],[Flow_Name]],Tab_Def_Flows[Flow_Name],0),14)</f>
        <v/>
      </c>
      <c r="Z190">
        <f>Tab_Data_Flows[[#This Row],[Flow_ID]]&amp;"_"&amp;"DM_"&amp;Tab_Data_Flows[[#This Row],[Flow_Data_Year]]</f>
        <v/>
      </c>
      <c r="AA190">
        <f>IF(E190="Yes",Y190*Tab_Data_Flows[[#This Row],[Flow_Material]],"N.A.")</f>
        <v/>
      </c>
      <c r="AB190">
        <f>Tab_Data_Flows[[#This Row],[UoM_Flow_Py]]</f>
        <v/>
      </c>
      <c r="AC190">
        <f>INDEX(Tab_Def_Flows[[Flow_ID]:[CC_DM_source]],MATCH(Tab_Data_Flows[[#This Row],[Flow_Name]],Tab_Def_Flows[Flow_Name],0),17)</f>
        <v/>
      </c>
      <c r="AD190">
        <f>Tab_Data_Flows[[#This Row],[Flow_ID]]&amp;"_"&amp;"CC_"&amp;Tab_Data_Flows[[#This Row],[Flow_Data_Year]]</f>
        <v/>
      </c>
      <c r="AE190">
        <f>IF(F190="Yes",AC190*Tab_Data_Flows[[#This Row],[Flow_Material]]*Tab_Data_Flows[[#This Row],[DM_'[%']]],"N.A.")</f>
        <v/>
      </c>
      <c r="AF190">
        <f>Tab_Data_Flows[[#This Row],[UoM_Flow_Py]]</f>
        <v/>
      </c>
    </row>
    <row r="191">
      <c r="A191">
        <f>ROW()-1</f>
        <v/>
      </c>
      <c r="B191">
        <f>_xlfn.XLOOKUP(C191,Tab_Def_Flows[Flow_Name],Tab_Def_Flows[Flow_ID],,0,)</f>
        <v/>
      </c>
      <c r="C191" t="inlineStr">
        <is>
          <t>N.A.</t>
        </is>
      </c>
      <c r="D191">
        <f>_xlfn.XLOOKUP(C191,Tab_Def_Flows[Flow_Name],Tab_Def_Flows[WC?],,0,)</f>
        <v/>
      </c>
      <c r="E191">
        <f>_xlfn.XLOOKUP(C191,Tab_Def_Flows[Flow_Name],Tab_Def_Flows[DM?],,0,)</f>
        <v/>
      </c>
      <c r="F191">
        <f>_xlfn.XLOOKUP(C191,Tab_Def_Flows[Flow_Name],Tab_Def_Flows[CC?],,0,)</f>
        <v/>
      </c>
      <c r="I191">
        <f>'0_Configuration'!$C$35</f>
        <v/>
      </c>
      <c r="O191" t="inlineStr">
        <is>
          <t>No</t>
        </is>
      </c>
      <c r="R191">
        <f>Tab_Data_Flows[[#This Row],[Flow_ID]]&amp;"_"&amp;"material_"&amp;Tab_Data_Flows[[#This Row],[Flow_Data_Year]]</f>
        <v/>
      </c>
      <c r="S191">
        <f>IF(O191="no",H191,H191*P191)</f>
        <v/>
      </c>
      <c r="T191">
        <f>Tab_Data_Flows[[#This Row],[UoM_Source]]</f>
        <v/>
      </c>
      <c r="U191">
        <f>INDEX(Tab_Def_Flows[[Flow_ID]:[CC_DM_source]],MATCH(Tab_Data_Flows[[#This Row],[Flow_Name]],Tab_Def_Flows[Flow_Name],0),11)</f>
        <v/>
      </c>
      <c r="V191">
        <f>Tab_Data_Flows[[#This Row],[Flow_ID]]&amp;"_"&amp;"WC_"&amp;Tab_Data_Flows[[#This Row],[Flow_Data_Year]]</f>
        <v/>
      </c>
      <c r="W191">
        <f>IF(D191="Yes",S191*Tab_Data_Flows[[#This Row],[WC_'[%']]],"N.A.")</f>
        <v/>
      </c>
      <c r="X191">
        <f>Tab_Data_Flows[[#This Row],[UoM_Flow_Py]]</f>
        <v/>
      </c>
      <c r="Y191">
        <f>INDEX(Tab_Def_Flows[[Flow_ID]:[CC_DM_source]],MATCH(Tab_Data_Flows[[#This Row],[Flow_Name]],Tab_Def_Flows[Flow_Name],0),14)</f>
        <v/>
      </c>
      <c r="Z191">
        <f>Tab_Data_Flows[[#This Row],[Flow_ID]]&amp;"_"&amp;"DM_"&amp;Tab_Data_Flows[[#This Row],[Flow_Data_Year]]</f>
        <v/>
      </c>
      <c r="AA191">
        <f>IF(E191="Yes",Y191*Tab_Data_Flows[[#This Row],[Flow_Material]],"N.A.")</f>
        <v/>
      </c>
      <c r="AB191">
        <f>Tab_Data_Flows[[#This Row],[UoM_Flow_Py]]</f>
        <v/>
      </c>
      <c r="AC191">
        <f>INDEX(Tab_Def_Flows[[Flow_ID]:[CC_DM_source]],MATCH(Tab_Data_Flows[[#This Row],[Flow_Name]],Tab_Def_Flows[Flow_Name],0),17)</f>
        <v/>
      </c>
      <c r="AD191">
        <f>Tab_Data_Flows[[#This Row],[Flow_ID]]&amp;"_"&amp;"CC_"&amp;Tab_Data_Flows[[#This Row],[Flow_Data_Year]]</f>
        <v/>
      </c>
      <c r="AE191">
        <f>IF(F191="Yes",AC191*Tab_Data_Flows[[#This Row],[Flow_Material]]*Tab_Data_Flows[[#This Row],[DM_'[%']]],"N.A.")</f>
        <v/>
      </c>
      <c r="AF191">
        <f>Tab_Data_Flows[[#This Row],[UoM_Flow_Py]]</f>
        <v/>
      </c>
    </row>
    <row r="192">
      <c r="A192">
        <f>ROW()-1</f>
        <v/>
      </c>
      <c r="B192">
        <f>_xlfn.XLOOKUP(C192,Tab_Def_Flows[Flow_Name],Tab_Def_Flows[Flow_ID],,0,)</f>
        <v/>
      </c>
      <c r="C192" t="inlineStr">
        <is>
          <t>N.A.</t>
        </is>
      </c>
      <c r="D192">
        <f>_xlfn.XLOOKUP(C192,Tab_Def_Flows[Flow_Name],Tab_Def_Flows[WC?],,0,)</f>
        <v/>
      </c>
      <c r="E192">
        <f>_xlfn.XLOOKUP(C192,Tab_Def_Flows[Flow_Name],Tab_Def_Flows[DM?],,0,)</f>
        <v/>
      </c>
      <c r="F192">
        <f>_xlfn.XLOOKUP(C192,Tab_Def_Flows[Flow_Name],Tab_Def_Flows[CC?],,0,)</f>
        <v/>
      </c>
      <c r="I192">
        <f>'0_Configuration'!$C$35</f>
        <v/>
      </c>
      <c r="O192" t="inlineStr">
        <is>
          <t>No</t>
        </is>
      </c>
      <c r="R192">
        <f>Tab_Data_Flows[[#This Row],[Flow_ID]]&amp;"_"&amp;"material_"&amp;Tab_Data_Flows[[#This Row],[Flow_Data_Year]]</f>
        <v/>
      </c>
      <c r="S192">
        <f>IF(O192="no",H192,H192*P192)</f>
        <v/>
      </c>
      <c r="T192">
        <f>Tab_Data_Flows[[#This Row],[UoM_Source]]</f>
        <v/>
      </c>
      <c r="U192">
        <f>INDEX(Tab_Def_Flows[[Flow_ID]:[CC_DM_source]],MATCH(Tab_Data_Flows[[#This Row],[Flow_Name]],Tab_Def_Flows[Flow_Name],0),11)</f>
        <v/>
      </c>
      <c r="V192">
        <f>Tab_Data_Flows[[#This Row],[Flow_ID]]&amp;"_"&amp;"WC_"&amp;Tab_Data_Flows[[#This Row],[Flow_Data_Year]]</f>
        <v/>
      </c>
      <c r="W192">
        <f>IF(D192="Yes",S192*Tab_Data_Flows[[#This Row],[WC_'[%']]],"N.A.")</f>
        <v/>
      </c>
      <c r="X192">
        <f>Tab_Data_Flows[[#This Row],[UoM_Flow_Py]]</f>
        <v/>
      </c>
      <c r="Y192">
        <f>INDEX(Tab_Def_Flows[[Flow_ID]:[CC_DM_source]],MATCH(Tab_Data_Flows[[#This Row],[Flow_Name]],Tab_Def_Flows[Flow_Name],0),14)</f>
        <v/>
      </c>
      <c r="Z192">
        <f>Tab_Data_Flows[[#This Row],[Flow_ID]]&amp;"_"&amp;"DM_"&amp;Tab_Data_Flows[[#This Row],[Flow_Data_Year]]</f>
        <v/>
      </c>
      <c r="AA192">
        <f>IF(E192="Yes",Y192*Tab_Data_Flows[[#This Row],[Flow_Material]],"N.A.")</f>
        <v/>
      </c>
      <c r="AB192">
        <f>Tab_Data_Flows[[#This Row],[UoM_Flow_Py]]</f>
        <v/>
      </c>
      <c r="AC192">
        <f>INDEX(Tab_Def_Flows[[Flow_ID]:[CC_DM_source]],MATCH(Tab_Data_Flows[[#This Row],[Flow_Name]],Tab_Def_Flows[Flow_Name],0),17)</f>
        <v/>
      </c>
      <c r="AD192">
        <f>Tab_Data_Flows[[#This Row],[Flow_ID]]&amp;"_"&amp;"CC_"&amp;Tab_Data_Flows[[#This Row],[Flow_Data_Year]]</f>
        <v/>
      </c>
      <c r="AE192">
        <f>IF(F192="Yes",AC192*Tab_Data_Flows[[#This Row],[Flow_Material]]*Tab_Data_Flows[[#This Row],[DM_'[%']]],"N.A.")</f>
        <v/>
      </c>
      <c r="AF192">
        <f>Tab_Data_Flows[[#This Row],[UoM_Flow_Py]]</f>
        <v/>
      </c>
    </row>
    <row r="193">
      <c r="A193">
        <f>ROW()-1</f>
        <v/>
      </c>
      <c r="B193">
        <f>_xlfn.XLOOKUP(C193,Tab_Def_Flows[Flow_Name],Tab_Def_Flows[Flow_ID],,0,)</f>
        <v/>
      </c>
      <c r="C193" t="inlineStr">
        <is>
          <t>N.A.</t>
        </is>
      </c>
      <c r="D193">
        <f>_xlfn.XLOOKUP(C193,Tab_Def_Flows[Flow_Name],Tab_Def_Flows[WC?],,0,)</f>
        <v/>
      </c>
      <c r="E193">
        <f>_xlfn.XLOOKUP(C193,Tab_Def_Flows[Flow_Name],Tab_Def_Flows[DM?],,0,)</f>
        <v/>
      </c>
      <c r="F193">
        <f>_xlfn.XLOOKUP(C193,Tab_Def_Flows[Flow_Name],Tab_Def_Flows[CC?],,0,)</f>
        <v/>
      </c>
      <c r="I193">
        <f>'0_Configuration'!$C$35</f>
        <v/>
      </c>
      <c r="O193" t="inlineStr">
        <is>
          <t>No</t>
        </is>
      </c>
      <c r="R193">
        <f>Tab_Data_Flows[[#This Row],[Flow_ID]]&amp;"_"&amp;"material_"&amp;Tab_Data_Flows[[#This Row],[Flow_Data_Year]]</f>
        <v/>
      </c>
      <c r="S193">
        <f>IF(O193="no",H193,H193*P193)</f>
        <v/>
      </c>
      <c r="T193">
        <f>Tab_Data_Flows[[#This Row],[UoM_Source]]</f>
        <v/>
      </c>
      <c r="U193">
        <f>INDEX(Tab_Def_Flows[[Flow_ID]:[CC_DM_source]],MATCH(Tab_Data_Flows[[#This Row],[Flow_Name]],Tab_Def_Flows[Flow_Name],0),11)</f>
        <v/>
      </c>
      <c r="V193">
        <f>Tab_Data_Flows[[#This Row],[Flow_ID]]&amp;"_"&amp;"WC_"&amp;Tab_Data_Flows[[#This Row],[Flow_Data_Year]]</f>
        <v/>
      </c>
      <c r="W193">
        <f>IF(D193="Yes",S193*Tab_Data_Flows[[#This Row],[WC_'[%']]],"N.A.")</f>
        <v/>
      </c>
      <c r="X193">
        <f>Tab_Data_Flows[[#This Row],[UoM_Flow_Py]]</f>
        <v/>
      </c>
      <c r="Y193">
        <f>INDEX(Tab_Def_Flows[[Flow_ID]:[CC_DM_source]],MATCH(Tab_Data_Flows[[#This Row],[Flow_Name]],Tab_Def_Flows[Flow_Name],0),14)</f>
        <v/>
      </c>
      <c r="Z193">
        <f>Tab_Data_Flows[[#This Row],[Flow_ID]]&amp;"_"&amp;"DM_"&amp;Tab_Data_Flows[[#This Row],[Flow_Data_Year]]</f>
        <v/>
      </c>
      <c r="AA193">
        <f>IF(E193="Yes",Y193*Tab_Data_Flows[[#This Row],[Flow_Material]],"N.A.")</f>
        <v/>
      </c>
      <c r="AB193">
        <f>Tab_Data_Flows[[#This Row],[UoM_Flow_Py]]</f>
        <v/>
      </c>
      <c r="AC193">
        <f>INDEX(Tab_Def_Flows[[Flow_ID]:[CC_DM_source]],MATCH(Tab_Data_Flows[[#This Row],[Flow_Name]],Tab_Def_Flows[Flow_Name],0),17)</f>
        <v/>
      </c>
      <c r="AD193">
        <f>Tab_Data_Flows[[#This Row],[Flow_ID]]&amp;"_"&amp;"CC_"&amp;Tab_Data_Flows[[#This Row],[Flow_Data_Year]]</f>
        <v/>
      </c>
      <c r="AE193">
        <f>IF(F193="Yes",AC193*Tab_Data_Flows[[#This Row],[Flow_Material]]*Tab_Data_Flows[[#This Row],[DM_'[%']]],"N.A.")</f>
        <v/>
      </c>
      <c r="AF193">
        <f>Tab_Data_Flows[[#This Row],[UoM_Flow_Py]]</f>
        <v/>
      </c>
    </row>
    <row r="194">
      <c r="A194">
        <f>ROW()-1</f>
        <v/>
      </c>
      <c r="B194">
        <f>_xlfn.XLOOKUP(C194,Tab_Def_Flows[Flow_Name],Tab_Def_Flows[Flow_ID],,0,)</f>
        <v/>
      </c>
      <c r="C194" t="inlineStr">
        <is>
          <t>N.A.</t>
        </is>
      </c>
      <c r="D194">
        <f>_xlfn.XLOOKUP(C194,Tab_Def_Flows[Flow_Name],Tab_Def_Flows[WC?],,0,)</f>
        <v/>
      </c>
      <c r="E194">
        <f>_xlfn.XLOOKUP(C194,Tab_Def_Flows[Flow_Name],Tab_Def_Flows[DM?],,0,)</f>
        <v/>
      </c>
      <c r="F194">
        <f>_xlfn.XLOOKUP(C194,Tab_Def_Flows[Flow_Name],Tab_Def_Flows[CC?],,0,)</f>
        <v/>
      </c>
      <c r="I194">
        <f>'0_Configuration'!$C$35</f>
        <v/>
      </c>
      <c r="O194" t="inlineStr">
        <is>
          <t>No</t>
        </is>
      </c>
      <c r="R194">
        <f>Tab_Data_Flows[[#This Row],[Flow_ID]]&amp;"_"&amp;"material_"&amp;Tab_Data_Flows[[#This Row],[Flow_Data_Year]]</f>
        <v/>
      </c>
      <c r="S194">
        <f>IF(O194="no",H194,H194*P194)</f>
        <v/>
      </c>
      <c r="T194">
        <f>Tab_Data_Flows[[#This Row],[UoM_Source]]</f>
        <v/>
      </c>
      <c r="U194">
        <f>INDEX(Tab_Def_Flows[[Flow_ID]:[CC_DM_source]],MATCH(Tab_Data_Flows[[#This Row],[Flow_Name]],Tab_Def_Flows[Flow_Name],0),11)</f>
        <v/>
      </c>
      <c r="V194">
        <f>Tab_Data_Flows[[#This Row],[Flow_ID]]&amp;"_"&amp;"WC_"&amp;Tab_Data_Flows[[#This Row],[Flow_Data_Year]]</f>
        <v/>
      </c>
      <c r="W194">
        <f>IF(D194="Yes",S194*Tab_Data_Flows[[#This Row],[WC_'[%']]],"N.A.")</f>
        <v/>
      </c>
      <c r="X194">
        <f>Tab_Data_Flows[[#This Row],[UoM_Flow_Py]]</f>
        <v/>
      </c>
      <c r="Y194">
        <f>INDEX(Tab_Def_Flows[[Flow_ID]:[CC_DM_source]],MATCH(Tab_Data_Flows[[#This Row],[Flow_Name]],Tab_Def_Flows[Flow_Name],0),14)</f>
        <v/>
      </c>
      <c r="Z194">
        <f>Tab_Data_Flows[[#This Row],[Flow_ID]]&amp;"_"&amp;"DM_"&amp;Tab_Data_Flows[[#This Row],[Flow_Data_Year]]</f>
        <v/>
      </c>
      <c r="AA194">
        <f>IF(E194="Yes",Y194*Tab_Data_Flows[[#This Row],[Flow_Material]],"N.A.")</f>
        <v/>
      </c>
      <c r="AB194">
        <f>Tab_Data_Flows[[#This Row],[UoM_Flow_Py]]</f>
        <v/>
      </c>
      <c r="AC194">
        <f>INDEX(Tab_Def_Flows[[Flow_ID]:[CC_DM_source]],MATCH(Tab_Data_Flows[[#This Row],[Flow_Name]],Tab_Def_Flows[Flow_Name],0),17)</f>
        <v/>
      </c>
      <c r="AD194">
        <f>Tab_Data_Flows[[#This Row],[Flow_ID]]&amp;"_"&amp;"CC_"&amp;Tab_Data_Flows[[#This Row],[Flow_Data_Year]]</f>
        <v/>
      </c>
      <c r="AE194">
        <f>IF(F194="Yes",AC194*Tab_Data_Flows[[#This Row],[Flow_Material]]*Tab_Data_Flows[[#This Row],[DM_'[%']]],"N.A.")</f>
        <v/>
      </c>
      <c r="AF194">
        <f>Tab_Data_Flows[[#This Row],[UoM_Flow_Py]]</f>
        <v/>
      </c>
    </row>
    <row r="195">
      <c r="A195">
        <f>ROW()-1</f>
        <v/>
      </c>
      <c r="B195">
        <f>_xlfn.XLOOKUP(C195,Tab_Def_Flows[Flow_Name],Tab_Def_Flows[Flow_ID],,0,)</f>
        <v/>
      </c>
      <c r="C195" t="inlineStr">
        <is>
          <t>N.A.</t>
        </is>
      </c>
      <c r="D195">
        <f>_xlfn.XLOOKUP(C195,Tab_Def_Flows[Flow_Name],Tab_Def_Flows[WC?],,0,)</f>
        <v/>
      </c>
      <c r="E195">
        <f>_xlfn.XLOOKUP(C195,Tab_Def_Flows[Flow_Name],Tab_Def_Flows[DM?],,0,)</f>
        <v/>
      </c>
      <c r="F195">
        <f>_xlfn.XLOOKUP(C195,Tab_Def_Flows[Flow_Name],Tab_Def_Flows[CC?],,0,)</f>
        <v/>
      </c>
      <c r="I195">
        <f>'0_Configuration'!$C$35</f>
        <v/>
      </c>
      <c r="O195" t="inlineStr">
        <is>
          <t>No</t>
        </is>
      </c>
      <c r="R195">
        <f>Tab_Data_Flows[[#This Row],[Flow_ID]]&amp;"_"&amp;"material_"&amp;Tab_Data_Flows[[#This Row],[Flow_Data_Year]]</f>
        <v/>
      </c>
      <c r="S195">
        <f>IF(O195="no",H195,H195*P195)</f>
        <v/>
      </c>
      <c r="T195">
        <f>Tab_Data_Flows[[#This Row],[UoM_Source]]</f>
        <v/>
      </c>
      <c r="U195">
        <f>INDEX(Tab_Def_Flows[[Flow_ID]:[CC_DM_source]],MATCH(Tab_Data_Flows[[#This Row],[Flow_Name]],Tab_Def_Flows[Flow_Name],0),11)</f>
        <v/>
      </c>
      <c r="V195">
        <f>Tab_Data_Flows[[#This Row],[Flow_ID]]&amp;"_"&amp;"WC_"&amp;Tab_Data_Flows[[#This Row],[Flow_Data_Year]]</f>
        <v/>
      </c>
      <c r="W195">
        <f>IF(D195="Yes",S195*Tab_Data_Flows[[#This Row],[WC_'[%']]],"N.A.")</f>
        <v/>
      </c>
      <c r="X195">
        <f>Tab_Data_Flows[[#This Row],[UoM_Flow_Py]]</f>
        <v/>
      </c>
      <c r="Y195">
        <f>INDEX(Tab_Def_Flows[[Flow_ID]:[CC_DM_source]],MATCH(Tab_Data_Flows[[#This Row],[Flow_Name]],Tab_Def_Flows[Flow_Name],0),14)</f>
        <v/>
      </c>
      <c r="Z195">
        <f>Tab_Data_Flows[[#This Row],[Flow_ID]]&amp;"_"&amp;"DM_"&amp;Tab_Data_Flows[[#This Row],[Flow_Data_Year]]</f>
        <v/>
      </c>
      <c r="AA195">
        <f>IF(E195="Yes",Y195*Tab_Data_Flows[[#This Row],[Flow_Material]],"N.A.")</f>
        <v/>
      </c>
      <c r="AB195">
        <f>Tab_Data_Flows[[#This Row],[UoM_Flow_Py]]</f>
        <v/>
      </c>
      <c r="AC195">
        <f>INDEX(Tab_Def_Flows[[Flow_ID]:[CC_DM_source]],MATCH(Tab_Data_Flows[[#This Row],[Flow_Name]],Tab_Def_Flows[Flow_Name],0),17)</f>
        <v/>
      </c>
      <c r="AD195">
        <f>Tab_Data_Flows[[#This Row],[Flow_ID]]&amp;"_"&amp;"CC_"&amp;Tab_Data_Flows[[#This Row],[Flow_Data_Year]]</f>
        <v/>
      </c>
      <c r="AE195">
        <f>IF(F195="Yes",AC195*Tab_Data_Flows[[#This Row],[Flow_Material]]*Tab_Data_Flows[[#This Row],[DM_'[%']]],"N.A.")</f>
        <v/>
      </c>
      <c r="AF195">
        <f>Tab_Data_Flows[[#This Row],[UoM_Flow_Py]]</f>
        <v/>
      </c>
    </row>
    <row r="196">
      <c r="A196">
        <f>ROW()-1</f>
        <v/>
      </c>
      <c r="B196">
        <f>_xlfn.XLOOKUP(C196,Tab_Def_Flows[Flow_Name],Tab_Def_Flows[Flow_ID],,0,)</f>
        <v/>
      </c>
      <c r="C196" t="inlineStr">
        <is>
          <t>N.A.</t>
        </is>
      </c>
      <c r="D196">
        <f>_xlfn.XLOOKUP(C196,Tab_Def_Flows[Flow_Name],Tab_Def_Flows[WC?],,0,)</f>
        <v/>
      </c>
      <c r="E196">
        <f>_xlfn.XLOOKUP(C196,Tab_Def_Flows[Flow_Name],Tab_Def_Flows[DM?],,0,)</f>
        <v/>
      </c>
      <c r="F196">
        <f>_xlfn.XLOOKUP(C196,Tab_Def_Flows[Flow_Name],Tab_Def_Flows[CC?],,0,)</f>
        <v/>
      </c>
      <c r="I196">
        <f>'0_Configuration'!$C$35</f>
        <v/>
      </c>
      <c r="O196" t="inlineStr">
        <is>
          <t>No</t>
        </is>
      </c>
      <c r="R196">
        <f>Tab_Data_Flows[[#This Row],[Flow_ID]]&amp;"_"&amp;"material_"&amp;Tab_Data_Flows[[#This Row],[Flow_Data_Year]]</f>
        <v/>
      </c>
      <c r="S196">
        <f>IF(O196="no",H196,H196*P196)</f>
        <v/>
      </c>
      <c r="T196">
        <f>Tab_Data_Flows[[#This Row],[UoM_Source]]</f>
        <v/>
      </c>
      <c r="U196">
        <f>INDEX(Tab_Def_Flows[[Flow_ID]:[CC_DM_source]],MATCH(Tab_Data_Flows[[#This Row],[Flow_Name]],Tab_Def_Flows[Flow_Name],0),11)</f>
        <v/>
      </c>
      <c r="V196">
        <f>Tab_Data_Flows[[#This Row],[Flow_ID]]&amp;"_"&amp;"WC_"&amp;Tab_Data_Flows[[#This Row],[Flow_Data_Year]]</f>
        <v/>
      </c>
      <c r="W196">
        <f>IF(D196="Yes",S196*Tab_Data_Flows[[#This Row],[WC_'[%']]],"N.A.")</f>
        <v/>
      </c>
      <c r="X196">
        <f>Tab_Data_Flows[[#This Row],[UoM_Flow_Py]]</f>
        <v/>
      </c>
      <c r="Y196">
        <f>INDEX(Tab_Def_Flows[[Flow_ID]:[CC_DM_source]],MATCH(Tab_Data_Flows[[#This Row],[Flow_Name]],Tab_Def_Flows[Flow_Name],0),14)</f>
        <v/>
      </c>
      <c r="Z196">
        <f>Tab_Data_Flows[[#This Row],[Flow_ID]]&amp;"_"&amp;"DM_"&amp;Tab_Data_Flows[[#This Row],[Flow_Data_Year]]</f>
        <v/>
      </c>
      <c r="AA196">
        <f>IF(E196="Yes",Y196*Tab_Data_Flows[[#This Row],[Flow_Material]],"N.A.")</f>
        <v/>
      </c>
      <c r="AB196">
        <f>Tab_Data_Flows[[#This Row],[UoM_Flow_Py]]</f>
        <v/>
      </c>
      <c r="AC196">
        <f>INDEX(Tab_Def_Flows[[Flow_ID]:[CC_DM_source]],MATCH(Tab_Data_Flows[[#This Row],[Flow_Name]],Tab_Def_Flows[Flow_Name],0),17)</f>
        <v/>
      </c>
      <c r="AD196">
        <f>Tab_Data_Flows[[#This Row],[Flow_ID]]&amp;"_"&amp;"CC_"&amp;Tab_Data_Flows[[#This Row],[Flow_Data_Year]]</f>
        <v/>
      </c>
      <c r="AE196">
        <f>IF(F196="Yes",AC196*Tab_Data_Flows[[#This Row],[Flow_Material]]*Tab_Data_Flows[[#This Row],[DM_'[%']]],"N.A.")</f>
        <v/>
      </c>
      <c r="AF196">
        <f>Tab_Data_Flows[[#This Row],[UoM_Flow_Py]]</f>
        <v/>
      </c>
    </row>
    <row r="197">
      <c r="A197">
        <f>ROW()-1</f>
        <v/>
      </c>
      <c r="B197">
        <f>_xlfn.XLOOKUP(C197,Tab_Def_Flows[Flow_Name],Tab_Def_Flows[Flow_ID],,0,)</f>
        <v/>
      </c>
      <c r="C197" t="inlineStr">
        <is>
          <t>N.A.</t>
        </is>
      </c>
      <c r="D197">
        <f>_xlfn.XLOOKUP(C197,Tab_Def_Flows[Flow_Name],Tab_Def_Flows[WC?],,0,)</f>
        <v/>
      </c>
      <c r="E197">
        <f>_xlfn.XLOOKUP(C197,Tab_Def_Flows[Flow_Name],Tab_Def_Flows[DM?],,0,)</f>
        <v/>
      </c>
      <c r="F197">
        <f>_xlfn.XLOOKUP(C197,Tab_Def_Flows[Flow_Name],Tab_Def_Flows[CC?],,0,)</f>
        <v/>
      </c>
      <c r="I197">
        <f>'0_Configuration'!$C$35</f>
        <v/>
      </c>
      <c r="O197" t="inlineStr">
        <is>
          <t>No</t>
        </is>
      </c>
      <c r="R197">
        <f>Tab_Data_Flows[[#This Row],[Flow_ID]]&amp;"_"&amp;"material_"&amp;Tab_Data_Flows[[#This Row],[Flow_Data_Year]]</f>
        <v/>
      </c>
      <c r="S197">
        <f>IF(O197="no",H197,H197*P197)</f>
        <v/>
      </c>
      <c r="T197">
        <f>Tab_Data_Flows[[#This Row],[UoM_Source]]</f>
        <v/>
      </c>
      <c r="U197">
        <f>INDEX(Tab_Def_Flows[[Flow_ID]:[CC_DM_source]],MATCH(Tab_Data_Flows[[#This Row],[Flow_Name]],Tab_Def_Flows[Flow_Name],0),11)</f>
        <v/>
      </c>
      <c r="V197">
        <f>Tab_Data_Flows[[#This Row],[Flow_ID]]&amp;"_"&amp;"WC_"&amp;Tab_Data_Flows[[#This Row],[Flow_Data_Year]]</f>
        <v/>
      </c>
      <c r="W197">
        <f>IF(D197="Yes",S197*Tab_Data_Flows[[#This Row],[WC_'[%']]],"N.A.")</f>
        <v/>
      </c>
      <c r="X197">
        <f>Tab_Data_Flows[[#This Row],[UoM_Flow_Py]]</f>
        <v/>
      </c>
      <c r="Y197">
        <f>INDEX(Tab_Def_Flows[[Flow_ID]:[CC_DM_source]],MATCH(Tab_Data_Flows[[#This Row],[Flow_Name]],Tab_Def_Flows[Flow_Name],0),14)</f>
        <v/>
      </c>
      <c r="Z197">
        <f>Tab_Data_Flows[[#This Row],[Flow_ID]]&amp;"_"&amp;"DM_"&amp;Tab_Data_Flows[[#This Row],[Flow_Data_Year]]</f>
        <v/>
      </c>
      <c r="AA197">
        <f>IF(E197="Yes",Y197*Tab_Data_Flows[[#This Row],[Flow_Material]],"N.A.")</f>
        <v/>
      </c>
      <c r="AB197">
        <f>Tab_Data_Flows[[#This Row],[UoM_Flow_Py]]</f>
        <v/>
      </c>
      <c r="AC197">
        <f>INDEX(Tab_Def_Flows[[Flow_ID]:[CC_DM_source]],MATCH(Tab_Data_Flows[[#This Row],[Flow_Name]],Tab_Def_Flows[Flow_Name],0),17)</f>
        <v/>
      </c>
      <c r="AD197">
        <f>Tab_Data_Flows[[#This Row],[Flow_ID]]&amp;"_"&amp;"CC_"&amp;Tab_Data_Flows[[#This Row],[Flow_Data_Year]]</f>
        <v/>
      </c>
      <c r="AE197">
        <f>IF(F197="Yes",AC197*Tab_Data_Flows[[#This Row],[Flow_Material]]*Tab_Data_Flows[[#This Row],[DM_'[%']]],"N.A.")</f>
        <v/>
      </c>
      <c r="AF197">
        <f>Tab_Data_Flows[[#This Row],[UoM_Flow_Py]]</f>
        <v/>
      </c>
    </row>
    <row r="198">
      <c r="A198">
        <f>ROW()-1</f>
        <v/>
      </c>
      <c r="B198">
        <f>_xlfn.XLOOKUP(C198,Tab_Def_Flows[Flow_Name],Tab_Def_Flows[Flow_ID],,0,)</f>
        <v/>
      </c>
      <c r="C198" t="inlineStr">
        <is>
          <t>N.A.</t>
        </is>
      </c>
      <c r="D198">
        <f>_xlfn.XLOOKUP(C198,Tab_Def_Flows[Flow_Name],Tab_Def_Flows[WC?],,0,)</f>
        <v/>
      </c>
      <c r="E198">
        <f>_xlfn.XLOOKUP(C198,Tab_Def_Flows[Flow_Name],Tab_Def_Flows[DM?],,0,)</f>
        <v/>
      </c>
      <c r="F198">
        <f>_xlfn.XLOOKUP(C198,Tab_Def_Flows[Flow_Name],Tab_Def_Flows[CC?],,0,)</f>
        <v/>
      </c>
      <c r="I198">
        <f>'0_Configuration'!$C$35</f>
        <v/>
      </c>
      <c r="O198" t="inlineStr">
        <is>
          <t>No</t>
        </is>
      </c>
      <c r="R198">
        <f>Tab_Data_Flows[[#This Row],[Flow_ID]]&amp;"_"&amp;"material_"&amp;Tab_Data_Flows[[#This Row],[Flow_Data_Year]]</f>
        <v/>
      </c>
      <c r="S198">
        <f>IF(O198="no",H198,H198*P198)</f>
        <v/>
      </c>
      <c r="T198">
        <f>Tab_Data_Flows[[#This Row],[UoM_Source]]</f>
        <v/>
      </c>
      <c r="U198">
        <f>INDEX(Tab_Def_Flows[[Flow_ID]:[CC_DM_source]],MATCH(Tab_Data_Flows[[#This Row],[Flow_Name]],Tab_Def_Flows[Flow_Name],0),11)</f>
        <v/>
      </c>
      <c r="V198">
        <f>Tab_Data_Flows[[#This Row],[Flow_ID]]&amp;"_"&amp;"WC_"&amp;Tab_Data_Flows[[#This Row],[Flow_Data_Year]]</f>
        <v/>
      </c>
      <c r="W198">
        <f>IF(D198="Yes",S198*Tab_Data_Flows[[#This Row],[WC_'[%']]],"N.A.")</f>
        <v/>
      </c>
      <c r="X198">
        <f>Tab_Data_Flows[[#This Row],[UoM_Flow_Py]]</f>
        <v/>
      </c>
      <c r="Y198">
        <f>INDEX(Tab_Def_Flows[[Flow_ID]:[CC_DM_source]],MATCH(Tab_Data_Flows[[#This Row],[Flow_Name]],Tab_Def_Flows[Flow_Name],0),14)</f>
        <v/>
      </c>
      <c r="Z198">
        <f>Tab_Data_Flows[[#This Row],[Flow_ID]]&amp;"_"&amp;"DM_"&amp;Tab_Data_Flows[[#This Row],[Flow_Data_Year]]</f>
        <v/>
      </c>
      <c r="AA198">
        <f>IF(E198="Yes",Y198*Tab_Data_Flows[[#This Row],[Flow_Material]],"N.A.")</f>
        <v/>
      </c>
      <c r="AB198">
        <f>Tab_Data_Flows[[#This Row],[UoM_Flow_Py]]</f>
        <v/>
      </c>
      <c r="AC198">
        <f>INDEX(Tab_Def_Flows[[Flow_ID]:[CC_DM_source]],MATCH(Tab_Data_Flows[[#This Row],[Flow_Name]],Tab_Def_Flows[Flow_Name],0),17)</f>
        <v/>
      </c>
      <c r="AD198">
        <f>Tab_Data_Flows[[#This Row],[Flow_ID]]&amp;"_"&amp;"CC_"&amp;Tab_Data_Flows[[#This Row],[Flow_Data_Year]]</f>
        <v/>
      </c>
      <c r="AE198">
        <f>IF(F198="Yes",AC198*Tab_Data_Flows[[#This Row],[Flow_Material]]*Tab_Data_Flows[[#This Row],[DM_'[%']]],"N.A.")</f>
        <v/>
      </c>
      <c r="AF198">
        <f>Tab_Data_Flows[[#This Row],[UoM_Flow_Py]]</f>
        <v/>
      </c>
    </row>
    <row r="199">
      <c r="A199">
        <f>ROW()-1</f>
        <v/>
      </c>
      <c r="B199">
        <f>_xlfn.XLOOKUP(C199,Tab_Def_Flows[Flow_Name],Tab_Def_Flows[Flow_ID],,0,)</f>
        <v/>
      </c>
      <c r="C199" t="inlineStr">
        <is>
          <t>N.A.</t>
        </is>
      </c>
      <c r="D199">
        <f>_xlfn.XLOOKUP(C199,Tab_Def_Flows[Flow_Name],Tab_Def_Flows[WC?],,0,)</f>
        <v/>
      </c>
      <c r="E199">
        <f>_xlfn.XLOOKUP(C199,Tab_Def_Flows[Flow_Name],Tab_Def_Flows[DM?],,0,)</f>
        <v/>
      </c>
      <c r="F199">
        <f>_xlfn.XLOOKUP(C199,Tab_Def_Flows[Flow_Name],Tab_Def_Flows[CC?],,0,)</f>
        <v/>
      </c>
      <c r="I199">
        <f>'0_Configuration'!$C$35</f>
        <v/>
      </c>
      <c r="O199" t="inlineStr">
        <is>
          <t>No</t>
        </is>
      </c>
      <c r="R199">
        <f>Tab_Data_Flows[[#This Row],[Flow_ID]]&amp;"_"&amp;"material_"&amp;Tab_Data_Flows[[#This Row],[Flow_Data_Year]]</f>
        <v/>
      </c>
      <c r="S199">
        <f>IF(O199="no",H199,H199*P199)</f>
        <v/>
      </c>
      <c r="T199">
        <f>Tab_Data_Flows[[#This Row],[UoM_Source]]</f>
        <v/>
      </c>
      <c r="U199">
        <f>INDEX(Tab_Def_Flows[[Flow_ID]:[CC_DM_source]],MATCH(Tab_Data_Flows[[#This Row],[Flow_Name]],Tab_Def_Flows[Flow_Name],0),11)</f>
        <v/>
      </c>
      <c r="V199">
        <f>Tab_Data_Flows[[#This Row],[Flow_ID]]&amp;"_"&amp;"WC_"&amp;Tab_Data_Flows[[#This Row],[Flow_Data_Year]]</f>
        <v/>
      </c>
      <c r="W199">
        <f>IF(D199="Yes",S199*Tab_Data_Flows[[#This Row],[WC_'[%']]],"N.A.")</f>
        <v/>
      </c>
      <c r="X199">
        <f>Tab_Data_Flows[[#This Row],[UoM_Flow_Py]]</f>
        <v/>
      </c>
      <c r="Y199">
        <f>INDEX(Tab_Def_Flows[[Flow_ID]:[CC_DM_source]],MATCH(Tab_Data_Flows[[#This Row],[Flow_Name]],Tab_Def_Flows[Flow_Name],0),14)</f>
        <v/>
      </c>
      <c r="Z199">
        <f>Tab_Data_Flows[[#This Row],[Flow_ID]]&amp;"_"&amp;"DM_"&amp;Tab_Data_Flows[[#This Row],[Flow_Data_Year]]</f>
        <v/>
      </c>
      <c r="AA199">
        <f>IF(E199="Yes",Y199*Tab_Data_Flows[[#This Row],[Flow_Material]],"N.A.")</f>
        <v/>
      </c>
      <c r="AB199">
        <f>Tab_Data_Flows[[#This Row],[UoM_Flow_Py]]</f>
        <v/>
      </c>
      <c r="AC199">
        <f>INDEX(Tab_Def_Flows[[Flow_ID]:[CC_DM_source]],MATCH(Tab_Data_Flows[[#This Row],[Flow_Name]],Tab_Def_Flows[Flow_Name],0),17)</f>
        <v/>
      </c>
      <c r="AD199">
        <f>Tab_Data_Flows[[#This Row],[Flow_ID]]&amp;"_"&amp;"CC_"&amp;Tab_Data_Flows[[#This Row],[Flow_Data_Year]]</f>
        <v/>
      </c>
      <c r="AE199">
        <f>IF(F199="Yes",AC199*Tab_Data_Flows[[#This Row],[Flow_Material]]*Tab_Data_Flows[[#This Row],[DM_'[%']]],"N.A.")</f>
        <v/>
      </c>
      <c r="AF199">
        <f>Tab_Data_Flows[[#This Row],[UoM_Flow_Py]]</f>
        <v/>
      </c>
    </row>
    <row r="200">
      <c r="A200">
        <f>ROW()-1</f>
        <v/>
      </c>
      <c r="B200">
        <f>_xlfn.XLOOKUP(C200,Tab_Def_Flows[Flow_Name],Tab_Def_Flows[Flow_ID],,0,)</f>
        <v/>
      </c>
      <c r="C200" t="inlineStr">
        <is>
          <t>N.A.</t>
        </is>
      </c>
      <c r="D200">
        <f>_xlfn.XLOOKUP(C200,Tab_Def_Flows[Flow_Name],Tab_Def_Flows[WC?],,0,)</f>
        <v/>
      </c>
      <c r="E200">
        <f>_xlfn.XLOOKUP(C200,Tab_Def_Flows[Flow_Name],Tab_Def_Flows[DM?],,0,)</f>
        <v/>
      </c>
      <c r="F200">
        <f>_xlfn.XLOOKUP(C200,Tab_Def_Flows[Flow_Name],Tab_Def_Flows[CC?],,0,)</f>
        <v/>
      </c>
      <c r="I200">
        <f>'0_Configuration'!$C$35</f>
        <v/>
      </c>
      <c r="O200" t="inlineStr">
        <is>
          <t>No</t>
        </is>
      </c>
      <c r="R200">
        <f>Tab_Data_Flows[[#This Row],[Flow_ID]]&amp;"_"&amp;"material_"&amp;Tab_Data_Flows[[#This Row],[Flow_Data_Year]]</f>
        <v/>
      </c>
      <c r="S200">
        <f>IF(O200="no",H200,H200*P200)</f>
        <v/>
      </c>
      <c r="T200">
        <f>Tab_Data_Flows[[#This Row],[UoM_Source]]</f>
        <v/>
      </c>
      <c r="U200">
        <f>INDEX(Tab_Def_Flows[[Flow_ID]:[CC_DM_source]],MATCH(Tab_Data_Flows[[#This Row],[Flow_Name]],Tab_Def_Flows[Flow_Name],0),11)</f>
        <v/>
      </c>
      <c r="V200">
        <f>Tab_Data_Flows[[#This Row],[Flow_ID]]&amp;"_"&amp;"WC_"&amp;Tab_Data_Flows[[#This Row],[Flow_Data_Year]]</f>
        <v/>
      </c>
      <c r="W200">
        <f>IF(D200="Yes",S200*Tab_Data_Flows[[#This Row],[WC_'[%']]],"N.A.")</f>
        <v/>
      </c>
      <c r="X200">
        <f>Tab_Data_Flows[[#This Row],[UoM_Flow_Py]]</f>
        <v/>
      </c>
      <c r="Y200">
        <f>INDEX(Tab_Def_Flows[[Flow_ID]:[CC_DM_source]],MATCH(Tab_Data_Flows[[#This Row],[Flow_Name]],Tab_Def_Flows[Flow_Name],0),14)</f>
        <v/>
      </c>
      <c r="Z200">
        <f>Tab_Data_Flows[[#This Row],[Flow_ID]]&amp;"_"&amp;"DM_"&amp;Tab_Data_Flows[[#This Row],[Flow_Data_Year]]</f>
        <v/>
      </c>
      <c r="AA200">
        <f>IF(E200="Yes",Y200*Tab_Data_Flows[[#This Row],[Flow_Material]],"N.A.")</f>
        <v/>
      </c>
      <c r="AB200">
        <f>Tab_Data_Flows[[#This Row],[UoM_Flow_Py]]</f>
        <v/>
      </c>
      <c r="AC200">
        <f>INDEX(Tab_Def_Flows[[Flow_ID]:[CC_DM_source]],MATCH(Tab_Data_Flows[[#This Row],[Flow_Name]],Tab_Def_Flows[Flow_Name],0),17)</f>
        <v/>
      </c>
      <c r="AD200">
        <f>Tab_Data_Flows[[#This Row],[Flow_ID]]&amp;"_"&amp;"CC_"&amp;Tab_Data_Flows[[#This Row],[Flow_Data_Year]]</f>
        <v/>
      </c>
      <c r="AE200">
        <f>IF(F200="Yes",AC200*Tab_Data_Flows[[#This Row],[Flow_Material]]*Tab_Data_Flows[[#This Row],[DM_'[%']]],"N.A.")</f>
        <v/>
      </c>
      <c r="AF200">
        <f>Tab_Data_Flows[[#This Row],[UoM_Flow_Py]]</f>
        <v/>
      </c>
    </row>
    <row r="201">
      <c r="A201">
        <f>ROW()-1</f>
        <v/>
      </c>
      <c r="B201">
        <f>_xlfn.XLOOKUP(C201,Tab_Def_Flows[Flow_Name],Tab_Def_Flows[Flow_ID],,0,)</f>
        <v/>
      </c>
      <c r="C201" t="inlineStr">
        <is>
          <t>N.A.</t>
        </is>
      </c>
      <c r="D201">
        <f>_xlfn.XLOOKUP(C201,Tab_Def_Flows[Flow_Name],Tab_Def_Flows[WC?],,0,)</f>
        <v/>
      </c>
      <c r="E201">
        <f>_xlfn.XLOOKUP(C201,Tab_Def_Flows[Flow_Name],Tab_Def_Flows[DM?],,0,)</f>
        <v/>
      </c>
      <c r="F201">
        <f>_xlfn.XLOOKUP(C201,Tab_Def_Flows[Flow_Name],Tab_Def_Flows[CC?],,0,)</f>
        <v/>
      </c>
      <c r="I201">
        <f>'0_Configuration'!$C$35</f>
        <v/>
      </c>
      <c r="O201" t="inlineStr">
        <is>
          <t>No</t>
        </is>
      </c>
      <c r="R201">
        <f>Tab_Data_Flows[[#This Row],[Flow_ID]]&amp;"_"&amp;"material_"&amp;Tab_Data_Flows[[#This Row],[Flow_Data_Year]]</f>
        <v/>
      </c>
      <c r="S201">
        <f>IF(O201="no",H201,H201*P201)</f>
        <v/>
      </c>
      <c r="T201">
        <f>Tab_Data_Flows[[#This Row],[UoM_Source]]</f>
        <v/>
      </c>
      <c r="U201">
        <f>INDEX(Tab_Def_Flows[[Flow_ID]:[CC_DM_source]],MATCH(Tab_Data_Flows[[#This Row],[Flow_Name]],Tab_Def_Flows[Flow_Name],0),11)</f>
        <v/>
      </c>
      <c r="V201">
        <f>Tab_Data_Flows[[#This Row],[Flow_ID]]&amp;"_"&amp;"WC_"&amp;Tab_Data_Flows[[#This Row],[Flow_Data_Year]]</f>
        <v/>
      </c>
      <c r="W201">
        <f>IF(D201="Yes",S201*Tab_Data_Flows[[#This Row],[WC_'[%']]],"N.A.")</f>
        <v/>
      </c>
      <c r="X201">
        <f>Tab_Data_Flows[[#This Row],[UoM_Flow_Py]]</f>
        <v/>
      </c>
      <c r="Y201">
        <f>INDEX(Tab_Def_Flows[[Flow_ID]:[CC_DM_source]],MATCH(Tab_Data_Flows[[#This Row],[Flow_Name]],Tab_Def_Flows[Flow_Name],0),14)</f>
        <v/>
      </c>
      <c r="Z201">
        <f>Tab_Data_Flows[[#This Row],[Flow_ID]]&amp;"_"&amp;"DM_"&amp;Tab_Data_Flows[[#This Row],[Flow_Data_Year]]</f>
        <v/>
      </c>
      <c r="AA201">
        <f>IF(E201="Yes",Y201*Tab_Data_Flows[[#This Row],[Flow_Material]],"N.A.")</f>
        <v/>
      </c>
      <c r="AB201">
        <f>Tab_Data_Flows[[#This Row],[UoM_Flow_Py]]</f>
        <v/>
      </c>
      <c r="AC201">
        <f>INDEX(Tab_Def_Flows[[Flow_ID]:[CC_DM_source]],MATCH(Tab_Data_Flows[[#This Row],[Flow_Name]],Tab_Def_Flows[Flow_Name],0),17)</f>
        <v/>
      </c>
      <c r="AD201">
        <f>Tab_Data_Flows[[#This Row],[Flow_ID]]&amp;"_"&amp;"CC_"&amp;Tab_Data_Flows[[#This Row],[Flow_Data_Year]]</f>
        <v/>
      </c>
      <c r="AE201">
        <f>IF(F201="Yes",AC201*Tab_Data_Flows[[#This Row],[Flow_Material]]*Tab_Data_Flows[[#This Row],[DM_'[%']]],"N.A.")</f>
        <v/>
      </c>
      <c r="AF201">
        <f>Tab_Data_Flows[[#This Row],[UoM_Flow_Py]]</f>
        <v/>
      </c>
    </row>
    <row r="202">
      <c r="A202">
        <f>ROW()-1</f>
        <v/>
      </c>
      <c r="B202">
        <f>_xlfn.XLOOKUP(C202,Tab_Def_Flows[Flow_Name],Tab_Def_Flows[Flow_ID],,0,)</f>
        <v/>
      </c>
      <c r="C202" t="inlineStr">
        <is>
          <t>N.A.</t>
        </is>
      </c>
      <c r="D202">
        <f>_xlfn.XLOOKUP(C202,Tab_Def_Flows[Flow_Name],Tab_Def_Flows[WC?],,0,)</f>
        <v/>
      </c>
      <c r="E202">
        <f>_xlfn.XLOOKUP(C202,Tab_Def_Flows[Flow_Name],Tab_Def_Flows[DM?],,0,)</f>
        <v/>
      </c>
      <c r="F202">
        <f>_xlfn.XLOOKUP(C202,Tab_Def_Flows[Flow_Name],Tab_Def_Flows[CC?],,0,)</f>
        <v/>
      </c>
      <c r="I202">
        <f>'0_Configuration'!$C$35</f>
        <v/>
      </c>
      <c r="O202" t="inlineStr">
        <is>
          <t>No</t>
        </is>
      </c>
      <c r="R202">
        <f>Tab_Data_Flows[[#This Row],[Flow_ID]]&amp;"_"&amp;"material_"&amp;Tab_Data_Flows[[#This Row],[Flow_Data_Year]]</f>
        <v/>
      </c>
      <c r="S202">
        <f>IF(O202="no",H202,H202*P202)</f>
        <v/>
      </c>
      <c r="T202">
        <f>Tab_Data_Flows[[#This Row],[UoM_Source]]</f>
        <v/>
      </c>
      <c r="U202">
        <f>INDEX(Tab_Def_Flows[[Flow_ID]:[CC_DM_source]],MATCH(Tab_Data_Flows[[#This Row],[Flow_Name]],Tab_Def_Flows[Flow_Name],0),11)</f>
        <v/>
      </c>
      <c r="V202">
        <f>Tab_Data_Flows[[#This Row],[Flow_ID]]&amp;"_"&amp;"WC_"&amp;Tab_Data_Flows[[#This Row],[Flow_Data_Year]]</f>
        <v/>
      </c>
      <c r="W202">
        <f>IF(D202="Yes",S202*Tab_Data_Flows[[#This Row],[WC_'[%']]],"N.A.")</f>
        <v/>
      </c>
      <c r="X202">
        <f>Tab_Data_Flows[[#This Row],[UoM_Flow_Py]]</f>
        <v/>
      </c>
      <c r="Y202">
        <f>INDEX(Tab_Def_Flows[[Flow_ID]:[CC_DM_source]],MATCH(Tab_Data_Flows[[#This Row],[Flow_Name]],Tab_Def_Flows[Flow_Name],0),14)</f>
        <v/>
      </c>
      <c r="Z202">
        <f>Tab_Data_Flows[[#This Row],[Flow_ID]]&amp;"_"&amp;"DM_"&amp;Tab_Data_Flows[[#This Row],[Flow_Data_Year]]</f>
        <v/>
      </c>
      <c r="AA202">
        <f>IF(E202="Yes",Y202*Tab_Data_Flows[[#This Row],[Flow_Material]],"N.A.")</f>
        <v/>
      </c>
      <c r="AB202">
        <f>Tab_Data_Flows[[#This Row],[UoM_Flow_Py]]</f>
        <v/>
      </c>
      <c r="AC202">
        <f>INDEX(Tab_Def_Flows[[Flow_ID]:[CC_DM_source]],MATCH(Tab_Data_Flows[[#This Row],[Flow_Name]],Tab_Def_Flows[Flow_Name],0),17)</f>
        <v/>
      </c>
      <c r="AD202">
        <f>Tab_Data_Flows[[#This Row],[Flow_ID]]&amp;"_"&amp;"CC_"&amp;Tab_Data_Flows[[#This Row],[Flow_Data_Year]]</f>
        <v/>
      </c>
      <c r="AE202">
        <f>IF(F202="Yes",AC202*Tab_Data_Flows[[#This Row],[Flow_Material]]*Tab_Data_Flows[[#This Row],[DM_'[%']]],"N.A.")</f>
        <v/>
      </c>
      <c r="AF202">
        <f>Tab_Data_Flows[[#This Row],[UoM_Flow_Py]]</f>
        <v/>
      </c>
    </row>
    <row r="203">
      <c r="A203">
        <f>ROW()-1</f>
        <v/>
      </c>
      <c r="B203">
        <f>_xlfn.XLOOKUP(C203,Tab_Def_Flows[Flow_Name],Tab_Def_Flows[Flow_ID],,0,)</f>
        <v/>
      </c>
      <c r="C203" t="inlineStr">
        <is>
          <t>N.A.</t>
        </is>
      </c>
      <c r="D203">
        <f>_xlfn.XLOOKUP(C203,Tab_Def_Flows[Flow_Name],Tab_Def_Flows[WC?],,0,)</f>
        <v/>
      </c>
      <c r="E203">
        <f>_xlfn.XLOOKUP(C203,Tab_Def_Flows[Flow_Name],Tab_Def_Flows[DM?],,0,)</f>
        <v/>
      </c>
      <c r="F203">
        <f>_xlfn.XLOOKUP(C203,Tab_Def_Flows[Flow_Name],Tab_Def_Flows[CC?],,0,)</f>
        <v/>
      </c>
      <c r="I203">
        <f>'0_Configuration'!$C$35</f>
        <v/>
      </c>
      <c r="O203" t="inlineStr">
        <is>
          <t>No</t>
        </is>
      </c>
      <c r="R203">
        <f>Tab_Data_Flows[[#This Row],[Flow_ID]]&amp;"_"&amp;"material_"&amp;Tab_Data_Flows[[#This Row],[Flow_Data_Year]]</f>
        <v/>
      </c>
      <c r="S203">
        <f>IF(O203="no",H203,H203*P203)</f>
        <v/>
      </c>
      <c r="T203">
        <f>Tab_Data_Flows[[#This Row],[UoM_Source]]</f>
        <v/>
      </c>
      <c r="U203">
        <f>INDEX(Tab_Def_Flows[[Flow_ID]:[CC_DM_source]],MATCH(Tab_Data_Flows[[#This Row],[Flow_Name]],Tab_Def_Flows[Flow_Name],0),11)</f>
        <v/>
      </c>
      <c r="V203">
        <f>Tab_Data_Flows[[#This Row],[Flow_ID]]&amp;"_"&amp;"WC_"&amp;Tab_Data_Flows[[#This Row],[Flow_Data_Year]]</f>
        <v/>
      </c>
      <c r="W203">
        <f>IF(D203="Yes",S203*Tab_Data_Flows[[#This Row],[WC_'[%']]],"N.A.")</f>
        <v/>
      </c>
      <c r="X203">
        <f>Tab_Data_Flows[[#This Row],[UoM_Flow_Py]]</f>
        <v/>
      </c>
      <c r="Y203">
        <f>INDEX(Tab_Def_Flows[[Flow_ID]:[CC_DM_source]],MATCH(Tab_Data_Flows[[#This Row],[Flow_Name]],Tab_Def_Flows[Flow_Name],0),14)</f>
        <v/>
      </c>
      <c r="Z203">
        <f>Tab_Data_Flows[[#This Row],[Flow_ID]]&amp;"_"&amp;"DM_"&amp;Tab_Data_Flows[[#This Row],[Flow_Data_Year]]</f>
        <v/>
      </c>
      <c r="AA203">
        <f>IF(E203="Yes",Y203*Tab_Data_Flows[[#This Row],[Flow_Material]],"N.A.")</f>
        <v/>
      </c>
      <c r="AB203">
        <f>Tab_Data_Flows[[#This Row],[UoM_Flow_Py]]</f>
        <v/>
      </c>
      <c r="AC203">
        <f>INDEX(Tab_Def_Flows[[Flow_ID]:[CC_DM_source]],MATCH(Tab_Data_Flows[[#This Row],[Flow_Name]],Tab_Def_Flows[Flow_Name],0),17)</f>
        <v/>
      </c>
      <c r="AD203">
        <f>Tab_Data_Flows[[#This Row],[Flow_ID]]&amp;"_"&amp;"CC_"&amp;Tab_Data_Flows[[#This Row],[Flow_Data_Year]]</f>
        <v/>
      </c>
      <c r="AE203">
        <f>IF(F203="Yes",AC203*Tab_Data_Flows[[#This Row],[Flow_Material]]*Tab_Data_Flows[[#This Row],[DM_'[%']]],"N.A.")</f>
        <v/>
      </c>
      <c r="AF203">
        <f>Tab_Data_Flows[[#This Row],[UoM_Flow_Py]]</f>
        <v/>
      </c>
    </row>
    <row r="204">
      <c r="A204">
        <f>ROW()-1</f>
        <v/>
      </c>
      <c r="B204">
        <f>_xlfn.XLOOKUP(C204,Tab_Def_Flows[Flow_Name],Tab_Def_Flows[Flow_ID],,0,)</f>
        <v/>
      </c>
      <c r="C204" t="inlineStr">
        <is>
          <t>N.A.</t>
        </is>
      </c>
      <c r="D204">
        <f>_xlfn.XLOOKUP(C204,Tab_Def_Flows[Flow_Name],Tab_Def_Flows[WC?],,0,)</f>
        <v/>
      </c>
      <c r="E204">
        <f>_xlfn.XLOOKUP(C204,Tab_Def_Flows[Flow_Name],Tab_Def_Flows[DM?],,0,)</f>
        <v/>
      </c>
      <c r="F204">
        <f>_xlfn.XLOOKUP(C204,Tab_Def_Flows[Flow_Name],Tab_Def_Flows[CC?],,0,)</f>
        <v/>
      </c>
      <c r="I204">
        <f>'0_Configuration'!$C$35</f>
        <v/>
      </c>
      <c r="O204" t="inlineStr">
        <is>
          <t>No</t>
        </is>
      </c>
      <c r="R204">
        <f>Tab_Data_Flows[[#This Row],[Flow_ID]]&amp;"_"&amp;"material_"&amp;Tab_Data_Flows[[#This Row],[Flow_Data_Year]]</f>
        <v/>
      </c>
      <c r="S204">
        <f>IF(O204="no",H204,H204*P204)</f>
        <v/>
      </c>
      <c r="T204">
        <f>Tab_Data_Flows[[#This Row],[UoM_Source]]</f>
        <v/>
      </c>
      <c r="U204">
        <f>INDEX(Tab_Def_Flows[[Flow_ID]:[CC_DM_source]],MATCH(Tab_Data_Flows[[#This Row],[Flow_Name]],Tab_Def_Flows[Flow_Name],0),11)</f>
        <v/>
      </c>
      <c r="V204">
        <f>Tab_Data_Flows[[#This Row],[Flow_ID]]&amp;"_"&amp;"WC_"&amp;Tab_Data_Flows[[#This Row],[Flow_Data_Year]]</f>
        <v/>
      </c>
      <c r="W204">
        <f>IF(D204="Yes",S204*Tab_Data_Flows[[#This Row],[WC_'[%']]],"N.A.")</f>
        <v/>
      </c>
      <c r="X204">
        <f>Tab_Data_Flows[[#This Row],[UoM_Flow_Py]]</f>
        <v/>
      </c>
      <c r="Y204">
        <f>INDEX(Tab_Def_Flows[[Flow_ID]:[CC_DM_source]],MATCH(Tab_Data_Flows[[#This Row],[Flow_Name]],Tab_Def_Flows[Flow_Name],0),14)</f>
        <v/>
      </c>
      <c r="Z204">
        <f>Tab_Data_Flows[[#This Row],[Flow_ID]]&amp;"_"&amp;"DM_"&amp;Tab_Data_Flows[[#This Row],[Flow_Data_Year]]</f>
        <v/>
      </c>
      <c r="AA204">
        <f>IF(E204="Yes",Y204*Tab_Data_Flows[[#This Row],[Flow_Material]],"N.A.")</f>
        <v/>
      </c>
      <c r="AB204">
        <f>Tab_Data_Flows[[#This Row],[UoM_Flow_Py]]</f>
        <v/>
      </c>
      <c r="AC204">
        <f>INDEX(Tab_Def_Flows[[Flow_ID]:[CC_DM_source]],MATCH(Tab_Data_Flows[[#This Row],[Flow_Name]],Tab_Def_Flows[Flow_Name],0),17)</f>
        <v/>
      </c>
      <c r="AD204">
        <f>Tab_Data_Flows[[#This Row],[Flow_ID]]&amp;"_"&amp;"CC_"&amp;Tab_Data_Flows[[#This Row],[Flow_Data_Year]]</f>
        <v/>
      </c>
      <c r="AE204">
        <f>IF(F204="Yes",AC204*Tab_Data_Flows[[#This Row],[Flow_Material]]*Tab_Data_Flows[[#This Row],[DM_'[%']]],"N.A.")</f>
        <v/>
      </c>
      <c r="AF204">
        <f>Tab_Data_Flows[[#This Row],[UoM_Flow_Py]]</f>
        <v/>
      </c>
    </row>
    <row r="205">
      <c r="A205">
        <f>ROW()-1</f>
        <v/>
      </c>
      <c r="B205">
        <f>_xlfn.XLOOKUP(C205,Tab_Def_Flows[Flow_Name],Tab_Def_Flows[Flow_ID],,0,)</f>
        <v/>
      </c>
      <c r="C205" t="inlineStr">
        <is>
          <t>N.A.</t>
        </is>
      </c>
      <c r="D205">
        <f>_xlfn.XLOOKUP(C205,Tab_Def_Flows[Flow_Name],Tab_Def_Flows[WC?],,0,)</f>
        <v/>
      </c>
      <c r="E205">
        <f>_xlfn.XLOOKUP(C205,Tab_Def_Flows[Flow_Name],Tab_Def_Flows[DM?],,0,)</f>
        <v/>
      </c>
      <c r="F205">
        <f>_xlfn.XLOOKUP(C205,Tab_Def_Flows[Flow_Name],Tab_Def_Flows[CC?],,0,)</f>
        <v/>
      </c>
      <c r="I205">
        <f>'0_Configuration'!$C$35</f>
        <v/>
      </c>
      <c r="O205" t="inlineStr">
        <is>
          <t>No</t>
        </is>
      </c>
      <c r="R205">
        <f>Tab_Data_Flows[[#This Row],[Flow_ID]]&amp;"_"&amp;"material_"&amp;Tab_Data_Flows[[#This Row],[Flow_Data_Year]]</f>
        <v/>
      </c>
      <c r="S205">
        <f>IF(O205="no",H205,H205*P205)</f>
        <v/>
      </c>
      <c r="T205">
        <f>Tab_Data_Flows[[#This Row],[UoM_Source]]</f>
        <v/>
      </c>
      <c r="U205">
        <f>INDEX(Tab_Def_Flows[[Flow_ID]:[CC_DM_source]],MATCH(Tab_Data_Flows[[#This Row],[Flow_Name]],Tab_Def_Flows[Flow_Name],0),11)</f>
        <v/>
      </c>
      <c r="V205">
        <f>Tab_Data_Flows[[#This Row],[Flow_ID]]&amp;"_"&amp;"WC_"&amp;Tab_Data_Flows[[#This Row],[Flow_Data_Year]]</f>
        <v/>
      </c>
      <c r="W205">
        <f>IF(D205="Yes",S205*Tab_Data_Flows[[#This Row],[WC_'[%']]],"N.A.")</f>
        <v/>
      </c>
      <c r="X205">
        <f>Tab_Data_Flows[[#This Row],[UoM_Flow_Py]]</f>
        <v/>
      </c>
      <c r="Y205">
        <f>INDEX(Tab_Def_Flows[[Flow_ID]:[CC_DM_source]],MATCH(Tab_Data_Flows[[#This Row],[Flow_Name]],Tab_Def_Flows[Flow_Name],0),14)</f>
        <v/>
      </c>
      <c r="Z205">
        <f>Tab_Data_Flows[[#This Row],[Flow_ID]]&amp;"_"&amp;"DM_"&amp;Tab_Data_Flows[[#This Row],[Flow_Data_Year]]</f>
        <v/>
      </c>
      <c r="AA205">
        <f>IF(E205="Yes",Y205*Tab_Data_Flows[[#This Row],[Flow_Material]],"N.A.")</f>
        <v/>
      </c>
      <c r="AB205">
        <f>Tab_Data_Flows[[#This Row],[UoM_Flow_Py]]</f>
        <v/>
      </c>
      <c r="AC205">
        <f>INDEX(Tab_Def_Flows[[Flow_ID]:[CC_DM_source]],MATCH(Tab_Data_Flows[[#This Row],[Flow_Name]],Tab_Def_Flows[Flow_Name],0),17)</f>
        <v/>
      </c>
      <c r="AD205">
        <f>Tab_Data_Flows[[#This Row],[Flow_ID]]&amp;"_"&amp;"CC_"&amp;Tab_Data_Flows[[#This Row],[Flow_Data_Year]]</f>
        <v/>
      </c>
      <c r="AE205">
        <f>IF(F205="Yes",AC205*Tab_Data_Flows[[#This Row],[Flow_Material]]*Tab_Data_Flows[[#This Row],[DM_'[%']]],"N.A.")</f>
        <v/>
      </c>
      <c r="AF205">
        <f>Tab_Data_Flows[[#This Row],[UoM_Flow_Py]]</f>
        <v/>
      </c>
    </row>
    <row r="206">
      <c r="A206">
        <f>ROW()-1</f>
        <v/>
      </c>
      <c r="B206">
        <f>_xlfn.XLOOKUP(C206,Tab_Def_Flows[Flow_Name],Tab_Def_Flows[Flow_ID],,0,)</f>
        <v/>
      </c>
      <c r="C206" t="inlineStr">
        <is>
          <t>N.A.</t>
        </is>
      </c>
      <c r="D206">
        <f>_xlfn.XLOOKUP(C206,Tab_Def_Flows[Flow_Name],Tab_Def_Flows[WC?],,0,)</f>
        <v/>
      </c>
      <c r="E206">
        <f>_xlfn.XLOOKUP(C206,Tab_Def_Flows[Flow_Name],Tab_Def_Flows[DM?],,0,)</f>
        <v/>
      </c>
      <c r="F206">
        <f>_xlfn.XLOOKUP(C206,Tab_Def_Flows[Flow_Name],Tab_Def_Flows[CC?],,0,)</f>
        <v/>
      </c>
      <c r="I206">
        <f>'0_Configuration'!$C$35</f>
        <v/>
      </c>
      <c r="O206" t="inlineStr">
        <is>
          <t>No</t>
        </is>
      </c>
      <c r="R206">
        <f>Tab_Data_Flows[[#This Row],[Flow_ID]]&amp;"_"&amp;"material_"&amp;Tab_Data_Flows[[#This Row],[Flow_Data_Year]]</f>
        <v/>
      </c>
      <c r="S206">
        <f>IF(O206="no",H206,H206*P206)</f>
        <v/>
      </c>
      <c r="T206">
        <f>Tab_Data_Flows[[#This Row],[UoM_Source]]</f>
        <v/>
      </c>
      <c r="U206">
        <f>INDEX(Tab_Def_Flows[[Flow_ID]:[CC_DM_source]],MATCH(Tab_Data_Flows[[#This Row],[Flow_Name]],Tab_Def_Flows[Flow_Name],0),11)</f>
        <v/>
      </c>
      <c r="V206">
        <f>Tab_Data_Flows[[#This Row],[Flow_ID]]&amp;"_"&amp;"WC_"&amp;Tab_Data_Flows[[#This Row],[Flow_Data_Year]]</f>
        <v/>
      </c>
      <c r="W206">
        <f>IF(D206="Yes",S206*Tab_Data_Flows[[#This Row],[WC_'[%']]],"N.A.")</f>
        <v/>
      </c>
      <c r="X206">
        <f>Tab_Data_Flows[[#This Row],[UoM_Flow_Py]]</f>
        <v/>
      </c>
      <c r="Y206">
        <f>INDEX(Tab_Def_Flows[[Flow_ID]:[CC_DM_source]],MATCH(Tab_Data_Flows[[#This Row],[Flow_Name]],Tab_Def_Flows[Flow_Name],0),14)</f>
        <v/>
      </c>
      <c r="Z206">
        <f>Tab_Data_Flows[[#This Row],[Flow_ID]]&amp;"_"&amp;"DM_"&amp;Tab_Data_Flows[[#This Row],[Flow_Data_Year]]</f>
        <v/>
      </c>
      <c r="AA206">
        <f>IF(E206="Yes",Y206*Tab_Data_Flows[[#This Row],[Flow_Material]],"N.A.")</f>
        <v/>
      </c>
      <c r="AB206">
        <f>Tab_Data_Flows[[#This Row],[UoM_Flow_Py]]</f>
        <v/>
      </c>
      <c r="AC206">
        <f>INDEX(Tab_Def_Flows[[Flow_ID]:[CC_DM_source]],MATCH(Tab_Data_Flows[[#This Row],[Flow_Name]],Tab_Def_Flows[Flow_Name],0),17)</f>
        <v/>
      </c>
      <c r="AD206">
        <f>Tab_Data_Flows[[#This Row],[Flow_ID]]&amp;"_"&amp;"CC_"&amp;Tab_Data_Flows[[#This Row],[Flow_Data_Year]]</f>
        <v/>
      </c>
      <c r="AE206">
        <f>IF(F206="Yes",AC206*Tab_Data_Flows[[#This Row],[Flow_Material]]*Tab_Data_Flows[[#This Row],[DM_'[%']]],"N.A.")</f>
        <v/>
      </c>
      <c r="AF206">
        <f>Tab_Data_Flows[[#This Row],[UoM_Flow_Py]]</f>
        <v/>
      </c>
    </row>
    <row r="207">
      <c r="A207">
        <f>ROW()-1</f>
        <v/>
      </c>
      <c r="B207">
        <f>_xlfn.XLOOKUP(C207,Tab_Def_Flows[Flow_Name],Tab_Def_Flows[Flow_ID],,0,)</f>
        <v/>
      </c>
      <c r="C207" t="inlineStr">
        <is>
          <t>N.A.</t>
        </is>
      </c>
      <c r="D207">
        <f>_xlfn.XLOOKUP(C207,Tab_Def_Flows[Flow_Name],Tab_Def_Flows[WC?],,0,)</f>
        <v/>
      </c>
      <c r="E207">
        <f>_xlfn.XLOOKUP(C207,Tab_Def_Flows[Flow_Name],Tab_Def_Flows[DM?],,0,)</f>
        <v/>
      </c>
      <c r="F207">
        <f>_xlfn.XLOOKUP(C207,Tab_Def_Flows[Flow_Name],Tab_Def_Flows[CC?],,0,)</f>
        <v/>
      </c>
      <c r="I207">
        <f>'0_Configuration'!$C$35</f>
        <v/>
      </c>
      <c r="O207" t="inlineStr">
        <is>
          <t>No</t>
        </is>
      </c>
      <c r="R207">
        <f>Tab_Data_Flows[[#This Row],[Flow_ID]]&amp;"_"&amp;"material_"&amp;Tab_Data_Flows[[#This Row],[Flow_Data_Year]]</f>
        <v/>
      </c>
      <c r="S207">
        <f>IF(O207="no",H207,H207*P207)</f>
        <v/>
      </c>
      <c r="T207">
        <f>Tab_Data_Flows[[#This Row],[UoM_Source]]</f>
        <v/>
      </c>
      <c r="U207">
        <f>INDEX(Tab_Def_Flows[[Flow_ID]:[CC_DM_source]],MATCH(Tab_Data_Flows[[#This Row],[Flow_Name]],Tab_Def_Flows[Flow_Name],0),11)</f>
        <v/>
      </c>
      <c r="V207">
        <f>Tab_Data_Flows[[#This Row],[Flow_ID]]&amp;"_"&amp;"WC_"&amp;Tab_Data_Flows[[#This Row],[Flow_Data_Year]]</f>
        <v/>
      </c>
      <c r="W207">
        <f>IF(D207="Yes",S207*Tab_Data_Flows[[#This Row],[WC_'[%']]],"N.A.")</f>
        <v/>
      </c>
      <c r="X207">
        <f>Tab_Data_Flows[[#This Row],[UoM_Flow_Py]]</f>
        <v/>
      </c>
      <c r="Y207">
        <f>INDEX(Tab_Def_Flows[[Flow_ID]:[CC_DM_source]],MATCH(Tab_Data_Flows[[#This Row],[Flow_Name]],Tab_Def_Flows[Flow_Name],0),14)</f>
        <v/>
      </c>
      <c r="Z207">
        <f>Tab_Data_Flows[[#This Row],[Flow_ID]]&amp;"_"&amp;"DM_"&amp;Tab_Data_Flows[[#This Row],[Flow_Data_Year]]</f>
        <v/>
      </c>
      <c r="AA207">
        <f>IF(E207="Yes",Y207*Tab_Data_Flows[[#This Row],[Flow_Material]],"N.A.")</f>
        <v/>
      </c>
      <c r="AB207">
        <f>Tab_Data_Flows[[#This Row],[UoM_Flow_Py]]</f>
        <v/>
      </c>
      <c r="AC207">
        <f>INDEX(Tab_Def_Flows[[Flow_ID]:[CC_DM_source]],MATCH(Tab_Data_Flows[[#This Row],[Flow_Name]],Tab_Def_Flows[Flow_Name],0),17)</f>
        <v/>
      </c>
      <c r="AD207">
        <f>Tab_Data_Flows[[#This Row],[Flow_ID]]&amp;"_"&amp;"CC_"&amp;Tab_Data_Flows[[#This Row],[Flow_Data_Year]]</f>
        <v/>
      </c>
      <c r="AE207">
        <f>IF(F207="Yes",AC207*Tab_Data_Flows[[#This Row],[Flow_Material]]*Tab_Data_Flows[[#This Row],[DM_'[%']]],"N.A.")</f>
        <v/>
      </c>
      <c r="AF207">
        <f>Tab_Data_Flows[[#This Row],[UoM_Flow_Py]]</f>
        <v/>
      </c>
    </row>
    <row r="208">
      <c r="A208">
        <f>ROW()-1</f>
        <v/>
      </c>
      <c r="B208">
        <f>_xlfn.XLOOKUP(C208,Tab_Def_Flows[Flow_Name],Tab_Def_Flows[Flow_ID],,0,)</f>
        <v/>
      </c>
      <c r="C208" t="inlineStr">
        <is>
          <t>N.A.</t>
        </is>
      </c>
      <c r="D208">
        <f>_xlfn.XLOOKUP(C208,Tab_Def_Flows[Flow_Name],Tab_Def_Flows[WC?],,0,)</f>
        <v/>
      </c>
      <c r="E208">
        <f>_xlfn.XLOOKUP(C208,Tab_Def_Flows[Flow_Name],Tab_Def_Flows[DM?],,0,)</f>
        <v/>
      </c>
      <c r="F208">
        <f>_xlfn.XLOOKUP(C208,Tab_Def_Flows[Flow_Name],Tab_Def_Flows[CC?],,0,)</f>
        <v/>
      </c>
      <c r="I208">
        <f>'0_Configuration'!$C$35</f>
        <v/>
      </c>
      <c r="O208" t="inlineStr">
        <is>
          <t>No</t>
        </is>
      </c>
      <c r="R208">
        <f>Tab_Data_Flows[[#This Row],[Flow_ID]]&amp;"_"&amp;"material_"&amp;Tab_Data_Flows[[#This Row],[Flow_Data_Year]]</f>
        <v/>
      </c>
      <c r="S208">
        <f>IF(O208="no",H208,H208*P208)</f>
        <v/>
      </c>
      <c r="T208">
        <f>Tab_Data_Flows[[#This Row],[UoM_Source]]</f>
        <v/>
      </c>
      <c r="U208">
        <f>INDEX(Tab_Def_Flows[[Flow_ID]:[CC_DM_source]],MATCH(Tab_Data_Flows[[#This Row],[Flow_Name]],Tab_Def_Flows[Flow_Name],0),11)</f>
        <v/>
      </c>
      <c r="V208">
        <f>Tab_Data_Flows[[#This Row],[Flow_ID]]&amp;"_"&amp;"WC_"&amp;Tab_Data_Flows[[#This Row],[Flow_Data_Year]]</f>
        <v/>
      </c>
      <c r="W208">
        <f>IF(D208="Yes",S208*Tab_Data_Flows[[#This Row],[WC_'[%']]],"N.A.")</f>
        <v/>
      </c>
      <c r="X208">
        <f>Tab_Data_Flows[[#This Row],[UoM_Flow_Py]]</f>
        <v/>
      </c>
      <c r="Y208">
        <f>INDEX(Tab_Def_Flows[[Flow_ID]:[CC_DM_source]],MATCH(Tab_Data_Flows[[#This Row],[Flow_Name]],Tab_Def_Flows[Flow_Name],0),14)</f>
        <v/>
      </c>
      <c r="Z208">
        <f>Tab_Data_Flows[[#This Row],[Flow_ID]]&amp;"_"&amp;"DM_"&amp;Tab_Data_Flows[[#This Row],[Flow_Data_Year]]</f>
        <v/>
      </c>
      <c r="AA208">
        <f>IF(E208="Yes",Y208*Tab_Data_Flows[[#This Row],[Flow_Material]],"N.A.")</f>
        <v/>
      </c>
      <c r="AB208">
        <f>Tab_Data_Flows[[#This Row],[UoM_Flow_Py]]</f>
        <v/>
      </c>
      <c r="AC208">
        <f>INDEX(Tab_Def_Flows[[Flow_ID]:[CC_DM_source]],MATCH(Tab_Data_Flows[[#This Row],[Flow_Name]],Tab_Def_Flows[Flow_Name],0),17)</f>
        <v/>
      </c>
      <c r="AD208">
        <f>Tab_Data_Flows[[#This Row],[Flow_ID]]&amp;"_"&amp;"CC_"&amp;Tab_Data_Flows[[#This Row],[Flow_Data_Year]]</f>
        <v/>
      </c>
      <c r="AE208">
        <f>IF(F208="Yes",AC208*Tab_Data_Flows[[#This Row],[Flow_Material]]*Tab_Data_Flows[[#This Row],[DM_'[%']]],"N.A.")</f>
        <v/>
      </c>
      <c r="AF208">
        <f>Tab_Data_Flows[[#This Row],[UoM_Flow_Py]]</f>
        <v/>
      </c>
    </row>
    <row r="209">
      <c r="A209">
        <f>ROW()-1</f>
        <v/>
      </c>
      <c r="B209">
        <f>_xlfn.XLOOKUP(C209,Tab_Def_Flows[Flow_Name],Tab_Def_Flows[Flow_ID],,0,)</f>
        <v/>
      </c>
      <c r="C209" t="inlineStr">
        <is>
          <t>N.A.</t>
        </is>
      </c>
      <c r="D209">
        <f>_xlfn.XLOOKUP(C209,Tab_Def_Flows[Flow_Name],Tab_Def_Flows[WC?],,0,)</f>
        <v/>
      </c>
      <c r="E209">
        <f>_xlfn.XLOOKUP(C209,Tab_Def_Flows[Flow_Name],Tab_Def_Flows[DM?],,0,)</f>
        <v/>
      </c>
      <c r="F209">
        <f>_xlfn.XLOOKUP(C209,Tab_Def_Flows[Flow_Name],Tab_Def_Flows[CC?],,0,)</f>
        <v/>
      </c>
      <c r="I209">
        <f>'0_Configuration'!$C$35</f>
        <v/>
      </c>
      <c r="O209" t="inlineStr">
        <is>
          <t>No</t>
        </is>
      </c>
      <c r="R209">
        <f>Tab_Data_Flows[[#This Row],[Flow_ID]]&amp;"_"&amp;"material_"&amp;Tab_Data_Flows[[#This Row],[Flow_Data_Year]]</f>
        <v/>
      </c>
      <c r="S209">
        <f>IF(O209="no",H209,H209*P209)</f>
        <v/>
      </c>
      <c r="T209">
        <f>Tab_Data_Flows[[#This Row],[UoM_Source]]</f>
        <v/>
      </c>
      <c r="U209">
        <f>INDEX(Tab_Def_Flows[[Flow_ID]:[CC_DM_source]],MATCH(Tab_Data_Flows[[#This Row],[Flow_Name]],Tab_Def_Flows[Flow_Name],0),11)</f>
        <v/>
      </c>
      <c r="V209">
        <f>Tab_Data_Flows[[#This Row],[Flow_ID]]&amp;"_"&amp;"WC_"&amp;Tab_Data_Flows[[#This Row],[Flow_Data_Year]]</f>
        <v/>
      </c>
      <c r="W209">
        <f>IF(D209="Yes",S209*Tab_Data_Flows[[#This Row],[WC_'[%']]],"N.A.")</f>
        <v/>
      </c>
      <c r="X209">
        <f>Tab_Data_Flows[[#This Row],[UoM_Flow_Py]]</f>
        <v/>
      </c>
      <c r="Y209">
        <f>INDEX(Tab_Def_Flows[[Flow_ID]:[CC_DM_source]],MATCH(Tab_Data_Flows[[#This Row],[Flow_Name]],Tab_Def_Flows[Flow_Name],0),14)</f>
        <v/>
      </c>
      <c r="Z209">
        <f>Tab_Data_Flows[[#This Row],[Flow_ID]]&amp;"_"&amp;"DM_"&amp;Tab_Data_Flows[[#This Row],[Flow_Data_Year]]</f>
        <v/>
      </c>
      <c r="AA209">
        <f>IF(E209="Yes",Y209*Tab_Data_Flows[[#This Row],[Flow_Material]],"N.A.")</f>
        <v/>
      </c>
      <c r="AB209">
        <f>Tab_Data_Flows[[#This Row],[UoM_Flow_Py]]</f>
        <v/>
      </c>
      <c r="AC209">
        <f>INDEX(Tab_Def_Flows[[Flow_ID]:[CC_DM_source]],MATCH(Tab_Data_Flows[[#This Row],[Flow_Name]],Tab_Def_Flows[Flow_Name],0),17)</f>
        <v/>
      </c>
      <c r="AD209">
        <f>Tab_Data_Flows[[#This Row],[Flow_ID]]&amp;"_"&amp;"CC_"&amp;Tab_Data_Flows[[#This Row],[Flow_Data_Year]]</f>
        <v/>
      </c>
      <c r="AE209">
        <f>IF(F209="Yes",AC209*Tab_Data_Flows[[#This Row],[Flow_Material]]*Tab_Data_Flows[[#This Row],[DM_'[%']]],"N.A.")</f>
        <v/>
      </c>
      <c r="AF209">
        <f>Tab_Data_Flows[[#This Row],[UoM_Flow_Py]]</f>
        <v/>
      </c>
    </row>
    <row r="210">
      <c r="A210">
        <f>ROW()-1</f>
        <v/>
      </c>
      <c r="B210">
        <f>_xlfn.XLOOKUP(C210,Tab_Def_Flows[Flow_Name],Tab_Def_Flows[Flow_ID],,0,)</f>
        <v/>
      </c>
      <c r="C210" t="inlineStr">
        <is>
          <t>N.A.</t>
        </is>
      </c>
      <c r="D210">
        <f>_xlfn.XLOOKUP(C210,Tab_Def_Flows[Flow_Name],Tab_Def_Flows[WC?],,0,)</f>
        <v/>
      </c>
      <c r="E210">
        <f>_xlfn.XLOOKUP(C210,Tab_Def_Flows[Flow_Name],Tab_Def_Flows[DM?],,0,)</f>
        <v/>
      </c>
      <c r="F210">
        <f>_xlfn.XLOOKUP(C210,Tab_Def_Flows[Flow_Name],Tab_Def_Flows[CC?],,0,)</f>
        <v/>
      </c>
      <c r="I210">
        <f>'0_Configuration'!$C$35</f>
        <v/>
      </c>
      <c r="O210" t="inlineStr">
        <is>
          <t>No</t>
        </is>
      </c>
      <c r="R210">
        <f>Tab_Data_Flows[[#This Row],[Flow_ID]]&amp;"_"&amp;"material_"&amp;Tab_Data_Flows[[#This Row],[Flow_Data_Year]]</f>
        <v/>
      </c>
      <c r="S210">
        <f>IF(O210="no",H210,H210*P210)</f>
        <v/>
      </c>
      <c r="T210">
        <f>Tab_Data_Flows[[#This Row],[UoM_Source]]</f>
        <v/>
      </c>
      <c r="U210">
        <f>INDEX(Tab_Def_Flows[[Flow_ID]:[CC_DM_source]],MATCH(Tab_Data_Flows[[#This Row],[Flow_Name]],Tab_Def_Flows[Flow_Name],0),11)</f>
        <v/>
      </c>
      <c r="V210">
        <f>Tab_Data_Flows[[#This Row],[Flow_ID]]&amp;"_"&amp;"WC_"&amp;Tab_Data_Flows[[#This Row],[Flow_Data_Year]]</f>
        <v/>
      </c>
      <c r="W210">
        <f>IF(D210="Yes",S210*Tab_Data_Flows[[#This Row],[WC_'[%']]],"N.A.")</f>
        <v/>
      </c>
      <c r="X210">
        <f>Tab_Data_Flows[[#This Row],[UoM_Flow_Py]]</f>
        <v/>
      </c>
      <c r="Y210">
        <f>INDEX(Tab_Def_Flows[[Flow_ID]:[CC_DM_source]],MATCH(Tab_Data_Flows[[#This Row],[Flow_Name]],Tab_Def_Flows[Flow_Name],0),14)</f>
        <v/>
      </c>
      <c r="Z210">
        <f>Tab_Data_Flows[[#This Row],[Flow_ID]]&amp;"_"&amp;"DM_"&amp;Tab_Data_Flows[[#This Row],[Flow_Data_Year]]</f>
        <v/>
      </c>
      <c r="AA210">
        <f>IF(E210="Yes",Y210*Tab_Data_Flows[[#This Row],[Flow_Material]],"N.A.")</f>
        <v/>
      </c>
      <c r="AB210">
        <f>Tab_Data_Flows[[#This Row],[UoM_Flow_Py]]</f>
        <v/>
      </c>
      <c r="AC210">
        <f>INDEX(Tab_Def_Flows[[Flow_ID]:[CC_DM_source]],MATCH(Tab_Data_Flows[[#This Row],[Flow_Name]],Tab_Def_Flows[Flow_Name],0),17)</f>
        <v/>
      </c>
      <c r="AD210">
        <f>Tab_Data_Flows[[#This Row],[Flow_ID]]&amp;"_"&amp;"CC_"&amp;Tab_Data_Flows[[#This Row],[Flow_Data_Year]]</f>
        <v/>
      </c>
      <c r="AE210">
        <f>IF(F210="Yes",AC210*Tab_Data_Flows[[#This Row],[Flow_Material]]*Tab_Data_Flows[[#This Row],[DM_'[%']]],"N.A.")</f>
        <v/>
      </c>
      <c r="AF210">
        <f>Tab_Data_Flows[[#This Row],[UoM_Flow_Py]]</f>
        <v/>
      </c>
    </row>
    <row r="211">
      <c r="A211">
        <f>ROW()-1</f>
        <v/>
      </c>
      <c r="B211">
        <f>_xlfn.XLOOKUP(C211,Tab_Def_Flows[Flow_Name],Tab_Def_Flows[Flow_ID],,0,)</f>
        <v/>
      </c>
      <c r="C211" t="inlineStr">
        <is>
          <t>N.A.</t>
        </is>
      </c>
      <c r="D211">
        <f>_xlfn.XLOOKUP(C211,Tab_Def_Flows[Flow_Name],Tab_Def_Flows[WC?],,0,)</f>
        <v/>
      </c>
      <c r="E211">
        <f>_xlfn.XLOOKUP(C211,Tab_Def_Flows[Flow_Name],Tab_Def_Flows[DM?],,0,)</f>
        <v/>
      </c>
      <c r="F211">
        <f>_xlfn.XLOOKUP(C211,Tab_Def_Flows[Flow_Name],Tab_Def_Flows[CC?],,0,)</f>
        <v/>
      </c>
      <c r="I211">
        <f>'0_Configuration'!$C$35</f>
        <v/>
      </c>
      <c r="O211" t="inlineStr">
        <is>
          <t>No</t>
        </is>
      </c>
      <c r="R211">
        <f>Tab_Data_Flows[[#This Row],[Flow_ID]]&amp;"_"&amp;"material_"&amp;Tab_Data_Flows[[#This Row],[Flow_Data_Year]]</f>
        <v/>
      </c>
      <c r="S211">
        <f>IF(O211="no",H211,H211*P211)</f>
        <v/>
      </c>
      <c r="T211">
        <f>Tab_Data_Flows[[#This Row],[UoM_Source]]</f>
        <v/>
      </c>
      <c r="U211">
        <f>INDEX(Tab_Def_Flows[[Flow_ID]:[CC_DM_source]],MATCH(Tab_Data_Flows[[#This Row],[Flow_Name]],Tab_Def_Flows[Flow_Name],0),11)</f>
        <v/>
      </c>
      <c r="V211">
        <f>Tab_Data_Flows[[#This Row],[Flow_ID]]&amp;"_"&amp;"WC_"&amp;Tab_Data_Flows[[#This Row],[Flow_Data_Year]]</f>
        <v/>
      </c>
      <c r="W211">
        <f>IF(D211="Yes",S211*Tab_Data_Flows[[#This Row],[WC_'[%']]],"N.A.")</f>
        <v/>
      </c>
      <c r="X211">
        <f>Tab_Data_Flows[[#This Row],[UoM_Flow_Py]]</f>
        <v/>
      </c>
      <c r="Y211">
        <f>INDEX(Tab_Def_Flows[[Flow_ID]:[CC_DM_source]],MATCH(Tab_Data_Flows[[#This Row],[Flow_Name]],Tab_Def_Flows[Flow_Name],0),14)</f>
        <v/>
      </c>
      <c r="Z211">
        <f>Tab_Data_Flows[[#This Row],[Flow_ID]]&amp;"_"&amp;"DM_"&amp;Tab_Data_Flows[[#This Row],[Flow_Data_Year]]</f>
        <v/>
      </c>
      <c r="AA211">
        <f>IF(E211="Yes",Y211*Tab_Data_Flows[[#This Row],[Flow_Material]],"N.A.")</f>
        <v/>
      </c>
      <c r="AB211">
        <f>Tab_Data_Flows[[#This Row],[UoM_Flow_Py]]</f>
        <v/>
      </c>
      <c r="AC211">
        <f>INDEX(Tab_Def_Flows[[Flow_ID]:[CC_DM_source]],MATCH(Tab_Data_Flows[[#This Row],[Flow_Name]],Tab_Def_Flows[Flow_Name],0),17)</f>
        <v/>
      </c>
      <c r="AD211">
        <f>Tab_Data_Flows[[#This Row],[Flow_ID]]&amp;"_"&amp;"CC_"&amp;Tab_Data_Flows[[#This Row],[Flow_Data_Year]]</f>
        <v/>
      </c>
      <c r="AE211">
        <f>IF(F211="Yes",AC211*Tab_Data_Flows[[#This Row],[Flow_Material]]*Tab_Data_Flows[[#This Row],[DM_'[%']]],"N.A.")</f>
        <v/>
      </c>
      <c r="AF211">
        <f>Tab_Data_Flows[[#This Row],[UoM_Flow_Py]]</f>
        <v/>
      </c>
    </row>
    <row r="212">
      <c r="A212">
        <f>ROW()-1</f>
        <v/>
      </c>
      <c r="B212">
        <f>_xlfn.XLOOKUP(C212,Tab_Def_Flows[Flow_Name],Tab_Def_Flows[Flow_ID],,0,)</f>
        <v/>
      </c>
      <c r="C212" t="inlineStr">
        <is>
          <t>N.A.</t>
        </is>
      </c>
      <c r="D212">
        <f>_xlfn.XLOOKUP(C212,Tab_Def_Flows[Flow_Name],Tab_Def_Flows[WC?],,0,)</f>
        <v/>
      </c>
      <c r="E212">
        <f>_xlfn.XLOOKUP(C212,Tab_Def_Flows[Flow_Name],Tab_Def_Flows[DM?],,0,)</f>
        <v/>
      </c>
      <c r="F212">
        <f>_xlfn.XLOOKUP(C212,Tab_Def_Flows[Flow_Name],Tab_Def_Flows[CC?],,0,)</f>
        <v/>
      </c>
      <c r="I212">
        <f>'0_Configuration'!$C$35</f>
        <v/>
      </c>
      <c r="O212" t="inlineStr">
        <is>
          <t>No</t>
        </is>
      </c>
      <c r="R212">
        <f>Tab_Data_Flows[[#This Row],[Flow_ID]]&amp;"_"&amp;"material_"&amp;Tab_Data_Flows[[#This Row],[Flow_Data_Year]]</f>
        <v/>
      </c>
      <c r="S212">
        <f>IF(O212="no",H212,H212*P212)</f>
        <v/>
      </c>
      <c r="T212">
        <f>Tab_Data_Flows[[#This Row],[UoM_Source]]</f>
        <v/>
      </c>
      <c r="U212">
        <f>INDEX(Tab_Def_Flows[[Flow_ID]:[CC_DM_source]],MATCH(Tab_Data_Flows[[#This Row],[Flow_Name]],Tab_Def_Flows[Flow_Name],0),11)</f>
        <v/>
      </c>
      <c r="V212">
        <f>Tab_Data_Flows[[#This Row],[Flow_ID]]&amp;"_"&amp;"WC_"&amp;Tab_Data_Flows[[#This Row],[Flow_Data_Year]]</f>
        <v/>
      </c>
      <c r="W212">
        <f>IF(D212="Yes",S212*Tab_Data_Flows[[#This Row],[WC_'[%']]],"N.A.")</f>
        <v/>
      </c>
      <c r="X212">
        <f>Tab_Data_Flows[[#This Row],[UoM_Flow_Py]]</f>
        <v/>
      </c>
      <c r="Y212">
        <f>INDEX(Tab_Def_Flows[[Flow_ID]:[CC_DM_source]],MATCH(Tab_Data_Flows[[#This Row],[Flow_Name]],Tab_Def_Flows[Flow_Name],0),14)</f>
        <v/>
      </c>
      <c r="Z212">
        <f>Tab_Data_Flows[[#This Row],[Flow_ID]]&amp;"_"&amp;"DM_"&amp;Tab_Data_Flows[[#This Row],[Flow_Data_Year]]</f>
        <v/>
      </c>
      <c r="AA212">
        <f>IF(E212="Yes",Y212*Tab_Data_Flows[[#This Row],[Flow_Material]],"N.A.")</f>
        <v/>
      </c>
      <c r="AB212">
        <f>Tab_Data_Flows[[#This Row],[UoM_Flow_Py]]</f>
        <v/>
      </c>
      <c r="AC212">
        <f>INDEX(Tab_Def_Flows[[Flow_ID]:[CC_DM_source]],MATCH(Tab_Data_Flows[[#This Row],[Flow_Name]],Tab_Def_Flows[Flow_Name],0),17)</f>
        <v/>
      </c>
      <c r="AD212">
        <f>Tab_Data_Flows[[#This Row],[Flow_ID]]&amp;"_"&amp;"CC_"&amp;Tab_Data_Flows[[#This Row],[Flow_Data_Year]]</f>
        <v/>
      </c>
      <c r="AE212">
        <f>IF(F212="Yes",AC212*Tab_Data_Flows[[#This Row],[Flow_Material]]*Tab_Data_Flows[[#This Row],[DM_'[%']]],"N.A.")</f>
        <v/>
      </c>
      <c r="AF212">
        <f>Tab_Data_Flows[[#This Row],[UoM_Flow_Py]]</f>
        <v/>
      </c>
    </row>
    <row r="213">
      <c r="A213">
        <f>ROW()-1</f>
        <v/>
      </c>
      <c r="B213">
        <f>_xlfn.XLOOKUP(C213,Tab_Def_Flows[Flow_Name],Tab_Def_Flows[Flow_ID],,0,)</f>
        <v/>
      </c>
      <c r="C213" t="inlineStr">
        <is>
          <t>N.A.</t>
        </is>
      </c>
      <c r="D213">
        <f>_xlfn.XLOOKUP(C213,Tab_Def_Flows[Flow_Name],Tab_Def_Flows[WC?],,0,)</f>
        <v/>
      </c>
      <c r="E213">
        <f>_xlfn.XLOOKUP(C213,Tab_Def_Flows[Flow_Name],Tab_Def_Flows[DM?],,0,)</f>
        <v/>
      </c>
      <c r="F213">
        <f>_xlfn.XLOOKUP(C213,Tab_Def_Flows[Flow_Name],Tab_Def_Flows[CC?],,0,)</f>
        <v/>
      </c>
      <c r="I213">
        <f>'0_Configuration'!$C$35</f>
        <v/>
      </c>
      <c r="O213" t="inlineStr">
        <is>
          <t>No</t>
        </is>
      </c>
      <c r="R213">
        <f>Tab_Data_Flows[[#This Row],[Flow_ID]]&amp;"_"&amp;"material_"&amp;Tab_Data_Flows[[#This Row],[Flow_Data_Year]]</f>
        <v/>
      </c>
      <c r="S213">
        <f>IF(O213="no",H213,H213*P213)</f>
        <v/>
      </c>
      <c r="T213">
        <f>Tab_Data_Flows[[#This Row],[UoM_Source]]</f>
        <v/>
      </c>
      <c r="U213">
        <f>INDEX(Tab_Def_Flows[[Flow_ID]:[CC_DM_source]],MATCH(Tab_Data_Flows[[#This Row],[Flow_Name]],Tab_Def_Flows[Flow_Name],0),11)</f>
        <v/>
      </c>
      <c r="V213">
        <f>Tab_Data_Flows[[#This Row],[Flow_ID]]&amp;"_"&amp;"WC_"&amp;Tab_Data_Flows[[#This Row],[Flow_Data_Year]]</f>
        <v/>
      </c>
      <c r="W213">
        <f>IF(D213="Yes",S213*Tab_Data_Flows[[#This Row],[WC_'[%']]],"N.A.")</f>
        <v/>
      </c>
      <c r="X213">
        <f>Tab_Data_Flows[[#This Row],[UoM_Flow_Py]]</f>
        <v/>
      </c>
      <c r="Y213">
        <f>INDEX(Tab_Def_Flows[[Flow_ID]:[CC_DM_source]],MATCH(Tab_Data_Flows[[#This Row],[Flow_Name]],Tab_Def_Flows[Flow_Name],0),14)</f>
        <v/>
      </c>
      <c r="Z213">
        <f>Tab_Data_Flows[[#This Row],[Flow_ID]]&amp;"_"&amp;"DM_"&amp;Tab_Data_Flows[[#This Row],[Flow_Data_Year]]</f>
        <v/>
      </c>
      <c r="AA213">
        <f>IF(E213="Yes",Y213*Tab_Data_Flows[[#This Row],[Flow_Material]],"N.A.")</f>
        <v/>
      </c>
      <c r="AB213">
        <f>Tab_Data_Flows[[#This Row],[UoM_Flow_Py]]</f>
        <v/>
      </c>
      <c r="AC213">
        <f>INDEX(Tab_Def_Flows[[Flow_ID]:[CC_DM_source]],MATCH(Tab_Data_Flows[[#This Row],[Flow_Name]],Tab_Def_Flows[Flow_Name],0),17)</f>
        <v/>
      </c>
      <c r="AD213">
        <f>Tab_Data_Flows[[#This Row],[Flow_ID]]&amp;"_"&amp;"CC_"&amp;Tab_Data_Flows[[#This Row],[Flow_Data_Year]]</f>
        <v/>
      </c>
      <c r="AE213">
        <f>IF(F213="Yes",AC213*Tab_Data_Flows[[#This Row],[Flow_Material]]*Tab_Data_Flows[[#This Row],[DM_'[%']]],"N.A.")</f>
        <v/>
      </c>
      <c r="AF213">
        <f>Tab_Data_Flows[[#This Row],[UoM_Flow_Py]]</f>
        <v/>
      </c>
    </row>
    <row r="214">
      <c r="A214">
        <f>ROW()-1</f>
        <v/>
      </c>
      <c r="B214">
        <f>_xlfn.XLOOKUP(C214,Tab_Def_Flows[Flow_Name],Tab_Def_Flows[Flow_ID],,0,)</f>
        <v/>
      </c>
      <c r="C214" t="inlineStr">
        <is>
          <t>N.A.</t>
        </is>
      </c>
      <c r="D214">
        <f>_xlfn.XLOOKUP(C214,Tab_Def_Flows[Flow_Name],Tab_Def_Flows[WC?],,0,)</f>
        <v/>
      </c>
      <c r="E214">
        <f>_xlfn.XLOOKUP(C214,Tab_Def_Flows[Flow_Name],Tab_Def_Flows[DM?],,0,)</f>
        <v/>
      </c>
      <c r="F214">
        <f>_xlfn.XLOOKUP(C214,Tab_Def_Flows[Flow_Name],Tab_Def_Flows[CC?],,0,)</f>
        <v/>
      </c>
      <c r="I214">
        <f>'0_Configuration'!$C$35</f>
        <v/>
      </c>
      <c r="O214" t="inlineStr">
        <is>
          <t>No</t>
        </is>
      </c>
      <c r="R214">
        <f>Tab_Data_Flows[[#This Row],[Flow_ID]]&amp;"_"&amp;"material_"&amp;Tab_Data_Flows[[#This Row],[Flow_Data_Year]]</f>
        <v/>
      </c>
      <c r="S214">
        <f>IF(O214="no",H214,H214*P214)</f>
        <v/>
      </c>
      <c r="T214">
        <f>Tab_Data_Flows[[#This Row],[UoM_Source]]</f>
        <v/>
      </c>
      <c r="U214">
        <f>INDEX(Tab_Def_Flows[[Flow_ID]:[CC_DM_source]],MATCH(Tab_Data_Flows[[#This Row],[Flow_Name]],Tab_Def_Flows[Flow_Name],0),11)</f>
        <v/>
      </c>
      <c r="V214">
        <f>Tab_Data_Flows[[#This Row],[Flow_ID]]&amp;"_"&amp;"WC_"&amp;Tab_Data_Flows[[#This Row],[Flow_Data_Year]]</f>
        <v/>
      </c>
      <c r="W214">
        <f>IF(D214="Yes",S214*Tab_Data_Flows[[#This Row],[WC_'[%']]],"N.A.")</f>
        <v/>
      </c>
      <c r="X214">
        <f>Tab_Data_Flows[[#This Row],[UoM_Flow_Py]]</f>
        <v/>
      </c>
      <c r="Y214">
        <f>INDEX(Tab_Def_Flows[[Flow_ID]:[CC_DM_source]],MATCH(Tab_Data_Flows[[#This Row],[Flow_Name]],Tab_Def_Flows[Flow_Name],0),14)</f>
        <v/>
      </c>
      <c r="Z214">
        <f>Tab_Data_Flows[[#This Row],[Flow_ID]]&amp;"_"&amp;"DM_"&amp;Tab_Data_Flows[[#This Row],[Flow_Data_Year]]</f>
        <v/>
      </c>
      <c r="AA214">
        <f>IF(E214="Yes",Y214*Tab_Data_Flows[[#This Row],[Flow_Material]],"N.A.")</f>
        <v/>
      </c>
      <c r="AB214">
        <f>Tab_Data_Flows[[#This Row],[UoM_Flow_Py]]</f>
        <v/>
      </c>
      <c r="AC214">
        <f>INDEX(Tab_Def_Flows[[Flow_ID]:[CC_DM_source]],MATCH(Tab_Data_Flows[[#This Row],[Flow_Name]],Tab_Def_Flows[Flow_Name],0),17)</f>
        <v/>
      </c>
      <c r="AD214">
        <f>Tab_Data_Flows[[#This Row],[Flow_ID]]&amp;"_"&amp;"CC_"&amp;Tab_Data_Flows[[#This Row],[Flow_Data_Year]]</f>
        <v/>
      </c>
      <c r="AE214">
        <f>IF(F214="Yes",AC214*Tab_Data_Flows[[#This Row],[Flow_Material]]*Tab_Data_Flows[[#This Row],[DM_'[%']]],"N.A.")</f>
        <v/>
      </c>
      <c r="AF214">
        <f>Tab_Data_Flows[[#This Row],[UoM_Flow_Py]]</f>
        <v/>
      </c>
    </row>
    <row r="215">
      <c r="A215">
        <f>ROW()-1</f>
        <v/>
      </c>
      <c r="B215">
        <f>_xlfn.XLOOKUP(C215,Tab_Def_Flows[Flow_Name],Tab_Def_Flows[Flow_ID],,0,)</f>
        <v/>
      </c>
      <c r="C215" t="inlineStr">
        <is>
          <t>N.A.</t>
        </is>
      </c>
      <c r="D215">
        <f>_xlfn.XLOOKUP(C215,Tab_Def_Flows[Flow_Name],Tab_Def_Flows[WC?],,0,)</f>
        <v/>
      </c>
      <c r="E215">
        <f>_xlfn.XLOOKUP(C215,Tab_Def_Flows[Flow_Name],Tab_Def_Flows[DM?],,0,)</f>
        <v/>
      </c>
      <c r="F215">
        <f>_xlfn.XLOOKUP(C215,Tab_Def_Flows[Flow_Name],Tab_Def_Flows[CC?],,0,)</f>
        <v/>
      </c>
      <c r="I215">
        <f>'0_Configuration'!$C$35</f>
        <v/>
      </c>
      <c r="O215" t="inlineStr">
        <is>
          <t>No</t>
        </is>
      </c>
      <c r="R215">
        <f>Tab_Data_Flows[[#This Row],[Flow_ID]]&amp;"_"&amp;"material_"&amp;Tab_Data_Flows[[#This Row],[Flow_Data_Year]]</f>
        <v/>
      </c>
      <c r="S215">
        <f>IF(O215="no",H215,H215*P215)</f>
        <v/>
      </c>
      <c r="T215">
        <f>Tab_Data_Flows[[#This Row],[UoM_Source]]</f>
        <v/>
      </c>
      <c r="U215">
        <f>INDEX(Tab_Def_Flows[[Flow_ID]:[CC_DM_source]],MATCH(Tab_Data_Flows[[#This Row],[Flow_Name]],Tab_Def_Flows[Flow_Name],0),11)</f>
        <v/>
      </c>
      <c r="V215">
        <f>Tab_Data_Flows[[#This Row],[Flow_ID]]&amp;"_"&amp;"WC_"&amp;Tab_Data_Flows[[#This Row],[Flow_Data_Year]]</f>
        <v/>
      </c>
      <c r="W215">
        <f>IF(D215="Yes",S215*Tab_Data_Flows[[#This Row],[WC_'[%']]],"N.A.")</f>
        <v/>
      </c>
      <c r="X215">
        <f>Tab_Data_Flows[[#This Row],[UoM_Flow_Py]]</f>
        <v/>
      </c>
      <c r="Y215">
        <f>INDEX(Tab_Def_Flows[[Flow_ID]:[CC_DM_source]],MATCH(Tab_Data_Flows[[#This Row],[Flow_Name]],Tab_Def_Flows[Flow_Name],0),14)</f>
        <v/>
      </c>
      <c r="Z215">
        <f>Tab_Data_Flows[[#This Row],[Flow_ID]]&amp;"_"&amp;"DM_"&amp;Tab_Data_Flows[[#This Row],[Flow_Data_Year]]</f>
        <v/>
      </c>
      <c r="AA215">
        <f>IF(E215="Yes",Y215*Tab_Data_Flows[[#This Row],[Flow_Material]],"N.A.")</f>
        <v/>
      </c>
      <c r="AB215">
        <f>Tab_Data_Flows[[#This Row],[UoM_Flow_Py]]</f>
        <v/>
      </c>
      <c r="AC215">
        <f>INDEX(Tab_Def_Flows[[Flow_ID]:[CC_DM_source]],MATCH(Tab_Data_Flows[[#This Row],[Flow_Name]],Tab_Def_Flows[Flow_Name],0),17)</f>
        <v/>
      </c>
      <c r="AD215">
        <f>Tab_Data_Flows[[#This Row],[Flow_ID]]&amp;"_"&amp;"CC_"&amp;Tab_Data_Flows[[#This Row],[Flow_Data_Year]]</f>
        <v/>
      </c>
      <c r="AE215">
        <f>IF(F215="Yes",AC215*Tab_Data_Flows[[#This Row],[Flow_Material]]*Tab_Data_Flows[[#This Row],[DM_'[%']]],"N.A.")</f>
        <v/>
      </c>
      <c r="AF215">
        <f>Tab_Data_Flows[[#This Row],[UoM_Flow_Py]]</f>
        <v/>
      </c>
    </row>
    <row r="216">
      <c r="A216">
        <f>ROW()-1</f>
        <v/>
      </c>
      <c r="B216">
        <f>_xlfn.XLOOKUP(C216,Tab_Def_Flows[Flow_Name],Tab_Def_Flows[Flow_ID],,0,)</f>
        <v/>
      </c>
      <c r="C216" t="inlineStr">
        <is>
          <t>N.A.</t>
        </is>
      </c>
      <c r="D216">
        <f>_xlfn.XLOOKUP(C216,Tab_Def_Flows[Flow_Name],Tab_Def_Flows[WC?],,0,)</f>
        <v/>
      </c>
      <c r="E216">
        <f>_xlfn.XLOOKUP(C216,Tab_Def_Flows[Flow_Name],Tab_Def_Flows[DM?],,0,)</f>
        <v/>
      </c>
      <c r="F216">
        <f>_xlfn.XLOOKUP(C216,Tab_Def_Flows[Flow_Name],Tab_Def_Flows[CC?],,0,)</f>
        <v/>
      </c>
      <c r="I216">
        <f>'0_Configuration'!$C$35</f>
        <v/>
      </c>
      <c r="O216" t="inlineStr">
        <is>
          <t>No</t>
        </is>
      </c>
      <c r="R216">
        <f>Tab_Data_Flows[[#This Row],[Flow_ID]]&amp;"_"&amp;"material_"&amp;Tab_Data_Flows[[#This Row],[Flow_Data_Year]]</f>
        <v/>
      </c>
      <c r="S216">
        <f>IF(O216="no",H216,H216*P216)</f>
        <v/>
      </c>
      <c r="T216">
        <f>Tab_Data_Flows[[#This Row],[UoM_Source]]</f>
        <v/>
      </c>
      <c r="U216">
        <f>INDEX(Tab_Def_Flows[[Flow_ID]:[CC_DM_source]],MATCH(Tab_Data_Flows[[#This Row],[Flow_Name]],Tab_Def_Flows[Flow_Name],0),11)</f>
        <v/>
      </c>
      <c r="V216">
        <f>Tab_Data_Flows[[#This Row],[Flow_ID]]&amp;"_"&amp;"WC_"&amp;Tab_Data_Flows[[#This Row],[Flow_Data_Year]]</f>
        <v/>
      </c>
      <c r="W216">
        <f>IF(D216="Yes",S216*Tab_Data_Flows[[#This Row],[WC_'[%']]],"N.A.")</f>
        <v/>
      </c>
      <c r="X216">
        <f>Tab_Data_Flows[[#This Row],[UoM_Flow_Py]]</f>
        <v/>
      </c>
      <c r="Y216">
        <f>INDEX(Tab_Def_Flows[[Flow_ID]:[CC_DM_source]],MATCH(Tab_Data_Flows[[#This Row],[Flow_Name]],Tab_Def_Flows[Flow_Name],0),14)</f>
        <v/>
      </c>
      <c r="Z216">
        <f>Tab_Data_Flows[[#This Row],[Flow_ID]]&amp;"_"&amp;"DM_"&amp;Tab_Data_Flows[[#This Row],[Flow_Data_Year]]</f>
        <v/>
      </c>
      <c r="AA216">
        <f>IF(E216="Yes",Y216*Tab_Data_Flows[[#This Row],[Flow_Material]],"N.A.")</f>
        <v/>
      </c>
      <c r="AB216">
        <f>Tab_Data_Flows[[#This Row],[UoM_Flow_Py]]</f>
        <v/>
      </c>
      <c r="AC216">
        <f>INDEX(Tab_Def_Flows[[Flow_ID]:[CC_DM_source]],MATCH(Tab_Data_Flows[[#This Row],[Flow_Name]],Tab_Def_Flows[Flow_Name],0),17)</f>
        <v/>
      </c>
      <c r="AD216">
        <f>Tab_Data_Flows[[#This Row],[Flow_ID]]&amp;"_"&amp;"CC_"&amp;Tab_Data_Flows[[#This Row],[Flow_Data_Year]]</f>
        <v/>
      </c>
      <c r="AE216">
        <f>IF(F216="Yes",AC216*Tab_Data_Flows[[#This Row],[Flow_Material]]*Tab_Data_Flows[[#This Row],[DM_'[%']]],"N.A.")</f>
        <v/>
      </c>
      <c r="AF216">
        <f>Tab_Data_Flows[[#This Row],[UoM_Flow_Py]]</f>
        <v/>
      </c>
    </row>
    <row r="217">
      <c r="A217">
        <f>ROW()-1</f>
        <v/>
      </c>
      <c r="B217">
        <f>_xlfn.XLOOKUP(C217,Tab_Def_Flows[Flow_Name],Tab_Def_Flows[Flow_ID],,0,)</f>
        <v/>
      </c>
      <c r="C217" t="inlineStr">
        <is>
          <t>N.A.</t>
        </is>
      </c>
      <c r="D217">
        <f>_xlfn.XLOOKUP(C217,Tab_Def_Flows[Flow_Name],Tab_Def_Flows[WC?],,0,)</f>
        <v/>
      </c>
      <c r="E217">
        <f>_xlfn.XLOOKUP(C217,Tab_Def_Flows[Flow_Name],Tab_Def_Flows[DM?],,0,)</f>
        <v/>
      </c>
      <c r="F217">
        <f>_xlfn.XLOOKUP(C217,Tab_Def_Flows[Flow_Name],Tab_Def_Flows[CC?],,0,)</f>
        <v/>
      </c>
      <c r="I217">
        <f>'0_Configuration'!$C$35</f>
        <v/>
      </c>
      <c r="O217" t="inlineStr">
        <is>
          <t>No</t>
        </is>
      </c>
      <c r="R217">
        <f>Tab_Data_Flows[[#This Row],[Flow_ID]]&amp;"_"&amp;"material_"&amp;Tab_Data_Flows[[#This Row],[Flow_Data_Year]]</f>
        <v/>
      </c>
      <c r="S217">
        <f>IF(O217="no",H217,H217*P217)</f>
        <v/>
      </c>
      <c r="T217">
        <f>Tab_Data_Flows[[#This Row],[UoM_Source]]</f>
        <v/>
      </c>
      <c r="U217">
        <f>INDEX(Tab_Def_Flows[[Flow_ID]:[CC_DM_source]],MATCH(Tab_Data_Flows[[#This Row],[Flow_Name]],Tab_Def_Flows[Flow_Name],0),11)</f>
        <v/>
      </c>
      <c r="V217">
        <f>Tab_Data_Flows[[#This Row],[Flow_ID]]&amp;"_"&amp;"WC_"&amp;Tab_Data_Flows[[#This Row],[Flow_Data_Year]]</f>
        <v/>
      </c>
      <c r="W217">
        <f>IF(D217="Yes",S217*Tab_Data_Flows[[#This Row],[WC_'[%']]],"N.A.")</f>
        <v/>
      </c>
      <c r="X217">
        <f>Tab_Data_Flows[[#This Row],[UoM_Flow_Py]]</f>
        <v/>
      </c>
      <c r="Y217">
        <f>INDEX(Tab_Def_Flows[[Flow_ID]:[CC_DM_source]],MATCH(Tab_Data_Flows[[#This Row],[Flow_Name]],Tab_Def_Flows[Flow_Name],0),14)</f>
        <v/>
      </c>
      <c r="Z217">
        <f>Tab_Data_Flows[[#This Row],[Flow_ID]]&amp;"_"&amp;"DM_"&amp;Tab_Data_Flows[[#This Row],[Flow_Data_Year]]</f>
        <v/>
      </c>
      <c r="AA217">
        <f>IF(E217="Yes",Y217*Tab_Data_Flows[[#This Row],[Flow_Material]],"N.A.")</f>
        <v/>
      </c>
      <c r="AB217">
        <f>Tab_Data_Flows[[#This Row],[UoM_Flow_Py]]</f>
        <v/>
      </c>
      <c r="AC217">
        <f>INDEX(Tab_Def_Flows[[Flow_ID]:[CC_DM_source]],MATCH(Tab_Data_Flows[[#This Row],[Flow_Name]],Tab_Def_Flows[Flow_Name],0),17)</f>
        <v/>
      </c>
      <c r="AD217">
        <f>Tab_Data_Flows[[#This Row],[Flow_ID]]&amp;"_"&amp;"CC_"&amp;Tab_Data_Flows[[#This Row],[Flow_Data_Year]]</f>
        <v/>
      </c>
      <c r="AE217">
        <f>IF(F217="Yes",AC217*Tab_Data_Flows[[#This Row],[Flow_Material]]*Tab_Data_Flows[[#This Row],[DM_'[%']]],"N.A.")</f>
        <v/>
      </c>
      <c r="AF217">
        <f>Tab_Data_Flows[[#This Row],[UoM_Flow_Py]]</f>
        <v/>
      </c>
    </row>
    <row r="218">
      <c r="A218">
        <f>ROW()-1</f>
        <v/>
      </c>
      <c r="B218">
        <f>_xlfn.XLOOKUP(C218,Tab_Def_Flows[Flow_Name],Tab_Def_Flows[Flow_ID],,0,)</f>
        <v/>
      </c>
      <c r="C218" t="inlineStr">
        <is>
          <t>N.A.</t>
        </is>
      </c>
      <c r="D218">
        <f>_xlfn.XLOOKUP(C218,Tab_Def_Flows[Flow_Name],Tab_Def_Flows[WC?],,0,)</f>
        <v/>
      </c>
      <c r="E218">
        <f>_xlfn.XLOOKUP(C218,Tab_Def_Flows[Flow_Name],Tab_Def_Flows[DM?],,0,)</f>
        <v/>
      </c>
      <c r="F218">
        <f>_xlfn.XLOOKUP(C218,Tab_Def_Flows[Flow_Name],Tab_Def_Flows[CC?],,0,)</f>
        <v/>
      </c>
      <c r="I218">
        <f>'0_Configuration'!$C$35</f>
        <v/>
      </c>
      <c r="O218" t="inlineStr">
        <is>
          <t>No</t>
        </is>
      </c>
      <c r="R218">
        <f>Tab_Data_Flows[[#This Row],[Flow_ID]]&amp;"_"&amp;"material_"&amp;Tab_Data_Flows[[#This Row],[Flow_Data_Year]]</f>
        <v/>
      </c>
      <c r="S218">
        <f>IF(O218="no",H218,H218*P218)</f>
        <v/>
      </c>
      <c r="T218">
        <f>Tab_Data_Flows[[#This Row],[UoM_Source]]</f>
        <v/>
      </c>
      <c r="U218">
        <f>INDEX(Tab_Def_Flows[[Flow_ID]:[CC_DM_source]],MATCH(Tab_Data_Flows[[#This Row],[Flow_Name]],Tab_Def_Flows[Flow_Name],0),11)</f>
        <v/>
      </c>
      <c r="V218">
        <f>Tab_Data_Flows[[#This Row],[Flow_ID]]&amp;"_"&amp;"WC_"&amp;Tab_Data_Flows[[#This Row],[Flow_Data_Year]]</f>
        <v/>
      </c>
      <c r="W218">
        <f>IF(D218="Yes",S218*Tab_Data_Flows[[#This Row],[WC_'[%']]],"N.A.")</f>
        <v/>
      </c>
      <c r="X218">
        <f>Tab_Data_Flows[[#This Row],[UoM_Flow_Py]]</f>
        <v/>
      </c>
      <c r="Y218">
        <f>INDEX(Tab_Def_Flows[[Flow_ID]:[CC_DM_source]],MATCH(Tab_Data_Flows[[#This Row],[Flow_Name]],Tab_Def_Flows[Flow_Name],0),14)</f>
        <v/>
      </c>
      <c r="Z218">
        <f>Tab_Data_Flows[[#This Row],[Flow_ID]]&amp;"_"&amp;"DM_"&amp;Tab_Data_Flows[[#This Row],[Flow_Data_Year]]</f>
        <v/>
      </c>
      <c r="AA218">
        <f>IF(E218="Yes",Y218*Tab_Data_Flows[[#This Row],[Flow_Material]],"N.A.")</f>
        <v/>
      </c>
      <c r="AB218">
        <f>Tab_Data_Flows[[#This Row],[UoM_Flow_Py]]</f>
        <v/>
      </c>
      <c r="AC218">
        <f>INDEX(Tab_Def_Flows[[Flow_ID]:[CC_DM_source]],MATCH(Tab_Data_Flows[[#This Row],[Flow_Name]],Tab_Def_Flows[Flow_Name],0),17)</f>
        <v/>
      </c>
      <c r="AD218">
        <f>Tab_Data_Flows[[#This Row],[Flow_ID]]&amp;"_"&amp;"CC_"&amp;Tab_Data_Flows[[#This Row],[Flow_Data_Year]]</f>
        <v/>
      </c>
      <c r="AE218">
        <f>IF(F218="Yes",AC218*Tab_Data_Flows[[#This Row],[Flow_Material]]*Tab_Data_Flows[[#This Row],[DM_'[%']]],"N.A.")</f>
        <v/>
      </c>
      <c r="AF218">
        <f>Tab_Data_Flows[[#This Row],[UoM_Flow_Py]]</f>
        <v/>
      </c>
    </row>
    <row r="219">
      <c r="A219">
        <f>ROW()-1</f>
        <v/>
      </c>
      <c r="B219">
        <f>_xlfn.XLOOKUP(C219,Tab_Def_Flows[Flow_Name],Tab_Def_Flows[Flow_ID],,0,)</f>
        <v/>
      </c>
      <c r="C219" t="inlineStr">
        <is>
          <t>N.A.</t>
        </is>
      </c>
      <c r="D219">
        <f>_xlfn.XLOOKUP(C219,Tab_Def_Flows[Flow_Name],Tab_Def_Flows[WC?],,0,)</f>
        <v/>
      </c>
      <c r="E219">
        <f>_xlfn.XLOOKUP(C219,Tab_Def_Flows[Flow_Name],Tab_Def_Flows[DM?],,0,)</f>
        <v/>
      </c>
      <c r="F219">
        <f>_xlfn.XLOOKUP(C219,Tab_Def_Flows[Flow_Name],Tab_Def_Flows[CC?],,0,)</f>
        <v/>
      </c>
      <c r="I219">
        <f>'0_Configuration'!$C$35</f>
        <v/>
      </c>
      <c r="O219" t="inlineStr">
        <is>
          <t>No</t>
        </is>
      </c>
      <c r="R219">
        <f>Tab_Data_Flows[[#This Row],[Flow_ID]]&amp;"_"&amp;"material_"&amp;Tab_Data_Flows[[#This Row],[Flow_Data_Year]]</f>
        <v/>
      </c>
      <c r="S219">
        <f>IF(O219="no",H219,H219*P219)</f>
        <v/>
      </c>
      <c r="T219">
        <f>Tab_Data_Flows[[#This Row],[UoM_Source]]</f>
        <v/>
      </c>
      <c r="U219">
        <f>INDEX(Tab_Def_Flows[[Flow_ID]:[CC_DM_source]],MATCH(Tab_Data_Flows[[#This Row],[Flow_Name]],Tab_Def_Flows[Flow_Name],0),11)</f>
        <v/>
      </c>
      <c r="V219">
        <f>Tab_Data_Flows[[#This Row],[Flow_ID]]&amp;"_"&amp;"WC_"&amp;Tab_Data_Flows[[#This Row],[Flow_Data_Year]]</f>
        <v/>
      </c>
      <c r="W219">
        <f>IF(D219="Yes",S219*Tab_Data_Flows[[#This Row],[WC_'[%']]],"N.A.")</f>
        <v/>
      </c>
      <c r="X219">
        <f>Tab_Data_Flows[[#This Row],[UoM_Flow_Py]]</f>
        <v/>
      </c>
      <c r="Y219">
        <f>INDEX(Tab_Def_Flows[[Flow_ID]:[CC_DM_source]],MATCH(Tab_Data_Flows[[#This Row],[Flow_Name]],Tab_Def_Flows[Flow_Name],0),14)</f>
        <v/>
      </c>
      <c r="Z219">
        <f>Tab_Data_Flows[[#This Row],[Flow_ID]]&amp;"_"&amp;"DM_"&amp;Tab_Data_Flows[[#This Row],[Flow_Data_Year]]</f>
        <v/>
      </c>
      <c r="AA219">
        <f>IF(E219="Yes",Y219*Tab_Data_Flows[[#This Row],[Flow_Material]],"N.A.")</f>
        <v/>
      </c>
      <c r="AB219">
        <f>Tab_Data_Flows[[#This Row],[UoM_Flow_Py]]</f>
        <v/>
      </c>
      <c r="AC219">
        <f>INDEX(Tab_Def_Flows[[Flow_ID]:[CC_DM_source]],MATCH(Tab_Data_Flows[[#This Row],[Flow_Name]],Tab_Def_Flows[Flow_Name],0),17)</f>
        <v/>
      </c>
      <c r="AD219">
        <f>Tab_Data_Flows[[#This Row],[Flow_ID]]&amp;"_"&amp;"CC_"&amp;Tab_Data_Flows[[#This Row],[Flow_Data_Year]]</f>
        <v/>
      </c>
      <c r="AE219">
        <f>IF(F219="Yes",AC219*Tab_Data_Flows[[#This Row],[Flow_Material]]*Tab_Data_Flows[[#This Row],[DM_'[%']]],"N.A.")</f>
        <v/>
      </c>
      <c r="AF219">
        <f>Tab_Data_Flows[[#This Row],[UoM_Flow_Py]]</f>
        <v/>
      </c>
    </row>
    <row r="220">
      <c r="A220">
        <f>ROW()-1</f>
        <v/>
      </c>
      <c r="B220">
        <f>_xlfn.XLOOKUP(C220,Tab_Def_Flows[Flow_Name],Tab_Def_Flows[Flow_ID],,0,)</f>
        <v/>
      </c>
      <c r="C220" t="inlineStr">
        <is>
          <t>N.A.</t>
        </is>
      </c>
      <c r="D220">
        <f>_xlfn.XLOOKUP(C220,Tab_Def_Flows[Flow_Name],Tab_Def_Flows[WC?],,0,)</f>
        <v/>
      </c>
      <c r="E220">
        <f>_xlfn.XLOOKUP(C220,Tab_Def_Flows[Flow_Name],Tab_Def_Flows[DM?],,0,)</f>
        <v/>
      </c>
      <c r="F220">
        <f>_xlfn.XLOOKUP(C220,Tab_Def_Flows[Flow_Name],Tab_Def_Flows[CC?],,0,)</f>
        <v/>
      </c>
      <c r="I220">
        <f>'0_Configuration'!$C$35</f>
        <v/>
      </c>
      <c r="O220" t="inlineStr">
        <is>
          <t>No</t>
        </is>
      </c>
      <c r="R220">
        <f>Tab_Data_Flows[[#This Row],[Flow_ID]]&amp;"_"&amp;"material_"&amp;Tab_Data_Flows[[#This Row],[Flow_Data_Year]]</f>
        <v/>
      </c>
      <c r="S220">
        <f>IF(O220="no",H220,H220*P220)</f>
        <v/>
      </c>
      <c r="T220">
        <f>Tab_Data_Flows[[#This Row],[UoM_Source]]</f>
        <v/>
      </c>
      <c r="U220">
        <f>INDEX(Tab_Def_Flows[[Flow_ID]:[CC_DM_source]],MATCH(Tab_Data_Flows[[#This Row],[Flow_Name]],Tab_Def_Flows[Flow_Name],0),11)</f>
        <v/>
      </c>
      <c r="V220">
        <f>Tab_Data_Flows[[#This Row],[Flow_ID]]&amp;"_"&amp;"WC_"&amp;Tab_Data_Flows[[#This Row],[Flow_Data_Year]]</f>
        <v/>
      </c>
      <c r="W220">
        <f>IF(D220="Yes",S220*Tab_Data_Flows[[#This Row],[WC_'[%']]],"N.A.")</f>
        <v/>
      </c>
      <c r="X220">
        <f>Tab_Data_Flows[[#This Row],[UoM_Flow_Py]]</f>
        <v/>
      </c>
      <c r="Y220">
        <f>INDEX(Tab_Def_Flows[[Flow_ID]:[CC_DM_source]],MATCH(Tab_Data_Flows[[#This Row],[Flow_Name]],Tab_Def_Flows[Flow_Name],0),14)</f>
        <v/>
      </c>
      <c r="Z220">
        <f>Tab_Data_Flows[[#This Row],[Flow_ID]]&amp;"_"&amp;"DM_"&amp;Tab_Data_Flows[[#This Row],[Flow_Data_Year]]</f>
        <v/>
      </c>
      <c r="AA220">
        <f>IF(E220="Yes",Y220*Tab_Data_Flows[[#This Row],[Flow_Material]],"N.A.")</f>
        <v/>
      </c>
      <c r="AB220">
        <f>Tab_Data_Flows[[#This Row],[UoM_Flow_Py]]</f>
        <v/>
      </c>
      <c r="AC220">
        <f>INDEX(Tab_Def_Flows[[Flow_ID]:[CC_DM_source]],MATCH(Tab_Data_Flows[[#This Row],[Flow_Name]],Tab_Def_Flows[Flow_Name],0),17)</f>
        <v/>
      </c>
      <c r="AD220">
        <f>Tab_Data_Flows[[#This Row],[Flow_ID]]&amp;"_"&amp;"CC_"&amp;Tab_Data_Flows[[#This Row],[Flow_Data_Year]]</f>
        <v/>
      </c>
      <c r="AE220">
        <f>IF(F220="Yes",AC220*Tab_Data_Flows[[#This Row],[Flow_Material]]*Tab_Data_Flows[[#This Row],[DM_'[%']]],"N.A.")</f>
        <v/>
      </c>
      <c r="AF220">
        <f>Tab_Data_Flows[[#This Row],[UoM_Flow_Py]]</f>
        <v/>
      </c>
    </row>
    <row r="221">
      <c r="A221">
        <f>ROW()-1</f>
        <v/>
      </c>
      <c r="B221">
        <f>_xlfn.XLOOKUP(C221,Tab_Def_Flows[Flow_Name],Tab_Def_Flows[Flow_ID],,0,)</f>
        <v/>
      </c>
      <c r="C221" t="inlineStr">
        <is>
          <t>N.A.</t>
        </is>
      </c>
      <c r="D221">
        <f>_xlfn.XLOOKUP(C221,Tab_Def_Flows[Flow_Name],Tab_Def_Flows[WC?],,0,)</f>
        <v/>
      </c>
      <c r="E221">
        <f>_xlfn.XLOOKUP(C221,Tab_Def_Flows[Flow_Name],Tab_Def_Flows[DM?],,0,)</f>
        <v/>
      </c>
      <c r="F221">
        <f>_xlfn.XLOOKUP(C221,Tab_Def_Flows[Flow_Name],Tab_Def_Flows[CC?],,0,)</f>
        <v/>
      </c>
      <c r="I221">
        <f>'0_Configuration'!$C$35</f>
        <v/>
      </c>
      <c r="O221" t="inlineStr">
        <is>
          <t>No</t>
        </is>
      </c>
      <c r="R221">
        <f>Tab_Data_Flows[[#This Row],[Flow_ID]]&amp;"_"&amp;"material_"&amp;Tab_Data_Flows[[#This Row],[Flow_Data_Year]]</f>
        <v/>
      </c>
      <c r="S221">
        <f>IF(O221="no",H221,H221*P221)</f>
        <v/>
      </c>
      <c r="T221">
        <f>Tab_Data_Flows[[#This Row],[UoM_Source]]</f>
        <v/>
      </c>
      <c r="U221">
        <f>INDEX(Tab_Def_Flows[[Flow_ID]:[CC_DM_source]],MATCH(Tab_Data_Flows[[#This Row],[Flow_Name]],Tab_Def_Flows[Flow_Name],0),11)</f>
        <v/>
      </c>
      <c r="V221">
        <f>Tab_Data_Flows[[#This Row],[Flow_ID]]&amp;"_"&amp;"WC_"&amp;Tab_Data_Flows[[#This Row],[Flow_Data_Year]]</f>
        <v/>
      </c>
      <c r="W221">
        <f>IF(D221="Yes",S221*Tab_Data_Flows[[#This Row],[WC_'[%']]],"N.A.")</f>
        <v/>
      </c>
      <c r="X221">
        <f>Tab_Data_Flows[[#This Row],[UoM_Flow_Py]]</f>
        <v/>
      </c>
      <c r="Y221">
        <f>INDEX(Tab_Def_Flows[[Flow_ID]:[CC_DM_source]],MATCH(Tab_Data_Flows[[#This Row],[Flow_Name]],Tab_Def_Flows[Flow_Name],0),14)</f>
        <v/>
      </c>
      <c r="Z221">
        <f>Tab_Data_Flows[[#This Row],[Flow_ID]]&amp;"_"&amp;"DM_"&amp;Tab_Data_Flows[[#This Row],[Flow_Data_Year]]</f>
        <v/>
      </c>
      <c r="AA221">
        <f>IF(E221="Yes",Y221*Tab_Data_Flows[[#This Row],[Flow_Material]],"N.A.")</f>
        <v/>
      </c>
      <c r="AB221">
        <f>Tab_Data_Flows[[#This Row],[UoM_Flow_Py]]</f>
        <v/>
      </c>
      <c r="AC221">
        <f>INDEX(Tab_Def_Flows[[Flow_ID]:[CC_DM_source]],MATCH(Tab_Data_Flows[[#This Row],[Flow_Name]],Tab_Def_Flows[Flow_Name],0),17)</f>
        <v/>
      </c>
      <c r="AD221">
        <f>Tab_Data_Flows[[#This Row],[Flow_ID]]&amp;"_"&amp;"CC_"&amp;Tab_Data_Flows[[#This Row],[Flow_Data_Year]]</f>
        <v/>
      </c>
      <c r="AE221">
        <f>IF(F221="Yes",AC221*Tab_Data_Flows[[#This Row],[Flow_Material]]*Tab_Data_Flows[[#This Row],[DM_'[%']]],"N.A.")</f>
        <v/>
      </c>
      <c r="AF221">
        <f>Tab_Data_Flows[[#This Row],[UoM_Flow_Py]]</f>
        <v/>
      </c>
    </row>
    <row r="222">
      <c r="A222">
        <f>ROW()-1</f>
        <v/>
      </c>
      <c r="B222">
        <f>_xlfn.XLOOKUP(C222,Tab_Def_Flows[Flow_Name],Tab_Def_Flows[Flow_ID],,0,)</f>
        <v/>
      </c>
      <c r="C222" t="inlineStr">
        <is>
          <t>N.A.</t>
        </is>
      </c>
      <c r="D222">
        <f>_xlfn.XLOOKUP(C222,Tab_Def_Flows[Flow_Name],Tab_Def_Flows[WC?],,0,)</f>
        <v/>
      </c>
      <c r="E222">
        <f>_xlfn.XLOOKUP(C222,Tab_Def_Flows[Flow_Name],Tab_Def_Flows[DM?],,0,)</f>
        <v/>
      </c>
      <c r="F222">
        <f>_xlfn.XLOOKUP(C222,Tab_Def_Flows[Flow_Name],Tab_Def_Flows[CC?],,0,)</f>
        <v/>
      </c>
      <c r="I222">
        <f>'0_Configuration'!$C$35</f>
        <v/>
      </c>
      <c r="O222" t="inlineStr">
        <is>
          <t>No</t>
        </is>
      </c>
      <c r="R222">
        <f>Tab_Data_Flows[[#This Row],[Flow_ID]]&amp;"_"&amp;"material_"&amp;Tab_Data_Flows[[#This Row],[Flow_Data_Year]]</f>
        <v/>
      </c>
      <c r="S222">
        <f>IF(O222="no",H222,H222*P222)</f>
        <v/>
      </c>
      <c r="T222">
        <f>Tab_Data_Flows[[#This Row],[UoM_Source]]</f>
        <v/>
      </c>
      <c r="U222">
        <f>INDEX(Tab_Def_Flows[[Flow_ID]:[CC_DM_source]],MATCH(Tab_Data_Flows[[#This Row],[Flow_Name]],Tab_Def_Flows[Flow_Name],0),11)</f>
        <v/>
      </c>
      <c r="V222">
        <f>Tab_Data_Flows[[#This Row],[Flow_ID]]&amp;"_"&amp;"WC_"&amp;Tab_Data_Flows[[#This Row],[Flow_Data_Year]]</f>
        <v/>
      </c>
      <c r="W222">
        <f>IF(D222="Yes",S222*Tab_Data_Flows[[#This Row],[WC_'[%']]],"N.A.")</f>
        <v/>
      </c>
      <c r="X222">
        <f>Tab_Data_Flows[[#This Row],[UoM_Flow_Py]]</f>
        <v/>
      </c>
      <c r="Y222">
        <f>INDEX(Tab_Def_Flows[[Flow_ID]:[CC_DM_source]],MATCH(Tab_Data_Flows[[#This Row],[Flow_Name]],Tab_Def_Flows[Flow_Name],0),14)</f>
        <v/>
      </c>
      <c r="Z222">
        <f>Tab_Data_Flows[[#This Row],[Flow_ID]]&amp;"_"&amp;"DM_"&amp;Tab_Data_Flows[[#This Row],[Flow_Data_Year]]</f>
        <v/>
      </c>
      <c r="AA222">
        <f>IF(E222="Yes",Y222*Tab_Data_Flows[[#This Row],[Flow_Material]],"N.A.")</f>
        <v/>
      </c>
      <c r="AB222">
        <f>Tab_Data_Flows[[#This Row],[UoM_Flow_Py]]</f>
        <v/>
      </c>
      <c r="AC222">
        <f>INDEX(Tab_Def_Flows[[Flow_ID]:[CC_DM_source]],MATCH(Tab_Data_Flows[[#This Row],[Flow_Name]],Tab_Def_Flows[Flow_Name],0),17)</f>
        <v/>
      </c>
      <c r="AD222">
        <f>Tab_Data_Flows[[#This Row],[Flow_ID]]&amp;"_"&amp;"CC_"&amp;Tab_Data_Flows[[#This Row],[Flow_Data_Year]]</f>
        <v/>
      </c>
      <c r="AE222">
        <f>IF(F222="Yes",AC222*Tab_Data_Flows[[#This Row],[Flow_Material]]*Tab_Data_Flows[[#This Row],[DM_'[%']]],"N.A.")</f>
        <v/>
      </c>
      <c r="AF222">
        <f>Tab_Data_Flows[[#This Row],[UoM_Flow_Py]]</f>
        <v/>
      </c>
    </row>
    <row r="223">
      <c r="A223">
        <f>ROW()-1</f>
        <v/>
      </c>
      <c r="B223">
        <f>_xlfn.XLOOKUP(C223,Tab_Def_Flows[Flow_Name],Tab_Def_Flows[Flow_ID],,0,)</f>
        <v/>
      </c>
      <c r="C223" t="inlineStr">
        <is>
          <t>N.A.</t>
        </is>
      </c>
      <c r="D223">
        <f>_xlfn.XLOOKUP(C223,Tab_Def_Flows[Flow_Name],Tab_Def_Flows[WC?],,0,)</f>
        <v/>
      </c>
      <c r="E223">
        <f>_xlfn.XLOOKUP(C223,Tab_Def_Flows[Flow_Name],Tab_Def_Flows[DM?],,0,)</f>
        <v/>
      </c>
      <c r="F223">
        <f>_xlfn.XLOOKUP(C223,Tab_Def_Flows[Flow_Name],Tab_Def_Flows[CC?],,0,)</f>
        <v/>
      </c>
      <c r="I223">
        <f>'0_Configuration'!$C$35</f>
        <v/>
      </c>
      <c r="O223" t="inlineStr">
        <is>
          <t>No</t>
        </is>
      </c>
      <c r="R223">
        <f>Tab_Data_Flows[[#This Row],[Flow_ID]]&amp;"_"&amp;"material_"&amp;Tab_Data_Flows[[#This Row],[Flow_Data_Year]]</f>
        <v/>
      </c>
      <c r="S223">
        <f>IF(O223="no",H223,H223*P223)</f>
        <v/>
      </c>
      <c r="T223">
        <f>Tab_Data_Flows[[#This Row],[UoM_Source]]</f>
        <v/>
      </c>
      <c r="U223">
        <f>INDEX(Tab_Def_Flows[[Flow_ID]:[CC_DM_source]],MATCH(Tab_Data_Flows[[#This Row],[Flow_Name]],Tab_Def_Flows[Flow_Name],0),11)</f>
        <v/>
      </c>
      <c r="V223">
        <f>Tab_Data_Flows[[#This Row],[Flow_ID]]&amp;"_"&amp;"WC_"&amp;Tab_Data_Flows[[#This Row],[Flow_Data_Year]]</f>
        <v/>
      </c>
      <c r="W223">
        <f>IF(D223="Yes",S223*Tab_Data_Flows[[#This Row],[WC_'[%']]],"N.A.")</f>
        <v/>
      </c>
      <c r="X223">
        <f>Tab_Data_Flows[[#This Row],[UoM_Flow_Py]]</f>
        <v/>
      </c>
      <c r="Y223">
        <f>INDEX(Tab_Def_Flows[[Flow_ID]:[CC_DM_source]],MATCH(Tab_Data_Flows[[#This Row],[Flow_Name]],Tab_Def_Flows[Flow_Name],0),14)</f>
        <v/>
      </c>
      <c r="Z223">
        <f>Tab_Data_Flows[[#This Row],[Flow_ID]]&amp;"_"&amp;"DM_"&amp;Tab_Data_Flows[[#This Row],[Flow_Data_Year]]</f>
        <v/>
      </c>
      <c r="AA223">
        <f>IF(E223="Yes",Y223*Tab_Data_Flows[[#This Row],[Flow_Material]],"N.A.")</f>
        <v/>
      </c>
      <c r="AB223">
        <f>Tab_Data_Flows[[#This Row],[UoM_Flow_Py]]</f>
        <v/>
      </c>
      <c r="AC223">
        <f>INDEX(Tab_Def_Flows[[Flow_ID]:[CC_DM_source]],MATCH(Tab_Data_Flows[[#This Row],[Flow_Name]],Tab_Def_Flows[Flow_Name],0),17)</f>
        <v/>
      </c>
      <c r="AD223">
        <f>Tab_Data_Flows[[#This Row],[Flow_ID]]&amp;"_"&amp;"CC_"&amp;Tab_Data_Flows[[#This Row],[Flow_Data_Year]]</f>
        <v/>
      </c>
      <c r="AE223">
        <f>IF(F223="Yes",AC223*Tab_Data_Flows[[#This Row],[Flow_Material]]*Tab_Data_Flows[[#This Row],[DM_'[%']]],"N.A.")</f>
        <v/>
      </c>
      <c r="AF223">
        <f>Tab_Data_Flows[[#This Row],[UoM_Flow_Py]]</f>
        <v/>
      </c>
    </row>
    <row r="224">
      <c r="A224">
        <f>ROW()-1</f>
        <v/>
      </c>
      <c r="B224">
        <f>_xlfn.XLOOKUP(C224,Tab_Def_Flows[Flow_Name],Tab_Def_Flows[Flow_ID],,0,)</f>
        <v/>
      </c>
      <c r="C224" t="inlineStr">
        <is>
          <t>N.A.</t>
        </is>
      </c>
      <c r="D224">
        <f>_xlfn.XLOOKUP(C224,Tab_Def_Flows[Flow_Name],Tab_Def_Flows[WC?],,0,)</f>
        <v/>
      </c>
      <c r="E224">
        <f>_xlfn.XLOOKUP(C224,Tab_Def_Flows[Flow_Name],Tab_Def_Flows[DM?],,0,)</f>
        <v/>
      </c>
      <c r="F224">
        <f>_xlfn.XLOOKUP(C224,Tab_Def_Flows[Flow_Name],Tab_Def_Flows[CC?],,0,)</f>
        <v/>
      </c>
      <c r="I224">
        <f>'0_Configuration'!$C$35</f>
        <v/>
      </c>
      <c r="O224" t="inlineStr">
        <is>
          <t>No</t>
        </is>
      </c>
      <c r="R224">
        <f>Tab_Data_Flows[[#This Row],[Flow_ID]]&amp;"_"&amp;"material_"&amp;Tab_Data_Flows[[#This Row],[Flow_Data_Year]]</f>
        <v/>
      </c>
      <c r="S224">
        <f>IF(O224="no",H224,H224*P224)</f>
        <v/>
      </c>
      <c r="T224">
        <f>Tab_Data_Flows[[#This Row],[UoM_Source]]</f>
        <v/>
      </c>
      <c r="U224">
        <f>INDEX(Tab_Def_Flows[[Flow_ID]:[CC_DM_source]],MATCH(Tab_Data_Flows[[#This Row],[Flow_Name]],Tab_Def_Flows[Flow_Name],0),11)</f>
        <v/>
      </c>
      <c r="V224">
        <f>Tab_Data_Flows[[#This Row],[Flow_ID]]&amp;"_"&amp;"WC_"&amp;Tab_Data_Flows[[#This Row],[Flow_Data_Year]]</f>
        <v/>
      </c>
      <c r="W224">
        <f>IF(D224="Yes",S224*Tab_Data_Flows[[#This Row],[WC_'[%']]],"N.A.")</f>
        <v/>
      </c>
      <c r="X224">
        <f>Tab_Data_Flows[[#This Row],[UoM_Flow_Py]]</f>
        <v/>
      </c>
      <c r="Y224">
        <f>INDEX(Tab_Def_Flows[[Flow_ID]:[CC_DM_source]],MATCH(Tab_Data_Flows[[#This Row],[Flow_Name]],Tab_Def_Flows[Flow_Name],0),14)</f>
        <v/>
      </c>
      <c r="Z224">
        <f>Tab_Data_Flows[[#This Row],[Flow_ID]]&amp;"_"&amp;"DM_"&amp;Tab_Data_Flows[[#This Row],[Flow_Data_Year]]</f>
        <v/>
      </c>
      <c r="AA224">
        <f>IF(E224="Yes",Y224*Tab_Data_Flows[[#This Row],[Flow_Material]],"N.A.")</f>
        <v/>
      </c>
      <c r="AB224">
        <f>Tab_Data_Flows[[#This Row],[UoM_Flow_Py]]</f>
        <v/>
      </c>
      <c r="AC224">
        <f>INDEX(Tab_Def_Flows[[Flow_ID]:[CC_DM_source]],MATCH(Tab_Data_Flows[[#This Row],[Flow_Name]],Tab_Def_Flows[Flow_Name],0),17)</f>
        <v/>
      </c>
      <c r="AD224">
        <f>Tab_Data_Flows[[#This Row],[Flow_ID]]&amp;"_"&amp;"CC_"&amp;Tab_Data_Flows[[#This Row],[Flow_Data_Year]]</f>
        <v/>
      </c>
      <c r="AE224">
        <f>IF(F224="Yes",AC224*Tab_Data_Flows[[#This Row],[Flow_Material]]*Tab_Data_Flows[[#This Row],[DM_'[%']]],"N.A.")</f>
        <v/>
      </c>
      <c r="AF224">
        <f>Tab_Data_Flows[[#This Row],[UoM_Flow_Py]]</f>
        <v/>
      </c>
    </row>
    <row r="225">
      <c r="A225">
        <f>ROW()-1</f>
        <v/>
      </c>
      <c r="B225">
        <f>_xlfn.XLOOKUP(C225,Tab_Def_Flows[Flow_Name],Tab_Def_Flows[Flow_ID],,0,)</f>
        <v/>
      </c>
      <c r="C225" t="inlineStr">
        <is>
          <t>N.A.</t>
        </is>
      </c>
      <c r="D225">
        <f>_xlfn.XLOOKUP(C225,Tab_Def_Flows[Flow_Name],Tab_Def_Flows[WC?],,0,)</f>
        <v/>
      </c>
      <c r="E225">
        <f>_xlfn.XLOOKUP(C225,Tab_Def_Flows[Flow_Name],Tab_Def_Flows[DM?],,0,)</f>
        <v/>
      </c>
      <c r="F225">
        <f>_xlfn.XLOOKUP(C225,Tab_Def_Flows[Flow_Name],Tab_Def_Flows[CC?],,0,)</f>
        <v/>
      </c>
      <c r="I225">
        <f>'0_Configuration'!$C$35</f>
        <v/>
      </c>
      <c r="O225" t="inlineStr">
        <is>
          <t>No</t>
        </is>
      </c>
      <c r="R225">
        <f>Tab_Data_Flows[[#This Row],[Flow_ID]]&amp;"_"&amp;"material_"&amp;Tab_Data_Flows[[#This Row],[Flow_Data_Year]]</f>
        <v/>
      </c>
      <c r="S225">
        <f>IF(O225="no",H225,H225*P225)</f>
        <v/>
      </c>
      <c r="T225">
        <f>Tab_Data_Flows[[#This Row],[UoM_Source]]</f>
        <v/>
      </c>
      <c r="U225">
        <f>INDEX(Tab_Def_Flows[[Flow_ID]:[CC_DM_source]],MATCH(Tab_Data_Flows[[#This Row],[Flow_Name]],Tab_Def_Flows[Flow_Name],0),11)</f>
        <v/>
      </c>
      <c r="V225">
        <f>Tab_Data_Flows[[#This Row],[Flow_ID]]&amp;"_"&amp;"WC_"&amp;Tab_Data_Flows[[#This Row],[Flow_Data_Year]]</f>
        <v/>
      </c>
      <c r="W225">
        <f>IF(D225="Yes",S225*Tab_Data_Flows[[#This Row],[WC_'[%']]],"N.A.")</f>
        <v/>
      </c>
      <c r="X225">
        <f>Tab_Data_Flows[[#This Row],[UoM_Flow_Py]]</f>
        <v/>
      </c>
      <c r="Y225">
        <f>INDEX(Tab_Def_Flows[[Flow_ID]:[CC_DM_source]],MATCH(Tab_Data_Flows[[#This Row],[Flow_Name]],Tab_Def_Flows[Flow_Name],0),14)</f>
        <v/>
      </c>
      <c r="Z225">
        <f>Tab_Data_Flows[[#This Row],[Flow_ID]]&amp;"_"&amp;"DM_"&amp;Tab_Data_Flows[[#This Row],[Flow_Data_Year]]</f>
        <v/>
      </c>
      <c r="AA225">
        <f>IF(E225="Yes",Y225*Tab_Data_Flows[[#This Row],[Flow_Material]],"N.A.")</f>
        <v/>
      </c>
      <c r="AB225">
        <f>Tab_Data_Flows[[#This Row],[UoM_Flow_Py]]</f>
        <v/>
      </c>
      <c r="AC225">
        <f>INDEX(Tab_Def_Flows[[Flow_ID]:[CC_DM_source]],MATCH(Tab_Data_Flows[[#This Row],[Flow_Name]],Tab_Def_Flows[Flow_Name],0),17)</f>
        <v/>
      </c>
      <c r="AD225">
        <f>Tab_Data_Flows[[#This Row],[Flow_ID]]&amp;"_"&amp;"CC_"&amp;Tab_Data_Flows[[#This Row],[Flow_Data_Year]]</f>
        <v/>
      </c>
      <c r="AE225">
        <f>IF(F225="Yes",AC225*Tab_Data_Flows[[#This Row],[Flow_Material]]*Tab_Data_Flows[[#This Row],[DM_'[%']]],"N.A.")</f>
        <v/>
      </c>
      <c r="AF225">
        <f>Tab_Data_Flows[[#This Row],[UoM_Flow_Py]]</f>
        <v/>
      </c>
    </row>
    <row r="226">
      <c r="A226">
        <f>ROW()-1</f>
        <v/>
      </c>
      <c r="B226">
        <f>_xlfn.XLOOKUP(C226,Tab_Def_Flows[Flow_Name],Tab_Def_Flows[Flow_ID],,0,)</f>
        <v/>
      </c>
      <c r="C226" t="inlineStr">
        <is>
          <t>N.A.</t>
        </is>
      </c>
      <c r="D226">
        <f>_xlfn.XLOOKUP(C226,Tab_Def_Flows[Flow_Name],Tab_Def_Flows[WC?],,0,)</f>
        <v/>
      </c>
      <c r="E226">
        <f>_xlfn.XLOOKUP(C226,Tab_Def_Flows[Flow_Name],Tab_Def_Flows[DM?],,0,)</f>
        <v/>
      </c>
      <c r="F226">
        <f>_xlfn.XLOOKUP(C226,Tab_Def_Flows[Flow_Name],Tab_Def_Flows[CC?],,0,)</f>
        <v/>
      </c>
      <c r="I226">
        <f>'0_Configuration'!$C$35</f>
        <v/>
      </c>
      <c r="O226" t="inlineStr">
        <is>
          <t>No</t>
        </is>
      </c>
      <c r="R226">
        <f>Tab_Data_Flows[[#This Row],[Flow_ID]]&amp;"_"&amp;"material_"&amp;Tab_Data_Flows[[#This Row],[Flow_Data_Year]]</f>
        <v/>
      </c>
      <c r="S226">
        <f>IF(O226="no",H226,H226*P226)</f>
        <v/>
      </c>
      <c r="T226">
        <f>Tab_Data_Flows[[#This Row],[UoM_Source]]</f>
        <v/>
      </c>
      <c r="U226">
        <f>INDEX(Tab_Def_Flows[[Flow_ID]:[CC_DM_source]],MATCH(Tab_Data_Flows[[#This Row],[Flow_Name]],Tab_Def_Flows[Flow_Name],0),11)</f>
        <v/>
      </c>
      <c r="V226">
        <f>Tab_Data_Flows[[#This Row],[Flow_ID]]&amp;"_"&amp;"WC_"&amp;Tab_Data_Flows[[#This Row],[Flow_Data_Year]]</f>
        <v/>
      </c>
      <c r="W226">
        <f>IF(D226="Yes",S226*Tab_Data_Flows[[#This Row],[WC_'[%']]],"N.A.")</f>
        <v/>
      </c>
      <c r="X226">
        <f>Tab_Data_Flows[[#This Row],[UoM_Flow_Py]]</f>
        <v/>
      </c>
      <c r="Y226">
        <f>INDEX(Tab_Def_Flows[[Flow_ID]:[CC_DM_source]],MATCH(Tab_Data_Flows[[#This Row],[Flow_Name]],Tab_Def_Flows[Flow_Name],0),14)</f>
        <v/>
      </c>
      <c r="Z226">
        <f>Tab_Data_Flows[[#This Row],[Flow_ID]]&amp;"_"&amp;"DM_"&amp;Tab_Data_Flows[[#This Row],[Flow_Data_Year]]</f>
        <v/>
      </c>
      <c r="AA226">
        <f>IF(E226="Yes",Y226*Tab_Data_Flows[[#This Row],[Flow_Material]],"N.A.")</f>
        <v/>
      </c>
      <c r="AB226">
        <f>Tab_Data_Flows[[#This Row],[UoM_Flow_Py]]</f>
        <v/>
      </c>
      <c r="AC226">
        <f>INDEX(Tab_Def_Flows[[Flow_ID]:[CC_DM_source]],MATCH(Tab_Data_Flows[[#This Row],[Flow_Name]],Tab_Def_Flows[Flow_Name],0),17)</f>
        <v/>
      </c>
      <c r="AD226">
        <f>Tab_Data_Flows[[#This Row],[Flow_ID]]&amp;"_"&amp;"CC_"&amp;Tab_Data_Flows[[#This Row],[Flow_Data_Year]]</f>
        <v/>
      </c>
      <c r="AE226">
        <f>IF(F226="Yes",AC226*Tab_Data_Flows[[#This Row],[Flow_Material]]*Tab_Data_Flows[[#This Row],[DM_'[%']]],"N.A.")</f>
        <v/>
      </c>
      <c r="AF226">
        <f>Tab_Data_Flows[[#This Row],[UoM_Flow_Py]]</f>
        <v/>
      </c>
    </row>
    <row r="227">
      <c r="A227">
        <f>ROW()-1</f>
        <v/>
      </c>
      <c r="B227">
        <f>_xlfn.XLOOKUP(C227,Tab_Def_Flows[Flow_Name],Tab_Def_Flows[Flow_ID],,0,)</f>
        <v/>
      </c>
      <c r="C227" t="inlineStr">
        <is>
          <t>N.A.</t>
        </is>
      </c>
      <c r="D227">
        <f>_xlfn.XLOOKUP(C227,Tab_Def_Flows[Flow_Name],Tab_Def_Flows[WC?],,0,)</f>
        <v/>
      </c>
      <c r="E227">
        <f>_xlfn.XLOOKUP(C227,Tab_Def_Flows[Flow_Name],Tab_Def_Flows[DM?],,0,)</f>
        <v/>
      </c>
      <c r="F227">
        <f>_xlfn.XLOOKUP(C227,Tab_Def_Flows[Flow_Name],Tab_Def_Flows[CC?],,0,)</f>
        <v/>
      </c>
      <c r="I227">
        <f>'0_Configuration'!$C$35</f>
        <v/>
      </c>
      <c r="O227" t="inlineStr">
        <is>
          <t>No</t>
        </is>
      </c>
      <c r="R227">
        <f>Tab_Data_Flows[[#This Row],[Flow_ID]]&amp;"_"&amp;"material_"&amp;Tab_Data_Flows[[#This Row],[Flow_Data_Year]]</f>
        <v/>
      </c>
      <c r="S227">
        <f>IF(O227="no",H227,H227*P227)</f>
        <v/>
      </c>
      <c r="T227">
        <f>Tab_Data_Flows[[#This Row],[UoM_Source]]</f>
        <v/>
      </c>
      <c r="U227">
        <f>INDEX(Tab_Def_Flows[[Flow_ID]:[CC_DM_source]],MATCH(Tab_Data_Flows[[#This Row],[Flow_Name]],Tab_Def_Flows[Flow_Name],0),11)</f>
        <v/>
      </c>
      <c r="V227">
        <f>Tab_Data_Flows[[#This Row],[Flow_ID]]&amp;"_"&amp;"WC_"&amp;Tab_Data_Flows[[#This Row],[Flow_Data_Year]]</f>
        <v/>
      </c>
      <c r="W227">
        <f>IF(D227="Yes",S227*Tab_Data_Flows[[#This Row],[WC_'[%']]],"N.A.")</f>
        <v/>
      </c>
      <c r="X227">
        <f>Tab_Data_Flows[[#This Row],[UoM_Flow_Py]]</f>
        <v/>
      </c>
      <c r="Y227">
        <f>INDEX(Tab_Def_Flows[[Flow_ID]:[CC_DM_source]],MATCH(Tab_Data_Flows[[#This Row],[Flow_Name]],Tab_Def_Flows[Flow_Name],0),14)</f>
        <v/>
      </c>
      <c r="Z227">
        <f>Tab_Data_Flows[[#This Row],[Flow_ID]]&amp;"_"&amp;"DM_"&amp;Tab_Data_Flows[[#This Row],[Flow_Data_Year]]</f>
        <v/>
      </c>
      <c r="AA227">
        <f>IF(E227="Yes",Y227*Tab_Data_Flows[[#This Row],[Flow_Material]],"N.A.")</f>
        <v/>
      </c>
      <c r="AB227">
        <f>Tab_Data_Flows[[#This Row],[UoM_Flow_Py]]</f>
        <v/>
      </c>
      <c r="AC227">
        <f>INDEX(Tab_Def_Flows[[Flow_ID]:[CC_DM_source]],MATCH(Tab_Data_Flows[[#This Row],[Flow_Name]],Tab_Def_Flows[Flow_Name],0),17)</f>
        <v/>
      </c>
      <c r="AD227">
        <f>Tab_Data_Flows[[#This Row],[Flow_ID]]&amp;"_"&amp;"CC_"&amp;Tab_Data_Flows[[#This Row],[Flow_Data_Year]]</f>
        <v/>
      </c>
      <c r="AE227">
        <f>IF(F227="Yes",AC227*Tab_Data_Flows[[#This Row],[Flow_Material]]*Tab_Data_Flows[[#This Row],[DM_'[%']]],"N.A.")</f>
        <v/>
      </c>
      <c r="AF227">
        <f>Tab_Data_Flows[[#This Row],[UoM_Flow_Py]]</f>
        <v/>
      </c>
    </row>
    <row r="228">
      <c r="A228">
        <f>ROW()-1</f>
        <v/>
      </c>
      <c r="B228">
        <f>_xlfn.XLOOKUP(C228,Tab_Def_Flows[Flow_Name],Tab_Def_Flows[Flow_ID],,0,)</f>
        <v/>
      </c>
      <c r="C228" t="inlineStr">
        <is>
          <t>N.A.</t>
        </is>
      </c>
      <c r="D228">
        <f>_xlfn.XLOOKUP(C228,Tab_Def_Flows[Flow_Name],Tab_Def_Flows[WC?],,0,)</f>
        <v/>
      </c>
      <c r="E228">
        <f>_xlfn.XLOOKUP(C228,Tab_Def_Flows[Flow_Name],Tab_Def_Flows[DM?],,0,)</f>
        <v/>
      </c>
      <c r="F228">
        <f>_xlfn.XLOOKUP(C228,Tab_Def_Flows[Flow_Name],Tab_Def_Flows[CC?],,0,)</f>
        <v/>
      </c>
      <c r="I228">
        <f>'0_Configuration'!$C$35</f>
        <v/>
      </c>
      <c r="O228" t="inlineStr">
        <is>
          <t>No</t>
        </is>
      </c>
      <c r="R228">
        <f>Tab_Data_Flows[[#This Row],[Flow_ID]]&amp;"_"&amp;"material_"&amp;Tab_Data_Flows[[#This Row],[Flow_Data_Year]]</f>
        <v/>
      </c>
      <c r="S228">
        <f>IF(O228="no",H228,H228*P228)</f>
        <v/>
      </c>
      <c r="T228">
        <f>Tab_Data_Flows[[#This Row],[UoM_Source]]</f>
        <v/>
      </c>
      <c r="U228">
        <f>INDEX(Tab_Def_Flows[[Flow_ID]:[CC_DM_source]],MATCH(Tab_Data_Flows[[#This Row],[Flow_Name]],Tab_Def_Flows[Flow_Name],0),11)</f>
        <v/>
      </c>
      <c r="V228">
        <f>Tab_Data_Flows[[#This Row],[Flow_ID]]&amp;"_"&amp;"WC_"&amp;Tab_Data_Flows[[#This Row],[Flow_Data_Year]]</f>
        <v/>
      </c>
      <c r="W228">
        <f>IF(D228="Yes",S228*Tab_Data_Flows[[#This Row],[WC_'[%']]],"N.A.")</f>
        <v/>
      </c>
      <c r="X228">
        <f>Tab_Data_Flows[[#This Row],[UoM_Flow_Py]]</f>
        <v/>
      </c>
      <c r="Y228">
        <f>INDEX(Tab_Def_Flows[[Flow_ID]:[CC_DM_source]],MATCH(Tab_Data_Flows[[#This Row],[Flow_Name]],Tab_Def_Flows[Flow_Name],0),14)</f>
        <v/>
      </c>
      <c r="Z228">
        <f>Tab_Data_Flows[[#This Row],[Flow_ID]]&amp;"_"&amp;"DM_"&amp;Tab_Data_Flows[[#This Row],[Flow_Data_Year]]</f>
        <v/>
      </c>
      <c r="AA228">
        <f>IF(E228="Yes",Y228*Tab_Data_Flows[[#This Row],[Flow_Material]],"N.A.")</f>
        <v/>
      </c>
      <c r="AB228">
        <f>Tab_Data_Flows[[#This Row],[UoM_Flow_Py]]</f>
        <v/>
      </c>
      <c r="AC228">
        <f>INDEX(Tab_Def_Flows[[Flow_ID]:[CC_DM_source]],MATCH(Tab_Data_Flows[[#This Row],[Flow_Name]],Tab_Def_Flows[Flow_Name],0),17)</f>
        <v/>
      </c>
      <c r="AD228">
        <f>Tab_Data_Flows[[#This Row],[Flow_ID]]&amp;"_"&amp;"CC_"&amp;Tab_Data_Flows[[#This Row],[Flow_Data_Year]]</f>
        <v/>
      </c>
      <c r="AE228">
        <f>IF(F228="Yes",AC228*Tab_Data_Flows[[#This Row],[Flow_Material]]*Tab_Data_Flows[[#This Row],[DM_'[%']]],"N.A.")</f>
        <v/>
      </c>
      <c r="AF228">
        <f>Tab_Data_Flows[[#This Row],[UoM_Flow_Py]]</f>
        <v/>
      </c>
    </row>
    <row r="229">
      <c r="A229">
        <f>ROW()-1</f>
        <v/>
      </c>
      <c r="B229">
        <f>_xlfn.XLOOKUP(C229,Tab_Def_Flows[Flow_Name],Tab_Def_Flows[Flow_ID],,0,)</f>
        <v/>
      </c>
      <c r="C229" t="inlineStr">
        <is>
          <t>N.A.</t>
        </is>
      </c>
      <c r="D229">
        <f>_xlfn.XLOOKUP(C229,Tab_Def_Flows[Flow_Name],Tab_Def_Flows[WC?],,0,)</f>
        <v/>
      </c>
      <c r="E229">
        <f>_xlfn.XLOOKUP(C229,Tab_Def_Flows[Flow_Name],Tab_Def_Flows[DM?],,0,)</f>
        <v/>
      </c>
      <c r="F229">
        <f>_xlfn.XLOOKUP(C229,Tab_Def_Flows[Flow_Name],Tab_Def_Flows[CC?],,0,)</f>
        <v/>
      </c>
      <c r="I229">
        <f>'0_Configuration'!$C$35</f>
        <v/>
      </c>
      <c r="O229" t="inlineStr">
        <is>
          <t>No</t>
        </is>
      </c>
      <c r="R229">
        <f>Tab_Data_Flows[[#This Row],[Flow_ID]]&amp;"_"&amp;"material_"&amp;Tab_Data_Flows[[#This Row],[Flow_Data_Year]]</f>
        <v/>
      </c>
      <c r="S229">
        <f>IF(O229="no",H229,H229*P229)</f>
        <v/>
      </c>
      <c r="T229">
        <f>Tab_Data_Flows[[#This Row],[UoM_Source]]</f>
        <v/>
      </c>
      <c r="U229">
        <f>INDEX(Tab_Def_Flows[[Flow_ID]:[CC_DM_source]],MATCH(Tab_Data_Flows[[#This Row],[Flow_Name]],Tab_Def_Flows[Flow_Name],0),11)</f>
        <v/>
      </c>
      <c r="V229">
        <f>Tab_Data_Flows[[#This Row],[Flow_ID]]&amp;"_"&amp;"WC_"&amp;Tab_Data_Flows[[#This Row],[Flow_Data_Year]]</f>
        <v/>
      </c>
      <c r="W229">
        <f>IF(D229="Yes",S229*Tab_Data_Flows[[#This Row],[WC_'[%']]],"N.A.")</f>
        <v/>
      </c>
      <c r="X229">
        <f>Tab_Data_Flows[[#This Row],[UoM_Flow_Py]]</f>
        <v/>
      </c>
      <c r="Y229">
        <f>INDEX(Tab_Def_Flows[[Flow_ID]:[CC_DM_source]],MATCH(Tab_Data_Flows[[#This Row],[Flow_Name]],Tab_Def_Flows[Flow_Name],0),14)</f>
        <v/>
      </c>
      <c r="Z229">
        <f>Tab_Data_Flows[[#This Row],[Flow_ID]]&amp;"_"&amp;"DM_"&amp;Tab_Data_Flows[[#This Row],[Flow_Data_Year]]</f>
        <v/>
      </c>
      <c r="AA229">
        <f>IF(E229="Yes",Y229*Tab_Data_Flows[[#This Row],[Flow_Material]],"N.A.")</f>
        <v/>
      </c>
      <c r="AB229">
        <f>Tab_Data_Flows[[#This Row],[UoM_Flow_Py]]</f>
        <v/>
      </c>
      <c r="AC229">
        <f>INDEX(Tab_Def_Flows[[Flow_ID]:[CC_DM_source]],MATCH(Tab_Data_Flows[[#This Row],[Flow_Name]],Tab_Def_Flows[Flow_Name],0),17)</f>
        <v/>
      </c>
      <c r="AD229">
        <f>Tab_Data_Flows[[#This Row],[Flow_ID]]&amp;"_"&amp;"CC_"&amp;Tab_Data_Flows[[#This Row],[Flow_Data_Year]]</f>
        <v/>
      </c>
      <c r="AE229">
        <f>IF(F229="Yes",AC229*Tab_Data_Flows[[#This Row],[Flow_Material]]*Tab_Data_Flows[[#This Row],[DM_'[%']]],"N.A.")</f>
        <v/>
      </c>
      <c r="AF229">
        <f>Tab_Data_Flows[[#This Row],[UoM_Flow_Py]]</f>
        <v/>
      </c>
    </row>
    <row r="230">
      <c r="A230">
        <f>ROW()-1</f>
        <v/>
      </c>
      <c r="B230">
        <f>_xlfn.XLOOKUP(C230,Tab_Def_Flows[Flow_Name],Tab_Def_Flows[Flow_ID],,0,)</f>
        <v/>
      </c>
      <c r="C230" t="inlineStr">
        <is>
          <t>N.A.</t>
        </is>
      </c>
      <c r="D230">
        <f>_xlfn.XLOOKUP(C230,Tab_Def_Flows[Flow_Name],Tab_Def_Flows[WC?],,0,)</f>
        <v/>
      </c>
      <c r="E230">
        <f>_xlfn.XLOOKUP(C230,Tab_Def_Flows[Flow_Name],Tab_Def_Flows[DM?],,0,)</f>
        <v/>
      </c>
      <c r="F230">
        <f>_xlfn.XLOOKUP(C230,Tab_Def_Flows[Flow_Name],Tab_Def_Flows[CC?],,0,)</f>
        <v/>
      </c>
      <c r="I230">
        <f>'0_Configuration'!$C$35</f>
        <v/>
      </c>
      <c r="O230" t="inlineStr">
        <is>
          <t>No</t>
        </is>
      </c>
      <c r="R230">
        <f>Tab_Data_Flows[[#This Row],[Flow_ID]]&amp;"_"&amp;"material_"&amp;Tab_Data_Flows[[#This Row],[Flow_Data_Year]]</f>
        <v/>
      </c>
      <c r="S230">
        <f>IF(O230="no",H230,H230*P230)</f>
        <v/>
      </c>
      <c r="T230">
        <f>Tab_Data_Flows[[#This Row],[UoM_Source]]</f>
        <v/>
      </c>
      <c r="U230">
        <f>INDEX(Tab_Def_Flows[[Flow_ID]:[CC_DM_source]],MATCH(Tab_Data_Flows[[#This Row],[Flow_Name]],Tab_Def_Flows[Flow_Name],0),11)</f>
        <v/>
      </c>
      <c r="V230">
        <f>Tab_Data_Flows[[#This Row],[Flow_ID]]&amp;"_"&amp;"WC_"&amp;Tab_Data_Flows[[#This Row],[Flow_Data_Year]]</f>
        <v/>
      </c>
      <c r="W230">
        <f>IF(D230="Yes",S230*Tab_Data_Flows[[#This Row],[WC_'[%']]],"N.A.")</f>
        <v/>
      </c>
      <c r="X230">
        <f>Tab_Data_Flows[[#This Row],[UoM_Flow_Py]]</f>
        <v/>
      </c>
      <c r="Y230">
        <f>INDEX(Tab_Def_Flows[[Flow_ID]:[CC_DM_source]],MATCH(Tab_Data_Flows[[#This Row],[Flow_Name]],Tab_Def_Flows[Flow_Name],0),14)</f>
        <v/>
      </c>
      <c r="Z230">
        <f>Tab_Data_Flows[[#This Row],[Flow_ID]]&amp;"_"&amp;"DM_"&amp;Tab_Data_Flows[[#This Row],[Flow_Data_Year]]</f>
        <v/>
      </c>
      <c r="AA230">
        <f>IF(E230="Yes",Y230*Tab_Data_Flows[[#This Row],[Flow_Material]],"N.A.")</f>
        <v/>
      </c>
      <c r="AB230">
        <f>Tab_Data_Flows[[#This Row],[UoM_Flow_Py]]</f>
        <v/>
      </c>
      <c r="AC230">
        <f>INDEX(Tab_Def_Flows[[Flow_ID]:[CC_DM_source]],MATCH(Tab_Data_Flows[[#This Row],[Flow_Name]],Tab_Def_Flows[Flow_Name],0),17)</f>
        <v/>
      </c>
      <c r="AD230">
        <f>Tab_Data_Flows[[#This Row],[Flow_ID]]&amp;"_"&amp;"CC_"&amp;Tab_Data_Flows[[#This Row],[Flow_Data_Year]]</f>
        <v/>
      </c>
      <c r="AE230">
        <f>IF(F230="Yes",AC230*Tab_Data_Flows[[#This Row],[Flow_Material]]*Tab_Data_Flows[[#This Row],[DM_'[%']]],"N.A.")</f>
        <v/>
      </c>
      <c r="AF230">
        <f>Tab_Data_Flows[[#This Row],[UoM_Flow_Py]]</f>
        <v/>
      </c>
    </row>
    <row r="231">
      <c r="A231">
        <f>ROW()-1</f>
        <v/>
      </c>
      <c r="B231">
        <f>_xlfn.XLOOKUP(C231,Tab_Def_Flows[Flow_Name],Tab_Def_Flows[Flow_ID],,0,)</f>
        <v/>
      </c>
      <c r="C231" t="inlineStr">
        <is>
          <t>N.A.</t>
        </is>
      </c>
      <c r="D231">
        <f>_xlfn.XLOOKUP(C231,Tab_Def_Flows[Flow_Name],Tab_Def_Flows[WC?],,0,)</f>
        <v/>
      </c>
      <c r="E231">
        <f>_xlfn.XLOOKUP(C231,Tab_Def_Flows[Flow_Name],Tab_Def_Flows[DM?],,0,)</f>
        <v/>
      </c>
      <c r="F231">
        <f>_xlfn.XLOOKUP(C231,Tab_Def_Flows[Flow_Name],Tab_Def_Flows[CC?],,0,)</f>
        <v/>
      </c>
      <c r="I231">
        <f>'0_Configuration'!$C$35</f>
        <v/>
      </c>
      <c r="O231" t="inlineStr">
        <is>
          <t>No</t>
        </is>
      </c>
      <c r="R231">
        <f>Tab_Data_Flows[[#This Row],[Flow_ID]]&amp;"_"&amp;"material_"&amp;Tab_Data_Flows[[#This Row],[Flow_Data_Year]]</f>
        <v/>
      </c>
      <c r="S231">
        <f>IF(O231="no",H231,H231*P231)</f>
        <v/>
      </c>
      <c r="T231">
        <f>Tab_Data_Flows[[#This Row],[UoM_Source]]</f>
        <v/>
      </c>
      <c r="U231">
        <f>INDEX(Tab_Def_Flows[[Flow_ID]:[CC_DM_source]],MATCH(Tab_Data_Flows[[#This Row],[Flow_Name]],Tab_Def_Flows[Flow_Name],0),11)</f>
        <v/>
      </c>
      <c r="V231">
        <f>Tab_Data_Flows[[#This Row],[Flow_ID]]&amp;"_"&amp;"WC_"&amp;Tab_Data_Flows[[#This Row],[Flow_Data_Year]]</f>
        <v/>
      </c>
      <c r="W231">
        <f>IF(D231="Yes",S231*Tab_Data_Flows[[#This Row],[WC_'[%']]],"N.A.")</f>
        <v/>
      </c>
      <c r="X231">
        <f>Tab_Data_Flows[[#This Row],[UoM_Flow_Py]]</f>
        <v/>
      </c>
      <c r="Y231">
        <f>INDEX(Tab_Def_Flows[[Flow_ID]:[CC_DM_source]],MATCH(Tab_Data_Flows[[#This Row],[Flow_Name]],Tab_Def_Flows[Flow_Name],0),14)</f>
        <v/>
      </c>
      <c r="Z231">
        <f>Tab_Data_Flows[[#This Row],[Flow_ID]]&amp;"_"&amp;"DM_"&amp;Tab_Data_Flows[[#This Row],[Flow_Data_Year]]</f>
        <v/>
      </c>
      <c r="AA231">
        <f>IF(E231="Yes",Y231*Tab_Data_Flows[[#This Row],[Flow_Material]],"N.A.")</f>
        <v/>
      </c>
      <c r="AB231">
        <f>Tab_Data_Flows[[#This Row],[UoM_Flow_Py]]</f>
        <v/>
      </c>
      <c r="AC231">
        <f>INDEX(Tab_Def_Flows[[Flow_ID]:[CC_DM_source]],MATCH(Tab_Data_Flows[[#This Row],[Flow_Name]],Tab_Def_Flows[Flow_Name],0),17)</f>
        <v/>
      </c>
      <c r="AD231">
        <f>Tab_Data_Flows[[#This Row],[Flow_ID]]&amp;"_"&amp;"CC_"&amp;Tab_Data_Flows[[#This Row],[Flow_Data_Year]]</f>
        <v/>
      </c>
      <c r="AE231">
        <f>IF(F231="Yes",AC231*Tab_Data_Flows[[#This Row],[Flow_Material]]*Tab_Data_Flows[[#This Row],[DM_'[%']]],"N.A.")</f>
        <v/>
      </c>
      <c r="AF231">
        <f>Tab_Data_Flows[[#This Row],[UoM_Flow_Py]]</f>
        <v/>
      </c>
    </row>
    <row r="232">
      <c r="A232">
        <f>ROW()-1</f>
        <v/>
      </c>
      <c r="B232">
        <f>_xlfn.XLOOKUP(C232,Tab_Def_Flows[Flow_Name],Tab_Def_Flows[Flow_ID],,0,)</f>
        <v/>
      </c>
      <c r="C232" t="inlineStr">
        <is>
          <t>N.A.</t>
        </is>
      </c>
      <c r="D232">
        <f>_xlfn.XLOOKUP(C232,Tab_Def_Flows[Flow_Name],Tab_Def_Flows[WC?],,0,)</f>
        <v/>
      </c>
      <c r="E232">
        <f>_xlfn.XLOOKUP(C232,Tab_Def_Flows[Flow_Name],Tab_Def_Flows[DM?],,0,)</f>
        <v/>
      </c>
      <c r="F232">
        <f>_xlfn.XLOOKUP(C232,Tab_Def_Flows[Flow_Name],Tab_Def_Flows[CC?],,0,)</f>
        <v/>
      </c>
      <c r="I232">
        <f>'0_Configuration'!$C$35</f>
        <v/>
      </c>
      <c r="O232" t="inlineStr">
        <is>
          <t>No</t>
        </is>
      </c>
      <c r="R232">
        <f>Tab_Data_Flows[[#This Row],[Flow_ID]]&amp;"_"&amp;"material_"&amp;Tab_Data_Flows[[#This Row],[Flow_Data_Year]]</f>
        <v/>
      </c>
      <c r="S232">
        <f>IF(O232="no",H232,H232*P232)</f>
        <v/>
      </c>
      <c r="T232">
        <f>Tab_Data_Flows[[#This Row],[UoM_Source]]</f>
        <v/>
      </c>
      <c r="U232">
        <f>INDEX(Tab_Def_Flows[[Flow_ID]:[CC_DM_source]],MATCH(Tab_Data_Flows[[#This Row],[Flow_Name]],Tab_Def_Flows[Flow_Name],0),11)</f>
        <v/>
      </c>
      <c r="V232">
        <f>Tab_Data_Flows[[#This Row],[Flow_ID]]&amp;"_"&amp;"WC_"&amp;Tab_Data_Flows[[#This Row],[Flow_Data_Year]]</f>
        <v/>
      </c>
      <c r="W232">
        <f>IF(D232="Yes",S232*Tab_Data_Flows[[#This Row],[WC_'[%']]],"N.A.")</f>
        <v/>
      </c>
      <c r="X232">
        <f>Tab_Data_Flows[[#This Row],[UoM_Flow_Py]]</f>
        <v/>
      </c>
      <c r="Y232">
        <f>INDEX(Tab_Def_Flows[[Flow_ID]:[CC_DM_source]],MATCH(Tab_Data_Flows[[#This Row],[Flow_Name]],Tab_Def_Flows[Flow_Name],0),14)</f>
        <v/>
      </c>
      <c r="Z232">
        <f>Tab_Data_Flows[[#This Row],[Flow_ID]]&amp;"_"&amp;"DM_"&amp;Tab_Data_Flows[[#This Row],[Flow_Data_Year]]</f>
        <v/>
      </c>
      <c r="AA232">
        <f>IF(E232="Yes",Y232*Tab_Data_Flows[[#This Row],[Flow_Material]],"N.A.")</f>
        <v/>
      </c>
      <c r="AB232">
        <f>Tab_Data_Flows[[#This Row],[UoM_Flow_Py]]</f>
        <v/>
      </c>
      <c r="AC232">
        <f>INDEX(Tab_Def_Flows[[Flow_ID]:[CC_DM_source]],MATCH(Tab_Data_Flows[[#This Row],[Flow_Name]],Tab_Def_Flows[Flow_Name],0),17)</f>
        <v/>
      </c>
      <c r="AD232">
        <f>Tab_Data_Flows[[#This Row],[Flow_ID]]&amp;"_"&amp;"CC_"&amp;Tab_Data_Flows[[#This Row],[Flow_Data_Year]]</f>
        <v/>
      </c>
      <c r="AE232">
        <f>IF(F232="Yes",AC232*Tab_Data_Flows[[#This Row],[Flow_Material]]*Tab_Data_Flows[[#This Row],[DM_'[%']]],"N.A.")</f>
        <v/>
      </c>
      <c r="AF232">
        <f>Tab_Data_Flows[[#This Row],[UoM_Flow_Py]]</f>
        <v/>
      </c>
    </row>
    <row r="233">
      <c r="A233">
        <f>ROW()-1</f>
        <v/>
      </c>
      <c r="B233">
        <f>_xlfn.XLOOKUP(C233,Tab_Def_Flows[Flow_Name],Tab_Def_Flows[Flow_ID],,0,)</f>
        <v/>
      </c>
      <c r="C233" t="inlineStr">
        <is>
          <t>N.A.</t>
        </is>
      </c>
      <c r="D233">
        <f>_xlfn.XLOOKUP(C233,Tab_Def_Flows[Flow_Name],Tab_Def_Flows[WC?],,0,)</f>
        <v/>
      </c>
      <c r="E233">
        <f>_xlfn.XLOOKUP(C233,Tab_Def_Flows[Flow_Name],Tab_Def_Flows[DM?],,0,)</f>
        <v/>
      </c>
      <c r="F233">
        <f>_xlfn.XLOOKUP(C233,Tab_Def_Flows[Flow_Name],Tab_Def_Flows[CC?],,0,)</f>
        <v/>
      </c>
      <c r="I233">
        <f>'0_Configuration'!$C$35</f>
        <v/>
      </c>
      <c r="O233" t="inlineStr">
        <is>
          <t>No</t>
        </is>
      </c>
      <c r="R233">
        <f>Tab_Data_Flows[[#This Row],[Flow_ID]]&amp;"_"&amp;"material_"&amp;Tab_Data_Flows[[#This Row],[Flow_Data_Year]]</f>
        <v/>
      </c>
      <c r="S233">
        <f>IF(O233="no",H233,H233*P233)</f>
        <v/>
      </c>
      <c r="T233">
        <f>Tab_Data_Flows[[#This Row],[UoM_Source]]</f>
        <v/>
      </c>
      <c r="U233">
        <f>INDEX(Tab_Def_Flows[[Flow_ID]:[CC_DM_source]],MATCH(Tab_Data_Flows[[#This Row],[Flow_Name]],Tab_Def_Flows[Flow_Name],0),11)</f>
        <v/>
      </c>
      <c r="V233">
        <f>Tab_Data_Flows[[#This Row],[Flow_ID]]&amp;"_"&amp;"WC_"&amp;Tab_Data_Flows[[#This Row],[Flow_Data_Year]]</f>
        <v/>
      </c>
      <c r="W233">
        <f>IF(D233="Yes",S233*Tab_Data_Flows[[#This Row],[WC_'[%']]],"N.A.")</f>
        <v/>
      </c>
      <c r="X233">
        <f>Tab_Data_Flows[[#This Row],[UoM_Flow_Py]]</f>
        <v/>
      </c>
      <c r="Y233">
        <f>INDEX(Tab_Def_Flows[[Flow_ID]:[CC_DM_source]],MATCH(Tab_Data_Flows[[#This Row],[Flow_Name]],Tab_Def_Flows[Flow_Name],0),14)</f>
        <v/>
      </c>
      <c r="Z233">
        <f>Tab_Data_Flows[[#This Row],[Flow_ID]]&amp;"_"&amp;"DM_"&amp;Tab_Data_Flows[[#This Row],[Flow_Data_Year]]</f>
        <v/>
      </c>
      <c r="AA233">
        <f>IF(E233="Yes",Y233*Tab_Data_Flows[[#This Row],[Flow_Material]],"N.A.")</f>
        <v/>
      </c>
      <c r="AB233">
        <f>Tab_Data_Flows[[#This Row],[UoM_Flow_Py]]</f>
        <v/>
      </c>
      <c r="AC233">
        <f>INDEX(Tab_Def_Flows[[Flow_ID]:[CC_DM_source]],MATCH(Tab_Data_Flows[[#This Row],[Flow_Name]],Tab_Def_Flows[Flow_Name],0),17)</f>
        <v/>
      </c>
      <c r="AD233">
        <f>Tab_Data_Flows[[#This Row],[Flow_ID]]&amp;"_"&amp;"CC_"&amp;Tab_Data_Flows[[#This Row],[Flow_Data_Year]]</f>
        <v/>
      </c>
      <c r="AE233">
        <f>IF(F233="Yes",AC233*Tab_Data_Flows[[#This Row],[Flow_Material]]*Tab_Data_Flows[[#This Row],[DM_'[%']]],"N.A.")</f>
        <v/>
      </c>
      <c r="AF233">
        <f>Tab_Data_Flows[[#This Row],[UoM_Flow_Py]]</f>
        <v/>
      </c>
    </row>
    <row r="234">
      <c r="A234">
        <f>ROW()-1</f>
        <v/>
      </c>
      <c r="B234">
        <f>_xlfn.XLOOKUP(C234,Tab_Def_Flows[Flow_Name],Tab_Def_Flows[Flow_ID],,0,)</f>
        <v/>
      </c>
      <c r="C234" t="inlineStr">
        <is>
          <t>N.A.</t>
        </is>
      </c>
      <c r="D234">
        <f>_xlfn.XLOOKUP(C234,Tab_Def_Flows[Flow_Name],Tab_Def_Flows[WC?],,0,)</f>
        <v/>
      </c>
      <c r="E234">
        <f>_xlfn.XLOOKUP(C234,Tab_Def_Flows[Flow_Name],Tab_Def_Flows[DM?],,0,)</f>
        <v/>
      </c>
      <c r="F234">
        <f>_xlfn.XLOOKUP(C234,Tab_Def_Flows[Flow_Name],Tab_Def_Flows[CC?],,0,)</f>
        <v/>
      </c>
      <c r="I234">
        <f>'0_Configuration'!$C$35</f>
        <v/>
      </c>
      <c r="O234" t="inlineStr">
        <is>
          <t>No</t>
        </is>
      </c>
      <c r="R234">
        <f>Tab_Data_Flows[[#This Row],[Flow_ID]]&amp;"_"&amp;"material_"&amp;Tab_Data_Flows[[#This Row],[Flow_Data_Year]]</f>
        <v/>
      </c>
      <c r="S234">
        <f>IF(O234="no",H234,H234*P234)</f>
        <v/>
      </c>
      <c r="T234">
        <f>Tab_Data_Flows[[#This Row],[UoM_Source]]</f>
        <v/>
      </c>
      <c r="U234">
        <f>INDEX(Tab_Def_Flows[[Flow_ID]:[CC_DM_source]],MATCH(Tab_Data_Flows[[#This Row],[Flow_Name]],Tab_Def_Flows[Flow_Name],0),11)</f>
        <v/>
      </c>
      <c r="V234">
        <f>Tab_Data_Flows[[#This Row],[Flow_ID]]&amp;"_"&amp;"WC_"&amp;Tab_Data_Flows[[#This Row],[Flow_Data_Year]]</f>
        <v/>
      </c>
      <c r="W234">
        <f>IF(D234="Yes",S234*Tab_Data_Flows[[#This Row],[WC_'[%']]],"N.A.")</f>
        <v/>
      </c>
      <c r="X234">
        <f>Tab_Data_Flows[[#This Row],[UoM_Flow_Py]]</f>
        <v/>
      </c>
      <c r="Y234">
        <f>INDEX(Tab_Def_Flows[[Flow_ID]:[CC_DM_source]],MATCH(Tab_Data_Flows[[#This Row],[Flow_Name]],Tab_Def_Flows[Flow_Name],0),14)</f>
        <v/>
      </c>
      <c r="Z234">
        <f>Tab_Data_Flows[[#This Row],[Flow_ID]]&amp;"_"&amp;"DM_"&amp;Tab_Data_Flows[[#This Row],[Flow_Data_Year]]</f>
        <v/>
      </c>
      <c r="AA234">
        <f>IF(E234="Yes",Y234*Tab_Data_Flows[[#This Row],[Flow_Material]],"N.A.")</f>
        <v/>
      </c>
      <c r="AB234">
        <f>Tab_Data_Flows[[#This Row],[UoM_Flow_Py]]</f>
        <v/>
      </c>
      <c r="AC234">
        <f>INDEX(Tab_Def_Flows[[Flow_ID]:[CC_DM_source]],MATCH(Tab_Data_Flows[[#This Row],[Flow_Name]],Tab_Def_Flows[Flow_Name],0),17)</f>
        <v/>
      </c>
      <c r="AD234">
        <f>Tab_Data_Flows[[#This Row],[Flow_ID]]&amp;"_"&amp;"CC_"&amp;Tab_Data_Flows[[#This Row],[Flow_Data_Year]]</f>
        <v/>
      </c>
      <c r="AE234">
        <f>IF(F234="Yes",AC234*Tab_Data_Flows[[#This Row],[Flow_Material]]*Tab_Data_Flows[[#This Row],[DM_'[%']]],"N.A.")</f>
        <v/>
      </c>
      <c r="AF234">
        <f>Tab_Data_Flows[[#This Row],[UoM_Flow_Py]]</f>
        <v/>
      </c>
    </row>
    <row r="235">
      <c r="A235">
        <f>ROW()-1</f>
        <v/>
      </c>
      <c r="B235">
        <f>_xlfn.XLOOKUP(C235,Tab_Def_Flows[Flow_Name],Tab_Def_Flows[Flow_ID],,0,)</f>
        <v/>
      </c>
      <c r="C235" t="inlineStr">
        <is>
          <t>N.A.</t>
        </is>
      </c>
      <c r="D235">
        <f>_xlfn.XLOOKUP(C235,Tab_Def_Flows[Flow_Name],Tab_Def_Flows[WC?],,0,)</f>
        <v/>
      </c>
      <c r="E235">
        <f>_xlfn.XLOOKUP(C235,Tab_Def_Flows[Flow_Name],Tab_Def_Flows[DM?],,0,)</f>
        <v/>
      </c>
      <c r="F235">
        <f>_xlfn.XLOOKUP(C235,Tab_Def_Flows[Flow_Name],Tab_Def_Flows[CC?],,0,)</f>
        <v/>
      </c>
      <c r="I235">
        <f>'0_Configuration'!$C$35</f>
        <v/>
      </c>
      <c r="O235" t="inlineStr">
        <is>
          <t>No</t>
        </is>
      </c>
      <c r="R235">
        <f>Tab_Data_Flows[[#This Row],[Flow_ID]]&amp;"_"&amp;"material_"&amp;Tab_Data_Flows[[#This Row],[Flow_Data_Year]]</f>
        <v/>
      </c>
      <c r="S235">
        <f>IF(O235="no",H235,H235*P235)</f>
        <v/>
      </c>
      <c r="T235">
        <f>Tab_Data_Flows[[#This Row],[UoM_Source]]</f>
        <v/>
      </c>
      <c r="U235">
        <f>INDEX(Tab_Def_Flows[[Flow_ID]:[CC_DM_source]],MATCH(Tab_Data_Flows[[#This Row],[Flow_Name]],Tab_Def_Flows[Flow_Name],0),11)</f>
        <v/>
      </c>
      <c r="V235">
        <f>Tab_Data_Flows[[#This Row],[Flow_ID]]&amp;"_"&amp;"WC_"&amp;Tab_Data_Flows[[#This Row],[Flow_Data_Year]]</f>
        <v/>
      </c>
      <c r="W235">
        <f>IF(D235="Yes",S235*Tab_Data_Flows[[#This Row],[WC_'[%']]],"N.A.")</f>
        <v/>
      </c>
      <c r="X235">
        <f>Tab_Data_Flows[[#This Row],[UoM_Flow_Py]]</f>
        <v/>
      </c>
      <c r="Y235">
        <f>INDEX(Tab_Def_Flows[[Flow_ID]:[CC_DM_source]],MATCH(Tab_Data_Flows[[#This Row],[Flow_Name]],Tab_Def_Flows[Flow_Name],0),14)</f>
        <v/>
      </c>
      <c r="Z235">
        <f>Tab_Data_Flows[[#This Row],[Flow_ID]]&amp;"_"&amp;"DM_"&amp;Tab_Data_Flows[[#This Row],[Flow_Data_Year]]</f>
        <v/>
      </c>
      <c r="AA235">
        <f>IF(E235="Yes",Y235*Tab_Data_Flows[[#This Row],[Flow_Material]],"N.A.")</f>
        <v/>
      </c>
      <c r="AB235">
        <f>Tab_Data_Flows[[#This Row],[UoM_Flow_Py]]</f>
        <v/>
      </c>
      <c r="AC235">
        <f>INDEX(Tab_Def_Flows[[Flow_ID]:[CC_DM_source]],MATCH(Tab_Data_Flows[[#This Row],[Flow_Name]],Tab_Def_Flows[Flow_Name],0),17)</f>
        <v/>
      </c>
      <c r="AD235">
        <f>Tab_Data_Flows[[#This Row],[Flow_ID]]&amp;"_"&amp;"CC_"&amp;Tab_Data_Flows[[#This Row],[Flow_Data_Year]]</f>
        <v/>
      </c>
      <c r="AE235">
        <f>IF(F235="Yes",AC235*Tab_Data_Flows[[#This Row],[Flow_Material]]*Tab_Data_Flows[[#This Row],[DM_'[%']]],"N.A.")</f>
        <v/>
      </c>
      <c r="AF235">
        <f>Tab_Data_Flows[[#This Row],[UoM_Flow_Py]]</f>
        <v/>
      </c>
    </row>
    <row r="236">
      <c r="A236">
        <f>ROW()-1</f>
        <v/>
      </c>
      <c r="B236">
        <f>_xlfn.XLOOKUP(C236,Tab_Def_Flows[Flow_Name],Tab_Def_Flows[Flow_ID],,0,)</f>
        <v/>
      </c>
      <c r="C236" t="inlineStr">
        <is>
          <t>N.A.</t>
        </is>
      </c>
      <c r="D236">
        <f>_xlfn.XLOOKUP(C236,Tab_Def_Flows[Flow_Name],Tab_Def_Flows[WC?],,0,)</f>
        <v/>
      </c>
      <c r="E236">
        <f>_xlfn.XLOOKUP(C236,Tab_Def_Flows[Flow_Name],Tab_Def_Flows[DM?],,0,)</f>
        <v/>
      </c>
      <c r="F236">
        <f>_xlfn.XLOOKUP(C236,Tab_Def_Flows[Flow_Name],Tab_Def_Flows[CC?],,0,)</f>
        <v/>
      </c>
      <c r="I236">
        <f>'0_Configuration'!$C$35</f>
        <v/>
      </c>
      <c r="O236" t="inlineStr">
        <is>
          <t>No</t>
        </is>
      </c>
      <c r="R236">
        <f>Tab_Data_Flows[[#This Row],[Flow_ID]]&amp;"_"&amp;"material_"&amp;Tab_Data_Flows[[#This Row],[Flow_Data_Year]]</f>
        <v/>
      </c>
      <c r="S236">
        <f>IF(O236="no",H236,H236*P236)</f>
        <v/>
      </c>
      <c r="T236">
        <f>Tab_Data_Flows[[#This Row],[UoM_Source]]</f>
        <v/>
      </c>
      <c r="U236">
        <f>INDEX(Tab_Def_Flows[[Flow_ID]:[CC_DM_source]],MATCH(Tab_Data_Flows[[#This Row],[Flow_Name]],Tab_Def_Flows[Flow_Name],0),11)</f>
        <v/>
      </c>
      <c r="V236">
        <f>Tab_Data_Flows[[#This Row],[Flow_ID]]&amp;"_"&amp;"WC_"&amp;Tab_Data_Flows[[#This Row],[Flow_Data_Year]]</f>
        <v/>
      </c>
      <c r="W236">
        <f>IF(D236="Yes",S236*Tab_Data_Flows[[#This Row],[WC_'[%']]],"N.A.")</f>
        <v/>
      </c>
      <c r="X236">
        <f>Tab_Data_Flows[[#This Row],[UoM_Flow_Py]]</f>
        <v/>
      </c>
      <c r="Y236">
        <f>INDEX(Tab_Def_Flows[[Flow_ID]:[CC_DM_source]],MATCH(Tab_Data_Flows[[#This Row],[Flow_Name]],Tab_Def_Flows[Flow_Name],0),14)</f>
        <v/>
      </c>
      <c r="Z236">
        <f>Tab_Data_Flows[[#This Row],[Flow_ID]]&amp;"_"&amp;"DM_"&amp;Tab_Data_Flows[[#This Row],[Flow_Data_Year]]</f>
        <v/>
      </c>
      <c r="AA236">
        <f>IF(E236="Yes",Y236*Tab_Data_Flows[[#This Row],[Flow_Material]],"N.A.")</f>
        <v/>
      </c>
      <c r="AB236">
        <f>Tab_Data_Flows[[#This Row],[UoM_Flow_Py]]</f>
        <v/>
      </c>
      <c r="AC236">
        <f>INDEX(Tab_Def_Flows[[Flow_ID]:[CC_DM_source]],MATCH(Tab_Data_Flows[[#This Row],[Flow_Name]],Tab_Def_Flows[Flow_Name],0),17)</f>
        <v/>
      </c>
      <c r="AD236">
        <f>Tab_Data_Flows[[#This Row],[Flow_ID]]&amp;"_"&amp;"CC_"&amp;Tab_Data_Flows[[#This Row],[Flow_Data_Year]]</f>
        <v/>
      </c>
      <c r="AE236">
        <f>IF(F236="Yes",AC236*Tab_Data_Flows[[#This Row],[Flow_Material]]*Tab_Data_Flows[[#This Row],[DM_'[%']]],"N.A.")</f>
        <v/>
      </c>
      <c r="AF236">
        <f>Tab_Data_Flows[[#This Row],[UoM_Flow_Py]]</f>
        <v/>
      </c>
    </row>
    <row r="237">
      <c r="A237">
        <f>ROW()-1</f>
        <v/>
      </c>
      <c r="B237">
        <f>_xlfn.XLOOKUP(C237,Tab_Def_Flows[Flow_Name],Tab_Def_Flows[Flow_ID],,0,)</f>
        <v/>
      </c>
      <c r="C237" t="inlineStr">
        <is>
          <t>N.A.</t>
        </is>
      </c>
      <c r="D237">
        <f>_xlfn.XLOOKUP(C237,Tab_Def_Flows[Flow_Name],Tab_Def_Flows[WC?],,0,)</f>
        <v/>
      </c>
      <c r="E237">
        <f>_xlfn.XLOOKUP(C237,Tab_Def_Flows[Flow_Name],Tab_Def_Flows[DM?],,0,)</f>
        <v/>
      </c>
      <c r="F237">
        <f>_xlfn.XLOOKUP(C237,Tab_Def_Flows[Flow_Name],Tab_Def_Flows[CC?],,0,)</f>
        <v/>
      </c>
      <c r="I237">
        <f>'0_Configuration'!$C$35</f>
        <v/>
      </c>
      <c r="O237" t="inlineStr">
        <is>
          <t>No</t>
        </is>
      </c>
      <c r="R237">
        <f>Tab_Data_Flows[[#This Row],[Flow_ID]]&amp;"_"&amp;"material_"&amp;Tab_Data_Flows[[#This Row],[Flow_Data_Year]]</f>
        <v/>
      </c>
      <c r="S237">
        <f>IF(O237="no",H237,H237*P237)</f>
        <v/>
      </c>
      <c r="T237">
        <f>Tab_Data_Flows[[#This Row],[UoM_Source]]</f>
        <v/>
      </c>
      <c r="U237">
        <f>INDEX(Tab_Def_Flows[[Flow_ID]:[CC_DM_source]],MATCH(Tab_Data_Flows[[#This Row],[Flow_Name]],Tab_Def_Flows[Flow_Name],0),11)</f>
        <v/>
      </c>
      <c r="V237">
        <f>Tab_Data_Flows[[#This Row],[Flow_ID]]&amp;"_"&amp;"WC_"&amp;Tab_Data_Flows[[#This Row],[Flow_Data_Year]]</f>
        <v/>
      </c>
      <c r="W237">
        <f>IF(D237="Yes",S237*Tab_Data_Flows[[#This Row],[WC_'[%']]],"N.A.")</f>
        <v/>
      </c>
      <c r="X237">
        <f>Tab_Data_Flows[[#This Row],[UoM_Flow_Py]]</f>
        <v/>
      </c>
      <c r="Y237">
        <f>INDEX(Tab_Def_Flows[[Flow_ID]:[CC_DM_source]],MATCH(Tab_Data_Flows[[#This Row],[Flow_Name]],Tab_Def_Flows[Flow_Name],0),14)</f>
        <v/>
      </c>
      <c r="Z237">
        <f>Tab_Data_Flows[[#This Row],[Flow_ID]]&amp;"_"&amp;"DM_"&amp;Tab_Data_Flows[[#This Row],[Flow_Data_Year]]</f>
        <v/>
      </c>
      <c r="AA237">
        <f>IF(E237="Yes",Y237*Tab_Data_Flows[[#This Row],[Flow_Material]],"N.A.")</f>
        <v/>
      </c>
      <c r="AB237">
        <f>Tab_Data_Flows[[#This Row],[UoM_Flow_Py]]</f>
        <v/>
      </c>
      <c r="AC237">
        <f>INDEX(Tab_Def_Flows[[Flow_ID]:[CC_DM_source]],MATCH(Tab_Data_Flows[[#This Row],[Flow_Name]],Tab_Def_Flows[Flow_Name],0),17)</f>
        <v/>
      </c>
      <c r="AD237">
        <f>Tab_Data_Flows[[#This Row],[Flow_ID]]&amp;"_"&amp;"CC_"&amp;Tab_Data_Flows[[#This Row],[Flow_Data_Year]]</f>
        <v/>
      </c>
      <c r="AE237">
        <f>IF(F237="Yes",AC237*Tab_Data_Flows[[#This Row],[Flow_Material]]*Tab_Data_Flows[[#This Row],[DM_'[%']]],"N.A.")</f>
        <v/>
      </c>
      <c r="AF237">
        <f>Tab_Data_Flows[[#This Row],[UoM_Flow_Py]]</f>
        <v/>
      </c>
    </row>
    <row r="238">
      <c r="A238">
        <f>ROW()-1</f>
        <v/>
      </c>
      <c r="B238">
        <f>_xlfn.XLOOKUP(C238,Tab_Def_Flows[Flow_Name],Tab_Def_Flows[Flow_ID],,0,)</f>
        <v/>
      </c>
      <c r="C238" t="inlineStr">
        <is>
          <t>N.A.</t>
        </is>
      </c>
      <c r="D238">
        <f>_xlfn.XLOOKUP(C238,Tab_Def_Flows[Flow_Name],Tab_Def_Flows[WC?],,0,)</f>
        <v/>
      </c>
      <c r="E238">
        <f>_xlfn.XLOOKUP(C238,Tab_Def_Flows[Flow_Name],Tab_Def_Flows[DM?],,0,)</f>
        <v/>
      </c>
      <c r="F238">
        <f>_xlfn.XLOOKUP(C238,Tab_Def_Flows[Flow_Name],Tab_Def_Flows[CC?],,0,)</f>
        <v/>
      </c>
      <c r="I238">
        <f>'0_Configuration'!$C$35</f>
        <v/>
      </c>
      <c r="O238" t="inlineStr">
        <is>
          <t>No</t>
        </is>
      </c>
      <c r="R238">
        <f>Tab_Data_Flows[[#This Row],[Flow_ID]]&amp;"_"&amp;"material_"&amp;Tab_Data_Flows[[#This Row],[Flow_Data_Year]]</f>
        <v/>
      </c>
      <c r="S238">
        <f>IF(O238="no",H238,H238*P238)</f>
        <v/>
      </c>
      <c r="T238">
        <f>Tab_Data_Flows[[#This Row],[UoM_Source]]</f>
        <v/>
      </c>
      <c r="U238">
        <f>INDEX(Tab_Def_Flows[[Flow_ID]:[CC_DM_source]],MATCH(Tab_Data_Flows[[#This Row],[Flow_Name]],Tab_Def_Flows[Flow_Name],0),11)</f>
        <v/>
      </c>
      <c r="V238">
        <f>Tab_Data_Flows[[#This Row],[Flow_ID]]&amp;"_"&amp;"WC_"&amp;Tab_Data_Flows[[#This Row],[Flow_Data_Year]]</f>
        <v/>
      </c>
      <c r="W238">
        <f>IF(D238="Yes",S238*Tab_Data_Flows[[#This Row],[WC_'[%']]],"N.A.")</f>
        <v/>
      </c>
      <c r="X238">
        <f>Tab_Data_Flows[[#This Row],[UoM_Flow_Py]]</f>
        <v/>
      </c>
      <c r="Y238">
        <f>INDEX(Tab_Def_Flows[[Flow_ID]:[CC_DM_source]],MATCH(Tab_Data_Flows[[#This Row],[Flow_Name]],Tab_Def_Flows[Flow_Name],0),14)</f>
        <v/>
      </c>
      <c r="Z238">
        <f>Tab_Data_Flows[[#This Row],[Flow_ID]]&amp;"_"&amp;"DM_"&amp;Tab_Data_Flows[[#This Row],[Flow_Data_Year]]</f>
        <v/>
      </c>
      <c r="AA238">
        <f>IF(E238="Yes",Y238*Tab_Data_Flows[[#This Row],[Flow_Material]],"N.A.")</f>
        <v/>
      </c>
      <c r="AB238">
        <f>Tab_Data_Flows[[#This Row],[UoM_Flow_Py]]</f>
        <v/>
      </c>
      <c r="AC238">
        <f>INDEX(Tab_Def_Flows[[Flow_ID]:[CC_DM_source]],MATCH(Tab_Data_Flows[[#This Row],[Flow_Name]],Tab_Def_Flows[Flow_Name],0),17)</f>
        <v/>
      </c>
      <c r="AD238">
        <f>Tab_Data_Flows[[#This Row],[Flow_ID]]&amp;"_"&amp;"CC_"&amp;Tab_Data_Flows[[#This Row],[Flow_Data_Year]]</f>
        <v/>
      </c>
      <c r="AE238">
        <f>IF(F238="Yes",AC238*Tab_Data_Flows[[#This Row],[Flow_Material]]*Tab_Data_Flows[[#This Row],[DM_'[%']]],"N.A.")</f>
        <v/>
      </c>
      <c r="AF238">
        <f>Tab_Data_Flows[[#This Row],[UoM_Flow_Py]]</f>
        <v/>
      </c>
    </row>
    <row r="239">
      <c r="A239">
        <f>ROW()-1</f>
        <v/>
      </c>
      <c r="B239">
        <f>_xlfn.XLOOKUP(C239,Tab_Def_Flows[Flow_Name],Tab_Def_Flows[Flow_ID],,0,)</f>
        <v/>
      </c>
      <c r="C239" t="inlineStr">
        <is>
          <t>N.A.</t>
        </is>
      </c>
      <c r="D239">
        <f>_xlfn.XLOOKUP(C239,Tab_Def_Flows[Flow_Name],Tab_Def_Flows[WC?],,0,)</f>
        <v/>
      </c>
      <c r="E239">
        <f>_xlfn.XLOOKUP(C239,Tab_Def_Flows[Flow_Name],Tab_Def_Flows[DM?],,0,)</f>
        <v/>
      </c>
      <c r="F239">
        <f>_xlfn.XLOOKUP(C239,Tab_Def_Flows[Flow_Name],Tab_Def_Flows[CC?],,0,)</f>
        <v/>
      </c>
      <c r="I239">
        <f>'0_Configuration'!$C$35</f>
        <v/>
      </c>
      <c r="O239" t="inlineStr">
        <is>
          <t>No</t>
        </is>
      </c>
      <c r="R239">
        <f>Tab_Data_Flows[[#This Row],[Flow_ID]]&amp;"_"&amp;"material_"&amp;Tab_Data_Flows[[#This Row],[Flow_Data_Year]]</f>
        <v/>
      </c>
      <c r="S239">
        <f>IF(O239="no",H239,H239*P239)</f>
        <v/>
      </c>
      <c r="T239">
        <f>Tab_Data_Flows[[#This Row],[UoM_Source]]</f>
        <v/>
      </c>
      <c r="U239">
        <f>INDEX(Tab_Def_Flows[[Flow_ID]:[CC_DM_source]],MATCH(Tab_Data_Flows[[#This Row],[Flow_Name]],Tab_Def_Flows[Flow_Name],0),11)</f>
        <v/>
      </c>
      <c r="V239">
        <f>Tab_Data_Flows[[#This Row],[Flow_ID]]&amp;"_"&amp;"WC_"&amp;Tab_Data_Flows[[#This Row],[Flow_Data_Year]]</f>
        <v/>
      </c>
      <c r="W239">
        <f>IF(D239="Yes",S239*Tab_Data_Flows[[#This Row],[WC_'[%']]],"N.A.")</f>
        <v/>
      </c>
      <c r="X239">
        <f>Tab_Data_Flows[[#This Row],[UoM_Flow_Py]]</f>
        <v/>
      </c>
      <c r="Y239">
        <f>INDEX(Tab_Def_Flows[[Flow_ID]:[CC_DM_source]],MATCH(Tab_Data_Flows[[#This Row],[Flow_Name]],Tab_Def_Flows[Flow_Name],0),14)</f>
        <v/>
      </c>
      <c r="Z239">
        <f>Tab_Data_Flows[[#This Row],[Flow_ID]]&amp;"_"&amp;"DM_"&amp;Tab_Data_Flows[[#This Row],[Flow_Data_Year]]</f>
        <v/>
      </c>
      <c r="AA239">
        <f>IF(E239="Yes",Y239*Tab_Data_Flows[[#This Row],[Flow_Material]],"N.A.")</f>
        <v/>
      </c>
      <c r="AB239">
        <f>Tab_Data_Flows[[#This Row],[UoM_Flow_Py]]</f>
        <v/>
      </c>
      <c r="AC239">
        <f>INDEX(Tab_Def_Flows[[Flow_ID]:[CC_DM_source]],MATCH(Tab_Data_Flows[[#This Row],[Flow_Name]],Tab_Def_Flows[Flow_Name],0),17)</f>
        <v/>
      </c>
      <c r="AD239">
        <f>Tab_Data_Flows[[#This Row],[Flow_ID]]&amp;"_"&amp;"CC_"&amp;Tab_Data_Flows[[#This Row],[Flow_Data_Year]]</f>
        <v/>
      </c>
      <c r="AE239">
        <f>IF(F239="Yes",AC239*Tab_Data_Flows[[#This Row],[Flow_Material]]*Tab_Data_Flows[[#This Row],[DM_'[%']]],"N.A.")</f>
        <v/>
      </c>
      <c r="AF239">
        <f>Tab_Data_Flows[[#This Row],[UoM_Flow_Py]]</f>
        <v/>
      </c>
    </row>
    <row r="240">
      <c r="A240">
        <f>ROW()-1</f>
        <v/>
      </c>
      <c r="B240">
        <f>_xlfn.XLOOKUP(C240,Tab_Def_Flows[Flow_Name],Tab_Def_Flows[Flow_ID],,0,)</f>
        <v/>
      </c>
      <c r="C240" t="inlineStr">
        <is>
          <t>N.A.</t>
        </is>
      </c>
      <c r="D240">
        <f>_xlfn.XLOOKUP(C240,Tab_Def_Flows[Flow_Name],Tab_Def_Flows[WC?],,0,)</f>
        <v/>
      </c>
      <c r="E240">
        <f>_xlfn.XLOOKUP(C240,Tab_Def_Flows[Flow_Name],Tab_Def_Flows[DM?],,0,)</f>
        <v/>
      </c>
      <c r="F240">
        <f>_xlfn.XLOOKUP(C240,Tab_Def_Flows[Flow_Name],Tab_Def_Flows[CC?],,0,)</f>
        <v/>
      </c>
      <c r="I240">
        <f>'0_Configuration'!$C$35</f>
        <v/>
      </c>
      <c r="O240" t="inlineStr">
        <is>
          <t>No</t>
        </is>
      </c>
      <c r="R240">
        <f>Tab_Data_Flows[[#This Row],[Flow_ID]]&amp;"_"&amp;"material_"&amp;Tab_Data_Flows[[#This Row],[Flow_Data_Year]]</f>
        <v/>
      </c>
      <c r="S240">
        <f>IF(O240="no",H240,H240*P240)</f>
        <v/>
      </c>
      <c r="T240">
        <f>Tab_Data_Flows[[#This Row],[UoM_Source]]</f>
        <v/>
      </c>
      <c r="U240">
        <f>INDEX(Tab_Def_Flows[[Flow_ID]:[CC_DM_source]],MATCH(Tab_Data_Flows[[#This Row],[Flow_Name]],Tab_Def_Flows[Flow_Name],0),11)</f>
        <v/>
      </c>
      <c r="V240">
        <f>Tab_Data_Flows[[#This Row],[Flow_ID]]&amp;"_"&amp;"WC_"&amp;Tab_Data_Flows[[#This Row],[Flow_Data_Year]]</f>
        <v/>
      </c>
      <c r="W240">
        <f>IF(D240="Yes",S240*Tab_Data_Flows[[#This Row],[WC_'[%']]],"N.A.")</f>
        <v/>
      </c>
      <c r="X240">
        <f>Tab_Data_Flows[[#This Row],[UoM_Flow_Py]]</f>
        <v/>
      </c>
      <c r="Y240">
        <f>INDEX(Tab_Def_Flows[[Flow_ID]:[CC_DM_source]],MATCH(Tab_Data_Flows[[#This Row],[Flow_Name]],Tab_Def_Flows[Flow_Name],0),14)</f>
        <v/>
      </c>
      <c r="Z240">
        <f>Tab_Data_Flows[[#This Row],[Flow_ID]]&amp;"_"&amp;"DM_"&amp;Tab_Data_Flows[[#This Row],[Flow_Data_Year]]</f>
        <v/>
      </c>
      <c r="AA240">
        <f>IF(E240="Yes",Y240*Tab_Data_Flows[[#This Row],[Flow_Material]],"N.A.")</f>
        <v/>
      </c>
      <c r="AB240">
        <f>Tab_Data_Flows[[#This Row],[UoM_Flow_Py]]</f>
        <v/>
      </c>
      <c r="AC240">
        <f>INDEX(Tab_Def_Flows[[Flow_ID]:[CC_DM_source]],MATCH(Tab_Data_Flows[[#This Row],[Flow_Name]],Tab_Def_Flows[Flow_Name],0),17)</f>
        <v/>
      </c>
      <c r="AD240">
        <f>Tab_Data_Flows[[#This Row],[Flow_ID]]&amp;"_"&amp;"CC_"&amp;Tab_Data_Flows[[#This Row],[Flow_Data_Year]]</f>
        <v/>
      </c>
      <c r="AE240">
        <f>IF(F240="Yes",AC240*Tab_Data_Flows[[#This Row],[Flow_Material]]*Tab_Data_Flows[[#This Row],[DM_'[%']]],"N.A.")</f>
        <v/>
      </c>
      <c r="AF240">
        <f>Tab_Data_Flows[[#This Row],[UoM_Flow_Py]]</f>
        <v/>
      </c>
    </row>
    <row r="241">
      <c r="A241">
        <f>ROW()-1</f>
        <v/>
      </c>
      <c r="B241">
        <f>_xlfn.XLOOKUP(C241,Tab_Def_Flows[Flow_Name],Tab_Def_Flows[Flow_ID],,0,)</f>
        <v/>
      </c>
      <c r="C241" t="inlineStr">
        <is>
          <t>N.A.</t>
        </is>
      </c>
      <c r="D241">
        <f>_xlfn.XLOOKUP(C241,Tab_Def_Flows[Flow_Name],Tab_Def_Flows[WC?],,0,)</f>
        <v/>
      </c>
      <c r="E241">
        <f>_xlfn.XLOOKUP(C241,Tab_Def_Flows[Flow_Name],Tab_Def_Flows[DM?],,0,)</f>
        <v/>
      </c>
      <c r="F241">
        <f>_xlfn.XLOOKUP(C241,Tab_Def_Flows[Flow_Name],Tab_Def_Flows[CC?],,0,)</f>
        <v/>
      </c>
      <c r="I241">
        <f>'0_Configuration'!$C$35</f>
        <v/>
      </c>
      <c r="O241" t="inlineStr">
        <is>
          <t>No</t>
        </is>
      </c>
      <c r="R241">
        <f>Tab_Data_Flows[[#This Row],[Flow_ID]]&amp;"_"&amp;"material_"&amp;Tab_Data_Flows[[#This Row],[Flow_Data_Year]]</f>
        <v/>
      </c>
      <c r="S241">
        <f>IF(O241="no",H241,H241*P241)</f>
        <v/>
      </c>
      <c r="T241">
        <f>Tab_Data_Flows[[#This Row],[UoM_Source]]</f>
        <v/>
      </c>
      <c r="U241">
        <f>INDEX(Tab_Def_Flows[[Flow_ID]:[CC_DM_source]],MATCH(Tab_Data_Flows[[#This Row],[Flow_Name]],Tab_Def_Flows[Flow_Name],0),11)</f>
        <v/>
      </c>
      <c r="V241">
        <f>Tab_Data_Flows[[#This Row],[Flow_ID]]&amp;"_"&amp;"WC_"&amp;Tab_Data_Flows[[#This Row],[Flow_Data_Year]]</f>
        <v/>
      </c>
      <c r="W241">
        <f>IF(D241="Yes",S241*Tab_Data_Flows[[#This Row],[WC_'[%']]],"N.A.")</f>
        <v/>
      </c>
      <c r="X241">
        <f>Tab_Data_Flows[[#This Row],[UoM_Flow_Py]]</f>
        <v/>
      </c>
      <c r="Y241">
        <f>INDEX(Tab_Def_Flows[[Flow_ID]:[CC_DM_source]],MATCH(Tab_Data_Flows[[#This Row],[Flow_Name]],Tab_Def_Flows[Flow_Name],0),14)</f>
        <v/>
      </c>
      <c r="Z241">
        <f>Tab_Data_Flows[[#This Row],[Flow_ID]]&amp;"_"&amp;"DM_"&amp;Tab_Data_Flows[[#This Row],[Flow_Data_Year]]</f>
        <v/>
      </c>
      <c r="AA241">
        <f>IF(E241="Yes",Y241*Tab_Data_Flows[[#This Row],[Flow_Material]],"N.A.")</f>
        <v/>
      </c>
      <c r="AB241">
        <f>Tab_Data_Flows[[#This Row],[UoM_Flow_Py]]</f>
        <v/>
      </c>
      <c r="AC241">
        <f>INDEX(Tab_Def_Flows[[Flow_ID]:[CC_DM_source]],MATCH(Tab_Data_Flows[[#This Row],[Flow_Name]],Tab_Def_Flows[Flow_Name],0),17)</f>
        <v/>
      </c>
      <c r="AD241">
        <f>Tab_Data_Flows[[#This Row],[Flow_ID]]&amp;"_"&amp;"CC_"&amp;Tab_Data_Flows[[#This Row],[Flow_Data_Year]]</f>
        <v/>
      </c>
      <c r="AE241">
        <f>IF(F241="Yes",AC241*Tab_Data_Flows[[#This Row],[Flow_Material]]*Tab_Data_Flows[[#This Row],[DM_'[%']]],"N.A.")</f>
        <v/>
      </c>
      <c r="AF241">
        <f>Tab_Data_Flows[[#This Row],[UoM_Flow_Py]]</f>
        <v/>
      </c>
    </row>
    <row r="242">
      <c r="A242">
        <f>ROW()-1</f>
        <v/>
      </c>
      <c r="B242">
        <f>_xlfn.XLOOKUP(C242,Tab_Def_Flows[Flow_Name],Tab_Def_Flows[Flow_ID],,0,)</f>
        <v/>
      </c>
      <c r="C242" t="inlineStr">
        <is>
          <t>N.A.</t>
        </is>
      </c>
      <c r="D242">
        <f>_xlfn.XLOOKUP(C242,Tab_Def_Flows[Flow_Name],Tab_Def_Flows[WC?],,0,)</f>
        <v/>
      </c>
      <c r="E242">
        <f>_xlfn.XLOOKUP(C242,Tab_Def_Flows[Flow_Name],Tab_Def_Flows[DM?],,0,)</f>
        <v/>
      </c>
      <c r="F242">
        <f>_xlfn.XLOOKUP(C242,Tab_Def_Flows[Flow_Name],Tab_Def_Flows[CC?],,0,)</f>
        <v/>
      </c>
      <c r="I242">
        <f>'0_Configuration'!$C$35</f>
        <v/>
      </c>
      <c r="O242" t="inlineStr">
        <is>
          <t>No</t>
        </is>
      </c>
      <c r="R242">
        <f>Tab_Data_Flows[[#This Row],[Flow_ID]]&amp;"_"&amp;"material_"&amp;Tab_Data_Flows[[#This Row],[Flow_Data_Year]]</f>
        <v/>
      </c>
      <c r="S242">
        <f>IF(O242="no",H242,H242*P242)</f>
        <v/>
      </c>
      <c r="T242">
        <f>Tab_Data_Flows[[#This Row],[UoM_Source]]</f>
        <v/>
      </c>
      <c r="U242">
        <f>INDEX(Tab_Def_Flows[[Flow_ID]:[CC_DM_source]],MATCH(Tab_Data_Flows[[#This Row],[Flow_Name]],Tab_Def_Flows[Flow_Name],0),11)</f>
        <v/>
      </c>
      <c r="V242">
        <f>Tab_Data_Flows[[#This Row],[Flow_ID]]&amp;"_"&amp;"WC_"&amp;Tab_Data_Flows[[#This Row],[Flow_Data_Year]]</f>
        <v/>
      </c>
      <c r="W242">
        <f>IF(D242="Yes",S242*Tab_Data_Flows[[#This Row],[WC_'[%']]],"N.A.")</f>
        <v/>
      </c>
      <c r="X242">
        <f>Tab_Data_Flows[[#This Row],[UoM_Flow_Py]]</f>
        <v/>
      </c>
      <c r="Y242">
        <f>INDEX(Tab_Def_Flows[[Flow_ID]:[CC_DM_source]],MATCH(Tab_Data_Flows[[#This Row],[Flow_Name]],Tab_Def_Flows[Flow_Name],0),14)</f>
        <v/>
      </c>
      <c r="Z242">
        <f>Tab_Data_Flows[[#This Row],[Flow_ID]]&amp;"_"&amp;"DM_"&amp;Tab_Data_Flows[[#This Row],[Flow_Data_Year]]</f>
        <v/>
      </c>
      <c r="AA242">
        <f>IF(E242="Yes",Y242*Tab_Data_Flows[[#This Row],[Flow_Material]],"N.A.")</f>
        <v/>
      </c>
      <c r="AB242">
        <f>Tab_Data_Flows[[#This Row],[UoM_Flow_Py]]</f>
        <v/>
      </c>
      <c r="AC242">
        <f>INDEX(Tab_Def_Flows[[Flow_ID]:[CC_DM_source]],MATCH(Tab_Data_Flows[[#This Row],[Flow_Name]],Tab_Def_Flows[Flow_Name],0),17)</f>
        <v/>
      </c>
      <c r="AD242">
        <f>Tab_Data_Flows[[#This Row],[Flow_ID]]&amp;"_"&amp;"CC_"&amp;Tab_Data_Flows[[#This Row],[Flow_Data_Year]]</f>
        <v/>
      </c>
      <c r="AE242">
        <f>IF(F242="Yes",AC242*Tab_Data_Flows[[#This Row],[Flow_Material]]*Tab_Data_Flows[[#This Row],[DM_'[%']]],"N.A.")</f>
        <v/>
      </c>
      <c r="AF242">
        <f>Tab_Data_Flows[[#This Row],[UoM_Flow_Py]]</f>
        <v/>
      </c>
    </row>
    <row r="243">
      <c r="A243">
        <f>ROW()-1</f>
        <v/>
      </c>
      <c r="B243">
        <f>_xlfn.XLOOKUP(C243,Tab_Def_Flows[Flow_Name],Tab_Def_Flows[Flow_ID],,0,)</f>
        <v/>
      </c>
      <c r="C243" t="inlineStr">
        <is>
          <t>N.A.</t>
        </is>
      </c>
      <c r="D243">
        <f>_xlfn.XLOOKUP(C243,Tab_Def_Flows[Flow_Name],Tab_Def_Flows[WC?],,0,)</f>
        <v/>
      </c>
      <c r="E243">
        <f>_xlfn.XLOOKUP(C243,Tab_Def_Flows[Flow_Name],Tab_Def_Flows[DM?],,0,)</f>
        <v/>
      </c>
      <c r="F243">
        <f>_xlfn.XLOOKUP(C243,Tab_Def_Flows[Flow_Name],Tab_Def_Flows[CC?],,0,)</f>
        <v/>
      </c>
      <c r="I243">
        <f>'0_Configuration'!$C$35</f>
        <v/>
      </c>
      <c r="O243" t="inlineStr">
        <is>
          <t>No</t>
        </is>
      </c>
      <c r="R243">
        <f>Tab_Data_Flows[[#This Row],[Flow_ID]]&amp;"_"&amp;"material_"&amp;Tab_Data_Flows[[#This Row],[Flow_Data_Year]]</f>
        <v/>
      </c>
      <c r="S243">
        <f>IF(O243="no",H243,H243*P243)</f>
        <v/>
      </c>
      <c r="T243">
        <f>Tab_Data_Flows[[#This Row],[UoM_Source]]</f>
        <v/>
      </c>
      <c r="U243">
        <f>INDEX(Tab_Def_Flows[[Flow_ID]:[CC_DM_source]],MATCH(Tab_Data_Flows[[#This Row],[Flow_Name]],Tab_Def_Flows[Flow_Name],0),11)</f>
        <v/>
      </c>
      <c r="V243">
        <f>Tab_Data_Flows[[#This Row],[Flow_ID]]&amp;"_"&amp;"WC_"&amp;Tab_Data_Flows[[#This Row],[Flow_Data_Year]]</f>
        <v/>
      </c>
      <c r="W243">
        <f>IF(D243="Yes",S243*Tab_Data_Flows[[#This Row],[WC_'[%']]],"N.A.")</f>
        <v/>
      </c>
      <c r="X243">
        <f>Tab_Data_Flows[[#This Row],[UoM_Flow_Py]]</f>
        <v/>
      </c>
      <c r="Y243">
        <f>INDEX(Tab_Def_Flows[[Flow_ID]:[CC_DM_source]],MATCH(Tab_Data_Flows[[#This Row],[Flow_Name]],Tab_Def_Flows[Flow_Name],0),14)</f>
        <v/>
      </c>
      <c r="Z243">
        <f>Tab_Data_Flows[[#This Row],[Flow_ID]]&amp;"_"&amp;"DM_"&amp;Tab_Data_Flows[[#This Row],[Flow_Data_Year]]</f>
        <v/>
      </c>
      <c r="AA243">
        <f>IF(E243="Yes",Y243*Tab_Data_Flows[[#This Row],[Flow_Material]],"N.A.")</f>
        <v/>
      </c>
      <c r="AB243">
        <f>Tab_Data_Flows[[#This Row],[UoM_Flow_Py]]</f>
        <v/>
      </c>
      <c r="AC243">
        <f>INDEX(Tab_Def_Flows[[Flow_ID]:[CC_DM_source]],MATCH(Tab_Data_Flows[[#This Row],[Flow_Name]],Tab_Def_Flows[Flow_Name],0),17)</f>
        <v/>
      </c>
      <c r="AD243">
        <f>Tab_Data_Flows[[#This Row],[Flow_ID]]&amp;"_"&amp;"CC_"&amp;Tab_Data_Flows[[#This Row],[Flow_Data_Year]]</f>
        <v/>
      </c>
      <c r="AE243">
        <f>IF(F243="Yes",AC243*Tab_Data_Flows[[#This Row],[Flow_Material]]*Tab_Data_Flows[[#This Row],[DM_'[%']]],"N.A.")</f>
        <v/>
      </c>
      <c r="AF243">
        <f>Tab_Data_Flows[[#This Row],[UoM_Flow_Py]]</f>
        <v/>
      </c>
    </row>
    <row r="244">
      <c r="A244">
        <f>ROW()-1</f>
        <v/>
      </c>
      <c r="B244">
        <f>_xlfn.XLOOKUP(C244,Tab_Def_Flows[Flow_Name],Tab_Def_Flows[Flow_ID],,0,)</f>
        <v/>
      </c>
      <c r="C244" t="inlineStr">
        <is>
          <t>N.A.</t>
        </is>
      </c>
      <c r="D244">
        <f>_xlfn.XLOOKUP(C244,Tab_Def_Flows[Flow_Name],Tab_Def_Flows[WC?],,0,)</f>
        <v/>
      </c>
      <c r="E244">
        <f>_xlfn.XLOOKUP(C244,Tab_Def_Flows[Flow_Name],Tab_Def_Flows[DM?],,0,)</f>
        <v/>
      </c>
      <c r="F244">
        <f>_xlfn.XLOOKUP(C244,Tab_Def_Flows[Flow_Name],Tab_Def_Flows[CC?],,0,)</f>
        <v/>
      </c>
      <c r="I244">
        <f>'0_Configuration'!$C$35</f>
        <v/>
      </c>
      <c r="O244" t="inlineStr">
        <is>
          <t>No</t>
        </is>
      </c>
      <c r="R244">
        <f>Tab_Data_Flows[[#This Row],[Flow_ID]]&amp;"_"&amp;"material_"&amp;Tab_Data_Flows[[#This Row],[Flow_Data_Year]]</f>
        <v/>
      </c>
      <c r="S244">
        <f>IF(O244="no",H244,H244*P244)</f>
        <v/>
      </c>
      <c r="T244">
        <f>Tab_Data_Flows[[#This Row],[UoM_Source]]</f>
        <v/>
      </c>
      <c r="U244">
        <f>INDEX(Tab_Def_Flows[[Flow_ID]:[CC_DM_source]],MATCH(Tab_Data_Flows[[#This Row],[Flow_Name]],Tab_Def_Flows[Flow_Name],0),11)</f>
        <v/>
      </c>
      <c r="V244">
        <f>Tab_Data_Flows[[#This Row],[Flow_ID]]&amp;"_"&amp;"WC_"&amp;Tab_Data_Flows[[#This Row],[Flow_Data_Year]]</f>
        <v/>
      </c>
      <c r="W244">
        <f>IF(D244="Yes",S244*Tab_Data_Flows[[#This Row],[WC_'[%']]],"N.A.")</f>
        <v/>
      </c>
      <c r="X244">
        <f>Tab_Data_Flows[[#This Row],[UoM_Flow_Py]]</f>
        <v/>
      </c>
      <c r="Y244">
        <f>INDEX(Tab_Def_Flows[[Flow_ID]:[CC_DM_source]],MATCH(Tab_Data_Flows[[#This Row],[Flow_Name]],Tab_Def_Flows[Flow_Name],0),14)</f>
        <v/>
      </c>
      <c r="Z244">
        <f>Tab_Data_Flows[[#This Row],[Flow_ID]]&amp;"_"&amp;"DM_"&amp;Tab_Data_Flows[[#This Row],[Flow_Data_Year]]</f>
        <v/>
      </c>
      <c r="AA244">
        <f>IF(E244="Yes",Y244*Tab_Data_Flows[[#This Row],[Flow_Material]],"N.A.")</f>
        <v/>
      </c>
      <c r="AB244">
        <f>Tab_Data_Flows[[#This Row],[UoM_Flow_Py]]</f>
        <v/>
      </c>
      <c r="AC244">
        <f>INDEX(Tab_Def_Flows[[Flow_ID]:[CC_DM_source]],MATCH(Tab_Data_Flows[[#This Row],[Flow_Name]],Tab_Def_Flows[Flow_Name],0),17)</f>
        <v/>
      </c>
      <c r="AD244">
        <f>Tab_Data_Flows[[#This Row],[Flow_ID]]&amp;"_"&amp;"CC_"&amp;Tab_Data_Flows[[#This Row],[Flow_Data_Year]]</f>
        <v/>
      </c>
      <c r="AE244">
        <f>IF(F244="Yes",AC244*Tab_Data_Flows[[#This Row],[Flow_Material]]*Tab_Data_Flows[[#This Row],[DM_'[%']]],"N.A.")</f>
        <v/>
      </c>
      <c r="AF244">
        <f>Tab_Data_Flows[[#This Row],[UoM_Flow_Py]]</f>
        <v/>
      </c>
    </row>
    <row r="245">
      <c r="A245">
        <f>ROW()-1</f>
        <v/>
      </c>
      <c r="B245">
        <f>_xlfn.XLOOKUP(C245,Tab_Def_Flows[Flow_Name],Tab_Def_Flows[Flow_ID],,0,)</f>
        <v/>
      </c>
      <c r="C245" t="inlineStr">
        <is>
          <t>N.A.</t>
        </is>
      </c>
      <c r="D245">
        <f>_xlfn.XLOOKUP(C245,Tab_Def_Flows[Flow_Name],Tab_Def_Flows[WC?],,0,)</f>
        <v/>
      </c>
      <c r="E245">
        <f>_xlfn.XLOOKUP(C245,Tab_Def_Flows[Flow_Name],Tab_Def_Flows[DM?],,0,)</f>
        <v/>
      </c>
      <c r="F245">
        <f>_xlfn.XLOOKUP(C245,Tab_Def_Flows[Flow_Name],Tab_Def_Flows[CC?],,0,)</f>
        <v/>
      </c>
      <c r="I245">
        <f>'0_Configuration'!$C$35</f>
        <v/>
      </c>
      <c r="O245" t="inlineStr">
        <is>
          <t>No</t>
        </is>
      </c>
      <c r="R245">
        <f>Tab_Data_Flows[[#This Row],[Flow_ID]]&amp;"_"&amp;"material_"&amp;Tab_Data_Flows[[#This Row],[Flow_Data_Year]]</f>
        <v/>
      </c>
      <c r="S245">
        <f>IF(O245="no",H245,H245*P245)</f>
        <v/>
      </c>
      <c r="T245">
        <f>Tab_Data_Flows[[#This Row],[UoM_Source]]</f>
        <v/>
      </c>
      <c r="U245">
        <f>INDEX(Tab_Def_Flows[[Flow_ID]:[CC_DM_source]],MATCH(Tab_Data_Flows[[#This Row],[Flow_Name]],Tab_Def_Flows[Flow_Name],0),11)</f>
        <v/>
      </c>
      <c r="V245">
        <f>Tab_Data_Flows[[#This Row],[Flow_ID]]&amp;"_"&amp;"WC_"&amp;Tab_Data_Flows[[#This Row],[Flow_Data_Year]]</f>
        <v/>
      </c>
      <c r="W245">
        <f>IF(D245="Yes",S245*Tab_Data_Flows[[#This Row],[WC_'[%']]],"N.A.")</f>
        <v/>
      </c>
      <c r="X245">
        <f>Tab_Data_Flows[[#This Row],[UoM_Flow_Py]]</f>
        <v/>
      </c>
      <c r="Y245">
        <f>INDEX(Tab_Def_Flows[[Flow_ID]:[CC_DM_source]],MATCH(Tab_Data_Flows[[#This Row],[Flow_Name]],Tab_Def_Flows[Flow_Name],0),14)</f>
        <v/>
      </c>
      <c r="Z245">
        <f>Tab_Data_Flows[[#This Row],[Flow_ID]]&amp;"_"&amp;"DM_"&amp;Tab_Data_Flows[[#This Row],[Flow_Data_Year]]</f>
        <v/>
      </c>
      <c r="AA245">
        <f>IF(E245="Yes",Y245*Tab_Data_Flows[[#This Row],[Flow_Material]],"N.A.")</f>
        <v/>
      </c>
      <c r="AB245">
        <f>Tab_Data_Flows[[#This Row],[UoM_Flow_Py]]</f>
        <v/>
      </c>
      <c r="AC245">
        <f>INDEX(Tab_Def_Flows[[Flow_ID]:[CC_DM_source]],MATCH(Tab_Data_Flows[[#This Row],[Flow_Name]],Tab_Def_Flows[Flow_Name],0),17)</f>
        <v/>
      </c>
      <c r="AD245">
        <f>Tab_Data_Flows[[#This Row],[Flow_ID]]&amp;"_"&amp;"CC_"&amp;Tab_Data_Flows[[#This Row],[Flow_Data_Year]]</f>
        <v/>
      </c>
      <c r="AE245">
        <f>IF(F245="Yes",AC245*Tab_Data_Flows[[#This Row],[Flow_Material]]*Tab_Data_Flows[[#This Row],[DM_'[%']]],"N.A.")</f>
        <v/>
      </c>
      <c r="AF245">
        <f>Tab_Data_Flows[[#This Row],[UoM_Flow_Py]]</f>
        <v/>
      </c>
    </row>
    <row r="246">
      <c r="A246">
        <f>ROW()-1</f>
        <v/>
      </c>
      <c r="B246">
        <f>_xlfn.XLOOKUP(C246,Tab_Def_Flows[Flow_Name],Tab_Def_Flows[Flow_ID],,0,)</f>
        <v/>
      </c>
      <c r="C246" t="inlineStr">
        <is>
          <t>N.A.</t>
        </is>
      </c>
      <c r="D246">
        <f>_xlfn.XLOOKUP(C246,Tab_Def_Flows[Flow_Name],Tab_Def_Flows[WC?],,0,)</f>
        <v/>
      </c>
      <c r="E246">
        <f>_xlfn.XLOOKUP(C246,Tab_Def_Flows[Flow_Name],Tab_Def_Flows[DM?],,0,)</f>
        <v/>
      </c>
      <c r="F246">
        <f>_xlfn.XLOOKUP(C246,Tab_Def_Flows[Flow_Name],Tab_Def_Flows[CC?],,0,)</f>
        <v/>
      </c>
      <c r="I246">
        <f>'0_Configuration'!$C$35</f>
        <v/>
      </c>
      <c r="O246" t="inlineStr">
        <is>
          <t>No</t>
        </is>
      </c>
      <c r="R246">
        <f>Tab_Data_Flows[[#This Row],[Flow_ID]]&amp;"_"&amp;"material_"&amp;Tab_Data_Flows[[#This Row],[Flow_Data_Year]]</f>
        <v/>
      </c>
      <c r="S246">
        <f>IF(O246="no",H246,H246*P246)</f>
        <v/>
      </c>
      <c r="T246">
        <f>Tab_Data_Flows[[#This Row],[UoM_Source]]</f>
        <v/>
      </c>
      <c r="U246">
        <f>INDEX(Tab_Def_Flows[[Flow_ID]:[CC_DM_source]],MATCH(Tab_Data_Flows[[#This Row],[Flow_Name]],Tab_Def_Flows[Flow_Name],0),11)</f>
        <v/>
      </c>
      <c r="V246">
        <f>Tab_Data_Flows[[#This Row],[Flow_ID]]&amp;"_"&amp;"WC_"&amp;Tab_Data_Flows[[#This Row],[Flow_Data_Year]]</f>
        <v/>
      </c>
      <c r="W246">
        <f>IF(D246="Yes",S246*Tab_Data_Flows[[#This Row],[WC_'[%']]],"N.A.")</f>
        <v/>
      </c>
      <c r="X246">
        <f>Tab_Data_Flows[[#This Row],[UoM_Flow_Py]]</f>
        <v/>
      </c>
      <c r="Y246">
        <f>INDEX(Tab_Def_Flows[[Flow_ID]:[CC_DM_source]],MATCH(Tab_Data_Flows[[#This Row],[Flow_Name]],Tab_Def_Flows[Flow_Name],0),14)</f>
        <v/>
      </c>
      <c r="Z246">
        <f>Tab_Data_Flows[[#This Row],[Flow_ID]]&amp;"_"&amp;"DM_"&amp;Tab_Data_Flows[[#This Row],[Flow_Data_Year]]</f>
        <v/>
      </c>
      <c r="AA246">
        <f>IF(E246="Yes",Y246*Tab_Data_Flows[[#This Row],[Flow_Material]],"N.A.")</f>
        <v/>
      </c>
      <c r="AB246">
        <f>Tab_Data_Flows[[#This Row],[UoM_Flow_Py]]</f>
        <v/>
      </c>
      <c r="AC246">
        <f>INDEX(Tab_Def_Flows[[Flow_ID]:[CC_DM_source]],MATCH(Tab_Data_Flows[[#This Row],[Flow_Name]],Tab_Def_Flows[Flow_Name],0),17)</f>
        <v/>
      </c>
      <c r="AD246">
        <f>Tab_Data_Flows[[#This Row],[Flow_ID]]&amp;"_"&amp;"CC_"&amp;Tab_Data_Flows[[#This Row],[Flow_Data_Year]]</f>
        <v/>
      </c>
      <c r="AE246">
        <f>IF(F246="Yes",AC246*Tab_Data_Flows[[#This Row],[Flow_Material]]*Tab_Data_Flows[[#This Row],[DM_'[%']]],"N.A.")</f>
        <v/>
      </c>
      <c r="AF246">
        <f>Tab_Data_Flows[[#This Row],[UoM_Flow_Py]]</f>
        <v/>
      </c>
    </row>
    <row r="247">
      <c r="A247">
        <f>ROW()-1</f>
        <v/>
      </c>
      <c r="B247">
        <f>_xlfn.XLOOKUP(C247,Tab_Def_Flows[Flow_Name],Tab_Def_Flows[Flow_ID],,0,)</f>
        <v/>
      </c>
      <c r="C247" t="inlineStr">
        <is>
          <t>N.A.</t>
        </is>
      </c>
      <c r="D247">
        <f>_xlfn.XLOOKUP(C247,Tab_Def_Flows[Flow_Name],Tab_Def_Flows[WC?],,0,)</f>
        <v/>
      </c>
      <c r="E247">
        <f>_xlfn.XLOOKUP(C247,Tab_Def_Flows[Flow_Name],Tab_Def_Flows[DM?],,0,)</f>
        <v/>
      </c>
      <c r="F247">
        <f>_xlfn.XLOOKUP(C247,Tab_Def_Flows[Flow_Name],Tab_Def_Flows[CC?],,0,)</f>
        <v/>
      </c>
      <c r="I247">
        <f>'0_Configuration'!$C$35</f>
        <v/>
      </c>
      <c r="O247" t="inlineStr">
        <is>
          <t>No</t>
        </is>
      </c>
      <c r="R247">
        <f>Tab_Data_Flows[[#This Row],[Flow_ID]]&amp;"_"&amp;"material_"&amp;Tab_Data_Flows[[#This Row],[Flow_Data_Year]]</f>
        <v/>
      </c>
      <c r="S247">
        <f>IF(O247="no",H247,H247*P247)</f>
        <v/>
      </c>
      <c r="T247">
        <f>Tab_Data_Flows[[#This Row],[UoM_Source]]</f>
        <v/>
      </c>
      <c r="U247">
        <f>INDEX(Tab_Def_Flows[[Flow_ID]:[CC_DM_source]],MATCH(Tab_Data_Flows[[#This Row],[Flow_Name]],Tab_Def_Flows[Flow_Name],0),11)</f>
        <v/>
      </c>
      <c r="V247">
        <f>Tab_Data_Flows[[#This Row],[Flow_ID]]&amp;"_"&amp;"WC_"&amp;Tab_Data_Flows[[#This Row],[Flow_Data_Year]]</f>
        <v/>
      </c>
      <c r="W247">
        <f>IF(D247="Yes",S247*Tab_Data_Flows[[#This Row],[WC_'[%']]],"N.A.")</f>
        <v/>
      </c>
      <c r="X247">
        <f>Tab_Data_Flows[[#This Row],[UoM_Flow_Py]]</f>
        <v/>
      </c>
      <c r="Y247">
        <f>INDEX(Tab_Def_Flows[[Flow_ID]:[CC_DM_source]],MATCH(Tab_Data_Flows[[#This Row],[Flow_Name]],Tab_Def_Flows[Flow_Name],0),14)</f>
        <v/>
      </c>
      <c r="Z247">
        <f>Tab_Data_Flows[[#This Row],[Flow_ID]]&amp;"_"&amp;"DM_"&amp;Tab_Data_Flows[[#This Row],[Flow_Data_Year]]</f>
        <v/>
      </c>
      <c r="AA247">
        <f>IF(E247="Yes",Y247*Tab_Data_Flows[[#This Row],[Flow_Material]],"N.A.")</f>
        <v/>
      </c>
      <c r="AB247">
        <f>Tab_Data_Flows[[#This Row],[UoM_Flow_Py]]</f>
        <v/>
      </c>
      <c r="AC247">
        <f>INDEX(Tab_Def_Flows[[Flow_ID]:[CC_DM_source]],MATCH(Tab_Data_Flows[[#This Row],[Flow_Name]],Tab_Def_Flows[Flow_Name],0),17)</f>
        <v/>
      </c>
      <c r="AD247">
        <f>Tab_Data_Flows[[#This Row],[Flow_ID]]&amp;"_"&amp;"CC_"&amp;Tab_Data_Flows[[#This Row],[Flow_Data_Year]]</f>
        <v/>
      </c>
      <c r="AE247">
        <f>IF(F247="Yes",AC247*Tab_Data_Flows[[#This Row],[Flow_Material]]*Tab_Data_Flows[[#This Row],[DM_'[%']]],"N.A.")</f>
        <v/>
      </c>
      <c r="AF247">
        <f>Tab_Data_Flows[[#This Row],[UoM_Flow_Py]]</f>
        <v/>
      </c>
    </row>
    <row r="248">
      <c r="A248">
        <f>ROW()-1</f>
        <v/>
      </c>
      <c r="B248">
        <f>_xlfn.XLOOKUP(C248,Tab_Def_Flows[Flow_Name],Tab_Def_Flows[Flow_ID],,0,)</f>
        <v/>
      </c>
      <c r="C248" t="inlineStr">
        <is>
          <t>N.A.</t>
        </is>
      </c>
      <c r="D248">
        <f>_xlfn.XLOOKUP(C248,Tab_Def_Flows[Flow_Name],Tab_Def_Flows[WC?],,0,)</f>
        <v/>
      </c>
      <c r="E248">
        <f>_xlfn.XLOOKUP(C248,Tab_Def_Flows[Flow_Name],Tab_Def_Flows[DM?],,0,)</f>
        <v/>
      </c>
      <c r="F248">
        <f>_xlfn.XLOOKUP(C248,Tab_Def_Flows[Flow_Name],Tab_Def_Flows[CC?],,0,)</f>
        <v/>
      </c>
      <c r="I248">
        <f>'0_Configuration'!$C$35</f>
        <v/>
      </c>
      <c r="O248" t="inlineStr">
        <is>
          <t>No</t>
        </is>
      </c>
      <c r="R248">
        <f>Tab_Data_Flows[[#This Row],[Flow_ID]]&amp;"_"&amp;"material_"&amp;Tab_Data_Flows[[#This Row],[Flow_Data_Year]]</f>
        <v/>
      </c>
      <c r="S248">
        <f>IF(O248="no",H248,H248*P248)</f>
        <v/>
      </c>
      <c r="T248">
        <f>Tab_Data_Flows[[#This Row],[UoM_Source]]</f>
        <v/>
      </c>
      <c r="U248">
        <f>INDEX(Tab_Def_Flows[[Flow_ID]:[CC_DM_source]],MATCH(Tab_Data_Flows[[#This Row],[Flow_Name]],Tab_Def_Flows[Flow_Name],0),11)</f>
        <v/>
      </c>
      <c r="V248">
        <f>Tab_Data_Flows[[#This Row],[Flow_ID]]&amp;"_"&amp;"WC_"&amp;Tab_Data_Flows[[#This Row],[Flow_Data_Year]]</f>
        <v/>
      </c>
      <c r="W248">
        <f>IF(D248="Yes",S248*Tab_Data_Flows[[#This Row],[WC_'[%']]],"N.A.")</f>
        <v/>
      </c>
      <c r="X248">
        <f>Tab_Data_Flows[[#This Row],[UoM_Flow_Py]]</f>
        <v/>
      </c>
      <c r="Y248">
        <f>INDEX(Tab_Def_Flows[[Flow_ID]:[CC_DM_source]],MATCH(Tab_Data_Flows[[#This Row],[Flow_Name]],Tab_Def_Flows[Flow_Name],0),14)</f>
        <v/>
      </c>
      <c r="Z248">
        <f>Tab_Data_Flows[[#This Row],[Flow_ID]]&amp;"_"&amp;"DM_"&amp;Tab_Data_Flows[[#This Row],[Flow_Data_Year]]</f>
        <v/>
      </c>
      <c r="AA248">
        <f>IF(E248="Yes",Y248*Tab_Data_Flows[[#This Row],[Flow_Material]],"N.A.")</f>
        <v/>
      </c>
      <c r="AB248">
        <f>Tab_Data_Flows[[#This Row],[UoM_Flow_Py]]</f>
        <v/>
      </c>
      <c r="AC248">
        <f>INDEX(Tab_Def_Flows[[Flow_ID]:[CC_DM_source]],MATCH(Tab_Data_Flows[[#This Row],[Flow_Name]],Tab_Def_Flows[Flow_Name],0),17)</f>
        <v/>
      </c>
      <c r="AD248">
        <f>Tab_Data_Flows[[#This Row],[Flow_ID]]&amp;"_"&amp;"CC_"&amp;Tab_Data_Flows[[#This Row],[Flow_Data_Year]]</f>
        <v/>
      </c>
      <c r="AE248">
        <f>IF(F248="Yes",AC248*Tab_Data_Flows[[#This Row],[Flow_Material]]*Tab_Data_Flows[[#This Row],[DM_'[%']]],"N.A.")</f>
        <v/>
      </c>
      <c r="AF248">
        <f>Tab_Data_Flows[[#This Row],[UoM_Flow_Py]]</f>
        <v/>
      </c>
    </row>
    <row r="249">
      <c r="A249">
        <f>ROW()-1</f>
        <v/>
      </c>
      <c r="B249">
        <f>_xlfn.XLOOKUP(C249,Tab_Def_Flows[Flow_Name],Tab_Def_Flows[Flow_ID],,0,)</f>
        <v/>
      </c>
      <c r="C249" t="inlineStr">
        <is>
          <t>N.A.</t>
        </is>
      </c>
      <c r="D249">
        <f>_xlfn.XLOOKUP(C249,Tab_Def_Flows[Flow_Name],Tab_Def_Flows[WC?],,0,)</f>
        <v/>
      </c>
      <c r="E249">
        <f>_xlfn.XLOOKUP(C249,Tab_Def_Flows[Flow_Name],Tab_Def_Flows[DM?],,0,)</f>
        <v/>
      </c>
      <c r="F249">
        <f>_xlfn.XLOOKUP(C249,Tab_Def_Flows[Flow_Name],Tab_Def_Flows[CC?],,0,)</f>
        <v/>
      </c>
      <c r="I249">
        <f>'0_Configuration'!$C$35</f>
        <v/>
      </c>
      <c r="O249" t="inlineStr">
        <is>
          <t>No</t>
        </is>
      </c>
      <c r="R249">
        <f>Tab_Data_Flows[[#This Row],[Flow_ID]]&amp;"_"&amp;"material_"&amp;Tab_Data_Flows[[#This Row],[Flow_Data_Year]]</f>
        <v/>
      </c>
      <c r="S249">
        <f>IF(O249="no",H249,H249*P249)</f>
        <v/>
      </c>
      <c r="T249">
        <f>Tab_Data_Flows[[#This Row],[UoM_Source]]</f>
        <v/>
      </c>
      <c r="U249">
        <f>INDEX(Tab_Def_Flows[[Flow_ID]:[CC_DM_source]],MATCH(Tab_Data_Flows[[#This Row],[Flow_Name]],Tab_Def_Flows[Flow_Name],0),11)</f>
        <v/>
      </c>
      <c r="V249">
        <f>Tab_Data_Flows[[#This Row],[Flow_ID]]&amp;"_"&amp;"WC_"&amp;Tab_Data_Flows[[#This Row],[Flow_Data_Year]]</f>
        <v/>
      </c>
      <c r="W249">
        <f>IF(D249="Yes",S249*Tab_Data_Flows[[#This Row],[WC_'[%']]],"N.A.")</f>
        <v/>
      </c>
      <c r="X249">
        <f>Tab_Data_Flows[[#This Row],[UoM_Flow_Py]]</f>
        <v/>
      </c>
      <c r="Y249">
        <f>INDEX(Tab_Def_Flows[[Flow_ID]:[CC_DM_source]],MATCH(Tab_Data_Flows[[#This Row],[Flow_Name]],Tab_Def_Flows[Flow_Name],0),14)</f>
        <v/>
      </c>
      <c r="Z249">
        <f>Tab_Data_Flows[[#This Row],[Flow_ID]]&amp;"_"&amp;"DM_"&amp;Tab_Data_Flows[[#This Row],[Flow_Data_Year]]</f>
        <v/>
      </c>
      <c r="AA249">
        <f>IF(E249="Yes",Y249*Tab_Data_Flows[[#This Row],[Flow_Material]],"N.A.")</f>
        <v/>
      </c>
      <c r="AB249">
        <f>Tab_Data_Flows[[#This Row],[UoM_Flow_Py]]</f>
        <v/>
      </c>
      <c r="AC249">
        <f>INDEX(Tab_Def_Flows[[Flow_ID]:[CC_DM_source]],MATCH(Tab_Data_Flows[[#This Row],[Flow_Name]],Tab_Def_Flows[Flow_Name],0),17)</f>
        <v/>
      </c>
      <c r="AD249">
        <f>Tab_Data_Flows[[#This Row],[Flow_ID]]&amp;"_"&amp;"CC_"&amp;Tab_Data_Flows[[#This Row],[Flow_Data_Year]]</f>
        <v/>
      </c>
      <c r="AE249">
        <f>IF(F249="Yes",AC249*Tab_Data_Flows[[#This Row],[Flow_Material]]*Tab_Data_Flows[[#This Row],[DM_'[%']]],"N.A.")</f>
        <v/>
      </c>
      <c r="AF249">
        <f>Tab_Data_Flows[[#This Row],[UoM_Flow_Py]]</f>
        <v/>
      </c>
    </row>
    <row r="250">
      <c r="A250">
        <f>ROW()-1</f>
        <v/>
      </c>
      <c r="B250">
        <f>_xlfn.XLOOKUP(C250,Tab_Def_Flows[Flow_Name],Tab_Def_Flows[Flow_ID],,0,)</f>
        <v/>
      </c>
      <c r="C250" t="inlineStr">
        <is>
          <t>N.A.</t>
        </is>
      </c>
      <c r="D250">
        <f>_xlfn.XLOOKUP(C250,Tab_Def_Flows[Flow_Name],Tab_Def_Flows[WC?],,0,)</f>
        <v/>
      </c>
      <c r="E250">
        <f>_xlfn.XLOOKUP(C250,Tab_Def_Flows[Flow_Name],Tab_Def_Flows[DM?],,0,)</f>
        <v/>
      </c>
      <c r="F250">
        <f>_xlfn.XLOOKUP(C250,Tab_Def_Flows[Flow_Name],Tab_Def_Flows[CC?],,0,)</f>
        <v/>
      </c>
      <c r="I250">
        <f>'0_Configuration'!$C$35</f>
        <v/>
      </c>
      <c r="O250" t="inlineStr">
        <is>
          <t>No</t>
        </is>
      </c>
      <c r="R250">
        <f>Tab_Data_Flows[[#This Row],[Flow_ID]]&amp;"_"&amp;"material_"&amp;Tab_Data_Flows[[#This Row],[Flow_Data_Year]]</f>
        <v/>
      </c>
      <c r="S250">
        <f>IF(O250="no",H250,H250*P250)</f>
        <v/>
      </c>
      <c r="T250">
        <f>Tab_Data_Flows[[#This Row],[UoM_Source]]</f>
        <v/>
      </c>
      <c r="U250">
        <f>INDEX(Tab_Def_Flows[[Flow_ID]:[CC_DM_source]],MATCH(Tab_Data_Flows[[#This Row],[Flow_Name]],Tab_Def_Flows[Flow_Name],0),11)</f>
        <v/>
      </c>
      <c r="V250">
        <f>Tab_Data_Flows[[#This Row],[Flow_ID]]&amp;"_"&amp;"WC_"&amp;Tab_Data_Flows[[#This Row],[Flow_Data_Year]]</f>
        <v/>
      </c>
      <c r="W250">
        <f>IF(D250="Yes",S250*Tab_Data_Flows[[#This Row],[WC_'[%']]],"N.A.")</f>
        <v/>
      </c>
      <c r="X250">
        <f>Tab_Data_Flows[[#This Row],[UoM_Flow_Py]]</f>
        <v/>
      </c>
      <c r="Y250">
        <f>INDEX(Tab_Def_Flows[[Flow_ID]:[CC_DM_source]],MATCH(Tab_Data_Flows[[#This Row],[Flow_Name]],Tab_Def_Flows[Flow_Name],0),14)</f>
        <v/>
      </c>
      <c r="Z250">
        <f>Tab_Data_Flows[[#This Row],[Flow_ID]]&amp;"_"&amp;"DM_"&amp;Tab_Data_Flows[[#This Row],[Flow_Data_Year]]</f>
        <v/>
      </c>
      <c r="AA250">
        <f>IF(E250="Yes",Y250*Tab_Data_Flows[[#This Row],[Flow_Material]],"N.A.")</f>
        <v/>
      </c>
      <c r="AB250">
        <f>Tab_Data_Flows[[#This Row],[UoM_Flow_Py]]</f>
        <v/>
      </c>
      <c r="AC250">
        <f>INDEX(Tab_Def_Flows[[Flow_ID]:[CC_DM_source]],MATCH(Tab_Data_Flows[[#This Row],[Flow_Name]],Tab_Def_Flows[Flow_Name],0),17)</f>
        <v/>
      </c>
      <c r="AD250">
        <f>Tab_Data_Flows[[#This Row],[Flow_ID]]&amp;"_"&amp;"CC_"&amp;Tab_Data_Flows[[#This Row],[Flow_Data_Year]]</f>
        <v/>
      </c>
      <c r="AE250">
        <f>IF(F250="Yes",AC250*Tab_Data_Flows[[#This Row],[Flow_Material]]*Tab_Data_Flows[[#This Row],[DM_'[%']]],"N.A.")</f>
        <v/>
      </c>
      <c r="AF250">
        <f>Tab_Data_Flows[[#This Row],[UoM_Flow_Py]]</f>
        <v/>
      </c>
    </row>
    <row r="251">
      <c r="A251">
        <f>ROW()-1</f>
        <v/>
      </c>
      <c r="B251">
        <f>_xlfn.XLOOKUP(C251,Tab_Def_Flows[Flow_Name],Tab_Def_Flows[Flow_ID],,0,)</f>
        <v/>
      </c>
      <c r="C251" t="inlineStr">
        <is>
          <t>N.A.</t>
        </is>
      </c>
      <c r="D251">
        <f>_xlfn.XLOOKUP(C251,Tab_Def_Flows[Flow_Name],Tab_Def_Flows[WC?],,0,)</f>
        <v/>
      </c>
      <c r="E251">
        <f>_xlfn.XLOOKUP(C251,Tab_Def_Flows[Flow_Name],Tab_Def_Flows[DM?],,0,)</f>
        <v/>
      </c>
      <c r="F251">
        <f>_xlfn.XLOOKUP(C251,Tab_Def_Flows[Flow_Name],Tab_Def_Flows[CC?],,0,)</f>
        <v/>
      </c>
      <c r="I251">
        <f>'0_Configuration'!$C$35</f>
        <v/>
      </c>
      <c r="O251" t="inlineStr">
        <is>
          <t>No</t>
        </is>
      </c>
      <c r="R251">
        <f>Tab_Data_Flows[[#This Row],[Flow_ID]]&amp;"_"&amp;"material_"&amp;Tab_Data_Flows[[#This Row],[Flow_Data_Year]]</f>
        <v/>
      </c>
      <c r="S251">
        <f>IF(O251="no",H251,H251*P251)</f>
        <v/>
      </c>
      <c r="T251">
        <f>Tab_Data_Flows[[#This Row],[UoM_Source]]</f>
        <v/>
      </c>
      <c r="U251">
        <f>INDEX(Tab_Def_Flows[[Flow_ID]:[CC_DM_source]],MATCH(Tab_Data_Flows[[#This Row],[Flow_Name]],Tab_Def_Flows[Flow_Name],0),11)</f>
        <v/>
      </c>
      <c r="V251">
        <f>Tab_Data_Flows[[#This Row],[Flow_ID]]&amp;"_"&amp;"WC_"&amp;Tab_Data_Flows[[#This Row],[Flow_Data_Year]]</f>
        <v/>
      </c>
      <c r="W251">
        <f>IF(D251="Yes",S251*Tab_Data_Flows[[#This Row],[WC_'[%']]],"N.A.")</f>
        <v/>
      </c>
      <c r="X251">
        <f>Tab_Data_Flows[[#This Row],[UoM_Flow_Py]]</f>
        <v/>
      </c>
      <c r="Y251">
        <f>INDEX(Tab_Def_Flows[[Flow_ID]:[CC_DM_source]],MATCH(Tab_Data_Flows[[#This Row],[Flow_Name]],Tab_Def_Flows[Flow_Name],0),14)</f>
        <v/>
      </c>
      <c r="Z251">
        <f>Tab_Data_Flows[[#This Row],[Flow_ID]]&amp;"_"&amp;"DM_"&amp;Tab_Data_Flows[[#This Row],[Flow_Data_Year]]</f>
        <v/>
      </c>
      <c r="AA251">
        <f>IF(E251="Yes",Y251*Tab_Data_Flows[[#This Row],[Flow_Material]],"N.A.")</f>
        <v/>
      </c>
      <c r="AB251">
        <f>Tab_Data_Flows[[#This Row],[UoM_Flow_Py]]</f>
        <v/>
      </c>
      <c r="AC251">
        <f>INDEX(Tab_Def_Flows[[Flow_ID]:[CC_DM_source]],MATCH(Tab_Data_Flows[[#This Row],[Flow_Name]],Tab_Def_Flows[Flow_Name],0),17)</f>
        <v/>
      </c>
      <c r="AD251">
        <f>Tab_Data_Flows[[#This Row],[Flow_ID]]&amp;"_"&amp;"CC_"&amp;Tab_Data_Flows[[#This Row],[Flow_Data_Year]]</f>
        <v/>
      </c>
      <c r="AE251">
        <f>IF(F251="Yes",AC251*Tab_Data_Flows[[#This Row],[Flow_Material]]*Tab_Data_Flows[[#This Row],[DM_'[%']]],"N.A.")</f>
        <v/>
      </c>
      <c r="AF251">
        <f>Tab_Data_Flows[[#This Row],[UoM_Flow_Py]]</f>
        <v/>
      </c>
    </row>
    <row r="252">
      <c r="A252">
        <f>ROW()-1</f>
        <v/>
      </c>
      <c r="B252">
        <f>_xlfn.XLOOKUP(C252,Tab_Def_Flows[Flow_Name],Tab_Def_Flows[Flow_ID],,0,)</f>
        <v/>
      </c>
      <c r="C252" t="inlineStr">
        <is>
          <t>N.A.</t>
        </is>
      </c>
      <c r="D252">
        <f>_xlfn.XLOOKUP(C252,Tab_Def_Flows[Flow_Name],Tab_Def_Flows[WC?],,0,)</f>
        <v/>
      </c>
      <c r="E252">
        <f>_xlfn.XLOOKUP(C252,Tab_Def_Flows[Flow_Name],Tab_Def_Flows[DM?],,0,)</f>
        <v/>
      </c>
      <c r="F252">
        <f>_xlfn.XLOOKUP(C252,Tab_Def_Flows[Flow_Name],Tab_Def_Flows[CC?],,0,)</f>
        <v/>
      </c>
      <c r="I252">
        <f>'0_Configuration'!$C$35</f>
        <v/>
      </c>
      <c r="O252" t="inlineStr">
        <is>
          <t>No</t>
        </is>
      </c>
      <c r="R252">
        <f>Tab_Data_Flows[[#This Row],[Flow_ID]]&amp;"_"&amp;"material_"&amp;Tab_Data_Flows[[#This Row],[Flow_Data_Year]]</f>
        <v/>
      </c>
      <c r="S252">
        <f>IF(O252="no",H252,H252*P252)</f>
        <v/>
      </c>
      <c r="T252">
        <f>Tab_Data_Flows[[#This Row],[UoM_Source]]</f>
        <v/>
      </c>
      <c r="U252">
        <f>INDEX(Tab_Def_Flows[[Flow_ID]:[CC_DM_source]],MATCH(Tab_Data_Flows[[#This Row],[Flow_Name]],Tab_Def_Flows[Flow_Name],0),11)</f>
        <v/>
      </c>
      <c r="V252">
        <f>Tab_Data_Flows[[#This Row],[Flow_ID]]&amp;"_"&amp;"WC_"&amp;Tab_Data_Flows[[#This Row],[Flow_Data_Year]]</f>
        <v/>
      </c>
      <c r="W252">
        <f>IF(D252="Yes",S252*Tab_Data_Flows[[#This Row],[WC_'[%']]],"N.A.")</f>
        <v/>
      </c>
      <c r="X252">
        <f>Tab_Data_Flows[[#This Row],[UoM_Flow_Py]]</f>
        <v/>
      </c>
      <c r="Y252">
        <f>INDEX(Tab_Def_Flows[[Flow_ID]:[CC_DM_source]],MATCH(Tab_Data_Flows[[#This Row],[Flow_Name]],Tab_Def_Flows[Flow_Name],0),14)</f>
        <v/>
      </c>
      <c r="Z252">
        <f>Tab_Data_Flows[[#This Row],[Flow_ID]]&amp;"_"&amp;"DM_"&amp;Tab_Data_Flows[[#This Row],[Flow_Data_Year]]</f>
        <v/>
      </c>
      <c r="AA252">
        <f>IF(E252="Yes",Y252*Tab_Data_Flows[[#This Row],[Flow_Material]],"N.A.")</f>
        <v/>
      </c>
      <c r="AB252">
        <f>Tab_Data_Flows[[#This Row],[UoM_Flow_Py]]</f>
        <v/>
      </c>
      <c r="AC252">
        <f>INDEX(Tab_Def_Flows[[Flow_ID]:[CC_DM_source]],MATCH(Tab_Data_Flows[[#This Row],[Flow_Name]],Tab_Def_Flows[Flow_Name],0),17)</f>
        <v/>
      </c>
      <c r="AD252">
        <f>Tab_Data_Flows[[#This Row],[Flow_ID]]&amp;"_"&amp;"CC_"&amp;Tab_Data_Flows[[#This Row],[Flow_Data_Year]]</f>
        <v/>
      </c>
      <c r="AE252">
        <f>IF(F252="Yes",AC252*Tab_Data_Flows[[#This Row],[Flow_Material]]*Tab_Data_Flows[[#This Row],[DM_'[%']]],"N.A.")</f>
        <v/>
      </c>
      <c r="AF252">
        <f>Tab_Data_Flows[[#This Row],[UoM_Flow_Py]]</f>
        <v/>
      </c>
    </row>
    <row r="253">
      <c r="A253">
        <f>ROW()-1</f>
        <v/>
      </c>
      <c r="B253">
        <f>_xlfn.XLOOKUP(C253,Tab_Def_Flows[Flow_Name],Tab_Def_Flows[Flow_ID],,0,)</f>
        <v/>
      </c>
      <c r="C253" t="inlineStr">
        <is>
          <t>N.A.</t>
        </is>
      </c>
      <c r="D253">
        <f>_xlfn.XLOOKUP(C253,Tab_Def_Flows[Flow_Name],Tab_Def_Flows[WC?],,0,)</f>
        <v/>
      </c>
      <c r="E253">
        <f>_xlfn.XLOOKUP(C253,Tab_Def_Flows[Flow_Name],Tab_Def_Flows[DM?],,0,)</f>
        <v/>
      </c>
      <c r="F253">
        <f>_xlfn.XLOOKUP(C253,Tab_Def_Flows[Flow_Name],Tab_Def_Flows[CC?],,0,)</f>
        <v/>
      </c>
      <c r="I253">
        <f>'0_Configuration'!$C$35</f>
        <v/>
      </c>
      <c r="O253" t="inlineStr">
        <is>
          <t>No</t>
        </is>
      </c>
      <c r="R253">
        <f>Tab_Data_Flows[[#This Row],[Flow_ID]]&amp;"_"&amp;"material_"&amp;Tab_Data_Flows[[#This Row],[Flow_Data_Year]]</f>
        <v/>
      </c>
      <c r="S253">
        <f>IF(O253="no",H253,H253*P253)</f>
        <v/>
      </c>
      <c r="T253">
        <f>Tab_Data_Flows[[#This Row],[UoM_Source]]</f>
        <v/>
      </c>
      <c r="U253">
        <f>INDEX(Tab_Def_Flows[[Flow_ID]:[CC_DM_source]],MATCH(Tab_Data_Flows[[#This Row],[Flow_Name]],Tab_Def_Flows[Flow_Name],0),11)</f>
        <v/>
      </c>
      <c r="V253">
        <f>Tab_Data_Flows[[#This Row],[Flow_ID]]&amp;"_"&amp;"WC_"&amp;Tab_Data_Flows[[#This Row],[Flow_Data_Year]]</f>
        <v/>
      </c>
      <c r="W253">
        <f>IF(D253="Yes",S253*Tab_Data_Flows[[#This Row],[WC_'[%']]],"N.A.")</f>
        <v/>
      </c>
      <c r="X253">
        <f>Tab_Data_Flows[[#This Row],[UoM_Flow_Py]]</f>
        <v/>
      </c>
      <c r="Y253">
        <f>INDEX(Tab_Def_Flows[[Flow_ID]:[CC_DM_source]],MATCH(Tab_Data_Flows[[#This Row],[Flow_Name]],Tab_Def_Flows[Flow_Name],0),14)</f>
        <v/>
      </c>
      <c r="Z253">
        <f>Tab_Data_Flows[[#This Row],[Flow_ID]]&amp;"_"&amp;"DM_"&amp;Tab_Data_Flows[[#This Row],[Flow_Data_Year]]</f>
        <v/>
      </c>
      <c r="AA253">
        <f>IF(E253="Yes",Y253*Tab_Data_Flows[[#This Row],[Flow_Material]],"N.A.")</f>
        <v/>
      </c>
      <c r="AB253">
        <f>Tab_Data_Flows[[#This Row],[UoM_Flow_Py]]</f>
        <v/>
      </c>
      <c r="AC253">
        <f>INDEX(Tab_Def_Flows[[Flow_ID]:[CC_DM_source]],MATCH(Tab_Data_Flows[[#This Row],[Flow_Name]],Tab_Def_Flows[Flow_Name],0),17)</f>
        <v/>
      </c>
      <c r="AD253">
        <f>Tab_Data_Flows[[#This Row],[Flow_ID]]&amp;"_"&amp;"CC_"&amp;Tab_Data_Flows[[#This Row],[Flow_Data_Year]]</f>
        <v/>
      </c>
      <c r="AE253">
        <f>IF(F253="Yes",AC253*Tab_Data_Flows[[#This Row],[Flow_Material]]*Tab_Data_Flows[[#This Row],[DM_'[%']]],"N.A.")</f>
        <v/>
      </c>
      <c r="AF253">
        <f>Tab_Data_Flows[[#This Row],[UoM_Flow_Py]]</f>
        <v/>
      </c>
    </row>
    <row r="254">
      <c r="A254">
        <f>ROW()-1</f>
        <v/>
      </c>
      <c r="B254">
        <f>_xlfn.XLOOKUP(C254,Tab_Def_Flows[Flow_Name],Tab_Def_Flows[Flow_ID],,0,)</f>
        <v/>
      </c>
      <c r="C254" t="inlineStr">
        <is>
          <t>N.A.</t>
        </is>
      </c>
      <c r="D254">
        <f>_xlfn.XLOOKUP(C254,Tab_Def_Flows[Flow_Name],Tab_Def_Flows[WC?],,0,)</f>
        <v/>
      </c>
      <c r="E254">
        <f>_xlfn.XLOOKUP(C254,Tab_Def_Flows[Flow_Name],Tab_Def_Flows[DM?],,0,)</f>
        <v/>
      </c>
      <c r="F254">
        <f>_xlfn.XLOOKUP(C254,Tab_Def_Flows[Flow_Name],Tab_Def_Flows[CC?],,0,)</f>
        <v/>
      </c>
      <c r="I254">
        <f>'0_Configuration'!$C$35</f>
        <v/>
      </c>
      <c r="O254" t="inlineStr">
        <is>
          <t>No</t>
        </is>
      </c>
      <c r="R254">
        <f>Tab_Data_Flows[[#This Row],[Flow_ID]]&amp;"_"&amp;"material_"&amp;Tab_Data_Flows[[#This Row],[Flow_Data_Year]]</f>
        <v/>
      </c>
      <c r="S254">
        <f>IF(O254="no",H254,H254*P254)</f>
        <v/>
      </c>
      <c r="T254">
        <f>Tab_Data_Flows[[#This Row],[UoM_Source]]</f>
        <v/>
      </c>
      <c r="U254">
        <f>INDEX(Tab_Def_Flows[[Flow_ID]:[CC_DM_source]],MATCH(Tab_Data_Flows[[#This Row],[Flow_Name]],Tab_Def_Flows[Flow_Name],0),11)</f>
        <v/>
      </c>
      <c r="V254">
        <f>Tab_Data_Flows[[#This Row],[Flow_ID]]&amp;"_"&amp;"WC_"&amp;Tab_Data_Flows[[#This Row],[Flow_Data_Year]]</f>
        <v/>
      </c>
      <c r="W254">
        <f>IF(D254="Yes",S254*Tab_Data_Flows[[#This Row],[WC_'[%']]],"N.A.")</f>
        <v/>
      </c>
      <c r="X254">
        <f>Tab_Data_Flows[[#This Row],[UoM_Flow_Py]]</f>
        <v/>
      </c>
      <c r="Y254">
        <f>INDEX(Tab_Def_Flows[[Flow_ID]:[CC_DM_source]],MATCH(Tab_Data_Flows[[#This Row],[Flow_Name]],Tab_Def_Flows[Flow_Name],0),14)</f>
        <v/>
      </c>
      <c r="Z254">
        <f>Tab_Data_Flows[[#This Row],[Flow_ID]]&amp;"_"&amp;"DM_"&amp;Tab_Data_Flows[[#This Row],[Flow_Data_Year]]</f>
        <v/>
      </c>
      <c r="AA254">
        <f>IF(E254="Yes",Y254*Tab_Data_Flows[[#This Row],[Flow_Material]],"N.A.")</f>
        <v/>
      </c>
      <c r="AB254">
        <f>Tab_Data_Flows[[#This Row],[UoM_Flow_Py]]</f>
        <v/>
      </c>
      <c r="AC254">
        <f>INDEX(Tab_Def_Flows[[Flow_ID]:[CC_DM_source]],MATCH(Tab_Data_Flows[[#This Row],[Flow_Name]],Tab_Def_Flows[Flow_Name],0),17)</f>
        <v/>
      </c>
      <c r="AD254">
        <f>Tab_Data_Flows[[#This Row],[Flow_ID]]&amp;"_"&amp;"CC_"&amp;Tab_Data_Flows[[#This Row],[Flow_Data_Year]]</f>
        <v/>
      </c>
      <c r="AE254">
        <f>IF(F254="Yes",AC254*Tab_Data_Flows[[#This Row],[Flow_Material]]*Tab_Data_Flows[[#This Row],[DM_'[%']]],"N.A.")</f>
        <v/>
      </c>
      <c r="AF254">
        <f>Tab_Data_Flows[[#This Row],[UoM_Flow_Py]]</f>
        <v/>
      </c>
    </row>
    <row r="255">
      <c r="A255">
        <f>ROW()-1</f>
        <v/>
      </c>
      <c r="B255">
        <f>_xlfn.XLOOKUP(C255,Tab_Def_Flows[Flow_Name],Tab_Def_Flows[Flow_ID],,0,)</f>
        <v/>
      </c>
      <c r="C255" t="inlineStr">
        <is>
          <t>N.A.</t>
        </is>
      </c>
      <c r="D255">
        <f>_xlfn.XLOOKUP(C255,Tab_Def_Flows[Flow_Name],Tab_Def_Flows[WC?],,0,)</f>
        <v/>
      </c>
      <c r="E255">
        <f>_xlfn.XLOOKUP(C255,Tab_Def_Flows[Flow_Name],Tab_Def_Flows[DM?],,0,)</f>
        <v/>
      </c>
      <c r="F255">
        <f>_xlfn.XLOOKUP(C255,Tab_Def_Flows[Flow_Name],Tab_Def_Flows[CC?],,0,)</f>
        <v/>
      </c>
      <c r="I255">
        <f>'0_Configuration'!$C$35</f>
        <v/>
      </c>
      <c r="O255" t="inlineStr">
        <is>
          <t>No</t>
        </is>
      </c>
      <c r="R255">
        <f>Tab_Data_Flows[[#This Row],[Flow_ID]]&amp;"_"&amp;"material_"&amp;Tab_Data_Flows[[#This Row],[Flow_Data_Year]]</f>
        <v/>
      </c>
      <c r="S255">
        <f>IF(O255="no",H255,H255*P255)</f>
        <v/>
      </c>
      <c r="T255">
        <f>Tab_Data_Flows[[#This Row],[UoM_Source]]</f>
        <v/>
      </c>
      <c r="U255">
        <f>INDEX(Tab_Def_Flows[[Flow_ID]:[CC_DM_source]],MATCH(Tab_Data_Flows[[#This Row],[Flow_Name]],Tab_Def_Flows[Flow_Name],0),11)</f>
        <v/>
      </c>
      <c r="V255">
        <f>Tab_Data_Flows[[#This Row],[Flow_ID]]&amp;"_"&amp;"WC_"&amp;Tab_Data_Flows[[#This Row],[Flow_Data_Year]]</f>
        <v/>
      </c>
      <c r="W255">
        <f>IF(D255="Yes",S255*Tab_Data_Flows[[#This Row],[WC_'[%']]],"N.A.")</f>
        <v/>
      </c>
      <c r="X255">
        <f>Tab_Data_Flows[[#This Row],[UoM_Flow_Py]]</f>
        <v/>
      </c>
      <c r="Y255">
        <f>INDEX(Tab_Def_Flows[[Flow_ID]:[CC_DM_source]],MATCH(Tab_Data_Flows[[#This Row],[Flow_Name]],Tab_Def_Flows[Flow_Name],0),14)</f>
        <v/>
      </c>
      <c r="Z255">
        <f>Tab_Data_Flows[[#This Row],[Flow_ID]]&amp;"_"&amp;"DM_"&amp;Tab_Data_Flows[[#This Row],[Flow_Data_Year]]</f>
        <v/>
      </c>
      <c r="AA255">
        <f>IF(E255="Yes",Y255*Tab_Data_Flows[[#This Row],[Flow_Material]],"N.A.")</f>
        <v/>
      </c>
      <c r="AB255">
        <f>Tab_Data_Flows[[#This Row],[UoM_Flow_Py]]</f>
        <v/>
      </c>
      <c r="AC255">
        <f>INDEX(Tab_Def_Flows[[Flow_ID]:[CC_DM_source]],MATCH(Tab_Data_Flows[[#This Row],[Flow_Name]],Tab_Def_Flows[Flow_Name],0),17)</f>
        <v/>
      </c>
      <c r="AD255">
        <f>Tab_Data_Flows[[#This Row],[Flow_ID]]&amp;"_"&amp;"CC_"&amp;Tab_Data_Flows[[#This Row],[Flow_Data_Year]]</f>
        <v/>
      </c>
      <c r="AE255">
        <f>IF(F255="Yes",AC255*Tab_Data_Flows[[#This Row],[Flow_Material]]*Tab_Data_Flows[[#This Row],[DM_'[%']]],"N.A.")</f>
        <v/>
      </c>
      <c r="AF255">
        <f>Tab_Data_Flows[[#This Row],[UoM_Flow_Py]]</f>
        <v/>
      </c>
    </row>
    <row r="256">
      <c r="A256">
        <f>ROW()-1</f>
        <v/>
      </c>
      <c r="B256">
        <f>_xlfn.XLOOKUP(C256,Tab_Def_Flows[Flow_Name],Tab_Def_Flows[Flow_ID],,0,)</f>
        <v/>
      </c>
      <c r="C256" t="inlineStr">
        <is>
          <t>N.A.</t>
        </is>
      </c>
      <c r="D256">
        <f>_xlfn.XLOOKUP(C256,Tab_Def_Flows[Flow_Name],Tab_Def_Flows[WC?],,0,)</f>
        <v/>
      </c>
      <c r="E256">
        <f>_xlfn.XLOOKUP(C256,Tab_Def_Flows[Flow_Name],Tab_Def_Flows[DM?],,0,)</f>
        <v/>
      </c>
      <c r="F256">
        <f>_xlfn.XLOOKUP(C256,Tab_Def_Flows[Flow_Name],Tab_Def_Flows[CC?],,0,)</f>
        <v/>
      </c>
      <c r="I256">
        <f>'0_Configuration'!$C$35</f>
        <v/>
      </c>
      <c r="O256" t="inlineStr">
        <is>
          <t>No</t>
        </is>
      </c>
      <c r="R256">
        <f>Tab_Data_Flows[[#This Row],[Flow_ID]]&amp;"_"&amp;"material_"&amp;Tab_Data_Flows[[#This Row],[Flow_Data_Year]]</f>
        <v/>
      </c>
      <c r="S256">
        <f>IF(O256="no",H256,H256*P256)</f>
        <v/>
      </c>
      <c r="T256">
        <f>Tab_Data_Flows[[#This Row],[UoM_Source]]</f>
        <v/>
      </c>
      <c r="U256">
        <f>INDEX(Tab_Def_Flows[[Flow_ID]:[CC_DM_source]],MATCH(Tab_Data_Flows[[#This Row],[Flow_Name]],Tab_Def_Flows[Flow_Name],0),11)</f>
        <v/>
      </c>
      <c r="V256">
        <f>Tab_Data_Flows[[#This Row],[Flow_ID]]&amp;"_"&amp;"WC_"&amp;Tab_Data_Flows[[#This Row],[Flow_Data_Year]]</f>
        <v/>
      </c>
      <c r="W256">
        <f>IF(D256="Yes",S256*Tab_Data_Flows[[#This Row],[WC_'[%']]],"N.A.")</f>
        <v/>
      </c>
      <c r="X256">
        <f>Tab_Data_Flows[[#This Row],[UoM_Flow_Py]]</f>
        <v/>
      </c>
      <c r="Y256">
        <f>INDEX(Tab_Def_Flows[[Flow_ID]:[CC_DM_source]],MATCH(Tab_Data_Flows[[#This Row],[Flow_Name]],Tab_Def_Flows[Flow_Name],0),14)</f>
        <v/>
      </c>
      <c r="Z256">
        <f>Tab_Data_Flows[[#This Row],[Flow_ID]]&amp;"_"&amp;"DM_"&amp;Tab_Data_Flows[[#This Row],[Flow_Data_Year]]</f>
        <v/>
      </c>
      <c r="AA256">
        <f>IF(E256="Yes",Y256*Tab_Data_Flows[[#This Row],[Flow_Material]],"N.A.")</f>
        <v/>
      </c>
      <c r="AB256">
        <f>Tab_Data_Flows[[#This Row],[UoM_Flow_Py]]</f>
        <v/>
      </c>
      <c r="AC256">
        <f>INDEX(Tab_Def_Flows[[Flow_ID]:[CC_DM_source]],MATCH(Tab_Data_Flows[[#This Row],[Flow_Name]],Tab_Def_Flows[Flow_Name],0),17)</f>
        <v/>
      </c>
      <c r="AD256">
        <f>Tab_Data_Flows[[#This Row],[Flow_ID]]&amp;"_"&amp;"CC_"&amp;Tab_Data_Flows[[#This Row],[Flow_Data_Year]]</f>
        <v/>
      </c>
      <c r="AE256">
        <f>IF(F256="Yes",AC256*Tab_Data_Flows[[#This Row],[Flow_Material]]*Tab_Data_Flows[[#This Row],[DM_'[%']]],"N.A.")</f>
        <v/>
      </c>
      <c r="AF256">
        <f>Tab_Data_Flows[[#This Row],[UoM_Flow_Py]]</f>
        <v/>
      </c>
    </row>
    <row r="257">
      <c r="A257">
        <f>ROW()-1</f>
        <v/>
      </c>
      <c r="B257">
        <f>_xlfn.XLOOKUP(C257,Tab_Def_Flows[Flow_Name],Tab_Def_Flows[Flow_ID],,0,)</f>
        <v/>
      </c>
      <c r="C257" t="inlineStr">
        <is>
          <t>N.A.</t>
        </is>
      </c>
      <c r="D257">
        <f>_xlfn.XLOOKUP(C257,Tab_Def_Flows[Flow_Name],Tab_Def_Flows[WC?],,0,)</f>
        <v/>
      </c>
      <c r="E257">
        <f>_xlfn.XLOOKUP(C257,Tab_Def_Flows[Flow_Name],Tab_Def_Flows[DM?],,0,)</f>
        <v/>
      </c>
      <c r="F257">
        <f>_xlfn.XLOOKUP(C257,Tab_Def_Flows[Flow_Name],Tab_Def_Flows[CC?],,0,)</f>
        <v/>
      </c>
      <c r="I257">
        <f>'0_Configuration'!$C$35</f>
        <v/>
      </c>
      <c r="O257" t="inlineStr">
        <is>
          <t>No</t>
        </is>
      </c>
      <c r="R257">
        <f>Tab_Data_Flows[[#This Row],[Flow_ID]]&amp;"_"&amp;"material_"&amp;Tab_Data_Flows[[#This Row],[Flow_Data_Year]]</f>
        <v/>
      </c>
      <c r="S257">
        <f>IF(O257="no",H257,H257*P257)</f>
        <v/>
      </c>
      <c r="T257">
        <f>Tab_Data_Flows[[#This Row],[UoM_Source]]</f>
        <v/>
      </c>
      <c r="U257">
        <f>INDEX(Tab_Def_Flows[[Flow_ID]:[CC_DM_source]],MATCH(Tab_Data_Flows[[#This Row],[Flow_Name]],Tab_Def_Flows[Flow_Name],0),11)</f>
        <v/>
      </c>
      <c r="V257">
        <f>Tab_Data_Flows[[#This Row],[Flow_ID]]&amp;"_"&amp;"WC_"&amp;Tab_Data_Flows[[#This Row],[Flow_Data_Year]]</f>
        <v/>
      </c>
      <c r="W257">
        <f>IF(D257="Yes",S257*Tab_Data_Flows[[#This Row],[WC_'[%']]],"N.A.")</f>
        <v/>
      </c>
      <c r="X257">
        <f>Tab_Data_Flows[[#This Row],[UoM_Flow_Py]]</f>
        <v/>
      </c>
      <c r="Y257">
        <f>INDEX(Tab_Def_Flows[[Flow_ID]:[CC_DM_source]],MATCH(Tab_Data_Flows[[#This Row],[Flow_Name]],Tab_Def_Flows[Flow_Name],0),14)</f>
        <v/>
      </c>
      <c r="Z257">
        <f>Tab_Data_Flows[[#This Row],[Flow_ID]]&amp;"_"&amp;"DM_"&amp;Tab_Data_Flows[[#This Row],[Flow_Data_Year]]</f>
        <v/>
      </c>
      <c r="AA257">
        <f>IF(E257="Yes",Y257*Tab_Data_Flows[[#This Row],[Flow_Material]],"N.A.")</f>
        <v/>
      </c>
      <c r="AB257">
        <f>Tab_Data_Flows[[#This Row],[UoM_Flow_Py]]</f>
        <v/>
      </c>
      <c r="AC257">
        <f>INDEX(Tab_Def_Flows[[Flow_ID]:[CC_DM_source]],MATCH(Tab_Data_Flows[[#This Row],[Flow_Name]],Tab_Def_Flows[Flow_Name],0),17)</f>
        <v/>
      </c>
      <c r="AD257">
        <f>Tab_Data_Flows[[#This Row],[Flow_ID]]&amp;"_"&amp;"CC_"&amp;Tab_Data_Flows[[#This Row],[Flow_Data_Year]]</f>
        <v/>
      </c>
      <c r="AE257">
        <f>IF(F257="Yes",AC257*Tab_Data_Flows[[#This Row],[Flow_Material]]*Tab_Data_Flows[[#This Row],[DM_'[%']]],"N.A.")</f>
        <v/>
      </c>
      <c r="AF257">
        <f>Tab_Data_Flows[[#This Row],[UoM_Flow_Py]]</f>
        <v/>
      </c>
    </row>
    <row r="258">
      <c r="A258">
        <f>ROW()-1</f>
        <v/>
      </c>
      <c r="B258">
        <f>_xlfn.XLOOKUP(C258,Tab_Def_Flows[Flow_Name],Tab_Def_Flows[Flow_ID],,0,)</f>
        <v/>
      </c>
      <c r="C258" t="inlineStr">
        <is>
          <t>N.A.</t>
        </is>
      </c>
      <c r="D258">
        <f>_xlfn.XLOOKUP(C258,Tab_Def_Flows[Flow_Name],Tab_Def_Flows[WC?],,0,)</f>
        <v/>
      </c>
      <c r="E258">
        <f>_xlfn.XLOOKUP(C258,Tab_Def_Flows[Flow_Name],Tab_Def_Flows[DM?],,0,)</f>
        <v/>
      </c>
      <c r="F258">
        <f>_xlfn.XLOOKUP(C258,Tab_Def_Flows[Flow_Name],Tab_Def_Flows[CC?],,0,)</f>
        <v/>
      </c>
      <c r="I258">
        <f>'0_Configuration'!$C$35</f>
        <v/>
      </c>
      <c r="O258" t="inlineStr">
        <is>
          <t>No</t>
        </is>
      </c>
      <c r="R258">
        <f>Tab_Data_Flows[[#This Row],[Flow_ID]]&amp;"_"&amp;"material_"&amp;Tab_Data_Flows[[#This Row],[Flow_Data_Year]]</f>
        <v/>
      </c>
      <c r="S258">
        <f>IF(O258="no",H258,H258*P258)</f>
        <v/>
      </c>
      <c r="T258">
        <f>Tab_Data_Flows[[#This Row],[UoM_Source]]</f>
        <v/>
      </c>
      <c r="U258">
        <f>INDEX(Tab_Def_Flows[[Flow_ID]:[CC_DM_source]],MATCH(Tab_Data_Flows[[#This Row],[Flow_Name]],Tab_Def_Flows[Flow_Name],0),11)</f>
        <v/>
      </c>
      <c r="V258">
        <f>Tab_Data_Flows[[#This Row],[Flow_ID]]&amp;"_"&amp;"WC_"&amp;Tab_Data_Flows[[#This Row],[Flow_Data_Year]]</f>
        <v/>
      </c>
      <c r="W258">
        <f>IF(D258="Yes",S258*Tab_Data_Flows[[#This Row],[WC_'[%']]],"N.A.")</f>
        <v/>
      </c>
      <c r="X258">
        <f>Tab_Data_Flows[[#This Row],[UoM_Flow_Py]]</f>
        <v/>
      </c>
      <c r="Y258">
        <f>INDEX(Tab_Def_Flows[[Flow_ID]:[CC_DM_source]],MATCH(Tab_Data_Flows[[#This Row],[Flow_Name]],Tab_Def_Flows[Flow_Name],0),14)</f>
        <v/>
      </c>
      <c r="Z258">
        <f>Tab_Data_Flows[[#This Row],[Flow_ID]]&amp;"_"&amp;"DM_"&amp;Tab_Data_Flows[[#This Row],[Flow_Data_Year]]</f>
        <v/>
      </c>
      <c r="AA258">
        <f>IF(E258="Yes",Y258*Tab_Data_Flows[[#This Row],[Flow_Material]],"N.A.")</f>
        <v/>
      </c>
      <c r="AB258">
        <f>Tab_Data_Flows[[#This Row],[UoM_Flow_Py]]</f>
        <v/>
      </c>
      <c r="AC258">
        <f>INDEX(Tab_Def_Flows[[Flow_ID]:[CC_DM_source]],MATCH(Tab_Data_Flows[[#This Row],[Flow_Name]],Tab_Def_Flows[Flow_Name],0),17)</f>
        <v/>
      </c>
      <c r="AD258">
        <f>Tab_Data_Flows[[#This Row],[Flow_ID]]&amp;"_"&amp;"CC_"&amp;Tab_Data_Flows[[#This Row],[Flow_Data_Year]]</f>
        <v/>
      </c>
      <c r="AE258">
        <f>IF(F258="Yes",AC258*Tab_Data_Flows[[#This Row],[Flow_Material]]*Tab_Data_Flows[[#This Row],[DM_'[%']]],"N.A.")</f>
        <v/>
      </c>
      <c r="AF258">
        <f>Tab_Data_Flows[[#This Row],[UoM_Flow_Py]]</f>
        <v/>
      </c>
    </row>
    <row r="259">
      <c r="A259">
        <f>ROW()-1</f>
        <v/>
      </c>
      <c r="B259">
        <f>_xlfn.XLOOKUP(C259,Tab_Def_Flows[Flow_Name],Tab_Def_Flows[Flow_ID],,0,)</f>
        <v/>
      </c>
      <c r="C259" t="inlineStr">
        <is>
          <t>N.A.</t>
        </is>
      </c>
      <c r="D259">
        <f>_xlfn.XLOOKUP(C259,Tab_Def_Flows[Flow_Name],Tab_Def_Flows[WC?],,0,)</f>
        <v/>
      </c>
      <c r="E259">
        <f>_xlfn.XLOOKUP(C259,Tab_Def_Flows[Flow_Name],Tab_Def_Flows[DM?],,0,)</f>
        <v/>
      </c>
      <c r="F259">
        <f>_xlfn.XLOOKUP(C259,Tab_Def_Flows[Flow_Name],Tab_Def_Flows[CC?],,0,)</f>
        <v/>
      </c>
      <c r="I259">
        <f>'0_Configuration'!$C$35</f>
        <v/>
      </c>
      <c r="O259" t="inlineStr">
        <is>
          <t>No</t>
        </is>
      </c>
      <c r="R259">
        <f>Tab_Data_Flows[[#This Row],[Flow_ID]]&amp;"_"&amp;"material_"&amp;Tab_Data_Flows[[#This Row],[Flow_Data_Year]]</f>
        <v/>
      </c>
      <c r="S259">
        <f>IF(O259="no",H259,H259*P259)</f>
        <v/>
      </c>
      <c r="T259">
        <f>Tab_Data_Flows[[#This Row],[UoM_Source]]</f>
        <v/>
      </c>
      <c r="U259">
        <f>INDEX(Tab_Def_Flows[[Flow_ID]:[CC_DM_source]],MATCH(Tab_Data_Flows[[#This Row],[Flow_Name]],Tab_Def_Flows[Flow_Name],0),11)</f>
        <v/>
      </c>
      <c r="V259">
        <f>Tab_Data_Flows[[#This Row],[Flow_ID]]&amp;"_"&amp;"WC_"&amp;Tab_Data_Flows[[#This Row],[Flow_Data_Year]]</f>
        <v/>
      </c>
      <c r="W259">
        <f>IF(D259="Yes",S259*Tab_Data_Flows[[#This Row],[WC_'[%']]],"N.A.")</f>
        <v/>
      </c>
      <c r="X259">
        <f>Tab_Data_Flows[[#This Row],[UoM_Flow_Py]]</f>
        <v/>
      </c>
      <c r="Y259">
        <f>INDEX(Tab_Def_Flows[[Flow_ID]:[CC_DM_source]],MATCH(Tab_Data_Flows[[#This Row],[Flow_Name]],Tab_Def_Flows[Flow_Name],0),14)</f>
        <v/>
      </c>
      <c r="Z259">
        <f>Tab_Data_Flows[[#This Row],[Flow_ID]]&amp;"_"&amp;"DM_"&amp;Tab_Data_Flows[[#This Row],[Flow_Data_Year]]</f>
        <v/>
      </c>
      <c r="AA259">
        <f>IF(E259="Yes",Y259*Tab_Data_Flows[[#This Row],[Flow_Material]],"N.A.")</f>
        <v/>
      </c>
      <c r="AB259">
        <f>Tab_Data_Flows[[#This Row],[UoM_Flow_Py]]</f>
        <v/>
      </c>
      <c r="AC259">
        <f>INDEX(Tab_Def_Flows[[Flow_ID]:[CC_DM_source]],MATCH(Tab_Data_Flows[[#This Row],[Flow_Name]],Tab_Def_Flows[Flow_Name],0),17)</f>
        <v/>
      </c>
      <c r="AD259">
        <f>Tab_Data_Flows[[#This Row],[Flow_ID]]&amp;"_"&amp;"CC_"&amp;Tab_Data_Flows[[#This Row],[Flow_Data_Year]]</f>
        <v/>
      </c>
      <c r="AE259">
        <f>IF(F259="Yes",AC259*Tab_Data_Flows[[#This Row],[Flow_Material]]*Tab_Data_Flows[[#This Row],[DM_'[%']]],"N.A.")</f>
        <v/>
      </c>
      <c r="AF259">
        <f>Tab_Data_Flows[[#This Row],[UoM_Flow_Py]]</f>
        <v/>
      </c>
    </row>
    <row r="260">
      <c r="A260">
        <f>ROW()-1</f>
        <v/>
      </c>
      <c r="B260">
        <f>_xlfn.XLOOKUP(C260,Tab_Def_Flows[Flow_Name],Tab_Def_Flows[Flow_ID],,0,)</f>
        <v/>
      </c>
      <c r="C260" t="inlineStr">
        <is>
          <t>N.A.</t>
        </is>
      </c>
      <c r="D260">
        <f>_xlfn.XLOOKUP(C260,Tab_Def_Flows[Flow_Name],Tab_Def_Flows[WC?],,0,)</f>
        <v/>
      </c>
      <c r="E260">
        <f>_xlfn.XLOOKUP(C260,Tab_Def_Flows[Flow_Name],Tab_Def_Flows[DM?],,0,)</f>
        <v/>
      </c>
      <c r="F260">
        <f>_xlfn.XLOOKUP(C260,Tab_Def_Flows[Flow_Name],Tab_Def_Flows[CC?],,0,)</f>
        <v/>
      </c>
      <c r="I260">
        <f>'0_Configuration'!$C$35</f>
        <v/>
      </c>
      <c r="O260" t="inlineStr">
        <is>
          <t>No</t>
        </is>
      </c>
      <c r="R260">
        <f>Tab_Data_Flows[[#This Row],[Flow_ID]]&amp;"_"&amp;"material_"&amp;Tab_Data_Flows[[#This Row],[Flow_Data_Year]]</f>
        <v/>
      </c>
      <c r="S260">
        <f>IF(O260="no",H260,H260*P260)</f>
        <v/>
      </c>
      <c r="T260">
        <f>Tab_Data_Flows[[#This Row],[UoM_Source]]</f>
        <v/>
      </c>
      <c r="U260">
        <f>INDEX(Tab_Def_Flows[[Flow_ID]:[CC_DM_source]],MATCH(Tab_Data_Flows[[#This Row],[Flow_Name]],Tab_Def_Flows[Flow_Name],0),11)</f>
        <v/>
      </c>
      <c r="V260">
        <f>Tab_Data_Flows[[#This Row],[Flow_ID]]&amp;"_"&amp;"WC_"&amp;Tab_Data_Flows[[#This Row],[Flow_Data_Year]]</f>
        <v/>
      </c>
      <c r="W260">
        <f>IF(D260="Yes",S260*Tab_Data_Flows[[#This Row],[WC_'[%']]],"N.A.")</f>
        <v/>
      </c>
      <c r="X260">
        <f>Tab_Data_Flows[[#This Row],[UoM_Flow_Py]]</f>
        <v/>
      </c>
      <c r="Y260">
        <f>INDEX(Tab_Def_Flows[[Flow_ID]:[CC_DM_source]],MATCH(Tab_Data_Flows[[#This Row],[Flow_Name]],Tab_Def_Flows[Flow_Name],0),14)</f>
        <v/>
      </c>
      <c r="Z260">
        <f>Tab_Data_Flows[[#This Row],[Flow_ID]]&amp;"_"&amp;"DM_"&amp;Tab_Data_Flows[[#This Row],[Flow_Data_Year]]</f>
        <v/>
      </c>
      <c r="AA260">
        <f>IF(E260="Yes",Y260*Tab_Data_Flows[[#This Row],[Flow_Material]],"N.A.")</f>
        <v/>
      </c>
      <c r="AB260">
        <f>Tab_Data_Flows[[#This Row],[UoM_Flow_Py]]</f>
        <v/>
      </c>
      <c r="AC260">
        <f>INDEX(Tab_Def_Flows[[Flow_ID]:[CC_DM_source]],MATCH(Tab_Data_Flows[[#This Row],[Flow_Name]],Tab_Def_Flows[Flow_Name],0),17)</f>
        <v/>
      </c>
      <c r="AD260">
        <f>Tab_Data_Flows[[#This Row],[Flow_ID]]&amp;"_"&amp;"CC_"&amp;Tab_Data_Flows[[#This Row],[Flow_Data_Year]]</f>
        <v/>
      </c>
      <c r="AE260">
        <f>IF(F260="Yes",AC260*Tab_Data_Flows[[#This Row],[Flow_Material]]*Tab_Data_Flows[[#This Row],[DM_'[%']]],"N.A.")</f>
        <v/>
      </c>
      <c r="AF260">
        <f>Tab_Data_Flows[[#This Row],[UoM_Flow_Py]]</f>
        <v/>
      </c>
    </row>
    <row r="261">
      <c r="A261">
        <f>ROW()-1</f>
        <v/>
      </c>
      <c r="B261">
        <f>_xlfn.XLOOKUP(C261,Tab_Def_Flows[Flow_Name],Tab_Def_Flows[Flow_ID],,0,)</f>
        <v/>
      </c>
      <c r="C261" t="inlineStr">
        <is>
          <t>N.A.</t>
        </is>
      </c>
      <c r="D261">
        <f>_xlfn.XLOOKUP(C261,Tab_Def_Flows[Flow_Name],Tab_Def_Flows[WC?],,0,)</f>
        <v/>
      </c>
      <c r="E261">
        <f>_xlfn.XLOOKUP(C261,Tab_Def_Flows[Flow_Name],Tab_Def_Flows[DM?],,0,)</f>
        <v/>
      </c>
      <c r="F261">
        <f>_xlfn.XLOOKUP(C261,Tab_Def_Flows[Flow_Name],Tab_Def_Flows[CC?],,0,)</f>
        <v/>
      </c>
      <c r="I261">
        <f>'0_Configuration'!$C$35</f>
        <v/>
      </c>
      <c r="O261" t="inlineStr">
        <is>
          <t>No</t>
        </is>
      </c>
      <c r="R261">
        <f>Tab_Data_Flows[[#This Row],[Flow_ID]]&amp;"_"&amp;"material_"&amp;Tab_Data_Flows[[#This Row],[Flow_Data_Year]]</f>
        <v/>
      </c>
      <c r="S261">
        <f>IF(O261="no",H261,H261*P261)</f>
        <v/>
      </c>
      <c r="T261">
        <f>Tab_Data_Flows[[#This Row],[UoM_Source]]</f>
        <v/>
      </c>
      <c r="U261">
        <f>INDEX(Tab_Def_Flows[[Flow_ID]:[CC_DM_source]],MATCH(Tab_Data_Flows[[#This Row],[Flow_Name]],Tab_Def_Flows[Flow_Name],0),11)</f>
        <v/>
      </c>
      <c r="V261">
        <f>Tab_Data_Flows[[#This Row],[Flow_ID]]&amp;"_"&amp;"WC_"&amp;Tab_Data_Flows[[#This Row],[Flow_Data_Year]]</f>
        <v/>
      </c>
      <c r="W261">
        <f>IF(D261="Yes",S261*Tab_Data_Flows[[#This Row],[WC_'[%']]],"N.A.")</f>
        <v/>
      </c>
      <c r="X261">
        <f>Tab_Data_Flows[[#This Row],[UoM_Flow_Py]]</f>
        <v/>
      </c>
      <c r="Y261">
        <f>INDEX(Tab_Def_Flows[[Flow_ID]:[CC_DM_source]],MATCH(Tab_Data_Flows[[#This Row],[Flow_Name]],Tab_Def_Flows[Flow_Name],0),14)</f>
        <v/>
      </c>
      <c r="Z261">
        <f>Tab_Data_Flows[[#This Row],[Flow_ID]]&amp;"_"&amp;"DM_"&amp;Tab_Data_Flows[[#This Row],[Flow_Data_Year]]</f>
        <v/>
      </c>
      <c r="AA261">
        <f>IF(E261="Yes",Y261*Tab_Data_Flows[[#This Row],[Flow_Material]],"N.A.")</f>
        <v/>
      </c>
      <c r="AB261">
        <f>Tab_Data_Flows[[#This Row],[UoM_Flow_Py]]</f>
        <v/>
      </c>
      <c r="AC261">
        <f>INDEX(Tab_Def_Flows[[Flow_ID]:[CC_DM_source]],MATCH(Tab_Data_Flows[[#This Row],[Flow_Name]],Tab_Def_Flows[Flow_Name],0),17)</f>
        <v/>
      </c>
      <c r="AD261">
        <f>Tab_Data_Flows[[#This Row],[Flow_ID]]&amp;"_"&amp;"CC_"&amp;Tab_Data_Flows[[#This Row],[Flow_Data_Year]]</f>
        <v/>
      </c>
      <c r="AE261">
        <f>IF(F261="Yes",AC261*Tab_Data_Flows[[#This Row],[Flow_Material]]*Tab_Data_Flows[[#This Row],[DM_'[%']]],"N.A.")</f>
        <v/>
      </c>
      <c r="AF261">
        <f>Tab_Data_Flows[[#This Row],[UoM_Flow_Py]]</f>
        <v/>
      </c>
    </row>
    <row r="262">
      <c r="A262">
        <f>ROW()-1</f>
        <v/>
      </c>
      <c r="B262">
        <f>_xlfn.XLOOKUP(C262,Tab_Def_Flows[Flow_Name],Tab_Def_Flows[Flow_ID],,0,)</f>
        <v/>
      </c>
      <c r="C262" t="inlineStr">
        <is>
          <t>N.A.</t>
        </is>
      </c>
      <c r="D262">
        <f>_xlfn.XLOOKUP(C262,Tab_Def_Flows[Flow_Name],Tab_Def_Flows[WC?],,0,)</f>
        <v/>
      </c>
      <c r="E262">
        <f>_xlfn.XLOOKUP(C262,Tab_Def_Flows[Flow_Name],Tab_Def_Flows[DM?],,0,)</f>
        <v/>
      </c>
      <c r="F262">
        <f>_xlfn.XLOOKUP(C262,Tab_Def_Flows[Flow_Name],Tab_Def_Flows[CC?],,0,)</f>
        <v/>
      </c>
      <c r="I262">
        <f>'0_Configuration'!$C$35</f>
        <v/>
      </c>
      <c r="O262" t="inlineStr">
        <is>
          <t>No</t>
        </is>
      </c>
      <c r="R262">
        <f>Tab_Data_Flows[[#This Row],[Flow_ID]]&amp;"_"&amp;"material_"&amp;Tab_Data_Flows[[#This Row],[Flow_Data_Year]]</f>
        <v/>
      </c>
      <c r="S262">
        <f>IF(O262="no",H262,H262*P262)</f>
        <v/>
      </c>
      <c r="T262">
        <f>Tab_Data_Flows[[#This Row],[UoM_Source]]</f>
        <v/>
      </c>
      <c r="U262">
        <f>INDEX(Tab_Def_Flows[[Flow_ID]:[CC_DM_source]],MATCH(Tab_Data_Flows[[#This Row],[Flow_Name]],Tab_Def_Flows[Flow_Name],0),11)</f>
        <v/>
      </c>
      <c r="V262">
        <f>Tab_Data_Flows[[#This Row],[Flow_ID]]&amp;"_"&amp;"WC_"&amp;Tab_Data_Flows[[#This Row],[Flow_Data_Year]]</f>
        <v/>
      </c>
      <c r="W262">
        <f>IF(D262="Yes",S262*Tab_Data_Flows[[#This Row],[WC_'[%']]],"N.A.")</f>
        <v/>
      </c>
      <c r="X262">
        <f>Tab_Data_Flows[[#This Row],[UoM_Flow_Py]]</f>
        <v/>
      </c>
      <c r="Y262">
        <f>INDEX(Tab_Def_Flows[[Flow_ID]:[CC_DM_source]],MATCH(Tab_Data_Flows[[#This Row],[Flow_Name]],Tab_Def_Flows[Flow_Name],0),14)</f>
        <v/>
      </c>
      <c r="Z262">
        <f>Tab_Data_Flows[[#This Row],[Flow_ID]]&amp;"_"&amp;"DM_"&amp;Tab_Data_Flows[[#This Row],[Flow_Data_Year]]</f>
        <v/>
      </c>
      <c r="AA262">
        <f>IF(E262="Yes",Y262*Tab_Data_Flows[[#This Row],[Flow_Material]],"N.A.")</f>
        <v/>
      </c>
      <c r="AB262">
        <f>Tab_Data_Flows[[#This Row],[UoM_Flow_Py]]</f>
        <v/>
      </c>
      <c r="AC262">
        <f>INDEX(Tab_Def_Flows[[Flow_ID]:[CC_DM_source]],MATCH(Tab_Data_Flows[[#This Row],[Flow_Name]],Tab_Def_Flows[Flow_Name],0),17)</f>
        <v/>
      </c>
      <c r="AD262">
        <f>Tab_Data_Flows[[#This Row],[Flow_ID]]&amp;"_"&amp;"CC_"&amp;Tab_Data_Flows[[#This Row],[Flow_Data_Year]]</f>
        <v/>
      </c>
      <c r="AE262">
        <f>IF(F262="Yes",AC262*Tab_Data_Flows[[#This Row],[Flow_Material]]*Tab_Data_Flows[[#This Row],[DM_'[%']]],"N.A.")</f>
        <v/>
      </c>
      <c r="AF262">
        <f>Tab_Data_Flows[[#This Row],[UoM_Flow_Py]]</f>
        <v/>
      </c>
    </row>
    <row r="263">
      <c r="A263">
        <f>ROW()-1</f>
        <v/>
      </c>
      <c r="B263">
        <f>_xlfn.XLOOKUP(C263,Tab_Def_Flows[Flow_Name],Tab_Def_Flows[Flow_ID],,0,)</f>
        <v/>
      </c>
      <c r="C263" t="inlineStr">
        <is>
          <t>N.A.</t>
        </is>
      </c>
      <c r="D263">
        <f>_xlfn.XLOOKUP(C263,Tab_Def_Flows[Flow_Name],Tab_Def_Flows[WC?],,0,)</f>
        <v/>
      </c>
      <c r="E263">
        <f>_xlfn.XLOOKUP(C263,Tab_Def_Flows[Flow_Name],Tab_Def_Flows[DM?],,0,)</f>
        <v/>
      </c>
      <c r="F263">
        <f>_xlfn.XLOOKUP(C263,Tab_Def_Flows[Flow_Name],Tab_Def_Flows[CC?],,0,)</f>
        <v/>
      </c>
      <c r="I263">
        <f>'0_Configuration'!$C$35</f>
        <v/>
      </c>
      <c r="O263" t="inlineStr">
        <is>
          <t>No</t>
        </is>
      </c>
      <c r="R263">
        <f>Tab_Data_Flows[[#This Row],[Flow_ID]]&amp;"_"&amp;"material_"&amp;Tab_Data_Flows[[#This Row],[Flow_Data_Year]]</f>
        <v/>
      </c>
      <c r="S263">
        <f>IF(O263="no",H263,H263*P263)</f>
        <v/>
      </c>
      <c r="T263">
        <f>Tab_Data_Flows[[#This Row],[UoM_Source]]</f>
        <v/>
      </c>
      <c r="U263">
        <f>INDEX(Tab_Def_Flows[[Flow_ID]:[CC_DM_source]],MATCH(Tab_Data_Flows[[#This Row],[Flow_Name]],Tab_Def_Flows[Flow_Name],0),11)</f>
        <v/>
      </c>
      <c r="V263">
        <f>Tab_Data_Flows[[#This Row],[Flow_ID]]&amp;"_"&amp;"WC_"&amp;Tab_Data_Flows[[#This Row],[Flow_Data_Year]]</f>
        <v/>
      </c>
      <c r="W263">
        <f>IF(D263="Yes",S263*Tab_Data_Flows[[#This Row],[WC_'[%']]],"N.A.")</f>
        <v/>
      </c>
      <c r="X263">
        <f>Tab_Data_Flows[[#This Row],[UoM_Flow_Py]]</f>
        <v/>
      </c>
      <c r="Y263">
        <f>INDEX(Tab_Def_Flows[[Flow_ID]:[CC_DM_source]],MATCH(Tab_Data_Flows[[#This Row],[Flow_Name]],Tab_Def_Flows[Flow_Name],0),14)</f>
        <v/>
      </c>
      <c r="Z263">
        <f>Tab_Data_Flows[[#This Row],[Flow_ID]]&amp;"_"&amp;"DM_"&amp;Tab_Data_Flows[[#This Row],[Flow_Data_Year]]</f>
        <v/>
      </c>
      <c r="AA263">
        <f>IF(E263="Yes",Y263*Tab_Data_Flows[[#This Row],[Flow_Material]],"N.A.")</f>
        <v/>
      </c>
      <c r="AB263">
        <f>Tab_Data_Flows[[#This Row],[UoM_Flow_Py]]</f>
        <v/>
      </c>
      <c r="AC263">
        <f>INDEX(Tab_Def_Flows[[Flow_ID]:[CC_DM_source]],MATCH(Tab_Data_Flows[[#This Row],[Flow_Name]],Tab_Def_Flows[Flow_Name],0),17)</f>
        <v/>
      </c>
      <c r="AD263">
        <f>Tab_Data_Flows[[#This Row],[Flow_ID]]&amp;"_"&amp;"CC_"&amp;Tab_Data_Flows[[#This Row],[Flow_Data_Year]]</f>
        <v/>
      </c>
      <c r="AE263">
        <f>IF(F263="Yes",AC263*Tab_Data_Flows[[#This Row],[Flow_Material]]*Tab_Data_Flows[[#This Row],[DM_'[%']]],"N.A.")</f>
        <v/>
      </c>
      <c r="AF263">
        <f>Tab_Data_Flows[[#This Row],[UoM_Flow_Py]]</f>
        <v/>
      </c>
    </row>
    <row r="264">
      <c r="A264">
        <f>ROW()-1</f>
        <v/>
      </c>
      <c r="B264">
        <f>_xlfn.XLOOKUP(C264,Tab_Def_Flows[Flow_Name],Tab_Def_Flows[Flow_ID],,0,)</f>
        <v/>
      </c>
      <c r="C264" t="inlineStr">
        <is>
          <t>N.A.</t>
        </is>
      </c>
      <c r="D264">
        <f>_xlfn.XLOOKUP(C264,Tab_Def_Flows[Flow_Name],Tab_Def_Flows[WC?],,0,)</f>
        <v/>
      </c>
      <c r="E264">
        <f>_xlfn.XLOOKUP(C264,Tab_Def_Flows[Flow_Name],Tab_Def_Flows[DM?],,0,)</f>
        <v/>
      </c>
      <c r="F264">
        <f>_xlfn.XLOOKUP(C264,Tab_Def_Flows[Flow_Name],Tab_Def_Flows[CC?],,0,)</f>
        <v/>
      </c>
      <c r="I264">
        <f>'0_Configuration'!$C$35</f>
        <v/>
      </c>
      <c r="O264" t="inlineStr">
        <is>
          <t>No</t>
        </is>
      </c>
      <c r="R264">
        <f>Tab_Data_Flows[[#This Row],[Flow_ID]]&amp;"_"&amp;"material_"&amp;Tab_Data_Flows[[#This Row],[Flow_Data_Year]]</f>
        <v/>
      </c>
      <c r="S264">
        <f>IF(O264="no",H264,H264*P264)</f>
        <v/>
      </c>
      <c r="T264">
        <f>Tab_Data_Flows[[#This Row],[UoM_Source]]</f>
        <v/>
      </c>
      <c r="U264">
        <f>INDEX(Tab_Def_Flows[[Flow_ID]:[CC_DM_source]],MATCH(Tab_Data_Flows[[#This Row],[Flow_Name]],Tab_Def_Flows[Flow_Name],0),11)</f>
        <v/>
      </c>
      <c r="V264">
        <f>Tab_Data_Flows[[#This Row],[Flow_ID]]&amp;"_"&amp;"WC_"&amp;Tab_Data_Flows[[#This Row],[Flow_Data_Year]]</f>
        <v/>
      </c>
      <c r="W264">
        <f>IF(D264="Yes",S264*Tab_Data_Flows[[#This Row],[WC_'[%']]],"N.A.")</f>
        <v/>
      </c>
      <c r="X264">
        <f>Tab_Data_Flows[[#This Row],[UoM_Flow_Py]]</f>
        <v/>
      </c>
      <c r="Y264">
        <f>INDEX(Tab_Def_Flows[[Flow_ID]:[CC_DM_source]],MATCH(Tab_Data_Flows[[#This Row],[Flow_Name]],Tab_Def_Flows[Flow_Name],0),14)</f>
        <v/>
      </c>
      <c r="Z264">
        <f>Tab_Data_Flows[[#This Row],[Flow_ID]]&amp;"_"&amp;"DM_"&amp;Tab_Data_Flows[[#This Row],[Flow_Data_Year]]</f>
        <v/>
      </c>
      <c r="AA264">
        <f>IF(E264="Yes",Y264*Tab_Data_Flows[[#This Row],[Flow_Material]],"N.A.")</f>
        <v/>
      </c>
      <c r="AB264">
        <f>Tab_Data_Flows[[#This Row],[UoM_Flow_Py]]</f>
        <v/>
      </c>
      <c r="AC264">
        <f>INDEX(Tab_Def_Flows[[Flow_ID]:[CC_DM_source]],MATCH(Tab_Data_Flows[[#This Row],[Flow_Name]],Tab_Def_Flows[Flow_Name],0),17)</f>
        <v/>
      </c>
      <c r="AD264">
        <f>Tab_Data_Flows[[#This Row],[Flow_ID]]&amp;"_"&amp;"CC_"&amp;Tab_Data_Flows[[#This Row],[Flow_Data_Year]]</f>
        <v/>
      </c>
      <c r="AE264">
        <f>IF(F264="Yes",AC264*Tab_Data_Flows[[#This Row],[Flow_Material]]*Tab_Data_Flows[[#This Row],[DM_'[%']]],"N.A.")</f>
        <v/>
      </c>
      <c r="AF264">
        <f>Tab_Data_Flows[[#This Row],[UoM_Flow_Py]]</f>
        <v/>
      </c>
    </row>
    <row r="265">
      <c r="A265">
        <f>ROW()-1</f>
        <v/>
      </c>
      <c r="B265">
        <f>_xlfn.XLOOKUP(C265,Tab_Def_Flows[Flow_Name],Tab_Def_Flows[Flow_ID],,0,)</f>
        <v/>
      </c>
      <c r="C265" t="inlineStr">
        <is>
          <t>N.A.</t>
        </is>
      </c>
      <c r="D265">
        <f>_xlfn.XLOOKUP(C265,Tab_Def_Flows[Flow_Name],Tab_Def_Flows[WC?],,0,)</f>
        <v/>
      </c>
      <c r="E265">
        <f>_xlfn.XLOOKUP(C265,Tab_Def_Flows[Flow_Name],Tab_Def_Flows[DM?],,0,)</f>
        <v/>
      </c>
      <c r="F265">
        <f>_xlfn.XLOOKUP(C265,Tab_Def_Flows[Flow_Name],Tab_Def_Flows[CC?],,0,)</f>
        <v/>
      </c>
      <c r="I265">
        <f>'0_Configuration'!$C$35</f>
        <v/>
      </c>
      <c r="O265" t="inlineStr">
        <is>
          <t>No</t>
        </is>
      </c>
      <c r="R265">
        <f>Tab_Data_Flows[[#This Row],[Flow_ID]]&amp;"_"&amp;"material_"&amp;Tab_Data_Flows[[#This Row],[Flow_Data_Year]]</f>
        <v/>
      </c>
      <c r="S265">
        <f>IF(O265="no",H265,H265*P265)</f>
        <v/>
      </c>
      <c r="T265">
        <f>Tab_Data_Flows[[#This Row],[UoM_Source]]</f>
        <v/>
      </c>
      <c r="U265">
        <f>INDEX(Tab_Def_Flows[[Flow_ID]:[CC_DM_source]],MATCH(Tab_Data_Flows[[#This Row],[Flow_Name]],Tab_Def_Flows[Flow_Name],0),11)</f>
        <v/>
      </c>
      <c r="V265">
        <f>Tab_Data_Flows[[#This Row],[Flow_ID]]&amp;"_"&amp;"WC_"&amp;Tab_Data_Flows[[#This Row],[Flow_Data_Year]]</f>
        <v/>
      </c>
      <c r="W265">
        <f>IF(D265="Yes",S265*Tab_Data_Flows[[#This Row],[WC_'[%']]],"N.A.")</f>
        <v/>
      </c>
      <c r="X265">
        <f>Tab_Data_Flows[[#This Row],[UoM_Flow_Py]]</f>
        <v/>
      </c>
      <c r="Y265">
        <f>INDEX(Tab_Def_Flows[[Flow_ID]:[CC_DM_source]],MATCH(Tab_Data_Flows[[#This Row],[Flow_Name]],Tab_Def_Flows[Flow_Name],0),14)</f>
        <v/>
      </c>
      <c r="Z265">
        <f>Tab_Data_Flows[[#This Row],[Flow_ID]]&amp;"_"&amp;"DM_"&amp;Tab_Data_Flows[[#This Row],[Flow_Data_Year]]</f>
        <v/>
      </c>
      <c r="AA265">
        <f>IF(E265="Yes",Y265*Tab_Data_Flows[[#This Row],[Flow_Material]],"N.A.")</f>
        <v/>
      </c>
      <c r="AB265">
        <f>Tab_Data_Flows[[#This Row],[UoM_Flow_Py]]</f>
        <v/>
      </c>
      <c r="AC265">
        <f>INDEX(Tab_Def_Flows[[Flow_ID]:[CC_DM_source]],MATCH(Tab_Data_Flows[[#This Row],[Flow_Name]],Tab_Def_Flows[Flow_Name],0),17)</f>
        <v/>
      </c>
      <c r="AD265">
        <f>Tab_Data_Flows[[#This Row],[Flow_ID]]&amp;"_"&amp;"CC_"&amp;Tab_Data_Flows[[#This Row],[Flow_Data_Year]]</f>
        <v/>
      </c>
      <c r="AE265">
        <f>IF(F265="Yes",AC265*Tab_Data_Flows[[#This Row],[Flow_Material]]*Tab_Data_Flows[[#This Row],[DM_'[%']]],"N.A.")</f>
        <v/>
      </c>
      <c r="AF265">
        <f>Tab_Data_Flows[[#This Row],[UoM_Flow_Py]]</f>
        <v/>
      </c>
    </row>
    <row r="266">
      <c r="A266">
        <f>ROW()-1</f>
        <v/>
      </c>
      <c r="B266">
        <f>_xlfn.XLOOKUP(C266,Tab_Def_Flows[Flow_Name],Tab_Def_Flows[Flow_ID],,0,)</f>
        <v/>
      </c>
      <c r="C266" t="inlineStr">
        <is>
          <t>N.A.</t>
        </is>
      </c>
      <c r="D266">
        <f>_xlfn.XLOOKUP(C266,Tab_Def_Flows[Flow_Name],Tab_Def_Flows[WC?],,0,)</f>
        <v/>
      </c>
      <c r="E266">
        <f>_xlfn.XLOOKUP(C266,Tab_Def_Flows[Flow_Name],Tab_Def_Flows[DM?],,0,)</f>
        <v/>
      </c>
      <c r="F266">
        <f>_xlfn.XLOOKUP(C266,Tab_Def_Flows[Flow_Name],Tab_Def_Flows[CC?],,0,)</f>
        <v/>
      </c>
      <c r="I266">
        <f>'0_Configuration'!$C$35</f>
        <v/>
      </c>
      <c r="O266" t="inlineStr">
        <is>
          <t>No</t>
        </is>
      </c>
      <c r="R266">
        <f>Tab_Data_Flows[[#This Row],[Flow_ID]]&amp;"_"&amp;"material_"&amp;Tab_Data_Flows[[#This Row],[Flow_Data_Year]]</f>
        <v/>
      </c>
      <c r="S266">
        <f>IF(O266="no",H266,H266*P266)</f>
        <v/>
      </c>
      <c r="T266">
        <f>Tab_Data_Flows[[#This Row],[UoM_Source]]</f>
        <v/>
      </c>
      <c r="U266">
        <f>INDEX(Tab_Def_Flows[[Flow_ID]:[CC_DM_source]],MATCH(Tab_Data_Flows[[#This Row],[Flow_Name]],Tab_Def_Flows[Flow_Name],0),11)</f>
        <v/>
      </c>
      <c r="V266">
        <f>Tab_Data_Flows[[#This Row],[Flow_ID]]&amp;"_"&amp;"WC_"&amp;Tab_Data_Flows[[#This Row],[Flow_Data_Year]]</f>
        <v/>
      </c>
      <c r="W266">
        <f>IF(D266="Yes",S266*Tab_Data_Flows[[#This Row],[WC_'[%']]],"N.A.")</f>
        <v/>
      </c>
      <c r="X266">
        <f>Tab_Data_Flows[[#This Row],[UoM_Flow_Py]]</f>
        <v/>
      </c>
      <c r="Y266">
        <f>INDEX(Tab_Def_Flows[[Flow_ID]:[CC_DM_source]],MATCH(Tab_Data_Flows[[#This Row],[Flow_Name]],Tab_Def_Flows[Flow_Name],0),14)</f>
        <v/>
      </c>
      <c r="Z266">
        <f>Tab_Data_Flows[[#This Row],[Flow_ID]]&amp;"_"&amp;"DM_"&amp;Tab_Data_Flows[[#This Row],[Flow_Data_Year]]</f>
        <v/>
      </c>
      <c r="AA266">
        <f>IF(E266="Yes",Y266*Tab_Data_Flows[[#This Row],[Flow_Material]],"N.A.")</f>
        <v/>
      </c>
      <c r="AB266">
        <f>Tab_Data_Flows[[#This Row],[UoM_Flow_Py]]</f>
        <v/>
      </c>
      <c r="AC266">
        <f>INDEX(Tab_Def_Flows[[Flow_ID]:[CC_DM_source]],MATCH(Tab_Data_Flows[[#This Row],[Flow_Name]],Tab_Def_Flows[Flow_Name],0),17)</f>
        <v/>
      </c>
      <c r="AD266">
        <f>Tab_Data_Flows[[#This Row],[Flow_ID]]&amp;"_"&amp;"CC_"&amp;Tab_Data_Flows[[#This Row],[Flow_Data_Year]]</f>
        <v/>
      </c>
      <c r="AE266">
        <f>IF(F266="Yes",AC266*Tab_Data_Flows[[#This Row],[Flow_Material]]*Tab_Data_Flows[[#This Row],[DM_'[%']]],"N.A.")</f>
        <v/>
      </c>
      <c r="AF266">
        <f>Tab_Data_Flows[[#This Row],[UoM_Flow_Py]]</f>
        <v/>
      </c>
    </row>
    <row r="267">
      <c r="A267">
        <f>ROW()-1</f>
        <v/>
      </c>
      <c r="B267">
        <f>_xlfn.XLOOKUP(C267,Tab_Def_Flows[Flow_Name],Tab_Def_Flows[Flow_ID],,0,)</f>
        <v/>
      </c>
      <c r="C267" t="inlineStr">
        <is>
          <t>N.A.</t>
        </is>
      </c>
      <c r="D267">
        <f>_xlfn.XLOOKUP(C267,Tab_Def_Flows[Flow_Name],Tab_Def_Flows[WC?],,0,)</f>
        <v/>
      </c>
      <c r="E267">
        <f>_xlfn.XLOOKUP(C267,Tab_Def_Flows[Flow_Name],Tab_Def_Flows[DM?],,0,)</f>
        <v/>
      </c>
      <c r="F267">
        <f>_xlfn.XLOOKUP(C267,Tab_Def_Flows[Flow_Name],Tab_Def_Flows[CC?],,0,)</f>
        <v/>
      </c>
      <c r="I267">
        <f>'0_Configuration'!$C$35</f>
        <v/>
      </c>
      <c r="O267" t="inlineStr">
        <is>
          <t>No</t>
        </is>
      </c>
      <c r="R267">
        <f>Tab_Data_Flows[[#This Row],[Flow_ID]]&amp;"_"&amp;"material_"&amp;Tab_Data_Flows[[#This Row],[Flow_Data_Year]]</f>
        <v/>
      </c>
      <c r="S267">
        <f>IF(O267="no",H267,H267*P267)</f>
        <v/>
      </c>
      <c r="T267">
        <f>Tab_Data_Flows[[#This Row],[UoM_Source]]</f>
        <v/>
      </c>
      <c r="U267">
        <f>INDEX(Tab_Def_Flows[[Flow_ID]:[CC_DM_source]],MATCH(Tab_Data_Flows[[#This Row],[Flow_Name]],Tab_Def_Flows[Flow_Name],0),11)</f>
        <v/>
      </c>
      <c r="V267">
        <f>Tab_Data_Flows[[#This Row],[Flow_ID]]&amp;"_"&amp;"WC_"&amp;Tab_Data_Flows[[#This Row],[Flow_Data_Year]]</f>
        <v/>
      </c>
      <c r="W267">
        <f>IF(D267="Yes",S267*Tab_Data_Flows[[#This Row],[WC_'[%']]],"N.A.")</f>
        <v/>
      </c>
      <c r="X267">
        <f>Tab_Data_Flows[[#This Row],[UoM_Flow_Py]]</f>
        <v/>
      </c>
      <c r="Y267">
        <f>INDEX(Tab_Def_Flows[[Flow_ID]:[CC_DM_source]],MATCH(Tab_Data_Flows[[#This Row],[Flow_Name]],Tab_Def_Flows[Flow_Name],0),14)</f>
        <v/>
      </c>
      <c r="Z267">
        <f>Tab_Data_Flows[[#This Row],[Flow_ID]]&amp;"_"&amp;"DM_"&amp;Tab_Data_Flows[[#This Row],[Flow_Data_Year]]</f>
        <v/>
      </c>
      <c r="AA267">
        <f>IF(E267="Yes",Y267*Tab_Data_Flows[[#This Row],[Flow_Material]],"N.A.")</f>
        <v/>
      </c>
      <c r="AB267">
        <f>Tab_Data_Flows[[#This Row],[UoM_Flow_Py]]</f>
        <v/>
      </c>
      <c r="AC267">
        <f>INDEX(Tab_Def_Flows[[Flow_ID]:[CC_DM_source]],MATCH(Tab_Data_Flows[[#This Row],[Flow_Name]],Tab_Def_Flows[Flow_Name],0),17)</f>
        <v/>
      </c>
      <c r="AD267">
        <f>Tab_Data_Flows[[#This Row],[Flow_ID]]&amp;"_"&amp;"CC_"&amp;Tab_Data_Flows[[#This Row],[Flow_Data_Year]]</f>
        <v/>
      </c>
      <c r="AE267">
        <f>IF(F267="Yes",AC267*Tab_Data_Flows[[#This Row],[Flow_Material]]*Tab_Data_Flows[[#This Row],[DM_'[%']]],"N.A.")</f>
        <v/>
      </c>
      <c r="AF267">
        <f>Tab_Data_Flows[[#This Row],[UoM_Flow_Py]]</f>
        <v/>
      </c>
    </row>
    <row r="268">
      <c r="A268">
        <f>ROW()-1</f>
        <v/>
      </c>
      <c r="B268">
        <f>_xlfn.XLOOKUP(C268,Tab_Def_Flows[Flow_Name],Tab_Def_Flows[Flow_ID],,0,)</f>
        <v/>
      </c>
      <c r="C268" t="inlineStr">
        <is>
          <t>N.A.</t>
        </is>
      </c>
      <c r="D268">
        <f>_xlfn.XLOOKUP(C268,Tab_Def_Flows[Flow_Name],Tab_Def_Flows[WC?],,0,)</f>
        <v/>
      </c>
      <c r="E268">
        <f>_xlfn.XLOOKUP(C268,Tab_Def_Flows[Flow_Name],Tab_Def_Flows[DM?],,0,)</f>
        <v/>
      </c>
      <c r="F268">
        <f>_xlfn.XLOOKUP(C268,Tab_Def_Flows[Flow_Name],Tab_Def_Flows[CC?],,0,)</f>
        <v/>
      </c>
      <c r="I268">
        <f>'0_Configuration'!$C$35</f>
        <v/>
      </c>
      <c r="O268" t="inlineStr">
        <is>
          <t>No</t>
        </is>
      </c>
      <c r="R268">
        <f>Tab_Data_Flows[[#This Row],[Flow_ID]]&amp;"_"&amp;"material_"&amp;Tab_Data_Flows[[#This Row],[Flow_Data_Year]]</f>
        <v/>
      </c>
      <c r="S268">
        <f>IF(O268="no",H268,H268*P268)</f>
        <v/>
      </c>
      <c r="T268">
        <f>Tab_Data_Flows[[#This Row],[UoM_Source]]</f>
        <v/>
      </c>
      <c r="U268">
        <f>INDEX(Tab_Def_Flows[[Flow_ID]:[CC_DM_source]],MATCH(Tab_Data_Flows[[#This Row],[Flow_Name]],Tab_Def_Flows[Flow_Name],0),11)</f>
        <v/>
      </c>
      <c r="V268">
        <f>Tab_Data_Flows[[#This Row],[Flow_ID]]&amp;"_"&amp;"WC_"&amp;Tab_Data_Flows[[#This Row],[Flow_Data_Year]]</f>
        <v/>
      </c>
      <c r="W268">
        <f>IF(D268="Yes",S268*Tab_Data_Flows[[#This Row],[WC_'[%']]],"N.A.")</f>
        <v/>
      </c>
      <c r="X268">
        <f>Tab_Data_Flows[[#This Row],[UoM_Flow_Py]]</f>
        <v/>
      </c>
      <c r="Y268">
        <f>INDEX(Tab_Def_Flows[[Flow_ID]:[CC_DM_source]],MATCH(Tab_Data_Flows[[#This Row],[Flow_Name]],Tab_Def_Flows[Flow_Name],0),14)</f>
        <v/>
      </c>
      <c r="Z268">
        <f>Tab_Data_Flows[[#This Row],[Flow_ID]]&amp;"_"&amp;"DM_"&amp;Tab_Data_Flows[[#This Row],[Flow_Data_Year]]</f>
        <v/>
      </c>
      <c r="AA268">
        <f>IF(E268="Yes",Y268*Tab_Data_Flows[[#This Row],[Flow_Material]],"N.A.")</f>
        <v/>
      </c>
      <c r="AB268">
        <f>Tab_Data_Flows[[#This Row],[UoM_Flow_Py]]</f>
        <v/>
      </c>
      <c r="AC268">
        <f>INDEX(Tab_Def_Flows[[Flow_ID]:[CC_DM_source]],MATCH(Tab_Data_Flows[[#This Row],[Flow_Name]],Tab_Def_Flows[Flow_Name],0),17)</f>
        <v/>
      </c>
      <c r="AD268">
        <f>Tab_Data_Flows[[#This Row],[Flow_ID]]&amp;"_"&amp;"CC_"&amp;Tab_Data_Flows[[#This Row],[Flow_Data_Year]]</f>
        <v/>
      </c>
      <c r="AE268">
        <f>IF(F268="Yes",AC268*Tab_Data_Flows[[#This Row],[Flow_Material]]*Tab_Data_Flows[[#This Row],[DM_'[%']]],"N.A.")</f>
        <v/>
      </c>
      <c r="AF268">
        <f>Tab_Data_Flows[[#This Row],[UoM_Flow_Py]]</f>
        <v/>
      </c>
    </row>
    <row r="269">
      <c r="A269">
        <f>ROW()-1</f>
        <v/>
      </c>
      <c r="B269">
        <f>_xlfn.XLOOKUP(C269,Tab_Def_Flows[Flow_Name],Tab_Def_Flows[Flow_ID],,0,)</f>
        <v/>
      </c>
      <c r="C269" t="inlineStr">
        <is>
          <t>N.A.</t>
        </is>
      </c>
      <c r="D269">
        <f>_xlfn.XLOOKUP(C269,Tab_Def_Flows[Flow_Name],Tab_Def_Flows[WC?],,0,)</f>
        <v/>
      </c>
      <c r="E269">
        <f>_xlfn.XLOOKUP(C269,Tab_Def_Flows[Flow_Name],Tab_Def_Flows[DM?],,0,)</f>
        <v/>
      </c>
      <c r="F269">
        <f>_xlfn.XLOOKUP(C269,Tab_Def_Flows[Flow_Name],Tab_Def_Flows[CC?],,0,)</f>
        <v/>
      </c>
      <c r="I269">
        <f>'0_Configuration'!$C$35</f>
        <v/>
      </c>
      <c r="O269" t="inlineStr">
        <is>
          <t>No</t>
        </is>
      </c>
      <c r="R269">
        <f>Tab_Data_Flows[[#This Row],[Flow_ID]]&amp;"_"&amp;"material_"&amp;Tab_Data_Flows[[#This Row],[Flow_Data_Year]]</f>
        <v/>
      </c>
      <c r="S269">
        <f>IF(O269="no",H269,H269*P269)</f>
        <v/>
      </c>
      <c r="T269">
        <f>Tab_Data_Flows[[#This Row],[UoM_Source]]</f>
        <v/>
      </c>
      <c r="U269">
        <f>INDEX(Tab_Def_Flows[[Flow_ID]:[CC_DM_source]],MATCH(Tab_Data_Flows[[#This Row],[Flow_Name]],Tab_Def_Flows[Flow_Name],0),11)</f>
        <v/>
      </c>
      <c r="V269">
        <f>Tab_Data_Flows[[#This Row],[Flow_ID]]&amp;"_"&amp;"WC_"&amp;Tab_Data_Flows[[#This Row],[Flow_Data_Year]]</f>
        <v/>
      </c>
      <c r="W269">
        <f>IF(D269="Yes",S269*Tab_Data_Flows[[#This Row],[WC_'[%']]],"N.A.")</f>
        <v/>
      </c>
      <c r="X269">
        <f>Tab_Data_Flows[[#This Row],[UoM_Flow_Py]]</f>
        <v/>
      </c>
      <c r="Y269">
        <f>INDEX(Tab_Def_Flows[[Flow_ID]:[CC_DM_source]],MATCH(Tab_Data_Flows[[#This Row],[Flow_Name]],Tab_Def_Flows[Flow_Name],0),14)</f>
        <v/>
      </c>
      <c r="Z269">
        <f>Tab_Data_Flows[[#This Row],[Flow_ID]]&amp;"_"&amp;"DM_"&amp;Tab_Data_Flows[[#This Row],[Flow_Data_Year]]</f>
        <v/>
      </c>
      <c r="AA269">
        <f>IF(E269="Yes",Y269*Tab_Data_Flows[[#This Row],[Flow_Material]],"N.A.")</f>
        <v/>
      </c>
      <c r="AB269">
        <f>Tab_Data_Flows[[#This Row],[UoM_Flow_Py]]</f>
        <v/>
      </c>
      <c r="AC269">
        <f>INDEX(Tab_Def_Flows[[Flow_ID]:[CC_DM_source]],MATCH(Tab_Data_Flows[[#This Row],[Flow_Name]],Tab_Def_Flows[Flow_Name],0),17)</f>
        <v/>
      </c>
      <c r="AD269">
        <f>Tab_Data_Flows[[#This Row],[Flow_ID]]&amp;"_"&amp;"CC_"&amp;Tab_Data_Flows[[#This Row],[Flow_Data_Year]]</f>
        <v/>
      </c>
      <c r="AE269">
        <f>IF(F269="Yes",AC269*Tab_Data_Flows[[#This Row],[Flow_Material]]*Tab_Data_Flows[[#This Row],[DM_'[%']]],"N.A.")</f>
        <v/>
      </c>
      <c r="AF269">
        <f>Tab_Data_Flows[[#This Row],[UoM_Flow_Py]]</f>
        <v/>
      </c>
    </row>
    <row r="270">
      <c r="A270">
        <f>ROW()-1</f>
        <v/>
      </c>
      <c r="B270">
        <f>_xlfn.XLOOKUP(C270,Tab_Def_Flows[Flow_Name],Tab_Def_Flows[Flow_ID],,0,)</f>
        <v/>
      </c>
      <c r="C270" t="inlineStr">
        <is>
          <t>N.A.</t>
        </is>
      </c>
      <c r="D270">
        <f>_xlfn.XLOOKUP(C270,Tab_Def_Flows[Flow_Name],Tab_Def_Flows[WC?],,0,)</f>
        <v/>
      </c>
      <c r="E270">
        <f>_xlfn.XLOOKUP(C270,Tab_Def_Flows[Flow_Name],Tab_Def_Flows[DM?],,0,)</f>
        <v/>
      </c>
      <c r="F270">
        <f>_xlfn.XLOOKUP(C270,Tab_Def_Flows[Flow_Name],Tab_Def_Flows[CC?],,0,)</f>
        <v/>
      </c>
      <c r="I270">
        <f>'0_Configuration'!$C$35</f>
        <v/>
      </c>
      <c r="O270" t="inlineStr">
        <is>
          <t>No</t>
        </is>
      </c>
      <c r="R270">
        <f>Tab_Data_Flows[[#This Row],[Flow_ID]]&amp;"_"&amp;"material_"&amp;Tab_Data_Flows[[#This Row],[Flow_Data_Year]]</f>
        <v/>
      </c>
      <c r="S270">
        <f>IF(O270="no",H270,H270*P270)</f>
        <v/>
      </c>
      <c r="T270">
        <f>Tab_Data_Flows[[#This Row],[UoM_Source]]</f>
        <v/>
      </c>
      <c r="U270">
        <f>INDEX(Tab_Def_Flows[[Flow_ID]:[CC_DM_source]],MATCH(Tab_Data_Flows[[#This Row],[Flow_Name]],Tab_Def_Flows[Flow_Name],0),11)</f>
        <v/>
      </c>
      <c r="V270">
        <f>Tab_Data_Flows[[#This Row],[Flow_ID]]&amp;"_"&amp;"WC_"&amp;Tab_Data_Flows[[#This Row],[Flow_Data_Year]]</f>
        <v/>
      </c>
      <c r="W270">
        <f>IF(D270="Yes",S270*Tab_Data_Flows[[#This Row],[WC_'[%']]],"N.A.")</f>
        <v/>
      </c>
      <c r="X270">
        <f>Tab_Data_Flows[[#This Row],[UoM_Flow_Py]]</f>
        <v/>
      </c>
      <c r="Y270">
        <f>INDEX(Tab_Def_Flows[[Flow_ID]:[CC_DM_source]],MATCH(Tab_Data_Flows[[#This Row],[Flow_Name]],Tab_Def_Flows[Flow_Name],0),14)</f>
        <v/>
      </c>
      <c r="Z270">
        <f>Tab_Data_Flows[[#This Row],[Flow_ID]]&amp;"_"&amp;"DM_"&amp;Tab_Data_Flows[[#This Row],[Flow_Data_Year]]</f>
        <v/>
      </c>
      <c r="AA270">
        <f>IF(E270="Yes",Y270*Tab_Data_Flows[[#This Row],[Flow_Material]],"N.A.")</f>
        <v/>
      </c>
      <c r="AB270">
        <f>Tab_Data_Flows[[#This Row],[UoM_Flow_Py]]</f>
        <v/>
      </c>
      <c r="AC270">
        <f>INDEX(Tab_Def_Flows[[Flow_ID]:[CC_DM_source]],MATCH(Tab_Data_Flows[[#This Row],[Flow_Name]],Tab_Def_Flows[Flow_Name],0),17)</f>
        <v/>
      </c>
      <c r="AD270">
        <f>Tab_Data_Flows[[#This Row],[Flow_ID]]&amp;"_"&amp;"CC_"&amp;Tab_Data_Flows[[#This Row],[Flow_Data_Year]]</f>
        <v/>
      </c>
      <c r="AE270">
        <f>IF(F270="Yes",AC270*Tab_Data_Flows[[#This Row],[Flow_Material]]*Tab_Data_Flows[[#This Row],[DM_'[%']]],"N.A.")</f>
        <v/>
      </c>
      <c r="AF270">
        <f>Tab_Data_Flows[[#This Row],[UoM_Flow_Py]]</f>
        <v/>
      </c>
    </row>
    <row r="271">
      <c r="A271">
        <f>ROW()-1</f>
        <v/>
      </c>
      <c r="B271">
        <f>_xlfn.XLOOKUP(C271,Tab_Def_Flows[Flow_Name],Tab_Def_Flows[Flow_ID],,0,)</f>
        <v/>
      </c>
      <c r="C271" t="inlineStr">
        <is>
          <t>N.A.</t>
        </is>
      </c>
      <c r="D271">
        <f>_xlfn.XLOOKUP(C271,Tab_Def_Flows[Flow_Name],Tab_Def_Flows[WC?],,0,)</f>
        <v/>
      </c>
      <c r="E271">
        <f>_xlfn.XLOOKUP(C271,Tab_Def_Flows[Flow_Name],Tab_Def_Flows[DM?],,0,)</f>
        <v/>
      </c>
      <c r="F271">
        <f>_xlfn.XLOOKUP(C271,Tab_Def_Flows[Flow_Name],Tab_Def_Flows[CC?],,0,)</f>
        <v/>
      </c>
      <c r="I271">
        <f>'0_Configuration'!$C$35</f>
        <v/>
      </c>
      <c r="O271" t="inlineStr">
        <is>
          <t>No</t>
        </is>
      </c>
      <c r="R271">
        <f>Tab_Data_Flows[[#This Row],[Flow_ID]]&amp;"_"&amp;"material_"&amp;Tab_Data_Flows[[#This Row],[Flow_Data_Year]]</f>
        <v/>
      </c>
      <c r="S271">
        <f>IF(O271="no",H271,H271*P271)</f>
        <v/>
      </c>
      <c r="T271">
        <f>Tab_Data_Flows[[#This Row],[UoM_Source]]</f>
        <v/>
      </c>
      <c r="U271">
        <f>INDEX(Tab_Def_Flows[[Flow_ID]:[CC_DM_source]],MATCH(Tab_Data_Flows[[#This Row],[Flow_Name]],Tab_Def_Flows[Flow_Name],0),11)</f>
        <v/>
      </c>
      <c r="V271">
        <f>Tab_Data_Flows[[#This Row],[Flow_ID]]&amp;"_"&amp;"WC_"&amp;Tab_Data_Flows[[#This Row],[Flow_Data_Year]]</f>
        <v/>
      </c>
      <c r="W271">
        <f>IF(D271="Yes",S271*Tab_Data_Flows[[#This Row],[WC_'[%']]],"N.A.")</f>
        <v/>
      </c>
      <c r="X271">
        <f>Tab_Data_Flows[[#This Row],[UoM_Flow_Py]]</f>
        <v/>
      </c>
      <c r="Y271">
        <f>INDEX(Tab_Def_Flows[[Flow_ID]:[CC_DM_source]],MATCH(Tab_Data_Flows[[#This Row],[Flow_Name]],Tab_Def_Flows[Flow_Name],0),14)</f>
        <v/>
      </c>
      <c r="Z271">
        <f>Tab_Data_Flows[[#This Row],[Flow_ID]]&amp;"_"&amp;"DM_"&amp;Tab_Data_Flows[[#This Row],[Flow_Data_Year]]</f>
        <v/>
      </c>
      <c r="AA271">
        <f>IF(E271="Yes",Y271*Tab_Data_Flows[[#This Row],[Flow_Material]],"N.A.")</f>
        <v/>
      </c>
      <c r="AB271">
        <f>Tab_Data_Flows[[#This Row],[UoM_Flow_Py]]</f>
        <v/>
      </c>
      <c r="AC271">
        <f>INDEX(Tab_Def_Flows[[Flow_ID]:[CC_DM_source]],MATCH(Tab_Data_Flows[[#This Row],[Flow_Name]],Tab_Def_Flows[Flow_Name],0),17)</f>
        <v/>
      </c>
      <c r="AD271">
        <f>Tab_Data_Flows[[#This Row],[Flow_ID]]&amp;"_"&amp;"CC_"&amp;Tab_Data_Flows[[#This Row],[Flow_Data_Year]]</f>
        <v/>
      </c>
      <c r="AE271">
        <f>IF(F271="Yes",AC271*Tab_Data_Flows[[#This Row],[Flow_Material]]*Tab_Data_Flows[[#This Row],[DM_'[%']]],"N.A.")</f>
        <v/>
      </c>
      <c r="AF271">
        <f>Tab_Data_Flows[[#This Row],[UoM_Flow_Py]]</f>
        <v/>
      </c>
    </row>
    <row r="272">
      <c r="A272">
        <f>ROW()-1</f>
        <v/>
      </c>
      <c r="B272">
        <f>_xlfn.XLOOKUP(C272,Tab_Def_Flows[Flow_Name],Tab_Def_Flows[Flow_ID],,0,)</f>
        <v/>
      </c>
      <c r="C272" t="inlineStr">
        <is>
          <t>N.A.</t>
        </is>
      </c>
      <c r="D272">
        <f>_xlfn.XLOOKUP(C272,Tab_Def_Flows[Flow_Name],Tab_Def_Flows[WC?],,0,)</f>
        <v/>
      </c>
      <c r="E272">
        <f>_xlfn.XLOOKUP(C272,Tab_Def_Flows[Flow_Name],Tab_Def_Flows[DM?],,0,)</f>
        <v/>
      </c>
      <c r="F272">
        <f>_xlfn.XLOOKUP(C272,Tab_Def_Flows[Flow_Name],Tab_Def_Flows[CC?],,0,)</f>
        <v/>
      </c>
      <c r="I272">
        <f>'0_Configuration'!$C$35</f>
        <v/>
      </c>
      <c r="O272" t="inlineStr">
        <is>
          <t>No</t>
        </is>
      </c>
      <c r="R272">
        <f>Tab_Data_Flows[[#This Row],[Flow_ID]]&amp;"_"&amp;"material_"&amp;Tab_Data_Flows[[#This Row],[Flow_Data_Year]]</f>
        <v/>
      </c>
      <c r="S272">
        <f>IF(O272="no",H272,H272*P272)</f>
        <v/>
      </c>
      <c r="T272">
        <f>Tab_Data_Flows[[#This Row],[UoM_Source]]</f>
        <v/>
      </c>
      <c r="U272">
        <f>INDEX(Tab_Def_Flows[[Flow_ID]:[CC_DM_source]],MATCH(Tab_Data_Flows[[#This Row],[Flow_Name]],Tab_Def_Flows[Flow_Name],0),11)</f>
        <v/>
      </c>
      <c r="V272">
        <f>Tab_Data_Flows[[#This Row],[Flow_ID]]&amp;"_"&amp;"WC_"&amp;Tab_Data_Flows[[#This Row],[Flow_Data_Year]]</f>
        <v/>
      </c>
      <c r="W272">
        <f>IF(D272="Yes",S272*Tab_Data_Flows[[#This Row],[WC_'[%']]],"N.A.")</f>
        <v/>
      </c>
      <c r="X272">
        <f>Tab_Data_Flows[[#This Row],[UoM_Flow_Py]]</f>
        <v/>
      </c>
      <c r="Y272">
        <f>INDEX(Tab_Def_Flows[[Flow_ID]:[CC_DM_source]],MATCH(Tab_Data_Flows[[#This Row],[Flow_Name]],Tab_Def_Flows[Flow_Name],0),14)</f>
        <v/>
      </c>
      <c r="Z272">
        <f>Tab_Data_Flows[[#This Row],[Flow_ID]]&amp;"_"&amp;"DM_"&amp;Tab_Data_Flows[[#This Row],[Flow_Data_Year]]</f>
        <v/>
      </c>
      <c r="AA272">
        <f>IF(E272="Yes",Y272*Tab_Data_Flows[[#This Row],[Flow_Material]],"N.A.")</f>
        <v/>
      </c>
      <c r="AB272">
        <f>Tab_Data_Flows[[#This Row],[UoM_Flow_Py]]</f>
        <v/>
      </c>
      <c r="AC272">
        <f>INDEX(Tab_Def_Flows[[Flow_ID]:[CC_DM_source]],MATCH(Tab_Data_Flows[[#This Row],[Flow_Name]],Tab_Def_Flows[Flow_Name],0),17)</f>
        <v/>
      </c>
      <c r="AD272">
        <f>Tab_Data_Flows[[#This Row],[Flow_ID]]&amp;"_"&amp;"CC_"&amp;Tab_Data_Flows[[#This Row],[Flow_Data_Year]]</f>
        <v/>
      </c>
      <c r="AE272">
        <f>IF(F272="Yes",AC272*Tab_Data_Flows[[#This Row],[Flow_Material]]*Tab_Data_Flows[[#This Row],[DM_'[%']]],"N.A.")</f>
        <v/>
      </c>
      <c r="AF272">
        <f>Tab_Data_Flows[[#This Row],[UoM_Flow_Py]]</f>
        <v/>
      </c>
    </row>
    <row r="273">
      <c r="A273">
        <f>ROW()-1</f>
        <v/>
      </c>
      <c r="B273">
        <f>_xlfn.XLOOKUP(C273,Tab_Def_Flows[Flow_Name],Tab_Def_Flows[Flow_ID],,0,)</f>
        <v/>
      </c>
      <c r="C273" t="inlineStr">
        <is>
          <t>N.A.</t>
        </is>
      </c>
      <c r="D273">
        <f>_xlfn.XLOOKUP(C273,Tab_Def_Flows[Flow_Name],Tab_Def_Flows[WC?],,0,)</f>
        <v/>
      </c>
      <c r="E273">
        <f>_xlfn.XLOOKUP(C273,Tab_Def_Flows[Flow_Name],Tab_Def_Flows[DM?],,0,)</f>
        <v/>
      </c>
      <c r="F273">
        <f>_xlfn.XLOOKUP(C273,Tab_Def_Flows[Flow_Name],Tab_Def_Flows[CC?],,0,)</f>
        <v/>
      </c>
      <c r="I273">
        <f>'0_Configuration'!$C$35</f>
        <v/>
      </c>
      <c r="O273" t="inlineStr">
        <is>
          <t>No</t>
        </is>
      </c>
      <c r="R273">
        <f>Tab_Data_Flows[[#This Row],[Flow_ID]]&amp;"_"&amp;"material_"&amp;Tab_Data_Flows[[#This Row],[Flow_Data_Year]]</f>
        <v/>
      </c>
      <c r="S273">
        <f>IF(O273="no",H273,H273*P273)</f>
        <v/>
      </c>
      <c r="T273">
        <f>Tab_Data_Flows[[#This Row],[UoM_Source]]</f>
        <v/>
      </c>
      <c r="U273">
        <f>INDEX(Tab_Def_Flows[[Flow_ID]:[CC_DM_source]],MATCH(Tab_Data_Flows[[#This Row],[Flow_Name]],Tab_Def_Flows[Flow_Name],0),11)</f>
        <v/>
      </c>
      <c r="V273">
        <f>Tab_Data_Flows[[#This Row],[Flow_ID]]&amp;"_"&amp;"WC_"&amp;Tab_Data_Flows[[#This Row],[Flow_Data_Year]]</f>
        <v/>
      </c>
      <c r="W273">
        <f>IF(D273="Yes",S273*Tab_Data_Flows[[#This Row],[WC_'[%']]],"N.A.")</f>
        <v/>
      </c>
      <c r="X273">
        <f>Tab_Data_Flows[[#This Row],[UoM_Flow_Py]]</f>
        <v/>
      </c>
      <c r="Y273">
        <f>INDEX(Tab_Def_Flows[[Flow_ID]:[CC_DM_source]],MATCH(Tab_Data_Flows[[#This Row],[Flow_Name]],Tab_Def_Flows[Flow_Name],0),14)</f>
        <v/>
      </c>
      <c r="Z273">
        <f>Tab_Data_Flows[[#This Row],[Flow_ID]]&amp;"_"&amp;"DM_"&amp;Tab_Data_Flows[[#This Row],[Flow_Data_Year]]</f>
        <v/>
      </c>
      <c r="AA273">
        <f>IF(E273="Yes",Y273*Tab_Data_Flows[[#This Row],[Flow_Material]],"N.A.")</f>
        <v/>
      </c>
      <c r="AB273">
        <f>Tab_Data_Flows[[#This Row],[UoM_Flow_Py]]</f>
        <v/>
      </c>
      <c r="AC273">
        <f>INDEX(Tab_Def_Flows[[Flow_ID]:[CC_DM_source]],MATCH(Tab_Data_Flows[[#This Row],[Flow_Name]],Tab_Def_Flows[Flow_Name],0),17)</f>
        <v/>
      </c>
      <c r="AD273">
        <f>Tab_Data_Flows[[#This Row],[Flow_ID]]&amp;"_"&amp;"CC_"&amp;Tab_Data_Flows[[#This Row],[Flow_Data_Year]]</f>
        <v/>
      </c>
      <c r="AE273">
        <f>IF(F273="Yes",AC273*Tab_Data_Flows[[#This Row],[Flow_Material]]*Tab_Data_Flows[[#This Row],[DM_'[%']]],"N.A.")</f>
        <v/>
      </c>
      <c r="AF273">
        <f>Tab_Data_Flows[[#This Row],[UoM_Flow_Py]]</f>
        <v/>
      </c>
    </row>
    <row r="274">
      <c r="A274">
        <f>ROW()-1</f>
        <v/>
      </c>
      <c r="B274">
        <f>_xlfn.XLOOKUP(C274,Tab_Def_Flows[Flow_Name],Tab_Def_Flows[Flow_ID],,0,)</f>
        <v/>
      </c>
      <c r="C274" t="inlineStr">
        <is>
          <t>N.A.</t>
        </is>
      </c>
      <c r="D274">
        <f>_xlfn.XLOOKUP(C274,Tab_Def_Flows[Flow_Name],Tab_Def_Flows[WC?],,0,)</f>
        <v/>
      </c>
      <c r="E274">
        <f>_xlfn.XLOOKUP(C274,Tab_Def_Flows[Flow_Name],Tab_Def_Flows[DM?],,0,)</f>
        <v/>
      </c>
      <c r="F274">
        <f>_xlfn.XLOOKUP(C274,Tab_Def_Flows[Flow_Name],Tab_Def_Flows[CC?],,0,)</f>
        <v/>
      </c>
      <c r="I274">
        <f>'0_Configuration'!$C$35</f>
        <v/>
      </c>
      <c r="O274" t="inlineStr">
        <is>
          <t>No</t>
        </is>
      </c>
      <c r="R274">
        <f>Tab_Data_Flows[[#This Row],[Flow_ID]]&amp;"_"&amp;"material_"&amp;Tab_Data_Flows[[#This Row],[Flow_Data_Year]]</f>
        <v/>
      </c>
      <c r="S274">
        <f>IF(O274="no",H274,H274*P274)</f>
        <v/>
      </c>
      <c r="T274">
        <f>Tab_Data_Flows[[#This Row],[UoM_Source]]</f>
        <v/>
      </c>
      <c r="U274">
        <f>INDEX(Tab_Def_Flows[[Flow_ID]:[CC_DM_source]],MATCH(Tab_Data_Flows[[#This Row],[Flow_Name]],Tab_Def_Flows[Flow_Name],0),11)</f>
        <v/>
      </c>
      <c r="V274">
        <f>Tab_Data_Flows[[#This Row],[Flow_ID]]&amp;"_"&amp;"WC_"&amp;Tab_Data_Flows[[#This Row],[Flow_Data_Year]]</f>
        <v/>
      </c>
      <c r="W274">
        <f>IF(D274="Yes",S274*Tab_Data_Flows[[#This Row],[WC_'[%']]],"N.A.")</f>
        <v/>
      </c>
      <c r="X274">
        <f>Tab_Data_Flows[[#This Row],[UoM_Flow_Py]]</f>
        <v/>
      </c>
      <c r="Y274">
        <f>INDEX(Tab_Def_Flows[[Flow_ID]:[CC_DM_source]],MATCH(Tab_Data_Flows[[#This Row],[Flow_Name]],Tab_Def_Flows[Flow_Name],0),14)</f>
        <v/>
      </c>
      <c r="Z274">
        <f>Tab_Data_Flows[[#This Row],[Flow_ID]]&amp;"_"&amp;"DM_"&amp;Tab_Data_Flows[[#This Row],[Flow_Data_Year]]</f>
        <v/>
      </c>
      <c r="AA274">
        <f>IF(E274="Yes",Y274*Tab_Data_Flows[[#This Row],[Flow_Material]],"N.A.")</f>
        <v/>
      </c>
      <c r="AB274">
        <f>Tab_Data_Flows[[#This Row],[UoM_Flow_Py]]</f>
        <v/>
      </c>
      <c r="AC274">
        <f>INDEX(Tab_Def_Flows[[Flow_ID]:[CC_DM_source]],MATCH(Tab_Data_Flows[[#This Row],[Flow_Name]],Tab_Def_Flows[Flow_Name],0),17)</f>
        <v/>
      </c>
      <c r="AD274">
        <f>Tab_Data_Flows[[#This Row],[Flow_ID]]&amp;"_"&amp;"CC_"&amp;Tab_Data_Flows[[#This Row],[Flow_Data_Year]]</f>
        <v/>
      </c>
      <c r="AE274">
        <f>IF(F274="Yes",AC274*Tab_Data_Flows[[#This Row],[Flow_Material]]*Tab_Data_Flows[[#This Row],[DM_'[%']]],"N.A.")</f>
        <v/>
      </c>
      <c r="AF274">
        <f>Tab_Data_Flows[[#This Row],[UoM_Flow_Py]]</f>
        <v/>
      </c>
    </row>
    <row r="275">
      <c r="A275">
        <f>ROW()-1</f>
        <v/>
      </c>
      <c r="B275">
        <f>_xlfn.XLOOKUP(C275,Tab_Def_Flows[Flow_Name],Tab_Def_Flows[Flow_ID],,0,)</f>
        <v/>
      </c>
      <c r="C275" t="inlineStr">
        <is>
          <t>N.A.</t>
        </is>
      </c>
      <c r="D275">
        <f>_xlfn.XLOOKUP(C275,Tab_Def_Flows[Flow_Name],Tab_Def_Flows[WC?],,0,)</f>
        <v/>
      </c>
      <c r="E275">
        <f>_xlfn.XLOOKUP(C275,Tab_Def_Flows[Flow_Name],Tab_Def_Flows[DM?],,0,)</f>
        <v/>
      </c>
      <c r="F275">
        <f>_xlfn.XLOOKUP(C275,Tab_Def_Flows[Flow_Name],Tab_Def_Flows[CC?],,0,)</f>
        <v/>
      </c>
      <c r="I275">
        <f>'0_Configuration'!$C$35</f>
        <v/>
      </c>
      <c r="O275" t="inlineStr">
        <is>
          <t>No</t>
        </is>
      </c>
      <c r="R275">
        <f>Tab_Data_Flows[[#This Row],[Flow_ID]]&amp;"_"&amp;"material_"&amp;Tab_Data_Flows[[#This Row],[Flow_Data_Year]]</f>
        <v/>
      </c>
      <c r="S275">
        <f>IF(O275="no",H275,H275*P275)</f>
        <v/>
      </c>
      <c r="T275">
        <f>Tab_Data_Flows[[#This Row],[UoM_Source]]</f>
        <v/>
      </c>
      <c r="U275">
        <f>INDEX(Tab_Def_Flows[[Flow_ID]:[CC_DM_source]],MATCH(Tab_Data_Flows[[#This Row],[Flow_Name]],Tab_Def_Flows[Flow_Name],0),11)</f>
        <v/>
      </c>
      <c r="V275">
        <f>Tab_Data_Flows[[#This Row],[Flow_ID]]&amp;"_"&amp;"WC_"&amp;Tab_Data_Flows[[#This Row],[Flow_Data_Year]]</f>
        <v/>
      </c>
      <c r="W275">
        <f>IF(D275="Yes",S275*Tab_Data_Flows[[#This Row],[WC_'[%']]],"N.A.")</f>
        <v/>
      </c>
      <c r="X275">
        <f>Tab_Data_Flows[[#This Row],[UoM_Flow_Py]]</f>
        <v/>
      </c>
      <c r="Y275">
        <f>INDEX(Tab_Def_Flows[[Flow_ID]:[CC_DM_source]],MATCH(Tab_Data_Flows[[#This Row],[Flow_Name]],Tab_Def_Flows[Flow_Name],0),14)</f>
        <v/>
      </c>
      <c r="Z275">
        <f>Tab_Data_Flows[[#This Row],[Flow_ID]]&amp;"_"&amp;"DM_"&amp;Tab_Data_Flows[[#This Row],[Flow_Data_Year]]</f>
        <v/>
      </c>
      <c r="AA275">
        <f>IF(E275="Yes",Y275*Tab_Data_Flows[[#This Row],[Flow_Material]],"N.A.")</f>
        <v/>
      </c>
      <c r="AB275">
        <f>Tab_Data_Flows[[#This Row],[UoM_Flow_Py]]</f>
        <v/>
      </c>
      <c r="AC275">
        <f>INDEX(Tab_Def_Flows[[Flow_ID]:[CC_DM_source]],MATCH(Tab_Data_Flows[[#This Row],[Flow_Name]],Tab_Def_Flows[Flow_Name],0),17)</f>
        <v/>
      </c>
      <c r="AD275">
        <f>Tab_Data_Flows[[#This Row],[Flow_ID]]&amp;"_"&amp;"CC_"&amp;Tab_Data_Flows[[#This Row],[Flow_Data_Year]]</f>
        <v/>
      </c>
      <c r="AE275">
        <f>IF(F275="Yes",AC275*Tab_Data_Flows[[#This Row],[Flow_Material]]*Tab_Data_Flows[[#This Row],[DM_'[%']]],"N.A.")</f>
        <v/>
      </c>
      <c r="AF275">
        <f>Tab_Data_Flows[[#This Row],[UoM_Flow_Py]]</f>
        <v/>
      </c>
    </row>
    <row r="276">
      <c r="A276">
        <f>ROW()-1</f>
        <v/>
      </c>
      <c r="B276">
        <f>_xlfn.XLOOKUP(C276,Tab_Def_Flows[Flow_Name],Tab_Def_Flows[Flow_ID],,0,)</f>
        <v/>
      </c>
      <c r="C276" t="inlineStr">
        <is>
          <t>N.A.</t>
        </is>
      </c>
      <c r="D276">
        <f>_xlfn.XLOOKUP(C276,Tab_Def_Flows[Flow_Name],Tab_Def_Flows[WC?],,0,)</f>
        <v/>
      </c>
      <c r="E276">
        <f>_xlfn.XLOOKUP(C276,Tab_Def_Flows[Flow_Name],Tab_Def_Flows[DM?],,0,)</f>
        <v/>
      </c>
      <c r="F276">
        <f>_xlfn.XLOOKUP(C276,Tab_Def_Flows[Flow_Name],Tab_Def_Flows[CC?],,0,)</f>
        <v/>
      </c>
      <c r="I276">
        <f>'0_Configuration'!$C$35</f>
        <v/>
      </c>
      <c r="O276" t="inlineStr">
        <is>
          <t>No</t>
        </is>
      </c>
      <c r="R276">
        <f>Tab_Data_Flows[[#This Row],[Flow_ID]]&amp;"_"&amp;"material_"&amp;Tab_Data_Flows[[#This Row],[Flow_Data_Year]]</f>
        <v/>
      </c>
      <c r="S276">
        <f>IF(O276="no",H276,H276*P276)</f>
        <v/>
      </c>
      <c r="T276">
        <f>Tab_Data_Flows[[#This Row],[UoM_Source]]</f>
        <v/>
      </c>
      <c r="U276">
        <f>INDEX(Tab_Def_Flows[[Flow_ID]:[CC_DM_source]],MATCH(Tab_Data_Flows[[#This Row],[Flow_Name]],Tab_Def_Flows[Flow_Name],0),11)</f>
        <v/>
      </c>
      <c r="V276">
        <f>Tab_Data_Flows[[#This Row],[Flow_ID]]&amp;"_"&amp;"WC_"&amp;Tab_Data_Flows[[#This Row],[Flow_Data_Year]]</f>
        <v/>
      </c>
      <c r="W276">
        <f>IF(D276="Yes",S276*Tab_Data_Flows[[#This Row],[WC_'[%']]],"N.A.")</f>
        <v/>
      </c>
      <c r="X276">
        <f>Tab_Data_Flows[[#This Row],[UoM_Flow_Py]]</f>
        <v/>
      </c>
      <c r="Y276">
        <f>INDEX(Tab_Def_Flows[[Flow_ID]:[CC_DM_source]],MATCH(Tab_Data_Flows[[#This Row],[Flow_Name]],Tab_Def_Flows[Flow_Name],0),14)</f>
        <v/>
      </c>
      <c r="Z276">
        <f>Tab_Data_Flows[[#This Row],[Flow_ID]]&amp;"_"&amp;"DM_"&amp;Tab_Data_Flows[[#This Row],[Flow_Data_Year]]</f>
        <v/>
      </c>
      <c r="AA276">
        <f>IF(E276="Yes",Y276*Tab_Data_Flows[[#This Row],[Flow_Material]],"N.A.")</f>
        <v/>
      </c>
      <c r="AB276">
        <f>Tab_Data_Flows[[#This Row],[UoM_Flow_Py]]</f>
        <v/>
      </c>
      <c r="AC276">
        <f>INDEX(Tab_Def_Flows[[Flow_ID]:[CC_DM_source]],MATCH(Tab_Data_Flows[[#This Row],[Flow_Name]],Tab_Def_Flows[Flow_Name],0),17)</f>
        <v/>
      </c>
      <c r="AD276">
        <f>Tab_Data_Flows[[#This Row],[Flow_ID]]&amp;"_"&amp;"CC_"&amp;Tab_Data_Flows[[#This Row],[Flow_Data_Year]]</f>
        <v/>
      </c>
      <c r="AE276">
        <f>IF(F276="Yes",AC276*Tab_Data_Flows[[#This Row],[Flow_Material]]*Tab_Data_Flows[[#This Row],[DM_'[%']]],"N.A.")</f>
        <v/>
      </c>
      <c r="AF276">
        <f>Tab_Data_Flows[[#This Row],[UoM_Flow_Py]]</f>
        <v/>
      </c>
    </row>
    <row r="277">
      <c r="A277">
        <f>ROW()-1</f>
        <v/>
      </c>
      <c r="B277">
        <f>_xlfn.XLOOKUP(C277,Tab_Def_Flows[Flow_Name],Tab_Def_Flows[Flow_ID],,0,)</f>
        <v/>
      </c>
      <c r="C277" t="inlineStr">
        <is>
          <t>N.A.</t>
        </is>
      </c>
      <c r="D277">
        <f>_xlfn.XLOOKUP(C277,Tab_Def_Flows[Flow_Name],Tab_Def_Flows[WC?],,0,)</f>
        <v/>
      </c>
      <c r="E277">
        <f>_xlfn.XLOOKUP(C277,Tab_Def_Flows[Flow_Name],Tab_Def_Flows[DM?],,0,)</f>
        <v/>
      </c>
      <c r="F277">
        <f>_xlfn.XLOOKUP(C277,Tab_Def_Flows[Flow_Name],Tab_Def_Flows[CC?],,0,)</f>
        <v/>
      </c>
      <c r="I277">
        <f>'0_Configuration'!$C$35</f>
        <v/>
      </c>
      <c r="O277" t="inlineStr">
        <is>
          <t>No</t>
        </is>
      </c>
      <c r="R277">
        <f>Tab_Data_Flows[[#This Row],[Flow_ID]]&amp;"_"&amp;"material_"&amp;Tab_Data_Flows[[#This Row],[Flow_Data_Year]]</f>
        <v/>
      </c>
      <c r="S277">
        <f>IF(O277="no",H277,H277*P277)</f>
        <v/>
      </c>
      <c r="T277">
        <f>Tab_Data_Flows[[#This Row],[UoM_Source]]</f>
        <v/>
      </c>
      <c r="U277">
        <f>INDEX(Tab_Def_Flows[[Flow_ID]:[CC_DM_source]],MATCH(Tab_Data_Flows[[#This Row],[Flow_Name]],Tab_Def_Flows[Flow_Name],0),11)</f>
        <v/>
      </c>
      <c r="V277">
        <f>Tab_Data_Flows[[#This Row],[Flow_ID]]&amp;"_"&amp;"WC_"&amp;Tab_Data_Flows[[#This Row],[Flow_Data_Year]]</f>
        <v/>
      </c>
      <c r="W277">
        <f>IF(D277="Yes",S277*Tab_Data_Flows[[#This Row],[WC_'[%']]],"N.A.")</f>
        <v/>
      </c>
      <c r="X277">
        <f>Tab_Data_Flows[[#This Row],[UoM_Flow_Py]]</f>
        <v/>
      </c>
      <c r="Y277">
        <f>INDEX(Tab_Def_Flows[[Flow_ID]:[CC_DM_source]],MATCH(Tab_Data_Flows[[#This Row],[Flow_Name]],Tab_Def_Flows[Flow_Name],0),14)</f>
        <v/>
      </c>
      <c r="Z277">
        <f>Tab_Data_Flows[[#This Row],[Flow_ID]]&amp;"_"&amp;"DM_"&amp;Tab_Data_Flows[[#This Row],[Flow_Data_Year]]</f>
        <v/>
      </c>
      <c r="AA277">
        <f>IF(E277="Yes",Y277*Tab_Data_Flows[[#This Row],[Flow_Material]],"N.A.")</f>
        <v/>
      </c>
      <c r="AB277">
        <f>Tab_Data_Flows[[#This Row],[UoM_Flow_Py]]</f>
        <v/>
      </c>
      <c r="AC277">
        <f>INDEX(Tab_Def_Flows[[Flow_ID]:[CC_DM_source]],MATCH(Tab_Data_Flows[[#This Row],[Flow_Name]],Tab_Def_Flows[Flow_Name],0),17)</f>
        <v/>
      </c>
      <c r="AD277">
        <f>Tab_Data_Flows[[#This Row],[Flow_ID]]&amp;"_"&amp;"CC_"&amp;Tab_Data_Flows[[#This Row],[Flow_Data_Year]]</f>
        <v/>
      </c>
      <c r="AE277">
        <f>IF(F277="Yes",AC277*Tab_Data_Flows[[#This Row],[Flow_Material]]*Tab_Data_Flows[[#This Row],[DM_'[%']]],"N.A.")</f>
        <v/>
      </c>
      <c r="AF277">
        <f>Tab_Data_Flows[[#This Row],[UoM_Flow_Py]]</f>
        <v/>
      </c>
    </row>
    <row r="278">
      <c r="A278">
        <f>ROW()-1</f>
        <v/>
      </c>
      <c r="B278">
        <f>_xlfn.XLOOKUP(C278,Tab_Def_Flows[Flow_Name],Tab_Def_Flows[Flow_ID],,0,)</f>
        <v/>
      </c>
      <c r="C278" t="inlineStr">
        <is>
          <t>N.A.</t>
        </is>
      </c>
      <c r="D278">
        <f>_xlfn.XLOOKUP(C278,Tab_Def_Flows[Flow_Name],Tab_Def_Flows[WC?],,0,)</f>
        <v/>
      </c>
      <c r="E278">
        <f>_xlfn.XLOOKUP(C278,Tab_Def_Flows[Flow_Name],Tab_Def_Flows[DM?],,0,)</f>
        <v/>
      </c>
      <c r="F278">
        <f>_xlfn.XLOOKUP(C278,Tab_Def_Flows[Flow_Name],Tab_Def_Flows[CC?],,0,)</f>
        <v/>
      </c>
      <c r="I278">
        <f>'0_Configuration'!$C$35</f>
        <v/>
      </c>
      <c r="O278" t="inlineStr">
        <is>
          <t>No</t>
        </is>
      </c>
      <c r="R278">
        <f>Tab_Data_Flows[[#This Row],[Flow_ID]]&amp;"_"&amp;"material_"&amp;Tab_Data_Flows[[#This Row],[Flow_Data_Year]]</f>
        <v/>
      </c>
      <c r="S278">
        <f>IF(O278="no",H278,H278*P278)</f>
        <v/>
      </c>
      <c r="T278">
        <f>Tab_Data_Flows[[#This Row],[UoM_Source]]</f>
        <v/>
      </c>
      <c r="U278">
        <f>INDEX(Tab_Def_Flows[[Flow_ID]:[CC_DM_source]],MATCH(Tab_Data_Flows[[#This Row],[Flow_Name]],Tab_Def_Flows[Flow_Name],0),11)</f>
        <v/>
      </c>
      <c r="V278">
        <f>Tab_Data_Flows[[#This Row],[Flow_ID]]&amp;"_"&amp;"WC_"&amp;Tab_Data_Flows[[#This Row],[Flow_Data_Year]]</f>
        <v/>
      </c>
      <c r="W278">
        <f>IF(D278="Yes",S278*Tab_Data_Flows[[#This Row],[WC_'[%']]],"N.A.")</f>
        <v/>
      </c>
      <c r="X278">
        <f>Tab_Data_Flows[[#This Row],[UoM_Flow_Py]]</f>
        <v/>
      </c>
      <c r="Y278">
        <f>INDEX(Tab_Def_Flows[[Flow_ID]:[CC_DM_source]],MATCH(Tab_Data_Flows[[#This Row],[Flow_Name]],Tab_Def_Flows[Flow_Name],0),14)</f>
        <v/>
      </c>
      <c r="Z278">
        <f>Tab_Data_Flows[[#This Row],[Flow_ID]]&amp;"_"&amp;"DM_"&amp;Tab_Data_Flows[[#This Row],[Flow_Data_Year]]</f>
        <v/>
      </c>
      <c r="AA278">
        <f>IF(E278="Yes",Y278*Tab_Data_Flows[[#This Row],[Flow_Material]],"N.A.")</f>
        <v/>
      </c>
      <c r="AB278">
        <f>Tab_Data_Flows[[#This Row],[UoM_Flow_Py]]</f>
        <v/>
      </c>
      <c r="AC278">
        <f>INDEX(Tab_Def_Flows[[Flow_ID]:[CC_DM_source]],MATCH(Tab_Data_Flows[[#This Row],[Flow_Name]],Tab_Def_Flows[Flow_Name],0),17)</f>
        <v/>
      </c>
      <c r="AD278">
        <f>Tab_Data_Flows[[#This Row],[Flow_ID]]&amp;"_"&amp;"CC_"&amp;Tab_Data_Flows[[#This Row],[Flow_Data_Year]]</f>
        <v/>
      </c>
      <c r="AE278">
        <f>IF(F278="Yes",AC278*Tab_Data_Flows[[#This Row],[Flow_Material]]*Tab_Data_Flows[[#This Row],[DM_'[%']]],"N.A.")</f>
        <v/>
      </c>
      <c r="AF278">
        <f>Tab_Data_Flows[[#This Row],[UoM_Flow_Py]]</f>
        <v/>
      </c>
    </row>
    <row r="279">
      <c r="A279">
        <f>ROW()-1</f>
        <v/>
      </c>
      <c r="B279">
        <f>_xlfn.XLOOKUP(C279,Tab_Def_Flows[Flow_Name],Tab_Def_Flows[Flow_ID],,0,)</f>
        <v/>
      </c>
      <c r="C279" t="inlineStr">
        <is>
          <t>N.A.</t>
        </is>
      </c>
      <c r="D279">
        <f>_xlfn.XLOOKUP(C279,Tab_Def_Flows[Flow_Name],Tab_Def_Flows[WC?],,0,)</f>
        <v/>
      </c>
      <c r="E279">
        <f>_xlfn.XLOOKUP(C279,Tab_Def_Flows[Flow_Name],Tab_Def_Flows[DM?],,0,)</f>
        <v/>
      </c>
      <c r="F279">
        <f>_xlfn.XLOOKUP(C279,Tab_Def_Flows[Flow_Name],Tab_Def_Flows[CC?],,0,)</f>
        <v/>
      </c>
      <c r="I279">
        <f>'0_Configuration'!$C$35</f>
        <v/>
      </c>
      <c r="O279" t="inlineStr">
        <is>
          <t>No</t>
        </is>
      </c>
      <c r="R279">
        <f>Tab_Data_Flows[[#This Row],[Flow_ID]]&amp;"_"&amp;"material_"&amp;Tab_Data_Flows[[#This Row],[Flow_Data_Year]]</f>
        <v/>
      </c>
      <c r="S279">
        <f>IF(O279="no",H279,H279*P279)</f>
        <v/>
      </c>
      <c r="T279">
        <f>Tab_Data_Flows[[#This Row],[UoM_Source]]</f>
        <v/>
      </c>
      <c r="U279">
        <f>INDEX(Tab_Def_Flows[[Flow_ID]:[CC_DM_source]],MATCH(Tab_Data_Flows[[#This Row],[Flow_Name]],Tab_Def_Flows[Flow_Name],0),11)</f>
        <v/>
      </c>
      <c r="V279">
        <f>Tab_Data_Flows[[#This Row],[Flow_ID]]&amp;"_"&amp;"WC_"&amp;Tab_Data_Flows[[#This Row],[Flow_Data_Year]]</f>
        <v/>
      </c>
      <c r="W279">
        <f>IF(D279="Yes",S279*Tab_Data_Flows[[#This Row],[WC_'[%']]],"N.A.")</f>
        <v/>
      </c>
      <c r="X279">
        <f>Tab_Data_Flows[[#This Row],[UoM_Flow_Py]]</f>
        <v/>
      </c>
      <c r="Y279">
        <f>INDEX(Tab_Def_Flows[[Flow_ID]:[CC_DM_source]],MATCH(Tab_Data_Flows[[#This Row],[Flow_Name]],Tab_Def_Flows[Flow_Name],0),14)</f>
        <v/>
      </c>
      <c r="Z279">
        <f>Tab_Data_Flows[[#This Row],[Flow_ID]]&amp;"_"&amp;"DM_"&amp;Tab_Data_Flows[[#This Row],[Flow_Data_Year]]</f>
        <v/>
      </c>
      <c r="AA279">
        <f>IF(E279="Yes",Y279*Tab_Data_Flows[[#This Row],[Flow_Material]],"N.A.")</f>
        <v/>
      </c>
      <c r="AB279">
        <f>Tab_Data_Flows[[#This Row],[UoM_Flow_Py]]</f>
        <v/>
      </c>
      <c r="AC279">
        <f>INDEX(Tab_Def_Flows[[Flow_ID]:[CC_DM_source]],MATCH(Tab_Data_Flows[[#This Row],[Flow_Name]],Tab_Def_Flows[Flow_Name],0),17)</f>
        <v/>
      </c>
      <c r="AD279">
        <f>Tab_Data_Flows[[#This Row],[Flow_ID]]&amp;"_"&amp;"CC_"&amp;Tab_Data_Flows[[#This Row],[Flow_Data_Year]]</f>
        <v/>
      </c>
      <c r="AE279">
        <f>IF(F279="Yes",AC279*Tab_Data_Flows[[#This Row],[Flow_Material]]*Tab_Data_Flows[[#This Row],[DM_'[%']]],"N.A.")</f>
        <v/>
      </c>
      <c r="AF279">
        <f>Tab_Data_Flows[[#This Row],[UoM_Flow_Py]]</f>
        <v/>
      </c>
    </row>
    <row r="280">
      <c r="A280">
        <f>ROW()-1</f>
        <v/>
      </c>
      <c r="B280">
        <f>_xlfn.XLOOKUP(C280,Tab_Def_Flows[Flow_Name],Tab_Def_Flows[Flow_ID],,0,)</f>
        <v/>
      </c>
      <c r="C280" t="inlineStr">
        <is>
          <t>N.A.</t>
        </is>
      </c>
      <c r="D280">
        <f>_xlfn.XLOOKUP(C280,Tab_Def_Flows[Flow_Name],Tab_Def_Flows[WC?],,0,)</f>
        <v/>
      </c>
      <c r="E280">
        <f>_xlfn.XLOOKUP(C280,Tab_Def_Flows[Flow_Name],Tab_Def_Flows[DM?],,0,)</f>
        <v/>
      </c>
      <c r="F280">
        <f>_xlfn.XLOOKUP(C280,Tab_Def_Flows[Flow_Name],Tab_Def_Flows[CC?],,0,)</f>
        <v/>
      </c>
      <c r="I280">
        <f>'0_Configuration'!$C$35</f>
        <v/>
      </c>
      <c r="O280" t="inlineStr">
        <is>
          <t>No</t>
        </is>
      </c>
      <c r="R280">
        <f>Tab_Data_Flows[[#This Row],[Flow_ID]]&amp;"_"&amp;"material_"&amp;Tab_Data_Flows[[#This Row],[Flow_Data_Year]]</f>
        <v/>
      </c>
      <c r="S280">
        <f>IF(O280="no",H280,H280*P280)</f>
        <v/>
      </c>
      <c r="T280">
        <f>Tab_Data_Flows[[#This Row],[UoM_Source]]</f>
        <v/>
      </c>
      <c r="U280">
        <f>INDEX(Tab_Def_Flows[[Flow_ID]:[CC_DM_source]],MATCH(Tab_Data_Flows[[#This Row],[Flow_Name]],Tab_Def_Flows[Flow_Name],0),11)</f>
        <v/>
      </c>
      <c r="V280">
        <f>Tab_Data_Flows[[#This Row],[Flow_ID]]&amp;"_"&amp;"WC_"&amp;Tab_Data_Flows[[#This Row],[Flow_Data_Year]]</f>
        <v/>
      </c>
      <c r="W280">
        <f>IF(D280="Yes",S280*Tab_Data_Flows[[#This Row],[WC_'[%']]],"N.A.")</f>
        <v/>
      </c>
      <c r="X280">
        <f>Tab_Data_Flows[[#This Row],[UoM_Flow_Py]]</f>
        <v/>
      </c>
      <c r="Y280">
        <f>INDEX(Tab_Def_Flows[[Flow_ID]:[CC_DM_source]],MATCH(Tab_Data_Flows[[#This Row],[Flow_Name]],Tab_Def_Flows[Flow_Name],0),14)</f>
        <v/>
      </c>
      <c r="Z280">
        <f>Tab_Data_Flows[[#This Row],[Flow_ID]]&amp;"_"&amp;"DM_"&amp;Tab_Data_Flows[[#This Row],[Flow_Data_Year]]</f>
        <v/>
      </c>
      <c r="AA280">
        <f>IF(E280="Yes",Y280*Tab_Data_Flows[[#This Row],[Flow_Material]],"N.A.")</f>
        <v/>
      </c>
      <c r="AB280">
        <f>Tab_Data_Flows[[#This Row],[UoM_Flow_Py]]</f>
        <v/>
      </c>
      <c r="AC280">
        <f>INDEX(Tab_Def_Flows[[Flow_ID]:[CC_DM_source]],MATCH(Tab_Data_Flows[[#This Row],[Flow_Name]],Tab_Def_Flows[Flow_Name],0),17)</f>
        <v/>
      </c>
      <c r="AD280">
        <f>Tab_Data_Flows[[#This Row],[Flow_ID]]&amp;"_"&amp;"CC_"&amp;Tab_Data_Flows[[#This Row],[Flow_Data_Year]]</f>
        <v/>
      </c>
      <c r="AE280">
        <f>IF(F280="Yes",AC280*Tab_Data_Flows[[#This Row],[Flow_Material]]*Tab_Data_Flows[[#This Row],[DM_'[%']]],"N.A.")</f>
        <v/>
      </c>
      <c r="AF280">
        <f>Tab_Data_Flows[[#This Row],[UoM_Flow_Py]]</f>
        <v/>
      </c>
    </row>
    <row r="281">
      <c r="A281">
        <f>ROW()-1</f>
        <v/>
      </c>
      <c r="B281">
        <f>_xlfn.XLOOKUP(C281,Tab_Def_Flows[Flow_Name],Tab_Def_Flows[Flow_ID],,0,)</f>
        <v/>
      </c>
      <c r="C281" t="inlineStr">
        <is>
          <t>N.A.</t>
        </is>
      </c>
      <c r="D281">
        <f>_xlfn.XLOOKUP(C281,Tab_Def_Flows[Flow_Name],Tab_Def_Flows[WC?],,0,)</f>
        <v/>
      </c>
      <c r="E281">
        <f>_xlfn.XLOOKUP(C281,Tab_Def_Flows[Flow_Name],Tab_Def_Flows[DM?],,0,)</f>
        <v/>
      </c>
      <c r="F281">
        <f>_xlfn.XLOOKUP(C281,Tab_Def_Flows[Flow_Name],Tab_Def_Flows[CC?],,0,)</f>
        <v/>
      </c>
      <c r="I281">
        <f>'0_Configuration'!$C$35</f>
        <v/>
      </c>
      <c r="O281" t="inlineStr">
        <is>
          <t>No</t>
        </is>
      </c>
      <c r="R281">
        <f>Tab_Data_Flows[[#This Row],[Flow_ID]]&amp;"_"&amp;"material_"&amp;Tab_Data_Flows[[#This Row],[Flow_Data_Year]]</f>
        <v/>
      </c>
      <c r="S281">
        <f>IF(O281="no",H281,H281*P281)</f>
        <v/>
      </c>
      <c r="T281">
        <f>Tab_Data_Flows[[#This Row],[UoM_Source]]</f>
        <v/>
      </c>
      <c r="U281">
        <f>INDEX(Tab_Def_Flows[[Flow_ID]:[CC_DM_source]],MATCH(Tab_Data_Flows[[#This Row],[Flow_Name]],Tab_Def_Flows[Flow_Name],0),11)</f>
        <v/>
      </c>
      <c r="V281">
        <f>Tab_Data_Flows[[#This Row],[Flow_ID]]&amp;"_"&amp;"WC_"&amp;Tab_Data_Flows[[#This Row],[Flow_Data_Year]]</f>
        <v/>
      </c>
      <c r="W281">
        <f>IF(D281="Yes",S281*Tab_Data_Flows[[#This Row],[WC_'[%']]],"N.A.")</f>
        <v/>
      </c>
      <c r="X281">
        <f>Tab_Data_Flows[[#This Row],[UoM_Flow_Py]]</f>
        <v/>
      </c>
      <c r="Y281">
        <f>INDEX(Tab_Def_Flows[[Flow_ID]:[CC_DM_source]],MATCH(Tab_Data_Flows[[#This Row],[Flow_Name]],Tab_Def_Flows[Flow_Name],0),14)</f>
        <v/>
      </c>
      <c r="Z281">
        <f>Tab_Data_Flows[[#This Row],[Flow_ID]]&amp;"_"&amp;"DM_"&amp;Tab_Data_Flows[[#This Row],[Flow_Data_Year]]</f>
        <v/>
      </c>
      <c r="AA281">
        <f>IF(E281="Yes",Y281*Tab_Data_Flows[[#This Row],[Flow_Material]],"N.A.")</f>
        <v/>
      </c>
      <c r="AB281">
        <f>Tab_Data_Flows[[#This Row],[UoM_Flow_Py]]</f>
        <v/>
      </c>
      <c r="AC281">
        <f>INDEX(Tab_Def_Flows[[Flow_ID]:[CC_DM_source]],MATCH(Tab_Data_Flows[[#This Row],[Flow_Name]],Tab_Def_Flows[Flow_Name],0),17)</f>
        <v/>
      </c>
      <c r="AD281">
        <f>Tab_Data_Flows[[#This Row],[Flow_ID]]&amp;"_"&amp;"CC_"&amp;Tab_Data_Flows[[#This Row],[Flow_Data_Year]]</f>
        <v/>
      </c>
      <c r="AE281">
        <f>IF(F281="Yes",AC281*Tab_Data_Flows[[#This Row],[Flow_Material]]*Tab_Data_Flows[[#This Row],[DM_'[%']]],"N.A.")</f>
        <v/>
      </c>
      <c r="AF281">
        <f>Tab_Data_Flows[[#This Row],[UoM_Flow_Py]]</f>
        <v/>
      </c>
    </row>
    <row r="282">
      <c r="A282">
        <f>ROW()-1</f>
        <v/>
      </c>
      <c r="B282">
        <f>_xlfn.XLOOKUP(C282,Tab_Def_Flows[Flow_Name],Tab_Def_Flows[Flow_ID],,0,)</f>
        <v/>
      </c>
      <c r="C282" t="inlineStr">
        <is>
          <t>N.A.</t>
        </is>
      </c>
      <c r="D282">
        <f>_xlfn.XLOOKUP(C282,Tab_Def_Flows[Flow_Name],Tab_Def_Flows[WC?],,0,)</f>
        <v/>
      </c>
      <c r="E282">
        <f>_xlfn.XLOOKUP(C282,Tab_Def_Flows[Flow_Name],Tab_Def_Flows[DM?],,0,)</f>
        <v/>
      </c>
      <c r="F282">
        <f>_xlfn.XLOOKUP(C282,Tab_Def_Flows[Flow_Name],Tab_Def_Flows[CC?],,0,)</f>
        <v/>
      </c>
      <c r="I282">
        <f>'0_Configuration'!$C$35</f>
        <v/>
      </c>
      <c r="O282" t="inlineStr">
        <is>
          <t>No</t>
        </is>
      </c>
      <c r="R282">
        <f>Tab_Data_Flows[[#This Row],[Flow_ID]]&amp;"_"&amp;"material_"&amp;Tab_Data_Flows[[#This Row],[Flow_Data_Year]]</f>
        <v/>
      </c>
      <c r="S282">
        <f>IF(O282="no",H282,H282*P282)</f>
        <v/>
      </c>
      <c r="T282">
        <f>Tab_Data_Flows[[#This Row],[UoM_Source]]</f>
        <v/>
      </c>
      <c r="U282">
        <f>INDEX(Tab_Def_Flows[[Flow_ID]:[CC_DM_source]],MATCH(Tab_Data_Flows[[#This Row],[Flow_Name]],Tab_Def_Flows[Flow_Name],0),11)</f>
        <v/>
      </c>
      <c r="V282">
        <f>Tab_Data_Flows[[#This Row],[Flow_ID]]&amp;"_"&amp;"WC_"&amp;Tab_Data_Flows[[#This Row],[Flow_Data_Year]]</f>
        <v/>
      </c>
      <c r="W282">
        <f>IF(D282="Yes",S282*Tab_Data_Flows[[#This Row],[WC_'[%']]],"N.A.")</f>
        <v/>
      </c>
      <c r="X282">
        <f>Tab_Data_Flows[[#This Row],[UoM_Flow_Py]]</f>
        <v/>
      </c>
      <c r="Y282">
        <f>INDEX(Tab_Def_Flows[[Flow_ID]:[CC_DM_source]],MATCH(Tab_Data_Flows[[#This Row],[Flow_Name]],Tab_Def_Flows[Flow_Name],0),14)</f>
        <v/>
      </c>
      <c r="Z282">
        <f>Tab_Data_Flows[[#This Row],[Flow_ID]]&amp;"_"&amp;"DM_"&amp;Tab_Data_Flows[[#This Row],[Flow_Data_Year]]</f>
        <v/>
      </c>
      <c r="AA282">
        <f>IF(E282="Yes",Y282*Tab_Data_Flows[[#This Row],[Flow_Material]],"N.A.")</f>
        <v/>
      </c>
      <c r="AB282">
        <f>Tab_Data_Flows[[#This Row],[UoM_Flow_Py]]</f>
        <v/>
      </c>
      <c r="AC282">
        <f>INDEX(Tab_Def_Flows[[Flow_ID]:[CC_DM_source]],MATCH(Tab_Data_Flows[[#This Row],[Flow_Name]],Tab_Def_Flows[Flow_Name],0),17)</f>
        <v/>
      </c>
      <c r="AD282">
        <f>Tab_Data_Flows[[#This Row],[Flow_ID]]&amp;"_"&amp;"CC_"&amp;Tab_Data_Flows[[#This Row],[Flow_Data_Year]]</f>
        <v/>
      </c>
      <c r="AE282">
        <f>IF(F282="Yes",AC282*Tab_Data_Flows[[#This Row],[Flow_Material]]*Tab_Data_Flows[[#This Row],[DM_'[%']]],"N.A.")</f>
        <v/>
      </c>
      <c r="AF282">
        <f>Tab_Data_Flows[[#This Row],[UoM_Flow_Py]]</f>
        <v/>
      </c>
    </row>
    <row r="283">
      <c r="A283">
        <f>ROW()-1</f>
        <v/>
      </c>
      <c r="B283">
        <f>_xlfn.XLOOKUP(C283,Tab_Def_Flows[Flow_Name],Tab_Def_Flows[Flow_ID],,0,)</f>
        <v/>
      </c>
      <c r="C283" t="inlineStr">
        <is>
          <t>N.A.</t>
        </is>
      </c>
      <c r="D283">
        <f>_xlfn.XLOOKUP(C283,Tab_Def_Flows[Flow_Name],Tab_Def_Flows[WC?],,0,)</f>
        <v/>
      </c>
      <c r="E283">
        <f>_xlfn.XLOOKUP(C283,Tab_Def_Flows[Flow_Name],Tab_Def_Flows[DM?],,0,)</f>
        <v/>
      </c>
      <c r="F283">
        <f>_xlfn.XLOOKUP(C283,Tab_Def_Flows[Flow_Name],Tab_Def_Flows[CC?],,0,)</f>
        <v/>
      </c>
      <c r="I283">
        <f>'0_Configuration'!$C$35</f>
        <v/>
      </c>
      <c r="O283" t="inlineStr">
        <is>
          <t>No</t>
        </is>
      </c>
      <c r="R283">
        <f>Tab_Data_Flows[[#This Row],[Flow_ID]]&amp;"_"&amp;"material_"&amp;Tab_Data_Flows[[#This Row],[Flow_Data_Year]]</f>
        <v/>
      </c>
      <c r="S283">
        <f>IF(O283="no",H283,H283*P283)</f>
        <v/>
      </c>
      <c r="T283">
        <f>Tab_Data_Flows[[#This Row],[UoM_Source]]</f>
        <v/>
      </c>
      <c r="U283">
        <f>INDEX(Tab_Def_Flows[[Flow_ID]:[CC_DM_source]],MATCH(Tab_Data_Flows[[#This Row],[Flow_Name]],Tab_Def_Flows[Flow_Name],0),11)</f>
        <v/>
      </c>
      <c r="V283">
        <f>Tab_Data_Flows[[#This Row],[Flow_ID]]&amp;"_"&amp;"WC_"&amp;Tab_Data_Flows[[#This Row],[Flow_Data_Year]]</f>
        <v/>
      </c>
      <c r="W283">
        <f>IF(D283="Yes",S283*Tab_Data_Flows[[#This Row],[WC_'[%']]],"N.A.")</f>
        <v/>
      </c>
      <c r="X283">
        <f>Tab_Data_Flows[[#This Row],[UoM_Flow_Py]]</f>
        <v/>
      </c>
      <c r="Y283">
        <f>INDEX(Tab_Def_Flows[[Flow_ID]:[CC_DM_source]],MATCH(Tab_Data_Flows[[#This Row],[Flow_Name]],Tab_Def_Flows[Flow_Name],0),14)</f>
        <v/>
      </c>
      <c r="Z283">
        <f>Tab_Data_Flows[[#This Row],[Flow_ID]]&amp;"_"&amp;"DM_"&amp;Tab_Data_Flows[[#This Row],[Flow_Data_Year]]</f>
        <v/>
      </c>
      <c r="AA283">
        <f>IF(E283="Yes",Y283*Tab_Data_Flows[[#This Row],[Flow_Material]],"N.A.")</f>
        <v/>
      </c>
      <c r="AB283">
        <f>Tab_Data_Flows[[#This Row],[UoM_Flow_Py]]</f>
        <v/>
      </c>
      <c r="AC283">
        <f>INDEX(Tab_Def_Flows[[Flow_ID]:[CC_DM_source]],MATCH(Tab_Data_Flows[[#This Row],[Flow_Name]],Tab_Def_Flows[Flow_Name],0),17)</f>
        <v/>
      </c>
      <c r="AD283">
        <f>Tab_Data_Flows[[#This Row],[Flow_ID]]&amp;"_"&amp;"CC_"&amp;Tab_Data_Flows[[#This Row],[Flow_Data_Year]]</f>
        <v/>
      </c>
      <c r="AE283">
        <f>IF(F283="Yes",AC283*Tab_Data_Flows[[#This Row],[Flow_Material]]*Tab_Data_Flows[[#This Row],[DM_'[%']]],"N.A.")</f>
        <v/>
      </c>
      <c r="AF283">
        <f>Tab_Data_Flows[[#This Row],[UoM_Flow_Py]]</f>
        <v/>
      </c>
    </row>
    <row r="284">
      <c r="A284">
        <f>ROW()-1</f>
        <v/>
      </c>
      <c r="B284">
        <f>_xlfn.XLOOKUP(C284,Tab_Def_Flows[Flow_Name],Tab_Def_Flows[Flow_ID],,0,)</f>
        <v/>
      </c>
      <c r="C284" t="inlineStr">
        <is>
          <t>N.A.</t>
        </is>
      </c>
      <c r="D284">
        <f>_xlfn.XLOOKUP(C284,Tab_Def_Flows[Flow_Name],Tab_Def_Flows[WC?],,0,)</f>
        <v/>
      </c>
      <c r="E284">
        <f>_xlfn.XLOOKUP(C284,Tab_Def_Flows[Flow_Name],Tab_Def_Flows[DM?],,0,)</f>
        <v/>
      </c>
      <c r="F284">
        <f>_xlfn.XLOOKUP(C284,Tab_Def_Flows[Flow_Name],Tab_Def_Flows[CC?],,0,)</f>
        <v/>
      </c>
      <c r="I284">
        <f>'0_Configuration'!$C$35</f>
        <v/>
      </c>
      <c r="O284" t="inlineStr">
        <is>
          <t>No</t>
        </is>
      </c>
      <c r="R284">
        <f>Tab_Data_Flows[[#This Row],[Flow_ID]]&amp;"_"&amp;"material_"&amp;Tab_Data_Flows[[#This Row],[Flow_Data_Year]]</f>
        <v/>
      </c>
      <c r="S284">
        <f>IF(O284="no",H284,H284*P284)</f>
        <v/>
      </c>
      <c r="T284">
        <f>Tab_Data_Flows[[#This Row],[UoM_Source]]</f>
        <v/>
      </c>
      <c r="U284">
        <f>INDEX(Tab_Def_Flows[[Flow_ID]:[CC_DM_source]],MATCH(Tab_Data_Flows[[#This Row],[Flow_Name]],Tab_Def_Flows[Flow_Name],0),11)</f>
        <v/>
      </c>
      <c r="V284">
        <f>Tab_Data_Flows[[#This Row],[Flow_ID]]&amp;"_"&amp;"WC_"&amp;Tab_Data_Flows[[#This Row],[Flow_Data_Year]]</f>
        <v/>
      </c>
      <c r="W284">
        <f>IF(D284="Yes",S284*Tab_Data_Flows[[#This Row],[WC_'[%']]],"N.A.")</f>
        <v/>
      </c>
      <c r="X284">
        <f>Tab_Data_Flows[[#This Row],[UoM_Flow_Py]]</f>
        <v/>
      </c>
      <c r="Y284">
        <f>INDEX(Tab_Def_Flows[[Flow_ID]:[CC_DM_source]],MATCH(Tab_Data_Flows[[#This Row],[Flow_Name]],Tab_Def_Flows[Flow_Name],0),14)</f>
        <v/>
      </c>
      <c r="Z284">
        <f>Tab_Data_Flows[[#This Row],[Flow_ID]]&amp;"_"&amp;"DM_"&amp;Tab_Data_Flows[[#This Row],[Flow_Data_Year]]</f>
        <v/>
      </c>
      <c r="AA284">
        <f>IF(E284="Yes",Y284*Tab_Data_Flows[[#This Row],[Flow_Material]],"N.A.")</f>
        <v/>
      </c>
      <c r="AB284">
        <f>Tab_Data_Flows[[#This Row],[UoM_Flow_Py]]</f>
        <v/>
      </c>
      <c r="AC284">
        <f>INDEX(Tab_Def_Flows[[Flow_ID]:[CC_DM_source]],MATCH(Tab_Data_Flows[[#This Row],[Flow_Name]],Tab_Def_Flows[Flow_Name],0),17)</f>
        <v/>
      </c>
      <c r="AD284">
        <f>Tab_Data_Flows[[#This Row],[Flow_ID]]&amp;"_"&amp;"CC_"&amp;Tab_Data_Flows[[#This Row],[Flow_Data_Year]]</f>
        <v/>
      </c>
      <c r="AE284">
        <f>IF(F284="Yes",AC284*Tab_Data_Flows[[#This Row],[Flow_Material]]*Tab_Data_Flows[[#This Row],[DM_'[%']]],"N.A.")</f>
        <v/>
      </c>
      <c r="AF284">
        <f>Tab_Data_Flows[[#This Row],[UoM_Flow_Py]]</f>
        <v/>
      </c>
    </row>
    <row r="285">
      <c r="A285">
        <f>ROW()-1</f>
        <v/>
      </c>
      <c r="B285">
        <f>_xlfn.XLOOKUP(C285,Tab_Def_Flows[Flow_Name],Tab_Def_Flows[Flow_ID],,0,)</f>
        <v/>
      </c>
      <c r="C285" t="inlineStr">
        <is>
          <t>N.A.</t>
        </is>
      </c>
      <c r="D285">
        <f>_xlfn.XLOOKUP(C285,Tab_Def_Flows[Flow_Name],Tab_Def_Flows[WC?],,0,)</f>
        <v/>
      </c>
      <c r="E285">
        <f>_xlfn.XLOOKUP(C285,Tab_Def_Flows[Flow_Name],Tab_Def_Flows[DM?],,0,)</f>
        <v/>
      </c>
      <c r="F285">
        <f>_xlfn.XLOOKUP(C285,Tab_Def_Flows[Flow_Name],Tab_Def_Flows[CC?],,0,)</f>
        <v/>
      </c>
      <c r="I285">
        <f>'0_Configuration'!$C$35</f>
        <v/>
      </c>
      <c r="O285" t="inlineStr">
        <is>
          <t>No</t>
        </is>
      </c>
      <c r="R285">
        <f>Tab_Data_Flows[[#This Row],[Flow_ID]]&amp;"_"&amp;"material_"&amp;Tab_Data_Flows[[#This Row],[Flow_Data_Year]]</f>
        <v/>
      </c>
      <c r="S285">
        <f>IF(O285="no",H285,H285*P285)</f>
        <v/>
      </c>
      <c r="T285">
        <f>Tab_Data_Flows[[#This Row],[UoM_Source]]</f>
        <v/>
      </c>
      <c r="U285">
        <f>INDEX(Tab_Def_Flows[[Flow_ID]:[CC_DM_source]],MATCH(Tab_Data_Flows[[#This Row],[Flow_Name]],Tab_Def_Flows[Flow_Name],0),11)</f>
        <v/>
      </c>
      <c r="V285">
        <f>Tab_Data_Flows[[#This Row],[Flow_ID]]&amp;"_"&amp;"WC_"&amp;Tab_Data_Flows[[#This Row],[Flow_Data_Year]]</f>
        <v/>
      </c>
      <c r="W285">
        <f>IF(D285="Yes",S285*Tab_Data_Flows[[#This Row],[WC_'[%']]],"N.A.")</f>
        <v/>
      </c>
      <c r="X285">
        <f>Tab_Data_Flows[[#This Row],[UoM_Flow_Py]]</f>
        <v/>
      </c>
      <c r="Y285">
        <f>INDEX(Tab_Def_Flows[[Flow_ID]:[CC_DM_source]],MATCH(Tab_Data_Flows[[#This Row],[Flow_Name]],Tab_Def_Flows[Flow_Name],0),14)</f>
        <v/>
      </c>
      <c r="Z285">
        <f>Tab_Data_Flows[[#This Row],[Flow_ID]]&amp;"_"&amp;"DM_"&amp;Tab_Data_Flows[[#This Row],[Flow_Data_Year]]</f>
        <v/>
      </c>
      <c r="AA285">
        <f>IF(E285="Yes",Y285*Tab_Data_Flows[[#This Row],[Flow_Material]],"N.A.")</f>
        <v/>
      </c>
      <c r="AB285">
        <f>Tab_Data_Flows[[#This Row],[UoM_Flow_Py]]</f>
        <v/>
      </c>
      <c r="AC285">
        <f>INDEX(Tab_Def_Flows[[Flow_ID]:[CC_DM_source]],MATCH(Tab_Data_Flows[[#This Row],[Flow_Name]],Tab_Def_Flows[Flow_Name],0),17)</f>
        <v/>
      </c>
      <c r="AD285">
        <f>Tab_Data_Flows[[#This Row],[Flow_ID]]&amp;"_"&amp;"CC_"&amp;Tab_Data_Flows[[#This Row],[Flow_Data_Year]]</f>
        <v/>
      </c>
      <c r="AE285">
        <f>IF(F285="Yes",AC285*Tab_Data_Flows[[#This Row],[Flow_Material]]*Tab_Data_Flows[[#This Row],[DM_'[%']]],"N.A.")</f>
        <v/>
      </c>
      <c r="AF285">
        <f>Tab_Data_Flows[[#This Row],[UoM_Flow_Py]]</f>
        <v/>
      </c>
    </row>
    <row r="286">
      <c r="A286">
        <f>ROW()-1</f>
        <v/>
      </c>
      <c r="B286">
        <f>_xlfn.XLOOKUP(C286,Tab_Def_Flows[Flow_Name],Tab_Def_Flows[Flow_ID],,0,)</f>
        <v/>
      </c>
      <c r="C286" t="inlineStr">
        <is>
          <t>N.A.</t>
        </is>
      </c>
      <c r="D286">
        <f>_xlfn.XLOOKUP(C286,Tab_Def_Flows[Flow_Name],Tab_Def_Flows[WC?],,0,)</f>
        <v/>
      </c>
      <c r="E286">
        <f>_xlfn.XLOOKUP(C286,Tab_Def_Flows[Flow_Name],Tab_Def_Flows[DM?],,0,)</f>
        <v/>
      </c>
      <c r="F286">
        <f>_xlfn.XLOOKUP(C286,Tab_Def_Flows[Flow_Name],Tab_Def_Flows[CC?],,0,)</f>
        <v/>
      </c>
      <c r="I286">
        <f>'0_Configuration'!$C$35</f>
        <v/>
      </c>
      <c r="O286" t="inlineStr">
        <is>
          <t>No</t>
        </is>
      </c>
      <c r="R286">
        <f>Tab_Data_Flows[[#This Row],[Flow_ID]]&amp;"_"&amp;"material_"&amp;Tab_Data_Flows[[#This Row],[Flow_Data_Year]]</f>
        <v/>
      </c>
      <c r="S286">
        <f>IF(O286="no",H286,H286*P286)</f>
        <v/>
      </c>
      <c r="T286">
        <f>Tab_Data_Flows[[#This Row],[UoM_Source]]</f>
        <v/>
      </c>
      <c r="U286">
        <f>INDEX(Tab_Def_Flows[[Flow_ID]:[CC_DM_source]],MATCH(Tab_Data_Flows[[#This Row],[Flow_Name]],Tab_Def_Flows[Flow_Name],0),11)</f>
        <v/>
      </c>
      <c r="V286">
        <f>Tab_Data_Flows[[#This Row],[Flow_ID]]&amp;"_"&amp;"WC_"&amp;Tab_Data_Flows[[#This Row],[Flow_Data_Year]]</f>
        <v/>
      </c>
      <c r="W286">
        <f>IF(D286="Yes",S286*Tab_Data_Flows[[#This Row],[WC_'[%']]],"N.A.")</f>
        <v/>
      </c>
      <c r="X286">
        <f>Tab_Data_Flows[[#This Row],[UoM_Flow_Py]]</f>
        <v/>
      </c>
      <c r="Y286">
        <f>INDEX(Tab_Def_Flows[[Flow_ID]:[CC_DM_source]],MATCH(Tab_Data_Flows[[#This Row],[Flow_Name]],Tab_Def_Flows[Flow_Name],0),14)</f>
        <v/>
      </c>
      <c r="Z286">
        <f>Tab_Data_Flows[[#This Row],[Flow_ID]]&amp;"_"&amp;"DM_"&amp;Tab_Data_Flows[[#This Row],[Flow_Data_Year]]</f>
        <v/>
      </c>
      <c r="AA286">
        <f>IF(E286="Yes",Y286*Tab_Data_Flows[[#This Row],[Flow_Material]],"N.A.")</f>
        <v/>
      </c>
      <c r="AB286">
        <f>Tab_Data_Flows[[#This Row],[UoM_Flow_Py]]</f>
        <v/>
      </c>
      <c r="AC286">
        <f>INDEX(Tab_Def_Flows[[Flow_ID]:[CC_DM_source]],MATCH(Tab_Data_Flows[[#This Row],[Flow_Name]],Tab_Def_Flows[Flow_Name],0),17)</f>
        <v/>
      </c>
      <c r="AD286">
        <f>Tab_Data_Flows[[#This Row],[Flow_ID]]&amp;"_"&amp;"CC_"&amp;Tab_Data_Flows[[#This Row],[Flow_Data_Year]]</f>
        <v/>
      </c>
      <c r="AE286">
        <f>IF(F286="Yes",AC286*Tab_Data_Flows[[#This Row],[Flow_Material]]*Tab_Data_Flows[[#This Row],[DM_'[%']]],"N.A.")</f>
        <v/>
      </c>
      <c r="AF286">
        <f>Tab_Data_Flows[[#This Row],[UoM_Flow_Py]]</f>
        <v/>
      </c>
    </row>
    <row r="287">
      <c r="A287">
        <f>ROW()-1</f>
        <v/>
      </c>
      <c r="B287">
        <f>_xlfn.XLOOKUP(C287,Tab_Def_Flows[Flow_Name],Tab_Def_Flows[Flow_ID],,0,)</f>
        <v/>
      </c>
      <c r="C287" t="inlineStr">
        <is>
          <t>N.A.</t>
        </is>
      </c>
      <c r="D287">
        <f>_xlfn.XLOOKUP(C287,Tab_Def_Flows[Flow_Name],Tab_Def_Flows[WC?],,0,)</f>
        <v/>
      </c>
      <c r="E287">
        <f>_xlfn.XLOOKUP(C287,Tab_Def_Flows[Flow_Name],Tab_Def_Flows[DM?],,0,)</f>
        <v/>
      </c>
      <c r="F287">
        <f>_xlfn.XLOOKUP(C287,Tab_Def_Flows[Flow_Name],Tab_Def_Flows[CC?],,0,)</f>
        <v/>
      </c>
      <c r="I287">
        <f>'0_Configuration'!$C$35</f>
        <v/>
      </c>
      <c r="O287" t="inlineStr">
        <is>
          <t>No</t>
        </is>
      </c>
      <c r="R287">
        <f>Tab_Data_Flows[[#This Row],[Flow_ID]]&amp;"_"&amp;"material_"&amp;Tab_Data_Flows[[#This Row],[Flow_Data_Year]]</f>
        <v/>
      </c>
      <c r="S287">
        <f>IF(O287="no",H287,H287*P287)</f>
        <v/>
      </c>
      <c r="T287">
        <f>Tab_Data_Flows[[#This Row],[UoM_Source]]</f>
        <v/>
      </c>
      <c r="U287">
        <f>INDEX(Tab_Def_Flows[[Flow_ID]:[CC_DM_source]],MATCH(Tab_Data_Flows[[#This Row],[Flow_Name]],Tab_Def_Flows[Flow_Name],0),11)</f>
        <v/>
      </c>
      <c r="V287">
        <f>Tab_Data_Flows[[#This Row],[Flow_ID]]&amp;"_"&amp;"WC_"&amp;Tab_Data_Flows[[#This Row],[Flow_Data_Year]]</f>
        <v/>
      </c>
      <c r="W287">
        <f>IF(D287="Yes",S287*Tab_Data_Flows[[#This Row],[WC_'[%']]],"N.A.")</f>
        <v/>
      </c>
      <c r="X287">
        <f>Tab_Data_Flows[[#This Row],[UoM_Flow_Py]]</f>
        <v/>
      </c>
      <c r="Y287">
        <f>INDEX(Tab_Def_Flows[[Flow_ID]:[CC_DM_source]],MATCH(Tab_Data_Flows[[#This Row],[Flow_Name]],Tab_Def_Flows[Flow_Name],0),14)</f>
        <v/>
      </c>
      <c r="Z287">
        <f>Tab_Data_Flows[[#This Row],[Flow_ID]]&amp;"_"&amp;"DM_"&amp;Tab_Data_Flows[[#This Row],[Flow_Data_Year]]</f>
        <v/>
      </c>
      <c r="AA287">
        <f>IF(E287="Yes",Y287*Tab_Data_Flows[[#This Row],[Flow_Material]],"N.A.")</f>
        <v/>
      </c>
      <c r="AB287">
        <f>Tab_Data_Flows[[#This Row],[UoM_Flow_Py]]</f>
        <v/>
      </c>
      <c r="AC287">
        <f>INDEX(Tab_Def_Flows[[Flow_ID]:[CC_DM_source]],MATCH(Tab_Data_Flows[[#This Row],[Flow_Name]],Tab_Def_Flows[Flow_Name],0),17)</f>
        <v/>
      </c>
      <c r="AD287">
        <f>Tab_Data_Flows[[#This Row],[Flow_ID]]&amp;"_"&amp;"CC_"&amp;Tab_Data_Flows[[#This Row],[Flow_Data_Year]]</f>
        <v/>
      </c>
      <c r="AE287">
        <f>IF(F287="Yes",AC287*Tab_Data_Flows[[#This Row],[Flow_Material]]*Tab_Data_Flows[[#This Row],[DM_'[%']]],"N.A.")</f>
        <v/>
      </c>
      <c r="AF287">
        <f>Tab_Data_Flows[[#This Row],[UoM_Flow_Py]]</f>
        <v/>
      </c>
    </row>
    <row r="288">
      <c r="A288">
        <f>ROW()-1</f>
        <v/>
      </c>
      <c r="B288">
        <f>_xlfn.XLOOKUP(C288,Tab_Def_Flows[Flow_Name],Tab_Def_Flows[Flow_ID],,0,)</f>
        <v/>
      </c>
      <c r="C288" t="inlineStr">
        <is>
          <t>N.A.</t>
        </is>
      </c>
      <c r="D288">
        <f>_xlfn.XLOOKUP(C288,Tab_Def_Flows[Flow_Name],Tab_Def_Flows[WC?],,0,)</f>
        <v/>
      </c>
      <c r="E288">
        <f>_xlfn.XLOOKUP(C288,Tab_Def_Flows[Flow_Name],Tab_Def_Flows[DM?],,0,)</f>
        <v/>
      </c>
      <c r="F288">
        <f>_xlfn.XLOOKUP(C288,Tab_Def_Flows[Flow_Name],Tab_Def_Flows[CC?],,0,)</f>
        <v/>
      </c>
      <c r="I288">
        <f>'0_Configuration'!$C$35</f>
        <v/>
      </c>
      <c r="O288" t="inlineStr">
        <is>
          <t>No</t>
        </is>
      </c>
      <c r="R288">
        <f>Tab_Data_Flows[[#This Row],[Flow_ID]]&amp;"_"&amp;"material_"&amp;Tab_Data_Flows[[#This Row],[Flow_Data_Year]]</f>
        <v/>
      </c>
      <c r="S288">
        <f>IF(O288="no",H288,H288*P288)</f>
        <v/>
      </c>
      <c r="T288">
        <f>Tab_Data_Flows[[#This Row],[UoM_Source]]</f>
        <v/>
      </c>
      <c r="U288">
        <f>INDEX(Tab_Def_Flows[[Flow_ID]:[CC_DM_source]],MATCH(Tab_Data_Flows[[#This Row],[Flow_Name]],Tab_Def_Flows[Flow_Name],0),11)</f>
        <v/>
      </c>
      <c r="V288">
        <f>Tab_Data_Flows[[#This Row],[Flow_ID]]&amp;"_"&amp;"WC_"&amp;Tab_Data_Flows[[#This Row],[Flow_Data_Year]]</f>
        <v/>
      </c>
      <c r="W288">
        <f>IF(D288="Yes",S288*Tab_Data_Flows[[#This Row],[WC_'[%']]],"N.A.")</f>
        <v/>
      </c>
      <c r="X288">
        <f>Tab_Data_Flows[[#This Row],[UoM_Flow_Py]]</f>
        <v/>
      </c>
      <c r="Y288">
        <f>INDEX(Tab_Def_Flows[[Flow_ID]:[CC_DM_source]],MATCH(Tab_Data_Flows[[#This Row],[Flow_Name]],Tab_Def_Flows[Flow_Name],0),14)</f>
        <v/>
      </c>
      <c r="Z288">
        <f>Tab_Data_Flows[[#This Row],[Flow_ID]]&amp;"_"&amp;"DM_"&amp;Tab_Data_Flows[[#This Row],[Flow_Data_Year]]</f>
        <v/>
      </c>
      <c r="AA288">
        <f>IF(E288="Yes",Y288*Tab_Data_Flows[[#This Row],[Flow_Material]],"N.A.")</f>
        <v/>
      </c>
      <c r="AB288">
        <f>Tab_Data_Flows[[#This Row],[UoM_Flow_Py]]</f>
        <v/>
      </c>
      <c r="AC288">
        <f>INDEX(Tab_Def_Flows[[Flow_ID]:[CC_DM_source]],MATCH(Tab_Data_Flows[[#This Row],[Flow_Name]],Tab_Def_Flows[Flow_Name],0),17)</f>
        <v/>
      </c>
      <c r="AD288">
        <f>Tab_Data_Flows[[#This Row],[Flow_ID]]&amp;"_"&amp;"CC_"&amp;Tab_Data_Flows[[#This Row],[Flow_Data_Year]]</f>
        <v/>
      </c>
      <c r="AE288">
        <f>IF(F288="Yes",AC288*Tab_Data_Flows[[#This Row],[Flow_Material]]*Tab_Data_Flows[[#This Row],[DM_'[%']]],"N.A.")</f>
        <v/>
      </c>
      <c r="AF288">
        <f>Tab_Data_Flows[[#This Row],[UoM_Flow_Py]]</f>
        <v/>
      </c>
    </row>
    <row r="289">
      <c r="A289">
        <f>ROW()-1</f>
        <v/>
      </c>
      <c r="B289">
        <f>_xlfn.XLOOKUP(C289,Tab_Def_Flows[Flow_Name],Tab_Def_Flows[Flow_ID],,0,)</f>
        <v/>
      </c>
      <c r="C289" t="inlineStr">
        <is>
          <t>N.A.</t>
        </is>
      </c>
      <c r="D289">
        <f>_xlfn.XLOOKUP(C289,Tab_Def_Flows[Flow_Name],Tab_Def_Flows[WC?],,0,)</f>
        <v/>
      </c>
      <c r="E289">
        <f>_xlfn.XLOOKUP(C289,Tab_Def_Flows[Flow_Name],Tab_Def_Flows[DM?],,0,)</f>
        <v/>
      </c>
      <c r="F289">
        <f>_xlfn.XLOOKUP(C289,Tab_Def_Flows[Flow_Name],Tab_Def_Flows[CC?],,0,)</f>
        <v/>
      </c>
      <c r="I289">
        <f>'0_Configuration'!$C$35</f>
        <v/>
      </c>
      <c r="O289" t="inlineStr">
        <is>
          <t>No</t>
        </is>
      </c>
      <c r="R289">
        <f>Tab_Data_Flows[[#This Row],[Flow_ID]]&amp;"_"&amp;"material_"&amp;Tab_Data_Flows[[#This Row],[Flow_Data_Year]]</f>
        <v/>
      </c>
      <c r="S289">
        <f>IF(O289="no",H289,H289*P289)</f>
        <v/>
      </c>
      <c r="T289">
        <f>Tab_Data_Flows[[#This Row],[UoM_Source]]</f>
        <v/>
      </c>
      <c r="U289">
        <f>INDEX(Tab_Def_Flows[[Flow_ID]:[CC_DM_source]],MATCH(Tab_Data_Flows[[#This Row],[Flow_Name]],Tab_Def_Flows[Flow_Name],0),11)</f>
        <v/>
      </c>
      <c r="V289">
        <f>Tab_Data_Flows[[#This Row],[Flow_ID]]&amp;"_"&amp;"WC_"&amp;Tab_Data_Flows[[#This Row],[Flow_Data_Year]]</f>
        <v/>
      </c>
      <c r="W289">
        <f>IF(D289="Yes",S289*Tab_Data_Flows[[#This Row],[WC_'[%']]],"N.A.")</f>
        <v/>
      </c>
      <c r="X289">
        <f>Tab_Data_Flows[[#This Row],[UoM_Flow_Py]]</f>
        <v/>
      </c>
      <c r="Y289">
        <f>INDEX(Tab_Def_Flows[[Flow_ID]:[CC_DM_source]],MATCH(Tab_Data_Flows[[#This Row],[Flow_Name]],Tab_Def_Flows[Flow_Name],0),14)</f>
        <v/>
      </c>
      <c r="Z289">
        <f>Tab_Data_Flows[[#This Row],[Flow_ID]]&amp;"_"&amp;"DM_"&amp;Tab_Data_Flows[[#This Row],[Flow_Data_Year]]</f>
        <v/>
      </c>
      <c r="AA289">
        <f>IF(E289="Yes",Y289*Tab_Data_Flows[[#This Row],[Flow_Material]],"N.A.")</f>
        <v/>
      </c>
      <c r="AB289">
        <f>Tab_Data_Flows[[#This Row],[UoM_Flow_Py]]</f>
        <v/>
      </c>
      <c r="AC289">
        <f>INDEX(Tab_Def_Flows[[Flow_ID]:[CC_DM_source]],MATCH(Tab_Data_Flows[[#This Row],[Flow_Name]],Tab_Def_Flows[Flow_Name],0),17)</f>
        <v/>
      </c>
      <c r="AD289">
        <f>Tab_Data_Flows[[#This Row],[Flow_ID]]&amp;"_"&amp;"CC_"&amp;Tab_Data_Flows[[#This Row],[Flow_Data_Year]]</f>
        <v/>
      </c>
      <c r="AE289">
        <f>IF(F289="Yes",AC289*Tab_Data_Flows[[#This Row],[Flow_Material]]*Tab_Data_Flows[[#This Row],[DM_'[%']]],"N.A.")</f>
        <v/>
      </c>
      <c r="AF289">
        <f>Tab_Data_Flows[[#This Row],[UoM_Flow_Py]]</f>
        <v/>
      </c>
    </row>
    <row r="290">
      <c r="A290">
        <f>ROW()-1</f>
        <v/>
      </c>
      <c r="B290">
        <f>_xlfn.XLOOKUP(C290,Tab_Def_Flows[Flow_Name],Tab_Def_Flows[Flow_ID],,0,)</f>
        <v/>
      </c>
      <c r="C290" t="inlineStr">
        <is>
          <t>N.A.</t>
        </is>
      </c>
      <c r="D290">
        <f>_xlfn.XLOOKUP(C290,Tab_Def_Flows[Flow_Name],Tab_Def_Flows[WC?],,0,)</f>
        <v/>
      </c>
      <c r="E290">
        <f>_xlfn.XLOOKUP(C290,Tab_Def_Flows[Flow_Name],Tab_Def_Flows[DM?],,0,)</f>
        <v/>
      </c>
      <c r="F290">
        <f>_xlfn.XLOOKUP(C290,Tab_Def_Flows[Flow_Name],Tab_Def_Flows[CC?],,0,)</f>
        <v/>
      </c>
      <c r="I290">
        <f>'0_Configuration'!$C$35</f>
        <v/>
      </c>
      <c r="O290" t="inlineStr">
        <is>
          <t>No</t>
        </is>
      </c>
      <c r="R290">
        <f>Tab_Data_Flows[[#This Row],[Flow_ID]]&amp;"_"&amp;"material_"&amp;Tab_Data_Flows[[#This Row],[Flow_Data_Year]]</f>
        <v/>
      </c>
      <c r="S290">
        <f>IF(O290="no",H290,H290*P290)</f>
        <v/>
      </c>
      <c r="T290">
        <f>Tab_Data_Flows[[#This Row],[UoM_Source]]</f>
        <v/>
      </c>
      <c r="U290">
        <f>INDEX(Tab_Def_Flows[[Flow_ID]:[CC_DM_source]],MATCH(Tab_Data_Flows[[#This Row],[Flow_Name]],Tab_Def_Flows[Flow_Name],0),11)</f>
        <v/>
      </c>
      <c r="V290">
        <f>Tab_Data_Flows[[#This Row],[Flow_ID]]&amp;"_"&amp;"WC_"&amp;Tab_Data_Flows[[#This Row],[Flow_Data_Year]]</f>
        <v/>
      </c>
      <c r="W290">
        <f>IF(D290="Yes",S290*Tab_Data_Flows[[#This Row],[WC_'[%']]],"N.A.")</f>
        <v/>
      </c>
      <c r="X290">
        <f>Tab_Data_Flows[[#This Row],[UoM_Flow_Py]]</f>
        <v/>
      </c>
      <c r="Y290">
        <f>INDEX(Tab_Def_Flows[[Flow_ID]:[CC_DM_source]],MATCH(Tab_Data_Flows[[#This Row],[Flow_Name]],Tab_Def_Flows[Flow_Name],0),14)</f>
        <v/>
      </c>
      <c r="Z290">
        <f>Tab_Data_Flows[[#This Row],[Flow_ID]]&amp;"_"&amp;"DM_"&amp;Tab_Data_Flows[[#This Row],[Flow_Data_Year]]</f>
        <v/>
      </c>
      <c r="AA290">
        <f>IF(E290="Yes",Y290*Tab_Data_Flows[[#This Row],[Flow_Material]],"N.A.")</f>
        <v/>
      </c>
      <c r="AB290">
        <f>Tab_Data_Flows[[#This Row],[UoM_Flow_Py]]</f>
        <v/>
      </c>
      <c r="AC290">
        <f>INDEX(Tab_Def_Flows[[Flow_ID]:[CC_DM_source]],MATCH(Tab_Data_Flows[[#This Row],[Flow_Name]],Tab_Def_Flows[Flow_Name],0),17)</f>
        <v/>
      </c>
      <c r="AD290">
        <f>Tab_Data_Flows[[#This Row],[Flow_ID]]&amp;"_"&amp;"CC_"&amp;Tab_Data_Flows[[#This Row],[Flow_Data_Year]]</f>
        <v/>
      </c>
      <c r="AE290">
        <f>IF(F290="Yes",AC290*Tab_Data_Flows[[#This Row],[Flow_Material]]*Tab_Data_Flows[[#This Row],[DM_'[%']]],"N.A.")</f>
        <v/>
      </c>
      <c r="AF290">
        <f>Tab_Data_Flows[[#This Row],[UoM_Flow_Py]]</f>
        <v/>
      </c>
    </row>
    <row r="291">
      <c r="A291">
        <f>ROW()-1</f>
        <v/>
      </c>
      <c r="B291">
        <f>_xlfn.XLOOKUP(C291,Tab_Def_Flows[Flow_Name],Tab_Def_Flows[Flow_ID],,0,)</f>
        <v/>
      </c>
      <c r="C291" t="inlineStr">
        <is>
          <t>N.A.</t>
        </is>
      </c>
      <c r="D291">
        <f>_xlfn.XLOOKUP(C291,Tab_Def_Flows[Flow_Name],Tab_Def_Flows[WC?],,0,)</f>
        <v/>
      </c>
      <c r="E291">
        <f>_xlfn.XLOOKUP(C291,Tab_Def_Flows[Flow_Name],Tab_Def_Flows[DM?],,0,)</f>
        <v/>
      </c>
      <c r="F291">
        <f>_xlfn.XLOOKUP(C291,Tab_Def_Flows[Flow_Name],Tab_Def_Flows[CC?],,0,)</f>
        <v/>
      </c>
      <c r="I291">
        <f>'0_Configuration'!$C$35</f>
        <v/>
      </c>
      <c r="O291" t="inlineStr">
        <is>
          <t>No</t>
        </is>
      </c>
      <c r="R291">
        <f>Tab_Data_Flows[[#This Row],[Flow_ID]]&amp;"_"&amp;"material_"&amp;Tab_Data_Flows[[#This Row],[Flow_Data_Year]]</f>
        <v/>
      </c>
      <c r="S291">
        <f>IF(O291="no",H291,H291*P291)</f>
        <v/>
      </c>
      <c r="T291">
        <f>Tab_Data_Flows[[#This Row],[UoM_Source]]</f>
        <v/>
      </c>
      <c r="U291">
        <f>INDEX(Tab_Def_Flows[[Flow_ID]:[CC_DM_source]],MATCH(Tab_Data_Flows[[#This Row],[Flow_Name]],Tab_Def_Flows[Flow_Name],0),11)</f>
        <v/>
      </c>
      <c r="V291">
        <f>Tab_Data_Flows[[#This Row],[Flow_ID]]&amp;"_"&amp;"WC_"&amp;Tab_Data_Flows[[#This Row],[Flow_Data_Year]]</f>
        <v/>
      </c>
      <c r="W291">
        <f>IF(D291="Yes",S291*Tab_Data_Flows[[#This Row],[WC_'[%']]],"N.A.")</f>
        <v/>
      </c>
      <c r="X291">
        <f>Tab_Data_Flows[[#This Row],[UoM_Flow_Py]]</f>
        <v/>
      </c>
      <c r="Y291">
        <f>INDEX(Tab_Def_Flows[[Flow_ID]:[CC_DM_source]],MATCH(Tab_Data_Flows[[#This Row],[Flow_Name]],Tab_Def_Flows[Flow_Name],0),14)</f>
        <v/>
      </c>
      <c r="Z291">
        <f>Tab_Data_Flows[[#This Row],[Flow_ID]]&amp;"_"&amp;"DM_"&amp;Tab_Data_Flows[[#This Row],[Flow_Data_Year]]</f>
        <v/>
      </c>
      <c r="AA291">
        <f>IF(E291="Yes",Y291*Tab_Data_Flows[[#This Row],[Flow_Material]],"N.A.")</f>
        <v/>
      </c>
      <c r="AB291">
        <f>Tab_Data_Flows[[#This Row],[UoM_Flow_Py]]</f>
        <v/>
      </c>
      <c r="AC291">
        <f>INDEX(Tab_Def_Flows[[Flow_ID]:[CC_DM_source]],MATCH(Tab_Data_Flows[[#This Row],[Flow_Name]],Tab_Def_Flows[Flow_Name],0),17)</f>
        <v/>
      </c>
      <c r="AD291">
        <f>Tab_Data_Flows[[#This Row],[Flow_ID]]&amp;"_"&amp;"CC_"&amp;Tab_Data_Flows[[#This Row],[Flow_Data_Year]]</f>
        <v/>
      </c>
      <c r="AE291">
        <f>IF(F291="Yes",AC291*Tab_Data_Flows[[#This Row],[Flow_Material]]*Tab_Data_Flows[[#This Row],[DM_'[%']]],"N.A.")</f>
        <v/>
      </c>
      <c r="AF291">
        <f>Tab_Data_Flows[[#This Row],[UoM_Flow_Py]]</f>
        <v/>
      </c>
    </row>
    <row r="292">
      <c r="A292">
        <f>ROW()-1</f>
        <v/>
      </c>
      <c r="B292">
        <f>_xlfn.XLOOKUP(C292,Tab_Def_Flows[Flow_Name],Tab_Def_Flows[Flow_ID],,0,)</f>
        <v/>
      </c>
      <c r="C292" t="inlineStr">
        <is>
          <t>N.A.</t>
        </is>
      </c>
      <c r="D292">
        <f>_xlfn.XLOOKUP(C292,Tab_Def_Flows[Flow_Name],Tab_Def_Flows[WC?],,0,)</f>
        <v/>
      </c>
      <c r="E292">
        <f>_xlfn.XLOOKUP(C292,Tab_Def_Flows[Flow_Name],Tab_Def_Flows[DM?],,0,)</f>
        <v/>
      </c>
      <c r="F292">
        <f>_xlfn.XLOOKUP(C292,Tab_Def_Flows[Flow_Name],Tab_Def_Flows[CC?],,0,)</f>
        <v/>
      </c>
      <c r="I292">
        <f>'0_Configuration'!$C$35</f>
        <v/>
      </c>
      <c r="O292" t="inlineStr">
        <is>
          <t>No</t>
        </is>
      </c>
      <c r="R292">
        <f>Tab_Data_Flows[[#This Row],[Flow_ID]]&amp;"_"&amp;"material_"&amp;Tab_Data_Flows[[#This Row],[Flow_Data_Year]]</f>
        <v/>
      </c>
      <c r="S292">
        <f>IF(O292="no",H292,H292*P292)</f>
        <v/>
      </c>
      <c r="T292">
        <f>Tab_Data_Flows[[#This Row],[UoM_Source]]</f>
        <v/>
      </c>
      <c r="U292">
        <f>INDEX(Tab_Def_Flows[[Flow_ID]:[CC_DM_source]],MATCH(Tab_Data_Flows[[#This Row],[Flow_Name]],Tab_Def_Flows[Flow_Name],0),11)</f>
        <v/>
      </c>
      <c r="V292">
        <f>Tab_Data_Flows[[#This Row],[Flow_ID]]&amp;"_"&amp;"WC_"&amp;Tab_Data_Flows[[#This Row],[Flow_Data_Year]]</f>
        <v/>
      </c>
      <c r="W292">
        <f>IF(D292="Yes",S292*Tab_Data_Flows[[#This Row],[WC_'[%']]],"N.A.")</f>
        <v/>
      </c>
      <c r="X292">
        <f>Tab_Data_Flows[[#This Row],[UoM_Flow_Py]]</f>
        <v/>
      </c>
      <c r="Y292">
        <f>INDEX(Tab_Def_Flows[[Flow_ID]:[CC_DM_source]],MATCH(Tab_Data_Flows[[#This Row],[Flow_Name]],Tab_Def_Flows[Flow_Name],0),14)</f>
        <v/>
      </c>
      <c r="Z292">
        <f>Tab_Data_Flows[[#This Row],[Flow_ID]]&amp;"_"&amp;"DM_"&amp;Tab_Data_Flows[[#This Row],[Flow_Data_Year]]</f>
        <v/>
      </c>
      <c r="AA292">
        <f>IF(E292="Yes",Y292*Tab_Data_Flows[[#This Row],[Flow_Material]],"N.A.")</f>
        <v/>
      </c>
      <c r="AB292">
        <f>Tab_Data_Flows[[#This Row],[UoM_Flow_Py]]</f>
        <v/>
      </c>
      <c r="AC292">
        <f>INDEX(Tab_Def_Flows[[Flow_ID]:[CC_DM_source]],MATCH(Tab_Data_Flows[[#This Row],[Flow_Name]],Tab_Def_Flows[Flow_Name],0),17)</f>
        <v/>
      </c>
      <c r="AD292">
        <f>Tab_Data_Flows[[#This Row],[Flow_ID]]&amp;"_"&amp;"CC_"&amp;Tab_Data_Flows[[#This Row],[Flow_Data_Year]]</f>
        <v/>
      </c>
      <c r="AE292">
        <f>IF(F292="Yes",AC292*Tab_Data_Flows[[#This Row],[Flow_Material]]*Tab_Data_Flows[[#This Row],[DM_'[%']]],"N.A.")</f>
        <v/>
      </c>
      <c r="AF292">
        <f>Tab_Data_Flows[[#This Row],[UoM_Flow_Py]]</f>
        <v/>
      </c>
    </row>
    <row r="293">
      <c r="A293">
        <f>ROW()-1</f>
        <v/>
      </c>
      <c r="B293">
        <f>_xlfn.XLOOKUP(C293,Tab_Def_Flows[Flow_Name],Tab_Def_Flows[Flow_ID],,0,)</f>
        <v/>
      </c>
      <c r="C293" t="inlineStr">
        <is>
          <t>N.A.</t>
        </is>
      </c>
      <c r="D293">
        <f>_xlfn.XLOOKUP(C293,Tab_Def_Flows[Flow_Name],Tab_Def_Flows[WC?],,0,)</f>
        <v/>
      </c>
      <c r="E293">
        <f>_xlfn.XLOOKUP(C293,Tab_Def_Flows[Flow_Name],Tab_Def_Flows[DM?],,0,)</f>
        <v/>
      </c>
      <c r="F293">
        <f>_xlfn.XLOOKUP(C293,Tab_Def_Flows[Flow_Name],Tab_Def_Flows[CC?],,0,)</f>
        <v/>
      </c>
      <c r="I293">
        <f>'0_Configuration'!$C$35</f>
        <v/>
      </c>
      <c r="O293" t="inlineStr">
        <is>
          <t>No</t>
        </is>
      </c>
      <c r="R293">
        <f>Tab_Data_Flows[[#This Row],[Flow_ID]]&amp;"_"&amp;"material_"&amp;Tab_Data_Flows[[#This Row],[Flow_Data_Year]]</f>
        <v/>
      </c>
      <c r="S293">
        <f>IF(O293="no",H293,H293*P293)</f>
        <v/>
      </c>
      <c r="T293">
        <f>Tab_Data_Flows[[#This Row],[UoM_Source]]</f>
        <v/>
      </c>
      <c r="U293">
        <f>INDEX(Tab_Def_Flows[[Flow_ID]:[CC_DM_source]],MATCH(Tab_Data_Flows[[#This Row],[Flow_Name]],Tab_Def_Flows[Flow_Name],0),11)</f>
        <v/>
      </c>
      <c r="V293">
        <f>Tab_Data_Flows[[#This Row],[Flow_ID]]&amp;"_"&amp;"WC_"&amp;Tab_Data_Flows[[#This Row],[Flow_Data_Year]]</f>
        <v/>
      </c>
      <c r="W293">
        <f>IF(D293="Yes",S293*Tab_Data_Flows[[#This Row],[WC_'[%']]],"N.A.")</f>
        <v/>
      </c>
      <c r="X293">
        <f>Tab_Data_Flows[[#This Row],[UoM_Flow_Py]]</f>
        <v/>
      </c>
      <c r="Y293">
        <f>INDEX(Tab_Def_Flows[[Flow_ID]:[CC_DM_source]],MATCH(Tab_Data_Flows[[#This Row],[Flow_Name]],Tab_Def_Flows[Flow_Name],0),14)</f>
        <v/>
      </c>
      <c r="Z293">
        <f>Tab_Data_Flows[[#This Row],[Flow_ID]]&amp;"_"&amp;"DM_"&amp;Tab_Data_Flows[[#This Row],[Flow_Data_Year]]</f>
        <v/>
      </c>
      <c r="AA293">
        <f>IF(E293="Yes",Y293*Tab_Data_Flows[[#This Row],[Flow_Material]],"N.A.")</f>
        <v/>
      </c>
      <c r="AB293">
        <f>Tab_Data_Flows[[#This Row],[UoM_Flow_Py]]</f>
        <v/>
      </c>
      <c r="AC293">
        <f>INDEX(Tab_Def_Flows[[Flow_ID]:[CC_DM_source]],MATCH(Tab_Data_Flows[[#This Row],[Flow_Name]],Tab_Def_Flows[Flow_Name],0),17)</f>
        <v/>
      </c>
      <c r="AD293">
        <f>Tab_Data_Flows[[#This Row],[Flow_ID]]&amp;"_"&amp;"CC_"&amp;Tab_Data_Flows[[#This Row],[Flow_Data_Year]]</f>
        <v/>
      </c>
      <c r="AE293">
        <f>IF(F293="Yes",AC293*Tab_Data_Flows[[#This Row],[Flow_Material]]*Tab_Data_Flows[[#This Row],[DM_'[%']]],"N.A.")</f>
        <v/>
      </c>
      <c r="AF293">
        <f>Tab_Data_Flows[[#This Row],[UoM_Flow_Py]]</f>
        <v/>
      </c>
    </row>
    <row r="294">
      <c r="A294">
        <f>ROW()-1</f>
        <v/>
      </c>
      <c r="B294">
        <f>_xlfn.XLOOKUP(C294,Tab_Def_Flows[Flow_Name],Tab_Def_Flows[Flow_ID],,0,)</f>
        <v/>
      </c>
      <c r="C294" t="inlineStr">
        <is>
          <t>N.A.</t>
        </is>
      </c>
      <c r="D294">
        <f>_xlfn.XLOOKUP(C294,Tab_Def_Flows[Flow_Name],Tab_Def_Flows[WC?],,0,)</f>
        <v/>
      </c>
      <c r="E294">
        <f>_xlfn.XLOOKUP(C294,Tab_Def_Flows[Flow_Name],Tab_Def_Flows[DM?],,0,)</f>
        <v/>
      </c>
      <c r="F294">
        <f>_xlfn.XLOOKUP(C294,Tab_Def_Flows[Flow_Name],Tab_Def_Flows[CC?],,0,)</f>
        <v/>
      </c>
      <c r="I294">
        <f>'0_Configuration'!$C$35</f>
        <v/>
      </c>
      <c r="O294" t="inlineStr">
        <is>
          <t>No</t>
        </is>
      </c>
      <c r="R294">
        <f>Tab_Data_Flows[[#This Row],[Flow_ID]]&amp;"_"&amp;"material_"&amp;Tab_Data_Flows[[#This Row],[Flow_Data_Year]]</f>
        <v/>
      </c>
      <c r="S294">
        <f>IF(O294="no",H294,H294*P294)</f>
        <v/>
      </c>
      <c r="T294">
        <f>Tab_Data_Flows[[#This Row],[UoM_Source]]</f>
        <v/>
      </c>
      <c r="U294">
        <f>INDEX(Tab_Def_Flows[[Flow_ID]:[CC_DM_source]],MATCH(Tab_Data_Flows[[#This Row],[Flow_Name]],Tab_Def_Flows[Flow_Name],0),11)</f>
        <v/>
      </c>
      <c r="V294">
        <f>Tab_Data_Flows[[#This Row],[Flow_ID]]&amp;"_"&amp;"WC_"&amp;Tab_Data_Flows[[#This Row],[Flow_Data_Year]]</f>
        <v/>
      </c>
      <c r="W294">
        <f>IF(D294="Yes",S294*Tab_Data_Flows[[#This Row],[WC_'[%']]],"N.A.")</f>
        <v/>
      </c>
      <c r="X294">
        <f>Tab_Data_Flows[[#This Row],[UoM_Flow_Py]]</f>
        <v/>
      </c>
      <c r="Y294">
        <f>INDEX(Tab_Def_Flows[[Flow_ID]:[CC_DM_source]],MATCH(Tab_Data_Flows[[#This Row],[Flow_Name]],Tab_Def_Flows[Flow_Name],0),14)</f>
        <v/>
      </c>
      <c r="Z294">
        <f>Tab_Data_Flows[[#This Row],[Flow_ID]]&amp;"_"&amp;"DM_"&amp;Tab_Data_Flows[[#This Row],[Flow_Data_Year]]</f>
        <v/>
      </c>
      <c r="AA294">
        <f>IF(E294="Yes",Y294*Tab_Data_Flows[[#This Row],[Flow_Material]],"N.A.")</f>
        <v/>
      </c>
      <c r="AB294">
        <f>Tab_Data_Flows[[#This Row],[UoM_Flow_Py]]</f>
        <v/>
      </c>
      <c r="AC294">
        <f>INDEX(Tab_Def_Flows[[Flow_ID]:[CC_DM_source]],MATCH(Tab_Data_Flows[[#This Row],[Flow_Name]],Tab_Def_Flows[Flow_Name],0),17)</f>
        <v/>
      </c>
      <c r="AD294">
        <f>Tab_Data_Flows[[#This Row],[Flow_ID]]&amp;"_"&amp;"CC_"&amp;Tab_Data_Flows[[#This Row],[Flow_Data_Year]]</f>
        <v/>
      </c>
      <c r="AE294">
        <f>IF(F294="Yes",AC294*Tab_Data_Flows[[#This Row],[Flow_Material]]*Tab_Data_Flows[[#This Row],[DM_'[%']]],"N.A.")</f>
        <v/>
      </c>
      <c r="AF294">
        <f>Tab_Data_Flows[[#This Row],[UoM_Flow_Py]]</f>
        <v/>
      </c>
    </row>
    <row r="295">
      <c r="A295">
        <f>ROW()-1</f>
        <v/>
      </c>
      <c r="B295">
        <f>_xlfn.XLOOKUP(C295,Tab_Def_Flows[Flow_Name],Tab_Def_Flows[Flow_ID],,0,)</f>
        <v/>
      </c>
      <c r="C295" t="inlineStr">
        <is>
          <t>N.A.</t>
        </is>
      </c>
      <c r="D295">
        <f>_xlfn.XLOOKUP(C295,Tab_Def_Flows[Flow_Name],Tab_Def_Flows[WC?],,0,)</f>
        <v/>
      </c>
      <c r="E295">
        <f>_xlfn.XLOOKUP(C295,Tab_Def_Flows[Flow_Name],Tab_Def_Flows[DM?],,0,)</f>
        <v/>
      </c>
      <c r="F295">
        <f>_xlfn.XLOOKUP(C295,Tab_Def_Flows[Flow_Name],Tab_Def_Flows[CC?],,0,)</f>
        <v/>
      </c>
      <c r="I295">
        <f>'0_Configuration'!$C$35</f>
        <v/>
      </c>
      <c r="O295" t="inlineStr">
        <is>
          <t>No</t>
        </is>
      </c>
      <c r="R295">
        <f>Tab_Data_Flows[[#This Row],[Flow_ID]]&amp;"_"&amp;"material_"&amp;Tab_Data_Flows[[#This Row],[Flow_Data_Year]]</f>
        <v/>
      </c>
      <c r="S295">
        <f>IF(O295="no",H295,H295*P295)</f>
        <v/>
      </c>
      <c r="T295">
        <f>Tab_Data_Flows[[#This Row],[UoM_Source]]</f>
        <v/>
      </c>
      <c r="U295">
        <f>INDEX(Tab_Def_Flows[[Flow_ID]:[CC_DM_source]],MATCH(Tab_Data_Flows[[#This Row],[Flow_Name]],Tab_Def_Flows[Flow_Name],0),11)</f>
        <v/>
      </c>
      <c r="V295">
        <f>Tab_Data_Flows[[#This Row],[Flow_ID]]&amp;"_"&amp;"WC_"&amp;Tab_Data_Flows[[#This Row],[Flow_Data_Year]]</f>
        <v/>
      </c>
      <c r="W295">
        <f>IF(D295="Yes",S295*Tab_Data_Flows[[#This Row],[WC_'[%']]],"N.A.")</f>
        <v/>
      </c>
      <c r="X295">
        <f>Tab_Data_Flows[[#This Row],[UoM_Flow_Py]]</f>
        <v/>
      </c>
      <c r="Y295">
        <f>INDEX(Tab_Def_Flows[[Flow_ID]:[CC_DM_source]],MATCH(Tab_Data_Flows[[#This Row],[Flow_Name]],Tab_Def_Flows[Flow_Name],0),14)</f>
        <v/>
      </c>
      <c r="Z295">
        <f>Tab_Data_Flows[[#This Row],[Flow_ID]]&amp;"_"&amp;"DM_"&amp;Tab_Data_Flows[[#This Row],[Flow_Data_Year]]</f>
        <v/>
      </c>
      <c r="AA295">
        <f>IF(E295="Yes",Y295*Tab_Data_Flows[[#This Row],[Flow_Material]],"N.A.")</f>
        <v/>
      </c>
      <c r="AB295">
        <f>Tab_Data_Flows[[#This Row],[UoM_Flow_Py]]</f>
        <v/>
      </c>
      <c r="AC295">
        <f>INDEX(Tab_Def_Flows[[Flow_ID]:[CC_DM_source]],MATCH(Tab_Data_Flows[[#This Row],[Flow_Name]],Tab_Def_Flows[Flow_Name],0),17)</f>
        <v/>
      </c>
      <c r="AD295">
        <f>Tab_Data_Flows[[#This Row],[Flow_ID]]&amp;"_"&amp;"CC_"&amp;Tab_Data_Flows[[#This Row],[Flow_Data_Year]]</f>
        <v/>
      </c>
      <c r="AE295">
        <f>IF(F295="Yes",AC295*Tab_Data_Flows[[#This Row],[Flow_Material]]*Tab_Data_Flows[[#This Row],[DM_'[%']]],"N.A.")</f>
        <v/>
      </c>
      <c r="AF295">
        <f>Tab_Data_Flows[[#This Row],[UoM_Flow_Py]]</f>
        <v/>
      </c>
    </row>
    <row r="296">
      <c r="A296">
        <f>ROW()-1</f>
        <v/>
      </c>
      <c r="B296">
        <f>_xlfn.XLOOKUP(C296,Tab_Def_Flows[Flow_Name],Tab_Def_Flows[Flow_ID],,0,)</f>
        <v/>
      </c>
      <c r="C296" t="inlineStr">
        <is>
          <t>N.A.</t>
        </is>
      </c>
      <c r="D296">
        <f>_xlfn.XLOOKUP(C296,Tab_Def_Flows[Flow_Name],Tab_Def_Flows[WC?],,0,)</f>
        <v/>
      </c>
      <c r="E296">
        <f>_xlfn.XLOOKUP(C296,Tab_Def_Flows[Flow_Name],Tab_Def_Flows[DM?],,0,)</f>
        <v/>
      </c>
      <c r="F296">
        <f>_xlfn.XLOOKUP(C296,Tab_Def_Flows[Flow_Name],Tab_Def_Flows[CC?],,0,)</f>
        <v/>
      </c>
      <c r="I296">
        <f>'0_Configuration'!$C$35</f>
        <v/>
      </c>
      <c r="O296" t="inlineStr">
        <is>
          <t>No</t>
        </is>
      </c>
      <c r="R296">
        <f>Tab_Data_Flows[[#This Row],[Flow_ID]]&amp;"_"&amp;"material_"&amp;Tab_Data_Flows[[#This Row],[Flow_Data_Year]]</f>
        <v/>
      </c>
      <c r="S296">
        <f>IF(O296="no",H296,H296*P296)</f>
        <v/>
      </c>
      <c r="T296">
        <f>Tab_Data_Flows[[#This Row],[UoM_Source]]</f>
        <v/>
      </c>
      <c r="U296">
        <f>INDEX(Tab_Def_Flows[[Flow_ID]:[CC_DM_source]],MATCH(Tab_Data_Flows[[#This Row],[Flow_Name]],Tab_Def_Flows[Flow_Name],0),11)</f>
        <v/>
      </c>
      <c r="V296">
        <f>Tab_Data_Flows[[#This Row],[Flow_ID]]&amp;"_"&amp;"WC_"&amp;Tab_Data_Flows[[#This Row],[Flow_Data_Year]]</f>
        <v/>
      </c>
      <c r="W296">
        <f>IF(D296="Yes",S296*Tab_Data_Flows[[#This Row],[WC_'[%']]],"N.A.")</f>
        <v/>
      </c>
      <c r="X296">
        <f>Tab_Data_Flows[[#This Row],[UoM_Flow_Py]]</f>
        <v/>
      </c>
      <c r="Y296">
        <f>INDEX(Tab_Def_Flows[[Flow_ID]:[CC_DM_source]],MATCH(Tab_Data_Flows[[#This Row],[Flow_Name]],Tab_Def_Flows[Flow_Name],0),14)</f>
        <v/>
      </c>
      <c r="Z296">
        <f>Tab_Data_Flows[[#This Row],[Flow_ID]]&amp;"_"&amp;"DM_"&amp;Tab_Data_Flows[[#This Row],[Flow_Data_Year]]</f>
        <v/>
      </c>
      <c r="AA296">
        <f>IF(E296="Yes",Y296*Tab_Data_Flows[[#This Row],[Flow_Material]],"N.A.")</f>
        <v/>
      </c>
      <c r="AB296">
        <f>Tab_Data_Flows[[#This Row],[UoM_Flow_Py]]</f>
        <v/>
      </c>
      <c r="AC296">
        <f>INDEX(Tab_Def_Flows[[Flow_ID]:[CC_DM_source]],MATCH(Tab_Data_Flows[[#This Row],[Flow_Name]],Tab_Def_Flows[Flow_Name],0),17)</f>
        <v/>
      </c>
      <c r="AD296">
        <f>Tab_Data_Flows[[#This Row],[Flow_ID]]&amp;"_"&amp;"CC_"&amp;Tab_Data_Flows[[#This Row],[Flow_Data_Year]]</f>
        <v/>
      </c>
      <c r="AE296">
        <f>IF(F296="Yes",AC296*Tab_Data_Flows[[#This Row],[Flow_Material]]*Tab_Data_Flows[[#This Row],[DM_'[%']]],"N.A.")</f>
        <v/>
      </c>
      <c r="AF296">
        <f>Tab_Data_Flows[[#This Row],[UoM_Flow_Py]]</f>
        <v/>
      </c>
    </row>
    <row r="297">
      <c r="A297">
        <f>ROW()-1</f>
        <v/>
      </c>
      <c r="B297">
        <f>_xlfn.XLOOKUP(C297,Tab_Def_Flows[Flow_Name],Tab_Def_Flows[Flow_ID],,0,)</f>
        <v/>
      </c>
      <c r="C297" t="inlineStr">
        <is>
          <t>N.A.</t>
        </is>
      </c>
      <c r="D297">
        <f>_xlfn.XLOOKUP(C297,Tab_Def_Flows[Flow_Name],Tab_Def_Flows[WC?],,0,)</f>
        <v/>
      </c>
      <c r="E297">
        <f>_xlfn.XLOOKUP(C297,Tab_Def_Flows[Flow_Name],Tab_Def_Flows[DM?],,0,)</f>
        <v/>
      </c>
      <c r="F297">
        <f>_xlfn.XLOOKUP(C297,Tab_Def_Flows[Flow_Name],Tab_Def_Flows[CC?],,0,)</f>
        <v/>
      </c>
      <c r="I297">
        <f>'0_Configuration'!$C$35</f>
        <v/>
      </c>
      <c r="O297" t="inlineStr">
        <is>
          <t>No</t>
        </is>
      </c>
      <c r="R297">
        <f>Tab_Data_Flows[[#This Row],[Flow_ID]]&amp;"_"&amp;"material_"&amp;Tab_Data_Flows[[#This Row],[Flow_Data_Year]]</f>
        <v/>
      </c>
      <c r="S297">
        <f>IF(O297="no",H297,H297*P297)</f>
        <v/>
      </c>
      <c r="T297">
        <f>Tab_Data_Flows[[#This Row],[UoM_Source]]</f>
        <v/>
      </c>
      <c r="U297">
        <f>INDEX(Tab_Def_Flows[[Flow_ID]:[CC_DM_source]],MATCH(Tab_Data_Flows[[#This Row],[Flow_Name]],Tab_Def_Flows[Flow_Name],0),11)</f>
        <v/>
      </c>
      <c r="V297">
        <f>Tab_Data_Flows[[#This Row],[Flow_ID]]&amp;"_"&amp;"WC_"&amp;Tab_Data_Flows[[#This Row],[Flow_Data_Year]]</f>
        <v/>
      </c>
      <c r="W297">
        <f>IF(D297="Yes",S297*Tab_Data_Flows[[#This Row],[WC_'[%']]],"N.A.")</f>
        <v/>
      </c>
      <c r="X297">
        <f>Tab_Data_Flows[[#This Row],[UoM_Flow_Py]]</f>
        <v/>
      </c>
      <c r="Y297">
        <f>INDEX(Tab_Def_Flows[[Flow_ID]:[CC_DM_source]],MATCH(Tab_Data_Flows[[#This Row],[Flow_Name]],Tab_Def_Flows[Flow_Name],0),14)</f>
        <v/>
      </c>
      <c r="Z297">
        <f>Tab_Data_Flows[[#This Row],[Flow_ID]]&amp;"_"&amp;"DM_"&amp;Tab_Data_Flows[[#This Row],[Flow_Data_Year]]</f>
        <v/>
      </c>
      <c r="AA297">
        <f>IF(E297="Yes",Y297*Tab_Data_Flows[[#This Row],[Flow_Material]],"N.A.")</f>
        <v/>
      </c>
      <c r="AB297">
        <f>Tab_Data_Flows[[#This Row],[UoM_Flow_Py]]</f>
        <v/>
      </c>
      <c r="AC297">
        <f>INDEX(Tab_Def_Flows[[Flow_ID]:[CC_DM_source]],MATCH(Tab_Data_Flows[[#This Row],[Flow_Name]],Tab_Def_Flows[Flow_Name],0),17)</f>
        <v/>
      </c>
      <c r="AD297">
        <f>Tab_Data_Flows[[#This Row],[Flow_ID]]&amp;"_"&amp;"CC_"&amp;Tab_Data_Flows[[#This Row],[Flow_Data_Year]]</f>
        <v/>
      </c>
      <c r="AE297">
        <f>IF(F297="Yes",AC297*Tab_Data_Flows[[#This Row],[Flow_Material]]*Tab_Data_Flows[[#This Row],[DM_'[%']]],"N.A.")</f>
        <v/>
      </c>
      <c r="AF297">
        <f>Tab_Data_Flows[[#This Row],[UoM_Flow_Py]]</f>
        <v/>
      </c>
    </row>
    <row r="298">
      <c r="A298">
        <f>ROW()-1</f>
        <v/>
      </c>
      <c r="B298">
        <f>_xlfn.XLOOKUP(C298,Tab_Def_Flows[Flow_Name],Tab_Def_Flows[Flow_ID],,0,)</f>
        <v/>
      </c>
      <c r="C298" t="inlineStr">
        <is>
          <t>N.A.</t>
        </is>
      </c>
      <c r="D298">
        <f>_xlfn.XLOOKUP(C298,Tab_Def_Flows[Flow_Name],Tab_Def_Flows[WC?],,0,)</f>
        <v/>
      </c>
      <c r="E298">
        <f>_xlfn.XLOOKUP(C298,Tab_Def_Flows[Flow_Name],Tab_Def_Flows[DM?],,0,)</f>
        <v/>
      </c>
      <c r="F298">
        <f>_xlfn.XLOOKUP(C298,Tab_Def_Flows[Flow_Name],Tab_Def_Flows[CC?],,0,)</f>
        <v/>
      </c>
      <c r="I298">
        <f>'0_Configuration'!$C$35</f>
        <v/>
      </c>
      <c r="O298" t="inlineStr">
        <is>
          <t>No</t>
        </is>
      </c>
      <c r="R298">
        <f>Tab_Data_Flows[[#This Row],[Flow_ID]]&amp;"_"&amp;"material_"&amp;Tab_Data_Flows[[#This Row],[Flow_Data_Year]]</f>
        <v/>
      </c>
      <c r="S298">
        <f>IF(O298="no",H298,H298*P298)</f>
        <v/>
      </c>
      <c r="T298">
        <f>Tab_Data_Flows[[#This Row],[UoM_Source]]</f>
        <v/>
      </c>
      <c r="U298">
        <f>INDEX(Tab_Def_Flows[[Flow_ID]:[CC_DM_source]],MATCH(Tab_Data_Flows[[#This Row],[Flow_Name]],Tab_Def_Flows[Flow_Name],0),11)</f>
        <v/>
      </c>
      <c r="V298">
        <f>Tab_Data_Flows[[#This Row],[Flow_ID]]&amp;"_"&amp;"WC_"&amp;Tab_Data_Flows[[#This Row],[Flow_Data_Year]]</f>
        <v/>
      </c>
      <c r="W298">
        <f>IF(D298="Yes",S298*Tab_Data_Flows[[#This Row],[WC_'[%']]],"N.A.")</f>
        <v/>
      </c>
      <c r="X298">
        <f>Tab_Data_Flows[[#This Row],[UoM_Flow_Py]]</f>
        <v/>
      </c>
      <c r="Y298">
        <f>INDEX(Tab_Def_Flows[[Flow_ID]:[CC_DM_source]],MATCH(Tab_Data_Flows[[#This Row],[Flow_Name]],Tab_Def_Flows[Flow_Name],0),14)</f>
        <v/>
      </c>
      <c r="Z298">
        <f>Tab_Data_Flows[[#This Row],[Flow_ID]]&amp;"_"&amp;"DM_"&amp;Tab_Data_Flows[[#This Row],[Flow_Data_Year]]</f>
        <v/>
      </c>
      <c r="AA298">
        <f>IF(E298="Yes",Y298*Tab_Data_Flows[[#This Row],[Flow_Material]],"N.A.")</f>
        <v/>
      </c>
      <c r="AB298">
        <f>Tab_Data_Flows[[#This Row],[UoM_Flow_Py]]</f>
        <v/>
      </c>
      <c r="AC298">
        <f>INDEX(Tab_Def_Flows[[Flow_ID]:[CC_DM_source]],MATCH(Tab_Data_Flows[[#This Row],[Flow_Name]],Tab_Def_Flows[Flow_Name],0),17)</f>
        <v/>
      </c>
      <c r="AD298">
        <f>Tab_Data_Flows[[#This Row],[Flow_ID]]&amp;"_"&amp;"CC_"&amp;Tab_Data_Flows[[#This Row],[Flow_Data_Year]]</f>
        <v/>
      </c>
      <c r="AE298">
        <f>IF(F298="Yes",AC298*Tab_Data_Flows[[#This Row],[Flow_Material]]*Tab_Data_Flows[[#This Row],[DM_'[%']]],"N.A.")</f>
        <v/>
      </c>
      <c r="AF298">
        <f>Tab_Data_Flows[[#This Row],[UoM_Flow_Py]]</f>
        <v/>
      </c>
    </row>
    <row r="299">
      <c r="A299">
        <f>ROW()-1</f>
        <v/>
      </c>
      <c r="B299">
        <f>_xlfn.XLOOKUP(C299,Tab_Def_Flows[Flow_Name],Tab_Def_Flows[Flow_ID],,0,)</f>
        <v/>
      </c>
      <c r="C299" t="inlineStr">
        <is>
          <t>N.A.</t>
        </is>
      </c>
      <c r="D299">
        <f>_xlfn.XLOOKUP(C299,Tab_Def_Flows[Flow_Name],Tab_Def_Flows[WC?],,0,)</f>
        <v/>
      </c>
      <c r="E299">
        <f>_xlfn.XLOOKUP(C299,Tab_Def_Flows[Flow_Name],Tab_Def_Flows[DM?],,0,)</f>
        <v/>
      </c>
      <c r="F299">
        <f>_xlfn.XLOOKUP(C299,Tab_Def_Flows[Flow_Name],Tab_Def_Flows[CC?],,0,)</f>
        <v/>
      </c>
      <c r="I299">
        <f>'0_Configuration'!$C$35</f>
        <v/>
      </c>
      <c r="O299" t="inlineStr">
        <is>
          <t>No</t>
        </is>
      </c>
      <c r="R299">
        <f>Tab_Data_Flows[[#This Row],[Flow_ID]]&amp;"_"&amp;"material_"&amp;Tab_Data_Flows[[#This Row],[Flow_Data_Year]]</f>
        <v/>
      </c>
      <c r="S299">
        <f>IF(O299="no",H299,H299*P299)</f>
        <v/>
      </c>
      <c r="T299">
        <f>Tab_Data_Flows[[#This Row],[UoM_Source]]</f>
        <v/>
      </c>
      <c r="U299">
        <f>INDEX(Tab_Def_Flows[[Flow_ID]:[CC_DM_source]],MATCH(Tab_Data_Flows[[#This Row],[Flow_Name]],Tab_Def_Flows[Flow_Name],0),11)</f>
        <v/>
      </c>
      <c r="V299">
        <f>Tab_Data_Flows[[#This Row],[Flow_ID]]&amp;"_"&amp;"WC_"&amp;Tab_Data_Flows[[#This Row],[Flow_Data_Year]]</f>
        <v/>
      </c>
      <c r="W299">
        <f>IF(D299="Yes",S299*Tab_Data_Flows[[#This Row],[WC_'[%']]],"N.A.")</f>
        <v/>
      </c>
      <c r="X299">
        <f>Tab_Data_Flows[[#This Row],[UoM_Flow_Py]]</f>
        <v/>
      </c>
      <c r="Y299">
        <f>INDEX(Tab_Def_Flows[[Flow_ID]:[CC_DM_source]],MATCH(Tab_Data_Flows[[#This Row],[Flow_Name]],Tab_Def_Flows[Flow_Name],0),14)</f>
        <v/>
      </c>
      <c r="Z299">
        <f>Tab_Data_Flows[[#This Row],[Flow_ID]]&amp;"_"&amp;"DM_"&amp;Tab_Data_Flows[[#This Row],[Flow_Data_Year]]</f>
        <v/>
      </c>
      <c r="AA299">
        <f>IF(E299="Yes",Y299*Tab_Data_Flows[[#This Row],[Flow_Material]],"N.A.")</f>
        <v/>
      </c>
      <c r="AB299">
        <f>Tab_Data_Flows[[#This Row],[UoM_Flow_Py]]</f>
        <v/>
      </c>
      <c r="AC299">
        <f>INDEX(Tab_Def_Flows[[Flow_ID]:[CC_DM_source]],MATCH(Tab_Data_Flows[[#This Row],[Flow_Name]],Tab_Def_Flows[Flow_Name],0),17)</f>
        <v/>
      </c>
      <c r="AD299">
        <f>Tab_Data_Flows[[#This Row],[Flow_ID]]&amp;"_"&amp;"CC_"&amp;Tab_Data_Flows[[#This Row],[Flow_Data_Year]]</f>
        <v/>
      </c>
      <c r="AE299">
        <f>IF(F299="Yes",AC299*Tab_Data_Flows[[#This Row],[Flow_Material]]*Tab_Data_Flows[[#This Row],[DM_'[%']]],"N.A.")</f>
        <v/>
      </c>
      <c r="AF299">
        <f>Tab_Data_Flows[[#This Row],[UoM_Flow_Py]]</f>
        <v/>
      </c>
    </row>
    <row r="300">
      <c r="A300">
        <f>ROW()-1</f>
        <v/>
      </c>
      <c r="B300">
        <f>_xlfn.XLOOKUP(C300,Tab_Def_Flows[Flow_Name],Tab_Def_Flows[Flow_ID],,0,)</f>
        <v/>
      </c>
      <c r="C300" t="inlineStr">
        <is>
          <t>N.A.</t>
        </is>
      </c>
      <c r="D300">
        <f>_xlfn.XLOOKUP(C300,Tab_Def_Flows[Flow_Name],Tab_Def_Flows[WC?],,0,)</f>
        <v/>
      </c>
      <c r="E300">
        <f>_xlfn.XLOOKUP(C300,Tab_Def_Flows[Flow_Name],Tab_Def_Flows[DM?],,0,)</f>
        <v/>
      </c>
      <c r="F300">
        <f>_xlfn.XLOOKUP(C300,Tab_Def_Flows[Flow_Name],Tab_Def_Flows[CC?],,0,)</f>
        <v/>
      </c>
      <c r="I300">
        <f>'0_Configuration'!$C$35</f>
        <v/>
      </c>
      <c r="O300" t="inlineStr">
        <is>
          <t>No</t>
        </is>
      </c>
      <c r="R300">
        <f>Tab_Data_Flows[[#This Row],[Flow_ID]]&amp;"_"&amp;"material_"&amp;Tab_Data_Flows[[#This Row],[Flow_Data_Year]]</f>
        <v/>
      </c>
      <c r="S300">
        <f>IF(O300="no",H300,H300*P300)</f>
        <v/>
      </c>
      <c r="T300">
        <f>Tab_Data_Flows[[#This Row],[UoM_Source]]</f>
        <v/>
      </c>
      <c r="U300">
        <f>INDEX(Tab_Def_Flows[[Flow_ID]:[CC_DM_source]],MATCH(Tab_Data_Flows[[#This Row],[Flow_Name]],Tab_Def_Flows[Flow_Name],0),11)</f>
        <v/>
      </c>
      <c r="V300">
        <f>Tab_Data_Flows[[#This Row],[Flow_ID]]&amp;"_"&amp;"WC_"&amp;Tab_Data_Flows[[#This Row],[Flow_Data_Year]]</f>
        <v/>
      </c>
      <c r="W300">
        <f>IF(D300="Yes",S300*Tab_Data_Flows[[#This Row],[WC_'[%']]],"N.A.")</f>
        <v/>
      </c>
      <c r="X300">
        <f>Tab_Data_Flows[[#This Row],[UoM_Flow_Py]]</f>
        <v/>
      </c>
      <c r="Y300">
        <f>INDEX(Tab_Def_Flows[[Flow_ID]:[CC_DM_source]],MATCH(Tab_Data_Flows[[#This Row],[Flow_Name]],Tab_Def_Flows[Flow_Name],0),14)</f>
        <v/>
      </c>
      <c r="Z300">
        <f>Tab_Data_Flows[[#This Row],[Flow_ID]]&amp;"_"&amp;"DM_"&amp;Tab_Data_Flows[[#This Row],[Flow_Data_Year]]</f>
        <v/>
      </c>
      <c r="AA300">
        <f>IF(E300="Yes",Y300*Tab_Data_Flows[[#This Row],[Flow_Material]],"N.A.")</f>
        <v/>
      </c>
      <c r="AB300">
        <f>Tab_Data_Flows[[#This Row],[UoM_Flow_Py]]</f>
        <v/>
      </c>
      <c r="AC300">
        <f>INDEX(Tab_Def_Flows[[Flow_ID]:[CC_DM_source]],MATCH(Tab_Data_Flows[[#This Row],[Flow_Name]],Tab_Def_Flows[Flow_Name],0),17)</f>
        <v/>
      </c>
      <c r="AD300">
        <f>Tab_Data_Flows[[#This Row],[Flow_ID]]&amp;"_"&amp;"CC_"&amp;Tab_Data_Flows[[#This Row],[Flow_Data_Year]]</f>
        <v/>
      </c>
      <c r="AE300">
        <f>IF(F300="Yes",AC300*Tab_Data_Flows[[#This Row],[Flow_Material]]*Tab_Data_Flows[[#This Row],[DM_'[%']]],"N.A.")</f>
        <v/>
      </c>
      <c r="AF300">
        <f>Tab_Data_Flows[[#This Row],[UoM_Flow_Py]]</f>
        <v/>
      </c>
    </row>
    <row r="301">
      <c r="A301">
        <f>ROW()-1</f>
        <v/>
      </c>
      <c r="B301">
        <f>_xlfn.XLOOKUP(C301,Tab_Def_Flows[Flow_Name],Tab_Def_Flows[Flow_ID],,0,)</f>
        <v/>
      </c>
      <c r="C301" t="inlineStr">
        <is>
          <t>N.A.</t>
        </is>
      </c>
      <c r="D301">
        <f>_xlfn.XLOOKUP(C301,Tab_Def_Flows[Flow_Name],Tab_Def_Flows[WC?],,0,)</f>
        <v/>
      </c>
      <c r="E301">
        <f>_xlfn.XLOOKUP(C301,Tab_Def_Flows[Flow_Name],Tab_Def_Flows[DM?],,0,)</f>
        <v/>
      </c>
      <c r="F301">
        <f>_xlfn.XLOOKUP(C301,Tab_Def_Flows[Flow_Name],Tab_Def_Flows[CC?],,0,)</f>
        <v/>
      </c>
      <c r="I301">
        <f>'0_Configuration'!$C$35</f>
        <v/>
      </c>
      <c r="O301" t="inlineStr">
        <is>
          <t>No</t>
        </is>
      </c>
      <c r="R301">
        <f>Tab_Data_Flows[[#This Row],[Flow_ID]]&amp;"_"&amp;"material_"&amp;Tab_Data_Flows[[#This Row],[Flow_Data_Year]]</f>
        <v/>
      </c>
      <c r="S301">
        <f>IF(O301="no",H301,H301*P301)</f>
        <v/>
      </c>
      <c r="T301">
        <f>Tab_Data_Flows[[#This Row],[UoM_Source]]</f>
        <v/>
      </c>
      <c r="U301">
        <f>INDEX(Tab_Def_Flows[[Flow_ID]:[CC_DM_source]],MATCH(Tab_Data_Flows[[#This Row],[Flow_Name]],Tab_Def_Flows[Flow_Name],0),11)</f>
        <v/>
      </c>
      <c r="V301">
        <f>Tab_Data_Flows[[#This Row],[Flow_ID]]&amp;"_"&amp;"WC_"&amp;Tab_Data_Flows[[#This Row],[Flow_Data_Year]]</f>
        <v/>
      </c>
      <c r="W301">
        <f>IF(D301="Yes",S301*Tab_Data_Flows[[#This Row],[WC_'[%']]],"N.A.")</f>
        <v/>
      </c>
      <c r="X301">
        <f>Tab_Data_Flows[[#This Row],[UoM_Flow_Py]]</f>
        <v/>
      </c>
      <c r="Y301">
        <f>INDEX(Tab_Def_Flows[[Flow_ID]:[CC_DM_source]],MATCH(Tab_Data_Flows[[#This Row],[Flow_Name]],Tab_Def_Flows[Flow_Name],0),14)</f>
        <v/>
      </c>
      <c r="Z301">
        <f>Tab_Data_Flows[[#This Row],[Flow_ID]]&amp;"_"&amp;"DM_"&amp;Tab_Data_Flows[[#This Row],[Flow_Data_Year]]</f>
        <v/>
      </c>
      <c r="AA301">
        <f>IF(E301="Yes",Y301*Tab_Data_Flows[[#This Row],[Flow_Material]],"N.A.")</f>
        <v/>
      </c>
      <c r="AB301">
        <f>Tab_Data_Flows[[#This Row],[UoM_Flow_Py]]</f>
        <v/>
      </c>
      <c r="AC301">
        <f>INDEX(Tab_Def_Flows[[Flow_ID]:[CC_DM_source]],MATCH(Tab_Data_Flows[[#This Row],[Flow_Name]],Tab_Def_Flows[Flow_Name],0),17)</f>
        <v/>
      </c>
      <c r="AD301">
        <f>Tab_Data_Flows[[#This Row],[Flow_ID]]&amp;"_"&amp;"CC_"&amp;Tab_Data_Flows[[#This Row],[Flow_Data_Year]]</f>
        <v/>
      </c>
      <c r="AE301">
        <f>IF(F301="Yes",AC301*Tab_Data_Flows[[#This Row],[Flow_Material]]*Tab_Data_Flows[[#This Row],[DM_'[%']]],"N.A.")</f>
        <v/>
      </c>
      <c r="AF301">
        <f>Tab_Data_Flows[[#This Row],[UoM_Flow_Py]]</f>
        <v/>
      </c>
    </row>
    <row r="302">
      <c r="A302">
        <f>ROW()-1</f>
        <v/>
      </c>
      <c r="B302">
        <f>_xlfn.XLOOKUP(C302,Tab_Def_Flows[Flow_Name],Tab_Def_Flows[Flow_ID],,0,)</f>
        <v/>
      </c>
      <c r="C302" t="inlineStr">
        <is>
          <t>N.A.</t>
        </is>
      </c>
      <c r="D302">
        <f>_xlfn.XLOOKUP(C302,Tab_Def_Flows[Flow_Name],Tab_Def_Flows[WC?],,0,)</f>
        <v/>
      </c>
      <c r="E302">
        <f>_xlfn.XLOOKUP(C302,Tab_Def_Flows[Flow_Name],Tab_Def_Flows[DM?],,0,)</f>
        <v/>
      </c>
      <c r="F302">
        <f>_xlfn.XLOOKUP(C302,Tab_Def_Flows[Flow_Name],Tab_Def_Flows[CC?],,0,)</f>
        <v/>
      </c>
      <c r="I302">
        <f>'0_Configuration'!$C$35</f>
        <v/>
      </c>
      <c r="O302" t="inlineStr">
        <is>
          <t>No</t>
        </is>
      </c>
      <c r="R302">
        <f>Tab_Data_Flows[[#This Row],[Flow_ID]]&amp;"_"&amp;"material_"&amp;Tab_Data_Flows[[#This Row],[Flow_Data_Year]]</f>
        <v/>
      </c>
      <c r="S302">
        <f>IF(O302="no",H302,H302*P302)</f>
        <v/>
      </c>
      <c r="T302">
        <f>Tab_Data_Flows[[#This Row],[UoM_Source]]</f>
        <v/>
      </c>
      <c r="U302">
        <f>INDEX(Tab_Def_Flows[[Flow_ID]:[CC_DM_source]],MATCH(Tab_Data_Flows[[#This Row],[Flow_Name]],Tab_Def_Flows[Flow_Name],0),11)</f>
        <v/>
      </c>
      <c r="V302">
        <f>Tab_Data_Flows[[#This Row],[Flow_ID]]&amp;"_"&amp;"WC_"&amp;Tab_Data_Flows[[#This Row],[Flow_Data_Year]]</f>
        <v/>
      </c>
      <c r="W302">
        <f>IF(D302="Yes",S302*Tab_Data_Flows[[#This Row],[WC_'[%']]],"N.A.")</f>
        <v/>
      </c>
      <c r="X302">
        <f>Tab_Data_Flows[[#This Row],[UoM_Flow_Py]]</f>
        <v/>
      </c>
      <c r="Y302">
        <f>INDEX(Tab_Def_Flows[[Flow_ID]:[CC_DM_source]],MATCH(Tab_Data_Flows[[#This Row],[Flow_Name]],Tab_Def_Flows[Flow_Name],0),14)</f>
        <v/>
      </c>
      <c r="Z302">
        <f>Tab_Data_Flows[[#This Row],[Flow_ID]]&amp;"_"&amp;"DM_"&amp;Tab_Data_Flows[[#This Row],[Flow_Data_Year]]</f>
        <v/>
      </c>
      <c r="AA302">
        <f>IF(E302="Yes",Y302*Tab_Data_Flows[[#This Row],[Flow_Material]],"N.A.")</f>
        <v/>
      </c>
      <c r="AB302">
        <f>Tab_Data_Flows[[#This Row],[UoM_Flow_Py]]</f>
        <v/>
      </c>
      <c r="AC302">
        <f>INDEX(Tab_Def_Flows[[Flow_ID]:[CC_DM_source]],MATCH(Tab_Data_Flows[[#This Row],[Flow_Name]],Tab_Def_Flows[Flow_Name],0),17)</f>
        <v/>
      </c>
      <c r="AD302">
        <f>Tab_Data_Flows[[#This Row],[Flow_ID]]&amp;"_"&amp;"CC_"&amp;Tab_Data_Flows[[#This Row],[Flow_Data_Year]]</f>
        <v/>
      </c>
      <c r="AE302">
        <f>IF(F302="Yes",AC302*Tab_Data_Flows[[#This Row],[Flow_Material]]*Tab_Data_Flows[[#This Row],[DM_'[%']]],"N.A.")</f>
        <v/>
      </c>
      <c r="AF302">
        <f>Tab_Data_Flows[[#This Row],[UoM_Flow_Py]]</f>
        <v/>
      </c>
    </row>
    <row r="303">
      <c r="A303">
        <f>ROW()-1</f>
        <v/>
      </c>
      <c r="B303">
        <f>_xlfn.XLOOKUP(C303,Tab_Def_Flows[Flow_Name],Tab_Def_Flows[Flow_ID],,0,)</f>
        <v/>
      </c>
      <c r="C303" t="inlineStr">
        <is>
          <t>N.A.</t>
        </is>
      </c>
      <c r="D303">
        <f>_xlfn.XLOOKUP(C303,Tab_Def_Flows[Flow_Name],Tab_Def_Flows[WC?],,0,)</f>
        <v/>
      </c>
      <c r="E303">
        <f>_xlfn.XLOOKUP(C303,Tab_Def_Flows[Flow_Name],Tab_Def_Flows[DM?],,0,)</f>
        <v/>
      </c>
      <c r="F303">
        <f>_xlfn.XLOOKUP(C303,Tab_Def_Flows[Flow_Name],Tab_Def_Flows[CC?],,0,)</f>
        <v/>
      </c>
      <c r="I303">
        <f>'0_Configuration'!$C$35</f>
        <v/>
      </c>
      <c r="O303" t="inlineStr">
        <is>
          <t>No</t>
        </is>
      </c>
      <c r="R303">
        <f>Tab_Data_Flows[[#This Row],[Flow_ID]]&amp;"_"&amp;"material_"&amp;Tab_Data_Flows[[#This Row],[Flow_Data_Year]]</f>
        <v/>
      </c>
      <c r="S303">
        <f>IF(O303="no",H303,H303*P303)</f>
        <v/>
      </c>
      <c r="T303">
        <f>Tab_Data_Flows[[#This Row],[UoM_Source]]</f>
        <v/>
      </c>
      <c r="U303">
        <f>INDEX(Tab_Def_Flows[[Flow_ID]:[CC_DM_source]],MATCH(Tab_Data_Flows[[#This Row],[Flow_Name]],Tab_Def_Flows[Flow_Name],0),11)</f>
        <v/>
      </c>
      <c r="V303">
        <f>Tab_Data_Flows[[#This Row],[Flow_ID]]&amp;"_"&amp;"WC_"&amp;Tab_Data_Flows[[#This Row],[Flow_Data_Year]]</f>
        <v/>
      </c>
      <c r="W303">
        <f>IF(D303="Yes",S303*Tab_Data_Flows[[#This Row],[WC_'[%']]],"N.A.")</f>
        <v/>
      </c>
      <c r="X303">
        <f>Tab_Data_Flows[[#This Row],[UoM_Flow_Py]]</f>
        <v/>
      </c>
      <c r="Y303">
        <f>INDEX(Tab_Def_Flows[[Flow_ID]:[CC_DM_source]],MATCH(Tab_Data_Flows[[#This Row],[Flow_Name]],Tab_Def_Flows[Flow_Name],0),14)</f>
        <v/>
      </c>
      <c r="Z303">
        <f>Tab_Data_Flows[[#This Row],[Flow_ID]]&amp;"_"&amp;"DM_"&amp;Tab_Data_Flows[[#This Row],[Flow_Data_Year]]</f>
        <v/>
      </c>
      <c r="AA303">
        <f>IF(E303="Yes",Y303*Tab_Data_Flows[[#This Row],[Flow_Material]],"N.A.")</f>
        <v/>
      </c>
      <c r="AB303">
        <f>Tab_Data_Flows[[#This Row],[UoM_Flow_Py]]</f>
        <v/>
      </c>
      <c r="AC303">
        <f>INDEX(Tab_Def_Flows[[Flow_ID]:[CC_DM_source]],MATCH(Tab_Data_Flows[[#This Row],[Flow_Name]],Tab_Def_Flows[Flow_Name],0),17)</f>
        <v/>
      </c>
      <c r="AD303">
        <f>Tab_Data_Flows[[#This Row],[Flow_ID]]&amp;"_"&amp;"CC_"&amp;Tab_Data_Flows[[#This Row],[Flow_Data_Year]]</f>
        <v/>
      </c>
      <c r="AE303">
        <f>IF(F303="Yes",AC303*Tab_Data_Flows[[#This Row],[Flow_Material]]*Tab_Data_Flows[[#This Row],[DM_'[%']]],"N.A.")</f>
        <v/>
      </c>
      <c r="AF303">
        <f>Tab_Data_Flows[[#This Row],[UoM_Flow_Py]]</f>
        <v/>
      </c>
    </row>
    <row r="304">
      <c r="A304">
        <f>ROW()-1</f>
        <v/>
      </c>
      <c r="B304">
        <f>_xlfn.XLOOKUP(C304,Tab_Def_Flows[Flow_Name],Tab_Def_Flows[Flow_ID],,0,)</f>
        <v/>
      </c>
      <c r="C304" t="inlineStr">
        <is>
          <t>N.A.</t>
        </is>
      </c>
      <c r="D304">
        <f>_xlfn.XLOOKUP(C304,Tab_Def_Flows[Flow_Name],Tab_Def_Flows[WC?],,0,)</f>
        <v/>
      </c>
      <c r="E304">
        <f>_xlfn.XLOOKUP(C304,Tab_Def_Flows[Flow_Name],Tab_Def_Flows[DM?],,0,)</f>
        <v/>
      </c>
      <c r="F304">
        <f>_xlfn.XLOOKUP(C304,Tab_Def_Flows[Flow_Name],Tab_Def_Flows[CC?],,0,)</f>
        <v/>
      </c>
      <c r="O304" t="inlineStr">
        <is>
          <t>No</t>
        </is>
      </c>
      <c r="R304">
        <f>Tab_Data_Flows[[#This Row],[Flow_ID]]&amp;"_"&amp;"material_"&amp;Tab_Data_Flows[[#This Row],[Flow_Data_Year]]</f>
        <v/>
      </c>
      <c r="S304">
        <f>IF(O304="no",H304,H304*P304)</f>
        <v/>
      </c>
      <c r="T304">
        <f>Tab_Data_Flows[[#This Row],[UoM_Source]]</f>
        <v/>
      </c>
      <c r="U304">
        <f>INDEX(Tab_Def_Flows[[Flow_ID]:[CC_DM_source]],MATCH(Tab_Data_Flows[[#This Row],[Flow_Name]],Tab_Def_Flows[Flow_Name],0),11)</f>
        <v/>
      </c>
      <c r="V304">
        <f>Tab_Data_Flows[[#This Row],[Flow_ID]]&amp;"_"&amp;"WC_"&amp;Tab_Data_Flows[[#This Row],[Flow_Data_Year]]</f>
        <v/>
      </c>
      <c r="W304">
        <f>IF(D304="Yes",S304*Tab_Data_Flows[[#This Row],[WC_'[%']]],"N.A.")</f>
        <v/>
      </c>
      <c r="X304">
        <f>Tab_Data_Flows[[#This Row],[UoM_Flow_Py]]</f>
        <v/>
      </c>
      <c r="Y304">
        <f>INDEX(Tab_Def_Flows[[Flow_ID]:[CC_DM_source]],MATCH(Tab_Data_Flows[[#This Row],[Flow_Name]],Tab_Def_Flows[Flow_Name],0),14)</f>
        <v/>
      </c>
      <c r="Z304">
        <f>Tab_Data_Flows[[#This Row],[Flow_ID]]&amp;"_"&amp;"DM_"&amp;Tab_Data_Flows[[#This Row],[Flow_Data_Year]]</f>
        <v/>
      </c>
      <c r="AA304">
        <f>IF(E304="Yes",Y304*Tab_Data_Flows[[#This Row],[Flow_Material]],"N.A.")</f>
        <v/>
      </c>
      <c r="AB304">
        <f>Tab_Data_Flows[[#This Row],[UoM_Flow_Py]]</f>
        <v/>
      </c>
      <c r="AC304">
        <f>INDEX(Tab_Def_Flows[[Flow_ID]:[CC_DM_source]],MATCH(Tab_Data_Flows[[#This Row],[Flow_Name]],Tab_Def_Flows[Flow_Name],0),17)</f>
        <v/>
      </c>
      <c r="AD304">
        <f>Tab_Data_Flows[[#This Row],[Flow_ID]]&amp;"_"&amp;"CC_"&amp;Tab_Data_Flows[[#This Row],[Flow_Data_Year]]</f>
        <v/>
      </c>
      <c r="AE304">
        <f>IF(F304="Yes",AC304*Tab_Data_Flows[[#This Row],[Flow_Material]]*Tab_Data_Flows[[#This Row],[DM_'[%']]],"N.A.")</f>
        <v/>
      </c>
      <c r="AF304">
        <f>Tab_Data_Flows[[#This Row],[UoM_Flow_Py]]</f>
        <v/>
      </c>
    </row>
    <row r="305">
      <c r="A305">
        <f>ROW()-1</f>
        <v/>
      </c>
      <c r="B305">
        <f>_xlfn.XLOOKUP(C305,Tab_Def_Flows[Flow_Name],Tab_Def_Flows[Flow_ID],,0,)</f>
        <v/>
      </c>
      <c r="C305" t="inlineStr">
        <is>
          <t>N.A.</t>
        </is>
      </c>
      <c r="D305">
        <f>_xlfn.XLOOKUP(C305,Tab_Def_Flows[Flow_Name],Tab_Def_Flows[WC?],,0,)</f>
        <v/>
      </c>
      <c r="E305">
        <f>_xlfn.XLOOKUP(C305,Tab_Def_Flows[Flow_Name],Tab_Def_Flows[DM?],,0,)</f>
        <v/>
      </c>
      <c r="F305">
        <f>_xlfn.XLOOKUP(C305,Tab_Def_Flows[Flow_Name],Tab_Def_Flows[CC?],,0,)</f>
        <v/>
      </c>
      <c r="O305" t="inlineStr">
        <is>
          <t>No</t>
        </is>
      </c>
      <c r="R305">
        <f>Tab_Data_Flows[[#This Row],[Flow_ID]]&amp;"_"&amp;"material_"&amp;Tab_Data_Flows[[#This Row],[Flow_Data_Year]]</f>
        <v/>
      </c>
      <c r="S305">
        <f>IF(O305="no",H305,H305*P305)</f>
        <v/>
      </c>
      <c r="T305">
        <f>Tab_Data_Flows[[#This Row],[UoM_Source]]</f>
        <v/>
      </c>
      <c r="U305">
        <f>INDEX(Tab_Def_Flows[[Flow_ID]:[CC_DM_source]],MATCH(Tab_Data_Flows[[#This Row],[Flow_Name]],Tab_Def_Flows[Flow_Name],0),11)</f>
        <v/>
      </c>
      <c r="V305">
        <f>Tab_Data_Flows[[#This Row],[Flow_ID]]&amp;"_"&amp;"WC_"&amp;Tab_Data_Flows[[#This Row],[Flow_Data_Year]]</f>
        <v/>
      </c>
      <c r="W305">
        <f>IF(D305="Yes",S305*Tab_Data_Flows[[#This Row],[WC_'[%']]],"N.A.")</f>
        <v/>
      </c>
      <c r="X305">
        <f>Tab_Data_Flows[[#This Row],[UoM_Flow_Py]]</f>
        <v/>
      </c>
      <c r="Y305">
        <f>INDEX(Tab_Def_Flows[[Flow_ID]:[CC_DM_source]],MATCH(Tab_Data_Flows[[#This Row],[Flow_Name]],Tab_Def_Flows[Flow_Name],0),14)</f>
        <v/>
      </c>
      <c r="Z305">
        <f>Tab_Data_Flows[[#This Row],[Flow_ID]]&amp;"_"&amp;"DM_"&amp;Tab_Data_Flows[[#This Row],[Flow_Data_Year]]</f>
        <v/>
      </c>
      <c r="AA305">
        <f>IF(E305="Yes",Y305*Tab_Data_Flows[[#This Row],[Flow_Material]],"N.A.")</f>
        <v/>
      </c>
      <c r="AB305">
        <f>Tab_Data_Flows[[#This Row],[UoM_Flow_Py]]</f>
        <v/>
      </c>
      <c r="AC305">
        <f>INDEX(Tab_Def_Flows[[Flow_ID]:[CC_DM_source]],MATCH(Tab_Data_Flows[[#This Row],[Flow_Name]],Tab_Def_Flows[Flow_Name],0),17)</f>
        <v/>
      </c>
      <c r="AD305">
        <f>Tab_Data_Flows[[#This Row],[Flow_ID]]&amp;"_"&amp;"CC_"&amp;Tab_Data_Flows[[#This Row],[Flow_Data_Year]]</f>
        <v/>
      </c>
      <c r="AE305">
        <f>IF(F305="Yes",AC305*Tab_Data_Flows[[#This Row],[Flow_Material]]*Tab_Data_Flows[[#This Row],[DM_'[%']]],"N.A.")</f>
        <v/>
      </c>
      <c r="AF305">
        <f>Tab_Data_Flows[[#This Row],[UoM_Flow_Py]]</f>
        <v/>
      </c>
    </row>
    <row r="306">
      <c r="A306">
        <f>ROW()-1</f>
        <v/>
      </c>
      <c r="B306">
        <f>_xlfn.XLOOKUP(C306,Tab_Def_Flows[Flow_Name],Tab_Def_Flows[Flow_ID],,0,)</f>
        <v/>
      </c>
      <c r="C306" t="inlineStr">
        <is>
          <t>N.A.</t>
        </is>
      </c>
      <c r="D306">
        <f>_xlfn.XLOOKUP(C306,Tab_Def_Flows[Flow_Name],Tab_Def_Flows[WC?],,0,)</f>
        <v/>
      </c>
      <c r="E306">
        <f>_xlfn.XLOOKUP(C306,Tab_Def_Flows[Flow_Name],Tab_Def_Flows[DM?],,0,)</f>
        <v/>
      </c>
      <c r="F306">
        <f>_xlfn.XLOOKUP(C306,Tab_Def_Flows[Flow_Name],Tab_Def_Flows[CC?],,0,)</f>
        <v/>
      </c>
      <c r="O306" t="inlineStr">
        <is>
          <t>No</t>
        </is>
      </c>
      <c r="R306">
        <f>Tab_Data_Flows[[#This Row],[Flow_ID]]&amp;"_"&amp;"material_"&amp;Tab_Data_Flows[[#This Row],[Flow_Data_Year]]</f>
        <v/>
      </c>
      <c r="S306">
        <f>IF(O306="no",H306,H306*P306)</f>
        <v/>
      </c>
      <c r="T306">
        <f>Tab_Data_Flows[[#This Row],[UoM_Source]]</f>
        <v/>
      </c>
      <c r="U306">
        <f>INDEX(Tab_Def_Flows[[Flow_ID]:[CC_DM_source]],MATCH(Tab_Data_Flows[[#This Row],[Flow_Name]],Tab_Def_Flows[Flow_Name],0),11)</f>
        <v/>
      </c>
      <c r="V306">
        <f>Tab_Data_Flows[[#This Row],[Flow_ID]]&amp;"_"&amp;"WC_"&amp;Tab_Data_Flows[[#This Row],[Flow_Data_Year]]</f>
        <v/>
      </c>
      <c r="W306">
        <f>IF(D306="Yes",S306*Tab_Data_Flows[[#This Row],[WC_'[%']]],"N.A.")</f>
        <v/>
      </c>
      <c r="X306">
        <f>Tab_Data_Flows[[#This Row],[UoM_Flow_Py]]</f>
        <v/>
      </c>
      <c r="Y306">
        <f>INDEX(Tab_Def_Flows[[Flow_ID]:[CC_DM_source]],MATCH(Tab_Data_Flows[[#This Row],[Flow_Name]],Tab_Def_Flows[Flow_Name],0),14)</f>
        <v/>
      </c>
      <c r="Z306">
        <f>Tab_Data_Flows[[#This Row],[Flow_ID]]&amp;"_"&amp;"DM_"&amp;Tab_Data_Flows[[#This Row],[Flow_Data_Year]]</f>
        <v/>
      </c>
      <c r="AA306">
        <f>IF(E306="Yes",Y306*Tab_Data_Flows[[#This Row],[Flow_Material]],"N.A.")</f>
        <v/>
      </c>
      <c r="AB306">
        <f>Tab_Data_Flows[[#This Row],[UoM_Flow_Py]]</f>
        <v/>
      </c>
      <c r="AC306">
        <f>INDEX(Tab_Def_Flows[[Flow_ID]:[CC_DM_source]],MATCH(Tab_Data_Flows[[#This Row],[Flow_Name]],Tab_Def_Flows[Flow_Name],0),17)</f>
        <v/>
      </c>
      <c r="AD306">
        <f>Tab_Data_Flows[[#This Row],[Flow_ID]]&amp;"_"&amp;"CC_"&amp;Tab_Data_Flows[[#This Row],[Flow_Data_Year]]</f>
        <v/>
      </c>
      <c r="AE306">
        <f>IF(F306="Yes",AC306*Tab_Data_Flows[[#This Row],[Flow_Material]]*Tab_Data_Flows[[#This Row],[DM_'[%']]],"N.A.")</f>
        <v/>
      </c>
      <c r="AF306">
        <f>Tab_Data_Flows[[#This Row],[UoM_Flow_Py]]</f>
        <v/>
      </c>
    </row>
    <row r="307">
      <c r="A307">
        <f>ROW()-1</f>
        <v/>
      </c>
      <c r="B307">
        <f>_xlfn.XLOOKUP(C307,Tab_Def_Flows[Flow_Name],Tab_Def_Flows[Flow_ID],,0,)</f>
        <v/>
      </c>
      <c r="C307" t="inlineStr">
        <is>
          <t>N.A.</t>
        </is>
      </c>
      <c r="D307">
        <f>_xlfn.XLOOKUP(C307,Tab_Def_Flows[Flow_Name],Tab_Def_Flows[WC?],,0,)</f>
        <v/>
      </c>
      <c r="E307">
        <f>_xlfn.XLOOKUP(C307,Tab_Def_Flows[Flow_Name],Tab_Def_Flows[DM?],,0,)</f>
        <v/>
      </c>
      <c r="F307">
        <f>_xlfn.XLOOKUP(C307,Tab_Def_Flows[Flow_Name],Tab_Def_Flows[CC?],,0,)</f>
        <v/>
      </c>
      <c r="O307" t="inlineStr">
        <is>
          <t>No</t>
        </is>
      </c>
      <c r="R307">
        <f>Tab_Data_Flows[[#This Row],[Flow_ID]]&amp;"_"&amp;"material_"&amp;Tab_Data_Flows[[#This Row],[Flow_Data_Year]]</f>
        <v/>
      </c>
      <c r="S307">
        <f>IF(O307="no",H307,H307*P307)</f>
        <v/>
      </c>
      <c r="T307">
        <f>Tab_Data_Flows[[#This Row],[UoM_Source]]</f>
        <v/>
      </c>
      <c r="U307">
        <f>INDEX(Tab_Def_Flows[[Flow_ID]:[CC_DM_source]],MATCH(Tab_Data_Flows[[#This Row],[Flow_Name]],Tab_Def_Flows[Flow_Name],0),11)</f>
        <v/>
      </c>
      <c r="V307">
        <f>Tab_Data_Flows[[#This Row],[Flow_ID]]&amp;"_"&amp;"WC_"&amp;Tab_Data_Flows[[#This Row],[Flow_Data_Year]]</f>
        <v/>
      </c>
      <c r="W307">
        <f>IF(D307="Yes",S307*Tab_Data_Flows[[#This Row],[WC_'[%']]],"N.A.")</f>
        <v/>
      </c>
      <c r="X307">
        <f>Tab_Data_Flows[[#This Row],[UoM_Flow_Py]]</f>
        <v/>
      </c>
      <c r="Y307">
        <f>INDEX(Tab_Def_Flows[[Flow_ID]:[CC_DM_source]],MATCH(Tab_Data_Flows[[#This Row],[Flow_Name]],Tab_Def_Flows[Flow_Name],0),14)</f>
        <v/>
      </c>
      <c r="Z307">
        <f>Tab_Data_Flows[[#This Row],[Flow_ID]]&amp;"_"&amp;"DM_"&amp;Tab_Data_Flows[[#This Row],[Flow_Data_Year]]</f>
        <v/>
      </c>
      <c r="AA307">
        <f>IF(E307="Yes",Y307*Tab_Data_Flows[[#This Row],[Flow_Material]],"N.A.")</f>
        <v/>
      </c>
      <c r="AB307">
        <f>Tab_Data_Flows[[#This Row],[UoM_Flow_Py]]</f>
        <v/>
      </c>
      <c r="AC307">
        <f>INDEX(Tab_Def_Flows[[Flow_ID]:[CC_DM_source]],MATCH(Tab_Data_Flows[[#This Row],[Flow_Name]],Tab_Def_Flows[Flow_Name],0),17)</f>
        <v/>
      </c>
      <c r="AD307">
        <f>Tab_Data_Flows[[#This Row],[Flow_ID]]&amp;"_"&amp;"CC_"&amp;Tab_Data_Flows[[#This Row],[Flow_Data_Year]]</f>
        <v/>
      </c>
      <c r="AE307">
        <f>IF(F307="Yes",AC307*Tab_Data_Flows[[#This Row],[Flow_Material]]*Tab_Data_Flows[[#This Row],[DM_'[%']]],"N.A.")</f>
        <v/>
      </c>
      <c r="AF307">
        <f>Tab_Data_Flows[[#This Row],[UoM_Flow_Py]]</f>
        <v/>
      </c>
    </row>
    <row r="308">
      <c r="A308">
        <f>ROW()-1</f>
        <v/>
      </c>
      <c r="B308">
        <f>_xlfn.XLOOKUP(C308,Tab_Def_Flows[Flow_Name],Tab_Def_Flows[Flow_ID],,0,)</f>
        <v/>
      </c>
      <c r="C308" t="inlineStr">
        <is>
          <t>N.A.</t>
        </is>
      </c>
      <c r="D308">
        <f>_xlfn.XLOOKUP(C308,Tab_Def_Flows[Flow_Name],Tab_Def_Flows[WC?],,0,)</f>
        <v/>
      </c>
      <c r="E308">
        <f>_xlfn.XLOOKUP(C308,Tab_Def_Flows[Flow_Name],Tab_Def_Flows[DM?],,0,)</f>
        <v/>
      </c>
      <c r="F308">
        <f>_xlfn.XLOOKUP(C308,Tab_Def_Flows[Flow_Name],Tab_Def_Flows[CC?],,0,)</f>
        <v/>
      </c>
      <c r="O308" t="inlineStr">
        <is>
          <t>No</t>
        </is>
      </c>
      <c r="R308">
        <f>Tab_Data_Flows[[#This Row],[Flow_ID]]&amp;"_"&amp;"material_"&amp;Tab_Data_Flows[[#This Row],[Flow_Data_Year]]</f>
        <v/>
      </c>
      <c r="S308">
        <f>IF(O308="no",H308,H308*P308)</f>
        <v/>
      </c>
      <c r="T308">
        <f>Tab_Data_Flows[[#This Row],[UoM_Source]]</f>
        <v/>
      </c>
      <c r="U308">
        <f>INDEX(Tab_Def_Flows[[Flow_ID]:[CC_DM_source]],MATCH(Tab_Data_Flows[[#This Row],[Flow_Name]],Tab_Def_Flows[Flow_Name],0),11)</f>
        <v/>
      </c>
      <c r="V308">
        <f>Tab_Data_Flows[[#This Row],[Flow_ID]]&amp;"_"&amp;"WC_"&amp;Tab_Data_Flows[[#This Row],[Flow_Data_Year]]</f>
        <v/>
      </c>
      <c r="W308">
        <f>IF(D308="Yes",S308*Tab_Data_Flows[[#This Row],[WC_'[%']]],"N.A.")</f>
        <v/>
      </c>
      <c r="X308">
        <f>Tab_Data_Flows[[#This Row],[UoM_Flow_Py]]</f>
        <v/>
      </c>
      <c r="Y308">
        <f>INDEX(Tab_Def_Flows[[Flow_ID]:[CC_DM_source]],MATCH(Tab_Data_Flows[[#This Row],[Flow_Name]],Tab_Def_Flows[Flow_Name],0),14)</f>
        <v/>
      </c>
      <c r="Z308">
        <f>Tab_Data_Flows[[#This Row],[Flow_ID]]&amp;"_"&amp;"DM_"&amp;Tab_Data_Flows[[#This Row],[Flow_Data_Year]]</f>
        <v/>
      </c>
      <c r="AA308">
        <f>IF(E308="Yes",Y308*Tab_Data_Flows[[#This Row],[Flow_Material]],"N.A.")</f>
        <v/>
      </c>
      <c r="AB308">
        <f>Tab_Data_Flows[[#This Row],[UoM_Flow_Py]]</f>
        <v/>
      </c>
      <c r="AC308">
        <f>INDEX(Tab_Def_Flows[[Flow_ID]:[CC_DM_source]],MATCH(Tab_Data_Flows[[#This Row],[Flow_Name]],Tab_Def_Flows[Flow_Name],0),17)</f>
        <v/>
      </c>
      <c r="AD308">
        <f>Tab_Data_Flows[[#This Row],[Flow_ID]]&amp;"_"&amp;"CC_"&amp;Tab_Data_Flows[[#This Row],[Flow_Data_Year]]</f>
        <v/>
      </c>
      <c r="AE308">
        <f>IF(F308="Yes",AC308*Tab_Data_Flows[[#This Row],[Flow_Material]]*Tab_Data_Flows[[#This Row],[DM_'[%']]],"N.A.")</f>
        <v/>
      </c>
      <c r="AF308">
        <f>Tab_Data_Flows[[#This Row],[UoM_Flow_Py]]</f>
        <v/>
      </c>
    </row>
    <row r="309">
      <c r="A309">
        <f>ROW()-1</f>
        <v/>
      </c>
      <c r="B309">
        <f>_xlfn.XLOOKUP(C309,Tab_Def_Flows[Flow_Name],Tab_Def_Flows[Flow_ID],,0,)</f>
        <v/>
      </c>
      <c r="C309" t="inlineStr">
        <is>
          <t>N.A.</t>
        </is>
      </c>
      <c r="D309">
        <f>_xlfn.XLOOKUP(C309,Tab_Def_Flows[Flow_Name],Tab_Def_Flows[WC?],,0,)</f>
        <v/>
      </c>
      <c r="E309">
        <f>_xlfn.XLOOKUP(C309,Tab_Def_Flows[Flow_Name],Tab_Def_Flows[DM?],,0,)</f>
        <v/>
      </c>
      <c r="F309">
        <f>_xlfn.XLOOKUP(C309,Tab_Def_Flows[Flow_Name],Tab_Def_Flows[CC?],,0,)</f>
        <v/>
      </c>
      <c r="O309" t="inlineStr">
        <is>
          <t>No</t>
        </is>
      </c>
      <c r="R309">
        <f>Tab_Data_Flows[[#This Row],[Flow_ID]]&amp;"_"&amp;"material_"&amp;Tab_Data_Flows[[#This Row],[Flow_Data_Year]]</f>
        <v/>
      </c>
      <c r="S309">
        <f>IF(O309="no",H309,H309*P309)</f>
        <v/>
      </c>
      <c r="T309">
        <f>Tab_Data_Flows[[#This Row],[UoM_Source]]</f>
        <v/>
      </c>
      <c r="U309">
        <f>INDEX(Tab_Def_Flows[[Flow_ID]:[CC_DM_source]],MATCH(Tab_Data_Flows[[#This Row],[Flow_Name]],Tab_Def_Flows[Flow_Name],0),11)</f>
        <v/>
      </c>
      <c r="V309">
        <f>Tab_Data_Flows[[#This Row],[Flow_ID]]&amp;"_"&amp;"WC_"&amp;Tab_Data_Flows[[#This Row],[Flow_Data_Year]]</f>
        <v/>
      </c>
      <c r="W309">
        <f>IF(D309="Yes",S309*Tab_Data_Flows[[#This Row],[WC_'[%']]],"N.A.")</f>
        <v/>
      </c>
      <c r="X309">
        <f>Tab_Data_Flows[[#This Row],[UoM_Flow_Py]]</f>
        <v/>
      </c>
      <c r="Y309">
        <f>INDEX(Tab_Def_Flows[[Flow_ID]:[CC_DM_source]],MATCH(Tab_Data_Flows[[#This Row],[Flow_Name]],Tab_Def_Flows[Flow_Name],0),14)</f>
        <v/>
      </c>
      <c r="Z309">
        <f>Tab_Data_Flows[[#This Row],[Flow_ID]]&amp;"_"&amp;"DM_"&amp;Tab_Data_Flows[[#This Row],[Flow_Data_Year]]</f>
        <v/>
      </c>
      <c r="AA309">
        <f>IF(E309="Yes",Y309*Tab_Data_Flows[[#This Row],[Flow_Material]],"N.A.")</f>
        <v/>
      </c>
      <c r="AB309">
        <f>Tab_Data_Flows[[#This Row],[UoM_Flow_Py]]</f>
        <v/>
      </c>
      <c r="AC309">
        <f>INDEX(Tab_Def_Flows[[Flow_ID]:[CC_DM_source]],MATCH(Tab_Data_Flows[[#This Row],[Flow_Name]],Tab_Def_Flows[Flow_Name],0),17)</f>
        <v/>
      </c>
      <c r="AD309">
        <f>Tab_Data_Flows[[#This Row],[Flow_ID]]&amp;"_"&amp;"CC_"&amp;Tab_Data_Flows[[#This Row],[Flow_Data_Year]]</f>
        <v/>
      </c>
      <c r="AE309">
        <f>IF(F309="Yes",AC309*Tab_Data_Flows[[#This Row],[Flow_Material]]*Tab_Data_Flows[[#This Row],[DM_'[%']]],"N.A.")</f>
        <v/>
      </c>
      <c r="AF309">
        <f>Tab_Data_Flows[[#This Row],[UoM_Flow_Py]]</f>
        <v/>
      </c>
    </row>
    <row r="310">
      <c r="A310">
        <f>ROW()-1</f>
        <v/>
      </c>
      <c r="B310">
        <f>_xlfn.XLOOKUP(C310,Tab_Def_Flows[Flow_Name],Tab_Def_Flows[Flow_ID],,0,)</f>
        <v/>
      </c>
      <c r="C310" t="inlineStr">
        <is>
          <t>N.A.</t>
        </is>
      </c>
      <c r="D310">
        <f>_xlfn.XLOOKUP(C310,Tab_Def_Flows[Flow_Name],Tab_Def_Flows[WC?],,0,)</f>
        <v/>
      </c>
      <c r="E310">
        <f>_xlfn.XLOOKUP(C310,Tab_Def_Flows[Flow_Name],Tab_Def_Flows[DM?],,0,)</f>
        <v/>
      </c>
      <c r="F310">
        <f>_xlfn.XLOOKUP(C310,Tab_Def_Flows[Flow_Name],Tab_Def_Flows[CC?],,0,)</f>
        <v/>
      </c>
      <c r="O310" t="inlineStr">
        <is>
          <t>No</t>
        </is>
      </c>
      <c r="R310">
        <f>Tab_Data_Flows[[#This Row],[Flow_ID]]&amp;"_"&amp;"material_"&amp;Tab_Data_Flows[[#This Row],[Flow_Data_Year]]</f>
        <v/>
      </c>
      <c r="S310">
        <f>IF(O310="no",H310,H310*P310)</f>
        <v/>
      </c>
      <c r="T310">
        <f>Tab_Data_Flows[[#This Row],[UoM_Source]]</f>
        <v/>
      </c>
      <c r="U310">
        <f>INDEX(Tab_Def_Flows[[Flow_ID]:[CC_DM_source]],MATCH(Tab_Data_Flows[[#This Row],[Flow_Name]],Tab_Def_Flows[Flow_Name],0),11)</f>
        <v/>
      </c>
      <c r="V310">
        <f>Tab_Data_Flows[[#This Row],[Flow_ID]]&amp;"_"&amp;"WC_"&amp;Tab_Data_Flows[[#This Row],[Flow_Data_Year]]</f>
        <v/>
      </c>
      <c r="W310">
        <f>IF(D310="Yes",S310*Tab_Data_Flows[[#This Row],[WC_'[%']]],"N.A.")</f>
        <v/>
      </c>
      <c r="X310">
        <f>Tab_Data_Flows[[#This Row],[UoM_Flow_Py]]</f>
        <v/>
      </c>
      <c r="Y310">
        <f>INDEX(Tab_Def_Flows[[Flow_ID]:[CC_DM_source]],MATCH(Tab_Data_Flows[[#This Row],[Flow_Name]],Tab_Def_Flows[Flow_Name],0),14)</f>
        <v/>
      </c>
      <c r="Z310">
        <f>Tab_Data_Flows[[#This Row],[Flow_ID]]&amp;"_"&amp;"DM_"&amp;Tab_Data_Flows[[#This Row],[Flow_Data_Year]]</f>
        <v/>
      </c>
      <c r="AA310">
        <f>IF(E310="Yes",Y310*Tab_Data_Flows[[#This Row],[Flow_Material]],"N.A.")</f>
        <v/>
      </c>
      <c r="AB310">
        <f>Tab_Data_Flows[[#This Row],[UoM_Flow_Py]]</f>
        <v/>
      </c>
      <c r="AC310">
        <f>INDEX(Tab_Def_Flows[[Flow_ID]:[CC_DM_source]],MATCH(Tab_Data_Flows[[#This Row],[Flow_Name]],Tab_Def_Flows[Flow_Name],0),17)</f>
        <v/>
      </c>
      <c r="AD310">
        <f>Tab_Data_Flows[[#This Row],[Flow_ID]]&amp;"_"&amp;"CC_"&amp;Tab_Data_Flows[[#This Row],[Flow_Data_Year]]</f>
        <v/>
      </c>
      <c r="AE310">
        <f>IF(F310="Yes",AC310*Tab_Data_Flows[[#This Row],[Flow_Material]]*Tab_Data_Flows[[#This Row],[DM_'[%']]],"N.A.")</f>
        <v/>
      </c>
      <c r="AF310">
        <f>Tab_Data_Flows[[#This Row],[UoM_Flow_Py]]</f>
        <v/>
      </c>
    </row>
    <row r="311">
      <c r="A311">
        <f>ROW()-1</f>
        <v/>
      </c>
      <c r="B311">
        <f>_xlfn.XLOOKUP(C311,Tab_Def_Flows[Flow_Name],Tab_Def_Flows[Flow_ID],,0,)</f>
        <v/>
      </c>
      <c r="C311" t="inlineStr">
        <is>
          <t>N.A.</t>
        </is>
      </c>
      <c r="D311">
        <f>_xlfn.XLOOKUP(C311,Tab_Def_Flows[Flow_Name],Tab_Def_Flows[WC?],,0,)</f>
        <v/>
      </c>
      <c r="E311">
        <f>_xlfn.XLOOKUP(C311,Tab_Def_Flows[Flow_Name],Tab_Def_Flows[DM?],,0,)</f>
        <v/>
      </c>
      <c r="F311">
        <f>_xlfn.XLOOKUP(C311,Tab_Def_Flows[Flow_Name],Tab_Def_Flows[CC?],,0,)</f>
        <v/>
      </c>
      <c r="O311" t="inlineStr">
        <is>
          <t>No</t>
        </is>
      </c>
      <c r="R311">
        <f>Tab_Data_Flows[[#This Row],[Flow_ID]]&amp;"_"&amp;"material_"&amp;Tab_Data_Flows[[#This Row],[Flow_Data_Year]]</f>
        <v/>
      </c>
      <c r="S311">
        <f>IF(O311="no",H311,H311*P311)</f>
        <v/>
      </c>
      <c r="T311">
        <f>Tab_Data_Flows[[#This Row],[UoM_Source]]</f>
        <v/>
      </c>
      <c r="U311">
        <f>INDEX(Tab_Def_Flows[[Flow_ID]:[CC_DM_source]],MATCH(Tab_Data_Flows[[#This Row],[Flow_Name]],Tab_Def_Flows[Flow_Name],0),11)</f>
        <v/>
      </c>
      <c r="V311">
        <f>Tab_Data_Flows[[#This Row],[Flow_ID]]&amp;"_"&amp;"WC_"&amp;Tab_Data_Flows[[#This Row],[Flow_Data_Year]]</f>
        <v/>
      </c>
      <c r="W311">
        <f>IF(D311="Yes",S311*Tab_Data_Flows[[#This Row],[WC_'[%']]],"N.A.")</f>
        <v/>
      </c>
      <c r="X311">
        <f>Tab_Data_Flows[[#This Row],[UoM_Flow_Py]]</f>
        <v/>
      </c>
      <c r="Y311">
        <f>INDEX(Tab_Def_Flows[[Flow_ID]:[CC_DM_source]],MATCH(Tab_Data_Flows[[#This Row],[Flow_Name]],Tab_Def_Flows[Flow_Name],0),14)</f>
        <v/>
      </c>
      <c r="Z311">
        <f>Tab_Data_Flows[[#This Row],[Flow_ID]]&amp;"_"&amp;"DM_"&amp;Tab_Data_Flows[[#This Row],[Flow_Data_Year]]</f>
        <v/>
      </c>
      <c r="AA311">
        <f>IF(E311="Yes",Y311*Tab_Data_Flows[[#This Row],[Flow_Material]],"N.A.")</f>
        <v/>
      </c>
      <c r="AB311">
        <f>Tab_Data_Flows[[#This Row],[UoM_Flow_Py]]</f>
        <v/>
      </c>
      <c r="AC311">
        <f>INDEX(Tab_Def_Flows[[Flow_ID]:[CC_DM_source]],MATCH(Tab_Data_Flows[[#This Row],[Flow_Name]],Tab_Def_Flows[Flow_Name],0),17)</f>
        <v/>
      </c>
      <c r="AD311">
        <f>Tab_Data_Flows[[#This Row],[Flow_ID]]&amp;"_"&amp;"CC_"&amp;Tab_Data_Flows[[#This Row],[Flow_Data_Year]]</f>
        <v/>
      </c>
      <c r="AE311">
        <f>IF(F311="Yes",AC311*Tab_Data_Flows[[#This Row],[Flow_Material]]*Tab_Data_Flows[[#This Row],[DM_'[%']]],"N.A.")</f>
        <v/>
      </c>
      <c r="AF311">
        <f>Tab_Data_Flows[[#This Row],[UoM_Flow_Py]]</f>
        <v/>
      </c>
    </row>
    <row r="312">
      <c r="A312">
        <f>ROW()-1</f>
        <v/>
      </c>
      <c r="B312">
        <f>_xlfn.XLOOKUP(C312,Tab_Def_Flows[Flow_Name],Tab_Def_Flows[Flow_ID],,0,)</f>
        <v/>
      </c>
      <c r="C312" t="inlineStr">
        <is>
          <t>N.A.</t>
        </is>
      </c>
      <c r="D312">
        <f>_xlfn.XLOOKUP(C312,Tab_Def_Flows[Flow_Name],Tab_Def_Flows[WC?],,0,)</f>
        <v/>
      </c>
      <c r="E312">
        <f>_xlfn.XLOOKUP(C312,Tab_Def_Flows[Flow_Name],Tab_Def_Flows[DM?],,0,)</f>
        <v/>
      </c>
      <c r="F312">
        <f>_xlfn.XLOOKUP(C312,Tab_Def_Flows[Flow_Name],Tab_Def_Flows[CC?],,0,)</f>
        <v/>
      </c>
      <c r="O312" t="inlineStr">
        <is>
          <t>No</t>
        </is>
      </c>
      <c r="R312">
        <f>Tab_Data_Flows[[#This Row],[Flow_ID]]&amp;"_"&amp;"material_"&amp;Tab_Data_Flows[[#This Row],[Flow_Data_Year]]</f>
        <v/>
      </c>
      <c r="S312">
        <f>IF(O312="no",H312,H312*P312)</f>
        <v/>
      </c>
      <c r="T312">
        <f>Tab_Data_Flows[[#This Row],[UoM_Source]]</f>
        <v/>
      </c>
      <c r="U312">
        <f>INDEX(Tab_Def_Flows[[Flow_ID]:[CC_DM_source]],MATCH(Tab_Data_Flows[[#This Row],[Flow_Name]],Tab_Def_Flows[Flow_Name],0),11)</f>
        <v/>
      </c>
      <c r="V312">
        <f>Tab_Data_Flows[[#This Row],[Flow_ID]]&amp;"_"&amp;"WC_"&amp;Tab_Data_Flows[[#This Row],[Flow_Data_Year]]</f>
        <v/>
      </c>
      <c r="W312">
        <f>IF(D312="Yes",S312*Tab_Data_Flows[[#This Row],[WC_'[%']]],"N.A.")</f>
        <v/>
      </c>
      <c r="X312">
        <f>Tab_Data_Flows[[#This Row],[UoM_Flow_Py]]</f>
        <v/>
      </c>
      <c r="Y312">
        <f>INDEX(Tab_Def_Flows[[Flow_ID]:[CC_DM_source]],MATCH(Tab_Data_Flows[[#This Row],[Flow_Name]],Tab_Def_Flows[Flow_Name],0),14)</f>
        <v/>
      </c>
      <c r="Z312">
        <f>Tab_Data_Flows[[#This Row],[Flow_ID]]&amp;"_"&amp;"DM_"&amp;Tab_Data_Flows[[#This Row],[Flow_Data_Year]]</f>
        <v/>
      </c>
      <c r="AA312">
        <f>IF(E312="Yes",Y312*Tab_Data_Flows[[#This Row],[Flow_Material]],"N.A.")</f>
        <v/>
      </c>
      <c r="AB312">
        <f>Tab_Data_Flows[[#This Row],[UoM_Flow_Py]]</f>
        <v/>
      </c>
      <c r="AC312">
        <f>INDEX(Tab_Def_Flows[[Flow_ID]:[CC_DM_source]],MATCH(Tab_Data_Flows[[#This Row],[Flow_Name]],Tab_Def_Flows[Flow_Name],0),17)</f>
        <v/>
      </c>
      <c r="AD312">
        <f>Tab_Data_Flows[[#This Row],[Flow_ID]]&amp;"_"&amp;"CC_"&amp;Tab_Data_Flows[[#This Row],[Flow_Data_Year]]</f>
        <v/>
      </c>
      <c r="AE312">
        <f>IF(F312="Yes",AC312*Tab_Data_Flows[[#This Row],[Flow_Material]]*Tab_Data_Flows[[#This Row],[DM_'[%']]],"N.A.")</f>
        <v/>
      </c>
      <c r="AF312">
        <f>Tab_Data_Flows[[#This Row],[UoM_Flow_Py]]</f>
        <v/>
      </c>
    </row>
    <row r="313">
      <c r="A313">
        <f>ROW()-1</f>
        <v/>
      </c>
      <c r="B313">
        <f>_xlfn.XLOOKUP(C313,Tab_Def_Flows[Flow_Name],Tab_Def_Flows[Flow_ID],,0,)</f>
        <v/>
      </c>
      <c r="C313" t="inlineStr">
        <is>
          <t>N.A.</t>
        </is>
      </c>
      <c r="D313">
        <f>_xlfn.XLOOKUP(C313,Tab_Def_Flows[Flow_Name],Tab_Def_Flows[WC?],,0,)</f>
        <v/>
      </c>
      <c r="E313">
        <f>_xlfn.XLOOKUP(C313,Tab_Def_Flows[Flow_Name],Tab_Def_Flows[DM?],,0,)</f>
        <v/>
      </c>
      <c r="F313">
        <f>_xlfn.XLOOKUP(C313,Tab_Def_Flows[Flow_Name],Tab_Def_Flows[CC?],,0,)</f>
        <v/>
      </c>
      <c r="O313" t="inlineStr">
        <is>
          <t>No</t>
        </is>
      </c>
      <c r="R313">
        <f>Tab_Data_Flows[[#This Row],[Flow_ID]]&amp;"_"&amp;"material_"&amp;Tab_Data_Flows[[#This Row],[Flow_Data_Year]]</f>
        <v/>
      </c>
      <c r="S313">
        <f>IF(O313="no",H313,H313*P313)</f>
        <v/>
      </c>
      <c r="T313">
        <f>Tab_Data_Flows[[#This Row],[UoM_Source]]</f>
        <v/>
      </c>
      <c r="U313">
        <f>INDEX(Tab_Def_Flows[[Flow_ID]:[CC_DM_source]],MATCH(Tab_Data_Flows[[#This Row],[Flow_Name]],Tab_Def_Flows[Flow_Name],0),11)</f>
        <v/>
      </c>
      <c r="V313">
        <f>Tab_Data_Flows[[#This Row],[Flow_ID]]&amp;"_"&amp;"WC_"&amp;Tab_Data_Flows[[#This Row],[Flow_Data_Year]]</f>
        <v/>
      </c>
      <c r="W313">
        <f>IF(D313="Yes",S313*Tab_Data_Flows[[#This Row],[WC_'[%']]],"N.A.")</f>
        <v/>
      </c>
      <c r="X313">
        <f>Tab_Data_Flows[[#This Row],[UoM_Flow_Py]]</f>
        <v/>
      </c>
      <c r="Y313">
        <f>INDEX(Tab_Def_Flows[[Flow_ID]:[CC_DM_source]],MATCH(Tab_Data_Flows[[#This Row],[Flow_Name]],Tab_Def_Flows[Flow_Name],0),14)</f>
        <v/>
      </c>
      <c r="Z313">
        <f>Tab_Data_Flows[[#This Row],[Flow_ID]]&amp;"_"&amp;"DM_"&amp;Tab_Data_Flows[[#This Row],[Flow_Data_Year]]</f>
        <v/>
      </c>
      <c r="AA313">
        <f>IF(E313="Yes",Y313*Tab_Data_Flows[[#This Row],[Flow_Material]],"N.A.")</f>
        <v/>
      </c>
      <c r="AB313">
        <f>Tab_Data_Flows[[#This Row],[UoM_Flow_Py]]</f>
        <v/>
      </c>
      <c r="AC313">
        <f>INDEX(Tab_Def_Flows[[Flow_ID]:[CC_DM_source]],MATCH(Tab_Data_Flows[[#This Row],[Flow_Name]],Tab_Def_Flows[Flow_Name],0),17)</f>
        <v/>
      </c>
      <c r="AD313">
        <f>Tab_Data_Flows[[#This Row],[Flow_ID]]&amp;"_"&amp;"CC_"&amp;Tab_Data_Flows[[#This Row],[Flow_Data_Year]]</f>
        <v/>
      </c>
      <c r="AE313">
        <f>IF(F313="Yes",AC313*Tab_Data_Flows[[#This Row],[Flow_Material]]*Tab_Data_Flows[[#This Row],[DM_'[%']]],"N.A.")</f>
        <v/>
      </c>
      <c r="AF313">
        <f>Tab_Data_Flows[[#This Row],[UoM_Flow_Py]]</f>
        <v/>
      </c>
    </row>
    <row r="314">
      <c r="A314">
        <f>ROW()-1</f>
        <v/>
      </c>
      <c r="B314">
        <f>_xlfn.XLOOKUP(C314,Tab_Def_Flows[Flow_Name],Tab_Def_Flows[Flow_ID],,0,)</f>
        <v/>
      </c>
      <c r="C314" t="inlineStr">
        <is>
          <t>N.A.</t>
        </is>
      </c>
      <c r="D314">
        <f>_xlfn.XLOOKUP(C314,Tab_Def_Flows[Flow_Name],Tab_Def_Flows[WC?],,0,)</f>
        <v/>
      </c>
      <c r="E314">
        <f>_xlfn.XLOOKUP(C314,Tab_Def_Flows[Flow_Name],Tab_Def_Flows[DM?],,0,)</f>
        <v/>
      </c>
      <c r="F314">
        <f>_xlfn.XLOOKUP(C314,Tab_Def_Flows[Flow_Name],Tab_Def_Flows[CC?],,0,)</f>
        <v/>
      </c>
      <c r="O314" t="inlineStr">
        <is>
          <t>No</t>
        </is>
      </c>
      <c r="R314">
        <f>Tab_Data_Flows[[#This Row],[Flow_ID]]&amp;"_"&amp;"material_"&amp;Tab_Data_Flows[[#This Row],[Flow_Data_Year]]</f>
        <v/>
      </c>
      <c r="S314">
        <f>IF(O314="no",H314,H314*P314)</f>
        <v/>
      </c>
      <c r="T314">
        <f>Tab_Data_Flows[[#This Row],[UoM_Source]]</f>
        <v/>
      </c>
      <c r="U314">
        <f>INDEX(Tab_Def_Flows[[Flow_ID]:[CC_DM_source]],MATCH(Tab_Data_Flows[[#This Row],[Flow_Name]],Tab_Def_Flows[Flow_Name],0),11)</f>
        <v/>
      </c>
      <c r="V314">
        <f>Tab_Data_Flows[[#This Row],[Flow_ID]]&amp;"_"&amp;"WC_"&amp;Tab_Data_Flows[[#This Row],[Flow_Data_Year]]</f>
        <v/>
      </c>
      <c r="W314">
        <f>IF(D314="Yes",S314*Tab_Data_Flows[[#This Row],[WC_'[%']]],"N.A.")</f>
        <v/>
      </c>
      <c r="X314">
        <f>Tab_Data_Flows[[#This Row],[UoM_Flow_Py]]</f>
        <v/>
      </c>
      <c r="Y314">
        <f>INDEX(Tab_Def_Flows[[Flow_ID]:[CC_DM_source]],MATCH(Tab_Data_Flows[[#This Row],[Flow_Name]],Tab_Def_Flows[Flow_Name],0),14)</f>
        <v/>
      </c>
      <c r="Z314">
        <f>Tab_Data_Flows[[#This Row],[Flow_ID]]&amp;"_"&amp;"DM_"&amp;Tab_Data_Flows[[#This Row],[Flow_Data_Year]]</f>
        <v/>
      </c>
      <c r="AA314">
        <f>IF(E314="Yes",Y314*Tab_Data_Flows[[#This Row],[Flow_Material]],"N.A.")</f>
        <v/>
      </c>
      <c r="AB314">
        <f>Tab_Data_Flows[[#This Row],[UoM_Flow_Py]]</f>
        <v/>
      </c>
      <c r="AC314">
        <f>INDEX(Tab_Def_Flows[[Flow_ID]:[CC_DM_source]],MATCH(Tab_Data_Flows[[#This Row],[Flow_Name]],Tab_Def_Flows[Flow_Name],0),17)</f>
        <v/>
      </c>
      <c r="AD314">
        <f>Tab_Data_Flows[[#This Row],[Flow_ID]]&amp;"_"&amp;"CC_"&amp;Tab_Data_Flows[[#This Row],[Flow_Data_Year]]</f>
        <v/>
      </c>
      <c r="AE314">
        <f>IF(F314="Yes",AC314*Tab_Data_Flows[[#This Row],[Flow_Material]]*Tab_Data_Flows[[#This Row],[DM_'[%']]],"N.A.")</f>
        <v/>
      </c>
      <c r="AF314">
        <f>Tab_Data_Flows[[#This Row],[UoM_Flow_Py]]</f>
        <v/>
      </c>
    </row>
    <row r="315">
      <c r="A315">
        <f>ROW()-1</f>
        <v/>
      </c>
      <c r="B315">
        <f>_xlfn.XLOOKUP(C315,Tab_Def_Flows[Flow_Name],Tab_Def_Flows[Flow_ID],,0,)</f>
        <v/>
      </c>
      <c r="C315" t="inlineStr">
        <is>
          <t>N.A.</t>
        </is>
      </c>
      <c r="D315">
        <f>_xlfn.XLOOKUP(C315,Tab_Def_Flows[Flow_Name],Tab_Def_Flows[WC?],,0,)</f>
        <v/>
      </c>
      <c r="E315">
        <f>_xlfn.XLOOKUP(C315,Tab_Def_Flows[Flow_Name],Tab_Def_Flows[DM?],,0,)</f>
        <v/>
      </c>
      <c r="F315">
        <f>_xlfn.XLOOKUP(C315,Tab_Def_Flows[Flow_Name],Tab_Def_Flows[CC?],,0,)</f>
        <v/>
      </c>
      <c r="O315" t="inlineStr">
        <is>
          <t>No</t>
        </is>
      </c>
      <c r="R315">
        <f>Tab_Data_Flows[[#This Row],[Flow_ID]]&amp;"_"&amp;"material_"&amp;Tab_Data_Flows[[#This Row],[Flow_Data_Year]]</f>
        <v/>
      </c>
      <c r="S315">
        <f>IF(O315="no",H315,H315*P315)</f>
        <v/>
      </c>
      <c r="T315">
        <f>Tab_Data_Flows[[#This Row],[UoM_Source]]</f>
        <v/>
      </c>
      <c r="U315">
        <f>INDEX(Tab_Def_Flows[[Flow_ID]:[CC_DM_source]],MATCH(Tab_Data_Flows[[#This Row],[Flow_Name]],Tab_Def_Flows[Flow_Name],0),11)</f>
        <v/>
      </c>
      <c r="V315">
        <f>Tab_Data_Flows[[#This Row],[Flow_ID]]&amp;"_"&amp;"WC_"&amp;Tab_Data_Flows[[#This Row],[Flow_Data_Year]]</f>
        <v/>
      </c>
      <c r="W315">
        <f>IF(D315="Yes",S315*Tab_Data_Flows[[#This Row],[WC_'[%']]],"N.A.")</f>
        <v/>
      </c>
      <c r="X315">
        <f>Tab_Data_Flows[[#This Row],[UoM_Flow_Py]]</f>
        <v/>
      </c>
      <c r="Y315">
        <f>INDEX(Tab_Def_Flows[[Flow_ID]:[CC_DM_source]],MATCH(Tab_Data_Flows[[#This Row],[Flow_Name]],Tab_Def_Flows[Flow_Name],0),14)</f>
        <v/>
      </c>
      <c r="Z315">
        <f>Tab_Data_Flows[[#This Row],[Flow_ID]]&amp;"_"&amp;"DM_"&amp;Tab_Data_Flows[[#This Row],[Flow_Data_Year]]</f>
        <v/>
      </c>
      <c r="AA315">
        <f>IF(E315="Yes",Y315*Tab_Data_Flows[[#This Row],[Flow_Material]],"N.A.")</f>
        <v/>
      </c>
      <c r="AB315">
        <f>Tab_Data_Flows[[#This Row],[UoM_Flow_Py]]</f>
        <v/>
      </c>
      <c r="AC315">
        <f>INDEX(Tab_Def_Flows[[Flow_ID]:[CC_DM_source]],MATCH(Tab_Data_Flows[[#This Row],[Flow_Name]],Tab_Def_Flows[Flow_Name],0),17)</f>
        <v/>
      </c>
      <c r="AD315">
        <f>Tab_Data_Flows[[#This Row],[Flow_ID]]&amp;"_"&amp;"CC_"&amp;Tab_Data_Flows[[#This Row],[Flow_Data_Year]]</f>
        <v/>
      </c>
      <c r="AE315">
        <f>IF(F315="Yes",AC315*Tab_Data_Flows[[#This Row],[Flow_Material]]*Tab_Data_Flows[[#This Row],[DM_'[%']]],"N.A.")</f>
        <v/>
      </c>
      <c r="AF315">
        <f>Tab_Data_Flows[[#This Row],[UoM_Flow_Py]]</f>
        <v/>
      </c>
    </row>
    <row r="316">
      <c r="A316">
        <f>ROW()-1</f>
        <v/>
      </c>
      <c r="B316">
        <f>_xlfn.XLOOKUP(C316,Tab_Def_Flows[Flow_Name],Tab_Def_Flows[Flow_ID],,0,)</f>
        <v/>
      </c>
      <c r="C316" t="inlineStr">
        <is>
          <t>N.A.</t>
        </is>
      </c>
      <c r="D316">
        <f>_xlfn.XLOOKUP(C316,Tab_Def_Flows[Flow_Name],Tab_Def_Flows[WC?],,0,)</f>
        <v/>
      </c>
      <c r="E316">
        <f>_xlfn.XLOOKUP(C316,Tab_Def_Flows[Flow_Name],Tab_Def_Flows[DM?],,0,)</f>
        <v/>
      </c>
      <c r="F316">
        <f>_xlfn.XLOOKUP(C316,Tab_Def_Flows[Flow_Name],Tab_Def_Flows[CC?],,0,)</f>
        <v/>
      </c>
      <c r="O316" t="inlineStr">
        <is>
          <t>No</t>
        </is>
      </c>
      <c r="R316">
        <f>Tab_Data_Flows[[#This Row],[Flow_ID]]&amp;"_"&amp;"material_"&amp;Tab_Data_Flows[[#This Row],[Flow_Data_Year]]</f>
        <v/>
      </c>
      <c r="S316">
        <f>IF(O316="no",H316,H316*P316)</f>
        <v/>
      </c>
      <c r="T316">
        <f>Tab_Data_Flows[[#This Row],[UoM_Source]]</f>
        <v/>
      </c>
      <c r="U316">
        <f>INDEX(Tab_Def_Flows[[Flow_ID]:[CC_DM_source]],MATCH(Tab_Data_Flows[[#This Row],[Flow_Name]],Tab_Def_Flows[Flow_Name],0),11)</f>
        <v/>
      </c>
      <c r="V316">
        <f>Tab_Data_Flows[[#This Row],[Flow_ID]]&amp;"_"&amp;"WC_"&amp;Tab_Data_Flows[[#This Row],[Flow_Data_Year]]</f>
        <v/>
      </c>
      <c r="W316">
        <f>IF(D316="Yes",S316*Tab_Data_Flows[[#This Row],[WC_'[%']]],"N.A.")</f>
        <v/>
      </c>
      <c r="X316">
        <f>Tab_Data_Flows[[#This Row],[UoM_Flow_Py]]</f>
        <v/>
      </c>
      <c r="Y316">
        <f>INDEX(Tab_Def_Flows[[Flow_ID]:[CC_DM_source]],MATCH(Tab_Data_Flows[[#This Row],[Flow_Name]],Tab_Def_Flows[Flow_Name],0),14)</f>
        <v/>
      </c>
      <c r="Z316">
        <f>Tab_Data_Flows[[#This Row],[Flow_ID]]&amp;"_"&amp;"DM_"&amp;Tab_Data_Flows[[#This Row],[Flow_Data_Year]]</f>
        <v/>
      </c>
      <c r="AA316">
        <f>IF(E316="Yes",Y316*Tab_Data_Flows[[#This Row],[Flow_Material]],"N.A.")</f>
        <v/>
      </c>
      <c r="AB316">
        <f>Tab_Data_Flows[[#This Row],[UoM_Flow_Py]]</f>
        <v/>
      </c>
      <c r="AC316">
        <f>INDEX(Tab_Def_Flows[[Flow_ID]:[CC_DM_source]],MATCH(Tab_Data_Flows[[#This Row],[Flow_Name]],Tab_Def_Flows[Flow_Name],0),17)</f>
        <v/>
      </c>
      <c r="AD316">
        <f>Tab_Data_Flows[[#This Row],[Flow_ID]]&amp;"_"&amp;"CC_"&amp;Tab_Data_Flows[[#This Row],[Flow_Data_Year]]</f>
        <v/>
      </c>
      <c r="AE316">
        <f>IF(F316="Yes",AC316*Tab_Data_Flows[[#This Row],[Flow_Material]]*Tab_Data_Flows[[#This Row],[DM_'[%']]],"N.A.")</f>
        <v/>
      </c>
      <c r="AF316">
        <f>Tab_Data_Flows[[#This Row],[UoM_Flow_Py]]</f>
        <v/>
      </c>
    </row>
    <row r="317">
      <c r="A317">
        <f>ROW()-1</f>
        <v/>
      </c>
      <c r="B317">
        <f>_xlfn.XLOOKUP(C317,Tab_Def_Flows[Flow_Name],Tab_Def_Flows[Flow_ID],,0,)</f>
        <v/>
      </c>
      <c r="C317" t="inlineStr">
        <is>
          <t>N.A.</t>
        </is>
      </c>
      <c r="D317">
        <f>_xlfn.XLOOKUP(C317,Tab_Def_Flows[Flow_Name],Tab_Def_Flows[WC?],,0,)</f>
        <v/>
      </c>
      <c r="E317">
        <f>_xlfn.XLOOKUP(C317,Tab_Def_Flows[Flow_Name],Tab_Def_Flows[DM?],,0,)</f>
        <v/>
      </c>
      <c r="F317">
        <f>_xlfn.XLOOKUP(C317,Tab_Def_Flows[Flow_Name],Tab_Def_Flows[CC?],,0,)</f>
        <v/>
      </c>
      <c r="O317" t="inlineStr">
        <is>
          <t>No</t>
        </is>
      </c>
      <c r="R317">
        <f>Tab_Data_Flows[[#This Row],[Flow_ID]]&amp;"_"&amp;"material_"&amp;Tab_Data_Flows[[#This Row],[Flow_Data_Year]]</f>
        <v/>
      </c>
      <c r="S317">
        <f>IF(O317="no",H317,H317*P317)</f>
        <v/>
      </c>
      <c r="T317">
        <f>Tab_Data_Flows[[#This Row],[UoM_Source]]</f>
        <v/>
      </c>
      <c r="U317">
        <f>INDEX(Tab_Def_Flows[[Flow_ID]:[CC_DM_source]],MATCH(Tab_Data_Flows[[#This Row],[Flow_Name]],Tab_Def_Flows[Flow_Name],0),11)</f>
        <v/>
      </c>
      <c r="V317">
        <f>Tab_Data_Flows[[#This Row],[Flow_ID]]&amp;"_"&amp;"WC_"&amp;Tab_Data_Flows[[#This Row],[Flow_Data_Year]]</f>
        <v/>
      </c>
      <c r="W317">
        <f>IF(D317="Yes",S317*Tab_Data_Flows[[#This Row],[WC_'[%']]],"N.A.")</f>
        <v/>
      </c>
      <c r="X317">
        <f>Tab_Data_Flows[[#This Row],[UoM_Flow_Py]]</f>
        <v/>
      </c>
      <c r="Y317">
        <f>INDEX(Tab_Def_Flows[[Flow_ID]:[CC_DM_source]],MATCH(Tab_Data_Flows[[#This Row],[Flow_Name]],Tab_Def_Flows[Flow_Name],0),14)</f>
        <v/>
      </c>
      <c r="Z317">
        <f>Tab_Data_Flows[[#This Row],[Flow_ID]]&amp;"_"&amp;"DM_"&amp;Tab_Data_Flows[[#This Row],[Flow_Data_Year]]</f>
        <v/>
      </c>
      <c r="AA317">
        <f>IF(E317="Yes",Y317*Tab_Data_Flows[[#This Row],[Flow_Material]],"N.A.")</f>
        <v/>
      </c>
      <c r="AB317">
        <f>Tab_Data_Flows[[#This Row],[UoM_Flow_Py]]</f>
        <v/>
      </c>
      <c r="AC317">
        <f>INDEX(Tab_Def_Flows[[Flow_ID]:[CC_DM_source]],MATCH(Tab_Data_Flows[[#This Row],[Flow_Name]],Tab_Def_Flows[Flow_Name],0),17)</f>
        <v/>
      </c>
      <c r="AD317">
        <f>Tab_Data_Flows[[#This Row],[Flow_ID]]&amp;"_"&amp;"CC_"&amp;Tab_Data_Flows[[#This Row],[Flow_Data_Year]]</f>
        <v/>
      </c>
      <c r="AE317">
        <f>IF(F317="Yes",AC317*Tab_Data_Flows[[#This Row],[Flow_Material]]*Tab_Data_Flows[[#This Row],[DM_'[%']]],"N.A.")</f>
        <v/>
      </c>
      <c r="AF317">
        <f>Tab_Data_Flows[[#This Row],[UoM_Flow_Py]]</f>
        <v/>
      </c>
    </row>
    <row r="318">
      <c r="A318">
        <f>ROW()-1</f>
        <v/>
      </c>
      <c r="B318">
        <f>_xlfn.XLOOKUP(C318,Tab_Def_Flows[Flow_Name],Tab_Def_Flows[Flow_ID],,0,)</f>
        <v/>
      </c>
      <c r="C318" t="inlineStr">
        <is>
          <t>N.A.</t>
        </is>
      </c>
      <c r="D318">
        <f>_xlfn.XLOOKUP(C318,Tab_Def_Flows[Flow_Name],Tab_Def_Flows[WC?],,0,)</f>
        <v/>
      </c>
      <c r="E318">
        <f>_xlfn.XLOOKUP(C318,Tab_Def_Flows[Flow_Name],Tab_Def_Flows[DM?],,0,)</f>
        <v/>
      </c>
      <c r="F318">
        <f>_xlfn.XLOOKUP(C318,Tab_Def_Flows[Flow_Name],Tab_Def_Flows[CC?],,0,)</f>
        <v/>
      </c>
      <c r="O318" t="inlineStr">
        <is>
          <t>No</t>
        </is>
      </c>
      <c r="R318">
        <f>Tab_Data_Flows[[#This Row],[Flow_ID]]&amp;"_"&amp;"material_"&amp;Tab_Data_Flows[[#This Row],[Flow_Data_Year]]</f>
        <v/>
      </c>
      <c r="S318">
        <f>IF(O318="no",H318,H318*P318)</f>
        <v/>
      </c>
      <c r="T318">
        <f>Tab_Data_Flows[[#This Row],[UoM_Source]]</f>
        <v/>
      </c>
      <c r="U318">
        <f>INDEX(Tab_Def_Flows[[Flow_ID]:[CC_DM_source]],MATCH(Tab_Data_Flows[[#This Row],[Flow_Name]],Tab_Def_Flows[Flow_Name],0),11)</f>
        <v/>
      </c>
      <c r="V318">
        <f>Tab_Data_Flows[[#This Row],[Flow_ID]]&amp;"_"&amp;"WC_"&amp;Tab_Data_Flows[[#This Row],[Flow_Data_Year]]</f>
        <v/>
      </c>
      <c r="W318">
        <f>IF(D318="Yes",S318*Tab_Data_Flows[[#This Row],[WC_'[%']]],"N.A.")</f>
        <v/>
      </c>
      <c r="X318">
        <f>Tab_Data_Flows[[#This Row],[UoM_Flow_Py]]</f>
        <v/>
      </c>
      <c r="Y318">
        <f>INDEX(Tab_Def_Flows[[Flow_ID]:[CC_DM_source]],MATCH(Tab_Data_Flows[[#This Row],[Flow_Name]],Tab_Def_Flows[Flow_Name],0),14)</f>
        <v/>
      </c>
      <c r="Z318">
        <f>Tab_Data_Flows[[#This Row],[Flow_ID]]&amp;"_"&amp;"DM_"&amp;Tab_Data_Flows[[#This Row],[Flow_Data_Year]]</f>
        <v/>
      </c>
      <c r="AA318">
        <f>IF(E318="Yes",Y318*Tab_Data_Flows[[#This Row],[Flow_Material]],"N.A.")</f>
        <v/>
      </c>
      <c r="AB318">
        <f>Tab_Data_Flows[[#This Row],[UoM_Flow_Py]]</f>
        <v/>
      </c>
      <c r="AC318">
        <f>INDEX(Tab_Def_Flows[[Flow_ID]:[CC_DM_source]],MATCH(Tab_Data_Flows[[#This Row],[Flow_Name]],Tab_Def_Flows[Flow_Name],0),17)</f>
        <v/>
      </c>
      <c r="AD318">
        <f>Tab_Data_Flows[[#This Row],[Flow_ID]]&amp;"_"&amp;"CC_"&amp;Tab_Data_Flows[[#This Row],[Flow_Data_Year]]</f>
        <v/>
      </c>
      <c r="AE318">
        <f>IF(F318="Yes",AC318*Tab_Data_Flows[[#This Row],[Flow_Material]]*Tab_Data_Flows[[#This Row],[DM_'[%']]],"N.A.")</f>
        <v/>
      </c>
      <c r="AF318">
        <f>Tab_Data_Flows[[#This Row],[UoM_Flow_Py]]</f>
        <v/>
      </c>
    </row>
    <row r="319">
      <c r="A319">
        <f>ROW()-1</f>
        <v/>
      </c>
      <c r="B319">
        <f>_xlfn.XLOOKUP(C319,Tab_Def_Flows[Flow_Name],Tab_Def_Flows[Flow_ID],,0,)</f>
        <v/>
      </c>
      <c r="C319" t="inlineStr">
        <is>
          <t>N.A.</t>
        </is>
      </c>
      <c r="D319">
        <f>_xlfn.XLOOKUP(C319,Tab_Def_Flows[Flow_Name],Tab_Def_Flows[WC?],,0,)</f>
        <v/>
      </c>
      <c r="E319">
        <f>_xlfn.XLOOKUP(C319,Tab_Def_Flows[Flow_Name],Tab_Def_Flows[DM?],,0,)</f>
        <v/>
      </c>
      <c r="F319">
        <f>_xlfn.XLOOKUP(C319,Tab_Def_Flows[Flow_Name],Tab_Def_Flows[CC?],,0,)</f>
        <v/>
      </c>
      <c r="O319" t="inlineStr">
        <is>
          <t>No</t>
        </is>
      </c>
      <c r="R319">
        <f>Tab_Data_Flows[[#This Row],[Flow_ID]]&amp;"_"&amp;"material_"&amp;Tab_Data_Flows[[#This Row],[Flow_Data_Year]]</f>
        <v/>
      </c>
      <c r="S319">
        <f>IF(O319="no",H319,H319*P319)</f>
        <v/>
      </c>
      <c r="T319">
        <f>Tab_Data_Flows[[#This Row],[UoM_Source]]</f>
        <v/>
      </c>
      <c r="U319">
        <f>INDEX(Tab_Def_Flows[[Flow_ID]:[CC_DM_source]],MATCH(Tab_Data_Flows[[#This Row],[Flow_Name]],Tab_Def_Flows[Flow_Name],0),11)</f>
        <v/>
      </c>
      <c r="V319">
        <f>Tab_Data_Flows[[#This Row],[Flow_ID]]&amp;"_"&amp;"WC_"&amp;Tab_Data_Flows[[#This Row],[Flow_Data_Year]]</f>
        <v/>
      </c>
      <c r="W319">
        <f>IF(D319="Yes",S319*Tab_Data_Flows[[#This Row],[WC_'[%']]],"N.A.")</f>
        <v/>
      </c>
      <c r="X319">
        <f>Tab_Data_Flows[[#This Row],[UoM_Flow_Py]]</f>
        <v/>
      </c>
      <c r="Y319">
        <f>INDEX(Tab_Def_Flows[[Flow_ID]:[CC_DM_source]],MATCH(Tab_Data_Flows[[#This Row],[Flow_Name]],Tab_Def_Flows[Flow_Name],0),14)</f>
        <v/>
      </c>
      <c r="Z319">
        <f>Tab_Data_Flows[[#This Row],[Flow_ID]]&amp;"_"&amp;"DM_"&amp;Tab_Data_Flows[[#This Row],[Flow_Data_Year]]</f>
        <v/>
      </c>
      <c r="AA319">
        <f>IF(E319="Yes",Y319*Tab_Data_Flows[[#This Row],[Flow_Material]],"N.A.")</f>
        <v/>
      </c>
      <c r="AB319">
        <f>Tab_Data_Flows[[#This Row],[UoM_Flow_Py]]</f>
        <v/>
      </c>
      <c r="AC319">
        <f>INDEX(Tab_Def_Flows[[Flow_ID]:[CC_DM_source]],MATCH(Tab_Data_Flows[[#This Row],[Flow_Name]],Tab_Def_Flows[Flow_Name],0),17)</f>
        <v/>
      </c>
      <c r="AD319">
        <f>Tab_Data_Flows[[#This Row],[Flow_ID]]&amp;"_"&amp;"CC_"&amp;Tab_Data_Flows[[#This Row],[Flow_Data_Year]]</f>
        <v/>
      </c>
      <c r="AE319">
        <f>IF(F319="Yes",AC319*Tab_Data_Flows[[#This Row],[Flow_Material]]*Tab_Data_Flows[[#This Row],[DM_'[%']]],"N.A.")</f>
        <v/>
      </c>
      <c r="AF319">
        <f>Tab_Data_Flows[[#This Row],[UoM_Flow_Py]]</f>
        <v/>
      </c>
    </row>
    <row r="320">
      <c r="A320">
        <f>ROW()-1</f>
        <v/>
      </c>
      <c r="B320">
        <f>_xlfn.XLOOKUP(C320,Tab_Def_Flows[Flow_Name],Tab_Def_Flows[Flow_ID],,0,)</f>
        <v/>
      </c>
      <c r="C320" t="inlineStr">
        <is>
          <t>N.A.</t>
        </is>
      </c>
      <c r="D320">
        <f>_xlfn.XLOOKUP(C320,Tab_Def_Flows[Flow_Name],Tab_Def_Flows[WC?],,0,)</f>
        <v/>
      </c>
      <c r="E320">
        <f>_xlfn.XLOOKUP(C320,Tab_Def_Flows[Flow_Name],Tab_Def_Flows[DM?],,0,)</f>
        <v/>
      </c>
      <c r="F320">
        <f>_xlfn.XLOOKUP(C320,Tab_Def_Flows[Flow_Name],Tab_Def_Flows[CC?],,0,)</f>
        <v/>
      </c>
      <c r="O320" t="inlineStr">
        <is>
          <t>No</t>
        </is>
      </c>
      <c r="R320">
        <f>Tab_Data_Flows[[#This Row],[Flow_ID]]&amp;"_"&amp;"material_"&amp;Tab_Data_Flows[[#This Row],[Flow_Data_Year]]</f>
        <v/>
      </c>
      <c r="S320">
        <f>IF(O320="no",H320,H320*P320)</f>
        <v/>
      </c>
      <c r="T320">
        <f>Tab_Data_Flows[[#This Row],[UoM_Source]]</f>
        <v/>
      </c>
      <c r="U320">
        <f>INDEX(Tab_Def_Flows[[Flow_ID]:[CC_DM_source]],MATCH(Tab_Data_Flows[[#This Row],[Flow_Name]],Tab_Def_Flows[Flow_Name],0),11)</f>
        <v/>
      </c>
      <c r="V320">
        <f>Tab_Data_Flows[[#This Row],[Flow_ID]]&amp;"_"&amp;"WC_"&amp;Tab_Data_Flows[[#This Row],[Flow_Data_Year]]</f>
        <v/>
      </c>
      <c r="W320">
        <f>IF(D320="Yes",S320*Tab_Data_Flows[[#This Row],[WC_'[%']]],"N.A.")</f>
        <v/>
      </c>
      <c r="X320">
        <f>Tab_Data_Flows[[#This Row],[UoM_Flow_Py]]</f>
        <v/>
      </c>
      <c r="Y320">
        <f>INDEX(Tab_Def_Flows[[Flow_ID]:[CC_DM_source]],MATCH(Tab_Data_Flows[[#This Row],[Flow_Name]],Tab_Def_Flows[Flow_Name],0),14)</f>
        <v/>
      </c>
      <c r="Z320">
        <f>Tab_Data_Flows[[#This Row],[Flow_ID]]&amp;"_"&amp;"DM_"&amp;Tab_Data_Flows[[#This Row],[Flow_Data_Year]]</f>
        <v/>
      </c>
      <c r="AA320">
        <f>IF(E320="Yes",Y320*Tab_Data_Flows[[#This Row],[Flow_Material]],"N.A.")</f>
        <v/>
      </c>
      <c r="AB320">
        <f>Tab_Data_Flows[[#This Row],[UoM_Flow_Py]]</f>
        <v/>
      </c>
      <c r="AC320">
        <f>INDEX(Tab_Def_Flows[[Flow_ID]:[CC_DM_source]],MATCH(Tab_Data_Flows[[#This Row],[Flow_Name]],Tab_Def_Flows[Flow_Name],0),17)</f>
        <v/>
      </c>
      <c r="AD320">
        <f>Tab_Data_Flows[[#This Row],[Flow_ID]]&amp;"_"&amp;"CC_"&amp;Tab_Data_Flows[[#This Row],[Flow_Data_Year]]</f>
        <v/>
      </c>
      <c r="AE320">
        <f>IF(F320="Yes",AC320*Tab_Data_Flows[[#This Row],[Flow_Material]]*Tab_Data_Flows[[#This Row],[DM_'[%']]],"N.A.")</f>
        <v/>
      </c>
      <c r="AF320">
        <f>Tab_Data_Flows[[#This Row],[UoM_Flow_Py]]</f>
        <v/>
      </c>
    </row>
    <row r="321">
      <c r="A321">
        <f>ROW()-1</f>
        <v/>
      </c>
      <c r="B321">
        <f>_xlfn.XLOOKUP(C321,Tab_Def_Flows[Flow_Name],Tab_Def_Flows[Flow_ID],,0,)</f>
        <v/>
      </c>
      <c r="C321" t="inlineStr">
        <is>
          <t>N.A.</t>
        </is>
      </c>
      <c r="D321">
        <f>_xlfn.XLOOKUP(C321,Tab_Def_Flows[Flow_Name],Tab_Def_Flows[WC?],,0,)</f>
        <v/>
      </c>
      <c r="E321">
        <f>_xlfn.XLOOKUP(C321,Tab_Def_Flows[Flow_Name],Tab_Def_Flows[DM?],,0,)</f>
        <v/>
      </c>
      <c r="F321">
        <f>_xlfn.XLOOKUP(C321,Tab_Def_Flows[Flow_Name],Tab_Def_Flows[CC?],,0,)</f>
        <v/>
      </c>
      <c r="O321" t="inlineStr">
        <is>
          <t>No</t>
        </is>
      </c>
      <c r="R321">
        <f>Tab_Data_Flows[[#This Row],[Flow_ID]]&amp;"_"&amp;"material_"&amp;Tab_Data_Flows[[#This Row],[Flow_Data_Year]]</f>
        <v/>
      </c>
      <c r="S321">
        <f>IF(O321="no",H321,H321*P321)</f>
        <v/>
      </c>
      <c r="T321">
        <f>Tab_Data_Flows[[#This Row],[UoM_Source]]</f>
        <v/>
      </c>
      <c r="U321">
        <f>INDEX(Tab_Def_Flows[[Flow_ID]:[CC_DM_source]],MATCH(Tab_Data_Flows[[#This Row],[Flow_Name]],Tab_Def_Flows[Flow_Name],0),11)</f>
        <v/>
      </c>
      <c r="V321">
        <f>Tab_Data_Flows[[#This Row],[Flow_ID]]&amp;"_"&amp;"WC_"&amp;Tab_Data_Flows[[#This Row],[Flow_Data_Year]]</f>
        <v/>
      </c>
      <c r="W321">
        <f>IF(D321="Yes",S321*Tab_Data_Flows[[#This Row],[WC_'[%']]],"N.A.")</f>
        <v/>
      </c>
      <c r="X321">
        <f>Tab_Data_Flows[[#This Row],[UoM_Flow_Py]]</f>
        <v/>
      </c>
      <c r="Y321">
        <f>INDEX(Tab_Def_Flows[[Flow_ID]:[CC_DM_source]],MATCH(Tab_Data_Flows[[#This Row],[Flow_Name]],Tab_Def_Flows[Flow_Name],0),14)</f>
        <v/>
      </c>
      <c r="Z321">
        <f>Tab_Data_Flows[[#This Row],[Flow_ID]]&amp;"_"&amp;"DM_"&amp;Tab_Data_Flows[[#This Row],[Flow_Data_Year]]</f>
        <v/>
      </c>
      <c r="AA321">
        <f>IF(E321="Yes",Y321*Tab_Data_Flows[[#This Row],[Flow_Material]],"N.A.")</f>
        <v/>
      </c>
      <c r="AB321">
        <f>Tab_Data_Flows[[#This Row],[UoM_Flow_Py]]</f>
        <v/>
      </c>
      <c r="AC321">
        <f>INDEX(Tab_Def_Flows[[Flow_ID]:[CC_DM_source]],MATCH(Tab_Data_Flows[[#This Row],[Flow_Name]],Tab_Def_Flows[Flow_Name],0),17)</f>
        <v/>
      </c>
      <c r="AD321">
        <f>Tab_Data_Flows[[#This Row],[Flow_ID]]&amp;"_"&amp;"CC_"&amp;Tab_Data_Flows[[#This Row],[Flow_Data_Year]]</f>
        <v/>
      </c>
      <c r="AE321">
        <f>IF(F321="Yes",AC321*Tab_Data_Flows[[#This Row],[Flow_Material]]*Tab_Data_Flows[[#This Row],[DM_'[%']]],"N.A.")</f>
        <v/>
      </c>
      <c r="AF321">
        <f>Tab_Data_Flows[[#This Row],[UoM_Flow_Py]]</f>
        <v/>
      </c>
    </row>
    <row r="322">
      <c r="A322">
        <f>ROW()-1</f>
        <v/>
      </c>
      <c r="B322">
        <f>_xlfn.XLOOKUP(C322,Tab_Def_Flows[Flow_Name],Tab_Def_Flows[Flow_ID],,0,)</f>
        <v/>
      </c>
      <c r="C322" t="inlineStr">
        <is>
          <t>N.A.</t>
        </is>
      </c>
      <c r="D322">
        <f>_xlfn.XLOOKUP(C322,Tab_Def_Flows[Flow_Name],Tab_Def_Flows[WC?],,0,)</f>
        <v/>
      </c>
      <c r="E322">
        <f>_xlfn.XLOOKUP(C322,Tab_Def_Flows[Flow_Name],Tab_Def_Flows[DM?],,0,)</f>
        <v/>
      </c>
      <c r="F322">
        <f>_xlfn.XLOOKUP(C322,Tab_Def_Flows[Flow_Name],Tab_Def_Flows[CC?],,0,)</f>
        <v/>
      </c>
      <c r="O322" t="inlineStr">
        <is>
          <t>No</t>
        </is>
      </c>
      <c r="R322">
        <f>Tab_Data_Flows[[#This Row],[Flow_ID]]&amp;"_"&amp;"material_"&amp;Tab_Data_Flows[[#This Row],[Flow_Data_Year]]</f>
        <v/>
      </c>
      <c r="S322">
        <f>IF(O322="no",H322,H322*P322)</f>
        <v/>
      </c>
      <c r="T322">
        <f>Tab_Data_Flows[[#This Row],[UoM_Source]]</f>
        <v/>
      </c>
      <c r="U322">
        <f>INDEX(Tab_Def_Flows[[Flow_ID]:[CC_DM_source]],MATCH(Tab_Data_Flows[[#This Row],[Flow_Name]],Tab_Def_Flows[Flow_Name],0),11)</f>
        <v/>
      </c>
      <c r="V322">
        <f>Tab_Data_Flows[[#This Row],[Flow_ID]]&amp;"_"&amp;"WC_"&amp;Tab_Data_Flows[[#This Row],[Flow_Data_Year]]</f>
        <v/>
      </c>
      <c r="W322">
        <f>IF(D322="Yes",S322*Tab_Data_Flows[[#This Row],[WC_'[%']]],"N.A.")</f>
        <v/>
      </c>
      <c r="X322">
        <f>Tab_Data_Flows[[#This Row],[UoM_Flow_Py]]</f>
        <v/>
      </c>
      <c r="Y322">
        <f>INDEX(Tab_Def_Flows[[Flow_ID]:[CC_DM_source]],MATCH(Tab_Data_Flows[[#This Row],[Flow_Name]],Tab_Def_Flows[Flow_Name],0),14)</f>
        <v/>
      </c>
      <c r="Z322">
        <f>Tab_Data_Flows[[#This Row],[Flow_ID]]&amp;"_"&amp;"DM_"&amp;Tab_Data_Flows[[#This Row],[Flow_Data_Year]]</f>
        <v/>
      </c>
      <c r="AA322">
        <f>IF(E322="Yes",Y322*Tab_Data_Flows[[#This Row],[Flow_Material]],"N.A.")</f>
        <v/>
      </c>
      <c r="AB322">
        <f>Tab_Data_Flows[[#This Row],[UoM_Flow_Py]]</f>
        <v/>
      </c>
      <c r="AC322">
        <f>INDEX(Tab_Def_Flows[[Flow_ID]:[CC_DM_source]],MATCH(Tab_Data_Flows[[#This Row],[Flow_Name]],Tab_Def_Flows[Flow_Name],0),17)</f>
        <v/>
      </c>
      <c r="AD322">
        <f>Tab_Data_Flows[[#This Row],[Flow_ID]]&amp;"_"&amp;"CC_"&amp;Tab_Data_Flows[[#This Row],[Flow_Data_Year]]</f>
        <v/>
      </c>
      <c r="AE322">
        <f>IF(F322="Yes",AC322*Tab_Data_Flows[[#This Row],[Flow_Material]]*Tab_Data_Flows[[#This Row],[DM_'[%']]],"N.A.")</f>
        <v/>
      </c>
      <c r="AF322">
        <f>Tab_Data_Flows[[#This Row],[UoM_Flow_Py]]</f>
        <v/>
      </c>
    </row>
    <row r="323">
      <c r="A323">
        <f>ROW()-1</f>
        <v/>
      </c>
      <c r="B323">
        <f>_xlfn.XLOOKUP(C323,Tab_Def_Flows[Flow_Name],Tab_Def_Flows[Flow_ID],,0,)</f>
        <v/>
      </c>
      <c r="C323" t="inlineStr">
        <is>
          <t>N.A.</t>
        </is>
      </c>
      <c r="D323">
        <f>_xlfn.XLOOKUP(C323,Tab_Def_Flows[Flow_Name],Tab_Def_Flows[WC?],,0,)</f>
        <v/>
      </c>
      <c r="E323">
        <f>_xlfn.XLOOKUP(C323,Tab_Def_Flows[Flow_Name],Tab_Def_Flows[DM?],,0,)</f>
        <v/>
      </c>
      <c r="F323">
        <f>_xlfn.XLOOKUP(C323,Tab_Def_Flows[Flow_Name],Tab_Def_Flows[CC?],,0,)</f>
        <v/>
      </c>
      <c r="O323" t="inlineStr">
        <is>
          <t>No</t>
        </is>
      </c>
      <c r="R323">
        <f>Tab_Data_Flows[[#This Row],[Flow_ID]]&amp;"_"&amp;"material_"&amp;Tab_Data_Flows[[#This Row],[Flow_Data_Year]]</f>
        <v/>
      </c>
      <c r="S323">
        <f>IF(O323="no",H323,H323*P323)</f>
        <v/>
      </c>
      <c r="T323">
        <f>Tab_Data_Flows[[#This Row],[UoM_Source]]</f>
        <v/>
      </c>
      <c r="U323">
        <f>INDEX(Tab_Def_Flows[[Flow_ID]:[CC_DM_source]],MATCH(Tab_Data_Flows[[#This Row],[Flow_Name]],Tab_Def_Flows[Flow_Name],0),11)</f>
        <v/>
      </c>
      <c r="V323">
        <f>Tab_Data_Flows[[#This Row],[Flow_ID]]&amp;"_"&amp;"WC_"&amp;Tab_Data_Flows[[#This Row],[Flow_Data_Year]]</f>
        <v/>
      </c>
      <c r="W323">
        <f>IF(D323="Yes",S323*Tab_Data_Flows[[#This Row],[WC_'[%']]],"N.A.")</f>
        <v/>
      </c>
      <c r="X323">
        <f>Tab_Data_Flows[[#This Row],[UoM_Flow_Py]]</f>
        <v/>
      </c>
      <c r="Y323">
        <f>INDEX(Tab_Def_Flows[[Flow_ID]:[CC_DM_source]],MATCH(Tab_Data_Flows[[#This Row],[Flow_Name]],Tab_Def_Flows[Flow_Name],0),14)</f>
        <v/>
      </c>
      <c r="Z323">
        <f>Tab_Data_Flows[[#This Row],[Flow_ID]]&amp;"_"&amp;"DM_"&amp;Tab_Data_Flows[[#This Row],[Flow_Data_Year]]</f>
        <v/>
      </c>
      <c r="AA323">
        <f>IF(E323="Yes",Y323*Tab_Data_Flows[[#This Row],[Flow_Material]],"N.A.")</f>
        <v/>
      </c>
      <c r="AB323">
        <f>Tab_Data_Flows[[#This Row],[UoM_Flow_Py]]</f>
        <v/>
      </c>
      <c r="AC323">
        <f>INDEX(Tab_Def_Flows[[Flow_ID]:[CC_DM_source]],MATCH(Tab_Data_Flows[[#This Row],[Flow_Name]],Tab_Def_Flows[Flow_Name],0),17)</f>
        <v/>
      </c>
      <c r="AD323">
        <f>Tab_Data_Flows[[#This Row],[Flow_ID]]&amp;"_"&amp;"CC_"&amp;Tab_Data_Flows[[#This Row],[Flow_Data_Year]]</f>
        <v/>
      </c>
      <c r="AE323">
        <f>IF(F323="Yes",AC323*Tab_Data_Flows[[#This Row],[Flow_Material]]*Tab_Data_Flows[[#This Row],[DM_'[%']]],"N.A.")</f>
        <v/>
      </c>
      <c r="AF323">
        <f>Tab_Data_Flows[[#This Row],[UoM_Flow_Py]]</f>
        <v/>
      </c>
    </row>
    <row r="324">
      <c r="A324">
        <f>ROW()-1</f>
        <v/>
      </c>
      <c r="B324">
        <f>_xlfn.XLOOKUP(C324,Tab_Def_Flows[Flow_Name],Tab_Def_Flows[Flow_ID],,0,)</f>
        <v/>
      </c>
      <c r="C324" t="inlineStr">
        <is>
          <t>N.A.</t>
        </is>
      </c>
      <c r="D324">
        <f>_xlfn.XLOOKUP(C324,Tab_Def_Flows[Flow_Name],Tab_Def_Flows[WC?],,0,)</f>
        <v/>
      </c>
      <c r="E324">
        <f>_xlfn.XLOOKUP(C324,Tab_Def_Flows[Flow_Name],Tab_Def_Flows[DM?],,0,)</f>
        <v/>
      </c>
      <c r="F324">
        <f>_xlfn.XLOOKUP(C324,Tab_Def_Flows[Flow_Name],Tab_Def_Flows[CC?],,0,)</f>
        <v/>
      </c>
      <c r="O324" t="inlineStr">
        <is>
          <t>No</t>
        </is>
      </c>
      <c r="R324">
        <f>Tab_Data_Flows[[#This Row],[Flow_ID]]&amp;"_"&amp;"material_"&amp;Tab_Data_Flows[[#This Row],[Flow_Data_Year]]</f>
        <v/>
      </c>
      <c r="S324">
        <f>IF(O324="no",H324,H324*P324)</f>
        <v/>
      </c>
      <c r="T324">
        <f>Tab_Data_Flows[[#This Row],[UoM_Source]]</f>
        <v/>
      </c>
      <c r="U324">
        <f>INDEX(Tab_Def_Flows[[Flow_ID]:[CC_DM_source]],MATCH(Tab_Data_Flows[[#This Row],[Flow_Name]],Tab_Def_Flows[Flow_Name],0),11)</f>
        <v/>
      </c>
      <c r="V324">
        <f>Tab_Data_Flows[[#This Row],[Flow_ID]]&amp;"_"&amp;"WC_"&amp;Tab_Data_Flows[[#This Row],[Flow_Data_Year]]</f>
        <v/>
      </c>
      <c r="W324">
        <f>IF(D324="Yes",S324*Tab_Data_Flows[[#This Row],[WC_'[%']]],"N.A.")</f>
        <v/>
      </c>
      <c r="X324">
        <f>Tab_Data_Flows[[#This Row],[UoM_Flow_Py]]</f>
        <v/>
      </c>
      <c r="Y324">
        <f>INDEX(Tab_Def_Flows[[Flow_ID]:[CC_DM_source]],MATCH(Tab_Data_Flows[[#This Row],[Flow_Name]],Tab_Def_Flows[Flow_Name],0),14)</f>
        <v/>
      </c>
      <c r="Z324">
        <f>Tab_Data_Flows[[#This Row],[Flow_ID]]&amp;"_"&amp;"DM_"&amp;Tab_Data_Flows[[#This Row],[Flow_Data_Year]]</f>
        <v/>
      </c>
      <c r="AA324">
        <f>IF(E324="Yes",Y324*Tab_Data_Flows[[#This Row],[Flow_Material]],"N.A.")</f>
        <v/>
      </c>
      <c r="AB324">
        <f>Tab_Data_Flows[[#This Row],[UoM_Flow_Py]]</f>
        <v/>
      </c>
      <c r="AC324">
        <f>INDEX(Tab_Def_Flows[[Flow_ID]:[CC_DM_source]],MATCH(Tab_Data_Flows[[#This Row],[Flow_Name]],Tab_Def_Flows[Flow_Name],0),17)</f>
        <v/>
      </c>
      <c r="AD324">
        <f>Tab_Data_Flows[[#This Row],[Flow_ID]]&amp;"_"&amp;"CC_"&amp;Tab_Data_Flows[[#This Row],[Flow_Data_Year]]</f>
        <v/>
      </c>
      <c r="AE324">
        <f>IF(F324="Yes",AC324*Tab_Data_Flows[[#This Row],[Flow_Material]]*Tab_Data_Flows[[#This Row],[DM_'[%']]],"N.A.")</f>
        <v/>
      </c>
      <c r="AF324">
        <f>Tab_Data_Flows[[#This Row],[UoM_Flow_Py]]</f>
        <v/>
      </c>
    </row>
    <row r="325">
      <c r="A325">
        <f>ROW()-1</f>
        <v/>
      </c>
      <c r="B325">
        <f>_xlfn.XLOOKUP(C325,Tab_Def_Flows[Flow_Name],Tab_Def_Flows[Flow_ID],,0,)</f>
        <v/>
      </c>
      <c r="C325" t="inlineStr">
        <is>
          <t>N.A.</t>
        </is>
      </c>
      <c r="D325">
        <f>_xlfn.XLOOKUP(C325,Tab_Def_Flows[Flow_Name],Tab_Def_Flows[WC?],,0,)</f>
        <v/>
      </c>
      <c r="E325">
        <f>_xlfn.XLOOKUP(C325,Tab_Def_Flows[Flow_Name],Tab_Def_Flows[DM?],,0,)</f>
        <v/>
      </c>
      <c r="F325">
        <f>_xlfn.XLOOKUP(C325,Tab_Def_Flows[Flow_Name],Tab_Def_Flows[CC?],,0,)</f>
        <v/>
      </c>
      <c r="O325" t="inlineStr">
        <is>
          <t>No</t>
        </is>
      </c>
      <c r="R325">
        <f>Tab_Data_Flows[[#This Row],[Flow_ID]]&amp;"_"&amp;"material_"&amp;Tab_Data_Flows[[#This Row],[Flow_Data_Year]]</f>
        <v/>
      </c>
      <c r="S325">
        <f>IF(O325="no",H325,H325*P325)</f>
        <v/>
      </c>
      <c r="T325">
        <f>Tab_Data_Flows[[#This Row],[UoM_Source]]</f>
        <v/>
      </c>
      <c r="U325">
        <f>INDEX(Tab_Def_Flows[[Flow_ID]:[CC_DM_source]],MATCH(Tab_Data_Flows[[#This Row],[Flow_Name]],Tab_Def_Flows[Flow_Name],0),11)</f>
        <v/>
      </c>
      <c r="V325">
        <f>Tab_Data_Flows[[#This Row],[Flow_ID]]&amp;"_"&amp;"WC_"&amp;Tab_Data_Flows[[#This Row],[Flow_Data_Year]]</f>
        <v/>
      </c>
      <c r="W325">
        <f>IF(D325="Yes",S325*Tab_Data_Flows[[#This Row],[WC_'[%']]],"N.A.")</f>
        <v/>
      </c>
      <c r="X325">
        <f>Tab_Data_Flows[[#This Row],[UoM_Flow_Py]]</f>
        <v/>
      </c>
      <c r="Y325">
        <f>INDEX(Tab_Def_Flows[[Flow_ID]:[CC_DM_source]],MATCH(Tab_Data_Flows[[#This Row],[Flow_Name]],Tab_Def_Flows[Flow_Name],0),14)</f>
        <v/>
      </c>
      <c r="Z325">
        <f>Tab_Data_Flows[[#This Row],[Flow_ID]]&amp;"_"&amp;"DM_"&amp;Tab_Data_Flows[[#This Row],[Flow_Data_Year]]</f>
        <v/>
      </c>
      <c r="AA325">
        <f>IF(E325="Yes",Y325*Tab_Data_Flows[[#This Row],[Flow_Material]],"N.A.")</f>
        <v/>
      </c>
      <c r="AB325">
        <f>Tab_Data_Flows[[#This Row],[UoM_Flow_Py]]</f>
        <v/>
      </c>
      <c r="AC325">
        <f>INDEX(Tab_Def_Flows[[Flow_ID]:[CC_DM_source]],MATCH(Tab_Data_Flows[[#This Row],[Flow_Name]],Tab_Def_Flows[Flow_Name],0),17)</f>
        <v/>
      </c>
      <c r="AD325">
        <f>Tab_Data_Flows[[#This Row],[Flow_ID]]&amp;"_"&amp;"CC_"&amp;Tab_Data_Flows[[#This Row],[Flow_Data_Year]]</f>
        <v/>
      </c>
      <c r="AE325">
        <f>IF(F325="Yes",AC325*Tab_Data_Flows[[#This Row],[Flow_Material]]*Tab_Data_Flows[[#This Row],[DM_'[%']]],"N.A.")</f>
        <v/>
      </c>
      <c r="AF325">
        <f>Tab_Data_Flows[[#This Row],[UoM_Flow_Py]]</f>
        <v/>
      </c>
    </row>
    <row r="326">
      <c r="A326">
        <f>ROW()-1</f>
        <v/>
      </c>
      <c r="B326">
        <f>_xlfn.XLOOKUP(C326,Tab_Def_Flows[Flow_Name],Tab_Def_Flows[Flow_ID],,0,)</f>
        <v/>
      </c>
      <c r="C326" t="inlineStr">
        <is>
          <t>N.A.</t>
        </is>
      </c>
      <c r="D326">
        <f>_xlfn.XLOOKUP(C326,Tab_Def_Flows[Flow_Name],Tab_Def_Flows[WC?],,0,)</f>
        <v/>
      </c>
      <c r="E326">
        <f>_xlfn.XLOOKUP(C326,Tab_Def_Flows[Flow_Name],Tab_Def_Flows[DM?],,0,)</f>
        <v/>
      </c>
      <c r="F326">
        <f>_xlfn.XLOOKUP(C326,Tab_Def_Flows[Flow_Name],Tab_Def_Flows[CC?],,0,)</f>
        <v/>
      </c>
      <c r="O326" t="inlineStr">
        <is>
          <t>No</t>
        </is>
      </c>
      <c r="R326">
        <f>Tab_Data_Flows[[#This Row],[Flow_ID]]&amp;"_"&amp;"material_"&amp;Tab_Data_Flows[[#This Row],[Flow_Data_Year]]</f>
        <v/>
      </c>
      <c r="S326">
        <f>IF(O326="no",H326,H326*P326)</f>
        <v/>
      </c>
      <c r="T326">
        <f>Tab_Data_Flows[[#This Row],[UoM_Source]]</f>
        <v/>
      </c>
      <c r="U326">
        <f>INDEX(Tab_Def_Flows[[Flow_ID]:[CC_DM_source]],MATCH(Tab_Data_Flows[[#This Row],[Flow_Name]],Tab_Def_Flows[Flow_Name],0),11)</f>
        <v/>
      </c>
      <c r="V326">
        <f>Tab_Data_Flows[[#This Row],[Flow_ID]]&amp;"_"&amp;"WC_"&amp;Tab_Data_Flows[[#This Row],[Flow_Data_Year]]</f>
        <v/>
      </c>
      <c r="W326">
        <f>IF(D326="Yes",S326*Tab_Data_Flows[[#This Row],[WC_'[%']]],"N.A.")</f>
        <v/>
      </c>
      <c r="X326">
        <f>Tab_Data_Flows[[#This Row],[UoM_Flow_Py]]</f>
        <v/>
      </c>
      <c r="Y326">
        <f>INDEX(Tab_Def_Flows[[Flow_ID]:[CC_DM_source]],MATCH(Tab_Data_Flows[[#This Row],[Flow_Name]],Tab_Def_Flows[Flow_Name],0),14)</f>
        <v/>
      </c>
      <c r="Z326">
        <f>Tab_Data_Flows[[#This Row],[Flow_ID]]&amp;"_"&amp;"DM_"&amp;Tab_Data_Flows[[#This Row],[Flow_Data_Year]]</f>
        <v/>
      </c>
      <c r="AA326">
        <f>IF(E326="Yes",Y326*Tab_Data_Flows[[#This Row],[Flow_Material]],"N.A.")</f>
        <v/>
      </c>
      <c r="AB326">
        <f>Tab_Data_Flows[[#This Row],[UoM_Flow_Py]]</f>
        <v/>
      </c>
      <c r="AC326">
        <f>INDEX(Tab_Def_Flows[[Flow_ID]:[CC_DM_source]],MATCH(Tab_Data_Flows[[#This Row],[Flow_Name]],Tab_Def_Flows[Flow_Name],0),17)</f>
        <v/>
      </c>
      <c r="AD326">
        <f>Tab_Data_Flows[[#This Row],[Flow_ID]]&amp;"_"&amp;"CC_"&amp;Tab_Data_Flows[[#This Row],[Flow_Data_Year]]</f>
        <v/>
      </c>
      <c r="AE326">
        <f>IF(F326="Yes",AC326*Tab_Data_Flows[[#This Row],[Flow_Material]]*Tab_Data_Flows[[#This Row],[DM_'[%']]],"N.A.")</f>
        <v/>
      </c>
      <c r="AF326">
        <f>Tab_Data_Flows[[#This Row],[UoM_Flow_Py]]</f>
        <v/>
      </c>
    </row>
    <row r="327">
      <c r="A327">
        <f>ROW()-1</f>
        <v/>
      </c>
      <c r="B327">
        <f>_xlfn.XLOOKUP(C327,Tab_Def_Flows[Flow_Name],Tab_Def_Flows[Flow_ID],,0,)</f>
        <v/>
      </c>
      <c r="C327" t="inlineStr">
        <is>
          <t>N.A.</t>
        </is>
      </c>
      <c r="D327">
        <f>_xlfn.XLOOKUP(C327,Tab_Def_Flows[Flow_Name],Tab_Def_Flows[WC?],,0,)</f>
        <v/>
      </c>
      <c r="E327">
        <f>_xlfn.XLOOKUP(C327,Tab_Def_Flows[Flow_Name],Tab_Def_Flows[DM?],,0,)</f>
        <v/>
      </c>
      <c r="F327">
        <f>_xlfn.XLOOKUP(C327,Tab_Def_Flows[Flow_Name],Tab_Def_Flows[CC?],,0,)</f>
        <v/>
      </c>
      <c r="O327" t="inlineStr">
        <is>
          <t>No</t>
        </is>
      </c>
      <c r="R327">
        <f>Tab_Data_Flows[[#This Row],[Flow_ID]]&amp;"_"&amp;"material_"&amp;Tab_Data_Flows[[#This Row],[Flow_Data_Year]]</f>
        <v/>
      </c>
      <c r="S327">
        <f>IF(O327="no",H327,H327*P327)</f>
        <v/>
      </c>
      <c r="T327">
        <f>Tab_Data_Flows[[#This Row],[UoM_Source]]</f>
        <v/>
      </c>
      <c r="U327">
        <f>INDEX(Tab_Def_Flows[[Flow_ID]:[CC_DM_source]],MATCH(Tab_Data_Flows[[#This Row],[Flow_Name]],Tab_Def_Flows[Flow_Name],0),11)</f>
        <v/>
      </c>
      <c r="V327">
        <f>Tab_Data_Flows[[#This Row],[Flow_ID]]&amp;"_"&amp;"WC_"&amp;Tab_Data_Flows[[#This Row],[Flow_Data_Year]]</f>
        <v/>
      </c>
      <c r="W327">
        <f>IF(D327="Yes",S327*Tab_Data_Flows[[#This Row],[WC_'[%']]],"N.A.")</f>
        <v/>
      </c>
      <c r="X327">
        <f>Tab_Data_Flows[[#This Row],[UoM_Flow_Py]]</f>
        <v/>
      </c>
      <c r="Y327">
        <f>INDEX(Tab_Def_Flows[[Flow_ID]:[CC_DM_source]],MATCH(Tab_Data_Flows[[#This Row],[Flow_Name]],Tab_Def_Flows[Flow_Name],0),14)</f>
        <v/>
      </c>
      <c r="Z327">
        <f>Tab_Data_Flows[[#This Row],[Flow_ID]]&amp;"_"&amp;"DM_"&amp;Tab_Data_Flows[[#This Row],[Flow_Data_Year]]</f>
        <v/>
      </c>
      <c r="AA327">
        <f>IF(E327="Yes",Y327*Tab_Data_Flows[[#This Row],[Flow_Material]],"N.A.")</f>
        <v/>
      </c>
      <c r="AB327">
        <f>Tab_Data_Flows[[#This Row],[UoM_Flow_Py]]</f>
        <v/>
      </c>
      <c r="AC327">
        <f>INDEX(Tab_Def_Flows[[Flow_ID]:[CC_DM_source]],MATCH(Tab_Data_Flows[[#This Row],[Flow_Name]],Tab_Def_Flows[Flow_Name],0),17)</f>
        <v/>
      </c>
      <c r="AD327">
        <f>Tab_Data_Flows[[#This Row],[Flow_ID]]&amp;"_"&amp;"CC_"&amp;Tab_Data_Flows[[#This Row],[Flow_Data_Year]]</f>
        <v/>
      </c>
      <c r="AE327">
        <f>IF(F327="Yes",AC327*Tab_Data_Flows[[#This Row],[Flow_Material]]*Tab_Data_Flows[[#This Row],[DM_'[%']]],"N.A.")</f>
        <v/>
      </c>
      <c r="AF327">
        <f>Tab_Data_Flows[[#This Row],[UoM_Flow_Py]]</f>
        <v/>
      </c>
    </row>
    <row r="328">
      <c r="A328">
        <f>ROW()-1</f>
        <v/>
      </c>
      <c r="B328">
        <f>_xlfn.XLOOKUP(C328,Tab_Def_Flows[Flow_Name],Tab_Def_Flows[Flow_ID],,0,)</f>
        <v/>
      </c>
      <c r="C328" t="inlineStr">
        <is>
          <t>N.A.</t>
        </is>
      </c>
      <c r="D328">
        <f>_xlfn.XLOOKUP(C328,Tab_Def_Flows[Flow_Name],Tab_Def_Flows[WC?],,0,)</f>
        <v/>
      </c>
      <c r="E328">
        <f>_xlfn.XLOOKUP(C328,Tab_Def_Flows[Flow_Name],Tab_Def_Flows[DM?],,0,)</f>
        <v/>
      </c>
      <c r="F328">
        <f>_xlfn.XLOOKUP(C328,Tab_Def_Flows[Flow_Name],Tab_Def_Flows[CC?],,0,)</f>
        <v/>
      </c>
      <c r="O328" t="inlineStr">
        <is>
          <t>No</t>
        </is>
      </c>
      <c r="R328">
        <f>Tab_Data_Flows[[#This Row],[Flow_ID]]&amp;"_"&amp;"material_"&amp;Tab_Data_Flows[[#This Row],[Flow_Data_Year]]</f>
        <v/>
      </c>
      <c r="S328">
        <f>IF(O328="no",H328,H328*P328)</f>
        <v/>
      </c>
      <c r="T328">
        <f>Tab_Data_Flows[[#This Row],[UoM_Source]]</f>
        <v/>
      </c>
      <c r="U328">
        <f>INDEX(Tab_Def_Flows[[Flow_ID]:[CC_DM_source]],MATCH(Tab_Data_Flows[[#This Row],[Flow_Name]],Tab_Def_Flows[Flow_Name],0),11)</f>
        <v/>
      </c>
      <c r="V328">
        <f>Tab_Data_Flows[[#This Row],[Flow_ID]]&amp;"_"&amp;"WC_"&amp;Tab_Data_Flows[[#This Row],[Flow_Data_Year]]</f>
        <v/>
      </c>
      <c r="W328">
        <f>IF(D328="Yes",S328*Tab_Data_Flows[[#This Row],[WC_'[%']]],"N.A.")</f>
        <v/>
      </c>
      <c r="X328">
        <f>Tab_Data_Flows[[#This Row],[UoM_Flow_Py]]</f>
        <v/>
      </c>
      <c r="Y328">
        <f>INDEX(Tab_Def_Flows[[Flow_ID]:[CC_DM_source]],MATCH(Tab_Data_Flows[[#This Row],[Flow_Name]],Tab_Def_Flows[Flow_Name],0),14)</f>
        <v/>
      </c>
      <c r="Z328">
        <f>Tab_Data_Flows[[#This Row],[Flow_ID]]&amp;"_"&amp;"DM_"&amp;Tab_Data_Flows[[#This Row],[Flow_Data_Year]]</f>
        <v/>
      </c>
      <c r="AA328">
        <f>IF(E328="Yes",Y328*Tab_Data_Flows[[#This Row],[Flow_Material]],"N.A.")</f>
        <v/>
      </c>
      <c r="AB328">
        <f>Tab_Data_Flows[[#This Row],[UoM_Flow_Py]]</f>
        <v/>
      </c>
      <c r="AC328">
        <f>INDEX(Tab_Def_Flows[[Flow_ID]:[CC_DM_source]],MATCH(Tab_Data_Flows[[#This Row],[Flow_Name]],Tab_Def_Flows[Flow_Name],0),17)</f>
        <v/>
      </c>
      <c r="AD328">
        <f>Tab_Data_Flows[[#This Row],[Flow_ID]]&amp;"_"&amp;"CC_"&amp;Tab_Data_Flows[[#This Row],[Flow_Data_Year]]</f>
        <v/>
      </c>
      <c r="AE328">
        <f>IF(F328="Yes",AC328*Tab_Data_Flows[[#This Row],[Flow_Material]]*Tab_Data_Flows[[#This Row],[DM_'[%']]],"N.A.")</f>
        <v/>
      </c>
      <c r="AF328">
        <f>Tab_Data_Flows[[#This Row],[UoM_Flow_Py]]</f>
        <v/>
      </c>
    </row>
    <row r="329">
      <c r="A329">
        <f>ROW()-1</f>
        <v/>
      </c>
      <c r="B329">
        <f>_xlfn.XLOOKUP(C329,Tab_Def_Flows[Flow_Name],Tab_Def_Flows[Flow_ID],,0,)</f>
        <v/>
      </c>
      <c r="C329" t="inlineStr">
        <is>
          <t>N.A.</t>
        </is>
      </c>
      <c r="D329">
        <f>_xlfn.XLOOKUP(C329,Tab_Def_Flows[Flow_Name],Tab_Def_Flows[WC?],,0,)</f>
        <v/>
      </c>
      <c r="E329">
        <f>_xlfn.XLOOKUP(C329,Tab_Def_Flows[Flow_Name],Tab_Def_Flows[DM?],,0,)</f>
        <v/>
      </c>
      <c r="F329">
        <f>_xlfn.XLOOKUP(C329,Tab_Def_Flows[Flow_Name],Tab_Def_Flows[CC?],,0,)</f>
        <v/>
      </c>
      <c r="O329" t="inlineStr">
        <is>
          <t>No</t>
        </is>
      </c>
      <c r="R329">
        <f>Tab_Data_Flows[[#This Row],[Flow_ID]]&amp;"_"&amp;"material_"&amp;Tab_Data_Flows[[#This Row],[Flow_Data_Year]]</f>
        <v/>
      </c>
      <c r="S329">
        <f>IF(O329="no",H329,H329*P329)</f>
        <v/>
      </c>
      <c r="T329">
        <f>Tab_Data_Flows[[#This Row],[UoM_Source]]</f>
        <v/>
      </c>
      <c r="U329">
        <f>INDEX(Tab_Def_Flows[[Flow_ID]:[CC_DM_source]],MATCH(Tab_Data_Flows[[#This Row],[Flow_Name]],Tab_Def_Flows[Flow_Name],0),11)</f>
        <v/>
      </c>
      <c r="V329">
        <f>Tab_Data_Flows[[#This Row],[Flow_ID]]&amp;"_"&amp;"WC_"&amp;Tab_Data_Flows[[#This Row],[Flow_Data_Year]]</f>
        <v/>
      </c>
      <c r="W329">
        <f>IF(D329="Yes",S329*Tab_Data_Flows[[#This Row],[WC_'[%']]],"N.A.")</f>
        <v/>
      </c>
      <c r="X329">
        <f>Tab_Data_Flows[[#This Row],[UoM_Flow_Py]]</f>
        <v/>
      </c>
      <c r="Y329">
        <f>INDEX(Tab_Def_Flows[[Flow_ID]:[CC_DM_source]],MATCH(Tab_Data_Flows[[#This Row],[Flow_Name]],Tab_Def_Flows[Flow_Name],0),14)</f>
        <v/>
      </c>
      <c r="Z329">
        <f>Tab_Data_Flows[[#This Row],[Flow_ID]]&amp;"_"&amp;"DM_"&amp;Tab_Data_Flows[[#This Row],[Flow_Data_Year]]</f>
        <v/>
      </c>
      <c r="AA329">
        <f>IF(E329="Yes",Y329*Tab_Data_Flows[[#This Row],[Flow_Material]],"N.A.")</f>
        <v/>
      </c>
      <c r="AB329">
        <f>Tab_Data_Flows[[#This Row],[UoM_Flow_Py]]</f>
        <v/>
      </c>
      <c r="AC329">
        <f>INDEX(Tab_Def_Flows[[Flow_ID]:[CC_DM_source]],MATCH(Tab_Data_Flows[[#This Row],[Flow_Name]],Tab_Def_Flows[Flow_Name],0),17)</f>
        <v/>
      </c>
      <c r="AD329">
        <f>Tab_Data_Flows[[#This Row],[Flow_ID]]&amp;"_"&amp;"CC_"&amp;Tab_Data_Flows[[#This Row],[Flow_Data_Year]]</f>
        <v/>
      </c>
      <c r="AE329">
        <f>IF(F329="Yes",AC329*Tab_Data_Flows[[#This Row],[Flow_Material]]*Tab_Data_Flows[[#This Row],[DM_'[%']]],"N.A.")</f>
        <v/>
      </c>
      <c r="AF329">
        <f>Tab_Data_Flows[[#This Row],[UoM_Flow_Py]]</f>
        <v/>
      </c>
    </row>
    <row r="330">
      <c r="A330">
        <f>ROW()-1</f>
        <v/>
      </c>
      <c r="B330">
        <f>_xlfn.XLOOKUP(C330,Tab_Def_Flows[Flow_Name],Tab_Def_Flows[Flow_ID],,0,)</f>
        <v/>
      </c>
      <c r="C330" t="inlineStr">
        <is>
          <t>N.A.</t>
        </is>
      </c>
      <c r="D330">
        <f>_xlfn.XLOOKUP(C330,Tab_Def_Flows[Flow_Name],Tab_Def_Flows[WC?],,0,)</f>
        <v/>
      </c>
      <c r="E330">
        <f>_xlfn.XLOOKUP(C330,Tab_Def_Flows[Flow_Name],Tab_Def_Flows[DM?],,0,)</f>
        <v/>
      </c>
      <c r="F330">
        <f>_xlfn.XLOOKUP(C330,Tab_Def_Flows[Flow_Name],Tab_Def_Flows[CC?],,0,)</f>
        <v/>
      </c>
      <c r="O330" t="inlineStr">
        <is>
          <t>No</t>
        </is>
      </c>
      <c r="R330">
        <f>Tab_Data_Flows[[#This Row],[Flow_ID]]&amp;"_"&amp;"material_"&amp;Tab_Data_Flows[[#This Row],[Flow_Data_Year]]</f>
        <v/>
      </c>
      <c r="S330">
        <f>IF(O330="no",H330,H330*P330)</f>
        <v/>
      </c>
      <c r="T330">
        <f>Tab_Data_Flows[[#This Row],[UoM_Source]]</f>
        <v/>
      </c>
      <c r="U330">
        <f>INDEX(Tab_Def_Flows[[Flow_ID]:[CC_DM_source]],MATCH(Tab_Data_Flows[[#This Row],[Flow_Name]],Tab_Def_Flows[Flow_Name],0),11)</f>
        <v/>
      </c>
      <c r="V330">
        <f>Tab_Data_Flows[[#This Row],[Flow_ID]]&amp;"_"&amp;"WC_"&amp;Tab_Data_Flows[[#This Row],[Flow_Data_Year]]</f>
        <v/>
      </c>
      <c r="W330">
        <f>IF(D330="Yes",S330*Tab_Data_Flows[[#This Row],[WC_'[%']]],"N.A.")</f>
        <v/>
      </c>
      <c r="X330">
        <f>Tab_Data_Flows[[#This Row],[UoM_Flow_Py]]</f>
        <v/>
      </c>
      <c r="Y330">
        <f>INDEX(Tab_Def_Flows[[Flow_ID]:[CC_DM_source]],MATCH(Tab_Data_Flows[[#This Row],[Flow_Name]],Tab_Def_Flows[Flow_Name],0),14)</f>
        <v/>
      </c>
      <c r="Z330">
        <f>Tab_Data_Flows[[#This Row],[Flow_ID]]&amp;"_"&amp;"DM_"&amp;Tab_Data_Flows[[#This Row],[Flow_Data_Year]]</f>
        <v/>
      </c>
      <c r="AA330">
        <f>IF(E330="Yes",Y330*Tab_Data_Flows[[#This Row],[Flow_Material]],"N.A.")</f>
        <v/>
      </c>
      <c r="AB330">
        <f>Tab_Data_Flows[[#This Row],[UoM_Flow_Py]]</f>
        <v/>
      </c>
      <c r="AC330">
        <f>INDEX(Tab_Def_Flows[[Flow_ID]:[CC_DM_source]],MATCH(Tab_Data_Flows[[#This Row],[Flow_Name]],Tab_Def_Flows[Flow_Name],0),17)</f>
        <v/>
      </c>
      <c r="AD330">
        <f>Tab_Data_Flows[[#This Row],[Flow_ID]]&amp;"_"&amp;"CC_"&amp;Tab_Data_Flows[[#This Row],[Flow_Data_Year]]</f>
        <v/>
      </c>
      <c r="AE330">
        <f>IF(F330="Yes",AC330*Tab_Data_Flows[[#This Row],[Flow_Material]]*Tab_Data_Flows[[#This Row],[DM_'[%']]],"N.A.")</f>
        <v/>
      </c>
      <c r="AF330">
        <f>Tab_Data_Flows[[#This Row],[UoM_Flow_Py]]</f>
        <v/>
      </c>
    </row>
    <row r="331">
      <c r="A331">
        <f>ROW()-1</f>
        <v/>
      </c>
      <c r="B331">
        <f>_xlfn.XLOOKUP(C331,Tab_Def_Flows[Flow_Name],Tab_Def_Flows[Flow_ID],,0,)</f>
        <v/>
      </c>
      <c r="C331" t="inlineStr">
        <is>
          <t>N.A.</t>
        </is>
      </c>
      <c r="D331">
        <f>_xlfn.XLOOKUP(C331,Tab_Def_Flows[Flow_Name],Tab_Def_Flows[WC?],,0,)</f>
        <v/>
      </c>
      <c r="E331">
        <f>_xlfn.XLOOKUP(C331,Tab_Def_Flows[Flow_Name],Tab_Def_Flows[DM?],,0,)</f>
        <v/>
      </c>
      <c r="F331">
        <f>_xlfn.XLOOKUP(C331,Tab_Def_Flows[Flow_Name],Tab_Def_Flows[CC?],,0,)</f>
        <v/>
      </c>
      <c r="O331" t="inlineStr">
        <is>
          <t>No</t>
        </is>
      </c>
      <c r="R331">
        <f>Tab_Data_Flows[[#This Row],[Flow_ID]]&amp;"_"&amp;"material_"&amp;Tab_Data_Flows[[#This Row],[Flow_Data_Year]]</f>
        <v/>
      </c>
      <c r="S331">
        <f>IF(O331="no",H331,H331*P331)</f>
        <v/>
      </c>
      <c r="T331">
        <f>Tab_Data_Flows[[#This Row],[UoM_Source]]</f>
        <v/>
      </c>
      <c r="U331">
        <f>INDEX(Tab_Def_Flows[[Flow_ID]:[CC_DM_source]],MATCH(Tab_Data_Flows[[#This Row],[Flow_Name]],Tab_Def_Flows[Flow_Name],0),11)</f>
        <v/>
      </c>
      <c r="V331">
        <f>Tab_Data_Flows[[#This Row],[Flow_ID]]&amp;"_"&amp;"WC_"&amp;Tab_Data_Flows[[#This Row],[Flow_Data_Year]]</f>
        <v/>
      </c>
      <c r="W331">
        <f>IF(D331="Yes",S331*Tab_Data_Flows[[#This Row],[WC_'[%']]],"N.A.")</f>
        <v/>
      </c>
      <c r="X331">
        <f>Tab_Data_Flows[[#This Row],[UoM_Flow_Py]]</f>
        <v/>
      </c>
      <c r="Y331">
        <f>INDEX(Tab_Def_Flows[[Flow_ID]:[CC_DM_source]],MATCH(Tab_Data_Flows[[#This Row],[Flow_Name]],Tab_Def_Flows[Flow_Name],0),14)</f>
        <v/>
      </c>
      <c r="Z331">
        <f>Tab_Data_Flows[[#This Row],[Flow_ID]]&amp;"_"&amp;"DM_"&amp;Tab_Data_Flows[[#This Row],[Flow_Data_Year]]</f>
        <v/>
      </c>
      <c r="AA331">
        <f>IF(E331="Yes",Y331*Tab_Data_Flows[[#This Row],[Flow_Material]],"N.A.")</f>
        <v/>
      </c>
      <c r="AB331">
        <f>Tab_Data_Flows[[#This Row],[UoM_Flow_Py]]</f>
        <v/>
      </c>
      <c r="AC331">
        <f>INDEX(Tab_Def_Flows[[Flow_ID]:[CC_DM_source]],MATCH(Tab_Data_Flows[[#This Row],[Flow_Name]],Tab_Def_Flows[Flow_Name],0),17)</f>
        <v/>
      </c>
      <c r="AD331">
        <f>Tab_Data_Flows[[#This Row],[Flow_ID]]&amp;"_"&amp;"CC_"&amp;Tab_Data_Flows[[#This Row],[Flow_Data_Year]]</f>
        <v/>
      </c>
      <c r="AE331">
        <f>IF(F331="Yes",AC331*Tab_Data_Flows[[#This Row],[Flow_Material]]*Tab_Data_Flows[[#This Row],[DM_'[%']]],"N.A.")</f>
        <v/>
      </c>
      <c r="AF331">
        <f>Tab_Data_Flows[[#This Row],[UoM_Flow_Py]]</f>
        <v/>
      </c>
    </row>
    <row r="332">
      <c r="A332">
        <f>ROW()-1</f>
        <v/>
      </c>
      <c r="B332">
        <f>_xlfn.XLOOKUP(C332,Tab_Def_Flows[Flow_Name],Tab_Def_Flows[Flow_ID],,0,)</f>
        <v/>
      </c>
      <c r="C332" t="inlineStr">
        <is>
          <t>N.A.</t>
        </is>
      </c>
      <c r="D332">
        <f>_xlfn.XLOOKUP(C332,Tab_Def_Flows[Flow_Name],Tab_Def_Flows[WC?],,0,)</f>
        <v/>
      </c>
      <c r="E332">
        <f>_xlfn.XLOOKUP(C332,Tab_Def_Flows[Flow_Name],Tab_Def_Flows[DM?],,0,)</f>
        <v/>
      </c>
      <c r="F332">
        <f>_xlfn.XLOOKUP(C332,Tab_Def_Flows[Flow_Name],Tab_Def_Flows[CC?],,0,)</f>
        <v/>
      </c>
      <c r="O332" t="inlineStr">
        <is>
          <t>No</t>
        </is>
      </c>
      <c r="R332">
        <f>Tab_Data_Flows[[#This Row],[Flow_ID]]&amp;"_"&amp;"material_"&amp;Tab_Data_Flows[[#This Row],[Flow_Data_Year]]</f>
        <v/>
      </c>
      <c r="S332">
        <f>IF(O332="no",H332,H332*P332)</f>
        <v/>
      </c>
      <c r="T332">
        <f>Tab_Data_Flows[[#This Row],[UoM_Source]]</f>
        <v/>
      </c>
      <c r="U332">
        <f>INDEX(Tab_Def_Flows[[Flow_ID]:[CC_DM_source]],MATCH(Tab_Data_Flows[[#This Row],[Flow_Name]],Tab_Def_Flows[Flow_Name],0),11)</f>
        <v/>
      </c>
      <c r="V332">
        <f>Tab_Data_Flows[[#This Row],[Flow_ID]]&amp;"_"&amp;"WC_"&amp;Tab_Data_Flows[[#This Row],[Flow_Data_Year]]</f>
        <v/>
      </c>
      <c r="W332">
        <f>IF(D332="Yes",S332*Tab_Data_Flows[[#This Row],[WC_'[%']]],"N.A.")</f>
        <v/>
      </c>
      <c r="X332">
        <f>Tab_Data_Flows[[#This Row],[UoM_Flow_Py]]</f>
        <v/>
      </c>
      <c r="Y332">
        <f>INDEX(Tab_Def_Flows[[Flow_ID]:[CC_DM_source]],MATCH(Tab_Data_Flows[[#This Row],[Flow_Name]],Tab_Def_Flows[Flow_Name],0),14)</f>
        <v/>
      </c>
      <c r="Z332">
        <f>Tab_Data_Flows[[#This Row],[Flow_ID]]&amp;"_"&amp;"DM_"&amp;Tab_Data_Flows[[#This Row],[Flow_Data_Year]]</f>
        <v/>
      </c>
      <c r="AA332">
        <f>IF(E332="Yes",Y332*Tab_Data_Flows[[#This Row],[Flow_Material]],"N.A.")</f>
        <v/>
      </c>
      <c r="AB332">
        <f>Tab_Data_Flows[[#This Row],[UoM_Flow_Py]]</f>
        <v/>
      </c>
      <c r="AC332">
        <f>INDEX(Tab_Def_Flows[[Flow_ID]:[CC_DM_source]],MATCH(Tab_Data_Flows[[#This Row],[Flow_Name]],Tab_Def_Flows[Flow_Name],0),17)</f>
        <v/>
      </c>
      <c r="AD332">
        <f>Tab_Data_Flows[[#This Row],[Flow_ID]]&amp;"_"&amp;"CC_"&amp;Tab_Data_Flows[[#This Row],[Flow_Data_Year]]</f>
        <v/>
      </c>
      <c r="AE332">
        <f>IF(F332="Yes",AC332*Tab_Data_Flows[[#This Row],[Flow_Material]]*Tab_Data_Flows[[#This Row],[DM_'[%']]],"N.A.")</f>
        <v/>
      </c>
      <c r="AF332">
        <f>Tab_Data_Flows[[#This Row],[UoM_Flow_Py]]</f>
        <v/>
      </c>
    </row>
    <row r="333">
      <c r="A333">
        <f>ROW()-1</f>
        <v/>
      </c>
      <c r="B333">
        <f>_xlfn.XLOOKUP(C333,Tab_Def_Flows[Flow_Name],Tab_Def_Flows[Flow_ID],,0,)</f>
        <v/>
      </c>
      <c r="C333" t="inlineStr">
        <is>
          <t>N.A.</t>
        </is>
      </c>
      <c r="D333">
        <f>_xlfn.XLOOKUP(C333,Tab_Def_Flows[Flow_Name],Tab_Def_Flows[WC?],,0,)</f>
        <v/>
      </c>
      <c r="E333">
        <f>_xlfn.XLOOKUP(C333,Tab_Def_Flows[Flow_Name],Tab_Def_Flows[DM?],,0,)</f>
        <v/>
      </c>
      <c r="F333">
        <f>_xlfn.XLOOKUP(C333,Tab_Def_Flows[Flow_Name],Tab_Def_Flows[CC?],,0,)</f>
        <v/>
      </c>
      <c r="O333" t="inlineStr">
        <is>
          <t>No</t>
        </is>
      </c>
      <c r="R333">
        <f>Tab_Data_Flows[[#This Row],[Flow_ID]]&amp;"_"&amp;"material_"&amp;Tab_Data_Flows[[#This Row],[Flow_Data_Year]]</f>
        <v/>
      </c>
      <c r="S333">
        <f>IF(O333="no",H333,H333*P333)</f>
        <v/>
      </c>
      <c r="T333">
        <f>Tab_Data_Flows[[#This Row],[UoM_Source]]</f>
        <v/>
      </c>
      <c r="U333">
        <f>INDEX(Tab_Def_Flows[[Flow_ID]:[CC_DM_source]],MATCH(Tab_Data_Flows[[#This Row],[Flow_Name]],Tab_Def_Flows[Flow_Name],0),11)</f>
        <v/>
      </c>
      <c r="V333">
        <f>Tab_Data_Flows[[#This Row],[Flow_ID]]&amp;"_"&amp;"WC_"&amp;Tab_Data_Flows[[#This Row],[Flow_Data_Year]]</f>
        <v/>
      </c>
      <c r="W333">
        <f>IF(D333="Yes",S333*Tab_Data_Flows[[#This Row],[WC_'[%']]],"N.A.")</f>
        <v/>
      </c>
      <c r="X333">
        <f>Tab_Data_Flows[[#This Row],[UoM_Flow_Py]]</f>
        <v/>
      </c>
      <c r="Y333">
        <f>INDEX(Tab_Def_Flows[[Flow_ID]:[CC_DM_source]],MATCH(Tab_Data_Flows[[#This Row],[Flow_Name]],Tab_Def_Flows[Flow_Name],0),14)</f>
        <v/>
      </c>
      <c r="Z333">
        <f>Tab_Data_Flows[[#This Row],[Flow_ID]]&amp;"_"&amp;"DM_"&amp;Tab_Data_Flows[[#This Row],[Flow_Data_Year]]</f>
        <v/>
      </c>
      <c r="AA333">
        <f>IF(E333="Yes",Y333*Tab_Data_Flows[[#This Row],[Flow_Material]],"N.A.")</f>
        <v/>
      </c>
      <c r="AB333">
        <f>Tab_Data_Flows[[#This Row],[UoM_Flow_Py]]</f>
        <v/>
      </c>
      <c r="AC333">
        <f>INDEX(Tab_Def_Flows[[Flow_ID]:[CC_DM_source]],MATCH(Tab_Data_Flows[[#This Row],[Flow_Name]],Tab_Def_Flows[Flow_Name],0),17)</f>
        <v/>
      </c>
      <c r="AD333">
        <f>Tab_Data_Flows[[#This Row],[Flow_ID]]&amp;"_"&amp;"CC_"&amp;Tab_Data_Flows[[#This Row],[Flow_Data_Year]]</f>
        <v/>
      </c>
      <c r="AE333">
        <f>IF(F333="Yes",AC333*Tab_Data_Flows[[#This Row],[Flow_Material]]*Tab_Data_Flows[[#This Row],[DM_'[%']]],"N.A.")</f>
        <v/>
      </c>
      <c r="AF333">
        <f>Tab_Data_Flows[[#This Row],[UoM_Flow_Py]]</f>
        <v/>
      </c>
    </row>
    <row r="334">
      <c r="A334">
        <f>ROW()-1</f>
        <v/>
      </c>
      <c r="B334">
        <f>_xlfn.XLOOKUP(C334,Tab_Def_Flows[Flow_Name],Tab_Def_Flows[Flow_ID],,0,)</f>
        <v/>
      </c>
      <c r="C334" t="inlineStr">
        <is>
          <t>N.A.</t>
        </is>
      </c>
      <c r="D334">
        <f>_xlfn.XLOOKUP(C334,Tab_Def_Flows[Flow_Name],Tab_Def_Flows[WC?],,0,)</f>
        <v/>
      </c>
      <c r="E334">
        <f>_xlfn.XLOOKUP(C334,Tab_Def_Flows[Flow_Name],Tab_Def_Flows[DM?],,0,)</f>
        <v/>
      </c>
      <c r="F334">
        <f>_xlfn.XLOOKUP(C334,Tab_Def_Flows[Flow_Name],Tab_Def_Flows[CC?],,0,)</f>
        <v/>
      </c>
      <c r="O334" t="inlineStr">
        <is>
          <t>No</t>
        </is>
      </c>
      <c r="R334">
        <f>Tab_Data_Flows[[#This Row],[Flow_ID]]&amp;"_"&amp;"material_"&amp;Tab_Data_Flows[[#This Row],[Flow_Data_Year]]</f>
        <v/>
      </c>
      <c r="S334">
        <f>IF(O334="no",H334,H334*P334)</f>
        <v/>
      </c>
      <c r="T334">
        <f>Tab_Data_Flows[[#This Row],[UoM_Source]]</f>
        <v/>
      </c>
      <c r="U334">
        <f>INDEX(Tab_Def_Flows[[Flow_ID]:[CC_DM_source]],MATCH(Tab_Data_Flows[[#This Row],[Flow_Name]],Tab_Def_Flows[Flow_Name],0),11)</f>
        <v/>
      </c>
      <c r="V334">
        <f>Tab_Data_Flows[[#This Row],[Flow_ID]]&amp;"_"&amp;"WC_"&amp;Tab_Data_Flows[[#This Row],[Flow_Data_Year]]</f>
        <v/>
      </c>
      <c r="W334">
        <f>IF(D334="Yes",S334*Tab_Data_Flows[[#This Row],[WC_'[%']]],"N.A.")</f>
        <v/>
      </c>
      <c r="X334">
        <f>Tab_Data_Flows[[#This Row],[UoM_Flow_Py]]</f>
        <v/>
      </c>
      <c r="Y334">
        <f>INDEX(Tab_Def_Flows[[Flow_ID]:[CC_DM_source]],MATCH(Tab_Data_Flows[[#This Row],[Flow_Name]],Tab_Def_Flows[Flow_Name],0),14)</f>
        <v/>
      </c>
      <c r="Z334">
        <f>Tab_Data_Flows[[#This Row],[Flow_ID]]&amp;"_"&amp;"DM_"&amp;Tab_Data_Flows[[#This Row],[Flow_Data_Year]]</f>
        <v/>
      </c>
      <c r="AA334">
        <f>IF(E334="Yes",Y334*Tab_Data_Flows[[#This Row],[Flow_Material]],"N.A.")</f>
        <v/>
      </c>
      <c r="AB334">
        <f>Tab_Data_Flows[[#This Row],[UoM_Flow_Py]]</f>
        <v/>
      </c>
      <c r="AC334">
        <f>INDEX(Tab_Def_Flows[[Flow_ID]:[CC_DM_source]],MATCH(Tab_Data_Flows[[#This Row],[Flow_Name]],Tab_Def_Flows[Flow_Name],0),17)</f>
        <v/>
      </c>
      <c r="AD334">
        <f>Tab_Data_Flows[[#This Row],[Flow_ID]]&amp;"_"&amp;"CC_"&amp;Tab_Data_Flows[[#This Row],[Flow_Data_Year]]</f>
        <v/>
      </c>
      <c r="AE334">
        <f>IF(F334="Yes",AC334*Tab_Data_Flows[[#This Row],[Flow_Material]]*Tab_Data_Flows[[#This Row],[DM_'[%']]],"N.A.")</f>
        <v/>
      </c>
      <c r="AF334">
        <f>Tab_Data_Flows[[#This Row],[UoM_Flow_Py]]</f>
        <v/>
      </c>
    </row>
    <row r="335">
      <c r="A335">
        <f>ROW()-1</f>
        <v/>
      </c>
      <c r="B335">
        <f>_xlfn.XLOOKUP(C335,Tab_Def_Flows[Flow_Name],Tab_Def_Flows[Flow_ID],,0,)</f>
        <v/>
      </c>
      <c r="C335" t="inlineStr">
        <is>
          <t>N.A.</t>
        </is>
      </c>
      <c r="D335">
        <f>_xlfn.XLOOKUP(C335,Tab_Def_Flows[Flow_Name],Tab_Def_Flows[WC?],,0,)</f>
        <v/>
      </c>
      <c r="E335">
        <f>_xlfn.XLOOKUP(C335,Tab_Def_Flows[Flow_Name],Tab_Def_Flows[DM?],,0,)</f>
        <v/>
      </c>
      <c r="F335">
        <f>_xlfn.XLOOKUP(C335,Tab_Def_Flows[Flow_Name],Tab_Def_Flows[CC?],,0,)</f>
        <v/>
      </c>
      <c r="O335" t="inlineStr">
        <is>
          <t>No</t>
        </is>
      </c>
      <c r="R335">
        <f>Tab_Data_Flows[[#This Row],[Flow_ID]]&amp;"_"&amp;"material_"&amp;Tab_Data_Flows[[#This Row],[Flow_Data_Year]]</f>
        <v/>
      </c>
      <c r="S335">
        <f>IF(O335="no",H335,H335*P335)</f>
        <v/>
      </c>
      <c r="T335">
        <f>Tab_Data_Flows[[#This Row],[UoM_Source]]</f>
        <v/>
      </c>
      <c r="U335">
        <f>INDEX(Tab_Def_Flows[[Flow_ID]:[CC_DM_source]],MATCH(Tab_Data_Flows[[#This Row],[Flow_Name]],Tab_Def_Flows[Flow_Name],0),11)</f>
        <v/>
      </c>
      <c r="V335">
        <f>Tab_Data_Flows[[#This Row],[Flow_ID]]&amp;"_"&amp;"WC_"&amp;Tab_Data_Flows[[#This Row],[Flow_Data_Year]]</f>
        <v/>
      </c>
      <c r="W335">
        <f>IF(D335="Yes",S335*Tab_Data_Flows[[#This Row],[WC_'[%']]],"N.A.")</f>
        <v/>
      </c>
      <c r="X335">
        <f>Tab_Data_Flows[[#This Row],[UoM_Flow_Py]]</f>
        <v/>
      </c>
      <c r="Y335">
        <f>INDEX(Tab_Def_Flows[[Flow_ID]:[CC_DM_source]],MATCH(Tab_Data_Flows[[#This Row],[Flow_Name]],Tab_Def_Flows[Flow_Name],0),14)</f>
        <v/>
      </c>
      <c r="Z335">
        <f>Tab_Data_Flows[[#This Row],[Flow_ID]]&amp;"_"&amp;"DM_"&amp;Tab_Data_Flows[[#This Row],[Flow_Data_Year]]</f>
        <v/>
      </c>
      <c r="AA335">
        <f>IF(E335="Yes",Y335*Tab_Data_Flows[[#This Row],[Flow_Material]],"N.A.")</f>
        <v/>
      </c>
      <c r="AB335">
        <f>Tab_Data_Flows[[#This Row],[UoM_Flow_Py]]</f>
        <v/>
      </c>
      <c r="AC335">
        <f>INDEX(Tab_Def_Flows[[Flow_ID]:[CC_DM_source]],MATCH(Tab_Data_Flows[[#This Row],[Flow_Name]],Tab_Def_Flows[Flow_Name],0),17)</f>
        <v/>
      </c>
      <c r="AD335">
        <f>Tab_Data_Flows[[#This Row],[Flow_ID]]&amp;"_"&amp;"CC_"&amp;Tab_Data_Flows[[#This Row],[Flow_Data_Year]]</f>
        <v/>
      </c>
      <c r="AE335">
        <f>IF(F335="Yes",AC335*Tab_Data_Flows[[#This Row],[Flow_Material]]*Tab_Data_Flows[[#This Row],[DM_'[%']]],"N.A.")</f>
        <v/>
      </c>
      <c r="AF335">
        <f>Tab_Data_Flows[[#This Row],[UoM_Flow_Py]]</f>
        <v/>
      </c>
    </row>
    <row r="336">
      <c r="A336">
        <f>ROW()-1</f>
        <v/>
      </c>
      <c r="B336">
        <f>_xlfn.XLOOKUP(C336,Tab_Def_Flows[Flow_Name],Tab_Def_Flows[Flow_ID],,0,)</f>
        <v/>
      </c>
      <c r="C336" t="inlineStr">
        <is>
          <t>N.A.</t>
        </is>
      </c>
      <c r="D336">
        <f>_xlfn.XLOOKUP(C336,Tab_Def_Flows[Flow_Name],Tab_Def_Flows[WC?],,0,)</f>
        <v/>
      </c>
      <c r="E336">
        <f>_xlfn.XLOOKUP(C336,Tab_Def_Flows[Flow_Name],Tab_Def_Flows[DM?],,0,)</f>
        <v/>
      </c>
      <c r="F336">
        <f>_xlfn.XLOOKUP(C336,Tab_Def_Flows[Flow_Name],Tab_Def_Flows[CC?],,0,)</f>
        <v/>
      </c>
      <c r="O336" t="inlineStr">
        <is>
          <t>No</t>
        </is>
      </c>
      <c r="R336">
        <f>Tab_Data_Flows[[#This Row],[Flow_ID]]&amp;"_"&amp;"material_"&amp;Tab_Data_Flows[[#This Row],[Flow_Data_Year]]</f>
        <v/>
      </c>
      <c r="S336">
        <f>IF(O336="no",H336,H336*P336)</f>
        <v/>
      </c>
      <c r="T336">
        <f>Tab_Data_Flows[[#This Row],[UoM_Source]]</f>
        <v/>
      </c>
      <c r="U336">
        <f>INDEX(Tab_Def_Flows[[Flow_ID]:[CC_DM_source]],MATCH(Tab_Data_Flows[[#This Row],[Flow_Name]],Tab_Def_Flows[Flow_Name],0),11)</f>
        <v/>
      </c>
      <c r="V336">
        <f>Tab_Data_Flows[[#This Row],[Flow_ID]]&amp;"_"&amp;"WC_"&amp;Tab_Data_Flows[[#This Row],[Flow_Data_Year]]</f>
        <v/>
      </c>
      <c r="W336">
        <f>IF(D336="Yes",S336*Tab_Data_Flows[[#This Row],[WC_'[%']]],"N.A.")</f>
        <v/>
      </c>
      <c r="X336">
        <f>Tab_Data_Flows[[#This Row],[UoM_Flow_Py]]</f>
        <v/>
      </c>
      <c r="Y336">
        <f>INDEX(Tab_Def_Flows[[Flow_ID]:[CC_DM_source]],MATCH(Tab_Data_Flows[[#This Row],[Flow_Name]],Tab_Def_Flows[Flow_Name],0),14)</f>
        <v/>
      </c>
      <c r="Z336">
        <f>Tab_Data_Flows[[#This Row],[Flow_ID]]&amp;"_"&amp;"DM_"&amp;Tab_Data_Flows[[#This Row],[Flow_Data_Year]]</f>
        <v/>
      </c>
      <c r="AA336">
        <f>IF(E336="Yes",Y336*Tab_Data_Flows[[#This Row],[Flow_Material]],"N.A.")</f>
        <v/>
      </c>
      <c r="AB336">
        <f>Tab_Data_Flows[[#This Row],[UoM_Flow_Py]]</f>
        <v/>
      </c>
      <c r="AC336">
        <f>INDEX(Tab_Def_Flows[[Flow_ID]:[CC_DM_source]],MATCH(Tab_Data_Flows[[#This Row],[Flow_Name]],Tab_Def_Flows[Flow_Name],0),17)</f>
        <v/>
      </c>
      <c r="AD336">
        <f>Tab_Data_Flows[[#This Row],[Flow_ID]]&amp;"_"&amp;"CC_"&amp;Tab_Data_Flows[[#This Row],[Flow_Data_Year]]</f>
        <v/>
      </c>
      <c r="AE336">
        <f>IF(F336="Yes",AC336*Tab_Data_Flows[[#This Row],[Flow_Material]]*Tab_Data_Flows[[#This Row],[DM_'[%']]],"N.A.")</f>
        <v/>
      </c>
      <c r="AF336">
        <f>Tab_Data_Flows[[#This Row],[UoM_Flow_Py]]</f>
        <v/>
      </c>
    </row>
    <row r="337">
      <c r="A337">
        <f>ROW()-1</f>
        <v/>
      </c>
      <c r="B337">
        <f>_xlfn.XLOOKUP(C337,Tab_Def_Flows[Flow_Name],Tab_Def_Flows[Flow_ID],,0,)</f>
        <v/>
      </c>
      <c r="C337" t="inlineStr">
        <is>
          <t>N.A.</t>
        </is>
      </c>
      <c r="D337">
        <f>_xlfn.XLOOKUP(C337,Tab_Def_Flows[Flow_Name],Tab_Def_Flows[WC?],,0,)</f>
        <v/>
      </c>
      <c r="E337">
        <f>_xlfn.XLOOKUP(C337,Tab_Def_Flows[Flow_Name],Tab_Def_Flows[DM?],,0,)</f>
        <v/>
      </c>
      <c r="F337">
        <f>_xlfn.XLOOKUP(C337,Tab_Def_Flows[Flow_Name],Tab_Def_Flows[CC?],,0,)</f>
        <v/>
      </c>
      <c r="O337" t="inlineStr">
        <is>
          <t>No</t>
        </is>
      </c>
      <c r="R337">
        <f>Tab_Data_Flows[[#This Row],[Flow_ID]]&amp;"_"&amp;"material_"&amp;Tab_Data_Flows[[#This Row],[Flow_Data_Year]]</f>
        <v/>
      </c>
      <c r="S337">
        <f>IF(O337="no",H337,H337*P337)</f>
        <v/>
      </c>
      <c r="T337">
        <f>Tab_Data_Flows[[#This Row],[UoM_Source]]</f>
        <v/>
      </c>
      <c r="U337">
        <f>INDEX(Tab_Def_Flows[[Flow_ID]:[CC_DM_source]],MATCH(Tab_Data_Flows[[#This Row],[Flow_Name]],Tab_Def_Flows[Flow_Name],0),11)</f>
        <v/>
      </c>
      <c r="V337">
        <f>Tab_Data_Flows[[#This Row],[Flow_ID]]&amp;"_"&amp;"WC_"&amp;Tab_Data_Flows[[#This Row],[Flow_Data_Year]]</f>
        <v/>
      </c>
      <c r="W337">
        <f>IF(D337="Yes",S337*Tab_Data_Flows[[#This Row],[WC_'[%']]],"N.A.")</f>
        <v/>
      </c>
      <c r="X337">
        <f>Tab_Data_Flows[[#This Row],[UoM_Flow_Py]]</f>
        <v/>
      </c>
      <c r="Y337">
        <f>INDEX(Tab_Def_Flows[[Flow_ID]:[CC_DM_source]],MATCH(Tab_Data_Flows[[#This Row],[Flow_Name]],Tab_Def_Flows[Flow_Name],0),14)</f>
        <v/>
      </c>
      <c r="Z337">
        <f>Tab_Data_Flows[[#This Row],[Flow_ID]]&amp;"_"&amp;"DM_"&amp;Tab_Data_Flows[[#This Row],[Flow_Data_Year]]</f>
        <v/>
      </c>
      <c r="AA337">
        <f>IF(E337="Yes",Y337*Tab_Data_Flows[[#This Row],[Flow_Material]],"N.A.")</f>
        <v/>
      </c>
      <c r="AB337">
        <f>Tab_Data_Flows[[#This Row],[UoM_Flow_Py]]</f>
        <v/>
      </c>
      <c r="AC337">
        <f>INDEX(Tab_Def_Flows[[Flow_ID]:[CC_DM_source]],MATCH(Tab_Data_Flows[[#This Row],[Flow_Name]],Tab_Def_Flows[Flow_Name],0),17)</f>
        <v/>
      </c>
      <c r="AD337">
        <f>Tab_Data_Flows[[#This Row],[Flow_ID]]&amp;"_"&amp;"CC_"&amp;Tab_Data_Flows[[#This Row],[Flow_Data_Year]]</f>
        <v/>
      </c>
      <c r="AE337">
        <f>IF(F337="Yes",AC337*Tab_Data_Flows[[#This Row],[Flow_Material]]*Tab_Data_Flows[[#This Row],[DM_'[%']]],"N.A.")</f>
        <v/>
      </c>
      <c r="AF337">
        <f>Tab_Data_Flows[[#This Row],[UoM_Flow_Py]]</f>
        <v/>
      </c>
    </row>
    <row r="338">
      <c r="A338">
        <f>ROW()-1</f>
        <v/>
      </c>
      <c r="B338">
        <f>_xlfn.XLOOKUP(C338,Tab_Def_Flows[Flow_Name],Tab_Def_Flows[Flow_ID],,0,)</f>
        <v/>
      </c>
      <c r="C338" t="inlineStr">
        <is>
          <t>N.A.</t>
        </is>
      </c>
      <c r="D338">
        <f>_xlfn.XLOOKUP(C338,Tab_Def_Flows[Flow_Name],Tab_Def_Flows[WC?],,0,)</f>
        <v/>
      </c>
      <c r="E338">
        <f>_xlfn.XLOOKUP(C338,Tab_Def_Flows[Flow_Name],Tab_Def_Flows[DM?],,0,)</f>
        <v/>
      </c>
      <c r="F338">
        <f>_xlfn.XLOOKUP(C338,Tab_Def_Flows[Flow_Name],Tab_Def_Flows[CC?],,0,)</f>
        <v/>
      </c>
      <c r="O338" t="inlineStr">
        <is>
          <t>No</t>
        </is>
      </c>
      <c r="R338">
        <f>Tab_Data_Flows[[#This Row],[Flow_ID]]&amp;"_"&amp;"material_"&amp;Tab_Data_Flows[[#This Row],[Flow_Data_Year]]</f>
        <v/>
      </c>
      <c r="S338">
        <f>IF(O338="no",H338,H338*P338)</f>
        <v/>
      </c>
      <c r="T338">
        <f>Tab_Data_Flows[[#This Row],[UoM_Source]]</f>
        <v/>
      </c>
      <c r="U338">
        <f>INDEX(Tab_Def_Flows[[Flow_ID]:[CC_DM_source]],MATCH(Tab_Data_Flows[[#This Row],[Flow_Name]],Tab_Def_Flows[Flow_Name],0),11)</f>
        <v/>
      </c>
      <c r="V338">
        <f>Tab_Data_Flows[[#This Row],[Flow_ID]]&amp;"_"&amp;"WC_"&amp;Tab_Data_Flows[[#This Row],[Flow_Data_Year]]</f>
        <v/>
      </c>
      <c r="W338">
        <f>IF(D338="Yes",S338*Tab_Data_Flows[[#This Row],[WC_'[%']]],"N.A.")</f>
        <v/>
      </c>
      <c r="X338">
        <f>Tab_Data_Flows[[#This Row],[UoM_Flow_Py]]</f>
        <v/>
      </c>
      <c r="Y338">
        <f>INDEX(Tab_Def_Flows[[Flow_ID]:[CC_DM_source]],MATCH(Tab_Data_Flows[[#This Row],[Flow_Name]],Tab_Def_Flows[Flow_Name],0),14)</f>
        <v/>
      </c>
      <c r="Z338">
        <f>Tab_Data_Flows[[#This Row],[Flow_ID]]&amp;"_"&amp;"DM_"&amp;Tab_Data_Flows[[#This Row],[Flow_Data_Year]]</f>
        <v/>
      </c>
      <c r="AA338">
        <f>IF(E338="Yes",Y338*Tab_Data_Flows[[#This Row],[Flow_Material]],"N.A.")</f>
        <v/>
      </c>
      <c r="AB338">
        <f>Tab_Data_Flows[[#This Row],[UoM_Flow_Py]]</f>
        <v/>
      </c>
      <c r="AC338">
        <f>INDEX(Tab_Def_Flows[[Flow_ID]:[CC_DM_source]],MATCH(Tab_Data_Flows[[#This Row],[Flow_Name]],Tab_Def_Flows[Flow_Name],0),17)</f>
        <v/>
      </c>
      <c r="AD338">
        <f>Tab_Data_Flows[[#This Row],[Flow_ID]]&amp;"_"&amp;"CC_"&amp;Tab_Data_Flows[[#This Row],[Flow_Data_Year]]</f>
        <v/>
      </c>
      <c r="AE338">
        <f>IF(F338="Yes",AC338*Tab_Data_Flows[[#This Row],[Flow_Material]]*Tab_Data_Flows[[#This Row],[DM_'[%']]],"N.A.")</f>
        <v/>
      </c>
      <c r="AF338">
        <f>Tab_Data_Flows[[#This Row],[UoM_Flow_Py]]</f>
        <v/>
      </c>
    </row>
    <row r="339">
      <c r="A339">
        <f>ROW()-1</f>
        <v/>
      </c>
      <c r="B339">
        <f>_xlfn.XLOOKUP(C339,Tab_Def_Flows[Flow_Name],Tab_Def_Flows[Flow_ID],,0,)</f>
        <v/>
      </c>
      <c r="C339" t="inlineStr">
        <is>
          <t>N.A.</t>
        </is>
      </c>
      <c r="D339">
        <f>_xlfn.XLOOKUP(C339,Tab_Def_Flows[Flow_Name],Tab_Def_Flows[WC?],,0,)</f>
        <v/>
      </c>
      <c r="E339">
        <f>_xlfn.XLOOKUP(C339,Tab_Def_Flows[Flow_Name],Tab_Def_Flows[DM?],,0,)</f>
        <v/>
      </c>
      <c r="F339">
        <f>_xlfn.XLOOKUP(C339,Tab_Def_Flows[Flow_Name],Tab_Def_Flows[CC?],,0,)</f>
        <v/>
      </c>
      <c r="O339" t="inlineStr">
        <is>
          <t>No</t>
        </is>
      </c>
      <c r="R339">
        <f>Tab_Data_Flows[[#This Row],[Flow_ID]]&amp;"_"&amp;"material_"&amp;Tab_Data_Flows[[#This Row],[Flow_Data_Year]]</f>
        <v/>
      </c>
      <c r="S339">
        <f>IF(O339="no",H339,H339*P339)</f>
        <v/>
      </c>
      <c r="T339">
        <f>Tab_Data_Flows[[#This Row],[UoM_Source]]</f>
        <v/>
      </c>
      <c r="U339">
        <f>INDEX(Tab_Def_Flows[[Flow_ID]:[CC_DM_source]],MATCH(Tab_Data_Flows[[#This Row],[Flow_Name]],Tab_Def_Flows[Flow_Name],0),11)</f>
        <v/>
      </c>
      <c r="V339">
        <f>Tab_Data_Flows[[#This Row],[Flow_ID]]&amp;"_"&amp;"WC_"&amp;Tab_Data_Flows[[#This Row],[Flow_Data_Year]]</f>
        <v/>
      </c>
      <c r="W339">
        <f>IF(D339="Yes",S339*Tab_Data_Flows[[#This Row],[WC_'[%']]],"N.A.")</f>
        <v/>
      </c>
      <c r="X339">
        <f>Tab_Data_Flows[[#This Row],[UoM_Flow_Py]]</f>
        <v/>
      </c>
      <c r="Y339">
        <f>INDEX(Tab_Def_Flows[[Flow_ID]:[CC_DM_source]],MATCH(Tab_Data_Flows[[#This Row],[Flow_Name]],Tab_Def_Flows[Flow_Name],0),14)</f>
        <v/>
      </c>
      <c r="Z339">
        <f>Tab_Data_Flows[[#This Row],[Flow_ID]]&amp;"_"&amp;"DM_"&amp;Tab_Data_Flows[[#This Row],[Flow_Data_Year]]</f>
        <v/>
      </c>
      <c r="AA339">
        <f>IF(E339="Yes",Y339*Tab_Data_Flows[[#This Row],[Flow_Material]],"N.A.")</f>
        <v/>
      </c>
      <c r="AB339">
        <f>Tab_Data_Flows[[#This Row],[UoM_Flow_Py]]</f>
        <v/>
      </c>
      <c r="AC339">
        <f>INDEX(Tab_Def_Flows[[Flow_ID]:[CC_DM_source]],MATCH(Tab_Data_Flows[[#This Row],[Flow_Name]],Tab_Def_Flows[Flow_Name],0),17)</f>
        <v/>
      </c>
      <c r="AD339">
        <f>Tab_Data_Flows[[#This Row],[Flow_ID]]&amp;"_"&amp;"CC_"&amp;Tab_Data_Flows[[#This Row],[Flow_Data_Year]]</f>
        <v/>
      </c>
      <c r="AE339">
        <f>IF(F339="Yes",AC339*Tab_Data_Flows[[#This Row],[Flow_Material]]*Tab_Data_Flows[[#This Row],[DM_'[%']]],"N.A.")</f>
        <v/>
      </c>
      <c r="AF339">
        <f>Tab_Data_Flows[[#This Row],[UoM_Flow_Py]]</f>
        <v/>
      </c>
    </row>
    <row r="340">
      <c r="A340">
        <f>ROW()-1</f>
        <v/>
      </c>
      <c r="B340">
        <f>_xlfn.XLOOKUP(C340,Tab_Def_Flows[Flow_Name],Tab_Def_Flows[Flow_ID],,0,)</f>
        <v/>
      </c>
      <c r="C340" t="inlineStr">
        <is>
          <t>N.A.</t>
        </is>
      </c>
      <c r="D340">
        <f>_xlfn.XLOOKUP(C340,Tab_Def_Flows[Flow_Name],Tab_Def_Flows[WC?],,0,)</f>
        <v/>
      </c>
      <c r="E340">
        <f>_xlfn.XLOOKUP(C340,Tab_Def_Flows[Flow_Name],Tab_Def_Flows[DM?],,0,)</f>
        <v/>
      </c>
      <c r="F340">
        <f>_xlfn.XLOOKUP(C340,Tab_Def_Flows[Flow_Name],Tab_Def_Flows[CC?],,0,)</f>
        <v/>
      </c>
      <c r="O340" t="inlineStr">
        <is>
          <t>No</t>
        </is>
      </c>
      <c r="R340">
        <f>Tab_Data_Flows[[#This Row],[Flow_ID]]&amp;"_"&amp;"material_"&amp;Tab_Data_Flows[[#This Row],[Flow_Data_Year]]</f>
        <v/>
      </c>
      <c r="S340">
        <f>IF(O340="no",H340,H340*P340)</f>
        <v/>
      </c>
      <c r="T340">
        <f>Tab_Data_Flows[[#This Row],[UoM_Source]]</f>
        <v/>
      </c>
      <c r="U340">
        <f>INDEX(Tab_Def_Flows[[Flow_ID]:[CC_DM_source]],MATCH(Tab_Data_Flows[[#This Row],[Flow_Name]],Tab_Def_Flows[Flow_Name],0),11)</f>
        <v/>
      </c>
      <c r="V340">
        <f>Tab_Data_Flows[[#This Row],[Flow_ID]]&amp;"_"&amp;"WC_"&amp;Tab_Data_Flows[[#This Row],[Flow_Data_Year]]</f>
        <v/>
      </c>
      <c r="W340">
        <f>IF(D340="Yes",S340*Tab_Data_Flows[[#This Row],[WC_'[%']]],"N.A.")</f>
        <v/>
      </c>
      <c r="X340">
        <f>Tab_Data_Flows[[#This Row],[UoM_Flow_Py]]</f>
        <v/>
      </c>
      <c r="Y340">
        <f>INDEX(Tab_Def_Flows[[Flow_ID]:[CC_DM_source]],MATCH(Tab_Data_Flows[[#This Row],[Flow_Name]],Tab_Def_Flows[Flow_Name],0),14)</f>
        <v/>
      </c>
      <c r="Z340">
        <f>Tab_Data_Flows[[#This Row],[Flow_ID]]&amp;"_"&amp;"DM_"&amp;Tab_Data_Flows[[#This Row],[Flow_Data_Year]]</f>
        <v/>
      </c>
      <c r="AA340">
        <f>IF(E340="Yes",Y340*Tab_Data_Flows[[#This Row],[Flow_Material]],"N.A.")</f>
        <v/>
      </c>
      <c r="AB340">
        <f>Tab_Data_Flows[[#This Row],[UoM_Flow_Py]]</f>
        <v/>
      </c>
      <c r="AC340">
        <f>INDEX(Tab_Def_Flows[[Flow_ID]:[CC_DM_source]],MATCH(Tab_Data_Flows[[#This Row],[Flow_Name]],Tab_Def_Flows[Flow_Name],0),17)</f>
        <v/>
      </c>
      <c r="AD340">
        <f>Tab_Data_Flows[[#This Row],[Flow_ID]]&amp;"_"&amp;"CC_"&amp;Tab_Data_Flows[[#This Row],[Flow_Data_Year]]</f>
        <v/>
      </c>
      <c r="AE340">
        <f>IF(F340="Yes",AC340*Tab_Data_Flows[[#This Row],[Flow_Material]]*Tab_Data_Flows[[#This Row],[DM_'[%']]],"N.A.")</f>
        <v/>
      </c>
      <c r="AF340">
        <f>Tab_Data_Flows[[#This Row],[UoM_Flow_Py]]</f>
        <v/>
      </c>
    </row>
    <row r="341">
      <c r="A341">
        <f>ROW()-1</f>
        <v/>
      </c>
      <c r="B341">
        <f>_xlfn.XLOOKUP(C341,Tab_Def_Flows[Flow_Name],Tab_Def_Flows[Flow_ID],,0,)</f>
        <v/>
      </c>
      <c r="C341" t="inlineStr">
        <is>
          <t>N.A.</t>
        </is>
      </c>
      <c r="D341">
        <f>_xlfn.XLOOKUP(C341,Tab_Def_Flows[Flow_Name],Tab_Def_Flows[WC?],,0,)</f>
        <v/>
      </c>
      <c r="E341">
        <f>_xlfn.XLOOKUP(C341,Tab_Def_Flows[Flow_Name],Tab_Def_Flows[DM?],,0,)</f>
        <v/>
      </c>
      <c r="F341">
        <f>_xlfn.XLOOKUP(C341,Tab_Def_Flows[Flow_Name],Tab_Def_Flows[CC?],,0,)</f>
        <v/>
      </c>
      <c r="O341" t="inlineStr">
        <is>
          <t>No</t>
        </is>
      </c>
      <c r="R341">
        <f>Tab_Data_Flows[[#This Row],[Flow_ID]]&amp;"_"&amp;"material_"&amp;Tab_Data_Flows[[#This Row],[Flow_Data_Year]]</f>
        <v/>
      </c>
      <c r="S341">
        <f>IF(O341="no",H341,H341*P341)</f>
        <v/>
      </c>
      <c r="T341">
        <f>Tab_Data_Flows[[#This Row],[UoM_Source]]</f>
        <v/>
      </c>
      <c r="U341">
        <f>INDEX(Tab_Def_Flows[[Flow_ID]:[CC_DM_source]],MATCH(Tab_Data_Flows[[#This Row],[Flow_Name]],Tab_Def_Flows[Flow_Name],0),11)</f>
        <v/>
      </c>
      <c r="V341">
        <f>Tab_Data_Flows[[#This Row],[Flow_ID]]&amp;"_"&amp;"WC_"&amp;Tab_Data_Flows[[#This Row],[Flow_Data_Year]]</f>
        <v/>
      </c>
      <c r="W341">
        <f>IF(D341="Yes",S341*Tab_Data_Flows[[#This Row],[WC_'[%']]],"N.A.")</f>
        <v/>
      </c>
      <c r="X341">
        <f>Tab_Data_Flows[[#This Row],[UoM_Flow_Py]]</f>
        <v/>
      </c>
      <c r="Y341">
        <f>INDEX(Tab_Def_Flows[[Flow_ID]:[CC_DM_source]],MATCH(Tab_Data_Flows[[#This Row],[Flow_Name]],Tab_Def_Flows[Flow_Name],0),14)</f>
        <v/>
      </c>
      <c r="Z341">
        <f>Tab_Data_Flows[[#This Row],[Flow_ID]]&amp;"_"&amp;"DM_"&amp;Tab_Data_Flows[[#This Row],[Flow_Data_Year]]</f>
        <v/>
      </c>
      <c r="AA341">
        <f>IF(E341="Yes",Y341*Tab_Data_Flows[[#This Row],[Flow_Material]],"N.A.")</f>
        <v/>
      </c>
      <c r="AB341">
        <f>Tab_Data_Flows[[#This Row],[UoM_Flow_Py]]</f>
        <v/>
      </c>
      <c r="AC341">
        <f>INDEX(Tab_Def_Flows[[Flow_ID]:[CC_DM_source]],MATCH(Tab_Data_Flows[[#This Row],[Flow_Name]],Tab_Def_Flows[Flow_Name],0),17)</f>
        <v/>
      </c>
      <c r="AD341">
        <f>Tab_Data_Flows[[#This Row],[Flow_ID]]&amp;"_"&amp;"CC_"&amp;Tab_Data_Flows[[#This Row],[Flow_Data_Year]]</f>
        <v/>
      </c>
      <c r="AE341">
        <f>IF(F341="Yes",AC341*Tab_Data_Flows[[#This Row],[Flow_Material]]*Tab_Data_Flows[[#This Row],[DM_'[%']]],"N.A.")</f>
        <v/>
      </c>
      <c r="AF341">
        <f>Tab_Data_Flows[[#This Row],[UoM_Flow_Py]]</f>
        <v/>
      </c>
    </row>
    <row r="342">
      <c r="A342">
        <f>ROW()-1</f>
        <v/>
      </c>
      <c r="B342">
        <f>_xlfn.XLOOKUP(C342,Tab_Def_Flows[Flow_Name],Tab_Def_Flows[Flow_ID],,0,)</f>
        <v/>
      </c>
      <c r="C342" t="inlineStr">
        <is>
          <t>N.A.</t>
        </is>
      </c>
      <c r="D342">
        <f>_xlfn.XLOOKUP(C342,Tab_Def_Flows[Flow_Name],Tab_Def_Flows[WC?],,0,)</f>
        <v/>
      </c>
      <c r="E342">
        <f>_xlfn.XLOOKUP(C342,Tab_Def_Flows[Flow_Name],Tab_Def_Flows[DM?],,0,)</f>
        <v/>
      </c>
      <c r="F342">
        <f>_xlfn.XLOOKUP(C342,Tab_Def_Flows[Flow_Name],Tab_Def_Flows[CC?],,0,)</f>
        <v/>
      </c>
      <c r="O342" t="inlineStr">
        <is>
          <t>No</t>
        </is>
      </c>
      <c r="R342">
        <f>Tab_Data_Flows[[#This Row],[Flow_ID]]&amp;"_"&amp;"material_"&amp;Tab_Data_Flows[[#This Row],[Flow_Data_Year]]</f>
        <v/>
      </c>
      <c r="S342">
        <f>IF(O342="no",H342,H342*P342)</f>
        <v/>
      </c>
      <c r="T342">
        <f>Tab_Data_Flows[[#This Row],[UoM_Source]]</f>
        <v/>
      </c>
      <c r="U342">
        <f>INDEX(Tab_Def_Flows[[Flow_ID]:[CC_DM_source]],MATCH(Tab_Data_Flows[[#This Row],[Flow_Name]],Tab_Def_Flows[Flow_Name],0),11)</f>
        <v/>
      </c>
      <c r="V342">
        <f>Tab_Data_Flows[[#This Row],[Flow_ID]]&amp;"_"&amp;"WC_"&amp;Tab_Data_Flows[[#This Row],[Flow_Data_Year]]</f>
        <v/>
      </c>
      <c r="W342">
        <f>IF(D342="Yes",S342*Tab_Data_Flows[[#This Row],[WC_'[%']]],"N.A.")</f>
        <v/>
      </c>
      <c r="X342">
        <f>Tab_Data_Flows[[#This Row],[UoM_Flow_Py]]</f>
        <v/>
      </c>
      <c r="Y342">
        <f>INDEX(Tab_Def_Flows[[Flow_ID]:[CC_DM_source]],MATCH(Tab_Data_Flows[[#This Row],[Flow_Name]],Tab_Def_Flows[Flow_Name],0),14)</f>
        <v/>
      </c>
      <c r="Z342">
        <f>Tab_Data_Flows[[#This Row],[Flow_ID]]&amp;"_"&amp;"DM_"&amp;Tab_Data_Flows[[#This Row],[Flow_Data_Year]]</f>
        <v/>
      </c>
      <c r="AA342">
        <f>IF(E342="Yes",Y342*Tab_Data_Flows[[#This Row],[Flow_Material]],"N.A.")</f>
        <v/>
      </c>
      <c r="AB342">
        <f>Tab_Data_Flows[[#This Row],[UoM_Flow_Py]]</f>
        <v/>
      </c>
      <c r="AC342">
        <f>INDEX(Tab_Def_Flows[[Flow_ID]:[CC_DM_source]],MATCH(Tab_Data_Flows[[#This Row],[Flow_Name]],Tab_Def_Flows[Flow_Name],0),17)</f>
        <v/>
      </c>
      <c r="AD342">
        <f>Tab_Data_Flows[[#This Row],[Flow_ID]]&amp;"_"&amp;"CC_"&amp;Tab_Data_Flows[[#This Row],[Flow_Data_Year]]</f>
        <v/>
      </c>
      <c r="AE342">
        <f>IF(F342="Yes",AC342*Tab_Data_Flows[[#This Row],[Flow_Material]]*Tab_Data_Flows[[#This Row],[DM_'[%']]],"N.A.")</f>
        <v/>
      </c>
      <c r="AF342">
        <f>Tab_Data_Flows[[#This Row],[UoM_Flow_Py]]</f>
        <v/>
      </c>
    </row>
    <row r="343">
      <c r="A343">
        <f>ROW()-1</f>
        <v/>
      </c>
      <c r="B343">
        <f>_xlfn.XLOOKUP(C343,Tab_Def_Flows[Flow_Name],Tab_Def_Flows[Flow_ID],,0,)</f>
        <v/>
      </c>
      <c r="C343" t="inlineStr">
        <is>
          <t>N.A.</t>
        </is>
      </c>
      <c r="D343">
        <f>_xlfn.XLOOKUP(C343,Tab_Def_Flows[Flow_Name],Tab_Def_Flows[WC?],,0,)</f>
        <v/>
      </c>
      <c r="E343">
        <f>_xlfn.XLOOKUP(C343,Tab_Def_Flows[Flow_Name],Tab_Def_Flows[DM?],,0,)</f>
        <v/>
      </c>
      <c r="F343">
        <f>_xlfn.XLOOKUP(C343,Tab_Def_Flows[Flow_Name],Tab_Def_Flows[CC?],,0,)</f>
        <v/>
      </c>
      <c r="O343" t="inlineStr">
        <is>
          <t>No</t>
        </is>
      </c>
      <c r="R343">
        <f>Tab_Data_Flows[[#This Row],[Flow_ID]]&amp;"_"&amp;"material_"&amp;Tab_Data_Flows[[#This Row],[Flow_Data_Year]]</f>
        <v/>
      </c>
      <c r="S343">
        <f>IF(O343="no",H343,H343*P343)</f>
        <v/>
      </c>
      <c r="T343">
        <f>Tab_Data_Flows[[#This Row],[UoM_Source]]</f>
        <v/>
      </c>
      <c r="U343">
        <f>INDEX(Tab_Def_Flows[[Flow_ID]:[CC_DM_source]],MATCH(Tab_Data_Flows[[#This Row],[Flow_Name]],Tab_Def_Flows[Flow_Name],0),11)</f>
        <v/>
      </c>
      <c r="V343">
        <f>Tab_Data_Flows[[#This Row],[Flow_ID]]&amp;"_"&amp;"WC_"&amp;Tab_Data_Flows[[#This Row],[Flow_Data_Year]]</f>
        <v/>
      </c>
      <c r="W343">
        <f>IF(D343="Yes",S343*Tab_Data_Flows[[#This Row],[WC_'[%']]],"N.A.")</f>
        <v/>
      </c>
      <c r="X343">
        <f>Tab_Data_Flows[[#This Row],[UoM_Flow_Py]]</f>
        <v/>
      </c>
      <c r="Y343">
        <f>INDEX(Tab_Def_Flows[[Flow_ID]:[CC_DM_source]],MATCH(Tab_Data_Flows[[#This Row],[Flow_Name]],Tab_Def_Flows[Flow_Name],0),14)</f>
        <v/>
      </c>
      <c r="Z343">
        <f>Tab_Data_Flows[[#This Row],[Flow_ID]]&amp;"_"&amp;"DM_"&amp;Tab_Data_Flows[[#This Row],[Flow_Data_Year]]</f>
        <v/>
      </c>
      <c r="AA343">
        <f>IF(E343="Yes",Y343*Tab_Data_Flows[[#This Row],[Flow_Material]],"N.A.")</f>
        <v/>
      </c>
      <c r="AB343">
        <f>Tab_Data_Flows[[#This Row],[UoM_Flow_Py]]</f>
        <v/>
      </c>
      <c r="AC343">
        <f>INDEX(Tab_Def_Flows[[Flow_ID]:[CC_DM_source]],MATCH(Tab_Data_Flows[[#This Row],[Flow_Name]],Tab_Def_Flows[Flow_Name],0),17)</f>
        <v/>
      </c>
      <c r="AD343">
        <f>Tab_Data_Flows[[#This Row],[Flow_ID]]&amp;"_"&amp;"CC_"&amp;Tab_Data_Flows[[#This Row],[Flow_Data_Year]]</f>
        <v/>
      </c>
      <c r="AE343">
        <f>IF(F343="Yes",AC343*Tab_Data_Flows[[#This Row],[Flow_Material]]*Tab_Data_Flows[[#This Row],[DM_'[%']]],"N.A.")</f>
        <v/>
      </c>
      <c r="AF343">
        <f>Tab_Data_Flows[[#This Row],[UoM_Flow_Py]]</f>
        <v/>
      </c>
    </row>
    <row r="344">
      <c r="A344">
        <f>ROW()-1</f>
        <v/>
      </c>
      <c r="B344">
        <f>_xlfn.XLOOKUP(C344,Tab_Def_Flows[Flow_Name],Tab_Def_Flows[Flow_ID],,0,)</f>
        <v/>
      </c>
      <c r="C344" t="inlineStr">
        <is>
          <t>N.A.</t>
        </is>
      </c>
      <c r="D344">
        <f>_xlfn.XLOOKUP(C344,Tab_Def_Flows[Flow_Name],Tab_Def_Flows[WC?],,0,)</f>
        <v/>
      </c>
      <c r="E344">
        <f>_xlfn.XLOOKUP(C344,Tab_Def_Flows[Flow_Name],Tab_Def_Flows[DM?],,0,)</f>
        <v/>
      </c>
      <c r="F344">
        <f>_xlfn.XLOOKUP(C344,Tab_Def_Flows[Flow_Name],Tab_Def_Flows[CC?],,0,)</f>
        <v/>
      </c>
      <c r="O344" t="inlineStr">
        <is>
          <t>No</t>
        </is>
      </c>
      <c r="R344">
        <f>Tab_Data_Flows[[#This Row],[Flow_ID]]&amp;"_"&amp;"material_"&amp;Tab_Data_Flows[[#This Row],[Flow_Data_Year]]</f>
        <v/>
      </c>
      <c r="S344">
        <f>IF(O344="no",H344,H344*P344)</f>
        <v/>
      </c>
      <c r="T344">
        <f>Tab_Data_Flows[[#This Row],[UoM_Source]]</f>
        <v/>
      </c>
      <c r="U344">
        <f>INDEX(Tab_Def_Flows[[Flow_ID]:[CC_DM_source]],MATCH(Tab_Data_Flows[[#This Row],[Flow_Name]],Tab_Def_Flows[Flow_Name],0),11)</f>
        <v/>
      </c>
      <c r="V344">
        <f>Tab_Data_Flows[[#This Row],[Flow_ID]]&amp;"_"&amp;"WC_"&amp;Tab_Data_Flows[[#This Row],[Flow_Data_Year]]</f>
        <v/>
      </c>
      <c r="W344">
        <f>IF(D344="Yes",S344*Tab_Data_Flows[[#This Row],[WC_'[%']]],"N.A.")</f>
        <v/>
      </c>
      <c r="X344">
        <f>Tab_Data_Flows[[#This Row],[UoM_Flow_Py]]</f>
        <v/>
      </c>
      <c r="Y344">
        <f>INDEX(Tab_Def_Flows[[Flow_ID]:[CC_DM_source]],MATCH(Tab_Data_Flows[[#This Row],[Flow_Name]],Tab_Def_Flows[Flow_Name],0),14)</f>
        <v/>
      </c>
      <c r="Z344">
        <f>Tab_Data_Flows[[#This Row],[Flow_ID]]&amp;"_"&amp;"DM_"&amp;Tab_Data_Flows[[#This Row],[Flow_Data_Year]]</f>
        <v/>
      </c>
      <c r="AA344">
        <f>IF(E344="Yes",Y344*Tab_Data_Flows[[#This Row],[Flow_Material]],"N.A.")</f>
        <v/>
      </c>
      <c r="AB344">
        <f>Tab_Data_Flows[[#This Row],[UoM_Flow_Py]]</f>
        <v/>
      </c>
      <c r="AC344">
        <f>INDEX(Tab_Def_Flows[[Flow_ID]:[CC_DM_source]],MATCH(Tab_Data_Flows[[#This Row],[Flow_Name]],Tab_Def_Flows[Flow_Name],0),17)</f>
        <v/>
      </c>
      <c r="AD344">
        <f>Tab_Data_Flows[[#This Row],[Flow_ID]]&amp;"_"&amp;"CC_"&amp;Tab_Data_Flows[[#This Row],[Flow_Data_Year]]</f>
        <v/>
      </c>
      <c r="AE344">
        <f>IF(F344="Yes",AC344*Tab_Data_Flows[[#This Row],[Flow_Material]]*Tab_Data_Flows[[#This Row],[DM_'[%']]],"N.A.")</f>
        <v/>
      </c>
      <c r="AF344">
        <f>Tab_Data_Flows[[#This Row],[UoM_Flow_Py]]</f>
        <v/>
      </c>
    </row>
    <row r="345">
      <c r="A345">
        <f>ROW()-1</f>
        <v/>
      </c>
      <c r="B345">
        <f>_xlfn.XLOOKUP(C345,Tab_Def_Flows[Flow_Name],Tab_Def_Flows[Flow_ID],,0,)</f>
        <v/>
      </c>
      <c r="C345" t="inlineStr">
        <is>
          <t>N.A.</t>
        </is>
      </c>
      <c r="D345">
        <f>_xlfn.XLOOKUP(C345,Tab_Def_Flows[Flow_Name],Tab_Def_Flows[WC?],,0,)</f>
        <v/>
      </c>
      <c r="E345">
        <f>_xlfn.XLOOKUP(C345,Tab_Def_Flows[Flow_Name],Tab_Def_Flows[DM?],,0,)</f>
        <v/>
      </c>
      <c r="F345">
        <f>_xlfn.XLOOKUP(C345,Tab_Def_Flows[Flow_Name],Tab_Def_Flows[CC?],,0,)</f>
        <v/>
      </c>
      <c r="O345" t="inlineStr">
        <is>
          <t>No</t>
        </is>
      </c>
      <c r="R345">
        <f>Tab_Data_Flows[[#This Row],[Flow_ID]]&amp;"_"&amp;"material_"&amp;Tab_Data_Flows[[#This Row],[Flow_Data_Year]]</f>
        <v/>
      </c>
      <c r="S345">
        <f>IF(O345="no",H345,H345*P345)</f>
        <v/>
      </c>
      <c r="T345">
        <f>Tab_Data_Flows[[#This Row],[UoM_Source]]</f>
        <v/>
      </c>
      <c r="U345">
        <f>INDEX(Tab_Def_Flows[[Flow_ID]:[CC_DM_source]],MATCH(Tab_Data_Flows[[#This Row],[Flow_Name]],Tab_Def_Flows[Flow_Name],0),11)</f>
        <v/>
      </c>
      <c r="V345">
        <f>Tab_Data_Flows[[#This Row],[Flow_ID]]&amp;"_"&amp;"WC_"&amp;Tab_Data_Flows[[#This Row],[Flow_Data_Year]]</f>
        <v/>
      </c>
      <c r="W345">
        <f>IF(D345="Yes",S345*Tab_Data_Flows[[#This Row],[WC_'[%']]],"N.A.")</f>
        <v/>
      </c>
      <c r="X345">
        <f>Tab_Data_Flows[[#This Row],[UoM_Flow_Py]]</f>
        <v/>
      </c>
      <c r="Y345">
        <f>INDEX(Tab_Def_Flows[[Flow_ID]:[CC_DM_source]],MATCH(Tab_Data_Flows[[#This Row],[Flow_Name]],Tab_Def_Flows[Flow_Name],0),14)</f>
        <v/>
      </c>
      <c r="Z345">
        <f>Tab_Data_Flows[[#This Row],[Flow_ID]]&amp;"_"&amp;"DM_"&amp;Tab_Data_Flows[[#This Row],[Flow_Data_Year]]</f>
        <v/>
      </c>
      <c r="AA345">
        <f>IF(E345="Yes",Y345*Tab_Data_Flows[[#This Row],[Flow_Material]],"N.A.")</f>
        <v/>
      </c>
      <c r="AB345">
        <f>Tab_Data_Flows[[#This Row],[UoM_Flow_Py]]</f>
        <v/>
      </c>
      <c r="AC345">
        <f>INDEX(Tab_Def_Flows[[Flow_ID]:[CC_DM_source]],MATCH(Tab_Data_Flows[[#This Row],[Flow_Name]],Tab_Def_Flows[Flow_Name],0),17)</f>
        <v/>
      </c>
      <c r="AD345">
        <f>Tab_Data_Flows[[#This Row],[Flow_ID]]&amp;"_"&amp;"CC_"&amp;Tab_Data_Flows[[#This Row],[Flow_Data_Year]]</f>
        <v/>
      </c>
      <c r="AE345">
        <f>IF(F345="Yes",AC345*Tab_Data_Flows[[#This Row],[Flow_Material]]*Tab_Data_Flows[[#This Row],[DM_'[%']]],"N.A.")</f>
        <v/>
      </c>
      <c r="AF345">
        <f>Tab_Data_Flows[[#This Row],[UoM_Flow_Py]]</f>
        <v/>
      </c>
    </row>
    <row r="346">
      <c r="A346">
        <f>ROW()-1</f>
        <v/>
      </c>
      <c r="B346">
        <f>_xlfn.XLOOKUP(C346,Tab_Def_Flows[Flow_Name],Tab_Def_Flows[Flow_ID],,0,)</f>
        <v/>
      </c>
      <c r="C346" t="inlineStr">
        <is>
          <t>N.A.</t>
        </is>
      </c>
      <c r="D346">
        <f>_xlfn.XLOOKUP(C346,Tab_Def_Flows[Flow_Name],Tab_Def_Flows[WC?],,0,)</f>
        <v/>
      </c>
      <c r="E346">
        <f>_xlfn.XLOOKUP(C346,Tab_Def_Flows[Flow_Name],Tab_Def_Flows[DM?],,0,)</f>
        <v/>
      </c>
      <c r="F346">
        <f>_xlfn.XLOOKUP(C346,Tab_Def_Flows[Flow_Name],Tab_Def_Flows[CC?],,0,)</f>
        <v/>
      </c>
      <c r="O346" t="inlineStr">
        <is>
          <t>No</t>
        </is>
      </c>
      <c r="R346">
        <f>Tab_Data_Flows[[#This Row],[Flow_ID]]&amp;"_"&amp;"material_"&amp;Tab_Data_Flows[[#This Row],[Flow_Data_Year]]</f>
        <v/>
      </c>
      <c r="S346">
        <f>IF(O346="no",H346,H346*P346)</f>
        <v/>
      </c>
      <c r="T346">
        <f>Tab_Data_Flows[[#This Row],[UoM_Source]]</f>
        <v/>
      </c>
      <c r="U346">
        <f>INDEX(Tab_Def_Flows[[Flow_ID]:[CC_DM_source]],MATCH(Tab_Data_Flows[[#This Row],[Flow_Name]],Tab_Def_Flows[Flow_Name],0),11)</f>
        <v/>
      </c>
      <c r="V346">
        <f>Tab_Data_Flows[[#This Row],[Flow_ID]]&amp;"_"&amp;"WC_"&amp;Tab_Data_Flows[[#This Row],[Flow_Data_Year]]</f>
        <v/>
      </c>
      <c r="W346">
        <f>IF(D346="Yes",S346*Tab_Data_Flows[[#This Row],[WC_'[%']]],"N.A.")</f>
        <v/>
      </c>
      <c r="X346">
        <f>Tab_Data_Flows[[#This Row],[UoM_Flow_Py]]</f>
        <v/>
      </c>
      <c r="Y346">
        <f>INDEX(Tab_Def_Flows[[Flow_ID]:[CC_DM_source]],MATCH(Tab_Data_Flows[[#This Row],[Flow_Name]],Tab_Def_Flows[Flow_Name],0),14)</f>
        <v/>
      </c>
      <c r="Z346">
        <f>Tab_Data_Flows[[#This Row],[Flow_ID]]&amp;"_"&amp;"DM_"&amp;Tab_Data_Flows[[#This Row],[Flow_Data_Year]]</f>
        <v/>
      </c>
      <c r="AA346">
        <f>IF(E346="Yes",Y346*Tab_Data_Flows[[#This Row],[Flow_Material]],"N.A.")</f>
        <v/>
      </c>
      <c r="AB346">
        <f>Tab_Data_Flows[[#This Row],[UoM_Flow_Py]]</f>
        <v/>
      </c>
      <c r="AC346">
        <f>INDEX(Tab_Def_Flows[[Flow_ID]:[CC_DM_source]],MATCH(Tab_Data_Flows[[#This Row],[Flow_Name]],Tab_Def_Flows[Flow_Name],0),17)</f>
        <v/>
      </c>
      <c r="AD346">
        <f>Tab_Data_Flows[[#This Row],[Flow_ID]]&amp;"_"&amp;"CC_"&amp;Tab_Data_Flows[[#This Row],[Flow_Data_Year]]</f>
        <v/>
      </c>
      <c r="AE346">
        <f>IF(F346="Yes",AC346*Tab_Data_Flows[[#This Row],[Flow_Material]]*Tab_Data_Flows[[#This Row],[DM_'[%']]],"N.A.")</f>
        <v/>
      </c>
      <c r="AF346">
        <f>Tab_Data_Flows[[#This Row],[UoM_Flow_Py]]</f>
        <v/>
      </c>
    </row>
    <row r="347">
      <c r="A347">
        <f>ROW()-1</f>
        <v/>
      </c>
      <c r="B347">
        <f>_xlfn.XLOOKUP(C347,Tab_Def_Flows[Flow_Name],Tab_Def_Flows[Flow_ID],,0,)</f>
        <v/>
      </c>
      <c r="C347" t="inlineStr">
        <is>
          <t>N.A.</t>
        </is>
      </c>
      <c r="D347">
        <f>_xlfn.XLOOKUP(C347,Tab_Def_Flows[Flow_Name],Tab_Def_Flows[WC?],,0,)</f>
        <v/>
      </c>
      <c r="E347">
        <f>_xlfn.XLOOKUP(C347,Tab_Def_Flows[Flow_Name],Tab_Def_Flows[DM?],,0,)</f>
        <v/>
      </c>
      <c r="F347">
        <f>_xlfn.XLOOKUP(C347,Tab_Def_Flows[Flow_Name],Tab_Def_Flows[CC?],,0,)</f>
        <v/>
      </c>
      <c r="O347" t="inlineStr">
        <is>
          <t>No</t>
        </is>
      </c>
      <c r="R347">
        <f>Tab_Data_Flows[[#This Row],[Flow_ID]]&amp;"_"&amp;"material_"&amp;Tab_Data_Flows[[#This Row],[Flow_Data_Year]]</f>
        <v/>
      </c>
      <c r="S347">
        <f>IF(O347="no",H347,H347*P347)</f>
        <v/>
      </c>
      <c r="T347">
        <f>Tab_Data_Flows[[#This Row],[UoM_Source]]</f>
        <v/>
      </c>
      <c r="U347">
        <f>INDEX(Tab_Def_Flows[[Flow_ID]:[CC_DM_source]],MATCH(Tab_Data_Flows[[#This Row],[Flow_Name]],Tab_Def_Flows[Flow_Name],0),11)</f>
        <v/>
      </c>
      <c r="V347">
        <f>Tab_Data_Flows[[#This Row],[Flow_ID]]&amp;"_"&amp;"WC_"&amp;Tab_Data_Flows[[#This Row],[Flow_Data_Year]]</f>
        <v/>
      </c>
      <c r="W347">
        <f>IF(D347="Yes",S347*Tab_Data_Flows[[#This Row],[WC_'[%']]],"N.A.")</f>
        <v/>
      </c>
      <c r="X347">
        <f>Tab_Data_Flows[[#This Row],[UoM_Flow_Py]]</f>
        <v/>
      </c>
      <c r="Y347">
        <f>INDEX(Tab_Def_Flows[[Flow_ID]:[CC_DM_source]],MATCH(Tab_Data_Flows[[#This Row],[Flow_Name]],Tab_Def_Flows[Flow_Name],0),14)</f>
        <v/>
      </c>
      <c r="Z347">
        <f>Tab_Data_Flows[[#This Row],[Flow_ID]]&amp;"_"&amp;"DM_"&amp;Tab_Data_Flows[[#This Row],[Flow_Data_Year]]</f>
        <v/>
      </c>
      <c r="AA347">
        <f>IF(E347="Yes",Y347*Tab_Data_Flows[[#This Row],[Flow_Material]],"N.A.")</f>
        <v/>
      </c>
      <c r="AB347">
        <f>Tab_Data_Flows[[#This Row],[UoM_Flow_Py]]</f>
        <v/>
      </c>
      <c r="AC347">
        <f>INDEX(Tab_Def_Flows[[Flow_ID]:[CC_DM_source]],MATCH(Tab_Data_Flows[[#This Row],[Flow_Name]],Tab_Def_Flows[Flow_Name],0),17)</f>
        <v/>
      </c>
      <c r="AD347">
        <f>Tab_Data_Flows[[#This Row],[Flow_ID]]&amp;"_"&amp;"CC_"&amp;Tab_Data_Flows[[#This Row],[Flow_Data_Year]]</f>
        <v/>
      </c>
      <c r="AE347">
        <f>IF(F347="Yes",AC347*Tab_Data_Flows[[#This Row],[Flow_Material]]*Tab_Data_Flows[[#This Row],[DM_'[%']]],"N.A.")</f>
        <v/>
      </c>
      <c r="AF347">
        <f>Tab_Data_Flows[[#This Row],[UoM_Flow_Py]]</f>
        <v/>
      </c>
    </row>
    <row r="348">
      <c r="A348">
        <f>ROW()-1</f>
        <v/>
      </c>
      <c r="B348">
        <f>_xlfn.XLOOKUP(C348,Tab_Def_Flows[Flow_Name],Tab_Def_Flows[Flow_ID],,0,)</f>
        <v/>
      </c>
      <c r="C348" t="inlineStr">
        <is>
          <t>N.A.</t>
        </is>
      </c>
      <c r="D348">
        <f>_xlfn.XLOOKUP(C348,Tab_Def_Flows[Flow_Name],Tab_Def_Flows[WC?],,0,)</f>
        <v/>
      </c>
      <c r="E348">
        <f>_xlfn.XLOOKUP(C348,Tab_Def_Flows[Flow_Name],Tab_Def_Flows[DM?],,0,)</f>
        <v/>
      </c>
      <c r="F348">
        <f>_xlfn.XLOOKUP(C348,Tab_Def_Flows[Flow_Name],Tab_Def_Flows[CC?],,0,)</f>
        <v/>
      </c>
      <c r="O348" t="inlineStr">
        <is>
          <t>No</t>
        </is>
      </c>
      <c r="R348">
        <f>Tab_Data_Flows[[#This Row],[Flow_ID]]&amp;"_"&amp;"material_"&amp;Tab_Data_Flows[[#This Row],[Flow_Data_Year]]</f>
        <v/>
      </c>
      <c r="S348">
        <f>IF(O348="no",H348,H348*P348)</f>
        <v/>
      </c>
      <c r="T348">
        <f>Tab_Data_Flows[[#This Row],[UoM_Source]]</f>
        <v/>
      </c>
      <c r="U348">
        <f>INDEX(Tab_Def_Flows[[Flow_ID]:[CC_DM_source]],MATCH(Tab_Data_Flows[[#This Row],[Flow_Name]],Tab_Def_Flows[Flow_Name],0),11)</f>
        <v/>
      </c>
      <c r="V348">
        <f>Tab_Data_Flows[[#This Row],[Flow_ID]]&amp;"_"&amp;"WC_"&amp;Tab_Data_Flows[[#This Row],[Flow_Data_Year]]</f>
        <v/>
      </c>
      <c r="W348">
        <f>IF(D348="Yes",S348*Tab_Data_Flows[[#This Row],[WC_'[%']]],"N.A.")</f>
        <v/>
      </c>
      <c r="X348">
        <f>Tab_Data_Flows[[#This Row],[UoM_Flow_Py]]</f>
        <v/>
      </c>
      <c r="Y348">
        <f>INDEX(Tab_Def_Flows[[Flow_ID]:[CC_DM_source]],MATCH(Tab_Data_Flows[[#This Row],[Flow_Name]],Tab_Def_Flows[Flow_Name],0),14)</f>
        <v/>
      </c>
      <c r="Z348">
        <f>Tab_Data_Flows[[#This Row],[Flow_ID]]&amp;"_"&amp;"DM_"&amp;Tab_Data_Flows[[#This Row],[Flow_Data_Year]]</f>
        <v/>
      </c>
      <c r="AA348">
        <f>IF(E348="Yes",Y348*Tab_Data_Flows[[#This Row],[Flow_Material]],"N.A.")</f>
        <v/>
      </c>
      <c r="AB348">
        <f>Tab_Data_Flows[[#This Row],[UoM_Flow_Py]]</f>
        <v/>
      </c>
      <c r="AC348">
        <f>INDEX(Tab_Def_Flows[[Flow_ID]:[CC_DM_source]],MATCH(Tab_Data_Flows[[#This Row],[Flow_Name]],Tab_Def_Flows[Flow_Name],0),17)</f>
        <v/>
      </c>
      <c r="AD348">
        <f>Tab_Data_Flows[[#This Row],[Flow_ID]]&amp;"_"&amp;"CC_"&amp;Tab_Data_Flows[[#This Row],[Flow_Data_Year]]</f>
        <v/>
      </c>
      <c r="AE348">
        <f>IF(F348="Yes",AC348*Tab_Data_Flows[[#This Row],[Flow_Material]]*Tab_Data_Flows[[#This Row],[DM_'[%']]],"N.A.")</f>
        <v/>
      </c>
      <c r="AF348">
        <f>Tab_Data_Flows[[#This Row],[UoM_Flow_Py]]</f>
        <v/>
      </c>
    </row>
    <row r="349">
      <c r="A349">
        <f>ROW()-1</f>
        <v/>
      </c>
      <c r="B349">
        <f>_xlfn.XLOOKUP(C349,Tab_Def_Flows[Flow_Name],Tab_Def_Flows[Flow_ID],,0,)</f>
        <v/>
      </c>
      <c r="C349" t="inlineStr">
        <is>
          <t>N.A.</t>
        </is>
      </c>
      <c r="D349">
        <f>_xlfn.XLOOKUP(C349,Tab_Def_Flows[Flow_Name],Tab_Def_Flows[WC?],,0,)</f>
        <v/>
      </c>
      <c r="E349">
        <f>_xlfn.XLOOKUP(C349,Tab_Def_Flows[Flow_Name],Tab_Def_Flows[DM?],,0,)</f>
        <v/>
      </c>
      <c r="F349">
        <f>_xlfn.XLOOKUP(C349,Tab_Def_Flows[Flow_Name],Tab_Def_Flows[CC?],,0,)</f>
        <v/>
      </c>
      <c r="O349" t="inlineStr">
        <is>
          <t>No</t>
        </is>
      </c>
      <c r="R349">
        <f>Tab_Data_Flows[[#This Row],[Flow_ID]]&amp;"_"&amp;"material_"&amp;Tab_Data_Flows[[#This Row],[Flow_Data_Year]]</f>
        <v/>
      </c>
      <c r="S349">
        <f>IF(O349="no",H349,H349*P349)</f>
        <v/>
      </c>
      <c r="T349">
        <f>Tab_Data_Flows[[#This Row],[UoM_Source]]</f>
        <v/>
      </c>
      <c r="U349">
        <f>INDEX(Tab_Def_Flows[[Flow_ID]:[CC_DM_source]],MATCH(Tab_Data_Flows[[#This Row],[Flow_Name]],Tab_Def_Flows[Flow_Name],0),11)</f>
        <v/>
      </c>
      <c r="V349">
        <f>Tab_Data_Flows[[#This Row],[Flow_ID]]&amp;"_"&amp;"WC_"&amp;Tab_Data_Flows[[#This Row],[Flow_Data_Year]]</f>
        <v/>
      </c>
      <c r="W349">
        <f>IF(D349="Yes",S349*Tab_Data_Flows[[#This Row],[WC_'[%']]],"N.A.")</f>
        <v/>
      </c>
      <c r="X349">
        <f>Tab_Data_Flows[[#This Row],[UoM_Flow_Py]]</f>
        <v/>
      </c>
      <c r="Y349">
        <f>INDEX(Tab_Def_Flows[[Flow_ID]:[CC_DM_source]],MATCH(Tab_Data_Flows[[#This Row],[Flow_Name]],Tab_Def_Flows[Flow_Name],0),14)</f>
        <v/>
      </c>
      <c r="Z349">
        <f>Tab_Data_Flows[[#This Row],[Flow_ID]]&amp;"_"&amp;"DM_"&amp;Tab_Data_Flows[[#This Row],[Flow_Data_Year]]</f>
        <v/>
      </c>
      <c r="AA349">
        <f>IF(E349="Yes",Y349*Tab_Data_Flows[[#This Row],[Flow_Material]],"N.A.")</f>
        <v/>
      </c>
      <c r="AB349">
        <f>Tab_Data_Flows[[#This Row],[UoM_Flow_Py]]</f>
        <v/>
      </c>
      <c r="AC349">
        <f>INDEX(Tab_Def_Flows[[Flow_ID]:[CC_DM_source]],MATCH(Tab_Data_Flows[[#This Row],[Flow_Name]],Tab_Def_Flows[Flow_Name],0),17)</f>
        <v/>
      </c>
      <c r="AD349">
        <f>Tab_Data_Flows[[#This Row],[Flow_ID]]&amp;"_"&amp;"CC_"&amp;Tab_Data_Flows[[#This Row],[Flow_Data_Year]]</f>
        <v/>
      </c>
      <c r="AE349">
        <f>IF(F349="Yes",AC349*Tab_Data_Flows[[#This Row],[Flow_Material]]*Tab_Data_Flows[[#This Row],[DM_'[%']]],"N.A.")</f>
        <v/>
      </c>
      <c r="AF349">
        <f>Tab_Data_Flows[[#This Row],[UoM_Flow_Py]]</f>
        <v/>
      </c>
    </row>
    <row r="350">
      <c r="A350">
        <f>ROW()-1</f>
        <v/>
      </c>
      <c r="B350">
        <f>_xlfn.XLOOKUP(C350,Tab_Def_Flows[Flow_Name],Tab_Def_Flows[Flow_ID],,0,)</f>
        <v/>
      </c>
      <c r="C350" t="inlineStr">
        <is>
          <t>N.A.</t>
        </is>
      </c>
      <c r="D350">
        <f>_xlfn.XLOOKUP(C350,Tab_Def_Flows[Flow_Name],Tab_Def_Flows[WC?],,0,)</f>
        <v/>
      </c>
      <c r="E350">
        <f>_xlfn.XLOOKUP(C350,Tab_Def_Flows[Flow_Name],Tab_Def_Flows[DM?],,0,)</f>
        <v/>
      </c>
      <c r="F350">
        <f>_xlfn.XLOOKUP(C350,Tab_Def_Flows[Flow_Name],Tab_Def_Flows[CC?],,0,)</f>
        <v/>
      </c>
      <c r="O350" t="inlineStr">
        <is>
          <t>No</t>
        </is>
      </c>
      <c r="R350">
        <f>Tab_Data_Flows[[#This Row],[Flow_ID]]&amp;"_"&amp;"material_"&amp;Tab_Data_Flows[[#This Row],[Flow_Data_Year]]</f>
        <v/>
      </c>
      <c r="S350">
        <f>IF(O350="no",H350,H350*P350)</f>
        <v/>
      </c>
      <c r="T350">
        <f>Tab_Data_Flows[[#This Row],[UoM_Source]]</f>
        <v/>
      </c>
      <c r="U350">
        <f>INDEX(Tab_Def_Flows[[Flow_ID]:[CC_DM_source]],MATCH(Tab_Data_Flows[[#This Row],[Flow_Name]],Tab_Def_Flows[Flow_Name],0),11)</f>
        <v/>
      </c>
      <c r="V350">
        <f>Tab_Data_Flows[[#This Row],[Flow_ID]]&amp;"_"&amp;"WC_"&amp;Tab_Data_Flows[[#This Row],[Flow_Data_Year]]</f>
        <v/>
      </c>
      <c r="W350">
        <f>IF(D350="Yes",S350*Tab_Data_Flows[[#This Row],[WC_'[%']]],"N.A.")</f>
        <v/>
      </c>
      <c r="X350">
        <f>Tab_Data_Flows[[#This Row],[UoM_Flow_Py]]</f>
        <v/>
      </c>
      <c r="Y350">
        <f>INDEX(Tab_Def_Flows[[Flow_ID]:[CC_DM_source]],MATCH(Tab_Data_Flows[[#This Row],[Flow_Name]],Tab_Def_Flows[Flow_Name],0),14)</f>
        <v/>
      </c>
      <c r="Z350">
        <f>Tab_Data_Flows[[#This Row],[Flow_ID]]&amp;"_"&amp;"DM_"&amp;Tab_Data_Flows[[#This Row],[Flow_Data_Year]]</f>
        <v/>
      </c>
      <c r="AA350">
        <f>IF(E350="Yes",Y350*Tab_Data_Flows[[#This Row],[Flow_Material]],"N.A.")</f>
        <v/>
      </c>
      <c r="AB350">
        <f>Tab_Data_Flows[[#This Row],[UoM_Flow_Py]]</f>
        <v/>
      </c>
      <c r="AC350">
        <f>INDEX(Tab_Def_Flows[[Flow_ID]:[CC_DM_source]],MATCH(Tab_Data_Flows[[#This Row],[Flow_Name]],Tab_Def_Flows[Flow_Name],0),17)</f>
        <v/>
      </c>
      <c r="AD350">
        <f>Tab_Data_Flows[[#This Row],[Flow_ID]]&amp;"_"&amp;"CC_"&amp;Tab_Data_Flows[[#This Row],[Flow_Data_Year]]</f>
        <v/>
      </c>
      <c r="AE350">
        <f>IF(F350="Yes",AC350*Tab_Data_Flows[[#This Row],[Flow_Material]]*Tab_Data_Flows[[#This Row],[DM_'[%']]],"N.A.")</f>
        <v/>
      </c>
      <c r="AF350">
        <f>Tab_Data_Flows[[#This Row],[UoM_Flow_Py]]</f>
        <v/>
      </c>
    </row>
    <row r="351"/>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7"/>
  <sheetViews>
    <sheetView workbookViewId="0">
      <selection activeCell="A1" sqref="A1"/>
    </sheetView>
  </sheetViews>
  <sheetFormatPr baseColWidth="8" defaultRowHeight="15"/>
  <sheetData>
    <row r="1">
      <c r="A1" t="inlineStr">
        <is>
          <t>Complete?</t>
        </is>
      </c>
      <c r="B1" t="inlineStr">
        <is>
          <t>ID</t>
        </is>
      </c>
      <c r="C1" t="inlineStr">
        <is>
          <t>Process_ID</t>
        </is>
      </c>
      <c r="D1" t="inlineStr">
        <is>
          <t>Process_Name</t>
        </is>
      </c>
      <c r="E1" t="inlineStr">
        <is>
          <t>ODYM_Region_Type</t>
        </is>
      </c>
      <c r="F1" t="inlineStr">
        <is>
          <t>ODYM_Process_Type</t>
        </is>
      </c>
      <c r="G1" t="inlineStr">
        <is>
          <t>Description</t>
        </is>
      </c>
      <c r="H1" t="inlineStr">
        <is>
          <t>Process_Logic</t>
        </is>
      </c>
      <c r="I1" t="inlineStr">
        <is>
          <t>TC_Configuration</t>
        </is>
      </c>
      <c r="J1" t="inlineStr">
        <is>
          <t>Stock_Configuration</t>
        </is>
      </c>
      <c r="K1" t="inlineStr">
        <is>
          <t>Stock_Indices</t>
        </is>
      </c>
      <c r="L1" t="inlineStr">
        <is>
          <t>Outflow_count</t>
        </is>
      </c>
    </row>
    <row r="2">
      <c r="A2" t="b">
        <v>0</v>
      </c>
      <c r="B2" t="inlineStr">
        <is>
          <t>00</t>
        </is>
      </c>
      <c r="C2">
        <f>LEFT(B2,2)</f>
        <v/>
      </c>
      <c r="D2" t="inlineStr">
        <is>
          <t>Environment</t>
        </is>
      </c>
      <c r="H2" t="inlineStr">
        <is>
          <t>Pass-through</t>
        </is>
      </c>
      <c r="I2" t="inlineStr">
        <is>
          <t>No TC</t>
        </is>
      </c>
      <c r="J2" t="inlineStr">
        <is>
          <t>Stock</t>
        </is>
      </c>
      <c r="K2" t="inlineStr">
        <is>
          <t>t,e</t>
        </is>
      </c>
      <c r="L2" t="n">
        <v>4</v>
      </c>
    </row>
    <row r="3">
      <c r="A3" t="b">
        <v>0</v>
      </c>
      <c r="B3" t="inlineStr">
        <is>
          <t>01</t>
        </is>
      </c>
      <c r="C3">
        <f>LEFT(B3,2)</f>
        <v/>
      </c>
      <c r="D3" t="inlineStr">
        <is>
          <t>Atmosphere</t>
        </is>
      </c>
      <c r="H3" t="inlineStr">
        <is>
          <t>Pass-through</t>
        </is>
      </c>
      <c r="I3" t="inlineStr">
        <is>
          <t>No TC</t>
        </is>
      </c>
      <c r="J3" t="inlineStr">
        <is>
          <t>Stock</t>
        </is>
      </c>
      <c r="K3" t="inlineStr">
        <is>
          <t>t,e</t>
        </is>
      </c>
      <c r="L3" t="n">
        <v>3</v>
      </c>
    </row>
    <row r="4">
      <c r="A4" t="b">
        <v>0</v>
      </c>
      <c r="B4" t="inlineStr">
        <is>
          <t>02</t>
        </is>
      </c>
      <c r="C4">
        <f>LEFT(B4,2)</f>
        <v/>
      </c>
      <c r="D4" t="inlineStr">
        <is>
          <t>Rye_Cultivation</t>
        </is>
      </c>
      <c r="H4" t="inlineStr">
        <is>
          <t>Splitter</t>
        </is>
      </c>
      <c r="I4" t="inlineStr">
        <is>
          <t>Static</t>
        </is>
      </c>
      <c r="J4" t="inlineStr">
        <is>
          <t>No_Stock</t>
        </is>
      </c>
      <c r="K4" t="inlineStr">
        <is>
          <t>t,e</t>
        </is>
      </c>
      <c r="L4" t="n">
        <v>1</v>
      </c>
    </row>
    <row r="5">
      <c r="A5" t="b">
        <v>0</v>
      </c>
      <c r="B5" t="inlineStr">
        <is>
          <t>03</t>
        </is>
      </c>
      <c r="C5">
        <f>LEFT(B5,2)</f>
        <v/>
      </c>
      <c r="D5" t="inlineStr">
        <is>
          <t>Rye_Harvest</t>
        </is>
      </c>
      <c r="H5" t="inlineStr">
        <is>
          <t>Splitter</t>
        </is>
      </c>
      <c r="I5" t="inlineStr">
        <is>
          <t>Static</t>
        </is>
      </c>
      <c r="J5" t="inlineStr">
        <is>
          <t>No_Stock</t>
        </is>
      </c>
      <c r="K5" t="inlineStr">
        <is>
          <t>t,e</t>
        </is>
      </c>
      <c r="L5" t="n">
        <v>4</v>
      </c>
    </row>
    <row r="6">
      <c r="A6" t="b">
        <v>0</v>
      </c>
      <c r="B6" t="inlineStr">
        <is>
          <t>04</t>
        </is>
      </c>
      <c r="C6">
        <f>LEFT(B6,2)</f>
        <v/>
      </c>
      <c r="D6" t="inlineStr">
        <is>
          <t>Rye-Grain_Processing &amp; Consumption</t>
        </is>
      </c>
      <c r="H6" t="inlineStr">
        <is>
          <t>Transformer</t>
        </is>
      </c>
      <c r="I6" t="inlineStr">
        <is>
          <t>Static</t>
        </is>
      </c>
      <c r="J6" t="inlineStr">
        <is>
          <t>No_Stock</t>
        </is>
      </c>
      <c r="K6" t="inlineStr">
        <is>
          <t>t,e</t>
        </is>
      </c>
      <c r="L6" t="n">
        <v>2</v>
      </c>
    </row>
    <row r="7">
      <c r="A7" t="b">
        <v>0</v>
      </c>
      <c r="B7" t="inlineStr">
        <is>
          <t>05</t>
        </is>
      </c>
      <c r="C7">
        <f>LEFT(B7,2)</f>
        <v/>
      </c>
      <c r="D7" t="inlineStr">
        <is>
          <t>Rye-Straw(non-mobilizable)_Degradation</t>
        </is>
      </c>
      <c r="H7" t="inlineStr">
        <is>
          <t>FOMP</t>
        </is>
      </c>
      <c r="I7" t="inlineStr">
        <is>
          <t>Static</t>
        </is>
      </c>
      <c r="J7" t="inlineStr">
        <is>
          <t>Stock</t>
        </is>
      </c>
      <c r="K7" t="inlineStr">
        <is>
          <t>t,e</t>
        </is>
      </c>
      <c r="L7" t="n">
        <v>2</v>
      </c>
    </row>
    <row r="8">
      <c r="A8" t="b">
        <v>0</v>
      </c>
      <c r="B8" t="inlineStr">
        <is>
          <t>06</t>
        </is>
      </c>
      <c r="C8">
        <f>LEFT(B8,2)</f>
        <v/>
      </c>
      <c r="D8" t="inlineStr">
        <is>
          <t>Rye-Straw-mobilisable technical potential_Use</t>
        </is>
      </c>
      <c r="H8" t="inlineStr">
        <is>
          <t>Transformer</t>
        </is>
      </c>
      <c r="I8" t="inlineStr">
        <is>
          <t>Static</t>
        </is>
      </c>
      <c r="J8" t="inlineStr">
        <is>
          <t>No_Stock</t>
        </is>
      </c>
      <c r="K8" t="inlineStr">
        <is>
          <t>t,e</t>
        </is>
      </c>
      <c r="L8" t="n">
        <v>2</v>
      </c>
    </row>
    <row r="9">
      <c r="A9" t="b">
        <v>0</v>
      </c>
      <c r="B9" t="inlineStr">
        <is>
          <t>07</t>
        </is>
      </c>
      <c r="C9">
        <f>LEFT(B9,2)</f>
        <v/>
      </c>
      <c r="D9" t="inlineStr">
        <is>
          <t>Biogas_Incineration</t>
        </is>
      </c>
      <c r="H9" t="inlineStr">
        <is>
          <t>Transformer</t>
        </is>
      </c>
      <c r="I9" t="inlineStr">
        <is>
          <t>Static</t>
        </is>
      </c>
      <c r="J9" t="inlineStr">
        <is>
          <t>No_Stock</t>
        </is>
      </c>
      <c r="K9" t="inlineStr">
        <is>
          <t>t,e</t>
        </is>
      </c>
      <c r="L9" t="n">
        <v>2</v>
      </c>
    </row>
    <row r="10">
      <c r="A10" t="b">
        <v>0</v>
      </c>
      <c r="B10" t="inlineStr">
        <is>
          <t>08</t>
        </is>
      </c>
      <c r="C10">
        <f>LEFT(B10,2)</f>
        <v/>
      </c>
      <c r="D10" t="inlineStr">
        <is>
          <t>Biogas_Production-Delta</t>
        </is>
      </c>
      <c r="H10" t="inlineStr">
        <is>
          <t>Transformer</t>
        </is>
      </c>
      <c r="I10" t="inlineStr">
        <is>
          <t>Static</t>
        </is>
      </c>
      <c r="J10" t="inlineStr">
        <is>
          <t>No_Stock</t>
        </is>
      </c>
      <c r="K10" t="inlineStr">
        <is>
          <t>t,e</t>
        </is>
      </c>
      <c r="L10" t="n">
        <v>2</v>
      </c>
    </row>
    <row r="11">
      <c r="A11" t="b">
        <v>0</v>
      </c>
      <c r="B11" t="inlineStr">
        <is>
          <t>09</t>
        </is>
      </c>
      <c r="C11">
        <f>LEFT(B11,2)</f>
        <v/>
      </c>
      <c r="D11" t="inlineStr">
        <is>
          <t>Biogas_Production</t>
        </is>
      </c>
      <c r="H11" t="inlineStr">
        <is>
          <t>Transformer</t>
        </is>
      </c>
      <c r="I11" t="inlineStr">
        <is>
          <t>Static</t>
        </is>
      </c>
      <c r="J11" t="inlineStr">
        <is>
          <t>No_Stock</t>
        </is>
      </c>
      <c r="K11" t="inlineStr">
        <is>
          <t>t,e</t>
        </is>
      </c>
      <c r="L11" t="n">
        <v>3</v>
      </c>
    </row>
    <row r="12">
      <c r="A12" t="b">
        <v>0</v>
      </c>
      <c r="B12" t="inlineStr">
        <is>
          <t>10</t>
        </is>
      </c>
      <c r="C12">
        <f>LEFT(B12,2)</f>
        <v/>
      </c>
      <c r="D12" t="inlineStr">
        <is>
          <t>Cow-Manure_Production</t>
        </is>
      </c>
      <c r="H12" t="inlineStr">
        <is>
          <t>Transformer</t>
        </is>
      </c>
      <c r="I12" t="inlineStr">
        <is>
          <t>Static</t>
        </is>
      </c>
      <c r="J12" t="inlineStr">
        <is>
          <t>No_Stock</t>
        </is>
      </c>
      <c r="K12" t="inlineStr">
        <is>
          <t>t,e</t>
        </is>
      </c>
      <c r="L12" t="n">
        <v>1</v>
      </c>
    </row>
    <row r="13">
      <c r="A13" t="b">
        <v>0</v>
      </c>
      <c r="B13" t="inlineStr">
        <is>
          <t>11</t>
        </is>
      </c>
      <c r="C13">
        <f>LEFT(B13,2)</f>
        <v/>
      </c>
      <c r="D13" t="inlineStr">
        <is>
          <t>MBC_Production</t>
        </is>
      </c>
      <c r="H13" t="inlineStr">
        <is>
          <t>Transformer</t>
        </is>
      </c>
      <c r="I13" t="inlineStr">
        <is>
          <t>Static</t>
        </is>
      </c>
      <c r="J13" t="inlineStr">
        <is>
          <t>No_Stock</t>
        </is>
      </c>
      <c r="K13" t="inlineStr">
        <is>
          <t>t,e</t>
        </is>
      </c>
      <c r="L13" t="n">
        <v>4</v>
      </c>
    </row>
    <row r="14">
      <c r="A14" t="b">
        <v>0</v>
      </c>
      <c r="B14" t="inlineStr">
        <is>
          <t>12</t>
        </is>
      </c>
      <c r="C14">
        <f>LEFT(B14,2)</f>
        <v/>
      </c>
      <c r="D14" t="inlineStr">
        <is>
          <t>MBC-Production Waste_Treatment</t>
        </is>
      </c>
      <c r="H14" t="inlineStr">
        <is>
          <t>Transformer</t>
        </is>
      </c>
      <c r="I14" t="inlineStr">
        <is>
          <t>Static</t>
        </is>
      </c>
      <c r="J14" t="inlineStr">
        <is>
          <t>No_Stock</t>
        </is>
      </c>
      <c r="K14" t="inlineStr">
        <is>
          <t>t,e</t>
        </is>
      </c>
      <c r="L14" t="n">
        <v>2</v>
      </c>
    </row>
    <row r="15">
      <c r="A15" t="b">
        <v>0</v>
      </c>
      <c r="B15" t="inlineStr">
        <is>
          <t>13</t>
        </is>
      </c>
      <c r="C15">
        <f>LEFT(B15,2)</f>
        <v/>
      </c>
      <c r="D15" t="inlineStr">
        <is>
          <t>MBC-Production-Delta_Production</t>
        </is>
      </c>
      <c r="H15" t="inlineStr">
        <is>
          <t>Transformer</t>
        </is>
      </c>
      <c r="I15" t="inlineStr">
        <is>
          <t>Static</t>
        </is>
      </c>
      <c r="J15" t="inlineStr">
        <is>
          <t>No_Stock</t>
        </is>
      </c>
      <c r="K15" t="inlineStr">
        <is>
          <t>t,e</t>
        </is>
      </c>
      <c r="L15" t="n">
        <v>2</v>
      </c>
    </row>
    <row r="16">
      <c r="A16" t="b">
        <v>0</v>
      </c>
      <c r="B16" t="inlineStr">
        <is>
          <t>14</t>
        </is>
      </c>
      <c r="C16">
        <f>LEFT(B16,2)</f>
        <v/>
      </c>
      <c r="D16" t="inlineStr">
        <is>
          <t>Millet_Production</t>
        </is>
      </c>
      <c r="H16" t="inlineStr">
        <is>
          <t>Transformer</t>
        </is>
      </c>
      <c r="I16" t="inlineStr">
        <is>
          <t>Static</t>
        </is>
      </c>
      <c r="J16" t="inlineStr">
        <is>
          <t>No_Stock</t>
        </is>
      </c>
      <c r="K16" t="inlineStr">
        <is>
          <t>t,e</t>
        </is>
      </c>
      <c r="L16" t="n">
        <v>1</v>
      </c>
    </row>
    <row r="17">
      <c r="A17" t="b">
        <v>0</v>
      </c>
      <c r="B17" t="inlineStr">
        <is>
          <t>15</t>
        </is>
      </c>
      <c r="C17">
        <f>LEFT(B17,2)</f>
        <v/>
      </c>
      <c r="D17" t="inlineStr">
        <is>
          <t>MBC_Use-Phase</t>
        </is>
      </c>
      <c r="H17" t="inlineStr">
        <is>
          <t>DSM</t>
        </is>
      </c>
      <c r="I17" t="inlineStr">
        <is>
          <t>Static</t>
        </is>
      </c>
      <c r="J17" t="inlineStr">
        <is>
          <t>Stock</t>
        </is>
      </c>
      <c r="K17" t="inlineStr">
        <is>
          <t>t,e</t>
        </is>
      </c>
      <c r="L17" t="n">
        <v>1</v>
      </c>
    </row>
    <row r="18">
      <c r="A18" t="b">
        <v>0</v>
      </c>
      <c r="B18" t="inlineStr">
        <is>
          <t>16</t>
        </is>
      </c>
      <c r="C18">
        <f>LEFT(B18,2)</f>
        <v/>
      </c>
      <c r="D18" t="inlineStr">
        <is>
          <t>MBC-EoL_Treatment</t>
        </is>
      </c>
      <c r="H18" t="inlineStr">
        <is>
          <t>Splitter</t>
        </is>
      </c>
      <c r="I18" t="inlineStr">
        <is>
          <t>Static</t>
        </is>
      </c>
      <c r="J18" t="inlineStr">
        <is>
          <t>No_Stock</t>
        </is>
      </c>
      <c r="K18" t="inlineStr">
        <is>
          <t>t,e</t>
        </is>
      </c>
      <c r="L18" t="n">
        <v>2</v>
      </c>
    </row>
    <row r="19">
      <c r="A19" t="b">
        <v>0</v>
      </c>
      <c r="B19" t="inlineStr">
        <is>
          <t>17</t>
        </is>
      </c>
      <c r="C19">
        <f>LEFT(B19,2)</f>
        <v/>
      </c>
      <c r="D19" t="inlineStr">
        <is>
          <t>MBC-EoL_Pyrolysis</t>
        </is>
      </c>
      <c r="H19" t="inlineStr">
        <is>
          <t>Transformer</t>
        </is>
      </c>
      <c r="I19" t="inlineStr">
        <is>
          <t>Static</t>
        </is>
      </c>
      <c r="J19" t="inlineStr">
        <is>
          <t>No_Stock</t>
        </is>
      </c>
      <c r="K19" t="inlineStr">
        <is>
          <t>t,e</t>
        </is>
      </c>
      <c r="L19" t="n">
        <v>3</v>
      </c>
    </row>
    <row r="20">
      <c r="A20" t="b">
        <v>0</v>
      </c>
      <c r="B20" t="inlineStr">
        <is>
          <t>18</t>
        </is>
      </c>
      <c r="C20">
        <f>LEFT(B20,2)</f>
        <v/>
      </c>
      <c r="D20" t="inlineStr">
        <is>
          <t>MBC-EoL_Incineration</t>
        </is>
      </c>
      <c r="H20" t="inlineStr">
        <is>
          <t>Transformer</t>
        </is>
      </c>
      <c r="I20" t="inlineStr">
        <is>
          <t>Static</t>
        </is>
      </c>
      <c r="J20" t="inlineStr">
        <is>
          <t>No_Stock</t>
        </is>
      </c>
      <c r="K20" t="inlineStr">
        <is>
          <t>t,e</t>
        </is>
      </c>
      <c r="L20" t="n">
        <v>2</v>
      </c>
    </row>
    <row r="21">
      <c r="A21" t="b">
        <v>0</v>
      </c>
      <c r="B21" t="inlineStr">
        <is>
          <t>19</t>
        </is>
      </c>
      <c r="C21">
        <f>LEFT(B21,2)</f>
        <v/>
      </c>
      <c r="D21" t="inlineStr">
        <is>
          <t>Ash_Treatment</t>
        </is>
      </c>
      <c r="H21" t="inlineStr">
        <is>
          <t>Transformer</t>
        </is>
      </c>
      <c r="I21" t="inlineStr">
        <is>
          <t>Static</t>
        </is>
      </c>
      <c r="J21" t="inlineStr">
        <is>
          <t>No_Stock</t>
        </is>
      </c>
      <c r="K21" t="inlineStr">
        <is>
          <t>t,e</t>
        </is>
      </c>
      <c r="L21" t="n">
        <v>2</v>
      </c>
    </row>
    <row r="22">
      <c r="A22" t="b">
        <v>0</v>
      </c>
      <c r="B22" t="inlineStr">
        <is>
          <t>20</t>
        </is>
      </c>
      <c r="C22">
        <f>LEFT(B22,2)</f>
        <v/>
      </c>
      <c r="D22" t="inlineStr">
        <is>
          <t>Water_Import</t>
        </is>
      </c>
      <c r="H22" t="inlineStr">
        <is>
          <t>Splitter</t>
        </is>
      </c>
      <c r="I22" t="inlineStr">
        <is>
          <t>Static</t>
        </is>
      </c>
      <c r="J22" t="inlineStr">
        <is>
          <t>No_Stock</t>
        </is>
      </c>
      <c r="K22" t="inlineStr">
        <is>
          <t>t,e</t>
        </is>
      </c>
      <c r="L22" t="n">
        <v>1</v>
      </c>
    </row>
    <row r="23">
      <c r="A23" t="b">
        <v>0</v>
      </c>
      <c r="B23" t="inlineStr">
        <is>
          <t>21</t>
        </is>
      </c>
      <c r="C23">
        <f>LEFT(B23,2)</f>
        <v/>
      </c>
      <c r="D23" t="inlineStr">
        <is>
          <t>Water_Export</t>
        </is>
      </c>
      <c r="H23" t="inlineStr">
        <is>
          <t>Splitter</t>
        </is>
      </c>
      <c r="I23" t="inlineStr">
        <is>
          <t>Static</t>
        </is>
      </c>
      <c r="J23" t="inlineStr">
        <is>
          <t>No_Stock</t>
        </is>
      </c>
      <c r="K23" t="inlineStr">
        <is>
          <t>t,e</t>
        </is>
      </c>
      <c r="L23" t="n">
        <v>1</v>
      </c>
    </row>
    <row r="24">
      <c r="A24" t="b">
        <v>0</v>
      </c>
      <c r="B24" t="inlineStr">
        <is>
          <t>22</t>
        </is>
      </c>
      <c r="C24">
        <f>LEFT(B24,2)</f>
        <v/>
      </c>
      <c r="D24" t="inlineStr">
        <is>
          <t>Lithosphere_Stock</t>
        </is>
      </c>
      <c r="H24" t="inlineStr">
        <is>
          <t>Splitter</t>
        </is>
      </c>
      <c r="I24" t="inlineStr">
        <is>
          <t>Static</t>
        </is>
      </c>
      <c r="J24" t="inlineStr">
        <is>
          <t>Stock</t>
        </is>
      </c>
      <c r="K24" t="inlineStr">
        <is>
          <t>t,e</t>
        </is>
      </c>
      <c r="L24" t="n">
        <v>2</v>
      </c>
    </row>
    <row r="25">
      <c r="A25" t="b">
        <v>0</v>
      </c>
      <c r="B25" t="inlineStr">
        <is>
          <t>23</t>
        </is>
      </c>
      <c r="C25">
        <f>LEFT(B25,2)</f>
        <v/>
      </c>
      <c r="K25" t="inlineStr">
        <is>
          <t>t,e</t>
        </is>
      </c>
    </row>
    <row r="26">
      <c r="A26" t="b">
        <v>0</v>
      </c>
      <c r="B26" t="inlineStr">
        <is>
          <t>24</t>
        </is>
      </c>
      <c r="C26">
        <f>LEFT(B26,2)</f>
        <v/>
      </c>
      <c r="K26" t="inlineStr">
        <is>
          <t>t,e</t>
        </is>
      </c>
    </row>
    <row r="27">
      <c r="A27" t="b">
        <v>0</v>
      </c>
      <c r="B27" t="inlineStr">
        <is>
          <t>25</t>
        </is>
      </c>
      <c r="C27">
        <f>LEFT(B27,2)</f>
        <v/>
      </c>
      <c r="K27" t="inlineStr">
        <is>
          <t>t,e</t>
        </is>
      </c>
    </row>
    <row r="28">
      <c r="A28" t="b">
        <v>0</v>
      </c>
      <c r="B28" t="inlineStr">
        <is>
          <t>26</t>
        </is>
      </c>
      <c r="C28">
        <f>LEFT(B28,2)</f>
        <v/>
      </c>
      <c r="K28" t="inlineStr">
        <is>
          <t>t,e</t>
        </is>
      </c>
    </row>
    <row r="29">
      <c r="A29" t="b">
        <v>0</v>
      </c>
      <c r="B29" t="inlineStr">
        <is>
          <t>27</t>
        </is>
      </c>
      <c r="C29">
        <f>LEFT(B29,2)</f>
        <v/>
      </c>
      <c r="K29" t="inlineStr">
        <is>
          <t>t,e</t>
        </is>
      </c>
    </row>
    <row r="30">
      <c r="A30" t="b">
        <v>0</v>
      </c>
      <c r="B30" t="inlineStr">
        <is>
          <t>28</t>
        </is>
      </c>
      <c r="C30">
        <f>LEFT(B30,2)</f>
        <v/>
      </c>
      <c r="K30" t="inlineStr">
        <is>
          <t>t,e</t>
        </is>
      </c>
    </row>
    <row r="31">
      <c r="A31" t="b">
        <v>0</v>
      </c>
      <c r="B31" t="inlineStr">
        <is>
          <t>29</t>
        </is>
      </c>
      <c r="C31">
        <f>LEFT(B31,2)</f>
        <v/>
      </c>
      <c r="K31" t="inlineStr">
        <is>
          <t>t,e</t>
        </is>
      </c>
    </row>
    <row r="32">
      <c r="A32" t="b">
        <v>0</v>
      </c>
      <c r="B32" t="inlineStr">
        <is>
          <t>30</t>
        </is>
      </c>
      <c r="C32">
        <f>LEFT(B32,2)</f>
        <v/>
      </c>
      <c r="K32" t="inlineStr">
        <is>
          <t>t,e</t>
        </is>
      </c>
    </row>
    <row r="33">
      <c r="A33" t="b">
        <v>0</v>
      </c>
      <c r="B33" t="inlineStr">
        <is>
          <t>31</t>
        </is>
      </c>
      <c r="C33">
        <f>LEFT(B33,2)</f>
        <v/>
      </c>
      <c r="K33" t="inlineStr">
        <is>
          <t>t,e</t>
        </is>
      </c>
    </row>
    <row r="34">
      <c r="A34" t="b">
        <v>0</v>
      </c>
      <c r="B34" t="inlineStr">
        <is>
          <t>32</t>
        </is>
      </c>
      <c r="C34">
        <f>LEFT(B34,2)</f>
        <v/>
      </c>
      <c r="K34" t="inlineStr">
        <is>
          <t>t,e</t>
        </is>
      </c>
    </row>
    <row r="35">
      <c r="A35" t="b">
        <v>0</v>
      </c>
      <c r="B35" t="inlineStr">
        <is>
          <t>33</t>
        </is>
      </c>
      <c r="C35">
        <f>LEFT(B35,2)</f>
        <v/>
      </c>
      <c r="K35" t="inlineStr">
        <is>
          <t>t,e</t>
        </is>
      </c>
    </row>
    <row r="36">
      <c r="A36" t="b">
        <v>0</v>
      </c>
      <c r="B36" t="inlineStr">
        <is>
          <t>34</t>
        </is>
      </c>
      <c r="C36">
        <f>LEFT(B36,2)</f>
        <v/>
      </c>
      <c r="K36" t="inlineStr">
        <is>
          <t>t,e</t>
        </is>
      </c>
    </row>
    <row r="37">
      <c r="A37" t="b">
        <v>0</v>
      </c>
      <c r="B37" t="inlineStr">
        <is>
          <t>35</t>
        </is>
      </c>
      <c r="C37">
        <f>LEFT(B37,2)</f>
        <v/>
      </c>
      <c r="K37" t="inlineStr">
        <is>
          <t>t,e</t>
        </is>
      </c>
    </row>
    <row r="38">
      <c r="A38" t="b">
        <v>0</v>
      </c>
      <c r="B38" t="inlineStr">
        <is>
          <t>36</t>
        </is>
      </c>
      <c r="C38">
        <f>LEFT(B38,2)</f>
        <v/>
      </c>
      <c r="K38" t="inlineStr">
        <is>
          <t>t,e</t>
        </is>
      </c>
    </row>
    <row r="39">
      <c r="A39" t="b">
        <v>0</v>
      </c>
      <c r="B39" t="inlineStr">
        <is>
          <t>37</t>
        </is>
      </c>
      <c r="C39">
        <f>LEFT(B39,2)</f>
        <v/>
      </c>
      <c r="K39" t="inlineStr">
        <is>
          <t>t,e</t>
        </is>
      </c>
    </row>
    <row r="40">
      <c r="A40" t="b">
        <v>0</v>
      </c>
      <c r="B40" t="inlineStr">
        <is>
          <t>38</t>
        </is>
      </c>
      <c r="C40">
        <f>LEFT(B40,2)</f>
        <v/>
      </c>
      <c r="K40" t="inlineStr">
        <is>
          <t>t,e</t>
        </is>
      </c>
    </row>
    <row r="41">
      <c r="A41" t="b">
        <v>0</v>
      </c>
      <c r="B41" t="inlineStr">
        <is>
          <t>39</t>
        </is>
      </c>
      <c r="C41">
        <f>LEFT(B41,2)</f>
        <v/>
      </c>
      <c r="K41" t="inlineStr">
        <is>
          <t>t,e</t>
        </is>
      </c>
    </row>
    <row r="42">
      <c r="A42" t="b">
        <v>0</v>
      </c>
      <c r="B42" t="inlineStr">
        <is>
          <t>40</t>
        </is>
      </c>
      <c r="C42">
        <f>LEFT(B42,2)</f>
        <v/>
      </c>
      <c r="K42" t="inlineStr">
        <is>
          <t>t,e</t>
        </is>
      </c>
    </row>
    <row r="43">
      <c r="A43" t="b">
        <v>0</v>
      </c>
      <c r="B43" t="inlineStr">
        <is>
          <t>41</t>
        </is>
      </c>
      <c r="C43">
        <f>LEFT(B43,2)</f>
        <v/>
      </c>
      <c r="K43" t="inlineStr">
        <is>
          <t>t,e</t>
        </is>
      </c>
    </row>
    <row r="44">
      <c r="A44" t="b">
        <v>0</v>
      </c>
      <c r="B44" t="inlineStr">
        <is>
          <t>42</t>
        </is>
      </c>
      <c r="C44">
        <f>LEFT(B44,2)</f>
        <v/>
      </c>
      <c r="K44" t="inlineStr">
        <is>
          <t>t,e</t>
        </is>
      </c>
    </row>
    <row r="45">
      <c r="A45" t="b">
        <v>0</v>
      </c>
      <c r="B45" t="inlineStr">
        <is>
          <t>43</t>
        </is>
      </c>
      <c r="C45">
        <f>LEFT(B45,2)</f>
        <v/>
      </c>
      <c r="K45" t="inlineStr">
        <is>
          <t>t,e</t>
        </is>
      </c>
    </row>
    <row r="46">
      <c r="A46" t="b">
        <v>0</v>
      </c>
      <c r="B46" t="inlineStr">
        <is>
          <t>44</t>
        </is>
      </c>
      <c r="C46">
        <f>LEFT(B46,2)</f>
        <v/>
      </c>
      <c r="K46" t="inlineStr">
        <is>
          <t>t,e</t>
        </is>
      </c>
    </row>
    <row r="47">
      <c r="A47" t="b">
        <v>0</v>
      </c>
      <c r="B47" t="inlineStr">
        <is>
          <t>45</t>
        </is>
      </c>
      <c r="C47">
        <f>LEFT(B47,2)</f>
        <v/>
      </c>
      <c r="K47" t="inlineStr">
        <is>
          <t>t,e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51"/>
  <sheetViews>
    <sheetView workbookViewId="0">
      <selection activeCell="A1" sqref="A1"/>
    </sheetView>
  </sheetViews>
  <sheetFormatPr baseColWidth="8" defaultRowHeight="15"/>
  <sheetData>
    <row r="1">
      <c r="A1" t="inlineStr">
        <is>
          <t>Complete?</t>
        </is>
      </c>
      <c r="B1" t="inlineStr">
        <is>
          <t>ID</t>
        </is>
      </c>
      <c r="C1" t="inlineStr">
        <is>
          <t>Process_ID</t>
        </is>
      </c>
      <c r="D1" t="inlineStr">
        <is>
          <t>Process_Name</t>
        </is>
      </c>
      <c r="E1" t="inlineStr">
        <is>
          <t>Process_Logic</t>
        </is>
      </c>
      <c r="F1" t="inlineStr">
        <is>
          <t>TC_Configuration</t>
        </is>
      </c>
      <c r="G1" t="inlineStr">
        <is>
          <t>Stock_Configuration</t>
        </is>
      </c>
      <c r="H1" t="inlineStr">
        <is>
          <t>Outflow_count</t>
        </is>
      </c>
      <c r="I1" t="inlineStr">
        <is>
          <t>Output_Flow</t>
        </is>
      </c>
      <c r="J1" t="inlineStr">
        <is>
          <t>Flow_ID</t>
        </is>
      </c>
      <c r="K1" t="inlineStr">
        <is>
          <t>TC_material_ID</t>
        </is>
      </c>
      <c r="L1" t="inlineStr">
        <is>
          <t>TC_Value_material</t>
        </is>
      </c>
      <c r="M1" t="inlineStr">
        <is>
          <t>TC_WC_ID</t>
        </is>
      </c>
      <c r="N1" t="inlineStr">
        <is>
          <t>TC_Value_WC</t>
        </is>
      </c>
      <c r="O1" t="inlineStr">
        <is>
          <t>TC_DM_ID</t>
        </is>
      </c>
      <c r="P1" t="inlineStr">
        <is>
          <t>TC_Value_DM</t>
        </is>
      </c>
      <c r="Q1" t="inlineStr">
        <is>
          <t>TC_CC_ID</t>
        </is>
      </c>
      <c r="R1" t="inlineStr">
        <is>
          <t>TC_Value_CC</t>
        </is>
      </c>
      <c r="S1" t="inlineStr">
        <is>
          <t>Titel_source</t>
        </is>
      </c>
      <c r="T1" t="inlineStr">
        <is>
          <t>Year_publication</t>
        </is>
      </c>
      <c r="U1" t="inlineStr">
        <is>
          <t>Author_source</t>
        </is>
      </c>
      <c r="V1" t="inlineStr">
        <is>
          <t>Type_source</t>
        </is>
      </c>
      <c r="W1" t="inlineStr">
        <is>
          <t>URL_source</t>
        </is>
      </c>
    </row>
    <row r="2">
      <c r="A2" t="b">
        <v>0</v>
      </c>
      <c r="B2">
        <f>ROW()-1</f>
        <v/>
      </c>
      <c r="C2">
        <f>_xlfn.XLOOKUP($D2,Tab_Def_Processes[Process_Name],Tab_Def_Processes[ID],,0,)</f>
        <v/>
      </c>
      <c r="D2" t="inlineStr">
        <is>
          <t>Rye_Cultivation</t>
        </is>
      </c>
      <c r="E2">
        <f>_xlfn.XLOOKUP($D2,Tab_Def_Processes[Process_Name],Tab_Def_Processes[Process_Logic],,0,)</f>
        <v/>
      </c>
      <c r="F2">
        <f>_xlfn.XLOOKUP($D2,Tab_Def_Processes[Process_Name],Tab_Def_Processes[TC_Configuration],,0,)</f>
        <v/>
      </c>
      <c r="G2">
        <f>_xlfn.XLOOKUP($D2,Tab_Def_Processes[Process_Name],Tab_Def_Processes[Stock_Configuration],,0,)</f>
        <v/>
      </c>
      <c r="H2">
        <f>_xlfn.XLOOKUP($D2,Tab_Def_Processes[Process_Name],Tab_Def_Processes[Outflow_count],,0,)</f>
        <v/>
      </c>
      <c r="I2" t="inlineStr">
        <is>
          <t>Rye-Plant</t>
        </is>
      </c>
      <c r="J2">
        <f>_xlfn.XLOOKUP($I2,Tab_Def_Flows[Flow_Name],Tab_Def_Flows[Flow_ID],,0,)</f>
        <v/>
      </c>
      <c r="K2">
        <f>"TC_material"&amp;"_"&amp;RIGHT(J2,5)</f>
        <v/>
      </c>
      <c r="L2" t="n">
        <v>1</v>
      </c>
      <c r="M2">
        <f>"TC_WC"&amp;"_"&amp;RIGHT(J2,5)</f>
        <v/>
      </c>
      <c r="O2">
        <f>"TC_DM"&amp;"_"&amp;RIGHT(J2,5)</f>
        <v/>
      </c>
      <c r="Q2">
        <f>"TC_CC"&amp;"_"&amp;RIGHT(J2,5)</f>
        <v/>
      </c>
    </row>
    <row r="3">
      <c r="A3" t="b">
        <v>0</v>
      </c>
      <c r="B3">
        <f>ROW()-1</f>
        <v/>
      </c>
      <c r="C3">
        <f>_xlfn.XLOOKUP($D3,Tab_Def_Processes[Process_Name],Tab_Def_Processes[ID],,0,)</f>
        <v/>
      </c>
      <c r="D3" t="inlineStr">
        <is>
          <t>Rye_Harvest</t>
        </is>
      </c>
      <c r="E3">
        <f>_xlfn.XLOOKUP($D3,Tab_Def_Processes[Process_Name],Tab_Def_Processes[Process_Logic],,0,)</f>
        <v/>
      </c>
      <c r="F3">
        <f>_xlfn.XLOOKUP($D3,Tab_Def_Processes[Process_Name],Tab_Def_Processes[TC_Configuration],,0,)</f>
        <v/>
      </c>
      <c r="G3">
        <f>_xlfn.XLOOKUP($D3,Tab_Def_Processes[Process_Name],Tab_Def_Processes[Stock_Configuration],,0,)</f>
        <v/>
      </c>
      <c r="H3">
        <f>_xlfn.XLOOKUP($D3,Tab_Def_Processes[Process_Name],Tab_Def_Processes[Outflow_count],,0,)</f>
        <v/>
      </c>
      <c r="I3" t="inlineStr">
        <is>
          <t>Rye-Grain</t>
        </is>
      </c>
      <c r="J3">
        <f>_xlfn.XLOOKUP($I3,Tab_Def_Flows[Flow_Name],Tab_Def_Flows[Flow_ID],,0,)</f>
        <v/>
      </c>
      <c r="K3">
        <f>"TC_material"&amp;"_"&amp;RIGHT(J3,5)</f>
        <v/>
      </c>
      <c r="L3" t="n">
        <v>0.474</v>
      </c>
      <c r="M3">
        <f>"TC_WC"&amp;"_"&amp;RIGHT(J3,5)</f>
        <v/>
      </c>
      <c r="O3">
        <f>"TC_DM"&amp;"_"&amp;RIGHT(J3,5)</f>
        <v/>
      </c>
      <c r="Q3">
        <f>"TC_CC"&amp;"_"&amp;RIGHT(J3,5)</f>
        <v/>
      </c>
    </row>
    <row r="4">
      <c r="A4" t="b">
        <v>0</v>
      </c>
      <c r="B4">
        <f>ROW()-1</f>
        <v/>
      </c>
      <c r="C4">
        <f>_xlfn.XLOOKUP($D4,Tab_Def_Processes[Process_Name],Tab_Def_Processes[ID],,0,)</f>
        <v/>
      </c>
      <c r="D4" t="inlineStr">
        <is>
          <t>Rye_Harvest</t>
        </is>
      </c>
      <c r="E4">
        <f>_xlfn.XLOOKUP($D4,Tab_Def_Processes[Process_Name],Tab_Def_Processes[Process_Logic],,0,)</f>
        <v/>
      </c>
      <c r="F4">
        <f>_xlfn.XLOOKUP($D4,Tab_Def_Processes[Process_Name],Tab_Def_Processes[TC_Configuration],,0,)</f>
        <v/>
      </c>
      <c r="G4">
        <f>_xlfn.XLOOKUP($D4,Tab_Def_Processes[Process_Name],Tab_Def_Processes[Stock_Configuration],,0,)</f>
        <v/>
      </c>
      <c r="H4">
        <f>_xlfn.XLOOKUP($D4,Tab_Def_Processes[Process_Name],Tab_Def_Processes[Outflow_count],,0,)</f>
        <v/>
      </c>
      <c r="I4" t="inlineStr">
        <is>
          <t>Rye-Straw(mobilisable)</t>
        </is>
      </c>
      <c r="J4">
        <f>_xlfn.XLOOKUP($I4,Tab_Def_Flows[Flow_Name],Tab_Def_Flows[Flow_ID],,0,)</f>
        <v/>
      </c>
      <c r="K4">
        <f>"TC_material"&amp;"_"&amp;RIGHT(J4,5)</f>
        <v/>
      </c>
      <c r="L4" t="n">
        <v>0.0738503999999999</v>
      </c>
      <c r="M4">
        <f>"TC_WC"&amp;"_"&amp;RIGHT(J4,5)</f>
        <v/>
      </c>
      <c r="O4">
        <f>"TC_DM"&amp;"_"&amp;RIGHT(J4,5)</f>
        <v/>
      </c>
      <c r="Q4">
        <f>"TC_CC"&amp;"_"&amp;RIGHT(J4,5)</f>
        <v/>
      </c>
    </row>
    <row r="5">
      <c r="A5" t="b">
        <v>0</v>
      </c>
      <c r="B5">
        <f>ROW()-1</f>
        <v/>
      </c>
      <c r="C5">
        <f>_xlfn.XLOOKUP($D5,Tab_Def_Processes[Process_Name],Tab_Def_Processes[ID],,0,)</f>
        <v/>
      </c>
      <c r="D5" t="inlineStr">
        <is>
          <t>Rye_Harvest</t>
        </is>
      </c>
      <c r="E5">
        <f>_xlfn.XLOOKUP($D5,Tab_Def_Processes[Process_Name],Tab_Def_Processes[Process_Logic],,0,)</f>
        <v/>
      </c>
      <c r="F5">
        <f>_xlfn.XLOOKUP($D5,Tab_Def_Processes[Process_Name],Tab_Def_Processes[TC_Configuration],,0,)</f>
        <v/>
      </c>
      <c r="G5">
        <f>_xlfn.XLOOKUP($D5,Tab_Def_Processes[Process_Name],Tab_Def_Processes[Stock_Configuration],,0,)</f>
        <v/>
      </c>
      <c r="H5">
        <f>_xlfn.XLOOKUP($D5,Tab_Def_Processes[Process_Name],Tab_Def_Processes[Outflow_count],,0,)</f>
        <v/>
      </c>
      <c r="I5" t="inlineStr">
        <is>
          <t>Rye-Straw(Not mobilisable)</t>
        </is>
      </c>
      <c r="J5">
        <f>_xlfn.XLOOKUP($I5,Tab_Def_Flows[Flow_Name],Tab_Def_Flows[Flow_ID],,0,)</f>
        <v/>
      </c>
      <c r="K5">
        <f>"TC_material"&amp;"_"&amp;RIGHT(J5,5)</f>
        <v/>
      </c>
      <c r="L5" t="n">
        <v>0.38924</v>
      </c>
      <c r="M5">
        <f>"TC_WC"&amp;"_"&amp;RIGHT(J5,5)</f>
        <v/>
      </c>
      <c r="O5">
        <f>"TC_DM"&amp;"_"&amp;RIGHT(J5,5)</f>
        <v/>
      </c>
      <c r="Q5">
        <f>"TC_CC"&amp;"_"&amp;RIGHT(J5,5)</f>
        <v/>
      </c>
    </row>
    <row r="6">
      <c r="A6" t="b">
        <v>0</v>
      </c>
      <c r="B6">
        <f>ROW()-1</f>
        <v/>
      </c>
      <c r="C6">
        <f>_xlfn.XLOOKUP($D6,Tab_Def_Processes[Process_Name],Tab_Def_Processes[ID],,0,)</f>
        <v/>
      </c>
      <c r="D6" t="inlineStr">
        <is>
          <t>Rye_Harvest</t>
        </is>
      </c>
      <c r="E6">
        <f>_xlfn.XLOOKUP($D6,Tab_Def_Processes[Process_Name],Tab_Def_Processes[Process_Logic],,0,)</f>
        <v/>
      </c>
      <c r="F6">
        <f>_xlfn.XLOOKUP($D6,Tab_Def_Processes[Process_Name],Tab_Def_Processes[TC_Configuration],,0,)</f>
        <v/>
      </c>
      <c r="G6">
        <f>_xlfn.XLOOKUP($D6,Tab_Def_Processes[Process_Name],Tab_Def_Processes[Stock_Configuration],,0,)</f>
        <v/>
      </c>
      <c r="H6">
        <f>_xlfn.XLOOKUP($D6,Tab_Def_Processes[Process_Name],Tab_Def_Processes[Outflow_count],,0,)</f>
        <v/>
      </c>
      <c r="I6" t="inlineStr">
        <is>
          <t>Rye-Straw(mobilisable-used)</t>
        </is>
      </c>
      <c r="J6">
        <f>_xlfn.XLOOKUP($I6,Tab_Def_Flows[Flow_Name],Tab_Def_Flows[Flow_ID],,0,)</f>
        <v/>
      </c>
      <c r="K6">
        <f>"TC_material"&amp;"_"&amp;RIGHT(J6,5)</f>
        <v/>
      </c>
      <c r="L6" t="n">
        <v>0.0629096</v>
      </c>
      <c r="M6">
        <f>"TC_WC"&amp;"_"&amp;RIGHT(J6,5)</f>
        <v/>
      </c>
      <c r="O6">
        <f>"TC_DM"&amp;"_"&amp;RIGHT(J6,5)</f>
        <v/>
      </c>
      <c r="Q6">
        <f>"TC_CC"&amp;"_"&amp;RIGHT(J6,5)</f>
        <v/>
      </c>
    </row>
    <row r="7">
      <c r="A7" t="b">
        <v>0</v>
      </c>
      <c r="B7">
        <f>ROW()-1</f>
        <v/>
      </c>
      <c r="C7">
        <f>_xlfn.XLOOKUP($D7,Tab_Def_Processes[Process_Name],Tab_Def_Processes[ID],,0,)</f>
        <v/>
      </c>
      <c r="D7" t="inlineStr">
        <is>
          <t>Rye-Grain_Processing &amp; Consumption</t>
        </is>
      </c>
      <c r="E7">
        <f>_xlfn.XLOOKUP($D7,Tab_Def_Processes[Process_Name],Tab_Def_Processes[Process_Logic],,0,)</f>
        <v/>
      </c>
      <c r="F7">
        <f>_xlfn.XLOOKUP($D7,Tab_Def_Processes[Process_Name],Tab_Def_Processes[TC_Configuration],,0,)</f>
        <v/>
      </c>
      <c r="G7">
        <f>_xlfn.XLOOKUP($D7,Tab_Def_Processes[Process_Name],Tab_Def_Processes[Stock_Configuration],,0,)</f>
        <v/>
      </c>
      <c r="H7">
        <f>_xlfn.XLOOKUP($D7,Tab_Def_Processes[Process_Name],Tab_Def_Processes[Outflow_count],,0,)</f>
        <v/>
      </c>
      <c r="I7" t="inlineStr">
        <is>
          <t>Rye-Grain_Processing &amp; Consumption_Emissions_C</t>
        </is>
      </c>
      <c r="J7">
        <f>_xlfn.XLOOKUP($I7,Tab_Def_Flows[Flow_Name],Tab_Def_Flows[Flow_ID],,0,)</f>
        <v/>
      </c>
      <c r="K7">
        <f>"TC_material"&amp;"_"&amp;RIGHT(J7,5)</f>
        <v/>
      </c>
      <c r="L7" t="n">
        <v>0.4128</v>
      </c>
      <c r="M7">
        <f>"TC_WC"&amp;"_"&amp;RIGHT(J7,5)</f>
        <v/>
      </c>
      <c r="N7" t="n">
        <v>0</v>
      </c>
      <c r="O7">
        <f>"TC_DM"&amp;"_"&amp;RIGHT(J7,5)</f>
        <v/>
      </c>
      <c r="P7" t="n">
        <v>0.48</v>
      </c>
      <c r="Q7">
        <f>"TC_CC"&amp;"_"&amp;RIGHT(J7,5)</f>
        <v/>
      </c>
      <c r="R7" t="n">
        <v>1</v>
      </c>
    </row>
    <row r="8">
      <c r="A8" t="b">
        <v>0</v>
      </c>
      <c r="B8">
        <f>ROW()-1</f>
        <v/>
      </c>
      <c r="C8">
        <f>_xlfn.XLOOKUP($D8,Tab_Def_Processes[Process_Name],Tab_Def_Processes[ID],,0,)</f>
        <v/>
      </c>
      <c r="D8" t="inlineStr">
        <is>
          <t>Rye-Grain_Processing &amp; Consumption</t>
        </is>
      </c>
      <c r="E8">
        <f>_xlfn.XLOOKUP($D8,Tab_Def_Processes[Process_Name],Tab_Def_Processes[Process_Logic],,0,)</f>
        <v/>
      </c>
      <c r="F8">
        <f>_xlfn.XLOOKUP($D8,Tab_Def_Processes[Process_Name],Tab_Def_Processes[TC_Configuration],,0,)</f>
        <v/>
      </c>
      <c r="G8">
        <f>_xlfn.XLOOKUP($D8,Tab_Def_Processes[Process_Name],Tab_Def_Processes[Stock_Configuration],,0,)</f>
        <v/>
      </c>
      <c r="H8">
        <f>_xlfn.XLOOKUP($D8,Tab_Def_Processes[Process_Name],Tab_Def_Processes[Outflow_count],,0,)</f>
        <v/>
      </c>
      <c r="I8" t="inlineStr">
        <is>
          <t>Rye-Grain_Processing &amp; Consumption_Emissions_E</t>
        </is>
      </c>
      <c r="J8">
        <f>_xlfn.XLOOKUP($I8,Tab_Def_Flows[Flow_Name],Tab_Def_Flows[Flow_ID],,0,)</f>
        <v/>
      </c>
      <c r="K8">
        <f>"TC_material"&amp;"_"&amp;RIGHT(J8,5)</f>
        <v/>
      </c>
      <c r="L8" t="n">
        <v>0.5872000000000001</v>
      </c>
      <c r="M8">
        <f>"TC_WC"&amp;"_"&amp;RIGHT(J8,5)</f>
        <v/>
      </c>
      <c r="N8" t="n">
        <v>1</v>
      </c>
      <c r="O8">
        <f>"TC_DM"&amp;"_"&amp;RIGHT(J8,5)</f>
        <v/>
      </c>
      <c r="P8" t="n">
        <v>0.52</v>
      </c>
      <c r="Q8">
        <f>"TC_CC"&amp;"_"&amp;RIGHT(J8,5)</f>
        <v/>
      </c>
      <c r="R8" t="n">
        <v>0</v>
      </c>
    </row>
    <row r="9">
      <c r="A9" t="b">
        <v>0</v>
      </c>
      <c r="B9">
        <f>ROW()-1</f>
        <v/>
      </c>
      <c r="C9">
        <f>_xlfn.XLOOKUP($D9,Tab_Def_Processes[Process_Name],Tab_Def_Processes[ID],,0,)</f>
        <v/>
      </c>
      <c r="D9" t="inlineStr">
        <is>
          <t>Rye-Straw-mobilisable technical potential_Use</t>
        </is>
      </c>
      <c r="E9">
        <f>_xlfn.XLOOKUP($D9,Tab_Def_Processes[Process_Name],Tab_Def_Processes[Process_Logic],,0,)</f>
        <v/>
      </c>
      <c r="F9">
        <f>_xlfn.XLOOKUP($D9,Tab_Def_Processes[Process_Name],Tab_Def_Processes[TC_Configuration],,0,)</f>
        <v/>
      </c>
      <c r="G9">
        <f>_xlfn.XLOOKUP($D9,Tab_Def_Processes[Process_Name],Tab_Def_Processes[Stock_Configuration],,0,)</f>
        <v/>
      </c>
      <c r="H9">
        <f>_xlfn.XLOOKUP($D9,Tab_Def_Processes[Process_Name],Tab_Def_Processes[Outflow_count],,0,)</f>
        <v/>
      </c>
      <c r="I9" t="inlineStr">
        <is>
          <t>Rye-Straw(mobilisable-used)_Emissions_C</t>
        </is>
      </c>
      <c r="J9">
        <f>_xlfn.XLOOKUP($I9,Tab_Def_Flows[Flow_Name],Tab_Def_Flows[Flow_ID],,0,)</f>
        <v/>
      </c>
      <c r="K9">
        <f>"TC_material"&amp;"_"&amp;RIGHT(J9,5)</f>
        <v/>
      </c>
      <c r="L9" t="n">
        <v>0.4128</v>
      </c>
      <c r="M9">
        <f>"TC_WC"&amp;"_"&amp;RIGHT(J9,5)</f>
        <v/>
      </c>
      <c r="N9" t="n">
        <v>0</v>
      </c>
      <c r="O9">
        <f>"TC_DM"&amp;"_"&amp;RIGHT(J9,5)</f>
        <v/>
      </c>
      <c r="P9" t="n">
        <v>0.48</v>
      </c>
      <c r="Q9">
        <f>"TC_CC"&amp;"_"&amp;RIGHT(J9,5)</f>
        <v/>
      </c>
      <c r="R9" t="n">
        <v>1</v>
      </c>
    </row>
    <row r="10">
      <c r="A10" t="b">
        <v>0</v>
      </c>
      <c r="B10">
        <f>ROW()-1</f>
        <v/>
      </c>
      <c r="C10">
        <f>_xlfn.XLOOKUP($D10,Tab_Def_Processes[Process_Name],Tab_Def_Processes[ID],,0,)</f>
        <v/>
      </c>
      <c r="D10" t="inlineStr">
        <is>
          <t>Rye-Straw-mobilisable technical potential_Use</t>
        </is>
      </c>
      <c r="E10">
        <f>_xlfn.XLOOKUP($D10,Tab_Def_Processes[Process_Name],Tab_Def_Processes[Process_Logic],,0,)</f>
        <v/>
      </c>
      <c r="F10">
        <f>_xlfn.XLOOKUP($D10,Tab_Def_Processes[Process_Name],Tab_Def_Processes[TC_Configuration],,0,)</f>
        <v/>
      </c>
      <c r="G10">
        <f>_xlfn.XLOOKUP($D10,Tab_Def_Processes[Process_Name],Tab_Def_Processes[Stock_Configuration],,0,)</f>
        <v/>
      </c>
      <c r="H10">
        <f>_xlfn.XLOOKUP($D10,Tab_Def_Processes[Process_Name],Tab_Def_Processes[Outflow_count],,0,)</f>
        <v/>
      </c>
      <c r="I10" t="inlineStr">
        <is>
          <t>Rye-Straw(mobilisable-used)_Emissions_E</t>
        </is>
      </c>
      <c r="J10">
        <f>_xlfn.XLOOKUP($I10,Tab_Def_Flows[Flow_Name],Tab_Def_Flows[Flow_ID],,0,)</f>
        <v/>
      </c>
      <c r="K10">
        <f>"TC_material"&amp;"_"&amp;RIGHT(J10,5)</f>
        <v/>
      </c>
      <c r="L10" t="n">
        <v>0.5872000000000001</v>
      </c>
      <c r="M10">
        <f>"TC_WC"&amp;"_"&amp;RIGHT(J10,5)</f>
        <v/>
      </c>
      <c r="N10" t="n">
        <v>1</v>
      </c>
      <c r="O10">
        <f>"TC_DM"&amp;"_"&amp;RIGHT(J10,5)</f>
        <v/>
      </c>
      <c r="P10" t="n">
        <v>0.52</v>
      </c>
      <c r="Q10">
        <f>"TC_CC"&amp;"_"&amp;RIGHT(J10,5)</f>
        <v/>
      </c>
      <c r="R10" t="n">
        <v>0</v>
      </c>
    </row>
    <row r="11">
      <c r="A11" t="b">
        <v>0</v>
      </c>
      <c r="B11">
        <f>ROW()-1</f>
        <v/>
      </c>
      <c r="C11">
        <f>_xlfn.XLOOKUP($D11,Tab_Def_Processes[Process_Name],Tab_Def_Processes[ID],,0,)</f>
        <v/>
      </c>
      <c r="D11" t="inlineStr">
        <is>
          <t>Rye-Straw(non-mobilizable)_Degradation</t>
        </is>
      </c>
      <c r="E11">
        <f>_xlfn.XLOOKUP($D11,Tab_Def_Processes[Process_Name],Tab_Def_Processes[Process_Logic],,0,)</f>
        <v/>
      </c>
      <c r="F11">
        <f>_xlfn.XLOOKUP($D11,Tab_Def_Processes[Process_Name],Tab_Def_Processes[TC_Configuration],,0,)</f>
        <v/>
      </c>
      <c r="G11">
        <f>_xlfn.XLOOKUP($D11,Tab_Def_Processes[Process_Name],Tab_Def_Processes[Stock_Configuration],,0,)</f>
        <v/>
      </c>
      <c r="H11">
        <f>_xlfn.XLOOKUP($D11,Tab_Def_Processes[Process_Name],Tab_Def_Processes[Outflow_count],,0,)</f>
        <v/>
      </c>
      <c r="I11" t="inlineStr">
        <is>
          <t>Rye-Straw(Not mobilisable)_Emissions_C</t>
        </is>
      </c>
      <c r="J11">
        <f>_xlfn.XLOOKUP($I11,Tab_Def_Flows[Flow_Name],Tab_Def_Flows[Flow_ID],,0,)</f>
        <v/>
      </c>
      <c r="K11">
        <f>"TC_material"&amp;"_"&amp;RIGHT(J11,5)</f>
        <v/>
      </c>
      <c r="L11" t="n">
        <v>0.4128</v>
      </c>
      <c r="M11">
        <f>"TC_WC"&amp;"_"&amp;RIGHT(J11,5)</f>
        <v/>
      </c>
      <c r="N11" t="n">
        <v>0</v>
      </c>
      <c r="O11">
        <f>"TC_DM"&amp;"_"&amp;RIGHT(J11,5)</f>
        <v/>
      </c>
      <c r="P11" t="n">
        <v>0.48</v>
      </c>
      <c r="Q11">
        <f>"TC_CC"&amp;"_"&amp;RIGHT(J11,5)</f>
        <v/>
      </c>
      <c r="R11" t="n">
        <v>1</v>
      </c>
    </row>
    <row r="12">
      <c r="A12" t="b">
        <v>0</v>
      </c>
      <c r="B12">
        <f>ROW()-1</f>
        <v/>
      </c>
      <c r="C12">
        <f>_xlfn.XLOOKUP($D12,Tab_Def_Processes[Process_Name],Tab_Def_Processes[ID],,0,)</f>
        <v/>
      </c>
      <c r="D12" t="inlineStr">
        <is>
          <t>Rye-Straw(non-mobilizable)_Degradation</t>
        </is>
      </c>
      <c r="E12">
        <f>_xlfn.XLOOKUP($D12,Tab_Def_Processes[Process_Name],Tab_Def_Processes[Process_Logic],,0,)</f>
        <v/>
      </c>
      <c r="F12">
        <f>_xlfn.XLOOKUP($D12,Tab_Def_Processes[Process_Name],Tab_Def_Processes[TC_Configuration],,0,)</f>
        <v/>
      </c>
      <c r="G12">
        <f>_xlfn.XLOOKUP($D12,Tab_Def_Processes[Process_Name],Tab_Def_Processes[Stock_Configuration],,0,)</f>
        <v/>
      </c>
      <c r="H12">
        <f>_xlfn.XLOOKUP($D12,Tab_Def_Processes[Process_Name],Tab_Def_Processes[Outflow_count],,0,)</f>
        <v/>
      </c>
      <c r="I12" t="inlineStr">
        <is>
          <t>Rye-Straw(Not mobilisable)_Emissions_E</t>
        </is>
      </c>
      <c r="J12">
        <f>_xlfn.XLOOKUP($I12,Tab_Def_Flows[Flow_Name],Tab_Def_Flows[Flow_ID],,0,)</f>
        <v/>
      </c>
      <c r="K12">
        <f>"TC_material"&amp;"_"&amp;RIGHT(J12,5)</f>
        <v/>
      </c>
      <c r="L12" t="n">
        <v>0.5872000000000001</v>
      </c>
      <c r="M12">
        <f>"TC_WC"&amp;"_"&amp;RIGHT(J12,5)</f>
        <v/>
      </c>
      <c r="N12" t="n">
        <v>1</v>
      </c>
      <c r="O12">
        <f>"TC_DM"&amp;"_"&amp;RIGHT(J12,5)</f>
        <v/>
      </c>
      <c r="P12" t="n">
        <v>0.52</v>
      </c>
      <c r="Q12">
        <f>"TC_CC"&amp;"_"&amp;RIGHT(J12,5)</f>
        <v/>
      </c>
      <c r="R12" t="n">
        <v>0</v>
      </c>
    </row>
    <row r="13">
      <c r="A13" t="b">
        <v>0</v>
      </c>
      <c r="B13">
        <f>ROW()-1</f>
        <v/>
      </c>
      <c r="C13">
        <f>_xlfn.XLOOKUP($D13,Tab_Def_Processes[Process_Name],Tab_Def_Processes[ID],,0,)</f>
        <v/>
      </c>
      <c r="D13" t="inlineStr">
        <is>
          <t>Cow-Manure_Production</t>
        </is>
      </c>
      <c r="E13">
        <f>_xlfn.XLOOKUP($D13,Tab_Def_Processes[Process_Name],Tab_Def_Processes[Process_Logic],,0,)</f>
        <v/>
      </c>
      <c r="F13">
        <f>_xlfn.XLOOKUP($D13,Tab_Def_Processes[Process_Name],Tab_Def_Processes[TC_Configuration],,0,)</f>
        <v/>
      </c>
      <c r="G13">
        <f>_xlfn.XLOOKUP($D13,Tab_Def_Processes[Process_Name],Tab_Def_Processes[Stock_Configuration],,0,)</f>
        <v/>
      </c>
      <c r="H13">
        <f>_xlfn.XLOOKUP($D13,Tab_Def_Processes[Process_Name],Tab_Def_Processes[Outflow_count],,0,)</f>
        <v/>
      </c>
      <c r="I13" t="inlineStr">
        <is>
          <t>Cow-Manure</t>
        </is>
      </c>
      <c r="J13">
        <f>_xlfn.XLOOKUP($I13,Tab_Def_Flows[Flow_Name],Tab_Def_Flows[Flow_ID],,0,)</f>
        <v/>
      </c>
      <c r="K13">
        <f>"TC_material"&amp;"_"&amp;RIGHT(J13,5)</f>
        <v/>
      </c>
      <c r="M13">
        <f>"TC_WC"&amp;"_"&amp;RIGHT(J13,5)</f>
        <v/>
      </c>
      <c r="N13" t="n">
        <v>1</v>
      </c>
      <c r="O13">
        <f>"TC_DM"&amp;"_"&amp;RIGHT(J13,5)</f>
        <v/>
      </c>
      <c r="P13" t="n">
        <v>1</v>
      </c>
      <c r="Q13">
        <f>"TC_CC"&amp;"_"&amp;RIGHT(J13,5)</f>
        <v/>
      </c>
      <c r="R13" t="n">
        <v>1</v>
      </c>
    </row>
    <row r="14">
      <c r="A14" t="b">
        <v>0</v>
      </c>
      <c r="B14">
        <f>ROW()-1</f>
        <v/>
      </c>
      <c r="C14">
        <f>_xlfn.XLOOKUP($D14,Tab_Def_Processes[Process_Name],Tab_Def_Processes[ID],,0,)</f>
        <v/>
      </c>
      <c r="D14" t="inlineStr">
        <is>
          <t>Biogas_Production</t>
        </is>
      </c>
      <c r="E14">
        <f>_xlfn.XLOOKUP($D14,Tab_Def_Processes[Process_Name],Tab_Def_Processes[Process_Logic],,0,)</f>
        <v/>
      </c>
      <c r="F14">
        <f>_xlfn.XLOOKUP($D14,Tab_Def_Processes[Process_Name],Tab_Def_Processes[TC_Configuration],,0,)</f>
        <v/>
      </c>
      <c r="G14">
        <f>_xlfn.XLOOKUP($D14,Tab_Def_Processes[Process_Name],Tab_Def_Processes[Stock_Configuration],,0,)</f>
        <v/>
      </c>
      <c r="H14">
        <f>_xlfn.XLOOKUP($D14,Tab_Def_Processes[Process_Name],Tab_Def_Processes[Outflow_count],,0,)</f>
        <v/>
      </c>
      <c r="I14" t="inlineStr">
        <is>
          <t>Biogas</t>
        </is>
      </c>
      <c r="J14">
        <f>_xlfn.XLOOKUP($I14,Tab_Def_Flows[Flow_Name],Tab_Def_Flows[Flow_ID],,0,)</f>
        <v/>
      </c>
      <c r="K14">
        <f>"TC_material"&amp;"_"&amp;RIGHT(J14,5)</f>
        <v/>
      </c>
      <c r="M14">
        <f>"TC_WC"&amp;"_"&amp;RIGHT(J14,5)</f>
        <v/>
      </c>
      <c r="N14" t="n">
        <v>0</v>
      </c>
      <c r="O14">
        <f>"TC_DM"&amp;"_"&amp;RIGHT(J14,5)</f>
        <v/>
      </c>
      <c r="P14" t="n">
        <v>0.4646464646464646</v>
      </c>
      <c r="Q14">
        <f>"TC_CC"&amp;"_"&amp;RIGHT(J14,5)</f>
        <v/>
      </c>
      <c r="R14" t="n">
        <v>0.3675786817449007</v>
      </c>
    </row>
    <row r="15">
      <c r="A15" t="b">
        <v>0</v>
      </c>
      <c r="B15">
        <f>ROW()-1</f>
        <v/>
      </c>
      <c r="C15">
        <f>_xlfn.XLOOKUP($D15,Tab_Def_Processes[Process_Name],Tab_Def_Processes[ID],,0,)</f>
        <v/>
      </c>
      <c r="D15" t="inlineStr">
        <is>
          <t>Biogas_Production</t>
        </is>
      </c>
      <c r="E15">
        <f>_xlfn.XLOOKUP($D15,Tab_Def_Processes[Process_Name],Tab_Def_Processes[Process_Logic],,0,)</f>
        <v/>
      </c>
      <c r="F15">
        <f>_xlfn.XLOOKUP($D15,Tab_Def_Processes[Process_Name],Tab_Def_Processes[TC_Configuration],,0,)</f>
        <v/>
      </c>
      <c r="G15">
        <f>_xlfn.XLOOKUP($D15,Tab_Def_Processes[Process_Name],Tab_Def_Processes[Stock_Configuration],,0,)</f>
        <v/>
      </c>
      <c r="H15">
        <f>_xlfn.XLOOKUP($D15,Tab_Def_Processes[Process_Name],Tab_Def_Processes[Outflow_count],,0,)</f>
        <v/>
      </c>
      <c r="I15" t="inlineStr">
        <is>
          <t>Biogas-Production-Delta</t>
        </is>
      </c>
      <c r="J15">
        <f>_xlfn.XLOOKUP($I15,Tab_Def_Flows[Flow_Name],Tab_Def_Flows[Flow_ID],,0,)</f>
        <v/>
      </c>
      <c r="K15">
        <f>"TC_material"&amp;"_"&amp;RIGHT(J15,5)</f>
        <v/>
      </c>
      <c r="M15">
        <f>"TC_WC"&amp;"_"&amp;RIGHT(J15,5)</f>
        <v/>
      </c>
      <c r="N15" t="n">
        <v>0</v>
      </c>
      <c r="O15">
        <f>"TC_DM"&amp;"_"&amp;RIGHT(J15,5)</f>
        <v/>
      </c>
      <c r="P15" t="n">
        <v>0.3251028806584363</v>
      </c>
      <c r="Q15">
        <f>"TC_CC"&amp;"_"&amp;RIGHT(J15,5)</f>
        <v/>
      </c>
      <c r="R15" t="n">
        <v>0.3738810096809113</v>
      </c>
    </row>
    <row r="16">
      <c r="A16" t="b">
        <v>0</v>
      </c>
      <c r="B16">
        <f>ROW()-1</f>
        <v/>
      </c>
      <c r="C16">
        <f>_xlfn.XLOOKUP($D16,Tab_Def_Processes[Process_Name],Tab_Def_Processes[ID],,0,)</f>
        <v/>
      </c>
      <c r="D16" t="inlineStr">
        <is>
          <t>Biogas_Production</t>
        </is>
      </c>
      <c r="E16">
        <f>_xlfn.XLOOKUP($D16,Tab_Def_Processes[Process_Name],Tab_Def_Processes[Process_Logic],,0,)</f>
        <v/>
      </c>
      <c r="F16">
        <f>_xlfn.XLOOKUP($D16,Tab_Def_Processes[Process_Name],Tab_Def_Processes[TC_Configuration],,0,)</f>
        <v/>
      </c>
      <c r="G16">
        <f>_xlfn.XLOOKUP($D16,Tab_Def_Processes[Process_Name],Tab_Def_Processes[Stock_Configuration],,0,)</f>
        <v/>
      </c>
      <c r="H16">
        <f>_xlfn.XLOOKUP($D16,Tab_Def_Processes[Process_Name],Tab_Def_Processes[Outflow_count],,0,)</f>
        <v/>
      </c>
      <c r="I16" t="inlineStr">
        <is>
          <t>Rye-Straw-Digestate</t>
        </is>
      </c>
      <c r="J16">
        <f>_xlfn.XLOOKUP($I16,Tab_Def_Flows[Flow_Name],Tab_Def_Flows[Flow_ID],,0,)</f>
        <v/>
      </c>
      <c r="K16">
        <f>"TC_material"&amp;"_"&amp;RIGHT(J16,5)</f>
        <v/>
      </c>
      <c r="M16">
        <f>"TC_WC"&amp;"_"&amp;RIGHT(J16,5)</f>
        <v/>
      </c>
      <c r="N16" t="n">
        <v>1</v>
      </c>
      <c r="O16">
        <f>"TC_DM"&amp;"_"&amp;RIGHT(J16,5)</f>
        <v/>
      </c>
      <c r="P16" t="n">
        <v>0.2102506546950992</v>
      </c>
      <c r="Q16">
        <f>"TC_CC"&amp;"_"&amp;RIGHT(J16,5)</f>
        <v/>
      </c>
      <c r="R16" t="n">
        <v>0.2585403085741879</v>
      </c>
    </row>
    <row r="17">
      <c r="A17" t="b">
        <v>0</v>
      </c>
      <c r="B17">
        <f>ROW()-1</f>
        <v/>
      </c>
      <c r="C17">
        <f>_xlfn.XLOOKUP($D17,Tab_Def_Processes[Process_Name],Tab_Def_Processes[ID],,0,)</f>
        <v/>
      </c>
      <c r="D17" t="inlineStr">
        <is>
          <t>Biogas_Incineration</t>
        </is>
      </c>
      <c r="E17">
        <f>_xlfn.XLOOKUP($D17,Tab_Def_Processes[Process_Name],Tab_Def_Processes[Process_Logic],,0,)</f>
        <v/>
      </c>
      <c r="F17">
        <f>_xlfn.XLOOKUP($D17,Tab_Def_Processes[Process_Name],Tab_Def_Processes[TC_Configuration],,0,)</f>
        <v/>
      </c>
      <c r="G17">
        <f>_xlfn.XLOOKUP($D17,Tab_Def_Processes[Process_Name],Tab_Def_Processes[Stock_Configuration],,0,)</f>
        <v/>
      </c>
      <c r="H17">
        <f>_xlfn.XLOOKUP($D17,Tab_Def_Processes[Process_Name],Tab_Def_Processes[Outflow_count],,0,)</f>
        <v/>
      </c>
      <c r="I17" t="inlineStr">
        <is>
          <t>Biogas-Incineration_Emission_C</t>
        </is>
      </c>
      <c r="J17">
        <f>_xlfn.XLOOKUP($I17,Tab_Def_Flows[Flow_Name],Tab_Def_Flows[Flow_ID],,0,)</f>
        <v/>
      </c>
      <c r="K17">
        <f>"TC_material"&amp;"_"&amp;RIGHT(J17,5)</f>
        <v/>
      </c>
      <c r="M17">
        <f>"TC_WC"&amp;"_"&amp;RIGHT(J17,5)</f>
        <v/>
      </c>
      <c r="N17" t="n">
        <v>0</v>
      </c>
      <c r="O17">
        <f>"TC_DM"&amp;"_"&amp;RIGHT(J17,5)</f>
        <v/>
      </c>
      <c r="P17" t="n">
        <v>0.3675786817449007</v>
      </c>
      <c r="Q17">
        <f>"TC_CC"&amp;"_"&amp;RIGHT(J17,5)</f>
        <v/>
      </c>
      <c r="R17" t="n">
        <v>1</v>
      </c>
    </row>
    <row r="18">
      <c r="A18" t="b">
        <v>0</v>
      </c>
      <c r="B18">
        <f>ROW()-1</f>
        <v/>
      </c>
      <c r="C18">
        <f>_xlfn.XLOOKUP($D18,Tab_Def_Processes[Process_Name],Tab_Def_Processes[ID],,0,)</f>
        <v/>
      </c>
      <c r="D18" t="inlineStr">
        <is>
          <t>Biogas_Incineration</t>
        </is>
      </c>
      <c r="E18">
        <f>_xlfn.XLOOKUP($D18,Tab_Def_Processes[Process_Name],Tab_Def_Processes[Process_Logic],,0,)</f>
        <v/>
      </c>
      <c r="F18">
        <f>_xlfn.XLOOKUP($D18,Tab_Def_Processes[Process_Name],Tab_Def_Processes[TC_Configuration],,0,)</f>
        <v/>
      </c>
      <c r="G18">
        <f>_xlfn.XLOOKUP($D18,Tab_Def_Processes[Process_Name],Tab_Def_Processes[Stock_Configuration],,0,)</f>
        <v/>
      </c>
      <c r="H18">
        <f>_xlfn.XLOOKUP($D18,Tab_Def_Processes[Process_Name],Tab_Def_Processes[Outflow_count],,0,)</f>
        <v/>
      </c>
      <c r="I18" t="inlineStr">
        <is>
          <t>Biogas-Incineration_Emission_E</t>
        </is>
      </c>
      <c r="J18">
        <f>_xlfn.XLOOKUP($I18,Tab_Def_Flows[Flow_Name],Tab_Def_Flows[Flow_ID],,0,)</f>
        <v/>
      </c>
      <c r="K18">
        <f>"TC_material"&amp;"_"&amp;RIGHT(J18,5)</f>
        <v/>
      </c>
      <c r="M18">
        <f>"TC_WC"&amp;"_"&amp;RIGHT(J18,5)</f>
        <v/>
      </c>
      <c r="N18" t="n">
        <v>1</v>
      </c>
      <c r="O18">
        <f>"TC_DM"&amp;"_"&amp;RIGHT(J18,5)</f>
        <v/>
      </c>
      <c r="P18" t="n">
        <v>0.6324213182550993</v>
      </c>
      <c r="Q18">
        <f>"TC_CC"&amp;"_"&amp;RIGHT(J18,5)</f>
        <v/>
      </c>
      <c r="R18" t="n">
        <v>0</v>
      </c>
    </row>
    <row r="19">
      <c r="A19" t="b">
        <v>0</v>
      </c>
      <c r="B19">
        <f>ROW()-1</f>
        <v/>
      </c>
      <c r="C19">
        <f>_xlfn.XLOOKUP($D19,Tab_Def_Processes[Process_Name],Tab_Def_Processes[ID],,0,)</f>
        <v/>
      </c>
      <c r="D19" t="inlineStr">
        <is>
          <t>Biogas_Production-Delta</t>
        </is>
      </c>
      <c r="E19">
        <f>_xlfn.XLOOKUP($D19,Tab_Def_Processes[Process_Name],Tab_Def_Processes[Process_Logic],,0,)</f>
        <v/>
      </c>
      <c r="F19">
        <f>_xlfn.XLOOKUP($D19,Tab_Def_Processes[Process_Name],Tab_Def_Processes[TC_Configuration],,0,)</f>
        <v/>
      </c>
      <c r="G19">
        <f>_xlfn.XLOOKUP($D19,Tab_Def_Processes[Process_Name],Tab_Def_Processes[Stock_Configuration],,0,)</f>
        <v/>
      </c>
      <c r="H19">
        <f>_xlfn.XLOOKUP($D19,Tab_Def_Processes[Process_Name],Tab_Def_Processes[Outflow_count],,0,)</f>
        <v/>
      </c>
      <c r="I19" t="inlineStr">
        <is>
          <t>Biogas-Production-Delta_Emission_C</t>
        </is>
      </c>
      <c r="J19">
        <f>_xlfn.XLOOKUP($I19,Tab_Def_Flows[Flow_Name],Tab_Def_Flows[Flow_ID],,0,)</f>
        <v/>
      </c>
      <c r="K19">
        <f>"TC_material"&amp;"_"&amp;RIGHT(J19,5)</f>
        <v/>
      </c>
      <c r="M19">
        <f>"TC_WC"&amp;"_"&amp;RIGHT(J19,5)</f>
        <v/>
      </c>
      <c r="N19" t="n">
        <v>0</v>
      </c>
      <c r="O19">
        <f>"TC_DM"&amp;"_"&amp;RIGHT(J19,5)</f>
        <v/>
      </c>
      <c r="P19" t="n">
        <v>0.854185053380782</v>
      </c>
      <c r="Q19">
        <f>"TC_CC"&amp;"_"&amp;RIGHT(J19,5)</f>
        <v/>
      </c>
      <c r="R19" t="n">
        <v>1</v>
      </c>
    </row>
    <row r="20">
      <c r="A20" t="b">
        <v>0</v>
      </c>
      <c r="B20">
        <f>ROW()-1</f>
        <v/>
      </c>
      <c r="C20">
        <f>_xlfn.XLOOKUP($D20,Tab_Def_Processes[Process_Name],Tab_Def_Processes[ID],,0,)</f>
        <v/>
      </c>
      <c r="D20" t="inlineStr">
        <is>
          <t>Biogas_Production-Delta</t>
        </is>
      </c>
      <c r="E20">
        <f>_xlfn.XLOOKUP($D20,Tab_Def_Processes[Process_Name],Tab_Def_Processes[Process_Logic],,0,)</f>
        <v/>
      </c>
      <c r="F20">
        <f>_xlfn.XLOOKUP($D20,Tab_Def_Processes[Process_Name],Tab_Def_Processes[TC_Configuration],,0,)</f>
        <v/>
      </c>
      <c r="G20">
        <f>_xlfn.XLOOKUP($D20,Tab_Def_Processes[Process_Name],Tab_Def_Processes[Stock_Configuration],,0,)</f>
        <v/>
      </c>
      <c r="H20">
        <f>_xlfn.XLOOKUP($D20,Tab_Def_Processes[Process_Name],Tab_Def_Processes[Outflow_count],,0,)</f>
        <v/>
      </c>
      <c r="I20" t="inlineStr">
        <is>
          <t>Biogas-Production-Delta_Emission_E</t>
        </is>
      </c>
      <c r="J20">
        <f>_xlfn.XLOOKUP($I20,Tab_Def_Flows[Flow_Name],Tab_Def_Flows[Flow_ID],,0,)</f>
        <v/>
      </c>
      <c r="K20">
        <f>"TC_material"&amp;"_"&amp;RIGHT(J20,5)</f>
        <v/>
      </c>
      <c r="M20">
        <f>"TC_WC"&amp;"_"&amp;RIGHT(J20,5)</f>
        <v/>
      </c>
      <c r="N20" t="n">
        <v>1</v>
      </c>
      <c r="O20">
        <f>"TC_DM"&amp;"_"&amp;RIGHT(J20,5)</f>
        <v/>
      </c>
      <c r="P20" t="n">
        <v>0.145814946619218</v>
      </c>
      <c r="Q20">
        <f>"TC_CC"&amp;"_"&amp;RIGHT(J20,5)</f>
        <v/>
      </c>
      <c r="R20" t="n">
        <v>0</v>
      </c>
    </row>
    <row r="21">
      <c r="A21" t="b">
        <v>0</v>
      </c>
      <c r="B21">
        <f>ROW()-1</f>
        <v/>
      </c>
      <c r="C21">
        <f>_xlfn.XLOOKUP($D21,Tab_Def_Processes[Process_Name],Tab_Def_Processes[ID],,0,)</f>
        <v/>
      </c>
      <c r="D21" t="inlineStr">
        <is>
          <t>Millet_Production</t>
        </is>
      </c>
      <c r="E21">
        <f>_xlfn.XLOOKUP($D21,Tab_Def_Processes[Process_Name],Tab_Def_Processes[Process_Logic],,0,)</f>
        <v/>
      </c>
      <c r="F21">
        <f>_xlfn.XLOOKUP($D21,Tab_Def_Processes[Process_Name],Tab_Def_Processes[TC_Configuration],,0,)</f>
        <v/>
      </c>
      <c r="G21">
        <f>_xlfn.XLOOKUP($D21,Tab_Def_Processes[Process_Name],Tab_Def_Processes[Stock_Configuration],,0,)</f>
        <v/>
      </c>
      <c r="H21">
        <f>_xlfn.XLOOKUP($D21,Tab_Def_Processes[Process_Name],Tab_Def_Processes[Outflow_count],,0,)</f>
        <v/>
      </c>
      <c r="I21" t="inlineStr">
        <is>
          <t>Millet-Grain</t>
        </is>
      </c>
      <c r="J21">
        <f>_xlfn.XLOOKUP($I21,Tab_Def_Flows[Flow_Name],Tab_Def_Flows[Flow_ID],,0,)</f>
        <v/>
      </c>
      <c r="K21">
        <f>"TC_material"&amp;"_"&amp;RIGHT(J21,5)</f>
        <v/>
      </c>
      <c r="L21" t="n">
        <v>1</v>
      </c>
      <c r="M21">
        <f>"TC_WC"&amp;"_"&amp;RIGHT(J21,5)</f>
        <v/>
      </c>
      <c r="N21" t="n">
        <v>1</v>
      </c>
      <c r="O21">
        <f>"TC_DM"&amp;"_"&amp;RIGHT(J21,5)</f>
        <v/>
      </c>
      <c r="P21" t="n">
        <v>1</v>
      </c>
      <c r="Q21">
        <f>"TC_CC"&amp;"_"&amp;RIGHT(J21,5)</f>
        <v/>
      </c>
      <c r="R21" t="n">
        <v>1</v>
      </c>
    </row>
    <row r="22">
      <c r="A22" t="b">
        <v>0</v>
      </c>
      <c r="B22">
        <f>ROW()-1</f>
        <v/>
      </c>
      <c r="C22">
        <f>_xlfn.XLOOKUP($D22,Tab_Def_Processes[Process_Name],Tab_Def_Processes[ID],,0,)</f>
        <v/>
      </c>
      <c r="D22" t="inlineStr">
        <is>
          <t>MBC_Production</t>
        </is>
      </c>
      <c r="E22">
        <f>_xlfn.XLOOKUP($D22,Tab_Def_Processes[Process_Name],Tab_Def_Processes[Process_Logic],,0,)</f>
        <v/>
      </c>
      <c r="F22">
        <f>_xlfn.XLOOKUP($D22,Tab_Def_Processes[Process_Name],Tab_Def_Processes[TC_Configuration],,0,)</f>
        <v/>
      </c>
      <c r="G22">
        <f>_xlfn.XLOOKUP($D22,Tab_Def_Processes[Process_Name],Tab_Def_Processes[Stock_Configuration],,0,)</f>
        <v/>
      </c>
      <c r="H22">
        <f>_xlfn.XLOOKUP($D22,Tab_Def_Processes[Process_Name],Tab_Def_Processes[Outflow_count],,0,)</f>
        <v/>
      </c>
      <c r="I22" t="inlineStr">
        <is>
          <t>MBC-Product</t>
        </is>
      </c>
      <c r="J22">
        <f>_xlfn.XLOOKUP($I22,Tab_Def_Flows[Flow_Name],Tab_Def_Flows[Flow_ID],,0,)</f>
        <v/>
      </c>
      <c r="K22">
        <f>"TC_material"&amp;"_"&amp;RIGHT(J22,5)</f>
        <v/>
      </c>
      <c r="M22">
        <f>"TC_WC"&amp;"_"&amp;RIGHT(J22,5)</f>
        <v/>
      </c>
      <c r="N22" t="n">
        <v>0.3127357954597711</v>
      </c>
      <c r="O22">
        <f>"TC_DM"&amp;"_"&amp;RIGHT(J22,5)</f>
        <v/>
      </c>
      <c r="P22" t="n">
        <v>0.5904476548499962</v>
      </c>
      <c r="Q22">
        <f>"TC_CC"&amp;"_"&amp;RIGHT(J22,5)</f>
        <v/>
      </c>
      <c r="R22" t="n">
        <v>0.6061456932011954</v>
      </c>
    </row>
    <row r="23">
      <c r="A23" t="b">
        <v>0</v>
      </c>
      <c r="B23">
        <f>ROW()-1</f>
        <v/>
      </c>
      <c r="C23">
        <f>_xlfn.XLOOKUP($D23,Tab_Def_Processes[Process_Name],Tab_Def_Processes[ID],,0,)</f>
        <v/>
      </c>
      <c r="D23" t="inlineStr">
        <is>
          <t>MBC_Production</t>
        </is>
      </c>
      <c r="E23">
        <f>_xlfn.XLOOKUP($D23,Tab_Def_Processes[Process_Name],Tab_Def_Processes[Process_Logic],,0,)</f>
        <v/>
      </c>
      <c r="F23">
        <f>_xlfn.XLOOKUP($D23,Tab_Def_Processes[Process_Name],Tab_Def_Processes[TC_Configuration],,0,)</f>
        <v/>
      </c>
      <c r="G23">
        <f>_xlfn.XLOOKUP($D23,Tab_Def_Processes[Process_Name],Tab_Def_Processes[Stock_Configuration],,0,)</f>
        <v/>
      </c>
      <c r="H23">
        <f>_xlfn.XLOOKUP($D23,Tab_Def_Processes[Process_Name],Tab_Def_Processes[Outflow_count],,0,)</f>
        <v/>
      </c>
      <c r="I23" t="inlineStr">
        <is>
          <t>MBC-Production waste</t>
        </is>
      </c>
      <c r="J23">
        <f>_xlfn.XLOOKUP($I23,Tab_Def_Flows[Flow_Name],Tab_Def_Flows[Flow_ID],,0,)</f>
        <v/>
      </c>
      <c r="K23">
        <f>"TC_material"&amp;"_"&amp;RIGHT(J23,5)</f>
        <v/>
      </c>
      <c r="M23">
        <f>"TC_WC"&amp;"_"&amp;RIGHT(J23,5)</f>
        <v/>
      </c>
      <c r="N23" t="n">
        <v>0.07436364240011935</v>
      </c>
      <c r="O23">
        <f>"TC_DM"&amp;"_"&amp;RIGHT(J23,5)</f>
        <v/>
      </c>
      <c r="P23" t="n">
        <v>0.1580209162872331</v>
      </c>
      <c r="Q23">
        <f>"TC_CC"&amp;"_"&amp;RIGHT(J23,5)</f>
        <v/>
      </c>
      <c r="R23" t="n">
        <v>0.1557006724808629</v>
      </c>
    </row>
    <row r="24">
      <c r="A24" t="b">
        <v>0</v>
      </c>
      <c r="B24">
        <f>ROW()-1</f>
        <v/>
      </c>
      <c r="C24">
        <f>_xlfn.XLOOKUP($D24,Tab_Def_Processes[Process_Name],Tab_Def_Processes[ID],,0,)</f>
        <v/>
      </c>
      <c r="D24" t="inlineStr">
        <is>
          <t>MBC_Production</t>
        </is>
      </c>
      <c r="E24">
        <f>_xlfn.XLOOKUP($D24,Tab_Def_Processes[Process_Name],Tab_Def_Processes[Process_Logic],,0,)</f>
        <v/>
      </c>
      <c r="F24">
        <f>_xlfn.XLOOKUP($D24,Tab_Def_Processes[Process_Name],Tab_Def_Processes[TC_Configuration],,0,)</f>
        <v/>
      </c>
      <c r="G24">
        <f>_xlfn.XLOOKUP($D24,Tab_Def_Processes[Process_Name],Tab_Def_Processes[Stock_Configuration],,0,)</f>
        <v/>
      </c>
      <c r="H24">
        <f>_xlfn.XLOOKUP($D24,Tab_Def_Processes[Process_Name],Tab_Def_Processes[Outflow_count],,0,)</f>
        <v/>
      </c>
      <c r="I24" t="inlineStr">
        <is>
          <t>MBC-Production-Delta</t>
        </is>
      </c>
      <c r="J24">
        <f>_xlfn.XLOOKUP($I24,Tab_Def_Flows[Flow_Name],Tab_Def_Flows[Flow_ID],,0,)</f>
        <v/>
      </c>
      <c r="K24">
        <f>"TC_material"&amp;"_"&amp;RIGHT(J24,5)</f>
        <v/>
      </c>
      <c r="M24">
        <f>"TC_WC"&amp;"_"&amp;RIGHT(J24,5)</f>
        <v/>
      </c>
      <c r="N24" t="n">
        <v>0</v>
      </c>
      <c r="O24">
        <f>"TC_DM"&amp;"_"&amp;RIGHT(J24,5)</f>
        <v/>
      </c>
      <c r="P24" t="n">
        <v>0.2515314288627706</v>
      </c>
      <c r="Q24">
        <f>"TC_CC"&amp;"_"&amp;RIGHT(J24,5)</f>
        <v/>
      </c>
      <c r="R24" t="n">
        <v>0.2381536343179415</v>
      </c>
    </row>
    <row r="25">
      <c r="A25" t="b">
        <v>0</v>
      </c>
      <c r="B25">
        <f>ROW()-1</f>
        <v/>
      </c>
      <c r="C25">
        <f>_xlfn.XLOOKUP($D25,Tab_Def_Processes[Process_Name],Tab_Def_Processes[ID],,0,)</f>
        <v/>
      </c>
      <c r="D25" t="inlineStr">
        <is>
          <t>MBC_Production</t>
        </is>
      </c>
      <c r="E25">
        <f>_xlfn.XLOOKUP($D25,Tab_Def_Processes[Process_Name],Tab_Def_Processes[Process_Logic],,0,)</f>
        <v/>
      </c>
      <c r="F25">
        <f>_xlfn.XLOOKUP($D25,Tab_Def_Processes[Process_Name],Tab_Def_Processes[TC_Configuration],,0,)</f>
        <v/>
      </c>
      <c r="G25">
        <f>_xlfn.XLOOKUP($D25,Tab_Def_Processes[Process_Name],Tab_Def_Processes[Stock_Configuration],,0,)</f>
        <v/>
      </c>
      <c r="H25">
        <f>_xlfn.XLOOKUP($D25,Tab_Def_Processes[Process_Name],Tab_Def_Processes[Outflow_count],,0,)</f>
        <v/>
      </c>
      <c r="I25" t="inlineStr">
        <is>
          <t>MBC-production_Emissions_E</t>
        </is>
      </c>
      <c r="J25">
        <f>_xlfn.XLOOKUP($I25,Tab_Def_Flows[Flow_Name],Tab_Def_Flows[Flow_ID],,0,)</f>
        <v/>
      </c>
      <c r="K25">
        <f>"TC_material"&amp;"_"&amp;RIGHT(J25,5)</f>
        <v/>
      </c>
      <c r="M25">
        <f>"TC_WC"&amp;"_"&amp;RIGHT(J25,5)</f>
        <v/>
      </c>
      <c r="N25" t="n">
        <v>0.6129005621401096</v>
      </c>
      <c r="O25">
        <f>"TC_DM"&amp;"_"&amp;RIGHT(J25,5)</f>
        <v/>
      </c>
      <c r="P25" t="n">
        <v>0</v>
      </c>
      <c r="Q25">
        <f>"TC_CC"&amp;"_"&amp;RIGHT(J25,5)</f>
        <v/>
      </c>
      <c r="R25" t="n">
        <v>0</v>
      </c>
    </row>
    <row r="26">
      <c r="A26" t="b">
        <v>0</v>
      </c>
      <c r="B26">
        <f>ROW()-1</f>
        <v/>
      </c>
      <c r="C26">
        <f>_xlfn.XLOOKUP($D26,Tab_Def_Processes[Process_Name],Tab_Def_Processes[ID],,0,)</f>
        <v/>
      </c>
      <c r="D26" t="inlineStr">
        <is>
          <t>MBC-Production Waste_Treatment</t>
        </is>
      </c>
      <c r="E26">
        <f>_xlfn.XLOOKUP($D26,Tab_Def_Processes[Process_Name],Tab_Def_Processes[Process_Logic],,0,)</f>
        <v/>
      </c>
      <c r="F26">
        <f>_xlfn.XLOOKUP($D26,Tab_Def_Processes[Process_Name],Tab_Def_Processes[TC_Configuration],,0,)</f>
        <v/>
      </c>
      <c r="G26">
        <f>_xlfn.XLOOKUP($D26,Tab_Def_Processes[Process_Name],Tab_Def_Processes[Stock_Configuration],,0,)</f>
        <v/>
      </c>
      <c r="H26">
        <f>_xlfn.XLOOKUP($D26,Tab_Def_Processes[Process_Name],Tab_Def_Processes[Outflow_count],,0,)</f>
        <v/>
      </c>
      <c r="I26" t="inlineStr">
        <is>
          <t>MBC-Production Waste_Treatment_Emissions_C</t>
        </is>
      </c>
      <c r="J26">
        <f>_xlfn.XLOOKUP($I26,Tab_Def_Flows[Flow_Name],Tab_Def_Flows[Flow_ID],,0,)</f>
        <v/>
      </c>
      <c r="K26">
        <f>"TC_material"&amp;"_"&amp;RIGHT(J26,5)</f>
        <v/>
      </c>
      <c r="M26">
        <f>"TC_WC"&amp;"_"&amp;RIGHT(J26,5)</f>
        <v/>
      </c>
      <c r="N26" t="n">
        <v>0</v>
      </c>
      <c r="O26">
        <f>"TC_DM"&amp;"_"&amp;RIGHT(J26,5)</f>
        <v/>
      </c>
      <c r="P26" t="n">
        <v>0.1557006724808629</v>
      </c>
      <c r="Q26">
        <f>"TC_CC"&amp;"_"&amp;RIGHT(J26,5)</f>
        <v/>
      </c>
      <c r="R26" t="n">
        <v>1</v>
      </c>
    </row>
    <row r="27">
      <c r="A27" t="b">
        <v>0</v>
      </c>
      <c r="B27">
        <f>ROW()-1</f>
        <v/>
      </c>
      <c r="C27">
        <f>_xlfn.XLOOKUP($D27,Tab_Def_Processes[Process_Name],Tab_Def_Processes[ID],,0,)</f>
        <v/>
      </c>
      <c r="D27" t="inlineStr">
        <is>
          <t>MBC-Production Waste_Treatment</t>
        </is>
      </c>
      <c r="E27">
        <f>_xlfn.XLOOKUP($D27,Tab_Def_Processes[Process_Name],Tab_Def_Processes[Process_Logic],,0,)</f>
        <v/>
      </c>
      <c r="F27">
        <f>_xlfn.XLOOKUP($D27,Tab_Def_Processes[Process_Name],Tab_Def_Processes[TC_Configuration],,0,)</f>
        <v/>
      </c>
      <c r="G27">
        <f>_xlfn.XLOOKUP($D27,Tab_Def_Processes[Process_Name],Tab_Def_Processes[Stock_Configuration],,0,)</f>
        <v/>
      </c>
      <c r="H27">
        <f>_xlfn.XLOOKUP($D27,Tab_Def_Processes[Process_Name],Tab_Def_Processes[Outflow_count],,0,)</f>
        <v/>
      </c>
      <c r="I27" t="inlineStr">
        <is>
          <t>MBC-Production Waste_Treatment_Emissions_E</t>
        </is>
      </c>
      <c r="J27">
        <f>_xlfn.XLOOKUP($I27,Tab_Def_Flows[Flow_Name],Tab_Def_Flows[Flow_ID],,0,)</f>
        <v/>
      </c>
      <c r="K27">
        <f>"TC_material"&amp;"_"&amp;RIGHT(J27,5)</f>
        <v/>
      </c>
      <c r="M27">
        <f>"TC_WC"&amp;"_"&amp;RIGHT(J27,5)</f>
        <v/>
      </c>
      <c r="N27" t="n">
        <v>1</v>
      </c>
      <c r="O27">
        <f>"TC_DM"&amp;"_"&amp;RIGHT(J27,5)</f>
        <v/>
      </c>
      <c r="P27" t="n">
        <v>0.8442993275191371</v>
      </c>
      <c r="Q27">
        <f>"TC_CC"&amp;"_"&amp;RIGHT(J27,5)</f>
        <v/>
      </c>
      <c r="R27" t="n">
        <v>0</v>
      </c>
    </row>
    <row r="28">
      <c r="A28" t="b">
        <v>0</v>
      </c>
      <c r="B28">
        <f>ROW()-1</f>
        <v/>
      </c>
      <c r="C28">
        <f>_xlfn.XLOOKUP($D28,Tab_Def_Processes[Process_Name],Tab_Def_Processes[ID],,0,)</f>
        <v/>
      </c>
      <c r="D28" t="inlineStr">
        <is>
          <t>MBC_Use-Phase</t>
        </is>
      </c>
      <c r="E28">
        <f>_xlfn.XLOOKUP($D28,Tab_Def_Processes[Process_Name],Tab_Def_Processes[Process_Logic],,0,)</f>
        <v/>
      </c>
      <c r="F28">
        <f>_xlfn.XLOOKUP($D28,Tab_Def_Processes[Process_Name],Tab_Def_Processes[TC_Configuration],,0,)</f>
        <v/>
      </c>
      <c r="G28">
        <f>_xlfn.XLOOKUP($D28,Tab_Def_Processes[Process_Name],Tab_Def_Processes[Stock_Configuration],,0,)</f>
        <v/>
      </c>
      <c r="H28">
        <f>_xlfn.XLOOKUP($D28,Tab_Def_Processes[Process_Name],Tab_Def_Processes[Outflow_count],,0,)</f>
        <v/>
      </c>
      <c r="I28" t="inlineStr">
        <is>
          <t>MBC-EoL</t>
        </is>
      </c>
      <c r="J28">
        <f>_xlfn.XLOOKUP($I28,Tab_Def_Flows[Flow_Name],Tab_Def_Flows[Flow_ID],,0,)</f>
        <v/>
      </c>
      <c r="K28">
        <f>"TC_material"&amp;"_"&amp;RIGHT(J28,5)</f>
        <v/>
      </c>
      <c r="M28">
        <f>"TC_WC"&amp;"_"&amp;RIGHT(J28,5)</f>
        <v/>
      </c>
      <c r="O28">
        <f>"TC_DM"&amp;"_"&amp;RIGHT(J28,5)</f>
        <v/>
      </c>
      <c r="Q28">
        <f>"TC_CC"&amp;"_"&amp;RIGHT(J28,5)</f>
        <v/>
      </c>
    </row>
    <row r="29">
      <c r="A29" t="b">
        <v>0</v>
      </c>
      <c r="B29">
        <f>ROW()-1</f>
        <v/>
      </c>
      <c r="C29">
        <f>_xlfn.XLOOKUP($D29,Tab_Def_Processes[Process_Name],Tab_Def_Processes[ID],,0,)</f>
        <v/>
      </c>
      <c r="D29" t="inlineStr">
        <is>
          <t>MBC-EoL_Treatment</t>
        </is>
      </c>
      <c r="E29">
        <f>_xlfn.XLOOKUP($D29,Tab_Def_Processes[Process_Name],Tab_Def_Processes[Process_Logic],,0,)</f>
        <v/>
      </c>
      <c r="F29">
        <f>_xlfn.XLOOKUP($D29,Tab_Def_Processes[Process_Name],Tab_Def_Processes[TC_Configuration],,0,)</f>
        <v/>
      </c>
      <c r="G29">
        <f>_xlfn.XLOOKUP($D29,Tab_Def_Processes[Process_Name],Tab_Def_Processes[Stock_Configuration],,0,)</f>
        <v/>
      </c>
      <c r="H29">
        <f>_xlfn.XLOOKUP($D29,Tab_Def_Processes[Process_Name],Tab_Def_Processes[Outflow_count],,0,)</f>
        <v/>
      </c>
      <c r="I29" t="inlineStr">
        <is>
          <t>MBC (EoL)-Pyrolysis</t>
        </is>
      </c>
      <c r="J29">
        <f>_xlfn.XLOOKUP($I29,Tab_Def_Flows[Flow_Name],Tab_Def_Flows[Flow_ID],,0,)</f>
        <v/>
      </c>
      <c r="K29">
        <f>"TC_material"&amp;"_"&amp;RIGHT(J29,5)</f>
        <v/>
      </c>
      <c r="L29" t="n">
        <v>0.2</v>
      </c>
      <c r="M29">
        <f>"TC_WC"&amp;"_"&amp;RIGHT(J29,5)</f>
        <v/>
      </c>
      <c r="O29">
        <f>"TC_DM"&amp;"_"&amp;RIGHT(J29,5)</f>
        <v/>
      </c>
      <c r="Q29">
        <f>"TC_CC"&amp;"_"&amp;RIGHT(J29,5)</f>
        <v/>
      </c>
    </row>
    <row r="30">
      <c r="A30" t="b">
        <v>0</v>
      </c>
      <c r="B30">
        <f>ROW()-1</f>
        <v/>
      </c>
      <c r="C30">
        <f>_xlfn.XLOOKUP($D30,Tab_Def_Processes[Process_Name],Tab_Def_Processes[ID],,0,)</f>
        <v/>
      </c>
      <c r="D30" t="inlineStr">
        <is>
          <t>MBC-EoL_Treatment</t>
        </is>
      </c>
      <c r="E30">
        <f>_xlfn.XLOOKUP($D30,Tab_Def_Processes[Process_Name],Tab_Def_Processes[Process_Logic],,0,)</f>
        <v/>
      </c>
      <c r="F30">
        <f>_xlfn.XLOOKUP($D30,Tab_Def_Processes[Process_Name],Tab_Def_Processes[TC_Configuration],,0,)</f>
        <v/>
      </c>
      <c r="G30">
        <f>_xlfn.XLOOKUP($D30,Tab_Def_Processes[Process_Name],Tab_Def_Processes[Stock_Configuration],,0,)</f>
        <v/>
      </c>
      <c r="H30">
        <f>_xlfn.XLOOKUP($D30,Tab_Def_Processes[Process_Name],Tab_Def_Processes[Outflow_count],,0,)</f>
        <v/>
      </c>
      <c r="I30" t="inlineStr">
        <is>
          <t>MBC (EoL)-Incineration</t>
        </is>
      </c>
      <c r="J30">
        <f>_xlfn.XLOOKUP($I30,Tab_Def_Flows[Flow_Name],Tab_Def_Flows[Flow_ID],,0,)</f>
        <v/>
      </c>
      <c r="K30">
        <f>"TC_material"&amp;"_"&amp;RIGHT(J30,5)</f>
        <v/>
      </c>
      <c r="L30" t="n">
        <v>0.8</v>
      </c>
      <c r="M30">
        <f>"TC_WC"&amp;"_"&amp;RIGHT(J30,5)</f>
        <v/>
      </c>
      <c r="O30">
        <f>"TC_DM"&amp;"_"&amp;RIGHT(J30,5)</f>
        <v/>
      </c>
      <c r="Q30">
        <f>"TC_CC"&amp;"_"&amp;RIGHT(J30,5)</f>
        <v/>
      </c>
    </row>
    <row r="31">
      <c r="A31" t="b">
        <v>0</v>
      </c>
      <c r="B31">
        <f>ROW()-1</f>
        <v/>
      </c>
      <c r="C31">
        <f>_xlfn.XLOOKUP($D31,Tab_Def_Processes[Process_Name],Tab_Def_Processes[ID],,0,)</f>
        <v/>
      </c>
      <c r="D31" t="inlineStr">
        <is>
          <t>MBC-EoL_Incineration</t>
        </is>
      </c>
      <c r="E31">
        <f>_xlfn.XLOOKUP($D31,Tab_Def_Processes[Process_Name],Tab_Def_Processes[Process_Logic],,0,)</f>
        <v/>
      </c>
      <c r="F31">
        <f>_xlfn.XLOOKUP($D31,Tab_Def_Processes[Process_Name],Tab_Def_Processes[TC_Configuration],,0,)</f>
        <v/>
      </c>
      <c r="G31">
        <f>_xlfn.XLOOKUP($D31,Tab_Def_Processes[Process_Name],Tab_Def_Processes[Stock_Configuration],,0,)</f>
        <v/>
      </c>
      <c r="H31">
        <f>_xlfn.XLOOKUP($D31,Tab_Def_Processes[Process_Name],Tab_Def_Processes[Outflow_count],,0,)</f>
        <v/>
      </c>
      <c r="I31" t="inlineStr">
        <is>
          <t>MBC_(EoL)-Incineration_Emissions_C</t>
        </is>
      </c>
      <c r="J31">
        <f>_xlfn.XLOOKUP($I31,Tab_Def_Flows[Flow_Name],Tab_Def_Flows[Flow_ID],,0,)</f>
        <v/>
      </c>
      <c r="K31">
        <f>"TC_material"&amp;"_"&amp;RIGHT(J31,5)</f>
        <v/>
      </c>
      <c r="M31">
        <f>"TC_WC"&amp;"_"&amp;RIGHT(J31,5)</f>
        <v/>
      </c>
      <c r="N31" t="n">
        <v>0</v>
      </c>
      <c r="O31">
        <f>"TC_DM"&amp;"_"&amp;RIGHT(J31,5)</f>
        <v/>
      </c>
      <c r="P31" t="n">
        <v>0.9</v>
      </c>
      <c r="Q31">
        <f>"TC_CC"&amp;"_"&amp;RIGHT(J31,5)</f>
        <v/>
      </c>
      <c r="R31" t="n">
        <v>0.9748743718592965</v>
      </c>
    </row>
    <row r="32">
      <c r="A32" t="b">
        <v>0</v>
      </c>
      <c r="B32">
        <f>ROW()-1</f>
        <v/>
      </c>
      <c r="C32">
        <f>_xlfn.XLOOKUP($D32,Tab_Def_Processes[Process_Name],Tab_Def_Processes[ID],,0,)</f>
        <v/>
      </c>
      <c r="D32" t="inlineStr">
        <is>
          <t>MBC-EoL_Incineration</t>
        </is>
      </c>
      <c r="E32">
        <f>_xlfn.XLOOKUP($D32,Tab_Def_Processes[Process_Name],Tab_Def_Processes[Process_Logic],,0,)</f>
        <v/>
      </c>
      <c r="F32">
        <f>_xlfn.XLOOKUP($D32,Tab_Def_Processes[Process_Name],Tab_Def_Processes[TC_Configuration],,0,)</f>
        <v/>
      </c>
      <c r="G32">
        <f>_xlfn.XLOOKUP($D32,Tab_Def_Processes[Process_Name],Tab_Def_Processes[Stock_Configuration],,0,)</f>
        <v/>
      </c>
      <c r="H32">
        <f>_xlfn.XLOOKUP($D32,Tab_Def_Processes[Process_Name],Tab_Def_Processes[Outflow_count],,0,)</f>
        <v/>
      </c>
      <c r="I32" t="inlineStr">
        <is>
          <t>MBC_(EoL)-Incineration_Emissions_E</t>
        </is>
      </c>
      <c r="J32">
        <f>_xlfn.XLOOKUP($I32,Tab_Def_Flows[Flow_Name],Tab_Def_Flows[Flow_ID],,0,)</f>
        <v/>
      </c>
      <c r="K32">
        <f>"TC_material"&amp;"_"&amp;RIGHT(J32,5)</f>
        <v/>
      </c>
      <c r="M32">
        <f>"TC_WC"&amp;"_"&amp;RIGHT(J32,5)</f>
        <v/>
      </c>
      <c r="N32" t="n">
        <v>1</v>
      </c>
      <c r="O32">
        <f>"TC_DM"&amp;"_"&amp;RIGHT(J32,5)</f>
        <v/>
      </c>
      <c r="P32" t="n">
        <v>0</v>
      </c>
      <c r="Q32">
        <f>"TC_CC"&amp;"_"&amp;RIGHT(J32,5)</f>
        <v/>
      </c>
      <c r="R32" t="n">
        <v>0</v>
      </c>
    </row>
    <row r="33">
      <c r="A33" t="b">
        <v>0</v>
      </c>
      <c r="B33">
        <f>ROW()-1</f>
        <v/>
      </c>
      <c r="C33">
        <f>_xlfn.XLOOKUP($D33,Tab_Def_Processes[Process_Name],Tab_Def_Processes[ID],,0,)</f>
        <v/>
      </c>
      <c r="D33" t="inlineStr">
        <is>
          <t>MBC-EoL_Incineration</t>
        </is>
      </c>
      <c r="E33">
        <f>_xlfn.XLOOKUP($D33,Tab_Def_Processes[Process_Name],Tab_Def_Processes[Process_Logic],,0,)</f>
        <v/>
      </c>
      <c r="F33">
        <f>_xlfn.XLOOKUP($D33,Tab_Def_Processes[Process_Name],Tab_Def_Processes[TC_Configuration],,0,)</f>
        <v/>
      </c>
      <c r="G33">
        <f>_xlfn.XLOOKUP($D33,Tab_Def_Processes[Process_Name],Tab_Def_Processes[Stock_Configuration],,0,)</f>
        <v/>
      </c>
      <c r="H33">
        <f>_xlfn.XLOOKUP($D33,Tab_Def_Processes[Process_Name],Tab_Def_Processes[Outflow_count],,0,)</f>
        <v/>
      </c>
      <c r="I33" t="inlineStr">
        <is>
          <t>MBC_(EoL)-Incineration_Ash</t>
        </is>
      </c>
      <c r="J33">
        <f>_xlfn.XLOOKUP($I33,Tab_Def_Flows[Flow_Name],Tab_Def_Flows[Flow_ID],,0,)</f>
        <v/>
      </c>
      <c r="K33">
        <f>"TC_material"&amp;"_"&amp;RIGHT(J33,5)</f>
        <v/>
      </c>
      <c r="M33">
        <f>"TC_WC"&amp;"_"&amp;RIGHT(J33,5)</f>
        <v/>
      </c>
      <c r="N33" t="n">
        <v>0</v>
      </c>
      <c r="O33">
        <f>"TC_DM"&amp;"_"&amp;RIGHT(J33,5)</f>
        <v/>
      </c>
      <c r="P33" t="n">
        <v>0.1</v>
      </c>
      <c r="Q33">
        <f>"TC_CC"&amp;"_"&amp;RIGHT(J33,5)</f>
        <v/>
      </c>
      <c r="R33" t="n">
        <v>0.02512562814070352</v>
      </c>
    </row>
    <row r="34">
      <c r="A34" t="b">
        <v>0</v>
      </c>
      <c r="B34">
        <f>ROW()-1</f>
        <v/>
      </c>
      <c r="C34">
        <f>_xlfn.XLOOKUP($D34,Tab_Def_Processes[Process_Name],Tab_Def_Processes[ID],,0,)</f>
        <v/>
      </c>
      <c r="D34" t="inlineStr">
        <is>
          <t>Ash_Treatment</t>
        </is>
      </c>
      <c r="E34">
        <f>_xlfn.XLOOKUP($D34,Tab_Def_Processes[Process_Name],Tab_Def_Processes[Process_Logic],,0,)</f>
        <v/>
      </c>
      <c r="F34">
        <f>_xlfn.XLOOKUP($D34,Tab_Def_Processes[Process_Name],Tab_Def_Processes[TC_Configuration],,0,)</f>
        <v/>
      </c>
      <c r="G34">
        <f>_xlfn.XLOOKUP($D34,Tab_Def_Processes[Process_Name],Tab_Def_Processes[Stock_Configuration],,0,)</f>
        <v/>
      </c>
      <c r="H34">
        <f>_xlfn.XLOOKUP($D34,Tab_Def_Processes[Process_Name],Tab_Def_Processes[Outflow_count],,0,)</f>
        <v/>
      </c>
      <c r="I34" t="inlineStr">
        <is>
          <t>Ash-Incineration_Emissions_C</t>
        </is>
      </c>
      <c r="J34">
        <f>_xlfn.XLOOKUP($I34,Tab_Def_Flows[Flow_Name],Tab_Def_Flows[Flow_ID],,0,)</f>
        <v/>
      </c>
      <c r="K34">
        <f>"TC_material"&amp;"_"&amp;RIGHT(J34,5)</f>
        <v/>
      </c>
      <c r="M34">
        <f>"TC_WC"&amp;"_"&amp;RIGHT(J34,5)</f>
        <v/>
      </c>
      <c r="O34">
        <f>"TC_DM"&amp;"_"&amp;RIGHT(J34,5)</f>
        <v/>
      </c>
      <c r="Q34">
        <f>"TC_CC"&amp;"_"&amp;RIGHT(J34,5)</f>
        <v/>
      </c>
    </row>
    <row r="35">
      <c r="A35" t="b">
        <v>0</v>
      </c>
      <c r="B35">
        <f>ROW()-1</f>
        <v/>
      </c>
      <c r="C35">
        <f>_xlfn.XLOOKUP($D35,Tab_Def_Processes[Process_Name],Tab_Def_Processes[ID],,0,)</f>
        <v/>
      </c>
      <c r="D35" t="inlineStr">
        <is>
          <t>Ash_Treatment</t>
        </is>
      </c>
      <c r="E35">
        <f>_xlfn.XLOOKUP($D35,Tab_Def_Processes[Process_Name],Tab_Def_Processes[Process_Logic],,0,)</f>
        <v/>
      </c>
      <c r="F35">
        <f>_xlfn.XLOOKUP($D35,Tab_Def_Processes[Process_Name],Tab_Def_Processes[TC_Configuration],,0,)</f>
        <v/>
      </c>
      <c r="G35">
        <f>_xlfn.XLOOKUP($D35,Tab_Def_Processes[Process_Name],Tab_Def_Processes[Stock_Configuration],,0,)</f>
        <v/>
      </c>
      <c r="H35">
        <f>_xlfn.XLOOKUP($D35,Tab_Def_Processes[Process_Name],Tab_Def_Processes[Outflow_count],,0,)</f>
        <v/>
      </c>
      <c r="I35" t="inlineStr">
        <is>
          <t>Ash-Incineration_Emissions_E</t>
        </is>
      </c>
      <c r="J35">
        <f>_xlfn.XLOOKUP($I35,Tab_Def_Flows[Flow_Name],Tab_Def_Flows[Flow_ID],,0,)</f>
        <v/>
      </c>
      <c r="K35">
        <f>"TC_material"&amp;"_"&amp;RIGHT(J35,5)</f>
        <v/>
      </c>
      <c r="M35">
        <f>"TC_WC"&amp;"_"&amp;RIGHT(J35,5)</f>
        <v/>
      </c>
      <c r="O35">
        <f>"TC_DM"&amp;"_"&amp;RIGHT(J35,5)</f>
        <v/>
      </c>
      <c r="Q35">
        <f>"TC_CC"&amp;"_"&amp;RIGHT(J35,5)</f>
        <v/>
      </c>
    </row>
    <row r="36">
      <c r="A36" t="b">
        <v>0</v>
      </c>
      <c r="B36">
        <f>ROW()-1</f>
        <v/>
      </c>
      <c r="C36">
        <f>_xlfn.XLOOKUP($D36,Tab_Def_Processes[Process_Name],Tab_Def_Processes[ID],,0,)</f>
        <v/>
      </c>
      <c r="D36" t="inlineStr">
        <is>
          <t>MBC-EoL_Pyrolysis</t>
        </is>
      </c>
      <c r="E36">
        <f>_xlfn.XLOOKUP($D36,Tab_Def_Processes[Process_Name],Tab_Def_Processes[Process_Logic],,0,)</f>
        <v/>
      </c>
      <c r="F36">
        <f>_xlfn.XLOOKUP($D36,Tab_Def_Processes[Process_Name],Tab_Def_Processes[TC_Configuration],,0,)</f>
        <v/>
      </c>
      <c r="G36">
        <f>_xlfn.XLOOKUP($D36,Tab_Def_Processes[Process_Name],Tab_Def_Processes[Stock_Configuration],,0,)</f>
        <v/>
      </c>
      <c r="H36">
        <f>_xlfn.XLOOKUP($D36,Tab_Def_Processes[Process_Name],Tab_Def_Processes[Outflow_count],,0,)</f>
        <v/>
      </c>
      <c r="I36" t="inlineStr">
        <is>
          <t>Biochar-Pyrolysis</t>
        </is>
      </c>
      <c r="J36">
        <f>_xlfn.XLOOKUP($I36,Tab_Def_Flows[Flow_Name],Tab_Def_Flows[Flow_ID],,0,)</f>
        <v/>
      </c>
      <c r="K36">
        <f>"TC_material"&amp;"_"&amp;RIGHT(J36,5)</f>
        <v/>
      </c>
      <c r="M36">
        <f>"TC_WC"&amp;"_"&amp;RIGHT(J36,5)</f>
        <v/>
      </c>
      <c r="N36" t="n">
        <v>0</v>
      </c>
      <c r="O36">
        <f>"TC_DM"&amp;"_"&amp;RIGHT(J36,5)</f>
        <v/>
      </c>
      <c r="P36" t="n">
        <v>0.3</v>
      </c>
      <c r="Q36">
        <f>"TC_CC"&amp;"_"&amp;RIGHT(J36,5)</f>
        <v/>
      </c>
      <c r="R36" t="n">
        <v>0.7155410494602059</v>
      </c>
    </row>
    <row r="37">
      <c r="A37" t="b">
        <v>0</v>
      </c>
      <c r="B37">
        <f>ROW()-1</f>
        <v/>
      </c>
      <c r="C37">
        <f>_xlfn.XLOOKUP($D37,Tab_Def_Processes[Process_Name],Tab_Def_Processes[ID],,0,)</f>
        <v/>
      </c>
      <c r="D37" t="inlineStr">
        <is>
          <t>MBC-EoL_Pyrolysis</t>
        </is>
      </c>
      <c r="E37">
        <f>_xlfn.XLOOKUP($D37,Tab_Def_Processes[Process_Name],Tab_Def_Processes[Process_Logic],,0,)</f>
        <v/>
      </c>
      <c r="F37">
        <f>_xlfn.XLOOKUP($D37,Tab_Def_Processes[Process_Name],Tab_Def_Processes[TC_Configuration],,0,)</f>
        <v/>
      </c>
      <c r="G37">
        <f>_xlfn.XLOOKUP($D37,Tab_Def_Processes[Process_Name],Tab_Def_Processes[Stock_Configuration],,0,)</f>
        <v/>
      </c>
      <c r="H37">
        <f>_xlfn.XLOOKUP($D37,Tab_Def_Processes[Process_Name],Tab_Def_Processes[Outflow_count],,0,)</f>
        <v/>
      </c>
      <c r="I37" t="inlineStr">
        <is>
          <t>Pyrolysis_Emissions_C</t>
        </is>
      </c>
      <c r="J37">
        <f>_xlfn.XLOOKUP($I37,Tab_Def_Flows[Flow_Name],Tab_Def_Flows[Flow_ID],,0,)</f>
        <v/>
      </c>
      <c r="K37">
        <f>"TC_material"&amp;"_"&amp;RIGHT(J37,5)</f>
        <v/>
      </c>
      <c r="M37">
        <f>"TC_WC"&amp;"_"&amp;RIGHT(J37,5)</f>
        <v/>
      </c>
      <c r="N37" t="n">
        <v>0</v>
      </c>
      <c r="O37">
        <f>"TC_DM"&amp;"_"&amp;RIGHT(J37,5)</f>
        <v/>
      </c>
      <c r="P37" t="n">
        <v>0.7000000000000001</v>
      </c>
      <c r="Q37">
        <f>"TC_CC"&amp;"_"&amp;RIGHT(J37,5)</f>
        <v/>
      </c>
      <c r="R37" t="n">
        <v>0.2844589505397941</v>
      </c>
    </row>
    <row r="38">
      <c r="A38" t="b">
        <v>0</v>
      </c>
      <c r="B38">
        <f>ROW()-1</f>
        <v/>
      </c>
      <c r="C38">
        <f>_xlfn.XLOOKUP($D38,Tab_Def_Processes[Process_Name],Tab_Def_Processes[ID],,0,)</f>
        <v/>
      </c>
      <c r="D38" t="inlineStr">
        <is>
          <t>MBC-EoL_Pyrolysis</t>
        </is>
      </c>
      <c r="E38">
        <f>_xlfn.XLOOKUP($D38,Tab_Def_Processes[Process_Name],Tab_Def_Processes[Process_Logic],,0,)</f>
        <v/>
      </c>
      <c r="F38">
        <f>_xlfn.XLOOKUP($D38,Tab_Def_Processes[Process_Name],Tab_Def_Processes[TC_Configuration],,0,)</f>
        <v/>
      </c>
      <c r="G38">
        <f>_xlfn.XLOOKUP($D38,Tab_Def_Processes[Process_Name],Tab_Def_Processes[Stock_Configuration],,0,)</f>
        <v/>
      </c>
      <c r="H38">
        <f>_xlfn.XLOOKUP($D38,Tab_Def_Processes[Process_Name],Tab_Def_Processes[Outflow_count],,0,)</f>
        <v/>
      </c>
      <c r="I38" t="inlineStr">
        <is>
          <t>Pyrolysis_Emissions_E</t>
        </is>
      </c>
      <c r="J38">
        <f>_xlfn.XLOOKUP($I38,Tab_Def_Flows[Flow_Name],Tab_Def_Flows[Flow_ID],,0,)</f>
        <v/>
      </c>
      <c r="K38">
        <f>"TC_material"&amp;"_"&amp;RIGHT(J38,5)</f>
        <v/>
      </c>
      <c r="M38">
        <f>"TC_WC"&amp;"_"&amp;RIGHT(J38,5)</f>
        <v/>
      </c>
      <c r="N38" t="n">
        <v>1</v>
      </c>
      <c r="O38">
        <f>"TC_DM"&amp;"_"&amp;RIGHT(J38,5)</f>
        <v/>
      </c>
      <c r="P38" t="n">
        <v>0</v>
      </c>
      <c r="Q38">
        <f>"TC_CC"&amp;"_"&amp;RIGHT(J38,5)</f>
        <v/>
      </c>
      <c r="R38" t="n">
        <v>0</v>
      </c>
    </row>
    <row r="39">
      <c r="A39" t="b">
        <v>0</v>
      </c>
      <c r="B39">
        <f>ROW()-1</f>
        <v/>
      </c>
      <c r="C39">
        <f>_xlfn.XLOOKUP($D39,Tab_Def_Processes[Process_Name],Tab_Def_Processes[ID],,0,)</f>
        <v/>
      </c>
      <c r="D39" t="inlineStr">
        <is>
          <t>Lithosphere_Stock</t>
        </is>
      </c>
      <c r="E39">
        <f>_xlfn.XLOOKUP($D39,Tab_Def_Processes[Process_Name],Tab_Def_Processes[Process_Logic],,0,)</f>
        <v/>
      </c>
      <c r="F39">
        <f>_xlfn.XLOOKUP($D39,Tab_Def_Processes[Process_Name],Tab_Def_Processes[TC_Configuration],,0,)</f>
        <v/>
      </c>
      <c r="G39">
        <f>_xlfn.XLOOKUP($D39,Tab_Def_Processes[Process_Name],Tab_Def_Processes[Stock_Configuration],,0,)</f>
        <v/>
      </c>
      <c r="H39">
        <f>_xlfn.XLOOKUP($D39,Tab_Def_Processes[Process_Name],Tab_Def_Processes[Outflow_count],,0,)</f>
        <v/>
      </c>
      <c r="I39" t="inlineStr">
        <is>
          <t>Lithosphere_Emissions_C</t>
        </is>
      </c>
      <c r="J39">
        <f>_xlfn.XLOOKUP($I39,Tab_Def_Flows[Flow_Name],Tab_Def_Flows[Flow_ID],,0,)</f>
        <v/>
      </c>
      <c r="K39">
        <f>"TC_material"&amp;"_"&amp;RIGHT(J39,5)</f>
        <v/>
      </c>
      <c r="M39">
        <f>"TC_WC"&amp;"_"&amp;RIGHT(J39,5)</f>
        <v/>
      </c>
      <c r="O39">
        <f>"TC_DM"&amp;"_"&amp;RIGHT(J39,5)</f>
        <v/>
      </c>
      <c r="Q39">
        <f>"TC_CC"&amp;"_"&amp;RIGHT(J39,5)</f>
        <v/>
      </c>
    </row>
    <row r="40">
      <c r="A40" t="b">
        <v>0</v>
      </c>
      <c r="B40">
        <f>ROW()-1</f>
        <v/>
      </c>
      <c r="C40">
        <f>_xlfn.XLOOKUP($D40,Tab_Def_Processes[Process_Name],Tab_Def_Processes[ID],,0,)</f>
        <v/>
      </c>
      <c r="D40" t="inlineStr">
        <is>
          <t>Lithosphere_Stock</t>
        </is>
      </c>
      <c r="E40">
        <f>_xlfn.XLOOKUP($D40,Tab_Def_Processes[Process_Name],Tab_Def_Processes[Process_Logic],,0,)</f>
        <v/>
      </c>
      <c r="F40">
        <f>_xlfn.XLOOKUP($D40,Tab_Def_Processes[Process_Name],Tab_Def_Processes[TC_Configuration],,0,)</f>
        <v/>
      </c>
      <c r="G40">
        <f>_xlfn.XLOOKUP($D40,Tab_Def_Processes[Process_Name],Tab_Def_Processes[Stock_Configuration],,0,)</f>
        <v/>
      </c>
      <c r="H40">
        <f>_xlfn.XLOOKUP($D40,Tab_Def_Processes[Process_Name],Tab_Def_Processes[Outflow_count],,0,)</f>
        <v/>
      </c>
      <c r="I40" t="inlineStr">
        <is>
          <t>Lithosphere_Emissions_E</t>
        </is>
      </c>
      <c r="J40">
        <f>_xlfn.XLOOKUP($I40,Tab_Def_Flows[Flow_Name],Tab_Def_Flows[Flow_ID],,0,)</f>
        <v/>
      </c>
      <c r="K40">
        <f>"TC_material"&amp;"_"&amp;RIGHT(J40,5)</f>
        <v/>
      </c>
      <c r="M40">
        <f>"TC_WC"&amp;"_"&amp;RIGHT(J40,5)</f>
        <v/>
      </c>
      <c r="O40">
        <f>"TC_DM"&amp;"_"&amp;RIGHT(J40,5)</f>
        <v/>
      </c>
      <c r="Q40">
        <f>"TC_CC"&amp;"_"&amp;RIGHT(J40,5)</f>
        <v/>
      </c>
    </row>
    <row r="41">
      <c r="A41" t="b">
        <v>0</v>
      </c>
      <c r="B41">
        <f>ROW()-1</f>
        <v/>
      </c>
      <c r="C41">
        <f>_xlfn.XLOOKUP($D41,Tab_Def_Processes[Process_Name],Tab_Def_Processes[ID],,0,)</f>
        <v/>
      </c>
      <c r="D41" t="inlineStr">
        <is>
          <t>MBC-Production-Delta_Production</t>
        </is>
      </c>
      <c r="E41">
        <f>_xlfn.XLOOKUP($D41,Tab_Def_Processes[Process_Name],Tab_Def_Processes[Process_Logic],,0,)</f>
        <v/>
      </c>
      <c r="F41">
        <f>_xlfn.XLOOKUP($D41,Tab_Def_Processes[Process_Name],Tab_Def_Processes[TC_Configuration],,0,)</f>
        <v/>
      </c>
      <c r="G41">
        <f>_xlfn.XLOOKUP($D41,Tab_Def_Processes[Process_Name],Tab_Def_Processes[Stock_Configuration],,0,)</f>
        <v/>
      </c>
      <c r="H41">
        <f>_xlfn.XLOOKUP($D41,Tab_Def_Processes[Process_Name],Tab_Def_Processes[Outflow_count],,0,)</f>
        <v/>
      </c>
      <c r="I41" t="inlineStr">
        <is>
          <t>MBC-Production-Delta_Emissions_C</t>
        </is>
      </c>
      <c r="J41">
        <f>_xlfn.XLOOKUP($I41,Tab_Def_Flows[Flow_Name],Tab_Def_Flows[Flow_ID],,0,)</f>
        <v/>
      </c>
      <c r="K41">
        <f>"TC_material"&amp;"_"&amp;RIGHT(J41,5)</f>
        <v/>
      </c>
      <c r="M41">
        <f>"TC_WC"&amp;"_"&amp;RIGHT(J41,5)</f>
        <v/>
      </c>
      <c r="N41" t="n">
        <v>0</v>
      </c>
      <c r="O41">
        <f>"TC_DM"&amp;"_"&amp;RIGHT(J41,5)</f>
        <v/>
      </c>
      <c r="P41" t="n">
        <v>0.5347641216943454</v>
      </c>
      <c r="Q41">
        <f>"TC_CC"&amp;"_"&amp;RIGHT(J41,5)</f>
        <v/>
      </c>
      <c r="R41" t="n">
        <v>1</v>
      </c>
    </row>
    <row r="42">
      <c r="A42" t="b">
        <v>0</v>
      </c>
      <c r="B42">
        <f>ROW()-1</f>
        <v/>
      </c>
      <c r="C42">
        <f>_xlfn.XLOOKUP($D42,Tab_Def_Processes[Process_Name],Tab_Def_Processes[ID],,0,)</f>
        <v/>
      </c>
      <c r="D42" t="inlineStr">
        <is>
          <t>MBC-Production-Delta_Production</t>
        </is>
      </c>
      <c r="E42">
        <f>_xlfn.XLOOKUP($D42,Tab_Def_Processes[Process_Name],Tab_Def_Processes[Process_Logic],,0,)</f>
        <v/>
      </c>
      <c r="F42">
        <f>_xlfn.XLOOKUP($D42,Tab_Def_Processes[Process_Name],Tab_Def_Processes[TC_Configuration],,0,)</f>
        <v/>
      </c>
      <c r="G42">
        <f>_xlfn.XLOOKUP($D42,Tab_Def_Processes[Process_Name],Tab_Def_Processes[Stock_Configuration],,0,)</f>
        <v/>
      </c>
      <c r="H42">
        <f>_xlfn.XLOOKUP($D42,Tab_Def_Processes[Process_Name],Tab_Def_Processes[Outflow_count],,0,)</f>
        <v/>
      </c>
      <c r="I42" t="inlineStr">
        <is>
          <t>MBC-Production-Delta_Emissions_E</t>
        </is>
      </c>
      <c r="J42">
        <f>_xlfn.XLOOKUP($I42,Tab_Def_Flows[Flow_Name],Tab_Def_Flows[Flow_ID],,0,)</f>
        <v/>
      </c>
      <c r="K42">
        <f>"TC_material"&amp;"_"&amp;RIGHT(J42,5)</f>
        <v/>
      </c>
      <c r="M42">
        <f>"TC_WC"&amp;"_"&amp;RIGHT(J42,5)</f>
        <v/>
      </c>
      <c r="N42" t="n">
        <v>1</v>
      </c>
      <c r="O42">
        <f>"TC_DM"&amp;"_"&amp;RIGHT(J42,5)</f>
        <v/>
      </c>
      <c r="P42" t="n">
        <v>0.4652358783056546</v>
      </c>
      <c r="Q42">
        <f>"TC_CC"&amp;"_"&amp;RIGHT(J42,5)</f>
        <v/>
      </c>
      <c r="R42" t="n">
        <v>0</v>
      </c>
    </row>
    <row r="43">
      <c r="A43" t="b">
        <v>0</v>
      </c>
      <c r="B43">
        <f>ROW()-1</f>
        <v/>
      </c>
      <c r="C43">
        <f>_xlfn.XLOOKUP($D43,Tab_Def_Processes[Process_Name],Tab_Def_Processes[ID],,0,)</f>
        <v/>
      </c>
      <c r="D43" t="inlineStr">
        <is>
          <t>Atmosphere</t>
        </is>
      </c>
      <c r="E43">
        <f>_xlfn.XLOOKUP($D43,Tab_Def_Processes[Process_Name],Tab_Def_Processes[Process_Logic],,0,)</f>
        <v/>
      </c>
      <c r="F43">
        <f>_xlfn.XLOOKUP($D43,Tab_Def_Processes[Process_Name],Tab_Def_Processes[TC_Configuration],,0,)</f>
        <v/>
      </c>
      <c r="G43">
        <f>_xlfn.XLOOKUP($D43,Tab_Def_Processes[Process_Name],Tab_Def_Processes[Stock_Configuration],,0,)</f>
        <v/>
      </c>
      <c r="H43">
        <f>_xlfn.XLOOKUP($D43,Tab_Def_Processes[Process_Name],Tab_Def_Processes[Outflow_count],,0,)</f>
        <v/>
      </c>
      <c r="I43" t="inlineStr">
        <is>
          <t>Atmosphere_Input_Cultivation_C</t>
        </is>
      </c>
      <c r="J43">
        <f>_xlfn.XLOOKUP($I43,Tab_Def_Flows[Flow_Name],Tab_Def_Flows[Flow_ID],,0,)</f>
        <v/>
      </c>
      <c r="K43">
        <f>"TC_material"&amp;"_"&amp;RIGHT(J43,5)</f>
        <v/>
      </c>
      <c r="L43" t="n">
        <v>1</v>
      </c>
      <c r="M43">
        <f>"TC_WC"&amp;"_"&amp;RIGHT(J43,5)</f>
        <v/>
      </c>
      <c r="O43">
        <f>"TC_DM"&amp;"_"&amp;RIGHT(J43,5)</f>
        <v/>
      </c>
      <c r="Q43">
        <f>"TC_CC"&amp;"_"&amp;RIGHT(J43,5)</f>
        <v/>
      </c>
    </row>
    <row r="44">
      <c r="A44" t="b">
        <v>0</v>
      </c>
      <c r="B44">
        <f>ROW()-1</f>
        <v/>
      </c>
      <c r="C44">
        <f>_xlfn.XLOOKUP($D44,Tab_Def_Processes[Process_Name],Tab_Def_Processes[ID],,0,)</f>
        <v/>
      </c>
      <c r="D44" t="inlineStr">
        <is>
          <t>Atmosphere</t>
        </is>
      </c>
      <c r="E44">
        <f>_xlfn.XLOOKUP($D44,Tab_Def_Processes[Process_Name],Tab_Def_Processes[Process_Logic],,0,)</f>
        <v/>
      </c>
      <c r="F44">
        <f>_xlfn.XLOOKUP($D44,Tab_Def_Processes[Process_Name],Tab_Def_Processes[TC_Configuration],,0,)</f>
        <v/>
      </c>
      <c r="G44">
        <f>_xlfn.XLOOKUP($D44,Tab_Def_Processes[Process_Name],Tab_Def_Processes[Stock_Configuration],,0,)</f>
        <v/>
      </c>
      <c r="H44">
        <f>_xlfn.XLOOKUP($D44,Tab_Def_Processes[Process_Name],Tab_Def_Processes[Outflow_count],,0,)</f>
        <v/>
      </c>
      <c r="I44" t="inlineStr">
        <is>
          <t>Atmosphere_Input_cow-manure_production_C</t>
        </is>
      </c>
      <c r="J44">
        <f>_xlfn.XLOOKUP($I44,Tab_Def_Flows[Flow_Name],Tab_Def_Flows[Flow_ID],,0,)</f>
        <v/>
      </c>
      <c r="K44">
        <f>"TC_material"&amp;"_"&amp;RIGHT(J44,5)</f>
        <v/>
      </c>
      <c r="L44" t="n">
        <v>1</v>
      </c>
      <c r="M44">
        <f>"TC_WC"&amp;"_"&amp;RIGHT(J44,5)</f>
        <v/>
      </c>
      <c r="O44">
        <f>"TC_DM"&amp;"_"&amp;RIGHT(J44,5)</f>
        <v/>
      </c>
      <c r="Q44">
        <f>"TC_CC"&amp;"_"&amp;RIGHT(J44,5)</f>
        <v/>
      </c>
    </row>
    <row r="45">
      <c r="A45" t="b">
        <v>0</v>
      </c>
      <c r="B45">
        <f>ROW()-1</f>
        <v/>
      </c>
      <c r="C45">
        <f>_xlfn.XLOOKUP($D45,Tab_Def_Processes[Process_Name],Tab_Def_Processes[ID],,0,)</f>
        <v/>
      </c>
      <c r="D45" t="inlineStr">
        <is>
          <t>Atmosphere</t>
        </is>
      </c>
      <c r="E45">
        <f>_xlfn.XLOOKUP($D45,Tab_Def_Processes[Process_Name],Tab_Def_Processes[Process_Logic],,0,)</f>
        <v/>
      </c>
      <c r="F45">
        <f>_xlfn.XLOOKUP($D45,Tab_Def_Processes[Process_Name],Tab_Def_Processes[TC_Configuration],,0,)</f>
        <v/>
      </c>
      <c r="G45">
        <f>_xlfn.XLOOKUP($D45,Tab_Def_Processes[Process_Name],Tab_Def_Processes[Stock_Configuration],,0,)</f>
        <v/>
      </c>
      <c r="H45">
        <f>_xlfn.XLOOKUP($D45,Tab_Def_Processes[Process_Name],Tab_Def_Processes[Outflow_count],,0,)</f>
        <v/>
      </c>
      <c r="I45" t="inlineStr">
        <is>
          <t>Atmosphere_Input_millet_production_C</t>
        </is>
      </c>
      <c r="J45">
        <f>_xlfn.XLOOKUP($I45,Tab_Def_Flows[Flow_Name],Tab_Def_Flows[Flow_ID],,0,)</f>
        <v/>
      </c>
      <c r="K45">
        <f>"TC_material"&amp;"_"&amp;RIGHT(J45,5)</f>
        <v/>
      </c>
      <c r="L45" t="n">
        <v>1</v>
      </c>
      <c r="M45">
        <f>"TC_WC"&amp;"_"&amp;RIGHT(J45,5)</f>
        <v/>
      </c>
      <c r="O45">
        <f>"TC_DM"&amp;"_"&amp;RIGHT(J45,5)</f>
        <v/>
      </c>
      <c r="Q45">
        <f>"TC_CC"&amp;"_"&amp;RIGHT(J45,5)</f>
        <v/>
      </c>
    </row>
    <row r="46">
      <c r="A46" t="b">
        <v>0</v>
      </c>
      <c r="B46">
        <f>ROW()-1</f>
        <v/>
      </c>
      <c r="C46">
        <f>_xlfn.XLOOKUP($D46,Tab_Def_Processes[Process_Name],Tab_Def_Processes[ID],,0,)</f>
        <v/>
      </c>
      <c r="D46" t="inlineStr">
        <is>
          <t>Environment</t>
        </is>
      </c>
      <c r="E46">
        <f>_xlfn.XLOOKUP($D46,Tab_Def_Processes[Process_Name],Tab_Def_Processes[Process_Logic],,0,)</f>
        <v/>
      </c>
      <c r="F46">
        <f>_xlfn.XLOOKUP($D46,Tab_Def_Processes[Process_Name],Tab_Def_Processes[TC_Configuration],,0,)</f>
        <v/>
      </c>
      <c r="G46">
        <f>_xlfn.XLOOKUP($D46,Tab_Def_Processes[Process_Name],Tab_Def_Processes[Stock_Configuration],,0,)</f>
        <v/>
      </c>
      <c r="H46">
        <f>_xlfn.XLOOKUP($D46,Tab_Def_Processes[Process_Name],Tab_Def_Processes[Outflow_count],,0,)</f>
        <v/>
      </c>
      <c r="I46" t="inlineStr">
        <is>
          <t>Environment_Input_millet_production_E</t>
        </is>
      </c>
      <c r="J46">
        <f>_xlfn.XLOOKUP($I46,Tab_Def_Flows[Flow_Name],Tab_Def_Flows[Flow_ID],,0,)</f>
        <v/>
      </c>
      <c r="K46">
        <f>"TC_material"&amp;"_"&amp;RIGHT(J46,5)</f>
        <v/>
      </c>
      <c r="L46" t="n">
        <v>1</v>
      </c>
      <c r="M46">
        <f>"TC_WC"&amp;"_"&amp;RIGHT(J46,5)</f>
        <v/>
      </c>
      <c r="O46">
        <f>"TC_DM"&amp;"_"&amp;RIGHT(J46,5)</f>
        <v/>
      </c>
      <c r="Q46">
        <f>"TC_CC"&amp;"_"&amp;RIGHT(J46,5)</f>
        <v/>
      </c>
    </row>
    <row r="47">
      <c r="A47" t="b">
        <v>0</v>
      </c>
      <c r="B47">
        <f>ROW()-1</f>
        <v/>
      </c>
      <c r="C47">
        <f>_xlfn.XLOOKUP($D47,Tab_Def_Processes[Process_Name],Tab_Def_Processes[ID],,0,)</f>
        <v/>
      </c>
      <c r="D47" t="inlineStr">
        <is>
          <t>Environment</t>
        </is>
      </c>
      <c r="E47">
        <f>_xlfn.XLOOKUP($D47,Tab_Def_Processes[Process_Name],Tab_Def_Processes[Process_Logic],,0,)</f>
        <v/>
      </c>
      <c r="F47">
        <f>_xlfn.XLOOKUP($D47,Tab_Def_Processes[Process_Name],Tab_Def_Processes[TC_Configuration],,0,)</f>
        <v/>
      </c>
      <c r="G47">
        <f>_xlfn.XLOOKUP($D47,Tab_Def_Processes[Process_Name],Tab_Def_Processes[Stock_Configuration],,0,)</f>
        <v/>
      </c>
      <c r="H47">
        <f>_xlfn.XLOOKUP($D47,Tab_Def_Processes[Process_Name],Tab_Def_Processes[Outflow_count],,0,)</f>
        <v/>
      </c>
      <c r="I47" t="inlineStr">
        <is>
          <t>Environment_Input_cow-manure_production_E</t>
        </is>
      </c>
      <c r="J47">
        <f>_xlfn.XLOOKUP($I47,Tab_Def_Flows[Flow_Name],Tab_Def_Flows[Flow_ID],,0,)</f>
        <v/>
      </c>
      <c r="K47">
        <f>"TC_material"&amp;"_"&amp;RIGHT(J47,5)</f>
        <v/>
      </c>
      <c r="L47" t="n">
        <v>1</v>
      </c>
      <c r="M47">
        <f>"TC_WC"&amp;"_"&amp;RIGHT(J47,5)</f>
        <v/>
      </c>
      <c r="O47">
        <f>"TC_DM"&amp;"_"&amp;RIGHT(J47,5)</f>
        <v/>
      </c>
      <c r="Q47">
        <f>"TC_CC"&amp;"_"&amp;RIGHT(J47,5)</f>
        <v/>
      </c>
    </row>
    <row r="48">
      <c r="A48" t="b">
        <v>0</v>
      </c>
      <c r="B48">
        <f>ROW()-1</f>
        <v/>
      </c>
      <c r="C48">
        <f>_xlfn.XLOOKUP($D48,Tab_Def_Processes[Process_Name],Tab_Def_Processes[ID],,0,)</f>
        <v/>
      </c>
      <c r="D48" t="inlineStr">
        <is>
          <t>Environment</t>
        </is>
      </c>
      <c r="E48">
        <f>_xlfn.XLOOKUP($D48,Tab_Def_Processes[Process_Name],Tab_Def_Processes[Process_Logic],,0,)</f>
        <v/>
      </c>
      <c r="F48">
        <f>_xlfn.XLOOKUP($D48,Tab_Def_Processes[Process_Name],Tab_Def_Processes[TC_Configuration],,0,)</f>
        <v/>
      </c>
      <c r="G48">
        <f>_xlfn.XLOOKUP($D48,Tab_Def_Processes[Process_Name],Tab_Def_Processes[Stock_Configuration],,0,)</f>
        <v/>
      </c>
      <c r="H48">
        <f>_xlfn.XLOOKUP($D48,Tab_Def_Processes[Process_Name],Tab_Def_Processes[Outflow_count],,0,)</f>
        <v/>
      </c>
      <c r="I48" t="inlineStr">
        <is>
          <t>Environment_Input_MBC_production_E</t>
        </is>
      </c>
      <c r="J48">
        <f>_xlfn.XLOOKUP($I48,Tab_Def_Flows[Flow_Name],Tab_Def_Flows[Flow_ID],,0,)</f>
        <v/>
      </c>
      <c r="K48">
        <f>"TC_material"&amp;"_"&amp;RIGHT(J48,5)</f>
        <v/>
      </c>
      <c r="L48" t="n">
        <v>1</v>
      </c>
      <c r="M48">
        <f>"TC_WC"&amp;"_"&amp;RIGHT(J48,5)</f>
        <v/>
      </c>
      <c r="O48">
        <f>"TC_DM"&amp;"_"&amp;RIGHT(J48,5)</f>
        <v/>
      </c>
      <c r="Q48">
        <f>"TC_CC"&amp;"_"&amp;RIGHT(J48,5)</f>
        <v/>
      </c>
    </row>
    <row r="49">
      <c r="A49" t="b">
        <v>0</v>
      </c>
      <c r="B49">
        <f>ROW()-1</f>
        <v/>
      </c>
      <c r="C49">
        <f>_xlfn.XLOOKUP($D49,Tab_Def_Processes[Process_Name],Tab_Def_Processes[ID],,0,)</f>
        <v/>
      </c>
      <c r="D49" t="inlineStr">
        <is>
          <t>Environment</t>
        </is>
      </c>
      <c r="E49">
        <f>_xlfn.XLOOKUP($D49,Tab_Def_Processes[Process_Name],Tab_Def_Processes[Process_Logic],,0,)</f>
        <v/>
      </c>
      <c r="F49">
        <f>_xlfn.XLOOKUP($D49,Tab_Def_Processes[Process_Name],Tab_Def_Processes[TC_Configuration],,0,)</f>
        <v/>
      </c>
      <c r="G49">
        <f>_xlfn.XLOOKUP($D49,Tab_Def_Processes[Process_Name],Tab_Def_Processes[Stock_Configuration],,0,)</f>
        <v/>
      </c>
      <c r="H49">
        <f>_xlfn.XLOOKUP($D49,Tab_Def_Processes[Process_Name],Tab_Def_Processes[Outflow_count],,0,)</f>
        <v/>
      </c>
      <c r="I49" t="inlineStr">
        <is>
          <t>Environment_Input_Cultivation_E</t>
        </is>
      </c>
      <c r="J49">
        <f>_xlfn.XLOOKUP($I49,Tab_Def_Flows[Flow_Name],Tab_Def_Flows[Flow_ID],,0,)</f>
        <v/>
      </c>
      <c r="K49">
        <f>"TC_material"&amp;"_"&amp;RIGHT(J49,5)</f>
        <v/>
      </c>
      <c r="L49" t="n">
        <v>1</v>
      </c>
      <c r="M49">
        <f>"TC_WC"&amp;"_"&amp;RIGHT(J49,5)</f>
        <v/>
      </c>
      <c r="O49">
        <f>"TC_DM"&amp;"_"&amp;RIGHT(J49,5)</f>
        <v/>
      </c>
      <c r="Q49">
        <f>"TC_CC"&amp;"_"&amp;RIGHT(J49,5)</f>
        <v/>
      </c>
    </row>
    <row r="50">
      <c r="A50" t="b">
        <v>0</v>
      </c>
      <c r="B50">
        <f>ROW()-1</f>
        <v/>
      </c>
      <c r="C50">
        <f>_xlfn.XLOOKUP($D50,Tab_Def_Processes[Process_Name],Tab_Def_Processes[ID],,0,)</f>
        <v/>
      </c>
      <c r="E50">
        <f>_xlfn.XLOOKUP($D50,Tab_Def_Processes[Process_Name],Tab_Def_Processes[Process_Logic],,0,)</f>
        <v/>
      </c>
      <c r="F50">
        <f>_xlfn.XLOOKUP($D50,Tab_Def_Processes[Process_Name],Tab_Def_Processes[TC_Configuration],,0,)</f>
        <v/>
      </c>
      <c r="G50">
        <f>_xlfn.XLOOKUP($D50,Tab_Def_Processes[Process_Name],Tab_Def_Processes[Stock_Configuration],,0,)</f>
        <v/>
      </c>
      <c r="H50">
        <f>_xlfn.XLOOKUP($D50,Tab_Def_Processes[Process_Name],Tab_Def_Processes[Outflow_count],,0,)</f>
        <v/>
      </c>
      <c r="J50">
        <f>_xlfn.XLOOKUP($I50,Tab_Def_Flows[Flow_Name],Tab_Def_Flows[Flow_ID],,0,)</f>
        <v/>
      </c>
      <c r="K50">
        <f>"TC_material"&amp;"_"&amp;RIGHT(J50,5)</f>
        <v/>
      </c>
      <c r="M50">
        <f>"TC_WC"&amp;"_"&amp;RIGHT(J50,5)</f>
        <v/>
      </c>
      <c r="O50">
        <f>"TC_DM"&amp;"_"&amp;RIGHT(J50,5)</f>
        <v/>
      </c>
      <c r="Q50">
        <f>"TC_CC"&amp;"_"&amp;RIGHT(J50,5)</f>
        <v/>
      </c>
    </row>
    <row r="51">
      <c r="A51" t="b">
        <v>0</v>
      </c>
      <c r="B51">
        <f>ROW()-1</f>
        <v/>
      </c>
      <c r="C51">
        <f>_xlfn.XLOOKUP($D51,Tab_Def_Processes[Process_Name],Tab_Def_Processes[ID],,0,)</f>
        <v/>
      </c>
      <c r="E51">
        <f>_xlfn.XLOOKUP($D51,Tab_Def_Processes[Process_Name],Tab_Def_Processes[Process_Logic],,0,)</f>
        <v/>
      </c>
      <c r="F51">
        <f>_xlfn.XLOOKUP($D51,Tab_Def_Processes[Process_Name],Tab_Def_Processes[TC_Configuration],,0,)</f>
        <v/>
      </c>
      <c r="G51">
        <f>_xlfn.XLOOKUP($D51,Tab_Def_Processes[Process_Name],Tab_Def_Processes[Stock_Configuration],,0,)</f>
        <v/>
      </c>
      <c r="H51">
        <f>_xlfn.XLOOKUP($D51,Tab_Def_Processes[Process_Name],Tab_Def_Processes[Outflow_count],,0,)</f>
        <v/>
      </c>
      <c r="J51">
        <f>_xlfn.XLOOKUP($I51,Tab_Def_Flows[Flow_Name],Tab_Def_Flows[Flow_ID],,0,)</f>
        <v/>
      </c>
      <c r="K51">
        <f>"TC_material"&amp;"_"&amp;RIGHT(J51,5)</f>
        <v/>
      </c>
      <c r="M51">
        <f>"TC_WC"&amp;"_"&amp;RIGHT(J51,5)</f>
        <v/>
      </c>
      <c r="O51">
        <f>"TC_DM"&amp;"_"&amp;RIGHT(J51,5)</f>
        <v/>
      </c>
      <c r="Q51">
        <f>"TC_CC"&amp;"_"&amp;RIGHT(J51,5)</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151"/>
  <sheetViews>
    <sheetView workbookViewId="0">
      <selection activeCell="A1" sqref="A1"/>
    </sheetView>
  </sheetViews>
  <sheetFormatPr baseColWidth="8" defaultRowHeight="15"/>
  <sheetData>
    <row r="1">
      <c r="A1" t="inlineStr">
        <is>
          <t>Complete?</t>
        </is>
      </c>
      <c r="B1" t="inlineStr">
        <is>
          <t>ID</t>
        </is>
      </c>
      <c r="C1" t="inlineStr">
        <is>
          <t>Process_ID</t>
        </is>
      </c>
      <c r="D1" t="inlineStr">
        <is>
          <t>Process_Name</t>
        </is>
      </c>
      <c r="E1" t="inlineStr">
        <is>
          <t>Output_Flow</t>
        </is>
      </c>
      <c r="F1" t="inlineStr">
        <is>
          <t>Process_Logic</t>
        </is>
      </c>
      <c r="G1" t="inlineStr">
        <is>
          <t>TC_Configuration</t>
        </is>
      </c>
      <c r="H1" t="inlineStr">
        <is>
          <t>Stock_Configuration</t>
        </is>
      </c>
      <c r="I1" t="inlineStr">
        <is>
          <t>Outflow_count</t>
        </is>
      </c>
      <c r="J1" t="inlineStr">
        <is>
          <t>Flow_ID</t>
        </is>
      </c>
      <c r="K1" t="inlineStr">
        <is>
          <t>Year</t>
        </is>
      </c>
      <c r="L1" t="inlineStr">
        <is>
          <t>TC_material_ID</t>
        </is>
      </c>
      <c r="M1" t="inlineStr">
        <is>
          <t>TC_Value_material</t>
        </is>
      </c>
      <c r="N1" t="inlineStr">
        <is>
          <t>TC_WC_ID</t>
        </is>
      </c>
      <c r="O1" t="inlineStr">
        <is>
          <t>TC_Value_WC</t>
        </is>
      </c>
      <c r="P1" t="inlineStr">
        <is>
          <t>TC_DM_ID</t>
        </is>
      </c>
      <c r="Q1" t="inlineStr">
        <is>
          <t>TC_Value_DM</t>
        </is>
      </c>
      <c r="R1" t="inlineStr">
        <is>
          <t>TC_CC_ID</t>
        </is>
      </c>
      <c r="S1" t="inlineStr">
        <is>
          <t>TC_Value_CC</t>
        </is>
      </c>
      <c r="T1" t="inlineStr">
        <is>
          <t>Titel_source</t>
        </is>
      </c>
      <c r="U1" t="inlineStr">
        <is>
          <t>Year_publication</t>
        </is>
      </c>
      <c r="V1" t="inlineStr">
        <is>
          <t>Author_source</t>
        </is>
      </c>
      <c r="W1" t="inlineStr">
        <is>
          <t>Type_source</t>
        </is>
      </c>
      <c r="X1" t="inlineStr">
        <is>
          <t>URL_source</t>
        </is>
      </c>
    </row>
    <row r="2">
      <c r="A2" t="b">
        <v>0</v>
      </c>
      <c r="B2">
        <f>ROW()-1</f>
        <v/>
      </c>
      <c r="C2">
        <f>_xlfn.XLOOKUP($D2,Tab_Def_Processes[Process_Name],Tab_Def_Processes[Process_ID],,0,)</f>
        <v/>
      </c>
      <c r="D2" t="inlineStr">
        <is>
          <t>N.A.</t>
        </is>
      </c>
      <c r="E2" t="inlineStr">
        <is>
          <t>N.A.</t>
        </is>
      </c>
      <c r="F2">
        <f>_xlfn.XLOOKUP($D2,Tab_Def_Processes[Process_Name],Tab_Def_Processes[Process_Logic],,0,)</f>
        <v/>
      </c>
      <c r="G2">
        <f>_xlfn.XLOOKUP($D2,Tab_Def_Processes[Process_Name],Tab_Def_Processes[TC_Configuration],,0,)</f>
        <v/>
      </c>
      <c r="H2">
        <f>_xlfn.XLOOKUP($D2,Tab_Def_Processes[Process_Name],Tab_Def_Processes[Stock_Configuration],,0,)</f>
        <v/>
      </c>
      <c r="I2">
        <f>_xlfn.XLOOKUP($D2,Tab_Def_Processes[Process_Name],Tab_Def_Processes[Outflow_count],,0,)</f>
        <v/>
      </c>
      <c r="J2">
        <f>_xlfn.XLOOKUP($E2,Tab_Def_Flows[Flow_Name],Tab_Def_Flows[Flow_ID],,0,1)</f>
        <v/>
      </c>
      <c r="L2">
        <f>"TC_material"&amp;"_"&amp;RIGHT(J2,5)</f>
        <v/>
      </c>
      <c r="N2">
        <f>"TC_WC"&amp;"_"&amp;RIGHT(J2,5)</f>
        <v/>
      </c>
      <c r="P2">
        <f>"TC_DM"&amp;"_"&amp;RIGHT(J2,5)</f>
        <v/>
      </c>
      <c r="R2">
        <f>"TC_CC"&amp;"_"&amp;RIGHT(J2,5)</f>
        <v/>
      </c>
    </row>
    <row r="3">
      <c r="A3" t="b">
        <v>0</v>
      </c>
      <c r="B3">
        <f>ROW()-1</f>
        <v/>
      </c>
      <c r="C3">
        <f>_xlfn.XLOOKUP($D3,Tab_Def_Processes[Process_Name],Tab_Def_Processes[Process_ID],,0,)</f>
        <v/>
      </c>
      <c r="D3" t="inlineStr">
        <is>
          <t>N.A.</t>
        </is>
      </c>
      <c r="E3" t="inlineStr">
        <is>
          <t>N.A.</t>
        </is>
      </c>
      <c r="F3">
        <f>_xlfn.XLOOKUP($D3,Tab_Def_Processes[Process_Name],Tab_Def_Processes[Process_Logic],,0,)</f>
        <v/>
      </c>
      <c r="G3">
        <f>_xlfn.XLOOKUP($D3,Tab_Def_Processes[Process_Name],Tab_Def_Processes[TC_Configuration],,0,)</f>
        <v/>
      </c>
      <c r="H3">
        <f>_xlfn.XLOOKUP($D3,Tab_Def_Processes[Process_Name],Tab_Def_Processes[Stock_Configuration],,0,)</f>
        <v/>
      </c>
      <c r="I3">
        <f>_xlfn.XLOOKUP($D3,Tab_Def_Processes[Process_Name],Tab_Def_Processes[Outflow_count],,0,)</f>
        <v/>
      </c>
      <c r="J3">
        <f>_xlfn.XLOOKUP($E3,Tab_Def_Flows[Flow_Name],Tab_Def_Flows[Flow_ID],,0,1)</f>
        <v/>
      </c>
      <c r="L3">
        <f>"TC_material"&amp;"_"&amp;RIGHT(J3,5)</f>
        <v/>
      </c>
      <c r="N3">
        <f>"TC_WC"&amp;"_"&amp;RIGHT(J3,5)</f>
        <v/>
      </c>
      <c r="P3">
        <f>"TC_DM"&amp;"_"&amp;RIGHT(J3,5)</f>
        <v/>
      </c>
      <c r="R3">
        <f>"TC_CC"&amp;"_"&amp;RIGHT(J3,5)</f>
        <v/>
      </c>
    </row>
    <row r="4">
      <c r="A4" t="b">
        <v>0</v>
      </c>
      <c r="B4">
        <f>ROW()-1</f>
        <v/>
      </c>
      <c r="C4">
        <f>_xlfn.XLOOKUP($D4,Tab_Def_Processes[Process_Name],Tab_Def_Processes[Process_ID],,0,)</f>
        <v/>
      </c>
      <c r="D4" t="inlineStr">
        <is>
          <t>N.A.</t>
        </is>
      </c>
      <c r="E4" t="inlineStr">
        <is>
          <t>N.A.</t>
        </is>
      </c>
      <c r="F4">
        <f>_xlfn.XLOOKUP($D4,Tab_Def_Processes[Process_Name],Tab_Def_Processes[Process_Logic],,0,)</f>
        <v/>
      </c>
      <c r="G4">
        <f>_xlfn.XLOOKUP($D4,Tab_Def_Processes[Process_Name],Tab_Def_Processes[TC_Configuration],,0,)</f>
        <v/>
      </c>
      <c r="H4">
        <f>_xlfn.XLOOKUP($D4,Tab_Def_Processes[Process_Name],Tab_Def_Processes[Stock_Configuration],,0,)</f>
        <v/>
      </c>
      <c r="I4">
        <f>_xlfn.XLOOKUP($D4,Tab_Def_Processes[Process_Name],Tab_Def_Processes[Outflow_count],,0,)</f>
        <v/>
      </c>
      <c r="J4">
        <f>_xlfn.XLOOKUP($E4,Tab_Def_Flows[Flow_Name],Tab_Def_Flows[Flow_ID],,0,1)</f>
        <v/>
      </c>
      <c r="L4">
        <f>"TC_material"&amp;"_"&amp;RIGHT(J4,5)</f>
        <v/>
      </c>
      <c r="N4">
        <f>"TC_WC"&amp;"_"&amp;RIGHT(J4,5)</f>
        <v/>
      </c>
      <c r="P4">
        <f>"TC_DM"&amp;"_"&amp;RIGHT(J4,5)</f>
        <v/>
      </c>
      <c r="R4">
        <f>"TC_CC"&amp;"_"&amp;RIGHT(J4,5)</f>
        <v/>
      </c>
    </row>
    <row r="5">
      <c r="A5" t="b">
        <v>0</v>
      </c>
      <c r="B5">
        <f>ROW()-1</f>
        <v/>
      </c>
      <c r="C5">
        <f>_xlfn.XLOOKUP($D5,Tab_Def_Processes[Process_Name],Tab_Def_Processes[Process_ID],,0,)</f>
        <v/>
      </c>
      <c r="D5" t="inlineStr">
        <is>
          <t>N.A.</t>
        </is>
      </c>
      <c r="E5" t="inlineStr">
        <is>
          <t>N.A.</t>
        </is>
      </c>
      <c r="F5">
        <f>_xlfn.XLOOKUP($D5,Tab_Def_Processes[Process_Name],Tab_Def_Processes[Process_Logic],,0,)</f>
        <v/>
      </c>
      <c r="G5">
        <f>_xlfn.XLOOKUP($D5,Tab_Def_Processes[Process_Name],Tab_Def_Processes[TC_Configuration],,0,)</f>
        <v/>
      </c>
      <c r="H5">
        <f>_xlfn.XLOOKUP($D5,Tab_Def_Processes[Process_Name],Tab_Def_Processes[Stock_Configuration],,0,)</f>
        <v/>
      </c>
      <c r="I5">
        <f>_xlfn.XLOOKUP($D5,Tab_Def_Processes[Process_Name],Tab_Def_Processes[Outflow_count],,0,)</f>
        <v/>
      </c>
      <c r="J5">
        <f>_xlfn.XLOOKUP($E5,Tab_Def_Flows[Flow_Name],Tab_Def_Flows[Flow_ID],,0,1)</f>
        <v/>
      </c>
      <c r="L5">
        <f>"TC_material"&amp;"_"&amp;RIGHT(J5,5)</f>
        <v/>
      </c>
      <c r="N5">
        <f>"TC_WC"&amp;"_"&amp;RIGHT(J5,5)</f>
        <v/>
      </c>
      <c r="P5">
        <f>"TC_DM"&amp;"_"&amp;RIGHT(J5,5)</f>
        <v/>
      </c>
      <c r="R5">
        <f>"TC_CC"&amp;"_"&amp;RIGHT(J5,5)</f>
        <v/>
      </c>
    </row>
    <row r="6">
      <c r="A6" t="b">
        <v>0</v>
      </c>
      <c r="B6">
        <f>ROW()-1</f>
        <v/>
      </c>
      <c r="C6">
        <f>_xlfn.XLOOKUP($D6,Tab_Def_Processes[Process_Name],Tab_Def_Processes[Process_ID],,0,)</f>
        <v/>
      </c>
      <c r="D6" t="inlineStr">
        <is>
          <t>N.A.</t>
        </is>
      </c>
      <c r="E6" t="inlineStr">
        <is>
          <t>N.A.</t>
        </is>
      </c>
      <c r="F6">
        <f>_xlfn.XLOOKUP($D6,Tab_Def_Processes[Process_Name],Tab_Def_Processes[Process_Logic],,0,)</f>
        <v/>
      </c>
      <c r="G6">
        <f>_xlfn.XLOOKUP($D6,Tab_Def_Processes[Process_Name],Tab_Def_Processes[TC_Configuration],,0,)</f>
        <v/>
      </c>
      <c r="H6">
        <f>_xlfn.XLOOKUP($D6,Tab_Def_Processes[Process_Name],Tab_Def_Processes[Stock_Configuration],,0,)</f>
        <v/>
      </c>
      <c r="I6">
        <f>_xlfn.XLOOKUP($D6,Tab_Def_Processes[Process_Name],Tab_Def_Processes[Outflow_count],,0,)</f>
        <v/>
      </c>
      <c r="J6">
        <f>_xlfn.XLOOKUP($E6,Tab_Def_Flows[Flow_Name],Tab_Def_Flows[Flow_ID],,0,1)</f>
        <v/>
      </c>
      <c r="L6">
        <f>"TC_material"&amp;"_"&amp;RIGHT(J6,5)</f>
        <v/>
      </c>
      <c r="N6">
        <f>"TC_WC"&amp;"_"&amp;RIGHT(J6,5)</f>
        <v/>
      </c>
      <c r="P6">
        <f>"TC_DM"&amp;"_"&amp;RIGHT(J6,5)</f>
        <v/>
      </c>
      <c r="R6">
        <f>"TC_CC"&amp;"_"&amp;RIGHT(J6,5)</f>
        <v/>
      </c>
    </row>
    <row r="7">
      <c r="A7" t="b">
        <v>0</v>
      </c>
      <c r="B7">
        <f>ROW()-1</f>
        <v/>
      </c>
      <c r="C7">
        <f>_xlfn.XLOOKUP($D7,Tab_Def_Processes[Process_Name],Tab_Def_Processes[Process_ID],,0,)</f>
        <v/>
      </c>
      <c r="D7" t="inlineStr">
        <is>
          <t>N.A.</t>
        </is>
      </c>
      <c r="E7" t="inlineStr">
        <is>
          <t>N.A.</t>
        </is>
      </c>
      <c r="F7">
        <f>_xlfn.XLOOKUP($D7,Tab_Def_Processes[Process_Name],Tab_Def_Processes[Process_Logic],,0,)</f>
        <v/>
      </c>
      <c r="G7">
        <f>_xlfn.XLOOKUP($D7,Tab_Def_Processes[Process_Name],Tab_Def_Processes[TC_Configuration],,0,)</f>
        <v/>
      </c>
      <c r="H7">
        <f>_xlfn.XLOOKUP($D7,Tab_Def_Processes[Process_Name],Tab_Def_Processes[Stock_Configuration],,0,)</f>
        <v/>
      </c>
      <c r="I7">
        <f>_xlfn.XLOOKUP($D7,Tab_Def_Processes[Process_Name],Tab_Def_Processes[Outflow_count],,0,)</f>
        <v/>
      </c>
      <c r="J7">
        <f>_xlfn.XLOOKUP($E7,Tab_Def_Flows[Flow_Name],Tab_Def_Flows[Flow_ID],,0,1)</f>
        <v/>
      </c>
      <c r="L7">
        <f>"TC_material"&amp;"_"&amp;RIGHT(J7,5)</f>
        <v/>
      </c>
      <c r="N7">
        <f>"TC_WC"&amp;"_"&amp;RIGHT(J7,5)</f>
        <v/>
      </c>
      <c r="P7">
        <f>"TC_DM"&amp;"_"&amp;RIGHT(J7,5)</f>
        <v/>
      </c>
      <c r="R7">
        <f>"TC_CC"&amp;"_"&amp;RIGHT(J7,5)</f>
        <v/>
      </c>
    </row>
    <row r="8">
      <c r="A8" t="b">
        <v>0</v>
      </c>
      <c r="B8">
        <f>ROW()-1</f>
        <v/>
      </c>
      <c r="C8">
        <f>_xlfn.XLOOKUP($D8,Tab_Def_Processes[Process_Name],Tab_Def_Processes[Process_ID],,0,)</f>
        <v/>
      </c>
      <c r="D8" t="inlineStr">
        <is>
          <t>N.A.</t>
        </is>
      </c>
      <c r="E8" t="inlineStr">
        <is>
          <t>N.A.</t>
        </is>
      </c>
      <c r="F8">
        <f>_xlfn.XLOOKUP($D8,Tab_Def_Processes[Process_Name],Tab_Def_Processes[Process_Logic],,0,)</f>
        <v/>
      </c>
      <c r="G8">
        <f>_xlfn.XLOOKUP($D8,Tab_Def_Processes[Process_Name],Tab_Def_Processes[TC_Configuration],,0,)</f>
        <v/>
      </c>
      <c r="H8">
        <f>_xlfn.XLOOKUP($D8,Tab_Def_Processes[Process_Name],Tab_Def_Processes[Stock_Configuration],,0,)</f>
        <v/>
      </c>
      <c r="I8">
        <f>_xlfn.XLOOKUP($D8,Tab_Def_Processes[Process_Name],Tab_Def_Processes[Outflow_count],,0,)</f>
        <v/>
      </c>
      <c r="J8">
        <f>_xlfn.XLOOKUP($E8,Tab_Def_Flows[Flow_Name],Tab_Def_Flows[Flow_ID],,0,1)</f>
        <v/>
      </c>
      <c r="L8">
        <f>"TC_material"&amp;"_"&amp;RIGHT(J8,5)</f>
        <v/>
      </c>
      <c r="N8">
        <f>"TC_WC"&amp;"_"&amp;RIGHT(J8,5)</f>
        <v/>
      </c>
      <c r="P8">
        <f>"TC_DM"&amp;"_"&amp;RIGHT(J8,5)</f>
        <v/>
      </c>
      <c r="R8">
        <f>"TC_CC"&amp;"_"&amp;RIGHT(J8,5)</f>
        <v/>
      </c>
    </row>
    <row r="9">
      <c r="A9" t="b">
        <v>0</v>
      </c>
      <c r="B9">
        <f>ROW()-1</f>
        <v/>
      </c>
      <c r="C9">
        <f>_xlfn.XLOOKUP($D9,Tab_Def_Processes[Process_Name],Tab_Def_Processes[Process_ID],,0,)</f>
        <v/>
      </c>
      <c r="D9" t="inlineStr">
        <is>
          <t>N.A.</t>
        </is>
      </c>
      <c r="E9" t="inlineStr">
        <is>
          <t>N.A.</t>
        </is>
      </c>
      <c r="F9">
        <f>_xlfn.XLOOKUP($D9,Tab_Def_Processes[Process_Name],Tab_Def_Processes[Process_Logic],,0,)</f>
        <v/>
      </c>
      <c r="G9">
        <f>_xlfn.XLOOKUP($D9,Tab_Def_Processes[Process_Name],Tab_Def_Processes[TC_Configuration],,0,)</f>
        <v/>
      </c>
      <c r="H9">
        <f>_xlfn.XLOOKUP($D9,Tab_Def_Processes[Process_Name],Tab_Def_Processes[Stock_Configuration],,0,)</f>
        <v/>
      </c>
      <c r="I9">
        <f>_xlfn.XLOOKUP($D9,Tab_Def_Processes[Process_Name],Tab_Def_Processes[Outflow_count],,0,)</f>
        <v/>
      </c>
      <c r="J9">
        <f>_xlfn.XLOOKUP($E9,Tab_Def_Flows[Flow_Name],Tab_Def_Flows[Flow_ID],,0,1)</f>
        <v/>
      </c>
      <c r="L9">
        <f>"TC_material"&amp;"_"&amp;RIGHT(J9,5)</f>
        <v/>
      </c>
      <c r="N9">
        <f>"TC_WC"&amp;"_"&amp;RIGHT(J9,5)</f>
        <v/>
      </c>
      <c r="P9">
        <f>"TC_DM"&amp;"_"&amp;RIGHT(J9,5)</f>
        <v/>
      </c>
      <c r="R9">
        <f>"TC_CC"&amp;"_"&amp;RIGHT(J9,5)</f>
        <v/>
      </c>
    </row>
    <row r="10">
      <c r="A10" t="b">
        <v>0</v>
      </c>
      <c r="B10">
        <f>ROW()-1</f>
        <v/>
      </c>
      <c r="C10">
        <f>_xlfn.XLOOKUP($D10,Tab_Def_Processes[Process_Name],Tab_Def_Processes[Process_ID],,0,)</f>
        <v/>
      </c>
      <c r="D10" t="inlineStr">
        <is>
          <t>N.A.</t>
        </is>
      </c>
      <c r="E10" t="inlineStr">
        <is>
          <t>N.A.</t>
        </is>
      </c>
      <c r="F10">
        <f>_xlfn.XLOOKUP($D10,Tab_Def_Processes[Process_Name],Tab_Def_Processes[Process_Logic],,0,)</f>
        <v/>
      </c>
      <c r="G10">
        <f>_xlfn.XLOOKUP($D10,Tab_Def_Processes[Process_Name],Tab_Def_Processes[TC_Configuration],,0,)</f>
        <v/>
      </c>
      <c r="H10">
        <f>_xlfn.XLOOKUP($D10,Tab_Def_Processes[Process_Name],Tab_Def_Processes[Stock_Configuration],,0,)</f>
        <v/>
      </c>
      <c r="I10">
        <f>_xlfn.XLOOKUP($D10,Tab_Def_Processes[Process_Name],Tab_Def_Processes[Outflow_count],,0,)</f>
        <v/>
      </c>
      <c r="J10">
        <f>_xlfn.XLOOKUP($E10,Tab_Def_Flows[Flow_Name],Tab_Def_Flows[Flow_ID],,0,1)</f>
        <v/>
      </c>
      <c r="L10">
        <f>"TC_material"&amp;"_"&amp;RIGHT(J10,5)</f>
        <v/>
      </c>
      <c r="N10">
        <f>"TC_WC"&amp;"_"&amp;RIGHT(J10,5)</f>
        <v/>
      </c>
      <c r="P10">
        <f>"TC_DM"&amp;"_"&amp;RIGHT(J10,5)</f>
        <v/>
      </c>
      <c r="R10">
        <f>"TC_CC"&amp;"_"&amp;RIGHT(J10,5)</f>
        <v/>
      </c>
    </row>
    <row r="11">
      <c r="A11" t="b">
        <v>0</v>
      </c>
      <c r="B11">
        <f>ROW()-1</f>
        <v/>
      </c>
      <c r="C11">
        <f>_xlfn.XLOOKUP($D11,Tab_Def_Processes[Process_Name],Tab_Def_Processes[Process_ID],,0,)</f>
        <v/>
      </c>
      <c r="D11" t="inlineStr">
        <is>
          <t>N.A.</t>
        </is>
      </c>
      <c r="E11" t="inlineStr">
        <is>
          <t>N.A.</t>
        </is>
      </c>
      <c r="F11">
        <f>_xlfn.XLOOKUP($D11,Tab_Def_Processes[Process_Name],Tab_Def_Processes[Process_Logic],,0,)</f>
        <v/>
      </c>
      <c r="G11">
        <f>_xlfn.XLOOKUP($D11,Tab_Def_Processes[Process_Name],Tab_Def_Processes[TC_Configuration],,0,)</f>
        <v/>
      </c>
      <c r="H11">
        <f>_xlfn.XLOOKUP($D11,Tab_Def_Processes[Process_Name],Tab_Def_Processes[Stock_Configuration],,0,)</f>
        <v/>
      </c>
      <c r="I11">
        <f>_xlfn.XLOOKUP($D11,Tab_Def_Processes[Process_Name],Tab_Def_Processes[Outflow_count],,0,)</f>
        <v/>
      </c>
      <c r="J11">
        <f>_xlfn.XLOOKUP($E11,Tab_Def_Flows[Flow_Name],Tab_Def_Flows[Flow_ID],,0,1)</f>
        <v/>
      </c>
      <c r="L11">
        <f>"TC_material"&amp;"_"&amp;RIGHT(J11,5)</f>
        <v/>
      </c>
      <c r="N11">
        <f>"TC_WC"&amp;"_"&amp;RIGHT(J11,5)</f>
        <v/>
      </c>
      <c r="P11">
        <f>"TC_DM"&amp;"_"&amp;RIGHT(J11,5)</f>
        <v/>
      </c>
      <c r="R11">
        <f>"TC_CC"&amp;"_"&amp;RIGHT(J11,5)</f>
        <v/>
      </c>
    </row>
    <row r="12">
      <c r="A12" t="b">
        <v>0</v>
      </c>
      <c r="B12">
        <f>ROW()-1</f>
        <v/>
      </c>
      <c r="C12">
        <f>_xlfn.XLOOKUP($D12,Tab_Def_Processes[Process_Name],Tab_Def_Processes[Process_ID],,0,)</f>
        <v/>
      </c>
      <c r="D12" t="inlineStr">
        <is>
          <t>N.A.</t>
        </is>
      </c>
      <c r="E12" t="inlineStr">
        <is>
          <t>N.A.</t>
        </is>
      </c>
      <c r="F12">
        <f>_xlfn.XLOOKUP($D12,Tab_Def_Processes[Process_Name],Tab_Def_Processes[Process_Logic],,0,)</f>
        <v/>
      </c>
      <c r="G12">
        <f>_xlfn.XLOOKUP($D12,Tab_Def_Processes[Process_Name],Tab_Def_Processes[TC_Configuration],,0,)</f>
        <v/>
      </c>
      <c r="H12">
        <f>_xlfn.XLOOKUP($D12,Tab_Def_Processes[Process_Name],Tab_Def_Processes[Stock_Configuration],,0,)</f>
        <v/>
      </c>
      <c r="I12">
        <f>_xlfn.XLOOKUP($D12,Tab_Def_Processes[Process_Name],Tab_Def_Processes[Outflow_count],,0,)</f>
        <v/>
      </c>
      <c r="J12">
        <f>_xlfn.XLOOKUP($E12,Tab_Def_Flows[Flow_Name],Tab_Def_Flows[Flow_ID],,0,1)</f>
        <v/>
      </c>
      <c r="L12">
        <f>"TC_material"&amp;"_"&amp;RIGHT(J12,5)</f>
        <v/>
      </c>
      <c r="N12">
        <f>"TC_WC"&amp;"_"&amp;RIGHT(J12,5)</f>
        <v/>
      </c>
      <c r="P12">
        <f>"TC_DM"&amp;"_"&amp;RIGHT(J12,5)</f>
        <v/>
      </c>
      <c r="R12">
        <f>"TC_CC"&amp;"_"&amp;RIGHT(J12,5)</f>
        <v/>
      </c>
    </row>
    <row r="13">
      <c r="A13" t="b">
        <v>0</v>
      </c>
      <c r="B13">
        <f>ROW()-1</f>
        <v/>
      </c>
      <c r="C13">
        <f>_xlfn.XLOOKUP($D13,Tab_Def_Processes[Process_Name],Tab_Def_Processes[Process_ID],,0,)</f>
        <v/>
      </c>
      <c r="D13" t="inlineStr">
        <is>
          <t>N.A.</t>
        </is>
      </c>
      <c r="E13" t="inlineStr">
        <is>
          <t>N.A.</t>
        </is>
      </c>
      <c r="F13">
        <f>_xlfn.XLOOKUP($D13,Tab_Def_Processes[Process_Name],Tab_Def_Processes[Process_Logic],,0,)</f>
        <v/>
      </c>
      <c r="G13">
        <f>_xlfn.XLOOKUP($D13,Tab_Def_Processes[Process_Name],Tab_Def_Processes[TC_Configuration],,0,)</f>
        <v/>
      </c>
      <c r="H13">
        <f>_xlfn.XLOOKUP($D13,Tab_Def_Processes[Process_Name],Tab_Def_Processes[Stock_Configuration],,0,)</f>
        <v/>
      </c>
      <c r="I13">
        <f>_xlfn.XLOOKUP($D13,Tab_Def_Processes[Process_Name],Tab_Def_Processes[Outflow_count],,0,)</f>
        <v/>
      </c>
      <c r="J13">
        <f>_xlfn.XLOOKUP($E13,Tab_Def_Flows[Flow_Name],Tab_Def_Flows[Flow_ID],,0,1)</f>
        <v/>
      </c>
      <c r="L13">
        <f>"TC_material"&amp;"_"&amp;RIGHT(J13,5)</f>
        <v/>
      </c>
      <c r="N13">
        <f>"TC_WC"&amp;"_"&amp;RIGHT(J13,5)</f>
        <v/>
      </c>
      <c r="P13">
        <f>"TC_DM"&amp;"_"&amp;RIGHT(J13,5)</f>
        <v/>
      </c>
      <c r="R13">
        <f>"TC_CC"&amp;"_"&amp;RIGHT(J13,5)</f>
        <v/>
      </c>
    </row>
    <row r="14">
      <c r="A14" t="b">
        <v>0</v>
      </c>
      <c r="B14">
        <f>ROW()-1</f>
        <v/>
      </c>
      <c r="C14">
        <f>_xlfn.XLOOKUP($D14,Tab_Def_Processes[Process_Name],Tab_Def_Processes[Process_ID],,0,)</f>
        <v/>
      </c>
      <c r="D14" t="inlineStr">
        <is>
          <t>N.A.</t>
        </is>
      </c>
      <c r="E14" t="inlineStr">
        <is>
          <t>N.A.</t>
        </is>
      </c>
      <c r="F14">
        <f>_xlfn.XLOOKUP($D14,Tab_Def_Processes[Process_Name],Tab_Def_Processes[Process_Logic],,0,)</f>
        <v/>
      </c>
      <c r="G14">
        <f>_xlfn.XLOOKUP($D14,Tab_Def_Processes[Process_Name],Tab_Def_Processes[TC_Configuration],,0,)</f>
        <v/>
      </c>
      <c r="H14">
        <f>_xlfn.XLOOKUP($D14,Tab_Def_Processes[Process_Name],Tab_Def_Processes[Stock_Configuration],,0,)</f>
        <v/>
      </c>
      <c r="I14">
        <f>_xlfn.XLOOKUP($D14,Tab_Def_Processes[Process_Name],Tab_Def_Processes[Outflow_count],,0,)</f>
        <v/>
      </c>
      <c r="J14">
        <f>_xlfn.XLOOKUP($E14,Tab_Def_Flows[Flow_Name],Tab_Def_Flows[Flow_ID],,0,1)</f>
        <v/>
      </c>
      <c r="L14">
        <f>"TC_material"&amp;"_"&amp;RIGHT(J14,5)</f>
        <v/>
      </c>
      <c r="N14">
        <f>"TC_WC"&amp;"_"&amp;RIGHT(J14,5)</f>
        <v/>
      </c>
      <c r="P14">
        <f>"TC_DM"&amp;"_"&amp;RIGHT(J14,5)</f>
        <v/>
      </c>
      <c r="R14">
        <f>"TC_CC"&amp;"_"&amp;RIGHT(J14,5)</f>
        <v/>
      </c>
    </row>
    <row r="15">
      <c r="A15" t="b">
        <v>0</v>
      </c>
      <c r="B15">
        <f>ROW()-1</f>
        <v/>
      </c>
      <c r="C15">
        <f>_xlfn.XLOOKUP($D15,Tab_Def_Processes[Process_Name],Tab_Def_Processes[Process_ID],,0,)</f>
        <v/>
      </c>
      <c r="D15" t="inlineStr">
        <is>
          <t>N.A.</t>
        </is>
      </c>
      <c r="E15" t="inlineStr">
        <is>
          <t>N.A.</t>
        </is>
      </c>
      <c r="F15">
        <f>_xlfn.XLOOKUP($D15,Tab_Def_Processes[Process_Name],Tab_Def_Processes[Process_Logic],,0,)</f>
        <v/>
      </c>
      <c r="G15">
        <f>_xlfn.XLOOKUP($D15,Tab_Def_Processes[Process_Name],Tab_Def_Processes[TC_Configuration],,0,)</f>
        <v/>
      </c>
      <c r="H15">
        <f>_xlfn.XLOOKUP($D15,Tab_Def_Processes[Process_Name],Tab_Def_Processes[Stock_Configuration],,0,)</f>
        <v/>
      </c>
      <c r="I15">
        <f>_xlfn.XLOOKUP($D15,Tab_Def_Processes[Process_Name],Tab_Def_Processes[Outflow_count],,0,)</f>
        <v/>
      </c>
      <c r="J15">
        <f>_xlfn.XLOOKUP($E15,Tab_Def_Flows[Flow_Name],Tab_Def_Flows[Flow_ID],,0,1)</f>
        <v/>
      </c>
      <c r="L15">
        <f>"TC_material"&amp;"_"&amp;RIGHT(J15,5)</f>
        <v/>
      </c>
      <c r="N15">
        <f>"TC_WC"&amp;"_"&amp;RIGHT(J15,5)</f>
        <v/>
      </c>
      <c r="P15">
        <f>"TC_DM"&amp;"_"&amp;RIGHT(J15,5)</f>
        <v/>
      </c>
      <c r="R15">
        <f>"TC_CC"&amp;"_"&amp;RIGHT(J15,5)</f>
        <v/>
      </c>
    </row>
    <row r="16">
      <c r="A16" t="b">
        <v>0</v>
      </c>
      <c r="B16">
        <f>ROW()-1</f>
        <v/>
      </c>
      <c r="C16">
        <f>_xlfn.XLOOKUP($D16,Tab_Def_Processes[Process_Name],Tab_Def_Processes[Process_ID],,0,)</f>
        <v/>
      </c>
      <c r="D16" t="inlineStr">
        <is>
          <t>N.A.</t>
        </is>
      </c>
      <c r="E16" t="inlineStr">
        <is>
          <t>N.A.</t>
        </is>
      </c>
      <c r="F16">
        <f>_xlfn.XLOOKUP($D16,Tab_Def_Processes[Process_Name],Tab_Def_Processes[Process_Logic],,0,)</f>
        <v/>
      </c>
      <c r="G16">
        <f>_xlfn.XLOOKUP($D16,Tab_Def_Processes[Process_Name],Tab_Def_Processes[TC_Configuration],,0,)</f>
        <v/>
      </c>
      <c r="H16">
        <f>_xlfn.XLOOKUP($D16,Tab_Def_Processes[Process_Name],Tab_Def_Processes[Stock_Configuration],,0,)</f>
        <v/>
      </c>
      <c r="I16">
        <f>_xlfn.XLOOKUP($D16,Tab_Def_Processes[Process_Name],Tab_Def_Processes[Outflow_count],,0,)</f>
        <v/>
      </c>
      <c r="J16">
        <f>_xlfn.XLOOKUP($E16,Tab_Def_Flows[Flow_Name],Tab_Def_Flows[Flow_ID],,0,1)</f>
        <v/>
      </c>
      <c r="L16">
        <f>"TC_material"&amp;"_"&amp;RIGHT(J16,5)</f>
        <v/>
      </c>
      <c r="N16">
        <f>"TC_WC"&amp;"_"&amp;RIGHT(J16,5)</f>
        <v/>
      </c>
      <c r="P16">
        <f>"TC_DM"&amp;"_"&amp;RIGHT(J16,5)</f>
        <v/>
      </c>
      <c r="R16">
        <f>"TC_CC"&amp;"_"&amp;RIGHT(J16,5)</f>
        <v/>
      </c>
    </row>
    <row r="17">
      <c r="A17" t="b">
        <v>0</v>
      </c>
      <c r="B17">
        <f>ROW()-1</f>
        <v/>
      </c>
      <c r="C17">
        <f>_xlfn.XLOOKUP($D17,Tab_Def_Processes[Process_Name],Tab_Def_Processes[Process_ID],,0,)</f>
        <v/>
      </c>
      <c r="D17" t="inlineStr">
        <is>
          <t>N.A.</t>
        </is>
      </c>
      <c r="E17" t="inlineStr">
        <is>
          <t>N.A.</t>
        </is>
      </c>
      <c r="F17">
        <f>_xlfn.XLOOKUP($D17,Tab_Def_Processes[Process_Name],Tab_Def_Processes[Process_Logic],,0,)</f>
        <v/>
      </c>
      <c r="G17">
        <f>_xlfn.XLOOKUP($D17,Tab_Def_Processes[Process_Name],Tab_Def_Processes[TC_Configuration],,0,)</f>
        <v/>
      </c>
      <c r="H17">
        <f>_xlfn.XLOOKUP($D17,Tab_Def_Processes[Process_Name],Tab_Def_Processes[Stock_Configuration],,0,)</f>
        <v/>
      </c>
      <c r="I17">
        <f>_xlfn.XLOOKUP($D17,Tab_Def_Processes[Process_Name],Tab_Def_Processes[Outflow_count],,0,)</f>
        <v/>
      </c>
      <c r="J17">
        <f>_xlfn.XLOOKUP($E17,Tab_Def_Flows[Flow_Name],Tab_Def_Flows[Flow_ID],,0,1)</f>
        <v/>
      </c>
      <c r="L17">
        <f>"TC_material"&amp;"_"&amp;RIGHT(J17,5)</f>
        <v/>
      </c>
      <c r="N17">
        <f>"TC_WC"&amp;"_"&amp;RIGHT(J17,5)</f>
        <v/>
      </c>
      <c r="P17">
        <f>"TC_DM"&amp;"_"&amp;RIGHT(J17,5)</f>
        <v/>
      </c>
      <c r="R17">
        <f>"TC_CC"&amp;"_"&amp;RIGHT(J17,5)</f>
        <v/>
      </c>
    </row>
    <row r="18">
      <c r="A18" t="b">
        <v>0</v>
      </c>
      <c r="B18">
        <f>ROW()-1</f>
        <v/>
      </c>
      <c r="C18">
        <f>_xlfn.XLOOKUP($D18,Tab_Def_Processes[Process_Name],Tab_Def_Processes[Process_ID],,0,)</f>
        <v/>
      </c>
      <c r="D18" t="inlineStr">
        <is>
          <t>N.A.</t>
        </is>
      </c>
      <c r="E18" t="inlineStr">
        <is>
          <t>N.A.</t>
        </is>
      </c>
      <c r="F18">
        <f>_xlfn.XLOOKUP($D18,Tab_Def_Processes[Process_Name],Tab_Def_Processes[Process_Logic],,0,)</f>
        <v/>
      </c>
      <c r="G18">
        <f>_xlfn.XLOOKUP($D18,Tab_Def_Processes[Process_Name],Tab_Def_Processes[TC_Configuration],,0,)</f>
        <v/>
      </c>
      <c r="H18">
        <f>_xlfn.XLOOKUP($D18,Tab_Def_Processes[Process_Name],Tab_Def_Processes[Stock_Configuration],,0,)</f>
        <v/>
      </c>
      <c r="I18">
        <f>_xlfn.XLOOKUP($D18,Tab_Def_Processes[Process_Name],Tab_Def_Processes[Outflow_count],,0,)</f>
        <v/>
      </c>
      <c r="J18">
        <f>_xlfn.XLOOKUP($E18,Tab_Def_Flows[Flow_Name],Tab_Def_Flows[Flow_ID],,0,1)</f>
        <v/>
      </c>
      <c r="L18">
        <f>"TC_material"&amp;"_"&amp;RIGHT(J18,5)</f>
        <v/>
      </c>
      <c r="N18">
        <f>"TC_WC"&amp;"_"&amp;RIGHT(J18,5)</f>
        <v/>
      </c>
      <c r="P18">
        <f>"TC_DM"&amp;"_"&amp;RIGHT(J18,5)</f>
        <v/>
      </c>
      <c r="R18">
        <f>"TC_CC"&amp;"_"&amp;RIGHT(J18,5)</f>
        <v/>
      </c>
    </row>
    <row r="19">
      <c r="A19" t="b">
        <v>0</v>
      </c>
      <c r="B19">
        <f>ROW()-1</f>
        <v/>
      </c>
      <c r="C19">
        <f>_xlfn.XLOOKUP($D19,Tab_Def_Processes[Process_Name],Tab_Def_Processes[Process_ID],,0,)</f>
        <v/>
      </c>
      <c r="D19" t="inlineStr">
        <is>
          <t>N.A.</t>
        </is>
      </c>
      <c r="E19" t="inlineStr">
        <is>
          <t>N.A.</t>
        </is>
      </c>
      <c r="F19">
        <f>_xlfn.XLOOKUP($D19,Tab_Def_Processes[Process_Name],Tab_Def_Processes[Process_Logic],,0,)</f>
        <v/>
      </c>
      <c r="G19">
        <f>_xlfn.XLOOKUP($D19,Tab_Def_Processes[Process_Name],Tab_Def_Processes[TC_Configuration],,0,)</f>
        <v/>
      </c>
      <c r="H19">
        <f>_xlfn.XLOOKUP($D19,Tab_Def_Processes[Process_Name],Tab_Def_Processes[Stock_Configuration],,0,)</f>
        <v/>
      </c>
      <c r="I19">
        <f>_xlfn.XLOOKUP($D19,Tab_Def_Processes[Process_Name],Tab_Def_Processes[Outflow_count],,0,)</f>
        <v/>
      </c>
      <c r="J19">
        <f>_xlfn.XLOOKUP($E19,Tab_Def_Flows[Flow_Name],Tab_Def_Flows[Flow_ID],,0,1)</f>
        <v/>
      </c>
      <c r="L19">
        <f>"TC_material"&amp;"_"&amp;RIGHT(J19,5)</f>
        <v/>
      </c>
      <c r="N19">
        <f>"TC_WC"&amp;"_"&amp;RIGHT(J19,5)</f>
        <v/>
      </c>
      <c r="P19">
        <f>"TC_DM"&amp;"_"&amp;RIGHT(J19,5)</f>
        <v/>
      </c>
      <c r="R19">
        <f>"TC_CC"&amp;"_"&amp;RIGHT(J19,5)</f>
        <v/>
      </c>
    </row>
    <row r="20">
      <c r="A20" t="b">
        <v>0</v>
      </c>
      <c r="B20">
        <f>ROW()-1</f>
        <v/>
      </c>
      <c r="C20">
        <f>_xlfn.XLOOKUP($D20,Tab_Def_Processes[Process_Name],Tab_Def_Processes[Process_ID],,0,)</f>
        <v/>
      </c>
      <c r="D20" t="inlineStr">
        <is>
          <t>N.A.</t>
        </is>
      </c>
      <c r="E20" t="inlineStr">
        <is>
          <t>N.A.</t>
        </is>
      </c>
      <c r="F20">
        <f>_xlfn.XLOOKUP($D20,Tab_Def_Processes[Process_Name],Tab_Def_Processes[Process_Logic],,0,)</f>
        <v/>
      </c>
      <c r="G20">
        <f>_xlfn.XLOOKUP($D20,Tab_Def_Processes[Process_Name],Tab_Def_Processes[TC_Configuration],,0,)</f>
        <v/>
      </c>
      <c r="H20">
        <f>_xlfn.XLOOKUP($D20,Tab_Def_Processes[Process_Name],Tab_Def_Processes[Stock_Configuration],,0,)</f>
        <v/>
      </c>
      <c r="I20">
        <f>_xlfn.XLOOKUP($D20,Tab_Def_Processes[Process_Name],Tab_Def_Processes[Outflow_count],,0,)</f>
        <v/>
      </c>
      <c r="J20">
        <f>_xlfn.XLOOKUP($E20,Tab_Def_Flows[Flow_Name],Tab_Def_Flows[Flow_ID],,0,1)</f>
        <v/>
      </c>
      <c r="L20">
        <f>"TC_material"&amp;"_"&amp;RIGHT(J20,5)</f>
        <v/>
      </c>
      <c r="N20">
        <f>"TC_WC"&amp;"_"&amp;RIGHT(J20,5)</f>
        <v/>
      </c>
      <c r="P20">
        <f>"TC_DM"&amp;"_"&amp;RIGHT(J20,5)</f>
        <v/>
      </c>
      <c r="R20">
        <f>"TC_CC"&amp;"_"&amp;RIGHT(J20,5)</f>
        <v/>
      </c>
    </row>
    <row r="21">
      <c r="A21" t="b">
        <v>0</v>
      </c>
      <c r="B21">
        <f>ROW()-1</f>
        <v/>
      </c>
      <c r="C21">
        <f>_xlfn.XLOOKUP($D21,Tab_Def_Processes[Process_Name],Tab_Def_Processes[Process_ID],,0,)</f>
        <v/>
      </c>
      <c r="D21" t="inlineStr">
        <is>
          <t>N.A.</t>
        </is>
      </c>
      <c r="E21" t="inlineStr">
        <is>
          <t>N.A.</t>
        </is>
      </c>
      <c r="F21">
        <f>_xlfn.XLOOKUP($D21,Tab_Def_Processes[Process_Name],Tab_Def_Processes[Process_Logic],,0,)</f>
        <v/>
      </c>
      <c r="G21">
        <f>_xlfn.XLOOKUP($D21,Tab_Def_Processes[Process_Name],Tab_Def_Processes[TC_Configuration],,0,)</f>
        <v/>
      </c>
      <c r="H21">
        <f>_xlfn.XLOOKUP($D21,Tab_Def_Processes[Process_Name],Tab_Def_Processes[Stock_Configuration],,0,)</f>
        <v/>
      </c>
      <c r="I21">
        <f>_xlfn.XLOOKUP($D21,Tab_Def_Processes[Process_Name],Tab_Def_Processes[Outflow_count],,0,)</f>
        <v/>
      </c>
      <c r="J21">
        <f>_xlfn.XLOOKUP($E21,Tab_Def_Flows[Flow_Name],Tab_Def_Flows[Flow_ID],,0,1)</f>
        <v/>
      </c>
      <c r="L21">
        <f>"TC_material"&amp;"_"&amp;RIGHT(J21,5)</f>
        <v/>
      </c>
      <c r="N21">
        <f>"TC_WC"&amp;"_"&amp;RIGHT(J21,5)</f>
        <v/>
      </c>
      <c r="P21">
        <f>"TC_DM"&amp;"_"&amp;RIGHT(J21,5)</f>
        <v/>
      </c>
      <c r="R21">
        <f>"TC_CC"&amp;"_"&amp;RIGHT(J21,5)</f>
        <v/>
      </c>
    </row>
    <row r="22">
      <c r="A22" t="b">
        <v>0</v>
      </c>
      <c r="B22">
        <f>ROW()-1</f>
        <v/>
      </c>
      <c r="C22">
        <f>_xlfn.XLOOKUP($D22,Tab_Def_Processes[Process_Name],Tab_Def_Processes[Process_ID],,0,)</f>
        <v/>
      </c>
      <c r="D22" t="inlineStr">
        <is>
          <t>N.A.</t>
        </is>
      </c>
      <c r="E22" t="inlineStr">
        <is>
          <t>N.A.</t>
        </is>
      </c>
      <c r="F22">
        <f>_xlfn.XLOOKUP($D22,Tab_Def_Processes[Process_Name],Tab_Def_Processes[Process_Logic],,0,)</f>
        <v/>
      </c>
      <c r="G22">
        <f>_xlfn.XLOOKUP($D22,Tab_Def_Processes[Process_Name],Tab_Def_Processes[TC_Configuration],,0,)</f>
        <v/>
      </c>
      <c r="H22">
        <f>_xlfn.XLOOKUP($D22,Tab_Def_Processes[Process_Name],Tab_Def_Processes[Stock_Configuration],,0,)</f>
        <v/>
      </c>
      <c r="I22">
        <f>_xlfn.XLOOKUP($D22,Tab_Def_Processes[Process_Name],Tab_Def_Processes[Outflow_count],,0,)</f>
        <v/>
      </c>
      <c r="J22">
        <f>_xlfn.XLOOKUP($E22,Tab_Def_Flows[Flow_Name],Tab_Def_Flows[Flow_ID],,0,1)</f>
        <v/>
      </c>
      <c r="L22">
        <f>"TC_material"&amp;"_"&amp;RIGHT(J22,5)</f>
        <v/>
      </c>
      <c r="N22">
        <f>"TC_WC"&amp;"_"&amp;RIGHT(J22,5)</f>
        <v/>
      </c>
      <c r="P22">
        <f>"TC_DM"&amp;"_"&amp;RIGHT(J22,5)</f>
        <v/>
      </c>
      <c r="R22">
        <f>"TC_CC"&amp;"_"&amp;RIGHT(J22,5)</f>
        <v/>
      </c>
    </row>
    <row r="23">
      <c r="A23" t="b">
        <v>0</v>
      </c>
      <c r="B23">
        <f>ROW()-1</f>
        <v/>
      </c>
      <c r="C23">
        <f>_xlfn.XLOOKUP($D23,Tab_Def_Processes[Process_Name],Tab_Def_Processes[Process_ID],,0,)</f>
        <v/>
      </c>
      <c r="D23" t="inlineStr">
        <is>
          <t>N.A.</t>
        </is>
      </c>
      <c r="E23" t="inlineStr">
        <is>
          <t>N.A.</t>
        </is>
      </c>
      <c r="F23">
        <f>_xlfn.XLOOKUP($D23,Tab_Def_Processes[Process_Name],Tab_Def_Processes[Process_Logic],,0,)</f>
        <v/>
      </c>
      <c r="G23">
        <f>_xlfn.XLOOKUP($D23,Tab_Def_Processes[Process_Name],Tab_Def_Processes[TC_Configuration],,0,)</f>
        <v/>
      </c>
      <c r="H23">
        <f>_xlfn.XLOOKUP($D23,Tab_Def_Processes[Process_Name],Tab_Def_Processes[Stock_Configuration],,0,)</f>
        <v/>
      </c>
      <c r="I23">
        <f>_xlfn.XLOOKUP($D23,Tab_Def_Processes[Process_Name],Tab_Def_Processes[Outflow_count],,0,)</f>
        <v/>
      </c>
      <c r="J23">
        <f>_xlfn.XLOOKUP($E23,Tab_Def_Flows[Flow_Name],Tab_Def_Flows[Flow_ID],,0,1)</f>
        <v/>
      </c>
      <c r="L23">
        <f>"TC_material"&amp;"_"&amp;RIGHT(J23,5)</f>
        <v/>
      </c>
      <c r="N23">
        <f>"TC_WC"&amp;"_"&amp;RIGHT(J23,5)</f>
        <v/>
      </c>
      <c r="P23">
        <f>"TC_DM"&amp;"_"&amp;RIGHT(J23,5)</f>
        <v/>
      </c>
      <c r="R23">
        <f>"TC_CC"&amp;"_"&amp;RIGHT(J23,5)</f>
        <v/>
      </c>
    </row>
    <row r="24">
      <c r="A24" t="b">
        <v>0</v>
      </c>
      <c r="B24">
        <f>ROW()-1</f>
        <v/>
      </c>
      <c r="C24">
        <f>_xlfn.XLOOKUP($D24,Tab_Def_Processes[Process_Name],Tab_Def_Processes[Process_ID],,0,)</f>
        <v/>
      </c>
      <c r="D24" t="inlineStr">
        <is>
          <t>N.A.</t>
        </is>
      </c>
      <c r="E24" t="inlineStr">
        <is>
          <t>N.A.</t>
        </is>
      </c>
      <c r="F24">
        <f>_xlfn.XLOOKUP($D24,Tab_Def_Processes[Process_Name],Tab_Def_Processes[Process_Logic],,0,)</f>
        <v/>
      </c>
      <c r="G24">
        <f>_xlfn.XLOOKUP($D24,Tab_Def_Processes[Process_Name],Tab_Def_Processes[TC_Configuration],,0,)</f>
        <v/>
      </c>
      <c r="H24">
        <f>_xlfn.XLOOKUP($D24,Tab_Def_Processes[Process_Name],Tab_Def_Processes[Stock_Configuration],,0,)</f>
        <v/>
      </c>
      <c r="I24">
        <f>_xlfn.XLOOKUP($D24,Tab_Def_Processes[Process_Name],Tab_Def_Processes[Outflow_count],,0,)</f>
        <v/>
      </c>
      <c r="J24">
        <f>_xlfn.XLOOKUP($E24,Tab_Def_Flows[Flow_Name],Tab_Def_Flows[Flow_ID],,0,1)</f>
        <v/>
      </c>
      <c r="L24">
        <f>"TC_material"&amp;"_"&amp;RIGHT(J24,5)</f>
        <v/>
      </c>
      <c r="N24">
        <f>"TC_WC"&amp;"_"&amp;RIGHT(J24,5)</f>
        <v/>
      </c>
      <c r="P24">
        <f>"TC_DM"&amp;"_"&amp;RIGHT(J24,5)</f>
        <v/>
      </c>
      <c r="R24">
        <f>"TC_CC"&amp;"_"&amp;RIGHT(J24,5)</f>
        <v/>
      </c>
    </row>
    <row r="25">
      <c r="A25" t="b">
        <v>0</v>
      </c>
      <c r="B25">
        <f>ROW()-1</f>
        <v/>
      </c>
      <c r="C25">
        <f>_xlfn.XLOOKUP($D25,Tab_Def_Processes[Process_Name],Tab_Def_Processes[Process_ID],,0,)</f>
        <v/>
      </c>
      <c r="D25" t="inlineStr">
        <is>
          <t>N.A.</t>
        </is>
      </c>
      <c r="E25" t="inlineStr">
        <is>
          <t>N.A.</t>
        </is>
      </c>
      <c r="F25">
        <f>_xlfn.XLOOKUP($D25,Tab_Def_Processes[Process_Name],Tab_Def_Processes[Process_Logic],,0,)</f>
        <v/>
      </c>
      <c r="G25">
        <f>_xlfn.XLOOKUP($D25,Tab_Def_Processes[Process_Name],Tab_Def_Processes[TC_Configuration],,0,)</f>
        <v/>
      </c>
      <c r="H25">
        <f>_xlfn.XLOOKUP($D25,Tab_Def_Processes[Process_Name],Tab_Def_Processes[Stock_Configuration],,0,)</f>
        <v/>
      </c>
      <c r="I25">
        <f>_xlfn.XLOOKUP($D25,Tab_Def_Processes[Process_Name],Tab_Def_Processes[Outflow_count],,0,)</f>
        <v/>
      </c>
      <c r="J25">
        <f>_xlfn.XLOOKUP($E25,Tab_Def_Flows[Flow_Name],Tab_Def_Flows[Flow_ID],,0,1)</f>
        <v/>
      </c>
      <c r="L25">
        <f>"TC_material"&amp;"_"&amp;RIGHT(J25,5)</f>
        <v/>
      </c>
      <c r="N25">
        <f>"TC_WC"&amp;"_"&amp;RIGHT(J25,5)</f>
        <v/>
      </c>
      <c r="P25">
        <f>"TC_DM"&amp;"_"&amp;RIGHT(J25,5)</f>
        <v/>
      </c>
      <c r="R25">
        <f>"TC_CC"&amp;"_"&amp;RIGHT(J25,5)</f>
        <v/>
      </c>
    </row>
    <row r="26">
      <c r="A26" t="b">
        <v>0</v>
      </c>
      <c r="B26">
        <f>ROW()-1</f>
        <v/>
      </c>
      <c r="C26">
        <f>_xlfn.XLOOKUP($D26,Tab_Def_Processes[Process_Name],Tab_Def_Processes[Process_ID],,0,)</f>
        <v/>
      </c>
      <c r="D26" t="inlineStr">
        <is>
          <t>N.A.</t>
        </is>
      </c>
      <c r="E26" t="inlineStr">
        <is>
          <t>N.A.</t>
        </is>
      </c>
      <c r="F26">
        <f>_xlfn.XLOOKUP($D26,Tab_Def_Processes[Process_Name],Tab_Def_Processes[Process_Logic],,0,)</f>
        <v/>
      </c>
      <c r="G26">
        <f>_xlfn.XLOOKUP($D26,Tab_Def_Processes[Process_Name],Tab_Def_Processes[TC_Configuration],,0,)</f>
        <v/>
      </c>
      <c r="H26">
        <f>_xlfn.XLOOKUP($D26,Tab_Def_Processes[Process_Name],Tab_Def_Processes[Stock_Configuration],,0,)</f>
        <v/>
      </c>
      <c r="I26">
        <f>_xlfn.XLOOKUP($D26,Tab_Def_Processes[Process_Name],Tab_Def_Processes[Outflow_count],,0,)</f>
        <v/>
      </c>
      <c r="J26">
        <f>_xlfn.XLOOKUP($E26,Tab_Def_Flows[Flow_Name],Tab_Def_Flows[Flow_ID],,0,1)</f>
        <v/>
      </c>
      <c r="L26">
        <f>"TC_material"&amp;"_"&amp;RIGHT(J26,5)</f>
        <v/>
      </c>
      <c r="N26">
        <f>"TC_WC"&amp;"_"&amp;RIGHT(J26,5)</f>
        <v/>
      </c>
      <c r="P26">
        <f>"TC_DM"&amp;"_"&amp;RIGHT(J26,5)</f>
        <v/>
      </c>
      <c r="R26">
        <f>"TC_CC"&amp;"_"&amp;RIGHT(J26,5)</f>
        <v/>
      </c>
    </row>
    <row r="27">
      <c r="A27" t="b">
        <v>0</v>
      </c>
      <c r="B27">
        <f>ROW()-1</f>
        <v/>
      </c>
      <c r="C27">
        <f>_xlfn.XLOOKUP($D27,Tab_Def_Processes[Process_Name],Tab_Def_Processes[Process_ID],,0,)</f>
        <v/>
      </c>
      <c r="D27" t="inlineStr">
        <is>
          <t>N.A.</t>
        </is>
      </c>
      <c r="E27" t="inlineStr">
        <is>
          <t>N.A.</t>
        </is>
      </c>
      <c r="F27">
        <f>_xlfn.XLOOKUP($D27,Tab_Def_Processes[Process_Name],Tab_Def_Processes[Process_Logic],,0,)</f>
        <v/>
      </c>
      <c r="G27">
        <f>_xlfn.XLOOKUP($D27,Tab_Def_Processes[Process_Name],Tab_Def_Processes[TC_Configuration],,0,)</f>
        <v/>
      </c>
      <c r="H27">
        <f>_xlfn.XLOOKUP($D27,Tab_Def_Processes[Process_Name],Tab_Def_Processes[Stock_Configuration],,0,)</f>
        <v/>
      </c>
      <c r="I27">
        <f>_xlfn.XLOOKUP($D27,Tab_Def_Processes[Process_Name],Tab_Def_Processes[Outflow_count],,0,)</f>
        <v/>
      </c>
      <c r="J27">
        <f>_xlfn.XLOOKUP($E27,Tab_Def_Flows[Flow_Name],Tab_Def_Flows[Flow_ID],,0,1)</f>
        <v/>
      </c>
      <c r="L27">
        <f>"TC_material"&amp;"_"&amp;RIGHT(J27,5)</f>
        <v/>
      </c>
      <c r="N27">
        <f>"TC_WC"&amp;"_"&amp;RIGHT(J27,5)</f>
        <v/>
      </c>
      <c r="P27">
        <f>"TC_DM"&amp;"_"&amp;RIGHT(J27,5)</f>
        <v/>
      </c>
      <c r="R27">
        <f>"TC_CC"&amp;"_"&amp;RIGHT(J27,5)</f>
        <v/>
      </c>
    </row>
    <row r="28">
      <c r="A28" t="b">
        <v>0</v>
      </c>
      <c r="B28">
        <f>ROW()-1</f>
        <v/>
      </c>
      <c r="C28">
        <f>_xlfn.XLOOKUP($D28,Tab_Def_Processes[Process_Name],Tab_Def_Processes[Process_ID],,0,)</f>
        <v/>
      </c>
      <c r="D28" t="inlineStr">
        <is>
          <t>N.A.</t>
        </is>
      </c>
      <c r="E28" t="inlineStr">
        <is>
          <t>N.A.</t>
        </is>
      </c>
      <c r="F28">
        <f>_xlfn.XLOOKUP($D28,Tab_Def_Processes[Process_Name],Tab_Def_Processes[Process_Logic],,0,)</f>
        <v/>
      </c>
      <c r="G28">
        <f>_xlfn.XLOOKUP($D28,Tab_Def_Processes[Process_Name],Tab_Def_Processes[TC_Configuration],,0,)</f>
        <v/>
      </c>
      <c r="H28">
        <f>_xlfn.XLOOKUP($D28,Tab_Def_Processes[Process_Name],Tab_Def_Processes[Stock_Configuration],,0,)</f>
        <v/>
      </c>
      <c r="I28">
        <f>_xlfn.XLOOKUP($D28,Tab_Def_Processes[Process_Name],Tab_Def_Processes[Outflow_count],,0,)</f>
        <v/>
      </c>
      <c r="J28">
        <f>_xlfn.XLOOKUP($E28,Tab_Def_Flows[Flow_Name],Tab_Def_Flows[Flow_ID],,0,1)</f>
        <v/>
      </c>
      <c r="L28">
        <f>"TC_material"&amp;"_"&amp;RIGHT(J28,5)</f>
        <v/>
      </c>
      <c r="N28">
        <f>"TC_WC"&amp;"_"&amp;RIGHT(J28,5)</f>
        <v/>
      </c>
      <c r="P28">
        <f>"TC_DM"&amp;"_"&amp;RIGHT(J28,5)</f>
        <v/>
      </c>
      <c r="R28">
        <f>"TC_CC"&amp;"_"&amp;RIGHT(J28,5)</f>
        <v/>
      </c>
    </row>
    <row r="29">
      <c r="A29" t="b">
        <v>0</v>
      </c>
      <c r="B29">
        <f>ROW()-1</f>
        <v/>
      </c>
      <c r="C29">
        <f>_xlfn.XLOOKUP($D29,Tab_Def_Processes[Process_Name],Tab_Def_Processes[Process_ID],,0,)</f>
        <v/>
      </c>
      <c r="D29" t="inlineStr">
        <is>
          <t>N.A.</t>
        </is>
      </c>
      <c r="E29" t="inlineStr">
        <is>
          <t>N.A.</t>
        </is>
      </c>
      <c r="F29">
        <f>_xlfn.XLOOKUP($D29,Tab_Def_Processes[Process_Name],Tab_Def_Processes[Process_Logic],,0,)</f>
        <v/>
      </c>
      <c r="G29">
        <f>_xlfn.XLOOKUP($D29,Tab_Def_Processes[Process_Name],Tab_Def_Processes[TC_Configuration],,0,)</f>
        <v/>
      </c>
      <c r="H29">
        <f>_xlfn.XLOOKUP($D29,Tab_Def_Processes[Process_Name],Tab_Def_Processes[Stock_Configuration],,0,)</f>
        <v/>
      </c>
      <c r="I29">
        <f>_xlfn.XLOOKUP($D29,Tab_Def_Processes[Process_Name],Tab_Def_Processes[Outflow_count],,0,)</f>
        <v/>
      </c>
      <c r="J29">
        <f>_xlfn.XLOOKUP($E29,Tab_Def_Flows[Flow_Name],Tab_Def_Flows[Flow_ID],,0,1)</f>
        <v/>
      </c>
      <c r="L29">
        <f>"TC_material"&amp;"_"&amp;RIGHT(J29,5)</f>
        <v/>
      </c>
      <c r="N29">
        <f>"TC_WC"&amp;"_"&amp;RIGHT(J29,5)</f>
        <v/>
      </c>
      <c r="P29">
        <f>"TC_DM"&amp;"_"&amp;RIGHT(J29,5)</f>
        <v/>
      </c>
      <c r="R29">
        <f>"TC_CC"&amp;"_"&amp;RIGHT(J29,5)</f>
        <v/>
      </c>
    </row>
    <row r="30">
      <c r="A30" t="b">
        <v>0</v>
      </c>
      <c r="B30">
        <f>ROW()-1</f>
        <v/>
      </c>
      <c r="C30">
        <f>_xlfn.XLOOKUP($D30,Tab_Def_Processes[Process_Name],Tab_Def_Processes[Process_ID],,0,)</f>
        <v/>
      </c>
      <c r="D30" t="inlineStr">
        <is>
          <t>N.A.</t>
        </is>
      </c>
      <c r="E30" t="inlineStr">
        <is>
          <t>N.A.</t>
        </is>
      </c>
      <c r="F30">
        <f>_xlfn.XLOOKUP($D30,Tab_Def_Processes[Process_Name],Tab_Def_Processes[Process_Logic],,0,)</f>
        <v/>
      </c>
      <c r="G30">
        <f>_xlfn.XLOOKUP($D30,Tab_Def_Processes[Process_Name],Tab_Def_Processes[TC_Configuration],,0,)</f>
        <v/>
      </c>
      <c r="H30">
        <f>_xlfn.XLOOKUP($D30,Tab_Def_Processes[Process_Name],Tab_Def_Processes[Stock_Configuration],,0,)</f>
        <v/>
      </c>
      <c r="I30">
        <f>_xlfn.XLOOKUP($D30,Tab_Def_Processes[Process_Name],Tab_Def_Processes[Outflow_count],,0,)</f>
        <v/>
      </c>
      <c r="J30">
        <f>_xlfn.XLOOKUP($E30,Tab_Def_Flows[Flow_Name],Tab_Def_Flows[Flow_ID],,0,1)</f>
        <v/>
      </c>
      <c r="L30">
        <f>"TC_material"&amp;"_"&amp;RIGHT(J30,5)</f>
        <v/>
      </c>
      <c r="N30">
        <f>"TC_WC"&amp;"_"&amp;RIGHT(J30,5)</f>
        <v/>
      </c>
      <c r="P30">
        <f>"TC_DM"&amp;"_"&amp;RIGHT(J30,5)</f>
        <v/>
      </c>
      <c r="R30">
        <f>"TC_CC"&amp;"_"&amp;RIGHT(J30,5)</f>
        <v/>
      </c>
    </row>
    <row r="31">
      <c r="A31" t="b">
        <v>0</v>
      </c>
      <c r="B31">
        <f>ROW()-1</f>
        <v/>
      </c>
      <c r="C31">
        <f>_xlfn.XLOOKUP($D31,Tab_Def_Processes[Process_Name],Tab_Def_Processes[Process_ID],,0,)</f>
        <v/>
      </c>
      <c r="D31" t="inlineStr">
        <is>
          <t>N.A.</t>
        </is>
      </c>
      <c r="E31" t="inlineStr">
        <is>
          <t>N.A.</t>
        </is>
      </c>
      <c r="F31">
        <f>_xlfn.XLOOKUP($D31,Tab_Def_Processes[Process_Name],Tab_Def_Processes[Process_Logic],,0,)</f>
        <v/>
      </c>
      <c r="G31">
        <f>_xlfn.XLOOKUP($D31,Tab_Def_Processes[Process_Name],Tab_Def_Processes[TC_Configuration],,0,)</f>
        <v/>
      </c>
      <c r="H31">
        <f>_xlfn.XLOOKUP($D31,Tab_Def_Processes[Process_Name],Tab_Def_Processes[Stock_Configuration],,0,)</f>
        <v/>
      </c>
      <c r="I31">
        <f>_xlfn.XLOOKUP($D31,Tab_Def_Processes[Process_Name],Tab_Def_Processes[Outflow_count],,0,)</f>
        <v/>
      </c>
      <c r="J31">
        <f>_xlfn.XLOOKUP($E31,Tab_Def_Flows[Flow_Name],Tab_Def_Flows[Flow_ID],,0,1)</f>
        <v/>
      </c>
      <c r="L31">
        <f>"TC_material"&amp;"_"&amp;RIGHT(J31,5)</f>
        <v/>
      </c>
      <c r="N31">
        <f>"TC_WC"&amp;"_"&amp;RIGHT(J31,5)</f>
        <v/>
      </c>
      <c r="P31">
        <f>"TC_DM"&amp;"_"&amp;RIGHT(J31,5)</f>
        <v/>
      </c>
      <c r="R31">
        <f>"TC_CC"&amp;"_"&amp;RIGHT(J31,5)</f>
        <v/>
      </c>
    </row>
    <row r="32">
      <c r="A32" t="b">
        <v>0</v>
      </c>
      <c r="B32">
        <f>ROW()-1</f>
        <v/>
      </c>
      <c r="C32">
        <f>_xlfn.XLOOKUP($D32,Tab_Def_Processes[Process_Name],Tab_Def_Processes[Process_ID],,0,)</f>
        <v/>
      </c>
      <c r="D32" t="inlineStr">
        <is>
          <t>N.A.</t>
        </is>
      </c>
      <c r="E32" t="inlineStr">
        <is>
          <t>N.A.</t>
        </is>
      </c>
      <c r="F32">
        <f>_xlfn.XLOOKUP($D32,Tab_Def_Processes[Process_Name],Tab_Def_Processes[Process_Logic],,0,)</f>
        <v/>
      </c>
      <c r="G32">
        <f>_xlfn.XLOOKUP($D32,Tab_Def_Processes[Process_Name],Tab_Def_Processes[TC_Configuration],,0,)</f>
        <v/>
      </c>
      <c r="H32">
        <f>_xlfn.XLOOKUP($D32,Tab_Def_Processes[Process_Name],Tab_Def_Processes[Stock_Configuration],,0,)</f>
        <v/>
      </c>
      <c r="I32">
        <f>_xlfn.XLOOKUP($D32,Tab_Def_Processes[Process_Name],Tab_Def_Processes[Outflow_count],,0,)</f>
        <v/>
      </c>
      <c r="J32">
        <f>_xlfn.XLOOKUP($E32,Tab_Def_Flows[Flow_Name],Tab_Def_Flows[Flow_ID],,0,1)</f>
        <v/>
      </c>
      <c r="L32">
        <f>"TC_material"&amp;"_"&amp;RIGHT(J32,5)</f>
        <v/>
      </c>
      <c r="N32">
        <f>"TC_WC"&amp;"_"&amp;RIGHT(J32,5)</f>
        <v/>
      </c>
      <c r="P32">
        <f>"TC_DM"&amp;"_"&amp;RIGHT(J32,5)</f>
        <v/>
      </c>
      <c r="R32">
        <f>"TC_CC"&amp;"_"&amp;RIGHT(J32,5)</f>
        <v/>
      </c>
    </row>
    <row r="33">
      <c r="A33" t="b">
        <v>0</v>
      </c>
      <c r="B33">
        <f>ROW()-1</f>
        <v/>
      </c>
      <c r="C33">
        <f>_xlfn.XLOOKUP($D33,Tab_Def_Processes[Process_Name],Tab_Def_Processes[Process_ID],,0,)</f>
        <v/>
      </c>
      <c r="D33" t="inlineStr">
        <is>
          <t>N.A.</t>
        </is>
      </c>
      <c r="E33" t="inlineStr">
        <is>
          <t>N.A.</t>
        </is>
      </c>
      <c r="F33">
        <f>_xlfn.XLOOKUP($D33,Tab_Def_Processes[Process_Name],Tab_Def_Processes[Process_Logic],,0,)</f>
        <v/>
      </c>
      <c r="G33">
        <f>_xlfn.XLOOKUP($D33,Tab_Def_Processes[Process_Name],Tab_Def_Processes[TC_Configuration],,0,)</f>
        <v/>
      </c>
      <c r="H33">
        <f>_xlfn.XLOOKUP($D33,Tab_Def_Processes[Process_Name],Tab_Def_Processes[Stock_Configuration],,0,)</f>
        <v/>
      </c>
      <c r="I33">
        <f>_xlfn.XLOOKUP($D33,Tab_Def_Processes[Process_Name],Tab_Def_Processes[Outflow_count],,0,)</f>
        <v/>
      </c>
      <c r="J33">
        <f>_xlfn.XLOOKUP($E33,Tab_Def_Flows[Flow_Name],Tab_Def_Flows[Flow_ID],,0,1)</f>
        <v/>
      </c>
      <c r="L33">
        <f>"TC_material"&amp;"_"&amp;RIGHT(J33,5)</f>
        <v/>
      </c>
      <c r="N33">
        <f>"TC_WC"&amp;"_"&amp;RIGHT(J33,5)</f>
        <v/>
      </c>
      <c r="P33">
        <f>"TC_DM"&amp;"_"&amp;RIGHT(J33,5)</f>
        <v/>
      </c>
      <c r="R33">
        <f>"TC_CC"&amp;"_"&amp;RIGHT(J33,5)</f>
        <v/>
      </c>
    </row>
    <row r="34">
      <c r="A34" t="b">
        <v>0</v>
      </c>
      <c r="B34">
        <f>ROW()-1</f>
        <v/>
      </c>
      <c r="C34">
        <f>_xlfn.XLOOKUP($D34,Tab_Def_Processes[Process_Name],Tab_Def_Processes[Process_ID],,0,)</f>
        <v/>
      </c>
      <c r="D34" t="inlineStr">
        <is>
          <t>N.A.</t>
        </is>
      </c>
      <c r="E34" t="inlineStr">
        <is>
          <t>N.A.</t>
        </is>
      </c>
      <c r="F34">
        <f>_xlfn.XLOOKUP($D34,Tab_Def_Processes[Process_Name],Tab_Def_Processes[Process_Logic],,0,)</f>
        <v/>
      </c>
      <c r="G34">
        <f>_xlfn.XLOOKUP($D34,Tab_Def_Processes[Process_Name],Tab_Def_Processes[TC_Configuration],,0,)</f>
        <v/>
      </c>
      <c r="H34">
        <f>_xlfn.XLOOKUP($D34,Tab_Def_Processes[Process_Name],Tab_Def_Processes[Stock_Configuration],,0,)</f>
        <v/>
      </c>
      <c r="I34">
        <f>_xlfn.XLOOKUP($D34,Tab_Def_Processes[Process_Name],Tab_Def_Processes[Outflow_count],,0,)</f>
        <v/>
      </c>
      <c r="J34">
        <f>_xlfn.XLOOKUP($E34,Tab_Def_Flows[Flow_Name],Tab_Def_Flows[Flow_ID],,0,1)</f>
        <v/>
      </c>
      <c r="L34">
        <f>"TC_material"&amp;"_"&amp;RIGHT(J34,5)</f>
        <v/>
      </c>
      <c r="N34">
        <f>"TC_WC"&amp;"_"&amp;RIGHT(J34,5)</f>
        <v/>
      </c>
      <c r="P34">
        <f>"TC_DM"&amp;"_"&amp;RIGHT(J34,5)</f>
        <v/>
      </c>
      <c r="R34">
        <f>"TC_CC"&amp;"_"&amp;RIGHT(J34,5)</f>
        <v/>
      </c>
    </row>
    <row r="35">
      <c r="A35" t="b">
        <v>0</v>
      </c>
      <c r="B35">
        <f>ROW()-1</f>
        <v/>
      </c>
      <c r="C35">
        <f>_xlfn.XLOOKUP($D35,Tab_Def_Processes[Process_Name],Tab_Def_Processes[Process_ID],,0,)</f>
        <v/>
      </c>
      <c r="D35" t="inlineStr">
        <is>
          <t>N.A.</t>
        </is>
      </c>
      <c r="E35" t="inlineStr">
        <is>
          <t>N.A.</t>
        </is>
      </c>
      <c r="F35">
        <f>_xlfn.XLOOKUP($D35,Tab_Def_Processes[Process_Name],Tab_Def_Processes[Process_Logic],,0,)</f>
        <v/>
      </c>
      <c r="G35">
        <f>_xlfn.XLOOKUP($D35,Tab_Def_Processes[Process_Name],Tab_Def_Processes[TC_Configuration],,0,)</f>
        <v/>
      </c>
      <c r="H35">
        <f>_xlfn.XLOOKUP($D35,Tab_Def_Processes[Process_Name],Tab_Def_Processes[Stock_Configuration],,0,)</f>
        <v/>
      </c>
      <c r="I35">
        <f>_xlfn.XLOOKUP($D35,Tab_Def_Processes[Process_Name],Tab_Def_Processes[Outflow_count],,0,)</f>
        <v/>
      </c>
      <c r="J35">
        <f>_xlfn.XLOOKUP($E35,Tab_Def_Flows[Flow_Name],Tab_Def_Flows[Flow_ID],,0,1)</f>
        <v/>
      </c>
      <c r="L35">
        <f>"TC_material"&amp;"_"&amp;RIGHT(J35,5)</f>
        <v/>
      </c>
      <c r="N35">
        <f>"TC_WC"&amp;"_"&amp;RIGHT(J35,5)</f>
        <v/>
      </c>
      <c r="P35">
        <f>"TC_DM"&amp;"_"&amp;RIGHT(J35,5)</f>
        <v/>
      </c>
      <c r="R35">
        <f>"TC_CC"&amp;"_"&amp;RIGHT(J35,5)</f>
        <v/>
      </c>
    </row>
    <row r="36">
      <c r="A36" t="b">
        <v>0</v>
      </c>
      <c r="B36">
        <f>ROW()-1</f>
        <v/>
      </c>
      <c r="C36">
        <f>_xlfn.XLOOKUP($D36,Tab_Def_Processes[Process_Name],Tab_Def_Processes[Process_ID],,0,)</f>
        <v/>
      </c>
      <c r="D36" t="inlineStr">
        <is>
          <t>N.A.</t>
        </is>
      </c>
      <c r="E36" t="inlineStr">
        <is>
          <t>N.A.</t>
        </is>
      </c>
      <c r="F36">
        <f>_xlfn.XLOOKUP($D36,Tab_Def_Processes[Process_Name],Tab_Def_Processes[Process_Logic],,0,)</f>
        <v/>
      </c>
      <c r="G36">
        <f>_xlfn.XLOOKUP($D36,Tab_Def_Processes[Process_Name],Tab_Def_Processes[TC_Configuration],,0,)</f>
        <v/>
      </c>
      <c r="H36">
        <f>_xlfn.XLOOKUP($D36,Tab_Def_Processes[Process_Name],Tab_Def_Processes[Stock_Configuration],,0,)</f>
        <v/>
      </c>
      <c r="I36">
        <f>_xlfn.XLOOKUP($D36,Tab_Def_Processes[Process_Name],Tab_Def_Processes[Outflow_count],,0,)</f>
        <v/>
      </c>
      <c r="J36">
        <f>_xlfn.XLOOKUP($E36,Tab_Def_Flows[Flow_Name],Tab_Def_Flows[Flow_ID],,0,1)</f>
        <v/>
      </c>
      <c r="L36">
        <f>"TC_material"&amp;"_"&amp;RIGHT(J36,5)</f>
        <v/>
      </c>
      <c r="N36">
        <f>"TC_WC"&amp;"_"&amp;RIGHT(J36,5)</f>
        <v/>
      </c>
      <c r="P36">
        <f>"TC_DM"&amp;"_"&amp;RIGHT(J36,5)</f>
        <v/>
      </c>
      <c r="R36">
        <f>"TC_CC"&amp;"_"&amp;RIGHT(J36,5)</f>
        <v/>
      </c>
    </row>
    <row r="37">
      <c r="A37" t="b">
        <v>0</v>
      </c>
      <c r="B37">
        <f>ROW()-1</f>
        <v/>
      </c>
      <c r="C37">
        <f>_xlfn.XLOOKUP($D37,Tab_Def_Processes[Process_Name],Tab_Def_Processes[Process_ID],,0,)</f>
        <v/>
      </c>
      <c r="D37" t="inlineStr">
        <is>
          <t>N.A.</t>
        </is>
      </c>
      <c r="E37" t="inlineStr">
        <is>
          <t>N.A.</t>
        </is>
      </c>
      <c r="F37">
        <f>_xlfn.XLOOKUP($D37,Tab_Def_Processes[Process_Name],Tab_Def_Processes[Process_Logic],,0,)</f>
        <v/>
      </c>
      <c r="G37">
        <f>_xlfn.XLOOKUP($D37,Tab_Def_Processes[Process_Name],Tab_Def_Processes[TC_Configuration],,0,)</f>
        <v/>
      </c>
      <c r="H37">
        <f>_xlfn.XLOOKUP($D37,Tab_Def_Processes[Process_Name],Tab_Def_Processes[Stock_Configuration],,0,)</f>
        <v/>
      </c>
      <c r="I37">
        <f>_xlfn.XLOOKUP($D37,Tab_Def_Processes[Process_Name],Tab_Def_Processes[Outflow_count],,0,)</f>
        <v/>
      </c>
      <c r="J37">
        <f>_xlfn.XLOOKUP($E37,Tab_Def_Flows[Flow_Name],Tab_Def_Flows[Flow_ID],,0,1)</f>
        <v/>
      </c>
      <c r="L37">
        <f>"TC_material"&amp;"_"&amp;RIGHT(J37,5)</f>
        <v/>
      </c>
      <c r="N37">
        <f>"TC_WC"&amp;"_"&amp;RIGHT(J37,5)</f>
        <v/>
      </c>
      <c r="P37">
        <f>"TC_DM"&amp;"_"&amp;RIGHT(J37,5)</f>
        <v/>
      </c>
      <c r="R37">
        <f>"TC_CC"&amp;"_"&amp;RIGHT(J37,5)</f>
        <v/>
      </c>
    </row>
    <row r="38">
      <c r="A38" t="b">
        <v>0</v>
      </c>
      <c r="B38">
        <f>ROW()-1</f>
        <v/>
      </c>
      <c r="C38">
        <f>_xlfn.XLOOKUP($D38,Tab_Def_Processes[Process_Name],Tab_Def_Processes[Process_ID],,0,)</f>
        <v/>
      </c>
      <c r="D38" t="inlineStr">
        <is>
          <t>N.A.</t>
        </is>
      </c>
      <c r="E38" t="inlineStr">
        <is>
          <t>N.A.</t>
        </is>
      </c>
      <c r="F38">
        <f>_xlfn.XLOOKUP($D38,Tab_Def_Processes[Process_Name],Tab_Def_Processes[Process_Logic],,0,)</f>
        <v/>
      </c>
      <c r="G38">
        <f>_xlfn.XLOOKUP($D38,Tab_Def_Processes[Process_Name],Tab_Def_Processes[TC_Configuration],,0,)</f>
        <v/>
      </c>
      <c r="H38">
        <f>_xlfn.XLOOKUP($D38,Tab_Def_Processes[Process_Name],Tab_Def_Processes[Stock_Configuration],,0,)</f>
        <v/>
      </c>
      <c r="I38">
        <f>_xlfn.XLOOKUP($D38,Tab_Def_Processes[Process_Name],Tab_Def_Processes[Outflow_count],,0,)</f>
        <v/>
      </c>
      <c r="J38">
        <f>_xlfn.XLOOKUP($E38,Tab_Def_Flows[Flow_Name],Tab_Def_Flows[Flow_ID],,0,1)</f>
        <v/>
      </c>
      <c r="L38">
        <f>"TC_material"&amp;"_"&amp;RIGHT(J38,5)</f>
        <v/>
      </c>
      <c r="N38">
        <f>"TC_WC"&amp;"_"&amp;RIGHT(J38,5)</f>
        <v/>
      </c>
      <c r="P38">
        <f>"TC_DM"&amp;"_"&amp;RIGHT(J38,5)</f>
        <v/>
      </c>
      <c r="R38">
        <f>"TC_CC"&amp;"_"&amp;RIGHT(J38,5)</f>
        <v/>
      </c>
    </row>
    <row r="39">
      <c r="A39" t="b">
        <v>0</v>
      </c>
      <c r="B39">
        <f>ROW()-1</f>
        <v/>
      </c>
      <c r="C39">
        <f>_xlfn.XLOOKUP($D39,Tab_Def_Processes[Process_Name],Tab_Def_Processes[Process_ID],,0,)</f>
        <v/>
      </c>
      <c r="D39" t="inlineStr">
        <is>
          <t>N.A.</t>
        </is>
      </c>
      <c r="E39" t="inlineStr">
        <is>
          <t>N.A.</t>
        </is>
      </c>
      <c r="F39">
        <f>_xlfn.XLOOKUP($D39,Tab_Def_Processes[Process_Name],Tab_Def_Processes[Process_Logic],,0,)</f>
        <v/>
      </c>
      <c r="G39">
        <f>_xlfn.XLOOKUP($D39,Tab_Def_Processes[Process_Name],Tab_Def_Processes[TC_Configuration],,0,)</f>
        <v/>
      </c>
      <c r="H39">
        <f>_xlfn.XLOOKUP($D39,Tab_Def_Processes[Process_Name],Tab_Def_Processes[Stock_Configuration],,0,)</f>
        <v/>
      </c>
      <c r="I39">
        <f>_xlfn.XLOOKUP($D39,Tab_Def_Processes[Process_Name],Tab_Def_Processes[Outflow_count],,0,)</f>
        <v/>
      </c>
      <c r="J39">
        <f>_xlfn.XLOOKUP($E39,Tab_Def_Flows[Flow_Name],Tab_Def_Flows[Flow_ID],,0,1)</f>
        <v/>
      </c>
      <c r="L39">
        <f>"TC_material"&amp;"_"&amp;RIGHT(J39,5)</f>
        <v/>
      </c>
      <c r="N39">
        <f>"TC_WC"&amp;"_"&amp;RIGHT(J39,5)</f>
        <v/>
      </c>
      <c r="P39">
        <f>"TC_DM"&amp;"_"&amp;RIGHT(J39,5)</f>
        <v/>
      </c>
      <c r="R39">
        <f>"TC_CC"&amp;"_"&amp;RIGHT(J39,5)</f>
        <v/>
      </c>
    </row>
    <row r="40">
      <c r="A40" t="b">
        <v>0</v>
      </c>
      <c r="B40">
        <f>ROW()-1</f>
        <v/>
      </c>
      <c r="C40">
        <f>_xlfn.XLOOKUP($D40,Tab_Def_Processes[Process_Name],Tab_Def_Processes[Process_ID],,0,)</f>
        <v/>
      </c>
      <c r="D40" t="inlineStr">
        <is>
          <t>N.A.</t>
        </is>
      </c>
      <c r="E40" t="inlineStr">
        <is>
          <t>N.A.</t>
        </is>
      </c>
      <c r="F40">
        <f>_xlfn.XLOOKUP($D40,Tab_Def_Processes[Process_Name],Tab_Def_Processes[Process_Logic],,0,)</f>
        <v/>
      </c>
      <c r="G40">
        <f>_xlfn.XLOOKUP($D40,Tab_Def_Processes[Process_Name],Tab_Def_Processes[TC_Configuration],,0,)</f>
        <v/>
      </c>
      <c r="H40">
        <f>_xlfn.XLOOKUP($D40,Tab_Def_Processes[Process_Name],Tab_Def_Processes[Stock_Configuration],,0,)</f>
        <v/>
      </c>
      <c r="I40">
        <f>_xlfn.XLOOKUP($D40,Tab_Def_Processes[Process_Name],Tab_Def_Processes[Outflow_count],,0,)</f>
        <v/>
      </c>
      <c r="J40">
        <f>_xlfn.XLOOKUP($E40,Tab_Def_Flows[Flow_Name],Tab_Def_Flows[Flow_ID],,0,1)</f>
        <v/>
      </c>
      <c r="L40">
        <f>"TC_material"&amp;"_"&amp;RIGHT(J40,5)</f>
        <v/>
      </c>
      <c r="N40">
        <f>"TC_WC"&amp;"_"&amp;RIGHT(J40,5)</f>
        <v/>
      </c>
      <c r="P40">
        <f>"TC_DM"&amp;"_"&amp;RIGHT(J40,5)</f>
        <v/>
      </c>
      <c r="R40">
        <f>"TC_CC"&amp;"_"&amp;RIGHT(J40,5)</f>
        <v/>
      </c>
    </row>
    <row r="41">
      <c r="A41" t="b">
        <v>0</v>
      </c>
      <c r="B41">
        <f>ROW()-1</f>
        <v/>
      </c>
      <c r="C41">
        <f>_xlfn.XLOOKUP($D41,Tab_Def_Processes[Process_Name],Tab_Def_Processes[Process_ID],,0,)</f>
        <v/>
      </c>
      <c r="D41" t="inlineStr">
        <is>
          <t>N.A.</t>
        </is>
      </c>
      <c r="E41" t="inlineStr">
        <is>
          <t>N.A.</t>
        </is>
      </c>
      <c r="F41">
        <f>_xlfn.XLOOKUP($D41,Tab_Def_Processes[Process_Name],Tab_Def_Processes[Process_Logic],,0,)</f>
        <v/>
      </c>
      <c r="G41">
        <f>_xlfn.XLOOKUP($D41,Tab_Def_Processes[Process_Name],Tab_Def_Processes[TC_Configuration],,0,)</f>
        <v/>
      </c>
      <c r="H41">
        <f>_xlfn.XLOOKUP($D41,Tab_Def_Processes[Process_Name],Tab_Def_Processes[Stock_Configuration],,0,)</f>
        <v/>
      </c>
      <c r="I41">
        <f>_xlfn.XLOOKUP($D41,Tab_Def_Processes[Process_Name],Tab_Def_Processes[Outflow_count],,0,)</f>
        <v/>
      </c>
      <c r="J41">
        <f>_xlfn.XLOOKUP($E41,Tab_Def_Flows[Flow_Name],Tab_Def_Flows[Flow_ID],,0,1)</f>
        <v/>
      </c>
      <c r="L41">
        <f>"TC_material"&amp;"_"&amp;RIGHT(J41,5)</f>
        <v/>
      </c>
      <c r="N41">
        <f>"TC_WC"&amp;"_"&amp;RIGHT(J41,5)</f>
        <v/>
      </c>
      <c r="P41">
        <f>"TC_DM"&amp;"_"&amp;RIGHT(J41,5)</f>
        <v/>
      </c>
      <c r="R41">
        <f>"TC_CC"&amp;"_"&amp;RIGHT(J41,5)</f>
        <v/>
      </c>
    </row>
    <row r="42">
      <c r="A42" t="b">
        <v>0</v>
      </c>
      <c r="B42">
        <f>ROW()-1</f>
        <v/>
      </c>
      <c r="C42">
        <f>_xlfn.XLOOKUP($D42,Tab_Def_Processes[Process_Name],Tab_Def_Processes[Process_ID],,0,)</f>
        <v/>
      </c>
      <c r="D42" t="inlineStr">
        <is>
          <t>N.A.</t>
        </is>
      </c>
      <c r="E42" t="inlineStr">
        <is>
          <t>N.A.</t>
        </is>
      </c>
      <c r="F42">
        <f>_xlfn.XLOOKUP($D42,Tab_Def_Processes[Process_Name],Tab_Def_Processes[Process_Logic],,0,)</f>
        <v/>
      </c>
      <c r="G42">
        <f>_xlfn.XLOOKUP($D42,Tab_Def_Processes[Process_Name],Tab_Def_Processes[TC_Configuration],,0,)</f>
        <v/>
      </c>
      <c r="H42">
        <f>_xlfn.XLOOKUP($D42,Tab_Def_Processes[Process_Name],Tab_Def_Processes[Stock_Configuration],,0,)</f>
        <v/>
      </c>
      <c r="I42">
        <f>_xlfn.XLOOKUP($D42,Tab_Def_Processes[Process_Name],Tab_Def_Processes[Outflow_count],,0,)</f>
        <v/>
      </c>
      <c r="J42">
        <f>_xlfn.XLOOKUP($E42,Tab_Def_Flows[Flow_Name],Tab_Def_Flows[Flow_ID],,0,1)</f>
        <v/>
      </c>
      <c r="L42">
        <f>"TC_material"&amp;"_"&amp;RIGHT(J42,5)</f>
        <v/>
      </c>
      <c r="N42">
        <f>"TC_WC"&amp;"_"&amp;RIGHT(J42,5)</f>
        <v/>
      </c>
      <c r="P42">
        <f>"TC_DM"&amp;"_"&amp;RIGHT(J42,5)</f>
        <v/>
      </c>
      <c r="R42">
        <f>"TC_CC"&amp;"_"&amp;RIGHT(J42,5)</f>
        <v/>
      </c>
    </row>
    <row r="43">
      <c r="A43" t="b">
        <v>0</v>
      </c>
      <c r="B43">
        <f>ROW()-1</f>
        <v/>
      </c>
      <c r="C43">
        <f>_xlfn.XLOOKUP($D43,Tab_Def_Processes[Process_Name],Tab_Def_Processes[Process_ID],,0,)</f>
        <v/>
      </c>
      <c r="D43" t="inlineStr">
        <is>
          <t>N.A.</t>
        </is>
      </c>
      <c r="E43" t="inlineStr">
        <is>
          <t>N.A.</t>
        </is>
      </c>
      <c r="F43">
        <f>_xlfn.XLOOKUP($D43,Tab_Def_Processes[Process_Name],Tab_Def_Processes[Process_Logic],,0,)</f>
        <v/>
      </c>
      <c r="G43">
        <f>_xlfn.XLOOKUP($D43,Tab_Def_Processes[Process_Name],Tab_Def_Processes[TC_Configuration],,0,)</f>
        <v/>
      </c>
      <c r="H43">
        <f>_xlfn.XLOOKUP($D43,Tab_Def_Processes[Process_Name],Tab_Def_Processes[Stock_Configuration],,0,)</f>
        <v/>
      </c>
      <c r="I43">
        <f>_xlfn.XLOOKUP($D43,Tab_Def_Processes[Process_Name],Tab_Def_Processes[Outflow_count],,0,)</f>
        <v/>
      </c>
      <c r="J43">
        <f>_xlfn.XLOOKUP($E43,Tab_Def_Flows[Flow_Name],Tab_Def_Flows[Flow_ID],,0,1)</f>
        <v/>
      </c>
      <c r="L43">
        <f>"TC_material"&amp;"_"&amp;RIGHT(J43,5)</f>
        <v/>
      </c>
      <c r="N43">
        <f>"TC_WC"&amp;"_"&amp;RIGHT(J43,5)</f>
        <v/>
      </c>
      <c r="P43">
        <f>"TC_DM"&amp;"_"&amp;RIGHT(J43,5)</f>
        <v/>
      </c>
      <c r="R43">
        <f>"TC_CC"&amp;"_"&amp;RIGHT(J43,5)</f>
        <v/>
      </c>
    </row>
    <row r="44">
      <c r="A44" t="b">
        <v>0</v>
      </c>
      <c r="B44">
        <f>ROW()-1</f>
        <v/>
      </c>
      <c r="C44">
        <f>_xlfn.XLOOKUP($D44,Tab_Def_Processes[Process_Name],Tab_Def_Processes[Process_ID],,0,)</f>
        <v/>
      </c>
      <c r="D44" t="inlineStr">
        <is>
          <t>N.A.</t>
        </is>
      </c>
      <c r="E44" t="inlineStr">
        <is>
          <t>N.A.</t>
        </is>
      </c>
      <c r="F44">
        <f>_xlfn.XLOOKUP($D44,Tab_Def_Processes[Process_Name],Tab_Def_Processes[Process_Logic],,0,)</f>
        <v/>
      </c>
      <c r="G44">
        <f>_xlfn.XLOOKUP($D44,Tab_Def_Processes[Process_Name],Tab_Def_Processes[TC_Configuration],,0,)</f>
        <v/>
      </c>
      <c r="H44">
        <f>_xlfn.XLOOKUP($D44,Tab_Def_Processes[Process_Name],Tab_Def_Processes[Stock_Configuration],,0,)</f>
        <v/>
      </c>
      <c r="I44">
        <f>_xlfn.XLOOKUP($D44,Tab_Def_Processes[Process_Name],Tab_Def_Processes[Outflow_count],,0,)</f>
        <v/>
      </c>
      <c r="J44">
        <f>_xlfn.XLOOKUP($E44,Tab_Def_Flows[Flow_Name],Tab_Def_Flows[Flow_ID],,0,1)</f>
        <v/>
      </c>
      <c r="L44">
        <f>"TC_material"&amp;"_"&amp;RIGHT(J44,5)</f>
        <v/>
      </c>
      <c r="N44">
        <f>"TC_WC"&amp;"_"&amp;RIGHT(J44,5)</f>
        <v/>
      </c>
      <c r="P44">
        <f>"TC_DM"&amp;"_"&amp;RIGHT(J44,5)</f>
        <v/>
      </c>
      <c r="R44">
        <f>"TC_CC"&amp;"_"&amp;RIGHT(J44,5)</f>
        <v/>
      </c>
    </row>
    <row r="45">
      <c r="A45" t="b">
        <v>0</v>
      </c>
      <c r="B45">
        <f>ROW()-1</f>
        <v/>
      </c>
      <c r="C45">
        <f>_xlfn.XLOOKUP($D45,Tab_Def_Processes[Process_Name],Tab_Def_Processes[Process_ID],,0,)</f>
        <v/>
      </c>
      <c r="D45" t="inlineStr">
        <is>
          <t>N.A.</t>
        </is>
      </c>
      <c r="E45" t="inlineStr">
        <is>
          <t>N.A.</t>
        </is>
      </c>
      <c r="F45">
        <f>_xlfn.XLOOKUP($D45,Tab_Def_Processes[Process_Name],Tab_Def_Processes[Process_Logic],,0,)</f>
        <v/>
      </c>
      <c r="G45">
        <f>_xlfn.XLOOKUP($D45,Tab_Def_Processes[Process_Name],Tab_Def_Processes[TC_Configuration],,0,)</f>
        <v/>
      </c>
      <c r="H45">
        <f>_xlfn.XLOOKUP($D45,Tab_Def_Processes[Process_Name],Tab_Def_Processes[Stock_Configuration],,0,)</f>
        <v/>
      </c>
      <c r="I45">
        <f>_xlfn.XLOOKUP($D45,Tab_Def_Processes[Process_Name],Tab_Def_Processes[Outflow_count],,0,)</f>
        <v/>
      </c>
      <c r="J45">
        <f>_xlfn.XLOOKUP($E45,Tab_Def_Flows[Flow_Name],Tab_Def_Flows[Flow_ID],,0,1)</f>
        <v/>
      </c>
      <c r="L45">
        <f>"TC_material"&amp;"_"&amp;RIGHT(J45,5)</f>
        <v/>
      </c>
      <c r="N45">
        <f>"TC_WC"&amp;"_"&amp;RIGHT(J45,5)</f>
        <v/>
      </c>
      <c r="P45">
        <f>"TC_DM"&amp;"_"&amp;RIGHT(J45,5)</f>
        <v/>
      </c>
      <c r="R45">
        <f>"TC_CC"&amp;"_"&amp;RIGHT(J45,5)</f>
        <v/>
      </c>
    </row>
    <row r="46">
      <c r="A46" t="b">
        <v>0</v>
      </c>
      <c r="B46">
        <f>ROW()-1</f>
        <v/>
      </c>
      <c r="C46">
        <f>_xlfn.XLOOKUP($D46,Tab_Def_Processes[Process_Name],Tab_Def_Processes[Process_ID],,0,)</f>
        <v/>
      </c>
      <c r="D46" t="inlineStr">
        <is>
          <t>N.A.</t>
        </is>
      </c>
      <c r="E46" t="inlineStr">
        <is>
          <t>N.A.</t>
        </is>
      </c>
      <c r="F46">
        <f>_xlfn.XLOOKUP($D46,Tab_Def_Processes[Process_Name],Tab_Def_Processes[Process_Logic],,0,)</f>
        <v/>
      </c>
      <c r="G46">
        <f>_xlfn.XLOOKUP($D46,Tab_Def_Processes[Process_Name],Tab_Def_Processes[TC_Configuration],,0,)</f>
        <v/>
      </c>
      <c r="H46">
        <f>_xlfn.XLOOKUP($D46,Tab_Def_Processes[Process_Name],Tab_Def_Processes[Stock_Configuration],,0,)</f>
        <v/>
      </c>
      <c r="I46">
        <f>_xlfn.XLOOKUP($D46,Tab_Def_Processes[Process_Name],Tab_Def_Processes[Outflow_count],,0,)</f>
        <v/>
      </c>
      <c r="J46">
        <f>_xlfn.XLOOKUP($E46,Tab_Def_Flows[Flow_Name],Tab_Def_Flows[Flow_ID],,0,1)</f>
        <v/>
      </c>
      <c r="L46">
        <f>"TC_material"&amp;"_"&amp;RIGHT(J46,5)</f>
        <v/>
      </c>
      <c r="N46">
        <f>"TC_WC"&amp;"_"&amp;RIGHT(J46,5)</f>
        <v/>
      </c>
      <c r="P46">
        <f>"TC_DM"&amp;"_"&amp;RIGHT(J46,5)</f>
        <v/>
      </c>
      <c r="R46">
        <f>"TC_CC"&amp;"_"&amp;RIGHT(J46,5)</f>
        <v/>
      </c>
    </row>
    <row r="47">
      <c r="A47" t="b">
        <v>0</v>
      </c>
      <c r="B47">
        <f>ROW()-1</f>
        <v/>
      </c>
      <c r="C47">
        <f>_xlfn.XLOOKUP($D47,Tab_Def_Processes[Process_Name],Tab_Def_Processes[Process_ID],,0,)</f>
        <v/>
      </c>
      <c r="D47" t="inlineStr">
        <is>
          <t>N.A.</t>
        </is>
      </c>
      <c r="E47" t="inlineStr">
        <is>
          <t>N.A.</t>
        </is>
      </c>
      <c r="F47">
        <f>_xlfn.XLOOKUP($D47,Tab_Def_Processes[Process_Name],Tab_Def_Processes[Process_Logic],,0,)</f>
        <v/>
      </c>
      <c r="G47">
        <f>_xlfn.XLOOKUP($D47,Tab_Def_Processes[Process_Name],Tab_Def_Processes[TC_Configuration],,0,)</f>
        <v/>
      </c>
      <c r="H47">
        <f>_xlfn.XLOOKUP($D47,Tab_Def_Processes[Process_Name],Tab_Def_Processes[Stock_Configuration],,0,)</f>
        <v/>
      </c>
      <c r="I47">
        <f>_xlfn.XLOOKUP($D47,Tab_Def_Processes[Process_Name],Tab_Def_Processes[Outflow_count],,0,)</f>
        <v/>
      </c>
      <c r="J47">
        <f>_xlfn.XLOOKUP($E47,Tab_Def_Flows[Flow_Name],Tab_Def_Flows[Flow_ID],,0,1)</f>
        <v/>
      </c>
      <c r="L47">
        <f>"TC_material"&amp;"_"&amp;RIGHT(J47,5)</f>
        <v/>
      </c>
      <c r="N47">
        <f>"TC_WC"&amp;"_"&amp;RIGHT(J47,5)</f>
        <v/>
      </c>
      <c r="P47">
        <f>"TC_DM"&amp;"_"&amp;RIGHT(J47,5)</f>
        <v/>
      </c>
      <c r="R47">
        <f>"TC_CC"&amp;"_"&amp;RIGHT(J47,5)</f>
        <v/>
      </c>
    </row>
    <row r="48">
      <c r="A48" t="b">
        <v>0</v>
      </c>
      <c r="B48">
        <f>ROW()-1</f>
        <v/>
      </c>
      <c r="C48">
        <f>_xlfn.XLOOKUP($D48,Tab_Def_Processes[Process_Name],Tab_Def_Processes[Process_ID],,0,)</f>
        <v/>
      </c>
      <c r="D48" t="inlineStr">
        <is>
          <t>N.A.</t>
        </is>
      </c>
      <c r="E48" t="inlineStr">
        <is>
          <t>N.A.</t>
        </is>
      </c>
      <c r="F48">
        <f>_xlfn.XLOOKUP($D48,Tab_Def_Processes[Process_Name],Tab_Def_Processes[Process_Logic],,0,)</f>
        <v/>
      </c>
      <c r="G48">
        <f>_xlfn.XLOOKUP($D48,Tab_Def_Processes[Process_Name],Tab_Def_Processes[TC_Configuration],,0,)</f>
        <v/>
      </c>
      <c r="H48">
        <f>_xlfn.XLOOKUP($D48,Tab_Def_Processes[Process_Name],Tab_Def_Processes[Stock_Configuration],,0,)</f>
        <v/>
      </c>
      <c r="I48">
        <f>_xlfn.XLOOKUP($D48,Tab_Def_Processes[Process_Name],Tab_Def_Processes[Outflow_count],,0,)</f>
        <v/>
      </c>
      <c r="J48">
        <f>_xlfn.XLOOKUP($E48,Tab_Def_Flows[Flow_Name],Tab_Def_Flows[Flow_ID],,0,1)</f>
        <v/>
      </c>
      <c r="L48">
        <f>"TC_material"&amp;"_"&amp;RIGHT(J48,5)</f>
        <v/>
      </c>
      <c r="N48">
        <f>"TC_WC"&amp;"_"&amp;RIGHT(J48,5)</f>
        <v/>
      </c>
      <c r="P48">
        <f>"TC_DM"&amp;"_"&amp;RIGHT(J48,5)</f>
        <v/>
      </c>
      <c r="R48">
        <f>"TC_CC"&amp;"_"&amp;RIGHT(J48,5)</f>
        <v/>
      </c>
    </row>
    <row r="49">
      <c r="A49" t="b">
        <v>0</v>
      </c>
      <c r="B49">
        <f>ROW()-1</f>
        <v/>
      </c>
      <c r="C49">
        <f>_xlfn.XLOOKUP($D49,Tab_Def_Processes[Process_Name],Tab_Def_Processes[Process_ID],,0,)</f>
        <v/>
      </c>
      <c r="D49" t="inlineStr">
        <is>
          <t>N.A.</t>
        </is>
      </c>
      <c r="E49" t="inlineStr">
        <is>
          <t>N.A.</t>
        </is>
      </c>
      <c r="F49">
        <f>_xlfn.XLOOKUP($D49,Tab_Def_Processes[Process_Name],Tab_Def_Processes[Process_Logic],,0,)</f>
        <v/>
      </c>
      <c r="G49">
        <f>_xlfn.XLOOKUP($D49,Tab_Def_Processes[Process_Name],Tab_Def_Processes[TC_Configuration],,0,)</f>
        <v/>
      </c>
      <c r="H49">
        <f>_xlfn.XLOOKUP($D49,Tab_Def_Processes[Process_Name],Tab_Def_Processes[Stock_Configuration],,0,)</f>
        <v/>
      </c>
      <c r="I49">
        <f>_xlfn.XLOOKUP($D49,Tab_Def_Processes[Process_Name],Tab_Def_Processes[Outflow_count],,0,)</f>
        <v/>
      </c>
      <c r="J49">
        <f>_xlfn.XLOOKUP($E49,Tab_Def_Flows[Flow_Name],Tab_Def_Flows[Flow_ID],,0,1)</f>
        <v/>
      </c>
      <c r="L49">
        <f>"TC_material"&amp;"_"&amp;RIGHT(J49,5)</f>
        <v/>
      </c>
      <c r="N49">
        <f>"TC_WC"&amp;"_"&amp;RIGHT(J49,5)</f>
        <v/>
      </c>
      <c r="P49">
        <f>"TC_DM"&amp;"_"&amp;RIGHT(J49,5)</f>
        <v/>
      </c>
      <c r="R49">
        <f>"TC_CC"&amp;"_"&amp;RIGHT(J49,5)</f>
        <v/>
      </c>
    </row>
    <row r="50">
      <c r="A50" t="b">
        <v>0</v>
      </c>
      <c r="B50">
        <f>ROW()-1</f>
        <v/>
      </c>
      <c r="C50">
        <f>_xlfn.XLOOKUP($D50,Tab_Def_Processes[Process_Name],Tab_Def_Processes[Process_ID],,0,)</f>
        <v/>
      </c>
      <c r="D50" t="inlineStr">
        <is>
          <t>N.A.</t>
        </is>
      </c>
      <c r="E50" t="inlineStr">
        <is>
          <t>N.A.</t>
        </is>
      </c>
      <c r="F50">
        <f>_xlfn.XLOOKUP($D50,Tab_Def_Processes[Process_Name],Tab_Def_Processes[Process_Logic],,0,)</f>
        <v/>
      </c>
      <c r="G50">
        <f>_xlfn.XLOOKUP($D50,Tab_Def_Processes[Process_Name],Tab_Def_Processes[TC_Configuration],,0,)</f>
        <v/>
      </c>
      <c r="H50">
        <f>_xlfn.XLOOKUP($D50,Tab_Def_Processes[Process_Name],Tab_Def_Processes[Stock_Configuration],,0,)</f>
        <v/>
      </c>
      <c r="I50">
        <f>_xlfn.XLOOKUP($D50,Tab_Def_Processes[Process_Name],Tab_Def_Processes[Outflow_count],,0,)</f>
        <v/>
      </c>
      <c r="J50">
        <f>_xlfn.XLOOKUP($E50,Tab_Def_Flows[Flow_Name],Tab_Def_Flows[Flow_ID],,0,1)</f>
        <v/>
      </c>
      <c r="L50">
        <f>"TC_material"&amp;"_"&amp;RIGHT(J50,5)</f>
        <v/>
      </c>
      <c r="N50">
        <f>"TC_WC"&amp;"_"&amp;RIGHT(J50,5)</f>
        <v/>
      </c>
      <c r="P50">
        <f>"TC_DM"&amp;"_"&amp;RIGHT(J50,5)</f>
        <v/>
      </c>
      <c r="R50">
        <f>"TC_CC"&amp;"_"&amp;RIGHT(J50,5)</f>
        <v/>
      </c>
    </row>
    <row r="51">
      <c r="A51" t="b">
        <v>0</v>
      </c>
      <c r="B51">
        <f>ROW()-1</f>
        <v/>
      </c>
      <c r="C51">
        <f>_xlfn.XLOOKUP($D51,Tab_Def_Processes[Process_Name],Tab_Def_Processes[Process_ID],,0,)</f>
        <v/>
      </c>
      <c r="D51" t="inlineStr">
        <is>
          <t>N.A.</t>
        </is>
      </c>
      <c r="E51" t="inlineStr">
        <is>
          <t>N.A.</t>
        </is>
      </c>
      <c r="F51">
        <f>_xlfn.XLOOKUP($D51,Tab_Def_Processes[Process_Name],Tab_Def_Processes[Process_Logic],,0,)</f>
        <v/>
      </c>
      <c r="G51">
        <f>_xlfn.XLOOKUP($D51,Tab_Def_Processes[Process_Name],Tab_Def_Processes[TC_Configuration],,0,)</f>
        <v/>
      </c>
      <c r="H51">
        <f>_xlfn.XLOOKUP($D51,Tab_Def_Processes[Process_Name],Tab_Def_Processes[Stock_Configuration],,0,)</f>
        <v/>
      </c>
      <c r="I51">
        <f>_xlfn.XLOOKUP($D51,Tab_Def_Processes[Process_Name],Tab_Def_Processes[Outflow_count],,0,)</f>
        <v/>
      </c>
      <c r="J51">
        <f>_xlfn.XLOOKUP($E51,Tab_Def_Flows[Flow_Name],Tab_Def_Flows[Flow_ID],,0,1)</f>
        <v/>
      </c>
      <c r="L51">
        <f>"TC_material"&amp;"_"&amp;RIGHT(J51,5)</f>
        <v/>
      </c>
      <c r="N51">
        <f>"TC_WC"&amp;"_"&amp;RIGHT(J51,5)</f>
        <v/>
      </c>
      <c r="P51">
        <f>"TC_DM"&amp;"_"&amp;RIGHT(J51,5)</f>
        <v/>
      </c>
      <c r="R51">
        <f>"TC_CC"&amp;"_"&amp;RIGHT(J51,5)</f>
        <v/>
      </c>
    </row>
    <row r="52">
      <c r="A52" t="b">
        <v>0</v>
      </c>
      <c r="B52">
        <f>ROW()-1</f>
        <v/>
      </c>
      <c r="C52">
        <f>_xlfn.XLOOKUP($D52,Tab_Def_Processes[Process_Name],Tab_Def_Processes[Process_ID],,0,)</f>
        <v/>
      </c>
      <c r="D52" t="inlineStr">
        <is>
          <t>N.A.</t>
        </is>
      </c>
      <c r="E52" t="inlineStr">
        <is>
          <t>N.A.</t>
        </is>
      </c>
      <c r="F52">
        <f>_xlfn.XLOOKUP($D52,Tab_Def_Processes[Process_Name],Tab_Def_Processes[Process_Logic],,0,)</f>
        <v/>
      </c>
      <c r="G52">
        <f>_xlfn.XLOOKUP($D52,Tab_Def_Processes[Process_Name],Tab_Def_Processes[TC_Configuration],,0,)</f>
        <v/>
      </c>
      <c r="H52">
        <f>_xlfn.XLOOKUP($D52,Tab_Def_Processes[Process_Name],Tab_Def_Processes[Stock_Configuration],,0,)</f>
        <v/>
      </c>
      <c r="I52">
        <f>_xlfn.XLOOKUP($D52,Tab_Def_Processes[Process_Name],Tab_Def_Processes[Outflow_count],,0,)</f>
        <v/>
      </c>
      <c r="J52">
        <f>_xlfn.XLOOKUP($E52,Tab_Def_Flows[Flow_Name],Tab_Def_Flows[Flow_ID],,0,1)</f>
        <v/>
      </c>
      <c r="L52">
        <f>"TC_material"&amp;"_"&amp;RIGHT(J52,5)</f>
        <v/>
      </c>
      <c r="N52">
        <f>"TC_WC"&amp;"_"&amp;RIGHT(J52,5)</f>
        <v/>
      </c>
      <c r="P52">
        <f>"TC_DM"&amp;"_"&amp;RIGHT(J52,5)</f>
        <v/>
      </c>
      <c r="R52">
        <f>"TC_CC"&amp;"_"&amp;RIGHT(J52,5)</f>
        <v/>
      </c>
    </row>
    <row r="53">
      <c r="A53" t="b">
        <v>0</v>
      </c>
      <c r="B53">
        <f>ROW()-1</f>
        <v/>
      </c>
      <c r="C53">
        <f>_xlfn.XLOOKUP($D53,Tab_Def_Processes[Process_Name],Tab_Def_Processes[Process_ID],,0,)</f>
        <v/>
      </c>
      <c r="D53" t="inlineStr">
        <is>
          <t>N.A.</t>
        </is>
      </c>
      <c r="E53" t="inlineStr">
        <is>
          <t>N.A.</t>
        </is>
      </c>
      <c r="F53">
        <f>_xlfn.XLOOKUP($D53,Tab_Def_Processes[Process_Name],Tab_Def_Processes[Process_Logic],,0,)</f>
        <v/>
      </c>
      <c r="G53">
        <f>_xlfn.XLOOKUP($D53,Tab_Def_Processes[Process_Name],Tab_Def_Processes[TC_Configuration],,0,)</f>
        <v/>
      </c>
      <c r="H53">
        <f>_xlfn.XLOOKUP($D53,Tab_Def_Processes[Process_Name],Tab_Def_Processes[Stock_Configuration],,0,)</f>
        <v/>
      </c>
      <c r="I53">
        <f>_xlfn.XLOOKUP($D53,Tab_Def_Processes[Process_Name],Tab_Def_Processes[Outflow_count],,0,)</f>
        <v/>
      </c>
      <c r="J53">
        <f>_xlfn.XLOOKUP($E53,Tab_Def_Flows[Flow_Name],Tab_Def_Flows[Flow_ID],,0,1)</f>
        <v/>
      </c>
      <c r="L53">
        <f>"TC_material"&amp;"_"&amp;RIGHT(J53,5)</f>
        <v/>
      </c>
      <c r="N53">
        <f>"TC_WC"&amp;"_"&amp;RIGHT(J53,5)</f>
        <v/>
      </c>
      <c r="P53">
        <f>"TC_DM"&amp;"_"&amp;RIGHT(J53,5)</f>
        <v/>
      </c>
      <c r="R53">
        <f>"TC_CC"&amp;"_"&amp;RIGHT(J53,5)</f>
        <v/>
      </c>
    </row>
    <row r="54">
      <c r="A54" t="b">
        <v>0</v>
      </c>
      <c r="B54">
        <f>ROW()-1</f>
        <v/>
      </c>
      <c r="C54">
        <f>_xlfn.XLOOKUP($D54,Tab_Def_Processes[Process_Name],Tab_Def_Processes[Process_ID],,0,)</f>
        <v/>
      </c>
      <c r="D54" t="inlineStr">
        <is>
          <t>N.A.</t>
        </is>
      </c>
      <c r="E54" t="inlineStr">
        <is>
          <t>N.A.</t>
        </is>
      </c>
      <c r="F54">
        <f>_xlfn.XLOOKUP($D54,Tab_Def_Processes[Process_Name],Tab_Def_Processes[Process_Logic],,0,)</f>
        <v/>
      </c>
      <c r="G54">
        <f>_xlfn.XLOOKUP($D54,Tab_Def_Processes[Process_Name],Tab_Def_Processes[TC_Configuration],,0,)</f>
        <v/>
      </c>
      <c r="H54">
        <f>_xlfn.XLOOKUP($D54,Tab_Def_Processes[Process_Name],Tab_Def_Processes[Stock_Configuration],,0,)</f>
        <v/>
      </c>
      <c r="I54">
        <f>_xlfn.XLOOKUP($D54,Tab_Def_Processes[Process_Name],Tab_Def_Processes[Outflow_count],,0,)</f>
        <v/>
      </c>
      <c r="J54">
        <f>_xlfn.XLOOKUP($E54,Tab_Def_Flows[Flow_Name],Tab_Def_Flows[Flow_ID],,0,1)</f>
        <v/>
      </c>
      <c r="L54">
        <f>"TC_material"&amp;"_"&amp;RIGHT(J54,5)</f>
        <v/>
      </c>
      <c r="N54">
        <f>"TC_WC"&amp;"_"&amp;RIGHT(J54,5)</f>
        <v/>
      </c>
      <c r="P54">
        <f>"TC_DM"&amp;"_"&amp;RIGHT(J54,5)</f>
        <v/>
      </c>
      <c r="R54">
        <f>"TC_CC"&amp;"_"&amp;RIGHT(J54,5)</f>
        <v/>
      </c>
    </row>
    <row r="55">
      <c r="A55" t="b">
        <v>0</v>
      </c>
      <c r="B55">
        <f>ROW()-1</f>
        <v/>
      </c>
      <c r="C55">
        <f>_xlfn.XLOOKUP($D55,Tab_Def_Processes[Process_Name],Tab_Def_Processes[Process_ID],,0,)</f>
        <v/>
      </c>
      <c r="D55" t="inlineStr">
        <is>
          <t>N.A.</t>
        </is>
      </c>
      <c r="E55" t="inlineStr">
        <is>
          <t>N.A.</t>
        </is>
      </c>
      <c r="F55">
        <f>_xlfn.XLOOKUP($D55,Tab_Def_Processes[Process_Name],Tab_Def_Processes[Process_Logic],,0,)</f>
        <v/>
      </c>
      <c r="G55">
        <f>_xlfn.XLOOKUP($D55,Tab_Def_Processes[Process_Name],Tab_Def_Processes[TC_Configuration],,0,)</f>
        <v/>
      </c>
      <c r="H55">
        <f>_xlfn.XLOOKUP($D55,Tab_Def_Processes[Process_Name],Tab_Def_Processes[Stock_Configuration],,0,)</f>
        <v/>
      </c>
      <c r="I55">
        <f>_xlfn.XLOOKUP($D55,Tab_Def_Processes[Process_Name],Tab_Def_Processes[Outflow_count],,0,)</f>
        <v/>
      </c>
      <c r="J55">
        <f>_xlfn.XLOOKUP($E55,Tab_Def_Flows[Flow_Name],Tab_Def_Flows[Flow_ID],,0,1)</f>
        <v/>
      </c>
      <c r="L55">
        <f>"TC_material"&amp;"_"&amp;RIGHT(J55,5)</f>
        <v/>
      </c>
      <c r="N55">
        <f>"TC_WC"&amp;"_"&amp;RIGHT(J55,5)</f>
        <v/>
      </c>
      <c r="P55">
        <f>"TC_DM"&amp;"_"&amp;RIGHT(J55,5)</f>
        <v/>
      </c>
      <c r="R55">
        <f>"TC_CC"&amp;"_"&amp;RIGHT(J55,5)</f>
        <v/>
      </c>
    </row>
    <row r="56">
      <c r="A56" t="b">
        <v>0</v>
      </c>
      <c r="B56">
        <f>ROW()-1</f>
        <v/>
      </c>
      <c r="C56">
        <f>_xlfn.XLOOKUP($D56,Tab_Def_Processes[Process_Name],Tab_Def_Processes[Process_ID],,0,)</f>
        <v/>
      </c>
      <c r="D56" t="inlineStr">
        <is>
          <t>N.A.</t>
        </is>
      </c>
      <c r="E56" t="inlineStr">
        <is>
          <t>N.A.</t>
        </is>
      </c>
      <c r="F56">
        <f>_xlfn.XLOOKUP($D56,Tab_Def_Processes[Process_Name],Tab_Def_Processes[Process_Logic],,0,)</f>
        <v/>
      </c>
      <c r="G56">
        <f>_xlfn.XLOOKUP($D56,Tab_Def_Processes[Process_Name],Tab_Def_Processes[TC_Configuration],,0,)</f>
        <v/>
      </c>
      <c r="H56">
        <f>_xlfn.XLOOKUP($D56,Tab_Def_Processes[Process_Name],Tab_Def_Processes[Stock_Configuration],,0,)</f>
        <v/>
      </c>
      <c r="I56">
        <f>_xlfn.XLOOKUP($D56,Tab_Def_Processes[Process_Name],Tab_Def_Processes[Outflow_count],,0,)</f>
        <v/>
      </c>
      <c r="J56">
        <f>_xlfn.XLOOKUP($E56,Tab_Def_Flows[Flow_Name],Tab_Def_Flows[Flow_ID],,0,1)</f>
        <v/>
      </c>
      <c r="L56">
        <f>"TC_material"&amp;"_"&amp;RIGHT(J56,5)</f>
        <v/>
      </c>
      <c r="N56">
        <f>"TC_WC"&amp;"_"&amp;RIGHT(J56,5)</f>
        <v/>
      </c>
      <c r="P56">
        <f>"TC_DM"&amp;"_"&amp;RIGHT(J56,5)</f>
        <v/>
      </c>
      <c r="R56">
        <f>"TC_CC"&amp;"_"&amp;RIGHT(J56,5)</f>
        <v/>
      </c>
    </row>
    <row r="57">
      <c r="A57" t="b">
        <v>0</v>
      </c>
      <c r="B57">
        <f>ROW()-1</f>
        <v/>
      </c>
      <c r="C57">
        <f>_xlfn.XLOOKUP($D57,Tab_Def_Processes[Process_Name],Tab_Def_Processes[Process_ID],,0,)</f>
        <v/>
      </c>
      <c r="D57" t="inlineStr">
        <is>
          <t>N.A.</t>
        </is>
      </c>
      <c r="E57" t="inlineStr">
        <is>
          <t>N.A.</t>
        </is>
      </c>
      <c r="F57">
        <f>_xlfn.XLOOKUP($D57,Tab_Def_Processes[Process_Name],Tab_Def_Processes[Process_Logic],,0,)</f>
        <v/>
      </c>
      <c r="G57">
        <f>_xlfn.XLOOKUP($D57,Tab_Def_Processes[Process_Name],Tab_Def_Processes[TC_Configuration],,0,)</f>
        <v/>
      </c>
      <c r="H57">
        <f>_xlfn.XLOOKUP($D57,Tab_Def_Processes[Process_Name],Tab_Def_Processes[Stock_Configuration],,0,)</f>
        <v/>
      </c>
      <c r="I57">
        <f>_xlfn.XLOOKUP($D57,Tab_Def_Processes[Process_Name],Tab_Def_Processes[Outflow_count],,0,)</f>
        <v/>
      </c>
      <c r="J57">
        <f>_xlfn.XLOOKUP($E57,Tab_Def_Flows[Flow_Name],Tab_Def_Flows[Flow_ID],,0,1)</f>
        <v/>
      </c>
      <c r="L57">
        <f>"TC_material"&amp;"_"&amp;RIGHT(J57,5)</f>
        <v/>
      </c>
      <c r="N57">
        <f>"TC_WC"&amp;"_"&amp;RIGHT(J57,5)</f>
        <v/>
      </c>
      <c r="P57">
        <f>"TC_DM"&amp;"_"&amp;RIGHT(J57,5)</f>
        <v/>
      </c>
      <c r="R57">
        <f>"TC_CC"&amp;"_"&amp;RIGHT(J57,5)</f>
        <v/>
      </c>
    </row>
    <row r="58">
      <c r="A58" t="b">
        <v>0</v>
      </c>
      <c r="B58">
        <f>ROW()-1</f>
        <v/>
      </c>
      <c r="C58">
        <f>_xlfn.XLOOKUP($D58,Tab_Def_Processes[Process_Name],Tab_Def_Processes[Process_ID],,0,)</f>
        <v/>
      </c>
      <c r="D58" t="inlineStr">
        <is>
          <t>N.A.</t>
        </is>
      </c>
      <c r="E58" t="inlineStr">
        <is>
          <t>N.A.</t>
        </is>
      </c>
      <c r="F58">
        <f>_xlfn.XLOOKUP($D58,Tab_Def_Processes[Process_Name],Tab_Def_Processes[Process_Logic],,0,)</f>
        <v/>
      </c>
      <c r="G58">
        <f>_xlfn.XLOOKUP($D58,Tab_Def_Processes[Process_Name],Tab_Def_Processes[TC_Configuration],,0,)</f>
        <v/>
      </c>
      <c r="H58">
        <f>_xlfn.XLOOKUP($D58,Tab_Def_Processes[Process_Name],Tab_Def_Processes[Stock_Configuration],,0,)</f>
        <v/>
      </c>
      <c r="I58">
        <f>_xlfn.XLOOKUP($D58,Tab_Def_Processes[Process_Name],Tab_Def_Processes[Outflow_count],,0,)</f>
        <v/>
      </c>
      <c r="J58">
        <f>_xlfn.XLOOKUP($E58,Tab_Def_Flows[Flow_Name],Tab_Def_Flows[Flow_ID],,0,1)</f>
        <v/>
      </c>
      <c r="L58">
        <f>"TC_material"&amp;"_"&amp;RIGHT(J58,5)</f>
        <v/>
      </c>
      <c r="N58">
        <f>"TC_WC"&amp;"_"&amp;RIGHT(J58,5)</f>
        <v/>
      </c>
      <c r="P58">
        <f>"TC_DM"&amp;"_"&amp;RIGHT(J58,5)</f>
        <v/>
      </c>
      <c r="R58">
        <f>"TC_CC"&amp;"_"&amp;RIGHT(J58,5)</f>
        <v/>
      </c>
    </row>
    <row r="59">
      <c r="A59" t="b">
        <v>0</v>
      </c>
      <c r="B59">
        <f>ROW()-1</f>
        <v/>
      </c>
      <c r="C59">
        <f>_xlfn.XLOOKUP($D59,Tab_Def_Processes[Process_Name],Tab_Def_Processes[Process_ID],,0,)</f>
        <v/>
      </c>
      <c r="D59" t="inlineStr">
        <is>
          <t>N.A.</t>
        </is>
      </c>
      <c r="E59" t="inlineStr">
        <is>
          <t>N.A.</t>
        </is>
      </c>
      <c r="F59">
        <f>_xlfn.XLOOKUP($D59,Tab_Def_Processes[Process_Name],Tab_Def_Processes[Process_Logic],,0,)</f>
        <v/>
      </c>
      <c r="G59">
        <f>_xlfn.XLOOKUP($D59,Tab_Def_Processes[Process_Name],Tab_Def_Processes[TC_Configuration],,0,)</f>
        <v/>
      </c>
      <c r="H59">
        <f>_xlfn.XLOOKUP($D59,Tab_Def_Processes[Process_Name],Tab_Def_Processes[Stock_Configuration],,0,)</f>
        <v/>
      </c>
      <c r="I59">
        <f>_xlfn.XLOOKUP($D59,Tab_Def_Processes[Process_Name],Tab_Def_Processes[Outflow_count],,0,)</f>
        <v/>
      </c>
      <c r="J59">
        <f>_xlfn.XLOOKUP($E59,Tab_Def_Flows[Flow_Name],Tab_Def_Flows[Flow_ID],,0,1)</f>
        <v/>
      </c>
      <c r="L59">
        <f>"TC_material"&amp;"_"&amp;RIGHT(J59,5)</f>
        <v/>
      </c>
      <c r="N59">
        <f>"TC_WC"&amp;"_"&amp;RIGHT(J59,5)</f>
        <v/>
      </c>
      <c r="P59">
        <f>"TC_DM"&amp;"_"&amp;RIGHT(J59,5)</f>
        <v/>
      </c>
      <c r="R59">
        <f>"TC_CC"&amp;"_"&amp;RIGHT(J59,5)</f>
        <v/>
      </c>
    </row>
    <row r="60">
      <c r="A60" t="b">
        <v>0</v>
      </c>
      <c r="B60">
        <f>ROW()-1</f>
        <v/>
      </c>
      <c r="C60">
        <f>_xlfn.XLOOKUP($D60,Tab_Def_Processes[Process_Name],Tab_Def_Processes[Process_ID],,0,)</f>
        <v/>
      </c>
      <c r="D60" t="inlineStr">
        <is>
          <t>N.A.</t>
        </is>
      </c>
      <c r="E60" t="inlineStr">
        <is>
          <t>N.A.</t>
        </is>
      </c>
      <c r="F60">
        <f>_xlfn.XLOOKUP($D60,Tab_Def_Processes[Process_Name],Tab_Def_Processes[Process_Logic],,0,)</f>
        <v/>
      </c>
      <c r="G60">
        <f>_xlfn.XLOOKUP($D60,Tab_Def_Processes[Process_Name],Tab_Def_Processes[TC_Configuration],,0,)</f>
        <v/>
      </c>
      <c r="H60">
        <f>_xlfn.XLOOKUP($D60,Tab_Def_Processes[Process_Name],Tab_Def_Processes[Stock_Configuration],,0,)</f>
        <v/>
      </c>
      <c r="I60">
        <f>_xlfn.XLOOKUP($D60,Tab_Def_Processes[Process_Name],Tab_Def_Processes[Outflow_count],,0,)</f>
        <v/>
      </c>
      <c r="J60">
        <f>_xlfn.XLOOKUP($E60,Tab_Def_Flows[Flow_Name],Tab_Def_Flows[Flow_ID],,0,1)</f>
        <v/>
      </c>
      <c r="L60">
        <f>"TC_material"&amp;"_"&amp;RIGHT(J60,5)</f>
        <v/>
      </c>
      <c r="N60">
        <f>"TC_WC"&amp;"_"&amp;RIGHT(J60,5)</f>
        <v/>
      </c>
      <c r="P60">
        <f>"TC_DM"&amp;"_"&amp;RIGHT(J60,5)</f>
        <v/>
      </c>
      <c r="R60">
        <f>"TC_CC"&amp;"_"&amp;RIGHT(J60,5)</f>
        <v/>
      </c>
    </row>
    <row r="61">
      <c r="A61" t="b">
        <v>0</v>
      </c>
      <c r="B61">
        <f>ROW()-1</f>
        <v/>
      </c>
      <c r="C61">
        <f>_xlfn.XLOOKUP($D61,Tab_Def_Processes[Process_Name],Tab_Def_Processes[Process_ID],,0,)</f>
        <v/>
      </c>
      <c r="D61" t="inlineStr">
        <is>
          <t>N.A.</t>
        </is>
      </c>
      <c r="E61" t="inlineStr">
        <is>
          <t>N.A.</t>
        </is>
      </c>
      <c r="F61">
        <f>_xlfn.XLOOKUP($D61,Tab_Def_Processes[Process_Name],Tab_Def_Processes[Process_Logic],,0,)</f>
        <v/>
      </c>
      <c r="G61">
        <f>_xlfn.XLOOKUP($D61,Tab_Def_Processes[Process_Name],Tab_Def_Processes[TC_Configuration],,0,)</f>
        <v/>
      </c>
      <c r="H61">
        <f>_xlfn.XLOOKUP($D61,Tab_Def_Processes[Process_Name],Tab_Def_Processes[Stock_Configuration],,0,)</f>
        <v/>
      </c>
      <c r="I61">
        <f>_xlfn.XLOOKUP($D61,Tab_Def_Processes[Process_Name],Tab_Def_Processes[Outflow_count],,0,)</f>
        <v/>
      </c>
      <c r="J61">
        <f>_xlfn.XLOOKUP($E61,Tab_Def_Flows[Flow_Name],Tab_Def_Flows[Flow_ID],,0,1)</f>
        <v/>
      </c>
      <c r="L61">
        <f>"TC_material"&amp;"_"&amp;RIGHT(J61,5)</f>
        <v/>
      </c>
      <c r="N61">
        <f>"TC_WC"&amp;"_"&amp;RIGHT(J61,5)</f>
        <v/>
      </c>
      <c r="P61">
        <f>"TC_DM"&amp;"_"&amp;RIGHT(J61,5)</f>
        <v/>
      </c>
      <c r="R61">
        <f>"TC_CC"&amp;"_"&amp;RIGHT(J61,5)</f>
        <v/>
      </c>
    </row>
    <row r="62">
      <c r="A62" t="b">
        <v>0</v>
      </c>
      <c r="B62">
        <f>ROW()-1</f>
        <v/>
      </c>
      <c r="C62">
        <f>_xlfn.XLOOKUP($D62,Tab_Def_Processes[Process_Name],Tab_Def_Processes[Process_ID],,0,)</f>
        <v/>
      </c>
      <c r="D62" t="inlineStr">
        <is>
          <t>N.A.</t>
        </is>
      </c>
      <c r="E62" t="inlineStr">
        <is>
          <t>N.A.</t>
        </is>
      </c>
      <c r="F62">
        <f>_xlfn.XLOOKUP($D62,Tab_Def_Processes[Process_Name],Tab_Def_Processes[Process_Logic],,0,)</f>
        <v/>
      </c>
      <c r="G62">
        <f>_xlfn.XLOOKUP($D62,Tab_Def_Processes[Process_Name],Tab_Def_Processes[TC_Configuration],,0,)</f>
        <v/>
      </c>
      <c r="H62">
        <f>_xlfn.XLOOKUP($D62,Tab_Def_Processes[Process_Name],Tab_Def_Processes[Stock_Configuration],,0,)</f>
        <v/>
      </c>
      <c r="I62">
        <f>_xlfn.XLOOKUP($D62,Tab_Def_Processes[Process_Name],Tab_Def_Processes[Outflow_count],,0,)</f>
        <v/>
      </c>
      <c r="J62">
        <f>_xlfn.XLOOKUP($E62,Tab_Def_Flows[Flow_Name],Tab_Def_Flows[Flow_ID],,0,1)</f>
        <v/>
      </c>
      <c r="L62">
        <f>"TC_material"&amp;"_"&amp;RIGHT(J62,5)</f>
        <v/>
      </c>
      <c r="N62">
        <f>"TC_WC"&amp;"_"&amp;RIGHT(J62,5)</f>
        <v/>
      </c>
      <c r="P62">
        <f>"TC_DM"&amp;"_"&amp;RIGHT(J62,5)</f>
        <v/>
      </c>
      <c r="R62">
        <f>"TC_CC"&amp;"_"&amp;RIGHT(J62,5)</f>
        <v/>
      </c>
    </row>
    <row r="63">
      <c r="A63" t="b">
        <v>0</v>
      </c>
      <c r="B63">
        <f>ROW()-1</f>
        <v/>
      </c>
      <c r="C63">
        <f>_xlfn.XLOOKUP($D63,Tab_Def_Processes[Process_Name],Tab_Def_Processes[Process_ID],,0,)</f>
        <v/>
      </c>
      <c r="D63" t="inlineStr">
        <is>
          <t>N.A.</t>
        </is>
      </c>
      <c r="E63" t="inlineStr">
        <is>
          <t>N.A.</t>
        </is>
      </c>
      <c r="F63">
        <f>_xlfn.XLOOKUP($D63,Tab_Def_Processes[Process_Name],Tab_Def_Processes[Process_Logic],,0,)</f>
        <v/>
      </c>
      <c r="G63">
        <f>_xlfn.XLOOKUP($D63,Tab_Def_Processes[Process_Name],Tab_Def_Processes[TC_Configuration],,0,)</f>
        <v/>
      </c>
      <c r="H63">
        <f>_xlfn.XLOOKUP($D63,Tab_Def_Processes[Process_Name],Tab_Def_Processes[Stock_Configuration],,0,)</f>
        <v/>
      </c>
      <c r="I63">
        <f>_xlfn.XLOOKUP($D63,Tab_Def_Processes[Process_Name],Tab_Def_Processes[Outflow_count],,0,)</f>
        <v/>
      </c>
      <c r="J63">
        <f>_xlfn.XLOOKUP($E63,Tab_Def_Flows[Flow_Name],Tab_Def_Flows[Flow_ID],,0,1)</f>
        <v/>
      </c>
      <c r="L63">
        <f>"TC_material"&amp;"_"&amp;RIGHT(J63,5)</f>
        <v/>
      </c>
      <c r="N63">
        <f>"TC_WC"&amp;"_"&amp;RIGHT(J63,5)</f>
        <v/>
      </c>
      <c r="P63">
        <f>"TC_DM"&amp;"_"&amp;RIGHT(J63,5)</f>
        <v/>
      </c>
      <c r="R63">
        <f>"TC_CC"&amp;"_"&amp;RIGHT(J63,5)</f>
        <v/>
      </c>
    </row>
    <row r="64">
      <c r="A64" t="b">
        <v>0</v>
      </c>
      <c r="B64">
        <f>ROW()-1</f>
        <v/>
      </c>
      <c r="C64">
        <f>_xlfn.XLOOKUP($D64,Tab_Def_Processes[Process_Name],Tab_Def_Processes[Process_ID],,0,)</f>
        <v/>
      </c>
      <c r="D64" t="inlineStr">
        <is>
          <t>N.A.</t>
        </is>
      </c>
      <c r="E64" t="inlineStr">
        <is>
          <t>N.A.</t>
        </is>
      </c>
      <c r="F64">
        <f>_xlfn.XLOOKUP($D64,Tab_Def_Processes[Process_Name],Tab_Def_Processes[Process_Logic],,0,)</f>
        <v/>
      </c>
      <c r="G64">
        <f>_xlfn.XLOOKUP($D64,Tab_Def_Processes[Process_Name],Tab_Def_Processes[TC_Configuration],,0,)</f>
        <v/>
      </c>
      <c r="H64">
        <f>_xlfn.XLOOKUP($D64,Tab_Def_Processes[Process_Name],Tab_Def_Processes[Stock_Configuration],,0,)</f>
        <v/>
      </c>
      <c r="I64">
        <f>_xlfn.XLOOKUP($D64,Tab_Def_Processes[Process_Name],Tab_Def_Processes[Outflow_count],,0,)</f>
        <v/>
      </c>
      <c r="J64">
        <f>_xlfn.XLOOKUP($E64,Tab_Def_Flows[Flow_Name],Tab_Def_Flows[Flow_ID],,0,1)</f>
        <v/>
      </c>
      <c r="L64">
        <f>"TC_material"&amp;"_"&amp;RIGHT(J64,5)</f>
        <v/>
      </c>
      <c r="N64">
        <f>"TC_WC"&amp;"_"&amp;RIGHT(J64,5)</f>
        <v/>
      </c>
      <c r="P64">
        <f>"TC_DM"&amp;"_"&amp;RIGHT(J64,5)</f>
        <v/>
      </c>
      <c r="R64">
        <f>"TC_CC"&amp;"_"&amp;RIGHT(J64,5)</f>
        <v/>
      </c>
    </row>
    <row r="65">
      <c r="A65" t="b">
        <v>0</v>
      </c>
      <c r="B65">
        <f>ROW()-1</f>
        <v/>
      </c>
      <c r="C65">
        <f>_xlfn.XLOOKUP($D65,Tab_Def_Processes[Process_Name],Tab_Def_Processes[Process_ID],,0,)</f>
        <v/>
      </c>
      <c r="D65" t="inlineStr">
        <is>
          <t>N.A.</t>
        </is>
      </c>
      <c r="E65" t="inlineStr">
        <is>
          <t>N.A.</t>
        </is>
      </c>
      <c r="F65">
        <f>_xlfn.XLOOKUP($D65,Tab_Def_Processes[Process_Name],Tab_Def_Processes[Process_Logic],,0,)</f>
        <v/>
      </c>
      <c r="G65">
        <f>_xlfn.XLOOKUP($D65,Tab_Def_Processes[Process_Name],Tab_Def_Processes[TC_Configuration],,0,)</f>
        <v/>
      </c>
      <c r="H65">
        <f>_xlfn.XLOOKUP($D65,Tab_Def_Processes[Process_Name],Tab_Def_Processes[Stock_Configuration],,0,)</f>
        <v/>
      </c>
      <c r="I65">
        <f>_xlfn.XLOOKUP($D65,Tab_Def_Processes[Process_Name],Tab_Def_Processes[Outflow_count],,0,)</f>
        <v/>
      </c>
      <c r="J65">
        <f>_xlfn.XLOOKUP($E65,Tab_Def_Flows[Flow_Name],Tab_Def_Flows[Flow_ID],,0,1)</f>
        <v/>
      </c>
      <c r="L65">
        <f>"TC_material"&amp;"_"&amp;RIGHT(J65,5)</f>
        <v/>
      </c>
      <c r="N65">
        <f>"TC_WC"&amp;"_"&amp;RIGHT(J65,5)</f>
        <v/>
      </c>
      <c r="P65">
        <f>"TC_DM"&amp;"_"&amp;RIGHT(J65,5)</f>
        <v/>
      </c>
      <c r="R65">
        <f>"TC_CC"&amp;"_"&amp;RIGHT(J65,5)</f>
        <v/>
      </c>
    </row>
    <row r="66">
      <c r="A66" t="b">
        <v>0</v>
      </c>
      <c r="B66">
        <f>ROW()-1</f>
        <v/>
      </c>
      <c r="C66">
        <f>_xlfn.XLOOKUP($D66,Tab_Def_Processes[Process_Name],Tab_Def_Processes[Process_ID],,0,)</f>
        <v/>
      </c>
      <c r="D66" t="inlineStr">
        <is>
          <t>N.A.</t>
        </is>
      </c>
      <c r="E66" t="inlineStr">
        <is>
          <t>N.A.</t>
        </is>
      </c>
      <c r="F66">
        <f>_xlfn.XLOOKUP($D66,Tab_Def_Processes[Process_Name],Tab_Def_Processes[Process_Logic],,0,)</f>
        <v/>
      </c>
      <c r="G66">
        <f>_xlfn.XLOOKUP($D66,Tab_Def_Processes[Process_Name],Tab_Def_Processes[TC_Configuration],,0,)</f>
        <v/>
      </c>
      <c r="H66">
        <f>_xlfn.XLOOKUP($D66,Tab_Def_Processes[Process_Name],Tab_Def_Processes[Stock_Configuration],,0,)</f>
        <v/>
      </c>
      <c r="I66">
        <f>_xlfn.XLOOKUP($D66,Tab_Def_Processes[Process_Name],Tab_Def_Processes[Outflow_count],,0,)</f>
        <v/>
      </c>
      <c r="J66">
        <f>_xlfn.XLOOKUP($E66,Tab_Def_Flows[Flow_Name],Tab_Def_Flows[Flow_ID],,0,1)</f>
        <v/>
      </c>
      <c r="L66">
        <f>"TC_material"&amp;"_"&amp;RIGHT(J66,5)</f>
        <v/>
      </c>
      <c r="N66">
        <f>"TC_WC"&amp;"_"&amp;RIGHT(J66,5)</f>
        <v/>
      </c>
      <c r="P66">
        <f>"TC_DM"&amp;"_"&amp;RIGHT(J66,5)</f>
        <v/>
      </c>
      <c r="R66">
        <f>"TC_CC"&amp;"_"&amp;RIGHT(J66,5)</f>
        <v/>
      </c>
    </row>
    <row r="67">
      <c r="A67" t="b">
        <v>0</v>
      </c>
      <c r="B67">
        <f>ROW()-1</f>
        <v/>
      </c>
      <c r="C67">
        <f>_xlfn.XLOOKUP($D67,Tab_Def_Processes[Process_Name],Tab_Def_Processes[Process_ID],,0,)</f>
        <v/>
      </c>
      <c r="D67" t="inlineStr">
        <is>
          <t>N.A.</t>
        </is>
      </c>
      <c r="E67" t="inlineStr">
        <is>
          <t>N.A.</t>
        </is>
      </c>
      <c r="F67">
        <f>_xlfn.XLOOKUP($D67,Tab_Def_Processes[Process_Name],Tab_Def_Processes[Process_Logic],,0,)</f>
        <v/>
      </c>
      <c r="G67">
        <f>_xlfn.XLOOKUP($D67,Tab_Def_Processes[Process_Name],Tab_Def_Processes[TC_Configuration],,0,)</f>
        <v/>
      </c>
      <c r="H67">
        <f>_xlfn.XLOOKUP($D67,Tab_Def_Processes[Process_Name],Tab_Def_Processes[Stock_Configuration],,0,)</f>
        <v/>
      </c>
      <c r="I67">
        <f>_xlfn.XLOOKUP($D67,Tab_Def_Processes[Process_Name],Tab_Def_Processes[Outflow_count],,0,)</f>
        <v/>
      </c>
      <c r="J67">
        <f>_xlfn.XLOOKUP($E67,Tab_Def_Flows[Flow_Name],Tab_Def_Flows[Flow_ID],,0,1)</f>
        <v/>
      </c>
      <c r="L67">
        <f>"TC_material"&amp;"_"&amp;RIGHT(J67,5)</f>
        <v/>
      </c>
      <c r="N67">
        <f>"TC_WC"&amp;"_"&amp;RIGHT(J67,5)</f>
        <v/>
      </c>
      <c r="P67">
        <f>"TC_DM"&amp;"_"&amp;RIGHT(J67,5)</f>
        <v/>
      </c>
      <c r="R67">
        <f>"TC_CC"&amp;"_"&amp;RIGHT(J67,5)</f>
        <v/>
      </c>
    </row>
    <row r="68">
      <c r="A68" t="b">
        <v>0</v>
      </c>
      <c r="B68">
        <f>ROW()-1</f>
        <v/>
      </c>
      <c r="C68">
        <f>_xlfn.XLOOKUP($D68,Tab_Def_Processes[Process_Name],Tab_Def_Processes[Process_ID],,0,)</f>
        <v/>
      </c>
      <c r="D68" t="inlineStr">
        <is>
          <t>N.A.</t>
        </is>
      </c>
      <c r="E68" t="inlineStr">
        <is>
          <t>N.A.</t>
        </is>
      </c>
      <c r="F68">
        <f>_xlfn.XLOOKUP($D68,Tab_Def_Processes[Process_Name],Tab_Def_Processes[Process_Logic],,0,)</f>
        <v/>
      </c>
      <c r="G68">
        <f>_xlfn.XLOOKUP($D68,Tab_Def_Processes[Process_Name],Tab_Def_Processes[TC_Configuration],,0,)</f>
        <v/>
      </c>
      <c r="H68">
        <f>_xlfn.XLOOKUP($D68,Tab_Def_Processes[Process_Name],Tab_Def_Processes[Stock_Configuration],,0,)</f>
        <v/>
      </c>
      <c r="I68">
        <f>_xlfn.XLOOKUP($D68,Tab_Def_Processes[Process_Name],Tab_Def_Processes[Outflow_count],,0,)</f>
        <v/>
      </c>
      <c r="J68">
        <f>_xlfn.XLOOKUP($E68,Tab_Def_Flows[Flow_Name],Tab_Def_Flows[Flow_ID],,0,1)</f>
        <v/>
      </c>
      <c r="L68">
        <f>"TC_material"&amp;"_"&amp;RIGHT(J68,5)</f>
        <v/>
      </c>
      <c r="N68">
        <f>"TC_WC"&amp;"_"&amp;RIGHT(J68,5)</f>
        <v/>
      </c>
      <c r="P68">
        <f>"TC_DM"&amp;"_"&amp;RIGHT(J68,5)</f>
        <v/>
      </c>
      <c r="R68">
        <f>"TC_CC"&amp;"_"&amp;RIGHT(J68,5)</f>
        <v/>
      </c>
    </row>
    <row r="69">
      <c r="A69" t="b">
        <v>0</v>
      </c>
      <c r="B69">
        <f>ROW()-1</f>
        <v/>
      </c>
      <c r="C69">
        <f>_xlfn.XLOOKUP($D69,Tab_Def_Processes[Process_Name],Tab_Def_Processes[Process_ID],,0,)</f>
        <v/>
      </c>
      <c r="D69" t="inlineStr">
        <is>
          <t>N.A.</t>
        </is>
      </c>
      <c r="E69" t="inlineStr">
        <is>
          <t>N.A.</t>
        </is>
      </c>
      <c r="F69">
        <f>_xlfn.XLOOKUP($D69,Tab_Def_Processes[Process_Name],Tab_Def_Processes[Process_Logic],,0,)</f>
        <v/>
      </c>
      <c r="G69">
        <f>_xlfn.XLOOKUP($D69,Tab_Def_Processes[Process_Name],Tab_Def_Processes[TC_Configuration],,0,)</f>
        <v/>
      </c>
      <c r="H69">
        <f>_xlfn.XLOOKUP($D69,Tab_Def_Processes[Process_Name],Tab_Def_Processes[Stock_Configuration],,0,)</f>
        <v/>
      </c>
      <c r="I69">
        <f>_xlfn.XLOOKUP($D69,Tab_Def_Processes[Process_Name],Tab_Def_Processes[Outflow_count],,0,)</f>
        <v/>
      </c>
      <c r="J69">
        <f>_xlfn.XLOOKUP($E69,Tab_Def_Flows[Flow_Name],Tab_Def_Flows[Flow_ID],,0,1)</f>
        <v/>
      </c>
      <c r="L69">
        <f>"TC_material"&amp;"_"&amp;RIGHT(J69,5)</f>
        <v/>
      </c>
      <c r="N69">
        <f>"TC_WC"&amp;"_"&amp;RIGHT(J69,5)</f>
        <v/>
      </c>
      <c r="P69">
        <f>"TC_DM"&amp;"_"&amp;RIGHT(J69,5)</f>
        <v/>
      </c>
      <c r="R69">
        <f>"TC_CC"&amp;"_"&amp;RIGHT(J69,5)</f>
        <v/>
      </c>
    </row>
    <row r="70">
      <c r="A70" t="b">
        <v>0</v>
      </c>
      <c r="B70">
        <f>ROW()-1</f>
        <v/>
      </c>
      <c r="C70">
        <f>_xlfn.XLOOKUP($D70,Tab_Def_Processes[Process_Name],Tab_Def_Processes[Process_ID],,0,)</f>
        <v/>
      </c>
      <c r="D70" t="inlineStr">
        <is>
          <t>N.A.</t>
        </is>
      </c>
      <c r="E70" t="inlineStr">
        <is>
          <t>N.A.</t>
        </is>
      </c>
      <c r="F70">
        <f>_xlfn.XLOOKUP($D70,Tab_Def_Processes[Process_Name],Tab_Def_Processes[Process_Logic],,0,)</f>
        <v/>
      </c>
      <c r="G70">
        <f>_xlfn.XLOOKUP($D70,Tab_Def_Processes[Process_Name],Tab_Def_Processes[TC_Configuration],,0,)</f>
        <v/>
      </c>
      <c r="H70">
        <f>_xlfn.XLOOKUP($D70,Tab_Def_Processes[Process_Name],Tab_Def_Processes[Stock_Configuration],,0,)</f>
        <v/>
      </c>
      <c r="I70">
        <f>_xlfn.XLOOKUP($D70,Tab_Def_Processes[Process_Name],Tab_Def_Processes[Outflow_count],,0,)</f>
        <v/>
      </c>
      <c r="J70">
        <f>_xlfn.XLOOKUP($E70,Tab_Def_Flows[Flow_Name],Tab_Def_Flows[Flow_ID],,0,1)</f>
        <v/>
      </c>
      <c r="L70">
        <f>"TC_material"&amp;"_"&amp;RIGHT(J70,5)</f>
        <v/>
      </c>
      <c r="N70">
        <f>"TC_WC"&amp;"_"&amp;RIGHT(J70,5)</f>
        <v/>
      </c>
      <c r="P70">
        <f>"TC_DM"&amp;"_"&amp;RIGHT(J70,5)</f>
        <v/>
      </c>
      <c r="R70">
        <f>"TC_CC"&amp;"_"&amp;RIGHT(J70,5)</f>
        <v/>
      </c>
    </row>
    <row r="71">
      <c r="A71" t="b">
        <v>0</v>
      </c>
      <c r="B71">
        <f>ROW()-1</f>
        <v/>
      </c>
      <c r="C71">
        <f>_xlfn.XLOOKUP($D71,Tab_Def_Processes[Process_Name],Tab_Def_Processes[Process_ID],,0,)</f>
        <v/>
      </c>
      <c r="D71" t="inlineStr">
        <is>
          <t>N.A.</t>
        </is>
      </c>
      <c r="E71" t="inlineStr">
        <is>
          <t>N.A.</t>
        </is>
      </c>
      <c r="F71">
        <f>_xlfn.XLOOKUP($D71,Tab_Def_Processes[Process_Name],Tab_Def_Processes[Process_Logic],,0,)</f>
        <v/>
      </c>
      <c r="G71">
        <f>_xlfn.XLOOKUP($D71,Tab_Def_Processes[Process_Name],Tab_Def_Processes[TC_Configuration],,0,)</f>
        <v/>
      </c>
      <c r="H71">
        <f>_xlfn.XLOOKUP($D71,Tab_Def_Processes[Process_Name],Tab_Def_Processes[Stock_Configuration],,0,)</f>
        <v/>
      </c>
      <c r="I71">
        <f>_xlfn.XLOOKUP($D71,Tab_Def_Processes[Process_Name],Tab_Def_Processes[Outflow_count],,0,)</f>
        <v/>
      </c>
      <c r="J71">
        <f>_xlfn.XLOOKUP($E71,Tab_Def_Flows[Flow_Name],Tab_Def_Flows[Flow_ID],,0,1)</f>
        <v/>
      </c>
      <c r="L71">
        <f>"TC_material"&amp;"_"&amp;RIGHT(J71,5)</f>
        <v/>
      </c>
      <c r="N71">
        <f>"TC_WC"&amp;"_"&amp;RIGHT(J71,5)</f>
        <v/>
      </c>
      <c r="P71">
        <f>"TC_DM"&amp;"_"&amp;RIGHT(J71,5)</f>
        <v/>
      </c>
      <c r="R71">
        <f>"TC_CC"&amp;"_"&amp;RIGHT(J71,5)</f>
        <v/>
      </c>
    </row>
    <row r="72">
      <c r="A72" t="b">
        <v>0</v>
      </c>
      <c r="B72">
        <f>ROW()-1</f>
        <v/>
      </c>
      <c r="C72">
        <f>_xlfn.XLOOKUP($D72,Tab_Def_Processes[Process_Name],Tab_Def_Processes[Process_ID],,0,)</f>
        <v/>
      </c>
      <c r="D72" t="inlineStr">
        <is>
          <t>N.A.</t>
        </is>
      </c>
      <c r="E72" t="inlineStr">
        <is>
          <t>N.A.</t>
        </is>
      </c>
      <c r="F72">
        <f>_xlfn.XLOOKUP($D72,Tab_Def_Processes[Process_Name],Tab_Def_Processes[Process_Logic],,0,)</f>
        <v/>
      </c>
      <c r="G72">
        <f>_xlfn.XLOOKUP($D72,Tab_Def_Processes[Process_Name],Tab_Def_Processes[TC_Configuration],,0,)</f>
        <v/>
      </c>
      <c r="H72">
        <f>_xlfn.XLOOKUP($D72,Tab_Def_Processes[Process_Name],Tab_Def_Processes[Stock_Configuration],,0,)</f>
        <v/>
      </c>
      <c r="I72">
        <f>_xlfn.XLOOKUP($D72,Tab_Def_Processes[Process_Name],Tab_Def_Processes[Outflow_count],,0,)</f>
        <v/>
      </c>
      <c r="J72">
        <f>_xlfn.XLOOKUP($E72,Tab_Def_Flows[Flow_Name],Tab_Def_Flows[Flow_ID],,0,1)</f>
        <v/>
      </c>
      <c r="L72">
        <f>"TC_material"&amp;"_"&amp;RIGHT(J72,5)</f>
        <v/>
      </c>
      <c r="N72">
        <f>"TC_WC"&amp;"_"&amp;RIGHT(J72,5)</f>
        <v/>
      </c>
      <c r="P72">
        <f>"TC_DM"&amp;"_"&amp;RIGHT(J72,5)</f>
        <v/>
      </c>
      <c r="R72">
        <f>"TC_CC"&amp;"_"&amp;RIGHT(J72,5)</f>
        <v/>
      </c>
    </row>
    <row r="73">
      <c r="A73" t="b">
        <v>0</v>
      </c>
      <c r="B73">
        <f>ROW()-1</f>
        <v/>
      </c>
      <c r="C73">
        <f>_xlfn.XLOOKUP($D73,Tab_Def_Processes[Process_Name],Tab_Def_Processes[Process_ID],,0,)</f>
        <v/>
      </c>
      <c r="D73" t="inlineStr">
        <is>
          <t>N.A.</t>
        </is>
      </c>
      <c r="E73" t="inlineStr">
        <is>
          <t>N.A.</t>
        </is>
      </c>
      <c r="F73">
        <f>_xlfn.XLOOKUP($D73,Tab_Def_Processes[Process_Name],Tab_Def_Processes[Process_Logic],,0,)</f>
        <v/>
      </c>
      <c r="G73">
        <f>_xlfn.XLOOKUP($D73,Tab_Def_Processes[Process_Name],Tab_Def_Processes[TC_Configuration],,0,)</f>
        <v/>
      </c>
      <c r="H73">
        <f>_xlfn.XLOOKUP($D73,Tab_Def_Processes[Process_Name],Tab_Def_Processes[Stock_Configuration],,0,)</f>
        <v/>
      </c>
      <c r="I73">
        <f>_xlfn.XLOOKUP($D73,Tab_Def_Processes[Process_Name],Tab_Def_Processes[Outflow_count],,0,)</f>
        <v/>
      </c>
      <c r="J73">
        <f>_xlfn.XLOOKUP($E73,Tab_Def_Flows[Flow_Name],Tab_Def_Flows[Flow_ID],,0,1)</f>
        <v/>
      </c>
      <c r="L73">
        <f>"TC_material"&amp;"_"&amp;RIGHT(J73,5)</f>
        <v/>
      </c>
      <c r="N73">
        <f>"TC_WC"&amp;"_"&amp;RIGHT(J73,5)</f>
        <v/>
      </c>
      <c r="P73">
        <f>"TC_DM"&amp;"_"&amp;RIGHT(J73,5)</f>
        <v/>
      </c>
      <c r="R73">
        <f>"TC_CC"&amp;"_"&amp;RIGHT(J73,5)</f>
        <v/>
      </c>
    </row>
    <row r="74">
      <c r="A74" t="b">
        <v>0</v>
      </c>
      <c r="B74">
        <f>ROW()-1</f>
        <v/>
      </c>
      <c r="C74">
        <f>_xlfn.XLOOKUP($D74,Tab_Def_Processes[Process_Name],Tab_Def_Processes[Process_ID],,0,)</f>
        <v/>
      </c>
      <c r="D74" t="inlineStr">
        <is>
          <t>N.A.</t>
        </is>
      </c>
      <c r="E74" t="inlineStr">
        <is>
          <t>N.A.</t>
        </is>
      </c>
      <c r="F74">
        <f>_xlfn.XLOOKUP($D74,Tab_Def_Processes[Process_Name],Tab_Def_Processes[Process_Logic],,0,)</f>
        <v/>
      </c>
      <c r="G74">
        <f>_xlfn.XLOOKUP($D74,Tab_Def_Processes[Process_Name],Tab_Def_Processes[TC_Configuration],,0,)</f>
        <v/>
      </c>
      <c r="H74">
        <f>_xlfn.XLOOKUP($D74,Tab_Def_Processes[Process_Name],Tab_Def_Processes[Stock_Configuration],,0,)</f>
        <v/>
      </c>
      <c r="I74">
        <f>_xlfn.XLOOKUP($D74,Tab_Def_Processes[Process_Name],Tab_Def_Processes[Outflow_count],,0,)</f>
        <v/>
      </c>
      <c r="J74">
        <f>_xlfn.XLOOKUP($E74,Tab_Def_Flows[Flow_Name],Tab_Def_Flows[Flow_ID],,0,1)</f>
        <v/>
      </c>
      <c r="L74">
        <f>"TC_material"&amp;"_"&amp;RIGHT(J74,5)</f>
        <v/>
      </c>
      <c r="N74">
        <f>"TC_WC"&amp;"_"&amp;RIGHT(J74,5)</f>
        <v/>
      </c>
      <c r="P74">
        <f>"TC_DM"&amp;"_"&amp;RIGHT(J74,5)</f>
        <v/>
      </c>
      <c r="R74">
        <f>"TC_CC"&amp;"_"&amp;RIGHT(J74,5)</f>
        <v/>
      </c>
    </row>
    <row r="75">
      <c r="A75" t="b">
        <v>0</v>
      </c>
      <c r="B75">
        <f>ROW()-1</f>
        <v/>
      </c>
      <c r="C75">
        <f>_xlfn.XLOOKUP($D75,Tab_Def_Processes[Process_Name],Tab_Def_Processes[Process_ID],,0,)</f>
        <v/>
      </c>
      <c r="D75" t="inlineStr">
        <is>
          <t>N.A.</t>
        </is>
      </c>
      <c r="E75" t="inlineStr">
        <is>
          <t>N.A.</t>
        </is>
      </c>
      <c r="F75">
        <f>_xlfn.XLOOKUP($D75,Tab_Def_Processes[Process_Name],Tab_Def_Processes[Process_Logic],,0,)</f>
        <v/>
      </c>
      <c r="G75">
        <f>_xlfn.XLOOKUP($D75,Tab_Def_Processes[Process_Name],Tab_Def_Processes[TC_Configuration],,0,)</f>
        <v/>
      </c>
      <c r="H75">
        <f>_xlfn.XLOOKUP($D75,Tab_Def_Processes[Process_Name],Tab_Def_Processes[Stock_Configuration],,0,)</f>
        <v/>
      </c>
      <c r="I75">
        <f>_xlfn.XLOOKUP($D75,Tab_Def_Processes[Process_Name],Tab_Def_Processes[Outflow_count],,0,)</f>
        <v/>
      </c>
      <c r="J75">
        <f>_xlfn.XLOOKUP($E75,Tab_Def_Flows[Flow_Name],Tab_Def_Flows[Flow_ID],,0,1)</f>
        <v/>
      </c>
      <c r="L75">
        <f>"TC_material"&amp;"_"&amp;RIGHT(J75,5)</f>
        <v/>
      </c>
      <c r="N75">
        <f>"TC_WC"&amp;"_"&amp;RIGHT(J75,5)</f>
        <v/>
      </c>
      <c r="P75">
        <f>"TC_DM"&amp;"_"&amp;RIGHT(J75,5)</f>
        <v/>
      </c>
      <c r="R75">
        <f>"TC_CC"&amp;"_"&amp;RIGHT(J75,5)</f>
        <v/>
      </c>
    </row>
    <row r="76">
      <c r="A76" t="b">
        <v>0</v>
      </c>
      <c r="B76">
        <f>ROW()-1</f>
        <v/>
      </c>
      <c r="C76">
        <f>_xlfn.XLOOKUP($D76,Tab_Def_Processes[Process_Name],Tab_Def_Processes[Process_ID],,0,)</f>
        <v/>
      </c>
      <c r="D76" t="inlineStr">
        <is>
          <t>N.A.</t>
        </is>
      </c>
      <c r="E76" t="inlineStr">
        <is>
          <t>N.A.</t>
        </is>
      </c>
      <c r="F76">
        <f>_xlfn.XLOOKUP($D76,Tab_Def_Processes[Process_Name],Tab_Def_Processes[Process_Logic],,0,)</f>
        <v/>
      </c>
      <c r="G76">
        <f>_xlfn.XLOOKUP($D76,Tab_Def_Processes[Process_Name],Tab_Def_Processes[TC_Configuration],,0,)</f>
        <v/>
      </c>
      <c r="H76">
        <f>_xlfn.XLOOKUP($D76,Tab_Def_Processes[Process_Name],Tab_Def_Processes[Stock_Configuration],,0,)</f>
        <v/>
      </c>
      <c r="I76">
        <f>_xlfn.XLOOKUP($D76,Tab_Def_Processes[Process_Name],Tab_Def_Processes[Outflow_count],,0,)</f>
        <v/>
      </c>
      <c r="J76">
        <f>_xlfn.XLOOKUP($E76,Tab_Def_Flows[Flow_Name],Tab_Def_Flows[Flow_ID],,0,1)</f>
        <v/>
      </c>
      <c r="L76">
        <f>"TC_material"&amp;"_"&amp;RIGHT(J76,5)</f>
        <v/>
      </c>
      <c r="N76">
        <f>"TC_WC"&amp;"_"&amp;RIGHT(J76,5)</f>
        <v/>
      </c>
      <c r="P76">
        <f>"TC_DM"&amp;"_"&amp;RIGHT(J76,5)</f>
        <v/>
      </c>
      <c r="R76">
        <f>"TC_CC"&amp;"_"&amp;RIGHT(J76,5)</f>
        <v/>
      </c>
    </row>
    <row r="77">
      <c r="A77" t="b">
        <v>0</v>
      </c>
      <c r="B77">
        <f>ROW()-1</f>
        <v/>
      </c>
      <c r="C77">
        <f>_xlfn.XLOOKUP($D77,Tab_Def_Processes[Process_Name],Tab_Def_Processes[Process_ID],,0,)</f>
        <v/>
      </c>
      <c r="D77" t="inlineStr">
        <is>
          <t>N.A.</t>
        </is>
      </c>
      <c r="E77" t="inlineStr">
        <is>
          <t>N.A.</t>
        </is>
      </c>
      <c r="F77">
        <f>_xlfn.XLOOKUP($D77,Tab_Def_Processes[Process_Name],Tab_Def_Processes[Process_Logic],,0,)</f>
        <v/>
      </c>
      <c r="G77">
        <f>_xlfn.XLOOKUP($D77,Tab_Def_Processes[Process_Name],Tab_Def_Processes[TC_Configuration],,0,)</f>
        <v/>
      </c>
      <c r="H77">
        <f>_xlfn.XLOOKUP($D77,Tab_Def_Processes[Process_Name],Tab_Def_Processes[Stock_Configuration],,0,)</f>
        <v/>
      </c>
      <c r="I77">
        <f>_xlfn.XLOOKUP($D77,Tab_Def_Processes[Process_Name],Tab_Def_Processes[Outflow_count],,0,)</f>
        <v/>
      </c>
      <c r="J77">
        <f>_xlfn.XLOOKUP($E77,Tab_Def_Flows[Flow_Name],Tab_Def_Flows[Flow_ID],,0,1)</f>
        <v/>
      </c>
      <c r="L77">
        <f>"TC_material"&amp;"_"&amp;RIGHT(J77,5)</f>
        <v/>
      </c>
      <c r="N77">
        <f>"TC_WC"&amp;"_"&amp;RIGHT(J77,5)</f>
        <v/>
      </c>
      <c r="P77">
        <f>"TC_DM"&amp;"_"&amp;RIGHT(J77,5)</f>
        <v/>
      </c>
      <c r="R77">
        <f>"TC_CC"&amp;"_"&amp;RIGHT(J77,5)</f>
        <v/>
      </c>
    </row>
    <row r="78">
      <c r="A78" t="b">
        <v>0</v>
      </c>
      <c r="B78">
        <f>ROW()-1</f>
        <v/>
      </c>
      <c r="C78">
        <f>_xlfn.XLOOKUP($D78,Tab_Def_Processes[Process_Name],Tab_Def_Processes[Process_ID],,0,)</f>
        <v/>
      </c>
      <c r="D78" t="inlineStr">
        <is>
          <t>N.A.</t>
        </is>
      </c>
      <c r="E78" t="inlineStr">
        <is>
          <t>N.A.</t>
        </is>
      </c>
      <c r="F78">
        <f>_xlfn.XLOOKUP($D78,Tab_Def_Processes[Process_Name],Tab_Def_Processes[Process_Logic],,0,)</f>
        <v/>
      </c>
      <c r="G78">
        <f>_xlfn.XLOOKUP($D78,Tab_Def_Processes[Process_Name],Tab_Def_Processes[TC_Configuration],,0,)</f>
        <v/>
      </c>
      <c r="H78">
        <f>_xlfn.XLOOKUP($D78,Tab_Def_Processes[Process_Name],Tab_Def_Processes[Stock_Configuration],,0,)</f>
        <v/>
      </c>
      <c r="I78">
        <f>_xlfn.XLOOKUP($D78,Tab_Def_Processes[Process_Name],Tab_Def_Processes[Outflow_count],,0,)</f>
        <v/>
      </c>
      <c r="J78">
        <f>_xlfn.XLOOKUP($E78,Tab_Def_Flows[Flow_Name],Tab_Def_Flows[Flow_ID],,0,1)</f>
        <v/>
      </c>
      <c r="L78">
        <f>"TC_material"&amp;"_"&amp;RIGHT(J78,5)</f>
        <v/>
      </c>
      <c r="N78">
        <f>"TC_WC"&amp;"_"&amp;RIGHT(J78,5)</f>
        <v/>
      </c>
      <c r="P78">
        <f>"TC_DM"&amp;"_"&amp;RIGHT(J78,5)</f>
        <v/>
      </c>
      <c r="R78">
        <f>"TC_CC"&amp;"_"&amp;RIGHT(J78,5)</f>
        <v/>
      </c>
    </row>
    <row r="79">
      <c r="A79" t="b">
        <v>0</v>
      </c>
      <c r="B79">
        <f>ROW()-1</f>
        <v/>
      </c>
      <c r="C79">
        <f>_xlfn.XLOOKUP($D79,Tab_Def_Processes[Process_Name],Tab_Def_Processes[Process_ID],,0,)</f>
        <v/>
      </c>
      <c r="D79" t="inlineStr">
        <is>
          <t>N.A.</t>
        </is>
      </c>
      <c r="E79" t="inlineStr">
        <is>
          <t>N.A.</t>
        </is>
      </c>
      <c r="F79">
        <f>_xlfn.XLOOKUP($D79,Tab_Def_Processes[Process_Name],Tab_Def_Processes[Process_Logic],,0,)</f>
        <v/>
      </c>
      <c r="G79">
        <f>_xlfn.XLOOKUP($D79,Tab_Def_Processes[Process_Name],Tab_Def_Processes[TC_Configuration],,0,)</f>
        <v/>
      </c>
      <c r="H79">
        <f>_xlfn.XLOOKUP($D79,Tab_Def_Processes[Process_Name],Tab_Def_Processes[Stock_Configuration],,0,)</f>
        <v/>
      </c>
      <c r="I79">
        <f>_xlfn.XLOOKUP($D79,Tab_Def_Processes[Process_Name],Tab_Def_Processes[Outflow_count],,0,)</f>
        <v/>
      </c>
      <c r="J79">
        <f>_xlfn.XLOOKUP($E79,Tab_Def_Flows[Flow_Name],Tab_Def_Flows[Flow_ID],,0,1)</f>
        <v/>
      </c>
      <c r="L79">
        <f>"TC_material"&amp;"_"&amp;RIGHT(J79,5)</f>
        <v/>
      </c>
      <c r="N79">
        <f>"TC_WC"&amp;"_"&amp;RIGHT(J79,5)</f>
        <v/>
      </c>
      <c r="P79">
        <f>"TC_DM"&amp;"_"&amp;RIGHT(J79,5)</f>
        <v/>
      </c>
      <c r="R79">
        <f>"TC_CC"&amp;"_"&amp;RIGHT(J79,5)</f>
        <v/>
      </c>
    </row>
    <row r="80">
      <c r="A80" t="b">
        <v>0</v>
      </c>
      <c r="B80">
        <f>ROW()-1</f>
        <v/>
      </c>
      <c r="C80">
        <f>_xlfn.XLOOKUP($D80,Tab_Def_Processes[Process_Name],Tab_Def_Processes[Process_ID],,0,)</f>
        <v/>
      </c>
      <c r="D80" t="inlineStr">
        <is>
          <t>N.A.</t>
        </is>
      </c>
      <c r="E80" t="inlineStr">
        <is>
          <t>N.A.</t>
        </is>
      </c>
      <c r="F80">
        <f>_xlfn.XLOOKUP($D80,Tab_Def_Processes[Process_Name],Tab_Def_Processes[Process_Logic],,0,)</f>
        <v/>
      </c>
      <c r="G80">
        <f>_xlfn.XLOOKUP($D80,Tab_Def_Processes[Process_Name],Tab_Def_Processes[TC_Configuration],,0,)</f>
        <v/>
      </c>
      <c r="H80">
        <f>_xlfn.XLOOKUP($D80,Tab_Def_Processes[Process_Name],Tab_Def_Processes[Stock_Configuration],,0,)</f>
        <v/>
      </c>
      <c r="I80">
        <f>_xlfn.XLOOKUP($D80,Tab_Def_Processes[Process_Name],Tab_Def_Processes[Outflow_count],,0,)</f>
        <v/>
      </c>
      <c r="J80">
        <f>_xlfn.XLOOKUP($E80,Tab_Def_Flows[Flow_Name],Tab_Def_Flows[Flow_ID],,0,1)</f>
        <v/>
      </c>
      <c r="L80">
        <f>"TC_material"&amp;"_"&amp;RIGHT(J80,5)</f>
        <v/>
      </c>
      <c r="N80">
        <f>"TC_WC"&amp;"_"&amp;RIGHT(J80,5)</f>
        <v/>
      </c>
      <c r="P80">
        <f>"TC_DM"&amp;"_"&amp;RIGHT(J80,5)</f>
        <v/>
      </c>
      <c r="R80">
        <f>"TC_CC"&amp;"_"&amp;RIGHT(J80,5)</f>
        <v/>
      </c>
    </row>
    <row r="81">
      <c r="A81" t="b">
        <v>0</v>
      </c>
      <c r="B81">
        <f>ROW()-1</f>
        <v/>
      </c>
      <c r="C81">
        <f>_xlfn.XLOOKUP($D81,Tab_Def_Processes[Process_Name],Tab_Def_Processes[Process_ID],,0,)</f>
        <v/>
      </c>
      <c r="D81" t="inlineStr">
        <is>
          <t>N.A.</t>
        </is>
      </c>
      <c r="E81" t="inlineStr">
        <is>
          <t>N.A.</t>
        </is>
      </c>
      <c r="F81">
        <f>_xlfn.XLOOKUP($D81,Tab_Def_Processes[Process_Name],Tab_Def_Processes[Process_Logic],,0,)</f>
        <v/>
      </c>
      <c r="G81">
        <f>_xlfn.XLOOKUP($D81,Tab_Def_Processes[Process_Name],Tab_Def_Processes[TC_Configuration],,0,)</f>
        <v/>
      </c>
      <c r="H81">
        <f>_xlfn.XLOOKUP($D81,Tab_Def_Processes[Process_Name],Tab_Def_Processes[Stock_Configuration],,0,)</f>
        <v/>
      </c>
      <c r="I81">
        <f>_xlfn.XLOOKUP($D81,Tab_Def_Processes[Process_Name],Tab_Def_Processes[Outflow_count],,0,)</f>
        <v/>
      </c>
      <c r="J81">
        <f>_xlfn.XLOOKUP($E81,Tab_Def_Flows[Flow_Name],Tab_Def_Flows[Flow_ID],,0,1)</f>
        <v/>
      </c>
      <c r="L81">
        <f>"TC_material"&amp;"_"&amp;RIGHT(J81,5)</f>
        <v/>
      </c>
      <c r="N81">
        <f>"TC_WC"&amp;"_"&amp;RIGHT(J81,5)</f>
        <v/>
      </c>
      <c r="P81">
        <f>"TC_DM"&amp;"_"&amp;RIGHT(J81,5)</f>
        <v/>
      </c>
      <c r="R81">
        <f>"TC_CC"&amp;"_"&amp;RIGHT(J81,5)</f>
        <v/>
      </c>
    </row>
    <row r="82">
      <c r="A82" t="b">
        <v>0</v>
      </c>
      <c r="B82">
        <f>ROW()-1</f>
        <v/>
      </c>
      <c r="C82">
        <f>_xlfn.XLOOKUP($D82,Tab_Def_Processes[Process_Name],Tab_Def_Processes[Process_ID],,0,)</f>
        <v/>
      </c>
      <c r="D82" t="inlineStr">
        <is>
          <t>N.A.</t>
        </is>
      </c>
      <c r="E82" t="inlineStr">
        <is>
          <t>N.A.</t>
        </is>
      </c>
      <c r="F82">
        <f>_xlfn.XLOOKUP($D82,Tab_Def_Processes[Process_Name],Tab_Def_Processes[Process_Logic],,0,)</f>
        <v/>
      </c>
      <c r="G82">
        <f>_xlfn.XLOOKUP($D82,Tab_Def_Processes[Process_Name],Tab_Def_Processes[TC_Configuration],,0,)</f>
        <v/>
      </c>
      <c r="H82">
        <f>_xlfn.XLOOKUP($D82,Tab_Def_Processes[Process_Name],Tab_Def_Processes[Stock_Configuration],,0,)</f>
        <v/>
      </c>
      <c r="I82">
        <f>_xlfn.XLOOKUP($D82,Tab_Def_Processes[Process_Name],Tab_Def_Processes[Outflow_count],,0,)</f>
        <v/>
      </c>
      <c r="J82">
        <f>_xlfn.XLOOKUP($E82,Tab_Def_Flows[Flow_Name],Tab_Def_Flows[Flow_ID],,0,1)</f>
        <v/>
      </c>
      <c r="L82">
        <f>"TC_material"&amp;"_"&amp;RIGHT(J82,5)</f>
        <v/>
      </c>
      <c r="N82">
        <f>"TC_WC"&amp;"_"&amp;RIGHT(J82,5)</f>
        <v/>
      </c>
      <c r="P82">
        <f>"TC_DM"&amp;"_"&amp;RIGHT(J82,5)</f>
        <v/>
      </c>
      <c r="R82">
        <f>"TC_CC"&amp;"_"&amp;RIGHT(J82,5)</f>
        <v/>
      </c>
    </row>
    <row r="83">
      <c r="A83" t="b">
        <v>0</v>
      </c>
      <c r="B83">
        <f>ROW()-1</f>
        <v/>
      </c>
      <c r="C83">
        <f>_xlfn.XLOOKUP($D83,Tab_Def_Processes[Process_Name],Tab_Def_Processes[Process_ID],,0,)</f>
        <v/>
      </c>
      <c r="D83" t="inlineStr">
        <is>
          <t>N.A.</t>
        </is>
      </c>
      <c r="E83" t="inlineStr">
        <is>
          <t>N.A.</t>
        </is>
      </c>
      <c r="F83">
        <f>_xlfn.XLOOKUP($D83,Tab_Def_Processes[Process_Name],Tab_Def_Processes[Process_Logic],,0,)</f>
        <v/>
      </c>
      <c r="G83">
        <f>_xlfn.XLOOKUP($D83,Tab_Def_Processes[Process_Name],Tab_Def_Processes[TC_Configuration],,0,)</f>
        <v/>
      </c>
      <c r="H83">
        <f>_xlfn.XLOOKUP($D83,Tab_Def_Processes[Process_Name],Tab_Def_Processes[Stock_Configuration],,0,)</f>
        <v/>
      </c>
      <c r="I83">
        <f>_xlfn.XLOOKUP($D83,Tab_Def_Processes[Process_Name],Tab_Def_Processes[Outflow_count],,0,)</f>
        <v/>
      </c>
      <c r="J83">
        <f>_xlfn.XLOOKUP($E83,Tab_Def_Flows[Flow_Name],Tab_Def_Flows[Flow_ID],,0,1)</f>
        <v/>
      </c>
      <c r="L83">
        <f>"TC_material"&amp;"_"&amp;RIGHT(J83,5)</f>
        <v/>
      </c>
      <c r="N83">
        <f>"TC_WC"&amp;"_"&amp;RIGHT(J83,5)</f>
        <v/>
      </c>
      <c r="P83">
        <f>"TC_DM"&amp;"_"&amp;RIGHT(J83,5)</f>
        <v/>
      </c>
      <c r="R83">
        <f>"TC_CC"&amp;"_"&amp;RIGHT(J83,5)</f>
        <v/>
      </c>
    </row>
    <row r="84">
      <c r="A84" t="b">
        <v>0</v>
      </c>
      <c r="B84">
        <f>ROW()-1</f>
        <v/>
      </c>
      <c r="C84">
        <f>_xlfn.XLOOKUP($D84,Tab_Def_Processes[Process_Name],Tab_Def_Processes[Process_ID],,0,)</f>
        <v/>
      </c>
      <c r="D84" t="inlineStr">
        <is>
          <t>N.A.</t>
        </is>
      </c>
      <c r="E84" t="inlineStr">
        <is>
          <t>N.A.</t>
        </is>
      </c>
      <c r="F84">
        <f>_xlfn.XLOOKUP($D84,Tab_Def_Processes[Process_Name],Tab_Def_Processes[Process_Logic],,0,)</f>
        <v/>
      </c>
      <c r="G84">
        <f>_xlfn.XLOOKUP($D84,Tab_Def_Processes[Process_Name],Tab_Def_Processes[TC_Configuration],,0,)</f>
        <v/>
      </c>
      <c r="H84">
        <f>_xlfn.XLOOKUP($D84,Tab_Def_Processes[Process_Name],Tab_Def_Processes[Stock_Configuration],,0,)</f>
        <v/>
      </c>
      <c r="I84">
        <f>_xlfn.XLOOKUP($D84,Tab_Def_Processes[Process_Name],Tab_Def_Processes[Outflow_count],,0,)</f>
        <v/>
      </c>
      <c r="J84">
        <f>_xlfn.XLOOKUP($E84,Tab_Def_Flows[Flow_Name],Tab_Def_Flows[Flow_ID],,0,1)</f>
        <v/>
      </c>
      <c r="L84">
        <f>"TC_material"&amp;"_"&amp;RIGHT(J84,5)</f>
        <v/>
      </c>
      <c r="N84">
        <f>"TC_WC"&amp;"_"&amp;RIGHT(J84,5)</f>
        <v/>
      </c>
      <c r="P84">
        <f>"TC_DM"&amp;"_"&amp;RIGHT(J84,5)</f>
        <v/>
      </c>
      <c r="R84">
        <f>"TC_CC"&amp;"_"&amp;RIGHT(J84,5)</f>
        <v/>
      </c>
    </row>
    <row r="85">
      <c r="A85" t="b">
        <v>0</v>
      </c>
      <c r="B85">
        <f>ROW()-1</f>
        <v/>
      </c>
      <c r="C85">
        <f>_xlfn.XLOOKUP($D85,Tab_Def_Processes[Process_Name],Tab_Def_Processes[Process_ID],,0,)</f>
        <v/>
      </c>
      <c r="D85" t="inlineStr">
        <is>
          <t>N.A.</t>
        </is>
      </c>
      <c r="E85" t="inlineStr">
        <is>
          <t>N.A.</t>
        </is>
      </c>
      <c r="F85">
        <f>_xlfn.XLOOKUP($D85,Tab_Def_Processes[Process_Name],Tab_Def_Processes[Process_Logic],,0,)</f>
        <v/>
      </c>
      <c r="G85">
        <f>_xlfn.XLOOKUP($D85,Tab_Def_Processes[Process_Name],Tab_Def_Processes[TC_Configuration],,0,)</f>
        <v/>
      </c>
      <c r="H85">
        <f>_xlfn.XLOOKUP($D85,Tab_Def_Processes[Process_Name],Tab_Def_Processes[Stock_Configuration],,0,)</f>
        <v/>
      </c>
      <c r="I85">
        <f>_xlfn.XLOOKUP($D85,Tab_Def_Processes[Process_Name],Tab_Def_Processes[Outflow_count],,0,)</f>
        <v/>
      </c>
      <c r="J85">
        <f>_xlfn.XLOOKUP($E85,Tab_Def_Flows[Flow_Name],Tab_Def_Flows[Flow_ID],,0,1)</f>
        <v/>
      </c>
      <c r="L85">
        <f>"TC_material"&amp;"_"&amp;RIGHT(J85,5)</f>
        <v/>
      </c>
      <c r="N85">
        <f>"TC_WC"&amp;"_"&amp;RIGHT(J85,5)</f>
        <v/>
      </c>
      <c r="P85">
        <f>"TC_DM"&amp;"_"&amp;RIGHT(J85,5)</f>
        <v/>
      </c>
      <c r="R85">
        <f>"TC_CC"&amp;"_"&amp;RIGHT(J85,5)</f>
        <v/>
      </c>
    </row>
    <row r="86">
      <c r="A86" t="b">
        <v>0</v>
      </c>
      <c r="B86">
        <f>ROW()-1</f>
        <v/>
      </c>
      <c r="C86">
        <f>_xlfn.XLOOKUP($D86,Tab_Def_Processes[Process_Name],Tab_Def_Processes[Process_ID],,0,)</f>
        <v/>
      </c>
      <c r="D86" t="inlineStr">
        <is>
          <t>N.A.</t>
        </is>
      </c>
      <c r="E86" t="inlineStr">
        <is>
          <t>N.A.</t>
        </is>
      </c>
      <c r="F86">
        <f>_xlfn.XLOOKUP($D86,Tab_Def_Processes[Process_Name],Tab_Def_Processes[Process_Logic],,0,)</f>
        <v/>
      </c>
      <c r="G86">
        <f>_xlfn.XLOOKUP($D86,Tab_Def_Processes[Process_Name],Tab_Def_Processes[TC_Configuration],,0,)</f>
        <v/>
      </c>
      <c r="H86">
        <f>_xlfn.XLOOKUP($D86,Tab_Def_Processes[Process_Name],Tab_Def_Processes[Stock_Configuration],,0,)</f>
        <v/>
      </c>
      <c r="I86">
        <f>_xlfn.XLOOKUP($D86,Tab_Def_Processes[Process_Name],Tab_Def_Processes[Outflow_count],,0,)</f>
        <v/>
      </c>
      <c r="J86">
        <f>_xlfn.XLOOKUP($E86,Tab_Def_Flows[Flow_Name],Tab_Def_Flows[Flow_ID],,0,1)</f>
        <v/>
      </c>
      <c r="L86">
        <f>"TC_material"&amp;"_"&amp;RIGHT(J86,5)</f>
        <v/>
      </c>
      <c r="N86">
        <f>"TC_WC"&amp;"_"&amp;RIGHT(J86,5)</f>
        <v/>
      </c>
      <c r="P86">
        <f>"TC_DM"&amp;"_"&amp;RIGHT(J86,5)</f>
        <v/>
      </c>
      <c r="R86">
        <f>"TC_CC"&amp;"_"&amp;RIGHT(J86,5)</f>
        <v/>
      </c>
    </row>
    <row r="87">
      <c r="A87" t="b">
        <v>0</v>
      </c>
      <c r="B87">
        <f>ROW()-1</f>
        <v/>
      </c>
      <c r="C87">
        <f>_xlfn.XLOOKUP($D87,Tab_Def_Processes[Process_Name],Tab_Def_Processes[Process_ID],,0,)</f>
        <v/>
      </c>
      <c r="D87" t="inlineStr">
        <is>
          <t>N.A.</t>
        </is>
      </c>
      <c r="E87" t="inlineStr">
        <is>
          <t>N.A.</t>
        </is>
      </c>
      <c r="F87">
        <f>_xlfn.XLOOKUP($D87,Tab_Def_Processes[Process_Name],Tab_Def_Processes[Process_Logic],,0,)</f>
        <v/>
      </c>
      <c r="G87">
        <f>_xlfn.XLOOKUP($D87,Tab_Def_Processes[Process_Name],Tab_Def_Processes[TC_Configuration],,0,)</f>
        <v/>
      </c>
      <c r="H87">
        <f>_xlfn.XLOOKUP($D87,Tab_Def_Processes[Process_Name],Tab_Def_Processes[Stock_Configuration],,0,)</f>
        <v/>
      </c>
      <c r="I87">
        <f>_xlfn.XLOOKUP($D87,Tab_Def_Processes[Process_Name],Tab_Def_Processes[Outflow_count],,0,)</f>
        <v/>
      </c>
      <c r="J87">
        <f>_xlfn.XLOOKUP($E87,Tab_Def_Flows[Flow_Name],Tab_Def_Flows[Flow_ID],,0,1)</f>
        <v/>
      </c>
      <c r="L87">
        <f>"TC_material"&amp;"_"&amp;RIGHT(J87,5)</f>
        <v/>
      </c>
      <c r="N87">
        <f>"TC_WC"&amp;"_"&amp;RIGHT(J87,5)</f>
        <v/>
      </c>
      <c r="P87">
        <f>"TC_DM"&amp;"_"&amp;RIGHT(J87,5)</f>
        <v/>
      </c>
      <c r="R87">
        <f>"TC_CC"&amp;"_"&amp;RIGHT(J87,5)</f>
        <v/>
      </c>
    </row>
    <row r="88">
      <c r="A88" t="b">
        <v>0</v>
      </c>
      <c r="B88">
        <f>ROW()-1</f>
        <v/>
      </c>
      <c r="C88">
        <f>_xlfn.XLOOKUP($D88,Tab_Def_Processes[Process_Name],Tab_Def_Processes[Process_ID],,0,)</f>
        <v/>
      </c>
      <c r="D88" t="inlineStr">
        <is>
          <t>N.A.</t>
        </is>
      </c>
      <c r="E88" t="inlineStr">
        <is>
          <t>N.A.</t>
        </is>
      </c>
      <c r="F88">
        <f>_xlfn.XLOOKUP($D88,Tab_Def_Processes[Process_Name],Tab_Def_Processes[Process_Logic],,0,)</f>
        <v/>
      </c>
      <c r="G88">
        <f>_xlfn.XLOOKUP($D88,Tab_Def_Processes[Process_Name],Tab_Def_Processes[TC_Configuration],,0,)</f>
        <v/>
      </c>
      <c r="H88">
        <f>_xlfn.XLOOKUP($D88,Tab_Def_Processes[Process_Name],Tab_Def_Processes[Stock_Configuration],,0,)</f>
        <v/>
      </c>
      <c r="I88">
        <f>_xlfn.XLOOKUP($D88,Tab_Def_Processes[Process_Name],Tab_Def_Processes[Outflow_count],,0,)</f>
        <v/>
      </c>
      <c r="J88">
        <f>_xlfn.XLOOKUP($E88,Tab_Def_Flows[Flow_Name],Tab_Def_Flows[Flow_ID],,0,1)</f>
        <v/>
      </c>
      <c r="L88">
        <f>"TC_material"&amp;"_"&amp;RIGHT(J88,5)</f>
        <v/>
      </c>
      <c r="N88">
        <f>"TC_WC"&amp;"_"&amp;RIGHT(J88,5)</f>
        <v/>
      </c>
      <c r="P88">
        <f>"TC_DM"&amp;"_"&amp;RIGHT(J88,5)</f>
        <v/>
      </c>
      <c r="R88">
        <f>"TC_CC"&amp;"_"&amp;RIGHT(J88,5)</f>
        <v/>
      </c>
    </row>
    <row r="89">
      <c r="A89" t="b">
        <v>0</v>
      </c>
      <c r="B89">
        <f>ROW()-1</f>
        <v/>
      </c>
      <c r="C89">
        <f>_xlfn.XLOOKUP($D89,Tab_Def_Processes[Process_Name],Tab_Def_Processes[Process_ID],,0,)</f>
        <v/>
      </c>
      <c r="D89" t="inlineStr">
        <is>
          <t>N.A.</t>
        </is>
      </c>
      <c r="E89" t="inlineStr">
        <is>
          <t>N.A.</t>
        </is>
      </c>
      <c r="F89">
        <f>_xlfn.XLOOKUP($D89,Tab_Def_Processes[Process_Name],Tab_Def_Processes[Process_Logic],,0,)</f>
        <v/>
      </c>
      <c r="G89">
        <f>_xlfn.XLOOKUP($D89,Tab_Def_Processes[Process_Name],Tab_Def_Processes[TC_Configuration],,0,)</f>
        <v/>
      </c>
      <c r="H89">
        <f>_xlfn.XLOOKUP($D89,Tab_Def_Processes[Process_Name],Tab_Def_Processes[Stock_Configuration],,0,)</f>
        <v/>
      </c>
      <c r="I89">
        <f>_xlfn.XLOOKUP($D89,Tab_Def_Processes[Process_Name],Tab_Def_Processes[Outflow_count],,0,)</f>
        <v/>
      </c>
      <c r="J89">
        <f>_xlfn.XLOOKUP($E89,Tab_Def_Flows[Flow_Name],Tab_Def_Flows[Flow_ID],,0,1)</f>
        <v/>
      </c>
      <c r="L89">
        <f>"TC_material"&amp;"_"&amp;RIGHT(J89,5)</f>
        <v/>
      </c>
      <c r="N89">
        <f>"TC_WC"&amp;"_"&amp;RIGHT(J89,5)</f>
        <v/>
      </c>
      <c r="P89">
        <f>"TC_DM"&amp;"_"&amp;RIGHT(J89,5)</f>
        <v/>
      </c>
      <c r="R89">
        <f>"TC_CC"&amp;"_"&amp;RIGHT(J89,5)</f>
        <v/>
      </c>
    </row>
    <row r="90">
      <c r="A90" t="b">
        <v>0</v>
      </c>
      <c r="B90">
        <f>ROW()-1</f>
        <v/>
      </c>
      <c r="C90">
        <f>_xlfn.XLOOKUP($D90,Tab_Def_Processes[Process_Name],Tab_Def_Processes[Process_ID],,0,)</f>
        <v/>
      </c>
      <c r="D90" t="inlineStr">
        <is>
          <t>N.A.</t>
        </is>
      </c>
      <c r="E90" t="inlineStr">
        <is>
          <t>N.A.</t>
        </is>
      </c>
      <c r="F90">
        <f>_xlfn.XLOOKUP($D90,Tab_Def_Processes[Process_Name],Tab_Def_Processes[Process_Logic],,0,)</f>
        <v/>
      </c>
      <c r="G90">
        <f>_xlfn.XLOOKUP($D90,Tab_Def_Processes[Process_Name],Tab_Def_Processes[TC_Configuration],,0,)</f>
        <v/>
      </c>
      <c r="H90">
        <f>_xlfn.XLOOKUP($D90,Tab_Def_Processes[Process_Name],Tab_Def_Processes[Stock_Configuration],,0,)</f>
        <v/>
      </c>
      <c r="I90">
        <f>_xlfn.XLOOKUP($D90,Tab_Def_Processes[Process_Name],Tab_Def_Processes[Outflow_count],,0,)</f>
        <v/>
      </c>
      <c r="J90">
        <f>_xlfn.XLOOKUP($E90,Tab_Def_Flows[Flow_Name],Tab_Def_Flows[Flow_ID],,0,1)</f>
        <v/>
      </c>
      <c r="L90">
        <f>"TC_material"&amp;"_"&amp;RIGHT(J90,5)</f>
        <v/>
      </c>
      <c r="N90">
        <f>"TC_WC"&amp;"_"&amp;RIGHT(J90,5)</f>
        <v/>
      </c>
      <c r="P90">
        <f>"TC_DM"&amp;"_"&amp;RIGHT(J90,5)</f>
        <v/>
      </c>
      <c r="R90">
        <f>"TC_CC"&amp;"_"&amp;RIGHT(J90,5)</f>
        <v/>
      </c>
    </row>
    <row r="91">
      <c r="A91" t="b">
        <v>0</v>
      </c>
      <c r="B91">
        <f>ROW()-1</f>
        <v/>
      </c>
      <c r="C91">
        <f>_xlfn.XLOOKUP($D91,Tab_Def_Processes[Process_Name],Tab_Def_Processes[Process_ID],,0,)</f>
        <v/>
      </c>
      <c r="D91" t="inlineStr">
        <is>
          <t>N.A.</t>
        </is>
      </c>
      <c r="E91" t="inlineStr">
        <is>
          <t>N.A.</t>
        </is>
      </c>
      <c r="F91">
        <f>_xlfn.XLOOKUP($D91,Tab_Def_Processes[Process_Name],Tab_Def_Processes[Process_Logic],,0,)</f>
        <v/>
      </c>
      <c r="G91">
        <f>_xlfn.XLOOKUP($D91,Tab_Def_Processes[Process_Name],Tab_Def_Processes[TC_Configuration],,0,)</f>
        <v/>
      </c>
      <c r="H91">
        <f>_xlfn.XLOOKUP($D91,Tab_Def_Processes[Process_Name],Tab_Def_Processes[Stock_Configuration],,0,)</f>
        <v/>
      </c>
      <c r="I91">
        <f>_xlfn.XLOOKUP($D91,Tab_Def_Processes[Process_Name],Tab_Def_Processes[Outflow_count],,0,)</f>
        <v/>
      </c>
      <c r="J91">
        <f>_xlfn.XLOOKUP($E91,Tab_Def_Flows[Flow_Name],Tab_Def_Flows[Flow_ID],,0,1)</f>
        <v/>
      </c>
      <c r="L91">
        <f>"TC_material"&amp;"_"&amp;RIGHT(J91,5)</f>
        <v/>
      </c>
      <c r="N91">
        <f>"TC_WC"&amp;"_"&amp;RIGHT(J91,5)</f>
        <v/>
      </c>
      <c r="P91">
        <f>"TC_DM"&amp;"_"&amp;RIGHT(J91,5)</f>
        <v/>
      </c>
      <c r="R91">
        <f>"TC_CC"&amp;"_"&amp;RIGHT(J91,5)</f>
        <v/>
      </c>
    </row>
    <row r="92">
      <c r="A92" t="b">
        <v>0</v>
      </c>
      <c r="B92">
        <f>ROW()-1</f>
        <v/>
      </c>
      <c r="C92">
        <f>_xlfn.XLOOKUP($D92,Tab_Def_Processes[Process_Name],Tab_Def_Processes[Process_ID],,0,)</f>
        <v/>
      </c>
      <c r="D92" t="inlineStr">
        <is>
          <t>N.A.</t>
        </is>
      </c>
      <c r="E92" t="inlineStr">
        <is>
          <t>N.A.</t>
        </is>
      </c>
      <c r="F92">
        <f>_xlfn.XLOOKUP($D92,Tab_Def_Processes[Process_Name],Tab_Def_Processes[Process_Logic],,0,)</f>
        <v/>
      </c>
      <c r="G92">
        <f>_xlfn.XLOOKUP($D92,Tab_Def_Processes[Process_Name],Tab_Def_Processes[TC_Configuration],,0,)</f>
        <v/>
      </c>
      <c r="H92">
        <f>_xlfn.XLOOKUP($D92,Tab_Def_Processes[Process_Name],Tab_Def_Processes[Stock_Configuration],,0,)</f>
        <v/>
      </c>
      <c r="I92">
        <f>_xlfn.XLOOKUP($D92,Tab_Def_Processes[Process_Name],Tab_Def_Processes[Outflow_count],,0,)</f>
        <v/>
      </c>
      <c r="J92">
        <f>_xlfn.XLOOKUP($E92,Tab_Def_Flows[Flow_Name],Tab_Def_Flows[Flow_ID],,0,1)</f>
        <v/>
      </c>
      <c r="L92">
        <f>"TC_material"&amp;"_"&amp;RIGHT(J92,5)</f>
        <v/>
      </c>
      <c r="N92">
        <f>"TC_WC"&amp;"_"&amp;RIGHT(J92,5)</f>
        <v/>
      </c>
      <c r="P92">
        <f>"TC_DM"&amp;"_"&amp;RIGHT(J92,5)</f>
        <v/>
      </c>
      <c r="R92">
        <f>"TC_CC"&amp;"_"&amp;RIGHT(J92,5)</f>
        <v/>
      </c>
    </row>
    <row r="93">
      <c r="A93" t="b">
        <v>0</v>
      </c>
      <c r="B93">
        <f>ROW()-1</f>
        <v/>
      </c>
      <c r="C93">
        <f>_xlfn.XLOOKUP($D93,Tab_Def_Processes[Process_Name],Tab_Def_Processes[Process_ID],,0,)</f>
        <v/>
      </c>
      <c r="D93" t="inlineStr">
        <is>
          <t>N.A.</t>
        </is>
      </c>
      <c r="E93" t="inlineStr">
        <is>
          <t>N.A.</t>
        </is>
      </c>
      <c r="F93">
        <f>_xlfn.XLOOKUP($D93,Tab_Def_Processes[Process_Name],Tab_Def_Processes[Process_Logic],,0,)</f>
        <v/>
      </c>
      <c r="G93">
        <f>_xlfn.XLOOKUP($D93,Tab_Def_Processes[Process_Name],Tab_Def_Processes[TC_Configuration],,0,)</f>
        <v/>
      </c>
      <c r="H93">
        <f>_xlfn.XLOOKUP($D93,Tab_Def_Processes[Process_Name],Tab_Def_Processes[Stock_Configuration],,0,)</f>
        <v/>
      </c>
      <c r="I93">
        <f>_xlfn.XLOOKUP($D93,Tab_Def_Processes[Process_Name],Tab_Def_Processes[Outflow_count],,0,)</f>
        <v/>
      </c>
      <c r="J93">
        <f>_xlfn.XLOOKUP($E93,Tab_Def_Flows[Flow_Name],Tab_Def_Flows[Flow_ID],,0,1)</f>
        <v/>
      </c>
      <c r="L93">
        <f>"TC_material"&amp;"_"&amp;RIGHT(J93,5)</f>
        <v/>
      </c>
      <c r="N93">
        <f>"TC_WC"&amp;"_"&amp;RIGHT(J93,5)</f>
        <v/>
      </c>
      <c r="P93">
        <f>"TC_DM"&amp;"_"&amp;RIGHT(J93,5)</f>
        <v/>
      </c>
      <c r="R93">
        <f>"TC_CC"&amp;"_"&amp;RIGHT(J93,5)</f>
        <v/>
      </c>
    </row>
    <row r="94">
      <c r="A94" t="b">
        <v>0</v>
      </c>
      <c r="B94">
        <f>ROW()-1</f>
        <v/>
      </c>
      <c r="C94">
        <f>_xlfn.XLOOKUP($D94,Tab_Def_Processes[Process_Name],Tab_Def_Processes[Process_ID],,0,)</f>
        <v/>
      </c>
      <c r="D94" t="inlineStr">
        <is>
          <t>N.A.</t>
        </is>
      </c>
      <c r="E94" t="inlineStr">
        <is>
          <t>N.A.</t>
        </is>
      </c>
      <c r="F94">
        <f>_xlfn.XLOOKUP($D94,Tab_Def_Processes[Process_Name],Tab_Def_Processes[Process_Logic],,0,)</f>
        <v/>
      </c>
      <c r="G94">
        <f>_xlfn.XLOOKUP($D94,Tab_Def_Processes[Process_Name],Tab_Def_Processes[TC_Configuration],,0,)</f>
        <v/>
      </c>
      <c r="H94">
        <f>_xlfn.XLOOKUP($D94,Tab_Def_Processes[Process_Name],Tab_Def_Processes[Stock_Configuration],,0,)</f>
        <v/>
      </c>
      <c r="I94">
        <f>_xlfn.XLOOKUP($D94,Tab_Def_Processes[Process_Name],Tab_Def_Processes[Outflow_count],,0,)</f>
        <v/>
      </c>
      <c r="J94">
        <f>_xlfn.XLOOKUP($E94,Tab_Def_Flows[Flow_Name],Tab_Def_Flows[Flow_ID],,0,1)</f>
        <v/>
      </c>
      <c r="L94">
        <f>"TC_material"&amp;"_"&amp;RIGHT(J94,5)</f>
        <v/>
      </c>
      <c r="N94">
        <f>"TC_WC"&amp;"_"&amp;RIGHT(J94,5)</f>
        <v/>
      </c>
      <c r="P94">
        <f>"TC_DM"&amp;"_"&amp;RIGHT(J94,5)</f>
        <v/>
      </c>
      <c r="R94">
        <f>"TC_CC"&amp;"_"&amp;RIGHT(J94,5)</f>
        <v/>
      </c>
    </row>
    <row r="95">
      <c r="A95" t="b">
        <v>0</v>
      </c>
      <c r="B95">
        <f>ROW()-1</f>
        <v/>
      </c>
      <c r="C95">
        <f>_xlfn.XLOOKUP($D95,Tab_Def_Processes[Process_Name],Tab_Def_Processes[Process_ID],,0,)</f>
        <v/>
      </c>
      <c r="D95" t="inlineStr">
        <is>
          <t>N.A.</t>
        </is>
      </c>
      <c r="E95" t="inlineStr">
        <is>
          <t>N.A.</t>
        </is>
      </c>
      <c r="F95">
        <f>_xlfn.XLOOKUP($D95,Tab_Def_Processes[Process_Name],Tab_Def_Processes[Process_Logic],,0,)</f>
        <v/>
      </c>
      <c r="G95">
        <f>_xlfn.XLOOKUP($D95,Tab_Def_Processes[Process_Name],Tab_Def_Processes[TC_Configuration],,0,)</f>
        <v/>
      </c>
      <c r="H95">
        <f>_xlfn.XLOOKUP($D95,Tab_Def_Processes[Process_Name],Tab_Def_Processes[Stock_Configuration],,0,)</f>
        <v/>
      </c>
      <c r="I95">
        <f>_xlfn.XLOOKUP($D95,Tab_Def_Processes[Process_Name],Tab_Def_Processes[Outflow_count],,0,)</f>
        <v/>
      </c>
      <c r="J95">
        <f>_xlfn.XLOOKUP($E95,Tab_Def_Flows[Flow_Name],Tab_Def_Flows[Flow_ID],,0,1)</f>
        <v/>
      </c>
      <c r="L95">
        <f>"TC_material"&amp;"_"&amp;RIGHT(J95,5)</f>
        <v/>
      </c>
      <c r="N95">
        <f>"TC_WC"&amp;"_"&amp;RIGHT(J95,5)</f>
        <v/>
      </c>
      <c r="P95">
        <f>"TC_DM"&amp;"_"&amp;RIGHT(J95,5)</f>
        <v/>
      </c>
      <c r="R95">
        <f>"TC_CC"&amp;"_"&amp;RIGHT(J95,5)</f>
        <v/>
      </c>
    </row>
    <row r="96">
      <c r="A96" t="b">
        <v>0</v>
      </c>
      <c r="B96">
        <f>ROW()-1</f>
        <v/>
      </c>
      <c r="C96">
        <f>_xlfn.XLOOKUP($D96,Tab_Def_Processes[Process_Name],Tab_Def_Processes[Process_ID],,0,)</f>
        <v/>
      </c>
      <c r="D96" t="inlineStr">
        <is>
          <t>N.A.</t>
        </is>
      </c>
      <c r="E96" t="inlineStr">
        <is>
          <t>N.A.</t>
        </is>
      </c>
      <c r="F96">
        <f>_xlfn.XLOOKUP($D96,Tab_Def_Processes[Process_Name],Tab_Def_Processes[Process_Logic],,0,)</f>
        <v/>
      </c>
      <c r="G96">
        <f>_xlfn.XLOOKUP($D96,Tab_Def_Processes[Process_Name],Tab_Def_Processes[TC_Configuration],,0,)</f>
        <v/>
      </c>
      <c r="H96">
        <f>_xlfn.XLOOKUP($D96,Tab_Def_Processes[Process_Name],Tab_Def_Processes[Stock_Configuration],,0,)</f>
        <v/>
      </c>
      <c r="I96">
        <f>_xlfn.XLOOKUP($D96,Tab_Def_Processes[Process_Name],Tab_Def_Processes[Outflow_count],,0,)</f>
        <v/>
      </c>
      <c r="J96">
        <f>_xlfn.XLOOKUP($E96,Tab_Def_Flows[Flow_Name],Tab_Def_Flows[Flow_ID],,0,1)</f>
        <v/>
      </c>
      <c r="L96">
        <f>"TC_material"&amp;"_"&amp;RIGHT(J96,5)</f>
        <v/>
      </c>
      <c r="N96">
        <f>"TC_WC"&amp;"_"&amp;RIGHT(J96,5)</f>
        <v/>
      </c>
      <c r="P96">
        <f>"TC_DM"&amp;"_"&amp;RIGHT(J96,5)</f>
        <v/>
      </c>
      <c r="R96">
        <f>"TC_CC"&amp;"_"&amp;RIGHT(J96,5)</f>
        <v/>
      </c>
    </row>
    <row r="97">
      <c r="A97" t="b">
        <v>0</v>
      </c>
      <c r="B97">
        <f>ROW()-1</f>
        <v/>
      </c>
      <c r="C97">
        <f>_xlfn.XLOOKUP($D97,Tab_Def_Processes[Process_Name],Tab_Def_Processes[Process_ID],,0,)</f>
        <v/>
      </c>
      <c r="D97" t="inlineStr">
        <is>
          <t>N.A.</t>
        </is>
      </c>
      <c r="E97" t="inlineStr">
        <is>
          <t>N.A.</t>
        </is>
      </c>
      <c r="F97">
        <f>_xlfn.XLOOKUP($D97,Tab_Def_Processes[Process_Name],Tab_Def_Processes[Process_Logic],,0,)</f>
        <v/>
      </c>
      <c r="G97">
        <f>_xlfn.XLOOKUP($D97,Tab_Def_Processes[Process_Name],Tab_Def_Processes[TC_Configuration],,0,)</f>
        <v/>
      </c>
      <c r="H97">
        <f>_xlfn.XLOOKUP($D97,Tab_Def_Processes[Process_Name],Tab_Def_Processes[Stock_Configuration],,0,)</f>
        <v/>
      </c>
      <c r="I97">
        <f>_xlfn.XLOOKUP($D97,Tab_Def_Processes[Process_Name],Tab_Def_Processes[Outflow_count],,0,)</f>
        <v/>
      </c>
      <c r="J97">
        <f>_xlfn.XLOOKUP($E97,Tab_Def_Flows[Flow_Name],Tab_Def_Flows[Flow_ID],,0,1)</f>
        <v/>
      </c>
      <c r="L97">
        <f>"TC_material"&amp;"_"&amp;RIGHT(J97,5)</f>
        <v/>
      </c>
      <c r="N97">
        <f>"TC_WC"&amp;"_"&amp;RIGHT(J97,5)</f>
        <v/>
      </c>
      <c r="P97">
        <f>"TC_DM"&amp;"_"&amp;RIGHT(J97,5)</f>
        <v/>
      </c>
      <c r="R97">
        <f>"TC_CC"&amp;"_"&amp;RIGHT(J97,5)</f>
        <v/>
      </c>
    </row>
    <row r="98">
      <c r="A98" t="b">
        <v>0</v>
      </c>
      <c r="B98">
        <f>ROW()-1</f>
        <v/>
      </c>
      <c r="C98">
        <f>_xlfn.XLOOKUP($D98,Tab_Def_Processes[Process_Name],Tab_Def_Processes[Process_ID],,0,)</f>
        <v/>
      </c>
      <c r="D98" t="inlineStr">
        <is>
          <t>N.A.</t>
        </is>
      </c>
      <c r="E98" t="inlineStr">
        <is>
          <t>N.A.</t>
        </is>
      </c>
      <c r="F98">
        <f>_xlfn.XLOOKUP($D98,Tab_Def_Processes[Process_Name],Tab_Def_Processes[Process_Logic],,0,)</f>
        <v/>
      </c>
      <c r="G98">
        <f>_xlfn.XLOOKUP($D98,Tab_Def_Processes[Process_Name],Tab_Def_Processes[TC_Configuration],,0,)</f>
        <v/>
      </c>
      <c r="H98">
        <f>_xlfn.XLOOKUP($D98,Tab_Def_Processes[Process_Name],Tab_Def_Processes[Stock_Configuration],,0,)</f>
        <v/>
      </c>
      <c r="I98">
        <f>_xlfn.XLOOKUP($D98,Tab_Def_Processes[Process_Name],Tab_Def_Processes[Outflow_count],,0,)</f>
        <v/>
      </c>
      <c r="J98">
        <f>_xlfn.XLOOKUP($E98,Tab_Def_Flows[Flow_Name],Tab_Def_Flows[Flow_ID],,0,1)</f>
        <v/>
      </c>
      <c r="L98">
        <f>"TC_material"&amp;"_"&amp;RIGHT(J98,5)</f>
        <v/>
      </c>
      <c r="N98">
        <f>"TC_WC"&amp;"_"&amp;RIGHT(J98,5)</f>
        <v/>
      </c>
      <c r="P98">
        <f>"TC_DM"&amp;"_"&amp;RIGHT(J98,5)</f>
        <v/>
      </c>
      <c r="R98">
        <f>"TC_CC"&amp;"_"&amp;RIGHT(J98,5)</f>
        <v/>
      </c>
    </row>
    <row r="99">
      <c r="A99" t="b">
        <v>0</v>
      </c>
      <c r="B99">
        <f>ROW()-1</f>
        <v/>
      </c>
      <c r="C99">
        <f>_xlfn.XLOOKUP($D99,Tab_Def_Processes[Process_Name],Tab_Def_Processes[Process_ID],,0,)</f>
        <v/>
      </c>
      <c r="D99" t="inlineStr">
        <is>
          <t>N.A.</t>
        </is>
      </c>
      <c r="E99" t="inlineStr">
        <is>
          <t>N.A.</t>
        </is>
      </c>
      <c r="F99">
        <f>_xlfn.XLOOKUP($D99,Tab_Def_Processes[Process_Name],Tab_Def_Processes[Process_Logic],,0,)</f>
        <v/>
      </c>
      <c r="G99">
        <f>_xlfn.XLOOKUP($D99,Tab_Def_Processes[Process_Name],Tab_Def_Processes[TC_Configuration],,0,)</f>
        <v/>
      </c>
      <c r="H99">
        <f>_xlfn.XLOOKUP($D99,Tab_Def_Processes[Process_Name],Tab_Def_Processes[Stock_Configuration],,0,)</f>
        <v/>
      </c>
      <c r="I99">
        <f>_xlfn.XLOOKUP($D99,Tab_Def_Processes[Process_Name],Tab_Def_Processes[Outflow_count],,0,)</f>
        <v/>
      </c>
      <c r="J99">
        <f>_xlfn.XLOOKUP($E99,Tab_Def_Flows[Flow_Name],Tab_Def_Flows[Flow_ID],,0,1)</f>
        <v/>
      </c>
      <c r="L99">
        <f>"TC_material"&amp;"_"&amp;RIGHT(J99,5)</f>
        <v/>
      </c>
      <c r="N99">
        <f>"TC_WC"&amp;"_"&amp;RIGHT(J99,5)</f>
        <v/>
      </c>
      <c r="P99">
        <f>"TC_DM"&amp;"_"&amp;RIGHT(J99,5)</f>
        <v/>
      </c>
      <c r="R99">
        <f>"TC_CC"&amp;"_"&amp;RIGHT(J99,5)</f>
        <v/>
      </c>
    </row>
    <row r="100">
      <c r="A100" t="b">
        <v>0</v>
      </c>
      <c r="B100">
        <f>ROW()-1</f>
        <v/>
      </c>
      <c r="C100">
        <f>_xlfn.XLOOKUP($D100,Tab_Def_Processes[Process_Name],Tab_Def_Processes[Process_ID],,0,)</f>
        <v/>
      </c>
      <c r="D100" t="inlineStr">
        <is>
          <t>N.A.</t>
        </is>
      </c>
      <c r="E100" t="inlineStr">
        <is>
          <t>N.A.</t>
        </is>
      </c>
      <c r="F100">
        <f>_xlfn.XLOOKUP($D100,Tab_Def_Processes[Process_Name],Tab_Def_Processes[Process_Logic],,0,)</f>
        <v/>
      </c>
      <c r="G100">
        <f>_xlfn.XLOOKUP($D100,Tab_Def_Processes[Process_Name],Tab_Def_Processes[TC_Configuration],,0,)</f>
        <v/>
      </c>
      <c r="H100">
        <f>_xlfn.XLOOKUP($D100,Tab_Def_Processes[Process_Name],Tab_Def_Processes[Stock_Configuration],,0,)</f>
        <v/>
      </c>
      <c r="I100">
        <f>_xlfn.XLOOKUP($D100,Tab_Def_Processes[Process_Name],Tab_Def_Processes[Outflow_count],,0,)</f>
        <v/>
      </c>
      <c r="J100">
        <f>_xlfn.XLOOKUP($E100,Tab_Def_Flows[Flow_Name],Tab_Def_Flows[Flow_ID],,0,1)</f>
        <v/>
      </c>
      <c r="L100">
        <f>"TC_material"&amp;"_"&amp;RIGHT(J100,5)</f>
        <v/>
      </c>
      <c r="N100">
        <f>"TC_WC"&amp;"_"&amp;RIGHT(J100,5)</f>
        <v/>
      </c>
      <c r="P100">
        <f>"TC_DM"&amp;"_"&amp;RIGHT(J100,5)</f>
        <v/>
      </c>
      <c r="R100">
        <f>"TC_CC"&amp;"_"&amp;RIGHT(J100,5)</f>
        <v/>
      </c>
    </row>
    <row r="101">
      <c r="A101" t="b">
        <v>0</v>
      </c>
      <c r="B101">
        <f>ROW()-1</f>
        <v/>
      </c>
      <c r="C101">
        <f>_xlfn.XLOOKUP($D101,Tab_Def_Processes[Process_Name],Tab_Def_Processes[Process_ID],,0,)</f>
        <v/>
      </c>
      <c r="D101" t="inlineStr">
        <is>
          <t>N.A.</t>
        </is>
      </c>
      <c r="E101" t="inlineStr">
        <is>
          <t>N.A.</t>
        </is>
      </c>
      <c r="F101">
        <f>_xlfn.XLOOKUP($D101,Tab_Def_Processes[Process_Name],Tab_Def_Processes[Process_Logic],,0,)</f>
        <v/>
      </c>
      <c r="G101">
        <f>_xlfn.XLOOKUP($D101,Tab_Def_Processes[Process_Name],Tab_Def_Processes[TC_Configuration],,0,)</f>
        <v/>
      </c>
      <c r="H101">
        <f>_xlfn.XLOOKUP($D101,Tab_Def_Processes[Process_Name],Tab_Def_Processes[Stock_Configuration],,0,)</f>
        <v/>
      </c>
      <c r="I101">
        <f>_xlfn.XLOOKUP($D101,Tab_Def_Processes[Process_Name],Tab_Def_Processes[Outflow_count],,0,)</f>
        <v/>
      </c>
      <c r="J101">
        <f>_xlfn.XLOOKUP($E101,Tab_Def_Flows[Flow_Name],Tab_Def_Flows[Flow_ID],,0,1)</f>
        <v/>
      </c>
      <c r="L101">
        <f>"TC_material"&amp;"_"&amp;RIGHT(J101,5)</f>
        <v/>
      </c>
      <c r="N101">
        <f>"TC_WC"&amp;"_"&amp;RIGHT(J101,5)</f>
        <v/>
      </c>
      <c r="P101">
        <f>"TC_DM"&amp;"_"&amp;RIGHT(J101,5)</f>
        <v/>
      </c>
      <c r="R101">
        <f>"TC_CC"&amp;"_"&amp;RIGHT(J101,5)</f>
        <v/>
      </c>
    </row>
    <row r="102">
      <c r="A102" t="b">
        <v>0</v>
      </c>
      <c r="B102">
        <f>ROW()-1</f>
        <v/>
      </c>
      <c r="C102">
        <f>_xlfn.XLOOKUP($D102,Tab_Def_Processes[Process_Name],Tab_Def_Processes[Process_ID],,0,)</f>
        <v/>
      </c>
      <c r="D102" t="inlineStr">
        <is>
          <t>N.A.</t>
        </is>
      </c>
      <c r="E102" t="inlineStr">
        <is>
          <t>N.A.</t>
        </is>
      </c>
      <c r="F102">
        <f>_xlfn.XLOOKUP($D102,Tab_Def_Processes[Process_Name],Tab_Def_Processes[Process_Logic],,0,)</f>
        <v/>
      </c>
      <c r="G102">
        <f>_xlfn.XLOOKUP($D102,Tab_Def_Processes[Process_Name],Tab_Def_Processes[TC_Configuration],,0,)</f>
        <v/>
      </c>
      <c r="H102">
        <f>_xlfn.XLOOKUP($D102,Tab_Def_Processes[Process_Name],Tab_Def_Processes[Stock_Configuration],,0,)</f>
        <v/>
      </c>
      <c r="I102">
        <f>_xlfn.XLOOKUP($D102,Tab_Def_Processes[Process_Name],Tab_Def_Processes[Outflow_count],,0,)</f>
        <v/>
      </c>
      <c r="J102">
        <f>_xlfn.XLOOKUP($E102,Tab_Def_Flows[Flow_Name],Tab_Def_Flows[Flow_ID],,0,1)</f>
        <v/>
      </c>
      <c r="L102">
        <f>"TC_material"&amp;"_"&amp;RIGHT(J102,5)</f>
        <v/>
      </c>
      <c r="N102">
        <f>"TC_WC"&amp;"_"&amp;RIGHT(J102,5)</f>
        <v/>
      </c>
      <c r="P102">
        <f>"TC_DM"&amp;"_"&amp;RIGHT(J102,5)</f>
        <v/>
      </c>
      <c r="R102">
        <f>"TC_CC"&amp;"_"&amp;RIGHT(J102,5)</f>
        <v/>
      </c>
    </row>
    <row r="103">
      <c r="A103" t="b">
        <v>0</v>
      </c>
      <c r="B103">
        <f>ROW()-1</f>
        <v/>
      </c>
      <c r="C103">
        <f>_xlfn.XLOOKUP($D103,Tab_Def_Processes[Process_Name],Tab_Def_Processes[Process_ID],,0,)</f>
        <v/>
      </c>
      <c r="D103" t="inlineStr">
        <is>
          <t>N.A.</t>
        </is>
      </c>
      <c r="E103" t="inlineStr">
        <is>
          <t>N.A.</t>
        </is>
      </c>
      <c r="F103">
        <f>_xlfn.XLOOKUP($D103,Tab_Def_Processes[Process_Name],Tab_Def_Processes[Process_Logic],,0,)</f>
        <v/>
      </c>
      <c r="G103">
        <f>_xlfn.XLOOKUP($D103,Tab_Def_Processes[Process_Name],Tab_Def_Processes[TC_Configuration],,0,)</f>
        <v/>
      </c>
      <c r="H103">
        <f>_xlfn.XLOOKUP($D103,Tab_Def_Processes[Process_Name],Tab_Def_Processes[Stock_Configuration],,0,)</f>
        <v/>
      </c>
      <c r="I103">
        <f>_xlfn.XLOOKUP($D103,Tab_Def_Processes[Process_Name],Tab_Def_Processes[Outflow_count],,0,)</f>
        <v/>
      </c>
      <c r="J103">
        <f>_xlfn.XLOOKUP($E103,Tab_Def_Flows[Flow_Name],Tab_Def_Flows[Flow_ID],,0,1)</f>
        <v/>
      </c>
      <c r="L103">
        <f>"TC_material"&amp;"_"&amp;RIGHT(J103,5)</f>
        <v/>
      </c>
      <c r="N103">
        <f>"TC_WC"&amp;"_"&amp;RIGHT(J103,5)</f>
        <v/>
      </c>
      <c r="P103">
        <f>"TC_DM"&amp;"_"&amp;RIGHT(J103,5)</f>
        <v/>
      </c>
      <c r="R103">
        <f>"TC_CC"&amp;"_"&amp;RIGHT(J103,5)</f>
        <v/>
      </c>
    </row>
    <row r="104">
      <c r="A104" t="b">
        <v>0</v>
      </c>
      <c r="B104">
        <f>ROW()-1</f>
        <v/>
      </c>
      <c r="C104">
        <f>_xlfn.XLOOKUP($D104,Tab_Def_Processes[Process_Name],Tab_Def_Processes[Process_ID],,0,)</f>
        <v/>
      </c>
      <c r="D104" t="inlineStr">
        <is>
          <t>N.A.</t>
        </is>
      </c>
      <c r="E104" t="inlineStr">
        <is>
          <t>N.A.</t>
        </is>
      </c>
      <c r="F104">
        <f>_xlfn.XLOOKUP($D104,Tab_Def_Processes[Process_Name],Tab_Def_Processes[Process_Logic],,0,)</f>
        <v/>
      </c>
      <c r="G104">
        <f>_xlfn.XLOOKUP($D104,Tab_Def_Processes[Process_Name],Tab_Def_Processes[TC_Configuration],,0,)</f>
        <v/>
      </c>
      <c r="H104">
        <f>_xlfn.XLOOKUP($D104,Tab_Def_Processes[Process_Name],Tab_Def_Processes[Stock_Configuration],,0,)</f>
        <v/>
      </c>
      <c r="I104">
        <f>_xlfn.XLOOKUP($D104,Tab_Def_Processes[Process_Name],Tab_Def_Processes[Outflow_count],,0,)</f>
        <v/>
      </c>
      <c r="J104">
        <f>_xlfn.XLOOKUP($E104,Tab_Def_Flows[Flow_Name],Tab_Def_Flows[Flow_ID],,0,1)</f>
        <v/>
      </c>
      <c r="L104">
        <f>"TC_material"&amp;"_"&amp;RIGHT(J104,5)</f>
        <v/>
      </c>
      <c r="N104">
        <f>"TC_WC"&amp;"_"&amp;RIGHT(J104,5)</f>
        <v/>
      </c>
      <c r="P104">
        <f>"TC_DM"&amp;"_"&amp;RIGHT(J104,5)</f>
        <v/>
      </c>
      <c r="R104">
        <f>"TC_CC"&amp;"_"&amp;RIGHT(J104,5)</f>
        <v/>
      </c>
    </row>
    <row r="105">
      <c r="A105" t="b">
        <v>0</v>
      </c>
      <c r="B105">
        <f>ROW()-1</f>
        <v/>
      </c>
      <c r="C105">
        <f>_xlfn.XLOOKUP($D105,Tab_Def_Processes[Process_Name],Tab_Def_Processes[Process_ID],,0,)</f>
        <v/>
      </c>
      <c r="D105" t="inlineStr">
        <is>
          <t>N.A.</t>
        </is>
      </c>
      <c r="E105" t="inlineStr">
        <is>
          <t>N.A.</t>
        </is>
      </c>
      <c r="F105">
        <f>_xlfn.XLOOKUP($D105,Tab_Def_Processes[Process_Name],Tab_Def_Processes[Process_Logic],,0,)</f>
        <v/>
      </c>
      <c r="G105">
        <f>_xlfn.XLOOKUP($D105,Tab_Def_Processes[Process_Name],Tab_Def_Processes[TC_Configuration],,0,)</f>
        <v/>
      </c>
      <c r="H105">
        <f>_xlfn.XLOOKUP($D105,Tab_Def_Processes[Process_Name],Tab_Def_Processes[Stock_Configuration],,0,)</f>
        <v/>
      </c>
      <c r="I105">
        <f>_xlfn.XLOOKUP($D105,Tab_Def_Processes[Process_Name],Tab_Def_Processes[Outflow_count],,0,)</f>
        <v/>
      </c>
      <c r="J105">
        <f>_xlfn.XLOOKUP($E105,Tab_Def_Flows[Flow_Name],Tab_Def_Flows[Flow_ID],,0,1)</f>
        <v/>
      </c>
      <c r="L105">
        <f>"TC_material"&amp;"_"&amp;RIGHT(J105,5)</f>
        <v/>
      </c>
      <c r="N105">
        <f>"TC_WC"&amp;"_"&amp;RIGHT(J105,5)</f>
        <v/>
      </c>
      <c r="P105">
        <f>"TC_DM"&amp;"_"&amp;RIGHT(J105,5)</f>
        <v/>
      </c>
      <c r="R105">
        <f>"TC_CC"&amp;"_"&amp;RIGHT(J105,5)</f>
        <v/>
      </c>
    </row>
    <row r="106">
      <c r="A106" t="b">
        <v>0</v>
      </c>
      <c r="B106">
        <f>ROW()-1</f>
        <v/>
      </c>
      <c r="C106">
        <f>_xlfn.XLOOKUP($D106,Tab_Def_Processes[Process_Name],Tab_Def_Processes[Process_ID],,0,)</f>
        <v/>
      </c>
      <c r="D106" t="inlineStr">
        <is>
          <t>N.A.</t>
        </is>
      </c>
      <c r="E106" t="inlineStr">
        <is>
          <t>N.A.</t>
        </is>
      </c>
      <c r="F106">
        <f>_xlfn.XLOOKUP($D106,Tab_Def_Processes[Process_Name],Tab_Def_Processes[Process_Logic],,0,)</f>
        <v/>
      </c>
      <c r="G106">
        <f>_xlfn.XLOOKUP($D106,Tab_Def_Processes[Process_Name],Tab_Def_Processes[TC_Configuration],,0,)</f>
        <v/>
      </c>
      <c r="H106">
        <f>_xlfn.XLOOKUP($D106,Tab_Def_Processes[Process_Name],Tab_Def_Processes[Stock_Configuration],,0,)</f>
        <v/>
      </c>
      <c r="I106">
        <f>_xlfn.XLOOKUP($D106,Tab_Def_Processes[Process_Name],Tab_Def_Processes[Outflow_count],,0,)</f>
        <v/>
      </c>
      <c r="J106">
        <f>_xlfn.XLOOKUP($E106,Tab_Def_Flows[Flow_Name],Tab_Def_Flows[Flow_ID],,0,1)</f>
        <v/>
      </c>
      <c r="L106">
        <f>"TC_material"&amp;"_"&amp;RIGHT(J106,5)</f>
        <v/>
      </c>
      <c r="N106">
        <f>"TC_WC"&amp;"_"&amp;RIGHT(J106,5)</f>
        <v/>
      </c>
      <c r="P106">
        <f>"TC_DM"&amp;"_"&amp;RIGHT(J106,5)</f>
        <v/>
      </c>
      <c r="R106">
        <f>"TC_CC"&amp;"_"&amp;RIGHT(J106,5)</f>
        <v/>
      </c>
    </row>
    <row r="107">
      <c r="A107" t="b">
        <v>0</v>
      </c>
      <c r="B107">
        <f>ROW()-1</f>
        <v/>
      </c>
      <c r="C107">
        <f>_xlfn.XLOOKUP($D107,Tab_Def_Processes[Process_Name],Tab_Def_Processes[Process_ID],,0,)</f>
        <v/>
      </c>
      <c r="D107" t="inlineStr">
        <is>
          <t>N.A.</t>
        </is>
      </c>
      <c r="E107" t="inlineStr">
        <is>
          <t>N.A.</t>
        </is>
      </c>
      <c r="F107">
        <f>_xlfn.XLOOKUP($D107,Tab_Def_Processes[Process_Name],Tab_Def_Processes[Process_Logic],,0,)</f>
        <v/>
      </c>
      <c r="G107">
        <f>_xlfn.XLOOKUP($D107,Tab_Def_Processes[Process_Name],Tab_Def_Processes[TC_Configuration],,0,)</f>
        <v/>
      </c>
      <c r="H107">
        <f>_xlfn.XLOOKUP($D107,Tab_Def_Processes[Process_Name],Tab_Def_Processes[Stock_Configuration],,0,)</f>
        <v/>
      </c>
      <c r="I107">
        <f>_xlfn.XLOOKUP($D107,Tab_Def_Processes[Process_Name],Tab_Def_Processes[Outflow_count],,0,)</f>
        <v/>
      </c>
      <c r="J107">
        <f>_xlfn.XLOOKUP($E107,Tab_Def_Flows[Flow_Name],Tab_Def_Flows[Flow_ID],,0,1)</f>
        <v/>
      </c>
      <c r="L107">
        <f>"TC_material"&amp;"_"&amp;RIGHT(J107,5)</f>
        <v/>
      </c>
      <c r="N107">
        <f>"TC_WC"&amp;"_"&amp;RIGHT(J107,5)</f>
        <v/>
      </c>
      <c r="P107">
        <f>"TC_DM"&amp;"_"&amp;RIGHT(J107,5)</f>
        <v/>
      </c>
      <c r="R107">
        <f>"TC_CC"&amp;"_"&amp;RIGHT(J107,5)</f>
        <v/>
      </c>
    </row>
    <row r="108">
      <c r="A108" t="b">
        <v>0</v>
      </c>
      <c r="B108">
        <f>ROW()-1</f>
        <v/>
      </c>
      <c r="C108">
        <f>_xlfn.XLOOKUP($D108,Tab_Def_Processes[Process_Name],Tab_Def_Processes[Process_ID],,0,)</f>
        <v/>
      </c>
      <c r="D108" t="inlineStr">
        <is>
          <t>N.A.</t>
        </is>
      </c>
      <c r="E108" t="inlineStr">
        <is>
          <t>N.A.</t>
        </is>
      </c>
      <c r="F108">
        <f>_xlfn.XLOOKUP($D108,Tab_Def_Processes[Process_Name],Tab_Def_Processes[Process_Logic],,0,)</f>
        <v/>
      </c>
      <c r="G108">
        <f>_xlfn.XLOOKUP($D108,Tab_Def_Processes[Process_Name],Tab_Def_Processes[TC_Configuration],,0,)</f>
        <v/>
      </c>
      <c r="H108">
        <f>_xlfn.XLOOKUP($D108,Tab_Def_Processes[Process_Name],Tab_Def_Processes[Stock_Configuration],,0,)</f>
        <v/>
      </c>
      <c r="I108">
        <f>_xlfn.XLOOKUP($D108,Tab_Def_Processes[Process_Name],Tab_Def_Processes[Outflow_count],,0,)</f>
        <v/>
      </c>
      <c r="J108">
        <f>_xlfn.XLOOKUP($E108,Tab_Def_Flows[Flow_Name],Tab_Def_Flows[Flow_ID],,0,1)</f>
        <v/>
      </c>
      <c r="L108">
        <f>"TC_material"&amp;"_"&amp;RIGHT(J108,5)</f>
        <v/>
      </c>
      <c r="N108">
        <f>"TC_WC"&amp;"_"&amp;RIGHT(J108,5)</f>
        <v/>
      </c>
      <c r="P108">
        <f>"TC_DM"&amp;"_"&amp;RIGHT(J108,5)</f>
        <v/>
      </c>
      <c r="R108">
        <f>"TC_CC"&amp;"_"&amp;RIGHT(J108,5)</f>
        <v/>
      </c>
    </row>
    <row r="109">
      <c r="A109" t="b">
        <v>0</v>
      </c>
      <c r="B109">
        <f>ROW()-1</f>
        <v/>
      </c>
      <c r="C109">
        <f>_xlfn.XLOOKUP($D109,Tab_Def_Processes[Process_Name],Tab_Def_Processes[Process_ID],,0,)</f>
        <v/>
      </c>
      <c r="D109" t="inlineStr">
        <is>
          <t>N.A.</t>
        </is>
      </c>
      <c r="E109" t="inlineStr">
        <is>
          <t>N.A.</t>
        </is>
      </c>
      <c r="F109">
        <f>_xlfn.XLOOKUP($D109,Tab_Def_Processes[Process_Name],Tab_Def_Processes[Process_Logic],,0,)</f>
        <v/>
      </c>
      <c r="G109">
        <f>_xlfn.XLOOKUP($D109,Tab_Def_Processes[Process_Name],Tab_Def_Processes[TC_Configuration],,0,)</f>
        <v/>
      </c>
      <c r="H109">
        <f>_xlfn.XLOOKUP($D109,Tab_Def_Processes[Process_Name],Tab_Def_Processes[Stock_Configuration],,0,)</f>
        <v/>
      </c>
      <c r="I109">
        <f>_xlfn.XLOOKUP($D109,Tab_Def_Processes[Process_Name],Tab_Def_Processes[Outflow_count],,0,)</f>
        <v/>
      </c>
      <c r="J109">
        <f>_xlfn.XLOOKUP($E109,Tab_Def_Flows[Flow_Name],Tab_Def_Flows[Flow_ID],,0,1)</f>
        <v/>
      </c>
      <c r="L109">
        <f>"TC_material"&amp;"_"&amp;RIGHT(J109,5)</f>
        <v/>
      </c>
      <c r="N109">
        <f>"TC_WC"&amp;"_"&amp;RIGHT(J109,5)</f>
        <v/>
      </c>
      <c r="P109">
        <f>"TC_DM"&amp;"_"&amp;RIGHT(J109,5)</f>
        <v/>
      </c>
      <c r="R109">
        <f>"TC_CC"&amp;"_"&amp;RIGHT(J109,5)</f>
        <v/>
      </c>
    </row>
    <row r="110">
      <c r="A110" t="b">
        <v>0</v>
      </c>
      <c r="B110">
        <f>ROW()-1</f>
        <v/>
      </c>
      <c r="C110">
        <f>_xlfn.XLOOKUP($D110,Tab_Def_Processes[Process_Name],Tab_Def_Processes[Process_ID],,0,)</f>
        <v/>
      </c>
      <c r="D110" t="inlineStr">
        <is>
          <t>N.A.</t>
        </is>
      </c>
      <c r="E110" t="inlineStr">
        <is>
          <t>N.A.</t>
        </is>
      </c>
      <c r="F110">
        <f>_xlfn.XLOOKUP($D110,Tab_Def_Processes[Process_Name],Tab_Def_Processes[Process_Logic],,0,)</f>
        <v/>
      </c>
      <c r="G110">
        <f>_xlfn.XLOOKUP($D110,Tab_Def_Processes[Process_Name],Tab_Def_Processes[TC_Configuration],,0,)</f>
        <v/>
      </c>
      <c r="H110">
        <f>_xlfn.XLOOKUP($D110,Tab_Def_Processes[Process_Name],Tab_Def_Processes[Stock_Configuration],,0,)</f>
        <v/>
      </c>
      <c r="I110">
        <f>_xlfn.XLOOKUP($D110,Tab_Def_Processes[Process_Name],Tab_Def_Processes[Outflow_count],,0,)</f>
        <v/>
      </c>
      <c r="J110">
        <f>_xlfn.XLOOKUP($E110,Tab_Def_Flows[Flow_Name],Tab_Def_Flows[Flow_ID],,0,1)</f>
        <v/>
      </c>
      <c r="L110">
        <f>"TC_material"&amp;"_"&amp;RIGHT(J110,5)</f>
        <v/>
      </c>
      <c r="N110">
        <f>"TC_WC"&amp;"_"&amp;RIGHT(J110,5)</f>
        <v/>
      </c>
      <c r="P110">
        <f>"TC_DM"&amp;"_"&amp;RIGHT(J110,5)</f>
        <v/>
      </c>
      <c r="R110">
        <f>"TC_CC"&amp;"_"&amp;RIGHT(J110,5)</f>
        <v/>
      </c>
    </row>
    <row r="111">
      <c r="A111" t="b">
        <v>0</v>
      </c>
      <c r="B111">
        <f>ROW()-1</f>
        <v/>
      </c>
      <c r="C111">
        <f>_xlfn.XLOOKUP($D111,Tab_Def_Processes[Process_Name],Tab_Def_Processes[Process_ID],,0,)</f>
        <v/>
      </c>
      <c r="D111" t="inlineStr">
        <is>
          <t>N.A.</t>
        </is>
      </c>
      <c r="E111" t="inlineStr">
        <is>
          <t>N.A.</t>
        </is>
      </c>
      <c r="F111">
        <f>_xlfn.XLOOKUP($D111,Tab_Def_Processes[Process_Name],Tab_Def_Processes[Process_Logic],,0,)</f>
        <v/>
      </c>
      <c r="G111">
        <f>_xlfn.XLOOKUP($D111,Tab_Def_Processes[Process_Name],Tab_Def_Processes[TC_Configuration],,0,)</f>
        <v/>
      </c>
      <c r="H111">
        <f>_xlfn.XLOOKUP($D111,Tab_Def_Processes[Process_Name],Tab_Def_Processes[Stock_Configuration],,0,)</f>
        <v/>
      </c>
      <c r="I111">
        <f>_xlfn.XLOOKUP($D111,Tab_Def_Processes[Process_Name],Tab_Def_Processes[Outflow_count],,0,)</f>
        <v/>
      </c>
      <c r="J111">
        <f>_xlfn.XLOOKUP($E111,Tab_Def_Flows[Flow_Name],Tab_Def_Flows[Flow_ID],,0,1)</f>
        <v/>
      </c>
      <c r="L111">
        <f>"TC_material"&amp;"_"&amp;RIGHT(J111,5)</f>
        <v/>
      </c>
      <c r="N111">
        <f>"TC_WC"&amp;"_"&amp;RIGHT(J111,5)</f>
        <v/>
      </c>
      <c r="P111">
        <f>"TC_DM"&amp;"_"&amp;RIGHT(J111,5)</f>
        <v/>
      </c>
      <c r="R111">
        <f>"TC_CC"&amp;"_"&amp;RIGHT(J111,5)</f>
        <v/>
      </c>
    </row>
    <row r="112">
      <c r="A112" t="b">
        <v>0</v>
      </c>
      <c r="B112">
        <f>ROW()-1</f>
        <v/>
      </c>
      <c r="C112">
        <f>_xlfn.XLOOKUP($D112,Tab_Def_Processes[Process_Name],Tab_Def_Processes[Process_ID],,0,)</f>
        <v/>
      </c>
      <c r="D112" t="inlineStr">
        <is>
          <t>N.A.</t>
        </is>
      </c>
      <c r="E112" t="inlineStr">
        <is>
          <t>N.A.</t>
        </is>
      </c>
      <c r="F112">
        <f>_xlfn.XLOOKUP($D112,Tab_Def_Processes[Process_Name],Tab_Def_Processes[Process_Logic],,0,)</f>
        <v/>
      </c>
      <c r="G112">
        <f>_xlfn.XLOOKUP($D112,Tab_Def_Processes[Process_Name],Tab_Def_Processes[TC_Configuration],,0,)</f>
        <v/>
      </c>
      <c r="H112">
        <f>_xlfn.XLOOKUP($D112,Tab_Def_Processes[Process_Name],Tab_Def_Processes[Stock_Configuration],,0,)</f>
        <v/>
      </c>
      <c r="I112">
        <f>_xlfn.XLOOKUP($D112,Tab_Def_Processes[Process_Name],Tab_Def_Processes[Outflow_count],,0,)</f>
        <v/>
      </c>
      <c r="J112">
        <f>_xlfn.XLOOKUP($E112,Tab_Def_Flows[Flow_Name],Tab_Def_Flows[Flow_ID],,0,1)</f>
        <v/>
      </c>
      <c r="L112">
        <f>"TC_material"&amp;"_"&amp;RIGHT(J112,5)</f>
        <v/>
      </c>
      <c r="N112">
        <f>"TC_WC"&amp;"_"&amp;RIGHT(J112,5)</f>
        <v/>
      </c>
      <c r="P112">
        <f>"TC_DM"&amp;"_"&amp;RIGHT(J112,5)</f>
        <v/>
      </c>
      <c r="R112">
        <f>"TC_CC"&amp;"_"&amp;RIGHT(J112,5)</f>
        <v/>
      </c>
    </row>
    <row r="113">
      <c r="A113" t="b">
        <v>0</v>
      </c>
      <c r="B113">
        <f>ROW()-1</f>
        <v/>
      </c>
      <c r="C113">
        <f>_xlfn.XLOOKUP($D113,Tab_Def_Processes[Process_Name],Tab_Def_Processes[Process_ID],,0,)</f>
        <v/>
      </c>
      <c r="D113" t="inlineStr">
        <is>
          <t>N.A.</t>
        </is>
      </c>
      <c r="E113" t="inlineStr">
        <is>
          <t>N.A.</t>
        </is>
      </c>
      <c r="F113">
        <f>_xlfn.XLOOKUP($D113,Tab_Def_Processes[Process_Name],Tab_Def_Processes[Process_Logic],,0,)</f>
        <v/>
      </c>
      <c r="G113">
        <f>_xlfn.XLOOKUP($D113,Tab_Def_Processes[Process_Name],Tab_Def_Processes[TC_Configuration],,0,)</f>
        <v/>
      </c>
      <c r="H113">
        <f>_xlfn.XLOOKUP($D113,Tab_Def_Processes[Process_Name],Tab_Def_Processes[Stock_Configuration],,0,)</f>
        <v/>
      </c>
      <c r="I113">
        <f>_xlfn.XLOOKUP($D113,Tab_Def_Processes[Process_Name],Tab_Def_Processes[Outflow_count],,0,)</f>
        <v/>
      </c>
      <c r="J113">
        <f>_xlfn.XLOOKUP($E113,Tab_Def_Flows[Flow_Name],Tab_Def_Flows[Flow_ID],,0,1)</f>
        <v/>
      </c>
      <c r="L113">
        <f>"TC_material"&amp;"_"&amp;RIGHT(J113,5)</f>
        <v/>
      </c>
      <c r="N113">
        <f>"TC_WC"&amp;"_"&amp;RIGHT(J113,5)</f>
        <v/>
      </c>
      <c r="P113">
        <f>"TC_DM"&amp;"_"&amp;RIGHT(J113,5)</f>
        <v/>
      </c>
      <c r="R113">
        <f>"TC_CC"&amp;"_"&amp;RIGHT(J113,5)</f>
        <v/>
      </c>
    </row>
    <row r="114">
      <c r="A114" t="b">
        <v>0</v>
      </c>
      <c r="B114">
        <f>ROW()-1</f>
        <v/>
      </c>
      <c r="C114">
        <f>_xlfn.XLOOKUP($D114,Tab_Def_Processes[Process_Name],Tab_Def_Processes[Process_ID],,0,)</f>
        <v/>
      </c>
      <c r="D114" t="inlineStr">
        <is>
          <t>N.A.</t>
        </is>
      </c>
      <c r="E114" t="inlineStr">
        <is>
          <t>N.A.</t>
        </is>
      </c>
      <c r="F114">
        <f>_xlfn.XLOOKUP($D114,Tab_Def_Processes[Process_Name],Tab_Def_Processes[Process_Logic],,0,)</f>
        <v/>
      </c>
      <c r="G114">
        <f>_xlfn.XLOOKUP($D114,Tab_Def_Processes[Process_Name],Tab_Def_Processes[TC_Configuration],,0,)</f>
        <v/>
      </c>
      <c r="H114">
        <f>_xlfn.XLOOKUP($D114,Tab_Def_Processes[Process_Name],Tab_Def_Processes[Stock_Configuration],,0,)</f>
        <v/>
      </c>
      <c r="I114">
        <f>_xlfn.XLOOKUP($D114,Tab_Def_Processes[Process_Name],Tab_Def_Processes[Outflow_count],,0,)</f>
        <v/>
      </c>
      <c r="J114">
        <f>_xlfn.XLOOKUP($E114,Tab_Def_Flows[Flow_Name],Tab_Def_Flows[Flow_ID],,0,1)</f>
        <v/>
      </c>
      <c r="L114">
        <f>"TC_material"&amp;"_"&amp;RIGHT(J114,5)</f>
        <v/>
      </c>
      <c r="N114">
        <f>"TC_WC"&amp;"_"&amp;RIGHT(J114,5)</f>
        <v/>
      </c>
      <c r="P114">
        <f>"TC_DM"&amp;"_"&amp;RIGHT(J114,5)</f>
        <v/>
      </c>
      <c r="R114">
        <f>"TC_CC"&amp;"_"&amp;RIGHT(J114,5)</f>
        <v/>
      </c>
    </row>
    <row r="115">
      <c r="A115" t="b">
        <v>0</v>
      </c>
      <c r="B115">
        <f>ROW()-1</f>
        <v/>
      </c>
      <c r="C115">
        <f>_xlfn.XLOOKUP($D115,Tab_Def_Processes[Process_Name],Tab_Def_Processes[Process_ID],,0,)</f>
        <v/>
      </c>
      <c r="D115" t="inlineStr">
        <is>
          <t>N.A.</t>
        </is>
      </c>
      <c r="E115" t="inlineStr">
        <is>
          <t>N.A.</t>
        </is>
      </c>
      <c r="F115">
        <f>_xlfn.XLOOKUP($D115,Tab_Def_Processes[Process_Name],Tab_Def_Processes[Process_Logic],,0,)</f>
        <v/>
      </c>
      <c r="G115">
        <f>_xlfn.XLOOKUP($D115,Tab_Def_Processes[Process_Name],Tab_Def_Processes[TC_Configuration],,0,)</f>
        <v/>
      </c>
      <c r="H115">
        <f>_xlfn.XLOOKUP($D115,Tab_Def_Processes[Process_Name],Tab_Def_Processes[Stock_Configuration],,0,)</f>
        <v/>
      </c>
      <c r="I115">
        <f>_xlfn.XLOOKUP($D115,Tab_Def_Processes[Process_Name],Tab_Def_Processes[Outflow_count],,0,)</f>
        <v/>
      </c>
      <c r="J115">
        <f>_xlfn.XLOOKUP($E115,Tab_Def_Flows[Flow_Name],Tab_Def_Flows[Flow_ID],,0,1)</f>
        <v/>
      </c>
      <c r="L115">
        <f>"TC_material"&amp;"_"&amp;RIGHT(J115,5)</f>
        <v/>
      </c>
      <c r="N115">
        <f>"TC_WC"&amp;"_"&amp;RIGHT(J115,5)</f>
        <v/>
      </c>
      <c r="P115">
        <f>"TC_DM"&amp;"_"&amp;RIGHT(J115,5)</f>
        <v/>
      </c>
      <c r="R115">
        <f>"TC_CC"&amp;"_"&amp;RIGHT(J115,5)</f>
        <v/>
      </c>
    </row>
    <row r="116">
      <c r="A116" t="b">
        <v>0</v>
      </c>
      <c r="B116">
        <f>ROW()-1</f>
        <v/>
      </c>
      <c r="C116">
        <f>_xlfn.XLOOKUP($D116,Tab_Def_Processes[Process_Name],Tab_Def_Processes[Process_ID],,0,)</f>
        <v/>
      </c>
      <c r="D116" t="inlineStr">
        <is>
          <t>N.A.</t>
        </is>
      </c>
      <c r="E116" t="inlineStr">
        <is>
          <t>N.A.</t>
        </is>
      </c>
      <c r="F116">
        <f>_xlfn.XLOOKUP($D116,Tab_Def_Processes[Process_Name],Tab_Def_Processes[Process_Logic],,0,)</f>
        <v/>
      </c>
      <c r="G116">
        <f>_xlfn.XLOOKUP($D116,Tab_Def_Processes[Process_Name],Tab_Def_Processes[TC_Configuration],,0,)</f>
        <v/>
      </c>
      <c r="H116">
        <f>_xlfn.XLOOKUP($D116,Tab_Def_Processes[Process_Name],Tab_Def_Processes[Stock_Configuration],,0,)</f>
        <v/>
      </c>
      <c r="I116">
        <f>_xlfn.XLOOKUP($D116,Tab_Def_Processes[Process_Name],Tab_Def_Processes[Outflow_count],,0,)</f>
        <v/>
      </c>
      <c r="J116">
        <f>_xlfn.XLOOKUP($E116,Tab_Def_Flows[Flow_Name],Tab_Def_Flows[Flow_ID],,0,1)</f>
        <v/>
      </c>
      <c r="L116">
        <f>"TC_material"&amp;"_"&amp;RIGHT(J116,5)</f>
        <v/>
      </c>
      <c r="N116">
        <f>"TC_WC"&amp;"_"&amp;RIGHT(J116,5)</f>
        <v/>
      </c>
      <c r="P116">
        <f>"TC_DM"&amp;"_"&amp;RIGHT(J116,5)</f>
        <v/>
      </c>
      <c r="R116">
        <f>"TC_CC"&amp;"_"&amp;RIGHT(J116,5)</f>
        <v/>
      </c>
    </row>
    <row r="117">
      <c r="A117" t="b">
        <v>0</v>
      </c>
      <c r="B117">
        <f>ROW()-1</f>
        <v/>
      </c>
      <c r="C117">
        <f>_xlfn.XLOOKUP($D117,Tab_Def_Processes[Process_Name],Tab_Def_Processes[Process_ID],,0,)</f>
        <v/>
      </c>
      <c r="D117" t="inlineStr">
        <is>
          <t>N.A.</t>
        </is>
      </c>
      <c r="E117" t="inlineStr">
        <is>
          <t>N.A.</t>
        </is>
      </c>
      <c r="F117">
        <f>_xlfn.XLOOKUP($D117,Tab_Def_Processes[Process_Name],Tab_Def_Processes[Process_Logic],,0,)</f>
        <v/>
      </c>
      <c r="G117">
        <f>_xlfn.XLOOKUP($D117,Tab_Def_Processes[Process_Name],Tab_Def_Processes[TC_Configuration],,0,)</f>
        <v/>
      </c>
      <c r="H117">
        <f>_xlfn.XLOOKUP($D117,Tab_Def_Processes[Process_Name],Tab_Def_Processes[Stock_Configuration],,0,)</f>
        <v/>
      </c>
      <c r="I117">
        <f>_xlfn.XLOOKUP($D117,Tab_Def_Processes[Process_Name],Tab_Def_Processes[Outflow_count],,0,)</f>
        <v/>
      </c>
      <c r="J117">
        <f>_xlfn.XLOOKUP($E117,Tab_Def_Flows[Flow_Name],Tab_Def_Flows[Flow_ID],,0,1)</f>
        <v/>
      </c>
      <c r="L117">
        <f>"TC_material"&amp;"_"&amp;RIGHT(J117,5)</f>
        <v/>
      </c>
      <c r="N117">
        <f>"TC_WC"&amp;"_"&amp;RIGHT(J117,5)</f>
        <v/>
      </c>
      <c r="P117">
        <f>"TC_DM"&amp;"_"&amp;RIGHT(J117,5)</f>
        <v/>
      </c>
      <c r="R117">
        <f>"TC_CC"&amp;"_"&amp;RIGHT(J117,5)</f>
        <v/>
      </c>
    </row>
    <row r="118">
      <c r="A118" t="b">
        <v>0</v>
      </c>
      <c r="B118">
        <f>ROW()-1</f>
        <v/>
      </c>
      <c r="C118">
        <f>_xlfn.XLOOKUP($D118,Tab_Def_Processes[Process_Name],Tab_Def_Processes[Process_ID],,0,)</f>
        <v/>
      </c>
      <c r="D118" t="inlineStr">
        <is>
          <t>N.A.</t>
        </is>
      </c>
      <c r="E118" t="inlineStr">
        <is>
          <t>N.A.</t>
        </is>
      </c>
      <c r="F118">
        <f>_xlfn.XLOOKUP($D118,Tab_Def_Processes[Process_Name],Tab_Def_Processes[Process_Logic],,0,)</f>
        <v/>
      </c>
      <c r="G118">
        <f>_xlfn.XLOOKUP($D118,Tab_Def_Processes[Process_Name],Tab_Def_Processes[TC_Configuration],,0,)</f>
        <v/>
      </c>
      <c r="H118">
        <f>_xlfn.XLOOKUP($D118,Tab_Def_Processes[Process_Name],Tab_Def_Processes[Stock_Configuration],,0,)</f>
        <v/>
      </c>
      <c r="I118">
        <f>_xlfn.XLOOKUP($D118,Tab_Def_Processes[Process_Name],Tab_Def_Processes[Outflow_count],,0,)</f>
        <v/>
      </c>
      <c r="J118">
        <f>_xlfn.XLOOKUP($E118,Tab_Def_Flows[Flow_Name],Tab_Def_Flows[Flow_ID],,0,1)</f>
        <v/>
      </c>
      <c r="L118">
        <f>"TC_material"&amp;"_"&amp;RIGHT(J118,5)</f>
        <v/>
      </c>
      <c r="N118">
        <f>"TC_WC"&amp;"_"&amp;RIGHT(J118,5)</f>
        <v/>
      </c>
      <c r="P118">
        <f>"TC_DM"&amp;"_"&amp;RIGHT(J118,5)</f>
        <v/>
      </c>
      <c r="R118">
        <f>"TC_CC"&amp;"_"&amp;RIGHT(J118,5)</f>
        <v/>
      </c>
    </row>
    <row r="119">
      <c r="A119" t="b">
        <v>0</v>
      </c>
      <c r="B119">
        <f>ROW()-1</f>
        <v/>
      </c>
      <c r="C119">
        <f>_xlfn.XLOOKUP($D119,Tab_Def_Processes[Process_Name],Tab_Def_Processes[Process_ID],,0,)</f>
        <v/>
      </c>
      <c r="D119" t="inlineStr">
        <is>
          <t>N.A.</t>
        </is>
      </c>
      <c r="E119" t="inlineStr">
        <is>
          <t>N.A.</t>
        </is>
      </c>
      <c r="F119">
        <f>_xlfn.XLOOKUP($D119,Tab_Def_Processes[Process_Name],Tab_Def_Processes[Process_Logic],,0,)</f>
        <v/>
      </c>
      <c r="G119">
        <f>_xlfn.XLOOKUP($D119,Tab_Def_Processes[Process_Name],Tab_Def_Processes[TC_Configuration],,0,)</f>
        <v/>
      </c>
      <c r="H119">
        <f>_xlfn.XLOOKUP($D119,Tab_Def_Processes[Process_Name],Tab_Def_Processes[Stock_Configuration],,0,)</f>
        <v/>
      </c>
      <c r="I119">
        <f>_xlfn.XLOOKUP($D119,Tab_Def_Processes[Process_Name],Tab_Def_Processes[Outflow_count],,0,)</f>
        <v/>
      </c>
      <c r="J119">
        <f>_xlfn.XLOOKUP($E119,Tab_Def_Flows[Flow_Name],Tab_Def_Flows[Flow_ID],,0,1)</f>
        <v/>
      </c>
      <c r="L119">
        <f>"TC_material"&amp;"_"&amp;RIGHT(J119,5)</f>
        <v/>
      </c>
      <c r="N119">
        <f>"TC_WC"&amp;"_"&amp;RIGHT(J119,5)</f>
        <v/>
      </c>
      <c r="P119">
        <f>"TC_DM"&amp;"_"&amp;RIGHT(J119,5)</f>
        <v/>
      </c>
      <c r="R119">
        <f>"TC_CC"&amp;"_"&amp;RIGHT(J119,5)</f>
        <v/>
      </c>
    </row>
    <row r="120">
      <c r="A120" t="b">
        <v>0</v>
      </c>
      <c r="B120">
        <f>ROW()-1</f>
        <v/>
      </c>
      <c r="C120">
        <f>_xlfn.XLOOKUP($D120,Tab_Def_Processes[Process_Name],Tab_Def_Processes[Process_ID],,0,)</f>
        <v/>
      </c>
      <c r="D120" t="inlineStr">
        <is>
          <t>N.A.</t>
        </is>
      </c>
      <c r="E120" t="inlineStr">
        <is>
          <t>N.A.</t>
        </is>
      </c>
      <c r="F120">
        <f>_xlfn.XLOOKUP($D120,Tab_Def_Processes[Process_Name],Tab_Def_Processes[Process_Logic],,0,)</f>
        <v/>
      </c>
      <c r="G120">
        <f>_xlfn.XLOOKUP($D120,Tab_Def_Processes[Process_Name],Tab_Def_Processes[TC_Configuration],,0,)</f>
        <v/>
      </c>
      <c r="H120">
        <f>_xlfn.XLOOKUP($D120,Tab_Def_Processes[Process_Name],Tab_Def_Processes[Stock_Configuration],,0,)</f>
        <v/>
      </c>
      <c r="I120">
        <f>_xlfn.XLOOKUP($D120,Tab_Def_Processes[Process_Name],Tab_Def_Processes[Outflow_count],,0,)</f>
        <v/>
      </c>
      <c r="J120">
        <f>_xlfn.XLOOKUP($E120,Tab_Def_Flows[Flow_Name],Tab_Def_Flows[Flow_ID],,0,1)</f>
        <v/>
      </c>
      <c r="L120">
        <f>"TC_material"&amp;"_"&amp;RIGHT(J120,5)</f>
        <v/>
      </c>
      <c r="N120">
        <f>"TC_WC"&amp;"_"&amp;RIGHT(J120,5)</f>
        <v/>
      </c>
      <c r="P120">
        <f>"TC_DM"&amp;"_"&amp;RIGHT(J120,5)</f>
        <v/>
      </c>
      <c r="R120">
        <f>"TC_CC"&amp;"_"&amp;RIGHT(J120,5)</f>
        <v/>
      </c>
    </row>
    <row r="121">
      <c r="A121" t="b">
        <v>0</v>
      </c>
      <c r="B121">
        <f>ROW()-1</f>
        <v/>
      </c>
      <c r="C121">
        <f>_xlfn.XLOOKUP($D121,Tab_Def_Processes[Process_Name],Tab_Def_Processes[Process_ID],,0,)</f>
        <v/>
      </c>
      <c r="D121" t="inlineStr">
        <is>
          <t>N.A.</t>
        </is>
      </c>
      <c r="E121" t="inlineStr">
        <is>
          <t>N.A.</t>
        </is>
      </c>
      <c r="F121">
        <f>_xlfn.XLOOKUP($D121,Tab_Def_Processes[Process_Name],Tab_Def_Processes[Process_Logic],,0,)</f>
        <v/>
      </c>
      <c r="G121">
        <f>_xlfn.XLOOKUP($D121,Tab_Def_Processes[Process_Name],Tab_Def_Processes[TC_Configuration],,0,)</f>
        <v/>
      </c>
      <c r="H121">
        <f>_xlfn.XLOOKUP($D121,Tab_Def_Processes[Process_Name],Tab_Def_Processes[Stock_Configuration],,0,)</f>
        <v/>
      </c>
      <c r="I121">
        <f>_xlfn.XLOOKUP($D121,Tab_Def_Processes[Process_Name],Tab_Def_Processes[Outflow_count],,0,)</f>
        <v/>
      </c>
      <c r="J121">
        <f>_xlfn.XLOOKUP($E121,Tab_Def_Flows[Flow_Name],Tab_Def_Flows[Flow_ID],,0,1)</f>
        <v/>
      </c>
      <c r="L121">
        <f>"TC_material"&amp;"_"&amp;RIGHT(J121,5)</f>
        <v/>
      </c>
      <c r="N121">
        <f>"TC_WC"&amp;"_"&amp;RIGHT(J121,5)</f>
        <v/>
      </c>
      <c r="P121">
        <f>"TC_DM"&amp;"_"&amp;RIGHT(J121,5)</f>
        <v/>
      </c>
      <c r="R121">
        <f>"TC_CC"&amp;"_"&amp;RIGHT(J121,5)</f>
        <v/>
      </c>
    </row>
    <row r="122">
      <c r="A122" t="b">
        <v>0</v>
      </c>
      <c r="B122">
        <f>ROW()-1</f>
        <v/>
      </c>
      <c r="C122">
        <f>_xlfn.XLOOKUP($D122,Tab_Def_Processes[Process_Name],Tab_Def_Processes[Process_ID],,0,)</f>
        <v/>
      </c>
      <c r="D122" t="inlineStr">
        <is>
          <t>N.A.</t>
        </is>
      </c>
      <c r="E122" t="inlineStr">
        <is>
          <t>N.A.</t>
        </is>
      </c>
      <c r="F122">
        <f>_xlfn.XLOOKUP($D122,Tab_Def_Processes[Process_Name],Tab_Def_Processes[Process_Logic],,0,)</f>
        <v/>
      </c>
      <c r="G122">
        <f>_xlfn.XLOOKUP($D122,Tab_Def_Processes[Process_Name],Tab_Def_Processes[TC_Configuration],,0,)</f>
        <v/>
      </c>
      <c r="H122">
        <f>_xlfn.XLOOKUP($D122,Tab_Def_Processes[Process_Name],Tab_Def_Processes[Stock_Configuration],,0,)</f>
        <v/>
      </c>
      <c r="I122">
        <f>_xlfn.XLOOKUP($D122,Tab_Def_Processes[Process_Name],Tab_Def_Processes[Outflow_count],,0,)</f>
        <v/>
      </c>
      <c r="J122">
        <f>_xlfn.XLOOKUP($E122,Tab_Def_Flows[Flow_Name],Tab_Def_Flows[Flow_ID],,0,1)</f>
        <v/>
      </c>
      <c r="L122">
        <f>"TC_material"&amp;"_"&amp;RIGHT(J122,5)</f>
        <v/>
      </c>
      <c r="N122">
        <f>"TC_WC"&amp;"_"&amp;RIGHT(J122,5)</f>
        <v/>
      </c>
      <c r="P122">
        <f>"TC_DM"&amp;"_"&amp;RIGHT(J122,5)</f>
        <v/>
      </c>
      <c r="R122">
        <f>"TC_CC"&amp;"_"&amp;RIGHT(J122,5)</f>
        <v/>
      </c>
    </row>
    <row r="123">
      <c r="A123" t="b">
        <v>0</v>
      </c>
      <c r="B123">
        <f>ROW()-1</f>
        <v/>
      </c>
      <c r="C123">
        <f>_xlfn.XLOOKUP($D123,Tab_Def_Processes[Process_Name],Tab_Def_Processes[Process_ID],,0,)</f>
        <v/>
      </c>
      <c r="D123" t="inlineStr">
        <is>
          <t>N.A.</t>
        </is>
      </c>
      <c r="E123" t="inlineStr">
        <is>
          <t>N.A.</t>
        </is>
      </c>
      <c r="F123">
        <f>_xlfn.XLOOKUP($D123,Tab_Def_Processes[Process_Name],Tab_Def_Processes[Process_Logic],,0,)</f>
        <v/>
      </c>
      <c r="G123">
        <f>_xlfn.XLOOKUP($D123,Tab_Def_Processes[Process_Name],Tab_Def_Processes[TC_Configuration],,0,)</f>
        <v/>
      </c>
      <c r="H123">
        <f>_xlfn.XLOOKUP($D123,Tab_Def_Processes[Process_Name],Tab_Def_Processes[Stock_Configuration],,0,)</f>
        <v/>
      </c>
      <c r="I123">
        <f>_xlfn.XLOOKUP($D123,Tab_Def_Processes[Process_Name],Tab_Def_Processes[Outflow_count],,0,)</f>
        <v/>
      </c>
      <c r="J123">
        <f>_xlfn.XLOOKUP($E123,Tab_Def_Flows[Flow_Name],Tab_Def_Flows[Flow_ID],,0,1)</f>
        <v/>
      </c>
      <c r="L123">
        <f>"TC_material"&amp;"_"&amp;RIGHT(J123,5)</f>
        <v/>
      </c>
      <c r="N123">
        <f>"TC_WC"&amp;"_"&amp;RIGHT(J123,5)</f>
        <v/>
      </c>
      <c r="P123">
        <f>"TC_DM"&amp;"_"&amp;RIGHT(J123,5)</f>
        <v/>
      </c>
      <c r="R123">
        <f>"TC_CC"&amp;"_"&amp;RIGHT(J123,5)</f>
        <v/>
      </c>
    </row>
    <row r="124">
      <c r="A124" t="b">
        <v>0</v>
      </c>
      <c r="B124">
        <f>ROW()-1</f>
        <v/>
      </c>
      <c r="C124">
        <f>_xlfn.XLOOKUP($D124,Tab_Def_Processes[Process_Name],Tab_Def_Processes[Process_ID],,0,)</f>
        <v/>
      </c>
      <c r="D124" t="inlineStr">
        <is>
          <t>N.A.</t>
        </is>
      </c>
      <c r="E124" t="inlineStr">
        <is>
          <t>N.A.</t>
        </is>
      </c>
      <c r="F124">
        <f>_xlfn.XLOOKUP($D124,Tab_Def_Processes[Process_Name],Tab_Def_Processes[Process_Logic],,0,)</f>
        <v/>
      </c>
      <c r="G124">
        <f>_xlfn.XLOOKUP($D124,Tab_Def_Processes[Process_Name],Tab_Def_Processes[TC_Configuration],,0,)</f>
        <v/>
      </c>
      <c r="H124">
        <f>_xlfn.XLOOKUP($D124,Tab_Def_Processes[Process_Name],Tab_Def_Processes[Stock_Configuration],,0,)</f>
        <v/>
      </c>
      <c r="I124">
        <f>_xlfn.XLOOKUP($D124,Tab_Def_Processes[Process_Name],Tab_Def_Processes[Outflow_count],,0,)</f>
        <v/>
      </c>
      <c r="J124">
        <f>_xlfn.XLOOKUP($E124,Tab_Def_Flows[Flow_Name],Tab_Def_Flows[Flow_ID],,0,1)</f>
        <v/>
      </c>
      <c r="L124">
        <f>"TC_material"&amp;"_"&amp;RIGHT(J124,5)</f>
        <v/>
      </c>
      <c r="N124">
        <f>"TC_WC"&amp;"_"&amp;RIGHT(J124,5)</f>
        <v/>
      </c>
      <c r="P124">
        <f>"TC_DM"&amp;"_"&amp;RIGHT(J124,5)</f>
        <v/>
      </c>
      <c r="R124">
        <f>"TC_CC"&amp;"_"&amp;RIGHT(J124,5)</f>
        <v/>
      </c>
    </row>
    <row r="125">
      <c r="A125" t="b">
        <v>0</v>
      </c>
      <c r="B125">
        <f>ROW()-1</f>
        <v/>
      </c>
      <c r="C125">
        <f>_xlfn.XLOOKUP($D125,Tab_Def_Processes[Process_Name],Tab_Def_Processes[Process_ID],,0,)</f>
        <v/>
      </c>
      <c r="D125" t="inlineStr">
        <is>
          <t>N.A.</t>
        </is>
      </c>
      <c r="E125" t="inlineStr">
        <is>
          <t>N.A.</t>
        </is>
      </c>
      <c r="F125">
        <f>_xlfn.XLOOKUP($D125,Tab_Def_Processes[Process_Name],Tab_Def_Processes[Process_Logic],,0,)</f>
        <v/>
      </c>
      <c r="G125">
        <f>_xlfn.XLOOKUP($D125,Tab_Def_Processes[Process_Name],Tab_Def_Processes[TC_Configuration],,0,)</f>
        <v/>
      </c>
      <c r="H125">
        <f>_xlfn.XLOOKUP($D125,Tab_Def_Processes[Process_Name],Tab_Def_Processes[Stock_Configuration],,0,)</f>
        <v/>
      </c>
      <c r="I125">
        <f>_xlfn.XLOOKUP($D125,Tab_Def_Processes[Process_Name],Tab_Def_Processes[Outflow_count],,0,)</f>
        <v/>
      </c>
      <c r="J125">
        <f>_xlfn.XLOOKUP($E125,Tab_Def_Flows[Flow_Name],Tab_Def_Flows[Flow_ID],,0,1)</f>
        <v/>
      </c>
      <c r="L125">
        <f>"TC_material"&amp;"_"&amp;RIGHT(J125,5)</f>
        <v/>
      </c>
      <c r="N125">
        <f>"TC_WC"&amp;"_"&amp;RIGHT(J125,5)</f>
        <v/>
      </c>
      <c r="P125">
        <f>"TC_DM"&amp;"_"&amp;RIGHT(J125,5)</f>
        <v/>
      </c>
      <c r="R125">
        <f>"TC_CC"&amp;"_"&amp;RIGHT(J125,5)</f>
        <v/>
      </c>
    </row>
    <row r="126">
      <c r="A126" t="b">
        <v>0</v>
      </c>
      <c r="B126">
        <f>ROW()-1</f>
        <v/>
      </c>
      <c r="C126">
        <f>_xlfn.XLOOKUP($D126,Tab_Def_Processes[Process_Name],Tab_Def_Processes[Process_ID],,0,)</f>
        <v/>
      </c>
      <c r="D126" t="inlineStr">
        <is>
          <t>N.A.</t>
        </is>
      </c>
      <c r="E126" t="inlineStr">
        <is>
          <t>N.A.</t>
        </is>
      </c>
      <c r="F126">
        <f>_xlfn.XLOOKUP($D126,Tab_Def_Processes[Process_Name],Tab_Def_Processes[Process_Logic],,0,)</f>
        <v/>
      </c>
      <c r="G126">
        <f>_xlfn.XLOOKUP($D126,Tab_Def_Processes[Process_Name],Tab_Def_Processes[TC_Configuration],,0,)</f>
        <v/>
      </c>
      <c r="H126">
        <f>_xlfn.XLOOKUP($D126,Tab_Def_Processes[Process_Name],Tab_Def_Processes[Stock_Configuration],,0,)</f>
        <v/>
      </c>
      <c r="I126">
        <f>_xlfn.XLOOKUP($D126,Tab_Def_Processes[Process_Name],Tab_Def_Processes[Outflow_count],,0,)</f>
        <v/>
      </c>
      <c r="J126">
        <f>_xlfn.XLOOKUP($E126,Tab_Def_Flows[Flow_Name],Tab_Def_Flows[Flow_ID],,0,1)</f>
        <v/>
      </c>
      <c r="L126">
        <f>"TC_material"&amp;"_"&amp;RIGHT(J126,5)</f>
        <v/>
      </c>
      <c r="N126">
        <f>"TC_WC"&amp;"_"&amp;RIGHT(J126,5)</f>
        <v/>
      </c>
      <c r="P126">
        <f>"TC_DM"&amp;"_"&amp;RIGHT(J126,5)</f>
        <v/>
      </c>
      <c r="R126">
        <f>"TC_CC"&amp;"_"&amp;RIGHT(J126,5)</f>
        <v/>
      </c>
    </row>
    <row r="127">
      <c r="A127" t="b">
        <v>0</v>
      </c>
      <c r="B127">
        <f>ROW()-1</f>
        <v/>
      </c>
      <c r="C127">
        <f>_xlfn.XLOOKUP($D127,Tab_Def_Processes[Process_Name],Tab_Def_Processes[Process_ID],,0,)</f>
        <v/>
      </c>
      <c r="D127" t="inlineStr">
        <is>
          <t>N.A.</t>
        </is>
      </c>
      <c r="E127" t="inlineStr">
        <is>
          <t>N.A.</t>
        </is>
      </c>
      <c r="F127">
        <f>_xlfn.XLOOKUP($D127,Tab_Def_Processes[Process_Name],Tab_Def_Processes[Process_Logic],,0,)</f>
        <v/>
      </c>
      <c r="G127">
        <f>_xlfn.XLOOKUP($D127,Tab_Def_Processes[Process_Name],Tab_Def_Processes[TC_Configuration],,0,)</f>
        <v/>
      </c>
      <c r="H127">
        <f>_xlfn.XLOOKUP($D127,Tab_Def_Processes[Process_Name],Tab_Def_Processes[Stock_Configuration],,0,)</f>
        <v/>
      </c>
      <c r="I127">
        <f>_xlfn.XLOOKUP($D127,Tab_Def_Processes[Process_Name],Tab_Def_Processes[Outflow_count],,0,)</f>
        <v/>
      </c>
      <c r="J127">
        <f>_xlfn.XLOOKUP($E127,Tab_Def_Flows[Flow_Name],Tab_Def_Flows[Flow_ID],,0,1)</f>
        <v/>
      </c>
      <c r="L127">
        <f>"TC_material"&amp;"_"&amp;RIGHT(J127,5)</f>
        <v/>
      </c>
      <c r="N127">
        <f>"TC_WC"&amp;"_"&amp;RIGHT(J127,5)</f>
        <v/>
      </c>
      <c r="P127">
        <f>"TC_DM"&amp;"_"&amp;RIGHT(J127,5)</f>
        <v/>
      </c>
      <c r="R127">
        <f>"TC_CC"&amp;"_"&amp;RIGHT(J127,5)</f>
        <v/>
      </c>
    </row>
    <row r="128">
      <c r="A128" t="b">
        <v>0</v>
      </c>
      <c r="B128">
        <f>ROW()-1</f>
        <v/>
      </c>
      <c r="C128">
        <f>_xlfn.XLOOKUP($D128,Tab_Def_Processes[Process_Name],Tab_Def_Processes[Process_ID],,0,)</f>
        <v/>
      </c>
      <c r="D128" t="inlineStr">
        <is>
          <t>N.A.</t>
        </is>
      </c>
      <c r="E128" t="inlineStr">
        <is>
          <t>N.A.</t>
        </is>
      </c>
      <c r="F128">
        <f>_xlfn.XLOOKUP($D128,Tab_Def_Processes[Process_Name],Tab_Def_Processes[Process_Logic],,0,)</f>
        <v/>
      </c>
      <c r="G128">
        <f>_xlfn.XLOOKUP($D128,Tab_Def_Processes[Process_Name],Tab_Def_Processes[TC_Configuration],,0,)</f>
        <v/>
      </c>
      <c r="H128">
        <f>_xlfn.XLOOKUP($D128,Tab_Def_Processes[Process_Name],Tab_Def_Processes[Stock_Configuration],,0,)</f>
        <v/>
      </c>
      <c r="I128">
        <f>_xlfn.XLOOKUP($D128,Tab_Def_Processes[Process_Name],Tab_Def_Processes[Outflow_count],,0,)</f>
        <v/>
      </c>
      <c r="J128">
        <f>_xlfn.XLOOKUP($E128,Tab_Def_Flows[Flow_Name],Tab_Def_Flows[Flow_ID],,0,1)</f>
        <v/>
      </c>
      <c r="L128">
        <f>"TC_material"&amp;"_"&amp;RIGHT(J128,5)</f>
        <v/>
      </c>
      <c r="N128">
        <f>"TC_WC"&amp;"_"&amp;RIGHT(J128,5)</f>
        <v/>
      </c>
      <c r="P128">
        <f>"TC_DM"&amp;"_"&amp;RIGHT(J128,5)</f>
        <v/>
      </c>
      <c r="R128">
        <f>"TC_CC"&amp;"_"&amp;RIGHT(J128,5)</f>
        <v/>
      </c>
    </row>
    <row r="129">
      <c r="A129" t="b">
        <v>0</v>
      </c>
      <c r="B129">
        <f>ROW()-1</f>
        <v/>
      </c>
      <c r="C129">
        <f>_xlfn.XLOOKUP($D129,Tab_Def_Processes[Process_Name],Tab_Def_Processes[Process_ID],,0,)</f>
        <v/>
      </c>
      <c r="D129" t="inlineStr">
        <is>
          <t>N.A.</t>
        </is>
      </c>
      <c r="E129" t="inlineStr">
        <is>
          <t>N.A.</t>
        </is>
      </c>
      <c r="F129">
        <f>_xlfn.XLOOKUP($D129,Tab_Def_Processes[Process_Name],Tab_Def_Processes[Process_Logic],,0,)</f>
        <v/>
      </c>
      <c r="G129">
        <f>_xlfn.XLOOKUP($D129,Tab_Def_Processes[Process_Name],Tab_Def_Processes[TC_Configuration],,0,)</f>
        <v/>
      </c>
      <c r="H129">
        <f>_xlfn.XLOOKUP($D129,Tab_Def_Processes[Process_Name],Tab_Def_Processes[Stock_Configuration],,0,)</f>
        <v/>
      </c>
      <c r="I129">
        <f>_xlfn.XLOOKUP($D129,Tab_Def_Processes[Process_Name],Tab_Def_Processes[Outflow_count],,0,)</f>
        <v/>
      </c>
      <c r="J129">
        <f>_xlfn.XLOOKUP($E129,Tab_Def_Flows[Flow_Name],Tab_Def_Flows[Flow_ID],,0,1)</f>
        <v/>
      </c>
      <c r="L129">
        <f>"TC_material"&amp;"_"&amp;RIGHT(J129,5)</f>
        <v/>
      </c>
      <c r="N129">
        <f>"TC_WC"&amp;"_"&amp;RIGHT(J129,5)</f>
        <v/>
      </c>
      <c r="P129">
        <f>"TC_DM"&amp;"_"&amp;RIGHT(J129,5)</f>
        <v/>
      </c>
      <c r="R129">
        <f>"TC_CC"&amp;"_"&amp;RIGHT(J129,5)</f>
        <v/>
      </c>
    </row>
    <row r="130">
      <c r="A130" t="b">
        <v>0</v>
      </c>
      <c r="B130">
        <f>ROW()-1</f>
        <v/>
      </c>
      <c r="C130">
        <f>_xlfn.XLOOKUP($D130,Tab_Def_Processes[Process_Name],Tab_Def_Processes[Process_ID],,0,)</f>
        <v/>
      </c>
      <c r="D130" t="inlineStr">
        <is>
          <t>N.A.</t>
        </is>
      </c>
      <c r="E130" t="inlineStr">
        <is>
          <t>N.A.</t>
        </is>
      </c>
      <c r="F130">
        <f>_xlfn.XLOOKUP($D130,Tab_Def_Processes[Process_Name],Tab_Def_Processes[Process_Logic],,0,)</f>
        <v/>
      </c>
      <c r="G130">
        <f>_xlfn.XLOOKUP($D130,Tab_Def_Processes[Process_Name],Tab_Def_Processes[TC_Configuration],,0,)</f>
        <v/>
      </c>
      <c r="H130">
        <f>_xlfn.XLOOKUP($D130,Tab_Def_Processes[Process_Name],Tab_Def_Processes[Stock_Configuration],,0,)</f>
        <v/>
      </c>
      <c r="I130">
        <f>_xlfn.XLOOKUP($D130,Tab_Def_Processes[Process_Name],Tab_Def_Processes[Outflow_count],,0,)</f>
        <v/>
      </c>
      <c r="J130">
        <f>_xlfn.XLOOKUP($E130,Tab_Def_Flows[Flow_Name],Tab_Def_Flows[Flow_ID],,0,1)</f>
        <v/>
      </c>
      <c r="L130">
        <f>"TC_material"&amp;"_"&amp;RIGHT(J130,5)</f>
        <v/>
      </c>
      <c r="N130">
        <f>"TC_WC"&amp;"_"&amp;RIGHT(J130,5)</f>
        <v/>
      </c>
      <c r="P130">
        <f>"TC_DM"&amp;"_"&amp;RIGHT(J130,5)</f>
        <v/>
      </c>
      <c r="R130">
        <f>"TC_CC"&amp;"_"&amp;RIGHT(J130,5)</f>
        <v/>
      </c>
    </row>
    <row r="131">
      <c r="A131" t="b">
        <v>0</v>
      </c>
      <c r="B131">
        <f>ROW()-1</f>
        <v/>
      </c>
      <c r="C131">
        <f>_xlfn.XLOOKUP($D131,Tab_Def_Processes[Process_Name],Tab_Def_Processes[Process_ID],,0,)</f>
        <v/>
      </c>
      <c r="D131" t="inlineStr">
        <is>
          <t>N.A.</t>
        </is>
      </c>
      <c r="E131" t="inlineStr">
        <is>
          <t>N.A.</t>
        </is>
      </c>
      <c r="F131">
        <f>_xlfn.XLOOKUP($D131,Tab_Def_Processes[Process_Name],Tab_Def_Processes[Process_Logic],,0,)</f>
        <v/>
      </c>
      <c r="G131">
        <f>_xlfn.XLOOKUP($D131,Tab_Def_Processes[Process_Name],Tab_Def_Processes[TC_Configuration],,0,)</f>
        <v/>
      </c>
      <c r="H131">
        <f>_xlfn.XLOOKUP($D131,Tab_Def_Processes[Process_Name],Tab_Def_Processes[Stock_Configuration],,0,)</f>
        <v/>
      </c>
      <c r="I131">
        <f>_xlfn.XLOOKUP($D131,Tab_Def_Processes[Process_Name],Tab_Def_Processes[Outflow_count],,0,)</f>
        <v/>
      </c>
      <c r="J131">
        <f>_xlfn.XLOOKUP($E131,Tab_Def_Flows[Flow_Name],Tab_Def_Flows[Flow_ID],,0,1)</f>
        <v/>
      </c>
      <c r="L131">
        <f>"TC_material"&amp;"_"&amp;RIGHT(J131,5)</f>
        <v/>
      </c>
      <c r="N131">
        <f>"TC_WC"&amp;"_"&amp;RIGHT(J131,5)</f>
        <v/>
      </c>
      <c r="P131">
        <f>"TC_DM"&amp;"_"&amp;RIGHT(J131,5)</f>
        <v/>
      </c>
      <c r="R131">
        <f>"TC_CC"&amp;"_"&amp;RIGHT(J131,5)</f>
        <v/>
      </c>
    </row>
    <row r="132">
      <c r="A132" t="b">
        <v>0</v>
      </c>
      <c r="B132">
        <f>ROW()-1</f>
        <v/>
      </c>
      <c r="C132">
        <f>_xlfn.XLOOKUP($D132,Tab_Def_Processes[Process_Name],Tab_Def_Processes[Process_ID],,0,)</f>
        <v/>
      </c>
      <c r="D132" t="inlineStr">
        <is>
          <t>N.A.</t>
        </is>
      </c>
      <c r="E132" t="inlineStr">
        <is>
          <t>N.A.</t>
        </is>
      </c>
      <c r="F132">
        <f>_xlfn.XLOOKUP($D132,Tab_Def_Processes[Process_Name],Tab_Def_Processes[Process_Logic],,0,)</f>
        <v/>
      </c>
      <c r="G132">
        <f>_xlfn.XLOOKUP($D132,Tab_Def_Processes[Process_Name],Tab_Def_Processes[TC_Configuration],,0,)</f>
        <v/>
      </c>
      <c r="H132">
        <f>_xlfn.XLOOKUP($D132,Tab_Def_Processes[Process_Name],Tab_Def_Processes[Stock_Configuration],,0,)</f>
        <v/>
      </c>
      <c r="I132">
        <f>_xlfn.XLOOKUP($D132,Tab_Def_Processes[Process_Name],Tab_Def_Processes[Outflow_count],,0,)</f>
        <v/>
      </c>
      <c r="J132">
        <f>_xlfn.XLOOKUP($E132,Tab_Def_Flows[Flow_Name],Tab_Def_Flows[Flow_ID],,0,1)</f>
        <v/>
      </c>
      <c r="L132">
        <f>"TC_material"&amp;"_"&amp;RIGHT(J132,5)</f>
        <v/>
      </c>
      <c r="N132">
        <f>"TC_WC"&amp;"_"&amp;RIGHT(J132,5)</f>
        <v/>
      </c>
      <c r="P132">
        <f>"TC_DM"&amp;"_"&amp;RIGHT(J132,5)</f>
        <v/>
      </c>
      <c r="R132">
        <f>"TC_CC"&amp;"_"&amp;RIGHT(J132,5)</f>
        <v/>
      </c>
    </row>
    <row r="133">
      <c r="A133" t="b">
        <v>0</v>
      </c>
      <c r="B133">
        <f>ROW()-1</f>
        <v/>
      </c>
      <c r="C133">
        <f>_xlfn.XLOOKUP($D133,Tab_Def_Processes[Process_Name],Tab_Def_Processes[Process_ID],,0,)</f>
        <v/>
      </c>
      <c r="D133" t="inlineStr">
        <is>
          <t>N.A.</t>
        </is>
      </c>
      <c r="E133" t="inlineStr">
        <is>
          <t>N.A.</t>
        </is>
      </c>
      <c r="F133">
        <f>_xlfn.XLOOKUP($D133,Tab_Def_Processes[Process_Name],Tab_Def_Processes[Process_Logic],,0,)</f>
        <v/>
      </c>
      <c r="G133">
        <f>_xlfn.XLOOKUP($D133,Tab_Def_Processes[Process_Name],Tab_Def_Processes[TC_Configuration],,0,)</f>
        <v/>
      </c>
      <c r="H133">
        <f>_xlfn.XLOOKUP($D133,Tab_Def_Processes[Process_Name],Tab_Def_Processes[Stock_Configuration],,0,)</f>
        <v/>
      </c>
      <c r="I133">
        <f>_xlfn.XLOOKUP($D133,Tab_Def_Processes[Process_Name],Tab_Def_Processes[Outflow_count],,0,)</f>
        <v/>
      </c>
      <c r="J133">
        <f>_xlfn.XLOOKUP($E133,Tab_Def_Flows[Flow_Name],Tab_Def_Flows[Flow_ID],,0,1)</f>
        <v/>
      </c>
      <c r="L133">
        <f>"TC_material"&amp;"_"&amp;RIGHT(J133,5)</f>
        <v/>
      </c>
      <c r="N133">
        <f>"TC_WC"&amp;"_"&amp;RIGHT(J133,5)</f>
        <v/>
      </c>
      <c r="P133">
        <f>"TC_DM"&amp;"_"&amp;RIGHT(J133,5)</f>
        <v/>
      </c>
      <c r="R133">
        <f>"TC_CC"&amp;"_"&amp;RIGHT(J133,5)</f>
        <v/>
      </c>
    </row>
    <row r="134">
      <c r="A134" t="b">
        <v>0</v>
      </c>
      <c r="B134">
        <f>ROW()-1</f>
        <v/>
      </c>
      <c r="C134">
        <f>_xlfn.XLOOKUP($D134,Tab_Def_Processes[Process_Name],Tab_Def_Processes[Process_ID],,0,)</f>
        <v/>
      </c>
      <c r="D134" t="inlineStr">
        <is>
          <t>N.A.</t>
        </is>
      </c>
      <c r="E134" t="inlineStr">
        <is>
          <t>N.A.</t>
        </is>
      </c>
      <c r="F134">
        <f>_xlfn.XLOOKUP($D134,Tab_Def_Processes[Process_Name],Tab_Def_Processes[Process_Logic],,0,)</f>
        <v/>
      </c>
      <c r="G134">
        <f>_xlfn.XLOOKUP($D134,Tab_Def_Processes[Process_Name],Tab_Def_Processes[TC_Configuration],,0,)</f>
        <v/>
      </c>
      <c r="H134">
        <f>_xlfn.XLOOKUP($D134,Tab_Def_Processes[Process_Name],Tab_Def_Processes[Stock_Configuration],,0,)</f>
        <v/>
      </c>
      <c r="I134">
        <f>_xlfn.XLOOKUP($D134,Tab_Def_Processes[Process_Name],Tab_Def_Processes[Outflow_count],,0,)</f>
        <v/>
      </c>
      <c r="J134">
        <f>_xlfn.XLOOKUP($E134,Tab_Def_Flows[Flow_Name],Tab_Def_Flows[Flow_ID],,0,1)</f>
        <v/>
      </c>
      <c r="L134">
        <f>"TC_material"&amp;"_"&amp;RIGHT(J134,5)</f>
        <v/>
      </c>
      <c r="N134">
        <f>"TC_WC"&amp;"_"&amp;RIGHT(J134,5)</f>
        <v/>
      </c>
      <c r="P134">
        <f>"TC_DM"&amp;"_"&amp;RIGHT(J134,5)</f>
        <v/>
      </c>
      <c r="R134">
        <f>"TC_CC"&amp;"_"&amp;RIGHT(J134,5)</f>
        <v/>
      </c>
    </row>
    <row r="135">
      <c r="A135" t="b">
        <v>0</v>
      </c>
      <c r="B135">
        <f>ROW()-1</f>
        <v/>
      </c>
      <c r="C135">
        <f>_xlfn.XLOOKUP($D135,Tab_Def_Processes[Process_Name],Tab_Def_Processes[Process_ID],,0,)</f>
        <v/>
      </c>
      <c r="D135" t="inlineStr">
        <is>
          <t>N.A.</t>
        </is>
      </c>
      <c r="E135" t="inlineStr">
        <is>
          <t>N.A.</t>
        </is>
      </c>
      <c r="F135">
        <f>_xlfn.XLOOKUP($D135,Tab_Def_Processes[Process_Name],Tab_Def_Processes[Process_Logic],,0,)</f>
        <v/>
      </c>
      <c r="G135">
        <f>_xlfn.XLOOKUP($D135,Tab_Def_Processes[Process_Name],Tab_Def_Processes[TC_Configuration],,0,)</f>
        <v/>
      </c>
      <c r="H135">
        <f>_xlfn.XLOOKUP($D135,Tab_Def_Processes[Process_Name],Tab_Def_Processes[Stock_Configuration],,0,)</f>
        <v/>
      </c>
      <c r="I135">
        <f>_xlfn.XLOOKUP($D135,Tab_Def_Processes[Process_Name],Tab_Def_Processes[Outflow_count],,0,)</f>
        <v/>
      </c>
      <c r="J135">
        <f>_xlfn.XLOOKUP($E135,Tab_Def_Flows[Flow_Name],Tab_Def_Flows[Flow_ID],,0,1)</f>
        <v/>
      </c>
      <c r="L135">
        <f>"TC_material"&amp;"_"&amp;RIGHT(J135,5)</f>
        <v/>
      </c>
      <c r="N135">
        <f>"TC_WC"&amp;"_"&amp;RIGHT(J135,5)</f>
        <v/>
      </c>
      <c r="P135">
        <f>"TC_DM"&amp;"_"&amp;RIGHT(J135,5)</f>
        <v/>
      </c>
      <c r="R135">
        <f>"TC_CC"&amp;"_"&amp;RIGHT(J135,5)</f>
        <v/>
      </c>
    </row>
    <row r="136">
      <c r="A136" t="b">
        <v>0</v>
      </c>
      <c r="B136">
        <f>ROW()-1</f>
        <v/>
      </c>
      <c r="C136">
        <f>_xlfn.XLOOKUP($D136,Tab_Def_Processes[Process_Name],Tab_Def_Processes[Process_ID],,0,)</f>
        <v/>
      </c>
      <c r="D136" t="inlineStr">
        <is>
          <t>N.A.</t>
        </is>
      </c>
      <c r="E136" t="inlineStr">
        <is>
          <t>N.A.</t>
        </is>
      </c>
      <c r="F136">
        <f>_xlfn.XLOOKUP($D136,Tab_Def_Processes[Process_Name],Tab_Def_Processes[Process_Logic],,0,)</f>
        <v/>
      </c>
      <c r="G136">
        <f>_xlfn.XLOOKUP($D136,Tab_Def_Processes[Process_Name],Tab_Def_Processes[TC_Configuration],,0,)</f>
        <v/>
      </c>
      <c r="H136">
        <f>_xlfn.XLOOKUP($D136,Tab_Def_Processes[Process_Name],Tab_Def_Processes[Stock_Configuration],,0,)</f>
        <v/>
      </c>
      <c r="I136">
        <f>_xlfn.XLOOKUP($D136,Tab_Def_Processes[Process_Name],Tab_Def_Processes[Outflow_count],,0,)</f>
        <v/>
      </c>
      <c r="J136">
        <f>_xlfn.XLOOKUP($E136,Tab_Def_Flows[Flow_Name],Tab_Def_Flows[Flow_ID],,0,1)</f>
        <v/>
      </c>
      <c r="L136">
        <f>"TC_material"&amp;"_"&amp;RIGHT(J136,5)</f>
        <v/>
      </c>
      <c r="N136">
        <f>"TC_WC"&amp;"_"&amp;RIGHT(J136,5)</f>
        <v/>
      </c>
      <c r="P136">
        <f>"TC_DM"&amp;"_"&amp;RIGHT(J136,5)</f>
        <v/>
      </c>
      <c r="R136">
        <f>"TC_CC"&amp;"_"&amp;RIGHT(J136,5)</f>
        <v/>
      </c>
    </row>
    <row r="137">
      <c r="A137" t="b">
        <v>0</v>
      </c>
      <c r="B137">
        <f>ROW()-1</f>
        <v/>
      </c>
      <c r="C137">
        <f>_xlfn.XLOOKUP($D137,Tab_Def_Processes[Process_Name],Tab_Def_Processes[Process_ID],,0,)</f>
        <v/>
      </c>
      <c r="D137" t="inlineStr">
        <is>
          <t>N.A.</t>
        </is>
      </c>
      <c r="E137" t="inlineStr">
        <is>
          <t>N.A.</t>
        </is>
      </c>
      <c r="F137">
        <f>_xlfn.XLOOKUP($D137,Tab_Def_Processes[Process_Name],Tab_Def_Processes[Process_Logic],,0,)</f>
        <v/>
      </c>
      <c r="G137">
        <f>_xlfn.XLOOKUP($D137,Tab_Def_Processes[Process_Name],Tab_Def_Processes[TC_Configuration],,0,)</f>
        <v/>
      </c>
      <c r="H137">
        <f>_xlfn.XLOOKUP($D137,Tab_Def_Processes[Process_Name],Tab_Def_Processes[Stock_Configuration],,0,)</f>
        <v/>
      </c>
      <c r="I137">
        <f>_xlfn.XLOOKUP($D137,Tab_Def_Processes[Process_Name],Tab_Def_Processes[Outflow_count],,0,)</f>
        <v/>
      </c>
      <c r="J137">
        <f>_xlfn.XLOOKUP($E137,Tab_Def_Flows[Flow_Name],Tab_Def_Flows[Flow_ID],,0,1)</f>
        <v/>
      </c>
      <c r="L137">
        <f>"TC_material"&amp;"_"&amp;RIGHT(J137,5)</f>
        <v/>
      </c>
      <c r="N137">
        <f>"TC_WC"&amp;"_"&amp;RIGHT(J137,5)</f>
        <v/>
      </c>
      <c r="P137">
        <f>"TC_DM"&amp;"_"&amp;RIGHT(J137,5)</f>
        <v/>
      </c>
      <c r="R137">
        <f>"TC_CC"&amp;"_"&amp;RIGHT(J137,5)</f>
        <v/>
      </c>
    </row>
    <row r="138">
      <c r="A138" t="b">
        <v>0</v>
      </c>
      <c r="B138">
        <f>ROW()-1</f>
        <v/>
      </c>
      <c r="C138">
        <f>_xlfn.XLOOKUP($D138,Tab_Def_Processes[Process_Name],Tab_Def_Processes[Process_ID],,0,)</f>
        <v/>
      </c>
      <c r="D138" t="inlineStr">
        <is>
          <t>N.A.</t>
        </is>
      </c>
      <c r="E138" t="inlineStr">
        <is>
          <t>N.A.</t>
        </is>
      </c>
      <c r="F138">
        <f>_xlfn.XLOOKUP($D138,Tab_Def_Processes[Process_Name],Tab_Def_Processes[Process_Logic],,0,)</f>
        <v/>
      </c>
      <c r="G138">
        <f>_xlfn.XLOOKUP($D138,Tab_Def_Processes[Process_Name],Tab_Def_Processes[TC_Configuration],,0,)</f>
        <v/>
      </c>
      <c r="H138">
        <f>_xlfn.XLOOKUP($D138,Tab_Def_Processes[Process_Name],Tab_Def_Processes[Stock_Configuration],,0,)</f>
        <v/>
      </c>
      <c r="I138">
        <f>_xlfn.XLOOKUP($D138,Tab_Def_Processes[Process_Name],Tab_Def_Processes[Outflow_count],,0,)</f>
        <v/>
      </c>
      <c r="J138">
        <f>_xlfn.XLOOKUP($E138,Tab_Def_Flows[Flow_Name],Tab_Def_Flows[Flow_ID],,0,1)</f>
        <v/>
      </c>
      <c r="L138">
        <f>"TC_material"&amp;"_"&amp;RIGHT(J138,5)</f>
        <v/>
      </c>
      <c r="N138">
        <f>"TC_WC"&amp;"_"&amp;RIGHT(J138,5)</f>
        <v/>
      </c>
      <c r="P138">
        <f>"TC_DM"&amp;"_"&amp;RIGHT(J138,5)</f>
        <v/>
      </c>
      <c r="R138">
        <f>"TC_CC"&amp;"_"&amp;RIGHT(J138,5)</f>
        <v/>
      </c>
    </row>
    <row r="139">
      <c r="A139" t="b">
        <v>0</v>
      </c>
      <c r="B139">
        <f>ROW()-1</f>
        <v/>
      </c>
      <c r="C139">
        <f>_xlfn.XLOOKUP($D139,Tab_Def_Processes[Process_Name],Tab_Def_Processes[Process_ID],,0,)</f>
        <v/>
      </c>
      <c r="D139" t="inlineStr">
        <is>
          <t>N.A.</t>
        </is>
      </c>
      <c r="E139" t="inlineStr">
        <is>
          <t>N.A.</t>
        </is>
      </c>
      <c r="F139">
        <f>_xlfn.XLOOKUP($D139,Tab_Def_Processes[Process_Name],Tab_Def_Processes[Process_Logic],,0,)</f>
        <v/>
      </c>
      <c r="G139">
        <f>_xlfn.XLOOKUP($D139,Tab_Def_Processes[Process_Name],Tab_Def_Processes[TC_Configuration],,0,)</f>
        <v/>
      </c>
      <c r="H139">
        <f>_xlfn.XLOOKUP($D139,Tab_Def_Processes[Process_Name],Tab_Def_Processes[Stock_Configuration],,0,)</f>
        <v/>
      </c>
      <c r="I139">
        <f>_xlfn.XLOOKUP($D139,Tab_Def_Processes[Process_Name],Tab_Def_Processes[Outflow_count],,0,)</f>
        <v/>
      </c>
      <c r="J139">
        <f>_xlfn.XLOOKUP($E139,Tab_Def_Flows[Flow_Name],Tab_Def_Flows[Flow_ID],,0,1)</f>
        <v/>
      </c>
      <c r="L139">
        <f>"TC_material"&amp;"_"&amp;RIGHT(J139,5)</f>
        <v/>
      </c>
      <c r="N139">
        <f>"TC_WC"&amp;"_"&amp;RIGHT(J139,5)</f>
        <v/>
      </c>
      <c r="P139">
        <f>"TC_DM"&amp;"_"&amp;RIGHT(J139,5)</f>
        <v/>
      </c>
      <c r="R139">
        <f>"TC_CC"&amp;"_"&amp;RIGHT(J139,5)</f>
        <v/>
      </c>
    </row>
    <row r="140">
      <c r="A140" t="b">
        <v>0</v>
      </c>
      <c r="B140">
        <f>ROW()-1</f>
        <v/>
      </c>
      <c r="C140">
        <f>_xlfn.XLOOKUP($D140,Tab_Def_Processes[Process_Name],Tab_Def_Processes[Process_ID],,0,)</f>
        <v/>
      </c>
      <c r="D140" t="inlineStr">
        <is>
          <t>N.A.</t>
        </is>
      </c>
      <c r="E140" t="inlineStr">
        <is>
          <t>N.A.</t>
        </is>
      </c>
      <c r="F140">
        <f>_xlfn.XLOOKUP($D140,Tab_Def_Processes[Process_Name],Tab_Def_Processes[Process_Logic],,0,)</f>
        <v/>
      </c>
      <c r="G140">
        <f>_xlfn.XLOOKUP($D140,Tab_Def_Processes[Process_Name],Tab_Def_Processes[TC_Configuration],,0,)</f>
        <v/>
      </c>
      <c r="H140">
        <f>_xlfn.XLOOKUP($D140,Tab_Def_Processes[Process_Name],Tab_Def_Processes[Stock_Configuration],,0,)</f>
        <v/>
      </c>
      <c r="I140">
        <f>_xlfn.XLOOKUP($D140,Tab_Def_Processes[Process_Name],Tab_Def_Processes[Outflow_count],,0,)</f>
        <v/>
      </c>
      <c r="J140">
        <f>_xlfn.XLOOKUP($E140,Tab_Def_Flows[Flow_Name],Tab_Def_Flows[Flow_ID],,0,1)</f>
        <v/>
      </c>
      <c r="L140">
        <f>"TC_material"&amp;"_"&amp;RIGHT(J140,5)</f>
        <v/>
      </c>
      <c r="N140">
        <f>"TC_WC"&amp;"_"&amp;RIGHT(J140,5)</f>
        <v/>
      </c>
      <c r="P140">
        <f>"TC_DM"&amp;"_"&amp;RIGHT(J140,5)</f>
        <v/>
      </c>
      <c r="R140">
        <f>"TC_CC"&amp;"_"&amp;RIGHT(J140,5)</f>
        <v/>
      </c>
    </row>
    <row r="141">
      <c r="A141" t="b">
        <v>0</v>
      </c>
      <c r="B141">
        <f>ROW()-1</f>
        <v/>
      </c>
      <c r="C141">
        <f>_xlfn.XLOOKUP($D141,Tab_Def_Processes[Process_Name],Tab_Def_Processes[Process_ID],,0,)</f>
        <v/>
      </c>
      <c r="D141" t="inlineStr">
        <is>
          <t>N.A.</t>
        </is>
      </c>
      <c r="E141" t="inlineStr">
        <is>
          <t>N.A.</t>
        </is>
      </c>
      <c r="F141">
        <f>_xlfn.XLOOKUP($D141,Tab_Def_Processes[Process_Name],Tab_Def_Processes[Process_Logic],,0,)</f>
        <v/>
      </c>
      <c r="G141">
        <f>_xlfn.XLOOKUP($D141,Tab_Def_Processes[Process_Name],Tab_Def_Processes[TC_Configuration],,0,)</f>
        <v/>
      </c>
      <c r="H141">
        <f>_xlfn.XLOOKUP($D141,Tab_Def_Processes[Process_Name],Tab_Def_Processes[Stock_Configuration],,0,)</f>
        <v/>
      </c>
      <c r="I141">
        <f>_xlfn.XLOOKUP($D141,Tab_Def_Processes[Process_Name],Tab_Def_Processes[Outflow_count],,0,)</f>
        <v/>
      </c>
      <c r="J141">
        <f>_xlfn.XLOOKUP($E141,Tab_Def_Flows[Flow_Name],Tab_Def_Flows[Flow_ID],,0,1)</f>
        <v/>
      </c>
      <c r="L141">
        <f>"TC_material"&amp;"_"&amp;RIGHT(J141,5)</f>
        <v/>
      </c>
      <c r="N141">
        <f>"TC_WC"&amp;"_"&amp;RIGHT(J141,5)</f>
        <v/>
      </c>
      <c r="P141">
        <f>"TC_DM"&amp;"_"&amp;RIGHT(J141,5)</f>
        <v/>
      </c>
      <c r="R141">
        <f>"TC_CC"&amp;"_"&amp;RIGHT(J141,5)</f>
        <v/>
      </c>
    </row>
    <row r="142">
      <c r="A142" t="b">
        <v>0</v>
      </c>
      <c r="B142">
        <f>ROW()-1</f>
        <v/>
      </c>
      <c r="C142">
        <f>_xlfn.XLOOKUP($D142,Tab_Def_Processes[Process_Name],Tab_Def_Processes[Process_ID],,0,)</f>
        <v/>
      </c>
      <c r="D142" t="inlineStr">
        <is>
          <t>N.A.</t>
        </is>
      </c>
      <c r="E142" t="inlineStr">
        <is>
          <t>N.A.</t>
        </is>
      </c>
      <c r="F142">
        <f>_xlfn.XLOOKUP($D142,Tab_Def_Processes[Process_Name],Tab_Def_Processes[Process_Logic],,0,)</f>
        <v/>
      </c>
      <c r="G142">
        <f>_xlfn.XLOOKUP($D142,Tab_Def_Processes[Process_Name],Tab_Def_Processes[TC_Configuration],,0,)</f>
        <v/>
      </c>
      <c r="H142">
        <f>_xlfn.XLOOKUP($D142,Tab_Def_Processes[Process_Name],Tab_Def_Processes[Stock_Configuration],,0,)</f>
        <v/>
      </c>
      <c r="I142">
        <f>_xlfn.XLOOKUP($D142,Tab_Def_Processes[Process_Name],Tab_Def_Processes[Outflow_count],,0,)</f>
        <v/>
      </c>
      <c r="J142">
        <f>_xlfn.XLOOKUP($E142,Tab_Def_Flows[Flow_Name],Tab_Def_Flows[Flow_ID],,0,1)</f>
        <v/>
      </c>
      <c r="L142">
        <f>"TC_material"&amp;"_"&amp;RIGHT(J142,5)</f>
        <v/>
      </c>
      <c r="N142">
        <f>"TC_WC"&amp;"_"&amp;RIGHT(J142,5)</f>
        <v/>
      </c>
      <c r="P142">
        <f>"TC_DM"&amp;"_"&amp;RIGHT(J142,5)</f>
        <v/>
      </c>
      <c r="R142">
        <f>"TC_CC"&amp;"_"&amp;RIGHT(J142,5)</f>
        <v/>
      </c>
    </row>
    <row r="143">
      <c r="A143" t="b">
        <v>0</v>
      </c>
      <c r="B143">
        <f>ROW()-1</f>
        <v/>
      </c>
      <c r="C143">
        <f>_xlfn.XLOOKUP($D143,Tab_Def_Processes[Process_Name],Tab_Def_Processes[Process_ID],,0,)</f>
        <v/>
      </c>
      <c r="D143" t="inlineStr">
        <is>
          <t>N.A.</t>
        </is>
      </c>
      <c r="E143" t="inlineStr">
        <is>
          <t>N.A.</t>
        </is>
      </c>
      <c r="F143">
        <f>_xlfn.XLOOKUP($D143,Tab_Def_Processes[Process_Name],Tab_Def_Processes[Process_Logic],,0,)</f>
        <v/>
      </c>
      <c r="G143">
        <f>_xlfn.XLOOKUP($D143,Tab_Def_Processes[Process_Name],Tab_Def_Processes[TC_Configuration],,0,)</f>
        <v/>
      </c>
      <c r="H143">
        <f>_xlfn.XLOOKUP($D143,Tab_Def_Processes[Process_Name],Tab_Def_Processes[Stock_Configuration],,0,)</f>
        <v/>
      </c>
      <c r="I143">
        <f>_xlfn.XLOOKUP($D143,Tab_Def_Processes[Process_Name],Tab_Def_Processes[Outflow_count],,0,)</f>
        <v/>
      </c>
      <c r="J143">
        <f>_xlfn.XLOOKUP($E143,Tab_Def_Flows[Flow_Name],Tab_Def_Flows[Flow_ID],,0,1)</f>
        <v/>
      </c>
      <c r="L143">
        <f>"TC_material"&amp;"_"&amp;RIGHT(J143,5)</f>
        <v/>
      </c>
      <c r="N143">
        <f>"TC_WC"&amp;"_"&amp;RIGHT(J143,5)</f>
        <v/>
      </c>
      <c r="P143">
        <f>"TC_DM"&amp;"_"&amp;RIGHT(J143,5)</f>
        <v/>
      </c>
      <c r="R143">
        <f>"TC_CC"&amp;"_"&amp;RIGHT(J143,5)</f>
        <v/>
      </c>
    </row>
    <row r="144">
      <c r="A144" t="b">
        <v>0</v>
      </c>
      <c r="B144">
        <f>ROW()-1</f>
        <v/>
      </c>
      <c r="C144">
        <f>_xlfn.XLOOKUP($D144,Tab_Def_Processes[Process_Name],Tab_Def_Processes[Process_ID],,0,)</f>
        <v/>
      </c>
      <c r="D144" t="inlineStr">
        <is>
          <t>N.A.</t>
        </is>
      </c>
      <c r="E144" t="inlineStr">
        <is>
          <t>N.A.</t>
        </is>
      </c>
      <c r="F144">
        <f>_xlfn.XLOOKUP($D144,Tab_Def_Processes[Process_Name],Tab_Def_Processes[Process_Logic],,0,)</f>
        <v/>
      </c>
      <c r="G144">
        <f>_xlfn.XLOOKUP($D144,Tab_Def_Processes[Process_Name],Tab_Def_Processes[TC_Configuration],,0,)</f>
        <v/>
      </c>
      <c r="H144">
        <f>_xlfn.XLOOKUP($D144,Tab_Def_Processes[Process_Name],Tab_Def_Processes[Stock_Configuration],,0,)</f>
        <v/>
      </c>
      <c r="I144">
        <f>_xlfn.XLOOKUP($D144,Tab_Def_Processes[Process_Name],Tab_Def_Processes[Outflow_count],,0,)</f>
        <v/>
      </c>
      <c r="J144">
        <f>_xlfn.XLOOKUP($E144,Tab_Def_Flows[Flow_Name],Tab_Def_Flows[Flow_ID],,0,1)</f>
        <v/>
      </c>
      <c r="L144">
        <f>"TC_material"&amp;"_"&amp;RIGHT(J144,5)</f>
        <v/>
      </c>
      <c r="N144">
        <f>"TC_WC"&amp;"_"&amp;RIGHT(J144,5)</f>
        <v/>
      </c>
      <c r="P144">
        <f>"TC_DM"&amp;"_"&amp;RIGHT(J144,5)</f>
        <v/>
      </c>
      <c r="R144">
        <f>"TC_CC"&amp;"_"&amp;RIGHT(J144,5)</f>
        <v/>
      </c>
    </row>
    <row r="145">
      <c r="A145" t="b">
        <v>0</v>
      </c>
      <c r="B145">
        <f>ROW()-1</f>
        <v/>
      </c>
      <c r="C145">
        <f>_xlfn.XLOOKUP($D145,Tab_Def_Processes[Process_Name],Tab_Def_Processes[Process_ID],,0,)</f>
        <v/>
      </c>
      <c r="D145" t="inlineStr">
        <is>
          <t>N.A.</t>
        </is>
      </c>
      <c r="E145" t="inlineStr">
        <is>
          <t>N.A.</t>
        </is>
      </c>
      <c r="F145">
        <f>_xlfn.XLOOKUP($D145,Tab_Def_Processes[Process_Name],Tab_Def_Processes[Process_Logic],,0,)</f>
        <v/>
      </c>
      <c r="G145">
        <f>_xlfn.XLOOKUP($D145,Tab_Def_Processes[Process_Name],Tab_Def_Processes[TC_Configuration],,0,)</f>
        <v/>
      </c>
      <c r="H145">
        <f>_xlfn.XLOOKUP($D145,Tab_Def_Processes[Process_Name],Tab_Def_Processes[Stock_Configuration],,0,)</f>
        <v/>
      </c>
      <c r="I145">
        <f>_xlfn.XLOOKUP($D145,Tab_Def_Processes[Process_Name],Tab_Def_Processes[Outflow_count],,0,)</f>
        <v/>
      </c>
      <c r="J145">
        <f>_xlfn.XLOOKUP($E145,Tab_Def_Flows[Flow_Name],Tab_Def_Flows[Flow_ID],,0,1)</f>
        <v/>
      </c>
      <c r="L145">
        <f>"TC_material"&amp;"_"&amp;RIGHT(J145,5)</f>
        <v/>
      </c>
      <c r="N145">
        <f>"TC_WC"&amp;"_"&amp;RIGHT(J145,5)</f>
        <v/>
      </c>
      <c r="P145">
        <f>"TC_DM"&amp;"_"&amp;RIGHT(J145,5)</f>
        <v/>
      </c>
      <c r="R145">
        <f>"TC_CC"&amp;"_"&amp;RIGHT(J145,5)</f>
        <v/>
      </c>
    </row>
    <row r="146">
      <c r="A146" t="b">
        <v>0</v>
      </c>
      <c r="B146">
        <f>ROW()-1</f>
        <v/>
      </c>
      <c r="C146">
        <f>_xlfn.XLOOKUP($D146,Tab_Def_Processes[Process_Name],Tab_Def_Processes[Process_ID],,0,)</f>
        <v/>
      </c>
      <c r="D146" t="inlineStr">
        <is>
          <t>N.A.</t>
        </is>
      </c>
      <c r="E146" t="inlineStr">
        <is>
          <t>N.A.</t>
        </is>
      </c>
      <c r="F146">
        <f>_xlfn.XLOOKUP($D146,Tab_Def_Processes[Process_Name],Tab_Def_Processes[Process_Logic],,0,)</f>
        <v/>
      </c>
      <c r="G146">
        <f>_xlfn.XLOOKUP($D146,Tab_Def_Processes[Process_Name],Tab_Def_Processes[TC_Configuration],,0,)</f>
        <v/>
      </c>
      <c r="H146">
        <f>_xlfn.XLOOKUP($D146,Tab_Def_Processes[Process_Name],Tab_Def_Processes[Stock_Configuration],,0,)</f>
        <v/>
      </c>
      <c r="I146">
        <f>_xlfn.XLOOKUP($D146,Tab_Def_Processes[Process_Name],Tab_Def_Processes[Outflow_count],,0,)</f>
        <v/>
      </c>
      <c r="J146">
        <f>_xlfn.XLOOKUP($E146,Tab_Def_Flows[Flow_Name],Tab_Def_Flows[Flow_ID],,0,1)</f>
        <v/>
      </c>
      <c r="L146">
        <f>"TC_material"&amp;"_"&amp;RIGHT(J146,5)</f>
        <v/>
      </c>
      <c r="N146">
        <f>"TC_WC"&amp;"_"&amp;RIGHT(J146,5)</f>
        <v/>
      </c>
      <c r="P146">
        <f>"TC_DM"&amp;"_"&amp;RIGHT(J146,5)</f>
        <v/>
      </c>
      <c r="R146">
        <f>"TC_CC"&amp;"_"&amp;RIGHT(J146,5)</f>
        <v/>
      </c>
    </row>
    <row r="147">
      <c r="A147" t="b">
        <v>0</v>
      </c>
      <c r="B147">
        <f>ROW()-1</f>
        <v/>
      </c>
      <c r="C147">
        <f>_xlfn.XLOOKUP($D147,Tab_Def_Processes[Process_Name],Tab_Def_Processes[Process_ID],,0,)</f>
        <v/>
      </c>
      <c r="D147" t="inlineStr">
        <is>
          <t>N.A.</t>
        </is>
      </c>
      <c r="E147" t="inlineStr">
        <is>
          <t>N.A.</t>
        </is>
      </c>
      <c r="F147">
        <f>_xlfn.XLOOKUP($D147,Tab_Def_Processes[Process_Name],Tab_Def_Processes[Process_Logic],,0,)</f>
        <v/>
      </c>
      <c r="G147">
        <f>_xlfn.XLOOKUP($D147,Tab_Def_Processes[Process_Name],Tab_Def_Processes[TC_Configuration],,0,)</f>
        <v/>
      </c>
      <c r="H147">
        <f>_xlfn.XLOOKUP($D147,Tab_Def_Processes[Process_Name],Tab_Def_Processes[Stock_Configuration],,0,)</f>
        <v/>
      </c>
      <c r="I147">
        <f>_xlfn.XLOOKUP($D147,Tab_Def_Processes[Process_Name],Tab_Def_Processes[Outflow_count],,0,)</f>
        <v/>
      </c>
      <c r="J147">
        <f>_xlfn.XLOOKUP($E147,Tab_Def_Flows[Flow_Name],Tab_Def_Flows[Flow_ID],,0,1)</f>
        <v/>
      </c>
      <c r="L147">
        <f>"TC_material"&amp;"_"&amp;RIGHT(J147,5)</f>
        <v/>
      </c>
      <c r="N147">
        <f>"TC_WC"&amp;"_"&amp;RIGHT(J147,5)</f>
        <v/>
      </c>
      <c r="P147">
        <f>"TC_DM"&amp;"_"&amp;RIGHT(J147,5)</f>
        <v/>
      </c>
      <c r="R147">
        <f>"TC_CC"&amp;"_"&amp;RIGHT(J147,5)</f>
        <v/>
      </c>
    </row>
    <row r="148">
      <c r="A148" t="b">
        <v>0</v>
      </c>
      <c r="B148">
        <f>ROW()-1</f>
        <v/>
      </c>
      <c r="C148">
        <f>_xlfn.XLOOKUP($D148,Tab_Def_Processes[Process_Name],Tab_Def_Processes[Process_ID],,0,)</f>
        <v/>
      </c>
      <c r="D148" t="inlineStr">
        <is>
          <t>N.A.</t>
        </is>
      </c>
      <c r="E148" t="inlineStr">
        <is>
          <t>N.A.</t>
        </is>
      </c>
      <c r="F148">
        <f>_xlfn.XLOOKUP($D148,Tab_Def_Processes[Process_Name],Tab_Def_Processes[Process_Logic],,0,)</f>
        <v/>
      </c>
      <c r="G148">
        <f>_xlfn.XLOOKUP($D148,Tab_Def_Processes[Process_Name],Tab_Def_Processes[TC_Configuration],,0,)</f>
        <v/>
      </c>
      <c r="H148">
        <f>_xlfn.XLOOKUP($D148,Tab_Def_Processes[Process_Name],Tab_Def_Processes[Stock_Configuration],,0,)</f>
        <v/>
      </c>
      <c r="I148">
        <f>_xlfn.XLOOKUP($D148,Tab_Def_Processes[Process_Name],Tab_Def_Processes[Outflow_count],,0,)</f>
        <v/>
      </c>
      <c r="J148">
        <f>_xlfn.XLOOKUP($E148,Tab_Def_Flows[Flow_Name],Tab_Def_Flows[Flow_ID],,0,1)</f>
        <v/>
      </c>
      <c r="L148">
        <f>"TC_material"&amp;"_"&amp;RIGHT(J148,5)</f>
        <v/>
      </c>
      <c r="N148">
        <f>"TC_WC"&amp;"_"&amp;RIGHT(J148,5)</f>
        <v/>
      </c>
      <c r="P148">
        <f>"TC_DM"&amp;"_"&amp;RIGHT(J148,5)</f>
        <v/>
      </c>
      <c r="R148">
        <f>"TC_CC"&amp;"_"&amp;RIGHT(J148,5)</f>
        <v/>
      </c>
    </row>
    <row r="149">
      <c r="A149" t="b">
        <v>0</v>
      </c>
      <c r="B149">
        <f>ROW()-1</f>
        <v/>
      </c>
      <c r="C149">
        <f>_xlfn.XLOOKUP($D149,Tab_Def_Processes[Process_Name],Tab_Def_Processes[Process_ID],,0,)</f>
        <v/>
      </c>
      <c r="D149" t="inlineStr">
        <is>
          <t>N.A.</t>
        </is>
      </c>
      <c r="E149" t="inlineStr">
        <is>
          <t>N.A.</t>
        </is>
      </c>
      <c r="F149">
        <f>_xlfn.XLOOKUP($D149,Tab_Def_Processes[Process_Name],Tab_Def_Processes[Process_Logic],,0,)</f>
        <v/>
      </c>
      <c r="G149">
        <f>_xlfn.XLOOKUP($D149,Tab_Def_Processes[Process_Name],Tab_Def_Processes[TC_Configuration],,0,)</f>
        <v/>
      </c>
      <c r="H149">
        <f>_xlfn.XLOOKUP($D149,Tab_Def_Processes[Process_Name],Tab_Def_Processes[Stock_Configuration],,0,)</f>
        <v/>
      </c>
      <c r="I149">
        <f>_xlfn.XLOOKUP($D149,Tab_Def_Processes[Process_Name],Tab_Def_Processes[Outflow_count],,0,)</f>
        <v/>
      </c>
      <c r="J149">
        <f>_xlfn.XLOOKUP($E149,Tab_Def_Flows[Flow_Name],Tab_Def_Flows[Flow_ID],,0,1)</f>
        <v/>
      </c>
      <c r="L149">
        <f>"TC_material"&amp;"_"&amp;RIGHT(J149,5)</f>
        <v/>
      </c>
      <c r="N149">
        <f>"TC_WC"&amp;"_"&amp;RIGHT(J149,5)</f>
        <v/>
      </c>
      <c r="P149">
        <f>"TC_DM"&amp;"_"&amp;RIGHT(J149,5)</f>
        <v/>
      </c>
      <c r="R149">
        <f>"TC_CC"&amp;"_"&amp;RIGHT(J149,5)</f>
        <v/>
      </c>
    </row>
    <row r="150">
      <c r="A150" t="b">
        <v>0</v>
      </c>
      <c r="B150">
        <f>ROW()-1</f>
        <v/>
      </c>
      <c r="C150">
        <f>_xlfn.XLOOKUP($D150,Tab_Def_Processes[Process_Name],Tab_Def_Processes[Process_ID],,0,)</f>
        <v/>
      </c>
      <c r="D150" t="inlineStr">
        <is>
          <t>N.A.</t>
        </is>
      </c>
      <c r="E150" t="inlineStr">
        <is>
          <t>N.A.</t>
        </is>
      </c>
      <c r="F150">
        <f>_xlfn.XLOOKUP($D150,Tab_Def_Processes[Process_Name],Tab_Def_Processes[Process_Logic],,0,)</f>
        <v/>
      </c>
      <c r="G150">
        <f>_xlfn.XLOOKUP($D150,Tab_Def_Processes[Process_Name],Tab_Def_Processes[TC_Configuration],,0,)</f>
        <v/>
      </c>
      <c r="H150">
        <f>_xlfn.XLOOKUP($D150,Tab_Def_Processes[Process_Name],Tab_Def_Processes[Stock_Configuration],,0,)</f>
        <v/>
      </c>
      <c r="I150">
        <f>_xlfn.XLOOKUP($D150,Tab_Def_Processes[Process_Name],Tab_Def_Processes[Outflow_count],,0,)</f>
        <v/>
      </c>
      <c r="J150">
        <f>_xlfn.XLOOKUP($E150,Tab_Def_Flows[Flow_Name],Tab_Def_Flows[Flow_ID],,0,1)</f>
        <v/>
      </c>
      <c r="L150">
        <f>"TC_material"&amp;"_"&amp;RIGHT(J150,5)</f>
        <v/>
      </c>
      <c r="N150">
        <f>"TC_WC"&amp;"_"&amp;RIGHT(J150,5)</f>
        <v/>
      </c>
      <c r="P150">
        <f>"TC_DM"&amp;"_"&amp;RIGHT(J150,5)</f>
        <v/>
      </c>
      <c r="R150">
        <f>"TC_CC"&amp;"_"&amp;RIGHT(J150,5)</f>
        <v/>
      </c>
    </row>
    <row r="151">
      <c r="A151" t="b">
        <v>0</v>
      </c>
      <c r="B151">
        <f>ROW()-1</f>
        <v/>
      </c>
      <c r="C151">
        <f>_xlfn.XLOOKUP($D151,Tab_Def_Processes[Process_Name],Tab_Def_Processes[Process_ID],,0,)</f>
        <v/>
      </c>
      <c r="D151" t="inlineStr">
        <is>
          <t>N.A.</t>
        </is>
      </c>
      <c r="E151" t="inlineStr">
        <is>
          <t>N.A.</t>
        </is>
      </c>
      <c r="F151">
        <f>_xlfn.XLOOKUP($D151,Tab_Def_Processes[Process_Name],Tab_Def_Processes[Process_Logic],,0,)</f>
        <v/>
      </c>
      <c r="G151">
        <f>_xlfn.XLOOKUP($D151,Tab_Def_Processes[Process_Name],Tab_Def_Processes[TC_Configuration],,0,)</f>
        <v/>
      </c>
      <c r="H151">
        <f>_xlfn.XLOOKUP($D151,Tab_Def_Processes[Process_Name],Tab_Def_Processes[Stock_Configuration],,0,)</f>
        <v/>
      </c>
      <c r="I151">
        <f>_xlfn.XLOOKUP($D151,Tab_Def_Processes[Process_Name],Tab_Def_Processes[Outflow_count],,0,)</f>
        <v/>
      </c>
      <c r="J151">
        <f>_xlfn.XLOOKUP($E151,Tab_Def_Flows[Flow_Name],Tab_Def_Flows[Flow_ID],,0,1)</f>
        <v/>
      </c>
      <c r="L151">
        <f>"TC_material"&amp;"_"&amp;RIGHT(J151,5)</f>
        <v/>
      </c>
      <c r="N151">
        <f>"TC_WC"&amp;"_"&amp;RIGHT(J151,5)</f>
        <v/>
      </c>
      <c r="P151">
        <f>"TC_DM"&amp;"_"&amp;RIGHT(J151,5)</f>
        <v/>
      </c>
      <c r="R151">
        <f>"TC_CC"&amp;"_"&amp;RIGHT(J151,5)</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sheetData>
    <row r="1">
      <c r="A1" t="inlineStr">
        <is>
          <t>Complete?</t>
        </is>
      </c>
      <c r="B1" t="inlineStr">
        <is>
          <t>ID</t>
        </is>
      </c>
      <c r="C1" t="inlineStr">
        <is>
          <t>Stock_ID</t>
        </is>
      </c>
      <c r="D1" t="inlineStr">
        <is>
          <t>Process_ID</t>
        </is>
      </c>
      <c r="E1" t="inlineStr">
        <is>
          <t>Process_Name</t>
        </is>
      </c>
      <c r="F1" t="inlineStr">
        <is>
          <t>Process_Logic</t>
        </is>
      </c>
      <c r="G1" t="inlineStr">
        <is>
          <t>TC_Configuration</t>
        </is>
      </c>
      <c r="H1" t="inlineStr">
        <is>
          <t>Stock_Configuration</t>
        </is>
      </c>
      <c r="I1" t="inlineStr">
        <is>
          <t>Outflow_count</t>
        </is>
      </c>
      <c r="J1" t="inlineStr">
        <is>
          <t>IS_Parameter_ID</t>
        </is>
      </c>
      <c r="K1" t="inlineStr">
        <is>
          <t>IS_Parameter_type</t>
        </is>
      </c>
      <c r="L1" t="inlineStr">
        <is>
          <t>IS_Parameter_Value</t>
        </is>
      </c>
    </row>
    <row r="2">
      <c r="A2" t="b">
        <v>0</v>
      </c>
      <c r="B2">
        <f>ROW()-1</f>
        <v/>
      </c>
      <c r="C2">
        <f>"S"&amp;"_"&amp;LEFT(D2,2)</f>
        <v/>
      </c>
      <c r="D2">
        <f>_xlfn.XLOOKUP($E2,Tab_Def_Processes[Process_Name],Tab_Def_Processes[Process_ID],,0,)</f>
        <v/>
      </c>
      <c r="E2" t="inlineStr">
        <is>
          <t>N.A.</t>
        </is>
      </c>
      <c r="F2">
        <f>_xlfn.XLOOKUP($E2,Tab_Def_Processes[Process_Name],Tab_Def_Processes[Process_Logic],,0,)</f>
        <v/>
      </c>
      <c r="G2">
        <f>_xlfn.XLOOKUP($E2,Tab_Def_Processes[Process_Name],Tab_Def_Processes[TC_Configuration],,0,)</f>
        <v/>
      </c>
      <c r="H2">
        <f>_xlfn.XLOOKUP($E2,Tab_Def_Processes[Process_Name],Tab_Def_Processes[Stock_Configuration],,0,)</f>
        <v/>
      </c>
      <c r="I2">
        <f>_xlfn.XLOOKUP($E2,Tab_Def_Processes[Process_Name],Tab_Def_Processes[Outflow_count],,0,)</f>
        <v/>
      </c>
      <c r="J2">
        <f>Tab_Process_Stock[[#This Row],[Stock_ID]]&amp;"_"&amp;Tab_Process_Stock[[#This Row],[IS_Parameter_type]]</f>
        <v/>
      </c>
    </row>
    <row r="3">
      <c r="A3" t="b">
        <v>0</v>
      </c>
      <c r="B3">
        <f>ROW()-1</f>
        <v/>
      </c>
      <c r="C3">
        <f>"S"&amp;"_"&amp;LEFT(D3,2)</f>
        <v/>
      </c>
      <c r="D3">
        <f>_xlfn.XLOOKUP($E3,Tab_Def_Processes[Process_Name],Tab_Def_Processes[Process_ID],,0,)</f>
        <v/>
      </c>
      <c r="E3" t="inlineStr">
        <is>
          <t>N.A.</t>
        </is>
      </c>
      <c r="F3">
        <f>_xlfn.XLOOKUP($E3,Tab_Def_Processes[Process_Name],Tab_Def_Processes[Process_Logic],,0,)</f>
        <v/>
      </c>
      <c r="G3">
        <f>_xlfn.XLOOKUP($E3,Tab_Def_Processes[Process_Name],Tab_Def_Processes[TC_Configuration],,0,)</f>
        <v/>
      </c>
      <c r="H3">
        <f>_xlfn.XLOOKUP($E3,Tab_Def_Processes[Process_Name],Tab_Def_Processes[Stock_Configuration],,0,)</f>
        <v/>
      </c>
      <c r="I3">
        <f>_xlfn.XLOOKUP($E3,Tab_Def_Processes[Process_Name],Tab_Def_Processes[Outflow_count],,0,)</f>
        <v/>
      </c>
      <c r="J3">
        <f>Tab_Process_Stock[[#This Row],[Stock_ID]]&amp;"_"&amp;Tab_Process_Stock[[#This Row],[IS_Parameter_type]]</f>
        <v/>
      </c>
    </row>
    <row r="4">
      <c r="A4" t="b">
        <v>0</v>
      </c>
      <c r="B4">
        <f>ROW()-1</f>
        <v/>
      </c>
      <c r="C4">
        <f>"S"&amp;"_"&amp;LEFT(D4,2)</f>
        <v/>
      </c>
      <c r="D4">
        <f>_xlfn.XLOOKUP($E4,Tab_Def_Processes[Process_Name],Tab_Def_Processes[Process_ID],,0,)</f>
        <v/>
      </c>
      <c r="E4" t="inlineStr">
        <is>
          <t>N.A.</t>
        </is>
      </c>
      <c r="F4">
        <f>_xlfn.XLOOKUP($E4,Tab_Def_Processes[Process_Name],Tab_Def_Processes[Process_Logic],,0,)</f>
        <v/>
      </c>
      <c r="G4">
        <f>_xlfn.XLOOKUP($E4,Tab_Def_Processes[Process_Name],Tab_Def_Processes[TC_Configuration],,0,)</f>
        <v/>
      </c>
      <c r="H4">
        <f>_xlfn.XLOOKUP($E4,Tab_Def_Processes[Process_Name],Tab_Def_Processes[Stock_Configuration],,0,)</f>
        <v/>
      </c>
      <c r="I4">
        <f>_xlfn.XLOOKUP($E4,Tab_Def_Processes[Process_Name],Tab_Def_Processes[Outflow_count],,0,)</f>
        <v/>
      </c>
      <c r="J4">
        <f>Tab_Process_Stock[[#This Row],[Stock_ID]]&amp;"_"&amp;Tab_Process_Stock[[#This Row],[IS_Parameter_type]]</f>
        <v/>
      </c>
    </row>
    <row r="5">
      <c r="A5" t="b">
        <v>0</v>
      </c>
      <c r="B5">
        <f>ROW()-1</f>
        <v/>
      </c>
      <c r="C5">
        <f>"S"&amp;"_"&amp;LEFT(D5,2)</f>
        <v/>
      </c>
      <c r="D5">
        <f>_xlfn.XLOOKUP($E5,Tab_Def_Processes[Process_Name],Tab_Def_Processes[Process_ID],,0,)</f>
        <v/>
      </c>
      <c r="E5" t="inlineStr">
        <is>
          <t>N.A.</t>
        </is>
      </c>
      <c r="F5">
        <f>_xlfn.XLOOKUP($E5,Tab_Def_Processes[Process_Name],Tab_Def_Processes[Process_Logic],,0,)</f>
        <v/>
      </c>
      <c r="G5">
        <f>_xlfn.XLOOKUP($E5,Tab_Def_Processes[Process_Name],Tab_Def_Processes[TC_Configuration],,0,)</f>
        <v/>
      </c>
      <c r="H5">
        <f>_xlfn.XLOOKUP($E5,Tab_Def_Processes[Process_Name],Tab_Def_Processes[Stock_Configuration],,0,)</f>
        <v/>
      </c>
      <c r="I5">
        <f>_xlfn.XLOOKUP($E5,Tab_Def_Processes[Process_Name],Tab_Def_Processes[Outflow_count],,0,)</f>
        <v/>
      </c>
      <c r="J5">
        <f>Tab_Process_Stock[[#This Row],[Stock_ID]]&amp;"_"&amp;Tab_Process_Stock[[#This Row],[IS_Parameter_type]]</f>
        <v/>
      </c>
    </row>
    <row r="6">
      <c r="A6" t="b">
        <v>0</v>
      </c>
      <c r="B6">
        <f>ROW()-1</f>
        <v/>
      </c>
      <c r="C6">
        <f>"S"&amp;"_"&amp;LEFT(D6,2)</f>
        <v/>
      </c>
      <c r="D6">
        <f>_xlfn.XLOOKUP($E6,Tab_Def_Processes[Process_Name],Tab_Def_Processes[Process_ID],,0,)</f>
        <v/>
      </c>
      <c r="E6" t="inlineStr">
        <is>
          <t>N.A.</t>
        </is>
      </c>
      <c r="F6">
        <f>_xlfn.XLOOKUP($E6,Tab_Def_Processes[Process_Name],Tab_Def_Processes[Process_Logic],,0,)</f>
        <v/>
      </c>
      <c r="G6">
        <f>_xlfn.XLOOKUP($E6,Tab_Def_Processes[Process_Name],Tab_Def_Processes[TC_Configuration],,0,)</f>
        <v/>
      </c>
      <c r="H6">
        <f>_xlfn.XLOOKUP($E6,Tab_Def_Processes[Process_Name],Tab_Def_Processes[Stock_Configuration],,0,)</f>
        <v/>
      </c>
      <c r="I6">
        <f>_xlfn.XLOOKUP($E6,Tab_Def_Processes[Process_Name],Tab_Def_Processes[Outflow_count],,0,)</f>
        <v/>
      </c>
      <c r="J6">
        <f>Tab_Process_Stock[[#This Row],[Stock_ID]]&amp;"_"&amp;Tab_Process_Stock[[#This Row],[IS_Parameter_type]]</f>
        <v/>
      </c>
    </row>
    <row r="7">
      <c r="A7" t="b">
        <v>0</v>
      </c>
      <c r="B7">
        <f>ROW()-1</f>
        <v/>
      </c>
      <c r="C7">
        <f>"S"&amp;"_"&amp;LEFT(D7,2)</f>
        <v/>
      </c>
      <c r="D7">
        <f>_xlfn.XLOOKUP($E7,Tab_Def_Processes[Process_Name],Tab_Def_Processes[Process_ID],,0,)</f>
        <v/>
      </c>
      <c r="E7" t="inlineStr">
        <is>
          <t>N.A.</t>
        </is>
      </c>
      <c r="F7">
        <f>_xlfn.XLOOKUP($E7,Tab_Def_Processes[Process_Name],Tab_Def_Processes[Process_Logic],,0,)</f>
        <v/>
      </c>
      <c r="G7">
        <f>_xlfn.XLOOKUP($E7,Tab_Def_Processes[Process_Name],Tab_Def_Processes[TC_Configuration],,0,)</f>
        <v/>
      </c>
      <c r="H7">
        <f>_xlfn.XLOOKUP($E7,Tab_Def_Processes[Process_Name],Tab_Def_Processes[Stock_Configuration],,0,)</f>
        <v/>
      </c>
      <c r="I7">
        <f>_xlfn.XLOOKUP($E7,Tab_Def_Processes[Process_Name],Tab_Def_Processes[Outflow_count],,0,)</f>
        <v/>
      </c>
      <c r="J7">
        <f>Tab_Process_Stock[[#This Row],[Stock_ID]]&amp;"_"&amp;Tab_Process_Stock[[#This Row],[IS_Parameter_type]]</f>
        <v/>
      </c>
    </row>
    <row r="8">
      <c r="A8" t="b">
        <v>0</v>
      </c>
      <c r="B8">
        <f>ROW()-1</f>
        <v/>
      </c>
      <c r="C8">
        <f>"S"&amp;"_"&amp;LEFT(D8,2)</f>
        <v/>
      </c>
      <c r="D8">
        <f>_xlfn.XLOOKUP($E8,Tab_Def_Processes[Process_Name],Tab_Def_Processes[Process_ID],,0,)</f>
        <v/>
      </c>
      <c r="E8" t="inlineStr">
        <is>
          <t>N.A.</t>
        </is>
      </c>
      <c r="F8">
        <f>_xlfn.XLOOKUP($E8,Tab_Def_Processes[Process_Name],Tab_Def_Processes[Process_Logic],,0,)</f>
        <v/>
      </c>
      <c r="G8">
        <f>_xlfn.XLOOKUP($E8,Tab_Def_Processes[Process_Name],Tab_Def_Processes[TC_Configuration],,0,)</f>
        <v/>
      </c>
      <c r="H8">
        <f>_xlfn.XLOOKUP($E8,Tab_Def_Processes[Process_Name],Tab_Def_Processes[Stock_Configuration],,0,)</f>
        <v/>
      </c>
      <c r="I8">
        <f>_xlfn.XLOOKUP($E8,Tab_Def_Processes[Process_Name],Tab_Def_Processes[Outflow_count],,0,)</f>
        <v/>
      </c>
      <c r="J8">
        <f>Tab_Process_Stock[[#This Row],[Stock_ID]]&amp;"_"&amp;Tab_Process_Stock[[#This Row],[IS_Parameter_type]]</f>
        <v/>
      </c>
    </row>
    <row r="9">
      <c r="A9" t="b">
        <v>0</v>
      </c>
      <c r="B9">
        <f>ROW()-1</f>
        <v/>
      </c>
      <c r="C9">
        <f>"S"&amp;"_"&amp;LEFT(D9,2)</f>
        <v/>
      </c>
      <c r="D9">
        <f>_xlfn.XLOOKUP($E9,Tab_Def_Processes[Process_Name],Tab_Def_Processes[Process_ID],,0,)</f>
        <v/>
      </c>
      <c r="E9" t="inlineStr">
        <is>
          <t>N.A.</t>
        </is>
      </c>
      <c r="F9">
        <f>_xlfn.XLOOKUP($E9,Tab_Def_Processes[Process_Name],Tab_Def_Processes[Process_Logic],,0,)</f>
        <v/>
      </c>
      <c r="G9">
        <f>_xlfn.XLOOKUP($E9,Tab_Def_Processes[Process_Name],Tab_Def_Processes[TC_Configuration],,0,)</f>
        <v/>
      </c>
      <c r="H9">
        <f>_xlfn.XLOOKUP($E9,Tab_Def_Processes[Process_Name],Tab_Def_Processes[Stock_Configuration],,0,)</f>
        <v/>
      </c>
      <c r="I9">
        <f>_xlfn.XLOOKUP($E9,Tab_Def_Processes[Process_Name],Tab_Def_Processes[Outflow_count],,0,)</f>
        <v/>
      </c>
      <c r="J9">
        <f>Tab_Process_Stock[[#This Row],[Stock_ID]]&amp;"_"&amp;Tab_Process_Stock[[#This Row],[IS_Parameter_type]]</f>
        <v/>
      </c>
    </row>
    <row r="10">
      <c r="A10" t="b">
        <v>0</v>
      </c>
      <c r="B10">
        <f>ROW()-1</f>
        <v/>
      </c>
      <c r="C10">
        <f>"S"&amp;"_"&amp;LEFT(D10,2)</f>
        <v/>
      </c>
      <c r="D10">
        <f>_xlfn.XLOOKUP($E10,Tab_Def_Processes[Process_Name],Tab_Def_Processes[Process_ID],,0,)</f>
        <v/>
      </c>
      <c r="E10" t="inlineStr">
        <is>
          <t>N.A.</t>
        </is>
      </c>
      <c r="F10">
        <f>_xlfn.XLOOKUP($E10,Tab_Def_Processes[Process_Name],Tab_Def_Processes[Process_Logic],,0,)</f>
        <v/>
      </c>
      <c r="G10">
        <f>_xlfn.XLOOKUP($E10,Tab_Def_Processes[Process_Name],Tab_Def_Processes[TC_Configuration],,0,)</f>
        <v/>
      </c>
      <c r="H10">
        <f>_xlfn.XLOOKUP($E10,Tab_Def_Processes[Process_Name],Tab_Def_Processes[Stock_Configuration],,0,)</f>
        <v/>
      </c>
      <c r="I10">
        <f>_xlfn.XLOOKUP($E10,Tab_Def_Processes[Process_Name],Tab_Def_Processes[Outflow_count],,0,)</f>
        <v/>
      </c>
      <c r="J10">
        <f>Tab_Process_Stock[[#This Row],[Stock_ID]]&amp;"_"&amp;Tab_Process_Stock[[#This Row],[IS_Parameter_type]]</f>
        <v/>
      </c>
    </row>
    <row r="11">
      <c r="A11" t="b">
        <v>0</v>
      </c>
      <c r="B11">
        <f>ROW()-1</f>
        <v/>
      </c>
      <c r="C11">
        <f>"S"&amp;"_"&amp;LEFT(D11,2)</f>
        <v/>
      </c>
      <c r="D11">
        <f>_xlfn.XLOOKUP($E11,Tab_Def_Processes[Process_Name],Tab_Def_Processes[Process_ID],,0,)</f>
        <v/>
      </c>
      <c r="E11" t="inlineStr">
        <is>
          <t>N.A.</t>
        </is>
      </c>
      <c r="F11">
        <f>_xlfn.XLOOKUP($E11,Tab_Def_Processes[Process_Name],Tab_Def_Processes[Process_Logic],,0,)</f>
        <v/>
      </c>
      <c r="G11">
        <f>_xlfn.XLOOKUP($E11,Tab_Def_Processes[Process_Name],Tab_Def_Processes[TC_Configuration],,0,)</f>
        <v/>
      </c>
      <c r="H11">
        <f>_xlfn.XLOOKUP($E11,Tab_Def_Processes[Process_Name],Tab_Def_Processes[Stock_Configuration],,0,)</f>
        <v/>
      </c>
      <c r="I11">
        <f>_xlfn.XLOOKUP($E11,Tab_Def_Processes[Process_Name],Tab_Def_Processes[Outflow_count],,0,)</f>
        <v/>
      </c>
      <c r="J11">
        <f>Tab_Process_Stock[[#This Row],[Stock_ID]]&amp;"_"&amp;Tab_Process_Stock[[#This Row],[IS_Parameter_type]]</f>
        <v/>
      </c>
    </row>
    <row r="12">
      <c r="A12" t="b">
        <v>0</v>
      </c>
      <c r="B12">
        <f>ROW()-1</f>
        <v/>
      </c>
      <c r="C12">
        <f>"S"&amp;"_"&amp;LEFT(D12,2)</f>
        <v/>
      </c>
      <c r="D12">
        <f>_xlfn.XLOOKUP($E12,Tab_Def_Processes[Process_Name],Tab_Def_Processes[Process_ID],,0,)</f>
        <v/>
      </c>
      <c r="E12" t="inlineStr">
        <is>
          <t>N.A.</t>
        </is>
      </c>
      <c r="F12">
        <f>_xlfn.XLOOKUP($E12,Tab_Def_Processes[Process_Name],Tab_Def_Processes[Process_Logic],,0,)</f>
        <v/>
      </c>
      <c r="G12">
        <f>_xlfn.XLOOKUP($E12,Tab_Def_Processes[Process_Name],Tab_Def_Processes[TC_Configuration],,0,)</f>
        <v/>
      </c>
      <c r="H12">
        <f>_xlfn.XLOOKUP($E12,Tab_Def_Processes[Process_Name],Tab_Def_Processes[Stock_Configuration],,0,)</f>
        <v/>
      </c>
      <c r="I12">
        <f>_xlfn.XLOOKUP($E12,Tab_Def_Processes[Process_Name],Tab_Def_Processes[Outflow_count],,0,)</f>
        <v/>
      </c>
      <c r="J12">
        <f>Tab_Process_Stock[[#This Row],[Stock_ID]]&amp;"_"&amp;Tab_Process_Stock[[#This Row],[IS_Parameter_type]]</f>
        <v/>
      </c>
    </row>
    <row r="13">
      <c r="A13" t="b">
        <v>0</v>
      </c>
      <c r="B13">
        <f>ROW()-1</f>
        <v/>
      </c>
      <c r="C13">
        <f>"S"&amp;"_"&amp;LEFT(D13,2)</f>
        <v/>
      </c>
      <c r="D13">
        <f>_xlfn.XLOOKUP($E13,Tab_Def_Processes[Process_Name],Tab_Def_Processes[Process_ID],,0,)</f>
        <v/>
      </c>
      <c r="E13" t="inlineStr">
        <is>
          <t>N.A.</t>
        </is>
      </c>
      <c r="F13">
        <f>_xlfn.XLOOKUP($E13,Tab_Def_Processes[Process_Name],Tab_Def_Processes[Process_Logic],,0,)</f>
        <v/>
      </c>
      <c r="G13">
        <f>_xlfn.XLOOKUP($E13,Tab_Def_Processes[Process_Name],Tab_Def_Processes[TC_Configuration],,0,)</f>
        <v/>
      </c>
      <c r="H13">
        <f>_xlfn.XLOOKUP($E13,Tab_Def_Processes[Process_Name],Tab_Def_Processes[Stock_Configuration],,0,)</f>
        <v/>
      </c>
      <c r="I13">
        <f>_xlfn.XLOOKUP($E13,Tab_Def_Processes[Process_Name],Tab_Def_Processes[Outflow_count],,0,)</f>
        <v/>
      </c>
      <c r="J13">
        <f>Tab_Process_Stock[[#This Row],[Stock_ID]]&amp;"_"&amp;Tab_Process_Stock[[#This Row],[IS_Parameter_type]]</f>
        <v/>
      </c>
    </row>
    <row r="14">
      <c r="A14" t="b">
        <v>0</v>
      </c>
      <c r="B14">
        <f>ROW()-1</f>
        <v/>
      </c>
      <c r="C14">
        <f>"S"&amp;"_"&amp;LEFT(D14,2)</f>
        <v/>
      </c>
      <c r="D14">
        <f>_xlfn.XLOOKUP($E14,Tab_Def_Processes[Process_Name],Tab_Def_Processes[Process_ID],,0,)</f>
        <v/>
      </c>
      <c r="E14" t="inlineStr">
        <is>
          <t>N.A.</t>
        </is>
      </c>
      <c r="F14">
        <f>_xlfn.XLOOKUP($E14,Tab_Def_Processes[Process_Name],Tab_Def_Processes[Process_Logic],,0,)</f>
        <v/>
      </c>
      <c r="G14">
        <f>_xlfn.XLOOKUP($E14,Tab_Def_Processes[Process_Name],Tab_Def_Processes[TC_Configuration],,0,)</f>
        <v/>
      </c>
      <c r="H14">
        <f>_xlfn.XLOOKUP($E14,Tab_Def_Processes[Process_Name],Tab_Def_Processes[Stock_Configuration],,0,)</f>
        <v/>
      </c>
      <c r="I14">
        <f>_xlfn.XLOOKUP($E14,Tab_Def_Processes[Process_Name],Tab_Def_Processes[Outflow_count],,0,)</f>
        <v/>
      </c>
      <c r="J14">
        <f>Tab_Process_Stock[[#This Row],[Stock_ID]]&amp;"_"&amp;Tab_Process_Stock[[#This Row],[IS_Parameter_type]]</f>
        <v/>
      </c>
    </row>
    <row r="15">
      <c r="A15" t="b">
        <v>0</v>
      </c>
      <c r="B15">
        <f>ROW()-1</f>
        <v/>
      </c>
      <c r="C15">
        <f>"S"&amp;"_"&amp;LEFT(D15,2)</f>
        <v/>
      </c>
      <c r="D15">
        <f>_xlfn.XLOOKUP($E15,Tab_Def_Processes[Process_Name],Tab_Def_Processes[Process_ID],,0,)</f>
        <v/>
      </c>
      <c r="E15" t="inlineStr">
        <is>
          <t>N.A.</t>
        </is>
      </c>
      <c r="F15">
        <f>_xlfn.XLOOKUP($E15,Tab_Def_Processes[Process_Name],Tab_Def_Processes[Process_Logic],,0,)</f>
        <v/>
      </c>
      <c r="G15">
        <f>_xlfn.XLOOKUP($E15,Tab_Def_Processes[Process_Name],Tab_Def_Processes[TC_Configuration],,0,)</f>
        <v/>
      </c>
      <c r="H15">
        <f>_xlfn.XLOOKUP($E15,Tab_Def_Processes[Process_Name],Tab_Def_Processes[Stock_Configuration],,0,)</f>
        <v/>
      </c>
      <c r="I15">
        <f>_xlfn.XLOOKUP($E15,Tab_Def_Processes[Process_Name],Tab_Def_Processes[Outflow_count],,0,)</f>
        <v/>
      </c>
      <c r="J15">
        <f>Tab_Process_Stock[[#This Row],[Stock_ID]]&amp;"_"&amp;Tab_Process_Stock[[#This Row],[IS_Parameter_type]]</f>
        <v/>
      </c>
    </row>
    <row r="16">
      <c r="A16" t="b">
        <v>0</v>
      </c>
      <c r="B16">
        <f>ROW()-1</f>
        <v/>
      </c>
      <c r="C16">
        <f>"S"&amp;"_"&amp;LEFT(D16,2)</f>
        <v/>
      </c>
      <c r="D16">
        <f>_xlfn.XLOOKUP($E16,Tab_Def_Processes[Process_Name],Tab_Def_Processes[Process_ID],,0,)</f>
        <v/>
      </c>
      <c r="E16" t="inlineStr">
        <is>
          <t>N.A.</t>
        </is>
      </c>
      <c r="F16">
        <f>_xlfn.XLOOKUP($E16,Tab_Def_Processes[Process_Name],Tab_Def_Processes[Process_Logic],,0,)</f>
        <v/>
      </c>
      <c r="G16">
        <f>_xlfn.XLOOKUP($E16,Tab_Def_Processes[Process_Name],Tab_Def_Processes[TC_Configuration],,0,)</f>
        <v/>
      </c>
      <c r="H16">
        <f>_xlfn.XLOOKUP($E16,Tab_Def_Processes[Process_Name],Tab_Def_Processes[Stock_Configuration],,0,)</f>
        <v/>
      </c>
      <c r="I16">
        <f>_xlfn.XLOOKUP($E16,Tab_Def_Processes[Process_Name],Tab_Def_Processes[Outflow_count],,0,)</f>
        <v/>
      </c>
      <c r="J16">
        <f>Tab_Process_Stock[[#This Row],[Stock_ID]]&amp;"_"&amp;Tab_Process_Stock[[#This Row],[IS_Parameter_type]]</f>
        <v/>
      </c>
    </row>
    <row r="17">
      <c r="A17" t="b">
        <v>0</v>
      </c>
      <c r="B17">
        <f>ROW()-1</f>
        <v/>
      </c>
      <c r="C17">
        <f>"S"&amp;"_"&amp;LEFT(D17,2)</f>
        <v/>
      </c>
      <c r="D17">
        <f>_xlfn.XLOOKUP($E17,Tab_Def_Processes[Process_Name],Tab_Def_Processes[Process_ID],,0,)</f>
        <v/>
      </c>
      <c r="E17" t="inlineStr">
        <is>
          <t>N.A.</t>
        </is>
      </c>
      <c r="F17">
        <f>_xlfn.XLOOKUP($E17,Tab_Def_Processes[Process_Name],Tab_Def_Processes[Process_Logic],,0,)</f>
        <v/>
      </c>
      <c r="G17">
        <f>_xlfn.XLOOKUP($E17,Tab_Def_Processes[Process_Name],Tab_Def_Processes[TC_Configuration],,0,)</f>
        <v/>
      </c>
      <c r="H17">
        <f>_xlfn.XLOOKUP($E17,Tab_Def_Processes[Process_Name],Tab_Def_Processes[Stock_Configuration],,0,)</f>
        <v/>
      </c>
      <c r="I17">
        <f>_xlfn.XLOOKUP($E17,Tab_Def_Processes[Process_Name],Tab_Def_Processes[Outflow_count],,0,)</f>
        <v/>
      </c>
      <c r="J17">
        <f>Tab_Process_Stock[[#This Row],[Stock_ID]]&amp;"_"&amp;Tab_Process_Stock[[#This Row],[IS_Parameter_type]]</f>
        <v/>
      </c>
    </row>
    <row r="18">
      <c r="A18" t="b">
        <v>0</v>
      </c>
      <c r="B18">
        <f>ROW()-1</f>
        <v/>
      </c>
      <c r="C18">
        <f>"S"&amp;"_"&amp;LEFT(D18,2)</f>
        <v/>
      </c>
      <c r="D18">
        <f>_xlfn.XLOOKUP($E18,Tab_Def_Processes[Process_Name],Tab_Def_Processes[Process_ID],,0,)</f>
        <v/>
      </c>
      <c r="E18" t="inlineStr">
        <is>
          <t>N.A.</t>
        </is>
      </c>
      <c r="F18">
        <f>_xlfn.XLOOKUP($E18,Tab_Def_Processes[Process_Name],Tab_Def_Processes[Process_Logic],,0,)</f>
        <v/>
      </c>
      <c r="G18">
        <f>_xlfn.XLOOKUP($E18,Tab_Def_Processes[Process_Name],Tab_Def_Processes[TC_Configuration],,0,)</f>
        <v/>
      </c>
      <c r="H18">
        <f>_xlfn.XLOOKUP($E18,Tab_Def_Processes[Process_Name],Tab_Def_Processes[Stock_Configuration],,0,)</f>
        <v/>
      </c>
      <c r="I18">
        <f>_xlfn.XLOOKUP($E18,Tab_Def_Processes[Process_Name],Tab_Def_Processes[Outflow_count],,0,)</f>
        <v/>
      </c>
      <c r="J18">
        <f>Tab_Process_Stock[[#This Row],[Stock_ID]]&amp;"_"&amp;Tab_Process_Stock[[#This Row],[IS_Parameter_type]]</f>
        <v/>
      </c>
    </row>
    <row r="19">
      <c r="A19" t="b">
        <v>0</v>
      </c>
      <c r="B19">
        <f>ROW()-1</f>
        <v/>
      </c>
      <c r="C19">
        <f>"S"&amp;"_"&amp;LEFT(D19,2)</f>
        <v/>
      </c>
      <c r="D19">
        <f>_xlfn.XLOOKUP($E19,Tab_Def_Processes[Process_Name],Tab_Def_Processes[Process_ID],,0,)</f>
        <v/>
      </c>
      <c r="E19" t="inlineStr">
        <is>
          <t>N.A.</t>
        </is>
      </c>
      <c r="F19">
        <f>_xlfn.XLOOKUP($E19,Tab_Def_Processes[Process_Name],Tab_Def_Processes[Process_Logic],,0,)</f>
        <v/>
      </c>
      <c r="G19">
        <f>_xlfn.XLOOKUP($E19,Tab_Def_Processes[Process_Name],Tab_Def_Processes[TC_Configuration],,0,)</f>
        <v/>
      </c>
      <c r="H19">
        <f>_xlfn.XLOOKUP($E19,Tab_Def_Processes[Process_Name],Tab_Def_Processes[Stock_Configuration],,0,)</f>
        <v/>
      </c>
      <c r="I19">
        <f>_xlfn.XLOOKUP($E19,Tab_Def_Processes[Process_Name],Tab_Def_Processes[Outflow_count],,0,)</f>
        <v/>
      </c>
      <c r="J19">
        <f>Tab_Process_Stock[[#This Row],[Stock_ID]]&amp;"_"&amp;Tab_Process_Stock[[#This Row],[IS_Parameter_type]]</f>
        <v/>
      </c>
    </row>
    <row r="20">
      <c r="A20" t="b">
        <v>0</v>
      </c>
      <c r="B20">
        <f>ROW()-1</f>
        <v/>
      </c>
      <c r="C20">
        <f>"S"&amp;"_"&amp;LEFT(D20,2)</f>
        <v/>
      </c>
      <c r="D20">
        <f>_xlfn.XLOOKUP($E20,Tab_Def_Processes[Process_Name],Tab_Def_Processes[Process_ID],,0,)</f>
        <v/>
      </c>
      <c r="E20" t="inlineStr">
        <is>
          <t>N.A.</t>
        </is>
      </c>
      <c r="F20">
        <f>_xlfn.XLOOKUP($E20,Tab_Def_Processes[Process_Name],Tab_Def_Processes[Process_Logic],,0,)</f>
        <v/>
      </c>
      <c r="G20">
        <f>_xlfn.XLOOKUP($E20,Tab_Def_Processes[Process_Name],Tab_Def_Processes[TC_Configuration],,0,)</f>
        <v/>
      </c>
      <c r="H20">
        <f>_xlfn.XLOOKUP($E20,Tab_Def_Processes[Process_Name],Tab_Def_Processes[Stock_Configuration],,0,)</f>
        <v/>
      </c>
      <c r="I20">
        <f>_xlfn.XLOOKUP($E20,Tab_Def_Processes[Process_Name],Tab_Def_Processes[Outflow_count],,0,)</f>
        <v/>
      </c>
      <c r="J20">
        <f>Tab_Process_Stock[[#This Row],[Stock_ID]]&amp;"_"&amp;Tab_Process_Stock[[#This Row],[IS_Parameter_type]]</f>
        <v/>
      </c>
    </row>
    <row r="21">
      <c r="A21" t="b">
        <v>0</v>
      </c>
      <c r="B21">
        <f>ROW()-1</f>
        <v/>
      </c>
      <c r="C21">
        <f>"S"&amp;"_"&amp;LEFT(D21,2)</f>
        <v/>
      </c>
      <c r="D21">
        <f>_xlfn.XLOOKUP($E21,Tab_Def_Processes[Process_Name],Tab_Def_Processes[Process_ID],,0,)</f>
        <v/>
      </c>
      <c r="E21" t="inlineStr">
        <is>
          <t>N.A.</t>
        </is>
      </c>
      <c r="F21">
        <f>_xlfn.XLOOKUP($E21,Tab_Def_Processes[Process_Name],Tab_Def_Processes[Process_Logic],,0,)</f>
        <v/>
      </c>
      <c r="G21">
        <f>_xlfn.XLOOKUP($E21,Tab_Def_Processes[Process_Name],Tab_Def_Processes[TC_Configuration],,0,)</f>
        <v/>
      </c>
      <c r="H21">
        <f>_xlfn.XLOOKUP($E21,Tab_Def_Processes[Process_Name],Tab_Def_Processes[Stock_Configuration],,0,)</f>
        <v/>
      </c>
      <c r="I21">
        <f>_xlfn.XLOOKUP($E21,Tab_Def_Processes[Process_Name],Tab_Def_Processes[Outflow_count],,0,)</f>
        <v/>
      </c>
      <c r="J21">
        <f>Tab_Process_Stock[[#This Row],[Stock_ID]]&amp;"_"&amp;Tab_Process_Stock[[#This Row],[IS_Parameter_type]]</f>
        <v/>
      </c>
    </row>
    <row r="22">
      <c r="A22" t="b">
        <v>0</v>
      </c>
      <c r="B22">
        <f>ROW()-1</f>
        <v/>
      </c>
      <c r="C22">
        <f>"S"&amp;"_"&amp;LEFT(D22,2)</f>
        <v/>
      </c>
      <c r="D22">
        <f>_xlfn.XLOOKUP($E22,Tab_Def_Processes[Process_Name],Tab_Def_Processes[Process_ID],,0,)</f>
        <v/>
      </c>
      <c r="E22" t="inlineStr">
        <is>
          <t>N.A.</t>
        </is>
      </c>
      <c r="F22">
        <f>_xlfn.XLOOKUP($E22,Tab_Def_Processes[Process_Name],Tab_Def_Processes[Process_Logic],,0,)</f>
        <v/>
      </c>
      <c r="G22">
        <f>_xlfn.XLOOKUP($E22,Tab_Def_Processes[Process_Name],Tab_Def_Processes[TC_Configuration],,0,)</f>
        <v/>
      </c>
      <c r="H22">
        <f>_xlfn.XLOOKUP($E22,Tab_Def_Processes[Process_Name],Tab_Def_Processes[Stock_Configuration],,0,)</f>
        <v/>
      </c>
      <c r="I22">
        <f>_xlfn.XLOOKUP($E22,Tab_Def_Processes[Process_Name],Tab_Def_Processes[Outflow_count],,0,)</f>
        <v/>
      </c>
      <c r="J22">
        <f>Tab_Process_Stock[[#This Row],[Stock_ID]]&amp;"_"&amp;Tab_Process_Stock[[#This Row],[IS_Parameter_type]]</f>
        <v/>
      </c>
    </row>
    <row r="23">
      <c r="A23" t="b">
        <v>0</v>
      </c>
      <c r="B23">
        <f>ROW()-1</f>
        <v/>
      </c>
      <c r="C23">
        <f>"S"&amp;"_"&amp;LEFT(D23,2)</f>
        <v/>
      </c>
      <c r="D23">
        <f>_xlfn.XLOOKUP($E23,Tab_Def_Processes[Process_Name],Tab_Def_Processes[Process_ID],,0,)</f>
        <v/>
      </c>
      <c r="E23" t="inlineStr">
        <is>
          <t>N.A.</t>
        </is>
      </c>
      <c r="F23">
        <f>_xlfn.XLOOKUP($E23,Tab_Def_Processes[Process_Name],Tab_Def_Processes[Process_Logic],,0,)</f>
        <v/>
      </c>
      <c r="G23">
        <f>_xlfn.XLOOKUP($E23,Tab_Def_Processes[Process_Name],Tab_Def_Processes[TC_Configuration],,0,)</f>
        <v/>
      </c>
      <c r="H23">
        <f>_xlfn.XLOOKUP($E23,Tab_Def_Processes[Process_Name],Tab_Def_Processes[Stock_Configuration],,0,)</f>
        <v/>
      </c>
      <c r="I23">
        <f>_xlfn.XLOOKUP($E23,Tab_Def_Processes[Process_Name],Tab_Def_Processes[Outflow_count],,0,)</f>
        <v/>
      </c>
      <c r="J23">
        <f>Tab_Process_Stock[[#This Row],[Stock_ID]]&amp;"_"&amp;Tab_Process_Stock[[#This Row],[IS_Parameter_type]]</f>
        <v/>
      </c>
    </row>
    <row r="24">
      <c r="A24" t="b">
        <v>0</v>
      </c>
      <c r="B24">
        <f>ROW()-1</f>
        <v/>
      </c>
      <c r="C24">
        <f>"S"&amp;"_"&amp;LEFT(D24,2)</f>
        <v/>
      </c>
      <c r="D24">
        <f>_xlfn.XLOOKUP($E24,Tab_Def_Processes[Process_Name],Tab_Def_Processes[Process_ID],,0,)</f>
        <v/>
      </c>
      <c r="E24" t="inlineStr">
        <is>
          <t>N.A.</t>
        </is>
      </c>
      <c r="F24">
        <f>_xlfn.XLOOKUP($E24,Tab_Def_Processes[Process_Name],Tab_Def_Processes[Process_Logic],,0,)</f>
        <v/>
      </c>
      <c r="G24">
        <f>_xlfn.XLOOKUP($E24,Tab_Def_Processes[Process_Name],Tab_Def_Processes[TC_Configuration],,0,)</f>
        <v/>
      </c>
      <c r="H24">
        <f>_xlfn.XLOOKUP($E24,Tab_Def_Processes[Process_Name],Tab_Def_Processes[Stock_Configuration],,0,)</f>
        <v/>
      </c>
      <c r="I24">
        <f>_xlfn.XLOOKUP($E24,Tab_Def_Processes[Process_Name],Tab_Def_Processes[Outflow_count],,0,)</f>
        <v/>
      </c>
      <c r="J24">
        <f>Tab_Process_Stock[[#This Row],[Stock_ID]]&amp;"_"&amp;Tab_Process_Stock[[#This Row],[IS_Parameter_type]]</f>
        <v/>
      </c>
    </row>
    <row r="25">
      <c r="A25" t="b">
        <v>0</v>
      </c>
      <c r="B25">
        <f>ROW()-1</f>
        <v/>
      </c>
      <c r="C25">
        <f>"S"&amp;"_"&amp;LEFT(D25,2)</f>
        <v/>
      </c>
      <c r="D25">
        <f>_xlfn.XLOOKUP($E25,Tab_Def_Processes[Process_Name],Tab_Def_Processes[Process_ID],,0,)</f>
        <v/>
      </c>
      <c r="E25" t="inlineStr">
        <is>
          <t>N.A.</t>
        </is>
      </c>
      <c r="F25">
        <f>_xlfn.XLOOKUP($E25,Tab_Def_Processes[Process_Name],Tab_Def_Processes[Process_Logic],,0,)</f>
        <v/>
      </c>
      <c r="G25">
        <f>_xlfn.XLOOKUP($E25,Tab_Def_Processes[Process_Name],Tab_Def_Processes[TC_Configuration],,0,)</f>
        <v/>
      </c>
      <c r="H25">
        <f>_xlfn.XLOOKUP($E25,Tab_Def_Processes[Process_Name],Tab_Def_Processes[Stock_Configuration],,0,)</f>
        <v/>
      </c>
      <c r="I25">
        <f>_xlfn.XLOOKUP($E25,Tab_Def_Processes[Process_Name],Tab_Def_Processes[Outflow_count],,0,)</f>
        <v/>
      </c>
      <c r="J25">
        <f>Tab_Process_Stock[[#This Row],[Stock_ID]]&amp;"_"&amp;Tab_Process_Stock[[#This Row],[IS_Parameter_type]]</f>
        <v/>
      </c>
    </row>
    <row r="26">
      <c r="A26" t="b">
        <v>0</v>
      </c>
      <c r="B26">
        <f>ROW()-1</f>
        <v/>
      </c>
      <c r="C26">
        <f>"S"&amp;"_"&amp;LEFT(D26,2)</f>
        <v/>
      </c>
      <c r="D26">
        <f>_xlfn.XLOOKUP($E26,Tab_Def_Processes[Process_Name],Tab_Def_Processes[Process_ID],,0,)</f>
        <v/>
      </c>
      <c r="E26" t="inlineStr">
        <is>
          <t>N.A.</t>
        </is>
      </c>
      <c r="F26">
        <f>_xlfn.XLOOKUP($E26,Tab_Def_Processes[Process_Name],Tab_Def_Processes[Process_Logic],,0,)</f>
        <v/>
      </c>
      <c r="G26">
        <f>_xlfn.XLOOKUP($E26,Tab_Def_Processes[Process_Name],Tab_Def_Processes[TC_Configuration],,0,)</f>
        <v/>
      </c>
      <c r="H26">
        <f>_xlfn.XLOOKUP($E26,Tab_Def_Processes[Process_Name],Tab_Def_Processes[Stock_Configuration],,0,)</f>
        <v/>
      </c>
      <c r="I26">
        <f>_xlfn.XLOOKUP($E26,Tab_Def_Processes[Process_Name],Tab_Def_Processes[Outflow_count],,0,)</f>
        <v/>
      </c>
      <c r="J26">
        <f>Tab_Process_Stock[[#This Row],[Stock_ID]]&amp;"_"&amp;Tab_Process_Stock[[#This Row],[IS_Parameter_type]]</f>
        <v/>
      </c>
    </row>
    <row r="27">
      <c r="A27" t="b">
        <v>0</v>
      </c>
      <c r="B27">
        <f>ROW()-1</f>
        <v/>
      </c>
      <c r="C27">
        <f>"S"&amp;"_"&amp;LEFT(D27,2)</f>
        <v/>
      </c>
      <c r="D27">
        <f>_xlfn.XLOOKUP($E27,Tab_Def_Processes[Process_Name],Tab_Def_Processes[Process_ID],,0,)</f>
        <v/>
      </c>
      <c r="E27" t="inlineStr">
        <is>
          <t>N.A.</t>
        </is>
      </c>
      <c r="F27">
        <f>_xlfn.XLOOKUP($E27,Tab_Def_Processes[Process_Name],Tab_Def_Processes[Process_Logic],,0,)</f>
        <v/>
      </c>
      <c r="G27">
        <f>_xlfn.XLOOKUP($E27,Tab_Def_Processes[Process_Name],Tab_Def_Processes[TC_Configuration],,0,)</f>
        <v/>
      </c>
      <c r="H27">
        <f>_xlfn.XLOOKUP($E27,Tab_Def_Processes[Process_Name],Tab_Def_Processes[Stock_Configuration],,0,)</f>
        <v/>
      </c>
      <c r="I27">
        <f>_xlfn.XLOOKUP($E27,Tab_Def_Processes[Process_Name],Tab_Def_Processes[Outflow_count],,0,)</f>
        <v/>
      </c>
      <c r="J27">
        <f>Tab_Process_Stock[[#This Row],[Stock_ID]]&amp;"_"&amp;Tab_Process_Stock[[#This Row],[IS_Parameter_type]]</f>
        <v/>
      </c>
    </row>
    <row r="28">
      <c r="A28" t="b">
        <v>0</v>
      </c>
      <c r="B28">
        <f>ROW()-1</f>
        <v/>
      </c>
      <c r="C28">
        <f>"S"&amp;"_"&amp;LEFT(D28,2)</f>
        <v/>
      </c>
      <c r="D28">
        <f>_xlfn.XLOOKUP($E28,Tab_Def_Processes[Process_Name],Tab_Def_Processes[Process_ID],,0,)</f>
        <v/>
      </c>
      <c r="E28" t="inlineStr">
        <is>
          <t>N.A.</t>
        </is>
      </c>
      <c r="F28">
        <f>_xlfn.XLOOKUP($E28,Tab_Def_Processes[Process_Name],Tab_Def_Processes[Process_Logic],,0,)</f>
        <v/>
      </c>
      <c r="G28">
        <f>_xlfn.XLOOKUP($E28,Tab_Def_Processes[Process_Name],Tab_Def_Processes[TC_Configuration],,0,)</f>
        <v/>
      </c>
      <c r="H28">
        <f>_xlfn.XLOOKUP($E28,Tab_Def_Processes[Process_Name],Tab_Def_Processes[Stock_Configuration],,0,)</f>
        <v/>
      </c>
      <c r="I28">
        <f>_xlfn.XLOOKUP($E28,Tab_Def_Processes[Process_Name],Tab_Def_Processes[Outflow_count],,0,)</f>
        <v/>
      </c>
      <c r="J28">
        <f>Tab_Process_Stock[[#This Row],[Stock_ID]]&amp;"_"&amp;Tab_Process_Stock[[#This Row],[IS_Parameter_type]]</f>
        <v/>
      </c>
    </row>
    <row r="29">
      <c r="A29" t="b">
        <v>0</v>
      </c>
      <c r="B29">
        <f>ROW()-1</f>
        <v/>
      </c>
      <c r="C29">
        <f>"S"&amp;"_"&amp;LEFT(D29,2)</f>
        <v/>
      </c>
      <c r="D29">
        <f>_xlfn.XLOOKUP($E29,Tab_Def_Processes[Process_Name],Tab_Def_Processes[Process_ID],,0,)</f>
        <v/>
      </c>
      <c r="E29" t="inlineStr">
        <is>
          <t>N.A.</t>
        </is>
      </c>
      <c r="F29">
        <f>_xlfn.XLOOKUP($E29,Tab_Def_Processes[Process_Name],Tab_Def_Processes[Process_Logic],,0,)</f>
        <v/>
      </c>
      <c r="G29">
        <f>_xlfn.XLOOKUP($E29,Tab_Def_Processes[Process_Name],Tab_Def_Processes[TC_Configuration],,0,)</f>
        <v/>
      </c>
      <c r="H29">
        <f>_xlfn.XLOOKUP($E29,Tab_Def_Processes[Process_Name],Tab_Def_Processes[Stock_Configuration],,0,)</f>
        <v/>
      </c>
      <c r="I29">
        <f>_xlfn.XLOOKUP($E29,Tab_Def_Processes[Process_Name],Tab_Def_Processes[Outflow_count],,0,)</f>
        <v/>
      </c>
      <c r="J29">
        <f>Tab_Process_Stock[[#This Row],[Stock_ID]]&amp;"_"&amp;Tab_Process_Stock[[#This Row],[IS_Parameter_type]]</f>
        <v/>
      </c>
    </row>
    <row r="30">
      <c r="A30" t="b">
        <v>0</v>
      </c>
      <c r="B30">
        <f>ROW()-1</f>
        <v/>
      </c>
      <c r="C30">
        <f>"S"&amp;"_"&amp;LEFT(D30,2)</f>
        <v/>
      </c>
      <c r="D30">
        <f>_xlfn.XLOOKUP($E30,Tab_Def_Processes[Process_Name],Tab_Def_Processes[Process_ID],,0,)</f>
        <v/>
      </c>
      <c r="E30" t="inlineStr">
        <is>
          <t>N.A.</t>
        </is>
      </c>
      <c r="F30">
        <f>_xlfn.XLOOKUP($E30,Tab_Def_Processes[Process_Name],Tab_Def_Processes[Process_Logic],,0,)</f>
        <v/>
      </c>
      <c r="G30">
        <f>_xlfn.XLOOKUP($E30,Tab_Def_Processes[Process_Name],Tab_Def_Processes[TC_Configuration],,0,)</f>
        <v/>
      </c>
      <c r="H30">
        <f>_xlfn.XLOOKUP($E30,Tab_Def_Processes[Process_Name],Tab_Def_Processes[Stock_Configuration],,0,)</f>
        <v/>
      </c>
      <c r="I30">
        <f>_xlfn.XLOOKUP($E30,Tab_Def_Processes[Process_Name],Tab_Def_Processes[Outflow_count],,0,)</f>
        <v/>
      </c>
      <c r="J30">
        <f>Tab_Process_Stock[[#This Row],[Stock_ID]]&amp;"_"&amp;Tab_Process_Stock[[#This Row],[IS_Parameter_type]]</f>
        <v/>
      </c>
    </row>
    <row r="31">
      <c r="A31" t="b">
        <v>0</v>
      </c>
      <c r="B31">
        <f>ROW()-1</f>
        <v/>
      </c>
      <c r="C31">
        <f>"S"&amp;"_"&amp;LEFT(D31,2)</f>
        <v/>
      </c>
      <c r="D31">
        <f>_xlfn.XLOOKUP($E31,Tab_Def_Processes[Process_Name],Tab_Def_Processes[Process_ID],,0,)</f>
        <v/>
      </c>
      <c r="E31" t="inlineStr">
        <is>
          <t>N.A.</t>
        </is>
      </c>
      <c r="F31">
        <f>_xlfn.XLOOKUP($E31,Tab_Def_Processes[Process_Name],Tab_Def_Processes[Process_Logic],,0,)</f>
        <v/>
      </c>
      <c r="G31">
        <f>_xlfn.XLOOKUP($E31,Tab_Def_Processes[Process_Name],Tab_Def_Processes[TC_Configuration],,0,)</f>
        <v/>
      </c>
      <c r="H31">
        <f>_xlfn.XLOOKUP($E31,Tab_Def_Processes[Process_Name],Tab_Def_Processes[Stock_Configuration],,0,)</f>
        <v/>
      </c>
      <c r="I31">
        <f>_xlfn.XLOOKUP($E31,Tab_Def_Processes[Process_Name],Tab_Def_Processes[Outflow_count],,0,)</f>
        <v/>
      </c>
      <c r="J31">
        <f>Tab_Process_Stock[[#This Row],[Stock_ID]]&amp;"_"&amp;Tab_Process_Stock[[#This Row],[IS_Parameter_type]]</f>
        <v/>
      </c>
    </row>
    <row r="32">
      <c r="A32" t="b">
        <v>0</v>
      </c>
      <c r="B32">
        <f>ROW()-1</f>
        <v/>
      </c>
      <c r="C32">
        <f>"S"&amp;"_"&amp;LEFT(D32,2)</f>
        <v/>
      </c>
      <c r="D32">
        <f>_xlfn.XLOOKUP($E32,Tab_Def_Processes[Process_Name],Tab_Def_Processes[Process_ID],,0,)</f>
        <v/>
      </c>
      <c r="E32" t="inlineStr">
        <is>
          <t>N.A.</t>
        </is>
      </c>
      <c r="F32">
        <f>_xlfn.XLOOKUP($E32,Tab_Def_Processes[Process_Name],Tab_Def_Processes[Process_Logic],,0,)</f>
        <v/>
      </c>
      <c r="G32">
        <f>_xlfn.XLOOKUP($E32,Tab_Def_Processes[Process_Name],Tab_Def_Processes[TC_Configuration],,0,)</f>
        <v/>
      </c>
      <c r="H32">
        <f>_xlfn.XLOOKUP($E32,Tab_Def_Processes[Process_Name],Tab_Def_Processes[Stock_Configuration],,0,)</f>
        <v/>
      </c>
      <c r="I32">
        <f>_xlfn.XLOOKUP($E32,Tab_Def_Processes[Process_Name],Tab_Def_Processes[Outflow_count],,0,)</f>
        <v/>
      </c>
      <c r="J32">
        <f>Tab_Process_Stock[[#This Row],[Stock_ID]]&amp;"_"&amp;Tab_Process_Stock[[#This Row],[IS_Parameter_type]]</f>
        <v/>
      </c>
    </row>
    <row r="33">
      <c r="A33" t="b">
        <v>0</v>
      </c>
      <c r="B33">
        <f>ROW()-1</f>
        <v/>
      </c>
      <c r="C33">
        <f>"S"&amp;"_"&amp;LEFT(D33,2)</f>
        <v/>
      </c>
      <c r="D33">
        <f>_xlfn.XLOOKUP($E33,Tab_Def_Processes[Process_Name],Tab_Def_Processes[Process_ID],,0,)</f>
        <v/>
      </c>
      <c r="E33" t="inlineStr">
        <is>
          <t>N.A.</t>
        </is>
      </c>
      <c r="F33">
        <f>_xlfn.XLOOKUP($E33,Tab_Def_Processes[Process_Name],Tab_Def_Processes[Process_Logic],,0,)</f>
        <v/>
      </c>
      <c r="G33">
        <f>_xlfn.XLOOKUP($E33,Tab_Def_Processes[Process_Name],Tab_Def_Processes[TC_Configuration],,0,)</f>
        <v/>
      </c>
      <c r="H33">
        <f>_xlfn.XLOOKUP($E33,Tab_Def_Processes[Process_Name],Tab_Def_Processes[Stock_Configuration],,0,)</f>
        <v/>
      </c>
      <c r="I33">
        <f>_xlfn.XLOOKUP($E33,Tab_Def_Processes[Process_Name],Tab_Def_Processes[Outflow_count],,0,)</f>
        <v/>
      </c>
      <c r="J33">
        <f>Tab_Process_Stock[[#This Row],[Stock_ID]]&amp;"_"&amp;Tab_Process_Stock[[#This Row],[IS_Parameter_type]]</f>
        <v/>
      </c>
    </row>
    <row r="34">
      <c r="A34" t="b">
        <v>0</v>
      </c>
      <c r="B34">
        <f>ROW()-1</f>
        <v/>
      </c>
      <c r="C34">
        <f>"S"&amp;"_"&amp;LEFT(D34,2)</f>
        <v/>
      </c>
      <c r="D34">
        <f>_xlfn.XLOOKUP($E34,Tab_Def_Processes[Process_Name],Tab_Def_Processes[Process_ID],,0,)</f>
        <v/>
      </c>
      <c r="E34" t="inlineStr">
        <is>
          <t>N.A.</t>
        </is>
      </c>
      <c r="F34">
        <f>_xlfn.XLOOKUP($E34,Tab_Def_Processes[Process_Name],Tab_Def_Processes[Process_Logic],,0,)</f>
        <v/>
      </c>
      <c r="G34">
        <f>_xlfn.XLOOKUP($E34,Tab_Def_Processes[Process_Name],Tab_Def_Processes[TC_Configuration],,0,)</f>
        <v/>
      </c>
      <c r="H34">
        <f>_xlfn.XLOOKUP($E34,Tab_Def_Processes[Process_Name],Tab_Def_Processes[Stock_Configuration],,0,)</f>
        <v/>
      </c>
      <c r="I34">
        <f>_xlfn.XLOOKUP($E34,Tab_Def_Processes[Process_Name],Tab_Def_Processes[Outflow_count],,0,)</f>
        <v/>
      </c>
      <c r="J34">
        <f>Tab_Process_Stock[[#This Row],[Stock_ID]]&amp;"_"&amp;Tab_Process_Stock[[#This Row],[IS_Parameter_type]]</f>
        <v/>
      </c>
    </row>
    <row r="35">
      <c r="A35" t="b">
        <v>0</v>
      </c>
      <c r="B35">
        <f>ROW()-1</f>
        <v/>
      </c>
      <c r="C35">
        <f>"S"&amp;"_"&amp;LEFT(D35,2)</f>
        <v/>
      </c>
      <c r="D35">
        <f>_xlfn.XLOOKUP($E35,Tab_Def_Processes[Process_Name],Tab_Def_Processes[Process_ID],,0,)</f>
        <v/>
      </c>
      <c r="E35" t="inlineStr">
        <is>
          <t>N.A.</t>
        </is>
      </c>
      <c r="F35">
        <f>_xlfn.XLOOKUP($E35,Tab_Def_Processes[Process_Name],Tab_Def_Processes[Process_Logic],,0,)</f>
        <v/>
      </c>
      <c r="G35">
        <f>_xlfn.XLOOKUP($E35,Tab_Def_Processes[Process_Name],Tab_Def_Processes[TC_Configuration],,0,)</f>
        <v/>
      </c>
      <c r="H35">
        <f>_xlfn.XLOOKUP($E35,Tab_Def_Processes[Process_Name],Tab_Def_Processes[Stock_Configuration],,0,)</f>
        <v/>
      </c>
      <c r="I35">
        <f>_xlfn.XLOOKUP($E35,Tab_Def_Processes[Process_Name],Tab_Def_Processes[Outflow_count],,0,)</f>
        <v/>
      </c>
      <c r="J35">
        <f>Tab_Process_Stock[[#This Row],[Stock_ID]]&amp;"_"&amp;Tab_Process_Stock[[#This Row],[IS_Parameter_type]]</f>
        <v/>
      </c>
    </row>
    <row r="36">
      <c r="A36" t="b">
        <v>0</v>
      </c>
      <c r="B36">
        <f>ROW()-1</f>
        <v/>
      </c>
      <c r="C36">
        <f>"S"&amp;"_"&amp;LEFT(D36,2)</f>
        <v/>
      </c>
      <c r="D36">
        <f>_xlfn.XLOOKUP($E36,Tab_Def_Processes[Process_Name],Tab_Def_Processes[Process_ID],,0,)</f>
        <v/>
      </c>
      <c r="E36" t="inlineStr">
        <is>
          <t>N.A.</t>
        </is>
      </c>
      <c r="F36">
        <f>_xlfn.XLOOKUP($E36,Tab_Def_Processes[Process_Name],Tab_Def_Processes[Process_Logic],,0,)</f>
        <v/>
      </c>
      <c r="G36">
        <f>_xlfn.XLOOKUP($E36,Tab_Def_Processes[Process_Name],Tab_Def_Processes[TC_Configuration],,0,)</f>
        <v/>
      </c>
      <c r="H36">
        <f>_xlfn.XLOOKUP($E36,Tab_Def_Processes[Process_Name],Tab_Def_Processes[Stock_Configuration],,0,)</f>
        <v/>
      </c>
      <c r="I36">
        <f>_xlfn.XLOOKUP($E36,Tab_Def_Processes[Process_Name],Tab_Def_Processes[Outflow_count],,0,)</f>
        <v/>
      </c>
      <c r="J36">
        <f>Tab_Process_Stock[[#This Row],[Stock_ID]]&amp;"_"&amp;Tab_Process_Stock[[#This Row],[IS_Parameter_type]]</f>
        <v/>
      </c>
    </row>
    <row r="37">
      <c r="A37" t="b">
        <v>0</v>
      </c>
      <c r="B37">
        <f>ROW()-1</f>
        <v/>
      </c>
      <c r="C37">
        <f>"S"&amp;"_"&amp;LEFT(D37,2)</f>
        <v/>
      </c>
      <c r="D37">
        <f>_xlfn.XLOOKUP($E37,Tab_Def_Processes[Process_Name],Tab_Def_Processes[Process_ID],,0,)</f>
        <v/>
      </c>
      <c r="E37" t="inlineStr">
        <is>
          <t>N.A.</t>
        </is>
      </c>
      <c r="F37">
        <f>_xlfn.XLOOKUP($E37,Tab_Def_Processes[Process_Name],Tab_Def_Processes[Process_Logic],,0,)</f>
        <v/>
      </c>
      <c r="G37">
        <f>_xlfn.XLOOKUP($E37,Tab_Def_Processes[Process_Name],Tab_Def_Processes[TC_Configuration],,0,)</f>
        <v/>
      </c>
      <c r="H37">
        <f>_xlfn.XLOOKUP($E37,Tab_Def_Processes[Process_Name],Tab_Def_Processes[Stock_Configuration],,0,)</f>
        <v/>
      </c>
      <c r="I37">
        <f>_xlfn.XLOOKUP($E37,Tab_Def_Processes[Process_Name],Tab_Def_Processes[Outflow_count],,0,)</f>
        <v/>
      </c>
      <c r="J37">
        <f>Tab_Process_Stock[[#This Row],[Stock_ID]]&amp;"_"&amp;Tab_Process_Stock[[#This Row],[IS_Parameter_type]]</f>
        <v/>
      </c>
    </row>
    <row r="38">
      <c r="A38" t="b">
        <v>0</v>
      </c>
      <c r="B38">
        <f>ROW()-1</f>
        <v/>
      </c>
      <c r="C38">
        <f>"S"&amp;"_"&amp;LEFT(D38,2)</f>
        <v/>
      </c>
      <c r="D38">
        <f>_xlfn.XLOOKUP($E38,Tab_Def_Processes[Process_Name],Tab_Def_Processes[Process_ID],,0,)</f>
        <v/>
      </c>
      <c r="E38" t="inlineStr">
        <is>
          <t>N.A.</t>
        </is>
      </c>
      <c r="F38">
        <f>_xlfn.XLOOKUP($E38,Tab_Def_Processes[Process_Name],Tab_Def_Processes[Process_Logic],,0,)</f>
        <v/>
      </c>
      <c r="G38">
        <f>_xlfn.XLOOKUP($E38,Tab_Def_Processes[Process_Name],Tab_Def_Processes[TC_Configuration],,0,)</f>
        <v/>
      </c>
      <c r="H38">
        <f>_xlfn.XLOOKUP($E38,Tab_Def_Processes[Process_Name],Tab_Def_Processes[Stock_Configuration],,0,)</f>
        <v/>
      </c>
      <c r="I38">
        <f>_xlfn.XLOOKUP($E38,Tab_Def_Processes[Process_Name],Tab_Def_Processes[Outflow_count],,0,)</f>
        <v/>
      </c>
      <c r="J38">
        <f>Tab_Process_Stock[[#This Row],[Stock_ID]]&amp;"_"&amp;Tab_Process_Stock[[#This Row],[IS_Parameter_type]]</f>
        <v/>
      </c>
    </row>
    <row r="39">
      <c r="A39" t="b">
        <v>0</v>
      </c>
      <c r="B39">
        <f>ROW()-1</f>
        <v/>
      </c>
      <c r="C39">
        <f>"S"&amp;"_"&amp;LEFT(D39,2)</f>
        <v/>
      </c>
      <c r="D39">
        <f>_xlfn.XLOOKUP($E39,Tab_Def_Processes[Process_Name],Tab_Def_Processes[Process_ID],,0,)</f>
        <v/>
      </c>
      <c r="E39" t="inlineStr">
        <is>
          <t>N.A.</t>
        </is>
      </c>
      <c r="F39">
        <f>_xlfn.XLOOKUP($E39,Tab_Def_Processes[Process_Name],Tab_Def_Processes[Process_Logic],,0,)</f>
        <v/>
      </c>
      <c r="G39">
        <f>_xlfn.XLOOKUP($E39,Tab_Def_Processes[Process_Name],Tab_Def_Processes[TC_Configuration],,0,)</f>
        <v/>
      </c>
      <c r="H39">
        <f>_xlfn.XLOOKUP($E39,Tab_Def_Processes[Process_Name],Tab_Def_Processes[Stock_Configuration],,0,)</f>
        <v/>
      </c>
      <c r="I39">
        <f>_xlfn.XLOOKUP($E39,Tab_Def_Processes[Process_Name],Tab_Def_Processes[Outflow_count],,0,)</f>
        <v/>
      </c>
      <c r="J39">
        <f>Tab_Process_Stock[[#This Row],[Stock_ID]]&amp;"_"&amp;Tab_Process_Stock[[#This Row],[IS_Parameter_type]]</f>
        <v/>
      </c>
    </row>
    <row r="40">
      <c r="A40" t="b">
        <v>0</v>
      </c>
      <c r="B40">
        <f>ROW()-1</f>
        <v/>
      </c>
      <c r="C40">
        <f>"S"&amp;"_"&amp;LEFT(D40,2)</f>
        <v/>
      </c>
      <c r="D40">
        <f>_xlfn.XLOOKUP($E40,Tab_Def_Processes[Process_Name],Tab_Def_Processes[Process_ID],,0,)</f>
        <v/>
      </c>
      <c r="E40" t="inlineStr">
        <is>
          <t>N.A.</t>
        </is>
      </c>
      <c r="F40">
        <f>_xlfn.XLOOKUP($E40,Tab_Def_Processes[Process_Name],Tab_Def_Processes[Process_Logic],,0,)</f>
        <v/>
      </c>
      <c r="G40">
        <f>_xlfn.XLOOKUP($E40,Tab_Def_Processes[Process_Name],Tab_Def_Processes[TC_Configuration],,0,)</f>
        <v/>
      </c>
      <c r="H40">
        <f>_xlfn.XLOOKUP($E40,Tab_Def_Processes[Process_Name],Tab_Def_Processes[Stock_Configuration],,0,)</f>
        <v/>
      </c>
      <c r="I40">
        <f>_xlfn.XLOOKUP($E40,Tab_Def_Processes[Process_Name],Tab_Def_Processes[Outflow_count],,0,)</f>
        <v/>
      </c>
      <c r="J40">
        <f>Tab_Process_Stock[[#This Row],[Stock_ID]]&amp;"_"&amp;Tab_Process_Stock[[#This Row],[IS_Parameter_type]]</f>
        <v/>
      </c>
    </row>
    <row r="41">
      <c r="A41" t="b">
        <v>0</v>
      </c>
      <c r="B41">
        <f>ROW()-1</f>
        <v/>
      </c>
      <c r="C41">
        <f>"S"&amp;"_"&amp;LEFT(D41,2)</f>
        <v/>
      </c>
      <c r="D41">
        <f>_xlfn.XLOOKUP($E41,Tab_Def_Processes[Process_Name],Tab_Def_Processes[Process_ID],,0,)</f>
        <v/>
      </c>
      <c r="E41" t="inlineStr">
        <is>
          <t>N.A.</t>
        </is>
      </c>
      <c r="F41">
        <f>_xlfn.XLOOKUP($E41,Tab_Def_Processes[Process_Name],Tab_Def_Processes[Process_Logic],,0,)</f>
        <v/>
      </c>
      <c r="G41">
        <f>_xlfn.XLOOKUP($E41,Tab_Def_Processes[Process_Name],Tab_Def_Processes[TC_Configuration],,0,)</f>
        <v/>
      </c>
      <c r="H41">
        <f>_xlfn.XLOOKUP($E41,Tab_Def_Processes[Process_Name],Tab_Def_Processes[Stock_Configuration],,0,)</f>
        <v/>
      </c>
      <c r="I41">
        <f>_xlfn.XLOOKUP($E41,Tab_Def_Processes[Process_Name],Tab_Def_Processes[Outflow_count],,0,)</f>
        <v/>
      </c>
      <c r="J41">
        <f>Tab_Process_Stock[[#This Row],[Stock_ID]]&amp;"_"&amp;Tab_Process_Stock[[#This Row],[IS_Parameter_type]]</f>
        <v/>
      </c>
    </row>
    <row r="42">
      <c r="A42" t="b">
        <v>0</v>
      </c>
      <c r="B42">
        <f>ROW()-1</f>
        <v/>
      </c>
      <c r="C42">
        <f>"S"&amp;"_"&amp;LEFT(D42,2)</f>
        <v/>
      </c>
      <c r="D42">
        <f>_xlfn.XLOOKUP($E42,Tab_Def_Processes[Process_Name],Tab_Def_Processes[Process_ID],,0,)</f>
        <v/>
      </c>
      <c r="E42" t="inlineStr">
        <is>
          <t>N.A.</t>
        </is>
      </c>
      <c r="F42">
        <f>_xlfn.XLOOKUP($E42,Tab_Def_Processes[Process_Name],Tab_Def_Processes[Process_Logic],,0,)</f>
        <v/>
      </c>
      <c r="G42">
        <f>_xlfn.XLOOKUP($E42,Tab_Def_Processes[Process_Name],Tab_Def_Processes[TC_Configuration],,0,)</f>
        <v/>
      </c>
      <c r="H42">
        <f>_xlfn.XLOOKUP($E42,Tab_Def_Processes[Process_Name],Tab_Def_Processes[Stock_Configuration],,0,)</f>
        <v/>
      </c>
      <c r="I42">
        <f>_xlfn.XLOOKUP($E42,Tab_Def_Processes[Process_Name],Tab_Def_Processes[Outflow_count],,0,)</f>
        <v/>
      </c>
      <c r="J42">
        <f>Tab_Process_Stock[[#This Row],[Stock_ID]]&amp;"_"&amp;Tab_Process_Stock[[#This Row],[IS_Parameter_type]]</f>
        <v/>
      </c>
    </row>
    <row r="43">
      <c r="A43" t="b">
        <v>0</v>
      </c>
      <c r="B43">
        <f>ROW()-1</f>
        <v/>
      </c>
      <c r="C43">
        <f>"S"&amp;"_"&amp;LEFT(D43,2)</f>
        <v/>
      </c>
      <c r="D43">
        <f>_xlfn.XLOOKUP($E43,Tab_Def_Processes[Process_Name],Tab_Def_Processes[Process_ID],,0,)</f>
        <v/>
      </c>
      <c r="E43" t="inlineStr">
        <is>
          <t>N.A.</t>
        </is>
      </c>
      <c r="F43">
        <f>_xlfn.XLOOKUP($E43,Tab_Def_Processes[Process_Name],Tab_Def_Processes[Process_Logic],,0,)</f>
        <v/>
      </c>
      <c r="G43">
        <f>_xlfn.XLOOKUP($E43,Tab_Def_Processes[Process_Name],Tab_Def_Processes[TC_Configuration],,0,)</f>
        <v/>
      </c>
      <c r="H43">
        <f>_xlfn.XLOOKUP($E43,Tab_Def_Processes[Process_Name],Tab_Def_Processes[Stock_Configuration],,0,)</f>
        <v/>
      </c>
      <c r="I43">
        <f>_xlfn.XLOOKUP($E43,Tab_Def_Processes[Process_Name],Tab_Def_Processes[Outflow_count],,0,)</f>
        <v/>
      </c>
      <c r="J43">
        <f>Tab_Process_Stock[[#This Row],[Stock_ID]]&amp;"_"&amp;Tab_Process_Stock[[#This Row],[IS_Parameter_type]]</f>
        <v/>
      </c>
    </row>
    <row r="44">
      <c r="A44" t="b">
        <v>0</v>
      </c>
      <c r="B44">
        <f>ROW()-1</f>
        <v/>
      </c>
      <c r="C44">
        <f>"S"&amp;"_"&amp;LEFT(D44,2)</f>
        <v/>
      </c>
      <c r="D44">
        <f>_xlfn.XLOOKUP($E44,Tab_Def_Processes[Process_Name],Tab_Def_Processes[Process_ID],,0,)</f>
        <v/>
      </c>
      <c r="E44" t="inlineStr">
        <is>
          <t>N.A.</t>
        </is>
      </c>
      <c r="F44">
        <f>_xlfn.XLOOKUP($E44,Tab_Def_Processes[Process_Name],Tab_Def_Processes[Process_Logic],,0,)</f>
        <v/>
      </c>
      <c r="G44">
        <f>_xlfn.XLOOKUP($E44,Tab_Def_Processes[Process_Name],Tab_Def_Processes[TC_Configuration],,0,)</f>
        <v/>
      </c>
      <c r="H44">
        <f>_xlfn.XLOOKUP($E44,Tab_Def_Processes[Process_Name],Tab_Def_Processes[Stock_Configuration],,0,)</f>
        <v/>
      </c>
      <c r="I44">
        <f>_xlfn.XLOOKUP($E44,Tab_Def_Processes[Process_Name],Tab_Def_Processes[Outflow_count],,0,)</f>
        <v/>
      </c>
      <c r="J44">
        <f>Tab_Process_Stock[[#This Row],[Stock_ID]]&amp;"_"&amp;Tab_Process_Stock[[#This Row],[IS_Parameter_type]]</f>
        <v/>
      </c>
    </row>
    <row r="45">
      <c r="A45" t="b">
        <v>0</v>
      </c>
      <c r="B45">
        <f>ROW()-1</f>
        <v/>
      </c>
      <c r="C45">
        <f>"S"&amp;"_"&amp;LEFT(D45,2)</f>
        <v/>
      </c>
      <c r="D45">
        <f>_xlfn.XLOOKUP($E45,Tab_Def_Processes[Process_Name],Tab_Def_Processes[Process_ID],,0,)</f>
        <v/>
      </c>
      <c r="E45" t="inlineStr">
        <is>
          <t>N.A.</t>
        </is>
      </c>
      <c r="F45">
        <f>_xlfn.XLOOKUP($E45,Tab_Def_Processes[Process_Name],Tab_Def_Processes[Process_Logic],,0,)</f>
        <v/>
      </c>
      <c r="G45">
        <f>_xlfn.XLOOKUP($E45,Tab_Def_Processes[Process_Name],Tab_Def_Processes[TC_Configuration],,0,)</f>
        <v/>
      </c>
      <c r="H45">
        <f>_xlfn.XLOOKUP($E45,Tab_Def_Processes[Process_Name],Tab_Def_Processes[Stock_Configuration],,0,)</f>
        <v/>
      </c>
      <c r="I45">
        <f>_xlfn.XLOOKUP($E45,Tab_Def_Processes[Process_Name],Tab_Def_Processes[Outflow_count],,0,)</f>
        <v/>
      </c>
      <c r="J45">
        <f>Tab_Process_Stock[[#This Row],[Stock_ID]]&amp;"_"&amp;Tab_Process_Stock[[#This Row],[IS_Parameter_type]]</f>
        <v/>
      </c>
    </row>
    <row r="46">
      <c r="A46" t="b">
        <v>0</v>
      </c>
      <c r="B46">
        <f>ROW()-1</f>
        <v/>
      </c>
      <c r="C46">
        <f>"S"&amp;"_"&amp;LEFT(D46,2)</f>
        <v/>
      </c>
      <c r="D46">
        <f>_xlfn.XLOOKUP($E46,Tab_Def_Processes[Process_Name],Tab_Def_Processes[Process_ID],,0,)</f>
        <v/>
      </c>
      <c r="E46" t="inlineStr">
        <is>
          <t>N.A.</t>
        </is>
      </c>
      <c r="F46">
        <f>_xlfn.XLOOKUP($E46,Tab_Def_Processes[Process_Name],Tab_Def_Processes[Process_Logic],,0,)</f>
        <v/>
      </c>
      <c r="G46">
        <f>_xlfn.XLOOKUP($E46,Tab_Def_Processes[Process_Name],Tab_Def_Processes[TC_Configuration],,0,)</f>
        <v/>
      </c>
      <c r="H46">
        <f>_xlfn.XLOOKUP($E46,Tab_Def_Processes[Process_Name],Tab_Def_Processes[Stock_Configuration],,0,)</f>
        <v/>
      </c>
      <c r="I46">
        <f>_xlfn.XLOOKUP($E46,Tab_Def_Processes[Process_Name],Tab_Def_Processes[Outflow_count],,0,)</f>
        <v/>
      </c>
      <c r="J46">
        <f>Tab_Process_Stock[[#This Row],[Stock_ID]]&amp;"_"&amp;Tab_Process_Stock[[#This Row],[IS_Parameter_type]]</f>
        <v/>
      </c>
    </row>
    <row r="47">
      <c r="A47" t="b">
        <v>0</v>
      </c>
      <c r="B47">
        <f>ROW()-1</f>
        <v/>
      </c>
      <c r="C47">
        <f>"S"&amp;"_"&amp;LEFT(D47,2)</f>
        <v/>
      </c>
      <c r="D47">
        <f>_xlfn.XLOOKUP($E47,Tab_Def_Processes[Process_Name],Tab_Def_Processes[Process_ID],,0,)</f>
        <v/>
      </c>
      <c r="E47" t="inlineStr">
        <is>
          <t>N.A.</t>
        </is>
      </c>
      <c r="F47">
        <f>_xlfn.XLOOKUP($E47,Tab_Def_Processes[Process_Name],Tab_Def_Processes[Process_Logic],,0,)</f>
        <v/>
      </c>
      <c r="G47">
        <f>_xlfn.XLOOKUP($E47,Tab_Def_Processes[Process_Name],Tab_Def_Processes[TC_Configuration],,0,)</f>
        <v/>
      </c>
      <c r="H47">
        <f>_xlfn.XLOOKUP($E47,Tab_Def_Processes[Process_Name],Tab_Def_Processes[Stock_Configuration],,0,)</f>
        <v/>
      </c>
      <c r="I47">
        <f>_xlfn.XLOOKUP($E47,Tab_Def_Processes[Process_Name],Tab_Def_Processes[Outflow_count],,0,)</f>
        <v/>
      </c>
      <c r="J47">
        <f>Tab_Process_Stock[[#This Row],[Stock_ID]]&amp;"_"&amp;Tab_Process_Stock[[#This Row],[IS_Parameter_type]]</f>
        <v/>
      </c>
    </row>
    <row r="48">
      <c r="A48" t="b">
        <v>0</v>
      </c>
      <c r="B48">
        <f>ROW()-1</f>
        <v/>
      </c>
      <c r="C48">
        <f>"S"&amp;"_"&amp;LEFT(D48,2)</f>
        <v/>
      </c>
      <c r="D48">
        <f>_xlfn.XLOOKUP($E48,Tab_Def_Processes[Process_Name],Tab_Def_Processes[Process_ID],,0,)</f>
        <v/>
      </c>
      <c r="E48" t="inlineStr">
        <is>
          <t>N.A.</t>
        </is>
      </c>
      <c r="F48">
        <f>_xlfn.XLOOKUP($E48,Tab_Def_Processes[Process_Name],Tab_Def_Processes[Process_Logic],,0,)</f>
        <v/>
      </c>
      <c r="G48">
        <f>_xlfn.XLOOKUP($E48,Tab_Def_Processes[Process_Name],Tab_Def_Processes[TC_Configuration],,0,)</f>
        <v/>
      </c>
      <c r="H48">
        <f>_xlfn.XLOOKUP($E48,Tab_Def_Processes[Process_Name],Tab_Def_Processes[Stock_Configuration],,0,)</f>
        <v/>
      </c>
      <c r="I48">
        <f>_xlfn.XLOOKUP($E48,Tab_Def_Processes[Process_Name],Tab_Def_Processes[Outflow_count],,0,)</f>
        <v/>
      </c>
      <c r="J48">
        <f>Tab_Process_Stock[[#This Row],[Stock_ID]]&amp;"_"&amp;Tab_Process_Stock[[#This Row],[IS_Parameter_type]]</f>
        <v/>
      </c>
    </row>
    <row r="49">
      <c r="A49" t="b">
        <v>0</v>
      </c>
      <c r="B49">
        <f>ROW()-1</f>
        <v/>
      </c>
      <c r="C49">
        <f>"S"&amp;"_"&amp;LEFT(D49,2)</f>
        <v/>
      </c>
      <c r="D49">
        <f>_xlfn.XLOOKUP($E49,Tab_Def_Processes[Process_Name],Tab_Def_Processes[Process_ID],,0,)</f>
        <v/>
      </c>
      <c r="E49" t="inlineStr">
        <is>
          <t>N.A.</t>
        </is>
      </c>
      <c r="F49">
        <f>_xlfn.XLOOKUP($E49,Tab_Def_Processes[Process_Name],Tab_Def_Processes[Process_Logic],,0,)</f>
        <v/>
      </c>
      <c r="G49">
        <f>_xlfn.XLOOKUP($E49,Tab_Def_Processes[Process_Name],Tab_Def_Processes[TC_Configuration],,0,)</f>
        <v/>
      </c>
      <c r="H49">
        <f>_xlfn.XLOOKUP($E49,Tab_Def_Processes[Process_Name],Tab_Def_Processes[Stock_Configuration],,0,)</f>
        <v/>
      </c>
      <c r="I49">
        <f>_xlfn.XLOOKUP($E49,Tab_Def_Processes[Process_Name],Tab_Def_Processes[Outflow_count],,0,)</f>
        <v/>
      </c>
      <c r="J49">
        <f>Tab_Process_Stock[[#This Row],[Stock_ID]]&amp;"_"&amp;Tab_Process_Stock[[#This Row],[IS_Parameter_type]]</f>
        <v/>
      </c>
    </row>
    <row r="50">
      <c r="A50" t="b">
        <v>0</v>
      </c>
      <c r="B50">
        <f>ROW()-1</f>
        <v/>
      </c>
      <c r="C50">
        <f>"S"&amp;"_"&amp;LEFT(D50,2)</f>
        <v/>
      </c>
      <c r="D50">
        <f>_xlfn.XLOOKUP($E50,Tab_Def_Processes[Process_Name],Tab_Def_Processes[Process_ID],,0,)</f>
        <v/>
      </c>
      <c r="E50" t="inlineStr">
        <is>
          <t>N.A.</t>
        </is>
      </c>
      <c r="F50">
        <f>_xlfn.XLOOKUP($E50,Tab_Def_Processes[Process_Name],Tab_Def_Processes[Process_Logic],,0,)</f>
        <v/>
      </c>
      <c r="G50">
        <f>_xlfn.XLOOKUP($E50,Tab_Def_Processes[Process_Name],Tab_Def_Processes[TC_Configuration],,0,)</f>
        <v/>
      </c>
      <c r="H50">
        <f>_xlfn.XLOOKUP($E50,Tab_Def_Processes[Process_Name],Tab_Def_Processes[Stock_Configuration],,0,)</f>
        <v/>
      </c>
      <c r="I50">
        <f>_xlfn.XLOOKUP($E50,Tab_Def_Processes[Process_Name],Tab_Def_Processes[Outflow_count],,0,)</f>
        <v/>
      </c>
      <c r="J50">
        <f>Tab_Process_Stock[[#This Row],[Stock_ID]]&amp;"_"&amp;Tab_Process_Stock[[#This Row],[IS_Parameter_type]]</f>
        <v/>
      </c>
    </row>
    <row r="51">
      <c r="A51" t="b">
        <v>0</v>
      </c>
      <c r="B51">
        <f>ROW()-1</f>
        <v/>
      </c>
      <c r="C51">
        <f>"S"&amp;"_"&amp;LEFT(D51,2)</f>
        <v/>
      </c>
      <c r="D51">
        <f>_xlfn.XLOOKUP($E51,Tab_Def_Processes[Process_Name],Tab_Def_Processes[Process_ID],,0,)</f>
        <v/>
      </c>
      <c r="E51" t="inlineStr">
        <is>
          <t>N.A.</t>
        </is>
      </c>
      <c r="F51">
        <f>_xlfn.XLOOKUP($E51,Tab_Def_Processes[Process_Name],Tab_Def_Processes[Process_Logic],,0,)</f>
        <v/>
      </c>
      <c r="G51">
        <f>_xlfn.XLOOKUP($E51,Tab_Def_Processes[Process_Name],Tab_Def_Processes[TC_Configuration],,0,)</f>
        <v/>
      </c>
      <c r="H51">
        <f>_xlfn.XLOOKUP($E51,Tab_Def_Processes[Process_Name],Tab_Def_Processes[Stock_Configuration],,0,)</f>
        <v/>
      </c>
      <c r="I51">
        <f>_xlfn.XLOOKUP($E51,Tab_Def_Processes[Process_Name],Tab_Def_Processes[Outflow_count],,0,)</f>
        <v/>
      </c>
      <c r="J51">
        <f>Tab_Process_Stock[[#This Row],[Stock_ID]]&amp;"_"&amp;Tab_Process_Stock[[#This Row],[IS_Parameter_type]]</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81"/>
  <sheetViews>
    <sheetView workbookViewId="0">
      <selection activeCell="A1" sqref="A1"/>
    </sheetView>
  </sheetViews>
  <sheetFormatPr baseColWidth="8" defaultRowHeight="15"/>
  <sheetData>
    <row r="1">
      <c r="A1" t="inlineStr">
        <is>
          <t>Complete?</t>
        </is>
      </c>
      <c r="B1" t="inlineStr">
        <is>
          <t>ID</t>
        </is>
      </c>
      <c r="C1" t="inlineStr">
        <is>
          <t>Process_ID</t>
        </is>
      </c>
      <c r="D1" t="inlineStr">
        <is>
          <t>Process_Name</t>
        </is>
      </c>
      <c r="E1" t="inlineStr">
        <is>
          <t>Process_Logic</t>
        </is>
      </c>
      <c r="F1" t="inlineStr">
        <is>
          <t>TC_Configuration</t>
        </is>
      </c>
      <c r="G1" t="inlineStr">
        <is>
          <t>Stock_Configuration</t>
        </is>
      </c>
      <c r="H1" t="inlineStr">
        <is>
          <t>Outflow_count</t>
        </is>
      </c>
      <c r="I1" t="inlineStr">
        <is>
          <t>DSM_material_count</t>
        </is>
      </c>
      <c r="J1" t="inlineStr">
        <is>
          <t>DSM_Parameter_type</t>
        </is>
      </c>
      <c r="K1" t="inlineStr">
        <is>
          <t>DSM_Parameter_ID</t>
        </is>
      </c>
      <c r="L1" t="inlineStr">
        <is>
          <t>DSM_Value</t>
        </is>
      </c>
    </row>
    <row r="2">
      <c r="A2" t="b">
        <v>0</v>
      </c>
      <c r="B2">
        <f>ROW()-1</f>
        <v/>
      </c>
      <c r="C2">
        <f>_xlfn.XLOOKUP($D2,Tab_Def_Processes[Process_Name],Tab_Def_Processes[Process_ID],,0,)</f>
        <v/>
      </c>
      <c r="D2" t="inlineStr">
        <is>
          <t>MBC_Use-Phase</t>
        </is>
      </c>
      <c r="E2">
        <f>_xlfn.XLOOKUP($D2,Tab_Def_Processes[Process_Name],Tab_Def_Processes[Process_Logic],,0,)</f>
        <v/>
      </c>
      <c r="F2">
        <f>_xlfn.XLOOKUP($D2,Tab_Def_Processes[Process_Name],Tab_Def_Processes[TC_Configuration],,0,)</f>
        <v/>
      </c>
      <c r="G2">
        <f>_xlfn.XLOOKUP($D2,Tab_Def_Processes[Process_Name],Tab_Def_Processes[Stock_Configuration],,0,)</f>
        <v/>
      </c>
      <c r="H2">
        <f>_xlfn.XLOOKUP(Tab_DSM[[#This Row],[Process_Name]],Tab_Def_Processes[Process_Name],Tab_Def_Processes[Outflow_count],,0,)</f>
        <v/>
      </c>
      <c r="I2" t="n">
        <v>1</v>
      </c>
      <c r="J2" t="inlineStr">
        <is>
          <t>DSM_Category_Name</t>
        </is>
      </c>
      <c r="K2">
        <f>Tab_DSM[[#This Row],[DSM_Parameter_type]]&amp;"_Cat_"&amp;Tab_DSM[[#This Row],[DSM_material_count]]</f>
        <v/>
      </c>
      <c r="L2" t="inlineStr">
        <is>
          <t xml:space="preserve">Packaging Material of consumer goods </t>
        </is>
      </c>
    </row>
    <row r="3">
      <c r="A3" t="b">
        <v>0</v>
      </c>
      <c r="B3">
        <f>ROW()-1</f>
        <v/>
      </c>
      <c r="C3">
        <f>_xlfn.XLOOKUP($D3,Tab_Def_Processes[Process_Name],Tab_Def_Processes[Process_ID],,0,)</f>
        <v/>
      </c>
      <c r="D3" t="inlineStr">
        <is>
          <t>MBC_Use-Phase</t>
        </is>
      </c>
      <c r="E3">
        <f>_xlfn.XLOOKUP($D3,Tab_Def_Processes[Process_Name],Tab_Def_Processes[Process_Logic],,0,)</f>
        <v/>
      </c>
      <c r="F3">
        <f>_xlfn.XLOOKUP($D3,Tab_Def_Processes[Process_Name],Tab_Def_Processes[TC_Configuration],,0,)</f>
        <v/>
      </c>
      <c r="G3">
        <f>_xlfn.XLOOKUP($D3,Tab_Def_Processes[Process_Name],Tab_Def_Processes[Stock_Configuration],,0,)</f>
        <v/>
      </c>
      <c r="H3">
        <f>_xlfn.XLOOKUP(Tab_DSM[[#This Row],[Process_Name]],Tab_Def_Processes[Process_Name],Tab_Def_Processes[Outflow_count],,0,)</f>
        <v/>
      </c>
      <c r="I3" t="n">
        <v>1</v>
      </c>
      <c r="J3" t="inlineStr">
        <is>
          <t>DSM_Inflow_Split_[%]</t>
        </is>
      </c>
      <c r="K3">
        <f>Tab_DSM[[#This Row],[DSM_Parameter_type]]&amp;"_Cat_"&amp;Tab_DSM[[#This Row],[DSM_material_count]]</f>
        <v/>
      </c>
      <c r="L3" t="inlineStr">
        <is>
          <t>0.6</t>
        </is>
      </c>
    </row>
    <row r="4">
      <c r="A4" t="b">
        <v>0</v>
      </c>
      <c r="B4">
        <f>ROW()-1</f>
        <v/>
      </c>
      <c r="C4">
        <f>_xlfn.XLOOKUP($D4,Tab_Def_Processes[Process_Name],Tab_Def_Processes[Process_ID],,0,)</f>
        <v/>
      </c>
      <c r="D4" t="inlineStr">
        <is>
          <t>MBC_Use-Phase</t>
        </is>
      </c>
      <c r="E4">
        <f>_xlfn.XLOOKUP($D4,Tab_Def_Processes[Process_Name],Tab_Def_Processes[Process_Logic],,0,)</f>
        <v/>
      </c>
      <c r="F4">
        <f>_xlfn.XLOOKUP($D4,Tab_Def_Processes[Process_Name],Tab_Def_Processes[TC_Configuration],,0,)</f>
        <v/>
      </c>
      <c r="G4">
        <f>_xlfn.XLOOKUP($D4,Tab_Def_Processes[Process_Name],Tab_Def_Processes[Stock_Configuration],,0,)</f>
        <v/>
      </c>
      <c r="H4">
        <f>_xlfn.XLOOKUP(Tab_DSM[[#This Row],[Process_Name]],Tab_Def_Processes[Process_Name],Tab_Def_Processes[Outflow_count],,0,)</f>
        <v/>
      </c>
      <c r="I4" t="n">
        <v>1</v>
      </c>
      <c r="J4" t="inlineStr">
        <is>
          <t>DSM_Lifetime_Type</t>
        </is>
      </c>
      <c r="K4">
        <f>Tab_DSM[[#This Row],[DSM_Parameter_type]]&amp;"_Cat_"&amp;Tab_DSM[[#This Row],[DSM_material_count]]</f>
        <v/>
      </c>
      <c r="L4" t="inlineStr">
        <is>
          <t>Normal</t>
        </is>
      </c>
    </row>
    <row r="5">
      <c r="A5" t="b">
        <v>0</v>
      </c>
      <c r="B5">
        <f>ROW()-1</f>
        <v/>
      </c>
      <c r="C5">
        <f>_xlfn.XLOOKUP($D5,Tab_Def_Processes[Process_Name],Tab_Def_Processes[Process_ID],,0,)</f>
        <v/>
      </c>
      <c r="D5" t="inlineStr">
        <is>
          <t>MBC_Use-Phase</t>
        </is>
      </c>
      <c r="E5">
        <f>_xlfn.XLOOKUP($D5,Tab_Def_Processes[Process_Name],Tab_Def_Processes[Process_Logic],,0,)</f>
        <v/>
      </c>
      <c r="F5">
        <f>_xlfn.XLOOKUP($D5,Tab_Def_Processes[Process_Name],Tab_Def_Processes[TC_Configuration],,0,)</f>
        <v/>
      </c>
      <c r="G5">
        <f>_xlfn.XLOOKUP($D5,Tab_Def_Processes[Process_Name],Tab_Def_Processes[Stock_Configuration],,0,)</f>
        <v/>
      </c>
      <c r="H5">
        <f>_xlfn.XLOOKUP(Tab_DSM[[#This Row],[Process_Name]],Tab_Def_Processes[Process_Name],Tab_Def_Processes[Outflow_count],,0,)</f>
        <v/>
      </c>
      <c r="I5" t="n">
        <v>1</v>
      </c>
      <c r="J5" t="inlineStr">
        <is>
          <t>DSM_Lifetime_Mean</t>
        </is>
      </c>
      <c r="K5">
        <f>Tab_DSM[[#This Row],[DSM_Parameter_type]]&amp;"_Cat_"&amp;Tab_DSM[[#This Row],[DSM_material_count]]</f>
        <v/>
      </c>
      <c r="L5" t="n">
        <v>1</v>
      </c>
    </row>
    <row r="6">
      <c r="A6" t="b">
        <v>0</v>
      </c>
      <c r="B6">
        <f>ROW()-1</f>
        <v/>
      </c>
      <c r="C6">
        <f>_xlfn.XLOOKUP($D6,Tab_Def_Processes[Process_Name],Tab_Def_Processes[Process_ID],,0,)</f>
        <v/>
      </c>
      <c r="D6" t="inlineStr">
        <is>
          <t>MBC_Use-Phase</t>
        </is>
      </c>
      <c r="E6">
        <f>_xlfn.XLOOKUP($D6,Tab_Def_Processes[Process_Name],Tab_Def_Processes[Process_Logic],,0,)</f>
        <v/>
      </c>
      <c r="F6">
        <f>_xlfn.XLOOKUP($D6,Tab_Def_Processes[Process_Name],Tab_Def_Processes[TC_Configuration],,0,)</f>
        <v/>
      </c>
      <c r="G6">
        <f>_xlfn.XLOOKUP($D6,Tab_Def_Processes[Process_Name],Tab_Def_Processes[Stock_Configuration],,0,)</f>
        <v/>
      </c>
      <c r="H6">
        <f>_xlfn.XLOOKUP(Tab_DSM[[#This Row],[Process_Name]],Tab_Def_Processes[Process_Name],Tab_Def_Processes[Outflow_count],,0,)</f>
        <v/>
      </c>
      <c r="I6" t="n">
        <v>1</v>
      </c>
      <c r="J6" t="inlineStr">
        <is>
          <t>DSM_Lifetime_StdDev</t>
        </is>
      </c>
      <c r="K6">
        <f>Tab_DSM[[#This Row],[DSM_Parameter_type]]&amp;"_Cat_"&amp;Tab_DSM[[#This Row],[DSM_material_count]]</f>
        <v/>
      </c>
      <c r="L6" t="n">
        <v>1</v>
      </c>
    </row>
    <row r="7">
      <c r="A7" t="b">
        <v>0</v>
      </c>
      <c r="B7">
        <f>ROW()-1</f>
        <v/>
      </c>
      <c r="C7">
        <f>_xlfn.XLOOKUP($D7,Tab_Def_Processes[Process_Name],Tab_Def_Processes[Process_ID],,0,)</f>
        <v/>
      </c>
      <c r="D7" t="inlineStr">
        <is>
          <t>MBC_Use-Phase</t>
        </is>
      </c>
      <c r="E7">
        <f>_xlfn.XLOOKUP($D7,Tab_Def_Processes[Process_Name],Tab_Def_Processes[Process_Logic],,0,)</f>
        <v/>
      </c>
      <c r="F7">
        <f>_xlfn.XLOOKUP($D7,Tab_Def_Processes[Process_Name],Tab_Def_Processes[TC_Configuration],,0,)</f>
        <v/>
      </c>
      <c r="G7">
        <f>_xlfn.XLOOKUP($D7,Tab_Def_Processes[Process_Name],Tab_Def_Processes[Stock_Configuration],,0,)</f>
        <v/>
      </c>
      <c r="H7">
        <f>_xlfn.XLOOKUP(Tab_DSM[[#This Row],[Process_Name]],Tab_Def_Processes[Process_Name],Tab_Def_Processes[Outflow_count],,0,)</f>
        <v/>
      </c>
      <c r="I7" t="n">
        <v>1</v>
      </c>
      <c r="J7" t="inlineStr">
        <is>
          <t>DSM_Output_1_Flow_ID</t>
        </is>
      </c>
      <c r="K7">
        <f>Tab_DSM[[#This Row],[DSM_Parameter_type]]&amp;"_Cat_"&amp;Tab_DSM[[#This Row],[DSM_material_count]]</f>
        <v/>
      </c>
      <c r="L7" t="inlineStr">
        <is>
          <t>F_15_16</t>
        </is>
      </c>
    </row>
    <row r="8">
      <c r="A8" t="b">
        <v>0</v>
      </c>
      <c r="B8">
        <f>ROW()-1</f>
        <v/>
      </c>
      <c r="C8">
        <f>_xlfn.XLOOKUP($D8,Tab_Def_Processes[Process_Name],Tab_Def_Processes[Process_ID],,0,)</f>
        <v/>
      </c>
      <c r="D8" t="inlineStr">
        <is>
          <t>MBC_Use-Phase</t>
        </is>
      </c>
      <c r="E8">
        <f>_xlfn.XLOOKUP($D8,Tab_Def_Processes[Process_Name],Tab_Def_Processes[Process_Logic],,0,)</f>
        <v/>
      </c>
      <c r="F8">
        <f>_xlfn.XLOOKUP($D8,Tab_Def_Processes[Process_Name],Tab_Def_Processes[TC_Configuration],,0,)</f>
        <v/>
      </c>
      <c r="G8">
        <f>_xlfn.XLOOKUP($D8,Tab_Def_Processes[Process_Name],Tab_Def_Processes[Stock_Configuration],,0,)</f>
        <v/>
      </c>
      <c r="H8">
        <f>_xlfn.XLOOKUP(Tab_DSM[[#This Row],[Process_Name]],Tab_Def_Processes[Process_Name],Tab_Def_Processes[Outflow_count],,0,)</f>
        <v/>
      </c>
      <c r="I8" t="n">
        <v>1</v>
      </c>
      <c r="J8" t="inlineStr">
        <is>
          <t>DSM_Output_1_Split_[%]</t>
        </is>
      </c>
      <c r="K8">
        <f>Tab_DSM[[#This Row],[DSM_Parameter_type]]&amp;"_Cat_"&amp;Tab_DSM[[#This Row],[DSM_material_count]]</f>
        <v/>
      </c>
      <c r="L8" t="n">
        <v>1</v>
      </c>
    </row>
    <row r="9">
      <c r="A9" t="b">
        <v>0</v>
      </c>
      <c r="B9">
        <f>ROW()-1</f>
        <v/>
      </c>
      <c r="C9">
        <f>_xlfn.XLOOKUP($D9,Tab_Def_Processes[Process_Name],Tab_Def_Processes[Process_ID],,0,)</f>
        <v/>
      </c>
      <c r="D9" t="inlineStr">
        <is>
          <t>MBC_Use-Phase</t>
        </is>
      </c>
      <c r="E9">
        <f>_xlfn.XLOOKUP($D9,Tab_Def_Processes[Process_Name],Tab_Def_Processes[Process_Logic],,0,)</f>
        <v/>
      </c>
      <c r="F9">
        <f>_xlfn.XLOOKUP($D9,Tab_Def_Processes[Process_Name],Tab_Def_Processes[TC_Configuration],,0,)</f>
        <v/>
      </c>
      <c r="G9">
        <f>_xlfn.XLOOKUP($D9,Tab_Def_Processes[Process_Name],Tab_Def_Processes[Stock_Configuration],,0,)</f>
        <v/>
      </c>
      <c r="H9">
        <f>_xlfn.XLOOKUP(Tab_DSM[[#This Row],[Process_Name]],Tab_Def_Processes[Process_Name],Tab_Def_Processes[Outflow_count],,0,)</f>
        <v/>
      </c>
      <c r="I9" t="n">
        <v>2</v>
      </c>
      <c r="J9" t="inlineStr">
        <is>
          <t>DSM_Category_Name</t>
        </is>
      </c>
      <c r="K9">
        <f>Tab_DSM[[#This Row],[DSM_Parameter_type]]&amp;"_Cat_"&amp;Tab_DSM[[#This Row],[DSM_material_count]]</f>
        <v/>
      </c>
      <c r="L9" t="inlineStr">
        <is>
          <t xml:space="preserve">Panel board </t>
        </is>
      </c>
    </row>
    <row r="10">
      <c r="A10" t="b">
        <v>0</v>
      </c>
      <c r="B10">
        <f>ROW()-1</f>
        <v/>
      </c>
      <c r="C10">
        <f>_xlfn.XLOOKUP($D10,Tab_Def_Processes[Process_Name],Tab_Def_Processes[Process_ID],,0,)</f>
        <v/>
      </c>
      <c r="D10" t="inlineStr">
        <is>
          <t>MBC_Use-Phase</t>
        </is>
      </c>
      <c r="E10">
        <f>_xlfn.XLOOKUP($D10,Tab_Def_Processes[Process_Name],Tab_Def_Processes[Process_Logic],,0,)</f>
        <v/>
      </c>
      <c r="F10">
        <f>_xlfn.XLOOKUP($D10,Tab_Def_Processes[Process_Name],Tab_Def_Processes[TC_Configuration],,0,)</f>
        <v/>
      </c>
      <c r="G10">
        <f>_xlfn.XLOOKUP($D10,Tab_Def_Processes[Process_Name],Tab_Def_Processes[Stock_Configuration],,0,)</f>
        <v/>
      </c>
      <c r="H10">
        <f>_xlfn.XLOOKUP(Tab_DSM[[#This Row],[Process_Name]],Tab_Def_Processes[Process_Name],Tab_Def_Processes[Outflow_count],,0,)</f>
        <v/>
      </c>
      <c r="I10" t="n">
        <v>2</v>
      </c>
      <c r="J10" t="inlineStr">
        <is>
          <t>DSM_Inflow_Split_[%]</t>
        </is>
      </c>
      <c r="K10">
        <f>Tab_DSM[[#This Row],[DSM_Parameter_type]]&amp;"_Cat_"&amp;Tab_DSM[[#This Row],[DSM_material_count]]</f>
        <v/>
      </c>
      <c r="L10" t="inlineStr">
        <is>
          <t>0.2</t>
        </is>
      </c>
    </row>
    <row r="11">
      <c r="A11" t="b">
        <v>0</v>
      </c>
      <c r="B11">
        <f>ROW()-1</f>
        <v/>
      </c>
      <c r="C11">
        <f>_xlfn.XLOOKUP($D11,Tab_Def_Processes[Process_Name],Tab_Def_Processes[Process_ID],,0,)</f>
        <v/>
      </c>
      <c r="D11" t="inlineStr">
        <is>
          <t>MBC_Use-Phase</t>
        </is>
      </c>
      <c r="E11">
        <f>_xlfn.XLOOKUP($D11,Tab_Def_Processes[Process_Name],Tab_Def_Processes[Process_Logic],,0,)</f>
        <v/>
      </c>
      <c r="F11">
        <f>_xlfn.XLOOKUP($D11,Tab_Def_Processes[Process_Name],Tab_Def_Processes[TC_Configuration],,0,)</f>
        <v/>
      </c>
      <c r="G11">
        <f>_xlfn.XLOOKUP($D11,Tab_Def_Processes[Process_Name],Tab_Def_Processes[Stock_Configuration],,0,)</f>
        <v/>
      </c>
      <c r="H11">
        <f>_xlfn.XLOOKUP(Tab_DSM[[#This Row],[Process_Name]],Tab_Def_Processes[Process_Name],Tab_Def_Processes[Outflow_count],,0,)</f>
        <v/>
      </c>
      <c r="I11" t="n">
        <v>2</v>
      </c>
      <c r="J11" t="inlineStr">
        <is>
          <t>DSM_Lifetime_Type</t>
        </is>
      </c>
      <c r="K11">
        <f>Tab_DSM[[#This Row],[DSM_Parameter_type]]&amp;"_Cat_"&amp;Tab_DSM[[#This Row],[DSM_material_count]]</f>
        <v/>
      </c>
      <c r="L11" t="inlineStr">
        <is>
          <t>Normal</t>
        </is>
      </c>
    </row>
    <row r="12">
      <c r="A12" t="b">
        <v>0</v>
      </c>
      <c r="B12">
        <f>ROW()-1</f>
        <v/>
      </c>
      <c r="C12">
        <f>_xlfn.XLOOKUP($D12,Tab_Def_Processes[Process_Name],Tab_Def_Processes[Process_ID],,0,)</f>
        <v/>
      </c>
      <c r="D12" t="inlineStr">
        <is>
          <t>MBC_Use-Phase</t>
        </is>
      </c>
      <c r="E12">
        <f>_xlfn.XLOOKUP($D12,Tab_Def_Processes[Process_Name],Tab_Def_Processes[Process_Logic],,0,)</f>
        <v/>
      </c>
      <c r="F12">
        <f>_xlfn.XLOOKUP($D12,Tab_Def_Processes[Process_Name],Tab_Def_Processes[TC_Configuration],,0,)</f>
        <v/>
      </c>
      <c r="G12">
        <f>_xlfn.XLOOKUP($D12,Tab_Def_Processes[Process_Name],Tab_Def_Processes[Stock_Configuration],,0,)</f>
        <v/>
      </c>
      <c r="H12">
        <f>_xlfn.XLOOKUP(Tab_DSM[[#This Row],[Process_Name]],Tab_Def_Processes[Process_Name],Tab_Def_Processes[Outflow_count],,0,)</f>
        <v/>
      </c>
      <c r="I12" t="n">
        <v>2</v>
      </c>
      <c r="J12" t="inlineStr">
        <is>
          <t>DSM_Lifetime_Mean</t>
        </is>
      </c>
      <c r="K12">
        <f>Tab_DSM[[#This Row],[DSM_Parameter_type]]&amp;"_Cat_"&amp;Tab_DSM[[#This Row],[DSM_material_count]]</f>
        <v/>
      </c>
      <c r="L12" t="n">
        <v>5</v>
      </c>
    </row>
    <row r="13">
      <c r="A13" t="b">
        <v>0</v>
      </c>
      <c r="B13">
        <f>ROW()-1</f>
        <v/>
      </c>
      <c r="C13">
        <f>_xlfn.XLOOKUP($D13,Tab_Def_Processes[Process_Name],Tab_Def_Processes[Process_ID],,0,)</f>
        <v/>
      </c>
      <c r="D13" t="inlineStr">
        <is>
          <t>MBC_Use-Phase</t>
        </is>
      </c>
      <c r="E13">
        <f>_xlfn.XLOOKUP($D13,Tab_Def_Processes[Process_Name],Tab_Def_Processes[Process_Logic],,0,)</f>
        <v/>
      </c>
      <c r="F13">
        <f>_xlfn.XLOOKUP($D13,Tab_Def_Processes[Process_Name],Tab_Def_Processes[TC_Configuration],,0,)</f>
        <v/>
      </c>
      <c r="G13">
        <f>_xlfn.XLOOKUP($D13,Tab_Def_Processes[Process_Name],Tab_Def_Processes[Stock_Configuration],,0,)</f>
        <v/>
      </c>
      <c r="H13">
        <f>_xlfn.XLOOKUP(Tab_DSM[[#This Row],[Process_Name]],Tab_Def_Processes[Process_Name],Tab_Def_Processes[Outflow_count],,0,)</f>
        <v/>
      </c>
      <c r="I13" t="n">
        <v>2</v>
      </c>
      <c r="J13" t="inlineStr">
        <is>
          <t>DSM_Lifetime_StdDev</t>
        </is>
      </c>
      <c r="K13">
        <f>Tab_DSM[[#This Row],[DSM_Parameter_type]]&amp;"_Cat_"&amp;Tab_DSM[[#This Row],[DSM_material_count]]</f>
        <v/>
      </c>
      <c r="L13" t="n">
        <v>2</v>
      </c>
    </row>
    <row r="14">
      <c r="A14" t="b">
        <v>0</v>
      </c>
      <c r="B14">
        <f>ROW()-1</f>
        <v/>
      </c>
      <c r="C14">
        <f>_xlfn.XLOOKUP($D14,Tab_Def_Processes[Process_Name],Tab_Def_Processes[Process_ID],,0,)</f>
        <v/>
      </c>
      <c r="D14" t="inlineStr">
        <is>
          <t>MBC_Use-Phase</t>
        </is>
      </c>
      <c r="E14">
        <f>_xlfn.XLOOKUP($D14,Tab_Def_Processes[Process_Name],Tab_Def_Processes[Process_Logic],,0,)</f>
        <v/>
      </c>
      <c r="F14">
        <f>_xlfn.XLOOKUP($D14,Tab_Def_Processes[Process_Name],Tab_Def_Processes[TC_Configuration],,0,)</f>
        <v/>
      </c>
      <c r="G14">
        <f>_xlfn.XLOOKUP($D14,Tab_Def_Processes[Process_Name],Tab_Def_Processes[Stock_Configuration],,0,)</f>
        <v/>
      </c>
      <c r="H14">
        <f>_xlfn.XLOOKUP(Tab_DSM[[#This Row],[Process_Name]],Tab_Def_Processes[Process_Name],Tab_Def_Processes[Outflow_count],,0,)</f>
        <v/>
      </c>
      <c r="I14" t="n">
        <v>2</v>
      </c>
      <c r="J14" t="inlineStr">
        <is>
          <t>DSM_Output_1_Flow_ID</t>
        </is>
      </c>
      <c r="K14">
        <f>Tab_DSM[[#This Row],[DSM_Parameter_type]]&amp;"_Cat_"&amp;Tab_DSM[[#This Row],[DSM_material_count]]</f>
        <v/>
      </c>
      <c r="L14" t="inlineStr">
        <is>
          <t>F_15_16</t>
        </is>
      </c>
    </row>
    <row r="15">
      <c r="A15" t="b">
        <v>0</v>
      </c>
      <c r="B15">
        <f>ROW()-1</f>
        <v/>
      </c>
      <c r="C15">
        <f>_xlfn.XLOOKUP($D15,Tab_Def_Processes[Process_Name],Tab_Def_Processes[Process_ID],,0,)</f>
        <v/>
      </c>
      <c r="D15" t="inlineStr">
        <is>
          <t>MBC_Use-Phase</t>
        </is>
      </c>
      <c r="E15">
        <f>_xlfn.XLOOKUP($D15,Tab_Def_Processes[Process_Name],Tab_Def_Processes[Process_Logic],,0,)</f>
        <v/>
      </c>
      <c r="F15">
        <f>_xlfn.XLOOKUP($D15,Tab_Def_Processes[Process_Name],Tab_Def_Processes[TC_Configuration],,0,)</f>
        <v/>
      </c>
      <c r="G15">
        <f>_xlfn.XLOOKUP($D15,Tab_Def_Processes[Process_Name],Tab_Def_Processes[Stock_Configuration],,0,)</f>
        <v/>
      </c>
      <c r="H15">
        <f>_xlfn.XLOOKUP(Tab_DSM[[#This Row],[Process_Name]],Tab_Def_Processes[Process_Name],Tab_Def_Processes[Outflow_count],,0,)</f>
        <v/>
      </c>
      <c r="I15" t="n">
        <v>2</v>
      </c>
      <c r="J15" t="inlineStr">
        <is>
          <t>DSM_Output_1_Split_[%]</t>
        </is>
      </c>
      <c r="K15">
        <f>Tab_DSM[[#This Row],[DSM_Parameter_type]]&amp;"_Cat_"&amp;Tab_DSM[[#This Row],[DSM_material_count]]</f>
        <v/>
      </c>
      <c r="L15" t="n">
        <v>1</v>
      </c>
    </row>
    <row r="16">
      <c r="A16" t="b">
        <v>0</v>
      </c>
      <c r="B16">
        <f>ROW()-1</f>
        <v/>
      </c>
      <c r="C16">
        <f>_xlfn.XLOOKUP($D16,Tab_Def_Processes[Process_Name],Tab_Def_Processes[Process_ID],,0,)</f>
        <v/>
      </c>
      <c r="D16" t="inlineStr">
        <is>
          <t>MBC_Use-Phase</t>
        </is>
      </c>
      <c r="E16">
        <f>_xlfn.XLOOKUP($D16,Tab_Def_Processes[Process_Name],Tab_Def_Processes[Process_Logic],,0,)</f>
        <v/>
      </c>
      <c r="F16">
        <f>_xlfn.XLOOKUP($D16,Tab_Def_Processes[Process_Name],Tab_Def_Processes[TC_Configuration],,0,)</f>
        <v/>
      </c>
      <c r="G16">
        <f>_xlfn.XLOOKUP($D16,Tab_Def_Processes[Process_Name],Tab_Def_Processes[Stock_Configuration],,0,)</f>
        <v/>
      </c>
      <c r="H16">
        <f>_xlfn.XLOOKUP(Tab_DSM[[#This Row],[Process_Name]],Tab_Def_Processes[Process_Name],Tab_Def_Processes[Outflow_count],,0,)</f>
        <v/>
      </c>
      <c r="I16" t="n">
        <v>3</v>
      </c>
      <c r="J16" t="inlineStr">
        <is>
          <t>DSM_Category_Name</t>
        </is>
      </c>
      <c r="K16">
        <f>Tab_DSM[[#This Row],[DSM_Parameter_type]]&amp;"_Cat_"&amp;Tab_DSM[[#This Row],[DSM_material_count]]</f>
        <v/>
      </c>
      <c r="L16" t="inlineStr">
        <is>
          <t xml:space="preserve">Thermal insulation material,
Construction materials </t>
        </is>
      </c>
    </row>
    <row r="17">
      <c r="A17" t="b">
        <v>0</v>
      </c>
      <c r="B17">
        <f>ROW()-1</f>
        <v/>
      </c>
      <c r="C17">
        <f>_xlfn.XLOOKUP($D17,Tab_Def_Processes[Process_Name],Tab_Def_Processes[Process_ID],,0,)</f>
        <v/>
      </c>
      <c r="D17" t="inlineStr">
        <is>
          <t>MBC_Use-Phase</t>
        </is>
      </c>
      <c r="E17">
        <f>_xlfn.XLOOKUP($D17,Tab_Def_Processes[Process_Name],Tab_Def_Processes[Process_Logic],,0,)</f>
        <v/>
      </c>
      <c r="F17">
        <f>_xlfn.XLOOKUP($D17,Tab_Def_Processes[Process_Name],Tab_Def_Processes[TC_Configuration],,0,)</f>
        <v/>
      </c>
      <c r="G17">
        <f>_xlfn.XLOOKUP($D17,Tab_Def_Processes[Process_Name],Tab_Def_Processes[Stock_Configuration],,0,)</f>
        <v/>
      </c>
      <c r="H17">
        <f>_xlfn.XLOOKUP(Tab_DSM[[#This Row],[Process_Name]],Tab_Def_Processes[Process_Name],Tab_Def_Processes[Outflow_count],,0,)</f>
        <v/>
      </c>
      <c r="I17" t="n">
        <v>3</v>
      </c>
      <c r="J17" t="inlineStr">
        <is>
          <t>DSM_Inflow_Split_[%]</t>
        </is>
      </c>
      <c r="K17">
        <f>Tab_DSM[[#This Row],[DSM_Parameter_type]]&amp;"_Cat_"&amp;Tab_DSM[[#This Row],[DSM_material_count]]</f>
        <v/>
      </c>
      <c r="L17" t="inlineStr">
        <is>
          <t>0.2</t>
        </is>
      </c>
    </row>
    <row r="18">
      <c r="A18" t="b">
        <v>0</v>
      </c>
      <c r="B18">
        <f>ROW()-1</f>
        <v/>
      </c>
      <c r="C18">
        <f>_xlfn.XLOOKUP($D18,Tab_Def_Processes[Process_Name],Tab_Def_Processes[Process_ID],,0,)</f>
        <v/>
      </c>
      <c r="D18" t="inlineStr">
        <is>
          <t>MBC_Use-Phase</t>
        </is>
      </c>
      <c r="E18">
        <f>_xlfn.XLOOKUP($D18,Tab_Def_Processes[Process_Name],Tab_Def_Processes[Process_Logic],,0,)</f>
        <v/>
      </c>
      <c r="F18">
        <f>_xlfn.XLOOKUP($D18,Tab_Def_Processes[Process_Name],Tab_Def_Processes[TC_Configuration],,0,)</f>
        <v/>
      </c>
      <c r="G18">
        <f>_xlfn.XLOOKUP($D18,Tab_Def_Processes[Process_Name],Tab_Def_Processes[Stock_Configuration],,0,)</f>
        <v/>
      </c>
      <c r="H18">
        <f>_xlfn.XLOOKUP(Tab_DSM[[#This Row],[Process_Name]],Tab_Def_Processes[Process_Name],Tab_Def_Processes[Outflow_count],,0,)</f>
        <v/>
      </c>
      <c r="I18" t="n">
        <v>3</v>
      </c>
      <c r="J18" t="inlineStr">
        <is>
          <t>DSM_Lifetime_Type</t>
        </is>
      </c>
      <c r="K18">
        <f>Tab_DSM[[#This Row],[DSM_Parameter_type]]&amp;"_Cat_"&amp;Tab_DSM[[#This Row],[DSM_material_count]]</f>
        <v/>
      </c>
      <c r="L18" t="inlineStr">
        <is>
          <t>Normal</t>
        </is>
      </c>
    </row>
    <row r="19">
      <c r="A19" t="b">
        <v>0</v>
      </c>
      <c r="B19">
        <f>ROW()-1</f>
        <v/>
      </c>
      <c r="C19">
        <f>_xlfn.XLOOKUP($D19,Tab_Def_Processes[Process_Name],Tab_Def_Processes[Process_ID],,0,)</f>
        <v/>
      </c>
      <c r="D19" t="inlineStr">
        <is>
          <t>MBC_Use-Phase</t>
        </is>
      </c>
      <c r="E19">
        <f>_xlfn.XLOOKUP($D19,Tab_Def_Processes[Process_Name],Tab_Def_Processes[Process_Logic],,0,)</f>
        <v/>
      </c>
      <c r="F19">
        <f>_xlfn.XLOOKUP($D19,Tab_Def_Processes[Process_Name],Tab_Def_Processes[TC_Configuration],,0,)</f>
        <v/>
      </c>
      <c r="G19">
        <f>_xlfn.XLOOKUP($D19,Tab_Def_Processes[Process_Name],Tab_Def_Processes[Stock_Configuration],,0,)</f>
        <v/>
      </c>
      <c r="H19">
        <f>_xlfn.XLOOKUP(Tab_DSM[[#This Row],[Process_Name]],Tab_Def_Processes[Process_Name],Tab_Def_Processes[Outflow_count],,0,)</f>
        <v/>
      </c>
      <c r="I19" t="n">
        <v>3</v>
      </c>
      <c r="J19" t="inlineStr">
        <is>
          <t>DSM_Lifetime_Mean</t>
        </is>
      </c>
      <c r="K19">
        <f>Tab_DSM[[#This Row],[DSM_Parameter_type]]&amp;"_Cat_"&amp;Tab_DSM[[#This Row],[DSM_material_count]]</f>
        <v/>
      </c>
      <c r="L19" t="n">
        <v>10</v>
      </c>
    </row>
    <row r="20">
      <c r="A20" t="b">
        <v>0</v>
      </c>
      <c r="B20">
        <f>ROW()-1</f>
        <v/>
      </c>
      <c r="C20">
        <f>_xlfn.XLOOKUP($D20,Tab_Def_Processes[Process_Name],Tab_Def_Processes[Process_ID],,0,)</f>
        <v/>
      </c>
      <c r="D20" t="inlineStr">
        <is>
          <t>MBC_Use-Phase</t>
        </is>
      </c>
      <c r="E20">
        <f>_xlfn.XLOOKUP($D20,Tab_Def_Processes[Process_Name],Tab_Def_Processes[Process_Logic],,0,)</f>
        <v/>
      </c>
      <c r="F20">
        <f>_xlfn.XLOOKUP($D20,Tab_Def_Processes[Process_Name],Tab_Def_Processes[TC_Configuration],,0,)</f>
        <v/>
      </c>
      <c r="G20">
        <f>_xlfn.XLOOKUP($D20,Tab_Def_Processes[Process_Name],Tab_Def_Processes[Stock_Configuration],,0,)</f>
        <v/>
      </c>
      <c r="H20">
        <f>_xlfn.XLOOKUP(Tab_DSM[[#This Row],[Process_Name]],Tab_Def_Processes[Process_Name],Tab_Def_Processes[Outflow_count],,0,)</f>
        <v/>
      </c>
      <c r="I20" t="n">
        <v>3</v>
      </c>
      <c r="J20" t="inlineStr">
        <is>
          <t>DSM_Lifetime_StdDev</t>
        </is>
      </c>
      <c r="K20">
        <f>Tab_DSM[[#This Row],[DSM_Parameter_type]]&amp;"_Cat_"&amp;Tab_DSM[[#This Row],[DSM_material_count]]</f>
        <v/>
      </c>
      <c r="L20" t="n">
        <v>4</v>
      </c>
    </row>
    <row r="21">
      <c r="A21" t="b">
        <v>0</v>
      </c>
      <c r="B21">
        <f>ROW()-1</f>
        <v/>
      </c>
      <c r="C21">
        <f>_xlfn.XLOOKUP($D21,Tab_Def_Processes[Process_Name],Tab_Def_Processes[Process_ID],,0,)</f>
        <v/>
      </c>
      <c r="D21" t="inlineStr">
        <is>
          <t>MBC_Use-Phase</t>
        </is>
      </c>
      <c r="E21">
        <f>_xlfn.XLOOKUP($D21,Tab_Def_Processes[Process_Name],Tab_Def_Processes[Process_Logic],,0,)</f>
        <v/>
      </c>
      <c r="F21">
        <f>_xlfn.XLOOKUP($D21,Tab_Def_Processes[Process_Name],Tab_Def_Processes[TC_Configuration],,0,)</f>
        <v/>
      </c>
      <c r="G21">
        <f>_xlfn.XLOOKUP($D21,Tab_Def_Processes[Process_Name],Tab_Def_Processes[Stock_Configuration],,0,)</f>
        <v/>
      </c>
      <c r="H21">
        <f>_xlfn.XLOOKUP(Tab_DSM[[#This Row],[Process_Name]],Tab_Def_Processes[Process_Name],Tab_Def_Processes[Outflow_count],,0,)</f>
        <v/>
      </c>
      <c r="I21" t="n">
        <v>3</v>
      </c>
      <c r="J21" t="inlineStr">
        <is>
          <t>DSM_Output_1_Flow_ID</t>
        </is>
      </c>
      <c r="K21">
        <f>Tab_DSM[[#This Row],[DSM_Parameter_type]]&amp;"_Cat_"&amp;Tab_DSM[[#This Row],[DSM_material_count]]</f>
        <v/>
      </c>
      <c r="L21" t="inlineStr">
        <is>
          <t>F_15_16</t>
        </is>
      </c>
    </row>
    <row r="22">
      <c r="A22" t="b">
        <v>0</v>
      </c>
      <c r="B22">
        <f>ROW()-1</f>
        <v/>
      </c>
      <c r="C22">
        <f>_xlfn.XLOOKUP($D22,Tab_Def_Processes[Process_Name],Tab_Def_Processes[Process_ID],,0,)</f>
        <v/>
      </c>
      <c r="D22" t="inlineStr">
        <is>
          <t>MBC_Use-Phase</t>
        </is>
      </c>
      <c r="E22">
        <f>_xlfn.XLOOKUP($D22,Tab_Def_Processes[Process_Name],Tab_Def_Processes[Process_Logic],,0,)</f>
        <v/>
      </c>
      <c r="F22">
        <f>_xlfn.XLOOKUP($D22,Tab_Def_Processes[Process_Name],Tab_Def_Processes[TC_Configuration],,0,)</f>
        <v/>
      </c>
      <c r="G22">
        <f>_xlfn.XLOOKUP($D22,Tab_Def_Processes[Process_Name],Tab_Def_Processes[Stock_Configuration],,0,)</f>
        <v/>
      </c>
      <c r="H22">
        <f>_xlfn.XLOOKUP(Tab_DSM[[#This Row],[Process_Name]],Tab_Def_Processes[Process_Name],Tab_Def_Processes[Outflow_count],,0,)</f>
        <v/>
      </c>
      <c r="I22" t="n">
        <v>3</v>
      </c>
      <c r="J22" t="inlineStr">
        <is>
          <t>DSM_Output_1_Split_[%]</t>
        </is>
      </c>
      <c r="K22">
        <f>Tab_DSM[[#This Row],[DSM_Parameter_type]]&amp;"_Cat_"&amp;Tab_DSM[[#This Row],[DSM_material_count]]</f>
        <v/>
      </c>
      <c r="L22" t="n">
        <v>1</v>
      </c>
    </row>
    <row r="23">
      <c r="A23" t="b">
        <v>0</v>
      </c>
      <c r="B23">
        <f>ROW()-1</f>
        <v/>
      </c>
      <c r="C23">
        <f>_xlfn.XLOOKUP($D23,Tab_Def_Processes[Process_Name],Tab_Def_Processes[Process_ID],,0,)</f>
        <v/>
      </c>
      <c r="D23" t="inlineStr">
        <is>
          <t>N.A.</t>
        </is>
      </c>
      <c r="E23">
        <f>_xlfn.XLOOKUP($D23,Tab_Def_Processes[Process_Name],Tab_Def_Processes[Process_Logic],,0,)</f>
        <v/>
      </c>
      <c r="F23">
        <f>_xlfn.XLOOKUP($D23,Tab_Def_Processes[Process_Name],Tab_Def_Processes[TC_Configuration],,0,)</f>
        <v/>
      </c>
      <c r="G23">
        <f>_xlfn.XLOOKUP($D23,Tab_Def_Processes[Process_Name],Tab_Def_Processes[Stock_Configuration],,0,)</f>
        <v/>
      </c>
      <c r="H23">
        <f>_xlfn.XLOOKUP(Tab_DSM[[#This Row],[Process_Name]],Tab_Def_Processes[Process_Name],Tab_Def_Processes[Outflow_count],,0,)</f>
        <v/>
      </c>
      <c r="K23">
        <f>Tab_DSM[[#This Row],[DSM_Parameter_type]]&amp;"_Cat_"&amp;Tab_DSM[[#This Row],[DSM_material_count]]</f>
        <v/>
      </c>
    </row>
    <row r="24">
      <c r="A24" t="b">
        <v>0</v>
      </c>
      <c r="B24">
        <f>ROW()-1</f>
        <v/>
      </c>
      <c r="C24">
        <f>_xlfn.XLOOKUP($D24,Tab_Def_Processes[Process_Name],Tab_Def_Processes[Process_ID],,0,)</f>
        <v/>
      </c>
      <c r="D24" t="inlineStr">
        <is>
          <t>N.A.</t>
        </is>
      </c>
      <c r="E24">
        <f>_xlfn.XLOOKUP($D24,Tab_Def_Processes[Process_Name],Tab_Def_Processes[Process_Logic],,0,)</f>
        <v/>
      </c>
      <c r="F24">
        <f>_xlfn.XLOOKUP($D24,Tab_Def_Processes[Process_Name],Tab_Def_Processes[TC_Configuration],,0,)</f>
        <v/>
      </c>
      <c r="G24">
        <f>_xlfn.XLOOKUP($D24,Tab_Def_Processes[Process_Name],Tab_Def_Processes[Stock_Configuration],,0,)</f>
        <v/>
      </c>
      <c r="H24">
        <f>_xlfn.XLOOKUP(Tab_DSM[[#This Row],[Process_Name]],Tab_Def_Processes[Process_Name],Tab_Def_Processes[Outflow_count],,0,)</f>
        <v/>
      </c>
      <c r="K24">
        <f>Tab_DSM[[#This Row],[DSM_Parameter_type]]&amp;"_Cat_"&amp;Tab_DSM[[#This Row],[DSM_material_count]]</f>
        <v/>
      </c>
    </row>
    <row r="25">
      <c r="A25" t="b">
        <v>0</v>
      </c>
      <c r="B25">
        <f>ROW()-1</f>
        <v/>
      </c>
      <c r="C25">
        <f>_xlfn.XLOOKUP($D25,Tab_Def_Processes[Process_Name],Tab_Def_Processes[Process_ID],,0,)</f>
        <v/>
      </c>
      <c r="D25" t="inlineStr">
        <is>
          <t>N.A.</t>
        </is>
      </c>
      <c r="E25">
        <f>_xlfn.XLOOKUP($D25,Tab_Def_Processes[Process_Name],Tab_Def_Processes[Process_Logic],,0,)</f>
        <v/>
      </c>
      <c r="F25">
        <f>_xlfn.XLOOKUP($D25,Tab_Def_Processes[Process_Name],Tab_Def_Processes[TC_Configuration],,0,)</f>
        <v/>
      </c>
      <c r="G25">
        <f>_xlfn.XLOOKUP($D25,Tab_Def_Processes[Process_Name],Tab_Def_Processes[Stock_Configuration],,0,)</f>
        <v/>
      </c>
      <c r="H25">
        <f>_xlfn.XLOOKUP(Tab_DSM[[#This Row],[Process_Name]],Tab_Def_Processes[Process_Name],Tab_Def_Processes[Outflow_count],,0,)</f>
        <v/>
      </c>
      <c r="K25">
        <f>Tab_DSM[[#This Row],[DSM_Parameter_type]]&amp;"_Cat_"&amp;Tab_DSM[[#This Row],[DSM_material_count]]</f>
        <v/>
      </c>
    </row>
    <row r="26">
      <c r="A26" t="b">
        <v>0</v>
      </c>
      <c r="B26">
        <f>ROW()-1</f>
        <v/>
      </c>
      <c r="C26">
        <f>_xlfn.XLOOKUP($D26,Tab_Def_Processes[Process_Name],Tab_Def_Processes[Process_ID],,0,)</f>
        <v/>
      </c>
      <c r="D26" t="inlineStr">
        <is>
          <t>N.A.</t>
        </is>
      </c>
      <c r="E26">
        <f>_xlfn.XLOOKUP($D26,Tab_Def_Processes[Process_Name],Tab_Def_Processes[Process_Logic],,0,)</f>
        <v/>
      </c>
      <c r="F26">
        <f>_xlfn.XLOOKUP($D26,Tab_Def_Processes[Process_Name],Tab_Def_Processes[TC_Configuration],,0,)</f>
        <v/>
      </c>
      <c r="G26">
        <f>_xlfn.XLOOKUP($D26,Tab_Def_Processes[Process_Name],Tab_Def_Processes[Stock_Configuration],,0,)</f>
        <v/>
      </c>
      <c r="H26">
        <f>_xlfn.XLOOKUP(Tab_DSM[[#This Row],[Process_Name]],Tab_Def_Processes[Process_Name],Tab_Def_Processes[Outflow_count],,0,)</f>
        <v/>
      </c>
      <c r="K26">
        <f>Tab_DSM[[#This Row],[DSM_Parameter_type]]&amp;"_Cat_"&amp;Tab_DSM[[#This Row],[DSM_material_count]]</f>
        <v/>
      </c>
    </row>
    <row r="27">
      <c r="A27" t="b">
        <v>0</v>
      </c>
      <c r="B27">
        <f>ROW()-1</f>
        <v/>
      </c>
      <c r="C27">
        <f>_xlfn.XLOOKUP($D27,Tab_Def_Processes[Process_Name],Tab_Def_Processes[Process_ID],,0,)</f>
        <v/>
      </c>
      <c r="D27" t="inlineStr">
        <is>
          <t>N.A.</t>
        </is>
      </c>
      <c r="E27">
        <f>_xlfn.XLOOKUP($D27,Tab_Def_Processes[Process_Name],Tab_Def_Processes[Process_Logic],,0,)</f>
        <v/>
      </c>
      <c r="F27">
        <f>_xlfn.XLOOKUP($D27,Tab_Def_Processes[Process_Name],Tab_Def_Processes[TC_Configuration],,0,)</f>
        <v/>
      </c>
      <c r="G27">
        <f>_xlfn.XLOOKUP($D27,Tab_Def_Processes[Process_Name],Tab_Def_Processes[Stock_Configuration],,0,)</f>
        <v/>
      </c>
      <c r="H27">
        <f>_xlfn.XLOOKUP(Tab_DSM[[#This Row],[Process_Name]],Tab_Def_Processes[Process_Name],Tab_Def_Processes[Outflow_count],,0,)</f>
        <v/>
      </c>
      <c r="K27">
        <f>Tab_DSM[[#This Row],[DSM_Parameter_type]]&amp;"_Cat_"&amp;Tab_DSM[[#This Row],[DSM_material_count]]</f>
        <v/>
      </c>
    </row>
    <row r="28">
      <c r="A28" t="b">
        <v>0</v>
      </c>
      <c r="B28">
        <f>ROW()-1</f>
        <v/>
      </c>
      <c r="C28">
        <f>_xlfn.XLOOKUP($D28,Tab_Def_Processes[Process_Name],Tab_Def_Processes[Process_ID],,0,)</f>
        <v/>
      </c>
      <c r="D28" t="inlineStr">
        <is>
          <t>N.A.</t>
        </is>
      </c>
      <c r="E28">
        <f>_xlfn.XLOOKUP($D28,Tab_Def_Processes[Process_Name],Tab_Def_Processes[Process_Logic],,0,)</f>
        <v/>
      </c>
      <c r="F28">
        <f>_xlfn.XLOOKUP($D28,Tab_Def_Processes[Process_Name],Tab_Def_Processes[TC_Configuration],,0,)</f>
        <v/>
      </c>
      <c r="G28">
        <f>_xlfn.XLOOKUP($D28,Tab_Def_Processes[Process_Name],Tab_Def_Processes[Stock_Configuration],,0,)</f>
        <v/>
      </c>
      <c r="H28">
        <f>_xlfn.XLOOKUP(Tab_DSM[[#This Row],[Process_Name]],Tab_Def_Processes[Process_Name],Tab_Def_Processes[Outflow_count],,0,)</f>
        <v/>
      </c>
      <c r="K28">
        <f>Tab_DSM[[#This Row],[DSM_Parameter_type]]&amp;"_Cat_"&amp;Tab_DSM[[#This Row],[DSM_material_count]]</f>
        <v/>
      </c>
    </row>
    <row r="29">
      <c r="A29" t="b">
        <v>0</v>
      </c>
      <c r="B29">
        <f>ROW()-1</f>
        <v/>
      </c>
      <c r="C29">
        <f>_xlfn.XLOOKUP($D29,Tab_Def_Processes[Process_Name],Tab_Def_Processes[Process_ID],,0,)</f>
        <v/>
      </c>
      <c r="D29" t="inlineStr">
        <is>
          <t>N.A.</t>
        </is>
      </c>
      <c r="E29">
        <f>_xlfn.XLOOKUP($D29,Tab_Def_Processes[Process_Name],Tab_Def_Processes[Process_Logic],,0,)</f>
        <v/>
      </c>
      <c r="F29">
        <f>_xlfn.XLOOKUP($D29,Tab_Def_Processes[Process_Name],Tab_Def_Processes[TC_Configuration],,0,)</f>
        <v/>
      </c>
      <c r="G29">
        <f>_xlfn.XLOOKUP($D29,Tab_Def_Processes[Process_Name],Tab_Def_Processes[Stock_Configuration],,0,)</f>
        <v/>
      </c>
      <c r="H29">
        <f>_xlfn.XLOOKUP(Tab_DSM[[#This Row],[Process_Name]],Tab_Def_Processes[Process_Name],Tab_Def_Processes[Outflow_count],,0,)</f>
        <v/>
      </c>
      <c r="K29">
        <f>Tab_DSM[[#This Row],[DSM_Parameter_type]]&amp;"_Cat_"&amp;Tab_DSM[[#This Row],[DSM_material_count]]</f>
        <v/>
      </c>
    </row>
    <row r="30">
      <c r="A30" t="b">
        <v>0</v>
      </c>
      <c r="B30">
        <f>ROW()-1</f>
        <v/>
      </c>
      <c r="C30">
        <f>_xlfn.XLOOKUP($D30,Tab_Def_Processes[Process_Name],Tab_Def_Processes[Process_ID],,0,)</f>
        <v/>
      </c>
      <c r="D30" t="inlineStr">
        <is>
          <t>N.A.</t>
        </is>
      </c>
      <c r="E30">
        <f>_xlfn.XLOOKUP($D30,Tab_Def_Processes[Process_Name],Tab_Def_Processes[Process_Logic],,0,)</f>
        <v/>
      </c>
      <c r="F30">
        <f>_xlfn.XLOOKUP($D30,Tab_Def_Processes[Process_Name],Tab_Def_Processes[TC_Configuration],,0,)</f>
        <v/>
      </c>
      <c r="G30">
        <f>_xlfn.XLOOKUP($D30,Tab_Def_Processes[Process_Name],Tab_Def_Processes[Stock_Configuration],,0,)</f>
        <v/>
      </c>
      <c r="H30">
        <f>_xlfn.XLOOKUP(Tab_DSM[[#This Row],[Process_Name]],Tab_Def_Processes[Process_Name],Tab_Def_Processes[Outflow_count],,0,)</f>
        <v/>
      </c>
      <c r="K30">
        <f>Tab_DSM[[#This Row],[DSM_Parameter_type]]&amp;"_Cat_"&amp;Tab_DSM[[#This Row],[DSM_material_count]]</f>
        <v/>
      </c>
    </row>
    <row r="31">
      <c r="A31" t="b">
        <v>0</v>
      </c>
      <c r="B31">
        <f>ROW()-1</f>
        <v/>
      </c>
      <c r="C31">
        <f>_xlfn.XLOOKUP($D31,Tab_Def_Processes[Process_Name],Tab_Def_Processes[Process_ID],,0,)</f>
        <v/>
      </c>
      <c r="D31" t="inlineStr">
        <is>
          <t>N.A.</t>
        </is>
      </c>
      <c r="E31">
        <f>_xlfn.XLOOKUP($D31,Tab_Def_Processes[Process_Name],Tab_Def_Processes[Process_Logic],,0,)</f>
        <v/>
      </c>
      <c r="F31">
        <f>_xlfn.XLOOKUP($D31,Tab_Def_Processes[Process_Name],Tab_Def_Processes[TC_Configuration],,0,)</f>
        <v/>
      </c>
      <c r="G31">
        <f>_xlfn.XLOOKUP($D31,Tab_Def_Processes[Process_Name],Tab_Def_Processes[Stock_Configuration],,0,)</f>
        <v/>
      </c>
      <c r="H31">
        <f>_xlfn.XLOOKUP(Tab_DSM[[#This Row],[Process_Name]],Tab_Def_Processes[Process_Name],Tab_Def_Processes[Outflow_count],,0,)</f>
        <v/>
      </c>
      <c r="K31">
        <f>Tab_DSM[[#This Row],[DSM_Parameter_type]]&amp;"_Cat_"&amp;Tab_DSM[[#This Row],[DSM_material_count]]</f>
        <v/>
      </c>
    </row>
    <row r="32">
      <c r="A32" t="b">
        <v>0</v>
      </c>
      <c r="B32">
        <f>ROW()-1</f>
        <v/>
      </c>
      <c r="C32">
        <f>_xlfn.XLOOKUP($D32,Tab_Def_Processes[Process_Name],Tab_Def_Processes[Process_ID],,0,)</f>
        <v/>
      </c>
      <c r="D32" t="inlineStr">
        <is>
          <t>N.A.</t>
        </is>
      </c>
      <c r="E32">
        <f>_xlfn.XLOOKUP($D32,Tab_Def_Processes[Process_Name],Tab_Def_Processes[Process_Logic],,0,)</f>
        <v/>
      </c>
      <c r="F32">
        <f>_xlfn.XLOOKUP($D32,Tab_Def_Processes[Process_Name],Tab_Def_Processes[TC_Configuration],,0,)</f>
        <v/>
      </c>
      <c r="G32">
        <f>_xlfn.XLOOKUP($D32,Tab_Def_Processes[Process_Name],Tab_Def_Processes[Stock_Configuration],,0,)</f>
        <v/>
      </c>
      <c r="H32">
        <f>_xlfn.XLOOKUP(Tab_DSM[[#This Row],[Process_Name]],Tab_Def_Processes[Process_Name],Tab_Def_Processes[Outflow_count],,0,)</f>
        <v/>
      </c>
      <c r="K32">
        <f>Tab_DSM[[#This Row],[DSM_Parameter_type]]&amp;"_Cat_"&amp;Tab_DSM[[#This Row],[DSM_material_count]]</f>
        <v/>
      </c>
    </row>
    <row r="33">
      <c r="A33" t="b">
        <v>0</v>
      </c>
      <c r="B33">
        <f>ROW()-1</f>
        <v/>
      </c>
      <c r="C33">
        <f>_xlfn.XLOOKUP($D33,Tab_Def_Processes[Process_Name],Tab_Def_Processes[Process_ID],,0,)</f>
        <v/>
      </c>
      <c r="D33" t="inlineStr">
        <is>
          <t>N.A.</t>
        </is>
      </c>
      <c r="E33">
        <f>_xlfn.XLOOKUP($D33,Tab_Def_Processes[Process_Name],Tab_Def_Processes[Process_Logic],,0,)</f>
        <v/>
      </c>
      <c r="F33">
        <f>_xlfn.XLOOKUP($D33,Tab_Def_Processes[Process_Name],Tab_Def_Processes[TC_Configuration],,0,)</f>
        <v/>
      </c>
      <c r="G33">
        <f>_xlfn.XLOOKUP($D33,Tab_Def_Processes[Process_Name],Tab_Def_Processes[Stock_Configuration],,0,)</f>
        <v/>
      </c>
      <c r="H33">
        <f>_xlfn.XLOOKUP(Tab_DSM[[#This Row],[Process_Name]],Tab_Def_Processes[Process_Name],Tab_Def_Processes[Outflow_count],,0,)</f>
        <v/>
      </c>
      <c r="K33">
        <f>Tab_DSM[[#This Row],[DSM_Parameter_type]]&amp;"_Cat_"&amp;Tab_DSM[[#This Row],[DSM_material_count]]</f>
        <v/>
      </c>
    </row>
    <row r="34">
      <c r="A34" t="b">
        <v>0</v>
      </c>
      <c r="B34">
        <f>ROW()-1</f>
        <v/>
      </c>
      <c r="C34">
        <f>_xlfn.XLOOKUP($D34,Tab_Def_Processes[Process_Name],Tab_Def_Processes[Process_ID],,0,)</f>
        <v/>
      </c>
      <c r="D34" t="inlineStr">
        <is>
          <t>N.A.</t>
        </is>
      </c>
      <c r="E34">
        <f>_xlfn.XLOOKUP($D34,Tab_Def_Processes[Process_Name],Tab_Def_Processes[Process_Logic],,0,)</f>
        <v/>
      </c>
      <c r="F34">
        <f>_xlfn.XLOOKUP($D34,Tab_Def_Processes[Process_Name],Tab_Def_Processes[TC_Configuration],,0,)</f>
        <v/>
      </c>
      <c r="G34">
        <f>_xlfn.XLOOKUP($D34,Tab_Def_Processes[Process_Name],Tab_Def_Processes[Stock_Configuration],,0,)</f>
        <v/>
      </c>
      <c r="H34">
        <f>_xlfn.XLOOKUP(Tab_DSM[[#This Row],[Process_Name]],Tab_Def_Processes[Process_Name],Tab_Def_Processes[Outflow_count],,0,)</f>
        <v/>
      </c>
      <c r="K34">
        <f>Tab_DSM[[#This Row],[DSM_Parameter_type]]&amp;"_Cat_"&amp;Tab_DSM[[#This Row],[DSM_material_count]]</f>
        <v/>
      </c>
    </row>
    <row r="35">
      <c r="A35" t="b">
        <v>0</v>
      </c>
      <c r="B35">
        <f>ROW()-1</f>
        <v/>
      </c>
      <c r="C35">
        <f>_xlfn.XLOOKUP($D35,Tab_Def_Processes[Process_Name],Tab_Def_Processes[Process_ID],,0,)</f>
        <v/>
      </c>
      <c r="D35" t="inlineStr">
        <is>
          <t>N.A.</t>
        </is>
      </c>
      <c r="E35">
        <f>_xlfn.XLOOKUP($D35,Tab_Def_Processes[Process_Name],Tab_Def_Processes[Process_Logic],,0,)</f>
        <v/>
      </c>
      <c r="F35">
        <f>_xlfn.XLOOKUP($D35,Tab_Def_Processes[Process_Name],Tab_Def_Processes[TC_Configuration],,0,)</f>
        <v/>
      </c>
      <c r="G35">
        <f>_xlfn.XLOOKUP($D35,Tab_Def_Processes[Process_Name],Tab_Def_Processes[Stock_Configuration],,0,)</f>
        <v/>
      </c>
      <c r="H35">
        <f>_xlfn.XLOOKUP(Tab_DSM[[#This Row],[Process_Name]],Tab_Def_Processes[Process_Name],Tab_Def_Processes[Outflow_count],,0,)</f>
        <v/>
      </c>
      <c r="K35">
        <f>Tab_DSM[[#This Row],[DSM_Parameter_type]]&amp;"_Cat_"&amp;Tab_DSM[[#This Row],[DSM_material_count]]</f>
        <v/>
      </c>
    </row>
    <row r="36">
      <c r="A36" t="b">
        <v>0</v>
      </c>
      <c r="B36">
        <f>ROW()-1</f>
        <v/>
      </c>
      <c r="C36">
        <f>_xlfn.XLOOKUP($D36,Tab_Def_Processes[Process_Name],Tab_Def_Processes[Process_ID],,0,)</f>
        <v/>
      </c>
      <c r="D36" t="inlineStr">
        <is>
          <t>N.A.</t>
        </is>
      </c>
      <c r="E36">
        <f>_xlfn.XLOOKUP($D36,Tab_Def_Processes[Process_Name],Tab_Def_Processes[Process_Logic],,0,)</f>
        <v/>
      </c>
      <c r="F36">
        <f>_xlfn.XLOOKUP($D36,Tab_Def_Processes[Process_Name],Tab_Def_Processes[TC_Configuration],,0,)</f>
        <v/>
      </c>
      <c r="G36">
        <f>_xlfn.XLOOKUP($D36,Tab_Def_Processes[Process_Name],Tab_Def_Processes[Stock_Configuration],,0,)</f>
        <v/>
      </c>
      <c r="H36">
        <f>_xlfn.XLOOKUP(Tab_DSM[[#This Row],[Process_Name]],Tab_Def_Processes[Process_Name],Tab_Def_Processes[Outflow_count],,0,)</f>
        <v/>
      </c>
      <c r="K36">
        <f>Tab_DSM[[#This Row],[DSM_Parameter_type]]&amp;"_Cat_"&amp;Tab_DSM[[#This Row],[DSM_material_count]]</f>
        <v/>
      </c>
    </row>
    <row r="37">
      <c r="A37" t="b">
        <v>0</v>
      </c>
      <c r="B37">
        <f>ROW()-1</f>
        <v/>
      </c>
      <c r="C37">
        <f>_xlfn.XLOOKUP($D37,Tab_Def_Processes[Process_Name],Tab_Def_Processes[Process_ID],,0,)</f>
        <v/>
      </c>
      <c r="D37" t="inlineStr">
        <is>
          <t>N.A.</t>
        </is>
      </c>
      <c r="E37">
        <f>_xlfn.XLOOKUP($D37,Tab_Def_Processes[Process_Name],Tab_Def_Processes[Process_Logic],,0,)</f>
        <v/>
      </c>
      <c r="F37">
        <f>_xlfn.XLOOKUP($D37,Tab_Def_Processes[Process_Name],Tab_Def_Processes[TC_Configuration],,0,)</f>
        <v/>
      </c>
      <c r="G37">
        <f>_xlfn.XLOOKUP($D37,Tab_Def_Processes[Process_Name],Tab_Def_Processes[Stock_Configuration],,0,)</f>
        <v/>
      </c>
      <c r="H37">
        <f>_xlfn.XLOOKUP(Tab_DSM[[#This Row],[Process_Name]],Tab_Def_Processes[Process_Name],Tab_Def_Processes[Outflow_count],,0,)</f>
        <v/>
      </c>
      <c r="K37">
        <f>Tab_DSM[[#This Row],[DSM_Parameter_type]]&amp;"_Cat_"&amp;Tab_DSM[[#This Row],[DSM_material_count]]</f>
        <v/>
      </c>
    </row>
    <row r="38">
      <c r="A38" t="b">
        <v>0</v>
      </c>
      <c r="B38">
        <f>ROW()-1</f>
        <v/>
      </c>
      <c r="C38">
        <f>_xlfn.XLOOKUP($D38,Tab_Def_Processes[Process_Name],Tab_Def_Processes[Process_ID],,0,)</f>
        <v/>
      </c>
      <c r="D38" t="inlineStr">
        <is>
          <t>N.A.</t>
        </is>
      </c>
      <c r="E38">
        <f>_xlfn.XLOOKUP($D38,Tab_Def_Processes[Process_Name],Tab_Def_Processes[Process_Logic],,0,)</f>
        <v/>
      </c>
      <c r="F38">
        <f>_xlfn.XLOOKUP($D38,Tab_Def_Processes[Process_Name],Tab_Def_Processes[TC_Configuration],,0,)</f>
        <v/>
      </c>
      <c r="G38">
        <f>_xlfn.XLOOKUP($D38,Tab_Def_Processes[Process_Name],Tab_Def_Processes[Stock_Configuration],,0,)</f>
        <v/>
      </c>
      <c r="H38">
        <f>_xlfn.XLOOKUP(Tab_DSM[[#This Row],[Process_Name]],Tab_Def_Processes[Process_Name],Tab_Def_Processes[Outflow_count],,0,)</f>
        <v/>
      </c>
      <c r="K38">
        <f>Tab_DSM[[#This Row],[DSM_Parameter_type]]&amp;"_Cat_"&amp;Tab_DSM[[#This Row],[DSM_material_count]]</f>
        <v/>
      </c>
    </row>
    <row r="39">
      <c r="A39" t="b">
        <v>0</v>
      </c>
      <c r="B39">
        <f>ROW()-1</f>
        <v/>
      </c>
      <c r="C39">
        <f>_xlfn.XLOOKUP($D39,Tab_Def_Processes[Process_Name],Tab_Def_Processes[Process_ID],,0,)</f>
        <v/>
      </c>
      <c r="D39" t="inlineStr">
        <is>
          <t>N.A.</t>
        </is>
      </c>
      <c r="E39">
        <f>_xlfn.XLOOKUP($D39,Tab_Def_Processes[Process_Name],Tab_Def_Processes[Process_Logic],,0,)</f>
        <v/>
      </c>
      <c r="F39">
        <f>_xlfn.XLOOKUP($D39,Tab_Def_Processes[Process_Name],Tab_Def_Processes[TC_Configuration],,0,)</f>
        <v/>
      </c>
      <c r="G39">
        <f>_xlfn.XLOOKUP($D39,Tab_Def_Processes[Process_Name],Tab_Def_Processes[Stock_Configuration],,0,)</f>
        <v/>
      </c>
      <c r="H39">
        <f>_xlfn.XLOOKUP(Tab_DSM[[#This Row],[Process_Name]],Tab_Def_Processes[Process_Name],Tab_Def_Processes[Outflow_count],,0,)</f>
        <v/>
      </c>
      <c r="K39">
        <f>Tab_DSM[[#This Row],[DSM_Parameter_type]]&amp;"_Cat_"&amp;Tab_DSM[[#This Row],[DSM_material_count]]</f>
        <v/>
      </c>
    </row>
    <row r="40">
      <c r="A40" t="b">
        <v>0</v>
      </c>
      <c r="B40">
        <f>ROW()-1</f>
        <v/>
      </c>
      <c r="C40">
        <f>_xlfn.XLOOKUP($D40,Tab_Def_Processes[Process_Name],Tab_Def_Processes[Process_ID],,0,)</f>
        <v/>
      </c>
      <c r="D40" t="inlineStr">
        <is>
          <t>N.A.</t>
        </is>
      </c>
      <c r="E40">
        <f>_xlfn.XLOOKUP($D40,Tab_Def_Processes[Process_Name],Tab_Def_Processes[Process_Logic],,0,)</f>
        <v/>
      </c>
      <c r="F40">
        <f>_xlfn.XLOOKUP($D40,Tab_Def_Processes[Process_Name],Tab_Def_Processes[TC_Configuration],,0,)</f>
        <v/>
      </c>
      <c r="G40">
        <f>_xlfn.XLOOKUP($D40,Tab_Def_Processes[Process_Name],Tab_Def_Processes[Stock_Configuration],,0,)</f>
        <v/>
      </c>
      <c r="H40">
        <f>_xlfn.XLOOKUP(Tab_DSM[[#This Row],[Process_Name]],Tab_Def_Processes[Process_Name],Tab_Def_Processes[Outflow_count],,0,)</f>
        <v/>
      </c>
      <c r="K40">
        <f>Tab_DSM[[#This Row],[DSM_Parameter_type]]&amp;"_Cat_"&amp;Tab_DSM[[#This Row],[DSM_material_count]]</f>
        <v/>
      </c>
    </row>
    <row r="41">
      <c r="A41" t="b">
        <v>0</v>
      </c>
      <c r="B41">
        <f>ROW()-1</f>
        <v/>
      </c>
      <c r="C41">
        <f>_xlfn.XLOOKUP($D41,Tab_Def_Processes[Process_Name],Tab_Def_Processes[Process_ID],,0,)</f>
        <v/>
      </c>
      <c r="D41" t="inlineStr">
        <is>
          <t>N.A.</t>
        </is>
      </c>
      <c r="E41">
        <f>_xlfn.XLOOKUP($D41,Tab_Def_Processes[Process_Name],Tab_Def_Processes[Process_Logic],,0,)</f>
        <v/>
      </c>
      <c r="F41">
        <f>_xlfn.XLOOKUP($D41,Tab_Def_Processes[Process_Name],Tab_Def_Processes[TC_Configuration],,0,)</f>
        <v/>
      </c>
      <c r="G41">
        <f>_xlfn.XLOOKUP($D41,Tab_Def_Processes[Process_Name],Tab_Def_Processes[Stock_Configuration],,0,)</f>
        <v/>
      </c>
      <c r="H41">
        <f>_xlfn.XLOOKUP(Tab_DSM[[#This Row],[Process_Name]],Tab_Def_Processes[Process_Name],Tab_Def_Processes[Outflow_count],,0,)</f>
        <v/>
      </c>
      <c r="K41">
        <f>Tab_DSM[[#This Row],[DSM_Parameter_type]]&amp;"_Cat_"&amp;Tab_DSM[[#This Row],[DSM_material_count]]</f>
        <v/>
      </c>
    </row>
    <row r="42">
      <c r="A42" t="b">
        <v>0</v>
      </c>
      <c r="B42">
        <f>ROW()-1</f>
        <v/>
      </c>
      <c r="C42">
        <f>_xlfn.XLOOKUP($D42,Tab_Def_Processes[Process_Name],Tab_Def_Processes[Process_ID],,0,)</f>
        <v/>
      </c>
      <c r="D42" t="inlineStr">
        <is>
          <t>N.A.</t>
        </is>
      </c>
      <c r="E42">
        <f>_xlfn.XLOOKUP($D42,Tab_Def_Processes[Process_Name],Tab_Def_Processes[Process_Logic],,0,)</f>
        <v/>
      </c>
      <c r="F42">
        <f>_xlfn.XLOOKUP($D42,Tab_Def_Processes[Process_Name],Tab_Def_Processes[TC_Configuration],,0,)</f>
        <v/>
      </c>
      <c r="G42">
        <f>_xlfn.XLOOKUP($D42,Tab_Def_Processes[Process_Name],Tab_Def_Processes[Stock_Configuration],,0,)</f>
        <v/>
      </c>
      <c r="H42">
        <f>_xlfn.XLOOKUP(Tab_DSM[[#This Row],[Process_Name]],Tab_Def_Processes[Process_Name],Tab_Def_Processes[Outflow_count],,0,)</f>
        <v/>
      </c>
      <c r="K42">
        <f>Tab_DSM[[#This Row],[DSM_Parameter_type]]&amp;"_Cat_"&amp;Tab_DSM[[#This Row],[DSM_material_count]]</f>
        <v/>
      </c>
    </row>
    <row r="43">
      <c r="A43" t="b">
        <v>0</v>
      </c>
      <c r="B43">
        <f>ROW()-1</f>
        <v/>
      </c>
      <c r="C43">
        <f>_xlfn.XLOOKUP($D43,Tab_Def_Processes[Process_Name],Tab_Def_Processes[Process_ID],,0,)</f>
        <v/>
      </c>
      <c r="D43" t="inlineStr">
        <is>
          <t>N.A.</t>
        </is>
      </c>
      <c r="E43">
        <f>_xlfn.XLOOKUP($D43,Tab_Def_Processes[Process_Name],Tab_Def_Processes[Process_Logic],,0,)</f>
        <v/>
      </c>
      <c r="F43">
        <f>_xlfn.XLOOKUP($D43,Tab_Def_Processes[Process_Name],Tab_Def_Processes[TC_Configuration],,0,)</f>
        <v/>
      </c>
      <c r="G43">
        <f>_xlfn.XLOOKUP($D43,Tab_Def_Processes[Process_Name],Tab_Def_Processes[Stock_Configuration],,0,)</f>
        <v/>
      </c>
      <c r="H43">
        <f>_xlfn.XLOOKUP(Tab_DSM[[#This Row],[Process_Name]],Tab_Def_Processes[Process_Name],Tab_Def_Processes[Outflow_count],,0,)</f>
        <v/>
      </c>
      <c r="K43">
        <f>Tab_DSM[[#This Row],[DSM_Parameter_type]]&amp;"_Cat_"&amp;Tab_DSM[[#This Row],[DSM_material_count]]</f>
        <v/>
      </c>
    </row>
    <row r="44">
      <c r="A44" t="b">
        <v>0</v>
      </c>
      <c r="B44">
        <f>ROW()-1</f>
        <v/>
      </c>
      <c r="C44">
        <f>_xlfn.XLOOKUP($D44,Tab_Def_Processes[Process_Name],Tab_Def_Processes[Process_ID],,0,)</f>
        <v/>
      </c>
      <c r="D44" t="inlineStr">
        <is>
          <t>N.A.</t>
        </is>
      </c>
      <c r="E44">
        <f>_xlfn.XLOOKUP($D44,Tab_Def_Processes[Process_Name],Tab_Def_Processes[Process_Logic],,0,)</f>
        <v/>
      </c>
      <c r="F44">
        <f>_xlfn.XLOOKUP($D44,Tab_Def_Processes[Process_Name],Tab_Def_Processes[TC_Configuration],,0,)</f>
        <v/>
      </c>
      <c r="G44">
        <f>_xlfn.XLOOKUP($D44,Tab_Def_Processes[Process_Name],Tab_Def_Processes[Stock_Configuration],,0,)</f>
        <v/>
      </c>
      <c r="H44">
        <f>_xlfn.XLOOKUP(Tab_DSM[[#This Row],[Process_Name]],Tab_Def_Processes[Process_Name],Tab_Def_Processes[Outflow_count],,0,)</f>
        <v/>
      </c>
      <c r="K44">
        <f>Tab_DSM[[#This Row],[DSM_Parameter_type]]&amp;"_Cat_"&amp;Tab_DSM[[#This Row],[DSM_material_count]]</f>
        <v/>
      </c>
    </row>
    <row r="45">
      <c r="A45" t="b">
        <v>0</v>
      </c>
      <c r="B45">
        <f>ROW()-1</f>
        <v/>
      </c>
      <c r="C45">
        <f>_xlfn.XLOOKUP($D45,Tab_Def_Processes[Process_Name],Tab_Def_Processes[Process_ID],,0,)</f>
        <v/>
      </c>
      <c r="D45" t="inlineStr">
        <is>
          <t>N.A.</t>
        </is>
      </c>
      <c r="E45">
        <f>_xlfn.XLOOKUP($D45,Tab_Def_Processes[Process_Name],Tab_Def_Processes[Process_Logic],,0,)</f>
        <v/>
      </c>
      <c r="F45">
        <f>_xlfn.XLOOKUP($D45,Tab_Def_Processes[Process_Name],Tab_Def_Processes[TC_Configuration],,0,)</f>
        <v/>
      </c>
      <c r="G45">
        <f>_xlfn.XLOOKUP($D45,Tab_Def_Processes[Process_Name],Tab_Def_Processes[Stock_Configuration],,0,)</f>
        <v/>
      </c>
      <c r="H45">
        <f>_xlfn.XLOOKUP(Tab_DSM[[#This Row],[Process_Name]],Tab_Def_Processes[Process_Name],Tab_Def_Processes[Outflow_count],,0,)</f>
        <v/>
      </c>
      <c r="K45">
        <f>Tab_DSM[[#This Row],[DSM_Parameter_type]]&amp;"_Cat_"&amp;Tab_DSM[[#This Row],[DSM_material_count]]</f>
        <v/>
      </c>
    </row>
    <row r="46">
      <c r="A46" t="b">
        <v>0</v>
      </c>
      <c r="B46">
        <f>ROW()-1</f>
        <v/>
      </c>
      <c r="C46">
        <f>_xlfn.XLOOKUP($D46,Tab_Def_Processes[Process_Name],Tab_Def_Processes[Process_ID],,0,)</f>
        <v/>
      </c>
      <c r="D46" t="inlineStr">
        <is>
          <t>N.A.</t>
        </is>
      </c>
      <c r="E46">
        <f>_xlfn.XLOOKUP($D46,Tab_Def_Processes[Process_Name],Tab_Def_Processes[Process_Logic],,0,)</f>
        <v/>
      </c>
      <c r="F46">
        <f>_xlfn.XLOOKUP($D46,Tab_Def_Processes[Process_Name],Tab_Def_Processes[TC_Configuration],,0,)</f>
        <v/>
      </c>
      <c r="G46">
        <f>_xlfn.XLOOKUP($D46,Tab_Def_Processes[Process_Name],Tab_Def_Processes[Stock_Configuration],,0,)</f>
        <v/>
      </c>
      <c r="H46">
        <f>_xlfn.XLOOKUP(Tab_DSM[[#This Row],[Process_Name]],Tab_Def_Processes[Process_Name],Tab_Def_Processes[Outflow_count],,0,)</f>
        <v/>
      </c>
      <c r="K46">
        <f>Tab_DSM[[#This Row],[DSM_Parameter_type]]&amp;"_Cat_"&amp;Tab_DSM[[#This Row],[DSM_material_count]]</f>
        <v/>
      </c>
    </row>
    <row r="47">
      <c r="A47" t="b">
        <v>0</v>
      </c>
      <c r="B47">
        <f>ROW()-1</f>
        <v/>
      </c>
      <c r="C47">
        <f>_xlfn.XLOOKUP($D47,Tab_Def_Processes[Process_Name],Tab_Def_Processes[Process_ID],,0,)</f>
        <v/>
      </c>
      <c r="D47" t="inlineStr">
        <is>
          <t>N.A.</t>
        </is>
      </c>
      <c r="E47">
        <f>_xlfn.XLOOKUP($D47,Tab_Def_Processes[Process_Name],Tab_Def_Processes[Process_Logic],,0,)</f>
        <v/>
      </c>
      <c r="F47">
        <f>_xlfn.XLOOKUP($D47,Tab_Def_Processes[Process_Name],Tab_Def_Processes[TC_Configuration],,0,)</f>
        <v/>
      </c>
      <c r="G47">
        <f>_xlfn.XLOOKUP($D47,Tab_Def_Processes[Process_Name],Tab_Def_Processes[Stock_Configuration],,0,)</f>
        <v/>
      </c>
      <c r="H47">
        <f>_xlfn.XLOOKUP(Tab_DSM[[#This Row],[Process_Name]],Tab_Def_Processes[Process_Name],Tab_Def_Processes[Outflow_count],,0,)</f>
        <v/>
      </c>
      <c r="K47">
        <f>Tab_DSM[[#This Row],[DSM_Parameter_type]]&amp;"_Cat_"&amp;Tab_DSM[[#This Row],[DSM_material_count]]</f>
        <v/>
      </c>
    </row>
    <row r="48">
      <c r="A48" t="b">
        <v>0</v>
      </c>
      <c r="B48">
        <f>ROW()-1</f>
        <v/>
      </c>
      <c r="C48">
        <f>_xlfn.XLOOKUP($D48,Tab_Def_Processes[Process_Name],Tab_Def_Processes[Process_ID],,0,)</f>
        <v/>
      </c>
      <c r="D48" t="inlineStr">
        <is>
          <t>N.A.</t>
        </is>
      </c>
      <c r="E48">
        <f>_xlfn.XLOOKUP($D48,Tab_Def_Processes[Process_Name],Tab_Def_Processes[Process_Logic],,0,)</f>
        <v/>
      </c>
      <c r="F48">
        <f>_xlfn.XLOOKUP($D48,Tab_Def_Processes[Process_Name],Tab_Def_Processes[TC_Configuration],,0,)</f>
        <v/>
      </c>
      <c r="G48">
        <f>_xlfn.XLOOKUP($D48,Tab_Def_Processes[Process_Name],Tab_Def_Processes[Stock_Configuration],,0,)</f>
        <v/>
      </c>
      <c r="H48">
        <f>_xlfn.XLOOKUP(Tab_DSM[[#This Row],[Process_Name]],Tab_Def_Processes[Process_Name],Tab_Def_Processes[Outflow_count],,0,)</f>
        <v/>
      </c>
      <c r="K48">
        <f>Tab_DSM[[#This Row],[DSM_Parameter_type]]&amp;"_Cat_"&amp;Tab_DSM[[#This Row],[DSM_material_count]]</f>
        <v/>
      </c>
    </row>
    <row r="49">
      <c r="A49" t="b">
        <v>0</v>
      </c>
      <c r="B49">
        <f>ROW()-1</f>
        <v/>
      </c>
      <c r="C49">
        <f>_xlfn.XLOOKUP($D49,Tab_Def_Processes[Process_Name],Tab_Def_Processes[Process_ID],,0,)</f>
        <v/>
      </c>
      <c r="D49" t="inlineStr">
        <is>
          <t>N.A.</t>
        </is>
      </c>
      <c r="E49">
        <f>_xlfn.XLOOKUP($D49,Tab_Def_Processes[Process_Name],Tab_Def_Processes[Process_Logic],,0,)</f>
        <v/>
      </c>
      <c r="F49">
        <f>_xlfn.XLOOKUP($D49,Tab_Def_Processes[Process_Name],Tab_Def_Processes[TC_Configuration],,0,)</f>
        <v/>
      </c>
      <c r="G49">
        <f>_xlfn.XLOOKUP($D49,Tab_Def_Processes[Process_Name],Tab_Def_Processes[Stock_Configuration],,0,)</f>
        <v/>
      </c>
      <c r="H49">
        <f>_xlfn.XLOOKUP(Tab_DSM[[#This Row],[Process_Name]],Tab_Def_Processes[Process_Name],Tab_Def_Processes[Outflow_count],,0,)</f>
        <v/>
      </c>
      <c r="K49">
        <f>Tab_DSM[[#This Row],[DSM_Parameter_type]]&amp;"_Cat_"&amp;Tab_DSM[[#This Row],[DSM_material_count]]</f>
        <v/>
      </c>
    </row>
    <row r="50">
      <c r="A50" t="b">
        <v>0</v>
      </c>
      <c r="B50">
        <f>ROW()-1</f>
        <v/>
      </c>
      <c r="C50">
        <f>_xlfn.XLOOKUP($D50,Tab_Def_Processes[Process_Name],Tab_Def_Processes[Process_ID],,0,)</f>
        <v/>
      </c>
      <c r="D50" t="inlineStr">
        <is>
          <t>N.A.</t>
        </is>
      </c>
      <c r="E50">
        <f>_xlfn.XLOOKUP($D50,Tab_Def_Processes[Process_Name],Tab_Def_Processes[Process_Logic],,0,)</f>
        <v/>
      </c>
      <c r="F50">
        <f>_xlfn.XLOOKUP($D50,Tab_Def_Processes[Process_Name],Tab_Def_Processes[TC_Configuration],,0,)</f>
        <v/>
      </c>
      <c r="G50">
        <f>_xlfn.XLOOKUP($D50,Tab_Def_Processes[Process_Name],Tab_Def_Processes[Stock_Configuration],,0,)</f>
        <v/>
      </c>
      <c r="H50">
        <f>_xlfn.XLOOKUP(Tab_DSM[[#This Row],[Process_Name]],Tab_Def_Processes[Process_Name],Tab_Def_Processes[Outflow_count],,0,)</f>
        <v/>
      </c>
      <c r="K50">
        <f>Tab_DSM[[#This Row],[DSM_Parameter_type]]&amp;"_Cat_"&amp;Tab_DSM[[#This Row],[DSM_material_count]]</f>
        <v/>
      </c>
    </row>
    <row r="51">
      <c r="A51" t="b">
        <v>0</v>
      </c>
      <c r="B51">
        <f>ROW()-1</f>
        <v/>
      </c>
      <c r="C51">
        <f>_xlfn.XLOOKUP($D51,Tab_Def_Processes[Process_Name],Tab_Def_Processes[Process_ID],,0,)</f>
        <v/>
      </c>
      <c r="D51" t="inlineStr">
        <is>
          <t>N.A.</t>
        </is>
      </c>
      <c r="E51">
        <f>_xlfn.XLOOKUP($D51,Tab_Def_Processes[Process_Name],Tab_Def_Processes[Process_Logic],,0,)</f>
        <v/>
      </c>
      <c r="F51">
        <f>_xlfn.XLOOKUP($D51,Tab_Def_Processes[Process_Name],Tab_Def_Processes[TC_Configuration],,0,)</f>
        <v/>
      </c>
      <c r="G51">
        <f>_xlfn.XLOOKUP($D51,Tab_Def_Processes[Process_Name],Tab_Def_Processes[Stock_Configuration],,0,)</f>
        <v/>
      </c>
      <c r="H51">
        <f>_xlfn.XLOOKUP(Tab_DSM[[#This Row],[Process_Name]],Tab_Def_Processes[Process_Name],Tab_Def_Processes[Outflow_count],,0,)</f>
        <v/>
      </c>
      <c r="K51">
        <f>Tab_DSM[[#This Row],[DSM_Parameter_type]]&amp;"_Cat_"&amp;Tab_DSM[[#This Row],[DSM_material_count]]</f>
        <v/>
      </c>
    </row>
    <row r="52">
      <c r="A52" t="b">
        <v>0</v>
      </c>
      <c r="B52">
        <f>ROW()-1</f>
        <v/>
      </c>
      <c r="C52">
        <f>_xlfn.XLOOKUP($D52,Tab_Def_Processes[Process_Name],Tab_Def_Processes[Process_ID],,0,)</f>
        <v/>
      </c>
      <c r="D52" t="inlineStr">
        <is>
          <t>N.A.</t>
        </is>
      </c>
      <c r="E52">
        <f>_xlfn.XLOOKUP($D52,Tab_Def_Processes[Process_Name],Tab_Def_Processes[Process_Logic],,0,)</f>
        <v/>
      </c>
      <c r="F52">
        <f>_xlfn.XLOOKUP($D52,Tab_Def_Processes[Process_Name],Tab_Def_Processes[TC_Configuration],,0,)</f>
        <v/>
      </c>
      <c r="G52">
        <f>_xlfn.XLOOKUP($D52,Tab_Def_Processes[Process_Name],Tab_Def_Processes[Stock_Configuration],,0,)</f>
        <v/>
      </c>
      <c r="H52">
        <f>_xlfn.XLOOKUP(Tab_DSM[[#This Row],[Process_Name]],Tab_Def_Processes[Process_Name],Tab_Def_Processes[Outflow_count],,0,)</f>
        <v/>
      </c>
      <c r="K52">
        <f>Tab_DSM[[#This Row],[DSM_Parameter_type]]&amp;"_Cat_"&amp;Tab_DSM[[#This Row],[DSM_material_count]]</f>
        <v/>
      </c>
    </row>
    <row r="53">
      <c r="A53" t="b">
        <v>0</v>
      </c>
      <c r="B53">
        <f>ROW()-1</f>
        <v/>
      </c>
      <c r="C53">
        <f>_xlfn.XLOOKUP($D53,Tab_Def_Processes[Process_Name],Tab_Def_Processes[Process_ID],,0,)</f>
        <v/>
      </c>
      <c r="D53" t="inlineStr">
        <is>
          <t>N.A.</t>
        </is>
      </c>
      <c r="E53">
        <f>_xlfn.XLOOKUP($D53,Tab_Def_Processes[Process_Name],Tab_Def_Processes[Process_Logic],,0,)</f>
        <v/>
      </c>
      <c r="F53">
        <f>_xlfn.XLOOKUP($D53,Tab_Def_Processes[Process_Name],Tab_Def_Processes[TC_Configuration],,0,)</f>
        <v/>
      </c>
      <c r="G53">
        <f>_xlfn.XLOOKUP($D53,Tab_Def_Processes[Process_Name],Tab_Def_Processes[Stock_Configuration],,0,)</f>
        <v/>
      </c>
      <c r="H53">
        <f>_xlfn.XLOOKUP(Tab_DSM[[#This Row],[Process_Name]],Tab_Def_Processes[Process_Name],Tab_Def_Processes[Outflow_count],,0,)</f>
        <v/>
      </c>
      <c r="K53">
        <f>Tab_DSM[[#This Row],[DSM_Parameter_type]]&amp;"_Cat_"&amp;Tab_DSM[[#This Row],[DSM_material_count]]</f>
        <v/>
      </c>
    </row>
    <row r="54">
      <c r="A54" t="b">
        <v>0</v>
      </c>
      <c r="B54">
        <f>ROW()-1</f>
        <v/>
      </c>
      <c r="C54">
        <f>_xlfn.XLOOKUP($D54,Tab_Def_Processes[Process_Name],Tab_Def_Processes[Process_ID],,0,)</f>
        <v/>
      </c>
      <c r="D54" t="inlineStr">
        <is>
          <t>N.A.</t>
        </is>
      </c>
      <c r="E54">
        <f>_xlfn.XLOOKUP($D54,Tab_Def_Processes[Process_Name],Tab_Def_Processes[Process_Logic],,0,)</f>
        <v/>
      </c>
      <c r="F54">
        <f>_xlfn.XLOOKUP($D54,Tab_Def_Processes[Process_Name],Tab_Def_Processes[TC_Configuration],,0,)</f>
        <v/>
      </c>
      <c r="G54">
        <f>_xlfn.XLOOKUP($D54,Tab_Def_Processes[Process_Name],Tab_Def_Processes[Stock_Configuration],,0,)</f>
        <v/>
      </c>
      <c r="H54">
        <f>_xlfn.XLOOKUP(Tab_DSM[[#This Row],[Process_Name]],Tab_Def_Processes[Process_Name],Tab_Def_Processes[Outflow_count],,0,)</f>
        <v/>
      </c>
      <c r="K54">
        <f>Tab_DSM[[#This Row],[DSM_Parameter_type]]&amp;"_Cat_"&amp;Tab_DSM[[#This Row],[DSM_material_count]]</f>
        <v/>
      </c>
    </row>
    <row r="55">
      <c r="A55" t="b">
        <v>0</v>
      </c>
      <c r="B55">
        <f>ROW()-1</f>
        <v/>
      </c>
      <c r="C55">
        <f>_xlfn.XLOOKUP($D55,Tab_Def_Processes[Process_Name],Tab_Def_Processes[Process_ID],,0,)</f>
        <v/>
      </c>
      <c r="D55" t="inlineStr">
        <is>
          <t>N.A.</t>
        </is>
      </c>
      <c r="E55">
        <f>_xlfn.XLOOKUP($D55,Tab_Def_Processes[Process_Name],Tab_Def_Processes[Process_Logic],,0,)</f>
        <v/>
      </c>
      <c r="F55">
        <f>_xlfn.XLOOKUP($D55,Tab_Def_Processes[Process_Name],Tab_Def_Processes[TC_Configuration],,0,)</f>
        <v/>
      </c>
      <c r="G55">
        <f>_xlfn.XLOOKUP($D55,Tab_Def_Processes[Process_Name],Tab_Def_Processes[Stock_Configuration],,0,)</f>
        <v/>
      </c>
      <c r="H55">
        <f>_xlfn.XLOOKUP(Tab_DSM[[#This Row],[Process_Name]],Tab_Def_Processes[Process_Name],Tab_Def_Processes[Outflow_count],,0,)</f>
        <v/>
      </c>
      <c r="K55">
        <f>Tab_DSM[[#This Row],[DSM_Parameter_type]]&amp;"_Cat_"&amp;Tab_DSM[[#This Row],[DSM_material_count]]</f>
        <v/>
      </c>
    </row>
    <row r="56">
      <c r="A56" t="b">
        <v>0</v>
      </c>
      <c r="B56">
        <f>ROW()-1</f>
        <v/>
      </c>
      <c r="C56">
        <f>_xlfn.XLOOKUP($D56,Tab_Def_Processes[Process_Name],Tab_Def_Processes[Process_ID],,0,)</f>
        <v/>
      </c>
      <c r="D56" t="inlineStr">
        <is>
          <t>N.A.</t>
        </is>
      </c>
      <c r="E56">
        <f>_xlfn.XLOOKUP($D56,Tab_Def_Processes[Process_Name],Tab_Def_Processes[Process_Logic],,0,)</f>
        <v/>
      </c>
      <c r="F56">
        <f>_xlfn.XLOOKUP($D56,Tab_Def_Processes[Process_Name],Tab_Def_Processes[TC_Configuration],,0,)</f>
        <v/>
      </c>
      <c r="G56">
        <f>_xlfn.XLOOKUP($D56,Tab_Def_Processes[Process_Name],Tab_Def_Processes[Stock_Configuration],,0,)</f>
        <v/>
      </c>
      <c r="H56">
        <f>_xlfn.XLOOKUP(Tab_DSM[[#This Row],[Process_Name]],Tab_Def_Processes[Process_Name],Tab_Def_Processes[Outflow_count],,0,)</f>
        <v/>
      </c>
      <c r="K56">
        <f>Tab_DSM[[#This Row],[DSM_Parameter_type]]&amp;"_Cat_"&amp;Tab_DSM[[#This Row],[DSM_material_count]]</f>
        <v/>
      </c>
    </row>
    <row r="57">
      <c r="A57" t="b">
        <v>0</v>
      </c>
      <c r="B57">
        <f>ROW()-1</f>
        <v/>
      </c>
      <c r="C57">
        <f>_xlfn.XLOOKUP($D57,Tab_Def_Processes[Process_Name],Tab_Def_Processes[Process_ID],,0,)</f>
        <v/>
      </c>
      <c r="D57" t="inlineStr">
        <is>
          <t>N.A.</t>
        </is>
      </c>
      <c r="E57">
        <f>_xlfn.XLOOKUP($D57,Tab_Def_Processes[Process_Name],Tab_Def_Processes[Process_Logic],,0,)</f>
        <v/>
      </c>
      <c r="F57">
        <f>_xlfn.XLOOKUP($D57,Tab_Def_Processes[Process_Name],Tab_Def_Processes[TC_Configuration],,0,)</f>
        <v/>
      </c>
      <c r="G57">
        <f>_xlfn.XLOOKUP($D57,Tab_Def_Processes[Process_Name],Tab_Def_Processes[Stock_Configuration],,0,)</f>
        <v/>
      </c>
      <c r="H57">
        <f>_xlfn.XLOOKUP(Tab_DSM[[#This Row],[Process_Name]],Tab_Def_Processes[Process_Name],Tab_Def_Processes[Outflow_count],,0,)</f>
        <v/>
      </c>
      <c r="K57">
        <f>Tab_DSM[[#This Row],[DSM_Parameter_type]]&amp;"_Cat_"&amp;Tab_DSM[[#This Row],[DSM_material_count]]</f>
        <v/>
      </c>
    </row>
    <row r="58">
      <c r="A58" t="b">
        <v>0</v>
      </c>
      <c r="B58">
        <f>ROW()-1</f>
        <v/>
      </c>
      <c r="C58">
        <f>_xlfn.XLOOKUP($D58,Tab_Def_Processes[Process_Name],Tab_Def_Processes[Process_ID],,0,)</f>
        <v/>
      </c>
      <c r="D58" t="inlineStr">
        <is>
          <t>N.A.</t>
        </is>
      </c>
      <c r="E58">
        <f>_xlfn.XLOOKUP($D58,Tab_Def_Processes[Process_Name],Tab_Def_Processes[Process_Logic],,0,)</f>
        <v/>
      </c>
      <c r="F58">
        <f>_xlfn.XLOOKUP($D58,Tab_Def_Processes[Process_Name],Tab_Def_Processes[TC_Configuration],,0,)</f>
        <v/>
      </c>
      <c r="G58">
        <f>_xlfn.XLOOKUP($D58,Tab_Def_Processes[Process_Name],Tab_Def_Processes[Stock_Configuration],,0,)</f>
        <v/>
      </c>
      <c r="H58">
        <f>_xlfn.XLOOKUP(Tab_DSM[[#This Row],[Process_Name]],Tab_Def_Processes[Process_Name],Tab_Def_Processes[Outflow_count],,0,)</f>
        <v/>
      </c>
      <c r="K58">
        <f>Tab_DSM[[#This Row],[DSM_Parameter_type]]&amp;"_Cat_"&amp;Tab_DSM[[#This Row],[DSM_material_count]]</f>
        <v/>
      </c>
    </row>
    <row r="59">
      <c r="A59" t="b">
        <v>0</v>
      </c>
      <c r="B59">
        <f>ROW()-1</f>
        <v/>
      </c>
      <c r="C59">
        <f>_xlfn.XLOOKUP($D59,Tab_Def_Processes[Process_Name],Tab_Def_Processes[Process_ID],,0,)</f>
        <v/>
      </c>
      <c r="D59" t="inlineStr">
        <is>
          <t>N.A.</t>
        </is>
      </c>
      <c r="E59">
        <f>_xlfn.XLOOKUP($D59,Tab_Def_Processes[Process_Name],Tab_Def_Processes[Process_Logic],,0,)</f>
        <v/>
      </c>
      <c r="F59">
        <f>_xlfn.XLOOKUP($D59,Tab_Def_Processes[Process_Name],Tab_Def_Processes[TC_Configuration],,0,)</f>
        <v/>
      </c>
      <c r="G59">
        <f>_xlfn.XLOOKUP($D59,Tab_Def_Processes[Process_Name],Tab_Def_Processes[Stock_Configuration],,0,)</f>
        <v/>
      </c>
      <c r="H59">
        <f>_xlfn.XLOOKUP(Tab_DSM[[#This Row],[Process_Name]],Tab_Def_Processes[Process_Name],Tab_Def_Processes[Outflow_count],,0,)</f>
        <v/>
      </c>
      <c r="K59">
        <f>Tab_DSM[[#This Row],[DSM_Parameter_type]]&amp;"_Cat_"&amp;Tab_DSM[[#This Row],[DSM_material_count]]</f>
        <v/>
      </c>
    </row>
    <row r="60">
      <c r="A60" t="b">
        <v>0</v>
      </c>
      <c r="B60">
        <f>ROW()-1</f>
        <v/>
      </c>
      <c r="C60">
        <f>_xlfn.XLOOKUP($D60,Tab_Def_Processes[Process_Name],Tab_Def_Processes[Process_ID],,0,)</f>
        <v/>
      </c>
      <c r="D60" t="inlineStr">
        <is>
          <t>N.A.</t>
        </is>
      </c>
      <c r="E60">
        <f>_xlfn.XLOOKUP($D60,Tab_Def_Processes[Process_Name],Tab_Def_Processes[Process_Logic],,0,)</f>
        <v/>
      </c>
      <c r="F60">
        <f>_xlfn.XLOOKUP($D60,Tab_Def_Processes[Process_Name],Tab_Def_Processes[TC_Configuration],,0,)</f>
        <v/>
      </c>
      <c r="G60">
        <f>_xlfn.XLOOKUP($D60,Tab_Def_Processes[Process_Name],Tab_Def_Processes[Stock_Configuration],,0,)</f>
        <v/>
      </c>
      <c r="H60">
        <f>_xlfn.XLOOKUP(Tab_DSM[[#This Row],[Process_Name]],Tab_Def_Processes[Process_Name],Tab_Def_Processes[Outflow_count],,0,)</f>
        <v/>
      </c>
      <c r="K60">
        <f>Tab_DSM[[#This Row],[DSM_Parameter_type]]&amp;"_Cat_"&amp;Tab_DSM[[#This Row],[DSM_material_count]]</f>
        <v/>
      </c>
    </row>
    <row r="61">
      <c r="A61" t="b">
        <v>0</v>
      </c>
      <c r="B61">
        <f>ROW()-1</f>
        <v/>
      </c>
      <c r="C61">
        <f>_xlfn.XLOOKUP($D61,Tab_Def_Processes[Process_Name],Tab_Def_Processes[Process_ID],,0,)</f>
        <v/>
      </c>
      <c r="D61" t="inlineStr">
        <is>
          <t>N.A.</t>
        </is>
      </c>
      <c r="E61">
        <f>_xlfn.XLOOKUP($D61,Tab_Def_Processes[Process_Name],Tab_Def_Processes[Process_Logic],,0,)</f>
        <v/>
      </c>
      <c r="F61">
        <f>_xlfn.XLOOKUP($D61,Tab_Def_Processes[Process_Name],Tab_Def_Processes[TC_Configuration],,0,)</f>
        <v/>
      </c>
      <c r="G61">
        <f>_xlfn.XLOOKUP($D61,Tab_Def_Processes[Process_Name],Tab_Def_Processes[Stock_Configuration],,0,)</f>
        <v/>
      </c>
      <c r="H61">
        <f>_xlfn.XLOOKUP(Tab_DSM[[#This Row],[Process_Name]],Tab_Def_Processes[Process_Name],Tab_Def_Processes[Outflow_count],,0,)</f>
        <v/>
      </c>
      <c r="K61">
        <f>Tab_DSM[[#This Row],[DSM_Parameter_type]]&amp;"_Cat_"&amp;Tab_DSM[[#This Row],[DSM_material_count]]</f>
        <v/>
      </c>
    </row>
    <row r="62">
      <c r="A62" t="b">
        <v>0</v>
      </c>
      <c r="B62">
        <f>ROW()-1</f>
        <v/>
      </c>
      <c r="C62">
        <f>_xlfn.XLOOKUP($D62,Tab_Def_Processes[Process_Name],Tab_Def_Processes[Process_ID],,0,)</f>
        <v/>
      </c>
      <c r="D62" t="inlineStr">
        <is>
          <t>N.A.</t>
        </is>
      </c>
      <c r="E62">
        <f>_xlfn.XLOOKUP($D62,Tab_Def_Processes[Process_Name],Tab_Def_Processes[Process_Logic],,0,)</f>
        <v/>
      </c>
      <c r="F62">
        <f>_xlfn.XLOOKUP($D62,Tab_Def_Processes[Process_Name],Tab_Def_Processes[TC_Configuration],,0,)</f>
        <v/>
      </c>
      <c r="G62">
        <f>_xlfn.XLOOKUP($D62,Tab_Def_Processes[Process_Name],Tab_Def_Processes[Stock_Configuration],,0,)</f>
        <v/>
      </c>
      <c r="H62">
        <f>_xlfn.XLOOKUP(Tab_DSM[[#This Row],[Process_Name]],Tab_Def_Processes[Process_Name],Tab_Def_Processes[Outflow_count],,0,)</f>
        <v/>
      </c>
      <c r="K62">
        <f>Tab_DSM[[#This Row],[DSM_Parameter_type]]&amp;"_Cat_"&amp;Tab_DSM[[#This Row],[DSM_material_count]]</f>
        <v/>
      </c>
    </row>
    <row r="63">
      <c r="A63" t="b">
        <v>0</v>
      </c>
      <c r="B63">
        <f>ROW()-1</f>
        <v/>
      </c>
      <c r="C63">
        <f>_xlfn.XLOOKUP($D63,Tab_Def_Processes[Process_Name],Tab_Def_Processes[Process_ID],,0,)</f>
        <v/>
      </c>
      <c r="D63" t="inlineStr">
        <is>
          <t>N.A.</t>
        </is>
      </c>
      <c r="E63">
        <f>_xlfn.XLOOKUP($D63,Tab_Def_Processes[Process_Name],Tab_Def_Processes[Process_Logic],,0,)</f>
        <v/>
      </c>
      <c r="F63">
        <f>_xlfn.XLOOKUP($D63,Tab_Def_Processes[Process_Name],Tab_Def_Processes[TC_Configuration],,0,)</f>
        <v/>
      </c>
      <c r="G63">
        <f>_xlfn.XLOOKUP($D63,Tab_Def_Processes[Process_Name],Tab_Def_Processes[Stock_Configuration],,0,)</f>
        <v/>
      </c>
      <c r="H63">
        <f>_xlfn.XLOOKUP(Tab_DSM[[#This Row],[Process_Name]],Tab_Def_Processes[Process_Name],Tab_Def_Processes[Outflow_count],,0,)</f>
        <v/>
      </c>
      <c r="K63">
        <f>Tab_DSM[[#This Row],[DSM_Parameter_type]]&amp;"_Cat_"&amp;Tab_DSM[[#This Row],[DSM_material_count]]</f>
        <v/>
      </c>
    </row>
    <row r="64">
      <c r="A64" t="b">
        <v>0</v>
      </c>
      <c r="B64">
        <f>ROW()-1</f>
        <v/>
      </c>
      <c r="C64">
        <f>_xlfn.XLOOKUP($D64,Tab_Def_Processes[Process_Name],Tab_Def_Processes[Process_ID],,0,)</f>
        <v/>
      </c>
      <c r="D64" t="inlineStr">
        <is>
          <t>N.A.</t>
        </is>
      </c>
      <c r="E64">
        <f>_xlfn.XLOOKUP($D64,Tab_Def_Processes[Process_Name],Tab_Def_Processes[Process_Logic],,0,)</f>
        <v/>
      </c>
      <c r="F64">
        <f>_xlfn.XLOOKUP($D64,Tab_Def_Processes[Process_Name],Tab_Def_Processes[TC_Configuration],,0,)</f>
        <v/>
      </c>
      <c r="G64">
        <f>_xlfn.XLOOKUP($D64,Tab_Def_Processes[Process_Name],Tab_Def_Processes[Stock_Configuration],,0,)</f>
        <v/>
      </c>
      <c r="H64">
        <f>_xlfn.XLOOKUP(Tab_DSM[[#This Row],[Process_Name]],Tab_Def_Processes[Process_Name],Tab_Def_Processes[Outflow_count],,0,)</f>
        <v/>
      </c>
      <c r="K64">
        <f>Tab_DSM[[#This Row],[DSM_Parameter_type]]&amp;"_Cat_"&amp;Tab_DSM[[#This Row],[DSM_material_count]]</f>
        <v/>
      </c>
    </row>
    <row r="65">
      <c r="A65" t="b">
        <v>0</v>
      </c>
      <c r="B65">
        <f>ROW()-1</f>
        <v/>
      </c>
      <c r="C65">
        <f>_xlfn.XLOOKUP($D65,Tab_Def_Processes[Process_Name],Tab_Def_Processes[Process_ID],,0,)</f>
        <v/>
      </c>
      <c r="D65" t="inlineStr">
        <is>
          <t>N.A.</t>
        </is>
      </c>
      <c r="E65">
        <f>_xlfn.XLOOKUP($D65,Tab_Def_Processes[Process_Name],Tab_Def_Processes[Process_Logic],,0,)</f>
        <v/>
      </c>
      <c r="F65">
        <f>_xlfn.XLOOKUP($D65,Tab_Def_Processes[Process_Name],Tab_Def_Processes[TC_Configuration],,0,)</f>
        <v/>
      </c>
      <c r="G65">
        <f>_xlfn.XLOOKUP($D65,Tab_Def_Processes[Process_Name],Tab_Def_Processes[Stock_Configuration],,0,)</f>
        <v/>
      </c>
      <c r="H65">
        <f>_xlfn.XLOOKUP(Tab_DSM[[#This Row],[Process_Name]],Tab_Def_Processes[Process_Name],Tab_Def_Processes[Outflow_count],,0,)</f>
        <v/>
      </c>
      <c r="K65">
        <f>Tab_DSM[[#This Row],[DSM_Parameter_type]]&amp;"_Cat_"&amp;Tab_DSM[[#This Row],[DSM_material_count]]</f>
        <v/>
      </c>
    </row>
    <row r="66">
      <c r="A66" t="b">
        <v>0</v>
      </c>
      <c r="B66">
        <f>ROW()-1</f>
        <v/>
      </c>
      <c r="C66">
        <f>_xlfn.XLOOKUP($D66,Tab_Def_Processes[Process_Name],Tab_Def_Processes[Process_ID],,0,)</f>
        <v/>
      </c>
      <c r="D66" t="inlineStr">
        <is>
          <t>N.A.</t>
        </is>
      </c>
      <c r="E66">
        <f>_xlfn.XLOOKUP($D66,Tab_Def_Processes[Process_Name],Tab_Def_Processes[Process_Logic],,0,)</f>
        <v/>
      </c>
      <c r="F66">
        <f>_xlfn.XLOOKUP($D66,Tab_Def_Processes[Process_Name],Tab_Def_Processes[TC_Configuration],,0,)</f>
        <v/>
      </c>
      <c r="G66">
        <f>_xlfn.XLOOKUP($D66,Tab_Def_Processes[Process_Name],Tab_Def_Processes[Stock_Configuration],,0,)</f>
        <v/>
      </c>
      <c r="H66">
        <f>_xlfn.XLOOKUP(Tab_DSM[[#This Row],[Process_Name]],Tab_Def_Processes[Process_Name],Tab_Def_Processes[Outflow_count],,0,)</f>
        <v/>
      </c>
      <c r="K66">
        <f>Tab_DSM[[#This Row],[DSM_Parameter_type]]&amp;"_Cat_"&amp;Tab_DSM[[#This Row],[DSM_material_count]]</f>
        <v/>
      </c>
    </row>
    <row r="67">
      <c r="A67" t="b">
        <v>0</v>
      </c>
      <c r="B67">
        <f>ROW()-1</f>
        <v/>
      </c>
      <c r="C67">
        <f>_xlfn.XLOOKUP($D67,Tab_Def_Processes[Process_Name],Tab_Def_Processes[Process_ID],,0,)</f>
        <v/>
      </c>
      <c r="D67" t="inlineStr">
        <is>
          <t>N.A.</t>
        </is>
      </c>
      <c r="E67">
        <f>_xlfn.XLOOKUP($D67,Tab_Def_Processes[Process_Name],Tab_Def_Processes[Process_Logic],,0,)</f>
        <v/>
      </c>
      <c r="F67">
        <f>_xlfn.XLOOKUP($D67,Tab_Def_Processes[Process_Name],Tab_Def_Processes[TC_Configuration],,0,)</f>
        <v/>
      </c>
      <c r="G67">
        <f>_xlfn.XLOOKUP($D67,Tab_Def_Processes[Process_Name],Tab_Def_Processes[Stock_Configuration],,0,)</f>
        <v/>
      </c>
      <c r="H67">
        <f>_xlfn.XLOOKUP(Tab_DSM[[#This Row],[Process_Name]],Tab_Def_Processes[Process_Name],Tab_Def_Processes[Outflow_count],,0,)</f>
        <v/>
      </c>
      <c r="K67">
        <f>Tab_DSM[[#This Row],[DSM_Parameter_type]]&amp;"_Cat_"&amp;Tab_DSM[[#This Row],[DSM_material_count]]</f>
        <v/>
      </c>
    </row>
    <row r="68">
      <c r="A68" t="b">
        <v>0</v>
      </c>
      <c r="B68">
        <f>ROW()-1</f>
        <v/>
      </c>
      <c r="C68">
        <f>_xlfn.XLOOKUP($D68,Tab_Def_Processes[Process_Name],Tab_Def_Processes[Process_ID],,0,)</f>
        <v/>
      </c>
      <c r="D68" t="inlineStr">
        <is>
          <t>N.A.</t>
        </is>
      </c>
      <c r="E68">
        <f>_xlfn.XLOOKUP($D68,Tab_Def_Processes[Process_Name],Tab_Def_Processes[Process_Logic],,0,)</f>
        <v/>
      </c>
      <c r="F68">
        <f>_xlfn.XLOOKUP($D68,Tab_Def_Processes[Process_Name],Tab_Def_Processes[TC_Configuration],,0,)</f>
        <v/>
      </c>
      <c r="G68">
        <f>_xlfn.XLOOKUP($D68,Tab_Def_Processes[Process_Name],Tab_Def_Processes[Stock_Configuration],,0,)</f>
        <v/>
      </c>
      <c r="H68">
        <f>_xlfn.XLOOKUP(Tab_DSM[[#This Row],[Process_Name]],Tab_Def_Processes[Process_Name],Tab_Def_Processes[Outflow_count],,0,)</f>
        <v/>
      </c>
      <c r="K68">
        <f>Tab_DSM[[#This Row],[DSM_Parameter_type]]&amp;"_Cat_"&amp;Tab_DSM[[#This Row],[DSM_material_count]]</f>
        <v/>
      </c>
    </row>
    <row r="69">
      <c r="A69" t="b">
        <v>0</v>
      </c>
      <c r="B69">
        <f>ROW()-1</f>
        <v/>
      </c>
      <c r="C69">
        <f>_xlfn.XLOOKUP($D69,Tab_Def_Processes[Process_Name],Tab_Def_Processes[Process_ID],,0,)</f>
        <v/>
      </c>
      <c r="D69" t="inlineStr">
        <is>
          <t>N.A.</t>
        </is>
      </c>
      <c r="E69">
        <f>_xlfn.XLOOKUP($D69,Tab_Def_Processes[Process_Name],Tab_Def_Processes[Process_Logic],,0,)</f>
        <v/>
      </c>
      <c r="F69">
        <f>_xlfn.XLOOKUP($D69,Tab_Def_Processes[Process_Name],Tab_Def_Processes[TC_Configuration],,0,)</f>
        <v/>
      </c>
      <c r="G69">
        <f>_xlfn.XLOOKUP($D69,Tab_Def_Processes[Process_Name],Tab_Def_Processes[Stock_Configuration],,0,)</f>
        <v/>
      </c>
      <c r="H69">
        <f>_xlfn.XLOOKUP(Tab_DSM[[#This Row],[Process_Name]],Tab_Def_Processes[Process_Name],Tab_Def_Processes[Outflow_count],,0,)</f>
        <v/>
      </c>
      <c r="K69">
        <f>Tab_DSM[[#This Row],[DSM_Parameter_type]]&amp;"_Cat_"&amp;Tab_DSM[[#This Row],[DSM_material_count]]</f>
        <v/>
      </c>
    </row>
    <row r="70">
      <c r="A70" t="b">
        <v>0</v>
      </c>
      <c r="B70">
        <f>ROW()-1</f>
        <v/>
      </c>
      <c r="C70">
        <f>_xlfn.XLOOKUP($D70,Tab_Def_Processes[Process_Name],Tab_Def_Processes[Process_ID],,0,)</f>
        <v/>
      </c>
      <c r="D70" t="inlineStr">
        <is>
          <t>N.A.</t>
        </is>
      </c>
      <c r="E70">
        <f>_xlfn.XLOOKUP($D70,Tab_Def_Processes[Process_Name],Tab_Def_Processes[Process_Logic],,0,)</f>
        <v/>
      </c>
      <c r="F70">
        <f>_xlfn.XLOOKUP($D70,Tab_Def_Processes[Process_Name],Tab_Def_Processes[TC_Configuration],,0,)</f>
        <v/>
      </c>
      <c r="G70">
        <f>_xlfn.XLOOKUP($D70,Tab_Def_Processes[Process_Name],Tab_Def_Processes[Stock_Configuration],,0,)</f>
        <v/>
      </c>
      <c r="H70">
        <f>_xlfn.XLOOKUP(Tab_DSM[[#This Row],[Process_Name]],Tab_Def_Processes[Process_Name],Tab_Def_Processes[Outflow_count],,0,)</f>
        <v/>
      </c>
      <c r="K70">
        <f>Tab_DSM[[#This Row],[DSM_Parameter_type]]&amp;"_Cat_"&amp;Tab_DSM[[#This Row],[DSM_material_count]]</f>
        <v/>
      </c>
    </row>
    <row r="71">
      <c r="A71" t="b">
        <v>0</v>
      </c>
      <c r="B71">
        <f>ROW()-1</f>
        <v/>
      </c>
      <c r="C71">
        <f>_xlfn.XLOOKUP($D71,Tab_Def_Processes[Process_Name],Tab_Def_Processes[Process_ID],,0,)</f>
        <v/>
      </c>
      <c r="D71" t="inlineStr">
        <is>
          <t>N.A.</t>
        </is>
      </c>
      <c r="E71">
        <f>_xlfn.XLOOKUP($D71,Tab_Def_Processes[Process_Name],Tab_Def_Processes[Process_Logic],,0,)</f>
        <v/>
      </c>
      <c r="F71">
        <f>_xlfn.XLOOKUP($D71,Tab_Def_Processes[Process_Name],Tab_Def_Processes[TC_Configuration],,0,)</f>
        <v/>
      </c>
      <c r="G71">
        <f>_xlfn.XLOOKUP($D71,Tab_Def_Processes[Process_Name],Tab_Def_Processes[Stock_Configuration],,0,)</f>
        <v/>
      </c>
      <c r="H71">
        <f>_xlfn.XLOOKUP(Tab_DSM[[#This Row],[Process_Name]],Tab_Def_Processes[Process_Name],Tab_Def_Processes[Outflow_count],,0,)</f>
        <v/>
      </c>
      <c r="K71">
        <f>Tab_DSM[[#This Row],[DSM_Parameter_type]]&amp;"_Cat_"&amp;Tab_DSM[[#This Row],[DSM_material_count]]</f>
        <v/>
      </c>
    </row>
    <row r="72">
      <c r="A72" t="b">
        <v>0</v>
      </c>
      <c r="B72">
        <f>ROW()-1</f>
        <v/>
      </c>
      <c r="C72">
        <f>_xlfn.XLOOKUP($D72,Tab_Def_Processes[Process_Name],Tab_Def_Processes[Process_ID],,0,)</f>
        <v/>
      </c>
      <c r="D72" t="inlineStr">
        <is>
          <t>N.A.</t>
        </is>
      </c>
      <c r="E72">
        <f>_xlfn.XLOOKUP($D72,Tab_Def_Processes[Process_Name],Tab_Def_Processes[Process_Logic],,0,)</f>
        <v/>
      </c>
      <c r="F72">
        <f>_xlfn.XLOOKUP($D72,Tab_Def_Processes[Process_Name],Tab_Def_Processes[TC_Configuration],,0,)</f>
        <v/>
      </c>
      <c r="G72">
        <f>_xlfn.XLOOKUP($D72,Tab_Def_Processes[Process_Name],Tab_Def_Processes[Stock_Configuration],,0,)</f>
        <v/>
      </c>
      <c r="H72">
        <f>_xlfn.XLOOKUP(Tab_DSM[[#This Row],[Process_Name]],Tab_Def_Processes[Process_Name],Tab_Def_Processes[Outflow_count],,0,)</f>
        <v/>
      </c>
      <c r="K72">
        <f>Tab_DSM[[#This Row],[DSM_Parameter_type]]&amp;"_Cat_"&amp;Tab_DSM[[#This Row],[DSM_material_count]]</f>
        <v/>
      </c>
    </row>
    <row r="73">
      <c r="A73" t="b">
        <v>0</v>
      </c>
      <c r="B73">
        <f>ROW()-1</f>
        <v/>
      </c>
      <c r="C73">
        <f>_xlfn.XLOOKUP($D73,Tab_Def_Processes[Process_Name],Tab_Def_Processes[Process_ID],,0,)</f>
        <v/>
      </c>
      <c r="D73" t="inlineStr">
        <is>
          <t>N.A.</t>
        </is>
      </c>
      <c r="E73">
        <f>_xlfn.XLOOKUP($D73,Tab_Def_Processes[Process_Name],Tab_Def_Processes[Process_Logic],,0,)</f>
        <v/>
      </c>
      <c r="F73">
        <f>_xlfn.XLOOKUP($D73,Tab_Def_Processes[Process_Name],Tab_Def_Processes[TC_Configuration],,0,)</f>
        <v/>
      </c>
      <c r="G73">
        <f>_xlfn.XLOOKUP($D73,Tab_Def_Processes[Process_Name],Tab_Def_Processes[Stock_Configuration],,0,)</f>
        <v/>
      </c>
      <c r="H73">
        <f>_xlfn.XLOOKUP(Tab_DSM[[#This Row],[Process_Name]],Tab_Def_Processes[Process_Name],Tab_Def_Processes[Outflow_count],,0,)</f>
        <v/>
      </c>
      <c r="K73">
        <f>Tab_DSM[[#This Row],[DSM_Parameter_type]]&amp;"_Cat_"&amp;Tab_DSM[[#This Row],[DSM_material_count]]</f>
        <v/>
      </c>
    </row>
    <row r="74">
      <c r="A74" t="b">
        <v>0</v>
      </c>
      <c r="B74">
        <f>ROW()-1</f>
        <v/>
      </c>
      <c r="C74">
        <f>_xlfn.XLOOKUP($D74,Tab_Def_Processes[Process_Name],Tab_Def_Processes[Process_ID],,0,)</f>
        <v/>
      </c>
      <c r="D74" t="inlineStr">
        <is>
          <t>N.A.</t>
        </is>
      </c>
      <c r="E74">
        <f>_xlfn.XLOOKUP($D74,Tab_Def_Processes[Process_Name],Tab_Def_Processes[Process_Logic],,0,)</f>
        <v/>
      </c>
      <c r="F74">
        <f>_xlfn.XLOOKUP($D74,Tab_Def_Processes[Process_Name],Tab_Def_Processes[TC_Configuration],,0,)</f>
        <v/>
      </c>
      <c r="G74">
        <f>_xlfn.XLOOKUP($D74,Tab_Def_Processes[Process_Name],Tab_Def_Processes[Stock_Configuration],,0,)</f>
        <v/>
      </c>
      <c r="H74">
        <f>_xlfn.XLOOKUP(Tab_DSM[[#This Row],[Process_Name]],Tab_Def_Processes[Process_Name],Tab_Def_Processes[Outflow_count],,0,)</f>
        <v/>
      </c>
      <c r="K74">
        <f>Tab_DSM[[#This Row],[DSM_Parameter_type]]&amp;"_Cat_"&amp;Tab_DSM[[#This Row],[DSM_material_count]]</f>
        <v/>
      </c>
    </row>
    <row r="75">
      <c r="A75" t="b">
        <v>0</v>
      </c>
      <c r="B75">
        <f>ROW()-1</f>
        <v/>
      </c>
      <c r="C75">
        <f>_xlfn.XLOOKUP($D75,Tab_Def_Processes[Process_Name],Tab_Def_Processes[Process_ID],,0,)</f>
        <v/>
      </c>
      <c r="D75" t="inlineStr">
        <is>
          <t>N.A.</t>
        </is>
      </c>
      <c r="E75">
        <f>_xlfn.XLOOKUP($D75,Tab_Def_Processes[Process_Name],Tab_Def_Processes[Process_Logic],,0,)</f>
        <v/>
      </c>
      <c r="F75">
        <f>_xlfn.XLOOKUP($D75,Tab_Def_Processes[Process_Name],Tab_Def_Processes[TC_Configuration],,0,)</f>
        <v/>
      </c>
      <c r="G75">
        <f>_xlfn.XLOOKUP($D75,Tab_Def_Processes[Process_Name],Tab_Def_Processes[Stock_Configuration],,0,)</f>
        <v/>
      </c>
      <c r="H75">
        <f>_xlfn.XLOOKUP(Tab_DSM[[#This Row],[Process_Name]],Tab_Def_Processes[Process_Name],Tab_Def_Processes[Outflow_count],,0,)</f>
        <v/>
      </c>
      <c r="K75">
        <f>Tab_DSM[[#This Row],[DSM_Parameter_type]]&amp;"_Cat_"&amp;Tab_DSM[[#This Row],[DSM_material_count]]</f>
        <v/>
      </c>
    </row>
    <row r="76">
      <c r="A76" t="b">
        <v>0</v>
      </c>
      <c r="B76">
        <f>ROW()-1</f>
        <v/>
      </c>
      <c r="C76">
        <f>_xlfn.XLOOKUP($D76,Tab_Def_Processes[Process_Name],Tab_Def_Processes[Process_ID],,0,)</f>
        <v/>
      </c>
      <c r="D76" t="inlineStr">
        <is>
          <t>N.A.</t>
        </is>
      </c>
      <c r="E76">
        <f>_xlfn.XLOOKUP($D76,Tab_Def_Processes[Process_Name],Tab_Def_Processes[Process_Logic],,0,)</f>
        <v/>
      </c>
      <c r="F76">
        <f>_xlfn.XLOOKUP($D76,Tab_Def_Processes[Process_Name],Tab_Def_Processes[TC_Configuration],,0,)</f>
        <v/>
      </c>
      <c r="G76">
        <f>_xlfn.XLOOKUP($D76,Tab_Def_Processes[Process_Name],Tab_Def_Processes[Stock_Configuration],,0,)</f>
        <v/>
      </c>
      <c r="H76">
        <f>_xlfn.XLOOKUP(Tab_DSM[[#This Row],[Process_Name]],Tab_Def_Processes[Process_Name],Tab_Def_Processes[Outflow_count],,0,)</f>
        <v/>
      </c>
      <c r="K76">
        <f>Tab_DSM[[#This Row],[DSM_Parameter_type]]&amp;"_Cat_"&amp;Tab_DSM[[#This Row],[DSM_material_count]]</f>
        <v/>
      </c>
    </row>
    <row r="77">
      <c r="A77" t="b">
        <v>0</v>
      </c>
      <c r="B77">
        <f>ROW()-1</f>
        <v/>
      </c>
      <c r="C77">
        <f>_xlfn.XLOOKUP($D77,Tab_Def_Processes[Process_Name],Tab_Def_Processes[Process_ID],,0,)</f>
        <v/>
      </c>
      <c r="D77" t="inlineStr">
        <is>
          <t>N.A.</t>
        </is>
      </c>
      <c r="E77">
        <f>_xlfn.XLOOKUP($D77,Tab_Def_Processes[Process_Name],Tab_Def_Processes[Process_Logic],,0,)</f>
        <v/>
      </c>
      <c r="F77">
        <f>_xlfn.XLOOKUP($D77,Tab_Def_Processes[Process_Name],Tab_Def_Processes[TC_Configuration],,0,)</f>
        <v/>
      </c>
      <c r="G77">
        <f>_xlfn.XLOOKUP($D77,Tab_Def_Processes[Process_Name],Tab_Def_Processes[Stock_Configuration],,0,)</f>
        <v/>
      </c>
      <c r="H77">
        <f>_xlfn.XLOOKUP(Tab_DSM[[#This Row],[Process_Name]],Tab_Def_Processes[Process_Name],Tab_Def_Processes[Outflow_count],,0,)</f>
        <v/>
      </c>
      <c r="K77">
        <f>Tab_DSM[[#This Row],[DSM_Parameter_type]]&amp;"_Cat_"&amp;Tab_DSM[[#This Row],[DSM_material_count]]</f>
        <v/>
      </c>
    </row>
    <row r="78">
      <c r="A78" t="b">
        <v>0</v>
      </c>
      <c r="B78">
        <f>ROW()-1</f>
        <v/>
      </c>
      <c r="C78">
        <f>_xlfn.XLOOKUP($D78,Tab_Def_Processes[Process_Name],Tab_Def_Processes[Process_ID],,0,)</f>
        <v/>
      </c>
      <c r="D78" t="inlineStr">
        <is>
          <t>N.A.</t>
        </is>
      </c>
      <c r="E78">
        <f>_xlfn.XLOOKUP($D78,Tab_Def_Processes[Process_Name],Tab_Def_Processes[Process_Logic],,0,)</f>
        <v/>
      </c>
      <c r="F78">
        <f>_xlfn.XLOOKUP($D78,Tab_Def_Processes[Process_Name],Tab_Def_Processes[TC_Configuration],,0,)</f>
        <v/>
      </c>
      <c r="G78">
        <f>_xlfn.XLOOKUP($D78,Tab_Def_Processes[Process_Name],Tab_Def_Processes[Stock_Configuration],,0,)</f>
        <v/>
      </c>
      <c r="H78">
        <f>_xlfn.XLOOKUP(Tab_DSM[[#This Row],[Process_Name]],Tab_Def_Processes[Process_Name],Tab_Def_Processes[Outflow_count],,0,)</f>
        <v/>
      </c>
      <c r="K78">
        <f>Tab_DSM[[#This Row],[DSM_Parameter_type]]&amp;"_Cat_"&amp;Tab_DSM[[#This Row],[DSM_material_count]]</f>
        <v/>
      </c>
    </row>
    <row r="79">
      <c r="A79" t="b">
        <v>0</v>
      </c>
      <c r="B79">
        <f>ROW()-1</f>
        <v/>
      </c>
      <c r="C79">
        <f>_xlfn.XLOOKUP($D79,Tab_Def_Processes[Process_Name],Tab_Def_Processes[Process_ID],,0,)</f>
        <v/>
      </c>
      <c r="D79" t="inlineStr">
        <is>
          <t>N.A.</t>
        </is>
      </c>
      <c r="E79">
        <f>_xlfn.XLOOKUP($D79,Tab_Def_Processes[Process_Name],Tab_Def_Processes[Process_Logic],,0,)</f>
        <v/>
      </c>
      <c r="F79">
        <f>_xlfn.XLOOKUP($D79,Tab_Def_Processes[Process_Name],Tab_Def_Processes[TC_Configuration],,0,)</f>
        <v/>
      </c>
      <c r="G79">
        <f>_xlfn.XLOOKUP($D79,Tab_Def_Processes[Process_Name],Tab_Def_Processes[Stock_Configuration],,0,)</f>
        <v/>
      </c>
      <c r="H79">
        <f>_xlfn.XLOOKUP(Tab_DSM[[#This Row],[Process_Name]],Tab_Def_Processes[Process_Name],Tab_Def_Processes[Outflow_count],,0,)</f>
        <v/>
      </c>
      <c r="K79">
        <f>Tab_DSM[[#This Row],[DSM_Parameter_type]]&amp;"_Cat_"&amp;Tab_DSM[[#This Row],[DSM_material_count]]</f>
        <v/>
      </c>
    </row>
    <row r="80">
      <c r="A80" t="b">
        <v>0</v>
      </c>
      <c r="B80">
        <f>ROW()-1</f>
        <v/>
      </c>
      <c r="C80">
        <f>_xlfn.XLOOKUP($D80,Tab_Def_Processes[Process_Name],Tab_Def_Processes[Process_ID],,0,)</f>
        <v/>
      </c>
      <c r="D80" t="inlineStr">
        <is>
          <t>N.A.</t>
        </is>
      </c>
      <c r="E80">
        <f>_xlfn.XLOOKUP($D80,Tab_Def_Processes[Process_Name],Tab_Def_Processes[Process_Logic],,0,)</f>
        <v/>
      </c>
      <c r="F80">
        <f>_xlfn.XLOOKUP($D80,Tab_Def_Processes[Process_Name],Tab_Def_Processes[TC_Configuration],,0,)</f>
        <v/>
      </c>
      <c r="G80">
        <f>_xlfn.XLOOKUP($D80,Tab_Def_Processes[Process_Name],Tab_Def_Processes[Stock_Configuration],,0,)</f>
        <v/>
      </c>
      <c r="H80">
        <f>_xlfn.XLOOKUP(Tab_DSM[[#This Row],[Process_Name]],Tab_Def_Processes[Process_Name],Tab_Def_Processes[Outflow_count],,0,)</f>
        <v/>
      </c>
      <c r="K80">
        <f>Tab_DSM[[#This Row],[DSM_Parameter_type]]&amp;"_Cat_"&amp;Tab_DSM[[#This Row],[DSM_material_count]]</f>
        <v/>
      </c>
    </row>
    <row r="81">
      <c r="A81" t="b">
        <v>0</v>
      </c>
      <c r="B81">
        <f>ROW()-1</f>
        <v/>
      </c>
      <c r="C81">
        <f>_xlfn.XLOOKUP($D81,Tab_Def_Processes[Process_Name],Tab_Def_Processes[Process_ID],,0,)</f>
        <v/>
      </c>
      <c r="D81" t="inlineStr">
        <is>
          <t>N.A.</t>
        </is>
      </c>
      <c r="E81">
        <f>_xlfn.XLOOKUP($D81,Tab_Def_Processes[Process_Name],Tab_Def_Processes[Process_Logic],,0,)</f>
        <v/>
      </c>
      <c r="F81">
        <f>_xlfn.XLOOKUP($D81,Tab_Def_Processes[Process_Name],Tab_Def_Processes[TC_Configuration],,0,)</f>
        <v/>
      </c>
      <c r="G81">
        <f>_xlfn.XLOOKUP($D81,Tab_Def_Processes[Process_Name],Tab_Def_Processes[Stock_Configuration],,0,)</f>
        <v/>
      </c>
      <c r="H81">
        <f>_xlfn.XLOOKUP(Tab_DSM[[#This Row],[Process_Name]],Tab_Def_Processes[Process_Name],Tab_Def_Processes[Outflow_count],,0,)</f>
        <v/>
      </c>
      <c r="K81">
        <f>Tab_DSM[[#This Row],[DSM_Parameter_type]]&amp;"_Cat_"&amp;Tab_DSM[[#This Row],[DSM_material_count]]</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41"/>
  <sheetViews>
    <sheetView workbookViewId="0">
      <selection activeCell="A1" sqref="A1"/>
    </sheetView>
  </sheetViews>
  <sheetFormatPr baseColWidth="8" defaultRowHeight="15"/>
  <sheetData>
    <row r="1">
      <c r="A1" t="inlineStr">
        <is>
          <t>Complete?</t>
        </is>
      </c>
      <c r="B1" t="inlineStr">
        <is>
          <t>ID</t>
        </is>
      </c>
      <c r="C1" t="inlineStr">
        <is>
          <t>Process_ID</t>
        </is>
      </c>
      <c r="D1" t="inlineStr">
        <is>
          <t>Process_Name</t>
        </is>
      </c>
      <c r="E1" t="inlineStr">
        <is>
          <t>Process_Logic</t>
        </is>
      </c>
      <c r="F1" t="inlineStr">
        <is>
          <t>TC_Configuration</t>
        </is>
      </c>
      <c r="G1" t="inlineStr">
        <is>
          <t>Stock_Configuration</t>
        </is>
      </c>
      <c r="H1" t="inlineStr">
        <is>
          <t>Outflow_count</t>
        </is>
      </c>
      <c r="I1" t="inlineStr">
        <is>
          <t>FOMP_Parameter_ID</t>
        </is>
      </c>
      <c r="J1" t="inlineStr">
        <is>
          <t>FOMP_Parameter_type</t>
        </is>
      </c>
      <c r="K1" t="inlineStr">
        <is>
          <t>FOMP_Parameter_Value</t>
        </is>
      </c>
    </row>
    <row r="2">
      <c r="A2" t="b">
        <v>0</v>
      </c>
      <c r="B2">
        <f>ROW()-1</f>
        <v/>
      </c>
      <c r="C2">
        <f>_xlfn.XLOOKUP($D2,Tab_Def_Processes[Process_Name],Tab_Def_Processes[Process_ID],,0,)</f>
        <v/>
      </c>
      <c r="D2" t="inlineStr">
        <is>
          <t>Rye-Straw(non-mobilizable)_Degradation</t>
        </is>
      </c>
      <c r="E2">
        <f>_xlfn.XLOOKUP($D2,Tab_Def_Processes[Process_Name],Tab_Def_Processes[Process_Logic],,0,)</f>
        <v/>
      </c>
      <c r="F2">
        <f>_xlfn.XLOOKUP($D2,Tab_Def_Processes[Process_Name],Tab_Def_Processes[TC_Configuration],,0,)</f>
        <v/>
      </c>
      <c r="G2">
        <f>_xlfn.XLOOKUP($D2,Tab_Def_Processes[Process_Name],Tab_Def_Processes[Stock_Configuration],,0,)</f>
        <v/>
      </c>
      <c r="H2">
        <f>_xlfn.XLOOKUP(Tab_FOMP[[#This Row],[Process_Name]],Tab_Def_Processes[Process_Name],Tab_Def_Processes[Outflow_count],,0,)</f>
        <v/>
      </c>
      <c r="I2">
        <f>"P"&amp;Tab_FOMP[[#This Row],[Process_ID]]&amp;"_"&amp;Tab_FOMP[[#This Row],[FOMP_Parameter_type]]</f>
        <v/>
      </c>
      <c r="J2" t="inlineStr">
        <is>
          <t>Inflow_fraction_f (Labile pool)</t>
        </is>
      </c>
      <c r="K2" t="n">
        <v>0.7</v>
      </c>
    </row>
    <row r="3">
      <c r="A3" t="b">
        <v>0</v>
      </c>
      <c r="B3">
        <f>ROW()-1</f>
        <v/>
      </c>
      <c r="C3">
        <f>_xlfn.XLOOKUP($D3,Tab_Def_Processes[Process_Name],Tab_Def_Processes[Process_ID],,0,)</f>
        <v/>
      </c>
      <c r="D3" t="inlineStr">
        <is>
          <t>Rye-Straw(non-mobilizable)_Degradation</t>
        </is>
      </c>
      <c r="E3">
        <f>_xlfn.XLOOKUP($D3,Tab_Def_Processes[Process_Name],Tab_Def_Processes[Process_Logic],,0,)</f>
        <v/>
      </c>
      <c r="F3">
        <f>_xlfn.XLOOKUP($D3,Tab_Def_Processes[Process_Name],Tab_Def_Processes[TC_Configuration],,0,)</f>
        <v/>
      </c>
      <c r="G3">
        <f>_xlfn.XLOOKUP($D3,Tab_Def_Processes[Process_Name],Tab_Def_Processes[Stock_Configuration],,0,)</f>
        <v/>
      </c>
      <c r="H3">
        <f>_xlfn.XLOOKUP(Tab_FOMP[[#This Row],[Process_Name]],Tab_Def_Processes[Process_Name],Tab_Def_Processes[Outflow_count],,0,)</f>
        <v/>
      </c>
      <c r="I3">
        <f>"P"&amp;Tab_FOMP[[#This Row],[Process_ID]]&amp;"_"&amp;Tab_FOMP[[#This Row],[FOMP_Parameter_type]]</f>
        <v/>
      </c>
      <c r="J3" t="inlineStr">
        <is>
          <t>decay_k1 (Labile pool)</t>
        </is>
      </c>
      <c r="K3" t="n">
        <v>0.5</v>
      </c>
    </row>
    <row r="4">
      <c r="A4" t="b">
        <v>0</v>
      </c>
      <c r="B4">
        <f>ROW()-1</f>
        <v/>
      </c>
      <c r="C4">
        <f>_xlfn.XLOOKUP($D4,Tab_Def_Processes[Process_Name],Tab_Def_Processes[Process_ID],,0,)</f>
        <v/>
      </c>
      <c r="D4" t="inlineStr">
        <is>
          <t>Rye-Straw(non-mobilizable)_Degradation</t>
        </is>
      </c>
      <c r="E4">
        <f>_xlfn.XLOOKUP($D4,Tab_Def_Processes[Process_Name],Tab_Def_Processes[Process_Logic],,0,)</f>
        <v/>
      </c>
      <c r="F4">
        <f>_xlfn.XLOOKUP($D4,Tab_Def_Processes[Process_Name],Tab_Def_Processes[TC_Configuration],,0,)</f>
        <v/>
      </c>
      <c r="G4">
        <f>_xlfn.XLOOKUP($D4,Tab_Def_Processes[Process_Name],Tab_Def_Processes[Stock_Configuration],,0,)</f>
        <v/>
      </c>
      <c r="H4">
        <f>_xlfn.XLOOKUP(Tab_FOMP[[#This Row],[Process_Name]],Tab_Def_Processes[Process_Name],Tab_Def_Processes[Outflow_count],,0,)</f>
        <v/>
      </c>
      <c r="I4">
        <f>"P"&amp;Tab_FOMP[[#This Row],[Process_ID]]&amp;"_"&amp;Tab_FOMP[[#This Row],[FOMP_Parameter_type]]</f>
        <v/>
      </c>
      <c r="J4" t="inlineStr">
        <is>
          <t>Inflow_fraction_f (Recalcitrant pool)</t>
        </is>
      </c>
      <c r="K4" t="n">
        <v>0.3</v>
      </c>
    </row>
    <row r="5">
      <c r="A5" t="b">
        <v>0</v>
      </c>
      <c r="B5">
        <f>ROW()-1</f>
        <v/>
      </c>
      <c r="C5">
        <f>_xlfn.XLOOKUP($D5,Tab_Def_Processes[Process_Name],Tab_Def_Processes[Process_ID],,0,)</f>
        <v/>
      </c>
      <c r="D5" t="inlineStr">
        <is>
          <t>Rye-Straw(non-mobilizable)_Degradation</t>
        </is>
      </c>
      <c r="E5">
        <f>_xlfn.XLOOKUP($D5,Tab_Def_Processes[Process_Name],Tab_Def_Processes[Process_Logic],,0,)</f>
        <v/>
      </c>
      <c r="F5">
        <f>_xlfn.XLOOKUP($D5,Tab_Def_Processes[Process_Name],Tab_Def_Processes[TC_Configuration],,0,)</f>
        <v/>
      </c>
      <c r="G5">
        <f>_xlfn.XLOOKUP($D5,Tab_Def_Processes[Process_Name],Tab_Def_Processes[Stock_Configuration],,0,)</f>
        <v/>
      </c>
      <c r="H5">
        <f>_xlfn.XLOOKUP(Tab_FOMP[[#This Row],[Process_Name]],Tab_Def_Processes[Process_Name],Tab_Def_Processes[Outflow_count],,0,)</f>
        <v/>
      </c>
      <c r="I5">
        <f>"P"&amp;Tab_FOMP[[#This Row],[Process_ID]]&amp;"_"&amp;Tab_FOMP[[#This Row],[FOMP_Parameter_type]]</f>
        <v/>
      </c>
      <c r="J5" t="inlineStr">
        <is>
          <t>decay_k2 (Recalcitrant pool)</t>
        </is>
      </c>
      <c r="K5" t="n">
        <v>0.025</v>
      </c>
    </row>
    <row r="6">
      <c r="A6" t="b">
        <v>0</v>
      </c>
      <c r="B6">
        <f>ROW()-1</f>
        <v/>
      </c>
      <c r="C6">
        <f>_xlfn.XLOOKUP($D6,Tab_Def_Processes[Process_Name],Tab_Def_Processes[Process_ID],,0,)</f>
        <v/>
      </c>
      <c r="D6" t="inlineStr">
        <is>
          <t>Rye-Straw(non-mobilizable)_Degradation</t>
        </is>
      </c>
      <c r="E6">
        <f>_xlfn.XLOOKUP($D6,Tab_Def_Processes[Process_Name],Tab_Def_Processes[Process_Logic],,0,)</f>
        <v/>
      </c>
      <c r="F6">
        <f>_xlfn.XLOOKUP($D6,Tab_Def_Processes[Process_Name],Tab_Def_Processes[TC_Configuration],,0,)</f>
        <v/>
      </c>
      <c r="G6">
        <f>_xlfn.XLOOKUP($D6,Tab_Def_Processes[Process_Name],Tab_Def_Processes[Stock_Configuration],,0,)</f>
        <v/>
      </c>
      <c r="H6">
        <f>_xlfn.XLOOKUP(Tab_FOMP[[#This Row],[Process_Name]],Tab_Def_Processes[Process_Name],Tab_Def_Processes[Outflow_count],,0,)</f>
        <v/>
      </c>
      <c r="I6">
        <f>"P"&amp;Tab_FOMP[[#This Row],[Process_ID]]&amp;"_"&amp;Tab_FOMP[[#This Row],[FOMP_Parameter_type]]</f>
        <v/>
      </c>
      <c r="J6" t="inlineStr">
        <is>
          <t>output_carbon_id</t>
        </is>
      </c>
      <c r="K6" t="inlineStr">
        <is>
          <t>F_05_01</t>
        </is>
      </c>
    </row>
    <row r="7">
      <c r="A7" t="b">
        <v>0</v>
      </c>
      <c r="B7">
        <f>ROW()-1</f>
        <v/>
      </c>
      <c r="C7">
        <f>_xlfn.XLOOKUP($D7,Tab_Def_Processes[Process_Name],Tab_Def_Processes[Process_ID],,0,)</f>
        <v/>
      </c>
      <c r="D7" t="inlineStr">
        <is>
          <t>Rye-Straw(non-mobilizable)_Degradation</t>
        </is>
      </c>
      <c r="E7">
        <f>_xlfn.XLOOKUP($D7,Tab_Def_Processes[Process_Name],Tab_Def_Processes[Process_Logic],,0,)</f>
        <v/>
      </c>
      <c r="F7">
        <f>_xlfn.XLOOKUP($D7,Tab_Def_Processes[Process_Name],Tab_Def_Processes[TC_Configuration],,0,)</f>
        <v/>
      </c>
      <c r="G7">
        <f>_xlfn.XLOOKUP($D7,Tab_Def_Processes[Process_Name],Tab_Def_Processes[Stock_Configuration],,0,)</f>
        <v/>
      </c>
      <c r="H7">
        <f>_xlfn.XLOOKUP(Tab_FOMP[[#This Row],[Process_Name]],Tab_Def_Processes[Process_Name],Tab_Def_Processes[Outflow_count],,0,)</f>
        <v/>
      </c>
      <c r="I7">
        <f>"P"&amp;Tab_FOMP[[#This Row],[Process_ID]]&amp;"_"&amp;Tab_FOMP[[#This Row],[FOMP_Parameter_type]]</f>
        <v/>
      </c>
      <c r="J7" t="inlineStr">
        <is>
          <t>output_environmental_id</t>
        </is>
      </c>
      <c r="K7" t="inlineStr">
        <is>
          <t>F_05_00</t>
        </is>
      </c>
    </row>
    <row r="8">
      <c r="A8" t="b">
        <v>0</v>
      </c>
      <c r="B8">
        <f>ROW()-1</f>
        <v/>
      </c>
      <c r="C8">
        <f>_xlfn.XLOOKUP($D8,Tab_Def_Processes[Process_Name],Tab_Def_Processes[Process_ID],,0,)</f>
        <v/>
      </c>
      <c r="D8" t="inlineStr">
        <is>
          <t>Lithosphere_Stock</t>
        </is>
      </c>
      <c r="E8">
        <f>_xlfn.XLOOKUP($D8,Tab_Def_Processes[Process_Name],Tab_Def_Processes[Process_Logic],,0,)</f>
        <v/>
      </c>
      <c r="F8">
        <f>_xlfn.XLOOKUP($D8,Tab_Def_Processes[Process_Name],Tab_Def_Processes[TC_Configuration],,0,)</f>
        <v/>
      </c>
      <c r="G8">
        <f>_xlfn.XLOOKUP($D8,Tab_Def_Processes[Process_Name],Tab_Def_Processes[Stock_Configuration],,0,)</f>
        <v/>
      </c>
      <c r="H8">
        <f>_xlfn.XLOOKUP(Tab_FOMP[[#This Row],[Process_Name]],Tab_Def_Processes[Process_Name],Tab_Def_Processes[Outflow_count],,0,)</f>
        <v/>
      </c>
      <c r="I8">
        <f>"P"&amp;Tab_FOMP[[#This Row],[Process_ID]]&amp;"_"&amp;Tab_FOMP[[#This Row],[FOMP_Parameter_type]]</f>
        <v/>
      </c>
      <c r="J8" t="inlineStr">
        <is>
          <t>Inflow_fraction_f (Labile pool)</t>
        </is>
      </c>
      <c r="K8" t="n">
        <v>0.05</v>
      </c>
    </row>
    <row r="9">
      <c r="A9" t="b">
        <v>0</v>
      </c>
      <c r="B9">
        <f>ROW()-1</f>
        <v/>
      </c>
      <c r="C9">
        <f>_xlfn.XLOOKUP($D9,Tab_Def_Processes[Process_Name],Tab_Def_Processes[Process_ID],,0,)</f>
        <v/>
      </c>
      <c r="D9" t="inlineStr">
        <is>
          <t>Lithosphere_Stock</t>
        </is>
      </c>
      <c r="E9">
        <f>_xlfn.XLOOKUP($D9,Tab_Def_Processes[Process_Name],Tab_Def_Processes[Process_Logic],,0,)</f>
        <v/>
      </c>
      <c r="F9">
        <f>_xlfn.XLOOKUP($D9,Tab_Def_Processes[Process_Name],Tab_Def_Processes[TC_Configuration],,0,)</f>
        <v/>
      </c>
      <c r="G9">
        <f>_xlfn.XLOOKUP($D9,Tab_Def_Processes[Process_Name],Tab_Def_Processes[Stock_Configuration],,0,)</f>
        <v/>
      </c>
      <c r="H9">
        <f>_xlfn.XLOOKUP(Tab_FOMP[[#This Row],[Process_Name]],Tab_Def_Processes[Process_Name],Tab_Def_Processes[Outflow_count],,0,)</f>
        <v/>
      </c>
      <c r="I9">
        <f>"P"&amp;Tab_FOMP[[#This Row],[Process_ID]]&amp;"_"&amp;Tab_FOMP[[#This Row],[FOMP_Parameter_type]]</f>
        <v/>
      </c>
      <c r="J9" t="inlineStr">
        <is>
          <t>decay_k1 (Labile pool)</t>
        </is>
      </c>
      <c r="K9" t="n">
        <v>0.5</v>
      </c>
    </row>
    <row r="10">
      <c r="A10" t="b">
        <v>0</v>
      </c>
      <c r="B10">
        <f>ROW()-1</f>
        <v/>
      </c>
      <c r="C10">
        <f>_xlfn.XLOOKUP($D10,Tab_Def_Processes[Process_Name],Tab_Def_Processes[Process_ID],,0,)</f>
        <v/>
      </c>
      <c r="D10" t="inlineStr">
        <is>
          <t>Lithosphere_Stock</t>
        </is>
      </c>
      <c r="E10">
        <f>_xlfn.XLOOKUP($D10,Tab_Def_Processes[Process_Name],Tab_Def_Processes[Process_Logic],,0,)</f>
        <v/>
      </c>
      <c r="F10">
        <f>_xlfn.XLOOKUP($D10,Tab_Def_Processes[Process_Name],Tab_Def_Processes[TC_Configuration],,0,)</f>
        <v/>
      </c>
      <c r="G10">
        <f>_xlfn.XLOOKUP($D10,Tab_Def_Processes[Process_Name],Tab_Def_Processes[Stock_Configuration],,0,)</f>
        <v/>
      </c>
      <c r="H10">
        <f>_xlfn.XLOOKUP(Tab_FOMP[[#This Row],[Process_Name]],Tab_Def_Processes[Process_Name],Tab_Def_Processes[Outflow_count],,0,)</f>
        <v/>
      </c>
      <c r="I10">
        <f>"P"&amp;Tab_FOMP[[#This Row],[Process_ID]]&amp;"_"&amp;Tab_FOMP[[#This Row],[FOMP_Parameter_type]]</f>
        <v/>
      </c>
      <c r="J10" t="inlineStr">
        <is>
          <t>Inflow_fraction_f (Recalcitrant pool)</t>
        </is>
      </c>
      <c r="K10" t="n">
        <v>0.95</v>
      </c>
    </row>
    <row r="11">
      <c r="A11" t="b">
        <v>0</v>
      </c>
      <c r="B11">
        <f>ROW()-1</f>
        <v/>
      </c>
      <c r="C11">
        <f>_xlfn.XLOOKUP($D11,Tab_Def_Processes[Process_Name],Tab_Def_Processes[Process_ID],,0,)</f>
        <v/>
      </c>
      <c r="D11" t="inlineStr">
        <is>
          <t>Lithosphere_Stock</t>
        </is>
      </c>
      <c r="E11">
        <f>_xlfn.XLOOKUP($D11,Tab_Def_Processes[Process_Name],Tab_Def_Processes[Process_Logic],,0,)</f>
        <v/>
      </c>
      <c r="F11">
        <f>_xlfn.XLOOKUP($D11,Tab_Def_Processes[Process_Name],Tab_Def_Processes[TC_Configuration],,0,)</f>
        <v/>
      </c>
      <c r="G11">
        <f>_xlfn.XLOOKUP($D11,Tab_Def_Processes[Process_Name],Tab_Def_Processes[Stock_Configuration],,0,)</f>
        <v/>
      </c>
      <c r="H11">
        <f>_xlfn.XLOOKUP(Tab_FOMP[[#This Row],[Process_Name]],Tab_Def_Processes[Process_Name],Tab_Def_Processes[Outflow_count],,0,)</f>
        <v/>
      </c>
      <c r="I11">
        <f>"P"&amp;Tab_FOMP[[#This Row],[Process_ID]]&amp;"_"&amp;Tab_FOMP[[#This Row],[FOMP_Parameter_type]]</f>
        <v/>
      </c>
      <c r="J11" t="inlineStr">
        <is>
          <t>decay_k2 (Recalcitrant pool)</t>
        </is>
      </c>
      <c r="K11" t="n">
        <v>0.0014</v>
      </c>
    </row>
    <row r="12">
      <c r="A12" t="b">
        <v>0</v>
      </c>
      <c r="B12">
        <f>ROW()-1</f>
        <v/>
      </c>
      <c r="C12">
        <f>_xlfn.XLOOKUP($D12,Tab_Def_Processes[Process_Name],Tab_Def_Processes[Process_ID],,0,)</f>
        <v/>
      </c>
      <c r="D12" t="inlineStr">
        <is>
          <t>Lithosphere_Stock</t>
        </is>
      </c>
      <c r="E12">
        <f>_xlfn.XLOOKUP($D12,Tab_Def_Processes[Process_Name],Tab_Def_Processes[Process_Logic],,0,)</f>
        <v/>
      </c>
      <c r="F12">
        <f>_xlfn.XLOOKUP($D12,Tab_Def_Processes[Process_Name],Tab_Def_Processes[TC_Configuration],,0,)</f>
        <v/>
      </c>
      <c r="G12">
        <f>_xlfn.XLOOKUP($D12,Tab_Def_Processes[Process_Name],Tab_Def_Processes[Stock_Configuration],,0,)</f>
        <v/>
      </c>
      <c r="H12">
        <f>_xlfn.XLOOKUP(Tab_FOMP[[#This Row],[Process_Name]],Tab_Def_Processes[Process_Name],Tab_Def_Processes[Outflow_count],,0,)</f>
        <v/>
      </c>
      <c r="I12">
        <f>"P"&amp;Tab_FOMP[[#This Row],[Process_ID]]&amp;"_"&amp;Tab_FOMP[[#This Row],[FOMP_Parameter_type]]</f>
        <v/>
      </c>
      <c r="J12" t="inlineStr">
        <is>
          <t>output_carbon_id</t>
        </is>
      </c>
      <c r="K12" t="inlineStr">
        <is>
          <t>F_22_01</t>
        </is>
      </c>
    </row>
    <row r="13">
      <c r="A13" t="b">
        <v>0</v>
      </c>
      <c r="B13">
        <f>ROW()-1</f>
        <v/>
      </c>
      <c r="C13">
        <f>_xlfn.XLOOKUP($D13,Tab_Def_Processes[Process_Name],Tab_Def_Processes[Process_ID],,0,)</f>
        <v/>
      </c>
      <c r="D13" t="inlineStr">
        <is>
          <t>Lithosphere_Stock</t>
        </is>
      </c>
      <c r="E13">
        <f>_xlfn.XLOOKUP($D13,Tab_Def_Processes[Process_Name],Tab_Def_Processes[Process_Logic],,0,)</f>
        <v/>
      </c>
      <c r="F13">
        <f>_xlfn.XLOOKUP($D13,Tab_Def_Processes[Process_Name],Tab_Def_Processes[TC_Configuration],,0,)</f>
        <v/>
      </c>
      <c r="G13">
        <f>_xlfn.XLOOKUP($D13,Tab_Def_Processes[Process_Name],Tab_Def_Processes[Stock_Configuration],,0,)</f>
        <v/>
      </c>
      <c r="H13">
        <f>_xlfn.XLOOKUP(Tab_FOMP[[#This Row],[Process_Name]],Tab_Def_Processes[Process_Name],Tab_Def_Processes[Outflow_count],,0,)</f>
        <v/>
      </c>
      <c r="I13">
        <f>"P"&amp;Tab_FOMP[[#This Row],[Process_ID]]&amp;"_"&amp;Tab_FOMP[[#This Row],[FOMP_Parameter_type]]</f>
        <v/>
      </c>
      <c r="J13" t="inlineStr">
        <is>
          <t>output_environmental_id</t>
        </is>
      </c>
      <c r="K13" t="inlineStr">
        <is>
          <t>F_22_00</t>
        </is>
      </c>
    </row>
    <row r="14">
      <c r="A14" t="b">
        <v>0</v>
      </c>
      <c r="B14">
        <f>ROW()-1</f>
        <v/>
      </c>
      <c r="C14">
        <f>_xlfn.XLOOKUP($D14,Tab_Def_Processes[Process_Name],Tab_Def_Processes[Process_ID],,0,)</f>
        <v/>
      </c>
      <c r="E14">
        <f>_xlfn.XLOOKUP($D14,Tab_Def_Processes[Process_Name],Tab_Def_Processes[Process_Logic],,0,)</f>
        <v/>
      </c>
      <c r="F14">
        <f>_xlfn.XLOOKUP($D14,Tab_Def_Processes[Process_Name],Tab_Def_Processes[TC_Configuration],,0,)</f>
        <v/>
      </c>
      <c r="G14">
        <f>_xlfn.XLOOKUP($D14,Tab_Def_Processes[Process_Name],Tab_Def_Processes[Stock_Configuration],,0,)</f>
        <v/>
      </c>
      <c r="H14">
        <f>_xlfn.XLOOKUP(Tab_FOMP[[#This Row],[Process_Name]],Tab_Def_Processes[Process_Name],Tab_Def_Processes[Outflow_count],,0,)</f>
        <v/>
      </c>
      <c r="I14">
        <f>"P"&amp;Tab_FOMP[[#This Row],[Process_ID]]&amp;"_"&amp;Tab_FOMP[[#This Row],[FOMP_Parameter_type]]</f>
        <v/>
      </c>
    </row>
    <row r="15">
      <c r="A15" t="b">
        <v>0</v>
      </c>
      <c r="B15">
        <f>ROW()-1</f>
        <v/>
      </c>
      <c r="C15">
        <f>_xlfn.XLOOKUP($D15,Tab_Def_Processes[Process_Name],Tab_Def_Processes[Process_ID],,0,)</f>
        <v/>
      </c>
      <c r="E15">
        <f>_xlfn.XLOOKUP($D15,Tab_Def_Processes[Process_Name],Tab_Def_Processes[Process_Logic],,0,)</f>
        <v/>
      </c>
      <c r="F15">
        <f>_xlfn.XLOOKUP($D15,Tab_Def_Processes[Process_Name],Tab_Def_Processes[TC_Configuration],,0,)</f>
        <v/>
      </c>
      <c r="G15">
        <f>_xlfn.XLOOKUP($D15,Tab_Def_Processes[Process_Name],Tab_Def_Processes[Stock_Configuration],,0,)</f>
        <v/>
      </c>
      <c r="H15">
        <f>_xlfn.XLOOKUP(Tab_FOMP[[#This Row],[Process_Name]],Tab_Def_Processes[Process_Name],Tab_Def_Processes[Outflow_count],,0,)</f>
        <v/>
      </c>
      <c r="I15">
        <f>"P"&amp;Tab_FOMP[[#This Row],[Process_ID]]&amp;"_"&amp;Tab_FOMP[[#This Row],[FOMP_Parameter_type]]</f>
        <v/>
      </c>
    </row>
    <row r="16">
      <c r="A16" t="b">
        <v>0</v>
      </c>
      <c r="B16">
        <f>ROW()-1</f>
        <v/>
      </c>
      <c r="C16">
        <f>_xlfn.XLOOKUP($D16,Tab_Def_Processes[Process_Name],Tab_Def_Processes[Process_ID],,0,)</f>
        <v/>
      </c>
      <c r="E16">
        <f>_xlfn.XLOOKUP($D16,Tab_Def_Processes[Process_Name],Tab_Def_Processes[Process_Logic],,0,)</f>
        <v/>
      </c>
      <c r="F16">
        <f>_xlfn.XLOOKUP($D16,Tab_Def_Processes[Process_Name],Tab_Def_Processes[TC_Configuration],,0,)</f>
        <v/>
      </c>
      <c r="G16">
        <f>_xlfn.XLOOKUP($D16,Tab_Def_Processes[Process_Name],Tab_Def_Processes[Stock_Configuration],,0,)</f>
        <v/>
      </c>
      <c r="H16">
        <f>_xlfn.XLOOKUP(Tab_FOMP[[#This Row],[Process_Name]],Tab_Def_Processes[Process_Name],Tab_Def_Processes[Outflow_count],,0,)</f>
        <v/>
      </c>
      <c r="I16">
        <f>"P"&amp;Tab_FOMP[[#This Row],[Process_ID]]&amp;"_"&amp;Tab_FOMP[[#This Row],[FOMP_Parameter_type]]</f>
        <v/>
      </c>
    </row>
    <row r="17">
      <c r="A17" t="b">
        <v>0</v>
      </c>
      <c r="B17">
        <f>ROW()-1</f>
        <v/>
      </c>
      <c r="C17">
        <f>_xlfn.XLOOKUP($D17,Tab_Def_Processes[Process_Name],Tab_Def_Processes[Process_ID],,0,)</f>
        <v/>
      </c>
      <c r="E17">
        <f>_xlfn.XLOOKUP($D17,Tab_Def_Processes[Process_Name],Tab_Def_Processes[Process_Logic],,0,)</f>
        <v/>
      </c>
      <c r="F17">
        <f>_xlfn.XLOOKUP($D17,Tab_Def_Processes[Process_Name],Tab_Def_Processes[TC_Configuration],,0,)</f>
        <v/>
      </c>
      <c r="G17">
        <f>_xlfn.XLOOKUP($D17,Tab_Def_Processes[Process_Name],Tab_Def_Processes[Stock_Configuration],,0,)</f>
        <v/>
      </c>
      <c r="H17">
        <f>_xlfn.XLOOKUP(Tab_FOMP[[#This Row],[Process_Name]],Tab_Def_Processes[Process_Name],Tab_Def_Processes[Outflow_count],,0,)</f>
        <v/>
      </c>
      <c r="I17">
        <f>"P"&amp;Tab_FOMP[[#This Row],[Process_ID]]&amp;"_"&amp;Tab_FOMP[[#This Row],[FOMP_Parameter_type]]</f>
        <v/>
      </c>
    </row>
    <row r="18">
      <c r="A18" t="b">
        <v>0</v>
      </c>
      <c r="B18">
        <f>ROW()-1</f>
        <v/>
      </c>
      <c r="C18">
        <f>_xlfn.XLOOKUP($D18,Tab_Def_Processes[Process_Name],Tab_Def_Processes[Process_ID],,0,)</f>
        <v/>
      </c>
      <c r="E18">
        <f>_xlfn.XLOOKUP($D18,Tab_Def_Processes[Process_Name],Tab_Def_Processes[Process_Logic],,0,)</f>
        <v/>
      </c>
      <c r="F18">
        <f>_xlfn.XLOOKUP($D18,Tab_Def_Processes[Process_Name],Tab_Def_Processes[TC_Configuration],,0,)</f>
        <v/>
      </c>
      <c r="G18">
        <f>_xlfn.XLOOKUP($D18,Tab_Def_Processes[Process_Name],Tab_Def_Processes[Stock_Configuration],,0,)</f>
        <v/>
      </c>
      <c r="H18">
        <f>_xlfn.XLOOKUP(Tab_FOMP[[#This Row],[Process_Name]],Tab_Def_Processes[Process_Name],Tab_Def_Processes[Outflow_count],,0,)</f>
        <v/>
      </c>
      <c r="I18">
        <f>"P"&amp;Tab_FOMP[[#This Row],[Process_ID]]&amp;"_"&amp;Tab_FOMP[[#This Row],[FOMP_Parameter_type]]</f>
        <v/>
      </c>
    </row>
    <row r="19">
      <c r="A19" t="b">
        <v>0</v>
      </c>
      <c r="B19">
        <f>ROW()-1</f>
        <v/>
      </c>
      <c r="C19">
        <f>_xlfn.XLOOKUP($D19,Tab_Def_Processes[Process_Name],Tab_Def_Processes[Process_ID],,0,)</f>
        <v/>
      </c>
      <c r="E19">
        <f>_xlfn.XLOOKUP($D19,Tab_Def_Processes[Process_Name],Tab_Def_Processes[Process_Logic],,0,)</f>
        <v/>
      </c>
      <c r="F19">
        <f>_xlfn.XLOOKUP($D19,Tab_Def_Processes[Process_Name],Tab_Def_Processes[TC_Configuration],,0,)</f>
        <v/>
      </c>
      <c r="G19">
        <f>_xlfn.XLOOKUP($D19,Tab_Def_Processes[Process_Name],Tab_Def_Processes[Stock_Configuration],,0,)</f>
        <v/>
      </c>
      <c r="H19">
        <f>_xlfn.XLOOKUP(Tab_FOMP[[#This Row],[Process_Name]],Tab_Def_Processes[Process_Name],Tab_Def_Processes[Outflow_count],,0,)</f>
        <v/>
      </c>
      <c r="I19">
        <f>"P"&amp;Tab_FOMP[[#This Row],[Process_ID]]&amp;"_"&amp;Tab_FOMP[[#This Row],[FOMP_Parameter_type]]</f>
        <v/>
      </c>
    </row>
    <row r="20">
      <c r="A20" t="b">
        <v>0</v>
      </c>
      <c r="B20">
        <f>ROW()-1</f>
        <v/>
      </c>
      <c r="C20">
        <f>_xlfn.XLOOKUP($D20,Tab_Def_Processes[Process_Name],Tab_Def_Processes[Process_ID],,0,)</f>
        <v/>
      </c>
      <c r="E20">
        <f>_xlfn.XLOOKUP($D20,Tab_Def_Processes[Process_Name],Tab_Def_Processes[Process_Logic],,0,)</f>
        <v/>
      </c>
      <c r="F20">
        <f>_xlfn.XLOOKUP($D20,Tab_Def_Processes[Process_Name],Tab_Def_Processes[TC_Configuration],,0,)</f>
        <v/>
      </c>
      <c r="G20">
        <f>_xlfn.XLOOKUP($D20,Tab_Def_Processes[Process_Name],Tab_Def_Processes[Stock_Configuration],,0,)</f>
        <v/>
      </c>
      <c r="H20">
        <f>_xlfn.XLOOKUP(Tab_FOMP[[#This Row],[Process_Name]],Tab_Def_Processes[Process_Name],Tab_Def_Processes[Outflow_count],,0,)</f>
        <v/>
      </c>
      <c r="I20">
        <f>"P"&amp;Tab_FOMP[[#This Row],[Process_ID]]&amp;"_"&amp;Tab_FOMP[[#This Row],[FOMP_Parameter_type]]</f>
        <v/>
      </c>
    </row>
    <row r="21">
      <c r="A21" t="b">
        <v>0</v>
      </c>
      <c r="B21">
        <f>ROW()-1</f>
        <v/>
      </c>
      <c r="C21">
        <f>_xlfn.XLOOKUP($D21,Tab_Def_Processes[Process_Name],Tab_Def_Processes[Process_ID],,0,)</f>
        <v/>
      </c>
      <c r="E21">
        <f>_xlfn.XLOOKUP($D21,Tab_Def_Processes[Process_Name],Tab_Def_Processes[Process_Logic],,0,)</f>
        <v/>
      </c>
      <c r="F21">
        <f>_xlfn.XLOOKUP($D21,Tab_Def_Processes[Process_Name],Tab_Def_Processes[TC_Configuration],,0,)</f>
        <v/>
      </c>
      <c r="G21">
        <f>_xlfn.XLOOKUP($D21,Tab_Def_Processes[Process_Name],Tab_Def_Processes[Stock_Configuration],,0,)</f>
        <v/>
      </c>
      <c r="H21">
        <f>_xlfn.XLOOKUP(Tab_FOMP[[#This Row],[Process_Name]],Tab_Def_Processes[Process_Name],Tab_Def_Processes[Outflow_count],,0,)</f>
        <v/>
      </c>
      <c r="I21">
        <f>"P"&amp;Tab_FOMP[[#This Row],[Process_ID]]&amp;"_"&amp;Tab_FOMP[[#This Row],[FOMP_Parameter_type]]</f>
        <v/>
      </c>
    </row>
    <row r="22">
      <c r="A22" t="b">
        <v>0</v>
      </c>
      <c r="B22">
        <f>ROW()-1</f>
        <v/>
      </c>
      <c r="C22">
        <f>_xlfn.XLOOKUP($D22,Tab_Def_Processes[Process_Name],Tab_Def_Processes[Process_ID],,0,)</f>
        <v/>
      </c>
      <c r="E22">
        <f>_xlfn.XLOOKUP($D22,Tab_Def_Processes[Process_Name],Tab_Def_Processes[Process_Logic],,0,)</f>
        <v/>
      </c>
      <c r="F22">
        <f>_xlfn.XLOOKUP($D22,Tab_Def_Processes[Process_Name],Tab_Def_Processes[TC_Configuration],,0,)</f>
        <v/>
      </c>
      <c r="G22">
        <f>_xlfn.XLOOKUP($D22,Tab_Def_Processes[Process_Name],Tab_Def_Processes[Stock_Configuration],,0,)</f>
        <v/>
      </c>
      <c r="H22">
        <f>_xlfn.XLOOKUP(Tab_FOMP[[#This Row],[Process_Name]],Tab_Def_Processes[Process_Name],Tab_Def_Processes[Outflow_count],,0,)</f>
        <v/>
      </c>
      <c r="I22">
        <f>"P"&amp;Tab_FOMP[[#This Row],[Process_ID]]&amp;"_"&amp;Tab_FOMP[[#This Row],[FOMP_Parameter_type]]</f>
        <v/>
      </c>
    </row>
    <row r="23">
      <c r="A23" t="b">
        <v>0</v>
      </c>
      <c r="B23">
        <f>ROW()-1</f>
        <v/>
      </c>
      <c r="C23">
        <f>_xlfn.XLOOKUP($D23,Tab_Def_Processes[Process_Name],Tab_Def_Processes[Process_ID],,0,)</f>
        <v/>
      </c>
      <c r="E23">
        <f>_xlfn.XLOOKUP($D23,Tab_Def_Processes[Process_Name],Tab_Def_Processes[Process_Logic],,0,)</f>
        <v/>
      </c>
      <c r="F23">
        <f>_xlfn.XLOOKUP($D23,Tab_Def_Processes[Process_Name],Tab_Def_Processes[TC_Configuration],,0,)</f>
        <v/>
      </c>
      <c r="G23">
        <f>_xlfn.XLOOKUP($D23,Tab_Def_Processes[Process_Name],Tab_Def_Processes[Stock_Configuration],,0,)</f>
        <v/>
      </c>
      <c r="H23">
        <f>_xlfn.XLOOKUP(Tab_FOMP[[#This Row],[Process_Name]],Tab_Def_Processes[Process_Name],Tab_Def_Processes[Outflow_count],,0,)</f>
        <v/>
      </c>
      <c r="I23">
        <f>"P"&amp;Tab_FOMP[[#This Row],[Process_ID]]&amp;"_"&amp;Tab_FOMP[[#This Row],[FOMP_Parameter_type]]</f>
        <v/>
      </c>
    </row>
    <row r="24">
      <c r="A24" t="b">
        <v>0</v>
      </c>
      <c r="B24">
        <f>ROW()-1</f>
        <v/>
      </c>
      <c r="C24">
        <f>_xlfn.XLOOKUP($D24,Tab_Def_Processes[Process_Name],Tab_Def_Processes[Process_ID],,0,)</f>
        <v/>
      </c>
      <c r="E24">
        <f>_xlfn.XLOOKUP($D24,Tab_Def_Processes[Process_Name],Tab_Def_Processes[Process_Logic],,0,)</f>
        <v/>
      </c>
      <c r="F24">
        <f>_xlfn.XLOOKUP($D24,Tab_Def_Processes[Process_Name],Tab_Def_Processes[TC_Configuration],,0,)</f>
        <v/>
      </c>
      <c r="G24">
        <f>_xlfn.XLOOKUP($D24,Tab_Def_Processes[Process_Name],Tab_Def_Processes[Stock_Configuration],,0,)</f>
        <v/>
      </c>
      <c r="H24">
        <f>_xlfn.XLOOKUP(Tab_FOMP[[#This Row],[Process_Name]],Tab_Def_Processes[Process_Name],Tab_Def_Processes[Outflow_count],,0,)</f>
        <v/>
      </c>
      <c r="I24">
        <f>"P"&amp;Tab_FOMP[[#This Row],[Process_ID]]&amp;"_"&amp;Tab_FOMP[[#This Row],[FOMP_Parameter_type]]</f>
        <v/>
      </c>
    </row>
    <row r="25">
      <c r="A25" t="b">
        <v>0</v>
      </c>
      <c r="B25">
        <f>ROW()-1</f>
        <v/>
      </c>
      <c r="C25">
        <f>_xlfn.XLOOKUP($D25,Tab_Def_Processes[Process_Name],Tab_Def_Processes[Process_ID],,0,)</f>
        <v/>
      </c>
      <c r="E25">
        <f>_xlfn.XLOOKUP($D25,Tab_Def_Processes[Process_Name],Tab_Def_Processes[Process_Logic],,0,)</f>
        <v/>
      </c>
      <c r="F25">
        <f>_xlfn.XLOOKUP($D25,Tab_Def_Processes[Process_Name],Tab_Def_Processes[TC_Configuration],,0,)</f>
        <v/>
      </c>
      <c r="G25">
        <f>_xlfn.XLOOKUP($D25,Tab_Def_Processes[Process_Name],Tab_Def_Processes[Stock_Configuration],,0,)</f>
        <v/>
      </c>
      <c r="H25">
        <f>_xlfn.XLOOKUP(Tab_FOMP[[#This Row],[Process_Name]],Tab_Def_Processes[Process_Name],Tab_Def_Processes[Outflow_count],,0,)</f>
        <v/>
      </c>
      <c r="I25">
        <f>"P"&amp;Tab_FOMP[[#This Row],[Process_ID]]&amp;"_"&amp;Tab_FOMP[[#This Row],[FOMP_Parameter_type]]</f>
        <v/>
      </c>
    </row>
    <row r="26">
      <c r="A26" t="b">
        <v>0</v>
      </c>
      <c r="B26">
        <f>ROW()-1</f>
        <v/>
      </c>
      <c r="C26">
        <f>_xlfn.XLOOKUP($D26,Tab_Def_Processes[Process_Name],Tab_Def_Processes[Process_ID],,0,)</f>
        <v/>
      </c>
      <c r="E26">
        <f>_xlfn.XLOOKUP($D26,Tab_Def_Processes[Process_Name],Tab_Def_Processes[Process_Logic],,0,)</f>
        <v/>
      </c>
      <c r="F26">
        <f>_xlfn.XLOOKUP($D26,Tab_Def_Processes[Process_Name],Tab_Def_Processes[TC_Configuration],,0,)</f>
        <v/>
      </c>
      <c r="G26">
        <f>_xlfn.XLOOKUP($D26,Tab_Def_Processes[Process_Name],Tab_Def_Processes[Stock_Configuration],,0,)</f>
        <v/>
      </c>
      <c r="H26">
        <f>_xlfn.XLOOKUP(Tab_FOMP[[#This Row],[Process_Name]],Tab_Def_Processes[Process_Name],Tab_Def_Processes[Outflow_count],,0,)</f>
        <v/>
      </c>
      <c r="I26">
        <f>"P"&amp;Tab_FOMP[[#This Row],[Process_ID]]&amp;"_"&amp;Tab_FOMP[[#This Row],[FOMP_Parameter_type]]</f>
        <v/>
      </c>
    </row>
    <row r="27">
      <c r="A27" t="b">
        <v>0</v>
      </c>
      <c r="B27">
        <f>ROW()-1</f>
        <v/>
      </c>
      <c r="C27">
        <f>_xlfn.XLOOKUP($D27,Tab_Def_Processes[Process_Name],Tab_Def_Processes[Process_ID],,0,)</f>
        <v/>
      </c>
      <c r="E27">
        <f>_xlfn.XLOOKUP($D27,Tab_Def_Processes[Process_Name],Tab_Def_Processes[Process_Logic],,0,)</f>
        <v/>
      </c>
      <c r="F27">
        <f>_xlfn.XLOOKUP($D27,Tab_Def_Processes[Process_Name],Tab_Def_Processes[TC_Configuration],,0,)</f>
        <v/>
      </c>
      <c r="G27">
        <f>_xlfn.XLOOKUP($D27,Tab_Def_Processes[Process_Name],Tab_Def_Processes[Stock_Configuration],,0,)</f>
        <v/>
      </c>
      <c r="H27">
        <f>_xlfn.XLOOKUP(Tab_FOMP[[#This Row],[Process_Name]],Tab_Def_Processes[Process_Name],Tab_Def_Processes[Outflow_count],,0,)</f>
        <v/>
      </c>
      <c r="I27">
        <f>"P"&amp;Tab_FOMP[[#This Row],[Process_ID]]&amp;"_"&amp;Tab_FOMP[[#This Row],[FOMP_Parameter_type]]</f>
        <v/>
      </c>
    </row>
    <row r="28">
      <c r="A28" t="b">
        <v>0</v>
      </c>
      <c r="B28">
        <f>ROW()-1</f>
        <v/>
      </c>
      <c r="C28">
        <f>_xlfn.XLOOKUP($D28,Tab_Def_Processes[Process_Name],Tab_Def_Processes[Process_ID],,0,)</f>
        <v/>
      </c>
      <c r="E28">
        <f>_xlfn.XLOOKUP($D28,Tab_Def_Processes[Process_Name],Tab_Def_Processes[Process_Logic],,0,)</f>
        <v/>
      </c>
      <c r="F28">
        <f>_xlfn.XLOOKUP($D28,Tab_Def_Processes[Process_Name],Tab_Def_Processes[TC_Configuration],,0,)</f>
        <v/>
      </c>
      <c r="G28">
        <f>_xlfn.XLOOKUP($D28,Tab_Def_Processes[Process_Name],Tab_Def_Processes[Stock_Configuration],,0,)</f>
        <v/>
      </c>
      <c r="H28">
        <f>_xlfn.XLOOKUP(Tab_FOMP[[#This Row],[Process_Name]],Tab_Def_Processes[Process_Name],Tab_Def_Processes[Outflow_count],,0,)</f>
        <v/>
      </c>
      <c r="I28">
        <f>"P"&amp;Tab_FOMP[[#This Row],[Process_ID]]&amp;"_"&amp;Tab_FOMP[[#This Row],[FOMP_Parameter_type]]</f>
        <v/>
      </c>
    </row>
    <row r="29">
      <c r="A29" t="b">
        <v>0</v>
      </c>
      <c r="B29">
        <f>ROW()-1</f>
        <v/>
      </c>
      <c r="C29">
        <f>_xlfn.XLOOKUP($D29,Tab_Def_Processes[Process_Name],Tab_Def_Processes[Process_ID],,0,)</f>
        <v/>
      </c>
      <c r="E29">
        <f>_xlfn.XLOOKUP($D29,Tab_Def_Processes[Process_Name],Tab_Def_Processes[Process_Logic],,0,)</f>
        <v/>
      </c>
      <c r="F29">
        <f>_xlfn.XLOOKUP($D29,Tab_Def_Processes[Process_Name],Tab_Def_Processes[TC_Configuration],,0,)</f>
        <v/>
      </c>
      <c r="G29">
        <f>_xlfn.XLOOKUP($D29,Tab_Def_Processes[Process_Name],Tab_Def_Processes[Stock_Configuration],,0,)</f>
        <v/>
      </c>
      <c r="H29">
        <f>_xlfn.XLOOKUP(Tab_FOMP[[#This Row],[Process_Name]],Tab_Def_Processes[Process_Name],Tab_Def_Processes[Outflow_count],,0,)</f>
        <v/>
      </c>
      <c r="I29">
        <f>"P"&amp;Tab_FOMP[[#This Row],[Process_ID]]&amp;"_"&amp;Tab_FOMP[[#This Row],[FOMP_Parameter_type]]</f>
        <v/>
      </c>
    </row>
    <row r="30">
      <c r="A30" t="b">
        <v>0</v>
      </c>
      <c r="B30">
        <f>ROW()-1</f>
        <v/>
      </c>
      <c r="C30">
        <f>_xlfn.XLOOKUP($D30,Tab_Def_Processes[Process_Name],Tab_Def_Processes[Process_ID],,0,)</f>
        <v/>
      </c>
      <c r="E30">
        <f>_xlfn.XLOOKUP($D30,Tab_Def_Processes[Process_Name],Tab_Def_Processes[Process_Logic],,0,)</f>
        <v/>
      </c>
      <c r="F30">
        <f>_xlfn.XLOOKUP($D30,Tab_Def_Processes[Process_Name],Tab_Def_Processes[TC_Configuration],,0,)</f>
        <v/>
      </c>
      <c r="G30">
        <f>_xlfn.XLOOKUP($D30,Tab_Def_Processes[Process_Name],Tab_Def_Processes[Stock_Configuration],,0,)</f>
        <v/>
      </c>
      <c r="H30">
        <f>_xlfn.XLOOKUP(Tab_FOMP[[#This Row],[Process_Name]],Tab_Def_Processes[Process_Name],Tab_Def_Processes[Outflow_count],,0,)</f>
        <v/>
      </c>
      <c r="I30">
        <f>"P"&amp;Tab_FOMP[[#This Row],[Process_ID]]&amp;"_"&amp;Tab_FOMP[[#This Row],[FOMP_Parameter_type]]</f>
        <v/>
      </c>
    </row>
    <row r="31">
      <c r="A31" t="b">
        <v>0</v>
      </c>
      <c r="B31">
        <f>ROW()-1</f>
        <v/>
      </c>
      <c r="C31">
        <f>_xlfn.XLOOKUP($D31,Tab_Def_Processes[Process_Name],Tab_Def_Processes[Process_ID],,0,)</f>
        <v/>
      </c>
      <c r="E31">
        <f>_xlfn.XLOOKUP($D31,Tab_Def_Processes[Process_Name],Tab_Def_Processes[Process_Logic],,0,)</f>
        <v/>
      </c>
      <c r="F31">
        <f>_xlfn.XLOOKUP($D31,Tab_Def_Processes[Process_Name],Tab_Def_Processes[TC_Configuration],,0,)</f>
        <v/>
      </c>
      <c r="G31">
        <f>_xlfn.XLOOKUP($D31,Tab_Def_Processes[Process_Name],Tab_Def_Processes[Stock_Configuration],,0,)</f>
        <v/>
      </c>
      <c r="H31">
        <f>_xlfn.XLOOKUP(Tab_FOMP[[#This Row],[Process_Name]],Tab_Def_Processes[Process_Name],Tab_Def_Processes[Outflow_count],,0,)</f>
        <v/>
      </c>
      <c r="I31">
        <f>"P"&amp;Tab_FOMP[[#This Row],[Process_ID]]&amp;"_"&amp;Tab_FOMP[[#This Row],[FOMP_Parameter_type]]</f>
        <v/>
      </c>
    </row>
    <row r="32">
      <c r="A32" t="b">
        <v>0</v>
      </c>
      <c r="B32">
        <f>ROW()-1</f>
        <v/>
      </c>
      <c r="C32">
        <f>_xlfn.XLOOKUP($D32,Tab_Def_Processes[Process_Name],Tab_Def_Processes[Process_ID],,0,)</f>
        <v/>
      </c>
      <c r="E32">
        <f>_xlfn.XLOOKUP($D32,Tab_Def_Processes[Process_Name],Tab_Def_Processes[Process_Logic],,0,)</f>
        <v/>
      </c>
      <c r="F32">
        <f>_xlfn.XLOOKUP($D32,Tab_Def_Processes[Process_Name],Tab_Def_Processes[TC_Configuration],,0,)</f>
        <v/>
      </c>
      <c r="G32">
        <f>_xlfn.XLOOKUP($D32,Tab_Def_Processes[Process_Name],Tab_Def_Processes[Stock_Configuration],,0,)</f>
        <v/>
      </c>
      <c r="H32">
        <f>_xlfn.XLOOKUP(Tab_FOMP[[#This Row],[Process_Name]],Tab_Def_Processes[Process_Name],Tab_Def_Processes[Outflow_count],,0,)</f>
        <v/>
      </c>
      <c r="I32">
        <f>"P"&amp;Tab_FOMP[[#This Row],[Process_ID]]&amp;"_"&amp;Tab_FOMP[[#This Row],[FOMP_Parameter_type]]</f>
        <v/>
      </c>
    </row>
    <row r="33">
      <c r="A33" t="b">
        <v>0</v>
      </c>
      <c r="B33">
        <f>ROW()-1</f>
        <v/>
      </c>
      <c r="C33">
        <f>_xlfn.XLOOKUP($D33,Tab_Def_Processes[Process_Name],Tab_Def_Processes[Process_ID],,0,)</f>
        <v/>
      </c>
      <c r="E33">
        <f>_xlfn.XLOOKUP($D33,Tab_Def_Processes[Process_Name],Tab_Def_Processes[Process_Logic],,0,)</f>
        <v/>
      </c>
      <c r="F33">
        <f>_xlfn.XLOOKUP($D33,Tab_Def_Processes[Process_Name],Tab_Def_Processes[TC_Configuration],,0,)</f>
        <v/>
      </c>
      <c r="G33">
        <f>_xlfn.XLOOKUP($D33,Tab_Def_Processes[Process_Name],Tab_Def_Processes[Stock_Configuration],,0,)</f>
        <v/>
      </c>
      <c r="H33">
        <f>_xlfn.XLOOKUP(Tab_FOMP[[#This Row],[Process_Name]],Tab_Def_Processes[Process_Name],Tab_Def_Processes[Outflow_count],,0,)</f>
        <v/>
      </c>
      <c r="I33">
        <f>"P"&amp;Tab_FOMP[[#This Row],[Process_ID]]&amp;"_"&amp;Tab_FOMP[[#This Row],[FOMP_Parameter_type]]</f>
        <v/>
      </c>
    </row>
    <row r="34">
      <c r="A34" t="b">
        <v>0</v>
      </c>
      <c r="B34">
        <f>ROW()-1</f>
        <v/>
      </c>
      <c r="C34">
        <f>_xlfn.XLOOKUP($D34,Tab_Def_Processes[Process_Name],Tab_Def_Processes[Process_ID],,0,)</f>
        <v/>
      </c>
      <c r="E34">
        <f>_xlfn.XLOOKUP($D34,Tab_Def_Processes[Process_Name],Tab_Def_Processes[Process_Logic],,0,)</f>
        <v/>
      </c>
      <c r="F34">
        <f>_xlfn.XLOOKUP($D34,Tab_Def_Processes[Process_Name],Tab_Def_Processes[TC_Configuration],,0,)</f>
        <v/>
      </c>
      <c r="G34">
        <f>_xlfn.XLOOKUP($D34,Tab_Def_Processes[Process_Name],Tab_Def_Processes[Stock_Configuration],,0,)</f>
        <v/>
      </c>
      <c r="H34">
        <f>_xlfn.XLOOKUP(Tab_FOMP[[#This Row],[Process_Name]],Tab_Def_Processes[Process_Name],Tab_Def_Processes[Outflow_count],,0,)</f>
        <v/>
      </c>
      <c r="I34">
        <f>"P"&amp;Tab_FOMP[[#This Row],[Process_ID]]&amp;"_"&amp;Tab_FOMP[[#This Row],[FOMP_Parameter_type]]</f>
        <v/>
      </c>
    </row>
    <row r="35">
      <c r="A35" t="b">
        <v>0</v>
      </c>
      <c r="B35">
        <f>ROW()-1</f>
        <v/>
      </c>
      <c r="C35">
        <f>_xlfn.XLOOKUP($D35,Tab_Def_Processes[Process_Name],Tab_Def_Processes[Process_ID],,0,)</f>
        <v/>
      </c>
      <c r="E35">
        <f>_xlfn.XLOOKUP($D35,Tab_Def_Processes[Process_Name],Tab_Def_Processes[Process_Logic],,0,)</f>
        <v/>
      </c>
      <c r="F35">
        <f>_xlfn.XLOOKUP($D35,Tab_Def_Processes[Process_Name],Tab_Def_Processes[TC_Configuration],,0,)</f>
        <v/>
      </c>
      <c r="G35">
        <f>_xlfn.XLOOKUP($D35,Tab_Def_Processes[Process_Name],Tab_Def_Processes[Stock_Configuration],,0,)</f>
        <v/>
      </c>
      <c r="H35">
        <f>_xlfn.XLOOKUP(Tab_FOMP[[#This Row],[Process_Name]],Tab_Def_Processes[Process_Name],Tab_Def_Processes[Outflow_count],,0,)</f>
        <v/>
      </c>
      <c r="I35">
        <f>"P"&amp;Tab_FOMP[[#This Row],[Process_ID]]&amp;"_"&amp;Tab_FOMP[[#This Row],[FOMP_Parameter_type]]</f>
        <v/>
      </c>
    </row>
    <row r="36">
      <c r="A36" t="b">
        <v>0</v>
      </c>
      <c r="B36">
        <f>ROW()-1</f>
        <v/>
      </c>
      <c r="C36">
        <f>_xlfn.XLOOKUP($D36,Tab_Def_Processes[Process_Name],Tab_Def_Processes[Process_ID],,0,)</f>
        <v/>
      </c>
      <c r="E36">
        <f>_xlfn.XLOOKUP($D36,Tab_Def_Processes[Process_Name],Tab_Def_Processes[Process_Logic],,0,)</f>
        <v/>
      </c>
      <c r="F36">
        <f>_xlfn.XLOOKUP($D36,Tab_Def_Processes[Process_Name],Tab_Def_Processes[TC_Configuration],,0,)</f>
        <v/>
      </c>
      <c r="G36">
        <f>_xlfn.XLOOKUP($D36,Tab_Def_Processes[Process_Name],Tab_Def_Processes[Stock_Configuration],,0,)</f>
        <v/>
      </c>
      <c r="H36">
        <f>_xlfn.XLOOKUP(Tab_FOMP[[#This Row],[Process_Name]],Tab_Def_Processes[Process_Name],Tab_Def_Processes[Outflow_count],,0,)</f>
        <v/>
      </c>
      <c r="I36">
        <f>"P"&amp;Tab_FOMP[[#This Row],[Process_ID]]&amp;"_"&amp;Tab_FOMP[[#This Row],[FOMP_Parameter_type]]</f>
        <v/>
      </c>
    </row>
    <row r="37">
      <c r="A37" t="b">
        <v>0</v>
      </c>
      <c r="B37">
        <f>ROW()-1</f>
        <v/>
      </c>
      <c r="C37">
        <f>_xlfn.XLOOKUP($D37,Tab_Def_Processes[Process_Name],Tab_Def_Processes[Process_ID],,0,)</f>
        <v/>
      </c>
      <c r="E37">
        <f>_xlfn.XLOOKUP($D37,Tab_Def_Processes[Process_Name],Tab_Def_Processes[Process_Logic],,0,)</f>
        <v/>
      </c>
      <c r="F37">
        <f>_xlfn.XLOOKUP($D37,Tab_Def_Processes[Process_Name],Tab_Def_Processes[TC_Configuration],,0,)</f>
        <v/>
      </c>
      <c r="G37">
        <f>_xlfn.XLOOKUP($D37,Tab_Def_Processes[Process_Name],Tab_Def_Processes[Stock_Configuration],,0,)</f>
        <v/>
      </c>
      <c r="H37">
        <f>_xlfn.XLOOKUP(Tab_FOMP[[#This Row],[Process_Name]],Tab_Def_Processes[Process_Name],Tab_Def_Processes[Outflow_count],,0,)</f>
        <v/>
      </c>
      <c r="I37">
        <f>"P"&amp;Tab_FOMP[[#This Row],[Process_ID]]&amp;"_"&amp;Tab_FOMP[[#This Row],[FOMP_Parameter_type]]</f>
        <v/>
      </c>
    </row>
    <row r="38">
      <c r="A38" t="b">
        <v>0</v>
      </c>
      <c r="B38">
        <f>ROW()-1</f>
        <v/>
      </c>
      <c r="C38">
        <f>_xlfn.XLOOKUP($D38,Tab_Def_Processes[Process_Name],Tab_Def_Processes[Process_ID],,0,)</f>
        <v/>
      </c>
      <c r="E38">
        <f>_xlfn.XLOOKUP($D38,Tab_Def_Processes[Process_Name],Tab_Def_Processes[Process_Logic],,0,)</f>
        <v/>
      </c>
      <c r="F38">
        <f>_xlfn.XLOOKUP($D38,Tab_Def_Processes[Process_Name],Tab_Def_Processes[TC_Configuration],,0,)</f>
        <v/>
      </c>
      <c r="G38">
        <f>_xlfn.XLOOKUP($D38,Tab_Def_Processes[Process_Name],Tab_Def_Processes[Stock_Configuration],,0,)</f>
        <v/>
      </c>
      <c r="H38">
        <f>_xlfn.XLOOKUP(Tab_FOMP[[#This Row],[Process_Name]],Tab_Def_Processes[Process_Name],Tab_Def_Processes[Outflow_count],,0,)</f>
        <v/>
      </c>
      <c r="I38">
        <f>"P"&amp;Tab_FOMP[[#This Row],[Process_ID]]&amp;"_"&amp;Tab_FOMP[[#This Row],[FOMP_Parameter_type]]</f>
        <v/>
      </c>
    </row>
    <row r="39">
      <c r="A39" t="b">
        <v>0</v>
      </c>
      <c r="B39">
        <f>ROW()-1</f>
        <v/>
      </c>
      <c r="C39">
        <f>_xlfn.XLOOKUP($D39,Tab_Def_Processes[Process_Name],Tab_Def_Processes[Process_ID],,0,)</f>
        <v/>
      </c>
      <c r="E39">
        <f>_xlfn.XLOOKUP($D39,Tab_Def_Processes[Process_Name],Tab_Def_Processes[Process_Logic],,0,)</f>
        <v/>
      </c>
      <c r="F39">
        <f>_xlfn.XLOOKUP($D39,Tab_Def_Processes[Process_Name],Tab_Def_Processes[TC_Configuration],,0,)</f>
        <v/>
      </c>
      <c r="G39">
        <f>_xlfn.XLOOKUP($D39,Tab_Def_Processes[Process_Name],Tab_Def_Processes[Stock_Configuration],,0,)</f>
        <v/>
      </c>
      <c r="H39">
        <f>_xlfn.XLOOKUP(Tab_FOMP[[#This Row],[Process_Name]],Tab_Def_Processes[Process_Name],Tab_Def_Processes[Outflow_count],,0,)</f>
        <v/>
      </c>
      <c r="I39">
        <f>"P"&amp;Tab_FOMP[[#This Row],[Process_ID]]&amp;"_"&amp;Tab_FOMP[[#This Row],[FOMP_Parameter_type]]</f>
        <v/>
      </c>
    </row>
    <row r="40">
      <c r="A40" t="b">
        <v>0</v>
      </c>
      <c r="B40">
        <f>ROW()-1</f>
        <v/>
      </c>
      <c r="C40">
        <f>_xlfn.XLOOKUP($D40,Tab_Def_Processes[Process_Name],Tab_Def_Processes[Process_ID],,0,)</f>
        <v/>
      </c>
      <c r="E40">
        <f>_xlfn.XLOOKUP($D40,Tab_Def_Processes[Process_Name],Tab_Def_Processes[Process_Logic],,0,)</f>
        <v/>
      </c>
      <c r="F40">
        <f>_xlfn.XLOOKUP($D40,Tab_Def_Processes[Process_Name],Tab_Def_Processes[TC_Configuration],,0,)</f>
        <v/>
      </c>
      <c r="G40">
        <f>_xlfn.XLOOKUP($D40,Tab_Def_Processes[Process_Name],Tab_Def_Processes[Stock_Configuration],,0,)</f>
        <v/>
      </c>
      <c r="H40">
        <f>_xlfn.XLOOKUP(Tab_FOMP[[#This Row],[Process_Name]],Tab_Def_Processes[Process_Name],Tab_Def_Processes[Outflow_count],,0,)</f>
        <v/>
      </c>
      <c r="I40">
        <f>"P"&amp;Tab_FOMP[[#This Row],[Process_ID]]&amp;"_"&amp;Tab_FOMP[[#This Row],[FOMP_Parameter_type]]</f>
        <v/>
      </c>
    </row>
    <row r="41">
      <c r="A41" t="b">
        <v>0</v>
      </c>
      <c r="B41">
        <f>ROW()-1</f>
        <v/>
      </c>
      <c r="C41">
        <f>_xlfn.XLOOKUP($D41,Tab_Def_Processes[Process_Name],Tab_Def_Processes[Process_ID],,0,)</f>
        <v/>
      </c>
      <c r="E41">
        <f>_xlfn.XLOOKUP($D41,Tab_Def_Processes[Process_Name],Tab_Def_Processes[Process_Logic],,0,)</f>
        <v/>
      </c>
      <c r="F41">
        <f>_xlfn.XLOOKUP($D41,Tab_Def_Processes[Process_Name],Tab_Def_Processes[TC_Configuration],,0,)</f>
        <v/>
      </c>
      <c r="G41">
        <f>_xlfn.XLOOKUP($D41,Tab_Def_Processes[Process_Name],Tab_Def_Processes[Stock_Configuration],,0,)</f>
        <v/>
      </c>
      <c r="H41">
        <f>_xlfn.XLOOKUP(Tab_FOMP[[#This Row],[Process_Name]],Tab_Def_Processes[Process_Name],Tab_Def_Processes[Outflow_count],,0,)</f>
        <v/>
      </c>
      <c r="I41">
        <f>"P"&amp;Tab_FOMP[[#This Row],[Process_ID]]&amp;"_"&amp;Tab_FOMP[[#This Row],[FOMP_Parameter_type]]</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2025-10-27T14:00:51Z</dcterms:created>
  <dcterms:modified xmlns:dcterms="http://purl.org/dc/terms/" xmlns:xsi="http://www.w3.org/2001/XMLSchema-instance" xsi:type="dcterms:W3CDTF">2025-10-27T14:00:51Z</dcterms:modified>
</cp:coreProperties>
</file>